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500" firstSheet="0" activeTab="0" autoFilterDateGrouping="1"/>
  </bookViews>
  <sheets>
    <sheet xmlns:r="http://schemas.openxmlformats.org/officeDocument/2006/relationships" name="Instrucciones" sheetId="1" state="visible" r:id="rId1"/>
    <sheet xmlns:r="http://schemas.openxmlformats.org/officeDocument/2006/relationships" name="Catalogo_Detracciones" sheetId="2" state="visible" r:id="rId2"/>
    <sheet xmlns:r="http://schemas.openxmlformats.org/officeDocument/2006/relationships" name="Registro_Compras" sheetId="3" state="visible" r:id="rId3"/>
    <sheet xmlns:r="http://schemas.openxmlformats.org/officeDocument/2006/relationships" name="Registro_Ventas" sheetId="4" state="visible" r:id="rId4"/>
    <sheet xmlns:r="http://schemas.openxmlformats.org/officeDocument/2006/relationships" name="Libro_Diario" sheetId="5" state="visible" r:id="rId5"/>
    <sheet xmlns:r="http://schemas.openxmlformats.org/officeDocument/2006/relationships" name="Detracciones_Control" sheetId="6" state="visible" r:id="rId6"/>
    <sheet xmlns:r="http://schemas.openxmlformats.org/officeDocument/2006/relationships" name="Plan_Cuentas" sheetId="7" state="visible" r:id="rId7"/>
    <sheet xmlns:r="http://schemas.openxmlformats.org/officeDocument/2006/relationships" name="TC_Diario" sheetId="8" state="visible" r:id="rId8"/>
  </sheets>
  <definedNames>
    <definedName name="Catalogo_Codigos">Catalogo_Detracciones!$A$4:$A$15</definedName>
    <definedName name="Catalogo_Etiquetas">Catalogo_Detracciones!$C$4:$C$15</definedName>
    <definedName name="Catalogo_Tasas">Catalogo_Detracciones!$D$4:$D$15</definedName>
    <definedName name="Catalogo_Umbrales">Catalogo_Detracciones!$E$4:$E$15</definedName>
    <definedName name="Feriados">Detracciones_Control!$P$4:$P$60</definedName>
    <definedName name="TC_Fechas">TC_Diario!$A$4:$A$1003</definedName>
    <definedName name="TC_Venta_Rango">TC_Diario!$C$4:$C$1003</definedName>
    <definedName name="_xlnm._FilterDatabase" localSheetId="5" hidden="1">'Detracciones_Control'!$A$3:$N$503</definedName>
  </definedNames>
  <calcPr calcId="191029" fullCalcOnLoad="1" concurrentCalc="0"/>
</workbook>
</file>

<file path=xl/styles.xml><?xml version="1.0" encoding="utf-8"?>
<styleSheet xmlns="http://schemas.openxmlformats.org/spreadsheetml/2006/main">
  <numFmts count="2">
    <numFmt numFmtId="164" formatCode="yyyy\-mm\-dd"/>
    <numFmt numFmtId="165" formatCode="0.000"/>
  </numFmts>
  <fonts count="10">
    <font>
      <name val="Calibri"/>
      <charset val="1"/>
      <family val="2"/>
      <color theme="1"/>
      <sz val="11"/>
    </font>
    <font>
      <name val="Arial"/>
      <family val="2"/>
      <b val="1"/>
      <sz val="14"/>
    </font>
    <font>
      <name val="Arial"/>
      <family val="2"/>
      <b val="1"/>
      <i val="1"/>
      <sz val="11"/>
    </font>
    <font>
      <name val="Arial"/>
      <family val="2"/>
      <b val="1"/>
      <sz val="11"/>
    </font>
    <font>
      <name val="Arial"/>
      <family val="2"/>
      <sz val="10"/>
    </font>
    <font>
      <name val="Arial"/>
      <family val="2"/>
      <i val="1"/>
      <sz val="9"/>
    </font>
    <font>
      <name val="Arial"/>
      <family val="2"/>
      <b val="1"/>
      <color rgb="FFFFFFFF"/>
      <sz val="11"/>
    </font>
    <font>
      <name val="Arial"/>
      <family val="2"/>
      <color rgb="FF000000"/>
      <sz val="11"/>
    </font>
    <font>
      <name val="Arial"/>
      <family val="2"/>
      <color rgb="FF0000FF"/>
      <sz val="11"/>
    </font>
    <font>
      <name val="Calibri"/>
      <family val="2"/>
      <b val="1"/>
      <color theme="1"/>
      <sz val="11"/>
    </font>
  </fonts>
  <fills count="7">
    <fill>
      <patternFill/>
    </fill>
    <fill>
      <patternFill patternType="gray125"/>
    </fill>
    <fill>
      <patternFill patternType="solid">
        <fgColor rgb="FF1F4E78"/>
        <bgColor rgb="FF003366"/>
      </patternFill>
    </fill>
    <fill>
      <patternFill patternType="solid">
        <fgColor rgb="FFFCE4D6"/>
        <bgColor rgb="FFE2EFDA"/>
      </patternFill>
    </fill>
    <fill>
      <patternFill patternType="solid">
        <fgColor rgb="FFE2EFDA"/>
        <bgColor rgb="FFD9E1F2"/>
      </patternFill>
    </fill>
    <fill>
      <patternFill patternType="solid">
        <fgColor rgb="FFFFFF00"/>
        <bgColor rgb="FFFFFF00"/>
      </patternFill>
    </fill>
    <fill>
      <patternFill patternType="solid">
        <fgColor rgb="FF4F81BD"/>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3" borderId="1" applyAlignment="1" pivotButton="0" quotePrefix="0" xfId="0">
      <alignment vertical="top" wrapText="1"/>
    </xf>
    <xf numFmtId="9" fontId="4" fillId="3" borderId="1" applyAlignment="1" pivotButton="0" quotePrefix="0" xfId="0">
      <alignment vertical="top" wrapText="1"/>
    </xf>
    <xf numFmtId="3" fontId="4" fillId="3" borderId="1" applyAlignment="1" pivotButton="0" quotePrefix="0" xfId="0">
      <alignment vertical="top" wrapText="1"/>
    </xf>
    <xf numFmtId="0" fontId="7" fillId="4" borderId="1" pivotButton="0" quotePrefix="0" xfId="0"/>
    <xf numFmtId="0" fontId="8" fillId="4" borderId="1" pivotButton="0" quotePrefix="0" xfId="0"/>
    <xf numFmtId="4" fontId="8" fillId="4" borderId="1" pivotButton="0" quotePrefix="0" xfId="0"/>
    <xf numFmtId="4" fontId="7" fillId="4" borderId="1" pivotButton="0" quotePrefix="0" xfId="0"/>
    <xf numFmtId="9" fontId="7" fillId="4" borderId="1" pivotButton="0" quotePrefix="0" xfId="0"/>
    <xf numFmtId="0" fontId="7" fillId="0" borderId="1" pivotButton="0" quotePrefix="0" xfId="0"/>
    <xf numFmtId="0" fontId="8" fillId="0" borderId="1" pivotButton="0" quotePrefix="0" xfId="0"/>
    <xf numFmtId="4" fontId="8" fillId="0" borderId="1" pivotButton="0" quotePrefix="0" xfId="0"/>
    <xf numFmtId="4" fontId="7" fillId="0" borderId="1" pivotButton="0" quotePrefix="0" xfId="0"/>
    <xf numFmtId="9" fontId="7" fillId="0" borderId="1" pivotButton="0" quotePrefix="0" xfId="0"/>
    <xf numFmtId="4" fontId="0" fillId="0" borderId="0" pivotButton="0" quotePrefix="0" xfId="0"/>
    <xf numFmtId="0" fontId="6" fillId="2" borderId="1" applyAlignment="1" pivotButton="0" quotePrefix="0" xfId="0">
      <alignment vertical="center" wrapText="1"/>
    </xf>
    <xf numFmtId="0" fontId="4" fillId="0" borderId="1" applyAlignment="1" pivotButton="0" quotePrefix="0" xfId="0">
      <alignment vertical="top" wrapText="1"/>
    </xf>
    <xf numFmtId="0" fontId="4" fillId="5" borderId="1" applyAlignment="1" pivotButton="0" quotePrefix="0" xfId="0">
      <alignment vertical="top" wrapText="1"/>
    </xf>
    <xf numFmtId="0" fontId="9" fillId="0" borderId="0" pivotButton="0" quotePrefix="0" xfId="0"/>
    <xf numFmtId="164" fontId="0" fillId="0" borderId="0" pivotButton="0" quotePrefix="0" xfId="0"/>
    <xf numFmtId="165" fontId="0" fillId="0" borderId="0" pivotButton="0" quotePrefix="0" xfId="0"/>
    <xf numFmtId="49" fontId="4" fillId="3" borderId="1" applyAlignment="1" pivotButton="0" quotePrefix="0" xfId="0">
      <alignment vertical="top" wrapText="1"/>
    </xf>
    <xf numFmtId="0" fontId="9" fillId="6" borderId="0" applyAlignment="1" pivotButton="0" quotePrefix="0" xfId="0">
      <alignment wrapText="1"/>
    </xf>
    <xf numFmtId="0" fontId="0" fillId="0" borderId="0" applyAlignment="1" pivotButton="0" quotePrefix="0" xfId="0">
      <alignment wrapText="1"/>
    </xf>
    <xf numFmtId="49" fontId="0" fillId="0" borderId="0" pivotButton="0" quotePrefix="0" xfId="0"/>
    <xf numFmtId="9" fontId="0" fillId="0" borderId="0" pivotButton="0" quotePrefix="0" xfId="0"/>
    <xf numFmtId="3" fontId="0" fillId="0" borderId="0" pivotButton="0" quotePrefix="0" xfId="0"/>
    <xf numFmtId="0" fontId="9" fillId="6" borderId="0" pivotButton="0" quotePrefix="0" xfId="0"/>
    <xf numFmtId="164" fontId="9" fillId="0" borderId="0" pivotButton="0" quotePrefix="0" xfId="0"/>
    <xf numFmtId="4" fontId="9" fillId="0" borderId="0" pivotButton="0" quotePrefix="0" xfId="0"/>
    <xf numFmtId="0" fontId="9" fillId="0" borderId="0" applyAlignment="1" pivotButton="0" quotePrefix="0" xfId="0">
      <alignment wrapText="1"/>
    </xf>
    <xf numFmtId="0" fontId="5" fillId="0" borderId="0" applyAlignment="1" pivotButton="0" quotePrefix="0" xfId="0">
      <alignment wrapText="1"/>
    </xf>
  </cellXfs>
  <cellStyles count="1">
    <cellStyle name="Normal" xfId="0" builtinId="0"/>
  </cellStyles>
  <dxfs count="2">
    <dxf>
      <fill>
        <patternFill>
          <bgColor rgb="FFFFEB9C"/>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tabSelected="1" zoomScaleNormal="100" workbookViewId="0">
      <selection activeCell="A11" sqref="A11"/>
    </sheetView>
  </sheetViews>
  <sheetFormatPr baseColWidth="10" defaultColWidth="8.7109375" defaultRowHeight="15"/>
  <cols>
    <col width="100" customWidth="1" min="1" max="1"/>
  </cols>
  <sheetData>
    <row r="1" ht="18" customHeight="1">
      <c r="A1" s="1" t="inlineStr">
        <is>
          <t>Libro Diario — Braidy Wonders SAC</t>
        </is>
      </c>
    </row>
    <row r="2">
      <c r="A2" s="2" t="inlineStr">
        <is>
          <t>Plantilla de registro de facturas de compra y venta, con clasificación automática de detracción (SPOT) y generación automática de asientos PCGE.</t>
        </is>
      </c>
    </row>
    <row r="4">
      <c r="A4" s="3" t="inlineStr">
        <is>
          <t>Cómo está armado este archivo</t>
        </is>
      </c>
    </row>
    <row r="5" ht="27.75" customHeight="1">
      <c r="A5" s="4" t="inlineStr">
        <is>
          <t>• Registro_Compras: una fila por factura de proveedor recibida. Al elegir el "Concepto" (según el catálogo de detracción), el archivo calcula solas la tasa, si aplica detracción, el monto a depositar y el neto a pagar.</t>
        </is>
      </c>
    </row>
    <row r="6" ht="27.75" customHeight="1">
      <c r="A6" s="4" t="inlineStr">
        <is>
          <t>• Registro_Ventas: una fila por comprobante emitido a un cliente. El caso normal es sin detracción (Braidy Wonders casi siempre es el adquiriente, no el prestador, del servicio sujeto a SPOT) — la columna "¿Sujeto a detracción emitida?" queda en "NO" salvo que el servicio que facturas sea uno de los del catálogo (ej. transporte de personas).</t>
        </is>
      </c>
    </row>
    <row r="7" ht="27.75" customHeight="1">
      <c r="A7" s="4" t="inlineStr">
        <is>
          <t>• Catalogo_Detracciones: tabla de referencia (Anexo 3 + transporte de carga) de la que se alimentan los menús desplegables y las fórmulas de Registro_Compras/Registro_Ventas. No editar las columnas de tasa/umbral sin confirmar el cambio normativo primero.</t>
        </is>
      </c>
    </row>
    <row r="8" ht="27.75" customHeight="1">
      <c r="A8" s="4" t="inlineStr">
        <is>
          <t>• Libro_Diario: se genera solo, a partir de Registro_Compras y Registro_Ventas — no se edita a mano. Cada factura de compra con detracción genera 4 asientos (provisión del gasto, destino del gasto, depósito de la detracción, pago del neto); una compra sin detracción genera 3 (se salta el depósito). Cada venta genera el asiento de devengo y, si marcas "¿Cobrado?" = SI, el asiento de cobranza.</t>
        </is>
      </c>
    </row>
    <row r="9" ht="15" customHeight="1">
      <c r="A9" s="4" t="n"/>
    </row>
    <row r="10">
      <c r="A10" s="3" t="inlineStr">
        <is>
          <t>Qué llenar tú (celdas en azul / con relleno amarillo)</t>
        </is>
      </c>
    </row>
    <row r="11" ht="27.75" customHeight="1">
      <c r="A11" s="4" t="inlineStr">
        <is>
          <t>En Registro_Compras y Registro_Ventas: todo excepto las columnas de fórmula (tienen fondo blanco normal, texto negro). Las columnas de fórmula no se tocan — se recalculan solas.</t>
        </is>
      </c>
    </row>
    <row r="12" ht="27.75" customHeight="1">
      <c r="A12" s="4" t="inlineStr">
        <is>
          <t>La fila 4 de Registro_Compras y de Registro_Ventas es un EJEMPLO (fondo verde claro) tomado de la guía de detracciones — bórrala o sobrescríbela con tu primera factura real; ya está incluida en el conteo del Libro_Diario para que veas el resultado completo de un caso real antes de cargar los tuyos.</t>
        </is>
      </c>
    </row>
    <row r="13" ht="15" customHeight="1">
      <c r="A13" s="4" t="n"/>
    </row>
    <row r="14">
      <c r="A14" s="3" t="inlineStr">
        <is>
          <t>Alcance y limitaciones de esta plantilla</t>
        </is>
      </c>
    </row>
    <row r="15" ht="27.75" customHeight="1">
      <c r="A15" s="4" t="inlineStr">
        <is>
          <t>• Cubre el lado de compras con y sin detracción (fuente: guía de detracciones consolidada) y el lado de ventas en su forma estándar — el asiento de venta (Debe 12 / Haber 70 y 40111) es la mecánica contable general del PCGE, no vino desglosada con ejemplo numérico en las fuentes que subiste; revísala con tu contador antes de depender de ella para un cierre.</t>
        </is>
      </c>
    </row>
    <row r="16" ht="27.75" customHeight="1">
      <c r="A16" s="4" t="inlineStr">
        <is>
          <t>• No cubre planilla, activos fijos, ni otras operaciones — quedaron como pendientes en la guía de detracciones (§8).</t>
        </is>
      </c>
    </row>
    <row r="17" ht="27.75" customHeight="1">
      <c r="A17" s="4" t="inlineStr">
        <is>
          <t>• Es independiente de Facturas_Proveedores.xlsx y de VENTAS 2026.xlsx por ahora (no jala datos de esos archivos) — dijiste que preferías decidir después si conviene conectarlos.</t>
        </is>
      </c>
    </row>
    <row r="18" ht="27.75" customHeight="1">
      <c r="A18" s="4" t="inlineStr">
        <is>
          <t>• Tiene capacidad para 50 facturas de compra y 50 de venta ya armadas con fórmula. Para más filas: selecciona la última fila de cada bloque (Registro y Libro_Diario) y arrastra/copia las fórmulas hacia abajo — todas están escritas con referencias relativas a su propia fila, así que se extienden solas.</t>
        </is>
      </c>
    </row>
    <row r="19" ht="15" customHeight="1">
      <c r="A19" s="4" t="n"/>
    </row>
    <row r="20">
      <c r="A20" s="3" t="inlineStr">
        <is>
          <t>Plan de cuentas usado</t>
        </is>
      </c>
    </row>
    <row r="21" ht="27.75" customHeight="1">
      <c r="A21" s="4" t="inlineStr">
        <is>
          <t>Ver hoja Plan_Cuentas — indica cuáles cuentas vienen confirmadas en las fuentes que subiste y cuáles son la aplicación estándar del PCGE para el lado de ventas (12, 70) que no estaba desarrollada en las fuentes.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15"/>
  <sheetViews>
    <sheetView showGridLines="0" zoomScaleNormal="100" workbookViewId="0">
      <pane ySplit="3" topLeftCell="A4" activePane="bottomLeft" state="frozen"/>
      <selection pane="bottomLeft" activeCell="A1" sqref="A1"/>
    </sheetView>
  </sheetViews>
  <sheetFormatPr baseColWidth="10" defaultColWidth="8.7109375" defaultRowHeight="15"/>
  <cols>
    <col width="14" customWidth="1" min="1" max="1"/>
    <col width="42" customWidth="1" min="2" max="2"/>
    <col width="46" customWidth="1" min="3" max="3"/>
    <col width="8" customWidth="1" min="4" max="4"/>
    <col width="22" customWidth="1" min="5" max="5"/>
    <col width="46" customWidth="1" min="6" max="6"/>
  </cols>
  <sheetData>
    <row r="1" ht="18" customHeight="1">
      <c r="A1" s="1" t="inlineStr">
        <is>
          <t>Catálogo de servicios sujetos a detracción (Anexo 3 SUNAT) — Braidy Wonders SAC</t>
        </is>
      </c>
    </row>
    <row r="2">
      <c r="A2" s="5" t="inlineStr">
        <is>
          <t>Fuente: guía de detracciones consolidada (20.08.2026). No editar tasas/umbrales sin confirmar la norma vigente.</t>
        </is>
      </c>
    </row>
    <row r="3" ht="30" customHeight="1">
      <c r="A3" s="6" t="inlineStr">
        <is>
          <t>Código SUNAT</t>
        </is>
      </c>
      <c r="B3" s="6" t="inlineStr">
        <is>
          <t>Servicio / Bien</t>
        </is>
      </c>
      <c r="C3" s="6" t="inlineStr">
        <is>
          <t>Etiqueta (para menú desplegable)</t>
        </is>
      </c>
      <c r="D3" s="6" t="inlineStr">
        <is>
          <t>Tasa</t>
        </is>
      </c>
      <c r="E3" s="6" t="inlineStr">
        <is>
          <t>Umbral (moneda de la op.)</t>
        </is>
      </c>
      <c r="F3" s="6" t="inlineStr">
        <is>
          <t>Rubro típico en Braidy Wonders</t>
        </is>
      </c>
    </row>
    <row r="4">
      <c r="A4" s="7" t="inlineStr">
        <is>
          <t>012</t>
        </is>
      </c>
      <c r="B4" s="7" t="inlineStr">
        <is>
          <t>Intermediación laboral y tercerización</t>
        </is>
      </c>
      <c r="C4" s="7" t="inlineStr">
        <is>
          <t>012 - Intermediación laboral y tercerización</t>
        </is>
      </c>
      <c r="D4" s="8" t="n">
        <v>0.12</v>
      </c>
      <c r="E4" s="9" t="n">
        <v>700</v>
      </c>
      <c r="F4" s="7" t="inlineStr">
        <is>
          <t>Limpieza/lavandería tercerizada (alojamiento)</t>
        </is>
      </c>
    </row>
    <row r="5">
      <c r="A5" s="7" t="inlineStr">
        <is>
          <t>019</t>
        </is>
      </c>
      <c r="B5" s="7" t="inlineStr">
        <is>
          <t>Arrendamiento de bienes muebles e inmuebles</t>
        </is>
      </c>
      <c r="C5" s="7" t="inlineStr">
        <is>
          <t>019 - Arrendamiento de bienes muebles e inmuebles</t>
        </is>
      </c>
      <c r="D5" s="8" t="n">
        <v>0.1</v>
      </c>
      <c r="E5" s="9" t="n">
        <v>700</v>
      </c>
      <c r="F5" s="7" t="inlineStr">
        <is>
          <t>Alquiler de locales, equipos</t>
        </is>
      </c>
    </row>
    <row r="6">
      <c r="A6" s="7" t="inlineStr">
        <is>
          <t>020</t>
        </is>
      </c>
      <c r="B6" s="7" t="inlineStr">
        <is>
          <t>Mantenimiento y reparación de bienes muebles</t>
        </is>
      </c>
      <c r="C6" s="7" t="inlineStr">
        <is>
          <t>020 - Mantenimiento y reparación de bienes muebles</t>
        </is>
      </c>
      <c r="D6" s="8" t="n">
        <v>0.12</v>
      </c>
      <c r="E6" s="9" t="n">
        <v>700</v>
      </c>
      <c r="F6" s="7" t="inlineStr">
        <is>
          <t>Mantenimiento de equipos (alojamiento)</t>
        </is>
      </c>
    </row>
    <row r="7">
      <c r="A7" s="7" t="inlineStr">
        <is>
          <t>021</t>
        </is>
      </c>
      <c r="B7" s="7" t="inlineStr">
        <is>
          <t>Movimiento de carga</t>
        </is>
      </c>
      <c r="C7" s="7" t="inlineStr">
        <is>
          <t>021 - Movimiento de carga</t>
        </is>
      </c>
      <c r="D7" s="8" t="n">
        <v>0.1</v>
      </c>
      <c r="E7" s="9" t="n">
        <v>700</v>
      </c>
      <c r="F7" s="7" t="inlineStr">
        <is>
          <t>Logística de equipaje/carga</t>
        </is>
      </c>
    </row>
    <row r="8" ht="25.5" customHeight="1">
      <c r="A8" s="7" t="inlineStr">
        <is>
          <t>022</t>
        </is>
      </c>
      <c r="B8" s="7" t="inlineStr">
        <is>
          <t>Otros servicios empresariales (legal, contable, consultoría, publicidad)</t>
        </is>
      </c>
      <c r="C8" s="7" t="inlineStr">
        <is>
          <t>022 - Otros servicios empresariales (legal, contable, consultoría, publicidad)</t>
        </is>
      </c>
      <c r="D8" s="8" t="n">
        <v>0.12</v>
      </c>
      <c r="E8" s="9" t="n">
        <v>700</v>
      </c>
      <c r="F8" s="7" t="inlineStr">
        <is>
          <t>Asesoría, consultoría, publicidad</t>
        </is>
      </c>
    </row>
    <row r="9" ht="25.5" customHeight="1">
      <c r="A9" s="7" t="inlineStr">
        <is>
          <t>024</t>
        </is>
      </c>
      <c r="B9" s="7" t="inlineStr">
        <is>
          <t>Comisión mercantil</t>
        </is>
      </c>
      <c r="C9" s="7" t="inlineStr">
        <is>
          <t>024 - Comisión mercantil</t>
        </is>
      </c>
      <c r="D9" s="8" t="n">
        <v>0.1</v>
      </c>
      <c r="E9" s="9" t="n">
        <v>700</v>
      </c>
      <c r="F9" s="7" t="inlineStr">
        <is>
          <t>Comisiones de sub-agentes / intermediarios turísticos</t>
        </is>
      </c>
    </row>
    <row r="10">
      <c r="A10" s="27" t="inlineStr">
        <is>
          <t>025</t>
        </is>
      </c>
      <c r="B10" s="7" t="inlineStr">
        <is>
          <t>Fabricación de bienes por encargo</t>
        </is>
      </c>
      <c r="C10" s="7" t="inlineStr">
        <is>
          <t>025 - Fabricacion de bienes por encargo</t>
        </is>
      </c>
      <c r="D10" s="8" t="n">
        <v>0.1</v>
      </c>
      <c r="E10" s="9" t="n">
        <v>700</v>
      </c>
      <c r="F10" s="7" t="inlineStr">
        <is>
          <t>Poco frecuente en el giro de Braidy Wonders</t>
        </is>
      </c>
    </row>
    <row r="11" ht="25.5" customHeight="1">
      <c r="A11" s="7" t="inlineStr">
        <is>
          <t>026</t>
        </is>
      </c>
      <c r="B11" s="7" t="inlineStr">
        <is>
          <t>Servicio de transporte de personas</t>
        </is>
      </c>
      <c r="C11" s="7" t="inlineStr">
        <is>
          <t>026 - Servicio de transporte de personas</t>
        </is>
      </c>
      <c r="D11" s="8" t="n">
        <v>0.1</v>
      </c>
      <c r="E11" s="9" t="n">
        <v>700</v>
      </c>
      <c r="F11" s="7" t="inlineStr">
        <is>
          <t>Transporte terrestre de pasajeros (paquetes turísticos)</t>
        </is>
      </c>
    </row>
    <row r="12">
      <c r="A12" s="7" t="inlineStr">
        <is>
          <t>027</t>
        </is>
      </c>
      <c r="B12" s="7" t="inlineStr">
        <is>
          <t>Transporte de bienes por vía terrestre (carga)</t>
        </is>
      </c>
      <c r="C12" s="7" t="inlineStr">
        <is>
          <t>027 - Transporte de bienes por vía terrestre (carga)</t>
        </is>
      </c>
      <c r="D12" s="8" t="n">
        <v>0.04</v>
      </c>
      <c r="E12" s="9" t="n">
        <v>400</v>
      </c>
      <c r="F12" s="7" t="inlineStr">
        <is>
          <t>Transporte de carga/equipaje</t>
        </is>
      </c>
    </row>
    <row r="13">
      <c r="A13" s="7" t="inlineStr">
        <is>
          <t>030</t>
        </is>
      </c>
      <c r="B13" s="7" t="inlineStr">
        <is>
          <t>Contratos de construcción</t>
        </is>
      </c>
      <c r="C13" s="7" t="inlineStr">
        <is>
          <t>030 - Contratos de construcción</t>
        </is>
      </c>
      <c r="D13" s="8" t="n">
        <v>0.04</v>
      </c>
      <c r="E13" s="9" t="n">
        <v>700</v>
      </c>
      <c r="F13" s="7" t="inlineStr">
        <is>
          <t>Remodelación/reparación inmobiliaria (alojamiento)</t>
        </is>
      </c>
    </row>
    <row r="14" ht="25.5" customHeight="1">
      <c r="A14" s="7" t="inlineStr">
        <is>
          <t>037</t>
        </is>
      </c>
      <c r="B14" s="7" t="inlineStr">
        <is>
          <t>Demás servicios gravados con IGV (residual)</t>
        </is>
      </c>
      <c r="C14" s="7" t="inlineStr">
        <is>
          <t>037 - Demás servicios gravados con IGV (residual)</t>
        </is>
      </c>
      <c r="D14" s="8" t="n">
        <v>0.12</v>
      </c>
      <c r="E14" s="9" t="n">
        <v>700</v>
      </c>
      <c r="F14" s="7" t="inlineStr">
        <is>
          <t>Hoteles/alojamiento local, salud gravada con IGV, servicios sin categoría propia</t>
        </is>
      </c>
    </row>
    <row r="15" ht="25.5" customHeight="1">
      <c r="A15" s="7" t="inlineStr">
        <is>
          <t>N/A</t>
        </is>
      </c>
      <c r="B15" s="7" t="inlineStr">
        <is>
          <t>No sujeto a detracción (aéreo regular, salud exonerada de IGV, importación de bienes, etc.)</t>
        </is>
      </c>
      <c r="C15" s="7" t="inlineStr">
        <is>
          <t>N/A - No sujeto a detracción (aéreo regular, salud exonerada de IGV, importación de bienes, etc.)</t>
        </is>
      </c>
      <c r="D15" s="8" t="n">
        <v>0</v>
      </c>
      <c r="E15" s="9" t="n">
        <v>999999999</v>
      </c>
      <c r="F15" s="7" t="inlineStr">
        <is>
          <t>Boletos aéreos, servicios médicos exonerados, importaciones (aplica percepción, no SPOT)</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B503"/>
  <sheetViews>
    <sheetView showGridLines="0" zoomScaleNormal="100" workbookViewId="0">
      <pane ySplit="3" topLeftCell="A7" activePane="bottomLeft" state="frozen"/>
      <selection pane="bottomLeft" activeCell="AA3" sqref="AA3"/>
    </sheetView>
  </sheetViews>
  <sheetFormatPr baseColWidth="10" defaultColWidth="8.7109375" defaultRowHeight="15"/>
  <cols>
    <col width="5" customWidth="1" min="1" max="1"/>
    <col width="12" customWidth="1" min="2" max="2"/>
    <col width="16" customWidth="1" min="3" max="3"/>
    <col width="13" customWidth="1" min="4" max="4"/>
    <col width="80.140625" bestFit="1" customWidth="1" min="5" max="5"/>
    <col width="17.5703125" bestFit="1" customWidth="1" min="6" max="6"/>
    <col width="8" customWidth="1" min="7" max="7"/>
    <col width="12" customWidth="1" min="8" max="8"/>
    <col width="10" customWidth="1" min="9" max="9"/>
    <col width="12" customWidth="1" min="10" max="10"/>
    <col width="13" customWidth="1" min="11" max="11"/>
    <col width="10" customWidth="1" min="12" max="12"/>
    <col width="12" customWidth="1" min="13" max="14"/>
    <col width="13" customWidth="1" min="15" max="15"/>
    <col width="14" customWidth="1" min="16" max="17"/>
    <col width="12" customWidth="1" min="18" max="18"/>
    <col width="14" customWidth="1" min="19" max="19"/>
  </cols>
  <sheetData>
    <row r="1">
      <c r="A1" s="24" t="inlineStr">
        <is>
          <t>Registro de Compras - Facturas de Proveedores</t>
        </is>
      </c>
    </row>
    <row r="2">
      <c r="A2" t="inlineStr">
        <is>
          <t>Llena solo las columnas de ENTRADA. Las columnas (auto) y de calculo se resuelven solas y no se tocan. La columna C (N° Comprobante) es el disparador: si esta vacia, la fila no genera ningun asiento.</t>
        </is>
      </c>
    </row>
    <row r="3" ht="30" customFormat="1" customHeight="1" s="29">
      <c r="A3" s="28" t="inlineStr">
        <is>
          <t>N°</t>
        </is>
      </c>
      <c r="B3" s="28" t="inlineStr">
        <is>
          <t>Fecha Emisión</t>
        </is>
      </c>
      <c r="C3" s="28" t="inlineStr">
        <is>
          <t>N° Comprobante</t>
        </is>
      </c>
      <c r="D3" s="28" t="inlineStr">
        <is>
          <t>RUC Proveedor</t>
        </is>
      </c>
      <c r="E3" s="28" t="inlineStr">
        <is>
          <t>Proveedor</t>
        </is>
      </c>
      <c r="F3" s="28" t="inlineStr">
        <is>
          <t>Tipo Comprobante</t>
        </is>
      </c>
      <c r="G3" s="28" t="inlineStr">
        <is>
          <t>Código SPOT</t>
        </is>
      </c>
      <c r="H3" s="28" t="inlineStr">
        <is>
          <t>Concepto (auto)</t>
        </is>
      </c>
      <c r="I3" s="28" t="inlineStr">
        <is>
          <t>Moneda</t>
        </is>
      </c>
      <c r="J3" s="28" t="inlineStr">
        <is>
          <t>Valor Venta</t>
        </is>
      </c>
      <c r="K3" s="28" t="inlineStr">
        <is>
          <t>IGV</t>
        </is>
      </c>
      <c r="L3" s="28" t="inlineStr">
        <is>
          <t>Total Comprobante</t>
        </is>
      </c>
      <c r="M3" s="28" t="inlineStr">
        <is>
          <t>Cuenta de Gasto (63x)</t>
        </is>
      </c>
      <c r="N3" s="28" t="inlineStr">
        <is>
          <t>TC (auto)</t>
        </is>
      </c>
      <c r="O3" s="28" t="inlineStr">
        <is>
          <t>Total PEN</t>
        </is>
      </c>
      <c r="P3" s="28" t="inlineStr">
        <is>
          <t>% Detracción</t>
        </is>
      </c>
      <c r="Q3" s="28" t="inlineStr">
        <is>
          <t>Umbral S/</t>
        </is>
      </c>
      <c r="R3" s="28" t="inlineStr">
        <is>
          <t>Sujeto a Detracción</t>
        </is>
      </c>
      <c r="S3" s="28" t="inlineStr">
        <is>
          <t>Detracción S/ (calculada)</t>
        </is>
      </c>
      <c r="T3" s="28" t="inlineStr">
        <is>
          <t>Detracción S/ (comprobante)</t>
        </is>
      </c>
      <c r="U3" s="28" t="inlineStr">
        <is>
          <t>Validación Detracción</t>
        </is>
      </c>
      <c r="V3" s="28" t="inlineStr">
        <is>
          <t>Retención 4ta (moneda fact.)</t>
        </is>
      </c>
      <c r="W3" s="28" t="inlineStr">
        <is>
          <t>Neto a Pagar (moneda fact.)</t>
        </is>
      </c>
      <c r="X3" s="28" t="inlineStr">
        <is>
          <t>Fecha Depósito Detracción</t>
        </is>
      </c>
      <c r="Y3" s="28" t="inlineStr">
        <is>
          <t>Fecha Pago Neto</t>
        </is>
      </c>
      <c r="Z3" s="28" t="inlineStr">
        <is>
          <t>N° Constancia SUNAT</t>
        </is>
      </c>
      <c r="AA3" s="28" t="inlineStr">
        <is>
          <t>Estado</t>
        </is>
      </c>
      <c r="AB3" s="28" t="inlineStr">
        <is>
          <t>Tipo Gasto</t>
        </is>
      </c>
    </row>
    <row r="4">
      <c r="A4" t="n">
        <v>1</v>
      </c>
      <c r="B4" s="25" t="n">
        <v>46253</v>
      </c>
      <c r="C4" t="inlineStr">
        <is>
          <t>F001-00005653</t>
        </is>
      </c>
      <c r="D4" s="30" t="inlineStr">
        <is>
          <t>20307167442</t>
        </is>
      </c>
      <c r="E4" t="inlineStr">
        <is>
          <t>COMISION DE PROMOCION DEL PERU PARA LA EXPORTACION Y EL TURISMO - PROMPERU</t>
        </is>
      </c>
      <c r="F4" t="inlineStr">
        <is>
          <t>FACTURA</t>
        </is>
      </c>
      <c r="G4" s="30" t="inlineStr">
        <is>
          <t>037</t>
        </is>
      </c>
      <c r="H4">
        <f>IF($G4="","",IFERROR(INDEX(Catalogo_Etiquetas,MATCH($G4,Catalogo_Codigos,0)),"CODIGO NO VALIDO"))</f>
        <v/>
      </c>
      <c r="I4" t="inlineStr">
        <is>
          <t>PEN</t>
        </is>
      </c>
      <c r="J4" s="20" t="n">
        <v>5094.92</v>
      </c>
      <c r="K4" s="20" t="n">
        <v>917.08</v>
      </c>
      <c r="L4" s="20">
        <f>IF($C4="","",$J4+$K4)</f>
        <v/>
      </c>
      <c r="M4" s="30" t="inlineStr">
        <is>
          <t>637</t>
        </is>
      </c>
      <c r="N4" s="26">
        <f>IF($C4="","",IF($I4="PEN",1,IFERROR(IF(_xlfn.XLOOKUP($B4,TC_Fechas,TC_Venta_Rango,"",-1)="","",_xlfn.XLOOKUP($B4,TC_Fechas,TC_Venta_Rango,"",-1)),"")))</f>
        <v/>
      </c>
      <c r="O4" s="20">
        <f>IF(OR($C4="",$N4=""),"",ROUND($J4*$N4,2)+ROUND($K4*$N4,2))</f>
        <v/>
      </c>
      <c r="P4" s="31">
        <f>IF($G4="","",IFERROR(INDEX(Catalogo_Tasas,MATCH($G4,Catalogo_Codigos,0)),""))</f>
        <v/>
      </c>
      <c r="Q4" s="32">
        <f>IF($G4="","",IFERROR(INDEX(Catalogo_Umbrales,MATCH($G4,Catalogo_Codigos,0)),""))</f>
        <v/>
      </c>
      <c r="R4">
        <f>IF(OR($C4="",$P4="",$O4=""),"",IF($F4&lt;&gt;"FACTURA","NO",IF(AND($P4&gt;0,$O4&gt;$Q4),"SI","NO")))</f>
        <v/>
      </c>
      <c r="S4" s="20">
        <f>IF($R4="SI",ROUND($O4*$P4,2),IF($C4="","",0))</f>
        <v/>
      </c>
      <c r="T4" s="20" t="n">
        <v>721.4400000000001</v>
      </c>
      <c r="U4">
        <f>IF($C4="","",IF($R4&lt;&gt;"SI","",IF($T4="","SIN DATO",IF(ABS($T4-$S4)&lt;=0.5,"OK","REVISAR"))))</f>
        <v/>
      </c>
      <c r="V4" s="20" t="n"/>
      <c r="W4" s="20">
        <f>IF(OR($C4="",$N4=""),"",IF($F4="RHE",ROUND($L4-$V4,2),ROUND($L4-($S4/$N4),2)))</f>
        <v/>
      </c>
      <c r="X4" s="25" t="n"/>
      <c r="Y4" s="25" t="n"/>
      <c r="AA4" t="inlineStr">
        <is>
          <t>PENDIENTE</t>
        </is>
      </c>
      <c r="AB4" t="inlineStr">
        <is>
          <t>ADMINISTRATIVO</t>
        </is>
      </c>
    </row>
    <row r="5">
      <c r="A5" t="n">
        <v>2</v>
      </c>
      <c r="B5" s="25" t="n">
        <v>46254</v>
      </c>
      <c r="C5" t="inlineStr">
        <is>
          <t>FL09-00136064</t>
        </is>
      </c>
      <c r="D5" s="30" t="inlineStr">
        <is>
          <t>20419195317</t>
        </is>
      </c>
      <c r="E5" t="inlineStr">
        <is>
          <t>INKA TERRA PERU S.A.C. (INKATERRA MACHU PICCHU PUEBLO HOTEL)</t>
        </is>
      </c>
      <c r="F5" t="inlineStr">
        <is>
          <t>FACTURA</t>
        </is>
      </c>
      <c r="G5" s="30" t="inlineStr">
        <is>
          <t>N/A</t>
        </is>
      </c>
      <c r="H5">
        <f>IF($G5="","",IFERROR(INDEX(Catalogo_Etiquetas,MATCH($G5,Catalogo_Codigos,0)),"CODIGO NO VALIDO"))</f>
        <v/>
      </c>
      <c r="I5" t="inlineStr">
        <is>
          <t>USD</t>
        </is>
      </c>
      <c r="J5" s="20" t="n">
        <v>806.96</v>
      </c>
      <c r="K5" s="20" t="n">
        <v>0</v>
      </c>
      <c r="L5" s="20">
        <f>IF($C5="","",$J5+$K5)</f>
        <v/>
      </c>
      <c r="M5" s="30" t="inlineStr">
        <is>
          <t>639</t>
        </is>
      </c>
      <c r="N5" s="26">
        <f>IF($C5="","",IF($I5="PEN",1,IFERROR(IF(_xlfn.XLOOKUP($B5,TC_Fechas,TC_Venta_Rango,"",-1)="","",_xlfn.XLOOKUP($B5,TC_Fechas,TC_Venta_Rango,"",-1)),"")))</f>
        <v/>
      </c>
      <c r="O5" s="20">
        <f>IF(OR($C5="",$N5=""),"",ROUND($J5*$N5,2)+ROUND($K5*$N5,2))</f>
        <v/>
      </c>
      <c r="P5" s="31">
        <f>IF($G5="","",IFERROR(INDEX(Catalogo_Tasas,MATCH($G5,Catalogo_Codigos,0)),""))</f>
        <v/>
      </c>
      <c r="Q5" s="32">
        <f>IF($G5="","",IFERROR(INDEX(Catalogo_Umbrales,MATCH($G5,Catalogo_Codigos,0)),""))</f>
        <v/>
      </c>
      <c r="R5">
        <f>IF(OR($C5="",$P5="",$O5=""),"",IF($F5&lt;&gt;"FACTURA","NO",IF(AND($P5&gt;0,$O5&gt;$Q5),"SI","NO")))</f>
        <v/>
      </c>
      <c r="S5" s="20">
        <f>IF($R5="SI",ROUND($O5*$P5,2),IF($C5="","",0))</f>
        <v/>
      </c>
      <c r="T5" s="20" t="n"/>
      <c r="U5">
        <f>IF($C5="","",IF($R5&lt;&gt;"SI","",IF($T5="","SIN DATO",IF(ABS($T5-$S5)&lt;=0.5,"OK","REVISAR"))))</f>
        <v/>
      </c>
      <c r="V5" s="20" t="n"/>
      <c r="W5" s="20">
        <f>IF(OR($C5="",$N5=""),"",IF($F5="RHE",ROUND($L5-$V5,2),ROUND($L5-($S5/$N5),2)))</f>
        <v/>
      </c>
      <c r="X5" s="25" t="n"/>
      <c r="Y5" s="25" t="n"/>
      <c r="AA5" t="inlineStr">
        <is>
          <t>PENDIENTE</t>
        </is>
      </c>
      <c r="AB5" t="inlineStr">
        <is>
          <t>PROVEEDOR</t>
        </is>
      </c>
    </row>
    <row r="6">
      <c r="A6" t="n">
        <v>3</v>
      </c>
      <c r="B6" s="25" t="n">
        <v>46254</v>
      </c>
      <c r="C6" t="inlineStr">
        <is>
          <t>F078-00006851</t>
        </is>
      </c>
      <c r="D6" s="30" t="inlineStr">
        <is>
          <t>20510931514</t>
        </is>
      </c>
      <c r="E6" t="inlineStr">
        <is>
          <t>PERUVIAN TOURS AGENCY S.A.C. (ARANWA - HOTEL COLCA)</t>
        </is>
      </c>
      <c r="F6" t="inlineStr">
        <is>
          <t>FACTURA</t>
        </is>
      </c>
      <c r="G6" s="30" t="inlineStr">
        <is>
          <t>N/A</t>
        </is>
      </c>
      <c r="H6">
        <f>IF($G6="","",IFERROR(INDEX(Catalogo_Etiquetas,MATCH($G6,Catalogo_Codigos,0)),"CODIGO NO VALIDO"))</f>
        <v/>
      </c>
      <c r="I6" t="inlineStr">
        <is>
          <t>USD</t>
        </is>
      </c>
      <c r="J6" s="20" t="n">
        <v>936</v>
      </c>
      <c r="K6" s="20" t="n">
        <v>0</v>
      </c>
      <c r="L6" s="20">
        <f>IF($C6="","",$J6+$K6)</f>
        <v/>
      </c>
      <c r="M6" s="30" t="inlineStr">
        <is>
          <t>639</t>
        </is>
      </c>
      <c r="N6" s="26">
        <f>IF($C6="","",IF($I6="PEN",1,IFERROR(IF(_xlfn.XLOOKUP($B6,TC_Fechas,TC_Venta_Rango,"",-1)="","",_xlfn.XLOOKUP($B6,TC_Fechas,TC_Venta_Rango,"",-1)),"")))</f>
        <v/>
      </c>
      <c r="O6" s="20">
        <f>IF(OR($C6="",$N6=""),"",ROUND($J6*$N6,2)+ROUND($K6*$N6,2))</f>
        <v/>
      </c>
      <c r="P6" s="31">
        <f>IF($G6="","",IFERROR(INDEX(Catalogo_Tasas,MATCH($G6,Catalogo_Codigos,0)),""))</f>
        <v/>
      </c>
      <c r="Q6" s="32">
        <f>IF($G6="","",IFERROR(INDEX(Catalogo_Umbrales,MATCH($G6,Catalogo_Codigos,0)),""))</f>
        <v/>
      </c>
      <c r="R6">
        <f>IF(OR($C6="",$P6="",$O6=""),"",IF($F6&lt;&gt;"FACTURA","NO",IF(AND($P6&gt;0,$O6&gt;$Q6),"SI","NO")))</f>
        <v/>
      </c>
      <c r="S6" s="20">
        <f>IF($R6="SI",ROUND($O6*$P6,2),IF($C6="","",0))</f>
        <v/>
      </c>
      <c r="T6" s="20" t="n"/>
      <c r="U6">
        <f>IF($C6="","",IF($R6&lt;&gt;"SI","",IF($T6="","SIN DATO",IF(ABS($T6-$S6)&lt;=0.5,"OK","REVISAR"))))</f>
        <v/>
      </c>
      <c r="V6" s="20" t="n"/>
      <c r="W6" s="20">
        <f>IF(OR($C6="",$N6=""),"",IF($F6="RHE",ROUND($L6-$V6,2),ROUND($L6-($S6/$N6),2)))</f>
        <v/>
      </c>
      <c r="X6" s="25" t="n"/>
      <c r="Y6" s="25" t="n"/>
      <c r="AA6" t="inlineStr">
        <is>
          <t>PENDIENTE</t>
        </is>
      </c>
      <c r="AB6" t="inlineStr">
        <is>
          <t>PROVEEDOR</t>
        </is>
      </c>
    </row>
    <row r="7">
      <c r="A7" t="n">
        <v>4</v>
      </c>
      <c r="B7" s="25" t="n">
        <v>46254</v>
      </c>
      <c r="C7" t="inlineStr">
        <is>
          <t>F007-00024508</t>
        </is>
      </c>
      <c r="D7" s="30" t="inlineStr">
        <is>
          <t>20536047906</t>
        </is>
      </c>
      <c r="E7" t="inlineStr">
        <is>
          <t>HOTELERIA PERUANA S.A.C. (TIERRA VIVA HOTELS)</t>
        </is>
      </c>
      <c r="F7" t="inlineStr">
        <is>
          <t>FACTURA</t>
        </is>
      </c>
      <c r="G7" s="30" t="inlineStr">
        <is>
          <t>N/A</t>
        </is>
      </c>
      <c r="H7">
        <f>IF($G7="","",IFERROR(INDEX(Catalogo_Etiquetas,MATCH($G7,Catalogo_Codigos,0)),"CODIGO NO VALIDO"))</f>
        <v/>
      </c>
      <c r="I7" t="inlineStr">
        <is>
          <t>USD</t>
        </is>
      </c>
      <c r="J7" s="20" t="n">
        <v>68</v>
      </c>
      <c r="K7" s="20" t="n">
        <v>0</v>
      </c>
      <c r="L7" s="20">
        <f>IF($C7="","",$J7+$K7)</f>
        <v/>
      </c>
      <c r="M7" s="30" t="inlineStr">
        <is>
          <t>639</t>
        </is>
      </c>
      <c r="N7" s="26">
        <f>IF($C7="","",IF($I7="PEN",1,IFERROR(IF(_xlfn.XLOOKUP($B7,TC_Fechas,TC_Venta_Rango,"",-1)="","",_xlfn.XLOOKUP($B7,TC_Fechas,TC_Venta_Rango,"",-1)),"")))</f>
        <v/>
      </c>
      <c r="O7" s="20">
        <f>IF(OR($C7="",$N7=""),"",ROUND($J7*$N7,2)+ROUND($K7*$N7,2))</f>
        <v/>
      </c>
      <c r="P7" s="31">
        <f>IF($G7="","",IFERROR(INDEX(Catalogo_Tasas,MATCH($G7,Catalogo_Codigos,0)),""))</f>
        <v/>
      </c>
      <c r="Q7" s="32">
        <f>IF($G7="","",IFERROR(INDEX(Catalogo_Umbrales,MATCH($G7,Catalogo_Codigos,0)),""))</f>
        <v/>
      </c>
      <c r="R7">
        <f>IF(OR($C7="",$P7="",$O7=""),"",IF($F7&lt;&gt;"FACTURA","NO",IF(AND($P7&gt;0,$O7&gt;$Q7),"SI","NO")))</f>
        <v/>
      </c>
      <c r="S7" s="20">
        <f>IF($R7="SI",ROUND($O7*$P7,2),IF($C7="","",0))</f>
        <v/>
      </c>
      <c r="T7" s="20" t="n"/>
      <c r="U7">
        <f>IF($C7="","",IF($R7&lt;&gt;"SI","",IF($T7="","SIN DATO",IF(ABS($T7-$S7)&lt;=0.5,"OK","REVISAR"))))</f>
        <v/>
      </c>
      <c r="V7" s="20" t="n"/>
      <c r="W7" s="20">
        <f>IF(OR($C7="",$N7=""),"",IF($F7="RHE",ROUND($L7-$V7,2),ROUND($L7-($S7/$N7),2)))</f>
        <v/>
      </c>
      <c r="X7" s="25" t="n"/>
      <c r="Y7" s="25" t="n"/>
      <c r="AA7" t="inlineStr">
        <is>
          <t>PENDIENTE</t>
        </is>
      </c>
      <c r="AB7" t="inlineStr">
        <is>
          <t>PROVEEDOR</t>
        </is>
      </c>
    </row>
    <row r="8">
      <c r="A8" t="n">
        <v>5</v>
      </c>
      <c r="B8" s="25" t="n">
        <v>46254</v>
      </c>
      <c r="C8" t="inlineStr">
        <is>
          <t>F008-00035739</t>
        </is>
      </c>
      <c r="D8" s="30" t="inlineStr">
        <is>
          <t>20536047906</t>
        </is>
      </c>
      <c r="E8" t="inlineStr">
        <is>
          <t>HOTELERIA PERUANA S.A.C. (TIERRA VIVA HOTELS)</t>
        </is>
      </c>
      <c r="F8" t="inlineStr">
        <is>
          <t>FACTURA</t>
        </is>
      </c>
      <c r="G8" s="30" t="inlineStr">
        <is>
          <t>N/A</t>
        </is>
      </c>
      <c r="H8">
        <f>IF($G8="","",IFERROR(INDEX(Catalogo_Etiquetas,MATCH($G8,Catalogo_Codigos,0)),"CODIGO NO VALIDO"))</f>
        <v/>
      </c>
      <c r="I8" t="inlineStr">
        <is>
          <t>USD</t>
        </is>
      </c>
      <c r="J8" s="20" t="n">
        <v>152</v>
      </c>
      <c r="K8" s="20" t="n">
        <v>0</v>
      </c>
      <c r="L8" s="20">
        <f>IF($C8="","",$J8+$K8)</f>
        <v/>
      </c>
      <c r="M8" s="30" t="inlineStr">
        <is>
          <t>639</t>
        </is>
      </c>
      <c r="N8" s="26">
        <f>IF($C8="","",IF($I8="PEN",1,IFERROR(IF(_xlfn.XLOOKUP($B8,TC_Fechas,TC_Venta_Rango,"",-1)="","",_xlfn.XLOOKUP($B8,TC_Fechas,TC_Venta_Rango,"",-1)),"")))</f>
        <v/>
      </c>
      <c r="O8" s="20">
        <f>IF(OR($C8="",$N8=""),"",ROUND($J8*$N8,2)+ROUND($K8*$N8,2))</f>
        <v/>
      </c>
      <c r="P8" s="31">
        <f>IF($G8="","",IFERROR(INDEX(Catalogo_Tasas,MATCH($G8,Catalogo_Codigos,0)),""))</f>
        <v/>
      </c>
      <c r="Q8" s="32">
        <f>IF($G8="","",IFERROR(INDEX(Catalogo_Umbrales,MATCH($G8,Catalogo_Codigos,0)),""))</f>
        <v/>
      </c>
      <c r="R8">
        <f>IF(OR($C8="",$P8="",$O8=""),"",IF($F8&lt;&gt;"FACTURA","NO",IF(AND($P8&gt;0,$O8&gt;$Q8),"SI","NO")))</f>
        <v/>
      </c>
      <c r="S8" s="20">
        <f>IF($R8="SI",ROUND($O8*$P8,2),IF($C8="","",0))</f>
        <v/>
      </c>
      <c r="T8" s="20" t="n"/>
      <c r="U8">
        <f>IF($C8="","",IF($R8&lt;&gt;"SI","",IF($T8="","SIN DATO",IF(ABS($T8-$S8)&lt;=0.5,"OK","REVISAR"))))</f>
        <v/>
      </c>
      <c r="V8" s="20" t="n"/>
      <c r="W8" s="20">
        <f>IF(OR($C8="",$N8=""),"",IF($F8="RHE",ROUND($L8-$V8,2),ROUND($L8-($S8/$N8),2)))</f>
        <v/>
      </c>
      <c r="X8" s="25" t="n"/>
      <c r="Y8" s="25" t="n"/>
      <c r="AA8" t="inlineStr">
        <is>
          <t>PENDIENTE</t>
        </is>
      </c>
      <c r="AB8" t="inlineStr">
        <is>
          <t>PROVEEDOR</t>
        </is>
      </c>
    </row>
    <row r="9">
      <c r="A9" t="n">
        <v>6</v>
      </c>
      <c r="B9" s="25" t="n">
        <v>46254</v>
      </c>
      <c r="C9" t="inlineStr">
        <is>
          <t>F003-00017125</t>
        </is>
      </c>
      <c r="D9" s="30" t="inlineStr">
        <is>
          <t>20563817675</t>
        </is>
      </c>
      <c r="E9" t="inlineStr">
        <is>
          <t>CCM HOTEL GROUP S.A.C. (CASA REPUBLICA BARRANCO)</t>
        </is>
      </c>
      <c r="F9" t="inlineStr">
        <is>
          <t>FACTURA</t>
        </is>
      </c>
      <c r="G9" s="30" t="inlineStr">
        <is>
          <t>N/A</t>
        </is>
      </c>
      <c r="H9">
        <f>IF($G9="","",IFERROR(INDEX(Catalogo_Etiquetas,MATCH($G9,Catalogo_Codigos,0)),"CODIGO NO VALIDO"))</f>
        <v/>
      </c>
      <c r="I9" t="inlineStr">
        <is>
          <t>USD</t>
        </is>
      </c>
      <c r="J9" s="20" t="n">
        <v>196.27</v>
      </c>
      <c r="K9" s="20" t="n">
        <v>18.73</v>
      </c>
      <c r="L9" s="20">
        <f>IF($C9="","",$J9+$K9)</f>
        <v/>
      </c>
      <c r="M9" s="30" t="inlineStr">
        <is>
          <t>639</t>
        </is>
      </c>
      <c r="N9" s="26">
        <f>IF($C9="","",IF($I9="PEN",1,IFERROR(IF(_xlfn.XLOOKUP($B9,TC_Fechas,TC_Venta_Rango,"",-1)="","",_xlfn.XLOOKUP($B9,TC_Fechas,TC_Venta_Rango,"",-1)),"")))</f>
        <v/>
      </c>
      <c r="O9" s="20">
        <f>IF(OR($C9="",$N9=""),"",ROUND($J9*$N9,2)+ROUND($K9*$N9,2))</f>
        <v/>
      </c>
      <c r="P9" s="31">
        <f>IF($G9="","",IFERROR(INDEX(Catalogo_Tasas,MATCH($G9,Catalogo_Codigos,0)),""))</f>
        <v/>
      </c>
      <c r="Q9" s="32">
        <f>IF($G9="","",IFERROR(INDEX(Catalogo_Umbrales,MATCH($G9,Catalogo_Codigos,0)),""))</f>
        <v/>
      </c>
      <c r="R9">
        <f>IF(OR($C9="",$P9="",$O9=""),"",IF($F9&lt;&gt;"FACTURA","NO",IF(AND($P9&gt;0,$O9&gt;$Q9),"SI","NO")))</f>
        <v/>
      </c>
      <c r="S9" s="20">
        <f>IF($R9="SI",ROUND($O9*$P9,2),IF($C9="","",0))</f>
        <v/>
      </c>
      <c r="T9" s="20" t="n"/>
      <c r="U9">
        <f>IF($C9="","",IF($R9&lt;&gt;"SI","",IF($T9="","SIN DATO",IF(ABS($T9-$S9)&lt;=0.5,"OK","REVISAR"))))</f>
        <v/>
      </c>
      <c r="V9" s="20" t="n"/>
      <c r="W9" s="20">
        <f>IF(OR($C9="",$N9=""),"",IF($F9="RHE",ROUND($L9-$V9,2),ROUND($L9-($S9/$N9),2)))</f>
        <v/>
      </c>
      <c r="X9" s="25" t="n"/>
      <c r="Y9" s="25" t="n"/>
      <c r="AA9" t="inlineStr">
        <is>
          <t>PENDIENTE</t>
        </is>
      </c>
      <c r="AB9" t="inlineStr">
        <is>
          <t>PROVEEDOR</t>
        </is>
      </c>
    </row>
    <row r="10">
      <c r="A10" t="n">
        <v>7</v>
      </c>
      <c r="B10" s="25" t="n">
        <v>46254</v>
      </c>
      <c r="C10" t="inlineStr">
        <is>
          <t>F003-00017127</t>
        </is>
      </c>
      <c r="D10" s="30" t="inlineStr">
        <is>
          <t>20563817675</t>
        </is>
      </c>
      <c r="E10" t="inlineStr">
        <is>
          <t>CCM HOTEL GROUP S.A.C. (CASA REPUBLICA BARRANCO)</t>
        </is>
      </c>
      <c r="F10" t="inlineStr">
        <is>
          <t>FACTURA</t>
        </is>
      </c>
      <c r="G10" s="30" t="inlineStr">
        <is>
          <t>N/A</t>
        </is>
      </c>
      <c r="H10">
        <f>IF($G10="","",IFERROR(INDEX(Catalogo_Etiquetas,MATCH($G10,Catalogo_Codigos,0)),"CODIGO NO VALIDO"))</f>
        <v/>
      </c>
      <c r="I10" t="inlineStr">
        <is>
          <t>USD</t>
        </is>
      </c>
      <c r="J10" s="20" t="n">
        <v>230</v>
      </c>
      <c r="K10" s="20" t="n">
        <v>0</v>
      </c>
      <c r="L10" s="20">
        <f>IF($C10="","",$J10+$K10)</f>
        <v/>
      </c>
      <c r="M10" s="30" t="inlineStr">
        <is>
          <t>639</t>
        </is>
      </c>
      <c r="N10" s="26">
        <f>IF($C10="","",IF($I10="PEN",1,IFERROR(IF(_xlfn.XLOOKUP($B10,TC_Fechas,TC_Venta_Rango,"",-1)="","",_xlfn.XLOOKUP($B10,TC_Fechas,TC_Venta_Rango,"",-1)),"")))</f>
        <v/>
      </c>
      <c r="O10" s="20">
        <f>IF(OR($C10="",$N10=""),"",ROUND($J10*$N10,2)+ROUND($K10*$N10,2))</f>
        <v/>
      </c>
      <c r="P10" s="31">
        <f>IF($G10="","",IFERROR(INDEX(Catalogo_Tasas,MATCH($G10,Catalogo_Codigos,0)),""))</f>
        <v/>
      </c>
      <c r="Q10" s="32">
        <f>IF($G10="","",IFERROR(INDEX(Catalogo_Umbrales,MATCH($G10,Catalogo_Codigos,0)),""))</f>
        <v/>
      </c>
      <c r="R10">
        <f>IF(OR($C10="",$P10="",$O10=""),"",IF($F10&lt;&gt;"FACTURA","NO",IF(AND($P10&gt;0,$O10&gt;$Q10),"SI","NO")))</f>
        <v/>
      </c>
      <c r="S10" s="20">
        <f>IF($R10="SI",ROUND($O10*$P10,2),IF($C10="","",0))</f>
        <v/>
      </c>
      <c r="T10" s="20" t="n"/>
      <c r="U10">
        <f>IF($C10="","",IF($R10&lt;&gt;"SI","",IF($T10="","SIN DATO",IF(ABS($T10-$S10)&lt;=0.5,"OK","REVISAR"))))</f>
        <v/>
      </c>
      <c r="V10" s="20" t="n"/>
      <c r="W10" s="20">
        <f>IF(OR($C10="",$N10=""),"",IF($F10="RHE",ROUND($L10-$V10,2),ROUND($L10-($S10/$N10),2)))</f>
        <v/>
      </c>
      <c r="X10" s="25" t="n"/>
      <c r="Y10" s="25" t="n"/>
      <c r="AA10" t="inlineStr">
        <is>
          <t>PENDIENTE</t>
        </is>
      </c>
      <c r="AB10" t="inlineStr">
        <is>
          <t>PROVEEDOR</t>
        </is>
      </c>
    </row>
    <row r="11">
      <c r="A11" t="n">
        <v>8</v>
      </c>
      <c r="B11" s="25" t="n">
        <v>46254</v>
      </c>
      <c r="C11" t="inlineStr">
        <is>
          <t>FNC3-00001843</t>
        </is>
      </c>
      <c r="D11" s="30" t="inlineStr">
        <is>
          <t>20563817675</t>
        </is>
      </c>
      <c r="E11" t="inlineStr">
        <is>
          <t>CCM HOTEL GROUP S.A.C. (CASA REPUBLICA BARRANCO)</t>
        </is>
      </c>
      <c r="F11" t="inlineStr">
        <is>
          <t>NOTA DE CREDITO</t>
        </is>
      </c>
      <c r="G11" s="30" t="inlineStr">
        <is>
          <t>N/A</t>
        </is>
      </c>
      <c r="H11">
        <f>IF($G11="","",IFERROR(INDEX(Catalogo_Etiquetas,MATCH($G11,Catalogo_Codigos,0)),"CODIGO NO VALIDO"))</f>
        <v/>
      </c>
      <c r="I11" t="inlineStr">
        <is>
          <t>USD</t>
        </is>
      </c>
      <c r="J11" s="20" t="n">
        <v>-209.96</v>
      </c>
      <c r="K11" s="20" t="n">
        <v>-20.04</v>
      </c>
      <c r="L11" s="20">
        <f>IF($C11="","",$J11+$K11)</f>
        <v/>
      </c>
      <c r="M11" s="30" t="inlineStr">
        <is>
          <t>639</t>
        </is>
      </c>
      <c r="N11" s="26">
        <f>IF($C11="","",IF($I11="PEN",1,IFERROR(IF(_xlfn.XLOOKUP($B11,TC_Fechas,TC_Venta_Rango,"",-1)="","",_xlfn.XLOOKUP($B11,TC_Fechas,TC_Venta_Rango,"",-1)),"")))</f>
        <v/>
      </c>
      <c r="O11" s="20">
        <f>IF(OR($C11="",$N11=""),"",ROUND($J11*$N11,2)+ROUND($K11*$N11,2))</f>
        <v/>
      </c>
      <c r="P11" s="31">
        <f>IF($G11="","",IFERROR(INDEX(Catalogo_Tasas,MATCH($G11,Catalogo_Codigos,0)),""))</f>
        <v/>
      </c>
      <c r="Q11" s="32">
        <f>IF($G11="","",IFERROR(INDEX(Catalogo_Umbrales,MATCH($G11,Catalogo_Codigos,0)),""))</f>
        <v/>
      </c>
      <c r="R11">
        <f>IF(OR($C11="",$P11="",$O11=""),"",IF($F11&lt;&gt;"FACTURA","NO",IF(AND($P11&gt;0,$O11&gt;$Q11),"SI","NO")))</f>
        <v/>
      </c>
      <c r="S11" s="20">
        <f>IF($R11="SI",ROUND($O11*$P11,2),IF($C11="","",0))</f>
        <v/>
      </c>
      <c r="T11" s="20" t="n"/>
      <c r="U11">
        <f>IF($C11="","",IF($R11&lt;&gt;"SI","",IF($T11="","SIN DATO",IF(ABS($T11-$S11)&lt;=0.5,"OK","REVISAR"))))</f>
        <v/>
      </c>
      <c r="V11" s="20" t="n"/>
      <c r="W11" s="20">
        <f>IF(OR($C11="",$N11=""),"",IF($F11="RHE",ROUND($L11-$V11,2),ROUND($L11-($S11/$N11),2)))</f>
        <v/>
      </c>
      <c r="X11" s="25" t="n"/>
      <c r="Y11" s="25" t="n"/>
      <c r="AA11" t="inlineStr">
        <is>
          <t>PENDIENTE</t>
        </is>
      </c>
      <c r="AB11" t="inlineStr">
        <is>
          <t>PROVEEDOR</t>
        </is>
      </c>
    </row>
    <row r="12">
      <c r="A12" t="n">
        <v>9</v>
      </c>
      <c r="B12" s="25" t="n">
        <v>46254</v>
      </c>
      <c r="C12" t="inlineStr">
        <is>
          <t>E001-7201</t>
        </is>
      </c>
      <c r="D12" s="30" t="inlineStr">
        <is>
          <t>20225253529</t>
        </is>
      </c>
      <c r="E12" t="inlineStr">
        <is>
          <t>ARCOBALENO SOCIEDAD COMERCIAL DE RESPONSABILIDAD LIMITADA</t>
        </is>
      </c>
      <c r="F12" t="inlineStr">
        <is>
          <t>FACTURA</t>
        </is>
      </c>
      <c r="G12" s="30" t="inlineStr">
        <is>
          <t>037</t>
        </is>
      </c>
      <c r="H12">
        <f>IF($G12="","",IFERROR(INDEX(Catalogo_Etiquetas,MATCH($G12,Catalogo_Codigos,0)),"CODIGO NO VALIDO"))</f>
        <v/>
      </c>
      <c r="I12" t="inlineStr">
        <is>
          <t>USD</t>
        </is>
      </c>
      <c r="J12" s="20" t="n">
        <v>186.03</v>
      </c>
      <c r="K12" s="20" t="n">
        <v>33.49</v>
      </c>
      <c r="L12" s="20">
        <f>IF($C12="","",$J12+$K12)</f>
        <v/>
      </c>
      <c r="M12" s="30" t="inlineStr">
        <is>
          <t>639</t>
        </is>
      </c>
      <c r="N12" s="26">
        <f>IF($C12="","",IF($I12="PEN",1,IFERROR(IF(_xlfn.XLOOKUP($B12,TC_Fechas,TC_Venta_Rango,"",-1)="","",_xlfn.XLOOKUP($B12,TC_Fechas,TC_Venta_Rango,"",-1)),"")))</f>
        <v/>
      </c>
      <c r="O12" s="20">
        <f>IF(OR($C12="",$N12=""),"",ROUND($J12*$N12,2)+ROUND($K12*$N12,2))</f>
        <v/>
      </c>
      <c r="P12" s="31">
        <f>IF($G12="","",IFERROR(INDEX(Catalogo_Tasas,MATCH($G12,Catalogo_Codigos,0)),""))</f>
        <v/>
      </c>
      <c r="Q12" s="32">
        <f>IF($G12="","",IFERROR(INDEX(Catalogo_Umbrales,MATCH($G12,Catalogo_Codigos,0)),""))</f>
        <v/>
      </c>
      <c r="R12">
        <f>IF(OR($C12="",$P12="",$O12=""),"",IF($F12&lt;&gt;"FACTURA","NO",IF(AND($P12&gt;0,$O12&gt;$Q12),"SI","NO")))</f>
        <v/>
      </c>
      <c r="S12" s="20">
        <f>IF($R12="SI",ROUND($O12*$P12,2),IF($C12="","",0))</f>
        <v/>
      </c>
      <c r="T12" s="20" t="n">
        <v>89</v>
      </c>
      <c r="U12">
        <f>IF($C12="","",IF($R12&lt;&gt;"SI","",IF($T12="","SIN DATO",IF(ABS($T12-$S12)&lt;=0.5,"OK","REVISAR"))))</f>
        <v/>
      </c>
      <c r="V12" s="20" t="n"/>
      <c r="W12" s="20">
        <f>IF(OR($C12="",$N12=""),"",IF($F12="RHE",ROUND($L12-$V12,2),ROUND($L12-($S12/$N12),2)))</f>
        <v/>
      </c>
      <c r="X12" s="25" t="n"/>
      <c r="Y12" s="25" t="n"/>
      <c r="AA12" t="inlineStr">
        <is>
          <t>PENDIENTE</t>
        </is>
      </c>
      <c r="AB12" t="inlineStr">
        <is>
          <t>PROVEEDOR</t>
        </is>
      </c>
    </row>
    <row r="13">
      <c r="A13" t="n">
        <v>10</v>
      </c>
      <c r="B13" s="25">
        <f>DATE(2026,8,11)</f>
        <v/>
      </c>
      <c r="C13" t="inlineStr">
        <is>
          <t>F001-0003289</t>
        </is>
      </c>
      <c r="D13" s="30" t="inlineStr">
        <is>
          <t>20510815522</t>
        </is>
      </c>
      <c r="E13" t="inlineStr">
        <is>
          <t>AERODIANA</t>
        </is>
      </c>
      <c r="F13" t="inlineStr">
        <is>
          <t>NOTA DE CREDITO</t>
        </is>
      </c>
      <c r="G13" s="30" t="inlineStr">
        <is>
          <t>N/A</t>
        </is>
      </c>
      <c r="H13">
        <f>IF($G13="","",IFERROR(INDEX(Catalogo_Etiquetas,MATCH($G13,Catalogo_Codigos,0)),"CODIGO NO VALIDO"))</f>
        <v/>
      </c>
      <c r="I13" t="inlineStr">
        <is>
          <t>USD</t>
        </is>
      </c>
      <c r="J13" s="20" t="n">
        <v>-498.31</v>
      </c>
      <c r="K13" s="20" t="n">
        <v>-89.69</v>
      </c>
      <c r="L13" s="20">
        <f>IF($C13="","",$J13+$K13)</f>
        <v/>
      </c>
      <c r="M13" s="30" t="inlineStr">
        <is>
          <t>639</t>
        </is>
      </c>
      <c r="N13" s="26">
        <f>IF($C13="","",IF($I13="PEN",1,IFERROR(IF(_xlfn.XLOOKUP($B13,TC_Fechas,TC_Venta_Rango,"",-1)="","",_xlfn.XLOOKUP($B13,TC_Fechas,TC_Venta_Rango,"",-1)),"")))</f>
        <v/>
      </c>
      <c r="O13" s="20">
        <f>IF(OR($C13="",$N13=""),"",ROUND($J13*$N13,2)+ROUND($K13*$N13,2))</f>
        <v/>
      </c>
      <c r="P13" s="31">
        <f>IF($G13="","",IFERROR(INDEX(Catalogo_Tasas,MATCH($G13,Catalogo_Codigos,0)),""))</f>
        <v/>
      </c>
      <c r="Q13" s="32">
        <f>IF($G13="","",IFERROR(INDEX(Catalogo_Umbrales,MATCH($G13,Catalogo_Codigos,0)),""))</f>
        <v/>
      </c>
      <c r="R13">
        <f>IF(OR($C13="",$P13="",$O13=""),"",IF($F13&lt;&gt;"FACTURA","NO",IF(AND($P13&gt;0,$O13&gt;$Q13),"SI","NO")))</f>
        <v/>
      </c>
      <c r="S13" s="20">
        <f>IF($R13="SI",ROUND($O13*$P13,2),IF($C13="","",0))</f>
        <v/>
      </c>
      <c r="T13" s="20" t="n"/>
      <c r="U13">
        <f>IF($C13="","",IF($R13&lt;&gt;"SI","",IF($T13="","SIN DATO",IF(ABS($T13-$S13)&lt;=0.5,"OK","REVISAR"))))</f>
        <v/>
      </c>
      <c r="V13" s="20" t="n"/>
      <c r="W13" s="20">
        <f>IF(OR($C13="",$N13=""),"",IF($F13="RHE",ROUND($L13-$V13,2),ROUND($L13-($S13/$N13),2)))</f>
        <v/>
      </c>
      <c r="X13" s="25" t="n"/>
      <c r="Y13" s="25" t="n"/>
      <c r="AB13" t="inlineStr">
        <is>
          <t>PROVEEDOR</t>
        </is>
      </c>
    </row>
    <row r="14">
      <c r="A14" t="n">
        <v>11</v>
      </c>
      <c r="B14" s="25">
        <f>DATE(2026,8,6)</f>
        <v/>
      </c>
      <c r="C14" t="inlineStr">
        <is>
          <t>F001-038853</t>
        </is>
      </c>
      <c r="D14" s="30" t="inlineStr">
        <is>
          <t>20358806237</t>
        </is>
      </c>
      <c r="E14" t="inlineStr">
        <is>
          <t>AMERICANA DE TURISMO E.I.R.L.</t>
        </is>
      </c>
      <c r="F14" t="inlineStr">
        <is>
          <t>FACTURA</t>
        </is>
      </c>
      <c r="G14" s="30" t="inlineStr">
        <is>
          <t>N/A</t>
        </is>
      </c>
      <c r="H14">
        <f>IF($G14="","",IFERROR(INDEX(Catalogo_Etiquetas,MATCH($G14,Catalogo_Codigos,0)),"CODIGO NO VALIDO"))</f>
        <v/>
      </c>
      <c r="I14" t="inlineStr">
        <is>
          <t>USD</t>
        </is>
      </c>
      <c r="J14" s="20" t="n">
        <v>61.02</v>
      </c>
      <c r="K14" s="20" t="n">
        <v>10.98</v>
      </c>
      <c r="L14" s="20">
        <f>IF($C14="","",$J14+$K14)</f>
        <v/>
      </c>
      <c r="M14" s="30" t="inlineStr">
        <is>
          <t>639</t>
        </is>
      </c>
      <c r="N14" s="26">
        <f>IF($C14="","",IF($I14="PEN",1,IFERROR(IF(_xlfn.XLOOKUP($B14,TC_Fechas,TC_Venta_Rango,"",-1)="","",_xlfn.XLOOKUP($B14,TC_Fechas,TC_Venta_Rango,"",-1)),"")))</f>
        <v/>
      </c>
      <c r="O14" s="20">
        <f>IF(OR($C14="",$N14=""),"",ROUND($J14*$N14,2)+ROUND($K14*$N14,2))</f>
        <v/>
      </c>
      <c r="P14" s="31">
        <f>IF($G14="","",IFERROR(INDEX(Catalogo_Tasas,MATCH($G14,Catalogo_Codigos,0)),""))</f>
        <v/>
      </c>
      <c r="Q14" s="32">
        <f>IF($G14="","",IFERROR(INDEX(Catalogo_Umbrales,MATCH($G14,Catalogo_Codigos,0)),""))</f>
        <v/>
      </c>
      <c r="R14">
        <f>IF(OR($C14="",$P14="",$O14=""),"",IF($F14&lt;&gt;"FACTURA","NO",IF(AND($P14&gt;0,$O14&gt;$Q14),"SI","NO")))</f>
        <v/>
      </c>
      <c r="S14" s="20">
        <f>IF($R14="SI",ROUND($O14*$P14,2),IF($C14="","",0))</f>
        <v/>
      </c>
      <c r="T14" s="20" t="n"/>
      <c r="U14">
        <f>IF($C14="","",IF($R14&lt;&gt;"SI","",IF($T14="","SIN DATO",IF(ABS($T14-$S14)&lt;=0.5,"OK","REVISAR"))))</f>
        <v/>
      </c>
      <c r="V14" s="20" t="n"/>
      <c r="W14" s="20">
        <f>IF(OR($C14="",$N14=""),"",IF($F14="RHE",ROUND($L14-$V14,2),ROUND($L14-($S14/$N14),2)))</f>
        <v/>
      </c>
      <c r="X14" s="25" t="n"/>
      <c r="Y14" s="25" t="n"/>
      <c r="AB14" t="inlineStr">
        <is>
          <t>PROVEEDOR</t>
        </is>
      </c>
    </row>
    <row r="15">
      <c r="A15" t="n">
        <v>12</v>
      </c>
      <c r="B15" s="25">
        <f>DATE(2026,8,10)</f>
        <v/>
      </c>
      <c r="C15" t="inlineStr">
        <is>
          <t>E001- 173</t>
        </is>
      </c>
      <c r="D15" s="30" t="inlineStr">
        <is>
          <t>10408744151</t>
        </is>
      </c>
      <c r="E15" t="inlineStr">
        <is>
          <t>BEOUTIS BAZAN URSULA CATHERINE</t>
        </is>
      </c>
      <c r="F15" t="inlineStr">
        <is>
          <t>RHE</t>
        </is>
      </c>
      <c r="G15" s="30" t="inlineStr">
        <is>
          <t>N/A</t>
        </is>
      </c>
      <c r="H15">
        <f>IF($G15="","",IFERROR(INDEX(Catalogo_Etiquetas,MATCH($G15,Catalogo_Codigos,0)),"CODIGO NO VALIDO"))</f>
        <v/>
      </c>
      <c r="I15" t="inlineStr">
        <is>
          <t>PEN</t>
        </is>
      </c>
      <c r="J15" s="20" t="n">
        <v>1025</v>
      </c>
      <c r="K15" s="20" t="n">
        <v>0</v>
      </c>
      <c r="L15" s="20">
        <f>IF($C15="","",$J15+$K15)</f>
        <v/>
      </c>
      <c r="M15" s="30" t="inlineStr">
        <is>
          <t>632</t>
        </is>
      </c>
      <c r="N15" s="26">
        <f>IF($C15="","",IF($I15="PEN",1,IFERROR(IF(_xlfn.XLOOKUP($B15,TC_Fechas,TC_Venta_Rango,"",-1)="","",_xlfn.XLOOKUP($B15,TC_Fechas,TC_Venta_Rango,"",-1)),"")))</f>
        <v/>
      </c>
      <c r="O15" s="20">
        <f>IF(OR($C15="",$N15=""),"",ROUND($J15*$N15,2)+ROUND($K15*$N15,2))</f>
        <v/>
      </c>
      <c r="P15" s="31">
        <f>IF($G15="","",IFERROR(INDEX(Catalogo_Tasas,MATCH($G15,Catalogo_Codigos,0)),""))</f>
        <v/>
      </c>
      <c r="Q15" s="32">
        <f>IF($G15="","",IFERROR(INDEX(Catalogo_Umbrales,MATCH($G15,Catalogo_Codigos,0)),""))</f>
        <v/>
      </c>
      <c r="R15">
        <f>IF(OR($C15="",$P15="",$O15=""),"",IF($F15&lt;&gt;"FACTURA","NO",IF(AND($P15&gt;0,$O15&gt;$Q15),"SI","NO")))</f>
        <v/>
      </c>
      <c r="S15" s="20">
        <f>IF($R15="SI",ROUND($O15*$P15,2),IF($C15="","",0))</f>
        <v/>
      </c>
      <c r="T15" s="20" t="n"/>
      <c r="U15">
        <f>IF($C15="","",IF($R15&lt;&gt;"SI","",IF($T15="","SIN DATO",IF(ABS($T15-$S15)&lt;=0.5,"OK","REVISAR"))))</f>
        <v/>
      </c>
      <c r="V15" s="20" t="n"/>
      <c r="W15" s="20">
        <f>IF(OR($C15="",$N15=""),"",IF($F15="RHE",ROUND($L15-$V15,2),ROUND($L15-($S15/$N15),2)))</f>
        <v/>
      </c>
      <c r="X15" s="25" t="n"/>
      <c r="Y15" s="25" t="n"/>
      <c r="AB15" t="inlineStr">
        <is>
          <t>ADMINISTRATIVO</t>
        </is>
      </c>
    </row>
    <row r="16">
      <c r="A16" t="n">
        <v>13</v>
      </c>
      <c r="B16" s="25">
        <f>DATE(2026,8,14)</f>
        <v/>
      </c>
      <c r="C16" t="inlineStr">
        <is>
          <t>E001-129</t>
        </is>
      </c>
      <c r="D16" s="30" t="inlineStr">
        <is>
          <t>10239541181</t>
        </is>
      </c>
      <c r="E16" t="inlineStr">
        <is>
          <t>CALLAÃ‘AUPA DE HENDRICKSON FLORA</t>
        </is>
      </c>
      <c r="F16" t="inlineStr">
        <is>
          <t>RHE</t>
        </is>
      </c>
      <c r="G16" s="30" t="inlineStr">
        <is>
          <t>N/A</t>
        </is>
      </c>
      <c r="H16">
        <f>IF($G16="","",IFERROR(INDEX(Catalogo_Etiquetas,MATCH($G16,Catalogo_Codigos,0)),"CODIGO NO VALIDO"))</f>
        <v/>
      </c>
      <c r="I16" t="inlineStr">
        <is>
          <t>USD</t>
        </is>
      </c>
      <c r="J16" s="20" t="n">
        <v>65</v>
      </c>
      <c r="K16" s="20" t="n">
        <v>0</v>
      </c>
      <c r="L16" s="20">
        <f>IF($C16="","",$J16+$K16)</f>
        <v/>
      </c>
      <c r="M16" s="30" t="inlineStr">
        <is>
          <t>632</t>
        </is>
      </c>
      <c r="N16" s="26">
        <f>IF($C16="","",IF($I16="PEN",1,IFERROR(IF(_xlfn.XLOOKUP($B16,TC_Fechas,TC_Venta_Rango,"",-1)="","",_xlfn.XLOOKUP($B16,TC_Fechas,TC_Venta_Rango,"",-1)),"")))</f>
        <v/>
      </c>
      <c r="O16" s="20">
        <f>IF(OR($C16="",$N16=""),"",ROUND($J16*$N16,2)+ROUND($K16*$N16,2))</f>
        <v/>
      </c>
      <c r="P16" s="31">
        <f>IF($G16="","",IFERROR(INDEX(Catalogo_Tasas,MATCH($G16,Catalogo_Codigos,0)),""))</f>
        <v/>
      </c>
      <c r="Q16" s="32">
        <f>IF($G16="","",IFERROR(INDEX(Catalogo_Umbrales,MATCH($G16,Catalogo_Codigos,0)),""))</f>
        <v/>
      </c>
      <c r="R16">
        <f>IF(OR($C16="",$P16="",$O16=""),"",IF($F16&lt;&gt;"FACTURA","NO",IF(AND($P16&gt;0,$O16&gt;$Q16),"SI","NO")))</f>
        <v/>
      </c>
      <c r="S16" s="20">
        <f>IF($R16="SI",ROUND($O16*$P16,2),IF($C16="","",0))</f>
        <v/>
      </c>
      <c r="T16" s="20" t="n"/>
      <c r="U16">
        <f>IF($C16="","",IF($R16&lt;&gt;"SI","",IF($T16="","SIN DATO",IF(ABS($T16-$S16)&lt;=0.5,"OK","REVISAR"))))</f>
        <v/>
      </c>
      <c r="V16" s="20" t="n">
        <v>7.8</v>
      </c>
      <c r="W16" s="20">
        <f>IF(OR($C16="",$N16=""),"",IF($F16="RHE",ROUND($L16-$V16,2),ROUND($L16-($S16/$N16),2)))</f>
        <v/>
      </c>
      <c r="X16" s="25" t="n"/>
      <c r="Y16" s="25" t="n"/>
      <c r="AB16" t="inlineStr">
        <is>
          <t>PROVEEDOR</t>
        </is>
      </c>
    </row>
    <row r="17">
      <c r="A17" t="n">
        <v>14</v>
      </c>
      <c r="B17" s="25">
        <f>DATE(2026,8,12)</f>
        <v/>
      </c>
      <c r="C17" t="inlineStr">
        <is>
          <t>FA02-00001849</t>
        </is>
      </c>
      <c r="D17" s="30" t="inlineStr">
        <is>
          <t>20527992525</t>
        </is>
      </c>
      <c r="E17" t="inlineStr">
        <is>
          <t>CUSCO RESTAURANTS S.A.C.</t>
        </is>
      </c>
      <c r="F17" t="inlineStr">
        <is>
          <t>FACTURA</t>
        </is>
      </c>
      <c r="G17" s="30" t="inlineStr">
        <is>
          <t>N/A</t>
        </is>
      </c>
      <c r="H17">
        <f>IF($G17="","",IFERROR(INDEX(Catalogo_Etiquetas,MATCH($G17,Catalogo_Codigos,0)),"CODIGO NO VALIDO"))</f>
        <v/>
      </c>
      <c r="I17" t="inlineStr">
        <is>
          <t>USD</t>
        </is>
      </c>
      <c r="J17" s="20" t="n">
        <v>54.69</v>
      </c>
      <c r="K17" s="20" t="n">
        <v>9.84</v>
      </c>
      <c r="L17" s="20">
        <f>IF($C17="","",$J17+$K17)</f>
        <v/>
      </c>
      <c r="M17" s="30" t="inlineStr">
        <is>
          <t>639</t>
        </is>
      </c>
      <c r="N17" s="26">
        <f>IF($C17="","",IF($I17="PEN",1,IFERROR(IF(_xlfn.XLOOKUP($B17,TC_Fechas,TC_Venta_Rango,"",-1)="","",_xlfn.XLOOKUP($B17,TC_Fechas,TC_Venta_Rango,"",-1)),"")))</f>
        <v/>
      </c>
      <c r="O17" s="20">
        <f>IF(OR($C17="",$N17=""),"",ROUND($J17*$N17,2)+ROUND($K17*$N17,2))</f>
        <v/>
      </c>
      <c r="P17" s="31">
        <f>IF($G17="","",IFERROR(INDEX(Catalogo_Tasas,MATCH($G17,Catalogo_Codigos,0)),""))</f>
        <v/>
      </c>
      <c r="Q17" s="32">
        <f>IF($G17="","",IFERROR(INDEX(Catalogo_Umbrales,MATCH($G17,Catalogo_Codigos,0)),""))</f>
        <v/>
      </c>
      <c r="R17">
        <f>IF(OR($C17="",$P17="",$O17=""),"",IF($F17&lt;&gt;"FACTURA","NO",IF(AND($P17&gt;0,$O17&gt;$Q17),"SI","NO")))</f>
        <v/>
      </c>
      <c r="S17" s="20">
        <f>IF($R17="SI",ROUND($O17*$P17,2),IF($C17="","",0))</f>
        <v/>
      </c>
      <c r="T17" s="20" t="n"/>
      <c r="U17">
        <f>IF($C17="","",IF($R17&lt;&gt;"SI","",IF($T17="","SIN DATO",IF(ABS($T17-$S17)&lt;=0.5,"OK","REVISAR"))))</f>
        <v/>
      </c>
      <c r="V17" s="20" t="n"/>
      <c r="W17" s="20">
        <f>IF(OR($C17="",$N17=""),"",IF($F17="RHE",ROUND($L17-$V17,2),ROUND($L17-($S17/$N17),2)))</f>
        <v/>
      </c>
      <c r="X17" s="25" t="n"/>
      <c r="Y17" s="25" t="n"/>
      <c r="AB17" t="inlineStr">
        <is>
          <t>PROVEEDOR</t>
        </is>
      </c>
    </row>
    <row r="18">
      <c r="A18" t="n">
        <v>15</v>
      </c>
      <c r="B18" s="25">
        <f>DATE(2026,8,6)</f>
        <v/>
      </c>
      <c r="C18" t="inlineStr">
        <is>
          <t>F005-018812</t>
        </is>
      </c>
      <c r="D18" s="30" t="inlineStr">
        <is>
          <t>20252796623</t>
        </is>
      </c>
      <c r="E18" t="inlineStr">
        <is>
          <t>GRESCO S.A.C.</t>
        </is>
      </c>
      <c r="F18" t="inlineStr">
        <is>
          <t>FACTURA</t>
        </is>
      </c>
      <c r="G18" s="30" t="inlineStr">
        <is>
          <t>N/A</t>
        </is>
      </c>
      <c r="H18">
        <f>IF($G18="","",IFERROR(INDEX(Catalogo_Etiquetas,MATCH($G18,Catalogo_Codigos,0)),"CODIGO NO VALIDO"))</f>
        <v/>
      </c>
      <c r="I18" t="inlineStr">
        <is>
          <t>PEN</t>
        </is>
      </c>
      <c r="J18" s="20" t="n">
        <v>158.73</v>
      </c>
      <c r="K18" s="20" t="n">
        <v>28.57</v>
      </c>
      <c r="L18" s="20">
        <f>IF($C18="","",$J18+$K18)</f>
        <v/>
      </c>
      <c r="M18" s="30" t="inlineStr">
        <is>
          <t>639</t>
        </is>
      </c>
      <c r="N18" s="26">
        <f>IF($C18="","",IF($I18="PEN",1,IFERROR(IF(_xlfn.XLOOKUP($B18,TC_Fechas,TC_Venta_Rango,"",-1)="","",_xlfn.XLOOKUP($B18,TC_Fechas,TC_Venta_Rango,"",-1)),"")))</f>
        <v/>
      </c>
      <c r="O18" s="20">
        <f>IF(OR($C18="",$N18=""),"",ROUND($J18*$N18,2)+ROUND($K18*$N18,2))</f>
        <v/>
      </c>
      <c r="P18" s="31">
        <f>IF($G18="","",IFERROR(INDEX(Catalogo_Tasas,MATCH($G18,Catalogo_Codigos,0)),""))</f>
        <v/>
      </c>
      <c r="Q18" s="32">
        <f>IF($G18="","",IFERROR(INDEX(Catalogo_Umbrales,MATCH($G18,Catalogo_Codigos,0)),""))</f>
        <v/>
      </c>
      <c r="R18">
        <f>IF(OR($C18="",$P18="",$O18=""),"",IF($F18&lt;&gt;"FACTURA","NO",IF(AND($P18&gt;0,$O18&gt;$Q18),"SI","NO")))</f>
        <v/>
      </c>
      <c r="S18" s="20">
        <f>IF($R18="SI",ROUND($O18*$P18,2),IF($C18="","",0))</f>
        <v/>
      </c>
      <c r="T18" s="20" t="n"/>
      <c r="U18">
        <f>IF($C18="","",IF($R18&lt;&gt;"SI","",IF($T18="","SIN DATO",IF(ABS($T18-$S18)&lt;=0.5,"OK","REVISAR"))))</f>
        <v/>
      </c>
      <c r="V18" s="20" t="n"/>
      <c r="W18" s="20">
        <f>IF(OR($C18="",$N18=""),"",IF($F18="RHE",ROUND($L18-$V18,2),ROUND($L18-($S18/$N18),2)))</f>
        <v/>
      </c>
      <c r="X18" s="25" t="n"/>
      <c r="Y18" s="25" t="n"/>
      <c r="AB18" t="inlineStr">
        <is>
          <t>PROVEEDOR</t>
        </is>
      </c>
    </row>
    <row r="19">
      <c r="A19" t="n">
        <v>16</v>
      </c>
      <c r="B19" s="25">
        <f>DATE(2026,8,4)</f>
        <v/>
      </c>
      <c r="C19" t="inlineStr">
        <is>
          <t>E001- 558</t>
        </is>
      </c>
      <c r="D19" s="30" t="inlineStr">
        <is>
          <t>10239898993</t>
        </is>
      </c>
      <c r="E19" t="inlineStr">
        <is>
          <t>HANCO ASTETE ANDY</t>
        </is>
      </c>
      <c r="F19" t="inlineStr">
        <is>
          <t>RHE</t>
        </is>
      </c>
      <c r="G19" s="30" t="inlineStr">
        <is>
          <t>N/A</t>
        </is>
      </c>
      <c r="H19">
        <f>IF($G19="","",IFERROR(INDEX(Catalogo_Etiquetas,MATCH($G19,Catalogo_Codigos,0)),"CODIGO NO VALIDO"))</f>
        <v/>
      </c>
      <c r="I19" t="inlineStr">
        <is>
          <t>USD</t>
        </is>
      </c>
      <c r="J19" s="20" t="n">
        <v>75</v>
      </c>
      <c r="K19" s="20" t="n">
        <v>0</v>
      </c>
      <c r="L19" s="20">
        <f>IF($C19="","",$J19+$K19)</f>
        <v/>
      </c>
      <c r="M19" s="30" t="inlineStr">
        <is>
          <t>632</t>
        </is>
      </c>
      <c r="N19" s="26">
        <f>IF($C19="","",IF($I19="PEN",1,IFERROR(IF(_xlfn.XLOOKUP($B19,TC_Fechas,TC_Venta_Rango,"",-1)="","",_xlfn.XLOOKUP($B19,TC_Fechas,TC_Venta_Rango,"",-1)),"")))</f>
        <v/>
      </c>
      <c r="O19" s="20">
        <f>IF(OR($C19="",$N19=""),"",ROUND($J19*$N19,2)+ROUND($K19*$N19,2))</f>
        <v/>
      </c>
      <c r="P19" s="31">
        <f>IF($G19="","",IFERROR(INDEX(Catalogo_Tasas,MATCH($G19,Catalogo_Codigos,0)),""))</f>
        <v/>
      </c>
      <c r="Q19" s="32">
        <f>IF($G19="","",IFERROR(INDEX(Catalogo_Umbrales,MATCH($G19,Catalogo_Codigos,0)),""))</f>
        <v/>
      </c>
      <c r="R19">
        <f>IF(OR($C19="",$P19="",$O19=""),"",IF($F19&lt;&gt;"FACTURA","NO",IF(AND($P19&gt;0,$O19&gt;$Q19),"SI","NO")))</f>
        <v/>
      </c>
      <c r="S19" s="20">
        <f>IF($R19="SI",ROUND($O19*$P19,2),IF($C19="","",0))</f>
        <v/>
      </c>
      <c r="T19" s="20" t="n"/>
      <c r="U19">
        <f>IF($C19="","",IF($R19&lt;&gt;"SI","",IF($T19="","SIN DATO",IF(ABS($T19-$S19)&lt;=0.5,"OK","REVISAR"))))</f>
        <v/>
      </c>
      <c r="V19" s="20" t="n"/>
      <c r="W19" s="20">
        <f>IF(OR($C19="",$N19=""),"",IF($F19="RHE",ROUND($L19-$V19,2),ROUND($L19-($S19/$N19),2)))</f>
        <v/>
      </c>
      <c r="X19" s="25" t="n"/>
      <c r="Y19" s="25" t="n"/>
      <c r="AB19" t="inlineStr">
        <is>
          <t>PROVEEDOR</t>
        </is>
      </c>
    </row>
    <row r="20">
      <c r="A20" t="n">
        <v>17</v>
      </c>
      <c r="B20" s="25">
        <f>DATE(2026,8,14)</f>
        <v/>
      </c>
      <c r="C20" t="inlineStr">
        <is>
          <t>F006-00003152</t>
        </is>
      </c>
      <c r="D20" s="30" t="inlineStr">
        <is>
          <t>20610235736</t>
        </is>
      </c>
      <c r="E20" t="inlineStr">
        <is>
          <t>HOTELES LA HACIENDA S.A.C.</t>
        </is>
      </c>
      <c r="F20" t="inlineStr">
        <is>
          <t>FACTURA</t>
        </is>
      </c>
      <c r="G20" s="30" t="inlineStr">
        <is>
          <t>N/A</t>
        </is>
      </c>
      <c r="H20">
        <f>IF($G20="","",IFERROR(INDEX(Catalogo_Etiquetas,MATCH($G20,Catalogo_Codigos,0)),"CODIGO NO VALIDO"))</f>
        <v/>
      </c>
      <c r="I20" t="inlineStr">
        <is>
          <t>USD</t>
        </is>
      </c>
      <c r="J20" s="20" t="n">
        <v>460.18</v>
      </c>
      <c r="K20" s="20" t="n">
        <v>0</v>
      </c>
      <c r="L20" s="20">
        <f>IF($C20="","",$J20+$K20)</f>
        <v/>
      </c>
      <c r="M20" s="30" t="inlineStr">
        <is>
          <t>639</t>
        </is>
      </c>
      <c r="N20" s="26">
        <f>IF($C20="","",IF($I20="PEN",1,IFERROR(IF(_xlfn.XLOOKUP($B20,TC_Fechas,TC_Venta_Rango,"",-1)="","",_xlfn.XLOOKUP($B20,TC_Fechas,TC_Venta_Rango,"",-1)),"")))</f>
        <v/>
      </c>
      <c r="O20" s="20">
        <f>IF(OR($C20="",$N20=""),"",ROUND($J20*$N20,2)+ROUND($K20*$N20,2))</f>
        <v/>
      </c>
      <c r="P20" s="31">
        <f>IF($G20="","",IFERROR(INDEX(Catalogo_Tasas,MATCH($G20,Catalogo_Codigos,0)),""))</f>
        <v/>
      </c>
      <c r="Q20" s="32">
        <f>IF($G20="","",IFERROR(INDEX(Catalogo_Umbrales,MATCH($G20,Catalogo_Codigos,0)),""))</f>
        <v/>
      </c>
      <c r="R20">
        <f>IF(OR($C20="",$P20="",$O20=""),"",IF($F20&lt;&gt;"FACTURA","NO",IF(AND($P20&gt;0,$O20&gt;$Q20),"SI","NO")))</f>
        <v/>
      </c>
      <c r="S20" s="20">
        <f>IF($R20="SI",ROUND($O20*$P20,2),IF($C20="","",0))</f>
        <v/>
      </c>
      <c r="T20" s="20" t="n"/>
      <c r="U20">
        <f>IF($C20="","",IF($R20&lt;&gt;"SI","",IF($T20="","SIN DATO",IF(ABS($T20-$S20)&lt;=0.5,"OK","REVISAR"))))</f>
        <v/>
      </c>
      <c r="V20" s="20" t="n"/>
      <c r="W20" s="20">
        <f>IF(OR($C20="",$N20=""),"",IF($F20="RHE",ROUND($L20-$V20,2),ROUND($L20-($S20/$N20),2)))</f>
        <v/>
      </c>
      <c r="X20" s="25" t="n"/>
      <c r="Y20" s="25" t="n"/>
      <c r="AB20" t="inlineStr">
        <is>
          <t>PROVEEDOR</t>
        </is>
      </c>
    </row>
    <row r="21">
      <c r="A21" t="n">
        <v>18</v>
      </c>
      <c r="B21" s="25">
        <f>DATE(2026,8,4)</f>
        <v/>
      </c>
      <c r="C21" t="inlineStr">
        <is>
          <t>E001-1678</t>
        </is>
      </c>
      <c r="D21" s="30" t="inlineStr">
        <is>
          <t>20602511007</t>
        </is>
      </c>
      <c r="E21" t="inlineStr">
        <is>
          <t>INVERSIONES FENIX TOURS E.I.R.L.</t>
        </is>
      </c>
      <c r="F21" t="inlineStr">
        <is>
          <t>FACTURA</t>
        </is>
      </c>
      <c r="G21" s="30" t="inlineStr">
        <is>
          <t>026</t>
        </is>
      </c>
      <c r="H21">
        <f>IF($G21="","",IFERROR(INDEX(Catalogo_Etiquetas,MATCH($G21,Catalogo_Codigos,0)),"CODIGO NO VALIDO"))</f>
        <v/>
      </c>
      <c r="I21" t="inlineStr">
        <is>
          <t>USD</t>
        </is>
      </c>
      <c r="J21" s="20" t="n">
        <v>282.2</v>
      </c>
      <c r="K21" s="20" t="n">
        <v>50.8</v>
      </c>
      <c r="L21" s="20">
        <f>IF($C21="","",$J21+$K21)</f>
        <v/>
      </c>
      <c r="M21" s="30" t="inlineStr">
        <is>
          <t>631</t>
        </is>
      </c>
      <c r="N21" s="26">
        <f>IF($C21="","",IF($I21="PEN",1,IFERROR(IF(_xlfn.XLOOKUP($B21,TC_Fechas,TC_Venta_Rango,"",-1)="","",_xlfn.XLOOKUP($B21,TC_Fechas,TC_Venta_Rango,"",-1)),"")))</f>
        <v/>
      </c>
      <c r="O21" s="20">
        <f>IF(OR($C21="",$N21=""),"",ROUND($J21*$N21,2)+ROUND($K21*$N21,2))</f>
        <v/>
      </c>
      <c r="P21" s="31">
        <f>IF($G21="","",IFERROR(INDEX(Catalogo_Tasas,MATCH($G21,Catalogo_Codigos,0)),""))</f>
        <v/>
      </c>
      <c r="Q21" s="32">
        <f>IF($G21="","",IFERROR(INDEX(Catalogo_Umbrales,MATCH($G21,Catalogo_Codigos,0)),""))</f>
        <v/>
      </c>
      <c r="R21">
        <f>IF(OR($C21="",$P21="",$O21=""),"",IF($F21&lt;&gt;"FACTURA","NO",IF(AND($P21&gt;0,$O21&gt;$Q21),"SI","NO")))</f>
        <v/>
      </c>
      <c r="S21" s="20">
        <f>IF($R21="SI",ROUND($O21*$P21,2),IF($C21="","",0))</f>
        <v/>
      </c>
      <c r="T21" s="20" t="n">
        <v>113</v>
      </c>
      <c r="U21">
        <f>IF($C21="","",IF($R21&lt;&gt;"SI","",IF($T21="","SIN DATO",IF(ABS($T21-$S21)&lt;=0.5,"OK","REVISAR"))))</f>
        <v/>
      </c>
      <c r="V21" s="20" t="n"/>
      <c r="W21" s="20">
        <f>IF(OR($C21="",$N21=""),"",IF($F21="RHE",ROUND($L21-$V21,2),ROUND($L21-($S21/$N21),2)))</f>
        <v/>
      </c>
      <c r="X21" s="25" t="n"/>
      <c r="Y21" s="25" t="n"/>
      <c r="AB21" t="inlineStr">
        <is>
          <t>PROVEEDOR</t>
        </is>
      </c>
    </row>
    <row r="22">
      <c r="A22" t="n">
        <v>19</v>
      </c>
      <c r="B22" s="25">
        <f>DATE(2026,8,14)</f>
        <v/>
      </c>
      <c r="C22" t="inlineStr">
        <is>
          <t>E001-2661</t>
        </is>
      </c>
      <c r="D22" s="30" t="inlineStr">
        <is>
          <t>20602860958</t>
        </is>
      </c>
      <c r="E22" t="inlineStr">
        <is>
          <t>J &amp; R TURISMO E.I.R.L.</t>
        </is>
      </c>
      <c r="F22" t="inlineStr">
        <is>
          <t>FACTURA</t>
        </is>
      </c>
      <c r="G22" s="30" t="inlineStr">
        <is>
          <t>026</t>
        </is>
      </c>
      <c r="H22">
        <f>IF($G22="","",IFERROR(INDEX(Catalogo_Etiquetas,MATCH($G22,Catalogo_Codigos,0)),"CODIGO NO VALIDO"))</f>
        <v/>
      </c>
      <c r="I22" t="inlineStr">
        <is>
          <t>USD</t>
        </is>
      </c>
      <c r="J22" s="20" t="n">
        <v>660</v>
      </c>
      <c r="K22" s="20" t="n">
        <v>118.8</v>
      </c>
      <c r="L22" s="20">
        <f>IF($C22="","",$J22+$K22)</f>
        <v/>
      </c>
      <c r="M22" s="30" t="inlineStr">
        <is>
          <t>631</t>
        </is>
      </c>
      <c r="N22" s="26">
        <f>IF($C22="","",IF($I22="PEN",1,IFERROR(IF(_xlfn.XLOOKUP($B22,TC_Fechas,TC_Venta_Rango,"",-1)="","",_xlfn.XLOOKUP($B22,TC_Fechas,TC_Venta_Rango,"",-1)),"")))</f>
        <v/>
      </c>
      <c r="O22" s="20">
        <f>IF(OR($C22="",$N22=""),"",ROUND($J22*$N22,2)+ROUND($K22*$N22,2))</f>
        <v/>
      </c>
      <c r="P22" s="31">
        <f>IF($G22="","",IFERROR(INDEX(Catalogo_Tasas,MATCH($G22,Catalogo_Codigos,0)),""))</f>
        <v/>
      </c>
      <c r="Q22" s="32">
        <f>IF($G22="","",IFERROR(INDEX(Catalogo_Umbrales,MATCH($G22,Catalogo_Codigos,0)),""))</f>
        <v/>
      </c>
      <c r="R22">
        <f>IF(OR($C22="",$P22="",$O22=""),"",IF($F22&lt;&gt;"FACTURA","NO",IF(AND($P22&gt;0,$O22&gt;$Q22),"SI","NO")))</f>
        <v/>
      </c>
      <c r="S22" s="20">
        <f>IF($R22="SI",ROUND($O22*$P22,2),IF($C22="","",0))</f>
        <v/>
      </c>
      <c r="T22" s="20" t="n">
        <v>262.53</v>
      </c>
      <c r="U22">
        <f>IF($C22="","",IF($R22&lt;&gt;"SI","",IF($T22="","SIN DATO",IF(ABS($T22-$S22)&lt;=0.5,"OK","REVISAR"))))</f>
        <v/>
      </c>
      <c r="V22" s="20" t="n"/>
      <c r="W22" s="20">
        <f>IF(OR($C22="",$N22=""),"",IF($F22="RHE",ROUND($L22-$V22,2),ROUND($L22-($S22/$N22),2)))</f>
        <v/>
      </c>
      <c r="X22" s="25" t="n"/>
      <c r="Y22" s="25" t="n"/>
      <c r="AB22" t="inlineStr">
        <is>
          <t>PROVEEDOR</t>
        </is>
      </c>
    </row>
    <row r="23">
      <c r="A23" t="n">
        <v>20</v>
      </c>
      <c r="B23" s="25">
        <f>DATE(2026,8,13)</f>
        <v/>
      </c>
      <c r="C23" t="inlineStr">
        <is>
          <t>E001-9</t>
        </is>
      </c>
      <c r="D23" s="30" t="inlineStr">
        <is>
          <t>10726172591</t>
        </is>
      </c>
      <c r="E23" t="inlineStr">
        <is>
          <t>LUCERO KARLA MADGE BOCANEGRA</t>
        </is>
      </c>
      <c r="F23" t="inlineStr">
        <is>
          <t>RHE</t>
        </is>
      </c>
      <c r="G23" s="30" t="inlineStr">
        <is>
          <t>N/A</t>
        </is>
      </c>
      <c r="H23">
        <f>IF($G23="","",IFERROR(INDEX(Catalogo_Etiquetas,MATCH($G23,Catalogo_Codigos,0)),"CODIGO NO VALIDO"))</f>
        <v/>
      </c>
      <c r="I23" t="inlineStr">
        <is>
          <t>PEN</t>
        </is>
      </c>
      <c r="J23" s="20" t="n">
        <v>1100</v>
      </c>
      <c r="K23" s="20" t="n">
        <v>0</v>
      </c>
      <c r="L23" s="20">
        <f>IF($C23="","",$J23+$K23)</f>
        <v/>
      </c>
      <c r="M23" s="30" t="inlineStr">
        <is>
          <t>632</t>
        </is>
      </c>
      <c r="N23" s="26">
        <f>IF($C23="","",IF($I23="PEN",1,IFERROR(IF(_xlfn.XLOOKUP($B23,TC_Fechas,TC_Venta_Rango,"",-1)="","",_xlfn.XLOOKUP($B23,TC_Fechas,TC_Venta_Rango,"",-1)),"")))</f>
        <v/>
      </c>
      <c r="O23" s="20">
        <f>IF(OR($C23="",$N23=""),"",ROUND($J23*$N23,2)+ROUND($K23*$N23,2))</f>
        <v/>
      </c>
      <c r="P23" s="31">
        <f>IF($G23="","",IFERROR(INDEX(Catalogo_Tasas,MATCH($G23,Catalogo_Codigos,0)),""))</f>
        <v/>
      </c>
      <c r="Q23" s="32">
        <f>IF($G23="","",IFERROR(INDEX(Catalogo_Umbrales,MATCH($G23,Catalogo_Codigos,0)),""))</f>
        <v/>
      </c>
      <c r="R23">
        <f>IF(OR($C23="",$P23="",$O23=""),"",IF($F23&lt;&gt;"FACTURA","NO",IF(AND($P23&gt;0,$O23&gt;$Q23),"SI","NO")))</f>
        <v/>
      </c>
      <c r="S23" s="20">
        <f>IF($R23="SI",ROUND($O23*$P23,2),IF($C23="","",0))</f>
        <v/>
      </c>
      <c r="T23" s="20" t="n"/>
      <c r="U23">
        <f>IF($C23="","",IF($R23&lt;&gt;"SI","",IF($T23="","SIN DATO",IF(ABS($T23-$S23)&lt;=0.5,"OK","REVISAR"))))</f>
        <v/>
      </c>
      <c r="V23" s="20" t="n"/>
      <c r="W23" s="20">
        <f>IF(OR($C23="",$N23=""),"",IF($F23="RHE",ROUND($L23-$V23,2),ROUND($L23-($S23/$N23),2)))</f>
        <v/>
      </c>
      <c r="X23" s="25" t="n"/>
      <c r="Y23" s="25" t="n"/>
      <c r="AB23" t="inlineStr">
        <is>
          <t>ADMINISTRATIVO</t>
        </is>
      </c>
    </row>
    <row r="24">
      <c r="A24" t="n">
        <v>21</v>
      </c>
      <c r="B24" s="25">
        <f>DATE(2026,8,14)</f>
        <v/>
      </c>
      <c r="C24" t="inlineStr">
        <is>
          <t>E001- 32</t>
        </is>
      </c>
      <c r="D24" s="30" t="inlineStr">
        <is>
          <t>10490200784</t>
        </is>
      </c>
      <c r="E24" t="inlineStr">
        <is>
          <t>NIKOLSKAIA VALENTINA</t>
        </is>
      </c>
      <c r="F24" t="inlineStr">
        <is>
          <t>RHE</t>
        </is>
      </c>
      <c r="G24" s="30" t="inlineStr">
        <is>
          <t>N/A</t>
        </is>
      </c>
      <c r="H24">
        <f>IF($G24="","",IFERROR(INDEX(Catalogo_Etiquetas,MATCH($G24,Catalogo_Codigos,0)),"CODIGO NO VALIDO"))</f>
        <v/>
      </c>
      <c r="I24" t="inlineStr">
        <is>
          <t>USD</t>
        </is>
      </c>
      <c r="J24" s="20" t="n">
        <v>700</v>
      </c>
      <c r="K24" s="20" t="n">
        <v>0</v>
      </c>
      <c r="L24" s="20">
        <f>IF($C24="","",$J24+$K24)</f>
        <v/>
      </c>
      <c r="M24" s="30" t="inlineStr">
        <is>
          <t>632</t>
        </is>
      </c>
      <c r="N24" s="26">
        <f>IF($C24="","",IF($I24="PEN",1,IFERROR(IF(_xlfn.XLOOKUP($B24,TC_Fechas,TC_Venta_Rango,"",-1)="","",_xlfn.XLOOKUP($B24,TC_Fechas,TC_Venta_Rango,"",-1)),"")))</f>
        <v/>
      </c>
      <c r="O24" s="20">
        <f>IF(OR($C24="",$N24=""),"",ROUND($J24*$N24,2)+ROUND($K24*$N24,2))</f>
        <v/>
      </c>
      <c r="P24" s="31">
        <f>IF($G24="","",IFERROR(INDEX(Catalogo_Tasas,MATCH($G24,Catalogo_Codigos,0)),""))</f>
        <v/>
      </c>
      <c r="Q24" s="32">
        <f>IF($G24="","",IFERROR(INDEX(Catalogo_Umbrales,MATCH($G24,Catalogo_Codigos,0)),""))</f>
        <v/>
      </c>
      <c r="R24">
        <f>IF(OR($C24="",$P24="",$O24=""),"",IF($F24&lt;&gt;"FACTURA","NO",IF(AND($P24&gt;0,$O24&gt;$Q24),"SI","NO")))</f>
        <v/>
      </c>
      <c r="S24" s="20">
        <f>IF($R24="SI",ROUND($O24*$P24,2),IF($C24="","",0))</f>
        <v/>
      </c>
      <c r="T24" s="20" t="n"/>
      <c r="U24">
        <f>IF($C24="","",IF($R24&lt;&gt;"SI","",IF($T24="","SIN DATO",IF(ABS($T24-$S24)&lt;=0.5,"OK","REVISAR"))))</f>
        <v/>
      </c>
      <c r="V24" s="20" t="n"/>
      <c r="W24" s="20">
        <f>IF(OR($C24="",$N24=""),"",IF($F24="RHE",ROUND($L24-$V24,2),ROUND($L24-($S24/$N24),2)))</f>
        <v/>
      </c>
      <c r="X24" s="25" t="n"/>
      <c r="Y24" s="25" t="n"/>
      <c r="AB24" t="inlineStr">
        <is>
          <t>PROVEEDOR</t>
        </is>
      </c>
    </row>
    <row r="25">
      <c r="A25" t="n">
        <v>22</v>
      </c>
      <c r="B25" s="25">
        <f>DATE(2026,8,12)</f>
        <v/>
      </c>
      <c r="C25" t="inlineStr">
        <is>
          <t>F001-00000737</t>
        </is>
      </c>
      <c r="D25" s="30" t="inlineStr">
        <is>
          <t>20603386214</t>
        </is>
      </c>
      <c r="E25" t="inlineStr">
        <is>
          <t>PERUVIAN CULTURE TRAVEL AGENCIA DE VIAJES Y TURISMO S.R.L.</t>
        </is>
      </c>
      <c r="F25" t="inlineStr">
        <is>
          <t>FACTURA</t>
        </is>
      </c>
      <c r="G25" s="30" t="inlineStr">
        <is>
          <t>N/A</t>
        </is>
      </c>
      <c r="H25">
        <f>IF($G25="","",IFERROR(INDEX(Catalogo_Etiquetas,MATCH($G25,Catalogo_Codigos,0)),"CODIGO NO VALIDO"))</f>
        <v/>
      </c>
      <c r="I25" t="inlineStr">
        <is>
          <t>USD</t>
        </is>
      </c>
      <c r="J25" s="20" t="n">
        <v>61.02</v>
      </c>
      <c r="K25" s="20" t="n">
        <v>10.98</v>
      </c>
      <c r="L25" s="20">
        <f>IF($C25="","",$J25+$K25)</f>
        <v/>
      </c>
      <c r="M25" s="30" t="inlineStr">
        <is>
          <t>639</t>
        </is>
      </c>
      <c r="N25" s="26">
        <f>IF($C25="","",IF($I25="PEN",1,IFERROR(IF(_xlfn.XLOOKUP($B25,TC_Fechas,TC_Venta_Rango,"",-1)="","",_xlfn.XLOOKUP($B25,TC_Fechas,TC_Venta_Rango,"",-1)),"")))</f>
        <v/>
      </c>
      <c r="O25" s="20">
        <f>IF(OR($C25="",$N25=""),"",ROUND($J25*$N25,2)+ROUND($K25*$N25,2))</f>
        <v/>
      </c>
      <c r="P25" s="31">
        <f>IF($G25="","",IFERROR(INDEX(Catalogo_Tasas,MATCH($G25,Catalogo_Codigos,0)),""))</f>
        <v/>
      </c>
      <c r="Q25" s="32">
        <f>IF($G25="","",IFERROR(INDEX(Catalogo_Umbrales,MATCH($G25,Catalogo_Codigos,0)),""))</f>
        <v/>
      </c>
      <c r="R25">
        <f>IF(OR($C25="",$P25="",$O25=""),"",IF($F25&lt;&gt;"FACTURA","NO",IF(AND($P25&gt;0,$O25&gt;$Q25),"SI","NO")))</f>
        <v/>
      </c>
      <c r="S25" s="20">
        <f>IF($R25="SI",ROUND($O25*$P25,2),IF($C25="","",0))</f>
        <v/>
      </c>
      <c r="T25" s="20" t="n"/>
      <c r="U25">
        <f>IF($C25="","",IF($R25&lt;&gt;"SI","",IF($T25="","SIN DATO",IF(ABS($T25-$S25)&lt;=0.5,"OK","REVISAR"))))</f>
        <v/>
      </c>
      <c r="V25" s="20" t="n"/>
      <c r="W25" s="20">
        <f>IF(OR($C25="",$N25=""),"",IF($F25="RHE",ROUND($L25-$V25,2),ROUND($L25-($S25/$N25),2)))</f>
        <v/>
      </c>
      <c r="X25" s="25" t="n"/>
      <c r="Y25" s="25" t="n"/>
      <c r="AB25" t="inlineStr">
        <is>
          <t>PROVEEDOR</t>
        </is>
      </c>
    </row>
    <row r="26">
      <c r="A26" t="n">
        <v>23</v>
      </c>
      <c r="B26" s="25">
        <f>DATE(2026,8,17)</f>
        <v/>
      </c>
      <c r="C26" t="inlineStr">
        <is>
          <t>E001- 504</t>
        </is>
      </c>
      <c r="D26" s="30" t="inlineStr">
        <is>
          <t>10422800102</t>
        </is>
      </c>
      <c r="E26" t="inlineStr">
        <is>
          <t>SARMIENTO LOPEZ LUIS RONALD</t>
        </is>
      </c>
      <c r="F26" t="inlineStr">
        <is>
          <t>RHE</t>
        </is>
      </c>
      <c r="G26" s="30" t="inlineStr">
        <is>
          <t>N/A</t>
        </is>
      </c>
      <c r="H26">
        <f>IF($G26="","",IFERROR(INDEX(Catalogo_Etiquetas,MATCH($G26,Catalogo_Codigos,0)),"CODIGO NO VALIDO"))</f>
        <v/>
      </c>
      <c r="I26" t="inlineStr">
        <is>
          <t>USD</t>
        </is>
      </c>
      <c r="J26" s="20" t="n">
        <v>157</v>
      </c>
      <c r="K26" s="20" t="n">
        <v>0</v>
      </c>
      <c r="L26" s="20">
        <f>IF($C26="","",$J26+$K26)</f>
        <v/>
      </c>
      <c r="M26" s="30" t="inlineStr">
        <is>
          <t>632</t>
        </is>
      </c>
      <c r="N26" s="26">
        <f>IF($C26="","",IF($I26="PEN",1,IFERROR(IF(_xlfn.XLOOKUP($B26,TC_Fechas,TC_Venta_Rango,"",-1)="","",_xlfn.XLOOKUP($B26,TC_Fechas,TC_Venta_Rango,"",-1)),"")))</f>
        <v/>
      </c>
      <c r="O26" s="20">
        <f>IF(OR($C26="",$N26=""),"",ROUND($J26*$N26,2)+ROUND($K26*$N26,2))</f>
        <v/>
      </c>
      <c r="P26" s="31">
        <f>IF($G26="","",IFERROR(INDEX(Catalogo_Tasas,MATCH($G26,Catalogo_Codigos,0)),""))</f>
        <v/>
      </c>
      <c r="Q26" s="32">
        <f>IF($G26="","",IFERROR(INDEX(Catalogo_Umbrales,MATCH($G26,Catalogo_Codigos,0)),""))</f>
        <v/>
      </c>
      <c r="R26">
        <f>IF(OR($C26="",$P26="",$O26=""),"",IF($F26&lt;&gt;"FACTURA","NO",IF(AND($P26&gt;0,$O26&gt;$Q26),"SI","NO")))</f>
        <v/>
      </c>
      <c r="S26" s="20">
        <f>IF($R26="SI",ROUND($O26*$P26,2),IF($C26="","",0))</f>
        <v/>
      </c>
      <c r="T26" s="20" t="n"/>
      <c r="U26">
        <f>IF($C26="","",IF($R26&lt;&gt;"SI","",IF($T26="","SIN DATO",IF(ABS($T26-$S26)&lt;=0.5,"OK","REVISAR"))))</f>
        <v/>
      </c>
      <c r="V26" s="20" t="n">
        <v>12.56</v>
      </c>
      <c r="W26" s="20">
        <f>IF(OR($C26="",$N26=""),"",IF($F26="RHE",ROUND($L26-$V26,2),ROUND($L26-($S26/$N26),2)))</f>
        <v/>
      </c>
      <c r="X26" s="25" t="n"/>
      <c r="Y26" s="25" t="n"/>
      <c r="AB26" t="inlineStr">
        <is>
          <t>PROVEEDOR</t>
        </is>
      </c>
    </row>
    <row r="27">
      <c r="A27" t="n">
        <v>24</v>
      </c>
      <c r="B27" s="25">
        <f>DATE(2026,8,8)</f>
        <v/>
      </c>
      <c r="C27" t="inlineStr">
        <is>
          <t>E001-1230</t>
        </is>
      </c>
      <c r="D27" s="30" t="inlineStr">
        <is>
          <t>20600179005</t>
        </is>
      </c>
      <c r="E27" t="inlineStr">
        <is>
          <t>TRANSPORTES TURISTICOS LASER S.A.C.</t>
        </is>
      </c>
      <c r="F27" t="inlineStr">
        <is>
          <t>FACTURA</t>
        </is>
      </c>
      <c r="G27" s="30" t="inlineStr">
        <is>
          <t>026</t>
        </is>
      </c>
      <c r="H27">
        <f>IF($G27="","",IFERROR(INDEX(Catalogo_Etiquetas,MATCH($G27,Catalogo_Codigos,0)),"CODIGO NO VALIDO"))</f>
        <v/>
      </c>
      <c r="I27" t="inlineStr">
        <is>
          <t>USD</t>
        </is>
      </c>
      <c r="J27" s="20" t="n">
        <v>1267.74</v>
      </c>
      <c r="K27" s="20" t="n">
        <v>228.19</v>
      </c>
      <c r="L27" s="20">
        <f>IF($C27="","",$J27+$K27)</f>
        <v/>
      </c>
      <c r="M27" s="30" t="inlineStr">
        <is>
          <t>631</t>
        </is>
      </c>
      <c r="N27" s="26">
        <f>IF($C27="","",IF($I27="PEN",1,IFERROR(IF(_xlfn.XLOOKUP($B27,TC_Fechas,TC_Venta_Rango,"",-1)="","",_xlfn.XLOOKUP($B27,TC_Fechas,TC_Venta_Rango,"",-1)),"")))</f>
        <v/>
      </c>
      <c r="O27" s="20">
        <f>IF(OR($C27="",$N27=""),"",ROUND($J27*$N27,2)+ROUND($K27*$N27,2))</f>
        <v/>
      </c>
      <c r="P27" s="31">
        <f>IF($G27="","",IFERROR(INDEX(Catalogo_Tasas,MATCH($G27,Catalogo_Codigos,0)),""))</f>
        <v/>
      </c>
      <c r="Q27" s="32">
        <f>IF($G27="","",IFERROR(INDEX(Catalogo_Umbrales,MATCH($G27,Catalogo_Codigos,0)),""))</f>
        <v/>
      </c>
      <c r="R27">
        <f>IF(OR($C27="",$P27="",$O27=""),"",IF($F27&lt;&gt;"FACTURA","NO",IF(AND($P27&gt;0,$O27&gt;$Q27),"SI","NO")))</f>
        <v/>
      </c>
      <c r="S27" s="20">
        <f>IF($R27="SI",ROUND($O27*$P27,2),IF($C27="","",0))</f>
        <v/>
      </c>
      <c r="T27" s="20" t="n">
        <v>508</v>
      </c>
      <c r="U27">
        <f>IF($C27="","",IF($R27&lt;&gt;"SI","",IF($T27="","SIN DATO",IF(ABS($T27-$S27)&lt;=0.5,"OK","REVISAR"))))</f>
        <v/>
      </c>
      <c r="V27" s="20" t="n"/>
      <c r="W27" s="20">
        <f>IF(OR($C27="",$N27=""),"",IF($F27="RHE",ROUND($L27-$V27,2),ROUND($L27-($S27/$N27),2)))</f>
        <v/>
      </c>
      <c r="X27" s="25" t="n"/>
      <c r="Y27" s="25" t="n"/>
      <c r="AB27" t="inlineStr">
        <is>
          <t>PROVEEDOR</t>
        </is>
      </c>
    </row>
    <row r="28">
      <c r="A28" t="n">
        <v>25</v>
      </c>
      <c r="B28" s="25">
        <f>DATE(2026,8,8)</f>
        <v/>
      </c>
      <c r="C28" t="inlineStr">
        <is>
          <t>E001-1881</t>
        </is>
      </c>
      <c r="D28" s="30" t="inlineStr">
        <is>
          <t>20358309870</t>
        </is>
      </c>
      <c r="E28" t="inlineStr">
        <is>
          <t>CAMPING TOURS E.I.R.LTDA</t>
        </is>
      </c>
      <c r="F28" t="inlineStr">
        <is>
          <t>FACTURA</t>
        </is>
      </c>
      <c r="G28" s="30" t="inlineStr">
        <is>
          <t>037</t>
        </is>
      </c>
      <c r="H28">
        <f>IF($G28="","",IFERROR(INDEX(Catalogo_Etiquetas,MATCH($G28,Catalogo_Codigos,0)),"CODIGO NO VALIDO"))</f>
        <v/>
      </c>
      <c r="I28" t="inlineStr">
        <is>
          <t>USD</t>
        </is>
      </c>
      <c r="J28" s="20" t="n">
        <v>247.42</v>
      </c>
      <c r="K28" s="20" t="n">
        <v>44.53</v>
      </c>
      <c r="L28" s="20">
        <f>IF($C28="","",$J28+$K28)</f>
        <v/>
      </c>
      <c r="M28" s="30" t="inlineStr">
        <is>
          <t>639</t>
        </is>
      </c>
      <c r="N28" s="26">
        <f>IF($C28="","",IF($I28="PEN",1,IFERROR(IF(_xlfn.XLOOKUP($B28,TC_Fechas,TC_Venta_Rango,"",-1)="","",_xlfn.XLOOKUP($B28,TC_Fechas,TC_Venta_Rango,"",-1)),"")))</f>
        <v/>
      </c>
      <c r="O28" s="20">
        <f>IF(OR($C28="",$N28=""),"",ROUND($J28*$N28,2)+ROUND($K28*$N28,2))</f>
        <v/>
      </c>
      <c r="P28" s="31">
        <f>IF($G28="","",IFERROR(INDEX(Catalogo_Tasas,MATCH($G28,Catalogo_Codigos,0)),""))</f>
        <v/>
      </c>
      <c r="Q28" s="32">
        <f>IF($G28="","",IFERROR(INDEX(Catalogo_Umbrales,MATCH($G28,Catalogo_Codigos,0)),""))</f>
        <v/>
      </c>
      <c r="R28">
        <f>IF(OR($C28="",$P28="",$O28=""),"",IF($F28&lt;&gt;"FACTURA","NO",IF(AND($P28&gt;0,$O28&gt;$Q28),"SI","NO")))</f>
        <v/>
      </c>
      <c r="S28" s="20">
        <f>IF($R28="SI",ROUND($O28*$P28,2),IF($C28="","",0))</f>
        <v/>
      </c>
      <c r="T28" s="20" t="n">
        <v>118.8</v>
      </c>
      <c r="U28">
        <f>IF($C28="","",IF($R28&lt;&gt;"SI","",IF($T28="","SIN DATO",IF(ABS($T28-$S28)&lt;=0.5,"OK","REVISAR"))))</f>
        <v/>
      </c>
      <c r="V28" s="20" t="n"/>
      <c r="W28" s="20">
        <f>IF(OR($C28="",$N28=""),"",IF($F28="RHE",ROUND($L28-$V28,2),ROUND($L28-($S28/$N28),2)))</f>
        <v/>
      </c>
      <c r="X28" s="25" t="n"/>
      <c r="Y28" s="25" t="n"/>
      <c r="AB28" t="inlineStr">
        <is>
          <t>PROVEEDOR</t>
        </is>
      </c>
    </row>
    <row r="29">
      <c r="A29" t="n">
        <v>26</v>
      </c>
      <c r="B29" s="25">
        <f>DATE(2026,8,18)</f>
        <v/>
      </c>
      <c r="C29" t="inlineStr">
        <is>
          <t>F078-00047775</t>
        </is>
      </c>
      <c r="D29" s="30" t="inlineStr">
        <is>
          <t>20505670443</t>
        </is>
      </c>
      <c r="E29" t="inlineStr">
        <is>
          <t>NESSUS HOTELES PERU S.A. (Casa Andina Select Arequipa)</t>
        </is>
      </c>
      <c r="F29" t="inlineStr">
        <is>
          <t>FACTURA</t>
        </is>
      </c>
      <c r="G29" s="30" t="inlineStr">
        <is>
          <t>N/A</t>
        </is>
      </c>
      <c r="H29">
        <f>IF($G29="","",IFERROR(INDEX(Catalogo_Etiquetas,MATCH($G29,Catalogo_Codigos,0)),"CODIGO NO VALIDO"))</f>
        <v/>
      </c>
      <c r="I29" t="inlineStr">
        <is>
          <t>USD</t>
        </is>
      </c>
      <c r="J29" s="20" t="n">
        <v>274</v>
      </c>
      <c r="K29" s="20" t="n">
        <v>0</v>
      </c>
      <c r="L29" s="20">
        <f>IF($C29="","",$J29+$K29)</f>
        <v/>
      </c>
      <c r="M29" s="30" t="inlineStr">
        <is>
          <t>639</t>
        </is>
      </c>
      <c r="N29" s="26">
        <f>IF($C29="","",IF($I29="PEN",1,IFERROR(IF(_xlfn.XLOOKUP($B29,TC_Fechas,TC_Venta_Rango,"",-1)="","",_xlfn.XLOOKUP($B29,TC_Fechas,TC_Venta_Rango,"",-1)),"")))</f>
        <v/>
      </c>
      <c r="O29" s="20">
        <f>IF(OR($C29="",$N29=""),"",ROUND($J29*$N29,2)+ROUND($K29*$N29,2))</f>
        <v/>
      </c>
      <c r="P29" s="31">
        <f>IF($G29="","",IFERROR(INDEX(Catalogo_Tasas,MATCH($G29,Catalogo_Codigos,0)),""))</f>
        <v/>
      </c>
      <c r="Q29" s="32">
        <f>IF($G29="","",IFERROR(INDEX(Catalogo_Umbrales,MATCH($G29,Catalogo_Codigos,0)),""))</f>
        <v/>
      </c>
      <c r="R29">
        <f>IF(OR($C29="",$P29="",$O29=""),"",IF($F29&lt;&gt;"FACTURA","NO",IF(AND($P29&gt;0,$O29&gt;$Q29),"SI","NO")))</f>
        <v/>
      </c>
      <c r="S29" s="20">
        <f>IF($R29="SI",ROUND($O29*$P29,2),IF($C29="","",0))</f>
        <v/>
      </c>
      <c r="T29" s="20" t="n"/>
      <c r="U29">
        <f>IF($C29="","",IF($R29&lt;&gt;"SI","",IF($T29="","SIN DATO",IF(ABS($T29-$S29)&lt;=0.5,"OK","REVISAR"))))</f>
        <v/>
      </c>
      <c r="V29" s="20" t="n"/>
      <c r="W29" s="20">
        <f>IF(OR($C29="",$N29=""),"",IF($F29="RHE",ROUND($L29-$V29,2),ROUND($L29-($S29/$N29),2)))</f>
        <v/>
      </c>
      <c r="X29" s="25" t="n"/>
      <c r="Y29" s="25" t="n"/>
      <c r="AB29" t="inlineStr">
        <is>
          <t>PROVEEDOR</t>
        </is>
      </c>
    </row>
    <row r="30">
      <c r="A30" t="n">
        <v>27</v>
      </c>
      <c r="B30" s="25">
        <f>DATE(2026,8,6)</f>
        <v/>
      </c>
      <c r="C30" t="inlineStr">
        <is>
          <t>E001-327</t>
        </is>
      </c>
      <c r="D30" s="30" t="inlineStr">
        <is>
          <t>20603668406</t>
        </is>
      </c>
      <c r="E30" t="inlineStr">
        <is>
          <t>LUXURY ADVENTURE CUSCO PERU E.I.R.L.</t>
        </is>
      </c>
      <c r="F30" t="inlineStr">
        <is>
          <t>FACTURA</t>
        </is>
      </c>
      <c r="G30" s="30" t="inlineStr">
        <is>
          <t>N/A</t>
        </is>
      </c>
      <c r="H30">
        <f>IF($G30="","",IFERROR(INDEX(Catalogo_Etiquetas,MATCH($G30,Catalogo_Codigos,0)),"CODIGO NO VALIDO"))</f>
        <v/>
      </c>
      <c r="I30" t="inlineStr">
        <is>
          <t>USD</t>
        </is>
      </c>
      <c r="J30" s="20" t="n">
        <v>88.98</v>
      </c>
      <c r="K30" s="20" t="n">
        <v>16.02</v>
      </c>
      <c r="L30" s="20">
        <f>IF($C30="","",$J30+$K30)</f>
        <v/>
      </c>
      <c r="M30" s="30" t="inlineStr">
        <is>
          <t>639</t>
        </is>
      </c>
      <c r="N30" s="26">
        <f>IF($C30="","",IF($I30="PEN",1,IFERROR(IF(_xlfn.XLOOKUP($B30,TC_Fechas,TC_Venta_Rango,"",-1)="","",_xlfn.XLOOKUP($B30,TC_Fechas,TC_Venta_Rango,"",-1)),"")))</f>
        <v/>
      </c>
      <c r="O30" s="20">
        <f>IF(OR($C30="",$N30=""),"",ROUND($J30*$N30,2)+ROUND($K30*$N30,2))</f>
        <v/>
      </c>
      <c r="P30" s="31">
        <f>IF($G30="","",IFERROR(INDEX(Catalogo_Tasas,MATCH($G30,Catalogo_Codigos,0)),""))</f>
        <v/>
      </c>
      <c r="Q30" s="32">
        <f>IF($G30="","",IFERROR(INDEX(Catalogo_Umbrales,MATCH($G30,Catalogo_Codigos,0)),""))</f>
        <v/>
      </c>
      <c r="R30">
        <f>IF(OR($C30="",$P30="",$O30=""),"",IF($F30&lt;&gt;"FACTURA","NO",IF(AND($P30&gt;0,$O30&gt;$Q30),"SI","NO")))</f>
        <v/>
      </c>
      <c r="S30" s="20">
        <f>IF($R30="SI",ROUND($O30*$P30,2),IF($C30="","",0))</f>
        <v/>
      </c>
      <c r="T30" s="20" t="n"/>
      <c r="U30">
        <f>IF($C30="","",IF($R30&lt;&gt;"SI","",IF($T30="","SIN DATO",IF(ABS($T30-$S30)&lt;=0.5,"OK","REVISAR"))))</f>
        <v/>
      </c>
      <c r="V30" s="20" t="n"/>
      <c r="W30" s="20">
        <f>IF(OR($C30="",$N30=""),"",IF($F30="RHE",ROUND($L30-$V30,2),ROUND($L30-($S30/$N30),2)))</f>
        <v/>
      </c>
      <c r="X30" s="25" t="n"/>
      <c r="Y30" s="25" t="n"/>
      <c r="AB30" t="inlineStr">
        <is>
          <t>PROVEEDOR</t>
        </is>
      </c>
    </row>
    <row r="31">
      <c r="A31" t="n">
        <v>28</v>
      </c>
      <c r="B31" s="25">
        <f>DATE(2026,8,6)</f>
        <v/>
      </c>
      <c r="C31" t="inlineStr">
        <is>
          <t>E001-332</t>
        </is>
      </c>
      <c r="D31" s="30" t="inlineStr">
        <is>
          <t>20603668406</t>
        </is>
      </c>
      <c r="E31" t="inlineStr">
        <is>
          <t>LUXURY ADVENTURE CUSCO PERU E.I.R.L.</t>
        </is>
      </c>
      <c r="F31" t="inlineStr">
        <is>
          <t>FACTURA</t>
        </is>
      </c>
      <c r="G31" s="30" t="inlineStr">
        <is>
          <t>N/A</t>
        </is>
      </c>
      <c r="H31">
        <f>IF($G31="","",IFERROR(INDEX(Catalogo_Etiquetas,MATCH($G31,Catalogo_Codigos,0)),"CODIGO NO VALIDO"))</f>
        <v/>
      </c>
      <c r="I31" t="inlineStr">
        <is>
          <t>USD</t>
        </is>
      </c>
      <c r="J31" s="20" t="n">
        <v>103.81</v>
      </c>
      <c r="K31" s="20" t="n">
        <v>18.69</v>
      </c>
      <c r="L31" s="20">
        <f>IF($C31="","",$J31+$K31)</f>
        <v/>
      </c>
      <c r="M31" s="30" t="inlineStr">
        <is>
          <t>639</t>
        </is>
      </c>
      <c r="N31" s="26">
        <f>IF($C31="","",IF($I31="PEN",1,IFERROR(IF(_xlfn.XLOOKUP($B31,TC_Fechas,TC_Venta_Rango,"",-1)="","",_xlfn.XLOOKUP($B31,TC_Fechas,TC_Venta_Rango,"",-1)),"")))</f>
        <v/>
      </c>
      <c r="O31" s="20">
        <f>IF(OR($C31="",$N31=""),"",ROUND($J31*$N31,2)+ROUND($K31*$N31,2))</f>
        <v/>
      </c>
      <c r="P31" s="31">
        <f>IF($G31="","",IFERROR(INDEX(Catalogo_Tasas,MATCH($G31,Catalogo_Codigos,0)),""))</f>
        <v/>
      </c>
      <c r="Q31" s="32">
        <f>IF($G31="","",IFERROR(INDEX(Catalogo_Umbrales,MATCH($G31,Catalogo_Codigos,0)),""))</f>
        <v/>
      </c>
      <c r="R31">
        <f>IF(OR($C31="",$P31="",$O31=""),"",IF($F31&lt;&gt;"FACTURA","NO",IF(AND($P31&gt;0,$O31&gt;$Q31),"SI","NO")))</f>
        <v/>
      </c>
      <c r="S31" s="20">
        <f>IF($R31="SI",ROUND($O31*$P31,2),IF($C31="","",0))</f>
        <v/>
      </c>
      <c r="T31" s="20" t="n"/>
      <c r="U31">
        <f>IF($C31="","",IF($R31&lt;&gt;"SI","",IF($T31="","SIN DATO",IF(ABS($T31-$S31)&lt;=0.5,"OK","REVISAR"))))</f>
        <v/>
      </c>
      <c r="V31" s="20" t="n"/>
      <c r="W31" s="20">
        <f>IF(OR($C31="",$N31=""),"",IF($F31="RHE",ROUND($L31-$V31,2),ROUND($L31-($S31/$N31),2)))</f>
        <v/>
      </c>
      <c r="X31" s="25" t="n"/>
      <c r="Y31" s="25" t="n"/>
      <c r="AB31" t="inlineStr">
        <is>
          <t>PROVEEDOR</t>
        </is>
      </c>
    </row>
    <row r="32">
      <c r="A32" t="n">
        <v>29</v>
      </c>
      <c r="B32" s="25">
        <f>DATE(2026,8,19)</f>
        <v/>
      </c>
      <c r="C32" t="inlineStr">
        <is>
          <t>F011-30391</t>
        </is>
      </c>
      <c r="D32" s="30" t="inlineStr">
        <is>
          <t>20442088811</t>
        </is>
      </c>
      <c r="E32" t="inlineStr">
        <is>
          <t>ALBERGUE OLLANTAYTAMBO EIRL</t>
        </is>
      </c>
      <c r="F32" t="inlineStr">
        <is>
          <t>FACTURA</t>
        </is>
      </c>
      <c r="G32" s="30" t="inlineStr">
        <is>
          <t>N/A</t>
        </is>
      </c>
      <c r="H32">
        <f>IF($G32="","",IFERROR(INDEX(Catalogo_Etiquetas,MATCH($G32,Catalogo_Codigos,0)),"CODIGO NO VALIDO"))</f>
        <v/>
      </c>
      <c r="I32" t="inlineStr">
        <is>
          <t>USD</t>
        </is>
      </c>
      <c r="J32" s="20" t="n">
        <v>89.06</v>
      </c>
      <c r="K32" s="20" t="n">
        <v>16.03</v>
      </c>
      <c r="L32" s="20">
        <f>IF($C32="","",$J32+$K32)</f>
        <v/>
      </c>
      <c r="M32" s="30" t="inlineStr">
        <is>
          <t>639</t>
        </is>
      </c>
      <c r="N32" s="26">
        <f>IF($C32="","",IF($I32="PEN",1,IFERROR(IF(_xlfn.XLOOKUP($B32,TC_Fechas,TC_Venta_Rango,"",-1)="","",_xlfn.XLOOKUP($B32,TC_Fechas,TC_Venta_Rango,"",-1)),"")))</f>
        <v/>
      </c>
      <c r="O32" s="20">
        <f>IF(OR($C32="",$N32=""),"",ROUND($J32*$N32,2)+ROUND($K32*$N32,2))</f>
        <v/>
      </c>
      <c r="P32" s="31">
        <f>IF($G32="","",IFERROR(INDEX(Catalogo_Tasas,MATCH($G32,Catalogo_Codigos,0)),""))</f>
        <v/>
      </c>
      <c r="Q32" s="32">
        <f>IF($G32="","",IFERROR(INDEX(Catalogo_Umbrales,MATCH($G32,Catalogo_Codigos,0)),""))</f>
        <v/>
      </c>
      <c r="R32">
        <f>IF(OR($C32="",$P32="",$O32=""),"",IF($F32&lt;&gt;"FACTURA","NO",IF(AND($P32&gt;0,$O32&gt;$Q32),"SI","NO")))</f>
        <v/>
      </c>
      <c r="S32" s="20">
        <f>IF($R32="SI",ROUND($O32*$P32,2),IF($C32="","",0))</f>
        <v/>
      </c>
      <c r="T32" s="20" t="n"/>
      <c r="U32">
        <f>IF($C32="","",IF($R32&lt;&gt;"SI","",IF($T32="","SIN DATO",IF(ABS($T32-$S32)&lt;=0.5,"OK","REVISAR"))))</f>
        <v/>
      </c>
      <c r="V32" s="20" t="n"/>
      <c r="W32" s="20">
        <f>IF(OR($C32="",$N32=""),"",IF($F32="RHE",ROUND($L32-$V32,2),ROUND($L32-($S32/$N32),2)))</f>
        <v/>
      </c>
      <c r="X32" s="25" t="n"/>
      <c r="Y32" s="25" t="n"/>
      <c r="AB32" t="inlineStr">
        <is>
          <t>PROVEEDOR</t>
        </is>
      </c>
    </row>
    <row r="33">
      <c r="A33" t="n">
        <v>30</v>
      </c>
      <c r="B33" s="25">
        <f>DATE(2026,8,5)</f>
        <v/>
      </c>
      <c r="C33" t="inlineStr">
        <is>
          <t>E001- 468</t>
        </is>
      </c>
      <c r="D33" s="30" t="inlineStr">
        <is>
          <t>10448269201</t>
        </is>
      </c>
      <c r="E33" t="inlineStr">
        <is>
          <t>ANCAYPURO TORRES JOSE LUIS</t>
        </is>
      </c>
      <c r="F33" t="inlineStr">
        <is>
          <t>RHE</t>
        </is>
      </c>
      <c r="G33" s="30" t="inlineStr">
        <is>
          <t>N/A</t>
        </is>
      </c>
      <c r="H33">
        <f>IF($G33="","",IFERROR(INDEX(Catalogo_Etiquetas,MATCH($G33,Catalogo_Codigos,0)),"CODIGO NO VALIDO"))</f>
        <v/>
      </c>
      <c r="I33" t="inlineStr">
        <is>
          <t>PEN</t>
        </is>
      </c>
      <c r="J33" s="20" t="n">
        <v>40</v>
      </c>
      <c r="K33" s="20" t="n">
        <v>0</v>
      </c>
      <c r="L33" s="20">
        <f>IF($C33="","",$J33+$K33)</f>
        <v/>
      </c>
      <c r="M33" s="30" t="inlineStr">
        <is>
          <t>632</t>
        </is>
      </c>
      <c r="N33" s="26">
        <f>IF($C33="","",IF($I33="PEN",1,IFERROR(IF(_xlfn.XLOOKUP($B33,TC_Fechas,TC_Venta_Rango,"",-1)="","",_xlfn.XLOOKUP($B33,TC_Fechas,TC_Venta_Rango,"",-1)),"")))</f>
        <v/>
      </c>
      <c r="O33" s="20">
        <f>IF(OR($C33="",$N33=""),"",ROUND($J33*$N33,2)+ROUND($K33*$N33,2))</f>
        <v/>
      </c>
      <c r="P33" s="31">
        <f>IF($G33="","",IFERROR(INDEX(Catalogo_Tasas,MATCH($G33,Catalogo_Codigos,0)),""))</f>
        <v/>
      </c>
      <c r="Q33" s="32">
        <f>IF($G33="","",IFERROR(INDEX(Catalogo_Umbrales,MATCH($G33,Catalogo_Codigos,0)),""))</f>
        <v/>
      </c>
      <c r="R33">
        <f>IF(OR($C33="",$P33="",$O33=""),"",IF($F33&lt;&gt;"FACTURA","NO",IF(AND($P33&gt;0,$O33&gt;$Q33),"SI","NO")))</f>
        <v/>
      </c>
      <c r="S33" s="20">
        <f>IF($R33="SI",ROUND($O33*$P33,2),IF($C33="","",0))</f>
        <v/>
      </c>
      <c r="T33" s="20" t="n"/>
      <c r="U33">
        <f>IF($C33="","",IF($R33&lt;&gt;"SI","",IF($T33="","SIN DATO",IF(ABS($T33-$S33)&lt;=0.5,"OK","REVISAR"))))</f>
        <v/>
      </c>
      <c r="V33" s="20" t="n"/>
      <c r="W33" s="20">
        <f>IF(OR($C33="",$N33=""),"",IF($F33="RHE",ROUND($L33-$V33,2),ROUND($L33-($S33/$N33),2)))</f>
        <v/>
      </c>
      <c r="X33" s="25" t="n"/>
      <c r="Y33" s="25" t="n"/>
      <c r="AB33" t="inlineStr">
        <is>
          <t>PROVEEDOR</t>
        </is>
      </c>
    </row>
    <row r="34">
      <c r="A34" t="n">
        <v>31</v>
      </c>
      <c r="B34" s="25">
        <f>DATE(2026,8,10)</f>
        <v/>
      </c>
      <c r="C34" t="inlineStr">
        <is>
          <t>E001- 174</t>
        </is>
      </c>
      <c r="D34" s="30" t="inlineStr">
        <is>
          <t>10408744151</t>
        </is>
      </c>
      <c r="E34" t="inlineStr">
        <is>
          <t>BEOUTIS BAZAN URSULA CATHERINE</t>
        </is>
      </c>
      <c r="F34" t="inlineStr">
        <is>
          <t>RHE</t>
        </is>
      </c>
      <c r="G34" s="30" t="inlineStr">
        <is>
          <t>N/A</t>
        </is>
      </c>
      <c r="H34">
        <f>IF($G34="","",IFERROR(INDEX(Catalogo_Etiquetas,MATCH($G34,Catalogo_Codigos,0)),"CODIGO NO VALIDO"))</f>
        <v/>
      </c>
      <c r="I34" t="inlineStr">
        <is>
          <t>PEN</t>
        </is>
      </c>
      <c r="J34" s="20" t="n">
        <v>1025</v>
      </c>
      <c r="K34" s="20" t="n">
        <v>0</v>
      </c>
      <c r="L34" s="20">
        <f>IF($C34="","",$J34+$K34)</f>
        <v/>
      </c>
      <c r="M34" s="30" t="inlineStr">
        <is>
          <t>632</t>
        </is>
      </c>
      <c r="N34" s="26">
        <f>IF($C34="","",IF($I34="PEN",1,IFERROR(IF(_xlfn.XLOOKUP($B34,TC_Fechas,TC_Venta_Rango,"",-1)="","",_xlfn.XLOOKUP($B34,TC_Fechas,TC_Venta_Rango,"",-1)),"")))</f>
        <v/>
      </c>
      <c r="O34" s="20">
        <f>IF(OR($C34="",$N34=""),"",ROUND($J34*$N34,2)+ROUND($K34*$N34,2))</f>
        <v/>
      </c>
      <c r="P34" s="31">
        <f>IF($G34="","",IFERROR(INDEX(Catalogo_Tasas,MATCH($G34,Catalogo_Codigos,0)),""))</f>
        <v/>
      </c>
      <c r="Q34" s="32">
        <f>IF($G34="","",IFERROR(INDEX(Catalogo_Umbrales,MATCH($G34,Catalogo_Codigos,0)),""))</f>
        <v/>
      </c>
      <c r="R34">
        <f>IF(OR($C34="",$P34="",$O34=""),"",IF($F34&lt;&gt;"FACTURA","NO",IF(AND($P34&gt;0,$O34&gt;$Q34),"SI","NO")))</f>
        <v/>
      </c>
      <c r="S34" s="20">
        <f>IF($R34="SI",ROUND($O34*$P34,2),IF($C34="","",0))</f>
        <v/>
      </c>
      <c r="T34" s="20" t="n"/>
      <c r="U34">
        <f>IF($C34="","",IF($R34&lt;&gt;"SI","",IF($T34="","SIN DATO",IF(ABS($T34-$S34)&lt;=0.5,"OK","REVISAR"))))</f>
        <v/>
      </c>
      <c r="V34" s="20" t="n"/>
      <c r="W34" s="20">
        <f>IF(OR($C34="",$N34=""),"",IF($F34="RHE",ROUND($L34-$V34,2),ROUND($L34-($S34/$N34),2)))</f>
        <v/>
      </c>
      <c r="X34" s="25" t="n"/>
      <c r="Y34" s="25" t="n"/>
      <c r="AB34" t="inlineStr">
        <is>
          <t>ADMINISTRATIVO</t>
        </is>
      </c>
    </row>
    <row r="35">
      <c r="A35" t="n">
        <v>32</v>
      </c>
      <c r="B35" s="25">
        <f>DATE(2026,8,18)</f>
        <v/>
      </c>
      <c r="C35" t="inlineStr">
        <is>
          <t>E001- 546</t>
        </is>
      </c>
      <c r="D35" s="30" t="inlineStr">
        <is>
          <t>10408222490</t>
        </is>
      </c>
      <c r="E35" t="inlineStr">
        <is>
          <t>CARRASCO ALEGRE ROLLY VICTOR</t>
        </is>
      </c>
      <c r="F35" t="inlineStr">
        <is>
          <t>RHE</t>
        </is>
      </c>
      <c r="G35" s="30" t="inlineStr">
        <is>
          <t>N/A</t>
        </is>
      </c>
      <c r="H35">
        <f>IF($G35="","",IFERROR(INDEX(Catalogo_Etiquetas,MATCH($G35,Catalogo_Codigos,0)),"CODIGO NO VALIDO"))</f>
        <v/>
      </c>
      <c r="I35" t="inlineStr">
        <is>
          <t>USD</t>
        </is>
      </c>
      <c r="J35" s="20" t="n">
        <v>60</v>
      </c>
      <c r="K35" s="20" t="n">
        <v>0</v>
      </c>
      <c r="L35" s="20">
        <f>IF($C35="","",$J35+$K35)</f>
        <v/>
      </c>
      <c r="M35" s="30" t="inlineStr">
        <is>
          <t>632</t>
        </is>
      </c>
      <c r="N35" s="26">
        <f>IF($C35="","",IF($I35="PEN",1,IFERROR(IF(_xlfn.XLOOKUP($B35,TC_Fechas,TC_Venta_Rango,"",-1)="","",_xlfn.XLOOKUP($B35,TC_Fechas,TC_Venta_Rango,"",-1)),"")))</f>
        <v/>
      </c>
      <c r="O35" s="20">
        <f>IF(OR($C35="",$N35=""),"",ROUND($J35*$N35,2)+ROUND($K35*$N35,2))</f>
        <v/>
      </c>
      <c r="P35" s="31">
        <f>IF($G35="","",IFERROR(INDEX(Catalogo_Tasas,MATCH($G35,Catalogo_Codigos,0)),""))</f>
        <v/>
      </c>
      <c r="Q35" s="32">
        <f>IF($G35="","",IFERROR(INDEX(Catalogo_Umbrales,MATCH($G35,Catalogo_Codigos,0)),""))</f>
        <v/>
      </c>
      <c r="R35">
        <f>IF(OR($C35="",$P35="",$O35=""),"",IF($F35&lt;&gt;"FACTURA","NO",IF(AND($P35&gt;0,$O35&gt;$Q35),"SI","NO")))</f>
        <v/>
      </c>
      <c r="S35" s="20">
        <f>IF($R35="SI",ROUND($O35*$P35,2),IF($C35="","",0))</f>
        <v/>
      </c>
      <c r="T35" s="20" t="n"/>
      <c r="U35">
        <f>IF($C35="","",IF($R35&lt;&gt;"SI","",IF($T35="","SIN DATO",IF(ABS($T35-$S35)&lt;=0.5,"OK","REVISAR"))))</f>
        <v/>
      </c>
      <c r="V35" s="20" t="n"/>
      <c r="W35" s="20">
        <f>IF(OR($C35="",$N35=""),"",IF($F35="RHE",ROUND($L35-$V35,2),ROUND($L35-($S35/$N35),2)))</f>
        <v/>
      </c>
      <c r="X35" s="25" t="n"/>
      <c r="Y35" s="25" t="n"/>
      <c r="AB35" t="inlineStr">
        <is>
          <t>PROVEEDOR</t>
        </is>
      </c>
    </row>
    <row r="36">
      <c r="A36" t="n">
        <v>33</v>
      </c>
      <c r="B36" s="25">
        <f>DATE(2026,8,14)</f>
        <v/>
      </c>
      <c r="C36" t="inlineStr">
        <is>
          <t>FA02-00001856</t>
        </is>
      </c>
      <c r="D36" s="30" t="inlineStr">
        <is>
          <t>20527992525</t>
        </is>
      </c>
      <c r="E36" t="inlineStr">
        <is>
          <t>CUSCO RESTAURANTS S.A.C.</t>
        </is>
      </c>
      <c r="F36" t="inlineStr">
        <is>
          <t>FACTURA</t>
        </is>
      </c>
      <c r="G36" s="30" t="inlineStr">
        <is>
          <t>N/A</t>
        </is>
      </c>
      <c r="H36">
        <f>IF($G36="","",IFERROR(INDEX(Catalogo_Etiquetas,MATCH($G36,Catalogo_Codigos,0)),"CODIGO NO VALIDO"))</f>
        <v/>
      </c>
      <c r="I36" t="inlineStr">
        <is>
          <t>USD</t>
        </is>
      </c>
      <c r="J36" s="20" t="n">
        <v>54.69</v>
      </c>
      <c r="K36" s="20" t="n">
        <v>9.84</v>
      </c>
      <c r="L36" s="20">
        <f>IF($C36="","",$J36+$K36)</f>
        <v/>
      </c>
      <c r="M36" s="30" t="inlineStr">
        <is>
          <t>639</t>
        </is>
      </c>
      <c r="N36" s="26">
        <f>IF($C36="","",IF($I36="PEN",1,IFERROR(IF(_xlfn.XLOOKUP($B36,TC_Fechas,TC_Venta_Rango,"",-1)="","",_xlfn.XLOOKUP($B36,TC_Fechas,TC_Venta_Rango,"",-1)),"")))</f>
        <v/>
      </c>
      <c r="O36" s="20">
        <f>IF(OR($C36="",$N36=""),"",ROUND($J36*$N36,2)+ROUND($K36*$N36,2))</f>
        <v/>
      </c>
      <c r="P36" s="31">
        <f>IF($G36="","",IFERROR(INDEX(Catalogo_Tasas,MATCH($G36,Catalogo_Codigos,0)),""))</f>
        <v/>
      </c>
      <c r="Q36" s="32">
        <f>IF($G36="","",IFERROR(INDEX(Catalogo_Umbrales,MATCH($G36,Catalogo_Codigos,0)),""))</f>
        <v/>
      </c>
      <c r="R36">
        <f>IF(OR($C36="",$P36="",$O36=""),"",IF($F36&lt;&gt;"FACTURA","NO",IF(AND($P36&gt;0,$O36&gt;$Q36),"SI","NO")))</f>
        <v/>
      </c>
      <c r="S36" s="20">
        <f>IF($R36="SI",ROUND($O36*$P36,2),IF($C36="","",0))</f>
        <v/>
      </c>
      <c r="T36" s="20" t="n"/>
      <c r="U36">
        <f>IF($C36="","",IF($R36&lt;&gt;"SI","",IF($T36="","SIN DATO",IF(ABS($T36-$S36)&lt;=0.5,"OK","REVISAR"))))</f>
        <v/>
      </c>
      <c r="V36" s="20" t="n"/>
      <c r="W36" s="20">
        <f>IF(OR($C36="",$N36=""),"",IF($F36="RHE",ROUND($L36-$V36,2),ROUND($L36-($S36/$N36),2)))</f>
        <v/>
      </c>
      <c r="X36" s="25" t="n"/>
      <c r="Y36" s="25" t="n"/>
      <c r="AB36" t="inlineStr">
        <is>
          <t>PROVEEDOR</t>
        </is>
      </c>
    </row>
    <row r="37">
      <c r="A37" t="n">
        <v>34</v>
      </c>
      <c r="B37" s="25">
        <f>DATE(2026,8,14)</f>
        <v/>
      </c>
      <c r="C37" t="inlineStr">
        <is>
          <t>F005-019033</t>
        </is>
      </c>
      <c r="D37" s="30" t="inlineStr">
        <is>
          <t>20252796623</t>
        </is>
      </c>
      <c r="E37" t="inlineStr">
        <is>
          <t>GRESCO S.A.C.</t>
        </is>
      </c>
      <c r="F37" t="inlineStr">
        <is>
          <t>FACTURA</t>
        </is>
      </c>
      <c r="G37" s="30" t="inlineStr">
        <is>
          <t>N/A</t>
        </is>
      </c>
      <c r="H37">
        <f>IF($G37="","",IFERROR(INDEX(Catalogo_Etiquetas,MATCH($G37,Catalogo_Codigos,0)),"CODIGO NO VALIDO"))</f>
        <v/>
      </c>
      <c r="I37" t="inlineStr">
        <is>
          <t>PEN</t>
        </is>
      </c>
      <c r="J37" s="20" t="n">
        <v>630.5599999999999</v>
      </c>
      <c r="K37" s="20" t="n">
        <v>113.5</v>
      </c>
      <c r="L37" s="20">
        <f>IF($C37="","",$J37+$K37)</f>
        <v/>
      </c>
      <c r="M37" s="30" t="inlineStr">
        <is>
          <t>639</t>
        </is>
      </c>
      <c r="N37" s="26">
        <f>IF($C37="","",IF($I37="PEN",1,IFERROR(IF(_xlfn.XLOOKUP($B37,TC_Fechas,TC_Venta_Rango,"",-1)="","",_xlfn.XLOOKUP($B37,TC_Fechas,TC_Venta_Rango,"",-1)),"")))</f>
        <v/>
      </c>
      <c r="O37" s="20">
        <f>IF(OR($C37="",$N37=""),"",ROUND($J37*$N37,2)+ROUND($K37*$N37,2))</f>
        <v/>
      </c>
      <c r="P37" s="31">
        <f>IF($G37="","",IFERROR(INDEX(Catalogo_Tasas,MATCH($G37,Catalogo_Codigos,0)),""))</f>
        <v/>
      </c>
      <c r="Q37" s="32">
        <f>IF($G37="","",IFERROR(INDEX(Catalogo_Umbrales,MATCH($G37,Catalogo_Codigos,0)),""))</f>
        <v/>
      </c>
      <c r="R37">
        <f>IF(OR($C37="",$P37="",$O37=""),"",IF($F37&lt;&gt;"FACTURA","NO",IF(AND($P37&gt;0,$O37&gt;$Q37),"SI","NO")))</f>
        <v/>
      </c>
      <c r="S37" s="20">
        <f>IF($R37="SI",ROUND($O37*$P37,2),IF($C37="","",0))</f>
        <v/>
      </c>
      <c r="T37" s="20" t="n"/>
      <c r="U37">
        <f>IF($C37="","",IF($R37&lt;&gt;"SI","",IF($T37="","SIN DATO",IF(ABS($T37-$S37)&lt;=0.5,"OK","REVISAR"))))</f>
        <v/>
      </c>
      <c r="V37" s="20" t="n"/>
      <c r="W37" s="20">
        <f>IF(OR($C37="",$N37=""),"",IF($F37="RHE",ROUND($L37-$V37,2),ROUND($L37-($S37/$N37),2)))</f>
        <v/>
      </c>
      <c r="X37" s="25" t="n"/>
      <c r="Y37" s="25" t="n"/>
      <c r="AB37" t="inlineStr">
        <is>
          <t>PROVEEDOR</t>
        </is>
      </c>
    </row>
    <row r="38">
      <c r="A38" t="n">
        <v>35</v>
      </c>
      <c r="B38" s="25">
        <f>DATE(2026,8,13)</f>
        <v/>
      </c>
      <c r="C38" t="inlineStr">
        <is>
          <t>F008-00035633</t>
        </is>
      </c>
      <c r="D38" s="30" t="inlineStr">
        <is>
          <t>20536047906</t>
        </is>
      </c>
      <c r="E38" t="inlineStr">
        <is>
          <t>HOTELERIA PERUANA S.A.C. (TIERRA VIVA HOTELS)</t>
        </is>
      </c>
      <c r="F38" t="inlineStr">
        <is>
          <t>FACTURA</t>
        </is>
      </c>
      <c r="G38" s="30" t="inlineStr">
        <is>
          <t>N/A</t>
        </is>
      </c>
      <c r="H38">
        <f>IF($G38="","",IFERROR(INDEX(Catalogo_Etiquetas,MATCH($G38,Catalogo_Codigos,0)),"CODIGO NO VALIDO"))</f>
        <v/>
      </c>
      <c r="I38" t="inlineStr">
        <is>
          <t>USD</t>
        </is>
      </c>
      <c r="J38" s="20" t="n">
        <v>138.18</v>
      </c>
      <c r="K38" s="20" t="n">
        <v>0</v>
      </c>
      <c r="L38" s="20">
        <f>IF($C38="","",$J38+$K38)</f>
        <v/>
      </c>
      <c r="M38" s="30" t="inlineStr">
        <is>
          <t>639</t>
        </is>
      </c>
      <c r="N38" s="26">
        <f>IF($C38="","",IF($I38="PEN",1,IFERROR(IF(_xlfn.XLOOKUP($B38,TC_Fechas,TC_Venta_Rango,"",-1)="","",_xlfn.XLOOKUP($B38,TC_Fechas,TC_Venta_Rango,"",-1)),"")))</f>
        <v/>
      </c>
      <c r="O38" s="20">
        <f>IF(OR($C38="",$N38=""),"",ROUND($J38*$N38,2)+ROUND($K38*$N38,2))</f>
        <v/>
      </c>
      <c r="P38" s="31">
        <f>IF($G38="","",IFERROR(INDEX(Catalogo_Tasas,MATCH($G38,Catalogo_Codigos,0)),""))</f>
        <v/>
      </c>
      <c r="Q38" s="32">
        <f>IF($G38="","",IFERROR(INDEX(Catalogo_Umbrales,MATCH($G38,Catalogo_Codigos,0)),""))</f>
        <v/>
      </c>
      <c r="R38">
        <f>IF(OR($C38="",$P38="",$O38=""),"",IF($F38&lt;&gt;"FACTURA","NO",IF(AND($P38&gt;0,$O38&gt;$Q38),"SI","NO")))</f>
        <v/>
      </c>
      <c r="S38" s="20">
        <f>IF($R38="SI",ROUND($O38*$P38,2),IF($C38="","",0))</f>
        <v/>
      </c>
      <c r="T38" s="20" t="n"/>
      <c r="U38">
        <f>IF($C38="","",IF($R38&lt;&gt;"SI","",IF($T38="","SIN DATO",IF(ABS($T38-$S38)&lt;=0.5,"OK","REVISAR"))))</f>
        <v/>
      </c>
      <c r="V38" s="20" t="n"/>
      <c r="W38" s="20">
        <f>IF(OR($C38="",$N38=""),"",IF($F38="RHE",ROUND($L38-$V38,2),ROUND($L38-($S38/$N38),2)))</f>
        <v/>
      </c>
      <c r="X38" s="25" t="n"/>
      <c r="Y38" s="25" t="n"/>
      <c r="AB38" t="inlineStr">
        <is>
          <t>PROVEEDOR</t>
        </is>
      </c>
    </row>
    <row r="39">
      <c r="A39" t="n">
        <v>36</v>
      </c>
      <c r="B39" s="25">
        <f>DATE(2026,8,17)</f>
        <v/>
      </c>
      <c r="C39" t="inlineStr">
        <is>
          <t>F006-00003185</t>
        </is>
      </c>
      <c r="D39" s="30" t="inlineStr">
        <is>
          <t>20610235736</t>
        </is>
      </c>
      <c r="E39" t="inlineStr">
        <is>
          <t>HOTELES LA HACIENDA S.A.C.</t>
        </is>
      </c>
      <c r="F39" t="inlineStr">
        <is>
          <t>FACTURA</t>
        </is>
      </c>
      <c r="G39" s="30" t="inlineStr">
        <is>
          <t>N/A</t>
        </is>
      </c>
      <c r="H39">
        <f>IF($G39="","",IFERROR(INDEX(Catalogo_Etiquetas,MATCH($G39,Catalogo_Codigos,0)),"CODIGO NO VALIDO"))</f>
        <v/>
      </c>
      <c r="I39" t="inlineStr">
        <is>
          <t>USD</t>
        </is>
      </c>
      <c r="J39" s="20" t="n">
        <v>318.58</v>
      </c>
      <c r="K39" s="20" t="n">
        <v>0</v>
      </c>
      <c r="L39" s="20">
        <f>IF($C39="","",$J39+$K39)</f>
        <v/>
      </c>
      <c r="M39" s="30" t="inlineStr">
        <is>
          <t>639</t>
        </is>
      </c>
      <c r="N39" s="26">
        <f>IF($C39="","",IF($I39="PEN",1,IFERROR(IF(_xlfn.XLOOKUP($B39,TC_Fechas,TC_Venta_Rango,"",-1)="","",_xlfn.XLOOKUP($B39,TC_Fechas,TC_Venta_Rango,"",-1)),"")))</f>
        <v/>
      </c>
      <c r="O39" s="20">
        <f>IF(OR($C39="",$N39=""),"",ROUND($J39*$N39,2)+ROUND($K39*$N39,2))</f>
        <v/>
      </c>
      <c r="P39" s="31">
        <f>IF($G39="","",IFERROR(INDEX(Catalogo_Tasas,MATCH($G39,Catalogo_Codigos,0)),""))</f>
        <v/>
      </c>
      <c r="Q39" s="32">
        <f>IF($G39="","",IFERROR(INDEX(Catalogo_Umbrales,MATCH($G39,Catalogo_Codigos,0)),""))</f>
        <v/>
      </c>
      <c r="R39">
        <f>IF(OR($C39="",$P39="",$O39=""),"",IF($F39&lt;&gt;"FACTURA","NO",IF(AND($P39&gt;0,$O39&gt;$Q39),"SI","NO")))</f>
        <v/>
      </c>
      <c r="S39" s="20">
        <f>IF($R39="SI",ROUND($O39*$P39,2),IF($C39="","",0))</f>
        <v/>
      </c>
      <c r="T39" s="20" t="n"/>
      <c r="U39">
        <f>IF($C39="","",IF($R39&lt;&gt;"SI","",IF($T39="","SIN DATO",IF(ABS($T39-$S39)&lt;=0.5,"OK","REVISAR"))))</f>
        <v/>
      </c>
      <c r="V39" s="20" t="n"/>
      <c r="W39" s="20">
        <f>IF(OR($C39="",$N39=""),"",IF($F39="RHE",ROUND($L39-$V39,2),ROUND($L39-($S39/$N39),2)))</f>
        <v/>
      </c>
      <c r="X39" s="25" t="n"/>
      <c r="Y39" s="25" t="n"/>
      <c r="AB39" t="inlineStr">
        <is>
          <t>PROVEEDOR</t>
        </is>
      </c>
    </row>
    <row r="40">
      <c r="A40" t="n">
        <v>37</v>
      </c>
      <c r="B40" s="25">
        <f>DATE(2026,8,18)</f>
        <v/>
      </c>
      <c r="C40" t="inlineStr">
        <is>
          <t>F302-00029273</t>
        </is>
      </c>
      <c r="D40" s="30" t="inlineStr">
        <is>
          <t>20114803228</t>
        </is>
      </c>
      <c r="E40" t="inlineStr">
        <is>
          <t>INVERSIONES NACIONALES DE TURISMO S.A. (Palacio del Inka Hotel)</t>
        </is>
      </c>
      <c r="F40" t="inlineStr">
        <is>
          <t>FACTURA</t>
        </is>
      </c>
      <c r="G40" s="30" t="inlineStr">
        <is>
          <t>N/A</t>
        </is>
      </c>
      <c r="H40">
        <f>IF($G40="","",IFERROR(INDEX(Catalogo_Etiquetas,MATCH($G40,Catalogo_Codigos,0)),"CODIGO NO VALIDO"))</f>
        <v/>
      </c>
      <c r="I40" t="inlineStr">
        <is>
          <t>USD</t>
        </is>
      </c>
      <c r="J40" s="20" t="n">
        <v>1102</v>
      </c>
      <c r="K40" s="20" t="n">
        <v>0</v>
      </c>
      <c r="L40" s="20">
        <f>IF($C40="","",$J40+$K40)</f>
        <v/>
      </c>
      <c r="M40" s="30" t="inlineStr">
        <is>
          <t>639</t>
        </is>
      </c>
      <c r="N40" s="26">
        <f>IF($C40="","",IF($I40="PEN",1,IFERROR(IF(_xlfn.XLOOKUP($B40,TC_Fechas,TC_Venta_Rango,"",-1)="","",_xlfn.XLOOKUP($B40,TC_Fechas,TC_Venta_Rango,"",-1)),"")))</f>
        <v/>
      </c>
      <c r="O40" s="20">
        <f>IF(OR($C40="",$N40=""),"",ROUND($J40*$N40,2)+ROUND($K40*$N40,2))</f>
        <v/>
      </c>
      <c r="P40" s="31">
        <f>IF($G40="","",IFERROR(INDEX(Catalogo_Tasas,MATCH($G40,Catalogo_Codigos,0)),""))</f>
        <v/>
      </c>
      <c r="Q40" s="32">
        <f>IF($G40="","",IFERROR(INDEX(Catalogo_Umbrales,MATCH($G40,Catalogo_Codigos,0)),""))</f>
        <v/>
      </c>
      <c r="R40">
        <f>IF(OR($C40="",$P40="",$O40=""),"",IF($F40&lt;&gt;"FACTURA","NO",IF(AND($P40&gt;0,$O40&gt;$Q40),"SI","NO")))</f>
        <v/>
      </c>
      <c r="S40" s="20">
        <f>IF($R40="SI",ROUND($O40*$P40,2),IF($C40="","",0))</f>
        <v/>
      </c>
      <c r="T40" s="20" t="n"/>
      <c r="U40">
        <f>IF($C40="","",IF($R40&lt;&gt;"SI","",IF($T40="","SIN DATO",IF(ABS($T40-$S40)&lt;=0.5,"OK","REVISAR"))))</f>
        <v/>
      </c>
      <c r="V40" s="20" t="n"/>
      <c r="W40" s="20">
        <f>IF(OR($C40="",$N40=""),"",IF($F40="RHE",ROUND($L40-$V40,2),ROUND($L40-($S40/$N40),2)))</f>
        <v/>
      </c>
      <c r="X40" s="25" t="n"/>
      <c r="Y40" s="25" t="n"/>
      <c r="AB40" t="inlineStr">
        <is>
          <t>PROVEEDOR</t>
        </is>
      </c>
    </row>
    <row r="41">
      <c r="A41" t="n">
        <v>38</v>
      </c>
      <c r="B41" s="25">
        <f>DATE(2026,8,14)</f>
        <v/>
      </c>
      <c r="C41" t="inlineStr">
        <is>
          <t>E001-2662</t>
        </is>
      </c>
      <c r="D41" s="30" t="inlineStr">
        <is>
          <t>20602860958</t>
        </is>
      </c>
      <c r="E41" t="inlineStr">
        <is>
          <t>J &amp; R TURISMO E.I.R.L.</t>
        </is>
      </c>
      <c r="F41" t="inlineStr">
        <is>
          <t>FACTURA</t>
        </is>
      </c>
      <c r="G41" s="30" t="inlineStr">
        <is>
          <t>026</t>
        </is>
      </c>
      <c r="H41">
        <f>IF($G41="","",IFERROR(INDEX(Catalogo_Etiquetas,MATCH($G41,Catalogo_Codigos,0)),"CODIGO NO VALIDO"))</f>
        <v/>
      </c>
      <c r="I41" t="inlineStr">
        <is>
          <t>USD</t>
        </is>
      </c>
      <c r="J41" s="20" t="n">
        <v>300</v>
      </c>
      <c r="K41" s="20" t="n">
        <v>54</v>
      </c>
      <c r="L41" s="20">
        <f>IF($C41="","",$J41+$K41)</f>
        <v/>
      </c>
      <c r="M41" s="30" t="inlineStr">
        <is>
          <t>631</t>
        </is>
      </c>
      <c r="N41" s="26">
        <f>IF($C41="","",IF($I41="PEN",1,IFERROR(IF(_xlfn.XLOOKUP($B41,TC_Fechas,TC_Venta_Rango,"",-1)="","",_xlfn.XLOOKUP($B41,TC_Fechas,TC_Venta_Rango,"",-1)),"")))</f>
        <v/>
      </c>
      <c r="O41" s="20">
        <f>IF(OR($C41="",$N41=""),"",ROUND($J41*$N41,2)+ROUND($K41*$N41,2))</f>
        <v/>
      </c>
      <c r="P41" s="31">
        <f>IF($G41="","",IFERROR(INDEX(Catalogo_Tasas,MATCH($G41,Catalogo_Codigos,0)),""))</f>
        <v/>
      </c>
      <c r="Q41" s="32">
        <f>IF($G41="","",IFERROR(INDEX(Catalogo_Umbrales,MATCH($G41,Catalogo_Codigos,0)),""))</f>
        <v/>
      </c>
      <c r="R41">
        <f>IF(OR($C41="",$P41="",$O41=""),"",IF($F41&lt;&gt;"FACTURA","NO",IF(AND($P41&gt;0,$O41&gt;$Q41),"SI","NO")))</f>
        <v/>
      </c>
      <c r="S41" s="20">
        <f>IF($R41="SI",ROUND($O41*$P41,2),IF($C41="","",0))</f>
        <v/>
      </c>
      <c r="T41" s="20" t="n">
        <v>119.33</v>
      </c>
      <c r="U41">
        <f>IF($C41="","",IF($R41&lt;&gt;"SI","",IF($T41="","SIN DATO",IF(ABS($T41-$S41)&lt;=0.5,"OK","REVISAR"))))</f>
        <v/>
      </c>
      <c r="V41" s="20" t="n"/>
      <c r="W41" s="20">
        <f>IF(OR($C41="",$N41=""),"",IF($F41="RHE",ROUND($L41-$V41,2),ROUND($L41-($S41/$N41),2)))</f>
        <v/>
      </c>
      <c r="X41" s="25" t="n"/>
      <c r="Y41" s="25" t="n"/>
      <c r="AB41" t="inlineStr">
        <is>
          <t>PROVEEDOR</t>
        </is>
      </c>
    </row>
    <row r="42">
      <c r="A42" t="n">
        <v>39</v>
      </c>
      <c r="B42" s="25">
        <f>DATE(2026,8,1)</f>
        <v/>
      </c>
      <c r="C42" t="inlineStr">
        <is>
          <t>E001-2237</t>
        </is>
      </c>
      <c r="D42" s="30" t="inlineStr">
        <is>
          <t>20525581315</t>
        </is>
      </c>
      <c r="E42" t="inlineStr">
        <is>
          <t>MANCORA TRAVEL S.A.C.</t>
        </is>
      </c>
      <c r="F42" t="inlineStr">
        <is>
          <t>FACTURA</t>
        </is>
      </c>
      <c r="G42" s="30" t="inlineStr">
        <is>
          <t>026</t>
        </is>
      </c>
      <c r="H42">
        <f>IF($G42="","",IFERROR(INDEX(Catalogo_Etiquetas,MATCH($G42,Catalogo_Codigos,0)),"CODIGO NO VALIDO"))</f>
        <v/>
      </c>
      <c r="I42" t="inlineStr">
        <is>
          <t>PEN</t>
        </is>
      </c>
      <c r="J42" s="20" t="n">
        <v>949.15</v>
      </c>
      <c r="K42" s="20" t="n">
        <v>170.85</v>
      </c>
      <c r="L42" s="20">
        <f>IF($C42="","",$J42+$K42)</f>
        <v/>
      </c>
      <c r="M42" s="30" t="inlineStr">
        <is>
          <t>631</t>
        </is>
      </c>
      <c r="N42" s="26">
        <f>IF($C42="","",IF($I42="PEN",1,IFERROR(IF(_xlfn.XLOOKUP($B42,TC_Fechas,TC_Venta_Rango,"",-1)="","",_xlfn.XLOOKUP($B42,TC_Fechas,TC_Venta_Rango,"",-1)),"")))</f>
        <v/>
      </c>
      <c r="O42" s="20">
        <f>IF(OR($C42="",$N42=""),"",ROUND($J42*$N42,2)+ROUND($K42*$N42,2))</f>
        <v/>
      </c>
      <c r="P42" s="31">
        <f>IF($G42="","",IFERROR(INDEX(Catalogo_Tasas,MATCH($G42,Catalogo_Codigos,0)),""))</f>
        <v/>
      </c>
      <c r="Q42" s="32">
        <f>IF($G42="","",IFERROR(INDEX(Catalogo_Umbrales,MATCH($G42,Catalogo_Codigos,0)),""))</f>
        <v/>
      </c>
      <c r="R42">
        <f>IF(OR($C42="",$P42="",$O42=""),"",IF($F42&lt;&gt;"FACTURA","NO",IF(AND($P42&gt;0,$O42&gt;$Q42),"SI","NO")))</f>
        <v/>
      </c>
      <c r="S42" s="20">
        <f>IF($R42="SI",ROUND($O42*$P42,2),IF($C42="","",0))</f>
        <v/>
      </c>
      <c r="T42" s="20" t="n">
        <v>112</v>
      </c>
      <c r="U42">
        <f>IF($C42="","",IF($R42&lt;&gt;"SI","",IF($T42="","SIN DATO",IF(ABS($T42-$S42)&lt;=0.5,"OK","REVISAR"))))</f>
        <v/>
      </c>
      <c r="V42" s="20" t="n"/>
      <c r="W42" s="20">
        <f>IF(OR($C42="",$N42=""),"",IF($F42="RHE",ROUND($L42-$V42,2),ROUND($L42-($S42/$N42),2)))</f>
        <v/>
      </c>
      <c r="X42" s="25" t="n"/>
      <c r="Y42" s="25" t="n"/>
      <c r="AB42" t="inlineStr">
        <is>
          <t>PROVEEDOR</t>
        </is>
      </c>
    </row>
    <row r="43">
      <c r="A43" t="n">
        <v>40</v>
      </c>
      <c r="B43" s="25">
        <f>DATE(2026,8,13)</f>
        <v/>
      </c>
      <c r="C43" t="inlineStr">
        <is>
          <t>FL05-00036295</t>
        </is>
      </c>
      <c r="D43" s="30" t="inlineStr">
        <is>
          <t>20309001037</t>
        </is>
      </c>
      <c r="E43" t="inlineStr">
        <is>
          <t>PALMA REAL S.A.C. (INKATERRA)</t>
        </is>
      </c>
      <c r="F43" t="inlineStr">
        <is>
          <t>FACTURA</t>
        </is>
      </c>
      <c r="G43" s="30" t="inlineStr">
        <is>
          <t>N/A</t>
        </is>
      </c>
      <c r="H43">
        <f>IF($G43="","",IFERROR(INDEX(Catalogo_Etiquetas,MATCH($G43,Catalogo_Codigos,0)),"CODIGO NO VALIDO"))</f>
        <v/>
      </c>
      <c r="I43" t="inlineStr">
        <is>
          <t>USD</t>
        </is>
      </c>
      <c r="J43" s="20" t="n">
        <v>1684.76</v>
      </c>
      <c r="K43" s="20" t="n">
        <v>0</v>
      </c>
      <c r="L43" s="20">
        <f>IF($C43="","",$J43+$K43)</f>
        <v/>
      </c>
      <c r="M43" s="30" t="inlineStr">
        <is>
          <t>639</t>
        </is>
      </c>
      <c r="N43" s="26">
        <f>IF($C43="","",IF($I43="PEN",1,IFERROR(IF(_xlfn.XLOOKUP($B43,TC_Fechas,TC_Venta_Rango,"",-1)="","",_xlfn.XLOOKUP($B43,TC_Fechas,TC_Venta_Rango,"",-1)),"")))</f>
        <v/>
      </c>
      <c r="O43" s="20">
        <f>IF(OR($C43="",$N43=""),"",ROUND($J43*$N43,2)+ROUND($K43*$N43,2))</f>
        <v/>
      </c>
      <c r="P43" s="31">
        <f>IF($G43="","",IFERROR(INDEX(Catalogo_Tasas,MATCH($G43,Catalogo_Codigos,0)),""))</f>
        <v/>
      </c>
      <c r="Q43" s="32">
        <f>IF($G43="","",IFERROR(INDEX(Catalogo_Umbrales,MATCH($G43,Catalogo_Codigos,0)),""))</f>
        <v/>
      </c>
      <c r="R43">
        <f>IF(OR($C43="",$P43="",$O43=""),"",IF($F43&lt;&gt;"FACTURA","NO",IF(AND($P43&gt;0,$O43&gt;$Q43),"SI","NO")))</f>
        <v/>
      </c>
      <c r="S43" s="20">
        <f>IF($R43="SI",ROUND($O43*$P43,2),IF($C43="","",0))</f>
        <v/>
      </c>
      <c r="T43" s="20" t="n"/>
      <c r="U43">
        <f>IF($C43="","",IF($R43&lt;&gt;"SI","",IF($T43="","SIN DATO",IF(ABS($T43-$S43)&lt;=0.5,"OK","REVISAR"))))</f>
        <v/>
      </c>
      <c r="V43" s="20" t="n"/>
      <c r="W43" s="20">
        <f>IF(OR($C43="",$N43=""),"",IF($F43="RHE",ROUND($L43-$V43,2),ROUND($L43-($S43/$N43),2)))</f>
        <v/>
      </c>
      <c r="X43" s="25" t="n"/>
      <c r="Y43" s="25" t="n"/>
      <c r="AB43" t="inlineStr">
        <is>
          <t>PROVEEDOR</t>
        </is>
      </c>
    </row>
    <row r="44">
      <c r="A44" t="n">
        <v>41</v>
      </c>
      <c r="B44" s="25">
        <f>DATE(2026,8,18)</f>
        <v/>
      </c>
      <c r="C44" t="inlineStr">
        <is>
          <t>F078-00006828</t>
        </is>
      </c>
      <c r="D44" s="30" t="inlineStr">
        <is>
          <t>20510931514</t>
        </is>
      </c>
      <c r="E44" t="inlineStr">
        <is>
          <t>PERUVIAN TOURS AGENCY SOCIEDAD ANONIMA CERRADA (Hotel Colca - Aranwa)</t>
        </is>
      </c>
      <c r="F44" t="inlineStr">
        <is>
          <t>FACTURA</t>
        </is>
      </c>
      <c r="G44" s="30" t="inlineStr">
        <is>
          <t>N/A</t>
        </is>
      </c>
      <c r="H44">
        <f>IF($G44="","",IFERROR(INDEX(Catalogo_Etiquetas,MATCH($G44,Catalogo_Codigos,0)),"CODIGO NO VALIDO"))</f>
        <v/>
      </c>
      <c r="I44" t="inlineStr">
        <is>
          <t>USD</t>
        </is>
      </c>
      <c r="J44" s="20" t="n">
        <v>360</v>
      </c>
      <c r="K44" s="20" t="n">
        <v>0</v>
      </c>
      <c r="L44" s="20">
        <f>IF($C44="","",$J44+$K44)</f>
        <v/>
      </c>
      <c r="M44" s="30" t="inlineStr">
        <is>
          <t>639</t>
        </is>
      </c>
      <c r="N44" s="26">
        <f>IF($C44="","",IF($I44="PEN",1,IFERROR(IF(_xlfn.XLOOKUP($B44,TC_Fechas,TC_Venta_Rango,"",-1)="","",_xlfn.XLOOKUP($B44,TC_Fechas,TC_Venta_Rango,"",-1)),"")))</f>
        <v/>
      </c>
      <c r="O44" s="20">
        <f>IF(OR($C44="",$N44=""),"",ROUND($J44*$N44,2)+ROUND($K44*$N44,2))</f>
        <v/>
      </c>
      <c r="P44" s="31">
        <f>IF($G44="","",IFERROR(INDEX(Catalogo_Tasas,MATCH($G44,Catalogo_Codigos,0)),""))</f>
        <v/>
      </c>
      <c r="Q44" s="32">
        <f>IF($G44="","",IFERROR(INDEX(Catalogo_Umbrales,MATCH($G44,Catalogo_Codigos,0)),""))</f>
        <v/>
      </c>
      <c r="R44">
        <f>IF(OR($C44="",$P44="",$O44=""),"",IF($F44&lt;&gt;"FACTURA","NO",IF(AND($P44&gt;0,$O44&gt;$Q44),"SI","NO")))</f>
        <v/>
      </c>
      <c r="S44" s="20">
        <f>IF($R44="SI",ROUND($O44*$P44,2),IF($C44="","",0))</f>
        <v/>
      </c>
      <c r="T44" s="20" t="n"/>
      <c r="U44">
        <f>IF($C44="","",IF($R44&lt;&gt;"SI","",IF($T44="","SIN DATO",IF(ABS($T44-$S44)&lt;=0.5,"OK","REVISAR"))))</f>
        <v/>
      </c>
      <c r="V44" s="20" t="n"/>
      <c r="W44" s="20">
        <f>IF(OR($C44="",$N44=""),"",IF($F44="RHE",ROUND($L44-$V44,2),ROUND($L44-($S44/$N44),2)))</f>
        <v/>
      </c>
      <c r="X44" s="25" t="n"/>
      <c r="Y44" s="25" t="n"/>
      <c r="AB44" t="inlineStr">
        <is>
          <t>PROVEEDOR</t>
        </is>
      </c>
    </row>
    <row r="45">
      <c r="A45" t="n">
        <v>42</v>
      </c>
      <c r="B45" s="25">
        <f>DATE(2026,8,17)</f>
        <v/>
      </c>
      <c r="C45" t="inlineStr">
        <is>
          <t>E001- 505</t>
        </is>
      </c>
      <c r="D45" s="30" t="inlineStr">
        <is>
          <t>10422800102</t>
        </is>
      </c>
      <c r="E45" t="inlineStr">
        <is>
          <t>SARMIENTO LOPEZ LUIS RONALD</t>
        </is>
      </c>
      <c r="F45" t="inlineStr">
        <is>
          <t>RHE</t>
        </is>
      </c>
      <c r="G45" s="30" t="inlineStr">
        <is>
          <t>N/A</t>
        </is>
      </c>
      <c r="H45">
        <f>IF($G45="","",IFERROR(INDEX(Catalogo_Etiquetas,MATCH($G45,Catalogo_Codigos,0)),"CODIGO NO VALIDO"))</f>
        <v/>
      </c>
      <c r="I45" t="inlineStr">
        <is>
          <t>USD</t>
        </is>
      </c>
      <c r="J45" s="20" t="n">
        <v>70</v>
      </c>
      <c r="K45" s="20" t="n">
        <v>0</v>
      </c>
      <c r="L45" s="20">
        <f>IF($C45="","",$J45+$K45)</f>
        <v/>
      </c>
      <c r="M45" s="30" t="inlineStr">
        <is>
          <t>632</t>
        </is>
      </c>
      <c r="N45" s="26">
        <f>IF($C45="","",IF($I45="PEN",1,IFERROR(IF(_xlfn.XLOOKUP($B45,TC_Fechas,TC_Venta_Rango,"",-1)="","",_xlfn.XLOOKUP($B45,TC_Fechas,TC_Venta_Rango,"",-1)),"")))</f>
        <v/>
      </c>
      <c r="O45" s="20">
        <f>IF(OR($C45="",$N45=""),"",ROUND($J45*$N45,2)+ROUND($K45*$N45,2))</f>
        <v/>
      </c>
      <c r="P45" s="31">
        <f>IF($G45="","",IFERROR(INDEX(Catalogo_Tasas,MATCH($G45,Catalogo_Codigos,0)),""))</f>
        <v/>
      </c>
      <c r="Q45" s="32">
        <f>IF($G45="","",IFERROR(INDEX(Catalogo_Umbrales,MATCH($G45,Catalogo_Codigos,0)),""))</f>
        <v/>
      </c>
      <c r="R45">
        <f>IF(OR($C45="",$P45="",$O45=""),"",IF($F45&lt;&gt;"FACTURA","NO",IF(AND($P45&gt;0,$O45&gt;$Q45),"SI","NO")))</f>
        <v/>
      </c>
      <c r="S45" s="20">
        <f>IF($R45="SI",ROUND($O45*$P45,2),IF($C45="","",0))</f>
        <v/>
      </c>
      <c r="T45" s="20" t="n"/>
      <c r="U45">
        <f>IF($C45="","",IF($R45&lt;&gt;"SI","",IF($T45="","SIN DATO",IF(ABS($T45-$S45)&lt;=0.5,"OK","REVISAR"))))</f>
        <v/>
      </c>
      <c r="V45" s="20" t="n">
        <v>5.6</v>
      </c>
      <c r="W45" s="20">
        <f>IF(OR($C45="",$N45=""),"",IF($F45="RHE",ROUND($L45-$V45,2),ROUND($L45-($S45/$N45),2)))</f>
        <v/>
      </c>
      <c r="X45" s="25" t="n"/>
      <c r="Y45" s="25" t="n"/>
      <c r="AB45" t="inlineStr">
        <is>
          <t>PROVEEDOR</t>
        </is>
      </c>
    </row>
    <row r="46">
      <c r="A46" t="n">
        <v>43</v>
      </c>
      <c r="B46" s="25">
        <f>DATE(2026,8,18)</f>
        <v/>
      </c>
      <c r="C46" t="inlineStr">
        <is>
          <t>F002-813</t>
        </is>
      </c>
      <c r="D46" s="30" t="inlineStr">
        <is>
          <t>20602052703</t>
        </is>
      </c>
      <c r="E46" t="inlineStr">
        <is>
          <t>TURISMO Y CONSERVACION SAC (Amazon Journeys)</t>
        </is>
      </c>
      <c r="F46" t="inlineStr">
        <is>
          <t>FACTURA</t>
        </is>
      </c>
      <c r="G46" s="30" t="inlineStr">
        <is>
          <t>N/A</t>
        </is>
      </c>
      <c r="H46">
        <f>IF($G46="","",IFERROR(INDEX(Catalogo_Etiquetas,MATCH($G46,Catalogo_Codigos,0)),"CODIGO NO VALIDO"))</f>
        <v/>
      </c>
      <c r="I46" t="inlineStr">
        <is>
          <t>USD</t>
        </is>
      </c>
      <c r="J46" s="20" t="n">
        <v>2100</v>
      </c>
      <c r="K46" s="20" t="n">
        <v>0</v>
      </c>
      <c r="L46" s="20">
        <f>IF($C46="","",$J46+$K46)</f>
        <v/>
      </c>
      <c r="M46" s="30" t="inlineStr">
        <is>
          <t>639</t>
        </is>
      </c>
      <c r="N46" s="26">
        <f>IF($C46="","",IF($I46="PEN",1,IFERROR(IF(_xlfn.XLOOKUP($B46,TC_Fechas,TC_Venta_Rango,"",-1)="","",_xlfn.XLOOKUP($B46,TC_Fechas,TC_Venta_Rango,"",-1)),"")))</f>
        <v/>
      </c>
      <c r="O46" s="20">
        <f>IF(OR($C46="",$N46=""),"",ROUND($J46*$N46,2)+ROUND($K46*$N46,2))</f>
        <v/>
      </c>
      <c r="P46" s="31">
        <f>IF($G46="","",IFERROR(INDEX(Catalogo_Tasas,MATCH($G46,Catalogo_Codigos,0)),""))</f>
        <v/>
      </c>
      <c r="Q46" s="32">
        <f>IF($G46="","",IFERROR(INDEX(Catalogo_Umbrales,MATCH($G46,Catalogo_Codigos,0)),""))</f>
        <v/>
      </c>
      <c r="R46">
        <f>IF(OR($C46="",$P46="",$O46=""),"",IF($F46&lt;&gt;"FACTURA","NO",IF(AND($P46&gt;0,$O46&gt;$Q46),"SI","NO")))</f>
        <v/>
      </c>
      <c r="S46" s="20">
        <f>IF($R46="SI",ROUND($O46*$P46,2),IF($C46="","",0))</f>
        <v/>
      </c>
      <c r="T46" s="20" t="n"/>
      <c r="U46">
        <f>IF($C46="","",IF($R46&lt;&gt;"SI","",IF($T46="","SIN DATO",IF(ABS($T46-$S46)&lt;=0.5,"OK","REVISAR"))))</f>
        <v/>
      </c>
      <c r="V46" s="20" t="n"/>
      <c r="W46" s="20">
        <f>IF(OR($C46="",$N46=""),"",IF($F46="RHE",ROUND($L46-$V46,2),ROUND($L46-($S46/$N46),2)))</f>
        <v/>
      </c>
      <c r="X46" s="25" t="n"/>
      <c r="Y46" s="25" t="n"/>
      <c r="AB46" t="inlineStr">
        <is>
          <t>PROVEEDOR</t>
        </is>
      </c>
    </row>
    <row r="47">
      <c r="A47" t="n">
        <v>44</v>
      </c>
      <c r="B47" s="25">
        <f>DATE(2026,8,4)</f>
        <v/>
      </c>
      <c r="C47" t="inlineStr">
        <is>
          <t>E001 742</t>
        </is>
      </c>
      <c r="D47" s="30" t="inlineStr">
        <is>
          <t>10214605606</t>
        </is>
      </c>
      <c r="E47" t="inlineStr">
        <is>
          <t>CATACORA RAMIREZ PAUL FRED</t>
        </is>
      </c>
      <c r="F47" t="inlineStr">
        <is>
          <t>RHE</t>
        </is>
      </c>
      <c r="G47" s="30" t="inlineStr">
        <is>
          <t>N/A</t>
        </is>
      </c>
      <c r="H47">
        <f>IF($G47="","",IFERROR(INDEX(Catalogo_Etiquetas,MATCH($G47,Catalogo_Codigos,0)),"CODIGO NO VALIDO"))</f>
        <v/>
      </c>
      <c r="I47" t="inlineStr">
        <is>
          <t>USD</t>
        </is>
      </c>
      <c r="J47" s="20" t="n">
        <v>400</v>
      </c>
      <c r="K47" s="20" t="n">
        <v>0</v>
      </c>
      <c r="L47" s="20">
        <f>IF($C47="","",$J47+$K47)</f>
        <v/>
      </c>
      <c r="M47" s="30" t="inlineStr">
        <is>
          <t>632</t>
        </is>
      </c>
      <c r="N47" s="26">
        <f>IF($C47="","",IF($I47="PEN",1,IFERROR(IF(_xlfn.XLOOKUP($B47,TC_Fechas,TC_Venta_Rango,"",-1)="","",_xlfn.XLOOKUP($B47,TC_Fechas,TC_Venta_Rango,"",-1)),"")))</f>
        <v/>
      </c>
      <c r="O47" s="20">
        <f>IF(OR($C47="",$N47=""),"",ROUND($J47*$N47,2)+ROUND($K47*$N47,2))</f>
        <v/>
      </c>
      <c r="P47" s="31">
        <f>IF($G47="","",IFERROR(INDEX(Catalogo_Tasas,MATCH($G47,Catalogo_Codigos,0)),""))</f>
        <v/>
      </c>
      <c r="Q47" s="32">
        <f>IF($G47="","",IFERROR(INDEX(Catalogo_Umbrales,MATCH($G47,Catalogo_Codigos,0)),""))</f>
        <v/>
      </c>
      <c r="R47">
        <f>IF(OR($C47="",$P47="",$O47=""),"",IF($F47&lt;&gt;"FACTURA","NO",IF(AND($P47&gt;0,$O47&gt;$Q47),"SI","NO")))</f>
        <v/>
      </c>
      <c r="S47" s="20">
        <f>IF($R47="SI",ROUND($O47*$P47,2),IF($C47="","",0))</f>
        <v/>
      </c>
      <c r="T47" s="20" t="n"/>
      <c r="U47">
        <f>IF($C47="","",IF($R47&lt;&gt;"SI","",IF($T47="","SIN DATO",IF(ABS($T47-$S47)&lt;=0.5,"OK","REVISAR"))))</f>
        <v/>
      </c>
      <c r="V47" s="20" t="n"/>
      <c r="W47" s="20">
        <f>IF(OR($C47="",$N47=""),"",IF($F47="RHE",ROUND($L47-$V47,2),ROUND($L47-($S47/$N47),2)))</f>
        <v/>
      </c>
      <c r="X47" s="25" t="n"/>
      <c r="Y47" s="25" t="n"/>
      <c r="AB47" t="inlineStr">
        <is>
          <t>PROVEEDOR</t>
        </is>
      </c>
    </row>
    <row r="48">
      <c r="A48" t="n">
        <v>45</v>
      </c>
      <c r="B48" s="25">
        <f>DATE(2026,8,14)</f>
        <v/>
      </c>
      <c r="C48" t="inlineStr">
        <is>
          <t>F019-00032586</t>
        </is>
      </c>
      <c r="D48" s="30" t="inlineStr">
        <is>
          <t>20505670443</t>
        </is>
      </c>
      <c r="E48" t="inlineStr">
        <is>
          <t>NESSUS HOTELES PERU S.A. (CASA ANDINA)</t>
        </is>
      </c>
      <c r="F48" t="inlineStr">
        <is>
          <t>FACTURA</t>
        </is>
      </c>
      <c r="G48" s="30" t="inlineStr">
        <is>
          <t>N/A</t>
        </is>
      </c>
      <c r="H48">
        <f>IF($G48="","",IFERROR(INDEX(Catalogo_Etiquetas,MATCH($G48,Catalogo_Codigos,0)),"CODIGO NO VALIDO"))</f>
        <v/>
      </c>
      <c r="I48" t="inlineStr">
        <is>
          <t>USD</t>
        </is>
      </c>
      <c r="J48" s="20" t="n">
        <v>677.02</v>
      </c>
      <c r="K48" s="20" t="n">
        <v>0</v>
      </c>
      <c r="L48" s="20">
        <f>IF($C48="","",$J48+$K48)</f>
        <v/>
      </c>
      <c r="M48" s="30" t="inlineStr">
        <is>
          <t>639</t>
        </is>
      </c>
      <c r="N48" s="26">
        <f>IF($C48="","",IF($I48="PEN",1,IFERROR(IF(_xlfn.XLOOKUP($B48,TC_Fechas,TC_Venta_Rango,"",-1)="","",_xlfn.XLOOKUP($B48,TC_Fechas,TC_Venta_Rango,"",-1)),"")))</f>
        <v/>
      </c>
      <c r="O48" s="20">
        <f>IF(OR($C48="",$N48=""),"",ROUND($J48*$N48,2)+ROUND($K48*$N48,2))</f>
        <v/>
      </c>
      <c r="P48" s="31">
        <f>IF($G48="","",IFERROR(INDEX(Catalogo_Tasas,MATCH($G48,Catalogo_Codigos,0)),""))</f>
        <v/>
      </c>
      <c r="Q48" s="32">
        <f>IF($G48="","",IFERROR(INDEX(Catalogo_Umbrales,MATCH($G48,Catalogo_Codigos,0)),""))</f>
        <v/>
      </c>
      <c r="R48">
        <f>IF(OR($C48="",$P48="",$O48=""),"",IF($F48&lt;&gt;"FACTURA","NO",IF(AND($P48&gt;0,$O48&gt;$Q48),"SI","NO")))</f>
        <v/>
      </c>
      <c r="S48" s="20">
        <f>IF($R48="SI",ROUND($O48*$P48,2),IF($C48="","",0))</f>
        <v/>
      </c>
      <c r="T48" s="20" t="n"/>
      <c r="U48">
        <f>IF($C48="","",IF($R48&lt;&gt;"SI","",IF($T48="","SIN DATO",IF(ABS($T48-$S48)&lt;=0.5,"OK","REVISAR"))))</f>
        <v/>
      </c>
      <c r="V48" s="20" t="n"/>
      <c r="W48" s="20">
        <f>IF(OR($C48="",$N48=""),"",IF($F48="RHE",ROUND($L48-$V48,2),ROUND($L48-($S48/$N48),2)))</f>
        <v/>
      </c>
      <c r="X48" s="25" t="n"/>
      <c r="Y48" s="25" t="n"/>
      <c r="AB48" t="inlineStr">
        <is>
          <t>PROVEEDOR</t>
        </is>
      </c>
    </row>
    <row r="49">
      <c r="A49" t="n">
        <v>46</v>
      </c>
      <c r="B49" s="25">
        <f>DATE(2026,8,6)</f>
        <v/>
      </c>
      <c r="C49" t="inlineStr">
        <is>
          <t>E001-328</t>
        </is>
      </c>
      <c r="D49" s="30" t="inlineStr">
        <is>
          <t>20603668406</t>
        </is>
      </c>
      <c r="E49" t="inlineStr">
        <is>
          <t>LUXURY ADVENTURE CUSCO PERU E.I.R.L.</t>
        </is>
      </c>
      <c r="F49" t="inlineStr">
        <is>
          <t>FACTURA</t>
        </is>
      </c>
      <c r="G49" s="30" t="inlineStr">
        <is>
          <t>N/A</t>
        </is>
      </c>
      <c r="H49">
        <f>IF($G49="","",IFERROR(INDEX(Catalogo_Etiquetas,MATCH($G49,Catalogo_Codigos,0)),"CODIGO NO VALIDO"))</f>
        <v/>
      </c>
      <c r="I49" t="inlineStr">
        <is>
          <t>USD</t>
        </is>
      </c>
      <c r="J49" s="20" t="n">
        <v>133.48</v>
      </c>
      <c r="K49" s="20" t="n">
        <v>24.03</v>
      </c>
      <c r="L49" s="20">
        <f>IF($C49="","",$J49+$K49)</f>
        <v/>
      </c>
      <c r="M49" s="30" t="inlineStr">
        <is>
          <t>639</t>
        </is>
      </c>
      <c r="N49" s="26">
        <f>IF($C49="","",IF($I49="PEN",1,IFERROR(IF(_xlfn.XLOOKUP($B49,TC_Fechas,TC_Venta_Rango,"",-1)="","",_xlfn.XLOOKUP($B49,TC_Fechas,TC_Venta_Rango,"",-1)),"")))</f>
        <v/>
      </c>
      <c r="O49" s="20">
        <f>IF(OR($C49="",$N49=""),"",ROUND($J49*$N49,2)+ROUND($K49*$N49,2))</f>
        <v/>
      </c>
      <c r="P49" s="31">
        <f>IF($G49="","",IFERROR(INDEX(Catalogo_Tasas,MATCH($G49,Catalogo_Codigos,0)),""))</f>
        <v/>
      </c>
      <c r="Q49" s="32">
        <f>IF($G49="","",IFERROR(INDEX(Catalogo_Umbrales,MATCH($G49,Catalogo_Codigos,0)),""))</f>
        <v/>
      </c>
      <c r="R49">
        <f>IF(OR($C49="",$P49="",$O49=""),"",IF($F49&lt;&gt;"FACTURA","NO",IF(AND($P49&gt;0,$O49&gt;$Q49),"SI","NO")))</f>
        <v/>
      </c>
      <c r="S49" s="20">
        <f>IF($R49="SI",ROUND($O49*$P49,2),IF($C49="","",0))</f>
        <v/>
      </c>
      <c r="T49" s="20" t="n"/>
      <c r="U49">
        <f>IF($C49="","",IF($R49&lt;&gt;"SI","",IF($T49="","SIN DATO",IF(ABS($T49-$S49)&lt;=0.5,"OK","REVISAR"))))</f>
        <v/>
      </c>
      <c r="V49" s="20" t="n"/>
      <c r="W49" s="20">
        <f>IF(OR($C49="",$N49=""),"",IF($F49="RHE",ROUND($L49-$V49,2),ROUND($L49-($S49/$N49),2)))</f>
        <v/>
      </c>
      <c r="X49" s="25" t="n"/>
      <c r="Y49" s="25" t="n"/>
      <c r="AB49" t="inlineStr">
        <is>
          <t>PROVEEDOR</t>
        </is>
      </c>
    </row>
    <row r="50">
      <c r="A50" t="n">
        <v>47</v>
      </c>
      <c r="B50" s="25">
        <f>DATE(2026,8,6)</f>
        <v/>
      </c>
      <c r="C50" t="inlineStr">
        <is>
          <t>E001-333</t>
        </is>
      </c>
      <c r="D50" s="30" t="inlineStr">
        <is>
          <t>20603668406</t>
        </is>
      </c>
      <c r="E50" t="inlineStr">
        <is>
          <t>LUXURY ADVENTURE CUSCO PERU E.I.R.L.</t>
        </is>
      </c>
      <c r="F50" t="inlineStr">
        <is>
          <t>FACTURA</t>
        </is>
      </c>
      <c r="G50" s="30" t="inlineStr">
        <is>
          <t>N/A</t>
        </is>
      </c>
      <c r="H50">
        <f>IF($G50="","",IFERROR(INDEX(Catalogo_Etiquetas,MATCH($G50,Catalogo_Codigos,0)),"CODIGO NO VALIDO"))</f>
        <v/>
      </c>
      <c r="I50" t="inlineStr">
        <is>
          <t>USD</t>
        </is>
      </c>
      <c r="J50" s="20" t="n">
        <v>103.81</v>
      </c>
      <c r="K50" s="20" t="n">
        <v>18.69</v>
      </c>
      <c r="L50" s="20">
        <f>IF($C50="","",$J50+$K50)</f>
        <v/>
      </c>
      <c r="M50" s="30" t="inlineStr">
        <is>
          <t>639</t>
        </is>
      </c>
      <c r="N50" s="26">
        <f>IF($C50="","",IF($I50="PEN",1,IFERROR(IF(_xlfn.XLOOKUP($B50,TC_Fechas,TC_Venta_Rango,"",-1)="","",_xlfn.XLOOKUP($B50,TC_Fechas,TC_Venta_Rango,"",-1)),"")))</f>
        <v/>
      </c>
      <c r="O50" s="20">
        <f>IF(OR($C50="",$N50=""),"",ROUND($J50*$N50,2)+ROUND($K50*$N50,2))</f>
        <v/>
      </c>
      <c r="P50" s="31">
        <f>IF($G50="","",IFERROR(INDEX(Catalogo_Tasas,MATCH($G50,Catalogo_Codigos,0)),""))</f>
        <v/>
      </c>
      <c r="Q50" s="32">
        <f>IF($G50="","",IFERROR(INDEX(Catalogo_Umbrales,MATCH($G50,Catalogo_Codigos,0)),""))</f>
        <v/>
      </c>
      <c r="R50">
        <f>IF(OR($C50="",$P50="",$O50=""),"",IF($F50&lt;&gt;"FACTURA","NO",IF(AND($P50&gt;0,$O50&gt;$Q50),"SI","NO")))</f>
        <v/>
      </c>
      <c r="S50" s="20">
        <f>IF($R50="SI",ROUND($O50*$P50,2),IF($C50="","",0))</f>
        <v/>
      </c>
      <c r="T50" s="20" t="n"/>
      <c r="U50">
        <f>IF($C50="","",IF($R50&lt;&gt;"SI","",IF($T50="","SIN DATO",IF(ABS($T50-$S50)&lt;=0.5,"OK","REVISAR"))))</f>
        <v/>
      </c>
      <c r="V50" s="20" t="n"/>
      <c r="W50" s="20">
        <f>IF(OR($C50="",$N50=""),"",IF($F50="RHE",ROUND($L50-$V50,2),ROUND($L50-($S50/$N50),2)))</f>
        <v/>
      </c>
      <c r="X50" s="25" t="n"/>
      <c r="Y50" s="25" t="n"/>
      <c r="AB50" t="inlineStr">
        <is>
          <t>PROVEEDOR</t>
        </is>
      </c>
    </row>
    <row r="51">
      <c r="A51" t="n">
        <v>48</v>
      </c>
      <c r="B51" s="25">
        <f>DATE(2026,8,5)</f>
        <v/>
      </c>
      <c r="C51" t="inlineStr">
        <is>
          <t>E001 - 109</t>
        </is>
      </c>
      <c r="D51" s="30" t="inlineStr">
        <is>
          <t>10731722124</t>
        </is>
      </c>
      <c r="E51" t="inlineStr">
        <is>
          <t>ALCAZAR GONZALES ERNESTO ANDRES</t>
        </is>
      </c>
      <c r="F51" t="inlineStr">
        <is>
          <t>RHE</t>
        </is>
      </c>
      <c r="G51" s="30" t="inlineStr">
        <is>
          <t>N/A</t>
        </is>
      </c>
      <c r="H51">
        <f>IF($G51="","",IFERROR(INDEX(Catalogo_Etiquetas,MATCH($G51,Catalogo_Codigos,0)),"CODIGO NO VALIDO"))</f>
        <v/>
      </c>
      <c r="I51" t="inlineStr">
        <is>
          <t>PEN</t>
        </is>
      </c>
      <c r="J51" s="20" t="n">
        <v>1575</v>
      </c>
      <c r="K51" s="20" t="n">
        <v>0</v>
      </c>
      <c r="L51" s="20">
        <f>IF($C51="","",$J51+$K51)</f>
        <v/>
      </c>
      <c r="M51" s="30" t="inlineStr">
        <is>
          <t>632</t>
        </is>
      </c>
      <c r="N51" s="26">
        <f>IF($C51="","",IF($I51="PEN",1,IFERROR(IF(_xlfn.XLOOKUP($B51,TC_Fechas,TC_Venta_Rango,"",-1)="","",_xlfn.XLOOKUP($B51,TC_Fechas,TC_Venta_Rango,"",-1)),"")))</f>
        <v/>
      </c>
      <c r="O51" s="20">
        <f>IF(OR($C51="",$N51=""),"",ROUND($J51*$N51,2)+ROUND($K51*$N51,2))</f>
        <v/>
      </c>
      <c r="P51" s="31">
        <f>IF($G51="","",IFERROR(INDEX(Catalogo_Tasas,MATCH($G51,Catalogo_Codigos,0)),""))</f>
        <v/>
      </c>
      <c r="Q51" s="32">
        <f>IF($G51="","",IFERROR(INDEX(Catalogo_Umbrales,MATCH($G51,Catalogo_Codigos,0)),""))</f>
        <v/>
      </c>
      <c r="R51">
        <f>IF(OR($C51="",$P51="",$O51=""),"",IF($F51&lt;&gt;"FACTURA","NO",IF(AND($P51&gt;0,$O51&gt;$Q51),"SI","NO")))</f>
        <v/>
      </c>
      <c r="S51" s="20">
        <f>IF($R51="SI",ROUND($O51*$P51,2),IF($C51="","",0))</f>
        <v/>
      </c>
      <c r="T51" s="20" t="n"/>
      <c r="U51">
        <f>IF($C51="","",IF($R51&lt;&gt;"SI","",IF($T51="","SIN DATO",IF(ABS($T51-$S51)&lt;=0.5,"OK","REVISAR"))))</f>
        <v/>
      </c>
      <c r="V51" s="20" t="n"/>
      <c r="W51" s="20">
        <f>IF(OR($C51="",$N51=""),"",IF($F51="RHE",ROUND($L51-$V51,2),ROUND($L51-($S51/$N51),2)))</f>
        <v/>
      </c>
      <c r="X51" s="25" t="n"/>
      <c r="Y51" s="25" t="n"/>
      <c r="AB51" t="inlineStr">
        <is>
          <t>PROVEEDOR</t>
        </is>
      </c>
    </row>
    <row r="52">
      <c r="A52" t="n">
        <v>49</v>
      </c>
      <c r="B52" s="25">
        <f>DATE(2026,8,7)</f>
        <v/>
      </c>
      <c r="C52" t="inlineStr">
        <is>
          <t>E001-122</t>
        </is>
      </c>
      <c r="D52" s="30" t="inlineStr">
        <is>
          <t>10438198984</t>
        </is>
      </c>
      <c r="E52" t="inlineStr">
        <is>
          <t>ANICAMA ZAMORA SAULO CHRIS</t>
        </is>
      </c>
      <c r="F52" t="inlineStr">
        <is>
          <t>RHE</t>
        </is>
      </c>
      <c r="G52" s="30" t="inlineStr">
        <is>
          <t>N/A</t>
        </is>
      </c>
      <c r="H52">
        <f>IF($G52="","",IFERROR(INDEX(Catalogo_Etiquetas,MATCH($G52,Catalogo_Codigos,0)),"CODIGO NO VALIDO"))</f>
        <v/>
      </c>
      <c r="I52" t="inlineStr">
        <is>
          <t>PEN</t>
        </is>
      </c>
      <c r="J52" s="20" t="n">
        <v>2500</v>
      </c>
      <c r="K52" s="20" t="n">
        <v>0</v>
      </c>
      <c r="L52" s="20">
        <f>IF($C52="","",$J52+$K52)</f>
        <v/>
      </c>
      <c r="M52" s="30" t="inlineStr">
        <is>
          <t>632</t>
        </is>
      </c>
      <c r="N52" s="26">
        <f>IF($C52="","",IF($I52="PEN",1,IFERROR(IF(_xlfn.XLOOKUP($B52,TC_Fechas,TC_Venta_Rango,"",-1)="","",_xlfn.XLOOKUP($B52,TC_Fechas,TC_Venta_Rango,"",-1)),"")))</f>
        <v/>
      </c>
      <c r="O52" s="20">
        <f>IF(OR($C52="",$N52=""),"",ROUND($J52*$N52,2)+ROUND($K52*$N52,2))</f>
        <v/>
      </c>
      <c r="P52" s="31">
        <f>IF($G52="","",IFERROR(INDEX(Catalogo_Tasas,MATCH($G52,Catalogo_Codigos,0)),""))</f>
        <v/>
      </c>
      <c r="Q52" s="32">
        <f>IF($G52="","",IFERROR(INDEX(Catalogo_Umbrales,MATCH($G52,Catalogo_Codigos,0)),""))</f>
        <v/>
      </c>
      <c r="R52">
        <f>IF(OR($C52="",$P52="",$O52=""),"",IF($F52&lt;&gt;"FACTURA","NO",IF(AND($P52&gt;0,$O52&gt;$Q52),"SI","NO")))</f>
        <v/>
      </c>
      <c r="S52" s="20">
        <f>IF($R52="SI",ROUND($O52*$P52,2),IF($C52="","",0))</f>
        <v/>
      </c>
      <c r="T52" s="20" t="n"/>
      <c r="U52">
        <f>IF($C52="","",IF($R52&lt;&gt;"SI","",IF($T52="","SIN DATO",IF(ABS($T52-$S52)&lt;=0.5,"OK","REVISAR"))))</f>
        <v/>
      </c>
      <c r="V52" s="20" t="n"/>
      <c r="W52" s="20">
        <f>IF(OR($C52="",$N52=""),"",IF($F52="RHE",ROUND($L52-$V52,2),ROUND($L52-($S52/$N52),2)))</f>
        <v/>
      </c>
      <c r="X52" s="25" t="n"/>
      <c r="Y52" s="25" t="n"/>
      <c r="AB52" t="inlineStr">
        <is>
          <t>ADMINISTRATIVO</t>
        </is>
      </c>
    </row>
    <row r="53">
      <c r="A53" t="n">
        <v>50</v>
      </c>
      <c r="B53" s="25">
        <f>DATE(2026,8,10)</f>
        <v/>
      </c>
      <c r="C53" t="inlineStr">
        <is>
          <t>E001- 175</t>
        </is>
      </c>
      <c r="D53" s="30" t="inlineStr">
        <is>
          <t>10408744151</t>
        </is>
      </c>
      <c r="E53" t="inlineStr">
        <is>
          <t>BEOUTIS BAZAN URSULA CATHERINE</t>
        </is>
      </c>
      <c r="F53" t="inlineStr">
        <is>
          <t>RHE</t>
        </is>
      </c>
      <c r="G53" s="30" t="inlineStr">
        <is>
          <t>N/A</t>
        </is>
      </c>
      <c r="H53">
        <f>IF($G53="","",IFERROR(INDEX(Catalogo_Etiquetas,MATCH($G53,Catalogo_Codigos,0)),"CODIGO NO VALIDO"))</f>
        <v/>
      </c>
      <c r="I53" t="inlineStr">
        <is>
          <t>PEN</t>
        </is>
      </c>
      <c r="J53" s="20" t="n">
        <v>1025</v>
      </c>
      <c r="K53" s="20" t="n">
        <v>0</v>
      </c>
      <c r="L53" s="20">
        <f>IF($C53="","",$J53+$K53)</f>
        <v/>
      </c>
      <c r="M53" s="30" t="inlineStr">
        <is>
          <t>632</t>
        </is>
      </c>
      <c r="N53" s="26">
        <f>IF($C53="","",IF($I53="PEN",1,IFERROR(IF(_xlfn.XLOOKUP($B53,TC_Fechas,TC_Venta_Rango,"",-1)="","",_xlfn.XLOOKUP($B53,TC_Fechas,TC_Venta_Rango,"",-1)),"")))</f>
        <v/>
      </c>
      <c r="O53" s="20">
        <f>IF(OR($C53="",$N53=""),"",ROUND($J53*$N53,2)+ROUND($K53*$N53,2))</f>
        <v/>
      </c>
      <c r="P53" s="31">
        <f>IF($G53="","",IFERROR(INDEX(Catalogo_Tasas,MATCH($G53,Catalogo_Codigos,0)),""))</f>
        <v/>
      </c>
      <c r="Q53" s="32">
        <f>IF($G53="","",IFERROR(INDEX(Catalogo_Umbrales,MATCH($G53,Catalogo_Codigos,0)),""))</f>
        <v/>
      </c>
      <c r="R53">
        <f>IF(OR($C53="",$P53="",$O53=""),"",IF($F53&lt;&gt;"FACTURA","NO",IF(AND($P53&gt;0,$O53&gt;$Q53),"SI","NO")))</f>
        <v/>
      </c>
      <c r="S53" s="20">
        <f>IF($R53="SI",ROUND($O53*$P53,2),IF($C53="","",0))</f>
        <v/>
      </c>
      <c r="T53" s="20" t="n"/>
      <c r="U53">
        <f>IF($C53="","",IF($R53&lt;&gt;"SI","",IF($T53="","SIN DATO",IF(ABS($T53-$S53)&lt;=0.5,"OK","REVISAR"))))</f>
        <v/>
      </c>
      <c r="V53" s="20" t="n"/>
      <c r="W53" s="20">
        <f>IF(OR($C53="",$N53=""),"",IF($F53="RHE",ROUND($L53-$V53,2),ROUND($L53-($S53/$N53),2)))</f>
        <v/>
      </c>
      <c r="X53" s="25" t="n"/>
      <c r="Y53" s="25" t="n"/>
      <c r="AB53" t="inlineStr">
        <is>
          <t>ADMINISTRATIVO</t>
        </is>
      </c>
    </row>
    <row r="54">
      <c r="A54" t="n">
        <v>51</v>
      </c>
      <c r="B54" s="25">
        <f>DATE(2026,8,16)</f>
        <v/>
      </c>
      <c r="C54" t="inlineStr">
        <is>
          <t>FM01-00004843</t>
        </is>
      </c>
      <c r="D54" s="30" t="inlineStr">
        <is>
          <t>20503909007</t>
        </is>
      </c>
      <c r="E54" t="inlineStr">
        <is>
          <t>CLABE ANDINA S.A.C. (SUMAQ MACHU PICCHU HOTEL)</t>
        </is>
      </c>
      <c r="F54" t="inlineStr">
        <is>
          <t>FACTURA</t>
        </is>
      </c>
      <c r="G54" s="30" t="inlineStr">
        <is>
          <t>N/A</t>
        </is>
      </c>
      <c r="H54">
        <f>IF($G54="","",IFERROR(INDEX(Catalogo_Etiquetas,MATCH($G54,Catalogo_Codigos,0)),"CODIGO NO VALIDO"))</f>
        <v/>
      </c>
      <c r="I54" t="inlineStr">
        <is>
          <t>USD</t>
        </is>
      </c>
      <c r="J54" s="20" t="n">
        <v>504</v>
      </c>
      <c r="K54" s="20" t="n">
        <v>0</v>
      </c>
      <c r="L54" s="20">
        <f>IF($C54="","",$J54+$K54)</f>
        <v/>
      </c>
      <c r="M54" s="30" t="inlineStr">
        <is>
          <t>639</t>
        </is>
      </c>
      <c r="N54" s="26">
        <f>IF($C54="","",IF($I54="PEN",1,IFERROR(IF(_xlfn.XLOOKUP($B54,TC_Fechas,TC_Venta_Rango,"",-1)="","",_xlfn.XLOOKUP($B54,TC_Fechas,TC_Venta_Rango,"",-1)),"")))</f>
        <v/>
      </c>
      <c r="O54" s="20">
        <f>IF(OR($C54="",$N54=""),"",ROUND($J54*$N54,2)+ROUND($K54*$N54,2))</f>
        <v/>
      </c>
      <c r="P54" s="31">
        <f>IF($G54="","",IFERROR(INDEX(Catalogo_Tasas,MATCH($G54,Catalogo_Codigos,0)),""))</f>
        <v/>
      </c>
      <c r="Q54" s="32">
        <f>IF($G54="","",IFERROR(INDEX(Catalogo_Umbrales,MATCH($G54,Catalogo_Codigos,0)),""))</f>
        <v/>
      </c>
      <c r="R54">
        <f>IF(OR($C54="",$P54="",$O54=""),"",IF($F54&lt;&gt;"FACTURA","NO",IF(AND($P54&gt;0,$O54&gt;$Q54),"SI","NO")))</f>
        <v/>
      </c>
      <c r="S54" s="20">
        <f>IF($R54="SI",ROUND($O54*$P54,2),IF($C54="","",0))</f>
        <v/>
      </c>
      <c r="T54" s="20" t="n"/>
      <c r="U54">
        <f>IF($C54="","",IF($R54&lt;&gt;"SI","",IF($T54="","SIN DATO",IF(ABS($T54-$S54)&lt;=0.5,"OK","REVISAR"))))</f>
        <v/>
      </c>
      <c r="V54" s="20" t="n"/>
      <c r="W54" s="20">
        <f>IF(OR($C54="",$N54=""),"",IF($F54="RHE",ROUND($L54-$V54,2),ROUND($L54-($S54/$N54),2)))</f>
        <v/>
      </c>
      <c r="X54" s="25" t="n"/>
      <c r="Y54" s="25" t="n"/>
      <c r="AB54" t="inlineStr">
        <is>
          <t>PROVEEDOR</t>
        </is>
      </c>
    </row>
    <row r="55">
      <c r="A55" t="n">
        <v>52</v>
      </c>
      <c r="B55" s="25">
        <f>DATE(2026,8,15)</f>
        <v/>
      </c>
      <c r="C55" t="inlineStr">
        <is>
          <t>E001-2031</t>
        </is>
      </c>
      <c r="D55" s="30" t="inlineStr">
        <is>
          <t>20601320500</t>
        </is>
      </c>
      <c r="E55" t="inlineStr">
        <is>
          <t>ETT HOUSE TOURS S.A.C.</t>
        </is>
      </c>
      <c r="F55" t="inlineStr">
        <is>
          <t>FACTURA</t>
        </is>
      </c>
      <c r="G55" s="30" t="inlineStr">
        <is>
          <t>N/A</t>
        </is>
      </c>
      <c r="H55">
        <f>IF($G55="","",IFERROR(INDEX(Catalogo_Etiquetas,MATCH($G55,Catalogo_Codigos,0)),"CODIGO NO VALIDO"))</f>
        <v/>
      </c>
      <c r="I55" t="inlineStr">
        <is>
          <t>USD</t>
        </is>
      </c>
      <c r="J55" s="20" t="n">
        <v>769.61</v>
      </c>
      <c r="K55" s="20" t="n">
        <v>138.53</v>
      </c>
      <c r="L55" s="20">
        <f>IF($C55="","",$J55+$K55)</f>
        <v/>
      </c>
      <c r="M55" s="30" t="inlineStr">
        <is>
          <t>639</t>
        </is>
      </c>
      <c r="N55" s="26">
        <f>IF($C55="","",IF($I55="PEN",1,IFERROR(IF(_xlfn.XLOOKUP($B55,TC_Fechas,TC_Venta_Rango,"",-1)="","",_xlfn.XLOOKUP($B55,TC_Fechas,TC_Venta_Rango,"",-1)),"")))</f>
        <v/>
      </c>
      <c r="O55" s="20">
        <f>IF(OR($C55="",$N55=""),"",ROUND($J55*$N55,2)+ROUND($K55*$N55,2))</f>
        <v/>
      </c>
      <c r="P55" s="31">
        <f>IF($G55="","",IFERROR(INDEX(Catalogo_Tasas,MATCH($G55,Catalogo_Codigos,0)),""))</f>
        <v/>
      </c>
      <c r="Q55" s="32">
        <f>IF($G55="","",IFERROR(INDEX(Catalogo_Umbrales,MATCH($G55,Catalogo_Codigos,0)),""))</f>
        <v/>
      </c>
      <c r="R55">
        <f>IF(OR($C55="",$P55="",$O55=""),"",IF($F55&lt;&gt;"FACTURA","NO",IF(AND($P55&gt;0,$O55&gt;$Q55),"SI","NO")))</f>
        <v/>
      </c>
      <c r="S55" s="20">
        <f>IF($R55="SI",ROUND($O55*$P55,2),IF($C55="","",0))</f>
        <v/>
      </c>
      <c r="T55" s="20" t="n"/>
      <c r="U55">
        <f>IF($C55="","",IF($R55&lt;&gt;"SI","",IF($T55="","SIN DATO",IF(ABS($T55-$S55)&lt;=0.5,"OK","REVISAR"))))</f>
        <v/>
      </c>
      <c r="V55" s="20" t="n"/>
      <c r="W55" s="20">
        <f>IF(OR($C55="",$N55=""),"",IF($F55="RHE",ROUND($L55-$V55,2),ROUND($L55-($S55/$N55),2)))</f>
        <v/>
      </c>
      <c r="X55" s="25" t="n"/>
      <c r="Y55" s="25" t="n"/>
      <c r="AB55" t="inlineStr">
        <is>
          <t>PROVEEDOR</t>
        </is>
      </c>
    </row>
    <row r="56">
      <c r="A56" t="n">
        <v>53</v>
      </c>
      <c r="B56" s="25">
        <f>DATE(2026,8,7)</f>
        <v/>
      </c>
      <c r="C56" t="inlineStr">
        <is>
          <t>E001-71</t>
        </is>
      </c>
      <c r="D56" s="30" t="inlineStr">
        <is>
          <t>10465858414</t>
        </is>
      </c>
      <c r="E56" t="inlineStr">
        <is>
          <t>GUILLEN GALLO ANDRES ALEJANDRO</t>
        </is>
      </c>
      <c r="F56" t="inlineStr">
        <is>
          <t>RHE</t>
        </is>
      </c>
      <c r="G56" s="30" t="inlineStr">
        <is>
          <t>N/A</t>
        </is>
      </c>
      <c r="H56">
        <f>IF($G56="","",IFERROR(INDEX(Catalogo_Etiquetas,MATCH($G56,Catalogo_Codigos,0)),"CODIGO NO VALIDO"))</f>
        <v/>
      </c>
      <c r="I56" t="inlineStr">
        <is>
          <t>PEN</t>
        </is>
      </c>
      <c r="J56" s="20" t="n">
        <v>500</v>
      </c>
      <c r="K56" s="20" t="n">
        <v>0</v>
      </c>
      <c r="L56" s="20">
        <f>IF($C56="","",$J56+$K56)</f>
        <v/>
      </c>
      <c r="M56" s="30" t="inlineStr">
        <is>
          <t>632</t>
        </is>
      </c>
      <c r="N56" s="26">
        <f>IF($C56="","",IF($I56="PEN",1,IFERROR(IF(_xlfn.XLOOKUP($B56,TC_Fechas,TC_Venta_Rango,"",-1)="","",_xlfn.XLOOKUP($B56,TC_Fechas,TC_Venta_Rango,"",-1)),"")))</f>
        <v/>
      </c>
      <c r="O56" s="20">
        <f>IF(OR($C56="",$N56=""),"",ROUND($J56*$N56,2)+ROUND($K56*$N56,2))</f>
        <v/>
      </c>
      <c r="P56" s="31">
        <f>IF($G56="","",IFERROR(INDEX(Catalogo_Tasas,MATCH($G56,Catalogo_Codigos,0)),""))</f>
        <v/>
      </c>
      <c r="Q56" s="32">
        <f>IF($G56="","",IFERROR(INDEX(Catalogo_Umbrales,MATCH($G56,Catalogo_Codigos,0)),""))</f>
        <v/>
      </c>
      <c r="R56">
        <f>IF(OR($C56="",$P56="",$O56=""),"",IF($F56&lt;&gt;"FACTURA","NO",IF(AND($P56&gt;0,$O56&gt;$Q56),"SI","NO")))</f>
        <v/>
      </c>
      <c r="S56" s="20">
        <f>IF($R56="SI",ROUND($O56*$P56,2),IF($C56="","",0))</f>
        <v/>
      </c>
      <c r="T56" s="20" t="n"/>
      <c r="U56">
        <f>IF($C56="","",IF($R56&lt;&gt;"SI","",IF($T56="","SIN DATO",IF(ABS($T56-$S56)&lt;=0.5,"OK","REVISAR"))))</f>
        <v/>
      </c>
      <c r="V56" s="20" t="n">
        <v>60</v>
      </c>
      <c r="W56" s="20">
        <f>IF(OR($C56="",$N56=""),"",IF($F56="RHE",ROUND($L56-$V56,2),ROUND($L56-($S56/$N56),2)))</f>
        <v/>
      </c>
      <c r="X56" s="25" t="n"/>
      <c r="Y56" s="25" t="n"/>
      <c r="AB56" t="inlineStr">
        <is>
          <t>ADMINISTRATIVO</t>
        </is>
      </c>
    </row>
    <row r="57">
      <c r="A57" t="n">
        <v>54</v>
      </c>
      <c r="B57" s="25">
        <f>DATE(2026,8,13)</f>
        <v/>
      </c>
      <c r="C57" t="inlineStr">
        <is>
          <t>FC55-00002098</t>
        </is>
      </c>
      <c r="D57" s="30" t="inlineStr">
        <is>
          <t>20536047906</t>
        </is>
      </c>
      <c r="E57" t="inlineStr">
        <is>
          <t>HOTELERIA PERUANA S.A.C. (TIERRA VIVA HOTELS)</t>
        </is>
      </c>
      <c r="F57" t="inlineStr">
        <is>
          <t>NOTA DE CREDITO</t>
        </is>
      </c>
      <c r="G57" s="30" t="inlineStr">
        <is>
          <t>N/A</t>
        </is>
      </c>
      <c r="H57">
        <f>IF($G57="","",IFERROR(INDEX(Catalogo_Etiquetas,MATCH($G57,Catalogo_Codigos,0)),"CODIGO NO VALIDO"))</f>
        <v/>
      </c>
      <c r="I57" t="inlineStr">
        <is>
          <t>USD</t>
        </is>
      </c>
      <c r="J57" s="20" t="n">
        <v>-237.5</v>
      </c>
      <c r="K57" s="20" t="n">
        <v>-42.75</v>
      </c>
      <c r="L57" s="20">
        <f>IF($C57="","",$J57+$K57)</f>
        <v/>
      </c>
      <c r="M57" s="30" t="inlineStr">
        <is>
          <t>639</t>
        </is>
      </c>
      <c r="N57" s="26">
        <f>IF($C57="","",IF($I57="PEN",1,IFERROR(IF(_xlfn.XLOOKUP($B57,TC_Fechas,TC_Venta_Rango,"",-1)="","",_xlfn.XLOOKUP($B57,TC_Fechas,TC_Venta_Rango,"",-1)),"")))</f>
        <v/>
      </c>
      <c r="O57" s="20">
        <f>IF(OR($C57="",$N57=""),"",ROUND($J57*$N57,2)+ROUND($K57*$N57,2))</f>
        <v/>
      </c>
      <c r="P57" s="31">
        <f>IF($G57="","",IFERROR(INDEX(Catalogo_Tasas,MATCH($G57,Catalogo_Codigos,0)),""))</f>
        <v/>
      </c>
      <c r="Q57" s="32">
        <f>IF($G57="","",IFERROR(INDEX(Catalogo_Umbrales,MATCH($G57,Catalogo_Codigos,0)),""))</f>
        <v/>
      </c>
      <c r="R57">
        <f>IF(OR($C57="",$P57="",$O57=""),"",IF($F57&lt;&gt;"FACTURA","NO",IF(AND($P57&gt;0,$O57&gt;$Q57),"SI","NO")))</f>
        <v/>
      </c>
      <c r="S57" s="20">
        <f>IF($R57="SI",ROUND($O57*$P57,2),IF($C57="","",0))</f>
        <v/>
      </c>
      <c r="T57" s="20" t="n"/>
      <c r="U57">
        <f>IF($C57="","",IF($R57&lt;&gt;"SI","",IF($T57="","SIN DATO",IF(ABS($T57-$S57)&lt;=0.5,"OK","REVISAR"))))</f>
        <v/>
      </c>
      <c r="V57" s="20" t="n"/>
      <c r="W57" s="20">
        <f>IF(OR($C57="",$N57=""),"",IF($F57="RHE",ROUND($L57-$V57,2),ROUND($L57-($S57/$N57),2)))</f>
        <v/>
      </c>
      <c r="X57" s="25" t="n"/>
      <c r="Y57" s="25" t="n"/>
      <c r="AB57" t="inlineStr">
        <is>
          <t>PROVEEDOR</t>
        </is>
      </c>
    </row>
    <row r="58">
      <c r="A58" t="n">
        <v>55</v>
      </c>
      <c r="B58" s="25">
        <f>DATE(2026,8,17)</f>
        <v/>
      </c>
      <c r="C58" t="inlineStr">
        <is>
          <t>F006-00003192</t>
        </is>
      </c>
      <c r="D58" s="30" t="inlineStr">
        <is>
          <t>20610235736</t>
        </is>
      </c>
      <c r="E58" t="inlineStr">
        <is>
          <t>HOTELES LA HACIENDA S.A.C.</t>
        </is>
      </c>
      <c r="F58" t="inlineStr">
        <is>
          <t>FACTURA</t>
        </is>
      </c>
      <c r="G58" s="30" t="inlineStr">
        <is>
          <t>N/A</t>
        </is>
      </c>
      <c r="H58">
        <f>IF($G58="","",IFERROR(INDEX(Catalogo_Etiquetas,MATCH($G58,Catalogo_Codigos,0)),"CODIGO NO VALIDO"))</f>
        <v/>
      </c>
      <c r="I58" t="inlineStr">
        <is>
          <t>USD</t>
        </is>
      </c>
      <c r="J58" s="20" t="n">
        <v>94.66</v>
      </c>
      <c r="K58" s="20" t="n">
        <v>17.04</v>
      </c>
      <c r="L58" s="20">
        <f>IF($C58="","",$J58+$K58)</f>
        <v/>
      </c>
      <c r="M58" s="30" t="inlineStr">
        <is>
          <t>639</t>
        </is>
      </c>
      <c r="N58" s="26">
        <f>IF($C58="","",IF($I58="PEN",1,IFERROR(IF(_xlfn.XLOOKUP($B58,TC_Fechas,TC_Venta_Rango,"",-1)="","",_xlfn.XLOOKUP($B58,TC_Fechas,TC_Venta_Rango,"",-1)),"")))</f>
        <v/>
      </c>
      <c r="O58" s="20">
        <f>IF(OR($C58="",$N58=""),"",ROUND($J58*$N58,2)+ROUND($K58*$N58,2))</f>
        <v/>
      </c>
      <c r="P58" s="31">
        <f>IF($G58="","",IFERROR(INDEX(Catalogo_Tasas,MATCH($G58,Catalogo_Codigos,0)),""))</f>
        <v/>
      </c>
      <c r="Q58" s="32">
        <f>IF($G58="","",IFERROR(INDEX(Catalogo_Umbrales,MATCH($G58,Catalogo_Codigos,0)),""))</f>
        <v/>
      </c>
      <c r="R58">
        <f>IF(OR($C58="",$P58="",$O58=""),"",IF($F58&lt;&gt;"FACTURA","NO",IF(AND($P58&gt;0,$O58&gt;$Q58),"SI","NO")))</f>
        <v/>
      </c>
      <c r="S58" s="20">
        <f>IF($R58="SI",ROUND($O58*$P58,2),IF($C58="","",0))</f>
        <v/>
      </c>
      <c r="T58" s="20" t="n"/>
      <c r="U58">
        <f>IF($C58="","",IF($R58&lt;&gt;"SI","",IF($T58="","SIN DATO",IF(ABS($T58-$S58)&lt;=0.5,"OK","REVISAR"))))</f>
        <v/>
      </c>
      <c r="V58" s="20" t="n"/>
      <c r="W58" s="20">
        <f>IF(OR($C58="",$N58=""),"",IF($F58="RHE",ROUND($L58-$V58,2),ROUND($L58-($S58/$N58),2)))</f>
        <v/>
      </c>
      <c r="X58" s="25" t="n"/>
      <c r="Y58" s="25" t="n"/>
      <c r="AB58" t="inlineStr">
        <is>
          <t>PROVEEDOR</t>
        </is>
      </c>
    </row>
    <row r="59">
      <c r="A59" t="n">
        <v>56</v>
      </c>
      <c r="B59" s="25">
        <f>DATE(2026,8,18)</f>
        <v/>
      </c>
      <c r="C59" t="inlineStr">
        <is>
          <t>F302-00001674</t>
        </is>
      </c>
      <c r="D59" s="30" t="inlineStr">
        <is>
          <t>20114803228</t>
        </is>
      </c>
      <c r="E59" t="inlineStr">
        <is>
          <t>INVERSIONES NACIONALES DE TURISMO S.A. (Palacio del Inka Hotel)</t>
        </is>
      </c>
      <c r="F59" t="inlineStr">
        <is>
          <t>NOTA DE CREDITO</t>
        </is>
      </c>
      <c r="G59" s="30" t="inlineStr">
        <is>
          <t>N/A</t>
        </is>
      </c>
      <c r="H59">
        <f>IF($G59="","",IFERROR(INDEX(Catalogo_Etiquetas,MATCH($G59,Catalogo_Codigos,0)),"CODIGO NO VALIDO"))</f>
        <v/>
      </c>
      <c r="I59" t="inlineStr">
        <is>
          <t>USD</t>
        </is>
      </c>
      <c r="J59" s="20" t="n">
        <v>-1102</v>
      </c>
      <c r="K59" s="20" t="n">
        <v>-198.36</v>
      </c>
      <c r="L59" s="20">
        <f>IF($C59="","",$J59+$K59)</f>
        <v/>
      </c>
      <c r="M59" s="30" t="inlineStr">
        <is>
          <t>639</t>
        </is>
      </c>
      <c r="N59" s="26">
        <f>IF($C59="","",IF($I59="PEN",1,IFERROR(IF(_xlfn.XLOOKUP($B59,TC_Fechas,TC_Venta_Rango,"",-1)="","",_xlfn.XLOOKUP($B59,TC_Fechas,TC_Venta_Rango,"",-1)),"")))</f>
        <v/>
      </c>
      <c r="O59" s="20">
        <f>IF(OR($C59="",$N59=""),"",ROUND($J59*$N59,2)+ROUND($K59*$N59,2))</f>
        <v/>
      </c>
      <c r="P59" s="31">
        <f>IF($G59="","",IFERROR(INDEX(Catalogo_Tasas,MATCH($G59,Catalogo_Codigos,0)),""))</f>
        <v/>
      </c>
      <c r="Q59" s="32">
        <f>IF($G59="","",IFERROR(INDEX(Catalogo_Umbrales,MATCH($G59,Catalogo_Codigos,0)),""))</f>
        <v/>
      </c>
      <c r="R59">
        <f>IF(OR($C59="",$P59="",$O59=""),"",IF($F59&lt;&gt;"FACTURA","NO",IF(AND($P59&gt;0,$O59&gt;$Q59),"SI","NO")))</f>
        <v/>
      </c>
      <c r="S59" s="20">
        <f>IF($R59="SI",ROUND($O59*$P59,2),IF($C59="","",0))</f>
        <v/>
      </c>
      <c r="T59" s="20" t="n"/>
      <c r="U59">
        <f>IF($C59="","",IF($R59&lt;&gt;"SI","",IF($T59="","SIN DATO",IF(ABS($T59-$S59)&lt;=0.5,"OK","REVISAR"))))</f>
        <v/>
      </c>
      <c r="V59" s="20" t="n"/>
      <c r="W59" s="20">
        <f>IF(OR($C59="",$N59=""),"",IF($F59="RHE",ROUND($L59-$V59,2),ROUND($L59-($S59/$N59),2)))</f>
        <v/>
      </c>
      <c r="X59" s="25" t="n"/>
      <c r="Y59" s="25" t="n"/>
      <c r="AB59" t="inlineStr">
        <is>
          <t>PROVEEDOR</t>
        </is>
      </c>
    </row>
    <row r="60">
      <c r="A60" t="n">
        <v>57</v>
      </c>
      <c r="B60" s="25">
        <f>DATE(2026,8,14)</f>
        <v/>
      </c>
      <c r="C60" t="inlineStr">
        <is>
          <t>E001-2663</t>
        </is>
      </c>
      <c r="D60" s="30" t="inlineStr">
        <is>
          <t>20602860958</t>
        </is>
      </c>
      <c r="E60" t="inlineStr">
        <is>
          <t>J &amp; R TURISMO E.I.R.L.</t>
        </is>
      </c>
      <c r="F60" t="inlineStr">
        <is>
          <t>FACTURA</t>
        </is>
      </c>
      <c r="G60" s="30" t="inlineStr">
        <is>
          <t>026</t>
        </is>
      </c>
      <c r="H60">
        <f>IF($G60="","",IFERROR(INDEX(Catalogo_Etiquetas,MATCH($G60,Catalogo_Codigos,0)),"CODIGO NO VALIDO"))</f>
        <v/>
      </c>
      <c r="I60" t="inlineStr">
        <is>
          <t>USD</t>
        </is>
      </c>
      <c r="J60" s="20" t="n">
        <v>260</v>
      </c>
      <c r="K60" s="20" t="n">
        <v>46.8</v>
      </c>
      <c r="L60" s="20">
        <f>IF($C60="","",$J60+$K60)</f>
        <v/>
      </c>
      <c r="M60" s="30" t="inlineStr">
        <is>
          <t>631</t>
        </is>
      </c>
      <c r="N60" s="26">
        <f>IF($C60="","",IF($I60="PEN",1,IFERROR(IF(_xlfn.XLOOKUP($B60,TC_Fechas,TC_Venta_Rango,"",-1)="","",_xlfn.XLOOKUP($B60,TC_Fechas,TC_Venta_Rango,"",-1)),"")))</f>
        <v/>
      </c>
      <c r="O60" s="20">
        <f>IF(OR($C60="",$N60=""),"",ROUND($J60*$N60,2)+ROUND($K60*$N60,2))</f>
        <v/>
      </c>
      <c r="P60" s="31">
        <f>IF($G60="","",IFERROR(INDEX(Catalogo_Tasas,MATCH($G60,Catalogo_Codigos,0)),""))</f>
        <v/>
      </c>
      <c r="Q60" s="32">
        <f>IF($G60="","",IFERROR(INDEX(Catalogo_Umbrales,MATCH($G60,Catalogo_Codigos,0)),""))</f>
        <v/>
      </c>
      <c r="R60">
        <f>IF(OR($C60="",$P60="",$O60=""),"",IF($F60&lt;&gt;"FACTURA","NO",IF(AND($P60&gt;0,$O60&gt;$Q60),"SI","NO")))</f>
        <v/>
      </c>
      <c r="S60" s="20">
        <f>IF($R60="SI",ROUND($O60*$P60,2),IF($C60="","",0))</f>
        <v/>
      </c>
      <c r="T60" s="20" t="n">
        <v>103.42</v>
      </c>
      <c r="U60">
        <f>IF($C60="","",IF($R60&lt;&gt;"SI","",IF($T60="","SIN DATO",IF(ABS($T60-$S60)&lt;=0.5,"OK","REVISAR"))))</f>
        <v/>
      </c>
      <c r="V60" s="20" t="n"/>
      <c r="W60" s="20">
        <f>IF(OR($C60="",$N60=""),"",IF($F60="RHE",ROUND($L60-$V60,2),ROUND($L60-($S60/$N60),2)))</f>
        <v/>
      </c>
      <c r="X60" s="25" t="n"/>
      <c r="Y60" s="25" t="n"/>
      <c r="AB60" t="inlineStr">
        <is>
          <t>PROVEEDOR</t>
        </is>
      </c>
    </row>
    <row r="61">
      <c r="A61" t="n">
        <v>58</v>
      </c>
      <c r="B61" s="25">
        <f>DATE(2026,8,12)</f>
        <v/>
      </c>
      <c r="C61" t="inlineStr">
        <is>
          <t>E001-52</t>
        </is>
      </c>
      <c r="D61" s="30" t="inlineStr">
        <is>
          <t>20615850609</t>
        </is>
      </c>
      <c r="E61" t="inlineStr">
        <is>
          <t>MCA LUXURY CORPORATION S.A.C.</t>
        </is>
      </c>
      <c r="F61" t="inlineStr">
        <is>
          <t>FACTURA</t>
        </is>
      </c>
      <c r="G61" s="30" t="inlineStr">
        <is>
          <t>026</t>
        </is>
      </c>
      <c r="H61">
        <f>IF($G61="","",IFERROR(INDEX(Catalogo_Etiquetas,MATCH($G61,Catalogo_Codigos,0)),"CODIGO NO VALIDO"))</f>
        <v/>
      </c>
      <c r="I61" t="inlineStr">
        <is>
          <t>USD</t>
        </is>
      </c>
      <c r="J61" s="20" t="n">
        <v>662.63</v>
      </c>
      <c r="K61" s="20" t="n">
        <v>119.27</v>
      </c>
      <c r="L61" s="20">
        <f>IF($C61="","",$J61+$K61)</f>
        <v/>
      </c>
      <c r="M61" s="30" t="inlineStr">
        <is>
          <t>631</t>
        </is>
      </c>
      <c r="N61" s="26">
        <f>IF($C61="","",IF($I61="PEN",1,IFERROR(IF(_xlfn.XLOOKUP($B61,TC_Fechas,TC_Venta_Rango,"",-1)="","",_xlfn.XLOOKUP($B61,TC_Fechas,TC_Venta_Rango,"",-1)),"")))</f>
        <v/>
      </c>
      <c r="O61" s="20">
        <f>IF(OR($C61="",$N61=""),"",ROUND($J61*$N61,2)+ROUND($K61*$N61,2))</f>
        <v/>
      </c>
      <c r="P61" s="31">
        <f>IF($G61="","",IFERROR(INDEX(Catalogo_Tasas,MATCH($G61,Catalogo_Codigos,0)),""))</f>
        <v/>
      </c>
      <c r="Q61" s="32">
        <f>IF($G61="","",IFERROR(INDEX(Catalogo_Umbrales,MATCH($G61,Catalogo_Codigos,0)),""))</f>
        <v/>
      </c>
      <c r="R61">
        <f>IF(OR($C61="",$P61="",$O61=""),"",IF($F61&lt;&gt;"FACTURA","NO",IF(AND($P61&gt;0,$O61&gt;$Q61),"SI","NO")))</f>
        <v/>
      </c>
      <c r="S61" s="20">
        <f>IF($R61="SI",ROUND($O61*$P61,2),IF($C61="","",0))</f>
        <v/>
      </c>
      <c r="T61" s="20" t="n">
        <v>264</v>
      </c>
      <c r="U61">
        <f>IF($C61="","",IF($R61&lt;&gt;"SI","",IF($T61="","SIN DATO",IF(ABS($T61-$S61)&lt;=0.5,"OK","REVISAR"))))</f>
        <v/>
      </c>
      <c r="V61" s="20" t="n"/>
      <c r="W61" s="20">
        <f>IF(OR($C61="",$N61=""),"",IF($F61="RHE",ROUND($L61-$V61,2),ROUND($L61-($S61/$N61),2)))</f>
        <v/>
      </c>
      <c r="X61" s="25" t="n"/>
      <c r="Y61" s="25" t="n"/>
      <c r="AB61" t="inlineStr">
        <is>
          <t>ADMINISTRATIVO</t>
        </is>
      </c>
    </row>
    <row r="62">
      <c r="A62" t="n">
        <v>59</v>
      </c>
      <c r="B62" s="25">
        <f>DATE(2026,8,10)</f>
        <v/>
      </c>
      <c r="C62" t="inlineStr">
        <is>
          <t>F001-00000733</t>
        </is>
      </c>
      <c r="D62" s="30" t="inlineStr">
        <is>
          <t>20603386214</t>
        </is>
      </c>
      <c r="E62" t="inlineStr">
        <is>
          <t>PERUVIAN CULTURE TRAVEL AGENCIA DE VIAJES Y TURISMO S.R.L.</t>
        </is>
      </c>
      <c r="F62" t="inlineStr">
        <is>
          <t>FACTURA</t>
        </is>
      </c>
      <c r="G62" s="30" t="inlineStr">
        <is>
          <t>037</t>
        </is>
      </c>
      <c r="H62">
        <f>IF($G62="","",IFERROR(INDEX(Catalogo_Etiquetas,MATCH($G62,Catalogo_Codigos,0)),"CODIGO NO VALIDO"))</f>
        <v/>
      </c>
      <c r="I62" t="inlineStr">
        <is>
          <t>USD</t>
        </is>
      </c>
      <c r="J62" s="20" t="n">
        <v>1041.86</v>
      </c>
      <c r="K62" s="20" t="n">
        <v>187.54</v>
      </c>
      <c r="L62" s="20">
        <f>IF($C62="","",$J62+$K62)</f>
        <v/>
      </c>
      <c r="M62" s="30" t="inlineStr">
        <is>
          <t>639</t>
        </is>
      </c>
      <c r="N62" s="26">
        <f>IF($C62="","",IF($I62="PEN",1,IFERROR(IF(_xlfn.XLOOKUP($B62,TC_Fechas,TC_Venta_Rango,"",-1)="","",_xlfn.XLOOKUP($B62,TC_Fechas,TC_Venta_Rango,"",-1)),"")))</f>
        <v/>
      </c>
      <c r="O62" s="20">
        <f>IF(OR($C62="",$N62=""),"",ROUND($J62*$N62,2)+ROUND($K62*$N62,2))</f>
        <v/>
      </c>
      <c r="P62" s="31">
        <f>IF($G62="","",IFERROR(INDEX(Catalogo_Tasas,MATCH($G62,Catalogo_Codigos,0)),""))</f>
        <v/>
      </c>
      <c r="Q62" s="32">
        <f>IF($G62="","",IFERROR(INDEX(Catalogo_Umbrales,MATCH($G62,Catalogo_Codigos,0)),""))</f>
        <v/>
      </c>
      <c r="R62">
        <f>IF(OR($C62="",$P62="",$O62=""),"",IF($F62&lt;&gt;"FACTURA","NO",IF(AND($P62&gt;0,$O62&gt;$Q62),"SI","NO")))</f>
        <v/>
      </c>
      <c r="S62" s="20">
        <f>IF($R62="SI",ROUND($O62*$P62,2),IF($C62="","",0))</f>
        <v/>
      </c>
      <c r="T62" s="20" t="n">
        <v>500.27</v>
      </c>
      <c r="U62">
        <f>IF($C62="","",IF($R62&lt;&gt;"SI","",IF($T62="","SIN DATO",IF(ABS($T62-$S62)&lt;=0.5,"OK","REVISAR"))))</f>
        <v/>
      </c>
      <c r="V62" s="20" t="n"/>
      <c r="W62" s="20">
        <f>IF(OR($C62="",$N62=""),"",IF($F62="RHE",ROUND($L62-$V62,2),ROUND($L62-($S62/$N62),2)))</f>
        <v/>
      </c>
      <c r="X62" s="25" t="n"/>
      <c r="Y62" s="25" t="n"/>
      <c r="AB62" t="inlineStr">
        <is>
          <t>PROVEEDOR</t>
        </is>
      </c>
    </row>
    <row r="63">
      <c r="A63" t="n">
        <v>60</v>
      </c>
      <c r="B63" s="25">
        <f>DATE(2026,8,12)</f>
        <v/>
      </c>
      <c r="C63" t="inlineStr">
        <is>
          <t>FC03-00002537</t>
        </is>
      </c>
      <c r="D63" s="30" t="inlineStr">
        <is>
          <t>20387253191</t>
        </is>
      </c>
      <c r="E63" t="inlineStr">
        <is>
          <t>PETIT POIS S.A.C. (HOTEL SOL Y LUNA)</t>
        </is>
      </c>
      <c r="F63" t="inlineStr">
        <is>
          <t>FACTURA</t>
        </is>
      </c>
      <c r="G63" s="30" t="inlineStr">
        <is>
          <t>N/A</t>
        </is>
      </c>
      <c r="H63">
        <f>IF($G63="","",IFERROR(INDEX(Catalogo_Etiquetas,MATCH($G63,Catalogo_Codigos,0)),"CODIGO NO VALIDO"))</f>
        <v/>
      </c>
      <c r="I63" t="inlineStr">
        <is>
          <t>USD</t>
        </is>
      </c>
      <c r="J63" s="20" t="n">
        <v>2184.75</v>
      </c>
      <c r="K63" s="20" t="n">
        <v>393.25</v>
      </c>
      <c r="L63" s="20">
        <f>IF($C63="","",$J63+$K63)</f>
        <v/>
      </c>
      <c r="M63" s="30" t="inlineStr">
        <is>
          <t>639</t>
        </is>
      </c>
      <c r="N63" s="26">
        <f>IF($C63="","",IF($I63="PEN",1,IFERROR(IF(_xlfn.XLOOKUP($B63,TC_Fechas,TC_Venta_Rango,"",-1)="","",_xlfn.XLOOKUP($B63,TC_Fechas,TC_Venta_Rango,"",-1)),"")))</f>
        <v/>
      </c>
      <c r="O63" s="20">
        <f>IF(OR($C63="",$N63=""),"",ROUND($J63*$N63,2)+ROUND($K63*$N63,2))</f>
        <v/>
      </c>
      <c r="P63" s="31">
        <f>IF($G63="","",IFERROR(INDEX(Catalogo_Tasas,MATCH($G63,Catalogo_Codigos,0)),""))</f>
        <v/>
      </c>
      <c r="Q63" s="32">
        <f>IF($G63="","",IFERROR(INDEX(Catalogo_Umbrales,MATCH($G63,Catalogo_Codigos,0)),""))</f>
        <v/>
      </c>
      <c r="R63">
        <f>IF(OR($C63="",$P63="",$O63=""),"",IF($F63&lt;&gt;"FACTURA","NO",IF(AND($P63&gt;0,$O63&gt;$Q63),"SI","NO")))</f>
        <v/>
      </c>
      <c r="S63" s="20">
        <f>IF($R63="SI",ROUND($O63*$P63,2),IF($C63="","",0))</f>
        <v/>
      </c>
      <c r="T63" s="20" t="n"/>
      <c r="U63">
        <f>IF($C63="","",IF($R63&lt;&gt;"SI","",IF($T63="","SIN DATO",IF(ABS($T63-$S63)&lt;=0.5,"OK","REVISAR"))))</f>
        <v/>
      </c>
      <c r="V63" s="20" t="n"/>
      <c r="W63" s="20">
        <f>IF(OR($C63="",$N63=""),"",IF($F63="RHE",ROUND($L63-$V63,2),ROUND($L63-($S63/$N63),2)))</f>
        <v/>
      </c>
      <c r="X63" s="25" t="n"/>
      <c r="Y63" s="25" t="n"/>
      <c r="AB63" t="inlineStr">
        <is>
          <t>PROVEEDOR</t>
        </is>
      </c>
    </row>
    <row r="64">
      <c r="A64" t="n">
        <v>61</v>
      </c>
      <c r="B64" s="25">
        <f>DATE(2026,8,8)</f>
        <v/>
      </c>
      <c r="C64" t="inlineStr">
        <is>
          <t>FW01-00000409</t>
        </is>
      </c>
      <c r="D64" s="30" t="inlineStr">
        <is>
          <t>20611806893</t>
        </is>
      </c>
      <c r="E64" t="inlineStr">
        <is>
          <t>SIETE APUS E.I.R.L.</t>
        </is>
      </c>
      <c r="F64" t="inlineStr">
        <is>
          <t>FACTURA</t>
        </is>
      </c>
      <c r="G64" s="30" t="inlineStr">
        <is>
          <t>N/A</t>
        </is>
      </c>
      <c r="H64">
        <f>IF($G64="","",IFERROR(INDEX(Catalogo_Etiquetas,MATCH($G64,Catalogo_Codigos,0)),"CODIGO NO VALIDO"))</f>
        <v/>
      </c>
      <c r="I64" t="inlineStr">
        <is>
          <t>PEN</t>
        </is>
      </c>
      <c r="J64" s="20" t="n">
        <v>180.09</v>
      </c>
      <c r="K64" s="20" t="n">
        <v>18.91</v>
      </c>
      <c r="L64" s="20">
        <f>IF($C64="","",$J64+$K64)</f>
        <v/>
      </c>
      <c r="M64" s="30" t="inlineStr">
        <is>
          <t>639</t>
        </is>
      </c>
      <c r="N64" s="26">
        <f>IF($C64="","",IF($I64="PEN",1,IFERROR(IF(_xlfn.XLOOKUP($B64,TC_Fechas,TC_Venta_Rango,"",-1)="","",_xlfn.XLOOKUP($B64,TC_Fechas,TC_Venta_Rango,"",-1)),"")))</f>
        <v/>
      </c>
      <c r="O64" s="20">
        <f>IF(OR($C64="",$N64=""),"",ROUND($J64*$N64,2)+ROUND($K64*$N64,2))</f>
        <v/>
      </c>
      <c r="P64" s="31">
        <f>IF($G64="","",IFERROR(INDEX(Catalogo_Tasas,MATCH($G64,Catalogo_Codigos,0)),""))</f>
        <v/>
      </c>
      <c r="Q64" s="32">
        <f>IF($G64="","",IFERROR(INDEX(Catalogo_Umbrales,MATCH($G64,Catalogo_Codigos,0)),""))</f>
        <v/>
      </c>
      <c r="R64">
        <f>IF(OR($C64="",$P64="",$O64=""),"",IF($F64&lt;&gt;"FACTURA","NO",IF(AND($P64&gt;0,$O64&gt;$Q64),"SI","NO")))</f>
        <v/>
      </c>
      <c r="S64" s="20">
        <f>IF($R64="SI",ROUND($O64*$P64,2),IF($C64="","",0))</f>
        <v/>
      </c>
      <c r="T64" s="20" t="n"/>
      <c r="U64">
        <f>IF($C64="","",IF($R64&lt;&gt;"SI","",IF($T64="","SIN DATO",IF(ABS($T64-$S64)&lt;=0.5,"OK","REVISAR"))))</f>
        <v/>
      </c>
      <c r="V64" s="20" t="n"/>
      <c r="W64" s="20">
        <f>IF(OR($C64="",$N64=""),"",IF($F64="RHE",ROUND($L64-$V64,2),ROUND($L64-($S64/$N64),2)))</f>
        <v/>
      </c>
      <c r="X64" s="25" t="n"/>
      <c r="Y64" s="25" t="n"/>
      <c r="AB64" t="inlineStr">
        <is>
          <t>ADMINISTRATIVO</t>
        </is>
      </c>
    </row>
    <row r="65">
      <c r="A65" t="n">
        <v>62</v>
      </c>
      <c r="B65" s="25">
        <f>DATE(2026,8,4)</f>
        <v/>
      </c>
      <c r="C65" t="inlineStr">
        <is>
          <t>E001- 542</t>
        </is>
      </c>
      <c r="D65" s="30" t="inlineStr">
        <is>
          <t>10408222490</t>
        </is>
      </c>
      <c r="E65" t="inlineStr">
        <is>
          <t>CARRASCO ALEGRE ROLLY VICTOR</t>
        </is>
      </c>
      <c r="F65" t="inlineStr">
        <is>
          <t>RHE</t>
        </is>
      </c>
      <c r="G65" s="30" t="inlineStr">
        <is>
          <t>N/A</t>
        </is>
      </c>
      <c r="H65">
        <f>IF($G65="","",IFERROR(INDEX(Catalogo_Etiquetas,MATCH($G65,Catalogo_Codigos,0)),"CODIGO NO VALIDO"))</f>
        <v/>
      </c>
      <c r="I65" t="inlineStr">
        <is>
          <t>USD</t>
        </is>
      </c>
      <c r="J65" s="20" t="n">
        <v>190</v>
      </c>
      <c r="K65" s="20" t="n">
        <v>0</v>
      </c>
      <c r="L65" s="20">
        <f>IF($C65="","",$J65+$K65)</f>
        <v/>
      </c>
      <c r="M65" s="30" t="inlineStr">
        <is>
          <t>632</t>
        </is>
      </c>
      <c r="N65" s="26">
        <f>IF($C65="","",IF($I65="PEN",1,IFERROR(IF(_xlfn.XLOOKUP($B65,TC_Fechas,TC_Venta_Rango,"",-1)="","",_xlfn.XLOOKUP($B65,TC_Fechas,TC_Venta_Rango,"",-1)),"")))</f>
        <v/>
      </c>
      <c r="O65" s="20">
        <f>IF(OR($C65="",$N65=""),"",ROUND($J65*$N65,2)+ROUND($K65*$N65,2))</f>
        <v/>
      </c>
      <c r="P65" s="31">
        <f>IF($G65="","",IFERROR(INDEX(Catalogo_Tasas,MATCH($G65,Catalogo_Codigos,0)),""))</f>
        <v/>
      </c>
      <c r="Q65" s="32">
        <f>IF($G65="","",IFERROR(INDEX(Catalogo_Umbrales,MATCH($G65,Catalogo_Codigos,0)),""))</f>
        <v/>
      </c>
      <c r="R65">
        <f>IF(OR($C65="",$P65="",$O65=""),"",IF($F65&lt;&gt;"FACTURA","NO",IF(AND($P65&gt;0,$O65&gt;$Q65),"SI","NO")))</f>
        <v/>
      </c>
      <c r="S65" s="20">
        <f>IF($R65="SI",ROUND($O65*$P65,2),IF($C65="","",0))</f>
        <v/>
      </c>
      <c r="T65" s="20" t="n"/>
      <c r="U65">
        <f>IF($C65="","",IF($R65&lt;&gt;"SI","",IF($T65="","SIN DATO",IF(ABS($T65-$S65)&lt;=0.5,"OK","REVISAR"))))</f>
        <v/>
      </c>
      <c r="V65" s="20" t="n"/>
      <c r="W65" s="20">
        <f>IF(OR($C65="",$N65=""),"",IF($F65="RHE",ROUND($L65-$V65,2),ROUND($L65-($S65/$N65),2)))</f>
        <v/>
      </c>
      <c r="X65" s="25" t="n"/>
      <c r="Y65" s="25" t="n"/>
      <c r="AB65" t="inlineStr">
        <is>
          <t>PROVEEDOR</t>
        </is>
      </c>
    </row>
    <row r="66">
      <c r="A66" t="n">
        <v>63</v>
      </c>
      <c r="B66" s="25">
        <f>DATE(2026,8,6)</f>
        <v/>
      </c>
      <c r="C66" t="inlineStr">
        <is>
          <t>E001-324</t>
        </is>
      </c>
      <c r="D66" s="30" t="inlineStr">
        <is>
          <t>20603668406</t>
        </is>
      </c>
      <c r="E66" t="inlineStr">
        <is>
          <t>LUXURY ADVENTURE CUSCO PERU E.I.R.L.</t>
        </is>
      </c>
      <c r="F66" t="inlineStr">
        <is>
          <t>FACTURA</t>
        </is>
      </c>
      <c r="G66" s="30" t="inlineStr">
        <is>
          <t>N/A</t>
        </is>
      </c>
      <c r="H66">
        <f>IF($G66="","",IFERROR(INDEX(Catalogo_Etiquetas,MATCH($G66,Catalogo_Codigos,0)),"CODIGO NO VALIDO"))</f>
        <v/>
      </c>
      <c r="I66" t="inlineStr">
        <is>
          <t>USD</t>
        </is>
      </c>
      <c r="J66" s="20" t="n">
        <v>118.64</v>
      </c>
      <c r="K66" s="20" t="n">
        <v>21.36</v>
      </c>
      <c r="L66" s="20">
        <f>IF($C66="","",$J66+$K66)</f>
        <v/>
      </c>
      <c r="M66" s="30" t="inlineStr">
        <is>
          <t>639</t>
        </is>
      </c>
      <c r="N66" s="26">
        <f>IF($C66="","",IF($I66="PEN",1,IFERROR(IF(_xlfn.XLOOKUP($B66,TC_Fechas,TC_Venta_Rango,"",-1)="","",_xlfn.XLOOKUP($B66,TC_Fechas,TC_Venta_Rango,"",-1)),"")))</f>
        <v/>
      </c>
      <c r="O66" s="20">
        <f>IF(OR($C66="",$N66=""),"",ROUND($J66*$N66,2)+ROUND($K66*$N66,2))</f>
        <v/>
      </c>
      <c r="P66" s="31">
        <f>IF($G66="","",IFERROR(INDEX(Catalogo_Tasas,MATCH($G66,Catalogo_Codigos,0)),""))</f>
        <v/>
      </c>
      <c r="Q66" s="32">
        <f>IF($G66="","",IFERROR(INDEX(Catalogo_Umbrales,MATCH($G66,Catalogo_Codigos,0)),""))</f>
        <v/>
      </c>
      <c r="R66">
        <f>IF(OR($C66="",$P66="",$O66=""),"",IF($F66&lt;&gt;"FACTURA","NO",IF(AND($P66&gt;0,$O66&gt;$Q66),"SI","NO")))</f>
        <v/>
      </c>
      <c r="S66" s="20">
        <f>IF($R66="SI",ROUND($O66*$P66,2),IF($C66="","",0))</f>
        <v/>
      </c>
      <c r="T66" s="20" t="n"/>
      <c r="U66">
        <f>IF($C66="","",IF($R66&lt;&gt;"SI","",IF($T66="","SIN DATO",IF(ABS($T66-$S66)&lt;=0.5,"OK","REVISAR"))))</f>
        <v/>
      </c>
      <c r="V66" s="20" t="n"/>
      <c r="W66" s="20">
        <f>IF(OR($C66="",$N66=""),"",IF($F66="RHE",ROUND($L66-$V66,2),ROUND($L66-($S66/$N66),2)))</f>
        <v/>
      </c>
      <c r="X66" s="25" t="n"/>
      <c r="Y66" s="25" t="n"/>
      <c r="AB66" t="inlineStr">
        <is>
          <t>PROVEEDOR</t>
        </is>
      </c>
    </row>
    <row r="67">
      <c r="A67" t="n">
        <v>64</v>
      </c>
      <c r="B67" s="25">
        <f>DATE(2026,8,6)</f>
        <v/>
      </c>
      <c r="C67" t="inlineStr">
        <is>
          <t>E001-329</t>
        </is>
      </c>
      <c r="D67" s="30" t="inlineStr">
        <is>
          <t>20603668406</t>
        </is>
      </c>
      <c r="E67" t="inlineStr">
        <is>
          <t>LUXURY ADVENTURE CUSCO PERU E.I.R.L.</t>
        </is>
      </c>
      <c r="F67" t="inlineStr">
        <is>
          <t>FACTURA</t>
        </is>
      </c>
      <c r="G67" s="30" t="inlineStr">
        <is>
          <t>037</t>
        </is>
      </c>
      <c r="H67">
        <f>IF($G67="","",IFERROR(INDEX(Catalogo_Etiquetas,MATCH($G67,Catalogo_Codigos,0)),"CODIGO NO VALIDO"))</f>
        <v/>
      </c>
      <c r="I67" t="inlineStr">
        <is>
          <t>USD</t>
        </is>
      </c>
      <c r="J67" s="20" t="n">
        <v>177.97</v>
      </c>
      <c r="K67" s="20" t="n">
        <v>32.03</v>
      </c>
      <c r="L67" s="20">
        <f>IF($C67="","",$J67+$K67)</f>
        <v/>
      </c>
      <c r="M67" s="30" t="inlineStr">
        <is>
          <t>639</t>
        </is>
      </c>
      <c r="N67" s="26">
        <f>IF($C67="","",IF($I67="PEN",1,IFERROR(IF(_xlfn.XLOOKUP($B67,TC_Fechas,TC_Venta_Rango,"",-1)="","",_xlfn.XLOOKUP($B67,TC_Fechas,TC_Venta_Rango,"",-1)),"")))</f>
        <v/>
      </c>
      <c r="O67" s="20">
        <f>IF(OR($C67="",$N67=""),"",ROUND($J67*$N67,2)+ROUND($K67*$N67,2))</f>
        <v/>
      </c>
      <c r="P67" s="31">
        <f>IF($G67="","",IFERROR(INDEX(Catalogo_Tasas,MATCH($G67,Catalogo_Codigos,0)),""))</f>
        <v/>
      </c>
      <c r="Q67" s="32">
        <f>IF($G67="","",IFERROR(INDEX(Catalogo_Umbrales,MATCH($G67,Catalogo_Codigos,0)),""))</f>
        <v/>
      </c>
      <c r="R67">
        <f>IF(OR($C67="",$P67="",$O67=""),"",IF($F67&lt;&gt;"FACTURA","NO",IF(AND($P67&gt;0,$O67&gt;$Q67),"SI","NO")))</f>
        <v/>
      </c>
      <c r="S67" s="20">
        <f>IF($R67="SI",ROUND($O67*$P67,2),IF($C67="","",0))</f>
        <v/>
      </c>
      <c r="T67" s="20" t="n">
        <v>86</v>
      </c>
      <c r="U67">
        <f>IF($C67="","",IF($R67&lt;&gt;"SI","",IF($T67="","SIN DATO",IF(ABS($T67-$S67)&lt;=0.5,"OK","REVISAR"))))</f>
        <v/>
      </c>
      <c r="V67" s="20" t="n"/>
      <c r="W67" s="20">
        <f>IF(OR($C67="",$N67=""),"",IF($F67="RHE",ROUND($L67-$V67,2),ROUND($L67-($S67/$N67),2)))</f>
        <v/>
      </c>
      <c r="X67" s="25" t="n"/>
      <c r="Y67" s="25" t="n"/>
      <c r="AB67" t="inlineStr">
        <is>
          <t>PROVEEDOR</t>
        </is>
      </c>
    </row>
    <row r="68">
      <c r="A68" t="n">
        <v>65</v>
      </c>
      <c r="B68" s="25">
        <f>DATE(2026,8,6)</f>
        <v/>
      </c>
      <c r="C68" t="inlineStr">
        <is>
          <t>E001-334</t>
        </is>
      </c>
      <c r="D68" s="30" t="inlineStr">
        <is>
          <t>20603668406</t>
        </is>
      </c>
      <c r="E68" t="inlineStr">
        <is>
          <t>LUXURY ADVENTURE CUSCO PERU E.I.R.L.</t>
        </is>
      </c>
      <c r="F68" t="inlineStr">
        <is>
          <t>FACTURA</t>
        </is>
      </c>
      <c r="G68" s="30" t="inlineStr">
        <is>
          <t>N/A</t>
        </is>
      </c>
      <c r="H68">
        <f>IF($G68="","",IFERROR(INDEX(Catalogo_Etiquetas,MATCH($G68,Catalogo_Codigos,0)),"CODIGO NO VALIDO"))</f>
        <v/>
      </c>
      <c r="I68" t="inlineStr">
        <is>
          <t>USD</t>
        </is>
      </c>
      <c r="J68" s="20" t="n">
        <v>133.48</v>
      </c>
      <c r="K68" s="20" t="n">
        <v>24.03</v>
      </c>
      <c r="L68" s="20">
        <f>IF($C68="","",$J68+$K68)</f>
        <v/>
      </c>
      <c r="M68" s="30" t="inlineStr">
        <is>
          <t>639</t>
        </is>
      </c>
      <c r="N68" s="26">
        <f>IF($C68="","",IF($I68="PEN",1,IFERROR(IF(_xlfn.XLOOKUP($B68,TC_Fechas,TC_Venta_Rango,"",-1)="","",_xlfn.XLOOKUP($B68,TC_Fechas,TC_Venta_Rango,"",-1)),"")))</f>
        <v/>
      </c>
      <c r="O68" s="20">
        <f>IF(OR($C68="",$N68=""),"",ROUND($J68*$N68,2)+ROUND($K68*$N68,2))</f>
        <v/>
      </c>
      <c r="P68" s="31">
        <f>IF($G68="","",IFERROR(INDEX(Catalogo_Tasas,MATCH($G68,Catalogo_Codigos,0)),""))</f>
        <v/>
      </c>
      <c r="Q68" s="32">
        <f>IF($G68="","",IFERROR(INDEX(Catalogo_Umbrales,MATCH($G68,Catalogo_Codigos,0)),""))</f>
        <v/>
      </c>
      <c r="R68">
        <f>IF(OR($C68="",$P68="",$O68=""),"",IF($F68&lt;&gt;"FACTURA","NO",IF(AND($P68&gt;0,$O68&gt;$Q68),"SI","NO")))</f>
        <v/>
      </c>
      <c r="S68" s="20">
        <f>IF($R68="SI",ROUND($O68*$P68,2),IF($C68="","",0))</f>
        <v/>
      </c>
      <c r="T68" s="20" t="n"/>
      <c r="U68">
        <f>IF($C68="","",IF($R68&lt;&gt;"SI","",IF($T68="","SIN DATO",IF(ABS($T68-$S68)&lt;=0.5,"OK","REVISAR"))))</f>
        <v/>
      </c>
      <c r="V68" s="20" t="n"/>
      <c r="W68" s="20">
        <f>IF(OR($C68="",$N68=""),"",IF($F68="RHE",ROUND($L68-$V68,2),ROUND($L68-($S68/$N68),2)))</f>
        <v/>
      </c>
      <c r="X68" s="25" t="n"/>
      <c r="Y68" s="25" t="n"/>
      <c r="AB68" t="inlineStr">
        <is>
          <t>PROVEEDOR</t>
        </is>
      </c>
    </row>
    <row r="69">
      <c r="A69" t="n">
        <v>66</v>
      </c>
      <c r="B69" s="25">
        <f>DATE(2026,8,13)</f>
        <v/>
      </c>
      <c r="C69" t="inlineStr">
        <is>
          <t>E001-111</t>
        </is>
      </c>
      <c r="D69" s="30" t="inlineStr">
        <is>
          <t>10731722124</t>
        </is>
      </c>
      <c r="E69" t="inlineStr">
        <is>
          <t>ALCAZAR GONZALES ERNESTO ANDRES</t>
        </is>
      </c>
      <c r="F69" t="inlineStr">
        <is>
          <t>RHE</t>
        </is>
      </c>
      <c r="G69" s="30" t="inlineStr">
        <is>
          <t>N/A</t>
        </is>
      </c>
      <c r="H69">
        <f>IF($G69="","",IFERROR(INDEX(Catalogo_Etiquetas,MATCH($G69,Catalogo_Codigos,0)),"CODIGO NO VALIDO"))</f>
        <v/>
      </c>
      <c r="I69" t="inlineStr">
        <is>
          <t>PEN</t>
        </is>
      </c>
      <c r="J69" s="20" t="n">
        <v>160</v>
      </c>
      <c r="K69" s="20" t="n">
        <v>0</v>
      </c>
      <c r="L69" s="20">
        <f>IF($C69="","",$J69+$K69)</f>
        <v/>
      </c>
      <c r="M69" s="30" t="inlineStr">
        <is>
          <t>632</t>
        </is>
      </c>
      <c r="N69" s="26">
        <f>IF($C69="","",IF($I69="PEN",1,IFERROR(IF(_xlfn.XLOOKUP($B69,TC_Fechas,TC_Venta_Rango,"",-1)="","",_xlfn.XLOOKUP($B69,TC_Fechas,TC_Venta_Rango,"",-1)),"")))</f>
        <v/>
      </c>
      <c r="O69" s="20">
        <f>IF(OR($C69="",$N69=""),"",ROUND($J69*$N69,2)+ROUND($K69*$N69,2))</f>
        <v/>
      </c>
      <c r="P69" s="31">
        <f>IF($G69="","",IFERROR(INDEX(Catalogo_Tasas,MATCH($G69,Catalogo_Codigos,0)),""))</f>
        <v/>
      </c>
      <c r="Q69" s="32">
        <f>IF($G69="","",IFERROR(INDEX(Catalogo_Umbrales,MATCH($G69,Catalogo_Codigos,0)),""))</f>
        <v/>
      </c>
      <c r="R69">
        <f>IF(OR($C69="",$P69="",$O69=""),"",IF($F69&lt;&gt;"FACTURA","NO",IF(AND($P69&gt;0,$O69&gt;$Q69),"SI","NO")))</f>
        <v/>
      </c>
      <c r="S69" s="20">
        <f>IF($R69="SI",ROUND($O69*$P69,2),IF($C69="","",0))</f>
        <v/>
      </c>
      <c r="T69" s="20" t="n"/>
      <c r="U69">
        <f>IF($C69="","",IF($R69&lt;&gt;"SI","",IF($T69="","SIN DATO",IF(ABS($T69-$S69)&lt;=0.5,"OK","REVISAR"))))</f>
        <v/>
      </c>
      <c r="V69" s="20" t="n"/>
      <c r="W69" s="20">
        <f>IF(OR($C69="",$N69=""),"",IF($F69="RHE",ROUND($L69-$V69,2),ROUND($L69-($S69/$N69),2)))</f>
        <v/>
      </c>
      <c r="X69" s="25" t="n"/>
      <c r="Y69" s="25" t="n"/>
      <c r="AB69" t="inlineStr">
        <is>
          <t>PROVEEDOR</t>
        </is>
      </c>
    </row>
    <row r="70">
      <c r="A70" t="n">
        <v>67</v>
      </c>
      <c r="B70" s="25">
        <f>DATE(2026,8,13)</f>
        <v/>
      </c>
      <c r="C70" t="inlineStr">
        <is>
          <t>E001-7189</t>
        </is>
      </c>
      <c r="D70" s="30" t="inlineStr">
        <is>
          <t>20225253529</t>
        </is>
      </c>
      <c r="E70" t="inlineStr">
        <is>
          <t>ARCOBALENO SOCIEDAD COMERCIAL DE RESPONSABILIDAD LIMITADA</t>
        </is>
      </c>
      <c r="F70" t="inlineStr">
        <is>
          <t>FACTURA</t>
        </is>
      </c>
      <c r="G70" s="30" t="inlineStr">
        <is>
          <t>037</t>
        </is>
      </c>
      <c r="H70">
        <f>IF($G70="","",IFERROR(INDEX(Catalogo_Etiquetas,MATCH($G70,Catalogo_Codigos,0)),"CODIGO NO VALIDO"))</f>
        <v/>
      </c>
      <c r="I70" t="inlineStr">
        <is>
          <t>USD</t>
        </is>
      </c>
      <c r="J70" s="20" t="n">
        <v>455.29</v>
      </c>
      <c r="K70" s="20" t="n">
        <v>81.95</v>
      </c>
      <c r="L70" s="20">
        <f>IF($C70="","",$J70+$K70)</f>
        <v/>
      </c>
      <c r="M70" s="30" t="inlineStr">
        <is>
          <t>639</t>
        </is>
      </c>
      <c r="N70" s="26">
        <f>IF($C70="","",IF($I70="PEN",1,IFERROR(IF(_xlfn.XLOOKUP($B70,TC_Fechas,TC_Venta_Rango,"",-1)="","",_xlfn.XLOOKUP($B70,TC_Fechas,TC_Venta_Rango,"",-1)),"")))</f>
        <v/>
      </c>
      <c r="O70" s="20">
        <f>IF(OR($C70="",$N70=""),"",ROUND($J70*$N70,2)+ROUND($K70*$N70,2))</f>
        <v/>
      </c>
      <c r="P70" s="31">
        <f>IF($G70="","",IFERROR(INDEX(Catalogo_Tasas,MATCH($G70,Catalogo_Codigos,0)),""))</f>
        <v/>
      </c>
      <c r="Q70" s="32">
        <f>IF($G70="","",IFERROR(INDEX(Catalogo_Umbrales,MATCH($G70,Catalogo_Codigos,0)),""))</f>
        <v/>
      </c>
      <c r="R70">
        <f>IF(OR($C70="",$P70="",$O70=""),"",IF($F70&lt;&gt;"FACTURA","NO",IF(AND($P70&gt;0,$O70&gt;$Q70),"SI","NO")))</f>
        <v/>
      </c>
      <c r="S70" s="20">
        <f>IF($R70="SI",ROUND($O70*$P70,2),IF($C70="","",0))</f>
        <v/>
      </c>
      <c r="T70" s="20" t="n">
        <v>217</v>
      </c>
      <c r="U70">
        <f>IF($C70="","",IF($R70&lt;&gt;"SI","",IF($T70="","SIN DATO",IF(ABS($T70-$S70)&lt;=0.5,"OK","REVISAR"))))</f>
        <v/>
      </c>
      <c r="V70" s="20" t="n"/>
      <c r="W70" s="20">
        <f>IF(OR($C70="",$N70=""),"",IF($F70="RHE",ROUND($L70-$V70,2),ROUND($L70-($S70/$N70),2)))</f>
        <v/>
      </c>
      <c r="X70" s="25" t="n"/>
      <c r="Y70" s="25" t="n"/>
      <c r="AB70" t="inlineStr">
        <is>
          <t>PROVEEDOR</t>
        </is>
      </c>
    </row>
    <row r="71">
      <c r="A71" t="n">
        <v>68</v>
      </c>
      <c r="B71" s="25">
        <f>DATE(2026,8,10)</f>
        <v/>
      </c>
      <c r="C71" t="inlineStr">
        <is>
          <t>E001- 176</t>
        </is>
      </c>
      <c r="D71" s="30" t="inlineStr">
        <is>
          <t>10408744151</t>
        </is>
      </c>
      <c r="E71" t="inlineStr">
        <is>
          <t>BEOUTIS BAZAN URSULA CATHERINE</t>
        </is>
      </c>
      <c r="F71" t="inlineStr">
        <is>
          <t>RHE</t>
        </is>
      </c>
      <c r="G71" s="30" t="inlineStr">
        <is>
          <t>N/A</t>
        </is>
      </c>
      <c r="H71">
        <f>IF($G71="","",IFERROR(INDEX(Catalogo_Etiquetas,MATCH($G71,Catalogo_Codigos,0)),"CODIGO NO VALIDO"))</f>
        <v/>
      </c>
      <c r="I71" t="inlineStr">
        <is>
          <t>PEN</t>
        </is>
      </c>
      <c r="J71" s="20" t="n">
        <v>1025</v>
      </c>
      <c r="K71" s="20" t="n">
        <v>0</v>
      </c>
      <c r="L71" s="20">
        <f>IF($C71="","",$J71+$K71)</f>
        <v/>
      </c>
      <c r="M71" s="30" t="inlineStr">
        <is>
          <t>632</t>
        </is>
      </c>
      <c r="N71" s="26">
        <f>IF($C71="","",IF($I71="PEN",1,IFERROR(IF(_xlfn.XLOOKUP($B71,TC_Fechas,TC_Venta_Rango,"",-1)="","",_xlfn.XLOOKUP($B71,TC_Fechas,TC_Venta_Rango,"",-1)),"")))</f>
        <v/>
      </c>
      <c r="O71" s="20">
        <f>IF(OR($C71="",$N71=""),"",ROUND($J71*$N71,2)+ROUND($K71*$N71,2))</f>
        <v/>
      </c>
      <c r="P71" s="31">
        <f>IF($G71="","",IFERROR(INDEX(Catalogo_Tasas,MATCH($G71,Catalogo_Codigos,0)),""))</f>
        <v/>
      </c>
      <c r="Q71" s="32">
        <f>IF($G71="","",IFERROR(INDEX(Catalogo_Umbrales,MATCH($G71,Catalogo_Codigos,0)),""))</f>
        <v/>
      </c>
      <c r="R71">
        <f>IF(OR($C71="",$P71="",$O71=""),"",IF($F71&lt;&gt;"FACTURA","NO",IF(AND($P71&gt;0,$O71&gt;$Q71),"SI","NO")))</f>
        <v/>
      </c>
      <c r="S71" s="20">
        <f>IF($R71="SI",ROUND($O71*$P71,2),IF($C71="","",0))</f>
        <v/>
      </c>
      <c r="T71" s="20" t="n"/>
      <c r="U71">
        <f>IF($C71="","",IF($R71&lt;&gt;"SI","",IF($T71="","SIN DATO",IF(ABS($T71-$S71)&lt;=0.5,"OK","REVISAR"))))</f>
        <v/>
      </c>
      <c r="V71" s="20" t="n"/>
      <c r="W71" s="20">
        <f>IF(OR($C71="",$N71=""),"",IF($F71="RHE",ROUND($L71-$V71,2),ROUND($L71-($S71/$N71),2)))</f>
        <v/>
      </c>
      <c r="X71" s="25" t="n"/>
      <c r="Y71" s="25" t="n"/>
      <c r="AB71" t="inlineStr">
        <is>
          <t>ADMINISTRATIVO</t>
        </is>
      </c>
    </row>
    <row r="72">
      <c r="A72" t="n">
        <v>69</v>
      </c>
      <c r="B72" s="25">
        <f>DATE(2026,8,10)</f>
        <v/>
      </c>
      <c r="C72" t="inlineStr">
        <is>
          <t>F001-11458</t>
        </is>
      </c>
      <c r="D72" s="30" t="inlineStr">
        <is>
          <t>20523732391</t>
        </is>
      </c>
      <c r="E72" t="inlineStr">
        <is>
          <t>COMPAÃ‘IA HOTELERA BAMA S.A.C. (ANANAY HOTELS)</t>
        </is>
      </c>
      <c r="F72" t="inlineStr">
        <is>
          <t>FACTURA</t>
        </is>
      </c>
      <c r="G72" s="30" t="inlineStr">
        <is>
          <t>N/A</t>
        </is>
      </c>
      <c r="H72">
        <f>IF($G72="","",IFERROR(INDEX(Catalogo_Etiquetas,MATCH($G72,Catalogo_Codigos,0)),"CODIGO NO VALIDO"))</f>
        <v/>
      </c>
      <c r="I72" t="inlineStr">
        <is>
          <t>USD</t>
        </is>
      </c>
      <c r="J72" s="20" t="n">
        <v>867.27</v>
      </c>
      <c r="K72" s="20" t="n">
        <v>0</v>
      </c>
      <c r="L72" s="20">
        <f>IF($C72="","",$J72+$K72)</f>
        <v/>
      </c>
      <c r="M72" s="30" t="inlineStr">
        <is>
          <t>639</t>
        </is>
      </c>
      <c r="N72" s="26">
        <f>IF($C72="","",IF($I72="PEN",1,IFERROR(IF(_xlfn.XLOOKUP($B72,TC_Fechas,TC_Venta_Rango,"",-1)="","",_xlfn.XLOOKUP($B72,TC_Fechas,TC_Venta_Rango,"",-1)),"")))</f>
        <v/>
      </c>
      <c r="O72" s="20">
        <f>IF(OR($C72="",$N72=""),"",ROUND($J72*$N72,2)+ROUND($K72*$N72,2))</f>
        <v/>
      </c>
      <c r="P72" s="31">
        <f>IF($G72="","",IFERROR(INDEX(Catalogo_Tasas,MATCH($G72,Catalogo_Codigos,0)),""))</f>
        <v/>
      </c>
      <c r="Q72" s="32">
        <f>IF($G72="","",IFERROR(INDEX(Catalogo_Umbrales,MATCH($G72,Catalogo_Codigos,0)),""))</f>
        <v/>
      </c>
      <c r="R72">
        <f>IF(OR($C72="",$P72="",$O72=""),"",IF($F72&lt;&gt;"FACTURA","NO",IF(AND($P72&gt;0,$O72&gt;$Q72),"SI","NO")))</f>
        <v/>
      </c>
      <c r="S72" s="20">
        <f>IF($R72="SI",ROUND($O72*$P72,2),IF($C72="","",0))</f>
        <v/>
      </c>
      <c r="T72" s="20" t="n"/>
      <c r="U72">
        <f>IF($C72="","",IF($R72&lt;&gt;"SI","",IF($T72="","SIN DATO",IF(ABS($T72-$S72)&lt;=0.5,"OK","REVISAR"))))</f>
        <v/>
      </c>
      <c r="V72" s="20" t="n"/>
      <c r="W72" s="20">
        <f>IF(OR($C72="",$N72=""),"",IF($F72="RHE",ROUND($L72-$V72,2),ROUND($L72-($S72/$N72),2)))</f>
        <v/>
      </c>
      <c r="X72" s="25" t="n"/>
      <c r="Y72" s="25" t="n"/>
      <c r="AB72" t="inlineStr">
        <is>
          <t>PROVEEDOR</t>
        </is>
      </c>
    </row>
    <row r="73">
      <c r="A73" t="n">
        <v>70</v>
      </c>
      <c r="B73" s="25">
        <f>DATE(2026,8,6)</f>
        <v/>
      </c>
      <c r="C73" t="inlineStr">
        <is>
          <t>F005-00003003</t>
        </is>
      </c>
      <c r="D73" s="30" t="inlineStr">
        <is>
          <t>20492015165</t>
        </is>
      </c>
      <c r="E73" t="inlineStr">
        <is>
          <t>FOOD SERVICE INVESTMENT S.A.C.</t>
        </is>
      </c>
      <c r="F73" t="inlineStr">
        <is>
          <t>FACTURA</t>
        </is>
      </c>
      <c r="G73" s="30" t="inlineStr">
        <is>
          <t>N/A</t>
        </is>
      </c>
      <c r="H73">
        <f>IF($G73="","",IFERROR(INDEX(Catalogo_Etiquetas,MATCH($G73,Catalogo_Codigos,0)),"CODIGO NO VALIDO"))</f>
        <v/>
      </c>
      <c r="I73" t="inlineStr">
        <is>
          <t>PEN</t>
        </is>
      </c>
      <c r="J73" s="20" t="n">
        <v>4144</v>
      </c>
      <c r="K73" s="20" t="n">
        <v>745.92</v>
      </c>
      <c r="L73" s="20">
        <f>IF($C73="","",$J73+$K73)</f>
        <v/>
      </c>
      <c r="M73" s="30" t="inlineStr">
        <is>
          <t>639</t>
        </is>
      </c>
      <c r="N73" s="26">
        <f>IF($C73="","",IF($I73="PEN",1,IFERROR(IF(_xlfn.XLOOKUP($B73,TC_Fechas,TC_Venta_Rango,"",-1)="","",_xlfn.XLOOKUP($B73,TC_Fechas,TC_Venta_Rango,"",-1)),"")))</f>
        <v/>
      </c>
      <c r="O73" s="20">
        <f>IF(OR($C73="",$N73=""),"",ROUND($J73*$N73,2)+ROUND($K73*$N73,2))</f>
        <v/>
      </c>
      <c r="P73" s="31">
        <f>IF($G73="","",IFERROR(INDEX(Catalogo_Tasas,MATCH($G73,Catalogo_Codigos,0)),""))</f>
        <v/>
      </c>
      <c r="Q73" s="32">
        <f>IF($G73="","",IFERROR(INDEX(Catalogo_Umbrales,MATCH($G73,Catalogo_Codigos,0)),""))</f>
        <v/>
      </c>
      <c r="R73">
        <f>IF(OR($C73="",$P73="",$O73=""),"",IF($F73&lt;&gt;"FACTURA","NO",IF(AND($P73&gt;0,$O73&gt;$Q73),"SI","NO")))</f>
        <v/>
      </c>
      <c r="S73" s="20">
        <f>IF($R73="SI",ROUND($O73*$P73,2),IF($C73="","",0))</f>
        <v/>
      </c>
      <c r="T73" s="20" t="n"/>
      <c r="U73">
        <f>IF($C73="","",IF($R73&lt;&gt;"SI","",IF($T73="","SIN DATO",IF(ABS($T73-$S73)&lt;=0.5,"OK","REVISAR"))))</f>
        <v/>
      </c>
      <c r="V73" s="20" t="n"/>
      <c r="W73" s="20">
        <f>IF(OR($C73="",$N73=""),"",IF($F73="RHE",ROUND($L73-$V73,2),ROUND($L73-($S73/$N73),2)))</f>
        <v/>
      </c>
      <c r="X73" s="25" t="n"/>
      <c r="Y73" s="25" t="n"/>
      <c r="AB73" t="inlineStr">
        <is>
          <t>PROVEEDOR</t>
        </is>
      </c>
    </row>
    <row r="74">
      <c r="A74" t="n">
        <v>71</v>
      </c>
      <c r="B74" s="25">
        <f>DATE(2026,8,4)</f>
        <v/>
      </c>
      <c r="C74" t="inlineStr">
        <is>
          <t>E001- 556</t>
        </is>
      </c>
      <c r="D74" s="30" t="inlineStr">
        <is>
          <t>10239898993</t>
        </is>
      </c>
      <c r="E74" t="inlineStr">
        <is>
          <t>HANCO ASTETE ANDY</t>
        </is>
      </c>
      <c r="F74" t="inlineStr">
        <is>
          <t>RHE</t>
        </is>
      </c>
      <c r="G74" s="30" t="inlineStr">
        <is>
          <t>N/A</t>
        </is>
      </c>
      <c r="H74">
        <f>IF($G74="","",IFERROR(INDEX(Catalogo_Etiquetas,MATCH($G74,Catalogo_Codigos,0)),"CODIGO NO VALIDO"))</f>
        <v/>
      </c>
      <c r="I74" t="inlineStr">
        <is>
          <t>USD</t>
        </is>
      </c>
      <c r="J74" s="20" t="n">
        <v>90</v>
      </c>
      <c r="K74" s="20" t="n">
        <v>0</v>
      </c>
      <c r="L74" s="20">
        <f>IF($C74="","",$J74+$K74)</f>
        <v/>
      </c>
      <c r="M74" s="30" t="inlineStr">
        <is>
          <t>632</t>
        </is>
      </c>
      <c r="N74" s="26">
        <f>IF($C74="","",IF($I74="PEN",1,IFERROR(IF(_xlfn.XLOOKUP($B74,TC_Fechas,TC_Venta_Rango,"",-1)="","",_xlfn.XLOOKUP($B74,TC_Fechas,TC_Venta_Rango,"",-1)),"")))</f>
        <v/>
      </c>
      <c r="O74" s="20">
        <f>IF(OR($C74="",$N74=""),"",ROUND($J74*$N74,2)+ROUND($K74*$N74,2))</f>
        <v/>
      </c>
      <c r="P74" s="31">
        <f>IF($G74="","",IFERROR(INDEX(Catalogo_Tasas,MATCH($G74,Catalogo_Codigos,0)),""))</f>
        <v/>
      </c>
      <c r="Q74" s="32">
        <f>IF($G74="","",IFERROR(INDEX(Catalogo_Umbrales,MATCH($G74,Catalogo_Codigos,0)),""))</f>
        <v/>
      </c>
      <c r="R74">
        <f>IF(OR($C74="",$P74="",$O74=""),"",IF($F74&lt;&gt;"FACTURA","NO",IF(AND($P74&gt;0,$O74&gt;$Q74),"SI","NO")))</f>
        <v/>
      </c>
      <c r="S74" s="20">
        <f>IF($R74="SI",ROUND($O74*$P74,2),IF($C74="","",0))</f>
        <v/>
      </c>
      <c r="T74" s="20" t="n"/>
      <c r="U74">
        <f>IF($C74="","",IF($R74&lt;&gt;"SI","",IF($T74="","SIN DATO",IF(ABS($T74-$S74)&lt;=0.5,"OK","REVISAR"))))</f>
        <v/>
      </c>
      <c r="V74" s="20" t="n"/>
      <c r="W74" s="20">
        <f>IF(OR($C74="",$N74=""),"",IF($F74="RHE",ROUND($L74-$V74,2),ROUND($L74-($S74/$N74),2)))</f>
        <v/>
      </c>
      <c r="X74" s="25" t="n"/>
      <c r="Y74" s="25" t="n"/>
      <c r="AB74" t="inlineStr">
        <is>
          <t>PROVEEDOR</t>
        </is>
      </c>
    </row>
    <row r="75">
      <c r="A75" t="n">
        <v>72</v>
      </c>
      <c r="B75" s="25">
        <f>DATE(2026,8,18)</f>
        <v/>
      </c>
      <c r="C75" t="inlineStr">
        <is>
          <t>F007-00024484</t>
        </is>
      </c>
      <c r="D75" s="30" t="inlineStr">
        <is>
          <t>20536047906</t>
        </is>
      </c>
      <c r="E75" t="inlineStr">
        <is>
          <t>HOTELERIA PERUANA S.A.C. (Tierra Viva Hotels)</t>
        </is>
      </c>
      <c r="F75" t="inlineStr">
        <is>
          <t>FACTURA</t>
        </is>
      </c>
      <c r="G75" s="30" t="inlineStr">
        <is>
          <t>N/A</t>
        </is>
      </c>
      <c r="H75">
        <f>IF($G75="","",IFERROR(INDEX(Catalogo_Etiquetas,MATCH($G75,Catalogo_Codigos,0)),"CODIGO NO VALIDO"))</f>
        <v/>
      </c>
      <c r="I75" t="inlineStr">
        <is>
          <t>USD</t>
        </is>
      </c>
      <c r="J75" s="20" t="n">
        <v>123.64</v>
      </c>
      <c r="K75" s="20" t="n">
        <v>0</v>
      </c>
      <c r="L75" s="20">
        <f>IF($C75="","",$J75+$K75)</f>
        <v/>
      </c>
      <c r="M75" s="30" t="inlineStr">
        <is>
          <t>639</t>
        </is>
      </c>
      <c r="N75" s="26">
        <f>IF($C75="","",IF($I75="PEN",1,IFERROR(IF(_xlfn.XLOOKUP($B75,TC_Fechas,TC_Venta_Rango,"",-1)="","",_xlfn.XLOOKUP($B75,TC_Fechas,TC_Venta_Rango,"",-1)),"")))</f>
        <v/>
      </c>
      <c r="O75" s="20">
        <f>IF(OR($C75="",$N75=""),"",ROUND($J75*$N75,2)+ROUND($K75*$N75,2))</f>
        <v/>
      </c>
      <c r="P75" s="31">
        <f>IF($G75="","",IFERROR(INDEX(Catalogo_Tasas,MATCH($G75,Catalogo_Codigos,0)),""))</f>
        <v/>
      </c>
      <c r="Q75" s="32">
        <f>IF($G75="","",IFERROR(INDEX(Catalogo_Umbrales,MATCH($G75,Catalogo_Codigos,0)),""))</f>
        <v/>
      </c>
      <c r="R75">
        <f>IF(OR($C75="",$P75="",$O75=""),"",IF($F75&lt;&gt;"FACTURA","NO",IF(AND($P75&gt;0,$O75&gt;$Q75),"SI","NO")))</f>
        <v/>
      </c>
      <c r="S75" s="20">
        <f>IF($R75="SI",ROUND($O75*$P75,2),IF($C75="","",0))</f>
        <v/>
      </c>
      <c r="T75" s="20" t="n"/>
      <c r="U75">
        <f>IF($C75="","",IF($R75&lt;&gt;"SI","",IF($T75="","SIN DATO",IF(ABS($T75-$S75)&lt;=0.5,"OK","REVISAR"))))</f>
        <v/>
      </c>
      <c r="V75" s="20" t="n"/>
      <c r="W75" s="20">
        <f>IF(OR($C75="",$N75=""),"",IF($F75="RHE",ROUND($L75-$V75,2),ROUND($L75-($S75/$N75),2)))</f>
        <v/>
      </c>
      <c r="X75" s="25" t="n"/>
      <c r="Y75" s="25" t="n"/>
      <c r="AB75" t="inlineStr">
        <is>
          <t>PROVEEDOR</t>
        </is>
      </c>
    </row>
    <row r="76">
      <c r="A76" t="n">
        <v>73</v>
      </c>
      <c r="B76" s="25">
        <f>DATE(2026,8,19)</f>
        <v/>
      </c>
      <c r="C76" t="inlineStr">
        <is>
          <t>F006-00003227</t>
        </is>
      </c>
      <c r="D76" s="30" t="inlineStr">
        <is>
          <t>20610235736</t>
        </is>
      </c>
      <c r="E76" t="inlineStr">
        <is>
          <t>HOTELES LA HACIENDA S.A.C. (Bahia Paracas)</t>
        </is>
      </c>
      <c r="F76" t="inlineStr">
        <is>
          <t>FACTURA</t>
        </is>
      </c>
      <c r="G76" s="30" t="inlineStr">
        <is>
          <t>N/A</t>
        </is>
      </c>
      <c r="H76">
        <f>IF($G76="","",IFERROR(INDEX(Catalogo_Etiquetas,MATCH($G76,Catalogo_Codigos,0)),"CODIGO NO VALIDO"))</f>
        <v/>
      </c>
      <c r="I76" t="inlineStr">
        <is>
          <t>USD</t>
        </is>
      </c>
      <c r="J76" s="20" t="n">
        <v>159.29</v>
      </c>
      <c r="K76" s="20" t="n">
        <v>0</v>
      </c>
      <c r="L76" s="20">
        <f>IF($C76="","",$J76+$K76)</f>
        <v/>
      </c>
      <c r="M76" s="30" t="inlineStr">
        <is>
          <t>639</t>
        </is>
      </c>
      <c r="N76" s="26">
        <f>IF($C76="","",IF($I76="PEN",1,IFERROR(IF(_xlfn.XLOOKUP($B76,TC_Fechas,TC_Venta_Rango,"",-1)="","",_xlfn.XLOOKUP($B76,TC_Fechas,TC_Venta_Rango,"",-1)),"")))</f>
        <v/>
      </c>
      <c r="O76" s="20">
        <f>IF(OR($C76="",$N76=""),"",ROUND($J76*$N76,2)+ROUND($K76*$N76,2))</f>
        <v/>
      </c>
      <c r="P76" s="31">
        <f>IF($G76="","",IFERROR(INDEX(Catalogo_Tasas,MATCH($G76,Catalogo_Codigos,0)),""))</f>
        <v/>
      </c>
      <c r="Q76" s="32">
        <f>IF($G76="","",IFERROR(INDEX(Catalogo_Umbrales,MATCH($G76,Catalogo_Codigos,0)),""))</f>
        <v/>
      </c>
      <c r="R76">
        <f>IF(OR($C76="",$P76="",$O76=""),"",IF($F76&lt;&gt;"FACTURA","NO",IF(AND($P76&gt;0,$O76&gt;$Q76),"SI","NO")))</f>
        <v/>
      </c>
      <c r="S76" s="20">
        <f>IF($R76="SI",ROUND($O76*$P76,2),IF($C76="","",0))</f>
        <v/>
      </c>
      <c r="T76" s="20" t="n"/>
      <c r="U76">
        <f>IF($C76="","",IF($R76&lt;&gt;"SI","",IF($T76="","SIN DATO",IF(ABS($T76-$S76)&lt;=0.5,"OK","REVISAR"))))</f>
        <v/>
      </c>
      <c r="V76" s="20" t="n"/>
      <c r="W76" s="20">
        <f>IF(OR($C76="",$N76=""),"",IF($F76="RHE",ROUND($L76-$V76,2),ROUND($L76-($S76/$N76),2)))</f>
        <v/>
      </c>
      <c r="X76" s="25" t="n"/>
      <c r="Y76" s="25" t="n"/>
      <c r="AB76" t="inlineStr">
        <is>
          <t>PROVEEDOR</t>
        </is>
      </c>
    </row>
    <row r="77">
      <c r="A77" t="n">
        <v>74</v>
      </c>
      <c r="B77" s="25">
        <f>DATE(2026,8,16)</f>
        <v/>
      </c>
      <c r="C77" t="inlineStr">
        <is>
          <t>FC01-00008808</t>
        </is>
      </c>
      <c r="D77" s="30" t="inlineStr">
        <is>
          <t>20477906380</t>
        </is>
      </c>
      <c r="E77" t="inlineStr">
        <is>
          <t>INVERSIONES TRES POR OCHO S.A.C. (LAS QOLQAS)</t>
        </is>
      </c>
      <c r="F77" t="inlineStr">
        <is>
          <t>FACTURA</t>
        </is>
      </c>
      <c r="G77" s="30" t="inlineStr">
        <is>
          <t>N/A</t>
        </is>
      </c>
      <c r="H77">
        <f>IF($G77="","",IFERROR(INDEX(Catalogo_Etiquetas,MATCH($G77,Catalogo_Codigos,0)),"CODIGO NO VALIDO"))</f>
        <v/>
      </c>
      <c r="I77" t="inlineStr">
        <is>
          <t>USD</t>
        </is>
      </c>
      <c r="J77" s="20" t="n">
        <v>681.8200000000001</v>
      </c>
      <c r="K77" s="20" t="n">
        <v>0</v>
      </c>
      <c r="L77" s="20">
        <f>IF($C77="","",$J77+$K77)</f>
        <v/>
      </c>
      <c r="M77" s="30" t="inlineStr">
        <is>
          <t>639</t>
        </is>
      </c>
      <c r="N77" s="26">
        <f>IF($C77="","",IF($I77="PEN",1,IFERROR(IF(_xlfn.XLOOKUP($B77,TC_Fechas,TC_Venta_Rango,"",-1)="","",_xlfn.XLOOKUP($B77,TC_Fechas,TC_Venta_Rango,"",-1)),"")))</f>
        <v/>
      </c>
      <c r="O77" s="20">
        <f>IF(OR($C77="",$N77=""),"",ROUND($J77*$N77,2)+ROUND($K77*$N77,2))</f>
        <v/>
      </c>
      <c r="P77" s="31">
        <f>IF($G77="","",IFERROR(INDEX(Catalogo_Tasas,MATCH($G77,Catalogo_Codigos,0)),""))</f>
        <v/>
      </c>
      <c r="Q77" s="32">
        <f>IF($G77="","",IFERROR(INDEX(Catalogo_Umbrales,MATCH($G77,Catalogo_Codigos,0)),""))</f>
        <v/>
      </c>
      <c r="R77">
        <f>IF(OR($C77="",$P77="",$O77=""),"",IF($F77&lt;&gt;"FACTURA","NO",IF(AND($P77&gt;0,$O77&gt;$Q77),"SI","NO")))</f>
        <v/>
      </c>
      <c r="S77" s="20">
        <f>IF($R77="SI",ROUND($O77*$P77,2),IF($C77="","",0))</f>
        <v/>
      </c>
      <c r="T77" s="20" t="n"/>
      <c r="U77">
        <f>IF($C77="","",IF($R77&lt;&gt;"SI","",IF($T77="","SIN DATO",IF(ABS($T77-$S77)&lt;=0.5,"OK","REVISAR"))))</f>
        <v/>
      </c>
      <c r="V77" s="20" t="n"/>
      <c r="W77" s="20">
        <f>IF(OR($C77="",$N77=""),"",IF($F77="RHE",ROUND($L77-$V77,2),ROUND($L77-($S77/$N77),2)))</f>
        <v/>
      </c>
      <c r="X77" s="25" t="n"/>
      <c r="Y77" s="25" t="n"/>
      <c r="AB77" t="inlineStr">
        <is>
          <t>PROVEEDOR</t>
        </is>
      </c>
    </row>
    <row r="78">
      <c r="A78" t="n">
        <v>75</v>
      </c>
      <c r="B78" s="25">
        <f>DATE(2026,8,7)</f>
        <v/>
      </c>
      <c r="C78" t="inlineStr">
        <is>
          <t>F020-00016435</t>
        </is>
      </c>
      <c r="D78" s="30" t="inlineStr">
        <is>
          <t>20536180657</t>
        </is>
      </c>
      <c r="E78" t="inlineStr">
        <is>
          <t>LA CASA DE BARRANCO S.A.C (HOTEL B)</t>
        </is>
      </c>
      <c r="F78" t="inlineStr">
        <is>
          <t>FACTURA</t>
        </is>
      </c>
      <c r="G78" s="30" t="inlineStr">
        <is>
          <t>N/A</t>
        </is>
      </c>
      <c r="H78">
        <f>IF($G78="","",IFERROR(INDEX(Catalogo_Etiquetas,MATCH($G78,Catalogo_Codigos,0)),"CODIGO NO VALIDO"))</f>
        <v/>
      </c>
      <c r="I78" t="inlineStr">
        <is>
          <t>USD</t>
        </is>
      </c>
      <c r="J78" s="20" t="n">
        <v>2830</v>
      </c>
      <c r="K78" s="20" t="n">
        <v>0</v>
      </c>
      <c r="L78" s="20">
        <f>IF($C78="","",$J78+$K78)</f>
        <v/>
      </c>
      <c r="M78" s="30" t="inlineStr">
        <is>
          <t>639</t>
        </is>
      </c>
      <c r="N78" s="26">
        <f>IF($C78="","",IF($I78="PEN",1,IFERROR(IF(_xlfn.XLOOKUP($B78,TC_Fechas,TC_Venta_Rango,"",-1)="","",_xlfn.XLOOKUP($B78,TC_Fechas,TC_Venta_Rango,"",-1)),"")))</f>
        <v/>
      </c>
      <c r="O78" s="20">
        <f>IF(OR($C78="",$N78=""),"",ROUND($J78*$N78,2)+ROUND($K78*$N78,2))</f>
        <v/>
      </c>
      <c r="P78" s="31">
        <f>IF($G78="","",IFERROR(INDEX(Catalogo_Tasas,MATCH($G78,Catalogo_Codigos,0)),""))</f>
        <v/>
      </c>
      <c r="Q78" s="32">
        <f>IF($G78="","",IFERROR(INDEX(Catalogo_Umbrales,MATCH($G78,Catalogo_Codigos,0)),""))</f>
        <v/>
      </c>
      <c r="R78">
        <f>IF(OR($C78="",$P78="",$O78=""),"",IF($F78&lt;&gt;"FACTURA","NO",IF(AND($P78&gt;0,$O78&gt;$Q78),"SI","NO")))</f>
        <v/>
      </c>
      <c r="S78" s="20">
        <f>IF($R78="SI",ROUND($O78*$P78,2),IF($C78="","",0))</f>
        <v/>
      </c>
      <c r="T78" s="20" t="n"/>
      <c r="U78">
        <f>IF($C78="","",IF($R78&lt;&gt;"SI","",IF($T78="","SIN DATO",IF(ABS($T78-$S78)&lt;=0.5,"OK","REVISAR"))))</f>
        <v/>
      </c>
      <c r="V78" s="20" t="n"/>
      <c r="W78" s="20">
        <f>IF(OR($C78="",$N78=""),"",IF($F78="RHE",ROUND($L78-$V78,2),ROUND($L78-($S78/$N78),2)))</f>
        <v/>
      </c>
      <c r="X78" s="25" t="n"/>
      <c r="Y78" s="25" t="n"/>
      <c r="AB78" t="inlineStr">
        <is>
          <t>PROVEEDOR</t>
        </is>
      </c>
    </row>
    <row r="79">
      <c r="A79" t="n">
        <v>76</v>
      </c>
      <c r="B79" s="25">
        <f>DATE(2026,8,8)</f>
        <v/>
      </c>
      <c r="C79" t="inlineStr">
        <is>
          <t>F001-10305</t>
        </is>
      </c>
      <c r="D79" s="30" t="inlineStr">
        <is>
          <t>20490257188</t>
        </is>
      </c>
      <c r="E79" t="inlineStr">
        <is>
          <t>NATURA VIVE S.A.C.</t>
        </is>
      </c>
      <c r="F79" t="inlineStr">
        <is>
          <t>FACTURA</t>
        </is>
      </c>
      <c r="G79" s="30" t="inlineStr">
        <is>
          <t>N/A</t>
        </is>
      </c>
      <c r="H79">
        <f>IF($G79="","",IFERROR(INDEX(Catalogo_Etiquetas,MATCH($G79,Catalogo_Codigos,0)),"CODIGO NO VALIDO"))</f>
        <v/>
      </c>
      <c r="I79" t="inlineStr">
        <is>
          <t>PEN</t>
        </is>
      </c>
      <c r="J79" s="20" t="n">
        <v>441</v>
      </c>
      <c r="K79" s="20" t="n">
        <v>79.38</v>
      </c>
      <c r="L79" s="20">
        <f>IF($C79="","",$J79+$K79)</f>
        <v/>
      </c>
      <c r="M79" s="30" t="inlineStr">
        <is>
          <t>639</t>
        </is>
      </c>
      <c r="N79" s="26">
        <f>IF($C79="","",IF($I79="PEN",1,IFERROR(IF(_xlfn.XLOOKUP($B79,TC_Fechas,TC_Venta_Rango,"",-1)="","",_xlfn.XLOOKUP($B79,TC_Fechas,TC_Venta_Rango,"",-1)),"")))</f>
        <v/>
      </c>
      <c r="O79" s="20">
        <f>IF(OR($C79="",$N79=""),"",ROUND($J79*$N79,2)+ROUND($K79*$N79,2))</f>
        <v/>
      </c>
      <c r="P79" s="31">
        <f>IF($G79="","",IFERROR(INDEX(Catalogo_Tasas,MATCH($G79,Catalogo_Codigos,0)),""))</f>
        <v/>
      </c>
      <c r="Q79" s="32">
        <f>IF($G79="","",IFERROR(INDEX(Catalogo_Umbrales,MATCH($G79,Catalogo_Codigos,0)),""))</f>
        <v/>
      </c>
      <c r="R79">
        <f>IF(OR($C79="",$P79="",$O79=""),"",IF($F79&lt;&gt;"FACTURA","NO",IF(AND($P79&gt;0,$O79&gt;$Q79),"SI","NO")))</f>
        <v/>
      </c>
      <c r="S79" s="20">
        <f>IF($R79="SI",ROUND($O79*$P79,2),IF($C79="","",0))</f>
        <v/>
      </c>
      <c r="T79" s="20" t="n"/>
      <c r="U79">
        <f>IF($C79="","",IF($R79&lt;&gt;"SI","",IF($T79="","SIN DATO",IF(ABS($T79-$S79)&lt;=0.5,"OK","REVISAR"))))</f>
        <v/>
      </c>
      <c r="V79" s="20" t="n"/>
      <c r="W79" s="20">
        <f>IF(OR($C79="",$N79=""),"",IF($F79="RHE",ROUND($L79-$V79,2),ROUND($L79-($S79/$N79),2)))</f>
        <v/>
      </c>
      <c r="X79" s="25" t="n"/>
      <c r="Y79" s="25" t="n"/>
      <c r="AB79" t="inlineStr">
        <is>
          <t>PROVEEDOR</t>
        </is>
      </c>
    </row>
    <row r="80">
      <c r="A80" t="n">
        <v>77</v>
      </c>
      <c r="B80" s="25">
        <f>DATE(2026,8,11)</f>
        <v/>
      </c>
      <c r="C80" t="inlineStr">
        <is>
          <t>F001-00000734</t>
        </is>
      </c>
      <c r="D80" s="30" t="inlineStr">
        <is>
          <t>20603386214</t>
        </is>
      </c>
      <c r="E80" t="inlineStr">
        <is>
          <t>PERUVIAN CULTURE TRAVEL AGENCIA DE VIAJES Y TURISMO S.R.L.</t>
        </is>
      </c>
      <c r="F80" t="inlineStr">
        <is>
          <t>FACTURA</t>
        </is>
      </c>
      <c r="G80" s="30" t="inlineStr">
        <is>
          <t>037</t>
        </is>
      </c>
      <c r="H80">
        <f>IF($G80="","",IFERROR(INDEX(Catalogo_Etiquetas,MATCH($G80,Catalogo_Codigos,0)),"CODIGO NO VALIDO"))</f>
        <v/>
      </c>
      <c r="I80" t="inlineStr">
        <is>
          <t>USD</t>
        </is>
      </c>
      <c r="J80" s="20" t="n">
        <v>1056.44</v>
      </c>
      <c r="K80" s="20" t="n">
        <v>190.16</v>
      </c>
      <c r="L80" s="20">
        <f>IF($C80="","",$J80+$K80)</f>
        <v/>
      </c>
      <c r="M80" s="30" t="inlineStr">
        <is>
          <t>639</t>
        </is>
      </c>
      <c r="N80" s="26">
        <f>IF($C80="","",IF($I80="PEN",1,IFERROR(IF(_xlfn.XLOOKUP($B80,TC_Fechas,TC_Venta_Rango,"",-1)="","",_xlfn.XLOOKUP($B80,TC_Fechas,TC_Venta_Rango,"",-1)),"")))</f>
        <v/>
      </c>
      <c r="O80" s="20">
        <f>IF(OR($C80="",$N80=""),"",ROUND($J80*$N80,2)+ROUND($K80*$N80,2))</f>
        <v/>
      </c>
      <c r="P80" s="31">
        <f>IF($G80="","",IFERROR(INDEX(Catalogo_Tasas,MATCH($G80,Catalogo_Codigos,0)),""))</f>
        <v/>
      </c>
      <c r="Q80" s="32">
        <f>IF($G80="","",IFERROR(INDEX(Catalogo_Umbrales,MATCH($G80,Catalogo_Codigos,0)),""))</f>
        <v/>
      </c>
      <c r="R80">
        <f>IF(OR($C80="",$P80="",$O80=""),"",IF($F80&lt;&gt;"FACTURA","NO",IF(AND($P80&gt;0,$O80&gt;$Q80),"SI","NO")))</f>
        <v/>
      </c>
      <c r="S80" s="20">
        <f>IF($R80="SI",ROUND($O80*$P80,2),IF($C80="","",0))</f>
        <v/>
      </c>
      <c r="T80" s="20" t="n">
        <v>506.67</v>
      </c>
      <c r="U80">
        <f>IF($C80="","",IF($R80&lt;&gt;"SI","",IF($T80="","SIN DATO",IF(ABS($T80-$S80)&lt;=0.5,"OK","REVISAR"))))</f>
        <v/>
      </c>
      <c r="V80" s="20" t="n"/>
      <c r="W80" s="20">
        <f>IF(OR($C80="",$N80=""),"",IF($F80="RHE",ROUND($L80-$V80,2),ROUND($L80-($S80/$N80),2)))</f>
        <v/>
      </c>
      <c r="X80" s="25" t="n"/>
      <c r="Y80" s="25" t="n"/>
      <c r="AB80" t="inlineStr">
        <is>
          <t>PROVEEDOR</t>
        </is>
      </c>
    </row>
    <row r="81">
      <c r="A81" t="n">
        <v>78</v>
      </c>
      <c r="B81" s="25">
        <f>DATE(2026,8,10)</f>
        <v/>
      </c>
      <c r="C81" t="inlineStr">
        <is>
          <t>E001-1128</t>
        </is>
      </c>
      <c r="D81" s="30" t="inlineStr">
        <is>
          <t>20563940281</t>
        </is>
      </c>
      <c r="E81" t="inlineStr">
        <is>
          <t>QUECHUA TREKS PERU E.I.R.L.</t>
        </is>
      </c>
      <c r="F81" t="inlineStr">
        <is>
          <t>FACTURA</t>
        </is>
      </c>
      <c r="G81" s="30" t="inlineStr">
        <is>
          <t>037</t>
        </is>
      </c>
      <c r="H81">
        <f>IF($G81="","",IFERROR(INDEX(Catalogo_Etiquetas,MATCH($G81,Catalogo_Codigos,0)),"CODIGO NO VALIDO"))</f>
        <v/>
      </c>
      <c r="I81" t="inlineStr">
        <is>
          <t>USD</t>
        </is>
      </c>
      <c r="J81" s="20" t="n">
        <v>200.85</v>
      </c>
      <c r="K81" s="20" t="n">
        <v>36.15</v>
      </c>
      <c r="L81" s="20">
        <f>IF($C81="","",$J81+$K81)</f>
        <v/>
      </c>
      <c r="M81" s="30" t="inlineStr">
        <is>
          <t>639</t>
        </is>
      </c>
      <c r="N81" s="26">
        <f>IF($C81="","",IF($I81="PEN",1,IFERROR(IF(_xlfn.XLOOKUP($B81,TC_Fechas,TC_Venta_Rango,"",-1)="","",_xlfn.XLOOKUP($B81,TC_Fechas,TC_Venta_Rango,"",-1)),"")))</f>
        <v/>
      </c>
      <c r="O81" s="20">
        <f>IF(OR($C81="",$N81=""),"",ROUND($J81*$N81,2)+ROUND($K81*$N81,2))</f>
        <v/>
      </c>
      <c r="P81" s="31">
        <f>IF($G81="","",IFERROR(INDEX(Catalogo_Tasas,MATCH($G81,Catalogo_Codigos,0)),""))</f>
        <v/>
      </c>
      <c r="Q81" s="32">
        <f>IF($G81="","",IFERROR(INDEX(Catalogo_Umbrales,MATCH($G81,Catalogo_Codigos,0)),""))</f>
        <v/>
      </c>
      <c r="R81">
        <f>IF(OR($C81="",$P81="",$O81=""),"",IF($F81&lt;&gt;"FACTURA","NO",IF(AND($P81&gt;0,$O81&gt;$Q81),"SI","NO")))</f>
        <v/>
      </c>
      <c r="S81" s="20">
        <f>IF($R81="SI",ROUND($O81*$P81,2),IF($C81="","",0))</f>
        <v/>
      </c>
      <c r="T81" s="20" t="n">
        <v>96</v>
      </c>
      <c r="U81">
        <f>IF($C81="","",IF($R81&lt;&gt;"SI","",IF($T81="","SIN DATO",IF(ABS($T81-$S81)&lt;=0.5,"OK","REVISAR"))))</f>
        <v/>
      </c>
      <c r="V81" s="20" t="n"/>
      <c r="W81" s="20">
        <f>IF(OR($C81="",$N81=""),"",IF($F81="RHE",ROUND($L81-$V81,2),ROUND($L81-($S81/$N81),2)))</f>
        <v/>
      </c>
      <c r="X81" s="25" t="n"/>
      <c r="Y81" s="25" t="n"/>
      <c r="AB81" t="inlineStr">
        <is>
          <t>PROVEEDOR</t>
        </is>
      </c>
    </row>
    <row r="82">
      <c r="A82" t="n">
        <v>79</v>
      </c>
      <c r="B82" s="25">
        <f>DATE(2026,8,8)</f>
        <v/>
      </c>
      <c r="C82" t="inlineStr">
        <is>
          <t>E001-1228</t>
        </is>
      </c>
      <c r="D82" s="30" t="inlineStr">
        <is>
          <t>20600179005</t>
        </is>
      </c>
      <c r="E82" t="inlineStr">
        <is>
          <t>TRANSPORTES TURISTICOS LASER S.A.C.</t>
        </is>
      </c>
      <c r="F82" t="inlineStr">
        <is>
          <t>FACTURA</t>
        </is>
      </c>
      <c r="G82" s="30" t="inlineStr">
        <is>
          <t>N/A</t>
        </is>
      </c>
      <c r="H82">
        <f>IF($G82="","",IFERROR(INDEX(Catalogo_Etiquetas,MATCH($G82,Catalogo_Codigos,0)),"CODIGO NO VALIDO"))</f>
        <v/>
      </c>
      <c r="I82" t="inlineStr">
        <is>
          <t>USD</t>
        </is>
      </c>
      <c r="J82" s="20" t="n">
        <v>150.33</v>
      </c>
      <c r="K82" s="20" t="n">
        <v>27.06</v>
      </c>
      <c r="L82" s="20">
        <f>IF($C82="","",$J82+$K82)</f>
        <v/>
      </c>
      <c r="M82" s="30" t="inlineStr">
        <is>
          <t>639</t>
        </is>
      </c>
      <c r="N82" s="26">
        <f>IF($C82="","",IF($I82="PEN",1,IFERROR(IF(_xlfn.XLOOKUP($B82,TC_Fechas,TC_Venta_Rango,"",-1)="","",_xlfn.XLOOKUP($B82,TC_Fechas,TC_Venta_Rango,"",-1)),"")))</f>
        <v/>
      </c>
      <c r="O82" s="20">
        <f>IF(OR($C82="",$N82=""),"",ROUND($J82*$N82,2)+ROUND($K82*$N82,2))</f>
        <v/>
      </c>
      <c r="P82" s="31">
        <f>IF($G82="","",IFERROR(INDEX(Catalogo_Tasas,MATCH($G82,Catalogo_Codigos,0)),""))</f>
        <v/>
      </c>
      <c r="Q82" s="32">
        <f>IF($G82="","",IFERROR(INDEX(Catalogo_Umbrales,MATCH($G82,Catalogo_Codigos,0)),""))</f>
        <v/>
      </c>
      <c r="R82">
        <f>IF(OR($C82="",$P82="",$O82=""),"",IF($F82&lt;&gt;"FACTURA","NO",IF(AND($P82&gt;0,$O82&gt;$Q82),"SI","NO")))</f>
        <v/>
      </c>
      <c r="S82" s="20">
        <f>IF($R82="SI",ROUND($O82*$P82,2),IF($C82="","",0))</f>
        <v/>
      </c>
      <c r="T82" s="20" t="n"/>
      <c r="U82">
        <f>IF($C82="","",IF($R82&lt;&gt;"SI","",IF($T82="","SIN DATO",IF(ABS($T82-$S82)&lt;=0.5,"OK","REVISAR"))))</f>
        <v/>
      </c>
      <c r="V82" s="20" t="n"/>
      <c r="W82" s="20">
        <f>IF(OR($C82="",$N82=""),"",IF($F82="RHE",ROUND($L82-$V82,2),ROUND($L82-($S82/$N82),2)))</f>
        <v/>
      </c>
      <c r="X82" s="25" t="n"/>
      <c r="Y82" s="25" t="n"/>
      <c r="AB82" t="inlineStr">
        <is>
          <t>PROVEEDOR</t>
        </is>
      </c>
    </row>
    <row r="83">
      <c r="A83" t="n">
        <v>80</v>
      </c>
      <c r="B83" s="25">
        <f>DATE(2026,8,8)</f>
        <v/>
      </c>
      <c r="C83" t="inlineStr">
        <is>
          <t>E001-1880</t>
        </is>
      </c>
      <c r="D83" s="30" t="inlineStr">
        <is>
          <t>20358309870</t>
        </is>
      </c>
      <c r="E83" t="inlineStr">
        <is>
          <t>CAMPING TOURS E.I.R.LTDA</t>
        </is>
      </c>
      <c r="F83" t="inlineStr">
        <is>
          <t>FACTURA</t>
        </is>
      </c>
      <c r="G83" s="30" t="inlineStr">
        <is>
          <t>037</t>
        </is>
      </c>
      <c r="H83">
        <f>IF($G83="","",IFERROR(INDEX(Catalogo_Etiquetas,MATCH($G83,Catalogo_Codigos,0)),"CODIGO NO VALIDO"))</f>
        <v/>
      </c>
      <c r="I83" t="inlineStr">
        <is>
          <t>USD</t>
        </is>
      </c>
      <c r="J83" s="20" t="n">
        <v>442.4</v>
      </c>
      <c r="K83" s="20" t="n">
        <v>79.63</v>
      </c>
      <c r="L83" s="20">
        <f>IF($C83="","",$J83+$K83)</f>
        <v/>
      </c>
      <c r="M83" s="30" t="inlineStr">
        <is>
          <t>639</t>
        </is>
      </c>
      <c r="N83" s="26">
        <f>IF($C83="","",IF($I83="PEN",1,IFERROR(IF(_xlfn.XLOOKUP($B83,TC_Fechas,TC_Venta_Rango,"",-1)="","",_xlfn.XLOOKUP($B83,TC_Fechas,TC_Venta_Rango,"",-1)),"")))</f>
        <v/>
      </c>
      <c r="O83" s="20">
        <f>IF(OR($C83="",$N83=""),"",ROUND($J83*$N83,2)+ROUND($K83*$N83,2))</f>
        <v/>
      </c>
      <c r="P83" s="31">
        <f>IF($G83="","",IFERROR(INDEX(Catalogo_Tasas,MATCH($G83,Catalogo_Codigos,0)),""))</f>
        <v/>
      </c>
      <c r="Q83" s="32">
        <f>IF($G83="","",IFERROR(INDEX(Catalogo_Umbrales,MATCH($G83,Catalogo_Codigos,0)),""))</f>
        <v/>
      </c>
      <c r="R83">
        <f>IF(OR($C83="",$P83="",$O83=""),"",IF($F83&lt;&gt;"FACTURA","NO",IF(AND($P83&gt;0,$O83&gt;$Q83),"SI","NO")))</f>
        <v/>
      </c>
      <c r="S83" s="20">
        <f>IF($R83="SI",ROUND($O83*$P83,2),IF($C83="","",0))</f>
        <v/>
      </c>
      <c r="T83" s="20" t="n">
        <v>212.4</v>
      </c>
      <c r="U83">
        <f>IF($C83="","",IF($R83&lt;&gt;"SI","",IF($T83="","SIN DATO",IF(ABS($T83-$S83)&lt;=0.5,"OK","REVISAR"))))</f>
        <v/>
      </c>
      <c r="V83" s="20" t="n"/>
      <c r="W83" s="20">
        <f>IF(OR($C83="",$N83=""),"",IF($F83="RHE",ROUND($L83-$V83,2),ROUND($L83-($S83/$N83),2)))</f>
        <v/>
      </c>
      <c r="X83" s="25" t="n"/>
      <c r="Y83" s="25" t="n"/>
      <c r="AB83" t="inlineStr">
        <is>
          <t>PROVEEDOR</t>
        </is>
      </c>
    </row>
    <row r="84">
      <c r="A84" t="n">
        <v>81</v>
      </c>
      <c r="B84" s="25">
        <f>DATE(2026,8,5)</f>
        <v/>
      </c>
      <c r="C84" t="inlineStr">
        <is>
          <t>E001- 645</t>
        </is>
      </c>
      <c r="D84" s="30" t="inlineStr">
        <is>
          <t>10404124507</t>
        </is>
      </c>
      <c r="E84" t="inlineStr">
        <is>
          <t>GONZALES ACHAHUI HENRY LUIS</t>
        </is>
      </c>
      <c r="F84" t="inlineStr">
        <is>
          <t>RHE</t>
        </is>
      </c>
      <c r="G84" s="30" t="inlineStr">
        <is>
          <t>N/A</t>
        </is>
      </c>
      <c r="H84">
        <f>IF($G84="","",IFERROR(INDEX(Catalogo_Etiquetas,MATCH($G84,Catalogo_Codigos,0)),"CODIGO NO VALIDO"))</f>
        <v/>
      </c>
      <c r="I84" t="inlineStr">
        <is>
          <t>USD</t>
        </is>
      </c>
      <c r="J84" s="20" t="n">
        <v>75</v>
      </c>
      <c r="K84" s="20" t="n">
        <v>0</v>
      </c>
      <c r="L84" s="20">
        <f>IF($C84="","",$J84+$K84)</f>
        <v/>
      </c>
      <c r="M84" s="30" t="inlineStr">
        <is>
          <t>632</t>
        </is>
      </c>
      <c r="N84" s="26">
        <f>IF($C84="","",IF($I84="PEN",1,IFERROR(IF(_xlfn.XLOOKUP($B84,TC_Fechas,TC_Venta_Rango,"",-1)="","",_xlfn.XLOOKUP($B84,TC_Fechas,TC_Venta_Rango,"",-1)),"")))</f>
        <v/>
      </c>
      <c r="O84" s="20">
        <f>IF(OR($C84="",$N84=""),"",ROUND($J84*$N84,2)+ROUND($K84*$N84,2))</f>
        <v/>
      </c>
      <c r="P84" s="31">
        <f>IF($G84="","",IFERROR(INDEX(Catalogo_Tasas,MATCH($G84,Catalogo_Codigos,0)),""))</f>
        <v/>
      </c>
      <c r="Q84" s="32">
        <f>IF($G84="","",IFERROR(INDEX(Catalogo_Umbrales,MATCH($G84,Catalogo_Codigos,0)),""))</f>
        <v/>
      </c>
      <c r="R84">
        <f>IF(OR($C84="",$P84="",$O84=""),"",IF($F84&lt;&gt;"FACTURA","NO",IF(AND($P84&gt;0,$O84&gt;$Q84),"SI","NO")))</f>
        <v/>
      </c>
      <c r="S84" s="20">
        <f>IF($R84="SI",ROUND($O84*$P84,2),IF($C84="","",0))</f>
        <v/>
      </c>
      <c r="T84" s="20" t="n"/>
      <c r="U84">
        <f>IF($C84="","",IF($R84&lt;&gt;"SI","",IF($T84="","SIN DATO",IF(ABS($T84-$S84)&lt;=0.5,"OK","REVISAR"))))</f>
        <v/>
      </c>
      <c r="V84" s="20" t="n"/>
      <c r="W84" s="20">
        <f>IF(OR($C84="",$N84=""),"",IF($F84="RHE",ROUND($L84-$V84,2),ROUND($L84-($S84/$N84),2)))</f>
        <v/>
      </c>
      <c r="X84" s="25" t="n"/>
      <c r="Y84" s="25" t="n"/>
      <c r="AB84" t="inlineStr">
        <is>
          <t>PROVEEDOR</t>
        </is>
      </c>
    </row>
    <row r="85">
      <c r="A85" t="n">
        <v>82</v>
      </c>
      <c r="B85" s="25">
        <f>DATE(2026,8,6)</f>
        <v/>
      </c>
      <c r="C85" t="inlineStr">
        <is>
          <t>E001-325</t>
        </is>
      </c>
      <c r="D85" s="30" t="inlineStr">
        <is>
          <t>20603668406</t>
        </is>
      </c>
      <c r="E85" t="inlineStr">
        <is>
          <t>LUXURY ADVENTURE CUSCO PERU E.I.R.L.</t>
        </is>
      </c>
      <c r="F85" t="inlineStr">
        <is>
          <t>FACTURA</t>
        </is>
      </c>
      <c r="G85" s="30" t="inlineStr">
        <is>
          <t>N/A</t>
        </is>
      </c>
      <c r="H85">
        <f>IF($G85="","",IFERROR(INDEX(Catalogo_Etiquetas,MATCH($G85,Catalogo_Codigos,0)),"CODIGO NO VALIDO"))</f>
        <v/>
      </c>
      <c r="I85" t="inlineStr">
        <is>
          <t>USD</t>
        </is>
      </c>
      <c r="J85" s="20" t="n">
        <v>88.98</v>
      </c>
      <c r="K85" s="20" t="n">
        <v>16.02</v>
      </c>
      <c r="L85" s="20">
        <f>IF($C85="","",$J85+$K85)</f>
        <v/>
      </c>
      <c r="M85" s="30" t="inlineStr">
        <is>
          <t>639</t>
        </is>
      </c>
      <c r="N85" s="26">
        <f>IF($C85="","",IF($I85="PEN",1,IFERROR(IF(_xlfn.XLOOKUP($B85,TC_Fechas,TC_Venta_Rango,"",-1)="","",_xlfn.XLOOKUP($B85,TC_Fechas,TC_Venta_Rango,"",-1)),"")))</f>
        <v/>
      </c>
      <c r="O85" s="20">
        <f>IF(OR($C85="",$N85=""),"",ROUND($J85*$N85,2)+ROUND($K85*$N85,2))</f>
        <v/>
      </c>
      <c r="P85" s="31">
        <f>IF($G85="","",IFERROR(INDEX(Catalogo_Tasas,MATCH($G85,Catalogo_Codigos,0)),""))</f>
        <v/>
      </c>
      <c r="Q85" s="32">
        <f>IF($G85="","",IFERROR(INDEX(Catalogo_Umbrales,MATCH($G85,Catalogo_Codigos,0)),""))</f>
        <v/>
      </c>
      <c r="R85">
        <f>IF(OR($C85="",$P85="",$O85=""),"",IF($F85&lt;&gt;"FACTURA","NO",IF(AND($P85&gt;0,$O85&gt;$Q85),"SI","NO")))</f>
        <v/>
      </c>
      <c r="S85" s="20">
        <f>IF($R85="SI",ROUND($O85*$P85,2),IF($C85="","",0))</f>
        <v/>
      </c>
      <c r="T85" s="20" t="n"/>
      <c r="U85">
        <f>IF($C85="","",IF($R85&lt;&gt;"SI","",IF($T85="","SIN DATO",IF(ABS($T85-$S85)&lt;=0.5,"OK","REVISAR"))))</f>
        <v/>
      </c>
      <c r="V85" s="20" t="n"/>
      <c r="W85" s="20">
        <f>IF(OR($C85="",$N85=""),"",IF($F85="RHE",ROUND($L85-$V85,2),ROUND($L85-($S85/$N85),2)))</f>
        <v/>
      </c>
      <c r="X85" s="25" t="n"/>
      <c r="Y85" s="25" t="n"/>
      <c r="AB85" t="inlineStr">
        <is>
          <t>PROVEEDOR</t>
        </is>
      </c>
    </row>
    <row r="86">
      <c r="A86" t="n">
        <v>83</v>
      </c>
      <c r="B86" s="25">
        <f>DATE(2026,8,6)</f>
        <v/>
      </c>
      <c r="C86" t="inlineStr">
        <is>
          <t>E001-330</t>
        </is>
      </c>
      <c r="D86" s="30" t="inlineStr">
        <is>
          <t>20603668406</t>
        </is>
      </c>
      <c r="E86" t="inlineStr">
        <is>
          <t>LUXURY ADVENTURE CUSCO PERU E.I.R.L.</t>
        </is>
      </c>
      <c r="F86" t="inlineStr">
        <is>
          <t>FACTURA</t>
        </is>
      </c>
      <c r="G86" s="30" t="inlineStr">
        <is>
          <t>N/A</t>
        </is>
      </c>
      <c r="H86">
        <f>IF($G86="","",IFERROR(INDEX(Catalogo_Etiquetas,MATCH($G86,Catalogo_Codigos,0)),"CODIGO NO VALIDO"))</f>
        <v/>
      </c>
      <c r="I86" t="inlineStr">
        <is>
          <t>USD</t>
        </is>
      </c>
      <c r="J86" s="20" t="n">
        <v>133.48</v>
      </c>
      <c r="K86" s="20" t="n">
        <v>24.03</v>
      </c>
      <c r="L86" s="20">
        <f>IF($C86="","",$J86+$K86)</f>
        <v/>
      </c>
      <c r="M86" s="30" t="inlineStr">
        <is>
          <t>639</t>
        </is>
      </c>
      <c r="N86" s="26">
        <f>IF($C86="","",IF($I86="PEN",1,IFERROR(IF(_xlfn.XLOOKUP($B86,TC_Fechas,TC_Venta_Rango,"",-1)="","",_xlfn.XLOOKUP($B86,TC_Fechas,TC_Venta_Rango,"",-1)),"")))</f>
        <v/>
      </c>
      <c r="O86" s="20">
        <f>IF(OR($C86="",$N86=""),"",ROUND($J86*$N86,2)+ROUND($K86*$N86,2))</f>
        <v/>
      </c>
      <c r="P86" s="31">
        <f>IF($G86="","",IFERROR(INDEX(Catalogo_Tasas,MATCH($G86,Catalogo_Codigos,0)),""))</f>
        <v/>
      </c>
      <c r="Q86" s="32">
        <f>IF($G86="","",IFERROR(INDEX(Catalogo_Umbrales,MATCH($G86,Catalogo_Codigos,0)),""))</f>
        <v/>
      </c>
      <c r="R86">
        <f>IF(OR($C86="",$P86="",$O86=""),"",IF($F86&lt;&gt;"FACTURA","NO",IF(AND($P86&gt;0,$O86&gt;$Q86),"SI","NO")))</f>
        <v/>
      </c>
      <c r="S86" s="20">
        <f>IF($R86="SI",ROUND($O86*$P86,2),IF($C86="","",0))</f>
        <v/>
      </c>
      <c r="T86" s="20" t="n"/>
      <c r="U86">
        <f>IF($C86="","",IF($R86&lt;&gt;"SI","",IF($T86="","SIN DATO",IF(ABS($T86-$S86)&lt;=0.5,"OK","REVISAR"))))</f>
        <v/>
      </c>
      <c r="V86" s="20" t="n"/>
      <c r="W86" s="20">
        <f>IF(OR($C86="",$N86=""),"",IF($F86="RHE",ROUND($L86-$V86,2),ROUND($L86-($S86/$N86),2)))</f>
        <v/>
      </c>
      <c r="X86" s="25" t="n"/>
      <c r="Y86" s="25" t="n"/>
      <c r="AB86" t="inlineStr">
        <is>
          <t>PROVEEDOR</t>
        </is>
      </c>
    </row>
    <row r="87">
      <c r="A87" t="n">
        <v>84</v>
      </c>
      <c r="B87" s="25">
        <f>DATE(2026,8,6)</f>
        <v/>
      </c>
      <c r="C87" t="inlineStr">
        <is>
          <t>E001-335</t>
        </is>
      </c>
      <c r="D87" s="30" t="inlineStr">
        <is>
          <t>20603668406</t>
        </is>
      </c>
      <c r="E87" t="inlineStr">
        <is>
          <t>LUXURY ADVENTURE CUSCO PERU E.I.R.L.</t>
        </is>
      </c>
      <c r="F87" t="inlineStr">
        <is>
          <t>FACTURA</t>
        </is>
      </c>
      <c r="G87" s="30" t="inlineStr">
        <is>
          <t>N/A</t>
        </is>
      </c>
      <c r="H87">
        <f>IF($G87="","",IFERROR(INDEX(Catalogo_Etiquetas,MATCH($G87,Catalogo_Codigos,0)),"CODIGO NO VALIDO"))</f>
        <v/>
      </c>
      <c r="I87" t="inlineStr">
        <is>
          <t>USD</t>
        </is>
      </c>
      <c r="J87" s="20" t="n">
        <v>163.14</v>
      </c>
      <c r="K87" s="20" t="n">
        <v>29.36</v>
      </c>
      <c r="L87" s="20">
        <f>IF($C87="","",$J87+$K87)</f>
        <v/>
      </c>
      <c r="M87" s="30" t="inlineStr">
        <is>
          <t>639</t>
        </is>
      </c>
      <c r="N87" s="26">
        <f>IF($C87="","",IF($I87="PEN",1,IFERROR(IF(_xlfn.XLOOKUP($B87,TC_Fechas,TC_Venta_Rango,"",-1)="","",_xlfn.XLOOKUP($B87,TC_Fechas,TC_Venta_Rango,"",-1)),"")))</f>
        <v/>
      </c>
      <c r="O87" s="20">
        <f>IF(OR($C87="",$N87=""),"",ROUND($J87*$N87,2)+ROUND($K87*$N87,2))</f>
        <v/>
      </c>
      <c r="P87" s="31">
        <f>IF($G87="","",IFERROR(INDEX(Catalogo_Tasas,MATCH($G87,Catalogo_Codigos,0)),""))</f>
        <v/>
      </c>
      <c r="Q87" s="32">
        <f>IF($G87="","",IFERROR(INDEX(Catalogo_Umbrales,MATCH($G87,Catalogo_Codigos,0)),""))</f>
        <v/>
      </c>
      <c r="R87">
        <f>IF(OR($C87="",$P87="",$O87=""),"",IF($F87&lt;&gt;"FACTURA","NO",IF(AND($P87&gt;0,$O87&gt;$Q87),"SI","NO")))</f>
        <v/>
      </c>
      <c r="S87" s="20">
        <f>IF($R87="SI",ROUND($O87*$P87,2),IF($C87="","",0))</f>
        <v/>
      </c>
      <c r="T87" s="20" t="n"/>
      <c r="U87">
        <f>IF($C87="","",IF($R87&lt;&gt;"SI","",IF($T87="","SIN DATO",IF(ABS($T87-$S87)&lt;=0.5,"OK","REVISAR"))))</f>
        <v/>
      </c>
      <c r="V87" s="20" t="n"/>
      <c r="W87" s="20">
        <f>IF(OR($C87="",$N87=""),"",IF($F87="RHE",ROUND($L87-$V87,2),ROUND($L87-($S87/$N87),2)))</f>
        <v/>
      </c>
      <c r="X87" s="25" t="n"/>
      <c r="Y87" s="25" t="n"/>
      <c r="AB87" t="inlineStr">
        <is>
          <t>PROVEEDOR</t>
        </is>
      </c>
    </row>
    <row r="88">
      <c r="A88" t="n">
        <v>85</v>
      </c>
      <c r="B88" s="25">
        <f>DATE(2026,8,10)</f>
        <v/>
      </c>
      <c r="C88" t="inlineStr">
        <is>
          <t>F003-00000024</t>
        </is>
      </c>
      <c r="D88" s="30" t="inlineStr">
        <is>
          <t>20606383356</t>
        </is>
      </c>
      <c r="E88" t="inlineStr">
        <is>
          <t>ALQA GALERIA DE EXPRESIONES ANDINAS SRL</t>
        </is>
      </c>
      <c r="F88" t="inlineStr">
        <is>
          <t>FACTURA</t>
        </is>
      </c>
      <c r="G88" s="30" t="inlineStr">
        <is>
          <t>N/A</t>
        </is>
      </c>
      <c r="H88">
        <f>IF($G88="","",IFERROR(INDEX(Catalogo_Etiquetas,MATCH($G88,Catalogo_Codigos,0)),"CODIGO NO VALIDO"))</f>
        <v/>
      </c>
      <c r="I88" t="inlineStr">
        <is>
          <t>PEN</t>
        </is>
      </c>
      <c r="J88" s="20" t="n">
        <v>660.64</v>
      </c>
      <c r="K88" s="20" t="n">
        <v>69.36</v>
      </c>
      <c r="L88" s="20">
        <f>IF($C88="","",$J88+$K88)</f>
        <v/>
      </c>
      <c r="M88" s="30" t="inlineStr">
        <is>
          <t>639</t>
        </is>
      </c>
      <c r="N88" s="26">
        <f>IF($C88="","",IF($I88="PEN",1,IFERROR(IF(_xlfn.XLOOKUP($B88,TC_Fechas,TC_Venta_Rango,"",-1)="","",_xlfn.XLOOKUP($B88,TC_Fechas,TC_Venta_Rango,"",-1)),"")))</f>
        <v/>
      </c>
      <c r="O88" s="20">
        <f>IF(OR($C88="",$N88=""),"",ROUND($J88*$N88,2)+ROUND($K88*$N88,2))</f>
        <v/>
      </c>
      <c r="P88" s="31">
        <f>IF($G88="","",IFERROR(INDEX(Catalogo_Tasas,MATCH($G88,Catalogo_Codigos,0)),""))</f>
        <v/>
      </c>
      <c r="Q88" s="32">
        <f>IF($G88="","",IFERROR(INDEX(Catalogo_Umbrales,MATCH($G88,Catalogo_Codigos,0)),""))</f>
        <v/>
      </c>
      <c r="R88">
        <f>IF(OR($C88="",$P88="",$O88=""),"",IF($F88&lt;&gt;"FACTURA","NO",IF(AND($P88&gt;0,$O88&gt;$Q88),"SI","NO")))</f>
        <v/>
      </c>
      <c r="S88" s="20">
        <f>IF($R88="SI",ROUND($O88*$P88,2),IF($C88="","",0))</f>
        <v/>
      </c>
      <c r="T88" s="20" t="n"/>
      <c r="U88">
        <f>IF($C88="","",IF($R88&lt;&gt;"SI","",IF($T88="","SIN DATO",IF(ABS($T88-$S88)&lt;=0.5,"OK","REVISAR"))))</f>
        <v/>
      </c>
      <c r="V88" s="20" t="n"/>
      <c r="W88" s="20">
        <f>IF(OR($C88="",$N88=""),"",IF($F88="RHE",ROUND($L88-$V88,2),ROUND($L88-($S88/$N88),2)))</f>
        <v/>
      </c>
      <c r="X88" s="25" t="n"/>
      <c r="Y88" s="25" t="n"/>
      <c r="AB88" t="inlineStr">
        <is>
          <t>PROVEEDOR</t>
        </is>
      </c>
    </row>
    <row r="89">
      <c r="A89" t="n">
        <v>86</v>
      </c>
      <c r="B89" s="25">
        <f>DATE(2026,8,7)</f>
        <v/>
      </c>
      <c r="C89" t="inlineStr">
        <is>
          <t>E001-172</t>
        </is>
      </c>
      <c r="D89" s="30" t="inlineStr">
        <is>
          <t>10408744151</t>
        </is>
      </c>
      <c r="E89" t="inlineStr">
        <is>
          <t>BEOUTIS BAZAN URSULA CATHERINE</t>
        </is>
      </c>
      <c r="F89" t="inlineStr">
        <is>
          <t>RHE</t>
        </is>
      </c>
      <c r="G89" s="30" t="inlineStr">
        <is>
          <t>N/A</t>
        </is>
      </c>
      <c r="H89">
        <f>IF($G89="","",IFERROR(INDEX(Catalogo_Etiquetas,MATCH($G89,Catalogo_Codigos,0)),"CODIGO NO VALIDO"))</f>
        <v/>
      </c>
      <c r="I89" t="inlineStr">
        <is>
          <t>PEN</t>
        </is>
      </c>
      <c r="J89" s="20" t="n">
        <v>1025</v>
      </c>
      <c r="K89" s="20" t="n">
        <v>0</v>
      </c>
      <c r="L89" s="20">
        <f>IF($C89="","",$J89+$K89)</f>
        <v/>
      </c>
      <c r="M89" s="30" t="inlineStr">
        <is>
          <t>632</t>
        </is>
      </c>
      <c r="N89" s="26">
        <f>IF($C89="","",IF($I89="PEN",1,IFERROR(IF(_xlfn.XLOOKUP($B89,TC_Fechas,TC_Venta_Rango,"",-1)="","",_xlfn.XLOOKUP($B89,TC_Fechas,TC_Venta_Rango,"",-1)),"")))</f>
        <v/>
      </c>
      <c r="O89" s="20">
        <f>IF(OR($C89="",$N89=""),"",ROUND($J89*$N89,2)+ROUND($K89*$N89,2))</f>
        <v/>
      </c>
      <c r="P89" s="31">
        <f>IF($G89="","",IFERROR(INDEX(Catalogo_Tasas,MATCH($G89,Catalogo_Codigos,0)),""))</f>
        <v/>
      </c>
      <c r="Q89" s="32">
        <f>IF($G89="","",IFERROR(INDEX(Catalogo_Umbrales,MATCH($G89,Catalogo_Codigos,0)),""))</f>
        <v/>
      </c>
      <c r="R89">
        <f>IF(OR($C89="",$P89="",$O89=""),"",IF($F89&lt;&gt;"FACTURA","NO",IF(AND($P89&gt;0,$O89&gt;$Q89),"SI","NO")))</f>
        <v/>
      </c>
      <c r="S89" s="20">
        <f>IF($R89="SI",ROUND($O89*$P89,2),IF($C89="","",0))</f>
        <v/>
      </c>
      <c r="T89" s="20" t="n"/>
      <c r="U89">
        <f>IF($C89="","",IF($R89&lt;&gt;"SI","",IF($T89="","SIN DATO",IF(ABS($T89-$S89)&lt;=0.5,"OK","REVISAR"))))</f>
        <v/>
      </c>
      <c r="V89" s="20" t="n"/>
      <c r="W89" s="20">
        <f>IF(OR($C89="",$N89=""),"",IF($F89="RHE",ROUND($L89-$V89,2),ROUND($L89-($S89/$N89),2)))</f>
        <v/>
      </c>
      <c r="X89" s="25" t="n"/>
      <c r="Y89" s="25" t="n"/>
      <c r="AB89" t="inlineStr">
        <is>
          <t>ADMINISTRATIVO</t>
        </is>
      </c>
    </row>
    <row r="90">
      <c r="A90" t="n">
        <v>87</v>
      </c>
      <c r="B90" s="25">
        <f>DATE(2026,8,10)</f>
        <v/>
      </c>
      <c r="C90" t="inlineStr">
        <is>
          <t>F002-0023975</t>
        </is>
      </c>
      <c r="D90" s="30" t="inlineStr">
        <is>
          <t>20452235073</t>
        </is>
      </c>
      <c r="E90" t="inlineStr">
        <is>
          <t>BUGANVILLA TOURS S.A.C.</t>
        </is>
      </c>
      <c r="F90" t="inlineStr">
        <is>
          <t>FACTURA</t>
        </is>
      </c>
      <c r="G90" s="30" t="inlineStr">
        <is>
          <t>037</t>
        </is>
      </c>
      <c r="H90">
        <f>IF($G90="","",IFERROR(INDEX(Catalogo_Etiquetas,MATCH($G90,Catalogo_Codigos,0)),"CODIGO NO VALIDO"))</f>
        <v/>
      </c>
      <c r="I90" t="inlineStr">
        <is>
          <t>USD</t>
        </is>
      </c>
      <c r="J90" s="20" t="n">
        <v>273</v>
      </c>
      <c r="K90" s="20" t="n">
        <v>49.14</v>
      </c>
      <c r="L90" s="20">
        <f>IF($C90="","",$J90+$K90)</f>
        <v/>
      </c>
      <c r="M90" s="30" t="inlineStr">
        <is>
          <t>639</t>
        </is>
      </c>
      <c r="N90" s="26">
        <f>IF($C90="","",IF($I90="PEN",1,IFERROR(IF(_xlfn.XLOOKUP($B90,TC_Fechas,TC_Venta_Rango,"",-1)="","",_xlfn.XLOOKUP($B90,TC_Fechas,TC_Venta_Rango,"",-1)),"")))</f>
        <v/>
      </c>
      <c r="O90" s="20">
        <f>IF(OR($C90="",$N90=""),"",ROUND($J90*$N90,2)+ROUND($K90*$N90,2))</f>
        <v/>
      </c>
      <c r="P90" s="31">
        <f>IF($G90="","",IFERROR(INDEX(Catalogo_Tasas,MATCH($G90,Catalogo_Codigos,0)),""))</f>
        <v/>
      </c>
      <c r="Q90" s="32">
        <f>IF($G90="","",IFERROR(INDEX(Catalogo_Umbrales,MATCH($G90,Catalogo_Codigos,0)),""))</f>
        <v/>
      </c>
      <c r="R90">
        <f>IF(OR($C90="",$P90="",$O90=""),"",IF($F90&lt;&gt;"FACTURA","NO",IF(AND($P90&gt;0,$O90&gt;$Q90),"SI","NO")))</f>
        <v/>
      </c>
      <c r="S90" s="20">
        <f>IF($R90="SI",ROUND($O90*$P90,2),IF($C90="","",0))</f>
        <v/>
      </c>
      <c r="T90" s="20" t="n">
        <v>131.1</v>
      </c>
      <c r="U90">
        <f>IF($C90="","",IF($R90&lt;&gt;"SI","",IF($T90="","SIN DATO",IF(ABS($T90-$S90)&lt;=0.5,"OK","REVISAR"))))</f>
        <v/>
      </c>
      <c r="V90" s="20" t="n"/>
      <c r="W90" s="20">
        <f>IF(OR($C90="",$N90=""),"",IF($F90="RHE",ROUND($L90-$V90,2),ROUND($L90-($S90/$N90),2)))</f>
        <v/>
      </c>
      <c r="X90" s="25" t="n"/>
      <c r="Y90" s="25" t="n"/>
      <c r="AB90" t="inlineStr">
        <is>
          <t>PROVEEDOR</t>
        </is>
      </c>
    </row>
    <row r="91">
      <c r="A91" t="n">
        <v>88</v>
      </c>
      <c r="B91" s="25">
        <f>DATE(2026,8,5)</f>
        <v/>
      </c>
      <c r="C91" t="inlineStr">
        <is>
          <t>E001-950</t>
        </is>
      </c>
      <c r="D91" s="30" t="inlineStr">
        <is>
          <t>20101091083</t>
        </is>
      </c>
      <c r="E91" t="inlineStr">
        <is>
          <t>COOPERATIVA DE AHORRO Y CREDITO ABACO</t>
        </is>
      </c>
      <c r="F91" t="inlineStr">
        <is>
          <t>FACTURA</t>
        </is>
      </c>
      <c r="G91" s="30" t="inlineStr">
        <is>
          <t>019</t>
        </is>
      </c>
      <c r="H91">
        <f>IF($G91="","",IFERROR(INDEX(Catalogo_Etiquetas,MATCH($G91,Catalogo_Codigos,0)),"CODIGO NO VALIDO"))</f>
        <v/>
      </c>
      <c r="I91" t="inlineStr">
        <is>
          <t>USD</t>
        </is>
      </c>
      <c r="J91" s="20" t="n">
        <v>919.28</v>
      </c>
      <c r="K91" s="20" t="n">
        <v>165.47</v>
      </c>
      <c r="L91" s="20">
        <f>IF($C91="","",$J91+$K91)</f>
        <v/>
      </c>
      <c r="M91" s="30" t="inlineStr">
        <is>
          <t>635</t>
        </is>
      </c>
      <c r="N91" s="26">
        <f>IF($C91="","",IF($I91="PEN",1,IFERROR(IF(_xlfn.XLOOKUP($B91,TC_Fechas,TC_Venta_Rango,"",-1)="","",_xlfn.XLOOKUP($B91,TC_Fechas,TC_Venta_Rango,"",-1)),"")))</f>
        <v/>
      </c>
      <c r="O91" s="20">
        <f>IF(OR($C91="",$N91=""),"",ROUND($J91*$N91,2)+ROUND($K91*$N91,2))</f>
        <v/>
      </c>
      <c r="P91" s="31">
        <f>IF($G91="","",IFERROR(INDEX(Catalogo_Tasas,MATCH($G91,Catalogo_Codigos,0)),""))</f>
        <v/>
      </c>
      <c r="Q91" s="32">
        <f>IF($G91="","",IFERROR(INDEX(Catalogo_Umbrales,MATCH($G91,Catalogo_Codigos,0)),""))</f>
        <v/>
      </c>
      <c r="R91">
        <f>IF(OR($C91="",$P91="",$O91=""),"",IF($F91&lt;&gt;"FACTURA","NO",IF(AND($P91&gt;0,$O91&gt;$Q91),"SI","NO")))</f>
        <v/>
      </c>
      <c r="S91" s="20">
        <f>IF($R91="SI",ROUND($O91*$P91,2),IF($C91="","",0))</f>
        <v/>
      </c>
      <c r="T91" s="20" t="n">
        <v>368</v>
      </c>
      <c r="U91">
        <f>IF($C91="","",IF($R91&lt;&gt;"SI","",IF($T91="","SIN DATO",IF(ABS($T91-$S91)&lt;=0.5,"OK","REVISAR"))))</f>
        <v/>
      </c>
      <c r="V91" s="20" t="n"/>
      <c r="W91" s="20">
        <f>IF(OR($C91="",$N91=""),"",IF($F91="RHE",ROUND($L91-$V91,2),ROUND($L91-($S91/$N91),2)))</f>
        <v/>
      </c>
      <c r="X91" s="25" t="n"/>
      <c r="Y91" s="25" t="n"/>
      <c r="AB91" t="inlineStr">
        <is>
          <t>ADMINISTRATIVO</t>
        </is>
      </c>
    </row>
    <row r="92">
      <c r="A92" t="n">
        <v>89</v>
      </c>
      <c r="B92" s="25">
        <f>DATE(2026,8,6)</f>
        <v/>
      </c>
      <c r="C92" t="inlineStr">
        <is>
          <t>F005-00003004</t>
        </is>
      </c>
      <c r="D92" s="30" t="inlineStr">
        <is>
          <t>20492015165</t>
        </is>
      </c>
      <c r="E92" t="inlineStr">
        <is>
          <t>FOOD SERVICE INVESTMENT S.A.C.</t>
        </is>
      </c>
      <c r="F92" t="inlineStr">
        <is>
          <t>FACTURA</t>
        </is>
      </c>
      <c r="G92" s="30" t="inlineStr">
        <is>
          <t>N/A</t>
        </is>
      </c>
      <c r="H92">
        <f>IF($G92="","",IFERROR(INDEX(Catalogo_Etiquetas,MATCH($G92,Catalogo_Codigos,0)),"CODIGO NO VALIDO"))</f>
        <v/>
      </c>
      <c r="I92" t="inlineStr">
        <is>
          <t>PEN</t>
        </is>
      </c>
      <c r="J92" s="20" t="n">
        <v>1092.8</v>
      </c>
      <c r="K92" s="20" t="n">
        <v>196.7</v>
      </c>
      <c r="L92" s="20">
        <f>IF($C92="","",$J92+$K92)</f>
        <v/>
      </c>
      <c r="M92" s="30" t="inlineStr">
        <is>
          <t>639</t>
        </is>
      </c>
      <c r="N92" s="26">
        <f>IF($C92="","",IF($I92="PEN",1,IFERROR(IF(_xlfn.XLOOKUP($B92,TC_Fechas,TC_Venta_Rango,"",-1)="","",_xlfn.XLOOKUP($B92,TC_Fechas,TC_Venta_Rango,"",-1)),"")))</f>
        <v/>
      </c>
      <c r="O92" s="20">
        <f>IF(OR($C92="",$N92=""),"",ROUND($J92*$N92,2)+ROUND($K92*$N92,2))</f>
        <v/>
      </c>
      <c r="P92" s="31">
        <f>IF($G92="","",IFERROR(INDEX(Catalogo_Tasas,MATCH($G92,Catalogo_Codigos,0)),""))</f>
        <v/>
      </c>
      <c r="Q92" s="32">
        <f>IF($G92="","",IFERROR(INDEX(Catalogo_Umbrales,MATCH($G92,Catalogo_Codigos,0)),""))</f>
        <v/>
      </c>
      <c r="R92">
        <f>IF(OR($C92="",$P92="",$O92=""),"",IF($F92&lt;&gt;"FACTURA","NO",IF(AND($P92&gt;0,$O92&gt;$Q92),"SI","NO")))</f>
        <v/>
      </c>
      <c r="S92" s="20">
        <f>IF($R92="SI",ROUND($O92*$P92,2),IF($C92="","",0))</f>
        <v/>
      </c>
      <c r="T92" s="20" t="n"/>
      <c r="U92">
        <f>IF($C92="","",IF($R92&lt;&gt;"SI","",IF($T92="","SIN DATO",IF(ABS($T92-$S92)&lt;=0.5,"OK","REVISAR"))))</f>
        <v/>
      </c>
      <c r="V92" s="20" t="n"/>
      <c r="W92" s="20">
        <f>IF(OR($C92="",$N92=""),"",IF($F92="RHE",ROUND($L92-$V92,2),ROUND($L92-($S92/$N92),2)))</f>
        <v/>
      </c>
      <c r="X92" s="25" t="n"/>
      <c r="Y92" s="25" t="n"/>
      <c r="AB92" t="inlineStr">
        <is>
          <t>PROVEEDOR</t>
        </is>
      </c>
    </row>
    <row r="93">
      <c r="A93" t="n">
        <v>90</v>
      </c>
      <c r="B93" s="25">
        <f>DATE(2026,8,4)</f>
        <v/>
      </c>
      <c r="C93" t="inlineStr">
        <is>
          <t>E001- 557</t>
        </is>
      </c>
      <c r="D93" s="30" t="inlineStr">
        <is>
          <t>10239898993</t>
        </is>
      </c>
      <c r="E93" t="inlineStr">
        <is>
          <t>HANCO ASTETE ANDY</t>
        </is>
      </c>
      <c r="F93" t="inlineStr">
        <is>
          <t>RHE</t>
        </is>
      </c>
      <c r="G93" s="30" t="inlineStr">
        <is>
          <t>N/A</t>
        </is>
      </c>
      <c r="H93">
        <f>IF($G93="","",IFERROR(INDEX(Catalogo_Etiquetas,MATCH($G93,Catalogo_Codigos,0)),"CODIGO NO VALIDO"))</f>
        <v/>
      </c>
      <c r="I93" t="inlineStr">
        <is>
          <t>USD</t>
        </is>
      </c>
      <c r="J93" s="20" t="n">
        <v>180</v>
      </c>
      <c r="K93" s="20" t="n">
        <v>0</v>
      </c>
      <c r="L93" s="20">
        <f>IF($C93="","",$J93+$K93)</f>
        <v/>
      </c>
      <c r="M93" s="30" t="inlineStr">
        <is>
          <t>632</t>
        </is>
      </c>
      <c r="N93" s="26">
        <f>IF($C93="","",IF($I93="PEN",1,IFERROR(IF(_xlfn.XLOOKUP($B93,TC_Fechas,TC_Venta_Rango,"",-1)="","",_xlfn.XLOOKUP($B93,TC_Fechas,TC_Venta_Rango,"",-1)),"")))</f>
        <v/>
      </c>
      <c r="O93" s="20">
        <f>IF(OR($C93="",$N93=""),"",ROUND($J93*$N93,2)+ROUND($K93*$N93,2))</f>
        <v/>
      </c>
      <c r="P93" s="31">
        <f>IF($G93="","",IFERROR(INDEX(Catalogo_Tasas,MATCH($G93,Catalogo_Codigos,0)),""))</f>
        <v/>
      </c>
      <c r="Q93" s="32">
        <f>IF($G93="","",IFERROR(INDEX(Catalogo_Umbrales,MATCH($G93,Catalogo_Codigos,0)),""))</f>
        <v/>
      </c>
      <c r="R93">
        <f>IF(OR($C93="",$P93="",$O93=""),"",IF($F93&lt;&gt;"FACTURA","NO",IF(AND($P93&gt;0,$O93&gt;$Q93),"SI","NO")))</f>
        <v/>
      </c>
      <c r="S93" s="20">
        <f>IF($R93="SI",ROUND($O93*$P93,2),IF($C93="","",0))</f>
        <v/>
      </c>
      <c r="T93" s="20" t="n"/>
      <c r="U93">
        <f>IF($C93="","",IF($R93&lt;&gt;"SI","",IF($T93="","SIN DATO",IF(ABS($T93-$S93)&lt;=0.5,"OK","REVISAR"))))</f>
        <v/>
      </c>
      <c r="V93" s="20" t="n"/>
      <c r="W93" s="20">
        <f>IF(OR($C93="",$N93=""),"",IF($F93="RHE",ROUND($L93-$V93,2),ROUND($L93-($S93/$N93),2)))</f>
        <v/>
      </c>
      <c r="X93" s="25" t="n"/>
      <c r="Y93" s="25" t="n"/>
      <c r="AB93" t="inlineStr">
        <is>
          <t>PROVEEDOR</t>
        </is>
      </c>
    </row>
    <row r="94">
      <c r="A94" t="n">
        <v>91</v>
      </c>
      <c r="B94" s="25">
        <f>DATE(2026,8,13)</f>
        <v/>
      </c>
      <c r="C94" t="inlineStr">
        <is>
          <t>F006-00003137</t>
        </is>
      </c>
      <c r="D94" s="30" t="inlineStr">
        <is>
          <t>20610235736</t>
        </is>
      </c>
      <c r="E94" t="inlineStr">
        <is>
          <t>HOTELES LA HACIENDA S.A.C.</t>
        </is>
      </c>
      <c r="F94" t="inlineStr">
        <is>
          <t>FACTURA</t>
        </is>
      </c>
      <c r="G94" s="30" t="inlineStr">
        <is>
          <t>N/A</t>
        </is>
      </c>
      <c r="H94">
        <f>IF($G94="","",IFERROR(INDEX(Catalogo_Etiquetas,MATCH($G94,Catalogo_Codigos,0)),"CODIGO NO VALIDO"))</f>
        <v/>
      </c>
      <c r="I94" t="inlineStr">
        <is>
          <t>USD</t>
        </is>
      </c>
      <c r="J94" s="20" t="n">
        <v>47.33</v>
      </c>
      <c r="K94" s="20" t="n">
        <v>8.52</v>
      </c>
      <c r="L94" s="20">
        <f>IF($C94="","",$J94+$K94)</f>
        <v/>
      </c>
      <c r="M94" s="30" t="inlineStr">
        <is>
          <t>639</t>
        </is>
      </c>
      <c r="N94" s="26">
        <f>IF($C94="","",IF($I94="PEN",1,IFERROR(IF(_xlfn.XLOOKUP($B94,TC_Fechas,TC_Venta_Rango,"",-1)="","",_xlfn.XLOOKUP($B94,TC_Fechas,TC_Venta_Rango,"",-1)),"")))</f>
        <v/>
      </c>
      <c r="O94" s="20">
        <f>IF(OR($C94="",$N94=""),"",ROUND($J94*$N94,2)+ROUND($K94*$N94,2))</f>
        <v/>
      </c>
      <c r="P94" s="31">
        <f>IF($G94="","",IFERROR(INDEX(Catalogo_Tasas,MATCH($G94,Catalogo_Codigos,0)),""))</f>
        <v/>
      </c>
      <c r="Q94" s="32">
        <f>IF($G94="","",IFERROR(INDEX(Catalogo_Umbrales,MATCH($G94,Catalogo_Codigos,0)),""))</f>
        <v/>
      </c>
      <c r="R94">
        <f>IF(OR($C94="",$P94="",$O94=""),"",IF($F94&lt;&gt;"FACTURA","NO",IF(AND($P94&gt;0,$O94&gt;$Q94),"SI","NO")))</f>
        <v/>
      </c>
      <c r="S94" s="20">
        <f>IF($R94="SI",ROUND($O94*$P94,2),IF($C94="","",0))</f>
        <v/>
      </c>
      <c r="T94" s="20" t="n"/>
      <c r="U94">
        <f>IF($C94="","",IF($R94&lt;&gt;"SI","",IF($T94="","SIN DATO",IF(ABS($T94-$S94)&lt;=0.5,"OK","REVISAR"))))</f>
        <v/>
      </c>
      <c r="V94" s="20" t="n"/>
      <c r="W94" s="20">
        <f>IF(OR($C94="",$N94=""),"",IF($F94="RHE",ROUND($L94-$V94,2),ROUND($L94-($S94/$N94),2)))</f>
        <v/>
      </c>
      <c r="X94" s="25" t="n"/>
      <c r="Y94" s="25" t="n"/>
      <c r="AB94" t="inlineStr">
        <is>
          <t>PROVEEDOR</t>
        </is>
      </c>
    </row>
    <row r="95">
      <c r="A95" t="n">
        <v>92</v>
      </c>
      <c r="B95" s="25">
        <f>DATE(2026,8,19)</f>
        <v/>
      </c>
      <c r="C95" t="inlineStr">
        <is>
          <t>F003-00002785</t>
        </is>
      </c>
      <c r="D95" s="30" t="inlineStr">
        <is>
          <t>20610235736</t>
        </is>
      </c>
      <c r="E95" t="inlineStr">
        <is>
          <t>HOTELES LA HACIENDA S.A.C. (Bahia Paracas)</t>
        </is>
      </c>
      <c r="F95" t="inlineStr">
        <is>
          <t>FACTURA</t>
        </is>
      </c>
      <c r="G95" s="30" t="inlineStr">
        <is>
          <t>N/A</t>
        </is>
      </c>
      <c r="H95">
        <f>IF($G95="","",IFERROR(INDEX(Catalogo_Etiquetas,MATCH($G95,Catalogo_Codigos,0)),"CODIGO NO VALIDO"))</f>
        <v/>
      </c>
      <c r="I95" t="inlineStr">
        <is>
          <t>USD</t>
        </is>
      </c>
      <c r="J95" s="20" t="n">
        <v>47.33</v>
      </c>
      <c r="K95" s="20" t="n">
        <v>8.52</v>
      </c>
      <c r="L95" s="20">
        <f>IF($C95="","",$J95+$K95)</f>
        <v/>
      </c>
      <c r="M95" s="30" t="inlineStr">
        <is>
          <t>639</t>
        </is>
      </c>
      <c r="N95" s="26">
        <f>IF($C95="","",IF($I95="PEN",1,IFERROR(IF(_xlfn.XLOOKUP($B95,TC_Fechas,TC_Venta_Rango,"",-1)="","",_xlfn.XLOOKUP($B95,TC_Fechas,TC_Venta_Rango,"",-1)),"")))</f>
        <v/>
      </c>
      <c r="O95" s="20">
        <f>IF(OR($C95="",$N95=""),"",ROUND($J95*$N95,2)+ROUND($K95*$N95,2))</f>
        <v/>
      </c>
      <c r="P95" s="31">
        <f>IF($G95="","",IFERROR(INDEX(Catalogo_Tasas,MATCH($G95,Catalogo_Codigos,0)),""))</f>
        <v/>
      </c>
      <c r="Q95" s="32">
        <f>IF($G95="","",IFERROR(INDEX(Catalogo_Umbrales,MATCH($G95,Catalogo_Codigos,0)),""))</f>
        <v/>
      </c>
      <c r="R95">
        <f>IF(OR($C95="",$P95="",$O95=""),"",IF($F95&lt;&gt;"FACTURA","NO",IF(AND($P95&gt;0,$O95&gt;$Q95),"SI","NO")))</f>
        <v/>
      </c>
      <c r="S95" s="20">
        <f>IF($R95="SI",ROUND($O95*$P95,2),IF($C95="","",0))</f>
        <v/>
      </c>
      <c r="T95" s="20" t="n"/>
      <c r="U95">
        <f>IF($C95="","",IF($R95&lt;&gt;"SI","",IF($T95="","SIN DATO",IF(ABS($T95-$S95)&lt;=0.5,"OK","REVISAR"))))</f>
        <v/>
      </c>
      <c r="V95" s="20" t="n"/>
      <c r="W95" s="20">
        <f>IF(OR($C95="",$N95=""),"",IF($F95="RHE",ROUND($L95-$V95,2),ROUND($L95-($S95/$N95),2)))</f>
        <v/>
      </c>
      <c r="X95" s="25" t="n"/>
      <c r="Y95" s="25" t="n"/>
      <c r="AB95" t="inlineStr">
        <is>
          <t>PROVEEDOR</t>
        </is>
      </c>
    </row>
    <row r="96">
      <c r="A96" t="n">
        <v>93</v>
      </c>
      <c r="B96" s="25">
        <f>DATE(2026,8,16)</f>
        <v/>
      </c>
      <c r="C96" t="inlineStr">
        <is>
          <t>FC01-00001238</t>
        </is>
      </c>
      <c r="D96" s="30" t="inlineStr">
        <is>
          <t>20477906380</t>
        </is>
      </c>
      <c r="E96" t="inlineStr">
        <is>
          <t>INVERSIONES TRES POR OCHO S.A.C. (LAS QOLQAS)</t>
        </is>
      </c>
      <c r="F96" t="inlineStr">
        <is>
          <t>NOTA DE CREDITO</t>
        </is>
      </c>
      <c r="G96" s="30" t="inlineStr">
        <is>
          <t>N/A</t>
        </is>
      </c>
      <c r="H96">
        <f>IF($G96="","",IFERROR(INDEX(Catalogo_Etiquetas,MATCH($G96,Catalogo_Codigos,0)),"CODIGO NO VALIDO"))</f>
        <v/>
      </c>
      <c r="I96" t="inlineStr">
        <is>
          <t>USD</t>
        </is>
      </c>
      <c r="J96" s="20" t="n">
        <v>-678.73</v>
      </c>
      <c r="K96" s="20" t="n">
        <v>-71.27</v>
      </c>
      <c r="L96" s="20">
        <f>IF($C96="","",$J96+$K96)</f>
        <v/>
      </c>
      <c r="M96" s="30" t="inlineStr">
        <is>
          <t>639</t>
        </is>
      </c>
      <c r="N96" s="26">
        <f>IF($C96="","",IF($I96="PEN",1,IFERROR(IF(_xlfn.XLOOKUP($B96,TC_Fechas,TC_Venta_Rango,"",-1)="","",_xlfn.XLOOKUP($B96,TC_Fechas,TC_Venta_Rango,"",-1)),"")))</f>
        <v/>
      </c>
      <c r="O96" s="20">
        <f>IF(OR($C96="",$N96=""),"",ROUND($J96*$N96,2)+ROUND($K96*$N96,2))</f>
        <v/>
      </c>
      <c r="P96" s="31">
        <f>IF($G96="","",IFERROR(INDEX(Catalogo_Tasas,MATCH($G96,Catalogo_Codigos,0)),""))</f>
        <v/>
      </c>
      <c r="Q96" s="32">
        <f>IF($G96="","",IFERROR(INDEX(Catalogo_Umbrales,MATCH($G96,Catalogo_Codigos,0)),""))</f>
        <v/>
      </c>
      <c r="R96">
        <f>IF(OR($C96="",$P96="",$O96=""),"",IF($F96&lt;&gt;"FACTURA","NO",IF(AND($P96&gt;0,$O96&gt;$Q96),"SI","NO")))</f>
        <v/>
      </c>
      <c r="S96" s="20">
        <f>IF($R96="SI",ROUND($O96*$P96,2),IF($C96="","",0))</f>
        <v/>
      </c>
      <c r="T96" s="20" t="n"/>
      <c r="U96">
        <f>IF($C96="","",IF($R96&lt;&gt;"SI","",IF($T96="","SIN DATO",IF(ABS($T96-$S96)&lt;=0.5,"OK","REVISAR"))))</f>
        <v/>
      </c>
      <c r="V96" s="20" t="n"/>
      <c r="W96" s="20">
        <f>IF(OR($C96="",$N96=""),"",IF($F96="RHE",ROUND($L96-$V96,2),ROUND($L96-($S96/$N96),2)))</f>
        <v/>
      </c>
      <c r="X96" s="25" t="n"/>
      <c r="Y96" s="25" t="n"/>
      <c r="AB96" t="inlineStr">
        <is>
          <t>PROVEEDOR</t>
        </is>
      </c>
    </row>
    <row r="97">
      <c r="A97" t="n">
        <v>94</v>
      </c>
      <c r="B97" s="25">
        <f>DATE(2026,8,7)</f>
        <v/>
      </c>
      <c r="C97" t="inlineStr">
        <is>
          <t>FF20-00003162</t>
        </is>
      </c>
      <c r="D97" s="30" t="inlineStr">
        <is>
          <t>20536180657</t>
        </is>
      </c>
      <c r="E97" t="inlineStr">
        <is>
          <t>LA CASA DE BARRANCO S.A.C (HOTEL B)</t>
        </is>
      </c>
      <c r="F97" t="inlineStr">
        <is>
          <t>NOTA DE CREDITO</t>
        </is>
      </c>
      <c r="G97" s="30" t="inlineStr">
        <is>
          <t>N/A</t>
        </is>
      </c>
      <c r="H97">
        <f>IF($G97="","",IFERROR(INDEX(Catalogo_Etiquetas,MATCH($G97,Catalogo_Codigos,0)),"CODIGO NO VALIDO"))</f>
        <v/>
      </c>
      <c r="I97" t="inlineStr">
        <is>
          <t>USD</t>
        </is>
      </c>
      <c r="J97" s="20" t="n">
        <v>-2432.03</v>
      </c>
      <c r="K97" s="20" t="n">
        <v>-437.77</v>
      </c>
      <c r="L97" s="20">
        <f>IF($C97="","",$J97+$K97)</f>
        <v/>
      </c>
      <c r="M97" s="30" t="inlineStr">
        <is>
          <t>639</t>
        </is>
      </c>
      <c r="N97" s="26">
        <f>IF($C97="","",IF($I97="PEN",1,IFERROR(IF(_xlfn.XLOOKUP($B97,TC_Fechas,TC_Venta_Rango,"",-1)="","",_xlfn.XLOOKUP($B97,TC_Fechas,TC_Venta_Rango,"",-1)),"")))</f>
        <v/>
      </c>
      <c r="O97" s="20">
        <f>IF(OR($C97="",$N97=""),"",ROUND($J97*$N97,2)+ROUND($K97*$N97,2))</f>
        <v/>
      </c>
      <c r="P97" s="31">
        <f>IF($G97="","",IFERROR(INDEX(Catalogo_Tasas,MATCH($G97,Catalogo_Codigos,0)),""))</f>
        <v/>
      </c>
      <c r="Q97" s="32">
        <f>IF($G97="","",IFERROR(INDEX(Catalogo_Umbrales,MATCH($G97,Catalogo_Codigos,0)),""))</f>
        <v/>
      </c>
      <c r="R97">
        <f>IF(OR($C97="",$P97="",$O97=""),"",IF($F97&lt;&gt;"FACTURA","NO",IF(AND($P97&gt;0,$O97&gt;$Q97),"SI","NO")))</f>
        <v/>
      </c>
      <c r="S97" s="20">
        <f>IF($R97="SI",ROUND($O97*$P97,2),IF($C97="","",0))</f>
        <v/>
      </c>
      <c r="T97" s="20" t="n"/>
      <c r="U97">
        <f>IF($C97="","",IF($R97&lt;&gt;"SI","",IF($T97="","SIN DATO",IF(ABS($T97-$S97)&lt;=0.5,"OK","REVISAR"))))</f>
        <v/>
      </c>
      <c r="V97" s="20" t="n"/>
      <c r="W97" s="20">
        <f>IF(OR($C97="",$N97=""),"",IF($F97="RHE",ROUND($L97-$V97,2),ROUND($L97-($S97/$N97),2)))</f>
        <v/>
      </c>
      <c r="X97" s="25" t="n"/>
      <c r="Y97" s="25" t="n"/>
      <c r="AB97" t="inlineStr">
        <is>
          <t>PROVEEDOR</t>
        </is>
      </c>
    </row>
    <row r="98">
      <c r="A98" t="n">
        <v>95</v>
      </c>
      <c r="B98" s="25">
        <f>DATE(2026,8,13)</f>
        <v/>
      </c>
      <c r="C98" t="inlineStr">
        <is>
          <t>F001-10336</t>
        </is>
      </c>
      <c r="D98" s="30" t="inlineStr">
        <is>
          <t>20490257188</t>
        </is>
      </c>
      <c r="E98" t="inlineStr">
        <is>
          <t>NATURA VIVE S.A.C.</t>
        </is>
      </c>
      <c r="F98" t="inlineStr">
        <is>
          <t>FACTURA</t>
        </is>
      </c>
      <c r="G98" s="30" t="inlineStr">
        <is>
          <t>N/A</t>
        </is>
      </c>
      <c r="H98">
        <f>IF($G98="","",IFERROR(INDEX(Catalogo_Etiquetas,MATCH($G98,Catalogo_Codigos,0)),"CODIGO NO VALIDO"))</f>
        <v/>
      </c>
      <c r="I98" t="inlineStr">
        <is>
          <t>PEN</t>
        </is>
      </c>
      <c r="J98" s="20" t="n">
        <v>4371.04</v>
      </c>
      <c r="K98" s="20" t="n">
        <v>458.96</v>
      </c>
      <c r="L98" s="20">
        <f>IF($C98="","",$J98+$K98)</f>
        <v/>
      </c>
      <c r="M98" s="30" t="inlineStr">
        <is>
          <t>639</t>
        </is>
      </c>
      <c r="N98" s="26">
        <f>IF($C98="","",IF($I98="PEN",1,IFERROR(IF(_xlfn.XLOOKUP($B98,TC_Fechas,TC_Venta_Rango,"",-1)="","",_xlfn.XLOOKUP($B98,TC_Fechas,TC_Venta_Rango,"",-1)),"")))</f>
        <v/>
      </c>
      <c r="O98" s="20">
        <f>IF(OR($C98="",$N98=""),"",ROUND($J98*$N98,2)+ROUND($K98*$N98,2))</f>
        <v/>
      </c>
      <c r="P98" s="31">
        <f>IF($G98="","",IFERROR(INDEX(Catalogo_Tasas,MATCH($G98,Catalogo_Codigos,0)),""))</f>
        <v/>
      </c>
      <c r="Q98" s="32">
        <f>IF($G98="","",IFERROR(INDEX(Catalogo_Umbrales,MATCH($G98,Catalogo_Codigos,0)),""))</f>
        <v/>
      </c>
      <c r="R98">
        <f>IF(OR($C98="",$P98="",$O98=""),"",IF($F98&lt;&gt;"FACTURA","NO",IF(AND($P98&gt;0,$O98&gt;$Q98),"SI","NO")))</f>
        <v/>
      </c>
      <c r="S98" s="20">
        <f>IF($R98="SI",ROUND($O98*$P98,2),IF($C98="","",0))</f>
        <v/>
      </c>
      <c r="T98" s="20" t="n"/>
      <c r="U98">
        <f>IF($C98="","",IF($R98&lt;&gt;"SI","",IF($T98="","SIN DATO",IF(ABS($T98-$S98)&lt;=0.5,"OK","REVISAR"))))</f>
        <v/>
      </c>
      <c r="V98" s="20" t="n"/>
      <c r="W98" s="20">
        <f>IF(OR($C98="",$N98=""),"",IF($F98="RHE",ROUND($L98-$V98,2),ROUND($L98-($S98/$N98),2)))</f>
        <v/>
      </c>
      <c r="X98" s="25" t="n"/>
      <c r="Y98" s="25" t="n"/>
      <c r="AB98" t="inlineStr">
        <is>
          <t>PROVEEDOR</t>
        </is>
      </c>
    </row>
    <row r="99">
      <c r="A99" t="n">
        <v>96</v>
      </c>
      <c r="B99" s="25">
        <f>DATE(2026,8,11)</f>
        <v/>
      </c>
      <c r="C99" t="inlineStr">
        <is>
          <t>F001-00000736</t>
        </is>
      </c>
      <c r="D99" s="30" t="inlineStr">
        <is>
          <t>20603386214</t>
        </is>
      </c>
      <c r="E99" t="inlineStr">
        <is>
          <t>PERUVIAN CULTURE TRAVEL AGENCIA DE VIAJES Y TURISMO S.R.L.</t>
        </is>
      </c>
      <c r="F99" t="inlineStr">
        <is>
          <t>FACTURA</t>
        </is>
      </c>
      <c r="G99" s="30" t="inlineStr">
        <is>
          <t>037</t>
        </is>
      </c>
      <c r="H99">
        <f>IF($G99="","",IFERROR(INDEX(Catalogo_Etiquetas,MATCH($G99,Catalogo_Codigos,0)),"CODIGO NO VALIDO"))</f>
        <v/>
      </c>
      <c r="I99" t="inlineStr">
        <is>
          <t>USD</t>
        </is>
      </c>
      <c r="J99" s="20" t="n">
        <v>1040.68</v>
      </c>
      <c r="K99" s="20" t="n">
        <v>187.32</v>
      </c>
      <c r="L99" s="20">
        <f>IF($C99="","",$J99+$K99)</f>
        <v/>
      </c>
      <c r="M99" s="30" t="inlineStr">
        <is>
          <t>639</t>
        </is>
      </c>
      <c r="N99" s="26">
        <f>IF($C99="","",IF($I99="PEN",1,IFERROR(IF(_xlfn.XLOOKUP($B99,TC_Fechas,TC_Venta_Rango,"",-1)="","",_xlfn.XLOOKUP($B99,TC_Fechas,TC_Venta_Rango,"",-1)),"")))</f>
        <v/>
      </c>
      <c r="O99" s="20">
        <f>IF(OR($C99="",$N99=""),"",ROUND($J99*$N99,2)+ROUND($K99*$N99,2))</f>
        <v/>
      </c>
      <c r="P99" s="31">
        <f>IF($G99="","",IFERROR(INDEX(Catalogo_Tasas,MATCH($G99,Catalogo_Codigos,0)),""))</f>
        <v/>
      </c>
      <c r="Q99" s="32">
        <f>IF($G99="","",IFERROR(INDEX(Catalogo_Umbrales,MATCH($G99,Catalogo_Codigos,0)),""))</f>
        <v/>
      </c>
      <c r="R99">
        <f>IF(OR($C99="",$P99="",$O99=""),"",IF($F99&lt;&gt;"FACTURA","NO",IF(AND($P99&gt;0,$O99&gt;$Q99),"SI","NO")))</f>
        <v/>
      </c>
      <c r="S99" s="20">
        <f>IF($R99="SI",ROUND($O99*$P99,2),IF($C99="","",0))</f>
        <v/>
      </c>
      <c r="T99" s="20" t="n">
        <v>499.11</v>
      </c>
      <c r="U99">
        <f>IF($C99="","",IF($R99&lt;&gt;"SI","",IF($T99="","SIN DATO",IF(ABS($T99-$S99)&lt;=0.5,"OK","REVISAR"))))</f>
        <v/>
      </c>
      <c r="V99" s="20" t="n"/>
      <c r="W99" s="20">
        <f>IF(OR($C99="",$N99=""),"",IF($F99="RHE",ROUND($L99-$V99,2),ROUND($L99-($S99/$N99),2)))</f>
        <v/>
      </c>
      <c r="X99" s="25" t="n"/>
      <c r="Y99" s="25" t="n"/>
      <c r="AB99" t="inlineStr">
        <is>
          <t>PROVEEDOR</t>
        </is>
      </c>
    </row>
    <row r="100">
      <c r="A100" t="n">
        <v>97</v>
      </c>
      <c r="B100" s="25">
        <f>DATE(2026,8,14)</f>
        <v/>
      </c>
      <c r="C100" t="inlineStr">
        <is>
          <t>E001- 503</t>
        </is>
      </c>
      <c r="D100" s="30" t="inlineStr">
        <is>
          <t>10422800102</t>
        </is>
      </c>
      <c r="E100" t="inlineStr">
        <is>
          <t>SARMIENTO LOPEZ LUIS RONALD</t>
        </is>
      </c>
      <c r="F100" t="inlineStr">
        <is>
          <t>RHE</t>
        </is>
      </c>
      <c r="G100" s="30" t="inlineStr">
        <is>
          <t>N/A</t>
        </is>
      </c>
      <c r="H100">
        <f>IF($G100="","",IFERROR(INDEX(Catalogo_Etiquetas,MATCH($G100,Catalogo_Codigos,0)),"CODIGO NO VALIDO"))</f>
        <v/>
      </c>
      <c r="I100" t="inlineStr">
        <is>
          <t>USD</t>
        </is>
      </c>
      <c r="J100" s="20" t="n">
        <v>87</v>
      </c>
      <c r="K100" s="20" t="n">
        <v>0</v>
      </c>
      <c r="L100" s="20">
        <f>IF($C100="","",$J100+$K100)</f>
        <v/>
      </c>
      <c r="M100" s="30" t="inlineStr">
        <is>
          <t>632</t>
        </is>
      </c>
      <c r="N100" s="26">
        <f>IF($C100="","",IF($I100="PEN",1,IFERROR(IF(_xlfn.XLOOKUP($B100,TC_Fechas,TC_Venta_Rango,"",-1)="","",_xlfn.XLOOKUP($B100,TC_Fechas,TC_Venta_Rango,"",-1)),"")))</f>
        <v/>
      </c>
      <c r="O100" s="20">
        <f>IF(OR($C100="",$N100=""),"",ROUND($J100*$N100,2)+ROUND($K100*$N100,2))</f>
        <v/>
      </c>
      <c r="P100" s="31">
        <f>IF($G100="","",IFERROR(INDEX(Catalogo_Tasas,MATCH($G100,Catalogo_Codigos,0)),""))</f>
        <v/>
      </c>
      <c r="Q100" s="32">
        <f>IF($G100="","",IFERROR(INDEX(Catalogo_Umbrales,MATCH($G100,Catalogo_Codigos,0)),""))</f>
        <v/>
      </c>
      <c r="R100">
        <f>IF(OR($C100="",$P100="",$O100=""),"",IF($F100&lt;&gt;"FACTURA","NO",IF(AND($P100&gt;0,$O100&gt;$Q100),"SI","NO")))</f>
        <v/>
      </c>
      <c r="S100" s="20">
        <f>IF($R100="SI",ROUND($O100*$P100,2),IF($C100="","",0))</f>
        <v/>
      </c>
      <c r="T100" s="20" t="n"/>
      <c r="U100">
        <f>IF($C100="","",IF($R100&lt;&gt;"SI","",IF($T100="","SIN DATO",IF(ABS($T100-$S100)&lt;=0.5,"OK","REVISAR"))))</f>
        <v/>
      </c>
      <c r="V100" s="20" t="n">
        <v>6.96</v>
      </c>
      <c r="W100" s="20">
        <f>IF(OR($C100="",$N100=""),"",IF($F100="RHE",ROUND($L100-$V100,2),ROUND($L100-($S100/$N100),2)))</f>
        <v/>
      </c>
      <c r="X100" s="25" t="n"/>
      <c r="Y100" s="25" t="n"/>
      <c r="AB100" t="inlineStr">
        <is>
          <t>PROVEEDOR</t>
        </is>
      </c>
    </row>
    <row r="101">
      <c r="A101" t="n">
        <v>98</v>
      </c>
      <c r="B101" s="25">
        <f>DATE(2026,8,8)</f>
        <v/>
      </c>
      <c r="C101" t="inlineStr">
        <is>
          <t>E001-1229</t>
        </is>
      </c>
      <c r="D101" s="30" t="inlineStr">
        <is>
          <t>20600179005</t>
        </is>
      </c>
      <c r="E101" t="inlineStr">
        <is>
          <t>TRANSPORTES TURISTICOS LASER S.A.C.</t>
        </is>
      </c>
      <c r="F101" t="inlineStr">
        <is>
          <t>FACTURA</t>
        </is>
      </c>
      <c r="G101" s="30" t="inlineStr">
        <is>
          <t>N/A</t>
        </is>
      </c>
      <c r="H101">
        <f>IF($G101="","",IFERROR(INDEX(Catalogo_Etiquetas,MATCH($G101,Catalogo_Codigos,0)),"CODIGO NO VALIDO"))</f>
        <v/>
      </c>
      <c r="I101" t="inlineStr">
        <is>
          <t>USD</t>
        </is>
      </c>
      <c r="J101" s="20" t="n">
        <v>105.52</v>
      </c>
      <c r="K101" s="20" t="n">
        <v>18.99</v>
      </c>
      <c r="L101" s="20">
        <f>IF($C101="","",$J101+$K101)</f>
        <v/>
      </c>
      <c r="M101" s="30" t="inlineStr">
        <is>
          <t>639</t>
        </is>
      </c>
      <c r="N101" s="26">
        <f>IF($C101="","",IF($I101="PEN",1,IFERROR(IF(_xlfn.XLOOKUP($B101,TC_Fechas,TC_Venta_Rango,"",-1)="","",_xlfn.XLOOKUP($B101,TC_Fechas,TC_Venta_Rango,"",-1)),"")))</f>
        <v/>
      </c>
      <c r="O101" s="20">
        <f>IF(OR($C101="",$N101=""),"",ROUND($J101*$N101,2)+ROUND($K101*$N101,2))</f>
        <v/>
      </c>
      <c r="P101" s="31">
        <f>IF($G101="","",IFERROR(INDEX(Catalogo_Tasas,MATCH($G101,Catalogo_Codigos,0)),""))</f>
        <v/>
      </c>
      <c r="Q101" s="32">
        <f>IF($G101="","",IFERROR(INDEX(Catalogo_Umbrales,MATCH($G101,Catalogo_Codigos,0)),""))</f>
        <v/>
      </c>
      <c r="R101">
        <f>IF(OR($C101="",$P101="",$O101=""),"",IF($F101&lt;&gt;"FACTURA","NO",IF(AND($P101&gt;0,$O101&gt;$Q101),"SI","NO")))</f>
        <v/>
      </c>
      <c r="S101" s="20">
        <f>IF($R101="SI",ROUND($O101*$P101,2),IF($C101="","",0))</f>
        <v/>
      </c>
      <c r="T101" s="20" t="n"/>
      <c r="U101">
        <f>IF($C101="","",IF($R101&lt;&gt;"SI","",IF($T101="","SIN DATO",IF(ABS($T101-$S101)&lt;=0.5,"OK","REVISAR"))))</f>
        <v/>
      </c>
      <c r="V101" s="20" t="n"/>
      <c r="W101" s="20">
        <f>IF(OR($C101="",$N101=""),"",IF($F101="RHE",ROUND($L101-$V101,2),ROUND($L101-($S101/$N101),2)))</f>
        <v/>
      </c>
      <c r="X101" s="25" t="n"/>
      <c r="Y101" s="25" t="n"/>
      <c r="AB101" t="inlineStr">
        <is>
          <t>PROVEEDOR</t>
        </is>
      </c>
    </row>
    <row r="102">
      <c r="A102" t="n">
        <v>99</v>
      </c>
      <c r="B102" s="25">
        <f>DATE(2026,8,8)</f>
        <v/>
      </c>
      <c r="C102" t="inlineStr">
        <is>
          <t>E001-1879</t>
        </is>
      </c>
      <c r="D102" s="30" t="inlineStr">
        <is>
          <t>20358309870</t>
        </is>
      </c>
      <c r="E102" t="inlineStr">
        <is>
          <t>CAMPING TOURS E.I.R.LTDA</t>
        </is>
      </c>
      <c r="F102" t="inlineStr">
        <is>
          <t>FACTURA</t>
        </is>
      </c>
      <c r="G102" s="30" t="inlineStr">
        <is>
          <t>037</t>
        </is>
      </c>
      <c r="H102">
        <f>IF($G102="","",IFERROR(INDEX(Catalogo_Etiquetas,MATCH($G102,Catalogo_Codigos,0)),"CODIGO NO VALIDO"))</f>
        <v/>
      </c>
      <c r="I102" t="inlineStr">
        <is>
          <t>USD</t>
        </is>
      </c>
      <c r="J102" s="20" t="n">
        <v>322.4</v>
      </c>
      <c r="K102" s="20" t="n">
        <v>58.03</v>
      </c>
      <c r="L102" s="20">
        <f>IF($C102="","",$J102+$K102)</f>
        <v/>
      </c>
      <c r="M102" s="30" t="inlineStr">
        <is>
          <t>639</t>
        </is>
      </c>
      <c r="N102" s="26">
        <f>IF($C102="","",IF($I102="PEN",1,IFERROR(IF(_xlfn.XLOOKUP($B102,TC_Fechas,TC_Venta_Rango,"",-1)="","",_xlfn.XLOOKUP($B102,TC_Fechas,TC_Venta_Rango,"",-1)),"")))</f>
        <v/>
      </c>
      <c r="O102" s="20">
        <f>IF(OR($C102="",$N102=""),"",ROUND($J102*$N102,2)+ROUND($K102*$N102,2))</f>
        <v/>
      </c>
      <c r="P102" s="31">
        <f>IF($G102="","",IFERROR(INDEX(Catalogo_Tasas,MATCH($G102,Catalogo_Codigos,0)),""))</f>
        <v/>
      </c>
      <c r="Q102" s="32">
        <f>IF($G102="","",IFERROR(INDEX(Catalogo_Umbrales,MATCH($G102,Catalogo_Codigos,0)),""))</f>
        <v/>
      </c>
      <c r="R102">
        <f>IF(OR($C102="",$P102="",$O102=""),"",IF($F102&lt;&gt;"FACTURA","NO",IF(AND($P102&gt;0,$O102&gt;$Q102),"SI","NO")))</f>
        <v/>
      </c>
      <c r="S102" s="20">
        <f>IF($R102="SI",ROUND($O102*$P102,2),IF($C102="","",0))</f>
        <v/>
      </c>
      <c r="T102" s="20" t="n">
        <v>154.8</v>
      </c>
      <c r="U102">
        <f>IF($C102="","",IF($R102&lt;&gt;"SI","",IF($T102="","SIN DATO",IF(ABS($T102-$S102)&lt;=0.5,"OK","REVISAR"))))</f>
        <v/>
      </c>
      <c r="V102" s="20" t="n"/>
      <c r="W102" s="20">
        <f>IF(OR($C102="",$N102=""),"",IF($F102="RHE",ROUND($L102-$V102,2),ROUND($L102-($S102/$N102),2)))</f>
        <v/>
      </c>
      <c r="X102" s="25" t="n"/>
      <c r="Y102" s="25" t="n"/>
      <c r="AB102" t="inlineStr">
        <is>
          <t>PROVEEDOR</t>
        </is>
      </c>
    </row>
    <row r="103">
      <c r="A103" t="n">
        <v>100</v>
      </c>
      <c r="B103" s="25">
        <f>DATE(2026,8,5)</f>
        <v/>
      </c>
      <c r="C103" t="inlineStr">
        <is>
          <t>E001- 646</t>
        </is>
      </c>
      <c r="D103" s="30" t="inlineStr">
        <is>
          <t>10404124507</t>
        </is>
      </c>
      <c r="E103" t="inlineStr">
        <is>
          <t>GONZALES ACHAHUI HENRY LUIS</t>
        </is>
      </c>
      <c r="F103" t="inlineStr">
        <is>
          <t>RHE</t>
        </is>
      </c>
      <c r="G103" s="30" t="inlineStr">
        <is>
          <t>N/A</t>
        </is>
      </c>
      <c r="H103">
        <f>IF($G103="","",IFERROR(INDEX(Catalogo_Etiquetas,MATCH($G103,Catalogo_Codigos,0)),"CODIGO NO VALIDO"))</f>
        <v/>
      </c>
      <c r="I103" t="inlineStr">
        <is>
          <t>USD</t>
        </is>
      </c>
      <c r="J103" s="20" t="n">
        <v>20</v>
      </c>
      <c r="K103" s="20" t="n">
        <v>0</v>
      </c>
      <c r="L103" s="20">
        <f>IF($C103="","",$J103+$K103)</f>
        <v/>
      </c>
      <c r="M103" s="30" t="inlineStr">
        <is>
          <t>632</t>
        </is>
      </c>
      <c r="N103" s="26">
        <f>IF($C103="","",IF($I103="PEN",1,IFERROR(IF(_xlfn.XLOOKUP($B103,TC_Fechas,TC_Venta_Rango,"",-1)="","",_xlfn.XLOOKUP($B103,TC_Fechas,TC_Venta_Rango,"",-1)),"")))</f>
        <v/>
      </c>
      <c r="O103" s="20">
        <f>IF(OR($C103="",$N103=""),"",ROUND($J103*$N103,2)+ROUND($K103*$N103,2))</f>
        <v/>
      </c>
      <c r="P103" s="31">
        <f>IF($G103="","",IFERROR(INDEX(Catalogo_Tasas,MATCH($G103,Catalogo_Codigos,0)),""))</f>
        <v/>
      </c>
      <c r="Q103" s="32">
        <f>IF($G103="","",IFERROR(INDEX(Catalogo_Umbrales,MATCH($G103,Catalogo_Codigos,0)),""))</f>
        <v/>
      </c>
      <c r="R103">
        <f>IF(OR($C103="",$P103="",$O103=""),"",IF($F103&lt;&gt;"FACTURA","NO",IF(AND($P103&gt;0,$O103&gt;$Q103),"SI","NO")))</f>
        <v/>
      </c>
      <c r="S103" s="20">
        <f>IF($R103="SI",ROUND($O103*$P103,2),IF($C103="","",0))</f>
        <v/>
      </c>
      <c r="T103" s="20" t="n"/>
      <c r="U103">
        <f>IF($C103="","",IF($R103&lt;&gt;"SI","",IF($T103="","SIN DATO",IF(ABS($T103-$S103)&lt;=0.5,"OK","REVISAR"))))</f>
        <v/>
      </c>
      <c r="V103" s="20" t="n"/>
      <c r="W103" s="20">
        <f>IF(OR($C103="",$N103=""),"",IF($F103="RHE",ROUND($L103-$V103,2),ROUND($L103-($S103/$N103),2)))</f>
        <v/>
      </c>
      <c r="X103" s="25" t="n"/>
      <c r="Y103" s="25" t="n"/>
      <c r="AB103" t="inlineStr">
        <is>
          <t>PROVEEDOR</t>
        </is>
      </c>
    </row>
    <row r="104">
      <c r="A104" t="n">
        <v>101</v>
      </c>
      <c r="B104" s="25">
        <f>DATE(2026,8,6)</f>
        <v/>
      </c>
      <c r="C104" t="inlineStr">
        <is>
          <t>E001-326</t>
        </is>
      </c>
      <c r="D104" s="30" t="inlineStr">
        <is>
          <t>20603668406</t>
        </is>
      </c>
      <c r="E104" t="inlineStr">
        <is>
          <t>LUXURY ADVENTURE CUSCO PERU E.I.R.L.</t>
        </is>
      </c>
      <c r="F104" t="inlineStr">
        <is>
          <t>FACTURA</t>
        </is>
      </c>
      <c r="G104" s="30" t="inlineStr">
        <is>
          <t>037</t>
        </is>
      </c>
      <c r="H104">
        <f>IF($G104="","",IFERROR(INDEX(Catalogo_Etiquetas,MATCH($G104,Catalogo_Codigos,0)),"CODIGO NO VALIDO"))</f>
        <v/>
      </c>
      <c r="I104" t="inlineStr">
        <is>
          <t>USD</t>
        </is>
      </c>
      <c r="J104" s="20" t="n">
        <v>192.8</v>
      </c>
      <c r="K104" s="20" t="n">
        <v>34.7</v>
      </c>
      <c r="L104" s="20">
        <f>IF($C104="","",$J104+$K104)</f>
        <v/>
      </c>
      <c r="M104" s="30" t="inlineStr">
        <is>
          <t>639</t>
        </is>
      </c>
      <c r="N104" s="26">
        <f>IF($C104="","",IF($I104="PEN",1,IFERROR(IF(_xlfn.XLOOKUP($B104,TC_Fechas,TC_Venta_Rango,"",-1)="","",_xlfn.XLOOKUP($B104,TC_Fechas,TC_Venta_Rango,"",-1)),"")))</f>
        <v/>
      </c>
      <c r="O104" s="20">
        <f>IF(OR($C104="",$N104=""),"",ROUND($J104*$N104,2)+ROUND($K104*$N104,2))</f>
        <v/>
      </c>
      <c r="P104" s="31">
        <f>IF($G104="","",IFERROR(INDEX(Catalogo_Tasas,MATCH($G104,Catalogo_Codigos,0)),""))</f>
        <v/>
      </c>
      <c r="Q104" s="32">
        <f>IF($G104="","",IFERROR(INDEX(Catalogo_Umbrales,MATCH($G104,Catalogo_Codigos,0)),""))</f>
        <v/>
      </c>
      <c r="R104">
        <f>IF(OR($C104="",$P104="",$O104=""),"",IF($F104&lt;&gt;"FACTURA","NO",IF(AND($P104&gt;0,$O104&gt;$Q104),"SI","NO")))</f>
        <v/>
      </c>
      <c r="S104" s="20">
        <f>IF($R104="SI",ROUND($O104*$P104,2),IF($C104="","",0))</f>
        <v/>
      </c>
      <c r="T104" s="20" t="n">
        <v>93</v>
      </c>
      <c r="U104">
        <f>IF($C104="","",IF($R104&lt;&gt;"SI","",IF($T104="","SIN DATO",IF(ABS($T104-$S104)&lt;=0.5,"OK","REVISAR"))))</f>
        <v/>
      </c>
      <c r="V104" s="20" t="n"/>
      <c r="W104" s="20">
        <f>IF(OR($C104="",$N104=""),"",IF($F104="RHE",ROUND($L104-$V104,2),ROUND($L104-($S104/$N104),2)))</f>
        <v/>
      </c>
      <c r="X104" s="25" t="n"/>
      <c r="Y104" s="25" t="n"/>
      <c r="AB104" t="inlineStr">
        <is>
          <t>PROVEEDOR</t>
        </is>
      </c>
    </row>
    <row r="105">
      <c r="A105" t="n">
        <v>102</v>
      </c>
      <c r="B105" s="25">
        <f>DATE(2026,8,6)</f>
        <v/>
      </c>
      <c r="C105" t="inlineStr">
        <is>
          <t>E001-331</t>
        </is>
      </c>
      <c r="D105" s="30" t="inlineStr">
        <is>
          <t>20603668406</t>
        </is>
      </c>
      <c r="E105" t="inlineStr">
        <is>
          <t>LUXURY ADVENTURE CUSCO PERU E.I.R.L.</t>
        </is>
      </c>
      <c r="F105" t="inlineStr">
        <is>
          <t>FACTURA</t>
        </is>
      </c>
      <c r="G105" s="30" t="inlineStr">
        <is>
          <t>N/A</t>
        </is>
      </c>
      <c r="H105">
        <f>IF($G105="","",IFERROR(INDEX(Catalogo_Etiquetas,MATCH($G105,Catalogo_Codigos,0)),"CODIGO NO VALIDO"))</f>
        <v/>
      </c>
      <c r="I105" t="inlineStr">
        <is>
          <t>USD</t>
        </is>
      </c>
      <c r="J105" s="20" t="n">
        <v>163.14</v>
      </c>
      <c r="K105" s="20" t="n">
        <v>29.36</v>
      </c>
      <c r="L105" s="20">
        <f>IF($C105="","",$J105+$K105)</f>
        <v/>
      </c>
      <c r="M105" s="30" t="inlineStr">
        <is>
          <t>639</t>
        </is>
      </c>
      <c r="N105" s="26">
        <f>IF($C105="","",IF($I105="PEN",1,IFERROR(IF(_xlfn.XLOOKUP($B105,TC_Fechas,TC_Venta_Rango,"",-1)="","",_xlfn.XLOOKUP($B105,TC_Fechas,TC_Venta_Rango,"",-1)),"")))</f>
        <v/>
      </c>
      <c r="O105" s="20">
        <f>IF(OR($C105="",$N105=""),"",ROUND($J105*$N105,2)+ROUND($K105*$N105,2))</f>
        <v/>
      </c>
      <c r="P105" s="31">
        <f>IF($G105="","",IFERROR(INDEX(Catalogo_Tasas,MATCH($G105,Catalogo_Codigos,0)),""))</f>
        <v/>
      </c>
      <c r="Q105" s="32">
        <f>IF($G105="","",IFERROR(INDEX(Catalogo_Umbrales,MATCH($G105,Catalogo_Codigos,0)),""))</f>
        <v/>
      </c>
      <c r="R105">
        <f>IF(OR($C105="",$P105="",$O105=""),"",IF($F105&lt;&gt;"FACTURA","NO",IF(AND($P105&gt;0,$O105&gt;$Q105),"SI","NO")))</f>
        <v/>
      </c>
      <c r="S105" s="20">
        <f>IF($R105="SI",ROUND($O105*$P105,2),IF($C105="","",0))</f>
        <v/>
      </c>
      <c r="T105" s="20" t="n"/>
      <c r="U105">
        <f>IF($C105="","",IF($R105&lt;&gt;"SI","",IF($T105="","SIN DATO",IF(ABS($T105-$S105)&lt;=0.5,"OK","REVISAR"))))</f>
        <v/>
      </c>
      <c r="V105" s="20" t="n"/>
      <c r="W105" s="20">
        <f>IF(OR($C105="",$N105=""),"",IF($F105="RHE",ROUND($L105-$V105,2),ROUND($L105-($S105/$N105),2)))</f>
        <v/>
      </c>
      <c r="X105" s="25" t="n"/>
      <c r="Y105" s="25" t="n"/>
      <c r="AB105" t="inlineStr">
        <is>
          <t>PROVEEDOR</t>
        </is>
      </c>
    </row>
    <row r="106">
      <c r="A106" t="n">
        <v>103</v>
      </c>
      <c r="B106" s="25">
        <f>DATE(2026,8,18)</f>
        <v/>
      </c>
      <c r="C106" t="inlineStr">
        <is>
          <t>E001-734</t>
        </is>
      </c>
      <c r="D106" s="30" t="inlineStr">
        <is>
          <t>20601761310</t>
        </is>
      </c>
      <c r="E106" t="inlineStr">
        <is>
          <t>COCK OF THE ROCK LODGE SOCIEDAD ANONIMA CERRADA - CORL S.A.C</t>
        </is>
      </c>
      <c r="F106" t="inlineStr">
        <is>
          <t>FACTURA</t>
        </is>
      </c>
      <c r="G106" s="30" t="inlineStr">
        <is>
          <t>N/A</t>
        </is>
      </c>
      <c r="H106">
        <f>IF($G106="","",IFERROR(INDEX(Catalogo_Etiquetas,MATCH($G106,Catalogo_Codigos,0)),"CODIGO NO VALIDO"))</f>
        <v/>
      </c>
      <c r="I106" t="inlineStr">
        <is>
          <t>USD</t>
        </is>
      </c>
      <c r="J106" s="20" t="n">
        <v>1288</v>
      </c>
      <c r="K106" s="20" t="n">
        <v>0</v>
      </c>
      <c r="L106" s="20">
        <f>IF($C106="","",$J106+$K106)</f>
        <v/>
      </c>
      <c r="M106" s="30" t="inlineStr">
        <is>
          <t>639</t>
        </is>
      </c>
      <c r="N106" s="26">
        <f>IF($C106="","",IF($I106="PEN",1,IFERROR(IF(_xlfn.XLOOKUP($B106,TC_Fechas,TC_Venta_Rango,"",-1)="","",_xlfn.XLOOKUP($B106,TC_Fechas,TC_Venta_Rango,"",-1)),"")))</f>
        <v/>
      </c>
      <c r="O106" s="20">
        <f>IF(OR($C106="",$N106=""),"",ROUND($J106*$N106,2)+ROUND($K106*$N106,2))</f>
        <v/>
      </c>
      <c r="P106" s="31">
        <f>IF($G106="","",IFERROR(INDEX(Catalogo_Tasas,MATCH($G106,Catalogo_Codigos,0)),""))</f>
        <v/>
      </c>
      <c r="Q106" s="32">
        <f>IF($G106="","",IFERROR(INDEX(Catalogo_Umbrales,MATCH($G106,Catalogo_Codigos,0)),""))</f>
        <v/>
      </c>
      <c r="R106">
        <f>IF(OR($C106="",$P106="",$O106=""),"",IF($F106&lt;&gt;"FACTURA","NO",IF(AND($P106&gt;0,$O106&gt;$Q106),"SI","NO")))</f>
        <v/>
      </c>
      <c r="S106" s="20">
        <f>IF($R106="SI",ROUND($O106*$P106,2),IF($C106="","",0))</f>
        <v/>
      </c>
      <c r="T106" s="20" t="n"/>
      <c r="U106">
        <f>IF($C106="","",IF($R106&lt;&gt;"SI","",IF($T106="","SIN DATO",IF(ABS($T106-$S106)&lt;=0.5,"OK","REVISAR"))))</f>
        <v/>
      </c>
      <c r="V106" s="20" t="n"/>
      <c r="W106" s="20">
        <f>IF(OR($C106="",$N106=""),"",IF($F106="RHE",ROUND($L106-$V106,2),ROUND($L106-($S106/$N106),2)))</f>
        <v/>
      </c>
      <c r="X106" s="25" t="n"/>
      <c r="Y106" s="25" t="n"/>
      <c r="AB106" t="inlineStr">
        <is>
          <t>PROVEEDOR</t>
        </is>
      </c>
    </row>
    <row r="107">
      <c r="A107" t="n">
        <v>104</v>
      </c>
      <c r="B107" s="25">
        <f>DATE(2026,8,19)</f>
        <v/>
      </c>
      <c r="C107" t="inlineStr">
        <is>
          <t>E001-700</t>
        </is>
      </c>
      <c r="D107" s="30" t="inlineStr">
        <is>
          <t>10756090416</t>
        </is>
      </c>
      <c r="E107" t="inlineStr">
        <is>
          <t>CUELLAR ANDRES MANUEL ELMER</t>
        </is>
      </c>
      <c r="F107" t="inlineStr">
        <is>
          <t>FACTURA</t>
        </is>
      </c>
      <c r="G107" s="30" t="inlineStr">
        <is>
          <t>026</t>
        </is>
      </c>
      <c r="H107">
        <f>IF($G107="","",IFERROR(INDEX(Catalogo_Etiquetas,MATCH($G107,Catalogo_Codigos,0)),"CODIGO NO VALIDO"))</f>
        <v/>
      </c>
      <c r="I107" t="inlineStr">
        <is>
          <t>USD</t>
        </is>
      </c>
      <c r="J107" s="20" t="n">
        <v>1126.78</v>
      </c>
      <c r="K107" s="20" t="n">
        <v>202.82</v>
      </c>
      <c r="L107" s="20">
        <f>IF($C107="","",$J107+$K107)</f>
        <v/>
      </c>
      <c r="M107" s="30" t="inlineStr">
        <is>
          <t>631</t>
        </is>
      </c>
      <c r="N107" s="26">
        <f>IF($C107="","",IF($I107="PEN",1,IFERROR(IF(_xlfn.XLOOKUP($B107,TC_Fechas,TC_Venta_Rango,"",-1)="","",_xlfn.XLOOKUP($B107,TC_Fechas,TC_Venta_Rango,"",-1)),"")))</f>
        <v/>
      </c>
      <c r="O107" s="20">
        <f>IF(OR($C107="",$N107=""),"",ROUND($J107*$N107,2)+ROUND($K107*$N107,2))</f>
        <v/>
      </c>
      <c r="P107" s="31">
        <f>IF($G107="","",IFERROR(INDEX(Catalogo_Tasas,MATCH($G107,Catalogo_Codigos,0)),""))</f>
        <v/>
      </c>
      <c r="Q107" s="32">
        <f>IF($G107="","",IFERROR(INDEX(Catalogo_Umbrales,MATCH($G107,Catalogo_Codigos,0)),""))</f>
        <v/>
      </c>
      <c r="R107">
        <f>IF(OR($C107="",$P107="",$O107=""),"",IF($F107&lt;&gt;"FACTURA","NO",IF(AND($P107&gt;0,$O107&gt;$Q107),"SI","NO")))</f>
        <v/>
      </c>
      <c r="S107" s="20">
        <f>IF($R107="SI",ROUND($O107*$P107,2),IF($C107="","",0))</f>
        <v/>
      </c>
      <c r="T107" s="20" t="n">
        <v>446</v>
      </c>
      <c r="U107">
        <f>IF($C107="","",IF($R107&lt;&gt;"SI","",IF($T107="","SIN DATO",IF(ABS($T107-$S107)&lt;=0.5,"OK","REVISAR"))))</f>
        <v/>
      </c>
      <c r="V107" s="20" t="n"/>
      <c r="W107" s="20">
        <f>IF(OR($C107="",$N107=""),"",IF($F107="RHE",ROUND($L107-$V107,2),ROUND($L107-($S107/$N107),2)))</f>
        <v/>
      </c>
      <c r="X107" s="25" t="n"/>
      <c r="Y107" s="25" t="n"/>
      <c r="AB107" t="inlineStr">
        <is>
          <t>PROVEEDOR</t>
        </is>
      </c>
    </row>
    <row r="108">
      <c r="A108" t="n">
        <v>105</v>
      </c>
      <c r="B108" s="25">
        <f>DATE(2026,8,16)</f>
        <v/>
      </c>
      <c r="C108" t="inlineStr">
        <is>
          <t>E001- 743</t>
        </is>
      </c>
      <c r="D108" s="30" t="inlineStr">
        <is>
          <t>10214605606</t>
        </is>
      </c>
      <c r="E108" t="inlineStr">
        <is>
          <t>CATACORA RAMIREZ PAUL FRED</t>
        </is>
      </c>
      <c r="F108" t="inlineStr">
        <is>
          <t>RHE</t>
        </is>
      </c>
      <c r="G108" s="30" t="inlineStr">
        <is>
          <t>N/A</t>
        </is>
      </c>
      <c r="H108">
        <f>IF($G108="","",IFERROR(INDEX(Catalogo_Etiquetas,MATCH($G108,Catalogo_Codigos,0)),"CODIGO NO VALIDO"))</f>
        <v/>
      </c>
      <c r="I108" t="inlineStr">
        <is>
          <t>USD</t>
        </is>
      </c>
      <c r="J108" s="20" t="n">
        <v>300</v>
      </c>
      <c r="K108" s="20" t="n">
        <v>0</v>
      </c>
      <c r="L108" s="20">
        <f>IF($C108="","",$J108+$K108)</f>
        <v/>
      </c>
      <c r="M108" s="30" t="inlineStr">
        <is>
          <t>632</t>
        </is>
      </c>
      <c r="N108" s="26">
        <f>IF($C108="","",IF($I108="PEN",1,IFERROR(IF(_xlfn.XLOOKUP($B108,TC_Fechas,TC_Venta_Rango,"",-1)="","",_xlfn.XLOOKUP($B108,TC_Fechas,TC_Venta_Rango,"",-1)),"")))</f>
        <v/>
      </c>
      <c r="O108" s="20">
        <f>IF(OR($C108="",$N108=""),"",ROUND($J108*$N108,2)+ROUND($K108*$N108,2))</f>
        <v/>
      </c>
      <c r="P108" s="31">
        <f>IF($G108="","",IFERROR(INDEX(Catalogo_Tasas,MATCH($G108,Catalogo_Codigos,0)),""))</f>
        <v/>
      </c>
      <c r="Q108" s="32">
        <f>IF($G108="","",IFERROR(INDEX(Catalogo_Umbrales,MATCH($G108,Catalogo_Codigos,0)),""))</f>
        <v/>
      </c>
      <c r="R108">
        <f>IF(OR($C108="",$P108="",$O108=""),"",IF($F108&lt;&gt;"FACTURA","NO",IF(AND($P108&gt;0,$O108&gt;$Q108),"SI","NO")))</f>
        <v/>
      </c>
      <c r="S108" s="20">
        <f>IF($R108="SI",ROUND($O108*$P108,2),IF($C108="","",0))</f>
        <v/>
      </c>
      <c r="T108" s="20" t="n"/>
      <c r="U108">
        <f>IF($C108="","",IF($R108&lt;&gt;"SI","",IF($T108="","SIN DATO",IF(ABS($T108-$S108)&lt;=0.5,"OK","REVISAR"))))</f>
        <v/>
      </c>
      <c r="V108" s="20" t="n"/>
      <c r="W108" s="20">
        <f>IF(OR($C108="",$N108=""),"",IF($F108="RHE",ROUND($L108-$V108,2),ROUND($L108-($S108/$N108),2)))</f>
        <v/>
      </c>
      <c r="X108" s="25" t="n"/>
      <c r="Y108" s="25" t="n"/>
      <c r="AB108" t="inlineStr">
        <is>
          <t>PROVEEDOR</t>
        </is>
      </c>
    </row>
    <row r="109">
      <c r="A109" t="n">
        <v>106</v>
      </c>
      <c r="B109" s="25">
        <f>DATE(2026,8,17)</f>
        <v/>
      </c>
      <c r="C109" t="inlineStr">
        <is>
          <t>E001- 744</t>
        </is>
      </c>
      <c r="D109" s="30" t="inlineStr">
        <is>
          <t>10214605606</t>
        </is>
      </c>
      <c r="E109" t="inlineStr">
        <is>
          <t>CATACORA RAMIREZ PAUL FRED</t>
        </is>
      </c>
      <c r="F109" t="inlineStr">
        <is>
          <t>RHE</t>
        </is>
      </c>
      <c r="G109" s="30" t="inlineStr">
        <is>
          <t>N/A</t>
        </is>
      </c>
      <c r="H109">
        <f>IF($G109="","",IFERROR(INDEX(Catalogo_Etiquetas,MATCH($G109,Catalogo_Codigos,0)),"CODIGO NO VALIDO"))</f>
        <v/>
      </c>
      <c r="I109" t="inlineStr">
        <is>
          <t>USD</t>
        </is>
      </c>
      <c r="J109" s="20" t="n">
        <v>200</v>
      </c>
      <c r="K109" s="20" t="n">
        <v>0</v>
      </c>
      <c r="L109" s="20">
        <f>IF($C109="","",$J109+$K109)</f>
        <v/>
      </c>
      <c r="M109" s="30" t="inlineStr">
        <is>
          <t>632</t>
        </is>
      </c>
      <c r="N109" s="26">
        <f>IF($C109="","",IF($I109="PEN",1,IFERROR(IF(_xlfn.XLOOKUP($B109,TC_Fechas,TC_Venta_Rango,"",-1)="","",_xlfn.XLOOKUP($B109,TC_Fechas,TC_Venta_Rango,"",-1)),"")))</f>
        <v/>
      </c>
      <c r="O109" s="20">
        <f>IF(OR($C109="",$N109=""),"",ROUND($J109*$N109,2)+ROUND($K109*$N109,2))</f>
        <v/>
      </c>
      <c r="P109" s="31">
        <f>IF($G109="","",IFERROR(INDEX(Catalogo_Tasas,MATCH($G109,Catalogo_Codigos,0)),""))</f>
        <v/>
      </c>
      <c r="Q109" s="32">
        <f>IF($G109="","",IFERROR(INDEX(Catalogo_Umbrales,MATCH($G109,Catalogo_Codigos,0)),""))</f>
        <v/>
      </c>
      <c r="R109">
        <f>IF(OR($C109="",$P109="",$O109=""),"",IF($F109&lt;&gt;"FACTURA","NO",IF(AND($P109&gt;0,$O109&gt;$Q109),"SI","NO")))</f>
        <v/>
      </c>
      <c r="S109" s="20">
        <f>IF($R109="SI",ROUND($O109*$P109,2),IF($C109="","",0))</f>
        <v/>
      </c>
      <c r="T109" s="20" t="n"/>
      <c r="U109">
        <f>IF($C109="","",IF($R109&lt;&gt;"SI","",IF($T109="","SIN DATO",IF(ABS($T109-$S109)&lt;=0.5,"OK","REVISAR"))))</f>
        <v/>
      </c>
      <c r="V109" s="20" t="n"/>
      <c r="W109" s="20">
        <f>IF(OR($C109="",$N109=""),"",IF($F109="RHE",ROUND($L109-$V109,2),ROUND($L109-($S109/$N109),2)))</f>
        <v/>
      </c>
      <c r="X109" s="25" t="n"/>
      <c r="Y109" s="25" t="n"/>
      <c r="AB109" t="inlineStr">
        <is>
          <t>PROVEEDOR</t>
        </is>
      </c>
    </row>
    <row r="110">
      <c r="A110" t="n">
        <v>107</v>
      </c>
      <c r="B110" s="25" t="n"/>
      <c r="D110" s="30" t="n"/>
      <c r="G110" s="30" t="n"/>
      <c r="H110">
        <f>IF($G110="","",IFERROR(INDEX(Catalogo_Etiquetas,MATCH($G110,Catalogo_Codigos,0)),"CODIGO NO VALIDO"))</f>
        <v/>
      </c>
      <c r="J110" s="20" t="n"/>
      <c r="K110" s="20" t="n"/>
      <c r="L110" s="20">
        <f>IF($C110="","",$J110+$K110)</f>
        <v/>
      </c>
      <c r="M110" s="30" t="n"/>
      <c r="N110" s="26">
        <f>IF($C110="","",IF($I110="PEN",1,IFERROR(IF(_xlfn.XLOOKUP($B110,TC_Fechas,TC_Venta_Rango,"",-1)="","",_xlfn.XLOOKUP($B110,TC_Fechas,TC_Venta_Rango,"",-1)),"")))</f>
        <v/>
      </c>
      <c r="O110" s="20">
        <f>IF(OR($C110="",$N110=""),"",ROUND($J110*$N110,2)+ROUND($K110*$N110,2))</f>
        <v/>
      </c>
      <c r="P110" s="31">
        <f>IF($G110="","",IFERROR(INDEX(Catalogo_Tasas,MATCH($G110,Catalogo_Codigos,0)),""))</f>
        <v/>
      </c>
      <c r="Q110" s="32">
        <f>IF($G110="","",IFERROR(INDEX(Catalogo_Umbrales,MATCH($G110,Catalogo_Codigos,0)),""))</f>
        <v/>
      </c>
      <c r="R110">
        <f>IF(OR($C110="",$P110="",$O110=""),"",IF($F110&lt;&gt;"FACTURA","NO",IF(AND($P110&gt;0,$O110&gt;$Q110),"SI","NO")))</f>
        <v/>
      </c>
      <c r="S110" s="20">
        <f>IF($R110="SI",ROUND($O110*$P110,2),IF($C110="","",0))</f>
        <v/>
      </c>
      <c r="T110" s="20" t="n"/>
      <c r="U110">
        <f>IF($C110="","",IF($R110&lt;&gt;"SI","",IF($T110="","SIN DATO",IF(ABS($T110-$S110)&lt;=0.5,"OK","REVISAR"))))</f>
        <v/>
      </c>
      <c r="V110" s="20" t="n"/>
      <c r="W110" s="20">
        <f>IF(OR($C110="",$N110=""),"",IF($F110="RHE",ROUND($L110-$V110,2),ROUND($L110-($S110/$N110),2)))</f>
        <v/>
      </c>
      <c r="X110" s="25" t="n"/>
      <c r="Y110" s="25" t="n"/>
    </row>
    <row r="111">
      <c r="A111" t="n">
        <v>108</v>
      </c>
      <c r="B111" s="25" t="n"/>
      <c r="D111" s="30" t="n"/>
      <c r="G111" s="30" t="n"/>
      <c r="H111">
        <f>IF($G111="","",IFERROR(INDEX(Catalogo_Etiquetas,MATCH($G111,Catalogo_Codigos,0)),"CODIGO NO VALIDO"))</f>
        <v/>
      </c>
      <c r="J111" s="20" t="n"/>
      <c r="K111" s="20" t="n"/>
      <c r="L111" s="20">
        <f>IF($C111="","",$J111+$K111)</f>
        <v/>
      </c>
      <c r="M111" s="30" t="n"/>
      <c r="N111" s="26">
        <f>IF($C111="","",IF($I111="PEN",1,IFERROR(IF(_xlfn.XLOOKUP($B111,TC_Fechas,TC_Venta_Rango,"",-1)="","",_xlfn.XLOOKUP($B111,TC_Fechas,TC_Venta_Rango,"",-1)),"")))</f>
        <v/>
      </c>
      <c r="O111" s="20">
        <f>IF(OR($C111="",$N111=""),"",ROUND($J111*$N111,2)+ROUND($K111*$N111,2))</f>
        <v/>
      </c>
      <c r="P111" s="31">
        <f>IF($G111="","",IFERROR(INDEX(Catalogo_Tasas,MATCH($G111,Catalogo_Codigos,0)),""))</f>
        <v/>
      </c>
      <c r="Q111" s="32">
        <f>IF($G111="","",IFERROR(INDEX(Catalogo_Umbrales,MATCH($G111,Catalogo_Codigos,0)),""))</f>
        <v/>
      </c>
      <c r="R111">
        <f>IF(OR($C111="",$P111="",$O111=""),"",IF($F111&lt;&gt;"FACTURA","NO",IF(AND($P111&gt;0,$O111&gt;$Q111),"SI","NO")))</f>
        <v/>
      </c>
      <c r="S111" s="20">
        <f>IF($R111="SI",ROUND($O111*$P111,2),IF($C111="","",0))</f>
        <v/>
      </c>
      <c r="T111" s="20" t="n"/>
      <c r="U111">
        <f>IF($C111="","",IF($R111&lt;&gt;"SI","",IF($T111="","SIN DATO",IF(ABS($T111-$S111)&lt;=0.5,"OK","REVISAR"))))</f>
        <v/>
      </c>
      <c r="V111" s="20" t="n"/>
      <c r="W111" s="20">
        <f>IF(OR($C111="",$N111=""),"",IF($F111="RHE",ROUND($L111-$V111,2),ROUND($L111-($S111/$N111),2)))</f>
        <v/>
      </c>
      <c r="X111" s="25" t="n"/>
      <c r="Y111" s="25" t="n"/>
    </row>
    <row r="112">
      <c r="A112" t="n">
        <v>109</v>
      </c>
      <c r="B112" s="25" t="n"/>
      <c r="D112" s="30" t="n"/>
      <c r="G112" s="30" t="n"/>
      <c r="H112">
        <f>IF($G112="","",IFERROR(INDEX(Catalogo_Etiquetas,MATCH($G112,Catalogo_Codigos,0)),"CODIGO NO VALIDO"))</f>
        <v/>
      </c>
      <c r="J112" s="20" t="n"/>
      <c r="K112" s="20" t="n"/>
      <c r="L112" s="20">
        <f>IF($C112="","",$J112+$K112)</f>
        <v/>
      </c>
      <c r="M112" s="30" t="n"/>
      <c r="N112" s="26">
        <f>IF($C112="","",IF($I112="PEN",1,IFERROR(IF(_xlfn.XLOOKUP($B112,TC_Fechas,TC_Venta_Rango,"",-1)="","",_xlfn.XLOOKUP($B112,TC_Fechas,TC_Venta_Rango,"",-1)),"")))</f>
        <v/>
      </c>
      <c r="O112" s="20">
        <f>IF(OR($C112="",$N112=""),"",ROUND($J112*$N112,2)+ROUND($K112*$N112,2))</f>
        <v/>
      </c>
      <c r="P112" s="31">
        <f>IF($G112="","",IFERROR(INDEX(Catalogo_Tasas,MATCH($G112,Catalogo_Codigos,0)),""))</f>
        <v/>
      </c>
      <c r="Q112" s="32">
        <f>IF($G112="","",IFERROR(INDEX(Catalogo_Umbrales,MATCH($G112,Catalogo_Codigos,0)),""))</f>
        <v/>
      </c>
      <c r="R112">
        <f>IF(OR($C112="",$P112="",$O112=""),"",IF($F112&lt;&gt;"FACTURA","NO",IF(AND($P112&gt;0,$O112&gt;$Q112),"SI","NO")))</f>
        <v/>
      </c>
      <c r="S112" s="20">
        <f>IF($R112="SI",ROUND($O112*$P112,2),IF($C112="","",0))</f>
        <v/>
      </c>
      <c r="T112" s="20" t="n"/>
      <c r="U112">
        <f>IF($C112="","",IF($R112&lt;&gt;"SI","",IF($T112="","SIN DATO",IF(ABS($T112-$S112)&lt;=0.5,"OK","REVISAR"))))</f>
        <v/>
      </c>
      <c r="V112" s="20" t="n"/>
      <c r="W112" s="20">
        <f>IF(OR($C112="",$N112=""),"",IF($F112="RHE",ROUND($L112-$V112,2),ROUND($L112-($S112/$N112),2)))</f>
        <v/>
      </c>
      <c r="X112" s="25" t="n"/>
      <c r="Y112" s="25" t="n"/>
    </row>
    <row r="113">
      <c r="A113" t="n">
        <v>110</v>
      </c>
      <c r="B113" s="25" t="n"/>
      <c r="D113" s="30" t="n"/>
      <c r="G113" s="30" t="n"/>
      <c r="H113">
        <f>IF($G113="","",IFERROR(INDEX(Catalogo_Etiquetas,MATCH($G113,Catalogo_Codigos,0)),"CODIGO NO VALIDO"))</f>
        <v/>
      </c>
      <c r="J113" s="20" t="n"/>
      <c r="K113" s="20" t="n"/>
      <c r="L113" s="20">
        <f>IF($C113="","",$J113+$K113)</f>
        <v/>
      </c>
      <c r="M113" s="30" t="n"/>
      <c r="N113" s="26">
        <f>IF($C113="","",IF($I113="PEN",1,IFERROR(IF(_xlfn.XLOOKUP($B113,TC_Fechas,TC_Venta_Rango,"",-1)="","",_xlfn.XLOOKUP($B113,TC_Fechas,TC_Venta_Rango,"",-1)),"")))</f>
        <v/>
      </c>
      <c r="O113" s="20">
        <f>IF(OR($C113="",$N113=""),"",ROUND($J113*$N113,2)+ROUND($K113*$N113,2))</f>
        <v/>
      </c>
      <c r="P113" s="31">
        <f>IF($G113="","",IFERROR(INDEX(Catalogo_Tasas,MATCH($G113,Catalogo_Codigos,0)),""))</f>
        <v/>
      </c>
      <c r="Q113" s="32">
        <f>IF($G113="","",IFERROR(INDEX(Catalogo_Umbrales,MATCH($G113,Catalogo_Codigos,0)),""))</f>
        <v/>
      </c>
      <c r="R113">
        <f>IF(OR($C113="",$P113="",$O113=""),"",IF($F113&lt;&gt;"FACTURA","NO",IF(AND($P113&gt;0,$O113&gt;$Q113),"SI","NO")))</f>
        <v/>
      </c>
      <c r="S113" s="20">
        <f>IF($R113="SI",ROUND($O113*$P113,2),IF($C113="","",0))</f>
        <v/>
      </c>
      <c r="T113" s="20" t="n"/>
      <c r="U113">
        <f>IF($C113="","",IF($R113&lt;&gt;"SI","",IF($T113="","SIN DATO",IF(ABS($T113-$S113)&lt;=0.5,"OK","REVISAR"))))</f>
        <v/>
      </c>
      <c r="V113" s="20" t="n"/>
      <c r="W113" s="20">
        <f>IF(OR($C113="",$N113=""),"",IF($F113="RHE",ROUND($L113-$V113,2),ROUND($L113-($S113/$N113),2)))</f>
        <v/>
      </c>
      <c r="X113" s="25" t="n"/>
      <c r="Y113" s="25" t="n"/>
    </row>
    <row r="114">
      <c r="A114" t="n">
        <v>111</v>
      </c>
      <c r="B114" s="25" t="n"/>
      <c r="D114" s="30" t="n"/>
      <c r="G114" s="30" t="n"/>
      <c r="H114">
        <f>IF($G114="","",IFERROR(INDEX(Catalogo_Etiquetas,MATCH($G114,Catalogo_Codigos,0)),"CODIGO NO VALIDO"))</f>
        <v/>
      </c>
      <c r="J114" s="20" t="n"/>
      <c r="K114" s="20" t="n"/>
      <c r="L114" s="20">
        <f>IF($C114="","",$J114+$K114)</f>
        <v/>
      </c>
      <c r="M114" s="30" t="n"/>
      <c r="N114" s="26">
        <f>IF($C114="","",IF($I114="PEN",1,IFERROR(IF(_xlfn.XLOOKUP($B114,TC_Fechas,TC_Venta_Rango,"",-1)="","",_xlfn.XLOOKUP($B114,TC_Fechas,TC_Venta_Rango,"",-1)),"")))</f>
        <v/>
      </c>
      <c r="O114" s="20">
        <f>IF(OR($C114="",$N114=""),"",ROUND($J114*$N114,2)+ROUND($K114*$N114,2))</f>
        <v/>
      </c>
      <c r="P114" s="31">
        <f>IF($G114="","",IFERROR(INDEX(Catalogo_Tasas,MATCH($G114,Catalogo_Codigos,0)),""))</f>
        <v/>
      </c>
      <c r="Q114" s="32">
        <f>IF($G114="","",IFERROR(INDEX(Catalogo_Umbrales,MATCH($G114,Catalogo_Codigos,0)),""))</f>
        <v/>
      </c>
      <c r="R114">
        <f>IF(OR($C114="",$P114="",$O114=""),"",IF($F114&lt;&gt;"FACTURA","NO",IF(AND($P114&gt;0,$O114&gt;$Q114),"SI","NO")))</f>
        <v/>
      </c>
      <c r="S114" s="20">
        <f>IF($R114="SI",ROUND($O114*$P114,2),IF($C114="","",0))</f>
        <v/>
      </c>
      <c r="T114" s="20" t="n"/>
      <c r="U114">
        <f>IF($C114="","",IF($R114&lt;&gt;"SI","",IF($T114="","SIN DATO",IF(ABS($T114-$S114)&lt;=0.5,"OK","REVISAR"))))</f>
        <v/>
      </c>
      <c r="V114" s="20" t="n"/>
      <c r="W114" s="20">
        <f>IF(OR($C114="",$N114=""),"",IF($F114="RHE",ROUND($L114-$V114,2),ROUND($L114-($S114/$N114),2)))</f>
        <v/>
      </c>
      <c r="X114" s="25" t="n"/>
      <c r="Y114" s="25" t="n"/>
    </row>
    <row r="115">
      <c r="A115" t="n">
        <v>112</v>
      </c>
      <c r="B115" s="25" t="n"/>
      <c r="D115" s="30" t="n"/>
      <c r="G115" s="30" t="n"/>
      <c r="H115">
        <f>IF($G115="","",IFERROR(INDEX(Catalogo_Etiquetas,MATCH($G115,Catalogo_Codigos,0)),"CODIGO NO VALIDO"))</f>
        <v/>
      </c>
      <c r="J115" s="20" t="n"/>
      <c r="K115" s="20" t="n"/>
      <c r="L115" s="20">
        <f>IF($C115="","",$J115+$K115)</f>
        <v/>
      </c>
      <c r="M115" s="30" t="n"/>
      <c r="N115" s="26">
        <f>IF($C115="","",IF($I115="PEN",1,IFERROR(IF(_xlfn.XLOOKUP($B115,TC_Fechas,TC_Venta_Rango,"",-1)="","",_xlfn.XLOOKUP($B115,TC_Fechas,TC_Venta_Rango,"",-1)),"")))</f>
        <v/>
      </c>
      <c r="O115" s="20">
        <f>IF(OR($C115="",$N115=""),"",ROUND($J115*$N115,2)+ROUND($K115*$N115,2))</f>
        <v/>
      </c>
      <c r="P115" s="31">
        <f>IF($G115="","",IFERROR(INDEX(Catalogo_Tasas,MATCH($G115,Catalogo_Codigos,0)),""))</f>
        <v/>
      </c>
      <c r="Q115" s="32">
        <f>IF($G115="","",IFERROR(INDEX(Catalogo_Umbrales,MATCH($G115,Catalogo_Codigos,0)),""))</f>
        <v/>
      </c>
      <c r="R115">
        <f>IF(OR($C115="",$P115="",$O115=""),"",IF($F115&lt;&gt;"FACTURA","NO",IF(AND($P115&gt;0,$O115&gt;$Q115),"SI","NO")))</f>
        <v/>
      </c>
      <c r="S115" s="20">
        <f>IF($R115="SI",ROUND($O115*$P115,2),IF($C115="","",0))</f>
        <v/>
      </c>
      <c r="T115" s="20" t="n"/>
      <c r="U115">
        <f>IF($C115="","",IF($R115&lt;&gt;"SI","",IF($T115="","SIN DATO",IF(ABS($T115-$S115)&lt;=0.5,"OK","REVISAR"))))</f>
        <v/>
      </c>
      <c r="V115" s="20" t="n"/>
      <c r="W115" s="20">
        <f>IF(OR($C115="",$N115=""),"",IF($F115="RHE",ROUND($L115-$V115,2),ROUND($L115-($S115/$N115),2)))</f>
        <v/>
      </c>
      <c r="X115" s="25" t="n"/>
      <c r="Y115" s="25" t="n"/>
    </row>
    <row r="116">
      <c r="A116" t="n">
        <v>113</v>
      </c>
      <c r="B116" s="25" t="n"/>
      <c r="D116" s="30" t="n"/>
      <c r="G116" s="30" t="n"/>
      <c r="H116">
        <f>IF($G116="","",IFERROR(INDEX(Catalogo_Etiquetas,MATCH($G116,Catalogo_Codigos,0)),"CODIGO NO VALIDO"))</f>
        <v/>
      </c>
      <c r="J116" s="20" t="n"/>
      <c r="K116" s="20" t="n"/>
      <c r="L116" s="20">
        <f>IF($C116="","",$J116+$K116)</f>
        <v/>
      </c>
      <c r="M116" s="30" t="n"/>
      <c r="N116" s="26">
        <f>IF($C116="","",IF($I116="PEN",1,IFERROR(IF(_xlfn.XLOOKUP($B116,TC_Fechas,TC_Venta_Rango,"",-1)="","",_xlfn.XLOOKUP($B116,TC_Fechas,TC_Venta_Rango,"",-1)),"")))</f>
        <v/>
      </c>
      <c r="O116" s="20">
        <f>IF(OR($C116="",$N116=""),"",ROUND($J116*$N116,2)+ROUND($K116*$N116,2))</f>
        <v/>
      </c>
      <c r="P116" s="31">
        <f>IF($G116="","",IFERROR(INDEX(Catalogo_Tasas,MATCH($G116,Catalogo_Codigos,0)),""))</f>
        <v/>
      </c>
      <c r="Q116" s="32">
        <f>IF($G116="","",IFERROR(INDEX(Catalogo_Umbrales,MATCH($G116,Catalogo_Codigos,0)),""))</f>
        <v/>
      </c>
      <c r="R116">
        <f>IF(OR($C116="",$P116="",$O116=""),"",IF($F116&lt;&gt;"FACTURA","NO",IF(AND($P116&gt;0,$O116&gt;$Q116),"SI","NO")))</f>
        <v/>
      </c>
      <c r="S116" s="20">
        <f>IF($R116="SI",ROUND($O116*$P116,2),IF($C116="","",0))</f>
        <v/>
      </c>
      <c r="T116" s="20" t="n"/>
      <c r="U116">
        <f>IF($C116="","",IF($R116&lt;&gt;"SI","",IF($T116="","SIN DATO",IF(ABS($T116-$S116)&lt;=0.5,"OK","REVISAR"))))</f>
        <v/>
      </c>
      <c r="V116" s="20" t="n"/>
      <c r="W116" s="20">
        <f>IF(OR($C116="",$N116=""),"",IF($F116="RHE",ROUND($L116-$V116,2),ROUND($L116-($S116/$N116),2)))</f>
        <v/>
      </c>
      <c r="X116" s="25" t="n"/>
      <c r="Y116" s="25" t="n"/>
    </row>
    <row r="117">
      <c r="A117" t="n">
        <v>114</v>
      </c>
      <c r="B117" s="25" t="n"/>
      <c r="D117" s="30" t="n"/>
      <c r="G117" s="30" t="n"/>
      <c r="H117">
        <f>IF($G117="","",IFERROR(INDEX(Catalogo_Etiquetas,MATCH($G117,Catalogo_Codigos,0)),"CODIGO NO VALIDO"))</f>
        <v/>
      </c>
      <c r="J117" s="20" t="n"/>
      <c r="K117" s="20" t="n"/>
      <c r="L117" s="20">
        <f>IF($C117="","",$J117+$K117)</f>
        <v/>
      </c>
      <c r="M117" s="30" t="n"/>
      <c r="N117" s="26">
        <f>IF($C117="","",IF($I117="PEN",1,IFERROR(IF(_xlfn.XLOOKUP($B117,TC_Fechas,TC_Venta_Rango,"",-1)="","",_xlfn.XLOOKUP($B117,TC_Fechas,TC_Venta_Rango,"",-1)),"")))</f>
        <v/>
      </c>
      <c r="O117" s="20">
        <f>IF(OR($C117="",$N117=""),"",ROUND($J117*$N117,2)+ROUND($K117*$N117,2))</f>
        <v/>
      </c>
      <c r="P117" s="31">
        <f>IF($G117="","",IFERROR(INDEX(Catalogo_Tasas,MATCH($G117,Catalogo_Codigos,0)),""))</f>
        <v/>
      </c>
      <c r="Q117" s="32">
        <f>IF($G117="","",IFERROR(INDEX(Catalogo_Umbrales,MATCH($G117,Catalogo_Codigos,0)),""))</f>
        <v/>
      </c>
      <c r="R117">
        <f>IF(OR($C117="",$P117="",$O117=""),"",IF($F117&lt;&gt;"FACTURA","NO",IF(AND($P117&gt;0,$O117&gt;$Q117),"SI","NO")))</f>
        <v/>
      </c>
      <c r="S117" s="20">
        <f>IF($R117="SI",ROUND($O117*$P117,2),IF($C117="","",0))</f>
        <v/>
      </c>
      <c r="T117" s="20" t="n"/>
      <c r="U117">
        <f>IF($C117="","",IF($R117&lt;&gt;"SI","",IF($T117="","SIN DATO",IF(ABS($T117-$S117)&lt;=0.5,"OK","REVISAR"))))</f>
        <v/>
      </c>
      <c r="V117" s="20" t="n"/>
      <c r="W117" s="20">
        <f>IF(OR($C117="",$N117=""),"",IF($F117="RHE",ROUND($L117-$V117,2),ROUND($L117-($S117/$N117),2)))</f>
        <v/>
      </c>
      <c r="X117" s="25" t="n"/>
      <c r="Y117" s="25" t="n"/>
    </row>
    <row r="118">
      <c r="A118" t="n">
        <v>115</v>
      </c>
      <c r="B118" s="25" t="n"/>
      <c r="D118" s="30" t="n"/>
      <c r="G118" s="30" t="n"/>
      <c r="H118">
        <f>IF($G118="","",IFERROR(INDEX(Catalogo_Etiquetas,MATCH($G118,Catalogo_Codigos,0)),"CODIGO NO VALIDO"))</f>
        <v/>
      </c>
      <c r="J118" s="20" t="n"/>
      <c r="K118" s="20" t="n"/>
      <c r="L118" s="20">
        <f>IF($C118="","",$J118+$K118)</f>
        <v/>
      </c>
      <c r="M118" s="30" t="n"/>
      <c r="N118" s="26">
        <f>IF($C118="","",IF($I118="PEN",1,IFERROR(IF(_xlfn.XLOOKUP($B118,TC_Fechas,TC_Venta_Rango,"",-1)="","",_xlfn.XLOOKUP($B118,TC_Fechas,TC_Venta_Rango,"",-1)),"")))</f>
        <v/>
      </c>
      <c r="O118" s="20">
        <f>IF(OR($C118="",$N118=""),"",ROUND($J118*$N118,2)+ROUND($K118*$N118,2))</f>
        <v/>
      </c>
      <c r="P118" s="31">
        <f>IF($G118="","",IFERROR(INDEX(Catalogo_Tasas,MATCH($G118,Catalogo_Codigos,0)),""))</f>
        <v/>
      </c>
      <c r="Q118" s="32">
        <f>IF($G118="","",IFERROR(INDEX(Catalogo_Umbrales,MATCH($G118,Catalogo_Codigos,0)),""))</f>
        <v/>
      </c>
      <c r="R118">
        <f>IF(OR($C118="",$P118="",$O118=""),"",IF($F118&lt;&gt;"FACTURA","NO",IF(AND($P118&gt;0,$O118&gt;$Q118),"SI","NO")))</f>
        <v/>
      </c>
      <c r="S118" s="20">
        <f>IF($R118="SI",ROUND($O118*$P118,2),IF($C118="","",0))</f>
        <v/>
      </c>
      <c r="T118" s="20" t="n"/>
      <c r="U118">
        <f>IF($C118="","",IF($R118&lt;&gt;"SI","",IF($T118="","SIN DATO",IF(ABS($T118-$S118)&lt;=0.5,"OK","REVISAR"))))</f>
        <v/>
      </c>
      <c r="V118" s="20" t="n"/>
      <c r="W118" s="20">
        <f>IF(OR($C118="",$N118=""),"",IF($F118="RHE",ROUND($L118-$V118,2),ROUND($L118-($S118/$N118),2)))</f>
        <v/>
      </c>
      <c r="X118" s="25" t="n"/>
      <c r="Y118" s="25" t="n"/>
    </row>
    <row r="119">
      <c r="A119" t="n">
        <v>116</v>
      </c>
      <c r="B119" s="25" t="n"/>
      <c r="D119" s="30" t="n"/>
      <c r="G119" s="30" t="n"/>
      <c r="H119">
        <f>IF($G119="","",IFERROR(INDEX(Catalogo_Etiquetas,MATCH($G119,Catalogo_Codigos,0)),"CODIGO NO VALIDO"))</f>
        <v/>
      </c>
      <c r="J119" s="20" t="n"/>
      <c r="K119" s="20" t="n"/>
      <c r="L119" s="20">
        <f>IF($C119="","",$J119+$K119)</f>
        <v/>
      </c>
      <c r="M119" s="30" t="n"/>
      <c r="N119" s="26">
        <f>IF($C119="","",IF($I119="PEN",1,IFERROR(IF(_xlfn.XLOOKUP($B119,TC_Fechas,TC_Venta_Rango,"",-1)="","",_xlfn.XLOOKUP($B119,TC_Fechas,TC_Venta_Rango,"",-1)),"")))</f>
        <v/>
      </c>
      <c r="O119" s="20">
        <f>IF(OR($C119="",$N119=""),"",ROUND($J119*$N119,2)+ROUND($K119*$N119,2))</f>
        <v/>
      </c>
      <c r="P119" s="31">
        <f>IF($G119="","",IFERROR(INDEX(Catalogo_Tasas,MATCH($G119,Catalogo_Codigos,0)),""))</f>
        <v/>
      </c>
      <c r="Q119" s="32">
        <f>IF($G119="","",IFERROR(INDEX(Catalogo_Umbrales,MATCH($G119,Catalogo_Codigos,0)),""))</f>
        <v/>
      </c>
      <c r="R119">
        <f>IF(OR($C119="",$P119="",$O119=""),"",IF($F119&lt;&gt;"FACTURA","NO",IF(AND($P119&gt;0,$O119&gt;$Q119),"SI","NO")))</f>
        <v/>
      </c>
      <c r="S119" s="20">
        <f>IF($R119="SI",ROUND($O119*$P119,2),IF($C119="","",0))</f>
        <v/>
      </c>
      <c r="T119" s="20" t="n"/>
      <c r="U119">
        <f>IF($C119="","",IF($R119&lt;&gt;"SI","",IF($T119="","SIN DATO",IF(ABS($T119-$S119)&lt;=0.5,"OK","REVISAR"))))</f>
        <v/>
      </c>
      <c r="V119" s="20" t="n"/>
      <c r="W119" s="20">
        <f>IF(OR($C119="",$N119=""),"",IF($F119="RHE",ROUND($L119-$V119,2),ROUND($L119-($S119/$N119),2)))</f>
        <v/>
      </c>
      <c r="X119" s="25" t="n"/>
      <c r="Y119" s="25" t="n"/>
    </row>
    <row r="120">
      <c r="A120" t="n">
        <v>117</v>
      </c>
      <c r="B120" s="25" t="n"/>
      <c r="D120" s="30" t="n"/>
      <c r="G120" s="30" t="n"/>
      <c r="H120">
        <f>IF($G120="","",IFERROR(INDEX(Catalogo_Etiquetas,MATCH($G120,Catalogo_Codigos,0)),"CODIGO NO VALIDO"))</f>
        <v/>
      </c>
      <c r="J120" s="20" t="n"/>
      <c r="K120" s="20" t="n"/>
      <c r="L120" s="20">
        <f>IF($C120="","",$J120+$K120)</f>
        <v/>
      </c>
      <c r="M120" s="30" t="n"/>
      <c r="N120" s="26">
        <f>IF($C120="","",IF($I120="PEN",1,IFERROR(IF(_xlfn.XLOOKUP($B120,TC_Fechas,TC_Venta_Rango,"",-1)="","",_xlfn.XLOOKUP($B120,TC_Fechas,TC_Venta_Rango,"",-1)),"")))</f>
        <v/>
      </c>
      <c r="O120" s="20">
        <f>IF(OR($C120="",$N120=""),"",ROUND($J120*$N120,2)+ROUND($K120*$N120,2))</f>
        <v/>
      </c>
      <c r="P120" s="31">
        <f>IF($G120="","",IFERROR(INDEX(Catalogo_Tasas,MATCH($G120,Catalogo_Codigos,0)),""))</f>
        <v/>
      </c>
      <c r="Q120" s="32">
        <f>IF($G120="","",IFERROR(INDEX(Catalogo_Umbrales,MATCH($G120,Catalogo_Codigos,0)),""))</f>
        <v/>
      </c>
      <c r="R120">
        <f>IF(OR($C120="",$P120="",$O120=""),"",IF($F120&lt;&gt;"FACTURA","NO",IF(AND($P120&gt;0,$O120&gt;$Q120),"SI","NO")))</f>
        <v/>
      </c>
      <c r="S120" s="20">
        <f>IF($R120="SI",ROUND($O120*$P120,2),IF($C120="","",0))</f>
        <v/>
      </c>
      <c r="T120" s="20" t="n"/>
      <c r="U120">
        <f>IF($C120="","",IF($R120&lt;&gt;"SI","",IF($T120="","SIN DATO",IF(ABS($T120-$S120)&lt;=0.5,"OK","REVISAR"))))</f>
        <v/>
      </c>
      <c r="V120" s="20" t="n"/>
      <c r="W120" s="20">
        <f>IF(OR($C120="",$N120=""),"",IF($F120="RHE",ROUND($L120-$V120,2),ROUND($L120-($S120/$N120),2)))</f>
        <v/>
      </c>
      <c r="X120" s="25" t="n"/>
      <c r="Y120" s="25" t="n"/>
    </row>
    <row r="121">
      <c r="A121" t="n">
        <v>118</v>
      </c>
      <c r="B121" s="25" t="n"/>
      <c r="D121" s="30" t="n"/>
      <c r="G121" s="30" t="n"/>
      <c r="H121">
        <f>IF($G121="","",IFERROR(INDEX(Catalogo_Etiquetas,MATCH($G121,Catalogo_Codigos,0)),"CODIGO NO VALIDO"))</f>
        <v/>
      </c>
      <c r="J121" s="20" t="n"/>
      <c r="K121" s="20" t="n"/>
      <c r="L121" s="20">
        <f>IF($C121="","",$J121+$K121)</f>
        <v/>
      </c>
      <c r="M121" s="30" t="n"/>
      <c r="N121" s="26">
        <f>IF($C121="","",IF($I121="PEN",1,IFERROR(IF(_xlfn.XLOOKUP($B121,TC_Fechas,TC_Venta_Rango,"",-1)="","",_xlfn.XLOOKUP($B121,TC_Fechas,TC_Venta_Rango,"",-1)),"")))</f>
        <v/>
      </c>
      <c r="O121" s="20">
        <f>IF(OR($C121="",$N121=""),"",ROUND($J121*$N121,2)+ROUND($K121*$N121,2))</f>
        <v/>
      </c>
      <c r="P121" s="31">
        <f>IF($G121="","",IFERROR(INDEX(Catalogo_Tasas,MATCH($G121,Catalogo_Codigos,0)),""))</f>
        <v/>
      </c>
      <c r="Q121" s="32">
        <f>IF($G121="","",IFERROR(INDEX(Catalogo_Umbrales,MATCH($G121,Catalogo_Codigos,0)),""))</f>
        <v/>
      </c>
      <c r="R121">
        <f>IF(OR($C121="",$P121="",$O121=""),"",IF($F121&lt;&gt;"FACTURA","NO",IF(AND($P121&gt;0,$O121&gt;$Q121),"SI","NO")))</f>
        <v/>
      </c>
      <c r="S121" s="20">
        <f>IF($R121="SI",ROUND($O121*$P121,2),IF($C121="","",0))</f>
        <v/>
      </c>
      <c r="T121" s="20" t="n"/>
      <c r="U121">
        <f>IF($C121="","",IF($R121&lt;&gt;"SI","",IF($T121="","SIN DATO",IF(ABS($T121-$S121)&lt;=0.5,"OK","REVISAR"))))</f>
        <v/>
      </c>
      <c r="V121" s="20" t="n"/>
      <c r="W121" s="20">
        <f>IF(OR($C121="",$N121=""),"",IF($F121="RHE",ROUND($L121-$V121,2),ROUND($L121-($S121/$N121),2)))</f>
        <v/>
      </c>
      <c r="X121" s="25" t="n"/>
      <c r="Y121" s="25" t="n"/>
    </row>
    <row r="122">
      <c r="A122" t="n">
        <v>119</v>
      </c>
      <c r="B122" s="25" t="n"/>
      <c r="D122" s="30" t="n"/>
      <c r="G122" s="30" t="n"/>
      <c r="H122">
        <f>IF($G122="","",IFERROR(INDEX(Catalogo_Etiquetas,MATCH($G122,Catalogo_Codigos,0)),"CODIGO NO VALIDO"))</f>
        <v/>
      </c>
      <c r="J122" s="20" t="n"/>
      <c r="K122" s="20" t="n"/>
      <c r="L122" s="20">
        <f>IF($C122="","",$J122+$K122)</f>
        <v/>
      </c>
      <c r="M122" s="30" t="n"/>
      <c r="N122" s="26">
        <f>IF($C122="","",IF($I122="PEN",1,IFERROR(IF(_xlfn.XLOOKUP($B122,TC_Fechas,TC_Venta_Rango,"",-1)="","",_xlfn.XLOOKUP($B122,TC_Fechas,TC_Venta_Rango,"",-1)),"")))</f>
        <v/>
      </c>
      <c r="O122" s="20">
        <f>IF(OR($C122="",$N122=""),"",ROUND($J122*$N122,2)+ROUND($K122*$N122,2))</f>
        <v/>
      </c>
      <c r="P122" s="31">
        <f>IF($G122="","",IFERROR(INDEX(Catalogo_Tasas,MATCH($G122,Catalogo_Codigos,0)),""))</f>
        <v/>
      </c>
      <c r="Q122" s="32">
        <f>IF($G122="","",IFERROR(INDEX(Catalogo_Umbrales,MATCH($G122,Catalogo_Codigos,0)),""))</f>
        <v/>
      </c>
      <c r="R122">
        <f>IF(OR($C122="",$P122="",$O122=""),"",IF($F122&lt;&gt;"FACTURA","NO",IF(AND($P122&gt;0,$O122&gt;$Q122),"SI","NO")))</f>
        <v/>
      </c>
      <c r="S122" s="20">
        <f>IF($R122="SI",ROUND($O122*$P122,2),IF($C122="","",0))</f>
        <v/>
      </c>
      <c r="T122" s="20" t="n"/>
      <c r="U122">
        <f>IF($C122="","",IF($R122&lt;&gt;"SI","",IF($T122="","SIN DATO",IF(ABS($T122-$S122)&lt;=0.5,"OK","REVISAR"))))</f>
        <v/>
      </c>
      <c r="V122" s="20" t="n"/>
      <c r="W122" s="20">
        <f>IF(OR($C122="",$N122=""),"",IF($F122="RHE",ROUND($L122-$V122,2),ROUND($L122-($S122/$N122),2)))</f>
        <v/>
      </c>
      <c r="X122" s="25" t="n"/>
      <c r="Y122" s="25" t="n"/>
    </row>
    <row r="123">
      <c r="A123" t="n">
        <v>120</v>
      </c>
      <c r="B123" s="25" t="n"/>
      <c r="D123" s="30" t="n"/>
      <c r="G123" s="30" t="n"/>
      <c r="H123">
        <f>IF($G123="","",IFERROR(INDEX(Catalogo_Etiquetas,MATCH($G123,Catalogo_Codigos,0)),"CODIGO NO VALIDO"))</f>
        <v/>
      </c>
      <c r="J123" s="20" t="n"/>
      <c r="K123" s="20" t="n"/>
      <c r="L123" s="20">
        <f>IF($C123="","",$J123+$K123)</f>
        <v/>
      </c>
      <c r="M123" s="30" t="n"/>
      <c r="N123" s="26">
        <f>IF($C123="","",IF($I123="PEN",1,IFERROR(IF(_xlfn.XLOOKUP($B123,TC_Fechas,TC_Venta_Rango,"",-1)="","",_xlfn.XLOOKUP($B123,TC_Fechas,TC_Venta_Rango,"",-1)),"")))</f>
        <v/>
      </c>
      <c r="O123" s="20">
        <f>IF(OR($C123="",$N123=""),"",ROUND($J123*$N123,2)+ROUND($K123*$N123,2))</f>
        <v/>
      </c>
      <c r="P123" s="31">
        <f>IF($G123="","",IFERROR(INDEX(Catalogo_Tasas,MATCH($G123,Catalogo_Codigos,0)),""))</f>
        <v/>
      </c>
      <c r="Q123" s="32">
        <f>IF($G123="","",IFERROR(INDEX(Catalogo_Umbrales,MATCH($G123,Catalogo_Codigos,0)),""))</f>
        <v/>
      </c>
      <c r="R123">
        <f>IF(OR($C123="",$P123="",$O123=""),"",IF($F123&lt;&gt;"FACTURA","NO",IF(AND($P123&gt;0,$O123&gt;$Q123),"SI","NO")))</f>
        <v/>
      </c>
      <c r="S123" s="20">
        <f>IF($R123="SI",ROUND($O123*$P123,2),IF($C123="","",0))</f>
        <v/>
      </c>
      <c r="T123" s="20" t="n"/>
      <c r="U123">
        <f>IF($C123="","",IF($R123&lt;&gt;"SI","",IF($T123="","SIN DATO",IF(ABS($T123-$S123)&lt;=0.5,"OK","REVISAR"))))</f>
        <v/>
      </c>
      <c r="V123" s="20" t="n"/>
      <c r="W123" s="20">
        <f>IF(OR($C123="",$N123=""),"",IF($F123="RHE",ROUND($L123-$V123,2),ROUND($L123-($S123/$N123),2)))</f>
        <v/>
      </c>
      <c r="X123" s="25" t="n"/>
      <c r="Y123" s="25" t="n"/>
    </row>
    <row r="124">
      <c r="A124" t="n">
        <v>121</v>
      </c>
      <c r="B124" s="25" t="n"/>
      <c r="D124" s="30" t="n"/>
      <c r="G124" s="30" t="n"/>
      <c r="H124">
        <f>IF($G124="","",IFERROR(INDEX(Catalogo_Etiquetas,MATCH($G124,Catalogo_Codigos,0)),"CODIGO NO VALIDO"))</f>
        <v/>
      </c>
      <c r="J124" s="20" t="n"/>
      <c r="K124" s="20" t="n"/>
      <c r="L124" s="20">
        <f>IF($C124="","",$J124+$K124)</f>
        <v/>
      </c>
      <c r="M124" s="30" t="n"/>
      <c r="N124" s="26">
        <f>IF($C124="","",IF($I124="PEN",1,IFERROR(IF(_xlfn.XLOOKUP($B124,TC_Fechas,TC_Venta_Rango,"",-1)="","",_xlfn.XLOOKUP($B124,TC_Fechas,TC_Venta_Rango,"",-1)),"")))</f>
        <v/>
      </c>
      <c r="O124" s="20">
        <f>IF(OR($C124="",$N124=""),"",ROUND($J124*$N124,2)+ROUND($K124*$N124,2))</f>
        <v/>
      </c>
      <c r="P124" s="31">
        <f>IF($G124="","",IFERROR(INDEX(Catalogo_Tasas,MATCH($G124,Catalogo_Codigos,0)),""))</f>
        <v/>
      </c>
      <c r="Q124" s="32">
        <f>IF($G124="","",IFERROR(INDEX(Catalogo_Umbrales,MATCH($G124,Catalogo_Codigos,0)),""))</f>
        <v/>
      </c>
      <c r="R124">
        <f>IF(OR($C124="",$P124="",$O124=""),"",IF($F124&lt;&gt;"FACTURA","NO",IF(AND($P124&gt;0,$O124&gt;$Q124),"SI","NO")))</f>
        <v/>
      </c>
      <c r="S124" s="20">
        <f>IF($R124="SI",ROUND($O124*$P124,2),IF($C124="","",0))</f>
        <v/>
      </c>
      <c r="T124" s="20" t="n"/>
      <c r="U124">
        <f>IF($C124="","",IF($R124&lt;&gt;"SI","",IF($T124="","SIN DATO",IF(ABS($T124-$S124)&lt;=0.5,"OK","REVISAR"))))</f>
        <v/>
      </c>
      <c r="V124" s="20" t="n"/>
      <c r="W124" s="20">
        <f>IF(OR($C124="",$N124=""),"",IF($F124="RHE",ROUND($L124-$V124,2),ROUND($L124-($S124/$N124),2)))</f>
        <v/>
      </c>
      <c r="X124" s="25" t="n"/>
      <c r="Y124" s="25" t="n"/>
    </row>
    <row r="125">
      <c r="A125" t="n">
        <v>122</v>
      </c>
      <c r="B125" s="25" t="n"/>
      <c r="D125" s="30" t="n"/>
      <c r="G125" s="30" t="n"/>
      <c r="H125">
        <f>IF($G125="","",IFERROR(INDEX(Catalogo_Etiquetas,MATCH($G125,Catalogo_Codigos,0)),"CODIGO NO VALIDO"))</f>
        <v/>
      </c>
      <c r="J125" s="20" t="n"/>
      <c r="K125" s="20" t="n"/>
      <c r="L125" s="20">
        <f>IF($C125="","",$J125+$K125)</f>
        <v/>
      </c>
      <c r="M125" s="30" t="n"/>
      <c r="N125" s="26">
        <f>IF($C125="","",IF($I125="PEN",1,IFERROR(IF(_xlfn.XLOOKUP($B125,TC_Fechas,TC_Venta_Rango,"",-1)="","",_xlfn.XLOOKUP($B125,TC_Fechas,TC_Venta_Rango,"",-1)),"")))</f>
        <v/>
      </c>
      <c r="O125" s="20">
        <f>IF(OR($C125="",$N125=""),"",ROUND($J125*$N125,2)+ROUND($K125*$N125,2))</f>
        <v/>
      </c>
      <c r="P125" s="31">
        <f>IF($G125="","",IFERROR(INDEX(Catalogo_Tasas,MATCH($G125,Catalogo_Codigos,0)),""))</f>
        <v/>
      </c>
      <c r="Q125" s="32">
        <f>IF($G125="","",IFERROR(INDEX(Catalogo_Umbrales,MATCH($G125,Catalogo_Codigos,0)),""))</f>
        <v/>
      </c>
      <c r="R125">
        <f>IF(OR($C125="",$P125="",$O125=""),"",IF($F125&lt;&gt;"FACTURA","NO",IF(AND($P125&gt;0,$O125&gt;$Q125),"SI","NO")))</f>
        <v/>
      </c>
      <c r="S125" s="20">
        <f>IF($R125="SI",ROUND($O125*$P125,2),IF($C125="","",0))</f>
        <v/>
      </c>
      <c r="T125" s="20" t="n"/>
      <c r="U125">
        <f>IF($C125="","",IF($R125&lt;&gt;"SI","",IF($T125="","SIN DATO",IF(ABS($T125-$S125)&lt;=0.5,"OK","REVISAR"))))</f>
        <v/>
      </c>
      <c r="V125" s="20" t="n"/>
      <c r="W125" s="20">
        <f>IF(OR($C125="",$N125=""),"",IF($F125="RHE",ROUND($L125-$V125,2),ROUND($L125-($S125/$N125),2)))</f>
        <v/>
      </c>
      <c r="X125" s="25" t="n"/>
      <c r="Y125" s="25" t="n"/>
    </row>
    <row r="126">
      <c r="A126" t="n">
        <v>123</v>
      </c>
      <c r="B126" s="25" t="n"/>
      <c r="D126" s="30" t="n"/>
      <c r="G126" s="30" t="n"/>
      <c r="H126">
        <f>IF($G126="","",IFERROR(INDEX(Catalogo_Etiquetas,MATCH($G126,Catalogo_Codigos,0)),"CODIGO NO VALIDO"))</f>
        <v/>
      </c>
      <c r="J126" s="20" t="n"/>
      <c r="K126" s="20" t="n"/>
      <c r="L126" s="20">
        <f>IF($C126="","",$J126+$K126)</f>
        <v/>
      </c>
      <c r="M126" s="30" t="n"/>
      <c r="N126" s="26">
        <f>IF($C126="","",IF($I126="PEN",1,IFERROR(IF(_xlfn.XLOOKUP($B126,TC_Fechas,TC_Venta_Rango,"",-1)="","",_xlfn.XLOOKUP($B126,TC_Fechas,TC_Venta_Rango,"",-1)),"")))</f>
        <v/>
      </c>
      <c r="O126" s="20">
        <f>IF(OR($C126="",$N126=""),"",ROUND($J126*$N126,2)+ROUND($K126*$N126,2))</f>
        <v/>
      </c>
      <c r="P126" s="31">
        <f>IF($G126="","",IFERROR(INDEX(Catalogo_Tasas,MATCH($G126,Catalogo_Codigos,0)),""))</f>
        <v/>
      </c>
      <c r="Q126" s="32">
        <f>IF($G126="","",IFERROR(INDEX(Catalogo_Umbrales,MATCH($G126,Catalogo_Codigos,0)),""))</f>
        <v/>
      </c>
      <c r="R126">
        <f>IF(OR($C126="",$P126="",$O126=""),"",IF($F126&lt;&gt;"FACTURA","NO",IF(AND($P126&gt;0,$O126&gt;$Q126),"SI","NO")))</f>
        <v/>
      </c>
      <c r="S126" s="20">
        <f>IF($R126="SI",ROUND($O126*$P126,2),IF($C126="","",0))</f>
        <v/>
      </c>
      <c r="T126" s="20" t="n"/>
      <c r="U126">
        <f>IF($C126="","",IF($R126&lt;&gt;"SI","",IF($T126="","SIN DATO",IF(ABS($T126-$S126)&lt;=0.5,"OK","REVISAR"))))</f>
        <v/>
      </c>
      <c r="V126" s="20" t="n"/>
      <c r="W126" s="20">
        <f>IF(OR($C126="",$N126=""),"",IF($F126="RHE",ROUND($L126-$V126,2),ROUND($L126-($S126/$N126),2)))</f>
        <v/>
      </c>
      <c r="X126" s="25" t="n"/>
      <c r="Y126" s="25" t="n"/>
    </row>
    <row r="127">
      <c r="A127" t="n">
        <v>124</v>
      </c>
      <c r="B127" s="25" t="n"/>
      <c r="D127" s="30" t="n"/>
      <c r="G127" s="30" t="n"/>
      <c r="H127">
        <f>IF($G127="","",IFERROR(INDEX(Catalogo_Etiquetas,MATCH($G127,Catalogo_Codigos,0)),"CODIGO NO VALIDO"))</f>
        <v/>
      </c>
      <c r="J127" s="20" t="n"/>
      <c r="K127" s="20" t="n"/>
      <c r="L127" s="20">
        <f>IF($C127="","",$J127+$K127)</f>
        <v/>
      </c>
      <c r="M127" s="30" t="n"/>
      <c r="N127" s="26">
        <f>IF($C127="","",IF($I127="PEN",1,IFERROR(IF(_xlfn.XLOOKUP($B127,TC_Fechas,TC_Venta_Rango,"",-1)="","",_xlfn.XLOOKUP($B127,TC_Fechas,TC_Venta_Rango,"",-1)),"")))</f>
        <v/>
      </c>
      <c r="O127" s="20">
        <f>IF(OR($C127="",$N127=""),"",ROUND($J127*$N127,2)+ROUND($K127*$N127,2))</f>
        <v/>
      </c>
      <c r="P127" s="31">
        <f>IF($G127="","",IFERROR(INDEX(Catalogo_Tasas,MATCH($G127,Catalogo_Codigos,0)),""))</f>
        <v/>
      </c>
      <c r="Q127" s="32">
        <f>IF($G127="","",IFERROR(INDEX(Catalogo_Umbrales,MATCH($G127,Catalogo_Codigos,0)),""))</f>
        <v/>
      </c>
      <c r="R127">
        <f>IF(OR($C127="",$P127="",$O127=""),"",IF($F127&lt;&gt;"FACTURA","NO",IF(AND($P127&gt;0,$O127&gt;$Q127),"SI","NO")))</f>
        <v/>
      </c>
      <c r="S127" s="20">
        <f>IF($R127="SI",ROUND($O127*$P127,2),IF($C127="","",0))</f>
        <v/>
      </c>
      <c r="T127" s="20" t="n"/>
      <c r="U127">
        <f>IF($C127="","",IF($R127&lt;&gt;"SI","",IF($T127="","SIN DATO",IF(ABS($T127-$S127)&lt;=0.5,"OK","REVISAR"))))</f>
        <v/>
      </c>
      <c r="V127" s="20" t="n"/>
      <c r="W127" s="20">
        <f>IF(OR($C127="",$N127=""),"",IF($F127="RHE",ROUND($L127-$V127,2),ROUND($L127-($S127/$N127),2)))</f>
        <v/>
      </c>
      <c r="X127" s="25" t="n"/>
      <c r="Y127" s="25" t="n"/>
    </row>
    <row r="128">
      <c r="A128" t="n">
        <v>125</v>
      </c>
      <c r="B128" s="25" t="n"/>
      <c r="D128" s="30" t="n"/>
      <c r="G128" s="30" t="n"/>
      <c r="H128">
        <f>IF($G128="","",IFERROR(INDEX(Catalogo_Etiquetas,MATCH($G128,Catalogo_Codigos,0)),"CODIGO NO VALIDO"))</f>
        <v/>
      </c>
      <c r="J128" s="20" t="n"/>
      <c r="K128" s="20" t="n"/>
      <c r="L128" s="20">
        <f>IF($C128="","",$J128+$K128)</f>
        <v/>
      </c>
      <c r="M128" s="30" t="n"/>
      <c r="N128" s="26">
        <f>IF($C128="","",IF($I128="PEN",1,IFERROR(IF(_xlfn.XLOOKUP($B128,TC_Fechas,TC_Venta_Rango,"",-1)="","",_xlfn.XLOOKUP($B128,TC_Fechas,TC_Venta_Rango,"",-1)),"")))</f>
        <v/>
      </c>
      <c r="O128" s="20">
        <f>IF(OR($C128="",$N128=""),"",ROUND($J128*$N128,2)+ROUND($K128*$N128,2))</f>
        <v/>
      </c>
      <c r="P128" s="31">
        <f>IF($G128="","",IFERROR(INDEX(Catalogo_Tasas,MATCH($G128,Catalogo_Codigos,0)),""))</f>
        <v/>
      </c>
      <c r="Q128" s="32">
        <f>IF($G128="","",IFERROR(INDEX(Catalogo_Umbrales,MATCH($G128,Catalogo_Codigos,0)),""))</f>
        <v/>
      </c>
      <c r="R128">
        <f>IF(OR($C128="",$P128="",$O128=""),"",IF($F128&lt;&gt;"FACTURA","NO",IF(AND($P128&gt;0,$O128&gt;$Q128),"SI","NO")))</f>
        <v/>
      </c>
      <c r="S128" s="20">
        <f>IF($R128="SI",ROUND($O128*$P128,2),IF($C128="","",0))</f>
        <v/>
      </c>
      <c r="T128" s="20" t="n"/>
      <c r="U128">
        <f>IF($C128="","",IF($R128&lt;&gt;"SI","",IF($T128="","SIN DATO",IF(ABS($T128-$S128)&lt;=0.5,"OK","REVISAR"))))</f>
        <v/>
      </c>
      <c r="V128" s="20" t="n"/>
      <c r="W128" s="20">
        <f>IF(OR($C128="",$N128=""),"",IF($F128="RHE",ROUND($L128-$V128,2),ROUND($L128-($S128/$N128),2)))</f>
        <v/>
      </c>
      <c r="X128" s="25" t="n"/>
      <c r="Y128" s="25" t="n"/>
    </row>
    <row r="129">
      <c r="A129" t="n">
        <v>126</v>
      </c>
      <c r="B129" s="25" t="n"/>
      <c r="D129" s="30" t="n"/>
      <c r="G129" s="30" t="n"/>
      <c r="H129">
        <f>IF($G129="","",IFERROR(INDEX(Catalogo_Etiquetas,MATCH($G129,Catalogo_Codigos,0)),"CODIGO NO VALIDO"))</f>
        <v/>
      </c>
      <c r="J129" s="20" t="n"/>
      <c r="K129" s="20" t="n"/>
      <c r="L129" s="20">
        <f>IF($C129="","",$J129+$K129)</f>
        <v/>
      </c>
      <c r="M129" s="30" t="n"/>
      <c r="N129" s="26">
        <f>IF($C129="","",IF($I129="PEN",1,IFERROR(IF(_xlfn.XLOOKUP($B129,TC_Fechas,TC_Venta_Rango,"",-1)="","",_xlfn.XLOOKUP($B129,TC_Fechas,TC_Venta_Rango,"",-1)),"")))</f>
        <v/>
      </c>
      <c r="O129" s="20">
        <f>IF(OR($C129="",$N129=""),"",ROUND($J129*$N129,2)+ROUND($K129*$N129,2))</f>
        <v/>
      </c>
      <c r="P129" s="31">
        <f>IF($G129="","",IFERROR(INDEX(Catalogo_Tasas,MATCH($G129,Catalogo_Codigos,0)),""))</f>
        <v/>
      </c>
      <c r="Q129" s="32">
        <f>IF($G129="","",IFERROR(INDEX(Catalogo_Umbrales,MATCH($G129,Catalogo_Codigos,0)),""))</f>
        <v/>
      </c>
      <c r="R129">
        <f>IF(OR($C129="",$P129="",$O129=""),"",IF($F129&lt;&gt;"FACTURA","NO",IF(AND($P129&gt;0,$O129&gt;$Q129),"SI","NO")))</f>
        <v/>
      </c>
      <c r="S129" s="20">
        <f>IF($R129="SI",ROUND($O129*$P129,2),IF($C129="","",0))</f>
        <v/>
      </c>
      <c r="T129" s="20" t="n"/>
      <c r="U129">
        <f>IF($C129="","",IF($R129&lt;&gt;"SI","",IF($T129="","SIN DATO",IF(ABS($T129-$S129)&lt;=0.5,"OK","REVISAR"))))</f>
        <v/>
      </c>
      <c r="V129" s="20" t="n"/>
      <c r="W129" s="20">
        <f>IF(OR($C129="",$N129=""),"",IF($F129="RHE",ROUND($L129-$V129,2),ROUND($L129-($S129/$N129),2)))</f>
        <v/>
      </c>
      <c r="X129" s="25" t="n"/>
      <c r="Y129" s="25" t="n"/>
    </row>
    <row r="130">
      <c r="A130" t="n">
        <v>127</v>
      </c>
      <c r="B130" s="25" t="n"/>
      <c r="D130" s="30" t="n"/>
      <c r="G130" s="30" t="n"/>
      <c r="H130">
        <f>IF($G130="","",IFERROR(INDEX(Catalogo_Etiquetas,MATCH($G130,Catalogo_Codigos,0)),"CODIGO NO VALIDO"))</f>
        <v/>
      </c>
      <c r="J130" s="20" t="n"/>
      <c r="K130" s="20" t="n"/>
      <c r="L130" s="20">
        <f>IF($C130="","",$J130+$K130)</f>
        <v/>
      </c>
      <c r="M130" s="30" t="n"/>
      <c r="N130" s="26">
        <f>IF($C130="","",IF($I130="PEN",1,IFERROR(IF(_xlfn.XLOOKUP($B130,TC_Fechas,TC_Venta_Rango,"",-1)="","",_xlfn.XLOOKUP($B130,TC_Fechas,TC_Venta_Rango,"",-1)),"")))</f>
        <v/>
      </c>
      <c r="O130" s="20">
        <f>IF(OR($C130="",$N130=""),"",ROUND($J130*$N130,2)+ROUND($K130*$N130,2))</f>
        <v/>
      </c>
      <c r="P130" s="31">
        <f>IF($G130="","",IFERROR(INDEX(Catalogo_Tasas,MATCH($G130,Catalogo_Codigos,0)),""))</f>
        <v/>
      </c>
      <c r="Q130" s="32">
        <f>IF($G130="","",IFERROR(INDEX(Catalogo_Umbrales,MATCH($G130,Catalogo_Codigos,0)),""))</f>
        <v/>
      </c>
      <c r="R130">
        <f>IF(OR($C130="",$P130="",$O130=""),"",IF($F130&lt;&gt;"FACTURA","NO",IF(AND($P130&gt;0,$O130&gt;$Q130),"SI","NO")))</f>
        <v/>
      </c>
      <c r="S130" s="20">
        <f>IF($R130="SI",ROUND($O130*$P130,2),IF($C130="","",0))</f>
        <v/>
      </c>
      <c r="T130" s="20" t="n"/>
      <c r="U130">
        <f>IF($C130="","",IF($R130&lt;&gt;"SI","",IF($T130="","SIN DATO",IF(ABS($T130-$S130)&lt;=0.5,"OK","REVISAR"))))</f>
        <v/>
      </c>
      <c r="V130" s="20" t="n"/>
      <c r="W130" s="20">
        <f>IF(OR($C130="",$N130=""),"",IF($F130="RHE",ROUND($L130-$V130,2),ROUND($L130-($S130/$N130),2)))</f>
        <v/>
      </c>
      <c r="X130" s="25" t="n"/>
      <c r="Y130" s="25" t="n"/>
    </row>
    <row r="131">
      <c r="A131" t="n">
        <v>128</v>
      </c>
      <c r="B131" s="25" t="n"/>
      <c r="D131" s="30" t="n"/>
      <c r="G131" s="30" t="n"/>
      <c r="H131">
        <f>IF($G131="","",IFERROR(INDEX(Catalogo_Etiquetas,MATCH($G131,Catalogo_Codigos,0)),"CODIGO NO VALIDO"))</f>
        <v/>
      </c>
      <c r="J131" s="20" t="n"/>
      <c r="K131" s="20" t="n"/>
      <c r="L131" s="20">
        <f>IF($C131="","",$J131+$K131)</f>
        <v/>
      </c>
      <c r="M131" s="30" t="n"/>
      <c r="N131" s="26">
        <f>IF($C131="","",IF($I131="PEN",1,IFERROR(IF(_xlfn.XLOOKUP($B131,TC_Fechas,TC_Venta_Rango,"",-1)="","",_xlfn.XLOOKUP($B131,TC_Fechas,TC_Venta_Rango,"",-1)),"")))</f>
        <v/>
      </c>
      <c r="O131" s="20">
        <f>IF(OR($C131="",$N131=""),"",ROUND($J131*$N131,2)+ROUND($K131*$N131,2))</f>
        <v/>
      </c>
      <c r="P131" s="31">
        <f>IF($G131="","",IFERROR(INDEX(Catalogo_Tasas,MATCH($G131,Catalogo_Codigos,0)),""))</f>
        <v/>
      </c>
      <c r="Q131" s="32">
        <f>IF($G131="","",IFERROR(INDEX(Catalogo_Umbrales,MATCH($G131,Catalogo_Codigos,0)),""))</f>
        <v/>
      </c>
      <c r="R131">
        <f>IF(OR($C131="",$P131="",$O131=""),"",IF($F131&lt;&gt;"FACTURA","NO",IF(AND($P131&gt;0,$O131&gt;$Q131),"SI","NO")))</f>
        <v/>
      </c>
      <c r="S131" s="20">
        <f>IF($R131="SI",ROUND($O131*$P131,2),IF($C131="","",0))</f>
        <v/>
      </c>
      <c r="T131" s="20" t="n"/>
      <c r="U131">
        <f>IF($C131="","",IF($R131&lt;&gt;"SI","",IF($T131="","SIN DATO",IF(ABS($T131-$S131)&lt;=0.5,"OK","REVISAR"))))</f>
        <v/>
      </c>
      <c r="V131" s="20" t="n"/>
      <c r="W131" s="20">
        <f>IF(OR($C131="",$N131=""),"",IF($F131="RHE",ROUND($L131-$V131,2),ROUND($L131-($S131/$N131),2)))</f>
        <v/>
      </c>
      <c r="X131" s="25" t="n"/>
      <c r="Y131" s="25" t="n"/>
    </row>
    <row r="132">
      <c r="A132" t="n">
        <v>129</v>
      </c>
      <c r="B132" s="25" t="n"/>
      <c r="D132" s="30" t="n"/>
      <c r="G132" s="30" t="n"/>
      <c r="H132">
        <f>IF($G132="","",IFERROR(INDEX(Catalogo_Etiquetas,MATCH($G132,Catalogo_Codigos,0)),"CODIGO NO VALIDO"))</f>
        <v/>
      </c>
      <c r="J132" s="20" t="n"/>
      <c r="K132" s="20" t="n"/>
      <c r="L132" s="20">
        <f>IF($C132="","",$J132+$K132)</f>
        <v/>
      </c>
      <c r="M132" s="30" t="n"/>
      <c r="N132" s="26">
        <f>IF($C132="","",IF($I132="PEN",1,IFERROR(IF(_xlfn.XLOOKUP($B132,TC_Fechas,TC_Venta_Rango,"",-1)="","",_xlfn.XLOOKUP($B132,TC_Fechas,TC_Venta_Rango,"",-1)),"")))</f>
        <v/>
      </c>
      <c r="O132" s="20">
        <f>IF(OR($C132="",$N132=""),"",ROUND($J132*$N132,2)+ROUND($K132*$N132,2))</f>
        <v/>
      </c>
      <c r="P132" s="31">
        <f>IF($G132="","",IFERROR(INDEX(Catalogo_Tasas,MATCH($G132,Catalogo_Codigos,0)),""))</f>
        <v/>
      </c>
      <c r="Q132" s="32">
        <f>IF($G132="","",IFERROR(INDEX(Catalogo_Umbrales,MATCH($G132,Catalogo_Codigos,0)),""))</f>
        <v/>
      </c>
      <c r="R132">
        <f>IF(OR($C132="",$P132="",$O132=""),"",IF($F132&lt;&gt;"FACTURA","NO",IF(AND($P132&gt;0,$O132&gt;$Q132),"SI","NO")))</f>
        <v/>
      </c>
      <c r="S132" s="20">
        <f>IF($R132="SI",ROUND($O132*$P132,2),IF($C132="","",0))</f>
        <v/>
      </c>
      <c r="T132" s="20" t="n"/>
      <c r="U132">
        <f>IF($C132="","",IF($R132&lt;&gt;"SI","",IF($T132="","SIN DATO",IF(ABS($T132-$S132)&lt;=0.5,"OK","REVISAR"))))</f>
        <v/>
      </c>
      <c r="V132" s="20" t="n"/>
      <c r="W132" s="20">
        <f>IF(OR($C132="",$N132=""),"",IF($F132="RHE",ROUND($L132-$V132,2),ROUND($L132-($S132/$N132),2)))</f>
        <v/>
      </c>
      <c r="X132" s="25" t="n"/>
      <c r="Y132" s="25" t="n"/>
    </row>
    <row r="133">
      <c r="A133" t="n">
        <v>130</v>
      </c>
      <c r="B133" s="25" t="n"/>
      <c r="D133" s="30" t="n"/>
      <c r="G133" s="30" t="n"/>
      <c r="H133">
        <f>IF($G133="","",IFERROR(INDEX(Catalogo_Etiquetas,MATCH($G133,Catalogo_Codigos,0)),"CODIGO NO VALIDO"))</f>
        <v/>
      </c>
      <c r="J133" s="20" t="n"/>
      <c r="K133" s="20" t="n"/>
      <c r="L133" s="20">
        <f>IF($C133="","",$J133+$K133)</f>
        <v/>
      </c>
      <c r="M133" s="30" t="n"/>
      <c r="N133" s="26">
        <f>IF($C133="","",IF($I133="PEN",1,IFERROR(IF(_xlfn.XLOOKUP($B133,TC_Fechas,TC_Venta_Rango,"",-1)="","",_xlfn.XLOOKUP($B133,TC_Fechas,TC_Venta_Rango,"",-1)),"")))</f>
        <v/>
      </c>
      <c r="O133" s="20">
        <f>IF(OR($C133="",$N133=""),"",ROUND($J133*$N133,2)+ROUND($K133*$N133,2))</f>
        <v/>
      </c>
      <c r="P133" s="31">
        <f>IF($G133="","",IFERROR(INDEX(Catalogo_Tasas,MATCH($G133,Catalogo_Codigos,0)),""))</f>
        <v/>
      </c>
      <c r="Q133" s="32">
        <f>IF($G133="","",IFERROR(INDEX(Catalogo_Umbrales,MATCH($G133,Catalogo_Codigos,0)),""))</f>
        <v/>
      </c>
      <c r="R133">
        <f>IF(OR($C133="",$P133="",$O133=""),"",IF($F133&lt;&gt;"FACTURA","NO",IF(AND($P133&gt;0,$O133&gt;$Q133),"SI","NO")))</f>
        <v/>
      </c>
      <c r="S133" s="20">
        <f>IF($R133="SI",ROUND($O133*$P133,2),IF($C133="","",0))</f>
        <v/>
      </c>
      <c r="T133" s="20" t="n"/>
      <c r="U133">
        <f>IF($C133="","",IF($R133&lt;&gt;"SI","",IF($T133="","SIN DATO",IF(ABS($T133-$S133)&lt;=0.5,"OK","REVISAR"))))</f>
        <v/>
      </c>
      <c r="V133" s="20" t="n"/>
      <c r="W133" s="20">
        <f>IF(OR($C133="",$N133=""),"",IF($F133="RHE",ROUND($L133-$V133,2),ROUND($L133-($S133/$N133),2)))</f>
        <v/>
      </c>
      <c r="X133" s="25" t="n"/>
      <c r="Y133" s="25" t="n"/>
    </row>
    <row r="134">
      <c r="A134" t="n">
        <v>131</v>
      </c>
      <c r="B134" s="25" t="n"/>
      <c r="D134" s="30" t="n"/>
      <c r="G134" s="30" t="n"/>
      <c r="H134">
        <f>IF($G134="","",IFERROR(INDEX(Catalogo_Etiquetas,MATCH($G134,Catalogo_Codigos,0)),"CODIGO NO VALIDO"))</f>
        <v/>
      </c>
      <c r="J134" s="20" t="n"/>
      <c r="K134" s="20" t="n"/>
      <c r="L134" s="20">
        <f>IF($C134="","",$J134+$K134)</f>
        <v/>
      </c>
      <c r="M134" s="30" t="n"/>
      <c r="N134" s="26">
        <f>IF($C134="","",IF($I134="PEN",1,IFERROR(IF(_xlfn.XLOOKUP($B134,TC_Fechas,TC_Venta_Rango,"",-1)="","",_xlfn.XLOOKUP($B134,TC_Fechas,TC_Venta_Rango,"",-1)),"")))</f>
        <v/>
      </c>
      <c r="O134" s="20">
        <f>IF(OR($C134="",$N134=""),"",ROUND($J134*$N134,2)+ROUND($K134*$N134,2))</f>
        <v/>
      </c>
      <c r="P134" s="31">
        <f>IF($G134="","",IFERROR(INDEX(Catalogo_Tasas,MATCH($G134,Catalogo_Codigos,0)),""))</f>
        <v/>
      </c>
      <c r="Q134" s="32">
        <f>IF($G134="","",IFERROR(INDEX(Catalogo_Umbrales,MATCH($G134,Catalogo_Codigos,0)),""))</f>
        <v/>
      </c>
      <c r="R134">
        <f>IF(OR($C134="",$P134="",$O134=""),"",IF($F134&lt;&gt;"FACTURA","NO",IF(AND($P134&gt;0,$O134&gt;$Q134),"SI","NO")))</f>
        <v/>
      </c>
      <c r="S134" s="20">
        <f>IF($R134="SI",ROUND($O134*$P134,2),IF($C134="","",0))</f>
        <v/>
      </c>
      <c r="T134" s="20" t="n"/>
      <c r="U134">
        <f>IF($C134="","",IF($R134&lt;&gt;"SI","",IF($T134="","SIN DATO",IF(ABS($T134-$S134)&lt;=0.5,"OK","REVISAR"))))</f>
        <v/>
      </c>
      <c r="V134" s="20" t="n"/>
      <c r="W134" s="20">
        <f>IF(OR($C134="",$N134=""),"",IF($F134="RHE",ROUND($L134-$V134,2),ROUND($L134-($S134/$N134),2)))</f>
        <v/>
      </c>
      <c r="X134" s="25" t="n"/>
      <c r="Y134" s="25" t="n"/>
    </row>
    <row r="135">
      <c r="A135" t="n">
        <v>132</v>
      </c>
      <c r="B135" s="25" t="n"/>
      <c r="D135" s="30" t="n"/>
      <c r="G135" s="30" t="n"/>
      <c r="H135">
        <f>IF($G135="","",IFERROR(INDEX(Catalogo_Etiquetas,MATCH($G135,Catalogo_Codigos,0)),"CODIGO NO VALIDO"))</f>
        <v/>
      </c>
      <c r="J135" s="20" t="n"/>
      <c r="K135" s="20" t="n"/>
      <c r="L135" s="20">
        <f>IF($C135="","",$J135+$K135)</f>
        <v/>
      </c>
      <c r="M135" s="30" t="n"/>
      <c r="N135" s="26">
        <f>IF($C135="","",IF($I135="PEN",1,IFERROR(IF(_xlfn.XLOOKUP($B135,TC_Fechas,TC_Venta_Rango,"",-1)="","",_xlfn.XLOOKUP($B135,TC_Fechas,TC_Venta_Rango,"",-1)),"")))</f>
        <v/>
      </c>
      <c r="O135" s="20">
        <f>IF(OR($C135="",$N135=""),"",ROUND($J135*$N135,2)+ROUND($K135*$N135,2))</f>
        <v/>
      </c>
      <c r="P135" s="31">
        <f>IF($G135="","",IFERROR(INDEX(Catalogo_Tasas,MATCH($G135,Catalogo_Codigos,0)),""))</f>
        <v/>
      </c>
      <c r="Q135" s="32">
        <f>IF($G135="","",IFERROR(INDEX(Catalogo_Umbrales,MATCH($G135,Catalogo_Codigos,0)),""))</f>
        <v/>
      </c>
      <c r="R135">
        <f>IF(OR($C135="",$P135="",$O135=""),"",IF($F135&lt;&gt;"FACTURA","NO",IF(AND($P135&gt;0,$O135&gt;$Q135),"SI","NO")))</f>
        <v/>
      </c>
      <c r="S135" s="20">
        <f>IF($R135="SI",ROUND($O135*$P135,2),IF($C135="","",0))</f>
        <v/>
      </c>
      <c r="T135" s="20" t="n"/>
      <c r="U135">
        <f>IF($C135="","",IF($R135&lt;&gt;"SI","",IF($T135="","SIN DATO",IF(ABS($T135-$S135)&lt;=0.5,"OK","REVISAR"))))</f>
        <v/>
      </c>
      <c r="V135" s="20" t="n"/>
      <c r="W135" s="20">
        <f>IF(OR($C135="",$N135=""),"",IF($F135="RHE",ROUND($L135-$V135,2),ROUND($L135-($S135/$N135),2)))</f>
        <v/>
      </c>
      <c r="X135" s="25" t="n"/>
      <c r="Y135" s="25" t="n"/>
    </row>
    <row r="136">
      <c r="A136" t="n">
        <v>133</v>
      </c>
      <c r="B136" s="25" t="n"/>
      <c r="D136" s="30" t="n"/>
      <c r="G136" s="30" t="n"/>
      <c r="H136">
        <f>IF($G136="","",IFERROR(INDEX(Catalogo_Etiquetas,MATCH($G136,Catalogo_Codigos,0)),"CODIGO NO VALIDO"))</f>
        <v/>
      </c>
      <c r="J136" s="20" t="n"/>
      <c r="K136" s="20" t="n"/>
      <c r="L136" s="20">
        <f>IF($C136="","",$J136+$K136)</f>
        <v/>
      </c>
      <c r="M136" s="30" t="n"/>
      <c r="N136" s="26">
        <f>IF($C136="","",IF($I136="PEN",1,IFERROR(IF(_xlfn.XLOOKUP($B136,TC_Fechas,TC_Venta_Rango,"",-1)="","",_xlfn.XLOOKUP($B136,TC_Fechas,TC_Venta_Rango,"",-1)),"")))</f>
        <v/>
      </c>
      <c r="O136" s="20">
        <f>IF(OR($C136="",$N136=""),"",ROUND($J136*$N136,2)+ROUND($K136*$N136,2))</f>
        <v/>
      </c>
      <c r="P136" s="31">
        <f>IF($G136="","",IFERROR(INDEX(Catalogo_Tasas,MATCH($G136,Catalogo_Codigos,0)),""))</f>
        <v/>
      </c>
      <c r="Q136" s="32">
        <f>IF($G136="","",IFERROR(INDEX(Catalogo_Umbrales,MATCH($G136,Catalogo_Codigos,0)),""))</f>
        <v/>
      </c>
      <c r="R136">
        <f>IF(OR($C136="",$P136="",$O136=""),"",IF($F136&lt;&gt;"FACTURA","NO",IF(AND($P136&gt;0,$O136&gt;$Q136),"SI","NO")))</f>
        <v/>
      </c>
      <c r="S136" s="20">
        <f>IF($R136="SI",ROUND($O136*$P136,2),IF($C136="","",0))</f>
        <v/>
      </c>
      <c r="T136" s="20" t="n"/>
      <c r="U136">
        <f>IF($C136="","",IF($R136&lt;&gt;"SI","",IF($T136="","SIN DATO",IF(ABS($T136-$S136)&lt;=0.5,"OK","REVISAR"))))</f>
        <v/>
      </c>
      <c r="V136" s="20" t="n"/>
      <c r="W136" s="20">
        <f>IF(OR($C136="",$N136=""),"",IF($F136="RHE",ROUND($L136-$V136,2),ROUND($L136-($S136/$N136),2)))</f>
        <v/>
      </c>
      <c r="X136" s="25" t="n"/>
      <c r="Y136" s="25" t="n"/>
    </row>
    <row r="137">
      <c r="A137" t="n">
        <v>134</v>
      </c>
      <c r="B137" s="25" t="n"/>
      <c r="D137" s="30" t="n"/>
      <c r="G137" s="30" t="n"/>
      <c r="H137">
        <f>IF($G137="","",IFERROR(INDEX(Catalogo_Etiquetas,MATCH($G137,Catalogo_Codigos,0)),"CODIGO NO VALIDO"))</f>
        <v/>
      </c>
      <c r="J137" s="20" t="n"/>
      <c r="K137" s="20" t="n"/>
      <c r="L137" s="20">
        <f>IF($C137="","",$J137+$K137)</f>
        <v/>
      </c>
      <c r="M137" s="30" t="n"/>
      <c r="N137" s="26">
        <f>IF($C137="","",IF($I137="PEN",1,IFERROR(IF(_xlfn.XLOOKUP($B137,TC_Fechas,TC_Venta_Rango,"",-1)="","",_xlfn.XLOOKUP($B137,TC_Fechas,TC_Venta_Rango,"",-1)),"")))</f>
        <v/>
      </c>
      <c r="O137" s="20">
        <f>IF(OR($C137="",$N137=""),"",ROUND($J137*$N137,2)+ROUND($K137*$N137,2))</f>
        <v/>
      </c>
      <c r="P137" s="31">
        <f>IF($G137="","",IFERROR(INDEX(Catalogo_Tasas,MATCH($G137,Catalogo_Codigos,0)),""))</f>
        <v/>
      </c>
      <c r="Q137" s="32">
        <f>IF($G137="","",IFERROR(INDEX(Catalogo_Umbrales,MATCH($G137,Catalogo_Codigos,0)),""))</f>
        <v/>
      </c>
      <c r="R137">
        <f>IF(OR($C137="",$P137="",$O137=""),"",IF($F137&lt;&gt;"FACTURA","NO",IF(AND($P137&gt;0,$O137&gt;$Q137),"SI","NO")))</f>
        <v/>
      </c>
      <c r="S137" s="20">
        <f>IF($R137="SI",ROUND($O137*$P137,2),IF($C137="","",0))</f>
        <v/>
      </c>
      <c r="T137" s="20" t="n"/>
      <c r="U137">
        <f>IF($C137="","",IF($R137&lt;&gt;"SI","",IF($T137="","SIN DATO",IF(ABS($T137-$S137)&lt;=0.5,"OK","REVISAR"))))</f>
        <v/>
      </c>
      <c r="V137" s="20" t="n"/>
      <c r="W137" s="20">
        <f>IF(OR($C137="",$N137=""),"",IF($F137="RHE",ROUND($L137-$V137,2),ROUND($L137-($S137/$N137),2)))</f>
        <v/>
      </c>
      <c r="X137" s="25" t="n"/>
      <c r="Y137" s="25" t="n"/>
    </row>
    <row r="138">
      <c r="A138" t="n">
        <v>135</v>
      </c>
      <c r="B138" s="25" t="n"/>
      <c r="D138" s="30" t="n"/>
      <c r="G138" s="30" t="n"/>
      <c r="H138">
        <f>IF($G138="","",IFERROR(INDEX(Catalogo_Etiquetas,MATCH($G138,Catalogo_Codigos,0)),"CODIGO NO VALIDO"))</f>
        <v/>
      </c>
      <c r="J138" s="20" t="n"/>
      <c r="K138" s="20" t="n"/>
      <c r="L138" s="20">
        <f>IF($C138="","",$J138+$K138)</f>
        <v/>
      </c>
      <c r="M138" s="30" t="n"/>
      <c r="N138" s="26">
        <f>IF($C138="","",IF($I138="PEN",1,IFERROR(IF(_xlfn.XLOOKUP($B138,TC_Fechas,TC_Venta_Rango,"",-1)="","",_xlfn.XLOOKUP($B138,TC_Fechas,TC_Venta_Rango,"",-1)),"")))</f>
        <v/>
      </c>
      <c r="O138" s="20">
        <f>IF(OR($C138="",$N138=""),"",ROUND($J138*$N138,2)+ROUND($K138*$N138,2))</f>
        <v/>
      </c>
      <c r="P138" s="31">
        <f>IF($G138="","",IFERROR(INDEX(Catalogo_Tasas,MATCH($G138,Catalogo_Codigos,0)),""))</f>
        <v/>
      </c>
      <c r="Q138" s="32">
        <f>IF($G138="","",IFERROR(INDEX(Catalogo_Umbrales,MATCH($G138,Catalogo_Codigos,0)),""))</f>
        <v/>
      </c>
      <c r="R138">
        <f>IF(OR($C138="",$P138="",$O138=""),"",IF($F138&lt;&gt;"FACTURA","NO",IF(AND($P138&gt;0,$O138&gt;$Q138),"SI","NO")))</f>
        <v/>
      </c>
      <c r="S138" s="20">
        <f>IF($R138="SI",ROUND($O138*$P138,2),IF($C138="","",0))</f>
        <v/>
      </c>
      <c r="T138" s="20" t="n"/>
      <c r="U138">
        <f>IF($C138="","",IF($R138&lt;&gt;"SI","",IF($T138="","SIN DATO",IF(ABS($T138-$S138)&lt;=0.5,"OK","REVISAR"))))</f>
        <v/>
      </c>
      <c r="V138" s="20" t="n"/>
      <c r="W138" s="20">
        <f>IF(OR($C138="",$N138=""),"",IF($F138="RHE",ROUND($L138-$V138,2),ROUND($L138-($S138/$N138),2)))</f>
        <v/>
      </c>
      <c r="X138" s="25" t="n"/>
      <c r="Y138" s="25" t="n"/>
    </row>
    <row r="139">
      <c r="A139" t="n">
        <v>136</v>
      </c>
      <c r="B139" s="25" t="n"/>
      <c r="D139" s="30" t="n"/>
      <c r="G139" s="30" t="n"/>
      <c r="H139">
        <f>IF($G139="","",IFERROR(INDEX(Catalogo_Etiquetas,MATCH($G139,Catalogo_Codigos,0)),"CODIGO NO VALIDO"))</f>
        <v/>
      </c>
      <c r="J139" s="20" t="n"/>
      <c r="K139" s="20" t="n"/>
      <c r="L139" s="20">
        <f>IF($C139="","",$J139+$K139)</f>
        <v/>
      </c>
      <c r="M139" s="30" t="n"/>
      <c r="N139" s="26">
        <f>IF($C139="","",IF($I139="PEN",1,IFERROR(IF(_xlfn.XLOOKUP($B139,TC_Fechas,TC_Venta_Rango,"",-1)="","",_xlfn.XLOOKUP($B139,TC_Fechas,TC_Venta_Rango,"",-1)),"")))</f>
        <v/>
      </c>
      <c r="O139" s="20">
        <f>IF(OR($C139="",$N139=""),"",ROUND($J139*$N139,2)+ROUND($K139*$N139,2))</f>
        <v/>
      </c>
      <c r="P139" s="31">
        <f>IF($G139="","",IFERROR(INDEX(Catalogo_Tasas,MATCH($G139,Catalogo_Codigos,0)),""))</f>
        <v/>
      </c>
      <c r="Q139" s="32">
        <f>IF($G139="","",IFERROR(INDEX(Catalogo_Umbrales,MATCH($G139,Catalogo_Codigos,0)),""))</f>
        <v/>
      </c>
      <c r="R139">
        <f>IF(OR($C139="",$P139="",$O139=""),"",IF($F139&lt;&gt;"FACTURA","NO",IF(AND($P139&gt;0,$O139&gt;$Q139),"SI","NO")))</f>
        <v/>
      </c>
      <c r="S139" s="20">
        <f>IF($R139="SI",ROUND($O139*$P139,2),IF($C139="","",0))</f>
        <v/>
      </c>
      <c r="T139" s="20" t="n"/>
      <c r="U139">
        <f>IF($C139="","",IF($R139&lt;&gt;"SI","",IF($T139="","SIN DATO",IF(ABS($T139-$S139)&lt;=0.5,"OK","REVISAR"))))</f>
        <v/>
      </c>
      <c r="V139" s="20" t="n"/>
      <c r="W139" s="20">
        <f>IF(OR($C139="",$N139=""),"",IF($F139="RHE",ROUND($L139-$V139,2),ROUND($L139-($S139/$N139),2)))</f>
        <v/>
      </c>
      <c r="X139" s="25" t="n"/>
      <c r="Y139" s="25" t="n"/>
    </row>
    <row r="140">
      <c r="A140" t="n">
        <v>137</v>
      </c>
      <c r="B140" s="25" t="n"/>
      <c r="D140" s="30" t="n"/>
      <c r="G140" s="30" t="n"/>
      <c r="H140">
        <f>IF($G140="","",IFERROR(INDEX(Catalogo_Etiquetas,MATCH($G140,Catalogo_Codigos,0)),"CODIGO NO VALIDO"))</f>
        <v/>
      </c>
      <c r="J140" s="20" t="n"/>
      <c r="K140" s="20" t="n"/>
      <c r="L140" s="20">
        <f>IF($C140="","",$J140+$K140)</f>
        <v/>
      </c>
      <c r="M140" s="30" t="n"/>
      <c r="N140" s="26">
        <f>IF($C140="","",IF($I140="PEN",1,IFERROR(IF(_xlfn.XLOOKUP($B140,TC_Fechas,TC_Venta_Rango,"",-1)="","",_xlfn.XLOOKUP($B140,TC_Fechas,TC_Venta_Rango,"",-1)),"")))</f>
        <v/>
      </c>
      <c r="O140" s="20">
        <f>IF(OR($C140="",$N140=""),"",ROUND($J140*$N140,2)+ROUND($K140*$N140,2))</f>
        <v/>
      </c>
      <c r="P140" s="31">
        <f>IF($G140="","",IFERROR(INDEX(Catalogo_Tasas,MATCH($G140,Catalogo_Codigos,0)),""))</f>
        <v/>
      </c>
      <c r="Q140" s="32">
        <f>IF($G140="","",IFERROR(INDEX(Catalogo_Umbrales,MATCH($G140,Catalogo_Codigos,0)),""))</f>
        <v/>
      </c>
      <c r="R140">
        <f>IF(OR($C140="",$P140="",$O140=""),"",IF($F140&lt;&gt;"FACTURA","NO",IF(AND($P140&gt;0,$O140&gt;$Q140),"SI","NO")))</f>
        <v/>
      </c>
      <c r="S140" s="20">
        <f>IF($R140="SI",ROUND($O140*$P140,2),IF($C140="","",0))</f>
        <v/>
      </c>
      <c r="T140" s="20" t="n"/>
      <c r="U140">
        <f>IF($C140="","",IF($R140&lt;&gt;"SI","",IF($T140="","SIN DATO",IF(ABS($T140-$S140)&lt;=0.5,"OK","REVISAR"))))</f>
        <v/>
      </c>
      <c r="V140" s="20" t="n"/>
      <c r="W140" s="20">
        <f>IF(OR($C140="",$N140=""),"",IF($F140="RHE",ROUND($L140-$V140,2),ROUND($L140-($S140/$N140),2)))</f>
        <v/>
      </c>
      <c r="X140" s="25" t="n"/>
      <c r="Y140" s="25" t="n"/>
    </row>
    <row r="141">
      <c r="A141" t="n">
        <v>138</v>
      </c>
      <c r="B141" s="25" t="n"/>
      <c r="D141" s="30" t="n"/>
      <c r="G141" s="30" t="n"/>
      <c r="H141">
        <f>IF($G141="","",IFERROR(INDEX(Catalogo_Etiquetas,MATCH($G141,Catalogo_Codigos,0)),"CODIGO NO VALIDO"))</f>
        <v/>
      </c>
      <c r="J141" s="20" t="n"/>
      <c r="K141" s="20" t="n"/>
      <c r="L141" s="20">
        <f>IF($C141="","",$J141+$K141)</f>
        <v/>
      </c>
      <c r="M141" s="30" t="n"/>
      <c r="N141" s="26">
        <f>IF($C141="","",IF($I141="PEN",1,IFERROR(IF(_xlfn.XLOOKUP($B141,TC_Fechas,TC_Venta_Rango,"",-1)="","",_xlfn.XLOOKUP($B141,TC_Fechas,TC_Venta_Rango,"",-1)),"")))</f>
        <v/>
      </c>
      <c r="O141" s="20">
        <f>IF(OR($C141="",$N141=""),"",ROUND($J141*$N141,2)+ROUND($K141*$N141,2))</f>
        <v/>
      </c>
      <c r="P141" s="31">
        <f>IF($G141="","",IFERROR(INDEX(Catalogo_Tasas,MATCH($G141,Catalogo_Codigos,0)),""))</f>
        <v/>
      </c>
      <c r="Q141" s="32">
        <f>IF($G141="","",IFERROR(INDEX(Catalogo_Umbrales,MATCH($G141,Catalogo_Codigos,0)),""))</f>
        <v/>
      </c>
      <c r="R141">
        <f>IF(OR($C141="",$P141="",$O141=""),"",IF($F141&lt;&gt;"FACTURA","NO",IF(AND($P141&gt;0,$O141&gt;$Q141),"SI","NO")))</f>
        <v/>
      </c>
      <c r="S141" s="20">
        <f>IF($R141="SI",ROUND($O141*$P141,2),IF($C141="","",0))</f>
        <v/>
      </c>
      <c r="T141" s="20" t="n"/>
      <c r="U141">
        <f>IF($C141="","",IF($R141&lt;&gt;"SI","",IF($T141="","SIN DATO",IF(ABS($T141-$S141)&lt;=0.5,"OK","REVISAR"))))</f>
        <v/>
      </c>
      <c r="V141" s="20" t="n"/>
      <c r="W141" s="20">
        <f>IF(OR($C141="",$N141=""),"",IF($F141="RHE",ROUND($L141-$V141,2),ROUND($L141-($S141/$N141),2)))</f>
        <v/>
      </c>
      <c r="X141" s="25" t="n"/>
      <c r="Y141" s="25" t="n"/>
    </row>
    <row r="142">
      <c r="A142" t="n">
        <v>139</v>
      </c>
      <c r="B142" s="25" t="n"/>
      <c r="D142" s="30" t="n"/>
      <c r="G142" s="30" t="n"/>
      <c r="H142">
        <f>IF($G142="","",IFERROR(INDEX(Catalogo_Etiquetas,MATCH($G142,Catalogo_Codigos,0)),"CODIGO NO VALIDO"))</f>
        <v/>
      </c>
      <c r="J142" s="20" t="n"/>
      <c r="K142" s="20" t="n"/>
      <c r="L142" s="20">
        <f>IF($C142="","",$J142+$K142)</f>
        <v/>
      </c>
      <c r="M142" s="30" t="n"/>
      <c r="N142" s="26">
        <f>IF($C142="","",IF($I142="PEN",1,IFERROR(IF(_xlfn.XLOOKUP($B142,TC_Fechas,TC_Venta_Rango,"",-1)="","",_xlfn.XLOOKUP($B142,TC_Fechas,TC_Venta_Rango,"",-1)),"")))</f>
        <v/>
      </c>
      <c r="O142" s="20">
        <f>IF(OR($C142="",$N142=""),"",ROUND($J142*$N142,2)+ROUND($K142*$N142,2))</f>
        <v/>
      </c>
      <c r="P142" s="31">
        <f>IF($G142="","",IFERROR(INDEX(Catalogo_Tasas,MATCH($G142,Catalogo_Codigos,0)),""))</f>
        <v/>
      </c>
      <c r="Q142" s="32">
        <f>IF($G142="","",IFERROR(INDEX(Catalogo_Umbrales,MATCH($G142,Catalogo_Codigos,0)),""))</f>
        <v/>
      </c>
      <c r="R142">
        <f>IF(OR($C142="",$P142="",$O142=""),"",IF($F142&lt;&gt;"FACTURA","NO",IF(AND($P142&gt;0,$O142&gt;$Q142),"SI","NO")))</f>
        <v/>
      </c>
      <c r="S142" s="20">
        <f>IF($R142="SI",ROUND($O142*$P142,2),IF($C142="","",0))</f>
        <v/>
      </c>
      <c r="T142" s="20" t="n"/>
      <c r="U142">
        <f>IF($C142="","",IF($R142&lt;&gt;"SI","",IF($T142="","SIN DATO",IF(ABS($T142-$S142)&lt;=0.5,"OK","REVISAR"))))</f>
        <v/>
      </c>
      <c r="V142" s="20" t="n"/>
      <c r="W142" s="20">
        <f>IF(OR($C142="",$N142=""),"",IF($F142="RHE",ROUND($L142-$V142,2),ROUND($L142-($S142/$N142),2)))</f>
        <v/>
      </c>
      <c r="X142" s="25" t="n"/>
      <c r="Y142" s="25" t="n"/>
    </row>
    <row r="143">
      <c r="A143" t="n">
        <v>140</v>
      </c>
      <c r="B143" s="25" t="n"/>
      <c r="D143" s="30" t="n"/>
      <c r="G143" s="30" t="n"/>
      <c r="H143">
        <f>IF($G143="","",IFERROR(INDEX(Catalogo_Etiquetas,MATCH($G143,Catalogo_Codigos,0)),"CODIGO NO VALIDO"))</f>
        <v/>
      </c>
      <c r="J143" s="20" t="n"/>
      <c r="K143" s="20" t="n"/>
      <c r="L143" s="20">
        <f>IF($C143="","",$J143+$K143)</f>
        <v/>
      </c>
      <c r="M143" s="30" t="n"/>
      <c r="N143" s="26">
        <f>IF($C143="","",IF($I143="PEN",1,IFERROR(IF(_xlfn.XLOOKUP($B143,TC_Fechas,TC_Venta_Rango,"",-1)="","",_xlfn.XLOOKUP($B143,TC_Fechas,TC_Venta_Rango,"",-1)),"")))</f>
        <v/>
      </c>
      <c r="O143" s="20">
        <f>IF(OR($C143="",$N143=""),"",ROUND($J143*$N143,2)+ROUND($K143*$N143,2))</f>
        <v/>
      </c>
      <c r="P143" s="31">
        <f>IF($G143="","",IFERROR(INDEX(Catalogo_Tasas,MATCH($G143,Catalogo_Codigos,0)),""))</f>
        <v/>
      </c>
      <c r="Q143" s="32">
        <f>IF($G143="","",IFERROR(INDEX(Catalogo_Umbrales,MATCH($G143,Catalogo_Codigos,0)),""))</f>
        <v/>
      </c>
      <c r="R143">
        <f>IF(OR($C143="",$P143="",$O143=""),"",IF($F143&lt;&gt;"FACTURA","NO",IF(AND($P143&gt;0,$O143&gt;$Q143),"SI","NO")))</f>
        <v/>
      </c>
      <c r="S143" s="20">
        <f>IF($R143="SI",ROUND($O143*$P143,2),IF($C143="","",0))</f>
        <v/>
      </c>
      <c r="T143" s="20" t="n"/>
      <c r="U143">
        <f>IF($C143="","",IF($R143&lt;&gt;"SI","",IF($T143="","SIN DATO",IF(ABS($T143-$S143)&lt;=0.5,"OK","REVISAR"))))</f>
        <v/>
      </c>
      <c r="V143" s="20" t="n"/>
      <c r="W143" s="20">
        <f>IF(OR($C143="",$N143=""),"",IF($F143="RHE",ROUND($L143-$V143,2),ROUND($L143-($S143/$N143),2)))</f>
        <v/>
      </c>
      <c r="X143" s="25" t="n"/>
      <c r="Y143" s="25" t="n"/>
    </row>
    <row r="144">
      <c r="A144" t="n">
        <v>141</v>
      </c>
      <c r="B144" s="25" t="n"/>
      <c r="D144" s="30" t="n"/>
      <c r="G144" s="30" t="n"/>
      <c r="H144">
        <f>IF($G144="","",IFERROR(INDEX(Catalogo_Etiquetas,MATCH($G144,Catalogo_Codigos,0)),"CODIGO NO VALIDO"))</f>
        <v/>
      </c>
      <c r="J144" s="20" t="n"/>
      <c r="K144" s="20" t="n"/>
      <c r="L144" s="20">
        <f>IF($C144="","",$J144+$K144)</f>
        <v/>
      </c>
      <c r="M144" s="30" t="n"/>
      <c r="N144" s="26">
        <f>IF($C144="","",IF($I144="PEN",1,IFERROR(IF(_xlfn.XLOOKUP($B144,TC_Fechas,TC_Venta_Rango,"",-1)="","",_xlfn.XLOOKUP($B144,TC_Fechas,TC_Venta_Rango,"",-1)),"")))</f>
        <v/>
      </c>
      <c r="O144" s="20">
        <f>IF(OR($C144="",$N144=""),"",ROUND($J144*$N144,2)+ROUND($K144*$N144,2))</f>
        <v/>
      </c>
      <c r="P144" s="31">
        <f>IF($G144="","",IFERROR(INDEX(Catalogo_Tasas,MATCH($G144,Catalogo_Codigos,0)),""))</f>
        <v/>
      </c>
      <c r="Q144" s="32">
        <f>IF($G144="","",IFERROR(INDEX(Catalogo_Umbrales,MATCH($G144,Catalogo_Codigos,0)),""))</f>
        <v/>
      </c>
      <c r="R144">
        <f>IF(OR($C144="",$P144="",$O144=""),"",IF($F144&lt;&gt;"FACTURA","NO",IF(AND($P144&gt;0,$O144&gt;$Q144),"SI","NO")))</f>
        <v/>
      </c>
      <c r="S144" s="20">
        <f>IF($R144="SI",ROUND($O144*$P144,2),IF($C144="","",0))</f>
        <v/>
      </c>
      <c r="T144" s="20" t="n"/>
      <c r="U144">
        <f>IF($C144="","",IF($R144&lt;&gt;"SI","",IF($T144="","SIN DATO",IF(ABS($T144-$S144)&lt;=0.5,"OK","REVISAR"))))</f>
        <v/>
      </c>
      <c r="V144" s="20" t="n"/>
      <c r="W144" s="20">
        <f>IF(OR($C144="",$N144=""),"",IF($F144="RHE",ROUND($L144-$V144,2),ROUND($L144-($S144/$N144),2)))</f>
        <v/>
      </c>
      <c r="X144" s="25" t="n"/>
      <c r="Y144" s="25" t="n"/>
    </row>
    <row r="145">
      <c r="A145" t="n">
        <v>142</v>
      </c>
      <c r="B145" s="25" t="n"/>
      <c r="D145" s="30" t="n"/>
      <c r="G145" s="30" t="n"/>
      <c r="H145">
        <f>IF($G145="","",IFERROR(INDEX(Catalogo_Etiquetas,MATCH($G145,Catalogo_Codigos,0)),"CODIGO NO VALIDO"))</f>
        <v/>
      </c>
      <c r="J145" s="20" t="n"/>
      <c r="K145" s="20" t="n"/>
      <c r="L145" s="20">
        <f>IF($C145="","",$J145+$K145)</f>
        <v/>
      </c>
      <c r="M145" s="30" t="n"/>
      <c r="N145" s="26">
        <f>IF($C145="","",IF($I145="PEN",1,IFERROR(IF(_xlfn.XLOOKUP($B145,TC_Fechas,TC_Venta_Rango,"",-1)="","",_xlfn.XLOOKUP($B145,TC_Fechas,TC_Venta_Rango,"",-1)),"")))</f>
        <v/>
      </c>
      <c r="O145" s="20">
        <f>IF(OR($C145="",$N145=""),"",ROUND($J145*$N145,2)+ROUND($K145*$N145,2))</f>
        <v/>
      </c>
      <c r="P145" s="31">
        <f>IF($G145="","",IFERROR(INDEX(Catalogo_Tasas,MATCH($G145,Catalogo_Codigos,0)),""))</f>
        <v/>
      </c>
      <c r="Q145" s="32">
        <f>IF($G145="","",IFERROR(INDEX(Catalogo_Umbrales,MATCH($G145,Catalogo_Codigos,0)),""))</f>
        <v/>
      </c>
      <c r="R145">
        <f>IF(OR($C145="",$P145="",$O145=""),"",IF($F145&lt;&gt;"FACTURA","NO",IF(AND($P145&gt;0,$O145&gt;$Q145),"SI","NO")))</f>
        <v/>
      </c>
      <c r="S145" s="20">
        <f>IF($R145="SI",ROUND($O145*$P145,2),IF($C145="","",0))</f>
        <v/>
      </c>
      <c r="T145" s="20" t="n"/>
      <c r="U145">
        <f>IF($C145="","",IF($R145&lt;&gt;"SI","",IF($T145="","SIN DATO",IF(ABS($T145-$S145)&lt;=0.5,"OK","REVISAR"))))</f>
        <v/>
      </c>
      <c r="V145" s="20" t="n"/>
      <c r="W145" s="20">
        <f>IF(OR($C145="",$N145=""),"",IF($F145="RHE",ROUND($L145-$V145,2),ROUND($L145-($S145/$N145),2)))</f>
        <v/>
      </c>
      <c r="X145" s="25" t="n"/>
      <c r="Y145" s="25" t="n"/>
    </row>
    <row r="146">
      <c r="A146" t="n">
        <v>143</v>
      </c>
      <c r="B146" s="25" t="n"/>
      <c r="D146" s="30" t="n"/>
      <c r="G146" s="30" t="n"/>
      <c r="H146">
        <f>IF($G146="","",IFERROR(INDEX(Catalogo_Etiquetas,MATCH($G146,Catalogo_Codigos,0)),"CODIGO NO VALIDO"))</f>
        <v/>
      </c>
      <c r="J146" s="20" t="n"/>
      <c r="K146" s="20" t="n"/>
      <c r="L146" s="20">
        <f>IF($C146="","",$J146+$K146)</f>
        <v/>
      </c>
      <c r="M146" s="30" t="n"/>
      <c r="N146" s="26">
        <f>IF($C146="","",IF($I146="PEN",1,IFERROR(IF(_xlfn.XLOOKUP($B146,TC_Fechas,TC_Venta_Rango,"",-1)="","",_xlfn.XLOOKUP($B146,TC_Fechas,TC_Venta_Rango,"",-1)),"")))</f>
        <v/>
      </c>
      <c r="O146" s="20">
        <f>IF(OR($C146="",$N146=""),"",ROUND($J146*$N146,2)+ROUND($K146*$N146,2))</f>
        <v/>
      </c>
      <c r="P146" s="31">
        <f>IF($G146="","",IFERROR(INDEX(Catalogo_Tasas,MATCH($G146,Catalogo_Codigos,0)),""))</f>
        <v/>
      </c>
      <c r="Q146" s="32">
        <f>IF($G146="","",IFERROR(INDEX(Catalogo_Umbrales,MATCH($G146,Catalogo_Codigos,0)),""))</f>
        <v/>
      </c>
      <c r="R146">
        <f>IF(OR($C146="",$P146="",$O146=""),"",IF($F146&lt;&gt;"FACTURA","NO",IF(AND($P146&gt;0,$O146&gt;$Q146),"SI","NO")))</f>
        <v/>
      </c>
      <c r="S146" s="20">
        <f>IF($R146="SI",ROUND($O146*$P146,2),IF($C146="","",0))</f>
        <v/>
      </c>
      <c r="T146" s="20" t="n"/>
      <c r="U146">
        <f>IF($C146="","",IF($R146&lt;&gt;"SI","",IF($T146="","SIN DATO",IF(ABS($T146-$S146)&lt;=0.5,"OK","REVISAR"))))</f>
        <v/>
      </c>
      <c r="V146" s="20" t="n"/>
      <c r="W146" s="20">
        <f>IF(OR($C146="",$N146=""),"",IF($F146="RHE",ROUND($L146-$V146,2),ROUND($L146-($S146/$N146),2)))</f>
        <v/>
      </c>
      <c r="X146" s="25" t="n"/>
      <c r="Y146" s="25" t="n"/>
    </row>
    <row r="147">
      <c r="A147" t="n">
        <v>144</v>
      </c>
      <c r="B147" s="25" t="n"/>
      <c r="D147" s="30" t="n"/>
      <c r="G147" s="30" t="n"/>
      <c r="H147">
        <f>IF($G147="","",IFERROR(INDEX(Catalogo_Etiquetas,MATCH($G147,Catalogo_Codigos,0)),"CODIGO NO VALIDO"))</f>
        <v/>
      </c>
      <c r="J147" s="20" t="n"/>
      <c r="K147" s="20" t="n"/>
      <c r="L147" s="20">
        <f>IF($C147="","",$J147+$K147)</f>
        <v/>
      </c>
      <c r="M147" s="30" t="n"/>
      <c r="N147" s="26">
        <f>IF($C147="","",IF($I147="PEN",1,IFERROR(IF(_xlfn.XLOOKUP($B147,TC_Fechas,TC_Venta_Rango,"",-1)="","",_xlfn.XLOOKUP($B147,TC_Fechas,TC_Venta_Rango,"",-1)),"")))</f>
        <v/>
      </c>
      <c r="O147" s="20">
        <f>IF(OR($C147="",$N147=""),"",ROUND($J147*$N147,2)+ROUND($K147*$N147,2))</f>
        <v/>
      </c>
      <c r="P147" s="31">
        <f>IF($G147="","",IFERROR(INDEX(Catalogo_Tasas,MATCH($G147,Catalogo_Codigos,0)),""))</f>
        <v/>
      </c>
      <c r="Q147" s="32">
        <f>IF($G147="","",IFERROR(INDEX(Catalogo_Umbrales,MATCH($G147,Catalogo_Codigos,0)),""))</f>
        <v/>
      </c>
      <c r="R147">
        <f>IF(OR($C147="",$P147="",$O147=""),"",IF($F147&lt;&gt;"FACTURA","NO",IF(AND($P147&gt;0,$O147&gt;$Q147),"SI","NO")))</f>
        <v/>
      </c>
      <c r="S147" s="20">
        <f>IF($R147="SI",ROUND($O147*$P147,2),IF($C147="","",0))</f>
        <v/>
      </c>
      <c r="T147" s="20" t="n"/>
      <c r="U147">
        <f>IF($C147="","",IF($R147&lt;&gt;"SI","",IF($T147="","SIN DATO",IF(ABS($T147-$S147)&lt;=0.5,"OK","REVISAR"))))</f>
        <v/>
      </c>
      <c r="V147" s="20" t="n"/>
      <c r="W147" s="20">
        <f>IF(OR($C147="",$N147=""),"",IF($F147="RHE",ROUND($L147-$V147,2),ROUND($L147-($S147/$N147),2)))</f>
        <v/>
      </c>
      <c r="X147" s="25" t="n"/>
      <c r="Y147" s="25" t="n"/>
    </row>
    <row r="148">
      <c r="A148" t="n">
        <v>145</v>
      </c>
      <c r="B148" s="25" t="n"/>
      <c r="D148" s="30" t="n"/>
      <c r="G148" s="30" t="n"/>
      <c r="H148">
        <f>IF($G148="","",IFERROR(INDEX(Catalogo_Etiquetas,MATCH($G148,Catalogo_Codigos,0)),"CODIGO NO VALIDO"))</f>
        <v/>
      </c>
      <c r="J148" s="20" t="n"/>
      <c r="K148" s="20" t="n"/>
      <c r="L148" s="20">
        <f>IF($C148="","",$J148+$K148)</f>
        <v/>
      </c>
      <c r="M148" s="30" t="n"/>
      <c r="N148" s="26">
        <f>IF($C148="","",IF($I148="PEN",1,IFERROR(IF(_xlfn.XLOOKUP($B148,TC_Fechas,TC_Venta_Rango,"",-1)="","",_xlfn.XLOOKUP($B148,TC_Fechas,TC_Venta_Rango,"",-1)),"")))</f>
        <v/>
      </c>
      <c r="O148" s="20">
        <f>IF(OR($C148="",$N148=""),"",ROUND($J148*$N148,2)+ROUND($K148*$N148,2))</f>
        <v/>
      </c>
      <c r="P148" s="31">
        <f>IF($G148="","",IFERROR(INDEX(Catalogo_Tasas,MATCH($G148,Catalogo_Codigos,0)),""))</f>
        <v/>
      </c>
      <c r="Q148" s="32">
        <f>IF($G148="","",IFERROR(INDEX(Catalogo_Umbrales,MATCH($G148,Catalogo_Codigos,0)),""))</f>
        <v/>
      </c>
      <c r="R148">
        <f>IF(OR($C148="",$P148="",$O148=""),"",IF($F148&lt;&gt;"FACTURA","NO",IF(AND($P148&gt;0,$O148&gt;$Q148),"SI","NO")))</f>
        <v/>
      </c>
      <c r="S148" s="20">
        <f>IF($R148="SI",ROUND($O148*$P148,2),IF($C148="","",0))</f>
        <v/>
      </c>
      <c r="T148" s="20" t="n"/>
      <c r="U148">
        <f>IF($C148="","",IF($R148&lt;&gt;"SI","",IF($T148="","SIN DATO",IF(ABS($T148-$S148)&lt;=0.5,"OK","REVISAR"))))</f>
        <v/>
      </c>
      <c r="V148" s="20" t="n"/>
      <c r="W148" s="20">
        <f>IF(OR($C148="",$N148=""),"",IF($F148="RHE",ROUND($L148-$V148,2),ROUND($L148-($S148/$N148),2)))</f>
        <v/>
      </c>
      <c r="X148" s="25" t="n"/>
      <c r="Y148" s="25" t="n"/>
    </row>
    <row r="149">
      <c r="A149" t="n">
        <v>146</v>
      </c>
      <c r="B149" s="25" t="n"/>
      <c r="D149" s="30" t="n"/>
      <c r="G149" s="30" t="n"/>
      <c r="H149">
        <f>IF($G149="","",IFERROR(INDEX(Catalogo_Etiquetas,MATCH($G149,Catalogo_Codigos,0)),"CODIGO NO VALIDO"))</f>
        <v/>
      </c>
      <c r="J149" s="20" t="n"/>
      <c r="K149" s="20" t="n"/>
      <c r="L149" s="20">
        <f>IF($C149="","",$J149+$K149)</f>
        <v/>
      </c>
      <c r="M149" s="30" t="n"/>
      <c r="N149" s="26">
        <f>IF($C149="","",IF($I149="PEN",1,IFERROR(IF(_xlfn.XLOOKUP($B149,TC_Fechas,TC_Venta_Rango,"",-1)="","",_xlfn.XLOOKUP($B149,TC_Fechas,TC_Venta_Rango,"",-1)),"")))</f>
        <v/>
      </c>
      <c r="O149" s="20">
        <f>IF(OR($C149="",$N149=""),"",ROUND($J149*$N149,2)+ROUND($K149*$N149,2))</f>
        <v/>
      </c>
      <c r="P149" s="31">
        <f>IF($G149="","",IFERROR(INDEX(Catalogo_Tasas,MATCH($G149,Catalogo_Codigos,0)),""))</f>
        <v/>
      </c>
      <c r="Q149" s="32">
        <f>IF($G149="","",IFERROR(INDEX(Catalogo_Umbrales,MATCH($G149,Catalogo_Codigos,0)),""))</f>
        <v/>
      </c>
      <c r="R149">
        <f>IF(OR($C149="",$P149="",$O149=""),"",IF($F149&lt;&gt;"FACTURA","NO",IF(AND($P149&gt;0,$O149&gt;$Q149),"SI","NO")))</f>
        <v/>
      </c>
      <c r="S149" s="20">
        <f>IF($R149="SI",ROUND($O149*$P149,2),IF($C149="","",0))</f>
        <v/>
      </c>
      <c r="T149" s="20" t="n"/>
      <c r="U149">
        <f>IF($C149="","",IF($R149&lt;&gt;"SI","",IF($T149="","SIN DATO",IF(ABS($T149-$S149)&lt;=0.5,"OK","REVISAR"))))</f>
        <v/>
      </c>
      <c r="V149" s="20" t="n"/>
      <c r="W149" s="20">
        <f>IF(OR($C149="",$N149=""),"",IF($F149="RHE",ROUND($L149-$V149,2),ROUND($L149-($S149/$N149),2)))</f>
        <v/>
      </c>
      <c r="X149" s="25" t="n"/>
      <c r="Y149" s="25" t="n"/>
    </row>
    <row r="150">
      <c r="A150" t="n">
        <v>147</v>
      </c>
      <c r="B150" s="25" t="n"/>
      <c r="D150" s="30" t="n"/>
      <c r="G150" s="30" t="n"/>
      <c r="H150">
        <f>IF($G150="","",IFERROR(INDEX(Catalogo_Etiquetas,MATCH($G150,Catalogo_Codigos,0)),"CODIGO NO VALIDO"))</f>
        <v/>
      </c>
      <c r="J150" s="20" t="n"/>
      <c r="K150" s="20" t="n"/>
      <c r="L150" s="20">
        <f>IF($C150="","",$J150+$K150)</f>
        <v/>
      </c>
      <c r="M150" s="30" t="n"/>
      <c r="N150" s="26">
        <f>IF($C150="","",IF($I150="PEN",1,IFERROR(IF(_xlfn.XLOOKUP($B150,TC_Fechas,TC_Venta_Rango,"",-1)="","",_xlfn.XLOOKUP($B150,TC_Fechas,TC_Venta_Rango,"",-1)),"")))</f>
        <v/>
      </c>
      <c r="O150" s="20">
        <f>IF(OR($C150="",$N150=""),"",ROUND($J150*$N150,2)+ROUND($K150*$N150,2))</f>
        <v/>
      </c>
      <c r="P150" s="31">
        <f>IF($G150="","",IFERROR(INDEX(Catalogo_Tasas,MATCH($G150,Catalogo_Codigos,0)),""))</f>
        <v/>
      </c>
      <c r="Q150" s="32">
        <f>IF($G150="","",IFERROR(INDEX(Catalogo_Umbrales,MATCH($G150,Catalogo_Codigos,0)),""))</f>
        <v/>
      </c>
      <c r="R150">
        <f>IF(OR($C150="",$P150="",$O150=""),"",IF($F150&lt;&gt;"FACTURA","NO",IF(AND($P150&gt;0,$O150&gt;$Q150),"SI","NO")))</f>
        <v/>
      </c>
      <c r="S150" s="20">
        <f>IF($R150="SI",ROUND($O150*$P150,2),IF($C150="","",0))</f>
        <v/>
      </c>
      <c r="T150" s="20" t="n"/>
      <c r="U150">
        <f>IF($C150="","",IF($R150&lt;&gt;"SI","",IF($T150="","SIN DATO",IF(ABS($T150-$S150)&lt;=0.5,"OK","REVISAR"))))</f>
        <v/>
      </c>
      <c r="V150" s="20" t="n"/>
      <c r="W150" s="20">
        <f>IF(OR($C150="",$N150=""),"",IF($F150="RHE",ROUND($L150-$V150,2),ROUND($L150-($S150/$N150),2)))</f>
        <v/>
      </c>
      <c r="X150" s="25" t="n"/>
      <c r="Y150" s="25" t="n"/>
    </row>
    <row r="151">
      <c r="A151" t="n">
        <v>148</v>
      </c>
      <c r="B151" s="25" t="n"/>
      <c r="D151" s="30" t="n"/>
      <c r="G151" s="30" t="n"/>
      <c r="H151">
        <f>IF($G151="","",IFERROR(INDEX(Catalogo_Etiquetas,MATCH($G151,Catalogo_Codigos,0)),"CODIGO NO VALIDO"))</f>
        <v/>
      </c>
      <c r="J151" s="20" t="n"/>
      <c r="K151" s="20" t="n"/>
      <c r="L151" s="20">
        <f>IF($C151="","",$J151+$K151)</f>
        <v/>
      </c>
      <c r="M151" s="30" t="n"/>
      <c r="N151" s="26">
        <f>IF($C151="","",IF($I151="PEN",1,IFERROR(IF(_xlfn.XLOOKUP($B151,TC_Fechas,TC_Venta_Rango,"",-1)="","",_xlfn.XLOOKUP($B151,TC_Fechas,TC_Venta_Rango,"",-1)),"")))</f>
        <v/>
      </c>
      <c r="O151" s="20">
        <f>IF(OR($C151="",$N151=""),"",ROUND($J151*$N151,2)+ROUND($K151*$N151,2))</f>
        <v/>
      </c>
      <c r="P151" s="31">
        <f>IF($G151="","",IFERROR(INDEX(Catalogo_Tasas,MATCH($G151,Catalogo_Codigos,0)),""))</f>
        <v/>
      </c>
      <c r="Q151" s="32">
        <f>IF($G151="","",IFERROR(INDEX(Catalogo_Umbrales,MATCH($G151,Catalogo_Codigos,0)),""))</f>
        <v/>
      </c>
      <c r="R151">
        <f>IF(OR($C151="",$P151="",$O151=""),"",IF($F151&lt;&gt;"FACTURA","NO",IF(AND($P151&gt;0,$O151&gt;$Q151),"SI","NO")))</f>
        <v/>
      </c>
      <c r="S151" s="20">
        <f>IF($R151="SI",ROUND($O151*$P151,2),IF($C151="","",0))</f>
        <v/>
      </c>
      <c r="T151" s="20" t="n"/>
      <c r="U151">
        <f>IF($C151="","",IF($R151&lt;&gt;"SI","",IF($T151="","SIN DATO",IF(ABS($T151-$S151)&lt;=0.5,"OK","REVISAR"))))</f>
        <v/>
      </c>
      <c r="V151" s="20" t="n"/>
      <c r="W151" s="20">
        <f>IF(OR($C151="",$N151=""),"",IF($F151="RHE",ROUND($L151-$V151,2),ROUND($L151-($S151/$N151),2)))</f>
        <v/>
      </c>
      <c r="X151" s="25" t="n"/>
      <c r="Y151" s="25" t="n"/>
    </row>
    <row r="152">
      <c r="A152" t="n">
        <v>149</v>
      </c>
      <c r="B152" s="25" t="n"/>
      <c r="D152" s="30" t="n"/>
      <c r="G152" s="30" t="n"/>
      <c r="H152">
        <f>IF($G152="","",IFERROR(INDEX(Catalogo_Etiquetas,MATCH($G152,Catalogo_Codigos,0)),"CODIGO NO VALIDO"))</f>
        <v/>
      </c>
      <c r="J152" s="20" t="n"/>
      <c r="K152" s="20" t="n"/>
      <c r="L152" s="20">
        <f>IF($C152="","",$J152+$K152)</f>
        <v/>
      </c>
      <c r="M152" s="30" t="n"/>
      <c r="N152" s="26">
        <f>IF($C152="","",IF($I152="PEN",1,IFERROR(IF(_xlfn.XLOOKUP($B152,TC_Fechas,TC_Venta_Rango,"",-1)="","",_xlfn.XLOOKUP($B152,TC_Fechas,TC_Venta_Rango,"",-1)),"")))</f>
        <v/>
      </c>
      <c r="O152" s="20">
        <f>IF(OR($C152="",$N152=""),"",ROUND($J152*$N152,2)+ROUND($K152*$N152,2))</f>
        <v/>
      </c>
      <c r="P152" s="31">
        <f>IF($G152="","",IFERROR(INDEX(Catalogo_Tasas,MATCH($G152,Catalogo_Codigos,0)),""))</f>
        <v/>
      </c>
      <c r="Q152" s="32">
        <f>IF($G152="","",IFERROR(INDEX(Catalogo_Umbrales,MATCH($G152,Catalogo_Codigos,0)),""))</f>
        <v/>
      </c>
      <c r="R152">
        <f>IF(OR($C152="",$P152="",$O152=""),"",IF($F152&lt;&gt;"FACTURA","NO",IF(AND($P152&gt;0,$O152&gt;$Q152),"SI","NO")))</f>
        <v/>
      </c>
      <c r="S152" s="20">
        <f>IF($R152="SI",ROUND($O152*$P152,2),IF($C152="","",0))</f>
        <v/>
      </c>
      <c r="T152" s="20" t="n"/>
      <c r="U152">
        <f>IF($C152="","",IF($R152&lt;&gt;"SI","",IF($T152="","SIN DATO",IF(ABS($T152-$S152)&lt;=0.5,"OK","REVISAR"))))</f>
        <v/>
      </c>
      <c r="V152" s="20" t="n"/>
      <c r="W152" s="20">
        <f>IF(OR($C152="",$N152=""),"",IF($F152="RHE",ROUND($L152-$V152,2),ROUND($L152-($S152/$N152),2)))</f>
        <v/>
      </c>
      <c r="X152" s="25" t="n"/>
      <c r="Y152" s="25" t="n"/>
    </row>
    <row r="153">
      <c r="A153" t="n">
        <v>150</v>
      </c>
      <c r="B153" s="25" t="n"/>
      <c r="D153" s="30" t="n"/>
      <c r="G153" s="30" t="n"/>
      <c r="H153">
        <f>IF($G153="","",IFERROR(INDEX(Catalogo_Etiquetas,MATCH($G153,Catalogo_Codigos,0)),"CODIGO NO VALIDO"))</f>
        <v/>
      </c>
      <c r="J153" s="20" t="n"/>
      <c r="K153" s="20" t="n"/>
      <c r="L153" s="20">
        <f>IF($C153="","",$J153+$K153)</f>
        <v/>
      </c>
      <c r="M153" s="30" t="n"/>
      <c r="N153" s="26">
        <f>IF($C153="","",IF($I153="PEN",1,IFERROR(IF(_xlfn.XLOOKUP($B153,TC_Fechas,TC_Venta_Rango,"",-1)="","",_xlfn.XLOOKUP($B153,TC_Fechas,TC_Venta_Rango,"",-1)),"")))</f>
        <v/>
      </c>
      <c r="O153" s="20">
        <f>IF(OR($C153="",$N153=""),"",ROUND($J153*$N153,2)+ROUND($K153*$N153,2))</f>
        <v/>
      </c>
      <c r="P153" s="31">
        <f>IF($G153="","",IFERROR(INDEX(Catalogo_Tasas,MATCH($G153,Catalogo_Codigos,0)),""))</f>
        <v/>
      </c>
      <c r="Q153" s="32">
        <f>IF($G153="","",IFERROR(INDEX(Catalogo_Umbrales,MATCH($G153,Catalogo_Codigos,0)),""))</f>
        <v/>
      </c>
      <c r="R153">
        <f>IF(OR($C153="",$P153="",$O153=""),"",IF($F153&lt;&gt;"FACTURA","NO",IF(AND($P153&gt;0,$O153&gt;$Q153),"SI","NO")))</f>
        <v/>
      </c>
      <c r="S153" s="20">
        <f>IF($R153="SI",ROUND($O153*$P153,2),IF($C153="","",0))</f>
        <v/>
      </c>
      <c r="T153" s="20" t="n"/>
      <c r="U153">
        <f>IF($C153="","",IF($R153&lt;&gt;"SI","",IF($T153="","SIN DATO",IF(ABS($T153-$S153)&lt;=0.5,"OK","REVISAR"))))</f>
        <v/>
      </c>
      <c r="V153" s="20" t="n"/>
      <c r="W153" s="20">
        <f>IF(OR($C153="",$N153=""),"",IF($F153="RHE",ROUND($L153-$V153,2),ROUND($L153-($S153/$N153),2)))</f>
        <v/>
      </c>
      <c r="X153" s="25" t="n"/>
      <c r="Y153" s="25" t="n"/>
    </row>
    <row r="154">
      <c r="A154" t="n">
        <v>151</v>
      </c>
      <c r="B154" s="25" t="n"/>
      <c r="D154" s="30" t="n"/>
      <c r="G154" s="30" t="n"/>
      <c r="H154">
        <f>IF($G154="","",IFERROR(INDEX(Catalogo_Etiquetas,MATCH($G154,Catalogo_Codigos,0)),"CODIGO NO VALIDO"))</f>
        <v/>
      </c>
      <c r="J154" s="20" t="n"/>
      <c r="K154" s="20" t="n"/>
      <c r="L154" s="20">
        <f>IF($C154="","",$J154+$K154)</f>
        <v/>
      </c>
      <c r="M154" s="30" t="n"/>
      <c r="N154" s="26">
        <f>IF($C154="","",IF($I154="PEN",1,IFERROR(IF(_xlfn.XLOOKUP($B154,TC_Fechas,TC_Venta_Rango,"",-1)="","",_xlfn.XLOOKUP($B154,TC_Fechas,TC_Venta_Rango,"",-1)),"")))</f>
        <v/>
      </c>
      <c r="O154" s="20">
        <f>IF(OR($C154="",$N154=""),"",ROUND($J154*$N154,2)+ROUND($K154*$N154,2))</f>
        <v/>
      </c>
      <c r="P154" s="31">
        <f>IF($G154="","",IFERROR(INDEX(Catalogo_Tasas,MATCH($G154,Catalogo_Codigos,0)),""))</f>
        <v/>
      </c>
      <c r="Q154" s="32">
        <f>IF($G154="","",IFERROR(INDEX(Catalogo_Umbrales,MATCH($G154,Catalogo_Codigos,0)),""))</f>
        <v/>
      </c>
      <c r="R154">
        <f>IF(OR($C154="",$P154="",$O154=""),"",IF($F154&lt;&gt;"FACTURA","NO",IF(AND($P154&gt;0,$O154&gt;$Q154),"SI","NO")))</f>
        <v/>
      </c>
      <c r="S154" s="20">
        <f>IF($R154="SI",ROUND($O154*$P154,2),IF($C154="","",0))</f>
        <v/>
      </c>
      <c r="T154" s="20" t="n"/>
      <c r="U154">
        <f>IF($C154="","",IF($R154&lt;&gt;"SI","",IF($T154="","SIN DATO",IF(ABS($T154-$S154)&lt;=0.5,"OK","REVISAR"))))</f>
        <v/>
      </c>
      <c r="V154" s="20" t="n"/>
      <c r="W154" s="20">
        <f>IF(OR($C154="",$N154=""),"",IF($F154="RHE",ROUND($L154-$V154,2),ROUND($L154-($S154/$N154),2)))</f>
        <v/>
      </c>
      <c r="X154" s="25" t="n"/>
      <c r="Y154" s="25" t="n"/>
    </row>
    <row r="155">
      <c r="A155" t="n">
        <v>152</v>
      </c>
      <c r="B155" s="25" t="n"/>
      <c r="D155" s="30" t="n"/>
      <c r="G155" s="30" t="n"/>
      <c r="H155">
        <f>IF($G155="","",IFERROR(INDEX(Catalogo_Etiquetas,MATCH($G155,Catalogo_Codigos,0)),"CODIGO NO VALIDO"))</f>
        <v/>
      </c>
      <c r="J155" s="20" t="n"/>
      <c r="K155" s="20" t="n"/>
      <c r="L155" s="20">
        <f>IF($C155="","",$J155+$K155)</f>
        <v/>
      </c>
      <c r="M155" s="30" t="n"/>
      <c r="N155" s="26">
        <f>IF($C155="","",IF($I155="PEN",1,IFERROR(IF(_xlfn.XLOOKUP($B155,TC_Fechas,TC_Venta_Rango,"",-1)="","",_xlfn.XLOOKUP($B155,TC_Fechas,TC_Venta_Rango,"",-1)),"")))</f>
        <v/>
      </c>
      <c r="O155" s="20">
        <f>IF(OR($C155="",$N155=""),"",ROUND($J155*$N155,2)+ROUND($K155*$N155,2))</f>
        <v/>
      </c>
      <c r="P155" s="31">
        <f>IF($G155="","",IFERROR(INDEX(Catalogo_Tasas,MATCH($G155,Catalogo_Codigos,0)),""))</f>
        <v/>
      </c>
      <c r="Q155" s="32">
        <f>IF($G155="","",IFERROR(INDEX(Catalogo_Umbrales,MATCH($G155,Catalogo_Codigos,0)),""))</f>
        <v/>
      </c>
      <c r="R155">
        <f>IF(OR($C155="",$P155="",$O155=""),"",IF($F155&lt;&gt;"FACTURA","NO",IF(AND($P155&gt;0,$O155&gt;$Q155),"SI","NO")))</f>
        <v/>
      </c>
      <c r="S155" s="20">
        <f>IF($R155="SI",ROUND($O155*$P155,2),IF($C155="","",0))</f>
        <v/>
      </c>
      <c r="T155" s="20" t="n"/>
      <c r="U155">
        <f>IF($C155="","",IF($R155&lt;&gt;"SI","",IF($T155="","SIN DATO",IF(ABS($T155-$S155)&lt;=0.5,"OK","REVISAR"))))</f>
        <v/>
      </c>
      <c r="V155" s="20" t="n"/>
      <c r="W155" s="20">
        <f>IF(OR($C155="",$N155=""),"",IF($F155="RHE",ROUND($L155-$V155,2),ROUND($L155-($S155/$N155),2)))</f>
        <v/>
      </c>
      <c r="X155" s="25" t="n"/>
      <c r="Y155" s="25" t="n"/>
    </row>
    <row r="156">
      <c r="A156" t="n">
        <v>153</v>
      </c>
      <c r="B156" s="25" t="n"/>
      <c r="D156" s="30" t="n"/>
      <c r="G156" s="30" t="n"/>
      <c r="H156">
        <f>IF($G156="","",IFERROR(INDEX(Catalogo_Etiquetas,MATCH($G156,Catalogo_Codigos,0)),"CODIGO NO VALIDO"))</f>
        <v/>
      </c>
      <c r="J156" s="20" t="n"/>
      <c r="K156" s="20" t="n"/>
      <c r="L156" s="20">
        <f>IF($C156="","",$J156+$K156)</f>
        <v/>
      </c>
      <c r="M156" s="30" t="n"/>
      <c r="N156" s="26">
        <f>IF($C156="","",IF($I156="PEN",1,IFERROR(IF(_xlfn.XLOOKUP($B156,TC_Fechas,TC_Venta_Rango,"",-1)="","",_xlfn.XLOOKUP($B156,TC_Fechas,TC_Venta_Rango,"",-1)),"")))</f>
        <v/>
      </c>
      <c r="O156" s="20">
        <f>IF(OR($C156="",$N156=""),"",ROUND($J156*$N156,2)+ROUND($K156*$N156,2))</f>
        <v/>
      </c>
      <c r="P156" s="31">
        <f>IF($G156="","",IFERROR(INDEX(Catalogo_Tasas,MATCH($G156,Catalogo_Codigos,0)),""))</f>
        <v/>
      </c>
      <c r="Q156" s="32">
        <f>IF($G156="","",IFERROR(INDEX(Catalogo_Umbrales,MATCH($G156,Catalogo_Codigos,0)),""))</f>
        <v/>
      </c>
      <c r="R156">
        <f>IF(OR($C156="",$P156="",$O156=""),"",IF($F156&lt;&gt;"FACTURA","NO",IF(AND($P156&gt;0,$O156&gt;$Q156),"SI","NO")))</f>
        <v/>
      </c>
      <c r="S156" s="20">
        <f>IF($R156="SI",ROUND($O156*$P156,2),IF($C156="","",0))</f>
        <v/>
      </c>
      <c r="T156" s="20" t="n"/>
      <c r="U156">
        <f>IF($C156="","",IF($R156&lt;&gt;"SI","",IF($T156="","SIN DATO",IF(ABS($T156-$S156)&lt;=0.5,"OK","REVISAR"))))</f>
        <v/>
      </c>
      <c r="V156" s="20" t="n"/>
      <c r="W156" s="20">
        <f>IF(OR($C156="",$N156=""),"",IF($F156="RHE",ROUND($L156-$V156,2),ROUND($L156-($S156/$N156),2)))</f>
        <v/>
      </c>
      <c r="X156" s="25" t="n"/>
      <c r="Y156" s="25" t="n"/>
    </row>
    <row r="157">
      <c r="A157" t="n">
        <v>154</v>
      </c>
      <c r="B157" s="25" t="n"/>
      <c r="D157" s="30" t="n"/>
      <c r="G157" s="30" t="n"/>
      <c r="H157">
        <f>IF($G157="","",IFERROR(INDEX(Catalogo_Etiquetas,MATCH($G157,Catalogo_Codigos,0)),"CODIGO NO VALIDO"))</f>
        <v/>
      </c>
      <c r="J157" s="20" t="n"/>
      <c r="K157" s="20" t="n"/>
      <c r="L157" s="20">
        <f>IF($C157="","",$J157+$K157)</f>
        <v/>
      </c>
      <c r="M157" s="30" t="n"/>
      <c r="N157" s="26">
        <f>IF($C157="","",IF($I157="PEN",1,IFERROR(IF(_xlfn.XLOOKUP($B157,TC_Fechas,TC_Venta_Rango,"",-1)="","",_xlfn.XLOOKUP($B157,TC_Fechas,TC_Venta_Rango,"",-1)),"")))</f>
        <v/>
      </c>
      <c r="O157" s="20">
        <f>IF(OR($C157="",$N157=""),"",ROUND($J157*$N157,2)+ROUND($K157*$N157,2))</f>
        <v/>
      </c>
      <c r="P157" s="31">
        <f>IF($G157="","",IFERROR(INDEX(Catalogo_Tasas,MATCH($G157,Catalogo_Codigos,0)),""))</f>
        <v/>
      </c>
      <c r="Q157" s="32">
        <f>IF($G157="","",IFERROR(INDEX(Catalogo_Umbrales,MATCH($G157,Catalogo_Codigos,0)),""))</f>
        <v/>
      </c>
      <c r="R157">
        <f>IF(OR($C157="",$P157="",$O157=""),"",IF($F157&lt;&gt;"FACTURA","NO",IF(AND($P157&gt;0,$O157&gt;$Q157),"SI","NO")))</f>
        <v/>
      </c>
      <c r="S157" s="20">
        <f>IF($R157="SI",ROUND($O157*$P157,2),IF($C157="","",0))</f>
        <v/>
      </c>
      <c r="T157" s="20" t="n"/>
      <c r="U157">
        <f>IF($C157="","",IF($R157&lt;&gt;"SI","",IF($T157="","SIN DATO",IF(ABS($T157-$S157)&lt;=0.5,"OK","REVISAR"))))</f>
        <v/>
      </c>
      <c r="V157" s="20" t="n"/>
      <c r="W157" s="20">
        <f>IF(OR($C157="",$N157=""),"",IF($F157="RHE",ROUND($L157-$V157,2),ROUND($L157-($S157/$N157),2)))</f>
        <v/>
      </c>
      <c r="X157" s="25" t="n"/>
      <c r="Y157" s="25" t="n"/>
    </row>
    <row r="158">
      <c r="A158" t="n">
        <v>155</v>
      </c>
      <c r="B158" s="25" t="n"/>
      <c r="D158" s="30" t="n"/>
      <c r="G158" s="30" t="n"/>
      <c r="H158">
        <f>IF($G158="","",IFERROR(INDEX(Catalogo_Etiquetas,MATCH($G158,Catalogo_Codigos,0)),"CODIGO NO VALIDO"))</f>
        <v/>
      </c>
      <c r="J158" s="20" t="n"/>
      <c r="K158" s="20" t="n"/>
      <c r="L158" s="20">
        <f>IF($C158="","",$J158+$K158)</f>
        <v/>
      </c>
      <c r="M158" s="30" t="n"/>
      <c r="N158" s="26">
        <f>IF($C158="","",IF($I158="PEN",1,IFERROR(IF(_xlfn.XLOOKUP($B158,TC_Fechas,TC_Venta_Rango,"",-1)="","",_xlfn.XLOOKUP($B158,TC_Fechas,TC_Venta_Rango,"",-1)),"")))</f>
        <v/>
      </c>
      <c r="O158" s="20">
        <f>IF(OR($C158="",$N158=""),"",ROUND($J158*$N158,2)+ROUND($K158*$N158,2))</f>
        <v/>
      </c>
      <c r="P158" s="31">
        <f>IF($G158="","",IFERROR(INDEX(Catalogo_Tasas,MATCH($G158,Catalogo_Codigos,0)),""))</f>
        <v/>
      </c>
      <c r="Q158" s="32">
        <f>IF($G158="","",IFERROR(INDEX(Catalogo_Umbrales,MATCH($G158,Catalogo_Codigos,0)),""))</f>
        <v/>
      </c>
      <c r="R158">
        <f>IF(OR($C158="",$P158="",$O158=""),"",IF($F158&lt;&gt;"FACTURA","NO",IF(AND($P158&gt;0,$O158&gt;$Q158),"SI","NO")))</f>
        <v/>
      </c>
      <c r="S158" s="20">
        <f>IF($R158="SI",ROUND($O158*$P158,2),IF($C158="","",0))</f>
        <v/>
      </c>
      <c r="T158" s="20" t="n"/>
      <c r="U158">
        <f>IF($C158="","",IF($R158&lt;&gt;"SI","",IF($T158="","SIN DATO",IF(ABS($T158-$S158)&lt;=0.5,"OK","REVISAR"))))</f>
        <v/>
      </c>
      <c r="V158" s="20" t="n"/>
      <c r="W158" s="20">
        <f>IF(OR($C158="",$N158=""),"",IF($F158="RHE",ROUND($L158-$V158,2),ROUND($L158-($S158/$N158),2)))</f>
        <v/>
      </c>
      <c r="X158" s="25" t="n"/>
      <c r="Y158" s="25" t="n"/>
    </row>
    <row r="159">
      <c r="A159" t="n">
        <v>156</v>
      </c>
      <c r="B159" s="25" t="n"/>
      <c r="D159" s="30" t="n"/>
      <c r="G159" s="30" t="n"/>
      <c r="H159">
        <f>IF($G159="","",IFERROR(INDEX(Catalogo_Etiquetas,MATCH($G159,Catalogo_Codigos,0)),"CODIGO NO VALIDO"))</f>
        <v/>
      </c>
      <c r="J159" s="20" t="n"/>
      <c r="K159" s="20" t="n"/>
      <c r="L159" s="20">
        <f>IF($C159="","",$J159+$K159)</f>
        <v/>
      </c>
      <c r="M159" s="30" t="n"/>
      <c r="N159" s="26">
        <f>IF($C159="","",IF($I159="PEN",1,IFERROR(IF(_xlfn.XLOOKUP($B159,TC_Fechas,TC_Venta_Rango,"",-1)="","",_xlfn.XLOOKUP($B159,TC_Fechas,TC_Venta_Rango,"",-1)),"")))</f>
        <v/>
      </c>
      <c r="O159" s="20">
        <f>IF(OR($C159="",$N159=""),"",ROUND($J159*$N159,2)+ROUND($K159*$N159,2))</f>
        <v/>
      </c>
      <c r="P159" s="31">
        <f>IF($G159="","",IFERROR(INDEX(Catalogo_Tasas,MATCH($G159,Catalogo_Codigos,0)),""))</f>
        <v/>
      </c>
      <c r="Q159" s="32">
        <f>IF($G159="","",IFERROR(INDEX(Catalogo_Umbrales,MATCH($G159,Catalogo_Codigos,0)),""))</f>
        <v/>
      </c>
      <c r="R159">
        <f>IF(OR($C159="",$P159="",$O159=""),"",IF($F159&lt;&gt;"FACTURA","NO",IF(AND($P159&gt;0,$O159&gt;$Q159),"SI","NO")))</f>
        <v/>
      </c>
      <c r="S159" s="20">
        <f>IF($R159="SI",ROUND($O159*$P159,2),IF($C159="","",0))</f>
        <v/>
      </c>
      <c r="T159" s="20" t="n"/>
      <c r="U159">
        <f>IF($C159="","",IF($R159&lt;&gt;"SI","",IF($T159="","SIN DATO",IF(ABS($T159-$S159)&lt;=0.5,"OK","REVISAR"))))</f>
        <v/>
      </c>
      <c r="V159" s="20" t="n"/>
      <c r="W159" s="20">
        <f>IF(OR($C159="",$N159=""),"",IF($F159="RHE",ROUND($L159-$V159,2),ROUND($L159-($S159/$N159),2)))</f>
        <v/>
      </c>
      <c r="X159" s="25" t="n"/>
      <c r="Y159" s="25" t="n"/>
    </row>
    <row r="160">
      <c r="A160" t="n">
        <v>157</v>
      </c>
      <c r="B160" s="25" t="n"/>
      <c r="D160" s="30" t="n"/>
      <c r="G160" s="30" t="n"/>
      <c r="H160">
        <f>IF($G160="","",IFERROR(INDEX(Catalogo_Etiquetas,MATCH($G160,Catalogo_Codigos,0)),"CODIGO NO VALIDO"))</f>
        <v/>
      </c>
      <c r="J160" s="20" t="n"/>
      <c r="K160" s="20" t="n"/>
      <c r="L160" s="20">
        <f>IF($C160="","",$J160+$K160)</f>
        <v/>
      </c>
      <c r="M160" s="30" t="n"/>
      <c r="N160" s="26">
        <f>IF($C160="","",IF($I160="PEN",1,IFERROR(IF(_xlfn.XLOOKUP($B160,TC_Fechas,TC_Venta_Rango,"",-1)="","",_xlfn.XLOOKUP($B160,TC_Fechas,TC_Venta_Rango,"",-1)),"")))</f>
        <v/>
      </c>
      <c r="O160" s="20">
        <f>IF(OR($C160="",$N160=""),"",ROUND($J160*$N160,2)+ROUND($K160*$N160,2))</f>
        <v/>
      </c>
      <c r="P160" s="31">
        <f>IF($G160="","",IFERROR(INDEX(Catalogo_Tasas,MATCH($G160,Catalogo_Codigos,0)),""))</f>
        <v/>
      </c>
      <c r="Q160" s="32">
        <f>IF($G160="","",IFERROR(INDEX(Catalogo_Umbrales,MATCH($G160,Catalogo_Codigos,0)),""))</f>
        <v/>
      </c>
      <c r="R160">
        <f>IF(OR($C160="",$P160="",$O160=""),"",IF($F160&lt;&gt;"FACTURA","NO",IF(AND($P160&gt;0,$O160&gt;$Q160),"SI","NO")))</f>
        <v/>
      </c>
      <c r="S160" s="20">
        <f>IF($R160="SI",ROUND($O160*$P160,2),IF($C160="","",0))</f>
        <v/>
      </c>
      <c r="T160" s="20" t="n"/>
      <c r="U160">
        <f>IF($C160="","",IF($R160&lt;&gt;"SI","",IF($T160="","SIN DATO",IF(ABS($T160-$S160)&lt;=0.5,"OK","REVISAR"))))</f>
        <v/>
      </c>
      <c r="V160" s="20" t="n"/>
      <c r="W160" s="20">
        <f>IF(OR($C160="",$N160=""),"",IF($F160="RHE",ROUND($L160-$V160,2),ROUND($L160-($S160/$N160),2)))</f>
        <v/>
      </c>
      <c r="X160" s="25" t="n"/>
      <c r="Y160" s="25" t="n"/>
    </row>
    <row r="161">
      <c r="A161" t="n">
        <v>158</v>
      </c>
      <c r="B161" s="25" t="n"/>
      <c r="D161" s="30" t="n"/>
      <c r="G161" s="30" t="n"/>
      <c r="H161">
        <f>IF($G161="","",IFERROR(INDEX(Catalogo_Etiquetas,MATCH($G161,Catalogo_Codigos,0)),"CODIGO NO VALIDO"))</f>
        <v/>
      </c>
      <c r="J161" s="20" t="n"/>
      <c r="K161" s="20" t="n"/>
      <c r="L161" s="20">
        <f>IF($C161="","",$J161+$K161)</f>
        <v/>
      </c>
      <c r="M161" s="30" t="n"/>
      <c r="N161" s="26">
        <f>IF($C161="","",IF($I161="PEN",1,IFERROR(IF(_xlfn.XLOOKUP($B161,TC_Fechas,TC_Venta_Rango,"",-1)="","",_xlfn.XLOOKUP($B161,TC_Fechas,TC_Venta_Rango,"",-1)),"")))</f>
        <v/>
      </c>
      <c r="O161" s="20">
        <f>IF(OR($C161="",$N161=""),"",ROUND($J161*$N161,2)+ROUND($K161*$N161,2))</f>
        <v/>
      </c>
      <c r="P161" s="31">
        <f>IF($G161="","",IFERROR(INDEX(Catalogo_Tasas,MATCH($G161,Catalogo_Codigos,0)),""))</f>
        <v/>
      </c>
      <c r="Q161" s="32">
        <f>IF($G161="","",IFERROR(INDEX(Catalogo_Umbrales,MATCH($G161,Catalogo_Codigos,0)),""))</f>
        <v/>
      </c>
      <c r="R161">
        <f>IF(OR($C161="",$P161="",$O161=""),"",IF($F161&lt;&gt;"FACTURA","NO",IF(AND($P161&gt;0,$O161&gt;$Q161),"SI","NO")))</f>
        <v/>
      </c>
      <c r="S161" s="20">
        <f>IF($R161="SI",ROUND($O161*$P161,2),IF($C161="","",0))</f>
        <v/>
      </c>
      <c r="T161" s="20" t="n"/>
      <c r="U161">
        <f>IF($C161="","",IF($R161&lt;&gt;"SI","",IF($T161="","SIN DATO",IF(ABS($T161-$S161)&lt;=0.5,"OK","REVISAR"))))</f>
        <v/>
      </c>
      <c r="V161" s="20" t="n"/>
      <c r="W161" s="20">
        <f>IF(OR($C161="",$N161=""),"",IF($F161="RHE",ROUND($L161-$V161,2),ROUND($L161-($S161/$N161),2)))</f>
        <v/>
      </c>
      <c r="X161" s="25" t="n"/>
      <c r="Y161" s="25" t="n"/>
    </row>
    <row r="162">
      <c r="A162" t="n">
        <v>159</v>
      </c>
      <c r="B162" s="25" t="n"/>
      <c r="D162" s="30" t="n"/>
      <c r="G162" s="30" t="n"/>
      <c r="H162">
        <f>IF($G162="","",IFERROR(INDEX(Catalogo_Etiquetas,MATCH($G162,Catalogo_Codigos,0)),"CODIGO NO VALIDO"))</f>
        <v/>
      </c>
      <c r="J162" s="20" t="n"/>
      <c r="K162" s="20" t="n"/>
      <c r="L162" s="20">
        <f>IF($C162="","",$J162+$K162)</f>
        <v/>
      </c>
      <c r="M162" s="30" t="n"/>
      <c r="N162" s="26">
        <f>IF($C162="","",IF($I162="PEN",1,IFERROR(IF(_xlfn.XLOOKUP($B162,TC_Fechas,TC_Venta_Rango,"",-1)="","",_xlfn.XLOOKUP($B162,TC_Fechas,TC_Venta_Rango,"",-1)),"")))</f>
        <v/>
      </c>
      <c r="O162" s="20">
        <f>IF(OR($C162="",$N162=""),"",ROUND($J162*$N162,2)+ROUND($K162*$N162,2))</f>
        <v/>
      </c>
      <c r="P162" s="31">
        <f>IF($G162="","",IFERROR(INDEX(Catalogo_Tasas,MATCH($G162,Catalogo_Codigos,0)),""))</f>
        <v/>
      </c>
      <c r="Q162" s="32">
        <f>IF($G162="","",IFERROR(INDEX(Catalogo_Umbrales,MATCH($G162,Catalogo_Codigos,0)),""))</f>
        <v/>
      </c>
      <c r="R162">
        <f>IF(OR($C162="",$P162="",$O162=""),"",IF($F162&lt;&gt;"FACTURA","NO",IF(AND($P162&gt;0,$O162&gt;$Q162),"SI","NO")))</f>
        <v/>
      </c>
      <c r="S162" s="20">
        <f>IF($R162="SI",ROUND($O162*$P162,2),IF($C162="","",0))</f>
        <v/>
      </c>
      <c r="T162" s="20" t="n"/>
      <c r="U162">
        <f>IF($C162="","",IF($R162&lt;&gt;"SI","",IF($T162="","SIN DATO",IF(ABS($T162-$S162)&lt;=0.5,"OK","REVISAR"))))</f>
        <v/>
      </c>
      <c r="V162" s="20" t="n"/>
      <c r="W162" s="20">
        <f>IF(OR($C162="",$N162=""),"",IF($F162="RHE",ROUND($L162-$V162,2),ROUND($L162-($S162/$N162),2)))</f>
        <v/>
      </c>
      <c r="X162" s="25" t="n"/>
      <c r="Y162" s="25" t="n"/>
    </row>
    <row r="163">
      <c r="A163" t="n">
        <v>160</v>
      </c>
      <c r="B163" s="25" t="n"/>
      <c r="D163" s="30" t="n"/>
      <c r="G163" s="30" t="n"/>
      <c r="H163">
        <f>IF($G163="","",IFERROR(INDEX(Catalogo_Etiquetas,MATCH($G163,Catalogo_Codigos,0)),"CODIGO NO VALIDO"))</f>
        <v/>
      </c>
      <c r="J163" s="20" t="n"/>
      <c r="K163" s="20" t="n"/>
      <c r="L163" s="20">
        <f>IF($C163="","",$J163+$K163)</f>
        <v/>
      </c>
      <c r="M163" s="30" t="n"/>
      <c r="N163" s="26">
        <f>IF($C163="","",IF($I163="PEN",1,IFERROR(IF(_xlfn.XLOOKUP($B163,TC_Fechas,TC_Venta_Rango,"",-1)="","",_xlfn.XLOOKUP($B163,TC_Fechas,TC_Venta_Rango,"",-1)),"")))</f>
        <v/>
      </c>
      <c r="O163" s="20">
        <f>IF(OR($C163="",$N163=""),"",ROUND($J163*$N163,2)+ROUND($K163*$N163,2))</f>
        <v/>
      </c>
      <c r="P163" s="31">
        <f>IF($G163="","",IFERROR(INDEX(Catalogo_Tasas,MATCH($G163,Catalogo_Codigos,0)),""))</f>
        <v/>
      </c>
      <c r="Q163" s="32">
        <f>IF($G163="","",IFERROR(INDEX(Catalogo_Umbrales,MATCH($G163,Catalogo_Codigos,0)),""))</f>
        <v/>
      </c>
      <c r="R163">
        <f>IF(OR($C163="",$P163="",$O163=""),"",IF($F163&lt;&gt;"FACTURA","NO",IF(AND($P163&gt;0,$O163&gt;$Q163),"SI","NO")))</f>
        <v/>
      </c>
      <c r="S163" s="20">
        <f>IF($R163="SI",ROUND($O163*$P163,2),IF($C163="","",0))</f>
        <v/>
      </c>
      <c r="T163" s="20" t="n"/>
      <c r="U163">
        <f>IF($C163="","",IF($R163&lt;&gt;"SI","",IF($T163="","SIN DATO",IF(ABS($T163-$S163)&lt;=0.5,"OK","REVISAR"))))</f>
        <v/>
      </c>
      <c r="V163" s="20" t="n"/>
      <c r="W163" s="20">
        <f>IF(OR($C163="",$N163=""),"",IF($F163="RHE",ROUND($L163-$V163,2),ROUND($L163-($S163/$N163),2)))</f>
        <v/>
      </c>
      <c r="X163" s="25" t="n"/>
      <c r="Y163" s="25" t="n"/>
    </row>
    <row r="164">
      <c r="A164" t="n">
        <v>161</v>
      </c>
      <c r="B164" s="25" t="n"/>
      <c r="D164" s="30" t="n"/>
      <c r="G164" s="30" t="n"/>
      <c r="H164">
        <f>IF($G164="","",IFERROR(INDEX(Catalogo_Etiquetas,MATCH($G164,Catalogo_Codigos,0)),"CODIGO NO VALIDO"))</f>
        <v/>
      </c>
      <c r="J164" s="20" t="n"/>
      <c r="K164" s="20" t="n"/>
      <c r="L164" s="20">
        <f>IF($C164="","",$J164+$K164)</f>
        <v/>
      </c>
      <c r="M164" s="30" t="n"/>
      <c r="N164" s="26">
        <f>IF($C164="","",IF($I164="PEN",1,IFERROR(IF(_xlfn.XLOOKUP($B164,TC_Fechas,TC_Venta_Rango,"",-1)="","",_xlfn.XLOOKUP($B164,TC_Fechas,TC_Venta_Rango,"",-1)),"")))</f>
        <v/>
      </c>
      <c r="O164" s="20">
        <f>IF(OR($C164="",$N164=""),"",ROUND($J164*$N164,2)+ROUND($K164*$N164,2))</f>
        <v/>
      </c>
      <c r="P164" s="31">
        <f>IF($G164="","",IFERROR(INDEX(Catalogo_Tasas,MATCH($G164,Catalogo_Codigos,0)),""))</f>
        <v/>
      </c>
      <c r="Q164" s="32">
        <f>IF($G164="","",IFERROR(INDEX(Catalogo_Umbrales,MATCH($G164,Catalogo_Codigos,0)),""))</f>
        <v/>
      </c>
      <c r="R164">
        <f>IF(OR($C164="",$P164="",$O164=""),"",IF($F164&lt;&gt;"FACTURA","NO",IF(AND($P164&gt;0,$O164&gt;$Q164),"SI","NO")))</f>
        <v/>
      </c>
      <c r="S164" s="20">
        <f>IF($R164="SI",ROUND($O164*$P164,2),IF($C164="","",0))</f>
        <v/>
      </c>
      <c r="T164" s="20" t="n"/>
      <c r="U164">
        <f>IF($C164="","",IF($R164&lt;&gt;"SI","",IF($T164="","SIN DATO",IF(ABS($T164-$S164)&lt;=0.5,"OK","REVISAR"))))</f>
        <v/>
      </c>
      <c r="V164" s="20" t="n"/>
      <c r="W164" s="20">
        <f>IF(OR($C164="",$N164=""),"",IF($F164="RHE",ROUND($L164-$V164,2),ROUND($L164-($S164/$N164),2)))</f>
        <v/>
      </c>
      <c r="X164" s="25" t="n"/>
      <c r="Y164" s="25" t="n"/>
    </row>
    <row r="165">
      <c r="A165" t="n">
        <v>162</v>
      </c>
      <c r="B165" s="25" t="n"/>
      <c r="D165" s="30" t="n"/>
      <c r="G165" s="30" t="n"/>
      <c r="H165">
        <f>IF($G165="","",IFERROR(INDEX(Catalogo_Etiquetas,MATCH($G165,Catalogo_Codigos,0)),"CODIGO NO VALIDO"))</f>
        <v/>
      </c>
      <c r="J165" s="20" t="n"/>
      <c r="K165" s="20" t="n"/>
      <c r="L165" s="20">
        <f>IF($C165="","",$J165+$K165)</f>
        <v/>
      </c>
      <c r="M165" s="30" t="n"/>
      <c r="N165" s="26">
        <f>IF($C165="","",IF($I165="PEN",1,IFERROR(IF(_xlfn.XLOOKUP($B165,TC_Fechas,TC_Venta_Rango,"",-1)="","",_xlfn.XLOOKUP($B165,TC_Fechas,TC_Venta_Rango,"",-1)),"")))</f>
        <v/>
      </c>
      <c r="O165" s="20">
        <f>IF(OR($C165="",$N165=""),"",ROUND($J165*$N165,2)+ROUND($K165*$N165,2))</f>
        <v/>
      </c>
      <c r="P165" s="31">
        <f>IF($G165="","",IFERROR(INDEX(Catalogo_Tasas,MATCH($G165,Catalogo_Codigos,0)),""))</f>
        <v/>
      </c>
      <c r="Q165" s="32">
        <f>IF($G165="","",IFERROR(INDEX(Catalogo_Umbrales,MATCH($G165,Catalogo_Codigos,0)),""))</f>
        <v/>
      </c>
      <c r="R165">
        <f>IF(OR($C165="",$P165="",$O165=""),"",IF($F165&lt;&gt;"FACTURA","NO",IF(AND($P165&gt;0,$O165&gt;$Q165),"SI","NO")))</f>
        <v/>
      </c>
      <c r="S165" s="20">
        <f>IF($R165="SI",ROUND($O165*$P165,2),IF($C165="","",0))</f>
        <v/>
      </c>
      <c r="T165" s="20" t="n"/>
      <c r="U165">
        <f>IF($C165="","",IF($R165&lt;&gt;"SI","",IF($T165="","SIN DATO",IF(ABS($T165-$S165)&lt;=0.5,"OK","REVISAR"))))</f>
        <v/>
      </c>
      <c r="V165" s="20" t="n"/>
      <c r="W165" s="20">
        <f>IF(OR($C165="",$N165=""),"",IF($F165="RHE",ROUND($L165-$V165,2),ROUND($L165-($S165/$N165),2)))</f>
        <v/>
      </c>
      <c r="X165" s="25" t="n"/>
      <c r="Y165" s="25" t="n"/>
    </row>
    <row r="166">
      <c r="A166" t="n">
        <v>163</v>
      </c>
      <c r="B166" s="25" t="n"/>
      <c r="D166" s="30" t="n"/>
      <c r="G166" s="30" t="n"/>
      <c r="H166">
        <f>IF($G166="","",IFERROR(INDEX(Catalogo_Etiquetas,MATCH($G166,Catalogo_Codigos,0)),"CODIGO NO VALIDO"))</f>
        <v/>
      </c>
      <c r="J166" s="20" t="n"/>
      <c r="K166" s="20" t="n"/>
      <c r="L166" s="20">
        <f>IF($C166="","",$J166+$K166)</f>
        <v/>
      </c>
      <c r="M166" s="30" t="n"/>
      <c r="N166" s="26">
        <f>IF($C166="","",IF($I166="PEN",1,IFERROR(IF(_xlfn.XLOOKUP($B166,TC_Fechas,TC_Venta_Rango,"",-1)="","",_xlfn.XLOOKUP($B166,TC_Fechas,TC_Venta_Rango,"",-1)),"")))</f>
        <v/>
      </c>
      <c r="O166" s="20">
        <f>IF(OR($C166="",$N166=""),"",ROUND($J166*$N166,2)+ROUND($K166*$N166,2))</f>
        <v/>
      </c>
      <c r="P166" s="31">
        <f>IF($G166="","",IFERROR(INDEX(Catalogo_Tasas,MATCH($G166,Catalogo_Codigos,0)),""))</f>
        <v/>
      </c>
      <c r="Q166" s="32">
        <f>IF($G166="","",IFERROR(INDEX(Catalogo_Umbrales,MATCH($G166,Catalogo_Codigos,0)),""))</f>
        <v/>
      </c>
      <c r="R166">
        <f>IF(OR($C166="",$P166="",$O166=""),"",IF($F166&lt;&gt;"FACTURA","NO",IF(AND($P166&gt;0,$O166&gt;$Q166),"SI","NO")))</f>
        <v/>
      </c>
      <c r="S166" s="20">
        <f>IF($R166="SI",ROUND($O166*$P166,2),IF($C166="","",0))</f>
        <v/>
      </c>
      <c r="T166" s="20" t="n"/>
      <c r="U166">
        <f>IF($C166="","",IF($R166&lt;&gt;"SI","",IF($T166="","SIN DATO",IF(ABS($T166-$S166)&lt;=0.5,"OK","REVISAR"))))</f>
        <v/>
      </c>
      <c r="V166" s="20" t="n"/>
      <c r="W166" s="20">
        <f>IF(OR($C166="",$N166=""),"",IF($F166="RHE",ROUND($L166-$V166,2),ROUND($L166-($S166/$N166),2)))</f>
        <v/>
      </c>
      <c r="X166" s="25" t="n"/>
      <c r="Y166" s="25" t="n"/>
    </row>
    <row r="167">
      <c r="A167" t="n">
        <v>164</v>
      </c>
      <c r="B167" s="25" t="n"/>
      <c r="D167" s="30" t="n"/>
      <c r="G167" s="30" t="n"/>
      <c r="H167">
        <f>IF($G167="","",IFERROR(INDEX(Catalogo_Etiquetas,MATCH($G167,Catalogo_Codigos,0)),"CODIGO NO VALIDO"))</f>
        <v/>
      </c>
      <c r="J167" s="20" t="n"/>
      <c r="K167" s="20" t="n"/>
      <c r="L167" s="20">
        <f>IF($C167="","",$J167+$K167)</f>
        <v/>
      </c>
      <c r="M167" s="30" t="n"/>
      <c r="N167" s="26">
        <f>IF($C167="","",IF($I167="PEN",1,IFERROR(IF(_xlfn.XLOOKUP($B167,TC_Fechas,TC_Venta_Rango,"",-1)="","",_xlfn.XLOOKUP($B167,TC_Fechas,TC_Venta_Rango,"",-1)),"")))</f>
        <v/>
      </c>
      <c r="O167" s="20">
        <f>IF(OR($C167="",$N167=""),"",ROUND($J167*$N167,2)+ROUND($K167*$N167,2))</f>
        <v/>
      </c>
      <c r="P167" s="31">
        <f>IF($G167="","",IFERROR(INDEX(Catalogo_Tasas,MATCH($G167,Catalogo_Codigos,0)),""))</f>
        <v/>
      </c>
      <c r="Q167" s="32">
        <f>IF($G167="","",IFERROR(INDEX(Catalogo_Umbrales,MATCH($G167,Catalogo_Codigos,0)),""))</f>
        <v/>
      </c>
      <c r="R167">
        <f>IF(OR($C167="",$P167="",$O167=""),"",IF($F167&lt;&gt;"FACTURA","NO",IF(AND($P167&gt;0,$O167&gt;$Q167),"SI","NO")))</f>
        <v/>
      </c>
      <c r="S167" s="20">
        <f>IF($R167="SI",ROUND($O167*$P167,2),IF($C167="","",0))</f>
        <v/>
      </c>
      <c r="T167" s="20" t="n"/>
      <c r="U167">
        <f>IF($C167="","",IF($R167&lt;&gt;"SI","",IF($T167="","SIN DATO",IF(ABS($T167-$S167)&lt;=0.5,"OK","REVISAR"))))</f>
        <v/>
      </c>
      <c r="V167" s="20" t="n"/>
      <c r="W167" s="20">
        <f>IF(OR($C167="",$N167=""),"",IF($F167="RHE",ROUND($L167-$V167,2),ROUND($L167-($S167/$N167),2)))</f>
        <v/>
      </c>
      <c r="X167" s="25" t="n"/>
      <c r="Y167" s="25" t="n"/>
    </row>
    <row r="168">
      <c r="A168" t="n">
        <v>165</v>
      </c>
      <c r="B168" s="25" t="n"/>
      <c r="D168" s="30" t="n"/>
      <c r="G168" s="30" t="n"/>
      <c r="H168">
        <f>IF($G168="","",IFERROR(INDEX(Catalogo_Etiquetas,MATCH($G168,Catalogo_Codigos,0)),"CODIGO NO VALIDO"))</f>
        <v/>
      </c>
      <c r="J168" s="20" t="n"/>
      <c r="K168" s="20" t="n"/>
      <c r="L168" s="20">
        <f>IF($C168="","",$J168+$K168)</f>
        <v/>
      </c>
      <c r="M168" s="30" t="n"/>
      <c r="N168" s="26">
        <f>IF($C168="","",IF($I168="PEN",1,IFERROR(IF(_xlfn.XLOOKUP($B168,TC_Fechas,TC_Venta_Rango,"",-1)="","",_xlfn.XLOOKUP($B168,TC_Fechas,TC_Venta_Rango,"",-1)),"")))</f>
        <v/>
      </c>
      <c r="O168" s="20">
        <f>IF(OR($C168="",$N168=""),"",ROUND($J168*$N168,2)+ROUND($K168*$N168,2))</f>
        <v/>
      </c>
      <c r="P168" s="31">
        <f>IF($G168="","",IFERROR(INDEX(Catalogo_Tasas,MATCH($G168,Catalogo_Codigos,0)),""))</f>
        <v/>
      </c>
      <c r="Q168" s="32">
        <f>IF($G168="","",IFERROR(INDEX(Catalogo_Umbrales,MATCH($G168,Catalogo_Codigos,0)),""))</f>
        <v/>
      </c>
      <c r="R168">
        <f>IF(OR($C168="",$P168="",$O168=""),"",IF($F168&lt;&gt;"FACTURA","NO",IF(AND($P168&gt;0,$O168&gt;$Q168),"SI","NO")))</f>
        <v/>
      </c>
      <c r="S168" s="20">
        <f>IF($R168="SI",ROUND($O168*$P168,2),IF($C168="","",0))</f>
        <v/>
      </c>
      <c r="T168" s="20" t="n"/>
      <c r="U168">
        <f>IF($C168="","",IF($R168&lt;&gt;"SI","",IF($T168="","SIN DATO",IF(ABS($T168-$S168)&lt;=0.5,"OK","REVISAR"))))</f>
        <v/>
      </c>
      <c r="V168" s="20" t="n"/>
      <c r="W168" s="20">
        <f>IF(OR($C168="",$N168=""),"",IF($F168="RHE",ROUND($L168-$V168,2),ROUND($L168-($S168/$N168),2)))</f>
        <v/>
      </c>
      <c r="X168" s="25" t="n"/>
      <c r="Y168" s="25" t="n"/>
    </row>
    <row r="169">
      <c r="A169" t="n">
        <v>166</v>
      </c>
      <c r="B169" s="25" t="n"/>
      <c r="D169" s="30" t="n"/>
      <c r="G169" s="30" t="n"/>
      <c r="H169">
        <f>IF($G169="","",IFERROR(INDEX(Catalogo_Etiquetas,MATCH($G169,Catalogo_Codigos,0)),"CODIGO NO VALIDO"))</f>
        <v/>
      </c>
      <c r="J169" s="20" t="n"/>
      <c r="K169" s="20" t="n"/>
      <c r="L169" s="20">
        <f>IF($C169="","",$J169+$K169)</f>
        <v/>
      </c>
      <c r="M169" s="30" t="n"/>
      <c r="N169" s="26">
        <f>IF($C169="","",IF($I169="PEN",1,IFERROR(IF(_xlfn.XLOOKUP($B169,TC_Fechas,TC_Venta_Rango,"",-1)="","",_xlfn.XLOOKUP($B169,TC_Fechas,TC_Venta_Rango,"",-1)),"")))</f>
        <v/>
      </c>
      <c r="O169" s="20">
        <f>IF(OR($C169="",$N169=""),"",ROUND($J169*$N169,2)+ROUND($K169*$N169,2))</f>
        <v/>
      </c>
      <c r="P169" s="31">
        <f>IF($G169="","",IFERROR(INDEX(Catalogo_Tasas,MATCH($G169,Catalogo_Codigos,0)),""))</f>
        <v/>
      </c>
      <c r="Q169" s="32">
        <f>IF($G169="","",IFERROR(INDEX(Catalogo_Umbrales,MATCH($G169,Catalogo_Codigos,0)),""))</f>
        <v/>
      </c>
      <c r="R169">
        <f>IF(OR($C169="",$P169="",$O169=""),"",IF($F169&lt;&gt;"FACTURA","NO",IF(AND($P169&gt;0,$O169&gt;$Q169),"SI","NO")))</f>
        <v/>
      </c>
      <c r="S169" s="20">
        <f>IF($R169="SI",ROUND($O169*$P169,2),IF($C169="","",0))</f>
        <v/>
      </c>
      <c r="T169" s="20" t="n"/>
      <c r="U169">
        <f>IF($C169="","",IF($R169&lt;&gt;"SI","",IF($T169="","SIN DATO",IF(ABS($T169-$S169)&lt;=0.5,"OK","REVISAR"))))</f>
        <v/>
      </c>
      <c r="V169" s="20" t="n"/>
      <c r="W169" s="20">
        <f>IF(OR($C169="",$N169=""),"",IF($F169="RHE",ROUND($L169-$V169,2),ROUND($L169-($S169/$N169),2)))</f>
        <v/>
      </c>
      <c r="X169" s="25" t="n"/>
      <c r="Y169" s="25" t="n"/>
    </row>
    <row r="170">
      <c r="A170" t="n">
        <v>167</v>
      </c>
      <c r="B170" s="25" t="n"/>
      <c r="D170" s="30" t="n"/>
      <c r="G170" s="30" t="n"/>
      <c r="H170">
        <f>IF($G170="","",IFERROR(INDEX(Catalogo_Etiquetas,MATCH($G170,Catalogo_Codigos,0)),"CODIGO NO VALIDO"))</f>
        <v/>
      </c>
      <c r="J170" s="20" t="n"/>
      <c r="K170" s="20" t="n"/>
      <c r="L170" s="20">
        <f>IF($C170="","",$J170+$K170)</f>
        <v/>
      </c>
      <c r="M170" s="30" t="n"/>
      <c r="N170" s="26">
        <f>IF($C170="","",IF($I170="PEN",1,IFERROR(IF(_xlfn.XLOOKUP($B170,TC_Fechas,TC_Venta_Rango,"",-1)="","",_xlfn.XLOOKUP($B170,TC_Fechas,TC_Venta_Rango,"",-1)),"")))</f>
        <v/>
      </c>
      <c r="O170" s="20">
        <f>IF(OR($C170="",$N170=""),"",ROUND($J170*$N170,2)+ROUND($K170*$N170,2))</f>
        <v/>
      </c>
      <c r="P170" s="31">
        <f>IF($G170="","",IFERROR(INDEX(Catalogo_Tasas,MATCH($G170,Catalogo_Codigos,0)),""))</f>
        <v/>
      </c>
      <c r="Q170" s="32">
        <f>IF($G170="","",IFERROR(INDEX(Catalogo_Umbrales,MATCH($G170,Catalogo_Codigos,0)),""))</f>
        <v/>
      </c>
      <c r="R170">
        <f>IF(OR($C170="",$P170="",$O170=""),"",IF($F170&lt;&gt;"FACTURA","NO",IF(AND($P170&gt;0,$O170&gt;$Q170),"SI","NO")))</f>
        <v/>
      </c>
      <c r="S170" s="20">
        <f>IF($R170="SI",ROUND($O170*$P170,2),IF($C170="","",0))</f>
        <v/>
      </c>
      <c r="T170" s="20" t="n"/>
      <c r="U170">
        <f>IF($C170="","",IF($R170&lt;&gt;"SI","",IF($T170="","SIN DATO",IF(ABS($T170-$S170)&lt;=0.5,"OK","REVISAR"))))</f>
        <v/>
      </c>
      <c r="V170" s="20" t="n"/>
      <c r="W170" s="20">
        <f>IF(OR($C170="",$N170=""),"",IF($F170="RHE",ROUND($L170-$V170,2),ROUND($L170-($S170/$N170),2)))</f>
        <v/>
      </c>
      <c r="X170" s="25" t="n"/>
      <c r="Y170" s="25" t="n"/>
    </row>
    <row r="171">
      <c r="A171" t="n">
        <v>168</v>
      </c>
      <c r="B171" s="25" t="n"/>
      <c r="D171" s="30" t="n"/>
      <c r="G171" s="30" t="n"/>
      <c r="H171">
        <f>IF($G171="","",IFERROR(INDEX(Catalogo_Etiquetas,MATCH($G171,Catalogo_Codigos,0)),"CODIGO NO VALIDO"))</f>
        <v/>
      </c>
      <c r="J171" s="20" t="n"/>
      <c r="K171" s="20" t="n"/>
      <c r="L171" s="20">
        <f>IF($C171="","",$J171+$K171)</f>
        <v/>
      </c>
      <c r="M171" s="30" t="n"/>
      <c r="N171" s="26">
        <f>IF($C171="","",IF($I171="PEN",1,IFERROR(IF(_xlfn.XLOOKUP($B171,TC_Fechas,TC_Venta_Rango,"",-1)="","",_xlfn.XLOOKUP($B171,TC_Fechas,TC_Venta_Rango,"",-1)),"")))</f>
        <v/>
      </c>
      <c r="O171" s="20">
        <f>IF(OR($C171="",$N171=""),"",ROUND($J171*$N171,2)+ROUND($K171*$N171,2))</f>
        <v/>
      </c>
      <c r="P171" s="31">
        <f>IF($G171="","",IFERROR(INDEX(Catalogo_Tasas,MATCH($G171,Catalogo_Codigos,0)),""))</f>
        <v/>
      </c>
      <c r="Q171" s="32">
        <f>IF($G171="","",IFERROR(INDEX(Catalogo_Umbrales,MATCH($G171,Catalogo_Codigos,0)),""))</f>
        <v/>
      </c>
      <c r="R171">
        <f>IF(OR($C171="",$P171="",$O171=""),"",IF($F171&lt;&gt;"FACTURA","NO",IF(AND($P171&gt;0,$O171&gt;$Q171),"SI","NO")))</f>
        <v/>
      </c>
      <c r="S171" s="20">
        <f>IF($R171="SI",ROUND($O171*$P171,2),IF($C171="","",0))</f>
        <v/>
      </c>
      <c r="T171" s="20" t="n"/>
      <c r="U171">
        <f>IF($C171="","",IF($R171&lt;&gt;"SI","",IF($T171="","SIN DATO",IF(ABS($T171-$S171)&lt;=0.5,"OK","REVISAR"))))</f>
        <v/>
      </c>
      <c r="V171" s="20" t="n"/>
      <c r="W171" s="20">
        <f>IF(OR($C171="",$N171=""),"",IF($F171="RHE",ROUND($L171-$V171,2),ROUND($L171-($S171/$N171),2)))</f>
        <v/>
      </c>
      <c r="X171" s="25" t="n"/>
      <c r="Y171" s="25" t="n"/>
    </row>
    <row r="172">
      <c r="A172" t="n">
        <v>169</v>
      </c>
      <c r="B172" s="25" t="n"/>
      <c r="D172" s="30" t="n"/>
      <c r="G172" s="30" t="n"/>
      <c r="H172">
        <f>IF($G172="","",IFERROR(INDEX(Catalogo_Etiquetas,MATCH($G172,Catalogo_Codigos,0)),"CODIGO NO VALIDO"))</f>
        <v/>
      </c>
      <c r="J172" s="20" t="n"/>
      <c r="K172" s="20" t="n"/>
      <c r="L172" s="20">
        <f>IF($C172="","",$J172+$K172)</f>
        <v/>
      </c>
      <c r="M172" s="30" t="n"/>
      <c r="N172" s="26">
        <f>IF($C172="","",IF($I172="PEN",1,IFERROR(IF(_xlfn.XLOOKUP($B172,TC_Fechas,TC_Venta_Rango,"",-1)="","",_xlfn.XLOOKUP($B172,TC_Fechas,TC_Venta_Rango,"",-1)),"")))</f>
        <v/>
      </c>
      <c r="O172" s="20">
        <f>IF(OR($C172="",$N172=""),"",ROUND($J172*$N172,2)+ROUND($K172*$N172,2))</f>
        <v/>
      </c>
      <c r="P172" s="31">
        <f>IF($G172="","",IFERROR(INDEX(Catalogo_Tasas,MATCH($G172,Catalogo_Codigos,0)),""))</f>
        <v/>
      </c>
      <c r="Q172" s="32">
        <f>IF($G172="","",IFERROR(INDEX(Catalogo_Umbrales,MATCH($G172,Catalogo_Codigos,0)),""))</f>
        <v/>
      </c>
      <c r="R172">
        <f>IF(OR($C172="",$P172="",$O172=""),"",IF($F172&lt;&gt;"FACTURA","NO",IF(AND($P172&gt;0,$O172&gt;$Q172),"SI","NO")))</f>
        <v/>
      </c>
      <c r="S172" s="20">
        <f>IF($R172="SI",ROUND($O172*$P172,2),IF($C172="","",0))</f>
        <v/>
      </c>
      <c r="T172" s="20" t="n"/>
      <c r="U172">
        <f>IF($C172="","",IF($R172&lt;&gt;"SI","",IF($T172="","SIN DATO",IF(ABS($T172-$S172)&lt;=0.5,"OK","REVISAR"))))</f>
        <v/>
      </c>
      <c r="V172" s="20" t="n"/>
      <c r="W172" s="20">
        <f>IF(OR($C172="",$N172=""),"",IF($F172="RHE",ROUND($L172-$V172,2),ROUND($L172-($S172/$N172),2)))</f>
        <v/>
      </c>
      <c r="X172" s="25" t="n"/>
      <c r="Y172" s="25" t="n"/>
    </row>
    <row r="173">
      <c r="A173" t="n">
        <v>170</v>
      </c>
      <c r="B173" s="25" t="n"/>
      <c r="D173" s="30" t="n"/>
      <c r="G173" s="30" t="n"/>
      <c r="H173">
        <f>IF($G173="","",IFERROR(INDEX(Catalogo_Etiquetas,MATCH($G173,Catalogo_Codigos,0)),"CODIGO NO VALIDO"))</f>
        <v/>
      </c>
      <c r="J173" s="20" t="n"/>
      <c r="K173" s="20" t="n"/>
      <c r="L173" s="20">
        <f>IF($C173="","",$J173+$K173)</f>
        <v/>
      </c>
      <c r="M173" s="30" t="n"/>
      <c r="N173" s="26">
        <f>IF($C173="","",IF($I173="PEN",1,IFERROR(IF(_xlfn.XLOOKUP($B173,TC_Fechas,TC_Venta_Rango,"",-1)="","",_xlfn.XLOOKUP($B173,TC_Fechas,TC_Venta_Rango,"",-1)),"")))</f>
        <v/>
      </c>
      <c r="O173" s="20">
        <f>IF(OR($C173="",$N173=""),"",ROUND($J173*$N173,2)+ROUND($K173*$N173,2))</f>
        <v/>
      </c>
      <c r="P173" s="31">
        <f>IF($G173="","",IFERROR(INDEX(Catalogo_Tasas,MATCH($G173,Catalogo_Codigos,0)),""))</f>
        <v/>
      </c>
      <c r="Q173" s="32">
        <f>IF($G173="","",IFERROR(INDEX(Catalogo_Umbrales,MATCH($G173,Catalogo_Codigos,0)),""))</f>
        <v/>
      </c>
      <c r="R173">
        <f>IF(OR($C173="",$P173="",$O173=""),"",IF($F173&lt;&gt;"FACTURA","NO",IF(AND($P173&gt;0,$O173&gt;$Q173),"SI","NO")))</f>
        <v/>
      </c>
      <c r="S173" s="20">
        <f>IF($R173="SI",ROUND($O173*$P173,2),IF($C173="","",0))</f>
        <v/>
      </c>
      <c r="T173" s="20" t="n"/>
      <c r="U173">
        <f>IF($C173="","",IF($R173&lt;&gt;"SI","",IF($T173="","SIN DATO",IF(ABS($T173-$S173)&lt;=0.5,"OK","REVISAR"))))</f>
        <v/>
      </c>
      <c r="V173" s="20" t="n"/>
      <c r="W173" s="20">
        <f>IF(OR($C173="",$N173=""),"",IF($F173="RHE",ROUND($L173-$V173,2),ROUND($L173-($S173/$N173),2)))</f>
        <v/>
      </c>
      <c r="X173" s="25" t="n"/>
      <c r="Y173" s="25" t="n"/>
    </row>
    <row r="174">
      <c r="A174" t="n">
        <v>171</v>
      </c>
      <c r="B174" s="25" t="n"/>
      <c r="D174" s="30" t="n"/>
      <c r="G174" s="30" t="n"/>
      <c r="H174">
        <f>IF($G174="","",IFERROR(INDEX(Catalogo_Etiquetas,MATCH($G174,Catalogo_Codigos,0)),"CODIGO NO VALIDO"))</f>
        <v/>
      </c>
      <c r="J174" s="20" t="n"/>
      <c r="K174" s="20" t="n"/>
      <c r="L174" s="20">
        <f>IF($C174="","",$J174+$K174)</f>
        <v/>
      </c>
      <c r="M174" s="30" t="n"/>
      <c r="N174" s="26">
        <f>IF($C174="","",IF($I174="PEN",1,IFERROR(IF(_xlfn.XLOOKUP($B174,TC_Fechas,TC_Venta_Rango,"",-1)="","",_xlfn.XLOOKUP($B174,TC_Fechas,TC_Venta_Rango,"",-1)),"")))</f>
        <v/>
      </c>
      <c r="O174" s="20">
        <f>IF(OR($C174="",$N174=""),"",ROUND($J174*$N174,2)+ROUND($K174*$N174,2))</f>
        <v/>
      </c>
      <c r="P174" s="31">
        <f>IF($G174="","",IFERROR(INDEX(Catalogo_Tasas,MATCH($G174,Catalogo_Codigos,0)),""))</f>
        <v/>
      </c>
      <c r="Q174" s="32">
        <f>IF($G174="","",IFERROR(INDEX(Catalogo_Umbrales,MATCH($G174,Catalogo_Codigos,0)),""))</f>
        <v/>
      </c>
      <c r="R174">
        <f>IF(OR($C174="",$P174="",$O174=""),"",IF($F174&lt;&gt;"FACTURA","NO",IF(AND($P174&gt;0,$O174&gt;$Q174),"SI","NO")))</f>
        <v/>
      </c>
      <c r="S174" s="20">
        <f>IF($R174="SI",ROUND($O174*$P174,2),IF($C174="","",0))</f>
        <v/>
      </c>
      <c r="T174" s="20" t="n"/>
      <c r="U174">
        <f>IF($C174="","",IF($R174&lt;&gt;"SI","",IF($T174="","SIN DATO",IF(ABS($T174-$S174)&lt;=0.5,"OK","REVISAR"))))</f>
        <v/>
      </c>
      <c r="V174" s="20" t="n"/>
      <c r="W174" s="20">
        <f>IF(OR($C174="",$N174=""),"",IF($F174="RHE",ROUND($L174-$V174,2),ROUND($L174-($S174/$N174),2)))</f>
        <v/>
      </c>
      <c r="X174" s="25" t="n"/>
      <c r="Y174" s="25" t="n"/>
    </row>
    <row r="175">
      <c r="A175" t="n">
        <v>172</v>
      </c>
      <c r="B175" s="25" t="n"/>
      <c r="D175" s="30" t="n"/>
      <c r="G175" s="30" t="n"/>
      <c r="H175">
        <f>IF($G175="","",IFERROR(INDEX(Catalogo_Etiquetas,MATCH($G175,Catalogo_Codigos,0)),"CODIGO NO VALIDO"))</f>
        <v/>
      </c>
      <c r="J175" s="20" t="n"/>
      <c r="K175" s="20" t="n"/>
      <c r="L175" s="20">
        <f>IF($C175="","",$J175+$K175)</f>
        <v/>
      </c>
      <c r="M175" s="30" t="n"/>
      <c r="N175" s="26">
        <f>IF($C175="","",IF($I175="PEN",1,IFERROR(IF(_xlfn.XLOOKUP($B175,TC_Fechas,TC_Venta_Rango,"",-1)="","",_xlfn.XLOOKUP($B175,TC_Fechas,TC_Venta_Rango,"",-1)),"")))</f>
        <v/>
      </c>
      <c r="O175" s="20">
        <f>IF(OR($C175="",$N175=""),"",ROUND($J175*$N175,2)+ROUND($K175*$N175,2))</f>
        <v/>
      </c>
      <c r="P175" s="31">
        <f>IF($G175="","",IFERROR(INDEX(Catalogo_Tasas,MATCH($G175,Catalogo_Codigos,0)),""))</f>
        <v/>
      </c>
      <c r="Q175" s="32">
        <f>IF($G175="","",IFERROR(INDEX(Catalogo_Umbrales,MATCH($G175,Catalogo_Codigos,0)),""))</f>
        <v/>
      </c>
      <c r="R175">
        <f>IF(OR($C175="",$P175="",$O175=""),"",IF($F175&lt;&gt;"FACTURA","NO",IF(AND($P175&gt;0,$O175&gt;$Q175),"SI","NO")))</f>
        <v/>
      </c>
      <c r="S175" s="20">
        <f>IF($R175="SI",ROUND($O175*$P175,2),IF($C175="","",0))</f>
        <v/>
      </c>
      <c r="T175" s="20" t="n"/>
      <c r="U175">
        <f>IF($C175="","",IF($R175&lt;&gt;"SI","",IF($T175="","SIN DATO",IF(ABS($T175-$S175)&lt;=0.5,"OK","REVISAR"))))</f>
        <v/>
      </c>
      <c r="V175" s="20" t="n"/>
      <c r="W175" s="20">
        <f>IF(OR($C175="",$N175=""),"",IF($F175="RHE",ROUND($L175-$V175,2),ROUND($L175-($S175/$N175),2)))</f>
        <v/>
      </c>
      <c r="X175" s="25" t="n"/>
      <c r="Y175" s="25" t="n"/>
    </row>
    <row r="176">
      <c r="A176" t="n">
        <v>173</v>
      </c>
      <c r="B176" s="25" t="n"/>
      <c r="D176" s="30" t="n"/>
      <c r="G176" s="30" t="n"/>
      <c r="H176">
        <f>IF($G176="","",IFERROR(INDEX(Catalogo_Etiquetas,MATCH($G176,Catalogo_Codigos,0)),"CODIGO NO VALIDO"))</f>
        <v/>
      </c>
      <c r="J176" s="20" t="n"/>
      <c r="K176" s="20" t="n"/>
      <c r="L176" s="20">
        <f>IF($C176="","",$J176+$K176)</f>
        <v/>
      </c>
      <c r="M176" s="30" t="n"/>
      <c r="N176" s="26">
        <f>IF($C176="","",IF($I176="PEN",1,IFERROR(IF(_xlfn.XLOOKUP($B176,TC_Fechas,TC_Venta_Rango,"",-1)="","",_xlfn.XLOOKUP($B176,TC_Fechas,TC_Venta_Rango,"",-1)),"")))</f>
        <v/>
      </c>
      <c r="O176" s="20">
        <f>IF(OR($C176="",$N176=""),"",ROUND($J176*$N176,2)+ROUND($K176*$N176,2))</f>
        <v/>
      </c>
      <c r="P176" s="31">
        <f>IF($G176="","",IFERROR(INDEX(Catalogo_Tasas,MATCH($G176,Catalogo_Codigos,0)),""))</f>
        <v/>
      </c>
      <c r="Q176" s="32">
        <f>IF($G176="","",IFERROR(INDEX(Catalogo_Umbrales,MATCH($G176,Catalogo_Codigos,0)),""))</f>
        <v/>
      </c>
      <c r="R176">
        <f>IF(OR($C176="",$P176="",$O176=""),"",IF($F176&lt;&gt;"FACTURA","NO",IF(AND($P176&gt;0,$O176&gt;$Q176),"SI","NO")))</f>
        <v/>
      </c>
      <c r="S176" s="20">
        <f>IF($R176="SI",ROUND($O176*$P176,2),IF($C176="","",0))</f>
        <v/>
      </c>
      <c r="T176" s="20" t="n"/>
      <c r="U176">
        <f>IF($C176="","",IF($R176&lt;&gt;"SI","",IF($T176="","SIN DATO",IF(ABS($T176-$S176)&lt;=0.5,"OK","REVISAR"))))</f>
        <v/>
      </c>
      <c r="V176" s="20" t="n"/>
      <c r="W176" s="20">
        <f>IF(OR($C176="",$N176=""),"",IF($F176="RHE",ROUND($L176-$V176,2),ROUND($L176-($S176/$N176),2)))</f>
        <v/>
      </c>
      <c r="X176" s="25" t="n"/>
      <c r="Y176" s="25" t="n"/>
    </row>
    <row r="177">
      <c r="A177" t="n">
        <v>174</v>
      </c>
      <c r="B177" s="25" t="n"/>
      <c r="D177" s="30" t="n"/>
      <c r="G177" s="30" t="n"/>
      <c r="H177">
        <f>IF($G177="","",IFERROR(INDEX(Catalogo_Etiquetas,MATCH($G177,Catalogo_Codigos,0)),"CODIGO NO VALIDO"))</f>
        <v/>
      </c>
      <c r="J177" s="20" t="n"/>
      <c r="K177" s="20" t="n"/>
      <c r="L177" s="20">
        <f>IF($C177="","",$J177+$K177)</f>
        <v/>
      </c>
      <c r="M177" s="30" t="n"/>
      <c r="N177" s="26">
        <f>IF($C177="","",IF($I177="PEN",1,IFERROR(IF(_xlfn.XLOOKUP($B177,TC_Fechas,TC_Venta_Rango,"",-1)="","",_xlfn.XLOOKUP($B177,TC_Fechas,TC_Venta_Rango,"",-1)),"")))</f>
        <v/>
      </c>
      <c r="O177" s="20">
        <f>IF(OR($C177="",$N177=""),"",ROUND($J177*$N177,2)+ROUND($K177*$N177,2))</f>
        <v/>
      </c>
      <c r="P177" s="31">
        <f>IF($G177="","",IFERROR(INDEX(Catalogo_Tasas,MATCH($G177,Catalogo_Codigos,0)),""))</f>
        <v/>
      </c>
      <c r="Q177" s="32">
        <f>IF($G177="","",IFERROR(INDEX(Catalogo_Umbrales,MATCH($G177,Catalogo_Codigos,0)),""))</f>
        <v/>
      </c>
      <c r="R177">
        <f>IF(OR($C177="",$P177="",$O177=""),"",IF($F177&lt;&gt;"FACTURA","NO",IF(AND($P177&gt;0,$O177&gt;$Q177),"SI","NO")))</f>
        <v/>
      </c>
      <c r="S177" s="20">
        <f>IF($R177="SI",ROUND($O177*$P177,2),IF($C177="","",0))</f>
        <v/>
      </c>
      <c r="T177" s="20" t="n"/>
      <c r="U177">
        <f>IF($C177="","",IF($R177&lt;&gt;"SI","",IF($T177="","SIN DATO",IF(ABS($T177-$S177)&lt;=0.5,"OK","REVISAR"))))</f>
        <v/>
      </c>
      <c r="V177" s="20" t="n"/>
      <c r="W177" s="20">
        <f>IF(OR($C177="",$N177=""),"",IF($F177="RHE",ROUND($L177-$V177,2),ROUND($L177-($S177/$N177),2)))</f>
        <v/>
      </c>
      <c r="X177" s="25" t="n"/>
      <c r="Y177" s="25" t="n"/>
    </row>
    <row r="178">
      <c r="A178" t="n">
        <v>175</v>
      </c>
      <c r="B178" s="25" t="n"/>
      <c r="D178" s="30" t="n"/>
      <c r="G178" s="30" t="n"/>
      <c r="H178">
        <f>IF($G178="","",IFERROR(INDEX(Catalogo_Etiquetas,MATCH($G178,Catalogo_Codigos,0)),"CODIGO NO VALIDO"))</f>
        <v/>
      </c>
      <c r="J178" s="20" t="n"/>
      <c r="K178" s="20" t="n"/>
      <c r="L178" s="20">
        <f>IF($C178="","",$J178+$K178)</f>
        <v/>
      </c>
      <c r="M178" s="30" t="n"/>
      <c r="N178" s="26">
        <f>IF($C178="","",IF($I178="PEN",1,IFERROR(IF(_xlfn.XLOOKUP($B178,TC_Fechas,TC_Venta_Rango,"",-1)="","",_xlfn.XLOOKUP($B178,TC_Fechas,TC_Venta_Rango,"",-1)),"")))</f>
        <v/>
      </c>
      <c r="O178" s="20">
        <f>IF(OR($C178="",$N178=""),"",ROUND($J178*$N178,2)+ROUND($K178*$N178,2))</f>
        <v/>
      </c>
      <c r="P178" s="31">
        <f>IF($G178="","",IFERROR(INDEX(Catalogo_Tasas,MATCH($G178,Catalogo_Codigos,0)),""))</f>
        <v/>
      </c>
      <c r="Q178" s="32">
        <f>IF($G178="","",IFERROR(INDEX(Catalogo_Umbrales,MATCH($G178,Catalogo_Codigos,0)),""))</f>
        <v/>
      </c>
      <c r="R178">
        <f>IF(OR($C178="",$P178="",$O178=""),"",IF($F178&lt;&gt;"FACTURA","NO",IF(AND($P178&gt;0,$O178&gt;$Q178),"SI","NO")))</f>
        <v/>
      </c>
      <c r="S178" s="20">
        <f>IF($R178="SI",ROUND($O178*$P178,2),IF($C178="","",0))</f>
        <v/>
      </c>
      <c r="T178" s="20" t="n"/>
      <c r="U178">
        <f>IF($C178="","",IF($R178&lt;&gt;"SI","",IF($T178="","SIN DATO",IF(ABS($T178-$S178)&lt;=0.5,"OK","REVISAR"))))</f>
        <v/>
      </c>
      <c r="V178" s="20" t="n"/>
      <c r="W178" s="20">
        <f>IF(OR($C178="",$N178=""),"",IF($F178="RHE",ROUND($L178-$V178,2),ROUND($L178-($S178/$N178),2)))</f>
        <v/>
      </c>
      <c r="X178" s="25" t="n"/>
      <c r="Y178" s="25" t="n"/>
    </row>
    <row r="179">
      <c r="A179" t="n">
        <v>176</v>
      </c>
      <c r="B179" s="25" t="n"/>
      <c r="D179" s="30" t="n"/>
      <c r="G179" s="30" t="n"/>
      <c r="H179">
        <f>IF($G179="","",IFERROR(INDEX(Catalogo_Etiquetas,MATCH($G179,Catalogo_Codigos,0)),"CODIGO NO VALIDO"))</f>
        <v/>
      </c>
      <c r="J179" s="20" t="n"/>
      <c r="K179" s="20" t="n"/>
      <c r="L179" s="20">
        <f>IF($C179="","",$J179+$K179)</f>
        <v/>
      </c>
      <c r="M179" s="30" t="n"/>
      <c r="N179" s="26">
        <f>IF($C179="","",IF($I179="PEN",1,IFERROR(IF(_xlfn.XLOOKUP($B179,TC_Fechas,TC_Venta_Rango,"",-1)="","",_xlfn.XLOOKUP($B179,TC_Fechas,TC_Venta_Rango,"",-1)),"")))</f>
        <v/>
      </c>
      <c r="O179" s="20">
        <f>IF(OR($C179="",$N179=""),"",ROUND($J179*$N179,2)+ROUND($K179*$N179,2))</f>
        <v/>
      </c>
      <c r="P179" s="31">
        <f>IF($G179="","",IFERROR(INDEX(Catalogo_Tasas,MATCH($G179,Catalogo_Codigos,0)),""))</f>
        <v/>
      </c>
      <c r="Q179" s="32">
        <f>IF($G179="","",IFERROR(INDEX(Catalogo_Umbrales,MATCH($G179,Catalogo_Codigos,0)),""))</f>
        <v/>
      </c>
      <c r="R179">
        <f>IF(OR($C179="",$P179="",$O179=""),"",IF($F179&lt;&gt;"FACTURA","NO",IF(AND($P179&gt;0,$O179&gt;$Q179),"SI","NO")))</f>
        <v/>
      </c>
      <c r="S179" s="20">
        <f>IF($R179="SI",ROUND($O179*$P179,2),IF($C179="","",0))</f>
        <v/>
      </c>
      <c r="T179" s="20" t="n"/>
      <c r="U179">
        <f>IF($C179="","",IF($R179&lt;&gt;"SI","",IF($T179="","SIN DATO",IF(ABS($T179-$S179)&lt;=0.5,"OK","REVISAR"))))</f>
        <v/>
      </c>
      <c r="V179" s="20" t="n"/>
      <c r="W179" s="20">
        <f>IF(OR($C179="",$N179=""),"",IF($F179="RHE",ROUND($L179-$V179,2),ROUND($L179-($S179/$N179),2)))</f>
        <v/>
      </c>
      <c r="X179" s="25" t="n"/>
      <c r="Y179" s="25" t="n"/>
    </row>
    <row r="180">
      <c r="A180" t="n">
        <v>177</v>
      </c>
      <c r="B180" s="25" t="n"/>
      <c r="D180" s="30" t="n"/>
      <c r="G180" s="30" t="n"/>
      <c r="H180">
        <f>IF($G180="","",IFERROR(INDEX(Catalogo_Etiquetas,MATCH($G180,Catalogo_Codigos,0)),"CODIGO NO VALIDO"))</f>
        <v/>
      </c>
      <c r="J180" s="20" t="n"/>
      <c r="K180" s="20" t="n"/>
      <c r="L180" s="20">
        <f>IF($C180="","",$J180+$K180)</f>
        <v/>
      </c>
      <c r="M180" s="30" t="n"/>
      <c r="N180" s="26">
        <f>IF($C180="","",IF($I180="PEN",1,IFERROR(IF(_xlfn.XLOOKUP($B180,TC_Fechas,TC_Venta_Rango,"",-1)="","",_xlfn.XLOOKUP($B180,TC_Fechas,TC_Venta_Rango,"",-1)),"")))</f>
        <v/>
      </c>
      <c r="O180" s="20">
        <f>IF(OR($C180="",$N180=""),"",ROUND($J180*$N180,2)+ROUND($K180*$N180,2))</f>
        <v/>
      </c>
      <c r="P180" s="31">
        <f>IF($G180="","",IFERROR(INDEX(Catalogo_Tasas,MATCH($G180,Catalogo_Codigos,0)),""))</f>
        <v/>
      </c>
      <c r="Q180" s="32">
        <f>IF($G180="","",IFERROR(INDEX(Catalogo_Umbrales,MATCH($G180,Catalogo_Codigos,0)),""))</f>
        <v/>
      </c>
      <c r="R180">
        <f>IF(OR($C180="",$P180="",$O180=""),"",IF($F180&lt;&gt;"FACTURA","NO",IF(AND($P180&gt;0,$O180&gt;$Q180),"SI","NO")))</f>
        <v/>
      </c>
      <c r="S180" s="20">
        <f>IF($R180="SI",ROUND($O180*$P180,2),IF($C180="","",0))</f>
        <v/>
      </c>
      <c r="T180" s="20" t="n"/>
      <c r="U180">
        <f>IF($C180="","",IF($R180&lt;&gt;"SI","",IF($T180="","SIN DATO",IF(ABS($T180-$S180)&lt;=0.5,"OK","REVISAR"))))</f>
        <v/>
      </c>
      <c r="V180" s="20" t="n"/>
      <c r="W180" s="20">
        <f>IF(OR($C180="",$N180=""),"",IF($F180="RHE",ROUND($L180-$V180,2),ROUND($L180-($S180/$N180),2)))</f>
        <v/>
      </c>
      <c r="X180" s="25" t="n"/>
      <c r="Y180" s="25" t="n"/>
    </row>
    <row r="181">
      <c r="A181" t="n">
        <v>178</v>
      </c>
      <c r="B181" s="25" t="n"/>
      <c r="D181" s="30" t="n"/>
      <c r="G181" s="30" t="n"/>
      <c r="H181">
        <f>IF($G181="","",IFERROR(INDEX(Catalogo_Etiquetas,MATCH($G181,Catalogo_Codigos,0)),"CODIGO NO VALIDO"))</f>
        <v/>
      </c>
      <c r="J181" s="20" t="n"/>
      <c r="K181" s="20" t="n"/>
      <c r="L181" s="20">
        <f>IF($C181="","",$J181+$K181)</f>
        <v/>
      </c>
      <c r="M181" s="30" t="n"/>
      <c r="N181" s="26">
        <f>IF($C181="","",IF($I181="PEN",1,IFERROR(IF(_xlfn.XLOOKUP($B181,TC_Fechas,TC_Venta_Rango,"",-1)="","",_xlfn.XLOOKUP($B181,TC_Fechas,TC_Venta_Rango,"",-1)),"")))</f>
        <v/>
      </c>
      <c r="O181" s="20">
        <f>IF(OR($C181="",$N181=""),"",ROUND($J181*$N181,2)+ROUND($K181*$N181,2))</f>
        <v/>
      </c>
      <c r="P181" s="31">
        <f>IF($G181="","",IFERROR(INDEX(Catalogo_Tasas,MATCH($G181,Catalogo_Codigos,0)),""))</f>
        <v/>
      </c>
      <c r="Q181" s="32">
        <f>IF($G181="","",IFERROR(INDEX(Catalogo_Umbrales,MATCH($G181,Catalogo_Codigos,0)),""))</f>
        <v/>
      </c>
      <c r="R181">
        <f>IF(OR($C181="",$P181="",$O181=""),"",IF($F181&lt;&gt;"FACTURA","NO",IF(AND($P181&gt;0,$O181&gt;$Q181),"SI","NO")))</f>
        <v/>
      </c>
      <c r="S181" s="20">
        <f>IF($R181="SI",ROUND($O181*$P181,2),IF($C181="","",0))</f>
        <v/>
      </c>
      <c r="T181" s="20" t="n"/>
      <c r="U181">
        <f>IF($C181="","",IF($R181&lt;&gt;"SI","",IF($T181="","SIN DATO",IF(ABS($T181-$S181)&lt;=0.5,"OK","REVISAR"))))</f>
        <v/>
      </c>
      <c r="V181" s="20" t="n"/>
      <c r="W181" s="20">
        <f>IF(OR($C181="",$N181=""),"",IF($F181="RHE",ROUND($L181-$V181,2),ROUND($L181-($S181/$N181),2)))</f>
        <v/>
      </c>
      <c r="X181" s="25" t="n"/>
      <c r="Y181" s="25" t="n"/>
    </row>
    <row r="182">
      <c r="A182" t="n">
        <v>179</v>
      </c>
      <c r="B182" s="25" t="n"/>
      <c r="D182" s="30" t="n"/>
      <c r="G182" s="30" t="n"/>
      <c r="H182">
        <f>IF($G182="","",IFERROR(INDEX(Catalogo_Etiquetas,MATCH($G182,Catalogo_Codigos,0)),"CODIGO NO VALIDO"))</f>
        <v/>
      </c>
      <c r="J182" s="20" t="n"/>
      <c r="K182" s="20" t="n"/>
      <c r="L182" s="20">
        <f>IF($C182="","",$J182+$K182)</f>
        <v/>
      </c>
      <c r="M182" s="30" t="n"/>
      <c r="N182" s="26">
        <f>IF($C182="","",IF($I182="PEN",1,IFERROR(IF(_xlfn.XLOOKUP($B182,TC_Fechas,TC_Venta_Rango,"",-1)="","",_xlfn.XLOOKUP($B182,TC_Fechas,TC_Venta_Rango,"",-1)),"")))</f>
        <v/>
      </c>
      <c r="O182" s="20">
        <f>IF(OR($C182="",$N182=""),"",ROUND($J182*$N182,2)+ROUND($K182*$N182,2))</f>
        <v/>
      </c>
      <c r="P182" s="31">
        <f>IF($G182="","",IFERROR(INDEX(Catalogo_Tasas,MATCH($G182,Catalogo_Codigos,0)),""))</f>
        <v/>
      </c>
      <c r="Q182" s="32">
        <f>IF($G182="","",IFERROR(INDEX(Catalogo_Umbrales,MATCH($G182,Catalogo_Codigos,0)),""))</f>
        <v/>
      </c>
      <c r="R182">
        <f>IF(OR($C182="",$P182="",$O182=""),"",IF($F182&lt;&gt;"FACTURA","NO",IF(AND($P182&gt;0,$O182&gt;$Q182),"SI","NO")))</f>
        <v/>
      </c>
      <c r="S182" s="20">
        <f>IF($R182="SI",ROUND($O182*$P182,2),IF($C182="","",0))</f>
        <v/>
      </c>
      <c r="T182" s="20" t="n"/>
      <c r="U182">
        <f>IF($C182="","",IF($R182&lt;&gt;"SI","",IF($T182="","SIN DATO",IF(ABS($T182-$S182)&lt;=0.5,"OK","REVISAR"))))</f>
        <v/>
      </c>
      <c r="V182" s="20" t="n"/>
      <c r="W182" s="20">
        <f>IF(OR($C182="",$N182=""),"",IF($F182="RHE",ROUND($L182-$V182,2),ROUND($L182-($S182/$N182),2)))</f>
        <v/>
      </c>
      <c r="X182" s="25" t="n"/>
      <c r="Y182" s="25" t="n"/>
    </row>
    <row r="183">
      <c r="A183" t="n">
        <v>180</v>
      </c>
      <c r="B183" s="25" t="n"/>
      <c r="D183" s="30" t="n"/>
      <c r="G183" s="30" t="n"/>
      <c r="H183">
        <f>IF($G183="","",IFERROR(INDEX(Catalogo_Etiquetas,MATCH($G183,Catalogo_Codigos,0)),"CODIGO NO VALIDO"))</f>
        <v/>
      </c>
      <c r="J183" s="20" t="n"/>
      <c r="K183" s="20" t="n"/>
      <c r="L183" s="20">
        <f>IF($C183="","",$J183+$K183)</f>
        <v/>
      </c>
      <c r="M183" s="30" t="n"/>
      <c r="N183" s="26">
        <f>IF($C183="","",IF($I183="PEN",1,IFERROR(IF(_xlfn.XLOOKUP($B183,TC_Fechas,TC_Venta_Rango,"",-1)="","",_xlfn.XLOOKUP($B183,TC_Fechas,TC_Venta_Rango,"",-1)),"")))</f>
        <v/>
      </c>
      <c r="O183" s="20">
        <f>IF(OR($C183="",$N183=""),"",ROUND($J183*$N183,2)+ROUND($K183*$N183,2))</f>
        <v/>
      </c>
      <c r="P183" s="31">
        <f>IF($G183="","",IFERROR(INDEX(Catalogo_Tasas,MATCH($G183,Catalogo_Codigos,0)),""))</f>
        <v/>
      </c>
      <c r="Q183" s="32">
        <f>IF($G183="","",IFERROR(INDEX(Catalogo_Umbrales,MATCH($G183,Catalogo_Codigos,0)),""))</f>
        <v/>
      </c>
      <c r="R183">
        <f>IF(OR($C183="",$P183="",$O183=""),"",IF($F183&lt;&gt;"FACTURA","NO",IF(AND($P183&gt;0,$O183&gt;$Q183),"SI","NO")))</f>
        <v/>
      </c>
      <c r="S183" s="20">
        <f>IF($R183="SI",ROUND($O183*$P183,2),IF($C183="","",0))</f>
        <v/>
      </c>
      <c r="T183" s="20" t="n"/>
      <c r="U183">
        <f>IF($C183="","",IF($R183&lt;&gt;"SI","",IF($T183="","SIN DATO",IF(ABS($T183-$S183)&lt;=0.5,"OK","REVISAR"))))</f>
        <v/>
      </c>
      <c r="V183" s="20" t="n"/>
      <c r="W183" s="20">
        <f>IF(OR($C183="",$N183=""),"",IF($F183="RHE",ROUND($L183-$V183,2),ROUND($L183-($S183/$N183),2)))</f>
        <v/>
      </c>
      <c r="X183" s="25" t="n"/>
      <c r="Y183" s="25" t="n"/>
    </row>
    <row r="184">
      <c r="A184" t="n">
        <v>181</v>
      </c>
      <c r="B184" s="25" t="n"/>
      <c r="D184" s="30" t="n"/>
      <c r="G184" s="30" t="n"/>
      <c r="H184">
        <f>IF($G184="","",IFERROR(INDEX(Catalogo_Etiquetas,MATCH($G184,Catalogo_Codigos,0)),"CODIGO NO VALIDO"))</f>
        <v/>
      </c>
      <c r="J184" s="20" t="n"/>
      <c r="K184" s="20" t="n"/>
      <c r="L184" s="20">
        <f>IF($C184="","",$J184+$K184)</f>
        <v/>
      </c>
      <c r="M184" s="30" t="n"/>
      <c r="N184" s="26">
        <f>IF($C184="","",IF($I184="PEN",1,IFERROR(IF(_xlfn.XLOOKUP($B184,TC_Fechas,TC_Venta_Rango,"",-1)="","",_xlfn.XLOOKUP($B184,TC_Fechas,TC_Venta_Rango,"",-1)),"")))</f>
        <v/>
      </c>
      <c r="O184" s="20">
        <f>IF(OR($C184="",$N184=""),"",ROUND($J184*$N184,2)+ROUND($K184*$N184,2))</f>
        <v/>
      </c>
      <c r="P184" s="31">
        <f>IF($G184="","",IFERROR(INDEX(Catalogo_Tasas,MATCH($G184,Catalogo_Codigos,0)),""))</f>
        <v/>
      </c>
      <c r="Q184" s="32">
        <f>IF($G184="","",IFERROR(INDEX(Catalogo_Umbrales,MATCH($G184,Catalogo_Codigos,0)),""))</f>
        <v/>
      </c>
      <c r="R184">
        <f>IF(OR($C184="",$P184="",$O184=""),"",IF($F184&lt;&gt;"FACTURA","NO",IF(AND($P184&gt;0,$O184&gt;$Q184),"SI","NO")))</f>
        <v/>
      </c>
      <c r="S184" s="20">
        <f>IF($R184="SI",ROUND($O184*$P184,2),IF($C184="","",0))</f>
        <v/>
      </c>
      <c r="T184" s="20" t="n"/>
      <c r="U184">
        <f>IF($C184="","",IF($R184&lt;&gt;"SI","",IF($T184="","SIN DATO",IF(ABS($T184-$S184)&lt;=0.5,"OK","REVISAR"))))</f>
        <v/>
      </c>
      <c r="V184" s="20" t="n"/>
      <c r="W184" s="20">
        <f>IF(OR($C184="",$N184=""),"",IF($F184="RHE",ROUND($L184-$V184,2),ROUND($L184-($S184/$N184),2)))</f>
        <v/>
      </c>
      <c r="X184" s="25" t="n"/>
      <c r="Y184" s="25" t="n"/>
    </row>
    <row r="185">
      <c r="A185" t="n">
        <v>182</v>
      </c>
      <c r="B185" s="25" t="n"/>
      <c r="D185" s="30" t="n"/>
      <c r="G185" s="30" t="n"/>
      <c r="H185">
        <f>IF($G185="","",IFERROR(INDEX(Catalogo_Etiquetas,MATCH($G185,Catalogo_Codigos,0)),"CODIGO NO VALIDO"))</f>
        <v/>
      </c>
      <c r="J185" s="20" t="n"/>
      <c r="K185" s="20" t="n"/>
      <c r="L185" s="20">
        <f>IF($C185="","",$J185+$K185)</f>
        <v/>
      </c>
      <c r="M185" s="30" t="n"/>
      <c r="N185" s="26">
        <f>IF($C185="","",IF($I185="PEN",1,IFERROR(IF(_xlfn.XLOOKUP($B185,TC_Fechas,TC_Venta_Rango,"",-1)="","",_xlfn.XLOOKUP($B185,TC_Fechas,TC_Venta_Rango,"",-1)),"")))</f>
        <v/>
      </c>
      <c r="O185" s="20">
        <f>IF(OR($C185="",$N185=""),"",ROUND($J185*$N185,2)+ROUND($K185*$N185,2))</f>
        <v/>
      </c>
      <c r="P185" s="31">
        <f>IF($G185="","",IFERROR(INDEX(Catalogo_Tasas,MATCH($G185,Catalogo_Codigos,0)),""))</f>
        <v/>
      </c>
      <c r="Q185" s="32">
        <f>IF($G185="","",IFERROR(INDEX(Catalogo_Umbrales,MATCH($G185,Catalogo_Codigos,0)),""))</f>
        <v/>
      </c>
      <c r="R185">
        <f>IF(OR($C185="",$P185="",$O185=""),"",IF($F185&lt;&gt;"FACTURA","NO",IF(AND($P185&gt;0,$O185&gt;$Q185),"SI","NO")))</f>
        <v/>
      </c>
      <c r="S185" s="20">
        <f>IF($R185="SI",ROUND($O185*$P185,2),IF($C185="","",0))</f>
        <v/>
      </c>
      <c r="T185" s="20" t="n"/>
      <c r="U185">
        <f>IF($C185="","",IF($R185&lt;&gt;"SI","",IF($T185="","SIN DATO",IF(ABS($T185-$S185)&lt;=0.5,"OK","REVISAR"))))</f>
        <v/>
      </c>
      <c r="V185" s="20" t="n"/>
      <c r="W185" s="20">
        <f>IF(OR($C185="",$N185=""),"",IF($F185="RHE",ROUND($L185-$V185,2),ROUND($L185-($S185/$N185),2)))</f>
        <v/>
      </c>
      <c r="X185" s="25" t="n"/>
      <c r="Y185" s="25" t="n"/>
    </row>
    <row r="186">
      <c r="A186" t="n">
        <v>183</v>
      </c>
      <c r="B186" s="25" t="n"/>
      <c r="D186" s="30" t="n"/>
      <c r="G186" s="30" t="n"/>
      <c r="H186">
        <f>IF($G186="","",IFERROR(INDEX(Catalogo_Etiquetas,MATCH($G186,Catalogo_Codigos,0)),"CODIGO NO VALIDO"))</f>
        <v/>
      </c>
      <c r="J186" s="20" t="n"/>
      <c r="K186" s="20" t="n"/>
      <c r="L186" s="20">
        <f>IF($C186="","",$J186+$K186)</f>
        <v/>
      </c>
      <c r="M186" s="30" t="n"/>
      <c r="N186" s="26">
        <f>IF($C186="","",IF($I186="PEN",1,IFERROR(IF(_xlfn.XLOOKUP($B186,TC_Fechas,TC_Venta_Rango,"",-1)="","",_xlfn.XLOOKUP($B186,TC_Fechas,TC_Venta_Rango,"",-1)),"")))</f>
        <v/>
      </c>
      <c r="O186" s="20">
        <f>IF(OR($C186="",$N186=""),"",ROUND($J186*$N186,2)+ROUND($K186*$N186,2))</f>
        <v/>
      </c>
      <c r="P186" s="31">
        <f>IF($G186="","",IFERROR(INDEX(Catalogo_Tasas,MATCH($G186,Catalogo_Codigos,0)),""))</f>
        <v/>
      </c>
      <c r="Q186" s="32">
        <f>IF($G186="","",IFERROR(INDEX(Catalogo_Umbrales,MATCH($G186,Catalogo_Codigos,0)),""))</f>
        <v/>
      </c>
      <c r="R186">
        <f>IF(OR($C186="",$P186="",$O186=""),"",IF($F186&lt;&gt;"FACTURA","NO",IF(AND($P186&gt;0,$O186&gt;$Q186),"SI","NO")))</f>
        <v/>
      </c>
      <c r="S186" s="20">
        <f>IF($R186="SI",ROUND($O186*$P186,2),IF($C186="","",0))</f>
        <v/>
      </c>
      <c r="T186" s="20" t="n"/>
      <c r="U186">
        <f>IF($C186="","",IF($R186&lt;&gt;"SI","",IF($T186="","SIN DATO",IF(ABS($T186-$S186)&lt;=0.5,"OK","REVISAR"))))</f>
        <v/>
      </c>
      <c r="V186" s="20" t="n"/>
      <c r="W186" s="20">
        <f>IF(OR($C186="",$N186=""),"",IF($F186="RHE",ROUND($L186-$V186,2),ROUND($L186-($S186/$N186),2)))</f>
        <v/>
      </c>
      <c r="X186" s="25" t="n"/>
      <c r="Y186" s="25" t="n"/>
    </row>
    <row r="187">
      <c r="A187" t="n">
        <v>184</v>
      </c>
      <c r="B187" s="25" t="n"/>
      <c r="D187" s="30" t="n"/>
      <c r="G187" s="30" t="n"/>
      <c r="H187">
        <f>IF($G187="","",IFERROR(INDEX(Catalogo_Etiquetas,MATCH($G187,Catalogo_Codigos,0)),"CODIGO NO VALIDO"))</f>
        <v/>
      </c>
      <c r="J187" s="20" t="n"/>
      <c r="K187" s="20" t="n"/>
      <c r="L187" s="20">
        <f>IF($C187="","",$J187+$K187)</f>
        <v/>
      </c>
      <c r="M187" s="30" t="n"/>
      <c r="N187" s="26">
        <f>IF($C187="","",IF($I187="PEN",1,IFERROR(IF(_xlfn.XLOOKUP($B187,TC_Fechas,TC_Venta_Rango,"",-1)="","",_xlfn.XLOOKUP($B187,TC_Fechas,TC_Venta_Rango,"",-1)),"")))</f>
        <v/>
      </c>
      <c r="O187" s="20">
        <f>IF(OR($C187="",$N187=""),"",ROUND($J187*$N187,2)+ROUND($K187*$N187,2))</f>
        <v/>
      </c>
      <c r="P187" s="31">
        <f>IF($G187="","",IFERROR(INDEX(Catalogo_Tasas,MATCH($G187,Catalogo_Codigos,0)),""))</f>
        <v/>
      </c>
      <c r="Q187" s="32">
        <f>IF($G187="","",IFERROR(INDEX(Catalogo_Umbrales,MATCH($G187,Catalogo_Codigos,0)),""))</f>
        <v/>
      </c>
      <c r="R187">
        <f>IF(OR($C187="",$P187="",$O187=""),"",IF($F187&lt;&gt;"FACTURA","NO",IF(AND($P187&gt;0,$O187&gt;$Q187),"SI","NO")))</f>
        <v/>
      </c>
      <c r="S187" s="20">
        <f>IF($R187="SI",ROUND($O187*$P187,2),IF($C187="","",0))</f>
        <v/>
      </c>
      <c r="T187" s="20" t="n"/>
      <c r="U187">
        <f>IF($C187="","",IF($R187&lt;&gt;"SI","",IF($T187="","SIN DATO",IF(ABS($T187-$S187)&lt;=0.5,"OK","REVISAR"))))</f>
        <v/>
      </c>
      <c r="V187" s="20" t="n"/>
      <c r="W187" s="20">
        <f>IF(OR($C187="",$N187=""),"",IF($F187="RHE",ROUND($L187-$V187,2),ROUND($L187-($S187/$N187),2)))</f>
        <v/>
      </c>
      <c r="X187" s="25" t="n"/>
      <c r="Y187" s="25" t="n"/>
    </row>
    <row r="188">
      <c r="A188" t="n">
        <v>185</v>
      </c>
      <c r="B188" s="25" t="n"/>
      <c r="D188" s="30" t="n"/>
      <c r="G188" s="30" t="n"/>
      <c r="H188">
        <f>IF($G188="","",IFERROR(INDEX(Catalogo_Etiquetas,MATCH($G188,Catalogo_Codigos,0)),"CODIGO NO VALIDO"))</f>
        <v/>
      </c>
      <c r="J188" s="20" t="n"/>
      <c r="K188" s="20" t="n"/>
      <c r="L188" s="20">
        <f>IF($C188="","",$J188+$K188)</f>
        <v/>
      </c>
      <c r="M188" s="30" t="n"/>
      <c r="N188" s="26">
        <f>IF($C188="","",IF($I188="PEN",1,IFERROR(IF(_xlfn.XLOOKUP($B188,TC_Fechas,TC_Venta_Rango,"",-1)="","",_xlfn.XLOOKUP($B188,TC_Fechas,TC_Venta_Rango,"",-1)),"")))</f>
        <v/>
      </c>
      <c r="O188" s="20">
        <f>IF(OR($C188="",$N188=""),"",ROUND($J188*$N188,2)+ROUND($K188*$N188,2))</f>
        <v/>
      </c>
      <c r="P188" s="31">
        <f>IF($G188="","",IFERROR(INDEX(Catalogo_Tasas,MATCH($G188,Catalogo_Codigos,0)),""))</f>
        <v/>
      </c>
      <c r="Q188" s="32">
        <f>IF($G188="","",IFERROR(INDEX(Catalogo_Umbrales,MATCH($G188,Catalogo_Codigos,0)),""))</f>
        <v/>
      </c>
      <c r="R188">
        <f>IF(OR($C188="",$P188="",$O188=""),"",IF($F188&lt;&gt;"FACTURA","NO",IF(AND($P188&gt;0,$O188&gt;$Q188),"SI","NO")))</f>
        <v/>
      </c>
      <c r="S188" s="20">
        <f>IF($R188="SI",ROUND($O188*$P188,2),IF($C188="","",0))</f>
        <v/>
      </c>
      <c r="T188" s="20" t="n"/>
      <c r="U188">
        <f>IF($C188="","",IF($R188&lt;&gt;"SI","",IF($T188="","SIN DATO",IF(ABS($T188-$S188)&lt;=0.5,"OK","REVISAR"))))</f>
        <v/>
      </c>
      <c r="V188" s="20" t="n"/>
      <c r="W188" s="20">
        <f>IF(OR($C188="",$N188=""),"",IF($F188="RHE",ROUND($L188-$V188,2),ROUND($L188-($S188/$N188),2)))</f>
        <v/>
      </c>
      <c r="X188" s="25" t="n"/>
      <c r="Y188" s="25" t="n"/>
    </row>
    <row r="189">
      <c r="A189" t="n">
        <v>186</v>
      </c>
      <c r="B189" s="25" t="n"/>
      <c r="D189" s="30" t="n"/>
      <c r="G189" s="30" t="n"/>
      <c r="H189">
        <f>IF($G189="","",IFERROR(INDEX(Catalogo_Etiquetas,MATCH($G189,Catalogo_Codigos,0)),"CODIGO NO VALIDO"))</f>
        <v/>
      </c>
      <c r="J189" s="20" t="n"/>
      <c r="K189" s="20" t="n"/>
      <c r="L189" s="20">
        <f>IF($C189="","",$J189+$K189)</f>
        <v/>
      </c>
      <c r="M189" s="30" t="n"/>
      <c r="N189" s="26">
        <f>IF($C189="","",IF($I189="PEN",1,IFERROR(IF(_xlfn.XLOOKUP($B189,TC_Fechas,TC_Venta_Rango,"",-1)="","",_xlfn.XLOOKUP($B189,TC_Fechas,TC_Venta_Rango,"",-1)),"")))</f>
        <v/>
      </c>
      <c r="O189" s="20">
        <f>IF(OR($C189="",$N189=""),"",ROUND($J189*$N189,2)+ROUND($K189*$N189,2))</f>
        <v/>
      </c>
      <c r="P189" s="31">
        <f>IF($G189="","",IFERROR(INDEX(Catalogo_Tasas,MATCH($G189,Catalogo_Codigos,0)),""))</f>
        <v/>
      </c>
      <c r="Q189" s="32">
        <f>IF($G189="","",IFERROR(INDEX(Catalogo_Umbrales,MATCH($G189,Catalogo_Codigos,0)),""))</f>
        <v/>
      </c>
      <c r="R189">
        <f>IF(OR($C189="",$P189="",$O189=""),"",IF($F189&lt;&gt;"FACTURA","NO",IF(AND($P189&gt;0,$O189&gt;$Q189),"SI","NO")))</f>
        <v/>
      </c>
      <c r="S189" s="20">
        <f>IF($R189="SI",ROUND($O189*$P189,2),IF($C189="","",0))</f>
        <v/>
      </c>
      <c r="T189" s="20" t="n"/>
      <c r="U189">
        <f>IF($C189="","",IF($R189&lt;&gt;"SI","",IF($T189="","SIN DATO",IF(ABS($T189-$S189)&lt;=0.5,"OK","REVISAR"))))</f>
        <v/>
      </c>
      <c r="V189" s="20" t="n"/>
      <c r="W189" s="20">
        <f>IF(OR($C189="",$N189=""),"",IF($F189="RHE",ROUND($L189-$V189,2),ROUND($L189-($S189/$N189),2)))</f>
        <v/>
      </c>
      <c r="X189" s="25" t="n"/>
      <c r="Y189" s="25" t="n"/>
    </row>
    <row r="190">
      <c r="A190" t="n">
        <v>187</v>
      </c>
      <c r="B190" s="25" t="n"/>
      <c r="D190" s="30" t="n"/>
      <c r="G190" s="30" t="n"/>
      <c r="H190">
        <f>IF($G190="","",IFERROR(INDEX(Catalogo_Etiquetas,MATCH($G190,Catalogo_Codigos,0)),"CODIGO NO VALIDO"))</f>
        <v/>
      </c>
      <c r="J190" s="20" t="n"/>
      <c r="K190" s="20" t="n"/>
      <c r="L190" s="20">
        <f>IF($C190="","",$J190+$K190)</f>
        <v/>
      </c>
      <c r="M190" s="30" t="n"/>
      <c r="N190" s="26">
        <f>IF($C190="","",IF($I190="PEN",1,IFERROR(IF(_xlfn.XLOOKUP($B190,TC_Fechas,TC_Venta_Rango,"",-1)="","",_xlfn.XLOOKUP($B190,TC_Fechas,TC_Venta_Rango,"",-1)),"")))</f>
        <v/>
      </c>
      <c r="O190" s="20">
        <f>IF(OR($C190="",$N190=""),"",ROUND($J190*$N190,2)+ROUND($K190*$N190,2))</f>
        <v/>
      </c>
      <c r="P190" s="31">
        <f>IF($G190="","",IFERROR(INDEX(Catalogo_Tasas,MATCH($G190,Catalogo_Codigos,0)),""))</f>
        <v/>
      </c>
      <c r="Q190" s="32">
        <f>IF($G190="","",IFERROR(INDEX(Catalogo_Umbrales,MATCH($G190,Catalogo_Codigos,0)),""))</f>
        <v/>
      </c>
      <c r="R190">
        <f>IF(OR($C190="",$P190="",$O190=""),"",IF($F190&lt;&gt;"FACTURA","NO",IF(AND($P190&gt;0,$O190&gt;$Q190),"SI","NO")))</f>
        <v/>
      </c>
      <c r="S190" s="20">
        <f>IF($R190="SI",ROUND($O190*$P190,2),IF($C190="","",0))</f>
        <v/>
      </c>
      <c r="T190" s="20" t="n"/>
      <c r="U190">
        <f>IF($C190="","",IF($R190&lt;&gt;"SI","",IF($T190="","SIN DATO",IF(ABS($T190-$S190)&lt;=0.5,"OK","REVISAR"))))</f>
        <v/>
      </c>
      <c r="V190" s="20" t="n"/>
      <c r="W190" s="20">
        <f>IF(OR($C190="",$N190=""),"",IF($F190="RHE",ROUND($L190-$V190,2),ROUND($L190-($S190/$N190),2)))</f>
        <v/>
      </c>
      <c r="X190" s="25" t="n"/>
      <c r="Y190" s="25" t="n"/>
    </row>
    <row r="191">
      <c r="A191" t="n">
        <v>188</v>
      </c>
      <c r="B191" s="25" t="n"/>
      <c r="D191" s="30" t="n"/>
      <c r="G191" s="30" t="n"/>
      <c r="H191">
        <f>IF($G191="","",IFERROR(INDEX(Catalogo_Etiquetas,MATCH($G191,Catalogo_Codigos,0)),"CODIGO NO VALIDO"))</f>
        <v/>
      </c>
      <c r="J191" s="20" t="n"/>
      <c r="K191" s="20" t="n"/>
      <c r="L191" s="20">
        <f>IF($C191="","",$J191+$K191)</f>
        <v/>
      </c>
      <c r="M191" s="30" t="n"/>
      <c r="N191" s="26">
        <f>IF($C191="","",IF($I191="PEN",1,IFERROR(IF(_xlfn.XLOOKUP($B191,TC_Fechas,TC_Venta_Rango,"",-1)="","",_xlfn.XLOOKUP($B191,TC_Fechas,TC_Venta_Rango,"",-1)),"")))</f>
        <v/>
      </c>
      <c r="O191" s="20">
        <f>IF(OR($C191="",$N191=""),"",ROUND($J191*$N191,2)+ROUND($K191*$N191,2))</f>
        <v/>
      </c>
      <c r="P191" s="31">
        <f>IF($G191="","",IFERROR(INDEX(Catalogo_Tasas,MATCH($G191,Catalogo_Codigos,0)),""))</f>
        <v/>
      </c>
      <c r="Q191" s="32">
        <f>IF($G191="","",IFERROR(INDEX(Catalogo_Umbrales,MATCH($G191,Catalogo_Codigos,0)),""))</f>
        <v/>
      </c>
      <c r="R191">
        <f>IF(OR($C191="",$P191="",$O191=""),"",IF($F191&lt;&gt;"FACTURA","NO",IF(AND($P191&gt;0,$O191&gt;$Q191),"SI","NO")))</f>
        <v/>
      </c>
      <c r="S191" s="20">
        <f>IF($R191="SI",ROUND($O191*$P191,2),IF($C191="","",0))</f>
        <v/>
      </c>
      <c r="T191" s="20" t="n"/>
      <c r="U191">
        <f>IF($C191="","",IF($R191&lt;&gt;"SI","",IF($T191="","SIN DATO",IF(ABS($T191-$S191)&lt;=0.5,"OK","REVISAR"))))</f>
        <v/>
      </c>
      <c r="V191" s="20" t="n"/>
      <c r="W191" s="20">
        <f>IF(OR($C191="",$N191=""),"",IF($F191="RHE",ROUND($L191-$V191,2),ROUND($L191-($S191/$N191),2)))</f>
        <v/>
      </c>
      <c r="X191" s="25" t="n"/>
      <c r="Y191" s="25" t="n"/>
    </row>
    <row r="192">
      <c r="A192" t="n">
        <v>189</v>
      </c>
      <c r="B192" s="25" t="n"/>
      <c r="D192" s="30" t="n"/>
      <c r="G192" s="30" t="n"/>
      <c r="H192">
        <f>IF($G192="","",IFERROR(INDEX(Catalogo_Etiquetas,MATCH($G192,Catalogo_Codigos,0)),"CODIGO NO VALIDO"))</f>
        <v/>
      </c>
      <c r="J192" s="20" t="n"/>
      <c r="K192" s="20" t="n"/>
      <c r="L192" s="20">
        <f>IF($C192="","",$J192+$K192)</f>
        <v/>
      </c>
      <c r="M192" s="30" t="n"/>
      <c r="N192" s="26">
        <f>IF($C192="","",IF($I192="PEN",1,IFERROR(IF(_xlfn.XLOOKUP($B192,TC_Fechas,TC_Venta_Rango,"",-1)="","",_xlfn.XLOOKUP($B192,TC_Fechas,TC_Venta_Rango,"",-1)),"")))</f>
        <v/>
      </c>
      <c r="O192" s="20">
        <f>IF(OR($C192="",$N192=""),"",ROUND($J192*$N192,2)+ROUND($K192*$N192,2))</f>
        <v/>
      </c>
      <c r="P192" s="31">
        <f>IF($G192="","",IFERROR(INDEX(Catalogo_Tasas,MATCH($G192,Catalogo_Codigos,0)),""))</f>
        <v/>
      </c>
      <c r="Q192" s="32">
        <f>IF($G192="","",IFERROR(INDEX(Catalogo_Umbrales,MATCH($G192,Catalogo_Codigos,0)),""))</f>
        <v/>
      </c>
      <c r="R192">
        <f>IF(OR($C192="",$P192="",$O192=""),"",IF($F192&lt;&gt;"FACTURA","NO",IF(AND($P192&gt;0,$O192&gt;$Q192),"SI","NO")))</f>
        <v/>
      </c>
      <c r="S192" s="20">
        <f>IF($R192="SI",ROUND($O192*$P192,2),IF($C192="","",0))</f>
        <v/>
      </c>
      <c r="T192" s="20" t="n"/>
      <c r="U192">
        <f>IF($C192="","",IF($R192&lt;&gt;"SI","",IF($T192="","SIN DATO",IF(ABS($T192-$S192)&lt;=0.5,"OK","REVISAR"))))</f>
        <v/>
      </c>
      <c r="V192" s="20" t="n"/>
      <c r="W192" s="20">
        <f>IF(OR($C192="",$N192=""),"",IF($F192="RHE",ROUND($L192-$V192,2),ROUND($L192-($S192/$N192),2)))</f>
        <v/>
      </c>
      <c r="X192" s="25" t="n"/>
      <c r="Y192" s="25" t="n"/>
    </row>
    <row r="193">
      <c r="A193" t="n">
        <v>190</v>
      </c>
      <c r="B193" s="25" t="n"/>
      <c r="D193" s="30" t="n"/>
      <c r="G193" s="30" t="n"/>
      <c r="H193">
        <f>IF($G193="","",IFERROR(INDEX(Catalogo_Etiquetas,MATCH($G193,Catalogo_Codigos,0)),"CODIGO NO VALIDO"))</f>
        <v/>
      </c>
      <c r="J193" s="20" t="n"/>
      <c r="K193" s="20" t="n"/>
      <c r="L193" s="20">
        <f>IF($C193="","",$J193+$K193)</f>
        <v/>
      </c>
      <c r="M193" s="30" t="n"/>
      <c r="N193" s="26">
        <f>IF($C193="","",IF($I193="PEN",1,IFERROR(IF(_xlfn.XLOOKUP($B193,TC_Fechas,TC_Venta_Rango,"",-1)="","",_xlfn.XLOOKUP($B193,TC_Fechas,TC_Venta_Rango,"",-1)),"")))</f>
        <v/>
      </c>
      <c r="O193" s="20">
        <f>IF(OR($C193="",$N193=""),"",ROUND($J193*$N193,2)+ROUND($K193*$N193,2))</f>
        <v/>
      </c>
      <c r="P193" s="31">
        <f>IF($G193="","",IFERROR(INDEX(Catalogo_Tasas,MATCH($G193,Catalogo_Codigos,0)),""))</f>
        <v/>
      </c>
      <c r="Q193" s="32">
        <f>IF($G193="","",IFERROR(INDEX(Catalogo_Umbrales,MATCH($G193,Catalogo_Codigos,0)),""))</f>
        <v/>
      </c>
      <c r="R193">
        <f>IF(OR($C193="",$P193="",$O193=""),"",IF($F193&lt;&gt;"FACTURA","NO",IF(AND($P193&gt;0,$O193&gt;$Q193),"SI","NO")))</f>
        <v/>
      </c>
      <c r="S193" s="20">
        <f>IF($R193="SI",ROUND($O193*$P193,2),IF($C193="","",0))</f>
        <v/>
      </c>
      <c r="T193" s="20" t="n"/>
      <c r="U193">
        <f>IF($C193="","",IF($R193&lt;&gt;"SI","",IF($T193="","SIN DATO",IF(ABS($T193-$S193)&lt;=0.5,"OK","REVISAR"))))</f>
        <v/>
      </c>
      <c r="V193" s="20" t="n"/>
      <c r="W193" s="20">
        <f>IF(OR($C193="",$N193=""),"",IF($F193="RHE",ROUND($L193-$V193,2),ROUND($L193-($S193/$N193),2)))</f>
        <v/>
      </c>
      <c r="X193" s="25" t="n"/>
      <c r="Y193" s="25" t="n"/>
    </row>
    <row r="194">
      <c r="A194" t="n">
        <v>191</v>
      </c>
      <c r="B194" s="25" t="n"/>
      <c r="D194" s="30" t="n"/>
      <c r="G194" s="30" t="n"/>
      <c r="H194">
        <f>IF($G194="","",IFERROR(INDEX(Catalogo_Etiquetas,MATCH($G194,Catalogo_Codigos,0)),"CODIGO NO VALIDO"))</f>
        <v/>
      </c>
      <c r="J194" s="20" t="n"/>
      <c r="K194" s="20" t="n"/>
      <c r="L194" s="20">
        <f>IF($C194="","",$J194+$K194)</f>
        <v/>
      </c>
      <c r="M194" s="30" t="n"/>
      <c r="N194" s="26">
        <f>IF($C194="","",IF($I194="PEN",1,IFERROR(IF(_xlfn.XLOOKUP($B194,TC_Fechas,TC_Venta_Rango,"",-1)="","",_xlfn.XLOOKUP($B194,TC_Fechas,TC_Venta_Rango,"",-1)),"")))</f>
        <v/>
      </c>
      <c r="O194" s="20">
        <f>IF(OR($C194="",$N194=""),"",ROUND($J194*$N194,2)+ROUND($K194*$N194,2))</f>
        <v/>
      </c>
      <c r="P194" s="31">
        <f>IF($G194="","",IFERROR(INDEX(Catalogo_Tasas,MATCH($G194,Catalogo_Codigos,0)),""))</f>
        <v/>
      </c>
      <c r="Q194" s="32">
        <f>IF($G194="","",IFERROR(INDEX(Catalogo_Umbrales,MATCH($G194,Catalogo_Codigos,0)),""))</f>
        <v/>
      </c>
      <c r="R194">
        <f>IF(OR($C194="",$P194="",$O194=""),"",IF($F194&lt;&gt;"FACTURA","NO",IF(AND($P194&gt;0,$O194&gt;$Q194),"SI","NO")))</f>
        <v/>
      </c>
      <c r="S194" s="20">
        <f>IF($R194="SI",ROUND($O194*$P194,2),IF($C194="","",0))</f>
        <v/>
      </c>
      <c r="T194" s="20" t="n"/>
      <c r="U194">
        <f>IF($C194="","",IF($R194&lt;&gt;"SI","",IF($T194="","SIN DATO",IF(ABS($T194-$S194)&lt;=0.5,"OK","REVISAR"))))</f>
        <v/>
      </c>
      <c r="V194" s="20" t="n"/>
      <c r="W194" s="20">
        <f>IF(OR($C194="",$N194=""),"",IF($F194="RHE",ROUND($L194-$V194,2),ROUND($L194-($S194/$N194),2)))</f>
        <v/>
      </c>
      <c r="X194" s="25" t="n"/>
      <c r="Y194" s="25" t="n"/>
    </row>
    <row r="195">
      <c r="A195" t="n">
        <v>192</v>
      </c>
      <c r="B195" s="25" t="n"/>
      <c r="D195" s="30" t="n"/>
      <c r="G195" s="30" t="n"/>
      <c r="H195">
        <f>IF($G195="","",IFERROR(INDEX(Catalogo_Etiquetas,MATCH($G195,Catalogo_Codigos,0)),"CODIGO NO VALIDO"))</f>
        <v/>
      </c>
      <c r="J195" s="20" t="n"/>
      <c r="K195" s="20" t="n"/>
      <c r="L195" s="20">
        <f>IF($C195="","",$J195+$K195)</f>
        <v/>
      </c>
      <c r="M195" s="30" t="n"/>
      <c r="N195" s="26">
        <f>IF($C195="","",IF($I195="PEN",1,IFERROR(IF(_xlfn.XLOOKUP($B195,TC_Fechas,TC_Venta_Rango,"",-1)="","",_xlfn.XLOOKUP($B195,TC_Fechas,TC_Venta_Rango,"",-1)),"")))</f>
        <v/>
      </c>
      <c r="O195" s="20">
        <f>IF(OR($C195="",$N195=""),"",ROUND($J195*$N195,2)+ROUND($K195*$N195,2))</f>
        <v/>
      </c>
      <c r="P195" s="31">
        <f>IF($G195="","",IFERROR(INDEX(Catalogo_Tasas,MATCH($G195,Catalogo_Codigos,0)),""))</f>
        <v/>
      </c>
      <c r="Q195" s="32">
        <f>IF($G195="","",IFERROR(INDEX(Catalogo_Umbrales,MATCH($G195,Catalogo_Codigos,0)),""))</f>
        <v/>
      </c>
      <c r="R195">
        <f>IF(OR($C195="",$P195="",$O195=""),"",IF($F195&lt;&gt;"FACTURA","NO",IF(AND($P195&gt;0,$O195&gt;$Q195),"SI","NO")))</f>
        <v/>
      </c>
      <c r="S195" s="20">
        <f>IF($R195="SI",ROUND($O195*$P195,2),IF($C195="","",0))</f>
        <v/>
      </c>
      <c r="T195" s="20" t="n"/>
      <c r="U195">
        <f>IF($C195="","",IF($R195&lt;&gt;"SI","",IF($T195="","SIN DATO",IF(ABS($T195-$S195)&lt;=0.5,"OK","REVISAR"))))</f>
        <v/>
      </c>
      <c r="V195" s="20" t="n"/>
      <c r="W195" s="20">
        <f>IF(OR($C195="",$N195=""),"",IF($F195="RHE",ROUND($L195-$V195,2),ROUND($L195-($S195/$N195),2)))</f>
        <v/>
      </c>
      <c r="X195" s="25" t="n"/>
      <c r="Y195" s="25" t="n"/>
    </row>
    <row r="196">
      <c r="A196" t="n">
        <v>193</v>
      </c>
      <c r="B196" s="25" t="n"/>
      <c r="D196" s="30" t="n"/>
      <c r="G196" s="30" t="n"/>
      <c r="H196">
        <f>IF($G196="","",IFERROR(INDEX(Catalogo_Etiquetas,MATCH($G196,Catalogo_Codigos,0)),"CODIGO NO VALIDO"))</f>
        <v/>
      </c>
      <c r="J196" s="20" t="n"/>
      <c r="K196" s="20" t="n"/>
      <c r="L196" s="20">
        <f>IF($C196="","",$J196+$K196)</f>
        <v/>
      </c>
      <c r="M196" s="30" t="n"/>
      <c r="N196" s="26">
        <f>IF($C196="","",IF($I196="PEN",1,IFERROR(IF(_xlfn.XLOOKUP($B196,TC_Fechas,TC_Venta_Rango,"",-1)="","",_xlfn.XLOOKUP($B196,TC_Fechas,TC_Venta_Rango,"",-1)),"")))</f>
        <v/>
      </c>
      <c r="O196" s="20">
        <f>IF(OR($C196="",$N196=""),"",ROUND($J196*$N196,2)+ROUND($K196*$N196,2))</f>
        <v/>
      </c>
      <c r="P196" s="31">
        <f>IF($G196="","",IFERROR(INDEX(Catalogo_Tasas,MATCH($G196,Catalogo_Codigos,0)),""))</f>
        <v/>
      </c>
      <c r="Q196" s="32">
        <f>IF($G196="","",IFERROR(INDEX(Catalogo_Umbrales,MATCH($G196,Catalogo_Codigos,0)),""))</f>
        <v/>
      </c>
      <c r="R196">
        <f>IF(OR($C196="",$P196="",$O196=""),"",IF($F196&lt;&gt;"FACTURA","NO",IF(AND($P196&gt;0,$O196&gt;$Q196),"SI","NO")))</f>
        <v/>
      </c>
      <c r="S196" s="20">
        <f>IF($R196="SI",ROUND($O196*$P196,2),IF($C196="","",0))</f>
        <v/>
      </c>
      <c r="T196" s="20" t="n"/>
      <c r="U196">
        <f>IF($C196="","",IF($R196&lt;&gt;"SI","",IF($T196="","SIN DATO",IF(ABS($T196-$S196)&lt;=0.5,"OK","REVISAR"))))</f>
        <v/>
      </c>
      <c r="V196" s="20" t="n"/>
      <c r="W196" s="20">
        <f>IF(OR($C196="",$N196=""),"",IF($F196="RHE",ROUND($L196-$V196,2),ROUND($L196-($S196/$N196),2)))</f>
        <v/>
      </c>
      <c r="X196" s="25" t="n"/>
      <c r="Y196" s="25" t="n"/>
    </row>
    <row r="197">
      <c r="A197" t="n">
        <v>194</v>
      </c>
      <c r="B197" s="25" t="n"/>
      <c r="D197" s="30" t="n"/>
      <c r="G197" s="30" t="n"/>
      <c r="H197">
        <f>IF($G197="","",IFERROR(INDEX(Catalogo_Etiquetas,MATCH($G197,Catalogo_Codigos,0)),"CODIGO NO VALIDO"))</f>
        <v/>
      </c>
      <c r="J197" s="20" t="n"/>
      <c r="K197" s="20" t="n"/>
      <c r="L197" s="20">
        <f>IF($C197="","",$J197+$K197)</f>
        <v/>
      </c>
      <c r="M197" s="30" t="n"/>
      <c r="N197" s="26">
        <f>IF($C197="","",IF($I197="PEN",1,IFERROR(IF(_xlfn.XLOOKUP($B197,TC_Fechas,TC_Venta_Rango,"",-1)="","",_xlfn.XLOOKUP($B197,TC_Fechas,TC_Venta_Rango,"",-1)),"")))</f>
        <v/>
      </c>
      <c r="O197" s="20">
        <f>IF(OR($C197="",$N197=""),"",ROUND($J197*$N197,2)+ROUND($K197*$N197,2))</f>
        <v/>
      </c>
      <c r="P197" s="31">
        <f>IF($G197="","",IFERROR(INDEX(Catalogo_Tasas,MATCH($G197,Catalogo_Codigos,0)),""))</f>
        <v/>
      </c>
      <c r="Q197" s="32">
        <f>IF($G197="","",IFERROR(INDEX(Catalogo_Umbrales,MATCH($G197,Catalogo_Codigos,0)),""))</f>
        <v/>
      </c>
      <c r="R197">
        <f>IF(OR($C197="",$P197="",$O197=""),"",IF($F197&lt;&gt;"FACTURA","NO",IF(AND($P197&gt;0,$O197&gt;$Q197),"SI","NO")))</f>
        <v/>
      </c>
      <c r="S197" s="20">
        <f>IF($R197="SI",ROUND($O197*$P197,2),IF($C197="","",0))</f>
        <v/>
      </c>
      <c r="T197" s="20" t="n"/>
      <c r="U197">
        <f>IF($C197="","",IF($R197&lt;&gt;"SI","",IF($T197="","SIN DATO",IF(ABS($T197-$S197)&lt;=0.5,"OK","REVISAR"))))</f>
        <v/>
      </c>
      <c r="V197" s="20" t="n"/>
      <c r="W197" s="20">
        <f>IF(OR($C197="",$N197=""),"",IF($F197="RHE",ROUND($L197-$V197,2),ROUND($L197-($S197/$N197),2)))</f>
        <v/>
      </c>
      <c r="X197" s="25" t="n"/>
      <c r="Y197" s="25" t="n"/>
    </row>
    <row r="198">
      <c r="A198" t="n">
        <v>195</v>
      </c>
      <c r="B198" s="25" t="n"/>
      <c r="D198" s="30" t="n"/>
      <c r="G198" s="30" t="n"/>
      <c r="H198">
        <f>IF($G198="","",IFERROR(INDEX(Catalogo_Etiquetas,MATCH($G198,Catalogo_Codigos,0)),"CODIGO NO VALIDO"))</f>
        <v/>
      </c>
      <c r="J198" s="20" t="n"/>
      <c r="K198" s="20" t="n"/>
      <c r="L198" s="20">
        <f>IF($C198="","",$J198+$K198)</f>
        <v/>
      </c>
      <c r="M198" s="30" t="n"/>
      <c r="N198" s="26">
        <f>IF($C198="","",IF($I198="PEN",1,IFERROR(IF(_xlfn.XLOOKUP($B198,TC_Fechas,TC_Venta_Rango,"",-1)="","",_xlfn.XLOOKUP($B198,TC_Fechas,TC_Venta_Rango,"",-1)),"")))</f>
        <v/>
      </c>
      <c r="O198" s="20">
        <f>IF(OR($C198="",$N198=""),"",ROUND($J198*$N198,2)+ROUND($K198*$N198,2))</f>
        <v/>
      </c>
      <c r="P198" s="31">
        <f>IF($G198="","",IFERROR(INDEX(Catalogo_Tasas,MATCH($G198,Catalogo_Codigos,0)),""))</f>
        <v/>
      </c>
      <c r="Q198" s="32">
        <f>IF($G198="","",IFERROR(INDEX(Catalogo_Umbrales,MATCH($G198,Catalogo_Codigos,0)),""))</f>
        <v/>
      </c>
      <c r="R198">
        <f>IF(OR($C198="",$P198="",$O198=""),"",IF($F198&lt;&gt;"FACTURA","NO",IF(AND($P198&gt;0,$O198&gt;$Q198),"SI","NO")))</f>
        <v/>
      </c>
      <c r="S198" s="20">
        <f>IF($R198="SI",ROUND($O198*$P198,2),IF($C198="","",0))</f>
        <v/>
      </c>
      <c r="T198" s="20" t="n"/>
      <c r="U198">
        <f>IF($C198="","",IF($R198&lt;&gt;"SI","",IF($T198="","SIN DATO",IF(ABS($T198-$S198)&lt;=0.5,"OK","REVISAR"))))</f>
        <v/>
      </c>
      <c r="V198" s="20" t="n"/>
      <c r="W198" s="20">
        <f>IF(OR($C198="",$N198=""),"",IF($F198="RHE",ROUND($L198-$V198,2),ROUND($L198-($S198/$N198),2)))</f>
        <v/>
      </c>
      <c r="X198" s="25" t="n"/>
      <c r="Y198" s="25" t="n"/>
    </row>
    <row r="199">
      <c r="A199" t="n">
        <v>196</v>
      </c>
      <c r="B199" s="25" t="n"/>
      <c r="D199" s="30" t="n"/>
      <c r="G199" s="30" t="n"/>
      <c r="H199">
        <f>IF($G199="","",IFERROR(INDEX(Catalogo_Etiquetas,MATCH($G199,Catalogo_Codigos,0)),"CODIGO NO VALIDO"))</f>
        <v/>
      </c>
      <c r="J199" s="20" t="n"/>
      <c r="K199" s="20" t="n"/>
      <c r="L199" s="20">
        <f>IF($C199="","",$J199+$K199)</f>
        <v/>
      </c>
      <c r="M199" s="30" t="n"/>
      <c r="N199" s="26">
        <f>IF($C199="","",IF($I199="PEN",1,IFERROR(IF(_xlfn.XLOOKUP($B199,TC_Fechas,TC_Venta_Rango,"",-1)="","",_xlfn.XLOOKUP($B199,TC_Fechas,TC_Venta_Rango,"",-1)),"")))</f>
        <v/>
      </c>
      <c r="O199" s="20">
        <f>IF(OR($C199="",$N199=""),"",ROUND($J199*$N199,2)+ROUND($K199*$N199,2))</f>
        <v/>
      </c>
      <c r="P199" s="31">
        <f>IF($G199="","",IFERROR(INDEX(Catalogo_Tasas,MATCH($G199,Catalogo_Codigos,0)),""))</f>
        <v/>
      </c>
      <c r="Q199" s="32">
        <f>IF($G199="","",IFERROR(INDEX(Catalogo_Umbrales,MATCH($G199,Catalogo_Codigos,0)),""))</f>
        <v/>
      </c>
      <c r="R199">
        <f>IF(OR($C199="",$P199="",$O199=""),"",IF($F199&lt;&gt;"FACTURA","NO",IF(AND($P199&gt;0,$O199&gt;$Q199),"SI","NO")))</f>
        <v/>
      </c>
      <c r="S199" s="20">
        <f>IF($R199="SI",ROUND($O199*$P199,2),IF($C199="","",0))</f>
        <v/>
      </c>
      <c r="T199" s="20" t="n"/>
      <c r="U199">
        <f>IF($C199="","",IF($R199&lt;&gt;"SI","",IF($T199="","SIN DATO",IF(ABS($T199-$S199)&lt;=0.5,"OK","REVISAR"))))</f>
        <v/>
      </c>
      <c r="V199" s="20" t="n"/>
      <c r="W199" s="20">
        <f>IF(OR($C199="",$N199=""),"",IF($F199="RHE",ROUND($L199-$V199,2),ROUND($L199-($S199/$N199),2)))</f>
        <v/>
      </c>
      <c r="X199" s="25" t="n"/>
      <c r="Y199" s="25" t="n"/>
    </row>
    <row r="200">
      <c r="A200" t="n">
        <v>197</v>
      </c>
      <c r="B200" s="25" t="n"/>
      <c r="D200" s="30" t="n"/>
      <c r="G200" s="30" t="n"/>
      <c r="H200">
        <f>IF($G200="","",IFERROR(INDEX(Catalogo_Etiquetas,MATCH($G200,Catalogo_Codigos,0)),"CODIGO NO VALIDO"))</f>
        <v/>
      </c>
      <c r="J200" s="20" t="n"/>
      <c r="K200" s="20" t="n"/>
      <c r="L200" s="20">
        <f>IF($C200="","",$J200+$K200)</f>
        <v/>
      </c>
      <c r="M200" s="30" t="n"/>
      <c r="N200" s="26">
        <f>IF($C200="","",IF($I200="PEN",1,IFERROR(IF(_xlfn.XLOOKUP($B200,TC_Fechas,TC_Venta_Rango,"",-1)="","",_xlfn.XLOOKUP($B200,TC_Fechas,TC_Venta_Rango,"",-1)),"")))</f>
        <v/>
      </c>
      <c r="O200" s="20">
        <f>IF(OR($C200="",$N200=""),"",ROUND($J200*$N200,2)+ROUND($K200*$N200,2))</f>
        <v/>
      </c>
      <c r="P200" s="31">
        <f>IF($G200="","",IFERROR(INDEX(Catalogo_Tasas,MATCH($G200,Catalogo_Codigos,0)),""))</f>
        <v/>
      </c>
      <c r="Q200" s="32">
        <f>IF($G200="","",IFERROR(INDEX(Catalogo_Umbrales,MATCH($G200,Catalogo_Codigos,0)),""))</f>
        <v/>
      </c>
      <c r="R200">
        <f>IF(OR($C200="",$P200="",$O200=""),"",IF($F200&lt;&gt;"FACTURA","NO",IF(AND($P200&gt;0,$O200&gt;$Q200),"SI","NO")))</f>
        <v/>
      </c>
      <c r="S200" s="20">
        <f>IF($R200="SI",ROUND($O200*$P200,2),IF($C200="","",0))</f>
        <v/>
      </c>
      <c r="T200" s="20" t="n"/>
      <c r="U200">
        <f>IF($C200="","",IF($R200&lt;&gt;"SI","",IF($T200="","SIN DATO",IF(ABS($T200-$S200)&lt;=0.5,"OK","REVISAR"))))</f>
        <v/>
      </c>
      <c r="V200" s="20" t="n"/>
      <c r="W200" s="20">
        <f>IF(OR($C200="",$N200=""),"",IF($F200="RHE",ROUND($L200-$V200,2),ROUND($L200-($S200/$N200),2)))</f>
        <v/>
      </c>
      <c r="X200" s="25" t="n"/>
      <c r="Y200" s="25" t="n"/>
    </row>
    <row r="201">
      <c r="A201" t="n">
        <v>198</v>
      </c>
      <c r="B201" s="25" t="n"/>
      <c r="D201" s="30" t="n"/>
      <c r="G201" s="30" t="n"/>
      <c r="H201">
        <f>IF($G201="","",IFERROR(INDEX(Catalogo_Etiquetas,MATCH($G201,Catalogo_Codigos,0)),"CODIGO NO VALIDO"))</f>
        <v/>
      </c>
      <c r="J201" s="20" t="n"/>
      <c r="K201" s="20" t="n"/>
      <c r="L201" s="20">
        <f>IF($C201="","",$J201+$K201)</f>
        <v/>
      </c>
      <c r="M201" s="30" t="n"/>
      <c r="N201" s="26">
        <f>IF($C201="","",IF($I201="PEN",1,IFERROR(IF(_xlfn.XLOOKUP($B201,TC_Fechas,TC_Venta_Rango,"",-1)="","",_xlfn.XLOOKUP($B201,TC_Fechas,TC_Venta_Rango,"",-1)),"")))</f>
        <v/>
      </c>
      <c r="O201" s="20">
        <f>IF(OR($C201="",$N201=""),"",ROUND($J201*$N201,2)+ROUND($K201*$N201,2))</f>
        <v/>
      </c>
      <c r="P201" s="31">
        <f>IF($G201="","",IFERROR(INDEX(Catalogo_Tasas,MATCH($G201,Catalogo_Codigos,0)),""))</f>
        <v/>
      </c>
      <c r="Q201" s="32">
        <f>IF($G201="","",IFERROR(INDEX(Catalogo_Umbrales,MATCH($G201,Catalogo_Codigos,0)),""))</f>
        <v/>
      </c>
      <c r="R201">
        <f>IF(OR($C201="",$P201="",$O201=""),"",IF($F201&lt;&gt;"FACTURA","NO",IF(AND($P201&gt;0,$O201&gt;$Q201),"SI","NO")))</f>
        <v/>
      </c>
      <c r="S201" s="20">
        <f>IF($R201="SI",ROUND($O201*$P201,2),IF($C201="","",0))</f>
        <v/>
      </c>
      <c r="T201" s="20" t="n"/>
      <c r="U201">
        <f>IF($C201="","",IF($R201&lt;&gt;"SI","",IF($T201="","SIN DATO",IF(ABS($T201-$S201)&lt;=0.5,"OK","REVISAR"))))</f>
        <v/>
      </c>
      <c r="V201" s="20" t="n"/>
      <c r="W201" s="20">
        <f>IF(OR($C201="",$N201=""),"",IF($F201="RHE",ROUND($L201-$V201,2),ROUND($L201-($S201/$N201),2)))</f>
        <v/>
      </c>
      <c r="X201" s="25" t="n"/>
      <c r="Y201" s="25" t="n"/>
    </row>
    <row r="202">
      <c r="A202" t="n">
        <v>199</v>
      </c>
      <c r="B202" s="25" t="n"/>
      <c r="D202" s="30" t="n"/>
      <c r="G202" s="30" t="n"/>
      <c r="H202">
        <f>IF($G202="","",IFERROR(INDEX(Catalogo_Etiquetas,MATCH($G202,Catalogo_Codigos,0)),"CODIGO NO VALIDO"))</f>
        <v/>
      </c>
      <c r="J202" s="20" t="n"/>
      <c r="K202" s="20" t="n"/>
      <c r="L202" s="20">
        <f>IF($C202="","",$J202+$K202)</f>
        <v/>
      </c>
      <c r="M202" s="30" t="n"/>
      <c r="N202" s="26">
        <f>IF($C202="","",IF($I202="PEN",1,IFERROR(IF(_xlfn.XLOOKUP($B202,TC_Fechas,TC_Venta_Rango,"",-1)="","",_xlfn.XLOOKUP($B202,TC_Fechas,TC_Venta_Rango,"",-1)),"")))</f>
        <v/>
      </c>
      <c r="O202" s="20">
        <f>IF(OR($C202="",$N202=""),"",ROUND($J202*$N202,2)+ROUND($K202*$N202,2))</f>
        <v/>
      </c>
      <c r="P202" s="31">
        <f>IF($G202="","",IFERROR(INDEX(Catalogo_Tasas,MATCH($G202,Catalogo_Codigos,0)),""))</f>
        <v/>
      </c>
      <c r="Q202" s="32">
        <f>IF($G202="","",IFERROR(INDEX(Catalogo_Umbrales,MATCH($G202,Catalogo_Codigos,0)),""))</f>
        <v/>
      </c>
      <c r="R202">
        <f>IF(OR($C202="",$P202="",$O202=""),"",IF($F202&lt;&gt;"FACTURA","NO",IF(AND($P202&gt;0,$O202&gt;$Q202),"SI","NO")))</f>
        <v/>
      </c>
      <c r="S202" s="20">
        <f>IF($R202="SI",ROUND($O202*$P202,2),IF($C202="","",0))</f>
        <v/>
      </c>
      <c r="T202" s="20" t="n"/>
      <c r="U202">
        <f>IF($C202="","",IF($R202&lt;&gt;"SI","",IF($T202="","SIN DATO",IF(ABS($T202-$S202)&lt;=0.5,"OK","REVISAR"))))</f>
        <v/>
      </c>
      <c r="V202" s="20" t="n"/>
      <c r="W202" s="20">
        <f>IF(OR($C202="",$N202=""),"",IF($F202="RHE",ROUND($L202-$V202,2),ROUND($L202-($S202/$N202),2)))</f>
        <v/>
      </c>
      <c r="X202" s="25" t="n"/>
      <c r="Y202" s="25" t="n"/>
    </row>
    <row r="203">
      <c r="A203" t="n">
        <v>200</v>
      </c>
      <c r="B203" s="25" t="n"/>
      <c r="D203" s="30" t="n"/>
      <c r="G203" s="30" t="n"/>
      <c r="H203">
        <f>IF($G203="","",IFERROR(INDEX(Catalogo_Etiquetas,MATCH($G203,Catalogo_Codigos,0)),"CODIGO NO VALIDO"))</f>
        <v/>
      </c>
      <c r="J203" s="20" t="n"/>
      <c r="K203" s="20" t="n"/>
      <c r="L203" s="20">
        <f>IF($C203="","",$J203+$K203)</f>
        <v/>
      </c>
      <c r="M203" s="30" t="n"/>
      <c r="N203" s="26">
        <f>IF($C203="","",IF($I203="PEN",1,IFERROR(IF(_xlfn.XLOOKUP($B203,TC_Fechas,TC_Venta_Rango,"",-1)="","",_xlfn.XLOOKUP($B203,TC_Fechas,TC_Venta_Rango,"",-1)),"")))</f>
        <v/>
      </c>
      <c r="O203" s="20">
        <f>IF(OR($C203="",$N203=""),"",ROUND($J203*$N203,2)+ROUND($K203*$N203,2))</f>
        <v/>
      </c>
      <c r="P203" s="31">
        <f>IF($G203="","",IFERROR(INDEX(Catalogo_Tasas,MATCH($G203,Catalogo_Codigos,0)),""))</f>
        <v/>
      </c>
      <c r="Q203" s="32">
        <f>IF($G203="","",IFERROR(INDEX(Catalogo_Umbrales,MATCH($G203,Catalogo_Codigos,0)),""))</f>
        <v/>
      </c>
      <c r="R203">
        <f>IF(OR($C203="",$P203="",$O203=""),"",IF($F203&lt;&gt;"FACTURA","NO",IF(AND($P203&gt;0,$O203&gt;$Q203),"SI","NO")))</f>
        <v/>
      </c>
      <c r="S203" s="20">
        <f>IF($R203="SI",ROUND($O203*$P203,2),IF($C203="","",0))</f>
        <v/>
      </c>
      <c r="T203" s="20" t="n"/>
      <c r="U203">
        <f>IF($C203="","",IF($R203&lt;&gt;"SI","",IF($T203="","SIN DATO",IF(ABS($T203-$S203)&lt;=0.5,"OK","REVISAR"))))</f>
        <v/>
      </c>
      <c r="V203" s="20" t="n"/>
      <c r="W203" s="20">
        <f>IF(OR($C203="",$N203=""),"",IF($F203="RHE",ROUND($L203-$V203,2),ROUND($L203-($S203/$N203),2)))</f>
        <v/>
      </c>
      <c r="X203" s="25" t="n"/>
      <c r="Y203" s="25" t="n"/>
    </row>
    <row r="204">
      <c r="A204" t="n">
        <v>201</v>
      </c>
      <c r="B204" s="25" t="n"/>
      <c r="D204" s="30" t="n"/>
      <c r="G204" s="30" t="n"/>
      <c r="H204">
        <f>IF($G204="","",IFERROR(INDEX(Catalogo_Etiquetas,MATCH($G204,Catalogo_Codigos,0)),"CODIGO NO VALIDO"))</f>
        <v/>
      </c>
      <c r="J204" s="20" t="n"/>
      <c r="K204" s="20" t="n"/>
      <c r="L204" s="20">
        <f>IF($C204="","",$J204+$K204)</f>
        <v/>
      </c>
      <c r="M204" s="30" t="n"/>
      <c r="N204" s="26">
        <f>IF($C204="","",IF($I204="PEN",1,IFERROR(IF(_xlfn.XLOOKUP($B204,TC_Fechas,TC_Venta_Rango,"",-1)="","",_xlfn.XLOOKUP($B204,TC_Fechas,TC_Venta_Rango,"",-1)),"")))</f>
        <v/>
      </c>
      <c r="O204" s="20">
        <f>IF(OR($C204="",$N204=""),"",ROUND($J204*$N204,2)+ROUND($K204*$N204,2))</f>
        <v/>
      </c>
      <c r="P204" s="31">
        <f>IF($G204="","",IFERROR(INDEX(Catalogo_Tasas,MATCH($G204,Catalogo_Codigos,0)),""))</f>
        <v/>
      </c>
      <c r="Q204" s="32">
        <f>IF($G204="","",IFERROR(INDEX(Catalogo_Umbrales,MATCH($G204,Catalogo_Codigos,0)),""))</f>
        <v/>
      </c>
      <c r="R204">
        <f>IF(OR($C204="",$P204="",$O204=""),"",IF($F204&lt;&gt;"FACTURA","NO",IF(AND($P204&gt;0,$O204&gt;$Q204),"SI","NO")))</f>
        <v/>
      </c>
      <c r="S204" s="20">
        <f>IF($R204="SI",ROUND($O204*$P204,2),IF($C204="","",0))</f>
        <v/>
      </c>
      <c r="T204" s="20" t="n"/>
      <c r="U204">
        <f>IF($C204="","",IF($R204&lt;&gt;"SI","",IF($T204="","SIN DATO",IF(ABS($T204-$S204)&lt;=0.5,"OK","REVISAR"))))</f>
        <v/>
      </c>
      <c r="V204" s="20" t="n"/>
      <c r="W204" s="20">
        <f>IF(OR($C204="",$N204=""),"",IF($F204="RHE",ROUND($L204-$V204,2),ROUND($L204-($S204/$N204),2)))</f>
        <v/>
      </c>
      <c r="X204" s="25" t="n"/>
      <c r="Y204" s="25" t="n"/>
    </row>
    <row r="205">
      <c r="A205" t="n">
        <v>202</v>
      </c>
      <c r="B205" s="25" t="n"/>
      <c r="D205" s="30" t="n"/>
      <c r="G205" s="30" t="n"/>
      <c r="H205">
        <f>IF($G205="","",IFERROR(INDEX(Catalogo_Etiquetas,MATCH($G205,Catalogo_Codigos,0)),"CODIGO NO VALIDO"))</f>
        <v/>
      </c>
      <c r="J205" s="20" t="n"/>
      <c r="K205" s="20" t="n"/>
      <c r="L205" s="20">
        <f>IF($C205="","",$J205+$K205)</f>
        <v/>
      </c>
      <c r="M205" s="30" t="n"/>
      <c r="N205" s="26">
        <f>IF($C205="","",IF($I205="PEN",1,IFERROR(IF(_xlfn.XLOOKUP($B205,TC_Fechas,TC_Venta_Rango,"",-1)="","",_xlfn.XLOOKUP($B205,TC_Fechas,TC_Venta_Rango,"",-1)),"")))</f>
        <v/>
      </c>
      <c r="O205" s="20">
        <f>IF(OR($C205="",$N205=""),"",ROUND($J205*$N205,2)+ROUND($K205*$N205,2))</f>
        <v/>
      </c>
      <c r="P205" s="31">
        <f>IF($G205="","",IFERROR(INDEX(Catalogo_Tasas,MATCH($G205,Catalogo_Codigos,0)),""))</f>
        <v/>
      </c>
      <c r="Q205" s="32">
        <f>IF($G205="","",IFERROR(INDEX(Catalogo_Umbrales,MATCH($G205,Catalogo_Codigos,0)),""))</f>
        <v/>
      </c>
      <c r="R205">
        <f>IF(OR($C205="",$P205="",$O205=""),"",IF($F205&lt;&gt;"FACTURA","NO",IF(AND($P205&gt;0,$O205&gt;$Q205),"SI","NO")))</f>
        <v/>
      </c>
      <c r="S205" s="20">
        <f>IF($R205="SI",ROUND($O205*$P205,2),IF($C205="","",0))</f>
        <v/>
      </c>
      <c r="T205" s="20" t="n"/>
      <c r="U205">
        <f>IF($C205="","",IF($R205&lt;&gt;"SI","",IF($T205="","SIN DATO",IF(ABS($T205-$S205)&lt;=0.5,"OK","REVISAR"))))</f>
        <v/>
      </c>
      <c r="V205" s="20" t="n"/>
      <c r="W205" s="20">
        <f>IF(OR($C205="",$N205=""),"",IF($F205="RHE",ROUND($L205-$V205,2),ROUND($L205-($S205/$N205),2)))</f>
        <v/>
      </c>
      <c r="X205" s="25" t="n"/>
      <c r="Y205" s="25" t="n"/>
    </row>
    <row r="206">
      <c r="A206" t="n">
        <v>203</v>
      </c>
      <c r="B206" s="25" t="n"/>
      <c r="D206" s="30" t="n"/>
      <c r="G206" s="30" t="n"/>
      <c r="H206">
        <f>IF($G206="","",IFERROR(INDEX(Catalogo_Etiquetas,MATCH($G206,Catalogo_Codigos,0)),"CODIGO NO VALIDO"))</f>
        <v/>
      </c>
      <c r="J206" s="20" t="n"/>
      <c r="K206" s="20" t="n"/>
      <c r="L206" s="20">
        <f>IF($C206="","",$J206+$K206)</f>
        <v/>
      </c>
      <c r="M206" s="30" t="n"/>
      <c r="N206" s="26">
        <f>IF($C206="","",IF($I206="PEN",1,IFERROR(IF(_xlfn.XLOOKUP($B206,TC_Fechas,TC_Venta_Rango,"",-1)="","",_xlfn.XLOOKUP($B206,TC_Fechas,TC_Venta_Rango,"",-1)),"")))</f>
        <v/>
      </c>
      <c r="O206" s="20">
        <f>IF(OR($C206="",$N206=""),"",ROUND($J206*$N206,2)+ROUND($K206*$N206,2))</f>
        <v/>
      </c>
      <c r="P206" s="31">
        <f>IF($G206="","",IFERROR(INDEX(Catalogo_Tasas,MATCH($G206,Catalogo_Codigos,0)),""))</f>
        <v/>
      </c>
      <c r="Q206" s="32">
        <f>IF($G206="","",IFERROR(INDEX(Catalogo_Umbrales,MATCH($G206,Catalogo_Codigos,0)),""))</f>
        <v/>
      </c>
      <c r="R206">
        <f>IF(OR($C206="",$P206="",$O206=""),"",IF($F206&lt;&gt;"FACTURA","NO",IF(AND($P206&gt;0,$O206&gt;$Q206),"SI","NO")))</f>
        <v/>
      </c>
      <c r="S206" s="20">
        <f>IF($R206="SI",ROUND($O206*$P206,2),IF($C206="","",0))</f>
        <v/>
      </c>
      <c r="T206" s="20" t="n"/>
      <c r="U206">
        <f>IF($C206="","",IF($R206&lt;&gt;"SI","",IF($T206="","SIN DATO",IF(ABS($T206-$S206)&lt;=0.5,"OK","REVISAR"))))</f>
        <v/>
      </c>
      <c r="V206" s="20" t="n"/>
      <c r="W206" s="20">
        <f>IF(OR($C206="",$N206=""),"",IF($F206="RHE",ROUND($L206-$V206,2),ROUND($L206-($S206/$N206),2)))</f>
        <v/>
      </c>
      <c r="X206" s="25" t="n"/>
      <c r="Y206" s="25" t="n"/>
    </row>
    <row r="207">
      <c r="A207" t="n">
        <v>204</v>
      </c>
      <c r="B207" s="25" t="n"/>
      <c r="D207" s="30" t="n"/>
      <c r="G207" s="30" t="n"/>
      <c r="H207">
        <f>IF($G207="","",IFERROR(INDEX(Catalogo_Etiquetas,MATCH($G207,Catalogo_Codigos,0)),"CODIGO NO VALIDO"))</f>
        <v/>
      </c>
      <c r="J207" s="20" t="n"/>
      <c r="K207" s="20" t="n"/>
      <c r="L207" s="20">
        <f>IF($C207="","",$J207+$K207)</f>
        <v/>
      </c>
      <c r="M207" s="30" t="n"/>
      <c r="N207" s="26">
        <f>IF($C207="","",IF($I207="PEN",1,IFERROR(IF(_xlfn.XLOOKUP($B207,TC_Fechas,TC_Venta_Rango,"",-1)="","",_xlfn.XLOOKUP($B207,TC_Fechas,TC_Venta_Rango,"",-1)),"")))</f>
        <v/>
      </c>
      <c r="O207" s="20">
        <f>IF(OR($C207="",$N207=""),"",ROUND($J207*$N207,2)+ROUND($K207*$N207,2))</f>
        <v/>
      </c>
      <c r="P207" s="31">
        <f>IF($G207="","",IFERROR(INDEX(Catalogo_Tasas,MATCH($G207,Catalogo_Codigos,0)),""))</f>
        <v/>
      </c>
      <c r="Q207" s="32">
        <f>IF($G207="","",IFERROR(INDEX(Catalogo_Umbrales,MATCH($G207,Catalogo_Codigos,0)),""))</f>
        <v/>
      </c>
      <c r="R207">
        <f>IF(OR($C207="",$P207="",$O207=""),"",IF($F207&lt;&gt;"FACTURA","NO",IF(AND($P207&gt;0,$O207&gt;$Q207),"SI","NO")))</f>
        <v/>
      </c>
      <c r="S207" s="20">
        <f>IF($R207="SI",ROUND($O207*$P207,2),IF($C207="","",0))</f>
        <v/>
      </c>
      <c r="T207" s="20" t="n"/>
      <c r="U207">
        <f>IF($C207="","",IF($R207&lt;&gt;"SI","",IF($T207="","SIN DATO",IF(ABS($T207-$S207)&lt;=0.5,"OK","REVISAR"))))</f>
        <v/>
      </c>
      <c r="V207" s="20" t="n"/>
      <c r="W207" s="20">
        <f>IF(OR($C207="",$N207=""),"",IF($F207="RHE",ROUND($L207-$V207,2),ROUND($L207-($S207/$N207),2)))</f>
        <v/>
      </c>
      <c r="X207" s="25" t="n"/>
      <c r="Y207" s="25" t="n"/>
    </row>
    <row r="208">
      <c r="A208" t="n">
        <v>205</v>
      </c>
      <c r="B208" s="25" t="n"/>
      <c r="D208" s="30" t="n"/>
      <c r="G208" s="30" t="n"/>
      <c r="H208">
        <f>IF($G208="","",IFERROR(INDEX(Catalogo_Etiquetas,MATCH($G208,Catalogo_Codigos,0)),"CODIGO NO VALIDO"))</f>
        <v/>
      </c>
      <c r="J208" s="20" t="n"/>
      <c r="K208" s="20" t="n"/>
      <c r="L208" s="20">
        <f>IF($C208="","",$J208+$K208)</f>
        <v/>
      </c>
      <c r="M208" s="30" t="n"/>
      <c r="N208" s="26">
        <f>IF($C208="","",IF($I208="PEN",1,IFERROR(IF(_xlfn.XLOOKUP($B208,TC_Fechas,TC_Venta_Rango,"",-1)="","",_xlfn.XLOOKUP($B208,TC_Fechas,TC_Venta_Rango,"",-1)),"")))</f>
        <v/>
      </c>
      <c r="O208" s="20">
        <f>IF(OR($C208="",$N208=""),"",ROUND($J208*$N208,2)+ROUND($K208*$N208,2))</f>
        <v/>
      </c>
      <c r="P208" s="31">
        <f>IF($G208="","",IFERROR(INDEX(Catalogo_Tasas,MATCH($G208,Catalogo_Codigos,0)),""))</f>
        <v/>
      </c>
      <c r="Q208" s="32">
        <f>IF($G208="","",IFERROR(INDEX(Catalogo_Umbrales,MATCH($G208,Catalogo_Codigos,0)),""))</f>
        <v/>
      </c>
      <c r="R208">
        <f>IF(OR($C208="",$P208="",$O208=""),"",IF($F208&lt;&gt;"FACTURA","NO",IF(AND($P208&gt;0,$O208&gt;$Q208),"SI","NO")))</f>
        <v/>
      </c>
      <c r="S208" s="20">
        <f>IF($R208="SI",ROUND($O208*$P208,2),IF($C208="","",0))</f>
        <v/>
      </c>
      <c r="T208" s="20" t="n"/>
      <c r="U208">
        <f>IF($C208="","",IF($R208&lt;&gt;"SI","",IF($T208="","SIN DATO",IF(ABS($T208-$S208)&lt;=0.5,"OK","REVISAR"))))</f>
        <v/>
      </c>
      <c r="V208" s="20" t="n"/>
      <c r="W208" s="20">
        <f>IF(OR($C208="",$N208=""),"",IF($F208="RHE",ROUND($L208-$V208,2),ROUND($L208-($S208/$N208),2)))</f>
        <v/>
      </c>
      <c r="X208" s="25" t="n"/>
      <c r="Y208" s="25" t="n"/>
    </row>
    <row r="209">
      <c r="A209" t="n">
        <v>206</v>
      </c>
      <c r="B209" s="25" t="n"/>
      <c r="D209" s="30" t="n"/>
      <c r="G209" s="30" t="n"/>
      <c r="H209">
        <f>IF($G209="","",IFERROR(INDEX(Catalogo_Etiquetas,MATCH($G209,Catalogo_Codigos,0)),"CODIGO NO VALIDO"))</f>
        <v/>
      </c>
      <c r="J209" s="20" t="n"/>
      <c r="K209" s="20" t="n"/>
      <c r="L209" s="20">
        <f>IF($C209="","",$J209+$K209)</f>
        <v/>
      </c>
      <c r="M209" s="30" t="n"/>
      <c r="N209" s="26">
        <f>IF($C209="","",IF($I209="PEN",1,IFERROR(IF(_xlfn.XLOOKUP($B209,TC_Fechas,TC_Venta_Rango,"",-1)="","",_xlfn.XLOOKUP($B209,TC_Fechas,TC_Venta_Rango,"",-1)),"")))</f>
        <v/>
      </c>
      <c r="O209" s="20">
        <f>IF(OR($C209="",$N209=""),"",ROUND($J209*$N209,2)+ROUND($K209*$N209,2))</f>
        <v/>
      </c>
      <c r="P209" s="31">
        <f>IF($G209="","",IFERROR(INDEX(Catalogo_Tasas,MATCH($G209,Catalogo_Codigos,0)),""))</f>
        <v/>
      </c>
      <c r="Q209" s="32">
        <f>IF($G209="","",IFERROR(INDEX(Catalogo_Umbrales,MATCH($G209,Catalogo_Codigos,0)),""))</f>
        <v/>
      </c>
      <c r="R209">
        <f>IF(OR($C209="",$P209="",$O209=""),"",IF($F209&lt;&gt;"FACTURA","NO",IF(AND($P209&gt;0,$O209&gt;$Q209),"SI","NO")))</f>
        <v/>
      </c>
      <c r="S209" s="20">
        <f>IF($R209="SI",ROUND($O209*$P209,2),IF($C209="","",0))</f>
        <v/>
      </c>
      <c r="T209" s="20" t="n"/>
      <c r="U209">
        <f>IF($C209="","",IF($R209&lt;&gt;"SI","",IF($T209="","SIN DATO",IF(ABS($T209-$S209)&lt;=0.5,"OK","REVISAR"))))</f>
        <v/>
      </c>
      <c r="V209" s="20" t="n"/>
      <c r="W209" s="20">
        <f>IF(OR($C209="",$N209=""),"",IF($F209="RHE",ROUND($L209-$V209,2),ROUND($L209-($S209/$N209),2)))</f>
        <v/>
      </c>
      <c r="X209" s="25" t="n"/>
      <c r="Y209" s="25" t="n"/>
    </row>
    <row r="210">
      <c r="A210" t="n">
        <v>207</v>
      </c>
      <c r="B210" s="25" t="n"/>
      <c r="D210" s="30" t="n"/>
      <c r="G210" s="30" t="n"/>
      <c r="H210">
        <f>IF($G210="","",IFERROR(INDEX(Catalogo_Etiquetas,MATCH($G210,Catalogo_Codigos,0)),"CODIGO NO VALIDO"))</f>
        <v/>
      </c>
      <c r="J210" s="20" t="n"/>
      <c r="K210" s="20" t="n"/>
      <c r="L210" s="20">
        <f>IF($C210="","",$J210+$K210)</f>
        <v/>
      </c>
      <c r="M210" s="30" t="n"/>
      <c r="N210" s="26">
        <f>IF($C210="","",IF($I210="PEN",1,IFERROR(IF(_xlfn.XLOOKUP($B210,TC_Fechas,TC_Venta_Rango,"",-1)="","",_xlfn.XLOOKUP($B210,TC_Fechas,TC_Venta_Rango,"",-1)),"")))</f>
        <v/>
      </c>
      <c r="O210" s="20">
        <f>IF(OR($C210="",$N210=""),"",ROUND($J210*$N210,2)+ROUND($K210*$N210,2))</f>
        <v/>
      </c>
      <c r="P210" s="31">
        <f>IF($G210="","",IFERROR(INDEX(Catalogo_Tasas,MATCH($G210,Catalogo_Codigos,0)),""))</f>
        <v/>
      </c>
      <c r="Q210" s="32">
        <f>IF($G210="","",IFERROR(INDEX(Catalogo_Umbrales,MATCH($G210,Catalogo_Codigos,0)),""))</f>
        <v/>
      </c>
      <c r="R210">
        <f>IF(OR($C210="",$P210="",$O210=""),"",IF($F210&lt;&gt;"FACTURA","NO",IF(AND($P210&gt;0,$O210&gt;$Q210),"SI","NO")))</f>
        <v/>
      </c>
      <c r="S210" s="20">
        <f>IF($R210="SI",ROUND($O210*$P210,2),IF($C210="","",0))</f>
        <v/>
      </c>
      <c r="T210" s="20" t="n"/>
      <c r="U210">
        <f>IF($C210="","",IF($R210&lt;&gt;"SI","",IF($T210="","SIN DATO",IF(ABS($T210-$S210)&lt;=0.5,"OK","REVISAR"))))</f>
        <v/>
      </c>
      <c r="V210" s="20" t="n"/>
      <c r="W210" s="20">
        <f>IF(OR($C210="",$N210=""),"",IF($F210="RHE",ROUND($L210-$V210,2),ROUND($L210-($S210/$N210),2)))</f>
        <v/>
      </c>
      <c r="X210" s="25" t="n"/>
      <c r="Y210" s="25" t="n"/>
    </row>
    <row r="211">
      <c r="A211" t="n">
        <v>208</v>
      </c>
      <c r="B211" s="25" t="n"/>
      <c r="D211" s="30" t="n"/>
      <c r="G211" s="30" t="n"/>
      <c r="H211">
        <f>IF($G211="","",IFERROR(INDEX(Catalogo_Etiquetas,MATCH($G211,Catalogo_Codigos,0)),"CODIGO NO VALIDO"))</f>
        <v/>
      </c>
      <c r="J211" s="20" t="n"/>
      <c r="K211" s="20" t="n"/>
      <c r="L211" s="20">
        <f>IF($C211="","",$J211+$K211)</f>
        <v/>
      </c>
      <c r="M211" s="30" t="n"/>
      <c r="N211" s="26">
        <f>IF($C211="","",IF($I211="PEN",1,IFERROR(IF(_xlfn.XLOOKUP($B211,TC_Fechas,TC_Venta_Rango,"",-1)="","",_xlfn.XLOOKUP($B211,TC_Fechas,TC_Venta_Rango,"",-1)),"")))</f>
        <v/>
      </c>
      <c r="O211" s="20">
        <f>IF(OR($C211="",$N211=""),"",ROUND($J211*$N211,2)+ROUND($K211*$N211,2))</f>
        <v/>
      </c>
      <c r="P211" s="31">
        <f>IF($G211="","",IFERROR(INDEX(Catalogo_Tasas,MATCH($G211,Catalogo_Codigos,0)),""))</f>
        <v/>
      </c>
      <c r="Q211" s="32">
        <f>IF($G211="","",IFERROR(INDEX(Catalogo_Umbrales,MATCH($G211,Catalogo_Codigos,0)),""))</f>
        <v/>
      </c>
      <c r="R211">
        <f>IF(OR($C211="",$P211="",$O211=""),"",IF($F211&lt;&gt;"FACTURA","NO",IF(AND($P211&gt;0,$O211&gt;$Q211),"SI","NO")))</f>
        <v/>
      </c>
      <c r="S211" s="20">
        <f>IF($R211="SI",ROUND($O211*$P211,2),IF($C211="","",0))</f>
        <v/>
      </c>
      <c r="T211" s="20" t="n"/>
      <c r="U211">
        <f>IF($C211="","",IF($R211&lt;&gt;"SI","",IF($T211="","SIN DATO",IF(ABS($T211-$S211)&lt;=0.5,"OK","REVISAR"))))</f>
        <v/>
      </c>
      <c r="V211" s="20" t="n"/>
      <c r="W211" s="20">
        <f>IF(OR($C211="",$N211=""),"",IF($F211="RHE",ROUND($L211-$V211,2),ROUND($L211-($S211/$N211),2)))</f>
        <v/>
      </c>
      <c r="X211" s="25" t="n"/>
      <c r="Y211" s="25" t="n"/>
    </row>
    <row r="212">
      <c r="A212" t="n">
        <v>209</v>
      </c>
      <c r="B212" s="25" t="n"/>
      <c r="D212" s="30" t="n"/>
      <c r="G212" s="30" t="n"/>
      <c r="H212">
        <f>IF($G212="","",IFERROR(INDEX(Catalogo_Etiquetas,MATCH($G212,Catalogo_Codigos,0)),"CODIGO NO VALIDO"))</f>
        <v/>
      </c>
      <c r="J212" s="20" t="n"/>
      <c r="K212" s="20" t="n"/>
      <c r="L212" s="20">
        <f>IF($C212="","",$J212+$K212)</f>
        <v/>
      </c>
      <c r="M212" s="30" t="n"/>
      <c r="N212" s="26">
        <f>IF($C212="","",IF($I212="PEN",1,IFERROR(IF(_xlfn.XLOOKUP($B212,TC_Fechas,TC_Venta_Rango,"",-1)="","",_xlfn.XLOOKUP($B212,TC_Fechas,TC_Venta_Rango,"",-1)),"")))</f>
        <v/>
      </c>
      <c r="O212" s="20">
        <f>IF(OR($C212="",$N212=""),"",ROUND($J212*$N212,2)+ROUND($K212*$N212,2))</f>
        <v/>
      </c>
      <c r="P212" s="31">
        <f>IF($G212="","",IFERROR(INDEX(Catalogo_Tasas,MATCH($G212,Catalogo_Codigos,0)),""))</f>
        <v/>
      </c>
      <c r="Q212" s="32">
        <f>IF($G212="","",IFERROR(INDEX(Catalogo_Umbrales,MATCH($G212,Catalogo_Codigos,0)),""))</f>
        <v/>
      </c>
      <c r="R212">
        <f>IF(OR($C212="",$P212="",$O212=""),"",IF($F212&lt;&gt;"FACTURA","NO",IF(AND($P212&gt;0,$O212&gt;$Q212),"SI","NO")))</f>
        <v/>
      </c>
      <c r="S212" s="20">
        <f>IF($R212="SI",ROUND($O212*$P212,2),IF($C212="","",0))</f>
        <v/>
      </c>
      <c r="T212" s="20" t="n"/>
      <c r="U212">
        <f>IF($C212="","",IF($R212&lt;&gt;"SI","",IF($T212="","SIN DATO",IF(ABS($T212-$S212)&lt;=0.5,"OK","REVISAR"))))</f>
        <v/>
      </c>
      <c r="V212" s="20" t="n"/>
      <c r="W212" s="20">
        <f>IF(OR($C212="",$N212=""),"",IF($F212="RHE",ROUND($L212-$V212,2),ROUND($L212-($S212/$N212),2)))</f>
        <v/>
      </c>
      <c r="X212" s="25" t="n"/>
      <c r="Y212" s="25" t="n"/>
    </row>
    <row r="213">
      <c r="A213" t="n">
        <v>210</v>
      </c>
      <c r="B213" s="25" t="n"/>
      <c r="D213" s="30" t="n"/>
      <c r="G213" s="30" t="n"/>
      <c r="H213">
        <f>IF($G213="","",IFERROR(INDEX(Catalogo_Etiquetas,MATCH($G213,Catalogo_Codigos,0)),"CODIGO NO VALIDO"))</f>
        <v/>
      </c>
      <c r="J213" s="20" t="n"/>
      <c r="K213" s="20" t="n"/>
      <c r="L213" s="20">
        <f>IF($C213="","",$J213+$K213)</f>
        <v/>
      </c>
      <c r="M213" s="30" t="n"/>
      <c r="N213" s="26">
        <f>IF($C213="","",IF($I213="PEN",1,IFERROR(IF(_xlfn.XLOOKUP($B213,TC_Fechas,TC_Venta_Rango,"",-1)="","",_xlfn.XLOOKUP($B213,TC_Fechas,TC_Venta_Rango,"",-1)),"")))</f>
        <v/>
      </c>
      <c r="O213" s="20">
        <f>IF(OR($C213="",$N213=""),"",ROUND($J213*$N213,2)+ROUND($K213*$N213,2))</f>
        <v/>
      </c>
      <c r="P213" s="31">
        <f>IF($G213="","",IFERROR(INDEX(Catalogo_Tasas,MATCH($G213,Catalogo_Codigos,0)),""))</f>
        <v/>
      </c>
      <c r="Q213" s="32">
        <f>IF($G213="","",IFERROR(INDEX(Catalogo_Umbrales,MATCH($G213,Catalogo_Codigos,0)),""))</f>
        <v/>
      </c>
      <c r="R213">
        <f>IF(OR($C213="",$P213="",$O213=""),"",IF($F213&lt;&gt;"FACTURA","NO",IF(AND($P213&gt;0,$O213&gt;$Q213),"SI","NO")))</f>
        <v/>
      </c>
      <c r="S213" s="20">
        <f>IF($R213="SI",ROUND($O213*$P213,2),IF($C213="","",0))</f>
        <v/>
      </c>
      <c r="T213" s="20" t="n"/>
      <c r="U213">
        <f>IF($C213="","",IF($R213&lt;&gt;"SI","",IF($T213="","SIN DATO",IF(ABS($T213-$S213)&lt;=0.5,"OK","REVISAR"))))</f>
        <v/>
      </c>
      <c r="V213" s="20" t="n"/>
      <c r="W213" s="20">
        <f>IF(OR($C213="",$N213=""),"",IF($F213="RHE",ROUND($L213-$V213,2),ROUND($L213-($S213/$N213),2)))</f>
        <v/>
      </c>
      <c r="X213" s="25" t="n"/>
      <c r="Y213" s="25" t="n"/>
    </row>
    <row r="214">
      <c r="A214" t="n">
        <v>211</v>
      </c>
      <c r="B214" s="25" t="n"/>
      <c r="D214" s="30" t="n"/>
      <c r="G214" s="30" t="n"/>
      <c r="H214">
        <f>IF($G214="","",IFERROR(INDEX(Catalogo_Etiquetas,MATCH($G214,Catalogo_Codigos,0)),"CODIGO NO VALIDO"))</f>
        <v/>
      </c>
      <c r="J214" s="20" t="n"/>
      <c r="K214" s="20" t="n"/>
      <c r="L214" s="20">
        <f>IF($C214="","",$J214+$K214)</f>
        <v/>
      </c>
      <c r="M214" s="30" t="n"/>
      <c r="N214" s="26">
        <f>IF($C214="","",IF($I214="PEN",1,IFERROR(IF(_xlfn.XLOOKUP($B214,TC_Fechas,TC_Venta_Rango,"",-1)="","",_xlfn.XLOOKUP($B214,TC_Fechas,TC_Venta_Rango,"",-1)),"")))</f>
        <v/>
      </c>
      <c r="O214" s="20">
        <f>IF(OR($C214="",$N214=""),"",ROUND($J214*$N214,2)+ROUND($K214*$N214,2))</f>
        <v/>
      </c>
      <c r="P214" s="31">
        <f>IF($G214="","",IFERROR(INDEX(Catalogo_Tasas,MATCH($G214,Catalogo_Codigos,0)),""))</f>
        <v/>
      </c>
      <c r="Q214" s="32">
        <f>IF($G214="","",IFERROR(INDEX(Catalogo_Umbrales,MATCH($G214,Catalogo_Codigos,0)),""))</f>
        <v/>
      </c>
      <c r="R214">
        <f>IF(OR($C214="",$P214="",$O214=""),"",IF($F214&lt;&gt;"FACTURA","NO",IF(AND($P214&gt;0,$O214&gt;$Q214),"SI","NO")))</f>
        <v/>
      </c>
      <c r="S214" s="20">
        <f>IF($R214="SI",ROUND($O214*$P214,2),IF($C214="","",0))</f>
        <v/>
      </c>
      <c r="T214" s="20" t="n"/>
      <c r="U214">
        <f>IF($C214="","",IF($R214&lt;&gt;"SI","",IF($T214="","SIN DATO",IF(ABS($T214-$S214)&lt;=0.5,"OK","REVISAR"))))</f>
        <v/>
      </c>
      <c r="V214" s="20" t="n"/>
      <c r="W214" s="20">
        <f>IF(OR($C214="",$N214=""),"",IF($F214="RHE",ROUND($L214-$V214,2),ROUND($L214-($S214/$N214),2)))</f>
        <v/>
      </c>
      <c r="X214" s="25" t="n"/>
      <c r="Y214" s="25" t="n"/>
    </row>
    <row r="215">
      <c r="A215" t="n">
        <v>212</v>
      </c>
      <c r="B215" s="25" t="n"/>
      <c r="D215" s="30" t="n"/>
      <c r="G215" s="30" t="n"/>
      <c r="H215">
        <f>IF($G215="","",IFERROR(INDEX(Catalogo_Etiquetas,MATCH($G215,Catalogo_Codigos,0)),"CODIGO NO VALIDO"))</f>
        <v/>
      </c>
      <c r="J215" s="20" t="n"/>
      <c r="K215" s="20" t="n"/>
      <c r="L215" s="20">
        <f>IF($C215="","",$J215+$K215)</f>
        <v/>
      </c>
      <c r="M215" s="30" t="n"/>
      <c r="N215" s="26">
        <f>IF($C215="","",IF($I215="PEN",1,IFERROR(IF(_xlfn.XLOOKUP($B215,TC_Fechas,TC_Venta_Rango,"",-1)="","",_xlfn.XLOOKUP($B215,TC_Fechas,TC_Venta_Rango,"",-1)),"")))</f>
        <v/>
      </c>
      <c r="O215" s="20">
        <f>IF(OR($C215="",$N215=""),"",ROUND($J215*$N215,2)+ROUND($K215*$N215,2))</f>
        <v/>
      </c>
      <c r="P215" s="31">
        <f>IF($G215="","",IFERROR(INDEX(Catalogo_Tasas,MATCH($G215,Catalogo_Codigos,0)),""))</f>
        <v/>
      </c>
      <c r="Q215" s="32">
        <f>IF($G215="","",IFERROR(INDEX(Catalogo_Umbrales,MATCH($G215,Catalogo_Codigos,0)),""))</f>
        <v/>
      </c>
      <c r="R215">
        <f>IF(OR($C215="",$P215="",$O215=""),"",IF($F215&lt;&gt;"FACTURA","NO",IF(AND($P215&gt;0,$O215&gt;$Q215),"SI","NO")))</f>
        <v/>
      </c>
      <c r="S215" s="20">
        <f>IF($R215="SI",ROUND($O215*$P215,2),IF($C215="","",0))</f>
        <v/>
      </c>
      <c r="T215" s="20" t="n"/>
      <c r="U215">
        <f>IF($C215="","",IF($R215&lt;&gt;"SI","",IF($T215="","SIN DATO",IF(ABS($T215-$S215)&lt;=0.5,"OK","REVISAR"))))</f>
        <v/>
      </c>
      <c r="V215" s="20" t="n"/>
      <c r="W215" s="20">
        <f>IF(OR($C215="",$N215=""),"",IF($F215="RHE",ROUND($L215-$V215,2),ROUND($L215-($S215/$N215),2)))</f>
        <v/>
      </c>
      <c r="X215" s="25" t="n"/>
      <c r="Y215" s="25" t="n"/>
    </row>
    <row r="216">
      <c r="A216" t="n">
        <v>213</v>
      </c>
      <c r="B216" s="25" t="n"/>
      <c r="D216" s="30" t="n"/>
      <c r="G216" s="30" t="n"/>
      <c r="H216">
        <f>IF($G216="","",IFERROR(INDEX(Catalogo_Etiquetas,MATCH($G216,Catalogo_Codigos,0)),"CODIGO NO VALIDO"))</f>
        <v/>
      </c>
      <c r="J216" s="20" t="n"/>
      <c r="K216" s="20" t="n"/>
      <c r="L216" s="20">
        <f>IF($C216="","",$J216+$K216)</f>
        <v/>
      </c>
      <c r="M216" s="30" t="n"/>
      <c r="N216" s="26">
        <f>IF($C216="","",IF($I216="PEN",1,IFERROR(IF(_xlfn.XLOOKUP($B216,TC_Fechas,TC_Venta_Rango,"",-1)="","",_xlfn.XLOOKUP($B216,TC_Fechas,TC_Venta_Rango,"",-1)),"")))</f>
        <v/>
      </c>
      <c r="O216" s="20">
        <f>IF(OR($C216="",$N216=""),"",ROUND($J216*$N216,2)+ROUND($K216*$N216,2))</f>
        <v/>
      </c>
      <c r="P216" s="31">
        <f>IF($G216="","",IFERROR(INDEX(Catalogo_Tasas,MATCH($G216,Catalogo_Codigos,0)),""))</f>
        <v/>
      </c>
      <c r="Q216" s="32">
        <f>IF($G216="","",IFERROR(INDEX(Catalogo_Umbrales,MATCH($G216,Catalogo_Codigos,0)),""))</f>
        <v/>
      </c>
      <c r="R216">
        <f>IF(OR($C216="",$P216="",$O216=""),"",IF($F216&lt;&gt;"FACTURA","NO",IF(AND($P216&gt;0,$O216&gt;$Q216),"SI","NO")))</f>
        <v/>
      </c>
      <c r="S216" s="20">
        <f>IF($R216="SI",ROUND($O216*$P216,2),IF($C216="","",0))</f>
        <v/>
      </c>
      <c r="T216" s="20" t="n"/>
      <c r="U216">
        <f>IF($C216="","",IF($R216&lt;&gt;"SI","",IF($T216="","SIN DATO",IF(ABS($T216-$S216)&lt;=0.5,"OK","REVISAR"))))</f>
        <v/>
      </c>
      <c r="V216" s="20" t="n"/>
      <c r="W216" s="20">
        <f>IF(OR($C216="",$N216=""),"",IF($F216="RHE",ROUND($L216-$V216,2),ROUND($L216-($S216/$N216),2)))</f>
        <v/>
      </c>
      <c r="X216" s="25" t="n"/>
      <c r="Y216" s="25" t="n"/>
    </row>
    <row r="217">
      <c r="A217" t="n">
        <v>214</v>
      </c>
      <c r="B217" s="25" t="n"/>
      <c r="D217" s="30" t="n"/>
      <c r="G217" s="30" t="n"/>
      <c r="H217">
        <f>IF($G217="","",IFERROR(INDEX(Catalogo_Etiquetas,MATCH($G217,Catalogo_Codigos,0)),"CODIGO NO VALIDO"))</f>
        <v/>
      </c>
      <c r="J217" s="20" t="n"/>
      <c r="K217" s="20" t="n"/>
      <c r="L217" s="20">
        <f>IF($C217="","",$J217+$K217)</f>
        <v/>
      </c>
      <c r="M217" s="30" t="n"/>
      <c r="N217" s="26">
        <f>IF($C217="","",IF($I217="PEN",1,IFERROR(IF(_xlfn.XLOOKUP($B217,TC_Fechas,TC_Venta_Rango,"",-1)="","",_xlfn.XLOOKUP($B217,TC_Fechas,TC_Venta_Rango,"",-1)),"")))</f>
        <v/>
      </c>
      <c r="O217" s="20">
        <f>IF(OR($C217="",$N217=""),"",ROUND($J217*$N217,2)+ROUND($K217*$N217,2))</f>
        <v/>
      </c>
      <c r="P217" s="31">
        <f>IF($G217="","",IFERROR(INDEX(Catalogo_Tasas,MATCH($G217,Catalogo_Codigos,0)),""))</f>
        <v/>
      </c>
      <c r="Q217" s="32">
        <f>IF($G217="","",IFERROR(INDEX(Catalogo_Umbrales,MATCH($G217,Catalogo_Codigos,0)),""))</f>
        <v/>
      </c>
      <c r="R217">
        <f>IF(OR($C217="",$P217="",$O217=""),"",IF($F217&lt;&gt;"FACTURA","NO",IF(AND($P217&gt;0,$O217&gt;$Q217),"SI","NO")))</f>
        <v/>
      </c>
      <c r="S217" s="20">
        <f>IF($R217="SI",ROUND($O217*$P217,2),IF($C217="","",0))</f>
        <v/>
      </c>
      <c r="T217" s="20" t="n"/>
      <c r="U217">
        <f>IF($C217="","",IF($R217&lt;&gt;"SI","",IF($T217="","SIN DATO",IF(ABS($T217-$S217)&lt;=0.5,"OK","REVISAR"))))</f>
        <v/>
      </c>
      <c r="V217" s="20" t="n"/>
      <c r="W217" s="20">
        <f>IF(OR($C217="",$N217=""),"",IF($F217="RHE",ROUND($L217-$V217,2),ROUND($L217-($S217/$N217),2)))</f>
        <v/>
      </c>
      <c r="X217" s="25" t="n"/>
      <c r="Y217" s="25" t="n"/>
    </row>
    <row r="218">
      <c r="A218" t="n">
        <v>215</v>
      </c>
      <c r="B218" s="25" t="n"/>
      <c r="D218" s="30" t="n"/>
      <c r="G218" s="30" t="n"/>
      <c r="H218">
        <f>IF($G218="","",IFERROR(INDEX(Catalogo_Etiquetas,MATCH($G218,Catalogo_Codigos,0)),"CODIGO NO VALIDO"))</f>
        <v/>
      </c>
      <c r="J218" s="20" t="n"/>
      <c r="K218" s="20" t="n"/>
      <c r="L218" s="20">
        <f>IF($C218="","",$J218+$K218)</f>
        <v/>
      </c>
      <c r="M218" s="30" t="n"/>
      <c r="N218" s="26">
        <f>IF($C218="","",IF($I218="PEN",1,IFERROR(IF(_xlfn.XLOOKUP($B218,TC_Fechas,TC_Venta_Rango,"",-1)="","",_xlfn.XLOOKUP($B218,TC_Fechas,TC_Venta_Rango,"",-1)),"")))</f>
        <v/>
      </c>
      <c r="O218" s="20">
        <f>IF(OR($C218="",$N218=""),"",ROUND($J218*$N218,2)+ROUND($K218*$N218,2))</f>
        <v/>
      </c>
      <c r="P218" s="31">
        <f>IF($G218="","",IFERROR(INDEX(Catalogo_Tasas,MATCH($G218,Catalogo_Codigos,0)),""))</f>
        <v/>
      </c>
      <c r="Q218" s="32">
        <f>IF($G218="","",IFERROR(INDEX(Catalogo_Umbrales,MATCH($G218,Catalogo_Codigos,0)),""))</f>
        <v/>
      </c>
      <c r="R218">
        <f>IF(OR($C218="",$P218="",$O218=""),"",IF($F218&lt;&gt;"FACTURA","NO",IF(AND($P218&gt;0,$O218&gt;$Q218),"SI","NO")))</f>
        <v/>
      </c>
      <c r="S218" s="20">
        <f>IF($R218="SI",ROUND($O218*$P218,2),IF($C218="","",0))</f>
        <v/>
      </c>
      <c r="T218" s="20" t="n"/>
      <c r="U218">
        <f>IF($C218="","",IF($R218&lt;&gt;"SI","",IF($T218="","SIN DATO",IF(ABS($T218-$S218)&lt;=0.5,"OK","REVISAR"))))</f>
        <v/>
      </c>
      <c r="V218" s="20" t="n"/>
      <c r="W218" s="20">
        <f>IF(OR($C218="",$N218=""),"",IF($F218="RHE",ROUND($L218-$V218,2),ROUND($L218-($S218/$N218),2)))</f>
        <v/>
      </c>
      <c r="X218" s="25" t="n"/>
      <c r="Y218" s="25" t="n"/>
    </row>
    <row r="219">
      <c r="A219" t="n">
        <v>216</v>
      </c>
      <c r="B219" s="25" t="n"/>
      <c r="D219" s="30" t="n"/>
      <c r="G219" s="30" t="n"/>
      <c r="H219">
        <f>IF($G219="","",IFERROR(INDEX(Catalogo_Etiquetas,MATCH($G219,Catalogo_Codigos,0)),"CODIGO NO VALIDO"))</f>
        <v/>
      </c>
      <c r="J219" s="20" t="n"/>
      <c r="K219" s="20" t="n"/>
      <c r="L219" s="20">
        <f>IF($C219="","",$J219+$K219)</f>
        <v/>
      </c>
      <c r="M219" s="30" t="n"/>
      <c r="N219" s="26">
        <f>IF($C219="","",IF($I219="PEN",1,IFERROR(IF(_xlfn.XLOOKUP($B219,TC_Fechas,TC_Venta_Rango,"",-1)="","",_xlfn.XLOOKUP($B219,TC_Fechas,TC_Venta_Rango,"",-1)),"")))</f>
        <v/>
      </c>
      <c r="O219" s="20">
        <f>IF(OR($C219="",$N219=""),"",ROUND($J219*$N219,2)+ROUND($K219*$N219,2))</f>
        <v/>
      </c>
      <c r="P219" s="31">
        <f>IF($G219="","",IFERROR(INDEX(Catalogo_Tasas,MATCH($G219,Catalogo_Codigos,0)),""))</f>
        <v/>
      </c>
      <c r="Q219" s="32">
        <f>IF($G219="","",IFERROR(INDEX(Catalogo_Umbrales,MATCH($G219,Catalogo_Codigos,0)),""))</f>
        <v/>
      </c>
      <c r="R219">
        <f>IF(OR($C219="",$P219="",$O219=""),"",IF($F219&lt;&gt;"FACTURA","NO",IF(AND($P219&gt;0,$O219&gt;$Q219),"SI","NO")))</f>
        <v/>
      </c>
      <c r="S219" s="20">
        <f>IF($R219="SI",ROUND($O219*$P219,2),IF($C219="","",0))</f>
        <v/>
      </c>
      <c r="T219" s="20" t="n"/>
      <c r="U219">
        <f>IF($C219="","",IF($R219&lt;&gt;"SI","",IF($T219="","SIN DATO",IF(ABS($T219-$S219)&lt;=0.5,"OK","REVISAR"))))</f>
        <v/>
      </c>
      <c r="V219" s="20" t="n"/>
      <c r="W219" s="20">
        <f>IF(OR($C219="",$N219=""),"",IF($F219="RHE",ROUND($L219-$V219,2),ROUND($L219-($S219/$N219),2)))</f>
        <v/>
      </c>
      <c r="X219" s="25" t="n"/>
      <c r="Y219" s="25" t="n"/>
    </row>
    <row r="220">
      <c r="A220" t="n">
        <v>217</v>
      </c>
      <c r="B220" s="25" t="n"/>
      <c r="D220" s="30" t="n"/>
      <c r="G220" s="30" t="n"/>
      <c r="H220">
        <f>IF($G220="","",IFERROR(INDEX(Catalogo_Etiquetas,MATCH($G220,Catalogo_Codigos,0)),"CODIGO NO VALIDO"))</f>
        <v/>
      </c>
      <c r="J220" s="20" t="n"/>
      <c r="K220" s="20" t="n"/>
      <c r="L220" s="20">
        <f>IF($C220="","",$J220+$K220)</f>
        <v/>
      </c>
      <c r="M220" s="30" t="n"/>
      <c r="N220" s="26">
        <f>IF($C220="","",IF($I220="PEN",1,IFERROR(IF(_xlfn.XLOOKUP($B220,TC_Fechas,TC_Venta_Rango,"",-1)="","",_xlfn.XLOOKUP($B220,TC_Fechas,TC_Venta_Rango,"",-1)),"")))</f>
        <v/>
      </c>
      <c r="O220" s="20">
        <f>IF(OR($C220="",$N220=""),"",ROUND($J220*$N220,2)+ROUND($K220*$N220,2))</f>
        <v/>
      </c>
      <c r="P220" s="31">
        <f>IF($G220="","",IFERROR(INDEX(Catalogo_Tasas,MATCH($G220,Catalogo_Codigos,0)),""))</f>
        <v/>
      </c>
      <c r="Q220" s="32">
        <f>IF($G220="","",IFERROR(INDEX(Catalogo_Umbrales,MATCH($G220,Catalogo_Codigos,0)),""))</f>
        <v/>
      </c>
      <c r="R220">
        <f>IF(OR($C220="",$P220="",$O220=""),"",IF($F220&lt;&gt;"FACTURA","NO",IF(AND($P220&gt;0,$O220&gt;$Q220),"SI","NO")))</f>
        <v/>
      </c>
      <c r="S220" s="20">
        <f>IF($R220="SI",ROUND($O220*$P220,2),IF($C220="","",0))</f>
        <v/>
      </c>
      <c r="T220" s="20" t="n"/>
      <c r="U220">
        <f>IF($C220="","",IF($R220&lt;&gt;"SI","",IF($T220="","SIN DATO",IF(ABS($T220-$S220)&lt;=0.5,"OK","REVISAR"))))</f>
        <v/>
      </c>
      <c r="V220" s="20" t="n"/>
      <c r="W220" s="20">
        <f>IF(OR($C220="",$N220=""),"",IF($F220="RHE",ROUND($L220-$V220,2),ROUND($L220-($S220/$N220),2)))</f>
        <v/>
      </c>
      <c r="X220" s="25" t="n"/>
      <c r="Y220" s="25" t="n"/>
    </row>
    <row r="221">
      <c r="A221" t="n">
        <v>218</v>
      </c>
      <c r="B221" s="25" t="n"/>
      <c r="D221" s="30" t="n"/>
      <c r="G221" s="30" t="n"/>
      <c r="H221">
        <f>IF($G221="","",IFERROR(INDEX(Catalogo_Etiquetas,MATCH($G221,Catalogo_Codigos,0)),"CODIGO NO VALIDO"))</f>
        <v/>
      </c>
      <c r="J221" s="20" t="n"/>
      <c r="K221" s="20" t="n"/>
      <c r="L221" s="20">
        <f>IF($C221="","",$J221+$K221)</f>
        <v/>
      </c>
      <c r="M221" s="30" t="n"/>
      <c r="N221" s="26">
        <f>IF($C221="","",IF($I221="PEN",1,IFERROR(IF(_xlfn.XLOOKUP($B221,TC_Fechas,TC_Venta_Rango,"",-1)="","",_xlfn.XLOOKUP($B221,TC_Fechas,TC_Venta_Rango,"",-1)),"")))</f>
        <v/>
      </c>
      <c r="O221" s="20">
        <f>IF(OR($C221="",$N221=""),"",ROUND($J221*$N221,2)+ROUND($K221*$N221,2))</f>
        <v/>
      </c>
      <c r="P221" s="31">
        <f>IF($G221="","",IFERROR(INDEX(Catalogo_Tasas,MATCH($G221,Catalogo_Codigos,0)),""))</f>
        <v/>
      </c>
      <c r="Q221" s="32">
        <f>IF($G221="","",IFERROR(INDEX(Catalogo_Umbrales,MATCH($G221,Catalogo_Codigos,0)),""))</f>
        <v/>
      </c>
      <c r="R221">
        <f>IF(OR($C221="",$P221="",$O221=""),"",IF($F221&lt;&gt;"FACTURA","NO",IF(AND($P221&gt;0,$O221&gt;$Q221),"SI","NO")))</f>
        <v/>
      </c>
      <c r="S221" s="20">
        <f>IF($R221="SI",ROUND($O221*$P221,2),IF($C221="","",0))</f>
        <v/>
      </c>
      <c r="T221" s="20" t="n"/>
      <c r="U221">
        <f>IF($C221="","",IF($R221&lt;&gt;"SI","",IF($T221="","SIN DATO",IF(ABS($T221-$S221)&lt;=0.5,"OK","REVISAR"))))</f>
        <v/>
      </c>
      <c r="V221" s="20" t="n"/>
      <c r="W221" s="20">
        <f>IF(OR($C221="",$N221=""),"",IF($F221="RHE",ROUND($L221-$V221,2),ROUND($L221-($S221/$N221),2)))</f>
        <v/>
      </c>
      <c r="X221" s="25" t="n"/>
      <c r="Y221" s="25" t="n"/>
    </row>
    <row r="222">
      <c r="A222" t="n">
        <v>219</v>
      </c>
      <c r="B222" s="25" t="n"/>
      <c r="D222" s="30" t="n"/>
      <c r="G222" s="30" t="n"/>
      <c r="H222">
        <f>IF($G222="","",IFERROR(INDEX(Catalogo_Etiquetas,MATCH($G222,Catalogo_Codigos,0)),"CODIGO NO VALIDO"))</f>
        <v/>
      </c>
      <c r="J222" s="20" t="n"/>
      <c r="K222" s="20" t="n"/>
      <c r="L222" s="20">
        <f>IF($C222="","",$J222+$K222)</f>
        <v/>
      </c>
      <c r="M222" s="30" t="n"/>
      <c r="N222" s="26">
        <f>IF($C222="","",IF($I222="PEN",1,IFERROR(IF(_xlfn.XLOOKUP($B222,TC_Fechas,TC_Venta_Rango,"",-1)="","",_xlfn.XLOOKUP($B222,TC_Fechas,TC_Venta_Rango,"",-1)),"")))</f>
        <v/>
      </c>
      <c r="O222" s="20">
        <f>IF(OR($C222="",$N222=""),"",ROUND($J222*$N222,2)+ROUND($K222*$N222,2))</f>
        <v/>
      </c>
      <c r="P222" s="31">
        <f>IF($G222="","",IFERROR(INDEX(Catalogo_Tasas,MATCH($G222,Catalogo_Codigos,0)),""))</f>
        <v/>
      </c>
      <c r="Q222" s="32">
        <f>IF($G222="","",IFERROR(INDEX(Catalogo_Umbrales,MATCH($G222,Catalogo_Codigos,0)),""))</f>
        <v/>
      </c>
      <c r="R222">
        <f>IF(OR($C222="",$P222="",$O222=""),"",IF($F222&lt;&gt;"FACTURA","NO",IF(AND($P222&gt;0,$O222&gt;$Q222),"SI","NO")))</f>
        <v/>
      </c>
      <c r="S222" s="20">
        <f>IF($R222="SI",ROUND($O222*$P222,2),IF($C222="","",0))</f>
        <v/>
      </c>
      <c r="T222" s="20" t="n"/>
      <c r="U222">
        <f>IF($C222="","",IF($R222&lt;&gt;"SI","",IF($T222="","SIN DATO",IF(ABS($T222-$S222)&lt;=0.5,"OK","REVISAR"))))</f>
        <v/>
      </c>
      <c r="V222" s="20" t="n"/>
      <c r="W222" s="20">
        <f>IF(OR($C222="",$N222=""),"",IF($F222="RHE",ROUND($L222-$V222,2),ROUND($L222-($S222/$N222),2)))</f>
        <v/>
      </c>
      <c r="X222" s="25" t="n"/>
      <c r="Y222" s="25" t="n"/>
    </row>
    <row r="223">
      <c r="A223" t="n">
        <v>220</v>
      </c>
      <c r="B223" s="25" t="n"/>
      <c r="D223" s="30" t="n"/>
      <c r="G223" s="30" t="n"/>
      <c r="H223">
        <f>IF($G223="","",IFERROR(INDEX(Catalogo_Etiquetas,MATCH($G223,Catalogo_Codigos,0)),"CODIGO NO VALIDO"))</f>
        <v/>
      </c>
      <c r="J223" s="20" t="n"/>
      <c r="K223" s="20" t="n"/>
      <c r="L223" s="20">
        <f>IF($C223="","",$J223+$K223)</f>
        <v/>
      </c>
      <c r="M223" s="30" t="n"/>
      <c r="N223" s="26">
        <f>IF($C223="","",IF($I223="PEN",1,IFERROR(IF(_xlfn.XLOOKUP($B223,TC_Fechas,TC_Venta_Rango,"",-1)="","",_xlfn.XLOOKUP($B223,TC_Fechas,TC_Venta_Rango,"",-1)),"")))</f>
        <v/>
      </c>
      <c r="O223" s="20">
        <f>IF(OR($C223="",$N223=""),"",ROUND($J223*$N223,2)+ROUND($K223*$N223,2))</f>
        <v/>
      </c>
      <c r="P223" s="31">
        <f>IF($G223="","",IFERROR(INDEX(Catalogo_Tasas,MATCH($G223,Catalogo_Codigos,0)),""))</f>
        <v/>
      </c>
      <c r="Q223" s="32">
        <f>IF($G223="","",IFERROR(INDEX(Catalogo_Umbrales,MATCH($G223,Catalogo_Codigos,0)),""))</f>
        <v/>
      </c>
      <c r="R223">
        <f>IF(OR($C223="",$P223="",$O223=""),"",IF($F223&lt;&gt;"FACTURA","NO",IF(AND($P223&gt;0,$O223&gt;$Q223),"SI","NO")))</f>
        <v/>
      </c>
      <c r="S223" s="20">
        <f>IF($R223="SI",ROUND($O223*$P223,2),IF($C223="","",0))</f>
        <v/>
      </c>
      <c r="T223" s="20" t="n"/>
      <c r="U223">
        <f>IF($C223="","",IF($R223&lt;&gt;"SI","",IF($T223="","SIN DATO",IF(ABS($T223-$S223)&lt;=0.5,"OK","REVISAR"))))</f>
        <v/>
      </c>
      <c r="V223" s="20" t="n"/>
      <c r="W223" s="20">
        <f>IF(OR($C223="",$N223=""),"",IF($F223="RHE",ROUND($L223-$V223,2),ROUND($L223-($S223/$N223),2)))</f>
        <v/>
      </c>
      <c r="X223" s="25" t="n"/>
      <c r="Y223" s="25" t="n"/>
    </row>
    <row r="224">
      <c r="A224" t="n">
        <v>221</v>
      </c>
      <c r="B224" s="25" t="n"/>
      <c r="D224" s="30" t="n"/>
      <c r="G224" s="30" t="n"/>
      <c r="H224">
        <f>IF($G224="","",IFERROR(INDEX(Catalogo_Etiquetas,MATCH($G224,Catalogo_Codigos,0)),"CODIGO NO VALIDO"))</f>
        <v/>
      </c>
      <c r="J224" s="20" t="n"/>
      <c r="K224" s="20" t="n"/>
      <c r="L224" s="20">
        <f>IF($C224="","",$J224+$K224)</f>
        <v/>
      </c>
      <c r="M224" s="30" t="n"/>
      <c r="N224" s="26">
        <f>IF($C224="","",IF($I224="PEN",1,IFERROR(IF(_xlfn.XLOOKUP($B224,TC_Fechas,TC_Venta_Rango,"",-1)="","",_xlfn.XLOOKUP($B224,TC_Fechas,TC_Venta_Rango,"",-1)),"")))</f>
        <v/>
      </c>
      <c r="O224" s="20">
        <f>IF(OR($C224="",$N224=""),"",ROUND($J224*$N224,2)+ROUND($K224*$N224,2))</f>
        <v/>
      </c>
      <c r="P224" s="31">
        <f>IF($G224="","",IFERROR(INDEX(Catalogo_Tasas,MATCH($G224,Catalogo_Codigos,0)),""))</f>
        <v/>
      </c>
      <c r="Q224" s="32">
        <f>IF($G224="","",IFERROR(INDEX(Catalogo_Umbrales,MATCH($G224,Catalogo_Codigos,0)),""))</f>
        <v/>
      </c>
      <c r="R224">
        <f>IF(OR($C224="",$P224="",$O224=""),"",IF($F224&lt;&gt;"FACTURA","NO",IF(AND($P224&gt;0,$O224&gt;$Q224),"SI","NO")))</f>
        <v/>
      </c>
      <c r="S224" s="20">
        <f>IF($R224="SI",ROUND($O224*$P224,2),IF($C224="","",0))</f>
        <v/>
      </c>
      <c r="T224" s="20" t="n"/>
      <c r="U224">
        <f>IF($C224="","",IF($R224&lt;&gt;"SI","",IF($T224="","SIN DATO",IF(ABS($T224-$S224)&lt;=0.5,"OK","REVISAR"))))</f>
        <v/>
      </c>
      <c r="V224" s="20" t="n"/>
      <c r="W224" s="20">
        <f>IF(OR($C224="",$N224=""),"",IF($F224="RHE",ROUND($L224-$V224,2),ROUND($L224-($S224/$N224),2)))</f>
        <v/>
      </c>
      <c r="X224" s="25" t="n"/>
      <c r="Y224" s="25" t="n"/>
    </row>
    <row r="225">
      <c r="A225" t="n">
        <v>222</v>
      </c>
      <c r="B225" s="25" t="n"/>
      <c r="D225" s="30" t="n"/>
      <c r="G225" s="30" t="n"/>
      <c r="H225">
        <f>IF($G225="","",IFERROR(INDEX(Catalogo_Etiquetas,MATCH($G225,Catalogo_Codigos,0)),"CODIGO NO VALIDO"))</f>
        <v/>
      </c>
      <c r="J225" s="20" t="n"/>
      <c r="K225" s="20" t="n"/>
      <c r="L225" s="20">
        <f>IF($C225="","",$J225+$K225)</f>
        <v/>
      </c>
      <c r="M225" s="30" t="n"/>
      <c r="N225" s="26">
        <f>IF($C225="","",IF($I225="PEN",1,IFERROR(IF(_xlfn.XLOOKUP($B225,TC_Fechas,TC_Venta_Rango,"",-1)="","",_xlfn.XLOOKUP($B225,TC_Fechas,TC_Venta_Rango,"",-1)),"")))</f>
        <v/>
      </c>
      <c r="O225" s="20">
        <f>IF(OR($C225="",$N225=""),"",ROUND($J225*$N225,2)+ROUND($K225*$N225,2))</f>
        <v/>
      </c>
      <c r="P225" s="31">
        <f>IF($G225="","",IFERROR(INDEX(Catalogo_Tasas,MATCH($G225,Catalogo_Codigos,0)),""))</f>
        <v/>
      </c>
      <c r="Q225" s="32">
        <f>IF($G225="","",IFERROR(INDEX(Catalogo_Umbrales,MATCH($G225,Catalogo_Codigos,0)),""))</f>
        <v/>
      </c>
      <c r="R225">
        <f>IF(OR($C225="",$P225="",$O225=""),"",IF($F225&lt;&gt;"FACTURA","NO",IF(AND($P225&gt;0,$O225&gt;$Q225),"SI","NO")))</f>
        <v/>
      </c>
      <c r="S225" s="20">
        <f>IF($R225="SI",ROUND($O225*$P225,2),IF($C225="","",0))</f>
        <v/>
      </c>
      <c r="T225" s="20" t="n"/>
      <c r="U225">
        <f>IF($C225="","",IF($R225&lt;&gt;"SI","",IF($T225="","SIN DATO",IF(ABS($T225-$S225)&lt;=0.5,"OK","REVISAR"))))</f>
        <v/>
      </c>
      <c r="V225" s="20" t="n"/>
      <c r="W225" s="20">
        <f>IF(OR($C225="",$N225=""),"",IF($F225="RHE",ROUND($L225-$V225,2),ROUND($L225-($S225/$N225),2)))</f>
        <v/>
      </c>
      <c r="X225" s="25" t="n"/>
      <c r="Y225" s="25" t="n"/>
    </row>
    <row r="226">
      <c r="A226" t="n">
        <v>223</v>
      </c>
      <c r="B226" s="25" t="n"/>
      <c r="D226" s="30" t="n"/>
      <c r="G226" s="30" t="n"/>
      <c r="H226">
        <f>IF($G226="","",IFERROR(INDEX(Catalogo_Etiquetas,MATCH($G226,Catalogo_Codigos,0)),"CODIGO NO VALIDO"))</f>
        <v/>
      </c>
      <c r="J226" s="20" t="n"/>
      <c r="K226" s="20" t="n"/>
      <c r="L226" s="20">
        <f>IF($C226="","",$J226+$K226)</f>
        <v/>
      </c>
      <c r="M226" s="30" t="n"/>
      <c r="N226" s="26">
        <f>IF($C226="","",IF($I226="PEN",1,IFERROR(IF(_xlfn.XLOOKUP($B226,TC_Fechas,TC_Venta_Rango,"",-1)="","",_xlfn.XLOOKUP($B226,TC_Fechas,TC_Venta_Rango,"",-1)),"")))</f>
        <v/>
      </c>
      <c r="O226" s="20">
        <f>IF(OR($C226="",$N226=""),"",ROUND($J226*$N226,2)+ROUND($K226*$N226,2))</f>
        <v/>
      </c>
      <c r="P226" s="31">
        <f>IF($G226="","",IFERROR(INDEX(Catalogo_Tasas,MATCH($G226,Catalogo_Codigos,0)),""))</f>
        <v/>
      </c>
      <c r="Q226" s="32">
        <f>IF($G226="","",IFERROR(INDEX(Catalogo_Umbrales,MATCH($G226,Catalogo_Codigos,0)),""))</f>
        <v/>
      </c>
      <c r="R226">
        <f>IF(OR($C226="",$P226="",$O226=""),"",IF($F226&lt;&gt;"FACTURA","NO",IF(AND($P226&gt;0,$O226&gt;$Q226),"SI","NO")))</f>
        <v/>
      </c>
      <c r="S226" s="20">
        <f>IF($R226="SI",ROUND($O226*$P226,2),IF($C226="","",0))</f>
        <v/>
      </c>
      <c r="T226" s="20" t="n"/>
      <c r="U226">
        <f>IF($C226="","",IF($R226&lt;&gt;"SI","",IF($T226="","SIN DATO",IF(ABS($T226-$S226)&lt;=0.5,"OK","REVISAR"))))</f>
        <v/>
      </c>
      <c r="V226" s="20" t="n"/>
      <c r="W226" s="20">
        <f>IF(OR($C226="",$N226=""),"",IF($F226="RHE",ROUND($L226-$V226,2),ROUND($L226-($S226/$N226),2)))</f>
        <v/>
      </c>
      <c r="X226" s="25" t="n"/>
      <c r="Y226" s="25" t="n"/>
    </row>
    <row r="227">
      <c r="A227" t="n">
        <v>224</v>
      </c>
      <c r="B227" s="25" t="n"/>
      <c r="D227" s="30" t="n"/>
      <c r="G227" s="30" t="n"/>
      <c r="H227">
        <f>IF($G227="","",IFERROR(INDEX(Catalogo_Etiquetas,MATCH($G227,Catalogo_Codigos,0)),"CODIGO NO VALIDO"))</f>
        <v/>
      </c>
      <c r="J227" s="20" t="n"/>
      <c r="K227" s="20" t="n"/>
      <c r="L227" s="20">
        <f>IF($C227="","",$J227+$K227)</f>
        <v/>
      </c>
      <c r="M227" s="30" t="n"/>
      <c r="N227" s="26">
        <f>IF($C227="","",IF($I227="PEN",1,IFERROR(IF(_xlfn.XLOOKUP($B227,TC_Fechas,TC_Venta_Rango,"",-1)="","",_xlfn.XLOOKUP($B227,TC_Fechas,TC_Venta_Rango,"",-1)),"")))</f>
        <v/>
      </c>
      <c r="O227" s="20">
        <f>IF(OR($C227="",$N227=""),"",ROUND($J227*$N227,2)+ROUND($K227*$N227,2))</f>
        <v/>
      </c>
      <c r="P227" s="31">
        <f>IF($G227="","",IFERROR(INDEX(Catalogo_Tasas,MATCH($G227,Catalogo_Codigos,0)),""))</f>
        <v/>
      </c>
      <c r="Q227" s="32">
        <f>IF($G227="","",IFERROR(INDEX(Catalogo_Umbrales,MATCH($G227,Catalogo_Codigos,0)),""))</f>
        <v/>
      </c>
      <c r="R227">
        <f>IF(OR($C227="",$P227="",$O227=""),"",IF($F227&lt;&gt;"FACTURA","NO",IF(AND($P227&gt;0,$O227&gt;$Q227),"SI","NO")))</f>
        <v/>
      </c>
      <c r="S227" s="20">
        <f>IF($R227="SI",ROUND($O227*$P227,2),IF($C227="","",0))</f>
        <v/>
      </c>
      <c r="T227" s="20" t="n"/>
      <c r="U227">
        <f>IF($C227="","",IF($R227&lt;&gt;"SI","",IF($T227="","SIN DATO",IF(ABS($T227-$S227)&lt;=0.5,"OK","REVISAR"))))</f>
        <v/>
      </c>
      <c r="V227" s="20" t="n"/>
      <c r="W227" s="20">
        <f>IF(OR($C227="",$N227=""),"",IF($F227="RHE",ROUND($L227-$V227,2),ROUND($L227-($S227/$N227),2)))</f>
        <v/>
      </c>
      <c r="X227" s="25" t="n"/>
      <c r="Y227" s="25" t="n"/>
    </row>
    <row r="228">
      <c r="A228" t="n">
        <v>225</v>
      </c>
      <c r="B228" s="25" t="n"/>
      <c r="D228" s="30" t="n"/>
      <c r="G228" s="30" t="n"/>
      <c r="H228">
        <f>IF($G228="","",IFERROR(INDEX(Catalogo_Etiquetas,MATCH($G228,Catalogo_Codigos,0)),"CODIGO NO VALIDO"))</f>
        <v/>
      </c>
      <c r="J228" s="20" t="n"/>
      <c r="K228" s="20" t="n"/>
      <c r="L228" s="20">
        <f>IF($C228="","",$J228+$K228)</f>
        <v/>
      </c>
      <c r="M228" s="30" t="n"/>
      <c r="N228" s="26">
        <f>IF($C228="","",IF($I228="PEN",1,IFERROR(IF(_xlfn.XLOOKUP($B228,TC_Fechas,TC_Venta_Rango,"",-1)="","",_xlfn.XLOOKUP($B228,TC_Fechas,TC_Venta_Rango,"",-1)),"")))</f>
        <v/>
      </c>
      <c r="O228" s="20">
        <f>IF(OR($C228="",$N228=""),"",ROUND($J228*$N228,2)+ROUND($K228*$N228,2))</f>
        <v/>
      </c>
      <c r="P228" s="31">
        <f>IF($G228="","",IFERROR(INDEX(Catalogo_Tasas,MATCH($G228,Catalogo_Codigos,0)),""))</f>
        <v/>
      </c>
      <c r="Q228" s="32">
        <f>IF($G228="","",IFERROR(INDEX(Catalogo_Umbrales,MATCH($G228,Catalogo_Codigos,0)),""))</f>
        <v/>
      </c>
      <c r="R228">
        <f>IF(OR($C228="",$P228="",$O228=""),"",IF($F228&lt;&gt;"FACTURA","NO",IF(AND($P228&gt;0,$O228&gt;$Q228),"SI","NO")))</f>
        <v/>
      </c>
      <c r="S228" s="20">
        <f>IF($R228="SI",ROUND($O228*$P228,2),IF($C228="","",0))</f>
        <v/>
      </c>
      <c r="T228" s="20" t="n"/>
      <c r="U228">
        <f>IF($C228="","",IF($R228&lt;&gt;"SI","",IF($T228="","SIN DATO",IF(ABS($T228-$S228)&lt;=0.5,"OK","REVISAR"))))</f>
        <v/>
      </c>
      <c r="V228" s="20" t="n"/>
      <c r="W228" s="20">
        <f>IF(OR($C228="",$N228=""),"",IF($F228="RHE",ROUND($L228-$V228,2),ROUND($L228-($S228/$N228),2)))</f>
        <v/>
      </c>
      <c r="X228" s="25" t="n"/>
      <c r="Y228" s="25" t="n"/>
    </row>
    <row r="229">
      <c r="A229" t="n">
        <v>226</v>
      </c>
      <c r="B229" s="25" t="n"/>
      <c r="D229" s="30" t="n"/>
      <c r="G229" s="30" t="n"/>
      <c r="H229">
        <f>IF($G229="","",IFERROR(INDEX(Catalogo_Etiquetas,MATCH($G229,Catalogo_Codigos,0)),"CODIGO NO VALIDO"))</f>
        <v/>
      </c>
      <c r="J229" s="20" t="n"/>
      <c r="K229" s="20" t="n"/>
      <c r="L229" s="20">
        <f>IF($C229="","",$J229+$K229)</f>
        <v/>
      </c>
      <c r="M229" s="30" t="n"/>
      <c r="N229" s="26">
        <f>IF($C229="","",IF($I229="PEN",1,IFERROR(IF(_xlfn.XLOOKUP($B229,TC_Fechas,TC_Venta_Rango,"",-1)="","",_xlfn.XLOOKUP($B229,TC_Fechas,TC_Venta_Rango,"",-1)),"")))</f>
        <v/>
      </c>
      <c r="O229" s="20">
        <f>IF(OR($C229="",$N229=""),"",ROUND($J229*$N229,2)+ROUND($K229*$N229,2))</f>
        <v/>
      </c>
      <c r="P229" s="31">
        <f>IF($G229="","",IFERROR(INDEX(Catalogo_Tasas,MATCH($G229,Catalogo_Codigos,0)),""))</f>
        <v/>
      </c>
      <c r="Q229" s="32">
        <f>IF($G229="","",IFERROR(INDEX(Catalogo_Umbrales,MATCH($G229,Catalogo_Codigos,0)),""))</f>
        <v/>
      </c>
      <c r="R229">
        <f>IF(OR($C229="",$P229="",$O229=""),"",IF($F229&lt;&gt;"FACTURA","NO",IF(AND($P229&gt;0,$O229&gt;$Q229),"SI","NO")))</f>
        <v/>
      </c>
      <c r="S229" s="20">
        <f>IF($R229="SI",ROUND($O229*$P229,2),IF($C229="","",0))</f>
        <v/>
      </c>
      <c r="T229" s="20" t="n"/>
      <c r="U229">
        <f>IF($C229="","",IF($R229&lt;&gt;"SI","",IF($T229="","SIN DATO",IF(ABS($T229-$S229)&lt;=0.5,"OK","REVISAR"))))</f>
        <v/>
      </c>
      <c r="V229" s="20" t="n"/>
      <c r="W229" s="20">
        <f>IF(OR($C229="",$N229=""),"",IF($F229="RHE",ROUND($L229-$V229,2),ROUND($L229-($S229/$N229),2)))</f>
        <v/>
      </c>
      <c r="X229" s="25" t="n"/>
      <c r="Y229" s="25" t="n"/>
    </row>
    <row r="230">
      <c r="A230" t="n">
        <v>227</v>
      </c>
      <c r="B230" s="25" t="n"/>
      <c r="D230" s="30" t="n"/>
      <c r="G230" s="30" t="n"/>
      <c r="H230">
        <f>IF($G230="","",IFERROR(INDEX(Catalogo_Etiquetas,MATCH($G230,Catalogo_Codigos,0)),"CODIGO NO VALIDO"))</f>
        <v/>
      </c>
      <c r="J230" s="20" t="n"/>
      <c r="K230" s="20" t="n"/>
      <c r="L230" s="20">
        <f>IF($C230="","",$J230+$K230)</f>
        <v/>
      </c>
      <c r="M230" s="30" t="n"/>
      <c r="N230" s="26">
        <f>IF($C230="","",IF($I230="PEN",1,IFERROR(IF(_xlfn.XLOOKUP($B230,TC_Fechas,TC_Venta_Rango,"",-1)="","",_xlfn.XLOOKUP($B230,TC_Fechas,TC_Venta_Rango,"",-1)),"")))</f>
        <v/>
      </c>
      <c r="O230" s="20">
        <f>IF(OR($C230="",$N230=""),"",ROUND($J230*$N230,2)+ROUND($K230*$N230,2))</f>
        <v/>
      </c>
      <c r="P230" s="31">
        <f>IF($G230="","",IFERROR(INDEX(Catalogo_Tasas,MATCH($G230,Catalogo_Codigos,0)),""))</f>
        <v/>
      </c>
      <c r="Q230" s="32">
        <f>IF($G230="","",IFERROR(INDEX(Catalogo_Umbrales,MATCH($G230,Catalogo_Codigos,0)),""))</f>
        <v/>
      </c>
      <c r="R230">
        <f>IF(OR($C230="",$P230="",$O230=""),"",IF($F230&lt;&gt;"FACTURA","NO",IF(AND($P230&gt;0,$O230&gt;$Q230),"SI","NO")))</f>
        <v/>
      </c>
      <c r="S230" s="20">
        <f>IF($R230="SI",ROUND($O230*$P230,2),IF($C230="","",0))</f>
        <v/>
      </c>
      <c r="T230" s="20" t="n"/>
      <c r="U230">
        <f>IF($C230="","",IF($R230&lt;&gt;"SI","",IF($T230="","SIN DATO",IF(ABS($T230-$S230)&lt;=0.5,"OK","REVISAR"))))</f>
        <v/>
      </c>
      <c r="V230" s="20" t="n"/>
      <c r="W230" s="20">
        <f>IF(OR($C230="",$N230=""),"",IF($F230="RHE",ROUND($L230-$V230,2),ROUND($L230-($S230/$N230),2)))</f>
        <v/>
      </c>
      <c r="X230" s="25" t="n"/>
      <c r="Y230" s="25" t="n"/>
    </row>
    <row r="231">
      <c r="A231" t="n">
        <v>228</v>
      </c>
      <c r="B231" s="25" t="n"/>
      <c r="D231" s="30" t="n"/>
      <c r="G231" s="30" t="n"/>
      <c r="H231">
        <f>IF($G231="","",IFERROR(INDEX(Catalogo_Etiquetas,MATCH($G231,Catalogo_Codigos,0)),"CODIGO NO VALIDO"))</f>
        <v/>
      </c>
      <c r="J231" s="20" t="n"/>
      <c r="K231" s="20" t="n"/>
      <c r="L231" s="20">
        <f>IF($C231="","",$J231+$K231)</f>
        <v/>
      </c>
      <c r="M231" s="30" t="n"/>
      <c r="N231" s="26">
        <f>IF($C231="","",IF($I231="PEN",1,IFERROR(IF(_xlfn.XLOOKUP($B231,TC_Fechas,TC_Venta_Rango,"",-1)="","",_xlfn.XLOOKUP($B231,TC_Fechas,TC_Venta_Rango,"",-1)),"")))</f>
        <v/>
      </c>
      <c r="O231" s="20">
        <f>IF(OR($C231="",$N231=""),"",ROUND($J231*$N231,2)+ROUND($K231*$N231,2))</f>
        <v/>
      </c>
      <c r="P231" s="31">
        <f>IF($G231="","",IFERROR(INDEX(Catalogo_Tasas,MATCH($G231,Catalogo_Codigos,0)),""))</f>
        <v/>
      </c>
      <c r="Q231" s="32">
        <f>IF($G231="","",IFERROR(INDEX(Catalogo_Umbrales,MATCH($G231,Catalogo_Codigos,0)),""))</f>
        <v/>
      </c>
      <c r="R231">
        <f>IF(OR($C231="",$P231="",$O231=""),"",IF($F231&lt;&gt;"FACTURA","NO",IF(AND($P231&gt;0,$O231&gt;$Q231),"SI","NO")))</f>
        <v/>
      </c>
      <c r="S231" s="20">
        <f>IF($R231="SI",ROUND($O231*$P231,2),IF($C231="","",0))</f>
        <v/>
      </c>
      <c r="T231" s="20" t="n"/>
      <c r="U231">
        <f>IF($C231="","",IF($R231&lt;&gt;"SI","",IF($T231="","SIN DATO",IF(ABS($T231-$S231)&lt;=0.5,"OK","REVISAR"))))</f>
        <v/>
      </c>
      <c r="V231" s="20" t="n"/>
      <c r="W231" s="20">
        <f>IF(OR($C231="",$N231=""),"",IF($F231="RHE",ROUND($L231-$V231,2),ROUND($L231-($S231/$N231),2)))</f>
        <v/>
      </c>
      <c r="X231" s="25" t="n"/>
      <c r="Y231" s="25" t="n"/>
    </row>
    <row r="232">
      <c r="A232" t="n">
        <v>229</v>
      </c>
      <c r="B232" s="25" t="n"/>
      <c r="D232" s="30" t="n"/>
      <c r="G232" s="30" t="n"/>
      <c r="H232">
        <f>IF($G232="","",IFERROR(INDEX(Catalogo_Etiquetas,MATCH($G232,Catalogo_Codigos,0)),"CODIGO NO VALIDO"))</f>
        <v/>
      </c>
      <c r="J232" s="20" t="n"/>
      <c r="K232" s="20" t="n"/>
      <c r="L232" s="20">
        <f>IF($C232="","",$J232+$K232)</f>
        <v/>
      </c>
      <c r="M232" s="30" t="n"/>
      <c r="N232" s="26">
        <f>IF($C232="","",IF($I232="PEN",1,IFERROR(IF(_xlfn.XLOOKUP($B232,TC_Fechas,TC_Venta_Rango,"",-1)="","",_xlfn.XLOOKUP($B232,TC_Fechas,TC_Venta_Rango,"",-1)),"")))</f>
        <v/>
      </c>
      <c r="O232" s="20">
        <f>IF(OR($C232="",$N232=""),"",ROUND($J232*$N232,2)+ROUND($K232*$N232,2))</f>
        <v/>
      </c>
      <c r="P232" s="31">
        <f>IF($G232="","",IFERROR(INDEX(Catalogo_Tasas,MATCH($G232,Catalogo_Codigos,0)),""))</f>
        <v/>
      </c>
      <c r="Q232" s="32">
        <f>IF($G232="","",IFERROR(INDEX(Catalogo_Umbrales,MATCH($G232,Catalogo_Codigos,0)),""))</f>
        <v/>
      </c>
      <c r="R232">
        <f>IF(OR($C232="",$P232="",$O232=""),"",IF($F232&lt;&gt;"FACTURA","NO",IF(AND($P232&gt;0,$O232&gt;$Q232),"SI","NO")))</f>
        <v/>
      </c>
      <c r="S232" s="20">
        <f>IF($R232="SI",ROUND($O232*$P232,2),IF($C232="","",0))</f>
        <v/>
      </c>
      <c r="T232" s="20" t="n"/>
      <c r="U232">
        <f>IF($C232="","",IF($R232&lt;&gt;"SI","",IF($T232="","SIN DATO",IF(ABS($T232-$S232)&lt;=0.5,"OK","REVISAR"))))</f>
        <v/>
      </c>
      <c r="V232" s="20" t="n"/>
      <c r="W232" s="20">
        <f>IF(OR($C232="",$N232=""),"",IF($F232="RHE",ROUND($L232-$V232,2),ROUND($L232-($S232/$N232),2)))</f>
        <v/>
      </c>
      <c r="X232" s="25" t="n"/>
      <c r="Y232" s="25" t="n"/>
    </row>
    <row r="233">
      <c r="A233" t="n">
        <v>230</v>
      </c>
      <c r="B233" s="25" t="n"/>
      <c r="D233" s="30" t="n"/>
      <c r="G233" s="30" t="n"/>
      <c r="H233">
        <f>IF($G233="","",IFERROR(INDEX(Catalogo_Etiquetas,MATCH($G233,Catalogo_Codigos,0)),"CODIGO NO VALIDO"))</f>
        <v/>
      </c>
      <c r="J233" s="20" t="n"/>
      <c r="K233" s="20" t="n"/>
      <c r="L233" s="20">
        <f>IF($C233="","",$J233+$K233)</f>
        <v/>
      </c>
      <c r="M233" s="30" t="n"/>
      <c r="N233" s="26">
        <f>IF($C233="","",IF($I233="PEN",1,IFERROR(IF(_xlfn.XLOOKUP($B233,TC_Fechas,TC_Venta_Rango,"",-1)="","",_xlfn.XLOOKUP($B233,TC_Fechas,TC_Venta_Rango,"",-1)),"")))</f>
        <v/>
      </c>
      <c r="O233" s="20">
        <f>IF(OR($C233="",$N233=""),"",ROUND($J233*$N233,2)+ROUND($K233*$N233,2))</f>
        <v/>
      </c>
      <c r="P233" s="31">
        <f>IF($G233="","",IFERROR(INDEX(Catalogo_Tasas,MATCH($G233,Catalogo_Codigos,0)),""))</f>
        <v/>
      </c>
      <c r="Q233" s="32">
        <f>IF($G233="","",IFERROR(INDEX(Catalogo_Umbrales,MATCH($G233,Catalogo_Codigos,0)),""))</f>
        <v/>
      </c>
      <c r="R233">
        <f>IF(OR($C233="",$P233="",$O233=""),"",IF($F233&lt;&gt;"FACTURA","NO",IF(AND($P233&gt;0,$O233&gt;$Q233),"SI","NO")))</f>
        <v/>
      </c>
      <c r="S233" s="20">
        <f>IF($R233="SI",ROUND($O233*$P233,2),IF($C233="","",0))</f>
        <v/>
      </c>
      <c r="T233" s="20" t="n"/>
      <c r="U233">
        <f>IF($C233="","",IF($R233&lt;&gt;"SI","",IF($T233="","SIN DATO",IF(ABS($T233-$S233)&lt;=0.5,"OK","REVISAR"))))</f>
        <v/>
      </c>
      <c r="V233" s="20" t="n"/>
      <c r="W233" s="20">
        <f>IF(OR($C233="",$N233=""),"",IF($F233="RHE",ROUND($L233-$V233,2),ROUND($L233-($S233/$N233),2)))</f>
        <v/>
      </c>
      <c r="X233" s="25" t="n"/>
      <c r="Y233" s="25" t="n"/>
    </row>
    <row r="234">
      <c r="A234" t="n">
        <v>231</v>
      </c>
      <c r="B234" s="25" t="n"/>
      <c r="D234" s="30" t="n"/>
      <c r="G234" s="30" t="n"/>
      <c r="H234">
        <f>IF($G234="","",IFERROR(INDEX(Catalogo_Etiquetas,MATCH($G234,Catalogo_Codigos,0)),"CODIGO NO VALIDO"))</f>
        <v/>
      </c>
      <c r="J234" s="20" t="n"/>
      <c r="K234" s="20" t="n"/>
      <c r="L234" s="20">
        <f>IF($C234="","",$J234+$K234)</f>
        <v/>
      </c>
      <c r="M234" s="30" t="n"/>
      <c r="N234" s="26">
        <f>IF($C234="","",IF($I234="PEN",1,IFERROR(IF(_xlfn.XLOOKUP($B234,TC_Fechas,TC_Venta_Rango,"",-1)="","",_xlfn.XLOOKUP($B234,TC_Fechas,TC_Venta_Rango,"",-1)),"")))</f>
        <v/>
      </c>
      <c r="O234" s="20">
        <f>IF(OR($C234="",$N234=""),"",ROUND($J234*$N234,2)+ROUND($K234*$N234,2))</f>
        <v/>
      </c>
      <c r="P234" s="31">
        <f>IF($G234="","",IFERROR(INDEX(Catalogo_Tasas,MATCH($G234,Catalogo_Codigos,0)),""))</f>
        <v/>
      </c>
      <c r="Q234" s="32">
        <f>IF($G234="","",IFERROR(INDEX(Catalogo_Umbrales,MATCH($G234,Catalogo_Codigos,0)),""))</f>
        <v/>
      </c>
      <c r="R234">
        <f>IF(OR($C234="",$P234="",$O234=""),"",IF($F234&lt;&gt;"FACTURA","NO",IF(AND($P234&gt;0,$O234&gt;$Q234),"SI","NO")))</f>
        <v/>
      </c>
      <c r="S234" s="20">
        <f>IF($R234="SI",ROUND($O234*$P234,2),IF($C234="","",0))</f>
        <v/>
      </c>
      <c r="T234" s="20" t="n"/>
      <c r="U234">
        <f>IF($C234="","",IF($R234&lt;&gt;"SI","",IF($T234="","SIN DATO",IF(ABS($T234-$S234)&lt;=0.5,"OK","REVISAR"))))</f>
        <v/>
      </c>
      <c r="V234" s="20" t="n"/>
      <c r="W234" s="20">
        <f>IF(OR($C234="",$N234=""),"",IF($F234="RHE",ROUND($L234-$V234,2),ROUND($L234-($S234/$N234),2)))</f>
        <v/>
      </c>
      <c r="X234" s="25" t="n"/>
      <c r="Y234" s="25" t="n"/>
    </row>
    <row r="235">
      <c r="A235" t="n">
        <v>232</v>
      </c>
      <c r="B235" s="25" t="n"/>
      <c r="D235" s="30" t="n"/>
      <c r="G235" s="30" t="n"/>
      <c r="H235">
        <f>IF($G235="","",IFERROR(INDEX(Catalogo_Etiquetas,MATCH($G235,Catalogo_Codigos,0)),"CODIGO NO VALIDO"))</f>
        <v/>
      </c>
      <c r="J235" s="20" t="n"/>
      <c r="K235" s="20" t="n"/>
      <c r="L235" s="20">
        <f>IF($C235="","",$J235+$K235)</f>
        <v/>
      </c>
      <c r="M235" s="30" t="n"/>
      <c r="N235" s="26">
        <f>IF($C235="","",IF($I235="PEN",1,IFERROR(IF(_xlfn.XLOOKUP($B235,TC_Fechas,TC_Venta_Rango,"",-1)="","",_xlfn.XLOOKUP($B235,TC_Fechas,TC_Venta_Rango,"",-1)),"")))</f>
        <v/>
      </c>
      <c r="O235" s="20">
        <f>IF(OR($C235="",$N235=""),"",ROUND($J235*$N235,2)+ROUND($K235*$N235,2))</f>
        <v/>
      </c>
      <c r="P235" s="31">
        <f>IF($G235="","",IFERROR(INDEX(Catalogo_Tasas,MATCH($G235,Catalogo_Codigos,0)),""))</f>
        <v/>
      </c>
      <c r="Q235" s="32">
        <f>IF($G235="","",IFERROR(INDEX(Catalogo_Umbrales,MATCH($G235,Catalogo_Codigos,0)),""))</f>
        <v/>
      </c>
      <c r="R235">
        <f>IF(OR($C235="",$P235="",$O235=""),"",IF($F235&lt;&gt;"FACTURA","NO",IF(AND($P235&gt;0,$O235&gt;$Q235),"SI","NO")))</f>
        <v/>
      </c>
      <c r="S235" s="20">
        <f>IF($R235="SI",ROUND($O235*$P235,2),IF($C235="","",0))</f>
        <v/>
      </c>
      <c r="T235" s="20" t="n"/>
      <c r="U235">
        <f>IF($C235="","",IF($R235&lt;&gt;"SI","",IF($T235="","SIN DATO",IF(ABS($T235-$S235)&lt;=0.5,"OK","REVISAR"))))</f>
        <v/>
      </c>
      <c r="V235" s="20" t="n"/>
      <c r="W235" s="20">
        <f>IF(OR($C235="",$N235=""),"",IF($F235="RHE",ROUND($L235-$V235,2),ROUND($L235-($S235/$N235),2)))</f>
        <v/>
      </c>
      <c r="X235" s="25" t="n"/>
      <c r="Y235" s="25" t="n"/>
    </row>
    <row r="236">
      <c r="A236" t="n">
        <v>233</v>
      </c>
      <c r="B236" s="25" t="n"/>
      <c r="D236" s="30" t="n"/>
      <c r="G236" s="30" t="n"/>
      <c r="H236">
        <f>IF($G236="","",IFERROR(INDEX(Catalogo_Etiquetas,MATCH($G236,Catalogo_Codigos,0)),"CODIGO NO VALIDO"))</f>
        <v/>
      </c>
      <c r="J236" s="20" t="n"/>
      <c r="K236" s="20" t="n"/>
      <c r="L236" s="20">
        <f>IF($C236="","",$J236+$K236)</f>
        <v/>
      </c>
      <c r="M236" s="30" t="n"/>
      <c r="N236" s="26">
        <f>IF($C236="","",IF($I236="PEN",1,IFERROR(IF(_xlfn.XLOOKUP($B236,TC_Fechas,TC_Venta_Rango,"",-1)="","",_xlfn.XLOOKUP($B236,TC_Fechas,TC_Venta_Rango,"",-1)),"")))</f>
        <v/>
      </c>
      <c r="O236" s="20">
        <f>IF(OR($C236="",$N236=""),"",ROUND($J236*$N236,2)+ROUND($K236*$N236,2))</f>
        <v/>
      </c>
      <c r="P236" s="31">
        <f>IF($G236="","",IFERROR(INDEX(Catalogo_Tasas,MATCH($G236,Catalogo_Codigos,0)),""))</f>
        <v/>
      </c>
      <c r="Q236" s="32">
        <f>IF($G236="","",IFERROR(INDEX(Catalogo_Umbrales,MATCH($G236,Catalogo_Codigos,0)),""))</f>
        <v/>
      </c>
      <c r="R236">
        <f>IF(OR($C236="",$P236="",$O236=""),"",IF($F236&lt;&gt;"FACTURA","NO",IF(AND($P236&gt;0,$O236&gt;$Q236),"SI","NO")))</f>
        <v/>
      </c>
      <c r="S236" s="20">
        <f>IF($R236="SI",ROUND($O236*$P236,2),IF($C236="","",0))</f>
        <v/>
      </c>
      <c r="T236" s="20" t="n"/>
      <c r="U236">
        <f>IF($C236="","",IF($R236&lt;&gt;"SI","",IF($T236="","SIN DATO",IF(ABS($T236-$S236)&lt;=0.5,"OK","REVISAR"))))</f>
        <v/>
      </c>
      <c r="V236" s="20" t="n"/>
      <c r="W236" s="20">
        <f>IF(OR($C236="",$N236=""),"",IF($F236="RHE",ROUND($L236-$V236,2),ROUND($L236-($S236/$N236),2)))</f>
        <v/>
      </c>
      <c r="X236" s="25" t="n"/>
      <c r="Y236" s="25" t="n"/>
    </row>
    <row r="237">
      <c r="A237" t="n">
        <v>234</v>
      </c>
      <c r="B237" s="25" t="n"/>
      <c r="D237" s="30" t="n"/>
      <c r="G237" s="30" t="n"/>
      <c r="H237">
        <f>IF($G237="","",IFERROR(INDEX(Catalogo_Etiquetas,MATCH($G237,Catalogo_Codigos,0)),"CODIGO NO VALIDO"))</f>
        <v/>
      </c>
      <c r="J237" s="20" t="n"/>
      <c r="K237" s="20" t="n"/>
      <c r="L237" s="20">
        <f>IF($C237="","",$J237+$K237)</f>
        <v/>
      </c>
      <c r="M237" s="30" t="n"/>
      <c r="N237" s="26">
        <f>IF($C237="","",IF($I237="PEN",1,IFERROR(IF(_xlfn.XLOOKUP($B237,TC_Fechas,TC_Venta_Rango,"",-1)="","",_xlfn.XLOOKUP($B237,TC_Fechas,TC_Venta_Rango,"",-1)),"")))</f>
        <v/>
      </c>
      <c r="O237" s="20">
        <f>IF(OR($C237="",$N237=""),"",ROUND($J237*$N237,2)+ROUND($K237*$N237,2))</f>
        <v/>
      </c>
      <c r="P237" s="31">
        <f>IF($G237="","",IFERROR(INDEX(Catalogo_Tasas,MATCH($G237,Catalogo_Codigos,0)),""))</f>
        <v/>
      </c>
      <c r="Q237" s="32">
        <f>IF($G237="","",IFERROR(INDEX(Catalogo_Umbrales,MATCH($G237,Catalogo_Codigos,0)),""))</f>
        <v/>
      </c>
      <c r="R237">
        <f>IF(OR($C237="",$P237="",$O237=""),"",IF($F237&lt;&gt;"FACTURA","NO",IF(AND($P237&gt;0,$O237&gt;$Q237),"SI","NO")))</f>
        <v/>
      </c>
      <c r="S237" s="20">
        <f>IF($R237="SI",ROUND($O237*$P237,2),IF($C237="","",0))</f>
        <v/>
      </c>
      <c r="T237" s="20" t="n"/>
      <c r="U237">
        <f>IF($C237="","",IF($R237&lt;&gt;"SI","",IF($T237="","SIN DATO",IF(ABS($T237-$S237)&lt;=0.5,"OK","REVISAR"))))</f>
        <v/>
      </c>
      <c r="V237" s="20" t="n"/>
      <c r="W237" s="20">
        <f>IF(OR($C237="",$N237=""),"",IF($F237="RHE",ROUND($L237-$V237,2),ROUND($L237-($S237/$N237),2)))</f>
        <v/>
      </c>
      <c r="X237" s="25" t="n"/>
      <c r="Y237" s="25" t="n"/>
    </row>
    <row r="238">
      <c r="A238" t="n">
        <v>235</v>
      </c>
      <c r="B238" s="25" t="n"/>
      <c r="D238" s="30" t="n"/>
      <c r="G238" s="30" t="n"/>
      <c r="H238">
        <f>IF($G238="","",IFERROR(INDEX(Catalogo_Etiquetas,MATCH($G238,Catalogo_Codigos,0)),"CODIGO NO VALIDO"))</f>
        <v/>
      </c>
      <c r="J238" s="20" t="n"/>
      <c r="K238" s="20" t="n"/>
      <c r="L238" s="20">
        <f>IF($C238="","",$J238+$K238)</f>
        <v/>
      </c>
      <c r="M238" s="30" t="n"/>
      <c r="N238" s="26">
        <f>IF($C238="","",IF($I238="PEN",1,IFERROR(IF(_xlfn.XLOOKUP($B238,TC_Fechas,TC_Venta_Rango,"",-1)="","",_xlfn.XLOOKUP($B238,TC_Fechas,TC_Venta_Rango,"",-1)),"")))</f>
        <v/>
      </c>
      <c r="O238" s="20">
        <f>IF(OR($C238="",$N238=""),"",ROUND($J238*$N238,2)+ROUND($K238*$N238,2))</f>
        <v/>
      </c>
      <c r="P238" s="31">
        <f>IF($G238="","",IFERROR(INDEX(Catalogo_Tasas,MATCH($G238,Catalogo_Codigos,0)),""))</f>
        <v/>
      </c>
      <c r="Q238" s="32">
        <f>IF($G238="","",IFERROR(INDEX(Catalogo_Umbrales,MATCH($G238,Catalogo_Codigos,0)),""))</f>
        <v/>
      </c>
      <c r="R238">
        <f>IF(OR($C238="",$P238="",$O238=""),"",IF($F238&lt;&gt;"FACTURA","NO",IF(AND($P238&gt;0,$O238&gt;$Q238),"SI","NO")))</f>
        <v/>
      </c>
      <c r="S238" s="20">
        <f>IF($R238="SI",ROUND($O238*$P238,2),IF($C238="","",0))</f>
        <v/>
      </c>
      <c r="T238" s="20" t="n"/>
      <c r="U238">
        <f>IF($C238="","",IF($R238&lt;&gt;"SI","",IF($T238="","SIN DATO",IF(ABS($T238-$S238)&lt;=0.5,"OK","REVISAR"))))</f>
        <v/>
      </c>
      <c r="V238" s="20" t="n"/>
      <c r="W238" s="20">
        <f>IF(OR($C238="",$N238=""),"",IF($F238="RHE",ROUND($L238-$V238,2),ROUND($L238-($S238/$N238),2)))</f>
        <v/>
      </c>
      <c r="X238" s="25" t="n"/>
      <c r="Y238" s="25" t="n"/>
    </row>
    <row r="239">
      <c r="A239" t="n">
        <v>236</v>
      </c>
      <c r="B239" s="25" t="n"/>
      <c r="D239" s="30" t="n"/>
      <c r="G239" s="30" t="n"/>
      <c r="H239">
        <f>IF($G239="","",IFERROR(INDEX(Catalogo_Etiquetas,MATCH($G239,Catalogo_Codigos,0)),"CODIGO NO VALIDO"))</f>
        <v/>
      </c>
      <c r="J239" s="20" t="n"/>
      <c r="K239" s="20" t="n"/>
      <c r="L239" s="20">
        <f>IF($C239="","",$J239+$K239)</f>
        <v/>
      </c>
      <c r="M239" s="30" t="n"/>
      <c r="N239" s="26">
        <f>IF($C239="","",IF($I239="PEN",1,IFERROR(IF(_xlfn.XLOOKUP($B239,TC_Fechas,TC_Venta_Rango,"",-1)="","",_xlfn.XLOOKUP($B239,TC_Fechas,TC_Venta_Rango,"",-1)),"")))</f>
        <v/>
      </c>
      <c r="O239" s="20">
        <f>IF(OR($C239="",$N239=""),"",ROUND($J239*$N239,2)+ROUND($K239*$N239,2))</f>
        <v/>
      </c>
      <c r="P239" s="31">
        <f>IF($G239="","",IFERROR(INDEX(Catalogo_Tasas,MATCH($G239,Catalogo_Codigos,0)),""))</f>
        <v/>
      </c>
      <c r="Q239" s="32">
        <f>IF($G239="","",IFERROR(INDEX(Catalogo_Umbrales,MATCH($G239,Catalogo_Codigos,0)),""))</f>
        <v/>
      </c>
      <c r="R239">
        <f>IF(OR($C239="",$P239="",$O239=""),"",IF($F239&lt;&gt;"FACTURA","NO",IF(AND($P239&gt;0,$O239&gt;$Q239),"SI","NO")))</f>
        <v/>
      </c>
      <c r="S239" s="20">
        <f>IF($R239="SI",ROUND($O239*$P239,2),IF($C239="","",0))</f>
        <v/>
      </c>
      <c r="T239" s="20" t="n"/>
      <c r="U239">
        <f>IF($C239="","",IF($R239&lt;&gt;"SI","",IF($T239="","SIN DATO",IF(ABS($T239-$S239)&lt;=0.5,"OK","REVISAR"))))</f>
        <v/>
      </c>
      <c r="V239" s="20" t="n"/>
      <c r="W239" s="20">
        <f>IF(OR($C239="",$N239=""),"",IF($F239="RHE",ROUND($L239-$V239,2),ROUND($L239-($S239/$N239),2)))</f>
        <v/>
      </c>
      <c r="X239" s="25" t="n"/>
      <c r="Y239" s="25" t="n"/>
    </row>
    <row r="240">
      <c r="A240" t="n">
        <v>237</v>
      </c>
      <c r="B240" s="25" t="n"/>
      <c r="D240" s="30" t="n"/>
      <c r="G240" s="30" t="n"/>
      <c r="H240">
        <f>IF($G240="","",IFERROR(INDEX(Catalogo_Etiquetas,MATCH($G240,Catalogo_Codigos,0)),"CODIGO NO VALIDO"))</f>
        <v/>
      </c>
      <c r="J240" s="20" t="n"/>
      <c r="K240" s="20" t="n"/>
      <c r="L240" s="20">
        <f>IF($C240="","",$J240+$K240)</f>
        <v/>
      </c>
      <c r="M240" s="30" t="n"/>
      <c r="N240" s="26">
        <f>IF($C240="","",IF($I240="PEN",1,IFERROR(IF(_xlfn.XLOOKUP($B240,TC_Fechas,TC_Venta_Rango,"",-1)="","",_xlfn.XLOOKUP($B240,TC_Fechas,TC_Venta_Rango,"",-1)),"")))</f>
        <v/>
      </c>
      <c r="O240" s="20">
        <f>IF(OR($C240="",$N240=""),"",ROUND($J240*$N240,2)+ROUND($K240*$N240,2))</f>
        <v/>
      </c>
      <c r="P240" s="31">
        <f>IF($G240="","",IFERROR(INDEX(Catalogo_Tasas,MATCH($G240,Catalogo_Codigos,0)),""))</f>
        <v/>
      </c>
      <c r="Q240" s="32">
        <f>IF($G240="","",IFERROR(INDEX(Catalogo_Umbrales,MATCH($G240,Catalogo_Codigos,0)),""))</f>
        <v/>
      </c>
      <c r="R240">
        <f>IF(OR($C240="",$P240="",$O240=""),"",IF($F240&lt;&gt;"FACTURA","NO",IF(AND($P240&gt;0,$O240&gt;$Q240),"SI","NO")))</f>
        <v/>
      </c>
      <c r="S240" s="20">
        <f>IF($R240="SI",ROUND($O240*$P240,2),IF($C240="","",0))</f>
        <v/>
      </c>
      <c r="T240" s="20" t="n"/>
      <c r="U240">
        <f>IF($C240="","",IF($R240&lt;&gt;"SI","",IF($T240="","SIN DATO",IF(ABS($T240-$S240)&lt;=0.5,"OK","REVISAR"))))</f>
        <v/>
      </c>
      <c r="V240" s="20" t="n"/>
      <c r="W240" s="20">
        <f>IF(OR($C240="",$N240=""),"",IF($F240="RHE",ROUND($L240-$V240,2),ROUND($L240-($S240/$N240),2)))</f>
        <v/>
      </c>
      <c r="X240" s="25" t="n"/>
      <c r="Y240" s="25" t="n"/>
    </row>
    <row r="241">
      <c r="A241" t="n">
        <v>238</v>
      </c>
      <c r="B241" s="25" t="n"/>
      <c r="D241" s="30" t="n"/>
      <c r="G241" s="30" t="n"/>
      <c r="H241">
        <f>IF($G241="","",IFERROR(INDEX(Catalogo_Etiquetas,MATCH($G241,Catalogo_Codigos,0)),"CODIGO NO VALIDO"))</f>
        <v/>
      </c>
      <c r="J241" s="20" t="n"/>
      <c r="K241" s="20" t="n"/>
      <c r="L241" s="20">
        <f>IF($C241="","",$J241+$K241)</f>
        <v/>
      </c>
      <c r="M241" s="30" t="n"/>
      <c r="N241" s="26">
        <f>IF($C241="","",IF($I241="PEN",1,IFERROR(IF(_xlfn.XLOOKUP($B241,TC_Fechas,TC_Venta_Rango,"",-1)="","",_xlfn.XLOOKUP($B241,TC_Fechas,TC_Venta_Rango,"",-1)),"")))</f>
        <v/>
      </c>
      <c r="O241" s="20">
        <f>IF(OR($C241="",$N241=""),"",ROUND($J241*$N241,2)+ROUND($K241*$N241,2))</f>
        <v/>
      </c>
      <c r="P241" s="31">
        <f>IF($G241="","",IFERROR(INDEX(Catalogo_Tasas,MATCH($G241,Catalogo_Codigos,0)),""))</f>
        <v/>
      </c>
      <c r="Q241" s="32">
        <f>IF($G241="","",IFERROR(INDEX(Catalogo_Umbrales,MATCH($G241,Catalogo_Codigos,0)),""))</f>
        <v/>
      </c>
      <c r="R241">
        <f>IF(OR($C241="",$P241="",$O241=""),"",IF($F241&lt;&gt;"FACTURA","NO",IF(AND($P241&gt;0,$O241&gt;$Q241),"SI","NO")))</f>
        <v/>
      </c>
      <c r="S241" s="20">
        <f>IF($R241="SI",ROUND($O241*$P241,2),IF($C241="","",0))</f>
        <v/>
      </c>
      <c r="T241" s="20" t="n"/>
      <c r="U241">
        <f>IF($C241="","",IF($R241&lt;&gt;"SI","",IF($T241="","SIN DATO",IF(ABS($T241-$S241)&lt;=0.5,"OK","REVISAR"))))</f>
        <v/>
      </c>
      <c r="V241" s="20" t="n"/>
      <c r="W241" s="20">
        <f>IF(OR($C241="",$N241=""),"",IF($F241="RHE",ROUND($L241-$V241,2),ROUND($L241-($S241/$N241),2)))</f>
        <v/>
      </c>
      <c r="X241" s="25" t="n"/>
      <c r="Y241" s="25" t="n"/>
    </row>
    <row r="242">
      <c r="A242" t="n">
        <v>239</v>
      </c>
      <c r="B242" s="25" t="n"/>
      <c r="D242" s="30" t="n"/>
      <c r="G242" s="30" t="n"/>
      <c r="H242">
        <f>IF($G242="","",IFERROR(INDEX(Catalogo_Etiquetas,MATCH($G242,Catalogo_Codigos,0)),"CODIGO NO VALIDO"))</f>
        <v/>
      </c>
      <c r="J242" s="20" t="n"/>
      <c r="K242" s="20" t="n"/>
      <c r="L242" s="20">
        <f>IF($C242="","",$J242+$K242)</f>
        <v/>
      </c>
      <c r="M242" s="30" t="n"/>
      <c r="N242" s="26">
        <f>IF($C242="","",IF($I242="PEN",1,IFERROR(IF(_xlfn.XLOOKUP($B242,TC_Fechas,TC_Venta_Rango,"",-1)="","",_xlfn.XLOOKUP($B242,TC_Fechas,TC_Venta_Rango,"",-1)),"")))</f>
        <v/>
      </c>
      <c r="O242" s="20">
        <f>IF(OR($C242="",$N242=""),"",ROUND($J242*$N242,2)+ROUND($K242*$N242,2))</f>
        <v/>
      </c>
      <c r="P242" s="31">
        <f>IF($G242="","",IFERROR(INDEX(Catalogo_Tasas,MATCH($G242,Catalogo_Codigos,0)),""))</f>
        <v/>
      </c>
      <c r="Q242" s="32">
        <f>IF($G242="","",IFERROR(INDEX(Catalogo_Umbrales,MATCH($G242,Catalogo_Codigos,0)),""))</f>
        <v/>
      </c>
      <c r="R242">
        <f>IF(OR($C242="",$P242="",$O242=""),"",IF($F242&lt;&gt;"FACTURA","NO",IF(AND($P242&gt;0,$O242&gt;$Q242),"SI","NO")))</f>
        <v/>
      </c>
      <c r="S242" s="20">
        <f>IF($R242="SI",ROUND($O242*$P242,2),IF($C242="","",0))</f>
        <v/>
      </c>
      <c r="T242" s="20" t="n"/>
      <c r="U242">
        <f>IF($C242="","",IF($R242&lt;&gt;"SI","",IF($T242="","SIN DATO",IF(ABS($T242-$S242)&lt;=0.5,"OK","REVISAR"))))</f>
        <v/>
      </c>
      <c r="V242" s="20" t="n"/>
      <c r="W242" s="20">
        <f>IF(OR($C242="",$N242=""),"",IF($F242="RHE",ROUND($L242-$V242,2),ROUND($L242-($S242/$N242),2)))</f>
        <v/>
      </c>
      <c r="X242" s="25" t="n"/>
      <c r="Y242" s="25" t="n"/>
    </row>
    <row r="243">
      <c r="A243" t="n">
        <v>240</v>
      </c>
      <c r="B243" s="25" t="n"/>
      <c r="D243" s="30" t="n"/>
      <c r="G243" s="30" t="n"/>
      <c r="H243">
        <f>IF($G243="","",IFERROR(INDEX(Catalogo_Etiquetas,MATCH($G243,Catalogo_Codigos,0)),"CODIGO NO VALIDO"))</f>
        <v/>
      </c>
      <c r="J243" s="20" t="n"/>
      <c r="K243" s="20" t="n"/>
      <c r="L243" s="20">
        <f>IF($C243="","",$J243+$K243)</f>
        <v/>
      </c>
      <c r="M243" s="30" t="n"/>
      <c r="N243" s="26">
        <f>IF($C243="","",IF($I243="PEN",1,IFERROR(IF(_xlfn.XLOOKUP($B243,TC_Fechas,TC_Venta_Rango,"",-1)="","",_xlfn.XLOOKUP($B243,TC_Fechas,TC_Venta_Rango,"",-1)),"")))</f>
        <v/>
      </c>
      <c r="O243" s="20">
        <f>IF(OR($C243="",$N243=""),"",ROUND($J243*$N243,2)+ROUND($K243*$N243,2))</f>
        <v/>
      </c>
      <c r="P243" s="31">
        <f>IF($G243="","",IFERROR(INDEX(Catalogo_Tasas,MATCH($G243,Catalogo_Codigos,0)),""))</f>
        <v/>
      </c>
      <c r="Q243" s="32">
        <f>IF($G243="","",IFERROR(INDEX(Catalogo_Umbrales,MATCH($G243,Catalogo_Codigos,0)),""))</f>
        <v/>
      </c>
      <c r="R243">
        <f>IF(OR($C243="",$P243="",$O243=""),"",IF($F243&lt;&gt;"FACTURA","NO",IF(AND($P243&gt;0,$O243&gt;$Q243),"SI","NO")))</f>
        <v/>
      </c>
      <c r="S243" s="20">
        <f>IF($R243="SI",ROUND($O243*$P243,2),IF($C243="","",0))</f>
        <v/>
      </c>
      <c r="T243" s="20" t="n"/>
      <c r="U243">
        <f>IF($C243="","",IF($R243&lt;&gt;"SI","",IF($T243="","SIN DATO",IF(ABS($T243-$S243)&lt;=0.5,"OK","REVISAR"))))</f>
        <v/>
      </c>
      <c r="V243" s="20" t="n"/>
      <c r="W243" s="20">
        <f>IF(OR($C243="",$N243=""),"",IF($F243="RHE",ROUND($L243-$V243,2),ROUND($L243-($S243/$N243),2)))</f>
        <v/>
      </c>
      <c r="X243" s="25" t="n"/>
      <c r="Y243" s="25" t="n"/>
    </row>
    <row r="244">
      <c r="A244" t="n">
        <v>241</v>
      </c>
      <c r="B244" s="25" t="n"/>
      <c r="D244" s="30" t="n"/>
      <c r="G244" s="30" t="n"/>
      <c r="H244">
        <f>IF($G244="","",IFERROR(INDEX(Catalogo_Etiquetas,MATCH($G244,Catalogo_Codigos,0)),"CODIGO NO VALIDO"))</f>
        <v/>
      </c>
      <c r="J244" s="20" t="n"/>
      <c r="K244" s="20" t="n"/>
      <c r="L244" s="20">
        <f>IF($C244="","",$J244+$K244)</f>
        <v/>
      </c>
      <c r="M244" s="30" t="n"/>
      <c r="N244" s="26">
        <f>IF($C244="","",IF($I244="PEN",1,IFERROR(IF(_xlfn.XLOOKUP($B244,TC_Fechas,TC_Venta_Rango,"",-1)="","",_xlfn.XLOOKUP($B244,TC_Fechas,TC_Venta_Rango,"",-1)),"")))</f>
        <v/>
      </c>
      <c r="O244" s="20">
        <f>IF(OR($C244="",$N244=""),"",ROUND($J244*$N244,2)+ROUND($K244*$N244,2))</f>
        <v/>
      </c>
      <c r="P244" s="31">
        <f>IF($G244="","",IFERROR(INDEX(Catalogo_Tasas,MATCH($G244,Catalogo_Codigos,0)),""))</f>
        <v/>
      </c>
      <c r="Q244" s="32">
        <f>IF($G244="","",IFERROR(INDEX(Catalogo_Umbrales,MATCH($G244,Catalogo_Codigos,0)),""))</f>
        <v/>
      </c>
      <c r="R244">
        <f>IF(OR($C244="",$P244="",$O244=""),"",IF($F244&lt;&gt;"FACTURA","NO",IF(AND($P244&gt;0,$O244&gt;$Q244),"SI","NO")))</f>
        <v/>
      </c>
      <c r="S244" s="20">
        <f>IF($R244="SI",ROUND($O244*$P244,2),IF($C244="","",0))</f>
        <v/>
      </c>
      <c r="T244" s="20" t="n"/>
      <c r="U244">
        <f>IF($C244="","",IF($R244&lt;&gt;"SI","",IF($T244="","SIN DATO",IF(ABS($T244-$S244)&lt;=0.5,"OK","REVISAR"))))</f>
        <v/>
      </c>
      <c r="V244" s="20" t="n"/>
      <c r="W244" s="20">
        <f>IF(OR($C244="",$N244=""),"",IF($F244="RHE",ROUND($L244-$V244,2),ROUND($L244-($S244/$N244),2)))</f>
        <v/>
      </c>
      <c r="X244" s="25" t="n"/>
      <c r="Y244" s="25" t="n"/>
    </row>
    <row r="245">
      <c r="A245" t="n">
        <v>242</v>
      </c>
      <c r="B245" s="25" t="n"/>
      <c r="D245" s="30" t="n"/>
      <c r="G245" s="30" t="n"/>
      <c r="H245">
        <f>IF($G245="","",IFERROR(INDEX(Catalogo_Etiquetas,MATCH($G245,Catalogo_Codigos,0)),"CODIGO NO VALIDO"))</f>
        <v/>
      </c>
      <c r="J245" s="20" t="n"/>
      <c r="K245" s="20" t="n"/>
      <c r="L245" s="20">
        <f>IF($C245="","",$J245+$K245)</f>
        <v/>
      </c>
      <c r="M245" s="30" t="n"/>
      <c r="N245" s="26">
        <f>IF($C245="","",IF($I245="PEN",1,IFERROR(IF(_xlfn.XLOOKUP($B245,TC_Fechas,TC_Venta_Rango,"",-1)="","",_xlfn.XLOOKUP($B245,TC_Fechas,TC_Venta_Rango,"",-1)),"")))</f>
        <v/>
      </c>
      <c r="O245" s="20">
        <f>IF(OR($C245="",$N245=""),"",ROUND($J245*$N245,2)+ROUND($K245*$N245,2))</f>
        <v/>
      </c>
      <c r="P245" s="31">
        <f>IF($G245="","",IFERROR(INDEX(Catalogo_Tasas,MATCH($G245,Catalogo_Codigos,0)),""))</f>
        <v/>
      </c>
      <c r="Q245" s="32">
        <f>IF($G245="","",IFERROR(INDEX(Catalogo_Umbrales,MATCH($G245,Catalogo_Codigos,0)),""))</f>
        <v/>
      </c>
      <c r="R245">
        <f>IF(OR($C245="",$P245="",$O245=""),"",IF($F245&lt;&gt;"FACTURA","NO",IF(AND($P245&gt;0,$O245&gt;$Q245),"SI","NO")))</f>
        <v/>
      </c>
      <c r="S245" s="20">
        <f>IF($R245="SI",ROUND($O245*$P245,2),IF($C245="","",0))</f>
        <v/>
      </c>
      <c r="T245" s="20" t="n"/>
      <c r="U245">
        <f>IF($C245="","",IF($R245&lt;&gt;"SI","",IF($T245="","SIN DATO",IF(ABS($T245-$S245)&lt;=0.5,"OK","REVISAR"))))</f>
        <v/>
      </c>
      <c r="V245" s="20" t="n"/>
      <c r="W245" s="20">
        <f>IF(OR($C245="",$N245=""),"",IF($F245="RHE",ROUND($L245-$V245,2),ROUND($L245-($S245/$N245),2)))</f>
        <v/>
      </c>
      <c r="X245" s="25" t="n"/>
      <c r="Y245" s="25" t="n"/>
    </row>
    <row r="246">
      <c r="A246" t="n">
        <v>243</v>
      </c>
      <c r="B246" s="25" t="n"/>
      <c r="D246" s="30" t="n"/>
      <c r="G246" s="30" t="n"/>
      <c r="H246">
        <f>IF($G246="","",IFERROR(INDEX(Catalogo_Etiquetas,MATCH($G246,Catalogo_Codigos,0)),"CODIGO NO VALIDO"))</f>
        <v/>
      </c>
      <c r="J246" s="20" t="n"/>
      <c r="K246" s="20" t="n"/>
      <c r="L246" s="20">
        <f>IF($C246="","",$J246+$K246)</f>
        <v/>
      </c>
      <c r="M246" s="30" t="n"/>
      <c r="N246" s="26">
        <f>IF($C246="","",IF($I246="PEN",1,IFERROR(IF(_xlfn.XLOOKUP($B246,TC_Fechas,TC_Venta_Rango,"",-1)="","",_xlfn.XLOOKUP($B246,TC_Fechas,TC_Venta_Rango,"",-1)),"")))</f>
        <v/>
      </c>
      <c r="O246" s="20">
        <f>IF(OR($C246="",$N246=""),"",ROUND($J246*$N246,2)+ROUND($K246*$N246,2))</f>
        <v/>
      </c>
      <c r="P246" s="31">
        <f>IF($G246="","",IFERROR(INDEX(Catalogo_Tasas,MATCH($G246,Catalogo_Codigos,0)),""))</f>
        <v/>
      </c>
      <c r="Q246" s="32">
        <f>IF($G246="","",IFERROR(INDEX(Catalogo_Umbrales,MATCH($G246,Catalogo_Codigos,0)),""))</f>
        <v/>
      </c>
      <c r="R246">
        <f>IF(OR($C246="",$P246="",$O246=""),"",IF($F246&lt;&gt;"FACTURA","NO",IF(AND($P246&gt;0,$O246&gt;$Q246),"SI","NO")))</f>
        <v/>
      </c>
      <c r="S246" s="20">
        <f>IF($R246="SI",ROUND($O246*$P246,2),IF($C246="","",0))</f>
        <v/>
      </c>
      <c r="T246" s="20" t="n"/>
      <c r="U246">
        <f>IF($C246="","",IF($R246&lt;&gt;"SI","",IF($T246="","SIN DATO",IF(ABS($T246-$S246)&lt;=0.5,"OK","REVISAR"))))</f>
        <v/>
      </c>
      <c r="V246" s="20" t="n"/>
      <c r="W246" s="20">
        <f>IF(OR($C246="",$N246=""),"",IF($F246="RHE",ROUND($L246-$V246,2),ROUND($L246-($S246/$N246),2)))</f>
        <v/>
      </c>
      <c r="X246" s="25" t="n"/>
      <c r="Y246" s="25" t="n"/>
    </row>
    <row r="247">
      <c r="A247" t="n">
        <v>244</v>
      </c>
      <c r="B247" s="25" t="n"/>
      <c r="D247" s="30" t="n"/>
      <c r="G247" s="30" t="n"/>
      <c r="H247">
        <f>IF($G247="","",IFERROR(INDEX(Catalogo_Etiquetas,MATCH($G247,Catalogo_Codigos,0)),"CODIGO NO VALIDO"))</f>
        <v/>
      </c>
      <c r="J247" s="20" t="n"/>
      <c r="K247" s="20" t="n"/>
      <c r="L247" s="20">
        <f>IF($C247="","",$J247+$K247)</f>
        <v/>
      </c>
      <c r="M247" s="30" t="n"/>
      <c r="N247" s="26">
        <f>IF($C247="","",IF($I247="PEN",1,IFERROR(IF(_xlfn.XLOOKUP($B247,TC_Fechas,TC_Venta_Rango,"",-1)="","",_xlfn.XLOOKUP($B247,TC_Fechas,TC_Venta_Rango,"",-1)),"")))</f>
        <v/>
      </c>
      <c r="O247" s="20">
        <f>IF(OR($C247="",$N247=""),"",ROUND($J247*$N247,2)+ROUND($K247*$N247,2))</f>
        <v/>
      </c>
      <c r="P247" s="31">
        <f>IF($G247="","",IFERROR(INDEX(Catalogo_Tasas,MATCH($G247,Catalogo_Codigos,0)),""))</f>
        <v/>
      </c>
      <c r="Q247" s="32">
        <f>IF($G247="","",IFERROR(INDEX(Catalogo_Umbrales,MATCH($G247,Catalogo_Codigos,0)),""))</f>
        <v/>
      </c>
      <c r="R247">
        <f>IF(OR($C247="",$P247="",$O247=""),"",IF($F247&lt;&gt;"FACTURA","NO",IF(AND($P247&gt;0,$O247&gt;$Q247),"SI","NO")))</f>
        <v/>
      </c>
      <c r="S247" s="20">
        <f>IF($R247="SI",ROUND($O247*$P247,2),IF($C247="","",0))</f>
        <v/>
      </c>
      <c r="T247" s="20" t="n"/>
      <c r="U247">
        <f>IF($C247="","",IF($R247&lt;&gt;"SI","",IF($T247="","SIN DATO",IF(ABS($T247-$S247)&lt;=0.5,"OK","REVISAR"))))</f>
        <v/>
      </c>
      <c r="V247" s="20" t="n"/>
      <c r="W247" s="20">
        <f>IF(OR($C247="",$N247=""),"",IF($F247="RHE",ROUND($L247-$V247,2),ROUND($L247-($S247/$N247),2)))</f>
        <v/>
      </c>
      <c r="X247" s="25" t="n"/>
      <c r="Y247" s="25" t="n"/>
    </row>
    <row r="248">
      <c r="A248" t="n">
        <v>245</v>
      </c>
      <c r="B248" s="25" t="n"/>
      <c r="D248" s="30" t="n"/>
      <c r="G248" s="30" t="n"/>
      <c r="H248">
        <f>IF($G248="","",IFERROR(INDEX(Catalogo_Etiquetas,MATCH($G248,Catalogo_Codigos,0)),"CODIGO NO VALIDO"))</f>
        <v/>
      </c>
      <c r="J248" s="20" t="n"/>
      <c r="K248" s="20" t="n"/>
      <c r="L248" s="20">
        <f>IF($C248="","",$J248+$K248)</f>
        <v/>
      </c>
      <c r="M248" s="30" t="n"/>
      <c r="N248" s="26">
        <f>IF($C248="","",IF($I248="PEN",1,IFERROR(IF(_xlfn.XLOOKUP($B248,TC_Fechas,TC_Venta_Rango,"",-1)="","",_xlfn.XLOOKUP($B248,TC_Fechas,TC_Venta_Rango,"",-1)),"")))</f>
        <v/>
      </c>
      <c r="O248" s="20">
        <f>IF(OR($C248="",$N248=""),"",ROUND($J248*$N248,2)+ROUND($K248*$N248,2))</f>
        <v/>
      </c>
      <c r="P248" s="31">
        <f>IF($G248="","",IFERROR(INDEX(Catalogo_Tasas,MATCH($G248,Catalogo_Codigos,0)),""))</f>
        <v/>
      </c>
      <c r="Q248" s="32">
        <f>IF($G248="","",IFERROR(INDEX(Catalogo_Umbrales,MATCH($G248,Catalogo_Codigos,0)),""))</f>
        <v/>
      </c>
      <c r="R248">
        <f>IF(OR($C248="",$P248="",$O248=""),"",IF($F248&lt;&gt;"FACTURA","NO",IF(AND($P248&gt;0,$O248&gt;$Q248),"SI","NO")))</f>
        <v/>
      </c>
      <c r="S248" s="20">
        <f>IF($R248="SI",ROUND($O248*$P248,2),IF($C248="","",0))</f>
        <v/>
      </c>
      <c r="T248" s="20" t="n"/>
      <c r="U248">
        <f>IF($C248="","",IF($R248&lt;&gt;"SI","",IF($T248="","SIN DATO",IF(ABS($T248-$S248)&lt;=0.5,"OK","REVISAR"))))</f>
        <v/>
      </c>
      <c r="V248" s="20" t="n"/>
      <c r="W248" s="20">
        <f>IF(OR($C248="",$N248=""),"",IF($F248="RHE",ROUND($L248-$V248,2),ROUND($L248-($S248/$N248),2)))</f>
        <v/>
      </c>
      <c r="X248" s="25" t="n"/>
      <c r="Y248" s="25" t="n"/>
    </row>
    <row r="249">
      <c r="A249" t="n">
        <v>246</v>
      </c>
      <c r="B249" s="25" t="n"/>
      <c r="D249" s="30" t="n"/>
      <c r="G249" s="30" t="n"/>
      <c r="H249">
        <f>IF($G249="","",IFERROR(INDEX(Catalogo_Etiquetas,MATCH($G249,Catalogo_Codigos,0)),"CODIGO NO VALIDO"))</f>
        <v/>
      </c>
      <c r="J249" s="20" t="n"/>
      <c r="K249" s="20" t="n"/>
      <c r="L249" s="20">
        <f>IF($C249="","",$J249+$K249)</f>
        <v/>
      </c>
      <c r="M249" s="30" t="n"/>
      <c r="N249" s="26">
        <f>IF($C249="","",IF($I249="PEN",1,IFERROR(IF(_xlfn.XLOOKUP($B249,TC_Fechas,TC_Venta_Rango,"",-1)="","",_xlfn.XLOOKUP($B249,TC_Fechas,TC_Venta_Rango,"",-1)),"")))</f>
        <v/>
      </c>
      <c r="O249" s="20">
        <f>IF(OR($C249="",$N249=""),"",ROUND($J249*$N249,2)+ROUND($K249*$N249,2))</f>
        <v/>
      </c>
      <c r="P249" s="31">
        <f>IF($G249="","",IFERROR(INDEX(Catalogo_Tasas,MATCH($G249,Catalogo_Codigos,0)),""))</f>
        <v/>
      </c>
      <c r="Q249" s="32">
        <f>IF($G249="","",IFERROR(INDEX(Catalogo_Umbrales,MATCH($G249,Catalogo_Codigos,0)),""))</f>
        <v/>
      </c>
      <c r="R249">
        <f>IF(OR($C249="",$P249="",$O249=""),"",IF($F249&lt;&gt;"FACTURA","NO",IF(AND($P249&gt;0,$O249&gt;$Q249),"SI","NO")))</f>
        <v/>
      </c>
      <c r="S249" s="20">
        <f>IF($R249="SI",ROUND($O249*$P249,2),IF($C249="","",0))</f>
        <v/>
      </c>
      <c r="T249" s="20" t="n"/>
      <c r="U249">
        <f>IF($C249="","",IF($R249&lt;&gt;"SI","",IF($T249="","SIN DATO",IF(ABS($T249-$S249)&lt;=0.5,"OK","REVISAR"))))</f>
        <v/>
      </c>
      <c r="V249" s="20" t="n"/>
      <c r="W249" s="20">
        <f>IF(OR($C249="",$N249=""),"",IF($F249="RHE",ROUND($L249-$V249,2),ROUND($L249-($S249/$N249),2)))</f>
        <v/>
      </c>
      <c r="X249" s="25" t="n"/>
      <c r="Y249" s="25" t="n"/>
    </row>
    <row r="250">
      <c r="A250" t="n">
        <v>247</v>
      </c>
      <c r="B250" s="25" t="n"/>
      <c r="D250" s="30" t="n"/>
      <c r="G250" s="30" t="n"/>
      <c r="H250">
        <f>IF($G250="","",IFERROR(INDEX(Catalogo_Etiquetas,MATCH($G250,Catalogo_Codigos,0)),"CODIGO NO VALIDO"))</f>
        <v/>
      </c>
      <c r="J250" s="20" t="n"/>
      <c r="K250" s="20" t="n"/>
      <c r="L250" s="20">
        <f>IF($C250="","",$J250+$K250)</f>
        <v/>
      </c>
      <c r="M250" s="30" t="n"/>
      <c r="N250" s="26">
        <f>IF($C250="","",IF($I250="PEN",1,IFERROR(IF(_xlfn.XLOOKUP($B250,TC_Fechas,TC_Venta_Rango,"",-1)="","",_xlfn.XLOOKUP($B250,TC_Fechas,TC_Venta_Rango,"",-1)),"")))</f>
        <v/>
      </c>
      <c r="O250" s="20">
        <f>IF(OR($C250="",$N250=""),"",ROUND($J250*$N250,2)+ROUND($K250*$N250,2))</f>
        <v/>
      </c>
      <c r="P250" s="31">
        <f>IF($G250="","",IFERROR(INDEX(Catalogo_Tasas,MATCH($G250,Catalogo_Codigos,0)),""))</f>
        <v/>
      </c>
      <c r="Q250" s="32">
        <f>IF($G250="","",IFERROR(INDEX(Catalogo_Umbrales,MATCH($G250,Catalogo_Codigos,0)),""))</f>
        <v/>
      </c>
      <c r="R250">
        <f>IF(OR($C250="",$P250="",$O250=""),"",IF($F250&lt;&gt;"FACTURA","NO",IF(AND($P250&gt;0,$O250&gt;$Q250),"SI","NO")))</f>
        <v/>
      </c>
      <c r="S250" s="20">
        <f>IF($R250="SI",ROUND($O250*$P250,2),IF($C250="","",0))</f>
        <v/>
      </c>
      <c r="T250" s="20" t="n"/>
      <c r="U250">
        <f>IF($C250="","",IF($R250&lt;&gt;"SI","",IF($T250="","SIN DATO",IF(ABS($T250-$S250)&lt;=0.5,"OK","REVISAR"))))</f>
        <v/>
      </c>
      <c r="V250" s="20" t="n"/>
      <c r="W250" s="20">
        <f>IF(OR($C250="",$N250=""),"",IF($F250="RHE",ROUND($L250-$V250,2),ROUND($L250-($S250/$N250),2)))</f>
        <v/>
      </c>
      <c r="X250" s="25" t="n"/>
      <c r="Y250" s="25" t="n"/>
    </row>
    <row r="251">
      <c r="A251" t="n">
        <v>248</v>
      </c>
      <c r="B251" s="25" t="n"/>
      <c r="D251" s="30" t="n"/>
      <c r="G251" s="30" t="n"/>
      <c r="H251">
        <f>IF($G251="","",IFERROR(INDEX(Catalogo_Etiquetas,MATCH($G251,Catalogo_Codigos,0)),"CODIGO NO VALIDO"))</f>
        <v/>
      </c>
      <c r="J251" s="20" t="n"/>
      <c r="K251" s="20" t="n"/>
      <c r="L251" s="20">
        <f>IF($C251="","",$J251+$K251)</f>
        <v/>
      </c>
      <c r="M251" s="30" t="n"/>
      <c r="N251" s="26">
        <f>IF($C251="","",IF($I251="PEN",1,IFERROR(IF(_xlfn.XLOOKUP($B251,TC_Fechas,TC_Venta_Rango,"",-1)="","",_xlfn.XLOOKUP($B251,TC_Fechas,TC_Venta_Rango,"",-1)),"")))</f>
        <v/>
      </c>
      <c r="O251" s="20">
        <f>IF(OR($C251="",$N251=""),"",ROUND($J251*$N251,2)+ROUND($K251*$N251,2))</f>
        <v/>
      </c>
      <c r="P251" s="31">
        <f>IF($G251="","",IFERROR(INDEX(Catalogo_Tasas,MATCH($G251,Catalogo_Codigos,0)),""))</f>
        <v/>
      </c>
      <c r="Q251" s="32">
        <f>IF($G251="","",IFERROR(INDEX(Catalogo_Umbrales,MATCH($G251,Catalogo_Codigos,0)),""))</f>
        <v/>
      </c>
      <c r="R251">
        <f>IF(OR($C251="",$P251="",$O251=""),"",IF($F251&lt;&gt;"FACTURA","NO",IF(AND($P251&gt;0,$O251&gt;$Q251),"SI","NO")))</f>
        <v/>
      </c>
      <c r="S251" s="20">
        <f>IF($R251="SI",ROUND($O251*$P251,2),IF($C251="","",0))</f>
        <v/>
      </c>
      <c r="T251" s="20" t="n"/>
      <c r="U251">
        <f>IF($C251="","",IF($R251&lt;&gt;"SI","",IF($T251="","SIN DATO",IF(ABS($T251-$S251)&lt;=0.5,"OK","REVISAR"))))</f>
        <v/>
      </c>
      <c r="V251" s="20" t="n"/>
      <c r="W251" s="20">
        <f>IF(OR($C251="",$N251=""),"",IF($F251="RHE",ROUND($L251-$V251,2),ROUND($L251-($S251/$N251),2)))</f>
        <v/>
      </c>
      <c r="X251" s="25" t="n"/>
      <c r="Y251" s="25" t="n"/>
    </row>
    <row r="252">
      <c r="A252" t="n">
        <v>249</v>
      </c>
      <c r="B252" s="25" t="n"/>
      <c r="D252" s="30" t="n"/>
      <c r="G252" s="30" t="n"/>
      <c r="H252">
        <f>IF($G252="","",IFERROR(INDEX(Catalogo_Etiquetas,MATCH($G252,Catalogo_Codigos,0)),"CODIGO NO VALIDO"))</f>
        <v/>
      </c>
      <c r="J252" s="20" t="n"/>
      <c r="K252" s="20" t="n"/>
      <c r="L252" s="20">
        <f>IF($C252="","",$J252+$K252)</f>
        <v/>
      </c>
      <c r="M252" s="30" t="n"/>
      <c r="N252" s="26">
        <f>IF($C252="","",IF($I252="PEN",1,IFERROR(IF(_xlfn.XLOOKUP($B252,TC_Fechas,TC_Venta_Rango,"",-1)="","",_xlfn.XLOOKUP($B252,TC_Fechas,TC_Venta_Rango,"",-1)),"")))</f>
        <v/>
      </c>
      <c r="O252" s="20">
        <f>IF(OR($C252="",$N252=""),"",ROUND($J252*$N252,2)+ROUND($K252*$N252,2))</f>
        <v/>
      </c>
      <c r="P252" s="31">
        <f>IF($G252="","",IFERROR(INDEX(Catalogo_Tasas,MATCH($G252,Catalogo_Codigos,0)),""))</f>
        <v/>
      </c>
      <c r="Q252" s="32">
        <f>IF($G252="","",IFERROR(INDEX(Catalogo_Umbrales,MATCH($G252,Catalogo_Codigos,0)),""))</f>
        <v/>
      </c>
      <c r="R252">
        <f>IF(OR($C252="",$P252="",$O252=""),"",IF($F252&lt;&gt;"FACTURA","NO",IF(AND($P252&gt;0,$O252&gt;$Q252),"SI","NO")))</f>
        <v/>
      </c>
      <c r="S252" s="20">
        <f>IF($R252="SI",ROUND($O252*$P252,2),IF($C252="","",0))</f>
        <v/>
      </c>
      <c r="T252" s="20" t="n"/>
      <c r="U252">
        <f>IF($C252="","",IF($R252&lt;&gt;"SI","",IF($T252="","SIN DATO",IF(ABS($T252-$S252)&lt;=0.5,"OK","REVISAR"))))</f>
        <v/>
      </c>
      <c r="V252" s="20" t="n"/>
      <c r="W252" s="20">
        <f>IF(OR($C252="",$N252=""),"",IF($F252="RHE",ROUND($L252-$V252,2),ROUND($L252-($S252/$N252),2)))</f>
        <v/>
      </c>
      <c r="X252" s="25" t="n"/>
      <c r="Y252" s="25" t="n"/>
    </row>
    <row r="253">
      <c r="A253" t="n">
        <v>250</v>
      </c>
      <c r="B253" s="25" t="n"/>
      <c r="D253" s="30" t="n"/>
      <c r="G253" s="30" t="n"/>
      <c r="H253">
        <f>IF($G253="","",IFERROR(INDEX(Catalogo_Etiquetas,MATCH($G253,Catalogo_Codigos,0)),"CODIGO NO VALIDO"))</f>
        <v/>
      </c>
      <c r="J253" s="20" t="n"/>
      <c r="K253" s="20" t="n"/>
      <c r="L253" s="20">
        <f>IF($C253="","",$J253+$K253)</f>
        <v/>
      </c>
      <c r="M253" s="30" t="n"/>
      <c r="N253" s="26">
        <f>IF($C253="","",IF($I253="PEN",1,IFERROR(IF(_xlfn.XLOOKUP($B253,TC_Fechas,TC_Venta_Rango,"",-1)="","",_xlfn.XLOOKUP($B253,TC_Fechas,TC_Venta_Rango,"",-1)),"")))</f>
        <v/>
      </c>
      <c r="O253" s="20">
        <f>IF(OR($C253="",$N253=""),"",ROUND($J253*$N253,2)+ROUND($K253*$N253,2))</f>
        <v/>
      </c>
      <c r="P253" s="31">
        <f>IF($G253="","",IFERROR(INDEX(Catalogo_Tasas,MATCH($G253,Catalogo_Codigos,0)),""))</f>
        <v/>
      </c>
      <c r="Q253" s="32">
        <f>IF($G253="","",IFERROR(INDEX(Catalogo_Umbrales,MATCH($G253,Catalogo_Codigos,0)),""))</f>
        <v/>
      </c>
      <c r="R253">
        <f>IF(OR($C253="",$P253="",$O253=""),"",IF($F253&lt;&gt;"FACTURA","NO",IF(AND($P253&gt;0,$O253&gt;$Q253),"SI","NO")))</f>
        <v/>
      </c>
      <c r="S253" s="20">
        <f>IF($R253="SI",ROUND($O253*$P253,2),IF($C253="","",0))</f>
        <v/>
      </c>
      <c r="T253" s="20" t="n"/>
      <c r="U253">
        <f>IF($C253="","",IF($R253&lt;&gt;"SI","",IF($T253="","SIN DATO",IF(ABS($T253-$S253)&lt;=0.5,"OK","REVISAR"))))</f>
        <v/>
      </c>
      <c r="V253" s="20" t="n"/>
      <c r="W253" s="20">
        <f>IF(OR($C253="",$N253=""),"",IF($F253="RHE",ROUND($L253-$V253,2),ROUND($L253-($S253/$N253),2)))</f>
        <v/>
      </c>
      <c r="X253" s="25" t="n"/>
      <c r="Y253" s="25" t="n"/>
    </row>
    <row r="254">
      <c r="A254" t="n">
        <v>251</v>
      </c>
      <c r="B254" s="25" t="n"/>
      <c r="D254" s="30" t="n"/>
      <c r="G254" s="30" t="n"/>
      <c r="H254">
        <f>IF($G254="","",IFERROR(INDEX(Catalogo_Etiquetas,MATCH($G254,Catalogo_Codigos,0)),"CODIGO NO VALIDO"))</f>
        <v/>
      </c>
      <c r="J254" s="20" t="n"/>
      <c r="K254" s="20" t="n"/>
      <c r="L254" s="20">
        <f>IF($C254="","",$J254+$K254)</f>
        <v/>
      </c>
      <c r="M254" s="30" t="n"/>
      <c r="N254" s="26">
        <f>IF($C254="","",IF($I254="PEN",1,IFERROR(IF(_xlfn.XLOOKUP($B254,TC_Fechas,TC_Venta_Rango,"",-1)="","",_xlfn.XLOOKUP($B254,TC_Fechas,TC_Venta_Rango,"",-1)),"")))</f>
        <v/>
      </c>
      <c r="O254" s="20">
        <f>IF(OR($C254="",$N254=""),"",ROUND($J254*$N254,2)+ROUND($K254*$N254,2))</f>
        <v/>
      </c>
      <c r="P254" s="31">
        <f>IF($G254="","",IFERROR(INDEX(Catalogo_Tasas,MATCH($G254,Catalogo_Codigos,0)),""))</f>
        <v/>
      </c>
      <c r="Q254" s="32">
        <f>IF($G254="","",IFERROR(INDEX(Catalogo_Umbrales,MATCH($G254,Catalogo_Codigos,0)),""))</f>
        <v/>
      </c>
      <c r="R254">
        <f>IF(OR($C254="",$P254="",$O254=""),"",IF($F254&lt;&gt;"FACTURA","NO",IF(AND($P254&gt;0,$O254&gt;$Q254),"SI","NO")))</f>
        <v/>
      </c>
      <c r="S254" s="20">
        <f>IF($R254="SI",ROUND($O254*$P254,2),IF($C254="","",0))</f>
        <v/>
      </c>
      <c r="T254" s="20" t="n"/>
      <c r="U254">
        <f>IF($C254="","",IF($R254&lt;&gt;"SI","",IF($T254="","SIN DATO",IF(ABS($T254-$S254)&lt;=0.5,"OK","REVISAR"))))</f>
        <v/>
      </c>
      <c r="V254" s="20" t="n"/>
      <c r="W254" s="20">
        <f>IF(OR($C254="",$N254=""),"",IF($F254="RHE",ROUND($L254-$V254,2),ROUND($L254-($S254/$N254),2)))</f>
        <v/>
      </c>
      <c r="X254" s="25" t="n"/>
      <c r="Y254" s="25" t="n"/>
    </row>
    <row r="255">
      <c r="A255" t="n">
        <v>252</v>
      </c>
      <c r="B255" s="25" t="n"/>
      <c r="D255" s="30" t="n"/>
      <c r="G255" s="30" t="n"/>
      <c r="H255">
        <f>IF($G255="","",IFERROR(INDEX(Catalogo_Etiquetas,MATCH($G255,Catalogo_Codigos,0)),"CODIGO NO VALIDO"))</f>
        <v/>
      </c>
      <c r="J255" s="20" t="n"/>
      <c r="K255" s="20" t="n"/>
      <c r="L255" s="20">
        <f>IF($C255="","",$J255+$K255)</f>
        <v/>
      </c>
      <c r="M255" s="30" t="n"/>
      <c r="N255" s="26">
        <f>IF($C255="","",IF($I255="PEN",1,IFERROR(IF(_xlfn.XLOOKUP($B255,TC_Fechas,TC_Venta_Rango,"",-1)="","",_xlfn.XLOOKUP($B255,TC_Fechas,TC_Venta_Rango,"",-1)),"")))</f>
        <v/>
      </c>
      <c r="O255" s="20">
        <f>IF(OR($C255="",$N255=""),"",ROUND($J255*$N255,2)+ROUND($K255*$N255,2))</f>
        <v/>
      </c>
      <c r="P255" s="31">
        <f>IF($G255="","",IFERROR(INDEX(Catalogo_Tasas,MATCH($G255,Catalogo_Codigos,0)),""))</f>
        <v/>
      </c>
      <c r="Q255" s="32">
        <f>IF($G255="","",IFERROR(INDEX(Catalogo_Umbrales,MATCH($G255,Catalogo_Codigos,0)),""))</f>
        <v/>
      </c>
      <c r="R255">
        <f>IF(OR($C255="",$P255="",$O255=""),"",IF($F255&lt;&gt;"FACTURA","NO",IF(AND($P255&gt;0,$O255&gt;$Q255),"SI","NO")))</f>
        <v/>
      </c>
      <c r="S255" s="20">
        <f>IF($R255="SI",ROUND($O255*$P255,2),IF($C255="","",0))</f>
        <v/>
      </c>
      <c r="T255" s="20" t="n"/>
      <c r="U255">
        <f>IF($C255="","",IF($R255&lt;&gt;"SI","",IF($T255="","SIN DATO",IF(ABS($T255-$S255)&lt;=0.5,"OK","REVISAR"))))</f>
        <v/>
      </c>
      <c r="V255" s="20" t="n"/>
      <c r="W255" s="20">
        <f>IF(OR($C255="",$N255=""),"",IF($F255="RHE",ROUND($L255-$V255,2),ROUND($L255-($S255/$N255),2)))</f>
        <v/>
      </c>
      <c r="X255" s="25" t="n"/>
      <c r="Y255" s="25" t="n"/>
    </row>
    <row r="256">
      <c r="A256" t="n">
        <v>253</v>
      </c>
      <c r="B256" s="25" t="n"/>
      <c r="D256" s="30" t="n"/>
      <c r="G256" s="30" t="n"/>
      <c r="H256">
        <f>IF($G256="","",IFERROR(INDEX(Catalogo_Etiquetas,MATCH($G256,Catalogo_Codigos,0)),"CODIGO NO VALIDO"))</f>
        <v/>
      </c>
      <c r="J256" s="20" t="n"/>
      <c r="K256" s="20" t="n"/>
      <c r="L256" s="20">
        <f>IF($C256="","",$J256+$K256)</f>
        <v/>
      </c>
      <c r="M256" s="30" t="n"/>
      <c r="N256" s="26">
        <f>IF($C256="","",IF($I256="PEN",1,IFERROR(IF(_xlfn.XLOOKUP($B256,TC_Fechas,TC_Venta_Rango,"",-1)="","",_xlfn.XLOOKUP($B256,TC_Fechas,TC_Venta_Rango,"",-1)),"")))</f>
        <v/>
      </c>
      <c r="O256" s="20">
        <f>IF(OR($C256="",$N256=""),"",ROUND($J256*$N256,2)+ROUND($K256*$N256,2))</f>
        <v/>
      </c>
      <c r="P256" s="31">
        <f>IF($G256="","",IFERROR(INDEX(Catalogo_Tasas,MATCH($G256,Catalogo_Codigos,0)),""))</f>
        <v/>
      </c>
      <c r="Q256" s="32">
        <f>IF($G256="","",IFERROR(INDEX(Catalogo_Umbrales,MATCH($G256,Catalogo_Codigos,0)),""))</f>
        <v/>
      </c>
      <c r="R256">
        <f>IF(OR($C256="",$P256="",$O256=""),"",IF($F256&lt;&gt;"FACTURA","NO",IF(AND($P256&gt;0,$O256&gt;$Q256),"SI","NO")))</f>
        <v/>
      </c>
      <c r="S256" s="20">
        <f>IF($R256="SI",ROUND($O256*$P256,2),IF($C256="","",0))</f>
        <v/>
      </c>
      <c r="T256" s="20" t="n"/>
      <c r="U256">
        <f>IF($C256="","",IF($R256&lt;&gt;"SI","",IF($T256="","SIN DATO",IF(ABS($T256-$S256)&lt;=0.5,"OK","REVISAR"))))</f>
        <v/>
      </c>
      <c r="V256" s="20" t="n"/>
      <c r="W256" s="20">
        <f>IF(OR($C256="",$N256=""),"",IF($F256="RHE",ROUND($L256-$V256,2),ROUND($L256-($S256/$N256),2)))</f>
        <v/>
      </c>
      <c r="X256" s="25" t="n"/>
      <c r="Y256" s="25" t="n"/>
    </row>
    <row r="257">
      <c r="A257" t="n">
        <v>254</v>
      </c>
      <c r="B257" s="25" t="n"/>
      <c r="D257" s="30" t="n"/>
      <c r="G257" s="30" t="n"/>
      <c r="H257">
        <f>IF($G257="","",IFERROR(INDEX(Catalogo_Etiquetas,MATCH($G257,Catalogo_Codigos,0)),"CODIGO NO VALIDO"))</f>
        <v/>
      </c>
      <c r="J257" s="20" t="n"/>
      <c r="K257" s="20" t="n"/>
      <c r="L257" s="20">
        <f>IF($C257="","",$J257+$K257)</f>
        <v/>
      </c>
      <c r="M257" s="30" t="n"/>
      <c r="N257" s="26">
        <f>IF($C257="","",IF($I257="PEN",1,IFERROR(IF(_xlfn.XLOOKUP($B257,TC_Fechas,TC_Venta_Rango,"",-1)="","",_xlfn.XLOOKUP($B257,TC_Fechas,TC_Venta_Rango,"",-1)),"")))</f>
        <v/>
      </c>
      <c r="O257" s="20">
        <f>IF(OR($C257="",$N257=""),"",ROUND($J257*$N257,2)+ROUND($K257*$N257,2))</f>
        <v/>
      </c>
      <c r="P257" s="31">
        <f>IF($G257="","",IFERROR(INDEX(Catalogo_Tasas,MATCH($G257,Catalogo_Codigos,0)),""))</f>
        <v/>
      </c>
      <c r="Q257" s="32">
        <f>IF($G257="","",IFERROR(INDEX(Catalogo_Umbrales,MATCH($G257,Catalogo_Codigos,0)),""))</f>
        <v/>
      </c>
      <c r="R257">
        <f>IF(OR($C257="",$P257="",$O257=""),"",IF($F257&lt;&gt;"FACTURA","NO",IF(AND($P257&gt;0,$O257&gt;$Q257),"SI","NO")))</f>
        <v/>
      </c>
      <c r="S257" s="20">
        <f>IF($R257="SI",ROUND($O257*$P257,2),IF($C257="","",0))</f>
        <v/>
      </c>
      <c r="T257" s="20" t="n"/>
      <c r="U257">
        <f>IF($C257="","",IF($R257&lt;&gt;"SI","",IF($T257="","SIN DATO",IF(ABS($T257-$S257)&lt;=0.5,"OK","REVISAR"))))</f>
        <v/>
      </c>
      <c r="V257" s="20" t="n"/>
      <c r="W257" s="20">
        <f>IF(OR($C257="",$N257=""),"",IF($F257="RHE",ROUND($L257-$V257,2),ROUND($L257-($S257/$N257),2)))</f>
        <v/>
      </c>
      <c r="X257" s="25" t="n"/>
      <c r="Y257" s="25" t="n"/>
    </row>
    <row r="258">
      <c r="A258" t="n">
        <v>255</v>
      </c>
      <c r="B258" s="25" t="n"/>
      <c r="D258" s="30" t="n"/>
      <c r="G258" s="30" t="n"/>
      <c r="H258">
        <f>IF($G258="","",IFERROR(INDEX(Catalogo_Etiquetas,MATCH($G258,Catalogo_Codigos,0)),"CODIGO NO VALIDO"))</f>
        <v/>
      </c>
      <c r="J258" s="20" t="n"/>
      <c r="K258" s="20" t="n"/>
      <c r="L258" s="20">
        <f>IF($C258="","",$J258+$K258)</f>
        <v/>
      </c>
      <c r="M258" s="30" t="n"/>
      <c r="N258" s="26">
        <f>IF($C258="","",IF($I258="PEN",1,IFERROR(IF(_xlfn.XLOOKUP($B258,TC_Fechas,TC_Venta_Rango,"",-1)="","",_xlfn.XLOOKUP($B258,TC_Fechas,TC_Venta_Rango,"",-1)),"")))</f>
        <v/>
      </c>
      <c r="O258" s="20">
        <f>IF(OR($C258="",$N258=""),"",ROUND($J258*$N258,2)+ROUND($K258*$N258,2))</f>
        <v/>
      </c>
      <c r="P258" s="31">
        <f>IF($G258="","",IFERROR(INDEX(Catalogo_Tasas,MATCH($G258,Catalogo_Codigos,0)),""))</f>
        <v/>
      </c>
      <c r="Q258" s="32">
        <f>IF($G258="","",IFERROR(INDEX(Catalogo_Umbrales,MATCH($G258,Catalogo_Codigos,0)),""))</f>
        <v/>
      </c>
      <c r="R258">
        <f>IF(OR($C258="",$P258="",$O258=""),"",IF($F258&lt;&gt;"FACTURA","NO",IF(AND($P258&gt;0,$O258&gt;$Q258),"SI","NO")))</f>
        <v/>
      </c>
      <c r="S258" s="20">
        <f>IF($R258="SI",ROUND($O258*$P258,2),IF($C258="","",0))</f>
        <v/>
      </c>
      <c r="T258" s="20" t="n"/>
      <c r="U258">
        <f>IF($C258="","",IF($R258&lt;&gt;"SI","",IF($T258="","SIN DATO",IF(ABS($T258-$S258)&lt;=0.5,"OK","REVISAR"))))</f>
        <v/>
      </c>
      <c r="V258" s="20" t="n"/>
      <c r="W258" s="20">
        <f>IF(OR($C258="",$N258=""),"",IF($F258="RHE",ROUND($L258-$V258,2),ROUND($L258-($S258/$N258),2)))</f>
        <v/>
      </c>
      <c r="X258" s="25" t="n"/>
      <c r="Y258" s="25" t="n"/>
    </row>
    <row r="259">
      <c r="A259" t="n">
        <v>256</v>
      </c>
      <c r="B259" s="25" t="n"/>
      <c r="D259" s="30" t="n"/>
      <c r="G259" s="30" t="n"/>
      <c r="H259">
        <f>IF($G259="","",IFERROR(INDEX(Catalogo_Etiquetas,MATCH($G259,Catalogo_Codigos,0)),"CODIGO NO VALIDO"))</f>
        <v/>
      </c>
      <c r="J259" s="20" t="n"/>
      <c r="K259" s="20" t="n"/>
      <c r="L259" s="20">
        <f>IF($C259="","",$J259+$K259)</f>
        <v/>
      </c>
      <c r="M259" s="30" t="n"/>
      <c r="N259" s="26">
        <f>IF($C259="","",IF($I259="PEN",1,IFERROR(IF(_xlfn.XLOOKUP($B259,TC_Fechas,TC_Venta_Rango,"",-1)="","",_xlfn.XLOOKUP($B259,TC_Fechas,TC_Venta_Rango,"",-1)),"")))</f>
        <v/>
      </c>
      <c r="O259" s="20">
        <f>IF(OR($C259="",$N259=""),"",ROUND($J259*$N259,2)+ROUND($K259*$N259,2))</f>
        <v/>
      </c>
      <c r="P259" s="31">
        <f>IF($G259="","",IFERROR(INDEX(Catalogo_Tasas,MATCH($G259,Catalogo_Codigos,0)),""))</f>
        <v/>
      </c>
      <c r="Q259" s="32">
        <f>IF($G259="","",IFERROR(INDEX(Catalogo_Umbrales,MATCH($G259,Catalogo_Codigos,0)),""))</f>
        <v/>
      </c>
      <c r="R259">
        <f>IF(OR($C259="",$P259="",$O259=""),"",IF($F259&lt;&gt;"FACTURA","NO",IF(AND($P259&gt;0,$O259&gt;$Q259),"SI","NO")))</f>
        <v/>
      </c>
      <c r="S259" s="20">
        <f>IF($R259="SI",ROUND($O259*$P259,2),IF($C259="","",0))</f>
        <v/>
      </c>
      <c r="T259" s="20" t="n"/>
      <c r="U259">
        <f>IF($C259="","",IF($R259&lt;&gt;"SI","",IF($T259="","SIN DATO",IF(ABS($T259-$S259)&lt;=0.5,"OK","REVISAR"))))</f>
        <v/>
      </c>
      <c r="V259" s="20" t="n"/>
      <c r="W259" s="20">
        <f>IF(OR($C259="",$N259=""),"",IF($F259="RHE",ROUND($L259-$V259,2),ROUND($L259-($S259/$N259),2)))</f>
        <v/>
      </c>
      <c r="X259" s="25" t="n"/>
      <c r="Y259" s="25" t="n"/>
    </row>
    <row r="260">
      <c r="A260" t="n">
        <v>257</v>
      </c>
      <c r="B260" s="25" t="n"/>
      <c r="D260" s="30" t="n"/>
      <c r="G260" s="30" t="n"/>
      <c r="H260">
        <f>IF($G260="","",IFERROR(INDEX(Catalogo_Etiquetas,MATCH($G260,Catalogo_Codigos,0)),"CODIGO NO VALIDO"))</f>
        <v/>
      </c>
      <c r="J260" s="20" t="n"/>
      <c r="K260" s="20" t="n"/>
      <c r="L260" s="20">
        <f>IF($C260="","",$J260+$K260)</f>
        <v/>
      </c>
      <c r="M260" s="30" t="n"/>
      <c r="N260" s="26">
        <f>IF($C260="","",IF($I260="PEN",1,IFERROR(IF(_xlfn.XLOOKUP($B260,TC_Fechas,TC_Venta_Rango,"",-1)="","",_xlfn.XLOOKUP($B260,TC_Fechas,TC_Venta_Rango,"",-1)),"")))</f>
        <v/>
      </c>
      <c r="O260" s="20">
        <f>IF(OR($C260="",$N260=""),"",ROUND($J260*$N260,2)+ROUND($K260*$N260,2))</f>
        <v/>
      </c>
      <c r="P260" s="31">
        <f>IF($G260="","",IFERROR(INDEX(Catalogo_Tasas,MATCH($G260,Catalogo_Codigos,0)),""))</f>
        <v/>
      </c>
      <c r="Q260" s="32">
        <f>IF($G260="","",IFERROR(INDEX(Catalogo_Umbrales,MATCH($G260,Catalogo_Codigos,0)),""))</f>
        <v/>
      </c>
      <c r="R260">
        <f>IF(OR($C260="",$P260="",$O260=""),"",IF($F260&lt;&gt;"FACTURA","NO",IF(AND($P260&gt;0,$O260&gt;$Q260),"SI","NO")))</f>
        <v/>
      </c>
      <c r="S260" s="20">
        <f>IF($R260="SI",ROUND($O260*$P260,2),IF($C260="","",0))</f>
        <v/>
      </c>
      <c r="T260" s="20" t="n"/>
      <c r="U260">
        <f>IF($C260="","",IF($R260&lt;&gt;"SI","",IF($T260="","SIN DATO",IF(ABS($T260-$S260)&lt;=0.5,"OK","REVISAR"))))</f>
        <v/>
      </c>
      <c r="V260" s="20" t="n"/>
      <c r="W260" s="20">
        <f>IF(OR($C260="",$N260=""),"",IF($F260="RHE",ROUND($L260-$V260,2),ROUND($L260-($S260/$N260),2)))</f>
        <v/>
      </c>
      <c r="X260" s="25" t="n"/>
      <c r="Y260" s="25" t="n"/>
    </row>
    <row r="261">
      <c r="A261" t="n">
        <v>258</v>
      </c>
      <c r="B261" s="25" t="n"/>
      <c r="D261" s="30" t="n"/>
      <c r="G261" s="30" t="n"/>
      <c r="H261">
        <f>IF($G261="","",IFERROR(INDEX(Catalogo_Etiquetas,MATCH($G261,Catalogo_Codigos,0)),"CODIGO NO VALIDO"))</f>
        <v/>
      </c>
      <c r="J261" s="20" t="n"/>
      <c r="K261" s="20" t="n"/>
      <c r="L261" s="20">
        <f>IF($C261="","",$J261+$K261)</f>
        <v/>
      </c>
      <c r="M261" s="30" t="n"/>
      <c r="N261" s="26">
        <f>IF($C261="","",IF($I261="PEN",1,IFERROR(IF(_xlfn.XLOOKUP($B261,TC_Fechas,TC_Venta_Rango,"",-1)="","",_xlfn.XLOOKUP($B261,TC_Fechas,TC_Venta_Rango,"",-1)),"")))</f>
        <v/>
      </c>
      <c r="O261" s="20">
        <f>IF(OR($C261="",$N261=""),"",ROUND($J261*$N261,2)+ROUND($K261*$N261,2))</f>
        <v/>
      </c>
      <c r="P261" s="31">
        <f>IF($G261="","",IFERROR(INDEX(Catalogo_Tasas,MATCH($G261,Catalogo_Codigos,0)),""))</f>
        <v/>
      </c>
      <c r="Q261" s="32">
        <f>IF($G261="","",IFERROR(INDEX(Catalogo_Umbrales,MATCH($G261,Catalogo_Codigos,0)),""))</f>
        <v/>
      </c>
      <c r="R261">
        <f>IF(OR($C261="",$P261="",$O261=""),"",IF($F261&lt;&gt;"FACTURA","NO",IF(AND($P261&gt;0,$O261&gt;$Q261),"SI","NO")))</f>
        <v/>
      </c>
      <c r="S261" s="20">
        <f>IF($R261="SI",ROUND($O261*$P261,2),IF($C261="","",0))</f>
        <v/>
      </c>
      <c r="T261" s="20" t="n"/>
      <c r="U261">
        <f>IF($C261="","",IF($R261&lt;&gt;"SI","",IF($T261="","SIN DATO",IF(ABS($T261-$S261)&lt;=0.5,"OK","REVISAR"))))</f>
        <v/>
      </c>
      <c r="V261" s="20" t="n"/>
      <c r="W261" s="20">
        <f>IF(OR($C261="",$N261=""),"",IF($F261="RHE",ROUND($L261-$V261,2),ROUND($L261-($S261/$N261),2)))</f>
        <v/>
      </c>
      <c r="X261" s="25" t="n"/>
      <c r="Y261" s="25" t="n"/>
    </row>
    <row r="262">
      <c r="A262" t="n">
        <v>259</v>
      </c>
      <c r="B262" s="25" t="n"/>
      <c r="D262" s="30" t="n"/>
      <c r="G262" s="30" t="n"/>
      <c r="H262">
        <f>IF($G262="","",IFERROR(INDEX(Catalogo_Etiquetas,MATCH($G262,Catalogo_Codigos,0)),"CODIGO NO VALIDO"))</f>
        <v/>
      </c>
      <c r="J262" s="20" t="n"/>
      <c r="K262" s="20" t="n"/>
      <c r="L262" s="20">
        <f>IF($C262="","",$J262+$K262)</f>
        <v/>
      </c>
      <c r="M262" s="30" t="n"/>
      <c r="N262" s="26">
        <f>IF($C262="","",IF($I262="PEN",1,IFERROR(IF(_xlfn.XLOOKUP($B262,TC_Fechas,TC_Venta_Rango,"",-1)="","",_xlfn.XLOOKUP($B262,TC_Fechas,TC_Venta_Rango,"",-1)),"")))</f>
        <v/>
      </c>
      <c r="O262" s="20">
        <f>IF(OR($C262="",$N262=""),"",ROUND($J262*$N262,2)+ROUND($K262*$N262,2))</f>
        <v/>
      </c>
      <c r="P262" s="31">
        <f>IF($G262="","",IFERROR(INDEX(Catalogo_Tasas,MATCH($G262,Catalogo_Codigos,0)),""))</f>
        <v/>
      </c>
      <c r="Q262" s="32">
        <f>IF($G262="","",IFERROR(INDEX(Catalogo_Umbrales,MATCH($G262,Catalogo_Codigos,0)),""))</f>
        <v/>
      </c>
      <c r="R262">
        <f>IF(OR($C262="",$P262="",$O262=""),"",IF($F262&lt;&gt;"FACTURA","NO",IF(AND($P262&gt;0,$O262&gt;$Q262),"SI","NO")))</f>
        <v/>
      </c>
      <c r="S262" s="20">
        <f>IF($R262="SI",ROUND($O262*$P262,2),IF($C262="","",0))</f>
        <v/>
      </c>
      <c r="T262" s="20" t="n"/>
      <c r="U262">
        <f>IF($C262="","",IF($R262&lt;&gt;"SI","",IF($T262="","SIN DATO",IF(ABS($T262-$S262)&lt;=0.5,"OK","REVISAR"))))</f>
        <v/>
      </c>
      <c r="V262" s="20" t="n"/>
      <c r="W262" s="20">
        <f>IF(OR($C262="",$N262=""),"",IF($F262="RHE",ROUND($L262-$V262,2),ROUND($L262-($S262/$N262),2)))</f>
        <v/>
      </c>
      <c r="X262" s="25" t="n"/>
      <c r="Y262" s="25" t="n"/>
    </row>
    <row r="263">
      <c r="A263" t="n">
        <v>260</v>
      </c>
      <c r="B263" s="25" t="n"/>
      <c r="D263" s="30" t="n"/>
      <c r="G263" s="30" t="n"/>
      <c r="H263">
        <f>IF($G263="","",IFERROR(INDEX(Catalogo_Etiquetas,MATCH($G263,Catalogo_Codigos,0)),"CODIGO NO VALIDO"))</f>
        <v/>
      </c>
      <c r="J263" s="20" t="n"/>
      <c r="K263" s="20" t="n"/>
      <c r="L263" s="20">
        <f>IF($C263="","",$J263+$K263)</f>
        <v/>
      </c>
      <c r="M263" s="30" t="n"/>
      <c r="N263" s="26">
        <f>IF($C263="","",IF($I263="PEN",1,IFERROR(IF(_xlfn.XLOOKUP($B263,TC_Fechas,TC_Venta_Rango,"",-1)="","",_xlfn.XLOOKUP($B263,TC_Fechas,TC_Venta_Rango,"",-1)),"")))</f>
        <v/>
      </c>
      <c r="O263" s="20">
        <f>IF(OR($C263="",$N263=""),"",ROUND($J263*$N263,2)+ROUND($K263*$N263,2))</f>
        <v/>
      </c>
      <c r="P263" s="31">
        <f>IF($G263="","",IFERROR(INDEX(Catalogo_Tasas,MATCH($G263,Catalogo_Codigos,0)),""))</f>
        <v/>
      </c>
      <c r="Q263" s="32">
        <f>IF($G263="","",IFERROR(INDEX(Catalogo_Umbrales,MATCH($G263,Catalogo_Codigos,0)),""))</f>
        <v/>
      </c>
      <c r="R263">
        <f>IF(OR($C263="",$P263="",$O263=""),"",IF($F263&lt;&gt;"FACTURA","NO",IF(AND($P263&gt;0,$O263&gt;$Q263),"SI","NO")))</f>
        <v/>
      </c>
      <c r="S263" s="20">
        <f>IF($R263="SI",ROUND($O263*$P263,2),IF($C263="","",0))</f>
        <v/>
      </c>
      <c r="T263" s="20" t="n"/>
      <c r="U263">
        <f>IF($C263="","",IF($R263&lt;&gt;"SI","",IF($T263="","SIN DATO",IF(ABS($T263-$S263)&lt;=0.5,"OK","REVISAR"))))</f>
        <v/>
      </c>
      <c r="V263" s="20" t="n"/>
      <c r="W263" s="20">
        <f>IF(OR($C263="",$N263=""),"",IF($F263="RHE",ROUND($L263-$V263,2),ROUND($L263-($S263/$N263),2)))</f>
        <v/>
      </c>
      <c r="X263" s="25" t="n"/>
      <c r="Y263" s="25" t="n"/>
    </row>
    <row r="264">
      <c r="A264" t="n">
        <v>261</v>
      </c>
      <c r="B264" s="25" t="n"/>
      <c r="D264" s="30" t="n"/>
      <c r="G264" s="30" t="n"/>
      <c r="H264">
        <f>IF($G264="","",IFERROR(INDEX(Catalogo_Etiquetas,MATCH($G264,Catalogo_Codigos,0)),"CODIGO NO VALIDO"))</f>
        <v/>
      </c>
      <c r="J264" s="20" t="n"/>
      <c r="K264" s="20" t="n"/>
      <c r="L264" s="20">
        <f>IF($C264="","",$J264+$K264)</f>
        <v/>
      </c>
      <c r="M264" s="30" t="n"/>
      <c r="N264" s="26">
        <f>IF($C264="","",IF($I264="PEN",1,IFERROR(IF(_xlfn.XLOOKUP($B264,TC_Fechas,TC_Venta_Rango,"",-1)="","",_xlfn.XLOOKUP($B264,TC_Fechas,TC_Venta_Rango,"",-1)),"")))</f>
        <v/>
      </c>
      <c r="O264" s="20">
        <f>IF(OR($C264="",$N264=""),"",ROUND($J264*$N264,2)+ROUND($K264*$N264,2))</f>
        <v/>
      </c>
      <c r="P264" s="31">
        <f>IF($G264="","",IFERROR(INDEX(Catalogo_Tasas,MATCH($G264,Catalogo_Codigos,0)),""))</f>
        <v/>
      </c>
      <c r="Q264" s="32">
        <f>IF($G264="","",IFERROR(INDEX(Catalogo_Umbrales,MATCH($G264,Catalogo_Codigos,0)),""))</f>
        <v/>
      </c>
      <c r="R264">
        <f>IF(OR($C264="",$P264="",$O264=""),"",IF($F264&lt;&gt;"FACTURA","NO",IF(AND($P264&gt;0,$O264&gt;$Q264),"SI","NO")))</f>
        <v/>
      </c>
      <c r="S264" s="20">
        <f>IF($R264="SI",ROUND($O264*$P264,2),IF($C264="","",0))</f>
        <v/>
      </c>
      <c r="T264" s="20" t="n"/>
      <c r="U264">
        <f>IF($C264="","",IF($R264&lt;&gt;"SI","",IF($T264="","SIN DATO",IF(ABS($T264-$S264)&lt;=0.5,"OK","REVISAR"))))</f>
        <v/>
      </c>
      <c r="V264" s="20" t="n"/>
      <c r="W264" s="20">
        <f>IF(OR($C264="",$N264=""),"",IF($F264="RHE",ROUND($L264-$V264,2),ROUND($L264-($S264/$N264),2)))</f>
        <v/>
      </c>
      <c r="X264" s="25" t="n"/>
      <c r="Y264" s="25" t="n"/>
    </row>
    <row r="265">
      <c r="A265" t="n">
        <v>262</v>
      </c>
      <c r="B265" s="25" t="n"/>
      <c r="D265" s="30" t="n"/>
      <c r="G265" s="30" t="n"/>
      <c r="H265">
        <f>IF($G265="","",IFERROR(INDEX(Catalogo_Etiquetas,MATCH($G265,Catalogo_Codigos,0)),"CODIGO NO VALIDO"))</f>
        <v/>
      </c>
      <c r="J265" s="20" t="n"/>
      <c r="K265" s="20" t="n"/>
      <c r="L265" s="20">
        <f>IF($C265="","",$J265+$K265)</f>
        <v/>
      </c>
      <c r="M265" s="30" t="n"/>
      <c r="N265" s="26">
        <f>IF($C265="","",IF($I265="PEN",1,IFERROR(IF(_xlfn.XLOOKUP($B265,TC_Fechas,TC_Venta_Rango,"",-1)="","",_xlfn.XLOOKUP($B265,TC_Fechas,TC_Venta_Rango,"",-1)),"")))</f>
        <v/>
      </c>
      <c r="O265" s="20">
        <f>IF(OR($C265="",$N265=""),"",ROUND($J265*$N265,2)+ROUND($K265*$N265,2))</f>
        <v/>
      </c>
      <c r="P265" s="31">
        <f>IF($G265="","",IFERROR(INDEX(Catalogo_Tasas,MATCH($G265,Catalogo_Codigos,0)),""))</f>
        <v/>
      </c>
      <c r="Q265" s="32">
        <f>IF($G265="","",IFERROR(INDEX(Catalogo_Umbrales,MATCH($G265,Catalogo_Codigos,0)),""))</f>
        <v/>
      </c>
      <c r="R265">
        <f>IF(OR($C265="",$P265="",$O265=""),"",IF($F265&lt;&gt;"FACTURA","NO",IF(AND($P265&gt;0,$O265&gt;$Q265),"SI","NO")))</f>
        <v/>
      </c>
      <c r="S265" s="20">
        <f>IF($R265="SI",ROUND($O265*$P265,2),IF($C265="","",0))</f>
        <v/>
      </c>
      <c r="T265" s="20" t="n"/>
      <c r="U265">
        <f>IF($C265="","",IF($R265&lt;&gt;"SI","",IF($T265="","SIN DATO",IF(ABS($T265-$S265)&lt;=0.5,"OK","REVISAR"))))</f>
        <v/>
      </c>
      <c r="V265" s="20" t="n"/>
      <c r="W265" s="20">
        <f>IF(OR($C265="",$N265=""),"",IF($F265="RHE",ROUND($L265-$V265,2),ROUND($L265-($S265/$N265),2)))</f>
        <v/>
      </c>
      <c r="X265" s="25" t="n"/>
      <c r="Y265" s="25" t="n"/>
    </row>
    <row r="266">
      <c r="A266" t="n">
        <v>263</v>
      </c>
      <c r="B266" s="25" t="n"/>
      <c r="D266" s="30" t="n"/>
      <c r="G266" s="30" t="n"/>
      <c r="H266">
        <f>IF($G266="","",IFERROR(INDEX(Catalogo_Etiquetas,MATCH($G266,Catalogo_Codigos,0)),"CODIGO NO VALIDO"))</f>
        <v/>
      </c>
      <c r="J266" s="20" t="n"/>
      <c r="K266" s="20" t="n"/>
      <c r="L266" s="20">
        <f>IF($C266="","",$J266+$K266)</f>
        <v/>
      </c>
      <c r="M266" s="30" t="n"/>
      <c r="N266" s="26">
        <f>IF($C266="","",IF($I266="PEN",1,IFERROR(IF(_xlfn.XLOOKUP($B266,TC_Fechas,TC_Venta_Rango,"",-1)="","",_xlfn.XLOOKUP($B266,TC_Fechas,TC_Venta_Rango,"",-1)),"")))</f>
        <v/>
      </c>
      <c r="O266" s="20">
        <f>IF(OR($C266="",$N266=""),"",ROUND($J266*$N266,2)+ROUND($K266*$N266,2))</f>
        <v/>
      </c>
      <c r="P266" s="31">
        <f>IF($G266="","",IFERROR(INDEX(Catalogo_Tasas,MATCH($G266,Catalogo_Codigos,0)),""))</f>
        <v/>
      </c>
      <c r="Q266" s="32">
        <f>IF($G266="","",IFERROR(INDEX(Catalogo_Umbrales,MATCH($G266,Catalogo_Codigos,0)),""))</f>
        <v/>
      </c>
      <c r="R266">
        <f>IF(OR($C266="",$P266="",$O266=""),"",IF($F266&lt;&gt;"FACTURA","NO",IF(AND($P266&gt;0,$O266&gt;$Q266),"SI","NO")))</f>
        <v/>
      </c>
      <c r="S266" s="20">
        <f>IF($R266="SI",ROUND($O266*$P266,2),IF($C266="","",0))</f>
        <v/>
      </c>
      <c r="T266" s="20" t="n"/>
      <c r="U266">
        <f>IF($C266="","",IF($R266&lt;&gt;"SI","",IF($T266="","SIN DATO",IF(ABS($T266-$S266)&lt;=0.5,"OK","REVISAR"))))</f>
        <v/>
      </c>
      <c r="V266" s="20" t="n"/>
      <c r="W266" s="20">
        <f>IF(OR($C266="",$N266=""),"",IF($F266="RHE",ROUND($L266-$V266,2),ROUND($L266-($S266/$N266),2)))</f>
        <v/>
      </c>
      <c r="X266" s="25" t="n"/>
      <c r="Y266" s="25" t="n"/>
    </row>
    <row r="267">
      <c r="A267" t="n">
        <v>264</v>
      </c>
      <c r="B267" s="25" t="n"/>
      <c r="D267" s="30" t="n"/>
      <c r="G267" s="30" t="n"/>
      <c r="H267">
        <f>IF($G267="","",IFERROR(INDEX(Catalogo_Etiquetas,MATCH($G267,Catalogo_Codigos,0)),"CODIGO NO VALIDO"))</f>
        <v/>
      </c>
      <c r="J267" s="20" t="n"/>
      <c r="K267" s="20" t="n"/>
      <c r="L267" s="20">
        <f>IF($C267="","",$J267+$K267)</f>
        <v/>
      </c>
      <c r="M267" s="30" t="n"/>
      <c r="N267" s="26">
        <f>IF($C267="","",IF($I267="PEN",1,IFERROR(IF(_xlfn.XLOOKUP($B267,TC_Fechas,TC_Venta_Rango,"",-1)="","",_xlfn.XLOOKUP($B267,TC_Fechas,TC_Venta_Rango,"",-1)),"")))</f>
        <v/>
      </c>
      <c r="O267" s="20">
        <f>IF(OR($C267="",$N267=""),"",ROUND($J267*$N267,2)+ROUND($K267*$N267,2))</f>
        <v/>
      </c>
      <c r="P267" s="31">
        <f>IF($G267="","",IFERROR(INDEX(Catalogo_Tasas,MATCH($G267,Catalogo_Codigos,0)),""))</f>
        <v/>
      </c>
      <c r="Q267" s="32">
        <f>IF($G267="","",IFERROR(INDEX(Catalogo_Umbrales,MATCH($G267,Catalogo_Codigos,0)),""))</f>
        <v/>
      </c>
      <c r="R267">
        <f>IF(OR($C267="",$P267="",$O267=""),"",IF($F267&lt;&gt;"FACTURA","NO",IF(AND($P267&gt;0,$O267&gt;$Q267),"SI","NO")))</f>
        <v/>
      </c>
      <c r="S267" s="20">
        <f>IF($R267="SI",ROUND($O267*$P267,2),IF($C267="","",0))</f>
        <v/>
      </c>
      <c r="T267" s="20" t="n"/>
      <c r="U267">
        <f>IF($C267="","",IF($R267&lt;&gt;"SI","",IF($T267="","SIN DATO",IF(ABS($T267-$S267)&lt;=0.5,"OK","REVISAR"))))</f>
        <v/>
      </c>
      <c r="V267" s="20" t="n"/>
      <c r="W267" s="20">
        <f>IF(OR($C267="",$N267=""),"",IF($F267="RHE",ROUND($L267-$V267,2),ROUND($L267-($S267/$N267),2)))</f>
        <v/>
      </c>
      <c r="X267" s="25" t="n"/>
      <c r="Y267" s="25" t="n"/>
    </row>
    <row r="268">
      <c r="A268" t="n">
        <v>265</v>
      </c>
      <c r="B268" s="25" t="n"/>
      <c r="D268" s="30" t="n"/>
      <c r="G268" s="30" t="n"/>
      <c r="H268">
        <f>IF($G268="","",IFERROR(INDEX(Catalogo_Etiquetas,MATCH($G268,Catalogo_Codigos,0)),"CODIGO NO VALIDO"))</f>
        <v/>
      </c>
      <c r="J268" s="20" t="n"/>
      <c r="K268" s="20" t="n"/>
      <c r="L268" s="20">
        <f>IF($C268="","",$J268+$K268)</f>
        <v/>
      </c>
      <c r="M268" s="30" t="n"/>
      <c r="N268" s="26">
        <f>IF($C268="","",IF($I268="PEN",1,IFERROR(IF(_xlfn.XLOOKUP($B268,TC_Fechas,TC_Venta_Rango,"",-1)="","",_xlfn.XLOOKUP($B268,TC_Fechas,TC_Venta_Rango,"",-1)),"")))</f>
        <v/>
      </c>
      <c r="O268" s="20">
        <f>IF(OR($C268="",$N268=""),"",ROUND($J268*$N268,2)+ROUND($K268*$N268,2))</f>
        <v/>
      </c>
      <c r="P268" s="31">
        <f>IF($G268="","",IFERROR(INDEX(Catalogo_Tasas,MATCH($G268,Catalogo_Codigos,0)),""))</f>
        <v/>
      </c>
      <c r="Q268" s="32">
        <f>IF($G268="","",IFERROR(INDEX(Catalogo_Umbrales,MATCH($G268,Catalogo_Codigos,0)),""))</f>
        <v/>
      </c>
      <c r="R268">
        <f>IF(OR($C268="",$P268="",$O268=""),"",IF($F268&lt;&gt;"FACTURA","NO",IF(AND($P268&gt;0,$O268&gt;$Q268),"SI","NO")))</f>
        <v/>
      </c>
      <c r="S268" s="20">
        <f>IF($R268="SI",ROUND($O268*$P268,2),IF($C268="","",0))</f>
        <v/>
      </c>
      <c r="T268" s="20" t="n"/>
      <c r="U268">
        <f>IF($C268="","",IF($R268&lt;&gt;"SI","",IF($T268="","SIN DATO",IF(ABS($T268-$S268)&lt;=0.5,"OK","REVISAR"))))</f>
        <v/>
      </c>
      <c r="V268" s="20" t="n"/>
      <c r="W268" s="20">
        <f>IF(OR($C268="",$N268=""),"",IF($F268="RHE",ROUND($L268-$V268,2),ROUND($L268-($S268/$N268),2)))</f>
        <v/>
      </c>
      <c r="X268" s="25" t="n"/>
      <c r="Y268" s="25" t="n"/>
    </row>
    <row r="269">
      <c r="A269" t="n">
        <v>266</v>
      </c>
      <c r="B269" s="25" t="n"/>
      <c r="D269" s="30" t="n"/>
      <c r="G269" s="30" t="n"/>
      <c r="H269">
        <f>IF($G269="","",IFERROR(INDEX(Catalogo_Etiquetas,MATCH($G269,Catalogo_Codigos,0)),"CODIGO NO VALIDO"))</f>
        <v/>
      </c>
      <c r="J269" s="20" t="n"/>
      <c r="K269" s="20" t="n"/>
      <c r="L269" s="20">
        <f>IF($C269="","",$J269+$K269)</f>
        <v/>
      </c>
      <c r="M269" s="30" t="n"/>
      <c r="N269" s="26">
        <f>IF($C269="","",IF($I269="PEN",1,IFERROR(IF(_xlfn.XLOOKUP($B269,TC_Fechas,TC_Venta_Rango,"",-1)="","",_xlfn.XLOOKUP($B269,TC_Fechas,TC_Venta_Rango,"",-1)),"")))</f>
        <v/>
      </c>
      <c r="O269" s="20">
        <f>IF(OR($C269="",$N269=""),"",ROUND($J269*$N269,2)+ROUND($K269*$N269,2))</f>
        <v/>
      </c>
      <c r="P269" s="31">
        <f>IF($G269="","",IFERROR(INDEX(Catalogo_Tasas,MATCH($G269,Catalogo_Codigos,0)),""))</f>
        <v/>
      </c>
      <c r="Q269" s="32">
        <f>IF($G269="","",IFERROR(INDEX(Catalogo_Umbrales,MATCH($G269,Catalogo_Codigos,0)),""))</f>
        <v/>
      </c>
      <c r="R269">
        <f>IF(OR($C269="",$P269="",$O269=""),"",IF($F269&lt;&gt;"FACTURA","NO",IF(AND($P269&gt;0,$O269&gt;$Q269),"SI","NO")))</f>
        <v/>
      </c>
      <c r="S269" s="20">
        <f>IF($R269="SI",ROUND($O269*$P269,2),IF($C269="","",0))</f>
        <v/>
      </c>
      <c r="T269" s="20" t="n"/>
      <c r="U269">
        <f>IF($C269="","",IF($R269&lt;&gt;"SI","",IF($T269="","SIN DATO",IF(ABS($T269-$S269)&lt;=0.5,"OK","REVISAR"))))</f>
        <v/>
      </c>
      <c r="V269" s="20" t="n"/>
      <c r="W269" s="20">
        <f>IF(OR($C269="",$N269=""),"",IF($F269="RHE",ROUND($L269-$V269,2),ROUND($L269-($S269/$N269),2)))</f>
        <v/>
      </c>
      <c r="X269" s="25" t="n"/>
      <c r="Y269" s="25" t="n"/>
    </row>
    <row r="270">
      <c r="A270" t="n">
        <v>267</v>
      </c>
      <c r="B270" s="25" t="n"/>
      <c r="D270" s="30" t="n"/>
      <c r="G270" s="30" t="n"/>
      <c r="H270">
        <f>IF($G270="","",IFERROR(INDEX(Catalogo_Etiquetas,MATCH($G270,Catalogo_Codigos,0)),"CODIGO NO VALIDO"))</f>
        <v/>
      </c>
      <c r="J270" s="20" t="n"/>
      <c r="K270" s="20" t="n"/>
      <c r="L270" s="20">
        <f>IF($C270="","",$J270+$K270)</f>
        <v/>
      </c>
      <c r="M270" s="30" t="n"/>
      <c r="N270" s="26">
        <f>IF($C270="","",IF($I270="PEN",1,IFERROR(IF(_xlfn.XLOOKUP($B270,TC_Fechas,TC_Venta_Rango,"",-1)="","",_xlfn.XLOOKUP($B270,TC_Fechas,TC_Venta_Rango,"",-1)),"")))</f>
        <v/>
      </c>
      <c r="O270" s="20">
        <f>IF(OR($C270="",$N270=""),"",ROUND($J270*$N270,2)+ROUND($K270*$N270,2))</f>
        <v/>
      </c>
      <c r="P270" s="31">
        <f>IF($G270="","",IFERROR(INDEX(Catalogo_Tasas,MATCH($G270,Catalogo_Codigos,0)),""))</f>
        <v/>
      </c>
      <c r="Q270" s="32">
        <f>IF($G270="","",IFERROR(INDEX(Catalogo_Umbrales,MATCH($G270,Catalogo_Codigos,0)),""))</f>
        <v/>
      </c>
      <c r="R270">
        <f>IF(OR($C270="",$P270="",$O270=""),"",IF($F270&lt;&gt;"FACTURA","NO",IF(AND($P270&gt;0,$O270&gt;$Q270),"SI","NO")))</f>
        <v/>
      </c>
      <c r="S270" s="20">
        <f>IF($R270="SI",ROUND($O270*$P270,2),IF($C270="","",0))</f>
        <v/>
      </c>
      <c r="T270" s="20" t="n"/>
      <c r="U270">
        <f>IF($C270="","",IF($R270&lt;&gt;"SI","",IF($T270="","SIN DATO",IF(ABS($T270-$S270)&lt;=0.5,"OK","REVISAR"))))</f>
        <v/>
      </c>
      <c r="V270" s="20" t="n"/>
      <c r="W270" s="20">
        <f>IF(OR($C270="",$N270=""),"",IF($F270="RHE",ROUND($L270-$V270,2),ROUND($L270-($S270/$N270),2)))</f>
        <v/>
      </c>
      <c r="X270" s="25" t="n"/>
      <c r="Y270" s="25" t="n"/>
    </row>
    <row r="271">
      <c r="A271" t="n">
        <v>268</v>
      </c>
      <c r="B271" s="25" t="n"/>
      <c r="D271" s="30" t="n"/>
      <c r="G271" s="30" t="n"/>
      <c r="H271">
        <f>IF($G271="","",IFERROR(INDEX(Catalogo_Etiquetas,MATCH($G271,Catalogo_Codigos,0)),"CODIGO NO VALIDO"))</f>
        <v/>
      </c>
      <c r="J271" s="20" t="n"/>
      <c r="K271" s="20" t="n"/>
      <c r="L271" s="20">
        <f>IF($C271="","",$J271+$K271)</f>
        <v/>
      </c>
      <c r="M271" s="30" t="n"/>
      <c r="N271" s="26">
        <f>IF($C271="","",IF($I271="PEN",1,IFERROR(IF(_xlfn.XLOOKUP($B271,TC_Fechas,TC_Venta_Rango,"",-1)="","",_xlfn.XLOOKUP($B271,TC_Fechas,TC_Venta_Rango,"",-1)),"")))</f>
        <v/>
      </c>
      <c r="O271" s="20">
        <f>IF(OR($C271="",$N271=""),"",ROUND($J271*$N271,2)+ROUND($K271*$N271,2))</f>
        <v/>
      </c>
      <c r="P271" s="31">
        <f>IF($G271="","",IFERROR(INDEX(Catalogo_Tasas,MATCH($G271,Catalogo_Codigos,0)),""))</f>
        <v/>
      </c>
      <c r="Q271" s="32">
        <f>IF($G271="","",IFERROR(INDEX(Catalogo_Umbrales,MATCH($G271,Catalogo_Codigos,0)),""))</f>
        <v/>
      </c>
      <c r="R271">
        <f>IF(OR($C271="",$P271="",$O271=""),"",IF($F271&lt;&gt;"FACTURA","NO",IF(AND($P271&gt;0,$O271&gt;$Q271),"SI","NO")))</f>
        <v/>
      </c>
      <c r="S271" s="20">
        <f>IF($R271="SI",ROUND($O271*$P271,2),IF($C271="","",0))</f>
        <v/>
      </c>
      <c r="T271" s="20" t="n"/>
      <c r="U271">
        <f>IF($C271="","",IF($R271&lt;&gt;"SI","",IF($T271="","SIN DATO",IF(ABS($T271-$S271)&lt;=0.5,"OK","REVISAR"))))</f>
        <v/>
      </c>
      <c r="V271" s="20" t="n"/>
      <c r="W271" s="20">
        <f>IF(OR($C271="",$N271=""),"",IF($F271="RHE",ROUND($L271-$V271,2),ROUND($L271-($S271/$N271),2)))</f>
        <v/>
      </c>
      <c r="X271" s="25" t="n"/>
      <c r="Y271" s="25" t="n"/>
    </row>
    <row r="272">
      <c r="A272" t="n">
        <v>269</v>
      </c>
      <c r="B272" s="25" t="n"/>
      <c r="D272" s="30" t="n"/>
      <c r="G272" s="30" t="n"/>
      <c r="H272">
        <f>IF($G272="","",IFERROR(INDEX(Catalogo_Etiquetas,MATCH($G272,Catalogo_Codigos,0)),"CODIGO NO VALIDO"))</f>
        <v/>
      </c>
      <c r="J272" s="20" t="n"/>
      <c r="K272" s="20" t="n"/>
      <c r="L272" s="20">
        <f>IF($C272="","",$J272+$K272)</f>
        <v/>
      </c>
      <c r="M272" s="30" t="n"/>
      <c r="N272" s="26">
        <f>IF($C272="","",IF($I272="PEN",1,IFERROR(IF(_xlfn.XLOOKUP($B272,TC_Fechas,TC_Venta_Rango,"",-1)="","",_xlfn.XLOOKUP($B272,TC_Fechas,TC_Venta_Rango,"",-1)),"")))</f>
        <v/>
      </c>
      <c r="O272" s="20">
        <f>IF(OR($C272="",$N272=""),"",ROUND($J272*$N272,2)+ROUND($K272*$N272,2))</f>
        <v/>
      </c>
      <c r="P272" s="31">
        <f>IF($G272="","",IFERROR(INDEX(Catalogo_Tasas,MATCH($G272,Catalogo_Codigos,0)),""))</f>
        <v/>
      </c>
      <c r="Q272" s="32">
        <f>IF($G272="","",IFERROR(INDEX(Catalogo_Umbrales,MATCH($G272,Catalogo_Codigos,0)),""))</f>
        <v/>
      </c>
      <c r="R272">
        <f>IF(OR($C272="",$P272="",$O272=""),"",IF($F272&lt;&gt;"FACTURA","NO",IF(AND($P272&gt;0,$O272&gt;$Q272),"SI","NO")))</f>
        <v/>
      </c>
      <c r="S272" s="20">
        <f>IF($R272="SI",ROUND($O272*$P272,2),IF($C272="","",0))</f>
        <v/>
      </c>
      <c r="T272" s="20" t="n"/>
      <c r="U272">
        <f>IF($C272="","",IF($R272&lt;&gt;"SI","",IF($T272="","SIN DATO",IF(ABS($T272-$S272)&lt;=0.5,"OK","REVISAR"))))</f>
        <v/>
      </c>
      <c r="V272" s="20" t="n"/>
      <c r="W272" s="20">
        <f>IF(OR($C272="",$N272=""),"",IF($F272="RHE",ROUND($L272-$V272,2),ROUND($L272-($S272/$N272),2)))</f>
        <v/>
      </c>
      <c r="X272" s="25" t="n"/>
      <c r="Y272" s="25" t="n"/>
    </row>
    <row r="273">
      <c r="A273" t="n">
        <v>270</v>
      </c>
      <c r="B273" s="25" t="n"/>
      <c r="D273" s="30" t="n"/>
      <c r="G273" s="30" t="n"/>
      <c r="H273">
        <f>IF($G273="","",IFERROR(INDEX(Catalogo_Etiquetas,MATCH($G273,Catalogo_Codigos,0)),"CODIGO NO VALIDO"))</f>
        <v/>
      </c>
      <c r="J273" s="20" t="n"/>
      <c r="K273" s="20" t="n"/>
      <c r="L273" s="20">
        <f>IF($C273="","",$J273+$K273)</f>
        <v/>
      </c>
      <c r="M273" s="30" t="n"/>
      <c r="N273" s="26">
        <f>IF($C273="","",IF($I273="PEN",1,IFERROR(IF(_xlfn.XLOOKUP($B273,TC_Fechas,TC_Venta_Rango,"",-1)="","",_xlfn.XLOOKUP($B273,TC_Fechas,TC_Venta_Rango,"",-1)),"")))</f>
        <v/>
      </c>
      <c r="O273" s="20">
        <f>IF(OR($C273="",$N273=""),"",ROUND($J273*$N273,2)+ROUND($K273*$N273,2))</f>
        <v/>
      </c>
      <c r="P273" s="31">
        <f>IF($G273="","",IFERROR(INDEX(Catalogo_Tasas,MATCH($G273,Catalogo_Codigos,0)),""))</f>
        <v/>
      </c>
      <c r="Q273" s="32">
        <f>IF($G273="","",IFERROR(INDEX(Catalogo_Umbrales,MATCH($G273,Catalogo_Codigos,0)),""))</f>
        <v/>
      </c>
      <c r="R273">
        <f>IF(OR($C273="",$P273="",$O273=""),"",IF($F273&lt;&gt;"FACTURA","NO",IF(AND($P273&gt;0,$O273&gt;$Q273),"SI","NO")))</f>
        <v/>
      </c>
      <c r="S273" s="20">
        <f>IF($R273="SI",ROUND($O273*$P273,2),IF($C273="","",0))</f>
        <v/>
      </c>
      <c r="T273" s="20" t="n"/>
      <c r="U273">
        <f>IF($C273="","",IF($R273&lt;&gt;"SI","",IF($T273="","SIN DATO",IF(ABS($T273-$S273)&lt;=0.5,"OK","REVISAR"))))</f>
        <v/>
      </c>
      <c r="V273" s="20" t="n"/>
      <c r="W273" s="20">
        <f>IF(OR($C273="",$N273=""),"",IF($F273="RHE",ROUND($L273-$V273,2),ROUND($L273-($S273/$N273),2)))</f>
        <v/>
      </c>
      <c r="X273" s="25" t="n"/>
      <c r="Y273" s="25" t="n"/>
    </row>
    <row r="274">
      <c r="A274" t="n">
        <v>271</v>
      </c>
      <c r="B274" s="25" t="n"/>
      <c r="D274" s="30" t="n"/>
      <c r="G274" s="30" t="n"/>
      <c r="H274">
        <f>IF($G274="","",IFERROR(INDEX(Catalogo_Etiquetas,MATCH($G274,Catalogo_Codigos,0)),"CODIGO NO VALIDO"))</f>
        <v/>
      </c>
      <c r="J274" s="20" t="n"/>
      <c r="K274" s="20" t="n"/>
      <c r="L274" s="20">
        <f>IF($C274="","",$J274+$K274)</f>
        <v/>
      </c>
      <c r="M274" s="30" t="n"/>
      <c r="N274" s="26">
        <f>IF($C274="","",IF($I274="PEN",1,IFERROR(IF(_xlfn.XLOOKUP($B274,TC_Fechas,TC_Venta_Rango,"",-1)="","",_xlfn.XLOOKUP($B274,TC_Fechas,TC_Venta_Rango,"",-1)),"")))</f>
        <v/>
      </c>
      <c r="O274" s="20">
        <f>IF(OR($C274="",$N274=""),"",ROUND($J274*$N274,2)+ROUND($K274*$N274,2))</f>
        <v/>
      </c>
      <c r="P274" s="31">
        <f>IF($G274="","",IFERROR(INDEX(Catalogo_Tasas,MATCH($G274,Catalogo_Codigos,0)),""))</f>
        <v/>
      </c>
      <c r="Q274" s="32">
        <f>IF($G274="","",IFERROR(INDEX(Catalogo_Umbrales,MATCH($G274,Catalogo_Codigos,0)),""))</f>
        <v/>
      </c>
      <c r="R274">
        <f>IF(OR($C274="",$P274="",$O274=""),"",IF($F274&lt;&gt;"FACTURA","NO",IF(AND($P274&gt;0,$O274&gt;$Q274),"SI","NO")))</f>
        <v/>
      </c>
      <c r="S274" s="20">
        <f>IF($R274="SI",ROUND($O274*$P274,2),IF($C274="","",0))</f>
        <v/>
      </c>
      <c r="T274" s="20" t="n"/>
      <c r="U274">
        <f>IF($C274="","",IF($R274&lt;&gt;"SI","",IF($T274="","SIN DATO",IF(ABS($T274-$S274)&lt;=0.5,"OK","REVISAR"))))</f>
        <v/>
      </c>
      <c r="V274" s="20" t="n"/>
      <c r="W274" s="20">
        <f>IF(OR($C274="",$N274=""),"",IF($F274="RHE",ROUND($L274-$V274,2),ROUND($L274-($S274/$N274),2)))</f>
        <v/>
      </c>
      <c r="X274" s="25" t="n"/>
      <c r="Y274" s="25" t="n"/>
    </row>
    <row r="275">
      <c r="A275" t="n">
        <v>272</v>
      </c>
      <c r="B275" s="25" t="n"/>
      <c r="D275" s="30" t="n"/>
      <c r="G275" s="30" t="n"/>
      <c r="H275">
        <f>IF($G275="","",IFERROR(INDEX(Catalogo_Etiquetas,MATCH($G275,Catalogo_Codigos,0)),"CODIGO NO VALIDO"))</f>
        <v/>
      </c>
      <c r="J275" s="20" t="n"/>
      <c r="K275" s="20" t="n"/>
      <c r="L275" s="20">
        <f>IF($C275="","",$J275+$K275)</f>
        <v/>
      </c>
      <c r="M275" s="30" t="n"/>
      <c r="N275" s="26">
        <f>IF($C275="","",IF($I275="PEN",1,IFERROR(IF(_xlfn.XLOOKUP($B275,TC_Fechas,TC_Venta_Rango,"",-1)="","",_xlfn.XLOOKUP($B275,TC_Fechas,TC_Venta_Rango,"",-1)),"")))</f>
        <v/>
      </c>
      <c r="O275" s="20">
        <f>IF(OR($C275="",$N275=""),"",ROUND($J275*$N275,2)+ROUND($K275*$N275,2))</f>
        <v/>
      </c>
      <c r="P275" s="31">
        <f>IF($G275="","",IFERROR(INDEX(Catalogo_Tasas,MATCH($G275,Catalogo_Codigos,0)),""))</f>
        <v/>
      </c>
      <c r="Q275" s="32">
        <f>IF($G275="","",IFERROR(INDEX(Catalogo_Umbrales,MATCH($G275,Catalogo_Codigos,0)),""))</f>
        <v/>
      </c>
      <c r="R275">
        <f>IF(OR($C275="",$P275="",$O275=""),"",IF($F275&lt;&gt;"FACTURA","NO",IF(AND($P275&gt;0,$O275&gt;$Q275),"SI","NO")))</f>
        <v/>
      </c>
      <c r="S275" s="20">
        <f>IF($R275="SI",ROUND($O275*$P275,2),IF($C275="","",0))</f>
        <v/>
      </c>
      <c r="T275" s="20" t="n"/>
      <c r="U275">
        <f>IF($C275="","",IF($R275&lt;&gt;"SI","",IF($T275="","SIN DATO",IF(ABS($T275-$S275)&lt;=0.5,"OK","REVISAR"))))</f>
        <v/>
      </c>
      <c r="V275" s="20" t="n"/>
      <c r="W275" s="20">
        <f>IF(OR($C275="",$N275=""),"",IF($F275="RHE",ROUND($L275-$V275,2),ROUND($L275-($S275/$N275),2)))</f>
        <v/>
      </c>
      <c r="X275" s="25" t="n"/>
      <c r="Y275" s="25" t="n"/>
    </row>
    <row r="276">
      <c r="A276" t="n">
        <v>273</v>
      </c>
      <c r="B276" s="25" t="n"/>
      <c r="D276" s="30" t="n"/>
      <c r="G276" s="30" t="n"/>
      <c r="H276">
        <f>IF($G276="","",IFERROR(INDEX(Catalogo_Etiquetas,MATCH($G276,Catalogo_Codigos,0)),"CODIGO NO VALIDO"))</f>
        <v/>
      </c>
      <c r="J276" s="20" t="n"/>
      <c r="K276" s="20" t="n"/>
      <c r="L276" s="20">
        <f>IF($C276="","",$J276+$K276)</f>
        <v/>
      </c>
      <c r="M276" s="30" t="n"/>
      <c r="N276" s="26">
        <f>IF($C276="","",IF($I276="PEN",1,IFERROR(IF(_xlfn.XLOOKUP($B276,TC_Fechas,TC_Venta_Rango,"",-1)="","",_xlfn.XLOOKUP($B276,TC_Fechas,TC_Venta_Rango,"",-1)),"")))</f>
        <v/>
      </c>
      <c r="O276" s="20">
        <f>IF(OR($C276="",$N276=""),"",ROUND($J276*$N276,2)+ROUND($K276*$N276,2))</f>
        <v/>
      </c>
      <c r="P276" s="31">
        <f>IF($G276="","",IFERROR(INDEX(Catalogo_Tasas,MATCH($G276,Catalogo_Codigos,0)),""))</f>
        <v/>
      </c>
      <c r="Q276" s="32">
        <f>IF($G276="","",IFERROR(INDEX(Catalogo_Umbrales,MATCH($G276,Catalogo_Codigos,0)),""))</f>
        <v/>
      </c>
      <c r="R276">
        <f>IF(OR($C276="",$P276="",$O276=""),"",IF($F276&lt;&gt;"FACTURA","NO",IF(AND($P276&gt;0,$O276&gt;$Q276),"SI","NO")))</f>
        <v/>
      </c>
      <c r="S276" s="20">
        <f>IF($R276="SI",ROUND($O276*$P276,2),IF($C276="","",0))</f>
        <v/>
      </c>
      <c r="T276" s="20" t="n"/>
      <c r="U276">
        <f>IF($C276="","",IF($R276&lt;&gt;"SI","",IF($T276="","SIN DATO",IF(ABS($T276-$S276)&lt;=0.5,"OK","REVISAR"))))</f>
        <v/>
      </c>
      <c r="V276" s="20" t="n"/>
      <c r="W276" s="20">
        <f>IF(OR($C276="",$N276=""),"",IF($F276="RHE",ROUND($L276-$V276,2),ROUND($L276-($S276/$N276),2)))</f>
        <v/>
      </c>
      <c r="X276" s="25" t="n"/>
      <c r="Y276" s="25" t="n"/>
    </row>
    <row r="277">
      <c r="A277" t="n">
        <v>274</v>
      </c>
      <c r="B277" s="25" t="n"/>
      <c r="D277" s="30" t="n"/>
      <c r="G277" s="30" t="n"/>
      <c r="H277">
        <f>IF($G277="","",IFERROR(INDEX(Catalogo_Etiquetas,MATCH($G277,Catalogo_Codigos,0)),"CODIGO NO VALIDO"))</f>
        <v/>
      </c>
      <c r="J277" s="20" t="n"/>
      <c r="K277" s="20" t="n"/>
      <c r="L277" s="20">
        <f>IF($C277="","",$J277+$K277)</f>
        <v/>
      </c>
      <c r="M277" s="30" t="n"/>
      <c r="N277" s="26">
        <f>IF($C277="","",IF($I277="PEN",1,IFERROR(IF(_xlfn.XLOOKUP($B277,TC_Fechas,TC_Venta_Rango,"",-1)="","",_xlfn.XLOOKUP($B277,TC_Fechas,TC_Venta_Rango,"",-1)),"")))</f>
        <v/>
      </c>
      <c r="O277" s="20">
        <f>IF(OR($C277="",$N277=""),"",ROUND($J277*$N277,2)+ROUND($K277*$N277,2))</f>
        <v/>
      </c>
      <c r="P277" s="31">
        <f>IF($G277="","",IFERROR(INDEX(Catalogo_Tasas,MATCH($G277,Catalogo_Codigos,0)),""))</f>
        <v/>
      </c>
      <c r="Q277" s="32">
        <f>IF($G277="","",IFERROR(INDEX(Catalogo_Umbrales,MATCH($G277,Catalogo_Codigos,0)),""))</f>
        <v/>
      </c>
      <c r="R277">
        <f>IF(OR($C277="",$P277="",$O277=""),"",IF($F277&lt;&gt;"FACTURA","NO",IF(AND($P277&gt;0,$O277&gt;$Q277),"SI","NO")))</f>
        <v/>
      </c>
      <c r="S277" s="20">
        <f>IF($R277="SI",ROUND($O277*$P277,2),IF($C277="","",0))</f>
        <v/>
      </c>
      <c r="T277" s="20" t="n"/>
      <c r="U277">
        <f>IF($C277="","",IF($R277&lt;&gt;"SI","",IF($T277="","SIN DATO",IF(ABS($T277-$S277)&lt;=0.5,"OK","REVISAR"))))</f>
        <v/>
      </c>
      <c r="V277" s="20" t="n"/>
      <c r="W277" s="20">
        <f>IF(OR($C277="",$N277=""),"",IF($F277="RHE",ROUND($L277-$V277,2),ROUND($L277-($S277/$N277),2)))</f>
        <v/>
      </c>
      <c r="X277" s="25" t="n"/>
      <c r="Y277" s="25" t="n"/>
    </row>
    <row r="278">
      <c r="A278" t="n">
        <v>275</v>
      </c>
      <c r="B278" s="25" t="n"/>
      <c r="D278" s="30" t="n"/>
      <c r="G278" s="30" t="n"/>
      <c r="H278">
        <f>IF($G278="","",IFERROR(INDEX(Catalogo_Etiquetas,MATCH($G278,Catalogo_Codigos,0)),"CODIGO NO VALIDO"))</f>
        <v/>
      </c>
      <c r="J278" s="20" t="n"/>
      <c r="K278" s="20" t="n"/>
      <c r="L278" s="20">
        <f>IF($C278="","",$J278+$K278)</f>
        <v/>
      </c>
      <c r="M278" s="30" t="n"/>
      <c r="N278" s="26">
        <f>IF($C278="","",IF($I278="PEN",1,IFERROR(IF(_xlfn.XLOOKUP($B278,TC_Fechas,TC_Venta_Rango,"",-1)="","",_xlfn.XLOOKUP($B278,TC_Fechas,TC_Venta_Rango,"",-1)),"")))</f>
        <v/>
      </c>
      <c r="O278" s="20">
        <f>IF(OR($C278="",$N278=""),"",ROUND($J278*$N278,2)+ROUND($K278*$N278,2))</f>
        <v/>
      </c>
      <c r="P278" s="31">
        <f>IF($G278="","",IFERROR(INDEX(Catalogo_Tasas,MATCH($G278,Catalogo_Codigos,0)),""))</f>
        <v/>
      </c>
      <c r="Q278" s="32">
        <f>IF($G278="","",IFERROR(INDEX(Catalogo_Umbrales,MATCH($G278,Catalogo_Codigos,0)),""))</f>
        <v/>
      </c>
      <c r="R278">
        <f>IF(OR($C278="",$P278="",$O278=""),"",IF($F278&lt;&gt;"FACTURA","NO",IF(AND($P278&gt;0,$O278&gt;$Q278),"SI","NO")))</f>
        <v/>
      </c>
      <c r="S278" s="20">
        <f>IF($R278="SI",ROUND($O278*$P278,2),IF($C278="","",0))</f>
        <v/>
      </c>
      <c r="T278" s="20" t="n"/>
      <c r="U278">
        <f>IF($C278="","",IF($R278&lt;&gt;"SI","",IF($T278="","SIN DATO",IF(ABS($T278-$S278)&lt;=0.5,"OK","REVISAR"))))</f>
        <v/>
      </c>
      <c r="V278" s="20" t="n"/>
      <c r="W278" s="20">
        <f>IF(OR($C278="",$N278=""),"",IF($F278="RHE",ROUND($L278-$V278,2),ROUND($L278-($S278/$N278),2)))</f>
        <v/>
      </c>
      <c r="X278" s="25" t="n"/>
      <c r="Y278" s="25" t="n"/>
    </row>
    <row r="279">
      <c r="A279" t="n">
        <v>276</v>
      </c>
      <c r="B279" s="25" t="n"/>
      <c r="D279" s="30" t="n"/>
      <c r="G279" s="30" t="n"/>
      <c r="H279">
        <f>IF($G279="","",IFERROR(INDEX(Catalogo_Etiquetas,MATCH($G279,Catalogo_Codigos,0)),"CODIGO NO VALIDO"))</f>
        <v/>
      </c>
      <c r="J279" s="20" t="n"/>
      <c r="K279" s="20" t="n"/>
      <c r="L279" s="20">
        <f>IF($C279="","",$J279+$K279)</f>
        <v/>
      </c>
      <c r="M279" s="30" t="n"/>
      <c r="N279" s="26">
        <f>IF($C279="","",IF($I279="PEN",1,IFERROR(IF(_xlfn.XLOOKUP($B279,TC_Fechas,TC_Venta_Rango,"",-1)="","",_xlfn.XLOOKUP($B279,TC_Fechas,TC_Venta_Rango,"",-1)),"")))</f>
        <v/>
      </c>
      <c r="O279" s="20">
        <f>IF(OR($C279="",$N279=""),"",ROUND($J279*$N279,2)+ROUND($K279*$N279,2))</f>
        <v/>
      </c>
      <c r="P279" s="31">
        <f>IF($G279="","",IFERROR(INDEX(Catalogo_Tasas,MATCH($G279,Catalogo_Codigos,0)),""))</f>
        <v/>
      </c>
      <c r="Q279" s="32">
        <f>IF($G279="","",IFERROR(INDEX(Catalogo_Umbrales,MATCH($G279,Catalogo_Codigos,0)),""))</f>
        <v/>
      </c>
      <c r="R279">
        <f>IF(OR($C279="",$P279="",$O279=""),"",IF($F279&lt;&gt;"FACTURA","NO",IF(AND($P279&gt;0,$O279&gt;$Q279),"SI","NO")))</f>
        <v/>
      </c>
      <c r="S279" s="20">
        <f>IF($R279="SI",ROUND($O279*$P279,2),IF($C279="","",0))</f>
        <v/>
      </c>
      <c r="T279" s="20" t="n"/>
      <c r="U279">
        <f>IF($C279="","",IF($R279&lt;&gt;"SI","",IF($T279="","SIN DATO",IF(ABS($T279-$S279)&lt;=0.5,"OK","REVISAR"))))</f>
        <v/>
      </c>
      <c r="V279" s="20" t="n"/>
      <c r="W279" s="20">
        <f>IF(OR($C279="",$N279=""),"",IF($F279="RHE",ROUND($L279-$V279,2),ROUND($L279-($S279/$N279),2)))</f>
        <v/>
      </c>
      <c r="X279" s="25" t="n"/>
      <c r="Y279" s="25" t="n"/>
    </row>
    <row r="280">
      <c r="A280" t="n">
        <v>277</v>
      </c>
      <c r="B280" s="25" t="n"/>
      <c r="D280" s="30" t="n"/>
      <c r="G280" s="30" t="n"/>
      <c r="H280">
        <f>IF($G280="","",IFERROR(INDEX(Catalogo_Etiquetas,MATCH($G280,Catalogo_Codigos,0)),"CODIGO NO VALIDO"))</f>
        <v/>
      </c>
      <c r="J280" s="20" t="n"/>
      <c r="K280" s="20" t="n"/>
      <c r="L280" s="20">
        <f>IF($C280="","",$J280+$K280)</f>
        <v/>
      </c>
      <c r="M280" s="30" t="n"/>
      <c r="N280" s="26">
        <f>IF($C280="","",IF($I280="PEN",1,IFERROR(IF(_xlfn.XLOOKUP($B280,TC_Fechas,TC_Venta_Rango,"",-1)="","",_xlfn.XLOOKUP($B280,TC_Fechas,TC_Venta_Rango,"",-1)),"")))</f>
        <v/>
      </c>
      <c r="O280" s="20">
        <f>IF(OR($C280="",$N280=""),"",ROUND($J280*$N280,2)+ROUND($K280*$N280,2))</f>
        <v/>
      </c>
      <c r="P280" s="31">
        <f>IF($G280="","",IFERROR(INDEX(Catalogo_Tasas,MATCH($G280,Catalogo_Codigos,0)),""))</f>
        <v/>
      </c>
      <c r="Q280" s="32">
        <f>IF($G280="","",IFERROR(INDEX(Catalogo_Umbrales,MATCH($G280,Catalogo_Codigos,0)),""))</f>
        <v/>
      </c>
      <c r="R280">
        <f>IF(OR($C280="",$P280="",$O280=""),"",IF($F280&lt;&gt;"FACTURA","NO",IF(AND($P280&gt;0,$O280&gt;$Q280),"SI","NO")))</f>
        <v/>
      </c>
      <c r="S280" s="20">
        <f>IF($R280="SI",ROUND($O280*$P280,2),IF($C280="","",0))</f>
        <v/>
      </c>
      <c r="T280" s="20" t="n"/>
      <c r="U280">
        <f>IF($C280="","",IF($R280&lt;&gt;"SI","",IF($T280="","SIN DATO",IF(ABS($T280-$S280)&lt;=0.5,"OK","REVISAR"))))</f>
        <v/>
      </c>
      <c r="V280" s="20" t="n"/>
      <c r="W280" s="20">
        <f>IF(OR($C280="",$N280=""),"",IF($F280="RHE",ROUND($L280-$V280,2),ROUND($L280-($S280/$N280),2)))</f>
        <v/>
      </c>
      <c r="X280" s="25" t="n"/>
      <c r="Y280" s="25" t="n"/>
    </row>
    <row r="281">
      <c r="A281" t="n">
        <v>278</v>
      </c>
      <c r="B281" s="25" t="n"/>
      <c r="D281" s="30" t="n"/>
      <c r="G281" s="30" t="n"/>
      <c r="H281">
        <f>IF($G281="","",IFERROR(INDEX(Catalogo_Etiquetas,MATCH($G281,Catalogo_Codigos,0)),"CODIGO NO VALIDO"))</f>
        <v/>
      </c>
      <c r="J281" s="20" t="n"/>
      <c r="K281" s="20" t="n"/>
      <c r="L281" s="20">
        <f>IF($C281="","",$J281+$K281)</f>
        <v/>
      </c>
      <c r="M281" s="30" t="n"/>
      <c r="N281" s="26">
        <f>IF($C281="","",IF($I281="PEN",1,IFERROR(IF(_xlfn.XLOOKUP($B281,TC_Fechas,TC_Venta_Rango,"",-1)="","",_xlfn.XLOOKUP($B281,TC_Fechas,TC_Venta_Rango,"",-1)),"")))</f>
        <v/>
      </c>
      <c r="O281" s="20">
        <f>IF(OR($C281="",$N281=""),"",ROUND($J281*$N281,2)+ROUND($K281*$N281,2))</f>
        <v/>
      </c>
      <c r="P281" s="31">
        <f>IF($G281="","",IFERROR(INDEX(Catalogo_Tasas,MATCH($G281,Catalogo_Codigos,0)),""))</f>
        <v/>
      </c>
      <c r="Q281" s="32">
        <f>IF($G281="","",IFERROR(INDEX(Catalogo_Umbrales,MATCH($G281,Catalogo_Codigos,0)),""))</f>
        <v/>
      </c>
      <c r="R281">
        <f>IF(OR($C281="",$P281="",$O281=""),"",IF($F281&lt;&gt;"FACTURA","NO",IF(AND($P281&gt;0,$O281&gt;$Q281),"SI","NO")))</f>
        <v/>
      </c>
      <c r="S281" s="20">
        <f>IF($R281="SI",ROUND($O281*$P281,2),IF($C281="","",0))</f>
        <v/>
      </c>
      <c r="T281" s="20" t="n"/>
      <c r="U281">
        <f>IF($C281="","",IF($R281&lt;&gt;"SI","",IF($T281="","SIN DATO",IF(ABS($T281-$S281)&lt;=0.5,"OK","REVISAR"))))</f>
        <v/>
      </c>
      <c r="V281" s="20" t="n"/>
      <c r="W281" s="20">
        <f>IF(OR($C281="",$N281=""),"",IF($F281="RHE",ROUND($L281-$V281,2),ROUND($L281-($S281/$N281),2)))</f>
        <v/>
      </c>
      <c r="X281" s="25" t="n"/>
      <c r="Y281" s="25" t="n"/>
    </row>
    <row r="282">
      <c r="A282" t="n">
        <v>279</v>
      </c>
      <c r="B282" s="25" t="n"/>
      <c r="D282" s="30" t="n"/>
      <c r="G282" s="30" t="n"/>
      <c r="H282">
        <f>IF($G282="","",IFERROR(INDEX(Catalogo_Etiquetas,MATCH($G282,Catalogo_Codigos,0)),"CODIGO NO VALIDO"))</f>
        <v/>
      </c>
      <c r="J282" s="20" t="n"/>
      <c r="K282" s="20" t="n"/>
      <c r="L282" s="20">
        <f>IF($C282="","",$J282+$K282)</f>
        <v/>
      </c>
      <c r="M282" s="30" t="n"/>
      <c r="N282" s="26">
        <f>IF($C282="","",IF($I282="PEN",1,IFERROR(IF(_xlfn.XLOOKUP($B282,TC_Fechas,TC_Venta_Rango,"",-1)="","",_xlfn.XLOOKUP($B282,TC_Fechas,TC_Venta_Rango,"",-1)),"")))</f>
        <v/>
      </c>
      <c r="O282" s="20">
        <f>IF(OR($C282="",$N282=""),"",ROUND($J282*$N282,2)+ROUND($K282*$N282,2))</f>
        <v/>
      </c>
      <c r="P282" s="31">
        <f>IF($G282="","",IFERROR(INDEX(Catalogo_Tasas,MATCH($G282,Catalogo_Codigos,0)),""))</f>
        <v/>
      </c>
      <c r="Q282" s="32">
        <f>IF($G282="","",IFERROR(INDEX(Catalogo_Umbrales,MATCH($G282,Catalogo_Codigos,0)),""))</f>
        <v/>
      </c>
      <c r="R282">
        <f>IF(OR($C282="",$P282="",$O282=""),"",IF($F282&lt;&gt;"FACTURA","NO",IF(AND($P282&gt;0,$O282&gt;$Q282),"SI","NO")))</f>
        <v/>
      </c>
      <c r="S282" s="20">
        <f>IF($R282="SI",ROUND($O282*$P282,2),IF($C282="","",0))</f>
        <v/>
      </c>
      <c r="T282" s="20" t="n"/>
      <c r="U282">
        <f>IF($C282="","",IF($R282&lt;&gt;"SI","",IF($T282="","SIN DATO",IF(ABS($T282-$S282)&lt;=0.5,"OK","REVISAR"))))</f>
        <v/>
      </c>
      <c r="V282" s="20" t="n"/>
      <c r="W282" s="20">
        <f>IF(OR($C282="",$N282=""),"",IF($F282="RHE",ROUND($L282-$V282,2),ROUND($L282-($S282/$N282),2)))</f>
        <v/>
      </c>
      <c r="X282" s="25" t="n"/>
      <c r="Y282" s="25" t="n"/>
    </row>
    <row r="283">
      <c r="A283" t="n">
        <v>280</v>
      </c>
      <c r="B283" s="25" t="n"/>
      <c r="D283" s="30" t="n"/>
      <c r="G283" s="30" t="n"/>
      <c r="H283">
        <f>IF($G283="","",IFERROR(INDEX(Catalogo_Etiquetas,MATCH($G283,Catalogo_Codigos,0)),"CODIGO NO VALIDO"))</f>
        <v/>
      </c>
      <c r="J283" s="20" t="n"/>
      <c r="K283" s="20" t="n"/>
      <c r="L283" s="20">
        <f>IF($C283="","",$J283+$K283)</f>
        <v/>
      </c>
      <c r="M283" s="30" t="n"/>
      <c r="N283" s="26">
        <f>IF($C283="","",IF($I283="PEN",1,IFERROR(IF(_xlfn.XLOOKUP($B283,TC_Fechas,TC_Venta_Rango,"",-1)="","",_xlfn.XLOOKUP($B283,TC_Fechas,TC_Venta_Rango,"",-1)),"")))</f>
        <v/>
      </c>
      <c r="O283" s="20">
        <f>IF(OR($C283="",$N283=""),"",ROUND($J283*$N283,2)+ROUND($K283*$N283,2))</f>
        <v/>
      </c>
      <c r="P283" s="31">
        <f>IF($G283="","",IFERROR(INDEX(Catalogo_Tasas,MATCH($G283,Catalogo_Codigos,0)),""))</f>
        <v/>
      </c>
      <c r="Q283" s="32">
        <f>IF($G283="","",IFERROR(INDEX(Catalogo_Umbrales,MATCH($G283,Catalogo_Codigos,0)),""))</f>
        <v/>
      </c>
      <c r="R283">
        <f>IF(OR($C283="",$P283="",$O283=""),"",IF($F283&lt;&gt;"FACTURA","NO",IF(AND($P283&gt;0,$O283&gt;$Q283),"SI","NO")))</f>
        <v/>
      </c>
      <c r="S283" s="20">
        <f>IF($R283="SI",ROUND($O283*$P283,2),IF($C283="","",0))</f>
        <v/>
      </c>
      <c r="T283" s="20" t="n"/>
      <c r="U283">
        <f>IF($C283="","",IF($R283&lt;&gt;"SI","",IF($T283="","SIN DATO",IF(ABS($T283-$S283)&lt;=0.5,"OK","REVISAR"))))</f>
        <v/>
      </c>
      <c r="V283" s="20" t="n"/>
      <c r="W283" s="20">
        <f>IF(OR($C283="",$N283=""),"",IF($F283="RHE",ROUND($L283-$V283,2),ROUND($L283-($S283/$N283),2)))</f>
        <v/>
      </c>
      <c r="X283" s="25" t="n"/>
      <c r="Y283" s="25" t="n"/>
    </row>
    <row r="284">
      <c r="A284" t="n">
        <v>281</v>
      </c>
      <c r="B284" s="25" t="n"/>
      <c r="D284" s="30" t="n"/>
      <c r="G284" s="30" t="n"/>
      <c r="H284">
        <f>IF($G284="","",IFERROR(INDEX(Catalogo_Etiquetas,MATCH($G284,Catalogo_Codigos,0)),"CODIGO NO VALIDO"))</f>
        <v/>
      </c>
      <c r="J284" s="20" t="n"/>
      <c r="K284" s="20" t="n"/>
      <c r="L284" s="20">
        <f>IF($C284="","",$J284+$K284)</f>
        <v/>
      </c>
      <c r="M284" s="30" t="n"/>
      <c r="N284" s="26">
        <f>IF($C284="","",IF($I284="PEN",1,IFERROR(IF(_xlfn.XLOOKUP($B284,TC_Fechas,TC_Venta_Rango,"",-1)="","",_xlfn.XLOOKUP($B284,TC_Fechas,TC_Venta_Rango,"",-1)),"")))</f>
        <v/>
      </c>
      <c r="O284" s="20">
        <f>IF(OR($C284="",$N284=""),"",ROUND($J284*$N284,2)+ROUND($K284*$N284,2))</f>
        <v/>
      </c>
      <c r="P284" s="31">
        <f>IF($G284="","",IFERROR(INDEX(Catalogo_Tasas,MATCH($G284,Catalogo_Codigos,0)),""))</f>
        <v/>
      </c>
      <c r="Q284" s="32">
        <f>IF($G284="","",IFERROR(INDEX(Catalogo_Umbrales,MATCH($G284,Catalogo_Codigos,0)),""))</f>
        <v/>
      </c>
      <c r="R284">
        <f>IF(OR($C284="",$P284="",$O284=""),"",IF($F284&lt;&gt;"FACTURA","NO",IF(AND($P284&gt;0,$O284&gt;$Q284),"SI","NO")))</f>
        <v/>
      </c>
      <c r="S284" s="20">
        <f>IF($R284="SI",ROUND($O284*$P284,2),IF($C284="","",0))</f>
        <v/>
      </c>
      <c r="T284" s="20" t="n"/>
      <c r="U284">
        <f>IF($C284="","",IF($R284&lt;&gt;"SI","",IF($T284="","SIN DATO",IF(ABS($T284-$S284)&lt;=0.5,"OK","REVISAR"))))</f>
        <v/>
      </c>
      <c r="V284" s="20" t="n"/>
      <c r="W284" s="20">
        <f>IF(OR($C284="",$N284=""),"",IF($F284="RHE",ROUND($L284-$V284,2),ROUND($L284-($S284/$N284),2)))</f>
        <v/>
      </c>
      <c r="X284" s="25" t="n"/>
      <c r="Y284" s="25" t="n"/>
    </row>
    <row r="285">
      <c r="A285" t="n">
        <v>282</v>
      </c>
      <c r="B285" s="25" t="n"/>
      <c r="D285" s="30" t="n"/>
      <c r="G285" s="30" t="n"/>
      <c r="H285">
        <f>IF($G285="","",IFERROR(INDEX(Catalogo_Etiquetas,MATCH($G285,Catalogo_Codigos,0)),"CODIGO NO VALIDO"))</f>
        <v/>
      </c>
      <c r="J285" s="20" t="n"/>
      <c r="K285" s="20" t="n"/>
      <c r="L285" s="20">
        <f>IF($C285="","",$J285+$K285)</f>
        <v/>
      </c>
      <c r="M285" s="30" t="n"/>
      <c r="N285" s="26">
        <f>IF($C285="","",IF($I285="PEN",1,IFERROR(IF(_xlfn.XLOOKUP($B285,TC_Fechas,TC_Venta_Rango,"",-1)="","",_xlfn.XLOOKUP($B285,TC_Fechas,TC_Venta_Rango,"",-1)),"")))</f>
        <v/>
      </c>
      <c r="O285" s="20">
        <f>IF(OR($C285="",$N285=""),"",ROUND($J285*$N285,2)+ROUND($K285*$N285,2))</f>
        <v/>
      </c>
      <c r="P285" s="31">
        <f>IF($G285="","",IFERROR(INDEX(Catalogo_Tasas,MATCH($G285,Catalogo_Codigos,0)),""))</f>
        <v/>
      </c>
      <c r="Q285" s="32">
        <f>IF($G285="","",IFERROR(INDEX(Catalogo_Umbrales,MATCH($G285,Catalogo_Codigos,0)),""))</f>
        <v/>
      </c>
      <c r="R285">
        <f>IF(OR($C285="",$P285="",$O285=""),"",IF($F285&lt;&gt;"FACTURA","NO",IF(AND($P285&gt;0,$O285&gt;$Q285),"SI","NO")))</f>
        <v/>
      </c>
      <c r="S285" s="20">
        <f>IF($R285="SI",ROUND($O285*$P285,2),IF($C285="","",0))</f>
        <v/>
      </c>
      <c r="T285" s="20" t="n"/>
      <c r="U285">
        <f>IF($C285="","",IF($R285&lt;&gt;"SI","",IF($T285="","SIN DATO",IF(ABS($T285-$S285)&lt;=0.5,"OK","REVISAR"))))</f>
        <v/>
      </c>
      <c r="V285" s="20" t="n"/>
      <c r="W285" s="20">
        <f>IF(OR($C285="",$N285=""),"",IF($F285="RHE",ROUND($L285-$V285,2),ROUND($L285-($S285/$N285),2)))</f>
        <v/>
      </c>
      <c r="X285" s="25" t="n"/>
      <c r="Y285" s="25" t="n"/>
    </row>
    <row r="286">
      <c r="A286" t="n">
        <v>283</v>
      </c>
      <c r="B286" s="25" t="n"/>
      <c r="D286" s="30" t="n"/>
      <c r="G286" s="30" t="n"/>
      <c r="H286">
        <f>IF($G286="","",IFERROR(INDEX(Catalogo_Etiquetas,MATCH($G286,Catalogo_Codigos,0)),"CODIGO NO VALIDO"))</f>
        <v/>
      </c>
      <c r="J286" s="20" t="n"/>
      <c r="K286" s="20" t="n"/>
      <c r="L286" s="20">
        <f>IF($C286="","",$J286+$K286)</f>
        <v/>
      </c>
      <c r="M286" s="30" t="n"/>
      <c r="N286" s="26">
        <f>IF($C286="","",IF($I286="PEN",1,IFERROR(IF(_xlfn.XLOOKUP($B286,TC_Fechas,TC_Venta_Rango,"",-1)="","",_xlfn.XLOOKUP($B286,TC_Fechas,TC_Venta_Rango,"",-1)),"")))</f>
        <v/>
      </c>
      <c r="O286" s="20">
        <f>IF(OR($C286="",$N286=""),"",ROUND($J286*$N286,2)+ROUND($K286*$N286,2))</f>
        <v/>
      </c>
      <c r="P286" s="31">
        <f>IF($G286="","",IFERROR(INDEX(Catalogo_Tasas,MATCH($G286,Catalogo_Codigos,0)),""))</f>
        <v/>
      </c>
      <c r="Q286" s="32">
        <f>IF($G286="","",IFERROR(INDEX(Catalogo_Umbrales,MATCH($G286,Catalogo_Codigos,0)),""))</f>
        <v/>
      </c>
      <c r="R286">
        <f>IF(OR($C286="",$P286="",$O286=""),"",IF($F286&lt;&gt;"FACTURA","NO",IF(AND($P286&gt;0,$O286&gt;$Q286),"SI","NO")))</f>
        <v/>
      </c>
      <c r="S286" s="20">
        <f>IF($R286="SI",ROUND($O286*$P286,2),IF($C286="","",0))</f>
        <v/>
      </c>
      <c r="T286" s="20" t="n"/>
      <c r="U286">
        <f>IF($C286="","",IF($R286&lt;&gt;"SI","",IF($T286="","SIN DATO",IF(ABS($T286-$S286)&lt;=0.5,"OK","REVISAR"))))</f>
        <v/>
      </c>
      <c r="V286" s="20" t="n"/>
      <c r="W286" s="20">
        <f>IF(OR($C286="",$N286=""),"",IF($F286="RHE",ROUND($L286-$V286,2),ROUND($L286-($S286/$N286),2)))</f>
        <v/>
      </c>
      <c r="X286" s="25" t="n"/>
      <c r="Y286" s="25" t="n"/>
    </row>
    <row r="287">
      <c r="A287" t="n">
        <v>284</v>
      </c>
      <c r="B287" s="25" t="n"/>
      <c r="D287" s="30" t="n"/>
      <c r="G287" s="30" t="n"/>
      <c r="H287">
        <f>IF($G287="","",IFERROR(INDEX(Catalogo_Etiquetas,MATCH($G287,Catalogo_Codigos,0)),"CODIGO NO VALIDO"))</f>
        <v/>
      </c>
      <c r="J287" s="20" t="n"/>
      <c r="K287" s="20" t="n"/>
      <c r="L287" s="20">
        <f>IF($C287="","",$J287+$K287)</f>
        <v/>
      </c>
      <c r="M287" s="30" t="n"/>
      <c r="N287" s="26">
        <f>IF($C287="","",IF($I287="PEN",1,IFERROR(IF(_xlfn.XLOOKUP($B287,TC_Fechas,TC_Venta_Rango,"",-1)="","",_xlfn.XLOOKUP($B287,TC_Fechas,TC_Venta_Rango,"",-1)),"")))</f>
        <v/>
      </c>
      <c r="O287" s="20">
        <f>IF(OR($C287="",$N287=""),"",ROUND($J287*$N287,2)+ROUND($K287*$N287,2))</f>
        <v/>
      </c>
      <c r="P287" s="31">
        <f>IF($G287="","",IFERROR(INDEX(Catalogo_Tasas,MATCH($G287,Catalogo_Codigos,0)),""))</f>
        <v/>
      </c>
      <c r="Q287" s="32">
        <f>IF($G287="","",IFERROR(INDEX(Catalogo_Umbrales,MATCH($G287,Catalogo_Codigos,0)),""))</f>
        <v/>
      </c>
      <c r="R287">
        <f>IF(OR($C287="",$P287="",$O287=""),"",IF($F287&lt;&gt;"FACTURA","NO",IF(AND($P287&gt;0,$O287&gt;$Q287),"SI","NO")))</f>
        <v/>
      </c>
      <c r="S287" s="20">
        <f>IF($R287="SI",ROUND($O287*$P287,2),IF($C287="","",0))</f>
        <v/>
      </c>
      <c r="T287" s="20" t="n"/>
      <c r="U287">
        <f>IF($C287="","",IF($R287&lt;&gt;"SI","",IF($T287="","SIN DATO",IF(ABS($T287-$S287)&lt;=0.5,"OK","REVISAR"))))</f>
        <v/>
      </c>
      <c r="V287" s="20" t="n"/>
      <c r="W287" s="20">
        <f>IF(OR($C287="",$N287=""),"",IF($F287="RHE",ROUND($L287-$V287,2),ROUND($L287-($S287/$N287),2)))</f>
        <v/>
      </c>
      <c r="X287" s="25" t="n"/>
      <c r="Y287" s="25" t="n"/>
    </row>
    <row r="288">
      <c r="A288" t="n">
        <v>285</v>
      </c>
      <c r="B288" s="25" t="n"/>
      <c r="D288" s="30" t="n"/>
      <c r="G288" s="30" t="n"/>
      <c r="H288">
        <f>IF($G288="","",IFERROR(INDEX(Catalogo_Etiquetas,MATCH($G288,Catalogo_Codigos,0)),"CODIGO NO VALIDO"))</f>
        <v/>
      </c>
      <c r="J288" s="20" t="n"/>
      <c r="K288" s="20" t="n"/>
      <c r="L288" s="20">
        <f>IF($C288="","",$J288+$K288)</f>
        <v/>
      </c>
      <c r="M288" s="30" t="n"/>
      <c r="N288" s="26">
        <f>IF($C288="","",IF($I288="PEN",1,IFERROR(IF(_xlfn.XLOOKUP($B288,TC_Fechas,TC_Venta_Rango,"",-1)="","",_xlfn.XLOOKUP($B288,TC_Fechas,TC_Venta_Rango,"",-1)),"")))</f>
        <v/>
      </c>
      <c r="O288" s="20">
        <f>IF(OR($C288="",$N288=""),"",ROUND($J288*$N288,2)+ROUND($K288*$N288,2))</f>
        <v/>
      </c>
      <c r="P288" s="31">
        <f>IF($G288="","",IFERROR(INDEX(Catalogo_Tasas,MATCH($G288,Catalogo_Codigos,0)),""))</f>
        <v/>
      </c>
      <c r="Q288" s="32">
        <f>IF($G288="","",IFERROR(INDEX(Catalogo_Umbrales,MATCH($G288,Catalogo_Codigos,0)),""))</f>
        <v/>
      </c>
      <c r="R288">
        <f>IF(OR($C288="",$P288="",$O288=""),"",IF($F288&lt;&gt;"FACTURA","NO",IF(AND($P288&gt;0,$O288&gt;$Q288),"SI","NO")))</f>
        <v/>
      </c>
      <c r="S288" s="20">
        <f>IF($R288="SI",ROUND($O288*$P288,2),IF($C288="","",0))</f>
        <v/>
      </c>
      <c r="T288" s="20" t="n"/>
      <c r="U288">
        <f>IF($C288="","",IF($R288&lt;&gt;"SI","",IF($T288="","SIN DATO",IF(ABS($T288-$S288)&lt;=0.5,"OK","REVISAR"))))</f>
        <v/>
      </c>
      <c r="V288" s="20" t="n"/>
      <c r="W288" s="20">
        <f>IF(OR($C288="",$N288=""),"",IF($F288="RHE",ROUND($L288-$V288,2),ROUND($L288-($S288/$N288),2)))</f>
        <v/>
      </c>
      <c r="X288" s="25" t="n"/>
      <c r="Y288" s="25" t="n"/>
    </row>
    <row r="289">
      <c r="A289" t="n">
        <v>286</v>
      </c>
      <c r="B289" s="25" t="n"/>
      <c r="D289" s="30" t="n"/>
      <c r="G289" s="30" t="n"/>
      <c r="H289">
        <f>IF($G289="","",IFERROR(INDEX(Catalogo_Etiquetas,MATCH($G289,Catalogo_Codigos,0)),"CODIGO NO VALIDO"))</f>
        <v/>
      </c>
      <c r="J289" s="20" t="n"/>
      <c r="K289" s="20" t="n"/>
      <c r="L289" s="20">
        <f>IF($C289="","",$J289+$K289)</f>
        <v/>
      </c>
      <c r="M289" s="30" t="n"/>
      <c r="N289" s="26">
        <f>IF($C289="","",IF($I289="PEN",1,IFERROR(IF(_xlfn.XLOOKUP($B289,TC_Fechas,TC_Venta_Rango,"",-1)="","",_xlfn.XLOOKUP($B289,TC_Fechas,TC_Venta_Rango,"",-1)),"")))</f>
        <v/>
      </c>
      <c r="O289" s="20">
        <f>IF(OR($C289="",$N289=""),"",ROUND($J289*$N289,2)+ROUND($K289*$N289,2))</f>
        <v/>
      </c>
      <c r="P289" s="31">
        <f>IF($G289="","",IFERROR(INDEX(Catalogo_Tasas,MATCH($G289,Catalogo_Codigos,0)),""))</f>
        <v/>
      </c>
      <c r="Q289" s="32">
        <f>IF($G289="","",IFERROR(INDEX(Catalogo_Umbrales,MATCH($G289,Catalogo_Codigos,0)),""))</f>
        <v/>
      </c>
      <c r="R289">
        <f>IF(OR($C289="",$P289="",$O289=""),"",IF($F289&lt;&gt;"FACTURA","NO",IF(AND($P289&gt;0,$O289&gt;$Q289),"SI","NO")))</f>
        <v/>
      </c>
      <c r="S289" s="20">
        <f>IF($R289="SI",ROUND($O289*$P289,2),IF($C289="","",0))</f>
        <v/>
      </c>
      <c r="T289" s="20" t="n"/>
      <c r="U289">
        <f>IF($C289="","",IF($R289&lt;&gt;"SI","",IF($T289="","SIN DATO",IF(ABS($T289-$S289)&lt;=0.5,"OK","REVISAR"))))</f>
        <v/>
      </c>
      <c r="V289" s="20" t="n"/>
      <c r="W289" s="20">
        <f>IF(OR($C289="",$N289=""),"",IF($F289="RHE",ROUND($L289-$V289,2),ROUND($L289-($S289/$N289),2)))</f>
        <v/>
      </c>
      <c r="X289" s="25" t="n"/>
      <c r="Y289" s="25" t="n"/>
    </row>
    <row r="290">
      <c r="A290" t="n">
        <v>287</v>
      </c>
      <c r="B290" s="25" t="n"/>
      <c r="D290" s="30" t="n"/>
      <c r="G290" s="30" t="n"/>
      <c r="H290">
        <f>IF($G290="","",IFERROR(INDEX(Catalogo_Etiquetas,MATCH($G290,Catalogo_Codigos,0)),"CODIGO NO VALIDO"))</f>
        <v/>
      </c>
      <c r="J290" s="20" t="n"/>
      <c r="K290" s="20" t="n"/>
      <c r="L290" s="20">
        <f>IF($C290="","",$J290+$K290)</f>
        <v/>
      </c>
      <c r="M290" s="30" t="n"/>
      <c r="N290" s="26">
        <f>IF($C290="","",IF($I290="PEN",1,IFERROR(IF(_xlfn.XLOOKUP($B290,TC_Fechas,TC_Venta_Rango,"",-1)="","",_xlfn.XLOOKUP($B290,TC_Fechas,TC_Venta_Rango,"",-1)),"")))</f>
        <v/>
      </c>
      <c r="O290" s="20">
        <f>IF(OR($C290="",$N290=""),"",ROUND($J290*$N290,2)+ROUND($K290*$N290,2))</f>
        <v/>
      </c>
      <c r="P290" s="31">
        <f>IF($G290="","",IFERROR(INDEX(Catalogo_Tasas,MATCH($G290,Catalogo_Codigos,0)),""))</f>
        <v/>
      </c>
      <c r="Q290" s="32">
        <f>IF($G290="","",IFERROR(INDEX(Catalogo_Umbrales,MATCH($G290,Catalogo_Codigos,0)),""))</f>
        <v/>
      </c>
      <c r="R290">
        <f>IF(OR($C290="",$P290="",$O290=""),"",IF($F290&lt;&gt;"FACTURA","NO",IF(AND($P290&gt;0,$O290&gt;$Q290),"SI","NO")))</f>
        <v/>
      </c>
      <c r="S290" s="20">
        <f>IF($R290="SI",ROUND($O290*$P290,2),IF($C290="","",0))</f>
        <v/>
      </c>
      <c r="T290" s="20" t="n"/>
      <c r="U290">
        <f>IF($C290="","",IF($R290&lt;&gt;"SI","",IF($T290="","SIN DATO",IF(ABS($T290-$S290)&lt;=0.5,"OK","REVISAR"))))</f>
        <v/>
      </c>
      <c r="V290" s="20" t="n"/>
      <c r="W290" s="20">
        <f>IF(OR($C290="",$N290=""),"",IF($F290="RHE",ROUND($L290-$V290,2),ROUND($L290-($S290/$N290),2)))</f>
        <v/>
      </c>
      <c r="X290" s="25" t="n"/>
      <c r="Y290" s="25" t="n"/>
    </row>
    <row r="291">
      <c r="A291" t="n">
        <v>288</v>
      </c>
      <c r="B291" s="25" t="n"/>
      <c r="D291" s="30" t="n"/>
      <c r="G291" s="30" t="n"/>
      <c r="H291">
        <f>IF($G291="","",IFERROR(INDEX(Catalogo_Etiquetas,MATCH($G291,Catalogo_Codigos,0)),"CODIGO NO VALIDO"))</f>
        <v/>
      </c>
      <c r="J291" s="20" t="n"/>
      <c r="K291" s="20" t="n"/>
      <c r="L291" s="20">
        <f>IF($C291="","",$J291+$K291)</f>
        <v/>
      </c>
      <c r="M291" s="30" t="n"/>
      <c r="N291" s="26">
        <f>IF($C291="","",IF($I291="PEN",1,IFERROR(IF(_xlfn.XLOOKUP($B291,TC_Fechas,TC_Venta_Rango,"",-1)="","",_xlfn.XLOOKUP($B291,TC_Fechas,TC_Venta_Rango,"",-1)),"")))</f>
        <v/>
      </c>
      <c r="O291" s="20">
        <f>IF(OR($C291="",$N291=""),"",ROUND($J291*$N291,2)+ROUND($K291*$N291,2))</f>
        <v/>
      </c>
      <c r="P291" s="31">
        <f>IF($G291="","",IFERROR(INDEX(Catalogo_Tasas,MATCH($G291,Catalogo_Codigos,0)),""))</f>
        <v/>
      </c>
      <c r="Q291" s="32">
        <f>IF($G291="","",IFERROR(INDEX(Catalogo_Umbrales,MATCH($G291,Catalogo_Codigos,0)),""))</f>
        <v/>
      </c>
      <c r="R291">
        <f>IF(OR($C291="",$P291="",$O291=""),"",IF($F291&lt;&gt;"FACTURA","NO",IF(AND($P291&gt;0,$O291&gt;$Q291),"SI","NO")))</f>
        <v/>
      </c>
      <c r="S291" s="20">
        <f>IF($R291="SI",ROUND($O291*$P291,2),IF($C291="","",0))</f>
        <v/>
      </c>
      <c r="T291" s="20" t="n"/>
      <c r="U291">
        <f>IF($C291="","",IF($R291&lt;&gt;"SI","",IF($T291="","SIN DATO",IF(ABS($T291-$S291)&lt;=0.5,"OK","REVISAR"))))</f>
        <v/>
      </c>
      <c r="V291" s="20" t="n"/>
      <c r="W291" s="20">
        <f>IF(OR($C291="",$N291=""),"",IF($F291="RHE",ROUND($L291-$V291,2),ROUND($L291-($S291/$N291),2)))</f>
        <v/>
      </c>
      <c r="X291" s="25" t="n"/>
      <c r="Y291" s="25" t="n"/>
    </row>
    <row r="292">
      <c r="A292" t="n">
        <v>289</v>
      </c>
      <c r="B292" s="25" t="n"/>
      <c r="D292" s="30" t="n"/>
      <c r="G292" s="30" t="n"/>
      <c r="H292">
        <f>IF($G292="","",IFERROR(INDEX(Catalogo_Etiquetas,MATCH($G292,Catalogo_Codigos,0)),"CODIGO NO VALIDO"))</f>
        <v/>
      </c>
      <c r="J292" s="20" t="n"/>
      <c r="K292" s="20" t="n"/>
      <c r="L292" s="20">
        <f>IF($C292="","",$J292+$K292)</f>
        <v/>
      </c>
      <c r="M292" s="30" t="n"/>
      <c r="N292" s="26">
        <f>IF($C292="","",IF($I292="PEN",1,IFERROR(IF(_xlfn.XLOOKUP($B292,TC_Fechas,TC_Venta_Rango,"",-1)="","",_xlfn.XLOOKUP($B292,TC_Fechas,TC_Venta_Rango,"",-1)),"")))</f>
        <v/>
      </c>
      <c r="O292" s="20">
        <f>IF(OR($C292="",$N292=""),"",ROUND($J292*$N292,2)+ROUND($K292*$N292,2))</f>
        <v/>
      </c>
      <c r="P292" s="31">
        <f>IF($G292="","",IFERROR(INDEX(Catalogo_Tasas,MATCH($G292,Catalogo_Codigos,0)),""))</f>
        <v/>
      </c>
      <c r="Q292" s="32">
        <f>IF($G292="","",IFERROR(INDEX(Catalogo_Umbrales,MATCH($G292,Catalogo_Codigos,0)),""))</f>
        <v/>
      </c>
      <c r="R292">
        <f>IF(OR($C292="",$P292="",$O292=""),"",IF($F292&lt;&gt;"FACTURA","NO",IF(AND($P292&gt;0,$O292&gt;$Q292),"SI","NO")))</f>
        <v/>
      </c>
      <c r="S292" s="20">
        <f>IF($R292="SI",ROUND($O292*$P292,2),IF($C292="","",0))</f>
        <v/>
      </c>
      <c r="T292" s="20" t="n"/>
      <c r="U292">
        <f>IF($C292="","",IF($R292&lt;&gt;"SI","",IF($T292="","SIN DATO",IF(ABS($T292-$S292)&lt;=0.5,"OK","REVISAR"))))</f>
        <v/>
      </c>
      <c r="V292" s="20" t="n"/>
      <c r="W292" s="20">
        <f>IF(OR($C292="",$N292=""),"",IF($F292="RHE",ROUND($L292-$V292,2),ROUND($L292-($S292/$N292),2)))</f>
        <v/>
      </c>
      <c r="X292" s="25" t="n"/>
      <c r="Y292" s="25" t="n"/>
    </row>
    <row r="293">
      <c r="A293" t="n">
        <v>290</v>
      </c>
      <c r="B293" s="25" t="n"/>
      <c r="D293" s="30" t="n"/>
      <c r="G293" s="30" t="n"/>
      <c r="H293">
        <f>IF($G293="","",IFERROR(INDEX(Catalogo_Etiquetas,MATCH($G293,Catalogo_Codigos,0)),"CODIGO NO VALIDO"))</f>
        <v/>
      </c>
      <c r="J293" s="20" t="n"/>
      <c r="K293" s="20" t="n"/>
      <c r="L293" s="20">
        <f>IF($C293="","",$J293+$K293)</f>
        <v/>
      </c>
      <c r="M293" s="30" t="n"/>
      <c r="N293" s="26">
        <f>IF($C293="","",IF($I293="PEN",1,IFERROR(IF(_xlfn.XLOOKUP($B293,TC_Fechas,TC_Venta_Rango,"",-1)="","",_xlfn.XLOOKUP($B293,TC_Fechas,TC_Venta_Rango,"",-1)),"")))</f>
        <v/>
      </c>
      <c r="O293" s="20">
        <f>IF(OR($C293="",$N293=""),"",ROUND($J293*$N293,2)+ROUND($K293*$N293,2))</f>
        <v/>
      </c>
      <c r="P293" s="31">
        <f>IF($G293="","",IFERROR(INDEX(Catalogo_Tasas,MATCH($G293,Catalogo_Codigos,0)),""))</f>
        <v/>
      </c>
      <c r="Q293" s="32">
        <f>IF($G293="","",IFERROR(INDEX(Catalogo_Umbrales,MATCH($G293,Catalogo_Codigos,0)),""))</f>
        <v/>
      </c>
      <c r="R293">
        <f>IF(OR($C293="",$P293="",$O293=""),"",IF($F293&lt;&gt;"FACTURA","NO",IF(AND($P293&gt;0,$O293&gt;$Q293),"SI","NO")))</f>
        <v/>
      </c>
      <c r="S293" s="20">
        <f>IF($R293="SI",ROUND($O293*$P293,2),IF($C293="","",0))</f>
        <v/>
      </c>
      <c r="T293" s="20" t="n"/>
      <c r="U293">
        <f>IF($C293="","",IF($R293&lt;&gt;"SI","",IF($T293="","SIN DATO",IF(ABS($T293-$S293)&lt;=0.5,"OK","REVISAR"))))</f>
        <v/>
      </c>
      <c r="V293" s="20" t="n"/>
      <c r="W293" s="20">
        <f>IF(OR($C293="",$N293=""),"",IF($F293="RHE",ROUND($L293-$V293,2),ROUND($L293-($S293/$N293),2)))</f>
        <v/>
      </c>
      <c r="X293" s="25" t="n"/>
      <c r="Y293" s="25" t="n"/>
    </row>
    <row r="294">
      <c r="A294" t="n">
        <v>291</v>
      </c>
      <c r="B294" s="25" t="n"/>
      <c r="D294" s="30" t="n"/>
      <c r="G294" s="30" t="n"/>
      <c r="H294">
        <f>IF($G294="","",IFERROR(INDEX(Catalogo_Etiquetas,MATCH($G294,Catalogo_Codigos,0)),"CODIGO NO VALIDO"))</f>
        <v/>
      </c>
      <c r="J294" s="20" t="n"/>
      <c r="K294" s="20" t="n"/>
      <c r="L294" s="20">
        <f>IF($C294="","",$J294+$K294)</f>
        <v/>
      </c>
      <c r="M294" s="30" t="n"/>
      <c r="N294" s="26">
        <f>IF($C294="","",IF($I294="PEN",1,IFERROR(IF(_xlfn.XLOOKUP($B294,TC_Fechas,TC_Venta_Rango,"",-1)="","",_xlfn.XLOOKUP($B294,TC_Fechas,TC_Venta_Rango,"",-1)),"")))</f>
        <v/>
      </c>
      <c r="O294" s="20">
        <f>IF(OR($C294="",$N294=""),"",ROUND($J294*$N294,2)+ROUND($K294*$N294,2))</f>
        <v/>
      </c>
      <c r="P294" s="31">
        <f>IF($G294="","",IFERROR(INDEX(Catalogo_Tasas,MATCH($G294,Catalogo_Codigos,0)),""))</f>
        <v/>
      </c>
      <c r="Q294" s="32">
        <f>IF($G294="","",IFERROR(INDEX(Catalogo_Umbrales,MATCH($G294,Catalogo_Codigos,0)),""))</f>
        <v/>
      </c>
      <c r="R294">
        <f>IF(OR($C294="",$P294="",$O294=""),"",IF($F294&lt;&gt;"FACTURA","NO",IF(AND($P294&gt;0,$O294&gt;$Q294),"SI","NO")))</f>
        <v/>
      </c>
      <c r="S294" s="20">
        <f>IF($R294="SI",ROUND($O294*$P294,2),IF($C294="","",0))</f>
        <v/>
      </c>
      <c r="T294" s="20" t="n"/>
      <c r="U294">
        <f>IF($C294="","",IF($R294&lt;&gt;"SI","",IF($T294="","SIN DATO",IF(ABS($T294-$S294)&lt;=0.5,"OK","REVISAR"))))</f>
        <v/>
      </c>
      <c r="V294" s="20" t="n"/>
      <c r="W294" s="20">
        <f>IF(OR($C294="",$N294=""),"",IF($F294="RHE",ROUND($L294-$V294,2),ROUND($L294-($S294/$N294),2)))</f>
        <v/>
      </c>
      <c r="X294" s="25" t="n"/>
      <c r="Y294" s="25" t="n"/>
    </row>
    <row r="295">
      <c r="A295" t="n">
        <v>292</v>
      </c>
      <c r="B295" s="25" t="n"/>
      <c r="D295" s="30" t="n"/>
      <c r="G295" s="30" t="n"/>
      <c r="H295">
        <f>IF($G295="","",IFERROR(INDEX(Catalogo_Etiquetas,MATCH($G295,Catalogo_Codigos,0)),"CODIGO NO VALIDO"))</f>
        <v/>
      </c>
      <c r="J295" s="20" t="n"/>
      <c r="K295" s="20" t="n"/>
      <c r="L295" s="20">
        <f>IF($C295="","",$J295+$K295)</f>
        <v/>
      </c>
      <c r="M295" s="30" t="n"/>
      <c r="N295" s="26">
        <f>IF($C295="","",IF($I295="PEN",1,IFERROR(IF(_xlfn.XLOOKUP($B295,TC_Fechas,TC_Venta_Rango,"",-1)="","",_xlfn.XLOOKUP($B295,TC_Fechas,TC_Venta_Rango,"",-1)),"")))</f>
        <v/>
      </c>
      <c r="O295" s="20">
        <f>IF(OR($C295="",$N295=""),"",ROUND($J295*$N295,2)+ROUND($K295*$N295,2))</f>
        <v/>
      </c>
      <c r="P295" s="31">
        <f>IF($G295="","",IFERROR(INDEX(Catalogo_Tasas,MATCH($G295,Catalogo_Codigos,0)),""))</f>
        <v/>
      </c>
      <c r="Q295" s="32">
        <f>IF($G295="","",IFERROR(INDEX(Catalogo_Umbrales,MATCH($G295,Catalogo_Codigos,0)),""))</f>
        <v/>
      </c>
      <c r="R295">
        <f>IF(OR($C295="",$P295="",$O295=""),"",IF($F295&lt;&gt;"FACTURA","NO",IF(AND($P295&gt;0,$O295&gt;$Q295),"SI","NO")))</f>
        <v/>
      </c>
      <c r="S295" s="20">
        <f>IF($R295="SI",ROUND($O295*$P295,2),IF($C295="","",0))</f>
        <v/>
      </c>
      <c r="T295" s="20" t="n"/>
      <c r="U295">
        <f>IF($C295="","",IF($R295&lt;&gt;"SI","",IF($T295="","SIN DATO",IF(ABS($T295-$S295)&lt;=0.5,"OK","REVISAR"))))</f>
        <v/>
      </c>
      <c r="V295" s="20" t="n"/>
      <c r="W295" s="20">
        <f>IF(OR($C295="",$N295=""),"",IF($F295="RHE",ROUND($L295-$V295,2),ROUND($L295-($S295/$N295),2)))</f>
        <v/>
      </c>
      <c r="X295" s="25" t="n"/>
      <c r="Y295" s="25" t="n"/>
    </row>
    <row r="296">
      <c r="A296" t="n">
        <v>293</v>
      </c>
      <c r="B296" s="25" t="n"/>
      <c r="D296" s="30" t="n"/>
      <c r="G296" s="30" t="n"/>
      <c r="H296">
        <f>IF($G296="","",IFERROR(INDEX(Catalogo_Etiquetas,MATCH($G296,Catalogo_Codigos,0)),"CODIGO NO VALIDO"))</f>
        <v/>
      </c>
      <c r="J296" s="20" t="n"/>
      <c r="K296" s="20" t="n"/>
      <c r="L296" s="20">
        <f>IF($C296="","",$J296+$K296)</f>
        <v/>
      </c>
      <c r="M296" s="30" t="n"/>
      <c r="N296" s="26">
        <f>IF($C296="","",IF($I296="PEN",1,IFERROR(IF(_xlfn.XLOOKUP($B296,TC_Fechas,TC_Venta_Rango,"",-1)="","",_xlfn.XLOOKUP($B296,TC_Fechas,TC_Venta_Rango,"",-1)),"")))</f>
        <v/>
      </c>
      <c r="O296" s="20">
        <f>IF(OR($C296="",$N296=""),"",ROUND($J296*$N296,2)+ROUND($K296*$N296,2))</f>
        <v/>
      </c>
      <c r="P296" s="31">
        <f>IF($G296="","",IFERROR(INDEX(Catalogo_Tasas,MATCH($G296,Catalogo_Codigos,0)),""))</f>
        <v/>
      </c>
      <c r="Q296" s="32">
        <f>IF($G296="","",IFERROR(INDEX(Catalogo_Umbrales,MATCH($G296,Catalogo_Codigos,0)),""))</f>
        <v/>
      </c>
      <c r="R296">
        <f>IF(OR($C296="",$P296="",$O296=""),"",IF($F296&lt;&gt;"FACTURA","NO",IF(AND($P296&gt;0,$O296&gt;$Q296),"SI","NO")))</f>
        <v/>
      </c>
      <c r="S296" s="20">
        <f>IF($R296="SI",ROUND($O296*$P296,2),IF($C296="","",0))</f>
        <v/>
      </c>
      <c r="T296" s="20" t="n"/>
      <c r="U296">
        <f>IF($C296="","",IF($R296&lt;&gt;"SI","",IF($T296="","SIN DATO",IF(ABS($T296-$S296)&lt;=0.5,"OK","REVISAR"))))</f>
        <v/>
      </c>
      <c r="V296" s="20" t="n"/>
      <c r="W296" s="20">
        <f>IF(OR($C296="",$N296=""),"",IF($F296="RHE",ROUND($L296-$V296,2),ROUND($L296-($S296/$N296),2)))</f>
        <v/>
      </c>
      <c r="X296" s="25" t="n"/>
      <c r="Y296" s="25" t="n"/>
    </row>
    <row r="297">
      <c r="A297" t="n">
        <v>294</v>
      </c>
      <c r="B297" s="25" t="n"/>
      <c r="D297" s="30" t="n"/>
      <c r="G297" s="30" t="n"/>
      <c r="H297">
        <f>IF($G297="","",IFERROR(INDEX(Catalogo_Etiquetas,MATCH($G297,Catalogo_Codigos,0)),"CODIGO NO VALIDO"))</f>
        <v/>
      </c>
      <c r="J297" s="20" t="n"/>
      <c r="K297" s="20" t="n"/>
      <c r="L297" s="20">
        <f>IF($C297="","",$J297+$K297)</f>
        <v/>
      </c>
      <c r="M297" s="30" t="n"/>
      <c r="N297" s="26">
        <f>IF($C297="","",IF($I297="PEN",1,IFERROR(IF(_xlfn.XLOOKUP($B297,TC_Fechas,TC_Venta_Rango,"",-1)="","",_xlfn.XLOOKUP($B297,TC_Fechas,TC_Venta_Rango,"",-1)),"")))</f>
        <v/>
      </c>
      <c r="O297" s="20">
        <f>IF(OR($C297="",$N297=""),"",ROUND($J297*$N297,2)+ROUND($K297*$N297,2))</f>
        <v/>
      </c>
      <c r="P297" s="31">
        <f>IF($G297="","",IFERROR(INDEX(Catalogo_Tasas,MATCH($G297,Catalogo_Codigos,0)),""))</f>
        <v/>
      </c>
      <c r="Q297" s="32">
        <f>IF($G297="","",IFERROR(INDEX(Catalogo_Umbrales,MATCH($G297,Catalogo_Codigos,0)),""))</f>
        <v/>
      </c>
      <c r="R297">
        <f>IF(OR($C297="",$P297="",$O297=""),"",IF($F297&lt;&gt;"FACTURA","NO",IF(AND($P297&gt;0,$O297&gt;$Q297),"SI","NO")))</f>
        <v/>
      </c>
      <c r="S297" s="20">
        <f>IF($R297="SI",ROUND($O297*$P297,2),IF($C297="","",0))</f>
        <v/>
      </c>
      <c r="T297" s="20" t="n"/>
      <c r="U297">
        <f>IF($C297="","",IF($R297&lt;&gt;"SI","",IF($T297="","SIN DATO",IF(ABS($T297-$S297)&lt;=0.5,"OK","REVISAR"))))</f>
        <v/>
      </c>
      <c r="V297" s="20" t="n"/>
      <c r="W297" s="20">
        <f>IF(OR($C297="",$N297=""),"",IF($F297="RHE",ROUND($L297-$V297,2),ROUND($L297-($S297/$N297),2)))</f>
        <v/>
      </c>
      <c r="X297" s="25" t="n"/>
      <c r="Y297" s="25" t="n"/>
    </row>
    <row r="298">
      <c r="A298" t="n">
        <v>295</v>
      </c>
      <c r="B298" s="25" t="n"/>
      <c r="D298" s="30" t="n"/>
      <c r="G298" s="30" t="n"/>
      <c r="H298">
        <f>IF($G298="","",IFERROR(INDEX(Catalogo_Etiquetas,MATCH($G298,Catalogo_Codigos,0)),"CODIGO NO VALIDO"))</f>
        <v/>
      </c>
      <c r="J298" s="20" t="n"/>
      <c r="K298" s="20" t="n"/>
      <c r="L298" s="20">
        <f>IF($C298="","",$J298+$K298)</f>
        <v/>
      </c>
      <c r="M298" s="30" t="n"/>
      <c r="N298" s="26">
        <f>IF($C298="","",IF($I298="PEN",1,IFERROR(IF(_xlfn.XLOOKUP($B298,TC_Fechas,TC_Venta_Rango,"",-1)="","",_xlfn.XLOOKUP($B298,TC_Fechas,TC_Venta_Rango,"",-1)),"")))</f>
        <v/>
      </c>
      <c r="O298" s="20">
        <f>IF(OR($C298="",$N298=""),"",ROUND($J298*$N298,2)+ROUND($K298*$N298,2))</f>
        <v/>
      </c>
      <c r="P298" s="31">
        <f>IF($G298="","",IFERROR(INDEX(Catalogo_Tasas,MATCH($G298,Catalogo_Codigos,0)),""))</f>
        <v/>
      </c>
      <c r="Q298" s="32">
        <f>IF($G298="","",IFERROR(INDEX(Catalogo_Umbrales,MATCH($G298,Catalogo_Codigos,0)),""))</f>
        <v/>
      </c>
      <c r="R298">
        <f>IF(OR($C298="",$P298="",$O298=""),"",IF($F298&lt;&gt;"FACTURA","NO",IF(AND($P298&gt;0,$O298&gt;$Q298),"SI","NO")))</f>
        <v/>
      </c>
      <c r="S298" s="20">
        <f>IF($R298="SI",ROUND($O298*$P298,2),IF($C298="","",0))</f>
        <v/>
      </c>
      <c r="T298" s="20" t="n"/>
      <c r="U298">
        <f>IF($C298="","",IF($R298&lt;&gt;"SI","",IF($T298="","SIN DATO",IF(ABS($T298-$S298)&lt;=0.5,"OK","REVISAR"))))</f>
        <v/>
      </c>
      <c r="V298" s="20" t="n"/>
      <c r="W298" s="20">
        <f>IF(OR($C298="",$N298=""),"",IF($F298="RHE",ROUND($L298-$V298,2),ROUND($L298-($S298/$N298),2)))</f>
        <v/>
      </c>
      <c r="X298" s="25" t="n"/>
      <c r="Y298" s="25" t="n"/>
    </row>
    <row r="299">
      <c r="A299" t="n">
        <v>296</v>
      </c>
      <c r="B299" s="25" t="n"/>
      <c r="D299" s="30" t="n"/>
      <c r="G299" s="30" t="n"/>
      <c r="H299">
        <f>IF($G299="","",IFERROR(INDEX(Catalogo_Etiquetas,MATCH($G299,Catalogo_Codigos,0)),"CODIGO NO VALIDO"))</f>
        <v/>
      </c>
      <c r="J299" s="20" t="n"/>
      <c r="K299" s="20" t="n"/>
      <c r="L299" s="20">
        <f>IF($C299="","",$J299+$K299)</f>
        <v/>
      </c>
      <c r="M299" s="30" t="n"/>
      <c r="N299" s="26">
        <f>IF($C299="","",IF($I299="PEN",1,IFERROR(IF(_xlfn.XLOOKUP($B299,TC_Fechas,TC_Venta_Rango,"",-1)="","",_xlfn.XLOOKUP($B299,TC_Fechas,TC_Venta_Rango,"",-1)),"")))</f>
        <v/>
      </c>
      <c r="O299" s="20">
        <f>IF(OR($C299="",$N299=""),"",ROUND($J299*$N299,2)+ROUND($K299*$N299,2))</f>
        <v/>
      </c>
      <c r="P299" s="31">
        <f>IF($G299="","",IFERROR(INDEX(Catalogo_Tasas,MATCH($G299,Catalogo_Codigos,0)),""))</f>
        <v/>
      </c>
      <c r="Q299" s="32">
        <f>IF($G299="","",IFERROR(INDEX(Catalogo_Umbrales,MATCH($G299,Catalogo_Codigos,0)),""))</f>
        <v/>
      </c>
      <c r="R299">
        <f>IF(OR($C299="",$P299="",$O299=""),"",IF($F299&lt;&gt;"FACTURA","NO",IF(AND($P299&gt;0,$O299&gt;$Q299),"SI","NO")))</f>
        <v/>
      </c>
      <c r="S299" s="20">
        <f>IF($R299="SI",ROUND($O299*$P299,2),IF($C299="","",0))</f>
        <v/>
      </c>
      <c r="T299" s="20" t="n"/>
      <c r="U299">
        <f>IF($C299="","",IF($R299&lt;&gt;"SI","",IF($T299="","SIN DATO",IF(ABS($T299-$S299)&lt;=0.5,"OK","REVISAR"))))</f>
        <v/>
      </c>
      <c r="V299" s="20" t="n"/>
      <c r="W299" s="20">
        <f>IF(OR($C299="",$N299=""),"",IF($F299="RHE",ROUND($L299-$V299,2),ROUND($L299-($S299/$N299),2)))</f>
        <v/>
      </c>
      <c r="X299" s="25" t="n"/>
      <c r="Y299" s="25" t="n"/>
    </row>
    <row r="300">
      <c r="A300" t="n">
        <v>297</v>
      </c>
      <c r="B300" s="25" t="n"/>
      <c r="D300" s="30" t="n"/>
      <c r="G300" s="30" t="n"/>
      <c r="H300">
        <f>IF($G300="","",IFERROR(INDEX(Catalogo_Etiquetas,MATCH($G300,Catalogo_Codigos,0)),"CODIGO NO VALIDO"))</f>
        <v/>
      </c>
      <c r="J300" s="20" t="n"/>
      <c r="K300" s="20" t="n"/>
      <c r="L300" s="20">
        <f>IF($C300="","",$J300+$K300)</f>
        <v/>
      </c>
      <c r="M300" s="30" t="n"/>
      <c r="N300" s="26">
        <f>IF($C300="","",IF($I300="PEN",1,IFERROR(IF(_xlfn.XLOOKUP($B300,TC_Fechas,TC_Venta_Rango,"",-1)="","",_xlfn.XLOOKUP($B300,TC_Fechas,TC_Venta_Rango,"",-1)),"")))</f>
        <v/>
      </c>
      <c r="O300" s="20">
        <f>IF(OR($C300="",$N300=""),"",ROUND($J300*$N300,2)+ROUND($K300*$N300,2))</f>
        <v/>
      </c>
      <c r="P300" s="31">
        <f>IF($G300="","",IFERROR(INDEX(Catalogo_Tasas,MATCH($G300,Catalogo_Codigos,0)),""))</f>
        <v/>
      </c>
      <c r="Q300" s="32">
        <f>IF($G300="","",IFERROR(INDEX(Catalogo_Umbrales,MATCH($G300,Catalogo_Codigos,0)),""))</f>
        <v/>
      </c>
      <c r="R300">
        <f>IF(OR($C300="",$P300="",$O300=""),"",IF($F300&lt;&gt;"FACTURA","NO",IF(AND($P300&gt;0,$O300&gt;$Q300),"SI","NO")))</f>
        <v/>
      </c>
      <c r="S300" s="20">
        <f>IF($R300="SI",ROUND($O300*$P300,2),IF($C300="","",0))</f>
        <v/>
      </c>
      <c r="T300" s="20" t="n"/>
      <c r="U300">
        <f>IF($C300="","",IF($R300&lt;&gt;"SI","",IF($T300="","SIN DATO",IF(ABS($T300-$S300)&lt;=0.5,"OK","REVISAR"))))</f>
        <v/>
      </c>
      <c r="V300" s="20" t="n"/>
      <c r="W300" s="20">
        <f>IF(OR($C300="",$N300=""),"",IF($F300="RHE",ROUND($L300-$V300,2),ROUND($L300-($S300/$N300),2)))</f>
        <v/>
      </c>
      <c r="X300" s="25" t="n"/>
      <c r="Y300" s="25" t="n"/>
    </row>
    <row r="301">
      <c r="A301" t="n">
        <v>298</v>
      </c>
      <c r="B301" s="25" t="n"/>
      <c r="D301" s="30" t="n"/>
      <c r="G301" s="30" t="n"/>
      <c r="H301">
        <f>IF($G301="","",IFERROR(INDEX(Catalogo_Etiquetas,MATCH($G301,Catalogo_Codigos,0)),"CODIGO NO VALIDO"))</f>
        <v/>
      </c>
      <c r="J301" s="20" t="n"/>
      <c r="K301" s="20" t="n"/>
      <c r="L301" s="20">
        <f>IF($C301="","",$J301+$K301)</f>
        <v/>
      </c>
      <c r="M301" s="30" t="n"/>
      <c r="N301" s="26">
        <f>IF($C301="","",IF($I301="PEN",1,IFERROR(IF(_xlfn.XLOOKUP($B301,TC_Fechas,TC_Venta_Rango,"",-1)="","",_xlfn.XLOOKUP($B301,TC_Fechas,TC_Venta_Rango,"",-1)),"")))</f>
        <v/>
      </c>
      <c r="O301" s="20">
        <f>IF(OR($C301="",$N301=""),"",ROUND($J301*$N301,2)+ROUND($K301*$N301,2))</f>
        <v/>
      </c>
      <c r="P301" s="31">
        <f>IF($G301="","",IFERROR(INDEX(Catalogo_Tasas,MATCH($G301,Catalogo_Codigos,0)),""))</f>
        <v/>
      </c>
      <c r="Q301" s="32">
        <f>IF($G301="","",IFERROR(INDEX(Catalogo_Umbrales,MATCH($G301,Catalogo_Codigos,0)),""))</f>
        <v/>
      </c>
      <c r="R301">
        <f>IF(OR($C301="",$P301="",$O301=""),"",IF($F301&lt;&gt;"FACTURA","NO",IF(AND($P301&gt;0,$O301&gt;$Q301),"SI","NO")))</f>
        <v/>
      </c>
      <c r="S301" s="20">
        <f>IF($R301="SI",ROUND($O301*$P301,2),IF($C301="","",0))</f>
        <v/>
      </c>
      <c r="T301" s="20" t="n"/>
      <c r="U301">
        <f>IF($C301="","",IF($R301&lt;&gt;"SI","",IF($T301="","SIN DATO",IF(ABS($T301-$S301)&lt;=0.5,"OK","REVISAR"))))</f>
        <v/>
      </c>
      <c r="V301" s="20" t="n"/>
      <c r="W301" s="20">
        <f>IF(OR($C301="",$N301=""),"",IF($F301="RHE",ROUND($L301-$V301,2),ROUND($L301-($S301/$N301),2)))</f>
        <v/>
      </c>
      <c r="X301" s="25" t="n"/>
      <c r="Y301" s="25" t="n"/>
    </row>
    <row r="302">
      <c r="A302" t="n">
        <v>299</v>
      </c>
      <c r="B302" s="25" t="n"/>
      <c r="D302" s="30" t="n"/>
      <c r="G302" s="30" t="n"/>
      <c r="H302">
        <f>IF($G302="","",IFERROR(INDEX(Catalogo_Etiquetas,MATCH($G302,Catalogo_Codigos,0)),"CODIGO NO VALIDO"))</f>
        <v/>
      </c>
      <c r="J302" s="20" t="n"/>
      <c r="K302" s="20" t="n"/>
      <c r="L302" s="20">
        <f>IF($C302="","",$J302+$K302)</f>
        <v/>
      </c>
      <c r="M302" s="30" t="n"/>
      <c r="N302" s="26">
        <f>IF($C302="","",IF($I302="PEN",1,IFERROR(IF(_xlfn.XLOOKUP($B302,TC_Fechas,TC_Venta_Rango,"",-1)="","",_xlfn.XLOOKUP($B302,TC_Fechas,TC_Venta_Rango,"",-1)),"")))</f>
        <v/>
      </c>
      <c r="O302" s="20">
        <f>IF(OR($C302="",$N302=""),"",ROUND($J302*$N302,2)+ROUND($K302*$N302,2))</f>
        <v/>
      </c>
      <c r="P302" s="31">
        <f>IF($G302="","",IFERROR(INDEX(Catalogo_Tasas,MATCH($G302,Catalogo_Codigos,0)),""))</f>
        <v/>
      </c>
      <c r="Q302" s="32">
        <f>IF($G302="","",IFERROR(INDEX(Catalogo_Umbrales,MATCH($G302,Catalogo_Codigos,0)),""))</f>
        <v/>
      </c>
      <c r="R302">
        <f>IF(OR($C302="",$P302="",$O302=""),"",IF($F302&lt;&gt;"FACTURA","NO",IF(AND($P302&gt;0,$O302&gt;$Q302),"SI","NO")))</f>
        <v/>
      </c>
      <c r="S302" s="20">
        <f>IF($R302="SI",ROUND($O302*$P302,2),IF($C302="","",0))</f>
        <v/>
      </c>
      <c r="T302" s="20" t="n"/>
      <c r="U302">
        <f>IF($C302="","",IF($R302&lt;&gt;"SI","",IF($T302="","SIN DATO",IF(ABS($T302-$S302)&lt;=0.5,"OK","REVISAR"))))</f>
        <v/>
      </c>
      <c r="V302" s="20" t="n"/>
      <c r="W302" s="20">
        <f>IF(OR($C302="",$N302=""),"",IF($F302="RHE",ROUND($L302-$V302,2),ROUND($L302-($S302/$N302),2)))</f>
        <v/>
      </c>
      <c r="X302" s="25" t="n"/>
      <c r="Y302" s="25" t="n"/>
    </row>
    <row r="303">
      <c r="A303" t="n">
        <v>300</v>
      </c>
      <c r="B303" s="25" t="n"/>
      <c r="D303" s="30" t="n"/>
      <c r="G303" s="30" t="n"/>
      <c r="H303">
        <f>IF($G303="","",IFERROR(INDEX(Catalogo_Etiquetas,MATCH($G303,Catalogo_Codigos,0)),"CODIGO NO VALIDO"))</f>
        <v/>
      </c>
      <c r="J303" s="20" t="n"/>
      <c r="K303" s="20" t="n"/>
      <c r="L303" s="20">
        <f>IF($C303="","",$J303+$K303)</f>
        <v/>
      </c>
      <c r="M303" s="30" t="n"/>
      <c r="N303" s="26">
        <f>IF($C303="","",IF($I303="PEN",1,IFERROR(IF(_xlfn.XLOOKUP($B303,TC_Fechas,TC_Venta_Rango,"",-1)="","",_xlfn.XLOOKUP($B303,TC_Fechas,TC_Venta_Rango,"",-1)),"")))</f>
        <v/>
      </c>
      <c r="O303" s="20">
        <f>IF(OR($C303="",$N303=""),"",ROUND($J303*$N303,2)+ROUND($K303*$N303,2))</f>
        <v/>
      </c>
      <c r="P303" s="31">
        <f>IF($G303="","",IFERROR(INDEX(Catalogo_Tasas,MATCH($G303,Catalogo_Codigos,0)),""))</f>
        <v/>
      </c>
      <c r="Q303" s="32">
        <f>IF($G303="","",IFERROR(INDEX(Catalogo_Umbrales,MATCH($G303,Catalogo_Codigos,0)),""))</f>
        <v/>
      </c>
      <c r="R303">
        <f>IF(OR($C303="",$P303="",$O303=""),"",IF($F303&lt;&gt;"FACTURA","NO",IF(AND($P303&gt;0,$O303&gt;$Q303),"SI","NO")))</f>
        <v/>
      </c>
      <c r="S303" s="20">
        <f>IF($R303="SI",ROUND($O303*$P303,2),IF($C303="","",0))</f>
        <v/>
      </c>
      <c r="T303" s="20" t="n"/>
      <c r="U303">
        <f>IF($C303="","",IF($R303&lt;&gt;"SI","",IF($T303="","SIN DATO",IF(ABS($T303-$S303)&lt;=0.5,"OK","REVISAR"))))</f>
        <v/>
      </c>
      <c r="V303" s="20" t="n"/>
      <c r="W303" s="20">
        <f>IF(OR($C303="",$N303=""),"",IF($F303="RHE",ROUND($L303-$V303,2),ROUND($L303-($S303/$N303),2)))</f>
        <v/>
      </c>
      <c r="X303" s="25" t="n"/>
      <c r="Y303" s="25" t="n"/>
    </row>
    <row r="304">
      <c r="A304" t="n">
        <v>301</v>
      </c>
      <c r="B304" s="25" t="n"/>
      <c r="D304" s="30" t="n"/>
      <c r="G304" s="30" t="n"/>
      <c r="H304">
        <f>IF($G304="","",IFERROR(INDEX(Catalogo_Etiquetas,MATCH($G304,Catalogo_Codigos,0)),"CODIGO NO VALIDO"))</f>
        <v/>
      </c>
      <c r="J304" s="20" t="n"/>
      <c r="K304" s="20" t="n"/>
      <c r="L304" s="20">
        <f>IF($C304="","",$J304+$K304)</f>
        <v/>
      </c>
      <c r="M304" s="30" t="n"/>
      <c r="N304" s="26">
        <f>IF($C304="","",IF($I304="PEN",1,IFERROR(IF(_xlfn.XLOOKUP($B304,TC_Fechas,TC_Venta_Rango,"",-1)="","",_xlfn.XLOOKUP($B304,TC_Fechas,TC_Venta_Rango,"",-1)),"")))</f>
        <v/>
      </c>
      <c r="O304" s="20">
        <f>IF(OR($C304="",$N304=""),"",ROUND($J304*$N304,2)+ROUND($K304*$N304,2))</f>
        <v/>
      </c>
      <c r="P304" s="31">
        <f>IF($G304="","",IFERROR(INDEX(Catalogo_Tasas,MATCH($G304,Catalogo_Codigos,0)),""))</f>
        <v/>
      </c>
      <c r="Q304" s="32">
        <f>IF($G304="","",IFERROR(INDEX(Catalogo_Umbrales,MATCH($G304,Catalogo_Codigos,0)),""))</f>
        <v/>
      </c>
      <c r="R304">
        <f>IF(OR($C304="",$P304="",$O304=""),"",IF($F304&lt;&gt;"FACTURA","NO",IF(AND($P304&gt;0,$O304&gt;$Q304),"SI","NO")))</f>
        <v/>
      </c>
      <c r="S304" s="20">
        <f>IF($R304="SI",ROUND($O304*$P304,2),IF($C304="","",0))</f>
        <v/>
      </c>
      <c r="T304" s="20" t="n"/>
      <c r="U304">
        <f>IF($C304="","",IF($R304&lt;&gt;"SI","",IF($T304="","SIN DATO",IF(ABS($T304-$S304)&lt;=0.5,"OK","REVISAR"))))</f>
        <v/>
      </c>
      <c r="V304" s="20" t="n"/>
      <c r="W304" s="20">
        <f>IF(OR($C304="",$N304=""),"",IF($F304="RHE",ROUND($L304-$V304,2),ROUND($L304-($S304/$N304),2)))</f>
        <v/>
      </c>
      <c r="X304" s="25" t="n"/>
      <c r="Y304" s="25" t="n"/>
    </row>
    <row r="305">
      <c r="A305" t="n">
        <v>302</v>
      </c>
      <c r="B305" s="25" t="n"/>
      <c r="D305" s="30" t="n"/>
      <c r="G305" s="30" t="n"/>
      <c r="H305">
        <f>IF($G305="","",IFERROR(INDEX(Catalogo_Etiquetas,MATCH($G305,Catalogo_Codigos,0)),"CODIGO NO VALIDO"))</f>
        <v/>
      </c>
      <c r="J305" s="20" t="n"/>
      <c r="K305" s="20" t="n"/>
      <c r="L305" s="20">
        <f>IF($C305="","",$J305+$K305)</f>
        <v/>
      </c>
      <c r="M305" s="30" t="n"/>
      <c r="N305" s="26">
        <f>IF($C305="","",IF($I305="PEN",1,IFERROR(IF(_xlfn.XLOOKUP($B305,TC_Fechas,TC_Venta_Rango,"",-1)="","",_xlfn.XLOOKUP($B305,TC_Fechas,TC_Venta_Rango,"",-1)),"")))</f>
        <v/>
      </c>
      <c r="O305" s="20">
        <f>IF(OR($C305="",$N305=""),"",ROUND($J305*$N305,2)+ROUND($K305*$N305,2))</f>
        <v/>
      </c>
      <c r="P305" s="31">
        <f>IF($G305="","",IFERROR(INDEX(Catalogo_Tasas,MATCH($G305,Catalogo_Codigos,0)),""))</f>
        <v/>
      </c>
      <c r="Q305" s="32">
        <f>IF($G305="","",IFERROR(INDEX(Catalogo_Umbrales,MATCH($G305,Catalogo_Codigos,0)),""))</f>
        <v/>
      </c>
      <c r="R305">
        <f>IF(OR($C305="",$P305="",$O305=""),"",IF($F305&lt;&gt;"FACTURA","NO",IF(AND($P305&gt;0,$O305&gt;$Q305),"SI","NO")))</f>
        <v/>
      </c>
      <c r="S305" s="20">
        <f>IF($R305="SI",ROUND($O305*$P305,2),IF($C305="","",0))</f>
        <v/>
      </c>
      <c r="T305" s="20" t="n"/>
      <c r="U305">
        <f>IF($C305="","",IF($R305&lt;&gt;"SI","",IF($T305="","SIN DATO",IF(ABS($T305-$S305)&lt;=0.5,"OK","REVISAR"))))</f>
        <v/>
      </c>
      <c r="V305" s="20" t="n"/>
      <c r="W305" s="20">
        <f>IF(OR($C305="",$N305=""),"",IF($F305="RHE",ROUND($L305-$V305,2),ROUND($L305-($S305/$N305),2)))</f>
        <v/>
      </c>
      <c r="X305" s="25" t="n"/>
      <c r="Y305" s="25" t="n"/>
    </row>
    <row r="306">
      <c r="A306" t="n">
        <v>303</v>
      </c>
      <c r="B306" s="25" t="n"/>
      <c r="D306" s="30" t="n"/>
      <c r="G306" s="30" t="n"/>
      <c r="H306">
        <f>IF($G306="","",IFERROR(INDEX(Catalogo_Etiquetas,MATCH($G306,Catalogo_Codigos,0)),"CODIGO NO VALIDO"))</f>
        <v/>
      </c>
      <c r="J306" s="20" t="n"/>
      <c r="K306" s="20" t="n"/>
      <c r="L306" s="20">
        <f>IF($C306="","",$J306+$K306)</f>
        <v/>
      </c>
      <c r="M306" s="30" t="n"/>
      <c r="N306" s="26">
        <f>IF($C306="","",IF($I306="PEN",1,IFERROR(IF(_xlfn.XLOOKUP($B306,TC_Fechas,TC_Venta_Rango,"",-1)="","",_xlfn.XLOOKUP($B306,TC_Fechas,TC_Venta_Rango,"",-1)),"")))</f>
        <v/>
      </c>
      <c r="O306" s="20">
        <f>IF(OR($C306="",$N306=""),"",ROUND($J306*$N306,2)+ROUND($K306*$N306,2))</f>
        <v/>
      </c>
      <c r="P306" s="31">
        <f>IF($G306="","",IFERROR(INDEX(Catalogo_Tasas,MATCH($G306,Catalogo_Codigos,0)),""))</f>
        <v/>
      </c>
      <c r="Q306" s="32">
        <f>IF($G306="","",IFERROR(INDEX(Catalogo_Umbrales,MATCH($G306,Catalogo_Codigos,0)),""))</f>
        <v/>
      </c>
      <c r="R306">
        <f>IF(OR($C306="",$P306="",$O306=""),"",IF($F306&lt;&gt;"FACTURA","NO",IF(AND($P306&gt;0,$O306&gt;$Q306),"SI","NO")))</f>
        <v/>
      </c>
      <c r="S306" s="20">
        <f>IF($R306="SI",ROUND($O306*$P306,2),IF($C306="","",0))</f>
        <v/>
      </c>
      <c r="T306" s="20" t="n"/>
      <c r="U306">
        <f>IF($C306="","",IF($R306&lt;&gt;"SI","",IF($T306="","SIN DATO",IF(ABS($T306-$S306)&lt;=0.5,"OK","REVISAR"))))</f>
        <v/>
      </c>
      <c r="V306" s="20" t="n"/>
      <c r="W306" s="20">
        <f>IF(OR($C306="",$N306=""),"",IF($F306="RHE",ROUND($L306-$V306,2),ROUND($L306-($S306/$N306),2)))</f>
        <v/>
      </c>
      <c r="X306" s="25" t="n"/>
      <c r="Y306" s="25" t="n"/>
    </row>
    <row r="307">
      <c r="A307" t="n">
        <v>304</v>
      </c>
      <c r="B307" s="25" t="n"/>
      <c r="D307" s="30" t="n"/>
      <c r="G307" s="30" t="n"/>
      <c r="H307">
        <f>IF($G307="","",IFERROR(INDEX(Catalogo_Etiquetas,MATCH($G307,Catalogo_Codigos,0)),"CODIGO NO VALIDO"))</f>
        <v/>
      </c>
      <c r="J307" s="20" t="n"/>
      <c r="K307" s="20" t="n"/>
      <c r="L307" s="20">
        <f>IF($C307="","",$J307+$K307)</f>
        <v/>
      </c>
      <c r="M307" s="30" t="n"/>
      <c r="N307" s="26">
        <f>IF($C307="","",IF($I307="PEN",1,IFERROR(IF(_xlfn.XLOOKUP($B307,TC_Fechas,TC_Venta_Rango,"",-1)="","",_xlfn.XLOOKUP($B307,TC_Fechas,TC_Venta_Rango,"",-1)),"")))</f>
        <v/>
      </c>
      <c r="O307" s="20">
        <f>IF(OR($C307="",$N307=""),"",ROUND($J307*$N307,2)+ROUND($K307*$N307,2))</f>
        <v/>
      </c>
      <c r="P307" s="31">
        <f>IF($G307="","",IFERROR(INDEX(Catalogo_Tasas,MATCH($G307,Catalogo_Codigos,0)),""))</f>
        <v/>
      </c>
      <c r="Q307" s="32">
        <f>IF($G307="","",IFERROR(INDEX(Catalogo_Umbrales,MATCH($G307,Catalogo_Codigos,0)),""))</f>
        <v/>
      </c>
      <c r="R307">
        <f>IF(OR($C307="",$P307="",$O307=""),"",IF($F307&lt;&gt;"FACTURA","NO",IF(AND($P307&gt;0,$O307&gt;$Q307),"SI","NO")))</f>
        <v/>
      </c>
      <c r="S307" s="20">
        <f>IF($R307="SI",ROUND($O307*$P307,2),IF($C307="","",0))</f>
        <v/>
      </c>
      <c r="T307" s="20" t="n"/>
      <c r="U307">
        <f>IF($C307="","",IF($R307&lt;&gt;"SI","",IF($T307="","SIN DATO",IF(ABS($T307-$S307)&lt;=0.5,"OK","REVISAR"))))</f>
        <v/>
      </c>
      <c r="V307" s="20" t="n"/>
      <c r="W307" s="20">
        <f>IF(OR($C307="",$N307=""),"",IF($F307="RHE",ROUND($L307-$V307,2),ROUND($L307-($S307/$N307),2)))</f>
        <v/>
      </c>
      <c r="X307" s="25" t="n"/>
      <c r="Y307" s="25" t="n"/>
    </row>
    <row r="308">
      <c r="A308" t="n">
        <v>305</v>
      </c>
      <c r="B308" s="25" t="n"/>
      <c r="D308" s="30" t="n"/>
      <c r="G308" s="30" t="n"/>
      <c r="H308">
        <f>IF($G308="","",IFERROR(INDEX(Catalogo_Etiquetas,MATCH($G308,Catalogo_Codigos,0)),"CODIGO NO VALIDO"))</f>
        <v/>
      </c>
      <c r="J308" s="20" t="n"/>
      <c r="K308" s="20" t="n"/>
      <c r="L308" s="20">
        <f>IF($C308="","",$J308+$K308)</f>
        <v/>
      </c>
      <c r="M308" s="30" t="n"/>
      <c r="N308" s="26">
        <f>IF($C308="","",IF($I308="PEN",1,IFERROR(IF(_xlfn.XLOOKUP($B308,TC_Fechas,TC_Venta_Rango,"",-1)="","",_xlfn.XLOOKUP($B308,TC_Fechas,TC_Venta_Rango,"",-1)),"")))</f>
        <v/>
      </c>
      <c r="O308" s="20">
        <f>IF(OR($C308="",$N308=""),"",ROUND($J308*$N308,2)+ROUND($K308*$N308,2))</f>
        <v/>
      </c>
      <c r="P308" s="31">
        <f>IF($G308="","",IFERROR(INDEX(Catalogo_Tasas,MATCH($G308,Catalogo_Codigos,0)),""))</f>
        <v/>
      </c>
      <c r="Q308" s="32">
        <f>IF($G308="","",IFERROR(INDEX(Catalogo_Umbrales,MATCH($G308,Catalogo_Codigos,0)),""))</f>
        <v/>
      </c>
      <c r="R308">
        <f>IF(OR($C308="",$P308="",$O308=""),"",IF($F308&lt;&gt;"FACTURA","NO",IF(AND($P308&gt;0,$O308&gt;$Q308),"SI","NO")))</f>
        <v/>
      </c>
      <c r="S308" s="20">
        <f>IF($R308="SI",ROUND($O308*$P308,2),IF($C308="","",0))</f>
        <v/>
      </c>
      <c r="T308" s="20" t="n"/>
      <c r="U308">
        <f>IF($C308="","",IF($R308&lt;&gt;"SI","",IF($T308="","SIN DATO",IF(ABS($T308-$S308)&lt;=0.5,"OK","REVISAR"))))</f>
        <v/>
      </c>
      <c r="V308" s="20" t="n"/>
      <c r="W308" s="20">
        <f>IF(OR($C308="",$N308=""),"",IF($F308="RHE",ROUND($L308-$V308,2),ROUND($L308-($S308/$N308),2)))</f>
        <v/>
      </c>
      <c r="X308" s="25" t="n"/>
      <c r="Y308" s="25" t="n"/>
    </row>
    <row r="309">
      <c r="A309" t="n">
        <v>306</v>
      </c>
      <c r="B309" s="25" t="n"/>
      <c r="D309" s="30" t="n"/>
      <c r="G309" s="30" t="n"/>
      <c r="H309">
        <f>IF($G309="","",IFERROR(INDEX(Catalogo_Etiquetas,MATCH($G309,Catalogo_Codigos,0)),"CODIGO NO VALIDO"))</f>
        <v/>
      </c>
      <c r="J309" s="20" t="n"/>
      <c r="K309" s="20" t="n"/>
      <c r="L309" s="20">
        <f>IF($C309="","",$J309+$K309)</f>
        <v/>
      </c>
      <c r="M309" s="30" t="n"/>
      <c r="N309" s="26">
        <f>IF($C309="","",IF($I309="PEN",1,IFERROR(IF(_xlfn.XLOOKUP($B309,TC_Fechas,TC_Venta_Rango,"",-1)="","",_xlfn.XLOOKUP($B309,TC_Fechas,TC_Venta_Rango,"",-1)),"")))</f>
        <v/>
      </c>
      <c r="O309" s="20">
        <f>IF(OR($C309="",$N309=""),"",ROUND($J309*$N309,2)+ROUND($K309*$N309,2))</f>
        <v/>
      </c>
      <c r="P309" s="31">
        <f>IF($G309="","",IFERROR(INDEX(Catalogo_Tasas,MATCH($G309,Catalogo_Codigos,0)),""))</f>
        <v/>
      </c>
      <c r="Q309" s="32">
        <f>IF($G309="","",IFERROR(INDEX(Catalogo_Umbrales,MATCH($G309,Catalogo_Codigos,0)),""))</f>
        <v/>
      </c>
      <c r="R309">
        <f>IF(OR($C309="",$P309="",$O309=""),"",IF($F309&lt;&gt;"FACTURA","NO",IF(AND($P309&gt;0,$O309&gt;$Q309),"SI","NO")))</f>
        <v/>
      </c>
      <c r="S309" s="20">
        <f>IF($R309="SI",ROUND($O309*$P309,2),IF($C309="","",0))</f>
        <v/>
      </c>
      <c r="T309" s="20" t="n"/>
      <c r="U309">
        <f>IF($C309="","",IF($R309&lt;&gt;"SI","",IF($T309="","SIN DATO",IF(ABS($T309-$S309)&lt;=0.5,"OK","REVISAR"))))</f>
        <v/>
      </c>
      <c r="V309" s="20" t="n"/>
      <c r="W309" s="20">
        <f>IF(OR($C309="",$N309=""),"",IF($F309="RHE",ROUND($L309-$V309,2),ROUND($L309-($S309/$N309),2)))</f>
        <v/>
      </c>
      <c r="X309" s="25" t="n"/>
      <c r="Y309" s="25" t="n"/>
    </row>
    <row r="310">
      <c r="A310" t="n">
        <v>307</v>
      </c>
      <c r="B310" s="25" t="n"/>
      <c r="D310" s="30" t="n"/>
      <c r="G310" s="30" t="n"/>
      <c r="H310">
        <f>IF($G310="","",IFERROR(INDEX(Catalogo_Etiquetas,MATCH($G310,Catalogo_Codigos,0)),"CODIGO NO VALIDO"))</f>
        <v/>
      </c>
      <c r="J310" s="20" t="n"/>
      <c r="K310" s="20" t="n"/>
      <c r="L310" s="20">
        <f>IF($C310="","",$J310+$K310)</f>
        <v/>
      </c>
      <c r="M310" s="30" t="n"/>
      <c r="N310" s="26">
        <f>IF($C310="","",IF($I310="PEN",1,IFERROR(IF(_xlfn.XLOOKUP($B310,TC_Fechas,TC_Venta_Rango,"",-1)="","",_xlfn.XLOOKUP($B310,TC_Fechas,TC_Venta_Rango,"",-1)),"")))</f>
        <v/>
      </c>
      <c r="O310" s="20">
        <f>IF(OR($C310="",$N310=""),"",ROUND($J310*$N310,2)+ROUND($K310*$N310,2))</f>
        <v/>
      </c>
      <c r="P310" s="31">
        <f>IF($G310="","",IFERROR(INDEX(Catalogo_Tasas,MATCH($G310,Catalogo_Codigos,0)),""))</f>
        <v/>
      </c>
      <c r="Q310" s="32">
        <f>IF($G310="","",IFERROR(INDEX(Catalogo_Umbrales,MATCH($G310,Catalogo_Codigos,0)),""))</f>
        <v/>
      </c>
      <c r="R310">
        <f>IF(OR($C310="",$P310="",$O310=""),"",IF($F310&lt;&gt;"FACTURA","NO",IF(AND($P310&gt;0,$O310&gt;$Q310),"SI","NO")))</f>
        <v/>
      </c>
      <c r="S310" s="20">
        <f>IF($R310="SI",ROUND($O310*$P310,2),IF($C310="","",0))</f>
        <v/>
      </c>
      <c r="T310" s="20" t="n"/>
      <c r="U310">
        <f>IF($C310="","",IF($R310&lt;&gt;"SI","",IF($T310="","SIN DATO",IF(ABS($T310-$S310)&lt;=0.5,"OK","REVISAR"))))</f>
        <v/>
      </c>
      <c r="V310" s="20" t="n"/>
      <c r="W310" s="20">
        <f>IF(OR($C310="",$N310=""),"",IF($F310="RHE",ROUND($L310-$V310,2),ROUND($L310-($S310/$N310),2)))</f>
        <v/>
      </c>
      <c r="X310" s="25" t="n"/>
      <c r="Y310" s="25" t="n"/>
    </row>
    <row r="311">
      <c r="A311" t="n">
        <v>308</v>
      </c>
      <c r="B311" s="25" t="n"/>
      <c r="D311" s="30" t="n"/>
      <c r="G311" s="30" t="n"/>
      <c r="H311">
        <f>IF($G311="","",IFERROR(INDEX(Catalogo_Etiquetas,MATCH($G311,Catalogo_Codigos,0)),"CODIGO NO VALIDO"))</f>
        <v/>
      </c>
      <c r="J311" s="20" t="n"/>
      <c r="K311" s="20" t="n"/>
      <c r="L311" s="20">
        <f>IF($C311="","",$J311+$K311)</f>
        <v/>
      </c>
      <c r="M311" s="30" t="n"/>
      <c r="N311" s="26">
        <f>IF($C311="","",IF($I311="PEN",1,IFERROR(IF(_xlfn.XLOOKUP($B311,TC_Fechas,TC_Venta_Rango,"",-1)="","",_xlfn.XLOOKUP($B311,TC_Fechas,TC_Venta_Rango,"",-1)),"")))</f>
        <v/>
      </c>
      <c r="O311" s="20">
        <f>IF(OR($C311="",$N311=""),"",ROUND($J311*$N311,2)+ROUND($K311*$N311,2))</f>
        <v/>
      </c>
      <c r="P311" s="31">
        <f>IF($G311="","",IFERROR(INDEX(Catalogo_Tasas,MATCH($G311,Catalogo_Codigos,0)),""))</f>
        <v/>
      </c>
      <c r="Q311" s="32">
        <f>IF($G311="","",IFERROR(INDEX(Catalogo_Umbrales,MATCH($G311,Catalogo_Codigos,0)),""))</f>
        <v/>
      </c>
      <c r="R311">
        <f>IF(OR($C311="",$P311="",$O311=""),"",IF($F311&lt;&gt;"FACTURA","NO",IF(AND($P311&gt;0,$O311&gt;$Q311),"SI","NO")))</f>
        <v/>
      </c>
      <c r="S311" s="20">
        <f>IF($R311="SI",ROUND($O311*$P311,2),IF($C311="","",0))</f>
        <v/>
      </c>
      <c r="T311" s="20" t="n"/>
      <c r="U311">
        <f>IF($C311="","",IF($R311&lt;&gt;"SI","",IF($T311="","SIN DATO",IF(ABS($T311-$S311)&lt;=0.5,"OK","REVISAR"))))</f>
        <v/>
      </c>
      <c r="V311" s="20" t="n"/>
      <c r="W311" s="20">
        <f>IF(OR($C311="",$N311=""),"",IF($F311="RHE",ROUND($L311-$V311,2),ROUND($L311-($S311/$N311),2)))</f>
        <v/>
      </c>
      <c r="X311" s="25" t="n"/>
      <c r="Y311" s="25" t="n"/>
    </row>
    <row r="312">
      <c r="A312" t="n">
        <v>309</v>
      </c>
      <c r="B312" s="25" t="n"/>
      <c r="D312" s="30" t="n"/>
      <c r="G312" s="30" t="n"/>
      <c r="H312">
        <f>IF($G312="","",IFERROR(INDEX(Catalogo_Etiquetas,MATCH($G312,Catalogo_Codigos,0)),"CODIGO NO VALIDO"))</f>
        <v/>
      </c>
      <c r="J312" s="20" t="n"/>
      <c r="K312" s="20" t="n"/>
      <c r="L312" s="20">
        <f>IF($C312="","",$J312+$K312)</f>
        <v/>
      </c>
      <c r="M312" s="30" t="n"/>
      <c r="N312" s="26">
        <f>IF($C312="","",IF($I312="PEN",1,IFERROR(IF(_xlfn.XLOOKUP($B312,TC_Fechas,TC_Venta_Rango,"",-1)="","",_xlfn.XLOOKUP($B312,TC_Fechas,TC_Venta_Rango,"",-1)),"")))</f>
        <v/>
      </c>
      <c r="O312" s="20">
        <f>IF(OR($C312="",$N312=""),"",ROUND($J312*$N312,2)+ROUND($K312*$N312,2))</f>
        <v/>
      </c>
      <c r="P312" s="31">
        <f>IF($G312="","",IFERROR(INDEX(Catalogo_Tasas,MATCH($G312,Catalogo_Codigos,0)),""))</f>
        <v/>
      </c>
      <c r="Q312" s="32">
        <f>IF($G312="","",IFERROR(INDEX(Catalogo_Umbrales,MATCH($G312,Catalogo_Codigos,0)),""))</f>
        <v/>
      </c>
      <c r="R312">
        <f>IF(OR($C312="",$P312="",$O312=""),"",IF($F312&lt;&gt;"FACTURA","NO",IF(AND($P312&gt;0,$O312&gt;$Q312),"SI","NO")))</f>
        <v/>
      </c>
      <c r="S312" s="20">
        <f>IF($R312="SI",ROUND($O312*$P312,2),IF($C312="","",0))</f>
        <v/>
      </c>
      <c r="T312" s="20" t="n"/>
      <c r="U312">
        <f>IF($C312="","",IF($R312&lt;&gt;"SI","",IF($T312="","SIN DATO",IF(ABS($T312-$S312)&lt;=0.5,"OK","REVISAR"))))</f>
        <v/>
      </c>
      <c r="V312" s="20" t="n"/>
      <c r="W312" s="20">
        <f>IF(OR($C312="",$N312=""),"",IF($F312="RHE",ROUND($L312-$V312,2),ROUND($L312-($S312/$N312),2)))</f>
        <v/>
      </c>
      <c r="X312" s="25" t="n"/>
      <c r="Y312" s="25" t="n"/>
    </row>
    <row r="313">
      <c r="A313" t="n">
        <v>310</v>
      </c>
      <c r="B313" s="25" t="n"/>
      <c r="D313" s="30" t="n"/>
      <c r="G313" s="30" t="n"/>
      <c r="H313">
        <f>IF($G313="","",IFERROR(INDEX(Catalogo_Etiquetas,MATCH($G313,Catalogo_Codigos,0)),"CODIGO NO VALIDO"))</f>
        <v/>
      </c>
      <c r="J313" s="20" t="n"/>
      <c r="K313" s="20" t="n"/>
      <c r="L313" s="20">
        <f>IF($C313="","",$J313+$K313)</f>
        <v/>
      </c>
      <c r="M313" s="30" t="n"/>
      <c r="N313" s="26">
        <f>IF($C313="","",IF($I313="PEN",1,IFERROR(IF(_xlfn.XLOOKUP($B313,TC_Fechas,TC_Venta_Rango,"",-1)="","",_xlfn.XLOOKUP($B313,TC_Fechas,TC_Venta_Rango,"",-1)),"")))</f>
        <v/>
      </c>
      <c r="O313" s="20">
        <f>IF(OR($C313="",$N313=""),"",ROUND($J313*$N313,2)+ROUND($K313*$N313,2))</f>
        <v/>
      </c>
      <c r="P313" s="31">
        <f>IF($G313="","",IFERROR(INDEX(Catalogo_Tasas,MATCH($G313,Catalogo_Codigos,0)),""))</f>
        <v/>
      </c>
      <c r="Q313" s="32">
        <f>IF($G313="","",IFERROR(INDEX(Catalogo_Umbrales,MATCH($G313,Catalogo_Codigos,0)),""))</f>
        <v/>
      </c>
      <c r="R313">
        <f>IF(OR($C313="",$P313="",$O313=""),"",IF($F313&lt;&gt;"FACTURA","NO",IF(AND($P313&gt;0,$O313&gt;$Q313),"SI","NO")))</f>
        <v/>
      </c>
      <c r="S313" s="20">
        <f>IF($R313="SI",ROUND($O313*$P313,2),IF($C313="","",0))</f>
        <v/>
      </c>
      <c r="T313" s="20" t="n"/>
      <c r="U313">
        <f>IF($C313="","",IF($R313&lt;&gt;"SI","",IF($T313="","SIN DATO",IF(ABS($T313-$S313)&lt;=0.5,"OK","REVISAR"))))</f>
        <v/>
      </c>
      <c r="V313" s="20" t="n"/>
      <c r="W313" s="20">
        <f>IF(OR($C313="",$N313=""),"",IF($F313="RHE",ROUND($L313-$V313,2),ROUND($L313-($S313/$N313),2)))</f>
        <v/>
      </c>
      <c r="X313" s="25" t="n"/>
      <c r="Y313" s="25" t="n"/>
    </row>
    <row r="314">
      <c r="A314" t="n">
        <v>311</v>
      </c>
      <c r="B314" s="25" t="n"/>
      <c r="D314" s="30" t="n"/>
      <c r="G314" s="30" t="n"/>
      <c r="H314">
        <f>IF($G314="","",IFERROR(INDEX(Catalogo_Etiquetas,MATCH($G314,Catalogo_Codigos,0)),"CODIGO NO VALIDO"))</f>
        <v/>
      </c>
      <c r="J314" s="20" t="n"/>
      <c r="K314" s="20" t="n"/>
      <c r="L314" s="20">
        <f>IF($C314="","",$J314+$K314)</f>
        <v/>
      </c>
      <c r="M314" s="30" t="n"/>
      <c r="N314" s="26">
        <f>IF($C314="","",IF($I314="PEN",1,IFERROR(IF(_xlfn.XLOOKUP($B314,TC_Fechas,TC_Venta_Rango,"",-1)="","",_xlfn.XLOOKUP($B314,TC_Fechas,TC_Venta_Rango,"",-1)),"")))</f>
        <v/>
      </c>
      <c r="O314" s="20">
        <f>IF(OR($C314="",$N314=""),"",ROUND($J314*$N314,2)+ROUND($K314*$N314,2))</f>
        <v/>
      </c>
      <c r="P314" s="31">
        <f>IF($G314="","",IFERROR(INDEX(Catalogo_Tasas,MATCH($G314,Catalogo_Codigos,0)),""))</f>
        <v/>
      </c>
      <c r="Q314" s="32">
        <f>IF($G314="","",IFERROR(INDEX(Catalogo_Umbrales,MATCH($G314,Catalogo_Codigos,0)),""))</f>
        <v/>
      </c>
      <c r="R314">
        <f>IF(OR($C314="",$P314="",$O314=""),"",IF($F314&lt;&gt;"FACTURA","NO",IF(AND($P314&gt;0,$O314&gt;$Q314),"SI","NO")))</f>
        <v/>
      </c>
      <c r="S314" s="20">
        <f>IF($R314="SI",ROUND($O314*$P314,2),IF($C314="","",0))</f>
        <v/>
      </c>
      <c r="T314" s="20" t="n"/>
      <c r="U314">
        <f>IF($C314="","",IF($R314&lt;&gt;"SI","",IF($T314="","SIN DATO",IF(ABS($T314-$S314)&lt;=0.5,"OK","REVISAR"))))</f>
        <v/>
      </c>
      <c r="V314" s="20" t="n"/>
      <c r="W314" s="20">
        <f>IF(OR($C314="",$N314=""),"",IF($F314="RHE",ROUND($L314-$V314,2),ROUND($L314-($S314/$N314),2)))</f>
        <v/>
      </c>
      <c r="X314" s="25" t="n"/>
      <c r="Y314" s="25" t="n"/>
    </row>
    <row r="315">
      <c r="A315" t="n">
        <v>312</v>
      </c>
      <c r="B315" s="25" t="n"/>
      <c r="D315" s="30" t="n"/>
      <c r="G315" s="30" t="n"/>
      <c r="H315">
        <f>IF($G315="","",IFERROR(INDEX(Catalogo_Etiquetas,MATCH($G315,Catalogo_Codigos,0)),"CODIGO NO VALIDO"))</f>
        <v/>
      </c>
      <c r="J315" s="20" t="n"/>
      <c r="K315" s="20" t="n"/>
      <c r="L315" s="20">
        <f>IF($C315="","",$J315+$K315)</f>
        <v/>
      </c>
      <c r="M315" s="30" t="n"/>
      <c r="N315" s="26">
        <f>IF($C315="","",IF($I315="PEN",1,IFERROR(IF(_xlfn.XLOOKUP($B315,TC_Fechas,TC_Venta_Rango,"",-1)="","",_xlfn.XLOOKUP($B315,TC_Fechas,TC_Venta_Rango,"",-1)),"")))</f>
        <v/>
      </c>
      <c r="O315" s="20">
        <f>IF(OR($C315="",$N315=""),"",ROUND($J315*$N315,2)+ROUND($K315*$N315,2))</f>
        <v/>
      </c>
      <c r="P315" s="31">
        <f>IF($G315="","",IFERROR(INDEX(Catalogo_Tasas,MATCH($G315,Catalogo_Codigos,0)),""))</f>
        <v/>
      </c>
      <c r="Q315" s="32">
        <f>IF($G315="","",IFERROR(INDEX(Catalogo_Umbrales,MATCH($G315,Catalogo_Codigos,0)),""))</f>
        <v/>
      </c>
      <c r="R315">
        <f>IF(OR($C315="",$P315="",$O315=""),"",IF($F315&lt;&gt;"FACTURA","NO",IF(AND($P315&gt;0,$O315&gt;$Q315),"SI","NO")))</f>
        <v/>
      </c>
      <c r="S315" s="20">
        <f>IF($R315="SI",ROUND($O315*$P315,2),IF($C315="","",0))</f>
        <v/>
      </c>
      <c r="T315" s="20" t="n"/>
      <c r="U315">
        <f>IF($C315="","",IF($R315&lt;&gt;"SI","",IF($T315="","SIN DATO",IF(ABS($T315-$S315)&lt;=0.5,"OK","REVISAR"))))</f>
        <v/>
      </c>
      <c r="V315" s="20" t="n"/>
      <c r="W315" s="20">
        <f>IF(OR($C315="",$N315=""),"",IF($F315="RHE",ROUND($L315-$V315,2),ROUND($L315-($S315/$N315),2)))</f>
        <v/>
      </c>
      <c r="X315" s="25" t="n"/>
      <c r="Y315" s="25" t="n"/>
    </row>
    <row r="316">
      <c r="A316" t="n">
        <v>313</v>
      </c>
      <c r="B316" s="25" t="n"/>
      <c r="D316" s="30" t="n"/>
      <c r="G316" s="30" t="n"/>
      <c r="H316">
        <f>IF($G316="","",IFERROR(INDEX(Catalogo_Etiquetas,MATCH($G316,Catalogo_Codigos,0)),"CODIGO NO VALIDO"))</f>
        <v/>
      </c>
      <c r="J316" s="20" t="n"/>
      <c r="K316" s="20" t="n"/>
      <c r="L316" s="20">
        <f>IF($C316="","",$J316+$K316)</f>
        <v/>
      </c>
      <c r="M316" s="30" t="n"/>
      <c r="N316" s="26">
        <f>IF($C316="","",IF($I316="PEN",1,IFERROR(IF(_xlfn.XLOOKUP($B316,TC_Fechas,TC_Venta_Rango,"",-1)="","",_xlfn.XLOOKUP($B316,TC_Fechas,TC_Venta_Rango,"",-1)),"")))</f>
        <v/>
      </c>
      <c r="O316" s="20">
        <f>IF(OR($C316="",$N316=""),"",ROUND($J316*$N316,2)+ROUND($K316*$N316,2))</f>
        <v/>
      </c>
      <c r="P316" s="31">
        <f>IF($G316="","",IFERROR(INDEX(Catalogo_Tasas,MATCH($G316,Catalogo_Codigos,0)),""))</f>
        <v/>
      </c>
      <c r="Q316" s="32">
        <f>IF($G316="","",IFERROR(INDEX(Catalogo_Umbrales,MATCH($G316,Catalogo_Codigos,0)),""))</f>
        <v/>
      </c>
      <c r="R316">
        <f>IF(OR($C316="",$P316="",$O316=""),"",IF($F316&lt;&gt;"FACTURA","NO",IF(AND($P316&gt;0,$O316&gt;$Q316),"SI","NO")))</f>
        <v/>
      </c>
      <c r="S316" s="20">
        <f>IF($R316="SI",ROUND($O316*$P316,2),IF($C316="","",0))</f>
        <v/>
      </c>
      <c r="T316" s="20" t="n"/>
      <c r="U316">
        <f>IF($C316="","",IF($R316&lt;&gt;"SI","",IF($T316="","SIN DATO",IF(ABS($T316-$S316)&lt;=0.5,"OK","REVISAR"))))</f>
        <v/>
      </c>
      <c r="V316" s="20" t="n"/>
      <c r="W316" s="20">
        <f>IF(OR($C316="",$N316=""),"",IF($F316="RHE",ROUND($L316-$V316,2),ROUND($L316-($S316/$N316),2)))</f>
        <v/>
      </c>
      <c r="X316" s="25" t="n"/>
      <c r="Y316" s="25" t="n"/>
    </row>
    <row r="317">
      <c r="A317" t="n">
        <v>314</v>
      </c>
      <c r="B317" s="25" t="n"/>
      <c r="D317" s="30" t="n"/>
      <c r="G317" s="30" t="n"/>
      <c r="H317">
        <f>IF($G317="","",IFERROR(INDEX(Catalogo_Etiquetas,MATCH($G317,Catalogo_Codigos,0)),"CODIGO NO VALIDO"))</f>
        <v/>
      </c>
      <c r="J317" s="20" t="n"/>
      <c r="K317" s="20" t="n"/>
      <c r="L317" s="20">
        <f>IF($C317="","",$J317+$K317)</f>
        <v/>
      </c>
      <c r="M317" s="30" t="n"/>
      <c r="N317" s="26">
        <f>IF($C317="","",IF($I317="PEN",1,IFERROR(IF(_xlfn.XLOOKUP($B317,TC_Fechas,TC_Venta_Rango,"",-1)="","",_xlfn.XLOOKUP($B317,TC_Fechas,TC_Venta_Rango,"",-1)),"")))</f>
        <v/>
      </c>
      <c r="O317" s="20">
        <f>IF(OR($C317="",$N317=""),"",ROUND($J317*$N317,2)+ROUND($K317*$N317,2))</f>
        <v/>
      </c>
      <c r="P317" s="31">
        <f>IF($G317="","",IFERROR(INDEX(Catalogo_Tasas,MATCH($G317,Catalogo_Codigos,0)),""))</f>
        <v/>
      </c>
      <c r="Q317" s="32">
        <f>IF($G317="","",IFERROR(INDEX(Catalogo_Umbrales,MATCH($G317,Catalogo_Codigos,0)),""))</f>
        <v/>
      </c>
      <c r="R317">
        <f>IF(OR($C317="",$P317="",$O317=""),"",IF($F317&lt;&gt;"FACTURA","NO",IF(AND($P317&gt;0,$O317&gt;$Q317),"SI","NO")))</f>
        <v/>
      </c>
      <c r="S317" s="20">
        <f>IF($R317="SI",ROUND($O317*$P317,2),IF($C317="","",0))</f>
        <v/>
      </c>
      <c r="T317" s="20" t="n"/>
      <c r="U317">
        <f>IF($C317="","",IF($R317&lt;&gt;"SI","",IF($T317="","SIN DATO",IF(ABS($T317-$S317)&lt;=0.5,"OK","REVISAR"))))</f>
        <v/>
      </c>
      <c r="V317" s="20" t="n"/>
      <c r="W317" s="20">
        <f>IF(OR($C317="",$N317=""),"",IF($F317="RHE",ROUND($L317-$V317,2),ROUND($L317-($S317/$N317),2)))</f>
        <v/>
      </c>
      <c r="X317" s="25" t="n"/>
      <c r="Y317" s="25" t="n"/>
    </row>
    <row r="318">
      <c r="A318" t="n">
        <v>315</v>
      </c>
      <c r="B318" s="25" t="n"/>
      <c r="D318" s="30" t="n"/>
      <c r="G318" s="30" t="n"/>
      <c r="H318">
        <f>IF($G318="","",IFERROR(INDEX(Catalogo_Etiquetas,MATCH($G318,Catalogo_Codigos,0)),"CODIGO NO VALIDO"))</f>
        <v/>
      </c>
      <c r="J318" s="20" t="n"/>
      <c r="K318" s="20" t="n"/>
      <c r="L318" s="20">
        <f>IF($C318="","",$J318+$K318)</f>
        <v/>
      </c>
      <c r="M318" s="30" t="n"/>
      <c r="N318" s="26">
        <f>IF($C318="","",IF($I318="PEN",1,IFERROR(IF(_xlfn.XLOOKUP($B318,TC_Fechas,TC_Venta_Rango,"",-1)="","",_xlfn.XLOOKUP($B318,TC_Fechas,TC_Venta_Rango,"",-1)),"")))</f>
        <v/>
      </c>
      <c r="O318" s="20">
        <f>IF(OR($C318="",$N318=""),"",ROUND($J318*$N318,2)+ROUND($K318*$N318,2))</f>
        <v/>
      </c>
      <c r="P318" s="31">
        <f>IF($G318="","",IFERROR(INDEX(Catalogo_Tasas,MATCH($G318,Catalogo_Codigos,0)),""))</f>
        <v/>
      </c>
      <c r="Q318" s="32">
        <f>IF($G318="","",IFERROR(INDEX(Catalogo_Umbrales,MATCH($G318,Catalogo_Codigos,0)),""))</f>
        <v/>
      </c>
      <c r="R318">
        <f>IF(OR($C318="",$P318="",$O318=""),"",IF($F318&lt;&gt;"FACTURA","NO",IF(AND($P318&gt;0,$O318&gt;$Q318),"SI","NO")))</f>
        <v/>
      </c>
      <c r="S318" s="20">
        <f>IF($R318="SI",ROUND($O318*$P318,2),IF($C318="","",0))</f>
        <v/>
      </c>
      <c r="T318" s="20" t="n"/>
      <c r="U318">
        <f>IF($C318="","",IF($R318&lt;&gt;"SI","",IF($T318="","SIN DATO",IF(ABS($T318-$S318)&lt;=0.5,"OK","REVISAR"))))</f>
        <v/>
      </c>
      <c r="V318" s="20" t="n"/>
      <c r="W318" s="20">
        <f>IF(OR($C318="",$N318=""),"",IF($F318="RHE",ROUND($L318-$V318,2),ROUND($L318-($S318/$N318),2)))</f>
        <v/>
      </c>
      <c r="X318" s="25" t="n"/>
      <c r="Y318" s="25" t="n"/>
    </row>
    <row r="319">
      <c r="A319" t="n">
        <v>316</v>
      </c>
      <c r="B319" s="25" t="n"/>
      <c r="D319" s="30" t="n"/>
      <c r="G319" s="30" t="n"/>
      <c r="H319">
        <f>IF($G319="","",IFERROR(INDEX(Catalogo_Etiquetas,MATCH($G319,Catalogo_Codigos,0)),"CODIGO NO VALIDO"))</f>
        <v/>
      </c>
      <c r="J319" s="20" t="n"/>
      <c r="K319" s="20" t="n"/>
      <c r="L319" s="20">
        <f>IF($C319="","",$J319+$K319)</f>
        <v/>
      </c>
      <c r="M319" s="30" t="n"/>
      <c r="N319" s="26">
        <f>IF($C319="","",IF($I319="PEN",1,IFERROR(IF(_xlfn.XLOOKUP($B319,TC_Fechas,TC_Venta_Rango,"",-1)="","",_xlfn.XLOOKUP($B319,TC_Fechas,TC_Venta_Rango,"",-1)),"")))</f>
        <v/>
      </c>
      <c r="O319" s="20">
        <f>IF(OR($C319="",$N319=""),"",ROUND($J319*$N319,2)+ROUND($K319*$N319,2))</f>
        <v/>
      </c>
      <c r="P319" s="31">
        <f>IF($G319="","",IFERROR(INDEX(Catalogo_Tasas,MATCH($G319,Catalogo_Codigos,0)),""))</f>
        <v/>
      </c>
      <c r="Q319" s="32">
        <f>IF($G319="","",IFERROR(INDEX(Catalogo_Umbrales,MATCH($G319,Catalogo_Codigos,0)),""))</f>
        <v/>
      </c>
      <c r="R319">
        <f>IF(OR($C319="",$P319="",$O319=""),"",IF($F319&lt;&gt;"FACTURA","NO",IF(AND($P319&gt;0,$O319&gt;$Q319),"SI","NO")))</f>
        <v/>
      </c>
      <c r="S319" s="20">
        <f>IF($R319="SI",ROUND($O319*$P319,2),IF($C319="","",0))</f>
        <v/>
      </c>
      <c r="T319" s="20" t="n"/>
      <c r="U319">
        <f>IF($C319="","",IF($R319&lt;&gt;"SI","",IF($T319="","SIN DATO",IF(ABS($T319-$S319)&lt;=0.5,"OK","REVISAR"))))</f>
        <v/>
      </c>
      <c r="V319" s="20" t="n"/>
      <c r="W319" s="20">
        <f>IF(OR($C319="",$N319=""),"",IF($F319="RHE",ROUND($L319-$V319,2),ROUND($L319-($S319/$N319),2)))</f>
        <v/>
      </c>
      <c r="X319" s="25" t="n"/>
      <c r="Y319" s="25" t="n"/>
    </row>
    <row r="320">
      <c r="A320" t="n">
        <v>317</v>
      </c>
      <c r="B320" s="25" t="n"/>
      <c r="D320" s="30" t="n"/>
      <c r="G320" s="30" t="n"/>
      <c r="H320">
        <f>IF($G320="","",IFERROR(INDEX(Catalogo_Etiquetas,MATCH($G320,Catalogo_Codigos,0)),"CODIGO NO VALIDO"))</f>
        <v/>
      </c>
      <c r="J320" s="20" t="n"/>
      <c r="K320" s="20" t="n"/>
      <c r="L320" s="20">
        <f>IF($C320="","",$J320+$K320)</f>
        <v/>
      </c>
      <c r="M320" s="30" t="n"/>
      <c r="N320" s="26">
        <f>IF($C320="","",IF($I320="PEN",1,IFERROR(IF(_xlfn.XLOOKUP($B320,TC_Fechas,TC_Venta_Rango,"",-1)="","",_xlfn.XLOOKUP($B320,TC_Fechas,TC_Venta_Rango,"",-1)),"")))</f>
        <v/>
      </c>
      <c r="O320" s="20">
        <f>IF(OR($C320="",$N320=""),"",ROUND($J320*$N320,2)+ROUND($K320*$N320,2))</f>
        <v/>
      </c>
      <c r="P320" s="31">
        <f>IF($G320="","",IFERROR(INDEX(Catalogo_Tasas,MATCH($G320,Catalogo_Codigos,0)),""))</f>
        <v/>
      </c>
      <c r="Q320" s="32">
        <f>IF($G320="","",IFERROR(INDEX(Catalogo_Umbrales,MATCH($G320,Catalogo_Codigos,0)),""))</f>
        <v/>
      </c>
      <c r="R320">
        <f>IF(OR($C320="",$P320="",$O320=""),"",IF($F320&lt;&gt;"FACTURA","NO",IF(AND($P320&gt;0,$O320&gt;$Q320),"SI","NO")))</f>
        <v/>
      </c>
      <c r="S320" s="20">
        <f>IF($R320="SI",ROUND($O320*$P320,2),IF($C320="","",0))</f>
        <v/>
      </c>
      <c r="T320" s="20" t="n"/>
      <c r="U320">
        <f>IF($C320="","",IF($R320&lt;&gt;"SI","",IF($T320="","SIN DATO",IF(ABS($T320-$S320)&lt;=0.5,"OK","REVISAR"))))</f>
        <v/>
      </c>
      <c r="V320" s="20" t="n"/>
      <c r="W320" s="20">
        <f>IF(OR($C320="",$N320=""),"",IF($F320="RHE",ROUND($L320-$V320,2),ROUND($L320-($S320/$N320),2)))</f>
        <v/>
      </c>
      <c r="X320" s="25" t="n"/>
      <c r="Y320" s="25" t="n"/>
    </row>
    <row r="321">
      <c r="A321" t="n">
        <v>318</v>
      </c>
      <c r="B321" s="25" t="n"/>
      <c r="D321" s="30" t="n"/>
      <c r="G321" s="30" t="n"/>
      <c r="H321">
        <f>IF($G321="","",IFERROR(INDEX(Catalogo_Etiquetas,MATCH($G321,Catalogo_Codigos,0)),"CODIGO NO VALIDO"))</f>
        <v/>
      </c>
      <c r="J321" s="20" t="n"/>
      <c r="K321" s="20" t="n"/>
      <c r="L321" s="20">
        <f>IF($C321="","",$J321+$K321)</f>
        <v/>
      </c>
      <c r="M321" s="30" t="n"/>
      <c r="N321" s="26">
        <f>IF($C321="","",IF($I321="PEN",1,IFERROR(IF(_xlfn.XLOOKUP($B321,TC_Fechas,TC_Venta_Rango,"",-1)="","",_xlfn.XLOOKUP($B321,TC_Fechas,TC_Venta_Rango,"",-1)),"")))</f>
        <v/>
      </c>
      <c r="O321" s="20">
        <f>IF(OR($C321="",$N321=""),"",ROUND($J321*$N321,2)+ROUND($K321*$N321,2))</f>
        <v/>
      </c>
      <c r="P321" s="31">
        <f>IF($G321="","",IFERROR(INDEX(Catalogo_Tasas,MATCH($G321,Catalogo_Codigos,0)),""))</f>
        <v/>
      </c>
      <c r="Q321" s="32">
        <f>IF($G321="","",IFERROR(INDEX(Catalogo_Umbrales,MATCH($G321,Catalogo_Codigos,0)),""))</f>
        <v/>
      </c>
      <c r="R321">
        <f>IF(OR($C321="",$P321="",$O321=""),"",IF($F321&lt;&gt;"FACTURA","NO",IF(AND($P321&gt;0,$O321&gt;$Q321),"SI","NO")))</f>
        <v/>
      </c>
      <c r="S321" s="20">
        <f>IF($R321="SI",ROUND($O321*$P321,2),IF($C321="","",0))</f>
        <v/>
      </c>
      <c r="T321" s="20" t="n"/>
      <c r="U321">
        <f>IF($C321="","",IF($R321&lt;&gt;"SI","",IF($T321="","SIN DATO",IF(ABS($T321-$S321)&lt;=0.5,"OK","REVISAR"))))</f>
        <v/>
      </c>
      <c r="V321" s="20" t="n"/>
      <c r="W321" s="20">
        <f>IF(OR($C321="",$N321=""),"",IF($F321="RHE",ROUND($L321-$V321,2),ROUND($L321-($S321/$N321),2)))</f>
        <v/>
      </c>
      <c r="X321" s="25" t="n"/>
      <c r="Y321" s="25" t="n"/>
    </row>
    <row r="322">
      <c r="A322" t="n">
        <v>319</v>
      </c>
      <c r="B322" s="25" t="n"/>
      <c r="D322" s="30" t="n"/>
      <c r="G322" s="30" t="n"/>
      <c r="H322">
        <f>IF($G322="","",IFERROR(INDEX(Catalogo_Etiquetas,MATCH($G322,Catalogo_Codigos,0)),"CODIGO NO VALIDO"))</f>
        <v/>
      </c>
      <c r="J322" s="20" t="n"/>
      <c r="K322" s="20" t="n"/>
      <c r="L322" s="20">
        <f>IF($C322="","",$J322+$K322)</f>
        <v/>
      </c>
      <c r="M322" s="30" t="n"/>
      <c r="N322" s="26">
        <f>IF($C322="","",IF($I322="PEN",1,IFERROR(IF(_xlfn.XLOOKUP($B322,TC_Fechas,TC_Venta_Rango,"",-1)="","",_xlfn.XLOOKUP($B322,TC_Fechas,TC_Venta_Rango,"",-1)),"")))</f>
        <v/>
      </c>
      <c r="O322" s="20">
        <f>IF(OR($C322="",$N322=""),"",ROUND($J322*$N322,2)+ROUND($K322*$N322,2))</f>
        <v/>
      </c>
      <c r="P322" s="31">
        <f>IF($G322="","",IFERROR(INDEX(Catalogo_Tasas,MATCH($G322,Catalogo_Codigos,0)),""))</f>
        <v/>
      </c>
      <c r="Q322" s="32">
        <f>IF($G322="","",IFERROR(INDEX(Catalogo_Umbrales,MATCH($G322,Catalogo_Codigos,0)),""))</f>
        <v/>
      </c>
      <c r="R322">
        <f>IF(OR($C322="",$P322="",$O322=""),"",IF($F322&lt;&gt;"FACTURA","NO",IF(AND($P322&gt;0,$O322&gt;$Q322),"SI","NO")))</f>
        <v/>
      </c>
      <c r="S322" s="20">
        <f>IF($R322="SI",ROUND($O322*$P322,2),IF($C322="","",0))</f>
        <v/>
      </c>
      <c r="T322" s="20" t="n"/>
      <c r="U322">
        <f>IF($C322="","",IF($R322&lt;&gt;"SI","",IF($T322="","SIN DATO",IF(ABS($T322-$S322)&lt;=0.5,"OK","REVISAR"))))</f>
        <v/>
      </c>
      <c r="V322" s="20" t="n"/>
      <c r="W322" s="20">
        <f>IF(OR($C322="",$N322=""),"",IF($F322="RHE",ROUND($L322-$V322,2),ROUND($L322-($S322/$N322),2)))</f>
        <v/>
      </c>
      <c r="X322" s="25" t="n"/>
      <c r="Y322" s="25" t="n"/>
    </row>
    <row r="323">
      <c r="A323" t="n">
        <v>320</v>
      </c>
      <c r="B323" s="25" t="n"/>
      <c r="D323" s="30" t="n"/>
      <c r="G323" s="30" t="n"/>
      <c r="H323">
        <f>IF($G323="","",IFERROR(INDEX(Catalogo_Etiquetas,MATCH($G323,Catalogo_Codigos,0)),"CODIGO NO VALIDO"))</f>
        <v/>
      </c>
      <c r="J323" s="20" t="n"/>
      <c r="K323" s="20" t="n"/>
      <c r="L323" s="20">
        <f>IF($C323="","",$J323+$K323)</f>
        <v/>
      </c>
      <c r="M323" s="30" t="n"/>
      <c r="N323" s="26">
        <f>IF($C323="","",IF($I323="PEN",1,IFERROR(IF(_xlfn.XLOOKUP($B323,TC_Fechas,TC_Venta_Rango,"",-1)="","",_xlfn.XLOOKUP($B323,TC_Fechas,TC_Venta_Rango,"",-1)),"")))</f>
        <v/>
      </c>
      <c r="O323" s="20">
        <f>IF(OR($C323="",$N323=""),"",ROUND($J323*$N323,2)+ROUND($K323*$N323,2))</f>
        <v/>
      </c>
      <c r="P323" s="31">
        <f>IF($G323="","",IFERROR(INDEX(Catalogo_Tasas,MATCH($G323,Catalogo_Codigos,0)),""))</f>
        <v/>
      </c>
      <c r="Q323" s="32">
        <f>IF($G323="","",IFERROR(INDEX(Catalogo_Umbrales,MATCH($G323,Catalogo_Codigos,0)),""))</f>
        <v/>
      </c>
      <c r="R323">
        <f>IF(OR($C323="",$P323="",$O323=""),"",IF($F323&lt;&gt;"FACTURA","NO",IF(AND($P323&gt;0,$O323&gt;$Q323),"SI","NO")))</f>
        <v/>
      </c>
      <c r="S323" s="20">
        <f>IF($R323="SI",ROUND($O323*$P323,2),IF($C323="","",0))</f>
        <v/>
      </c>
      <c r="T323" s="20" t="n"/>
      <c r="U323">
        <f>IF($C323="","",IF($R323&lt;&gt;"SI","",IF($T323="","SIN DATO",IF(ABS($T323-$S323)&lt;=0.5,"OK","REVISAR"))))</f>
        <v/>
      </c>
      <c r="V323" s="20" t="n"/>
      <c r="W323" s="20">
        <f>IF(OR($C323="",$N323=""),"",IF($F323="RHE",ROUND($L323-$V323,2),ROUND($L323-($S323/$N323),2)))</f>
        <v/>
      </c>
      <c r="X323" s="25" t="n"/>
      <c r="Y323" s="25" t="n"/>
    </row>
    <row r="324">
      <c r="A324" t="n">
        <v>321</v>
      </c>
      <c r="B324" s="25" t="n"/>
      <c r="D324" s="30" t="n"/>
      <c r="G324" s="30" t="n"/>
      <c r="H324">
        <f>IF($G324="","",IFERROR(INDEX(Catalogo_Etiquetas,MATCH($G324,Catalogo_Codigos,0)),"CODIGO NO VALIDO"))</f>
        <v/>
      </c>
      <c r="J324" s="20" t="n"/>
      <c r="K324" s="20" t="n"/>
      <c r="L324" s="20">
        <f>IF($C324="","",$J324+$K324)</f>
        <v/>
      </c>
      <c r="M324" s="30" t="n"/>
      <c r="N324" s="26">
        <f>IF($C324="","",IF($I324="PEN",1,IFERROR(IF(_xlfn.XLOOKUP($B324,TC_Fechas,TC_Venta_Rango,"",-1)="","",_xlfn.XLOOKUP($B324,TC_Fechas,TC_Venta_Rango,"",-1)),"")))</f>
        <v/>
      </c>
      <c r="O324" s="20">
        <f>IF(OR($C324="",$N324=""),"",ROUND($J324*$N324,2)+ROUND($K324*$N324,2))</f>
        <v/>
      </c>
      <c r="P324" s="31">
        <f>IF($G324="","",IFERROR(INDEX(Catalogo_Tasas,MATCH($G324,Catalogo_Codigos,0)),""))</f>
        <v/>
      </c>
      <c r="Q324" s="32">
        <f>IF($G324="","",IFERROR(INDEX(Catalogo_Umbrales,MATCH($G324,Catalogo_Codigos,0)),""))</f>
        <v/>
      </c>
      <c r="R324">
        <f>IF(OR($C324="",$P324="",$O324=""),"",IF($F324&lt;&gt;"FACTURA","NO",IF(AND($P324&gt;0,$O324&gt;$Q324),"SI","NO")))</f>
        <v/>
      </c>
      <c r="S324" s="20">
        <f>IF($R324="SI",ROUND($O324*$P324,2),IF($C324="","",0))</f>
        <v/>
      </c>
      <c r="T324" s="20" t="n"/>
      <c r="U324">
        <f>IF($C324="","",IF($R324&lt;&gt;"SI","",IF($T324="","SIN DATO",IF(ABS($T324-$S324)&lt;=0.5,"OK","REVISAR"))))</f>
        <v/>
      </c>
      <c r="V324" s="20" t="n"/>
      <c r="W324" s="20">
        <f>IF(OR($C324="",$N324=""),"",IF($F324="RHE",ROUND($L324-$V324,2),ROUND($L324-($S324/$N324),2)))</f>
        <v/>
      </c>
      <c r="X324" s="25" t="n"/>
      <c r="Y324" s="25" t="n"/>
    </row>
    <row r="325">
      <c r="A325" t="n">
        <v>322</v>
      </c>
      <c r="B325" s="25" t="n"/>
      <c r="D325" s="30" t="n"/>
      <c r="G325" s="30" t="n"/>
      <c r="H325">
        <f>IF($G325="","",IFERROR(INDEX(Catalogo_Etiquetas,MATCH($G325,Catalogo_Codigos,0)),"CODIGO NO VALIDO"))</f>
        <v/>
      </c>
      <c r="J325" s="20" t="n"/>
      <c r="K325" s="20" t="n"/>
      <c r="L325" s="20">
        <f>IF($C325="","",$J325+$K325)</f>
        <v/>
      </c>
      <c r="M325" s="30" t="n"/>
      <c r="N325" s="26">
        <f>IF($C325="","",IF($I325="PEN",1,IFERROR(IF(_xlfn.XLOOKUP($B325,TC_Fechas,TC_Venta_Rango,"",-1)="","",_xlfn.XLOOKUP($B325,TC_Fechas,TC_Venta_Rango,"",-1)),"")))</f>
        <v/>
      </c>
      <c r="O325" s="20">
        <f>IF(OR($C325="",$N325=""),"",ROUND($J325*$N325,2)+ROUND($K325*$N325,2))</f>
        <v/>
      </c>
      <c r="P325" s="31">
        <f>IF($G325="","",IFERROR(INDEX(Catalogo_Tasas,MATCH($G325,Catalogo_Codigos,0)),""))</f>
        <v/>
      </c>
      <c r="Q325" s="32">
        <f>IF($G325="","",IFERROR(INDEX(Catalogo_Umbrales,MATCH($G325,Catalogo_Codigos,0)),""))</f>
        <v/>
      </c>
      <c r="R325">
        <f>IF(OR($C325="",$P325="",$O325=""),"",IF($F325&lt;&gt;"FACTURA","NO",IF(AND($P325&gt;0,$O325&gt;$Q325),"SI","NO")))</f>
        <v/>
      </c>
      <c r="S325" s="20">
        <f>IF($R325="SI",ROUND($O325*$P325,2),IF($C325="","",0))</f>
        <v/>
      </c>
      <c r="T325" s="20" t="n"/>
      <c r="U325">
        <f>IF($C325="","",IF($R325&lt;&gt;"SI","",IF($T325="","SIN DATO",IF(ABS($T325-$S325)&lt;=0.5,"OK","REVISAR"))))</f>
        <v/>
      </c>
      <c r="V325" s="20" t="n"/>
      <c r="W325" s="20">
        <f>IF(OR($C325="",$N325=""),"",IF($F325="RHE",ROUND($L325-$V325,2),ROUND($L325-($S325/$N325),2)))</f>
        <v/>
      </c>
      <c r="X325" s="25" t="n"/>
      <c r="Y325" s="25" t="n"/>
    </row>
    <row r="326">
      <c r="A326" t="n">
        <v>323</v>
      </c>
      <c r="B326" s="25" t="n"/>
      <c r="D326" s="30" t="n"/>
      <c r="G326" s="30" t="n"/>
      <c r="H326">
        <f>IF($G326="","",IFERROR(INDEX(Catalogo_Etiquetas,MATCH($G326,Catalogo_Codigos,0)),"CODIGO NO VALIDO"))</f>
        <v/>
      </c>
      <c r="J326" s="20" t="n"/>
      <c r="K326" s="20" t="n"/>
      <c r="L326" s="20">
        <f>IF($C326="","",$J326+$K326)</f>
        <v/>
      </c>
      <c r="M326" s="30" t="n"/>
      <c r="N326" s="26">
        <f>IF($C326="","",IF($I326="PEN",1,IFERROR(IF(_xlfn.XLOOKUP($B326,TC_Fechas,TC_Venta_Rango,"",-1)="","",_xlfn.XLOOKUP($B326,TC_Fechas,TC_Venta_Rango,"",-1)),"")))</f>
        <v/>
      </c>
      <c r="O326" s="20">
        <f>IF(OR($C326="",$N326=""),"",ROUND($J326*$N326,2)+ROUND($K326*$N326,2))</f>
        <v/>
      </c>
      <c r="P326" s="31">
        <f>IF($G326="","",IFERROR(INDEX(Catalogo_Tasas,MATCH($G326,Catalogo_Codigos,0)),""))</f>
        <v/>
      </c>
      <c r="Q326" s="32">
        <f>IF($G326="","",IFERROR(INDEX(Catalogo_Umbrales,MATCH($G326,Catalogo_Codigos,0)),""))</f>
        <v/>
      </c>
      <c r="R326">
        <f>IF(OR($C326="",$P326="",$O326=""),"",IF($F326&lt;&gt;"FACTURA","NO",IF(AND($P326&gt;0,$O326&gt;$Q326),"SI","NO")))</f>
        <v/>
      </c>
      <c r="S326" s="20">
        <f>IF($R326="SI",ROUND($O326*$P326,2),IF($C326="","",0))</f>
        <v/>
      </c>
      <c r="T326" s="20" t="n"/>
      <c r="U326">
        <f>IF($C326="","",IF($R326&lt;&gt;"SI","",IF($T326="","SIN DATO",IF(ABS($T326-$S326)&lt;=0.5,"OK","REVISAR"))))</f>
        <v/>
      </c>
      <c r="V326" s="20" t="n"/>
      <c r="W326" s="20">
        <f>IF(OR($C326="",$N326=""),"",IF($F326="RHE",ROUND($L326-$V326,2),ROUND($L326-($S326/$N326),2)))</f>
        <v/>
      </c>
      <c r="X326" s="25" t="n"/>
      <c r="Y326" s="25" t="n"/>
    </row>
    <row r="327">
      <c r="A327" t="n">
        <v>324</v>
      </c>
      <c r="B327" s="25" t="n"/>
      <c r="D327" s="30" t="n"/>
      <c r="G327" s="30" t="n"/>
      <c r="H327">
        <f>IF($G327="","",IFERROR(INDEX(Catalogo_Etiquetas,MATCH($G327,Catalogo_Codigos,0)),"CODIGO NO VALIDO"))</f>
        <v/>
      </c>
      <c r="J327" s="20" t="n"/>
      <c r="K327" s="20" t="n"/>
      <c r="L327" s="20">
        <f>IF($C327="","",$J327+$K327)</f>
        <v/>
      </c>
      <c r="M327" s="30" t="n"/>
      <c r="N327" s="26">
        <f>IF($C327="","",IF($I327="PEN",1,IFERROR(IF(_xlfn.XLOOKUP($B327,TC_Fechas,TC_Venta_Rango,"",-1)="","",_xlfn.XLOOKUP($B327,TC_Fechas,TC_Venta_Rango,"",-1)),"")))</f>
        <v/>
      </c>
      <c r="O327" s="20">
        <f>IF(OR($C327="",$N327=""),"",ROUND($J327*$N327,2)+ROUND($K327*$N327,2))</f>
        <v/>
      </c>
      <c r="P327" s="31">
        <f>IF($G327="","",IFERROR(INDEX(Catalogo_Tasas,MATCH($G327,Catalogo_Codigos,0)),""))</f>
        <v/>
      </c>
      <c r="Q327" s="32">
        <f>IF($G327="","",IFERROR(INDEX(Catalogo_Umbrales,MATCH($G327,Catalogo_Codigos,0)),""))</f>
        <v/>
      </c>
      <c r="R327">
        <f>IF(OR($C327="",$P327="",$O327=""),"",IF($F327&lt;&gt;"FACTURA","NO",IF(AND($P327&gt;0,$O327&gt;$Q327),"SI","NO")))</f>
        <v/>
      </c>
      <c r="S327" s="20">
        <f>IF($R327="SI",ROUND($O327*$P327,2),IF($C327="","",0))</f>
        <v/>
      </c>
      <c r="T327" s="20" t="n"/>
      <c r="U327">
        <f>IF($C327="","",IF($R327&lt;&gt;"SI","",IF($T327="","SIN DATO",IF(ABS($T327-$S327)&lt;=0.5,"OK","REVISAR"))))</f>
        <v/>
      </c>
      <c r="V327" s="20" t="n"/>
      <c r="W327" s="20">
        <f>IF(OR($C327="",$N327=""),"",IF($F327="RHE",ROUND($L327-$V327,2),ROUND($L327-($S327/$N327),2)))</f>
        <v/>
      </c>
      <c r="X327" s="25" t="n"/>
      <c r="Y327" s="25" t="n"/>
    </row>
    <row r="328">
      <c r="A328" t="n">
        <v>325</v>
      </c>
      <c r="B328" s="25" t="n"/>
      <c r="D328" s="30" t="n"/>
      <c r="G328" s="30" t="n"/>
      <c r="H328">
        <f>IF($G328="","",IFERROR(INDEX(Catalogo_Etiquetas,MATCH($G328,Catalogo_Codigos,0)),"CODIGO NO VALIDO"))</f>
        <v/>
      </c>
      <c r="J328" s="20" t="n"/>
      <c r="K328" s="20" t="n"/>
      <c r="L328" s="20">
        <f>IF($C328="","",$J328+$K328)</f>
        <v/>
      </c>
      <c r="M328" s="30" t="n"/>
      <c r="N328" s="26">
        <f>IF($C328="","",IF($I328="PEN",1,IFERROR(IF(_xlfn.XLOOKUP($B328,TC_Fechas,TC_Venta_Rango,"",-1)="","",_xlfn.XLOOKUP($B328,TC_Fechas,TC_Venta_Rango,"",-1)),"")))</f>
        <v/>
      </c>
      <c r="O328" s="20">
        <f>IF(OR($C328="",$N328=""),"",ROUND($J328*$N328,2)+ROUND($K328*$N328,2))</f>
        <v/>
      </c>
      <c r="P328" s="31">
        <f>IF($G328="","",IFERROR(INDEX(Catalogo_Tasas,MATCH($G328,Catalogo_Codigos,0)),""))</f>
        <v/>
      </c>
      <c r="Q328" s="32">
        <f>IF($G328="","",IFERROR(INDEX(Catalogo_Umbrales,MATCH($G328,Catalogo_Codigos,0)),""))</f>
        <v/>
      </c>
      <c r="R328">
        <f>IF(OR($C328="",$P328="",$O328=""),"",IF($F328&lt;&gt;"FACTURA","NO",IF(AND($P328&gt;0,$O328&gt;$Q328),"SI","NO")))</f>
        <v/>
      </c>
      <c r="S328" s="20">
        <f>IF($R328="SI",ROUND($O328*$P328,2),IF($C328="","",0))</f>
        <v/>
      </c>
      <c r="T328" s="20" t="n"/>
      <c r="U328">
        <f>IF($C328="","",IF($R328&lt;&gt;"SI","",IF($T328="","SIN DATO",IF(ABS($T328-$S328)&lt;=0.5,"OK","REVISAR"))))</f>
        <v/>
      </c>
      <c r="V328" s="20" t="n"/>
      <c r="W328" s="20">
        <f>IF(OR($C328="",$N328=""),"",IF($F328="RHE",ROUND($L328-$V328,2),ROUND($L328-($S328/$N328),2)))</f>
        <v/>
      </c>
      <c r="X328" s="25" t="n"/>
      <c r="Y328" s="25" t="n"/>
    </row>
    <row r="329">
      <c r="A329" t="n">
        <v>326</v>
      </c>
      <c r="B329" s="25" t="n"/>
      <c r="D329" s="30" t="n"/>
      <c r="G329" s="30" t="n"/>
      <c r="H329">
        <f>IF($G329="","",IFERROR(INDEX(Catalogo_Etiquetas,MATCH($G329,Catalogo_Codigos,0)),"CODIGO NO VALIDO"))</f>
        <v/>
      </c>
      <c r="J329" s="20" t="n"/>
      <c r="K329" s="20" t="n"/>
      <c r="L329" s="20">
        <f>IF($C329="","",$J329+$K329)</f>
        <v/>
      </c>
      <c r="M329" s="30" t="n"/>
      <c r="N329" s="26">
        <f>IF($C329="","",IF($I329="PEN",1,IFERROR(IF(_xlfn.XLOOKUP($B329,TC_Fechas,TC_Venta_Rango,"",-1)="","",_xlfn.XLOOKUP($B329,TC_Fechas,TC_Venta_Rango,"",-1)),"")))</f>
        <v/>
      </c>
      <c r="O329" s="20">
        <f>IF(OR($C329="",$N329=""),"",ROUND($J329*$N329,2)+ROUND($K329*$N329,2))</f>
        <v/>
      </c>
      <c r="P329" s="31">
        <f>IF($G329="","",IFERROR(INDEX(Catalogo_Tasas,MATCH($G329,Catalogo_Codigos,0)),""))</f>
        <v/>
      </c>
      <c r="Q329" s="32">
        <f>IF($G329="","",IFERROR(INDEX(Catalogo_Umbrales,MATCH($G329,Catalogo_Codigos,0)),""))</f>
        <v/>
      </c>
      <c r="R329">
        <f>IF(OR($C329="",$P329="",$O329=""),"",IF($F329&lt;&gt;"FACTURA","NO",IF(AND($P329&gt;0,$O329&gt;$Q329),"SI","NO")))</f>
        <v/>
      </c>
      <c r="S329" s="20">
        <f>IF($R329="SI",ROUND($O329*$P329,2),IF($C329="","",0))</f>
        <v/>
      </c>
      <c r="T329" s="20" t="n"/>
      <c r="U329">
        <f>IF($C329="","",IF($R329&lt;&gt;"SI","",IF($T329="","SIN DATO",IF(ABS($T329-$S329)&lt;=0.5,"OK","REVISAR"))))</f>
        <v/>
      </c>
      <c r="V329" s="20" t="n"/>
      <c r="W329" s="20">
        <f>IF(OR($C329="",$N329=""),"",IF($F329="RHE",ROUND($L329-$V329,2),ROUND($L329-($S329/$N329),2)))</f>
        <v/>
      </c>
      <c r="X329" s="25" t="n"/>
      <c r="Y329" s="25" t="n"/>
    </row>
    <row r="330">
      <c r="A330" t="n">
        <v>327</v>
      </c>
      <c r="B330" s="25" t="n"/>
      <c r="D330" s="30" t="n"/>
      <c r="G330" s="30" t="n"/>
      <c r="H330">
        <f>IF($G330="","",IFERROR(INDEX(Catalogo_Etiquetas,MATCH($G330,Catalogo_Codigos,0)),"CODIGO NO VALIDO"))</f>
        <v/>
      </c>
      <c r="J330" s="20" t="n"/>
      <c r="K330" s="20" t="n"/>
      <c r="L330" s="20">
        <f>IF($C330="","",$J330+$K330)</f>
        <v/>
      </c>
      <c r="M330" s="30" t="n"/>
      <c r="N330" s="26">
        <f>IF($C330="","",IF($I330="PEN",1,IFERROR(IF(_xlfn.XLOOKUP($B330,TC_Fechas,TC_Venta_Rango,"",-1)="","",_xlfn.XLOOKUP($B330,TC_Fechas,TC_Venta_Rango,"",-1)),"")))</f>
        <v/>
      </c>
      <c r="O330" s="20">
        <f>IF(OR($C330="",$N330=""),"",ROUND($J330*$N330,2)+ROUND($K330*$N330,2))</f>
        <v/>
      </c>
      <c r="P330" s="31">
        <f>IF($G330="","",IFERROR(INDEX(Catalogo_Tasas,MATCH($G330,Catalogo_Codigos,0)),""))</f>
        <v/>
      </c>
      <c r="Q330" s="32">
        <f>IF($G330="","",IFERROR(INDEX(Catalogo_Umbrales,MATCH($G330,Catalogo_Codigos,0)),""))</f>
        <v/>
      </c>
      <c r="R330">
        <f>IF(OR($C330="",$P330="",$O330=""),"",IF($F330&lt;&gt;"FACTURA","NO",IF(AND($P330&gt;0,$O330&gt;$Q330),"SI","NO")))</f>
        <v/>
      </c>
      <c r="S330" s="20">
        <f>IF($R330="SI",ROUND($O330*$P330,2),IF($C330="","",0))</f>
        <v/>
      </c>
      <c r="T330" s="20" t="n"/>
      <c r="U330">
        <f>IF($C330="","",IF($R330&lt;&gt;"SI","",IF($T330="","SIN DATO",IF(ABS($T330-$S330)&lt;=0.5,"OK","REVISAR"))))</f>
        <v/>
      </c>
      <c r="V330" s="20" t="n"/>
      <c r="W330" s="20">
        <f>IF(OR($C330="",$N330=""),"",IF($F330="RHE",ROUND($L330-$V330,2),ROUND($L330-($S330/$N330),2)))</f>
        <v/>
      </c>
      <c r="X330" s="25" t="n"/>
      <c r="Y330" s="25" t="n"/>
    </row>
    <row r="331">
      <c r="A331" t="n">
        <v>328</v>
      </c>
      <c r="B331" s="25" t="n"/>
      <c r="D331" s="30" t="n"/>
      <c r="G331" s="30" t="n"/>
      <c r="H331">
        <f>IF($G331="","",IFERROR(INDEX(Catalogo_Etiquetas,MATCH($G331,Catalogo_Codigos,0)),"CODIGO NO VALIDO"))</f>
        <v/>
      </c>
      <c r="J331" s="20" t="n"/>
      <c r="K331" s="20" t="n"/>
      <c r="L331" s="20">
        <f>IF($C331="","",$J331+$K331)</f>
        <v/>
      </c>
      <c r="M331" s="30" t="n"/>
      <c r="N331" s="26">
        <f>IF($C331="","",IF($I331="PEN",1,IFERROR(IF(_xlfn.XLOOKUP($B331,TC_Fechas,TC_Venta_Rango,"",-1)="","",_xlfn.XLOOKUP($B331,TC_Fechas,TC_Venta_Rango,"",-1)),"")))</f>
        <v/>
      </c>
      <c r="O331" s="20">
        <f>IF(OR($C331="",$N331=""),"",ROUND($J331*$N331,2)+ROUND($K331*$N331,2))</f>
        <v/>
      </c>
      <c r="P331" s="31">
        <f>IF($G331="","",IFERROR(INDEX(Catalogo_Tasas,MATCH($G331,Catalogo_Codigos,0)),""))</f>
        <v/>
      </c>
      <c r="Q331" s="32">
        <f>IF($G331="","",IFERROR(INDEX(Catalogo_Umbrales,MATCH($G331,Catalogo_Codigos,0)),""))</f>
        <v/>
      </c>
      <c r="R331">
        <f>IF(OR($C331="",$P331="",$O331=""),"",IF($F331&lt;&gt;"FACTURA","NO",IF(AND($P331&gt;0,$O331&gt;$Q331),"SI","NO")))</f>
        <v/>
      </c>
      <c r="S331" s="20">
        <f>IF($R331="SI",ROUND($O331*$P331,2),IF($C331="","",0))</f>
        <v/>
      </c>
      <c r="T331" s="20" t="n"/>
      <c r="U331">
        <f>IF($C331="","",IF($R331&lt;&gt;"SI","",IF($T331="","SIN DATO",IF(ABS($T331-$S331)&lt;=0.5,"OK","REVISAR"))))</f>
        <v/>
      </c>
      <c r="V331" s="20" t="n"/>
      <c r="W331" s="20">
        <f>IF(OR($C331="",$N331=""),"",IF($F331="RHE",ROUND($L331-$V331,2),ROUND($L331-($S331/$N331),2)))</f>
        <v/>
      </c>
      <c r="X331" s="25" t="n"/>
      <c r="Y331" s="25" t="n"/>
    </row>
    <row r="332">
      <c r="A332" t="n">
        <v>329</v>
      </c>
      <c r="B332" s="25" t="n"/>
      <c r="D332" s="30" t="n"/>
      <c r="G332" s="30" t="n"/>
      <c r="H332">
        <f>IF($G332="","",IFERROR(INDEX(Catalogo_Etiquetas,MATCH($G332,Catalogo_Codigos,0)),"CODIGO NO VALIDO"))</f>
        <v/>
      </c>
      <c r="J332" s="20" t="n"/>
      <c r="K332" s="20" t="n"/>
      <c r="L332" s="20">
        <f>IF($C332="","",$J332+$K332)</f>
        <v/>
      </c>
      <c r="M332" s="30" t="n"/>
      <c r="N332" s="26">
        <f>IF($C332="","",IF($I332="PEN",1,IFERROR(IF(_xlfn.XLOOKUP($B332,TC_Fechas,TC_Venta_Rango,"",-1)="","",_xlfn.XLOOKUP($B332,TC_Fechas,TC_Venta_Rango,"",-1)),"")))</f>
        <v/>
      </c>
      <c r="O332" s="20">
        <f>IF(OR($C332="",$N332=""),"",ROUND($J332*$N332,2)+ROUND($K332*$N332,2))</f>
        <v/>
      </c>
      <c r="P332" s="31">
        <f>IF($G332="","",IFERROR(INDEX(Catalogo_Tasas,MATCH($G332,Catalogo_Codigos,0)),""))</f>
        <v/>
      </c>
      <c r="Q332" s="32">
        <f>IF($G332="","",IFERROR(INDEX(Catalogo_Umbrales,MATCH($G332,Catalogo_Codigos,0)),""))</f>
        <v/>
      </c>
      <c r="R332">
        <f>IF(OR($C332="",$P332="",$O332=""),"",IF($F332&lt;&gt;"FACTURA","NO",IF(AND($P332&gt;0,$O332&gt;$Q332),"SI","NO")))</f>
        <v/>
      </c>
      <c r="S332" s="20">
        <f>IF($R332="SI",ROUND($O332*$P332,2),IF($C332="","",0))</f>
        <v/>
      </c>
      <c r="T332" s="20" t="n"/>
      <c r="U332">
        <f>IF($C332="","",IF($R332&lt;&gt;"SI","",IF($T332="","SIN DATO",IF(ABS($T332-$S332)&lt;=0.5,"OK","REVISAR"))))</f>
        <v/>
      </c>
      <c r="V332" s="20" t="n"/>
      <c r="W332" s="20">
        <f>IF(OR($C332="",$N332=""),"",IF($F332="RHE",ROUND($L332-$V332,2),ROUND($L332-($S332/$N332),2)))</f>
        <v/>
      </c>
      <c r="X332" s="25" t="n"/>
      <c r="Y332" s="25" t="n"/>
    </row>
    <row r="333">
      <c r="A333" t="n">
        <v>330</v>
      </c>
      <c r="B333" s="25" t="n"/>
      <c r="D333" s="30" t="n"/>
      <c r="G333" s="30" t="n"/>
      <c r="H333">
        <f>IF($G333="","",IFERROR(INDEX(Catalogo_Etiquetas,MATCH($G333,Catalogo_Codigos,0)),"CODIGO NO VALIDO"))</f>
        <v/>
      </c>
      <c r="J333" s="20" t="n"/>
      <c r="K333" s="20" t="n"/>
      <c r="L333" s="20">
        <f>IF($C333="","",$J333+$K333)</f>
        <v/>
      </c>
      <c r="M333" s="30" t="n"/>
      <c r="N333" s="26">
        <f>IF($C333="","",IF($I333="PEN",1,IFERROR(IF(_xlfn.XLOOKUP($B333,TC_Fechas,TC_Venta_Rango,"",-1)="","",_xlfn.XLOOKUP($B333,TC_Fechas,TC_Venta_Rango,"",-1)),"")))</f>
        <v/>
      </c>
      <c r="O333" s="20">
        <f>IF(OR($C333="",$N333=""),"",ROUND($J333*$N333,2)+ROUND($K333*$N333,2))</f>
        <v/>
      </c>
      <c r="P333" s="31">
        <f>IF($G333="","",IFERROR(INDEX(Catalogo_Tasas,MATCH($G333,Catalogo_Codigos,0)),""))</f>
        <v/>
      </c>
      <c r="Q333" s="32">
        <f>IF($G333="","",IFERROR(INDEX(Catalogo_Umbrales,MATCH($G333,Catalogo_Codigos,0)),""))</f>
        <v/>
      </c>
      <c r="R333">
        <f>IF(OR($C333="",$P333="",$O333=""),"",IF($F333&lt;&gt;"FACTURA","NO",IF(AND($P333&gt;0,$O333&gt;$Q333),"SI","NO")))</f>
        <v/>
      </c>
      <c r="S333" s="20">
        <f>IF($R333="SI",ROUND($O333*$P333,2),IF($C333="","",0))</f>
        <v/>
      </c>
      <c r="T333" s="20" t="n"/>
      <c r="U333">
        <f>IF($C333="","",IF($R333&lt;&gt;"SI","",IF($T333="","SIN DATO",IF(ABS($T333-$S333)&lt;=0.5,"OK","REVISAR"))))</f>
        <v/>
      </c>
      <c r="V333" s="20" t="n"/>
      <c r="W333" s="20">
        <f>IF(OR($C333="",$N333=""),"",IF($F333="RHE",ROUND($L333-$V333,2),ROUND($L333-($S333/$N333),2)))</f>
        <v/>
      </c>
      <c r="X333" s="25" t="n"/>
      <c r="Y333" s="25" t="n"/>
    </row>
    <row r="334">
      <c r="A334" t="n">
        <v>331</v>
      </c>
      <c r="B334" s="25" t="n"/>
      <c r="D334" s="30" t="n"/>
      <c r="G334" s="30" t="n"/>
      <c r="H334">
        <f>IF($G334="","",IFERROR(INDEX(Catalogo_Etiquetas,MATCH($G334,Catalogo_Codigos,0)),"CODIGO NO VALIDO"))</f>
        <v/>
      </c>
      <c r="J334" s="20" t="n"/>
      <c r="K334" s="20" t="n"/>
      <c r="L334" s="20">
        <f>IF($C334="","",$J334+$K334)</f>
        <v/>
      </c>
      <c r="M334" s="30" t="n"/>
      <c r="N334" s="26">
        <f>IF($C334="","",IF($I334="PEN",1,IFERROR(IF(_xlfn.XLOOKUP($B334,TC_Fechas,TC_Venta_Rango,"",-1)="","",_xlfn.XLOOKUP($B334,TC_Fechas,TC_Venta_Rango,"",-1)),"")))</f>
        <v/>
      </c>
      <c r="O334" s="20">
        <f>IF(OR($C334="",$N334=""),"",ROUND($J334*$N334,2)+ROUND($K334*$N334,2))</f>
        <v/>
      </c>
      <c r="P334" s="31">
        <f>IF($G334="","",IFERROR(INDEX(Catalogo_Tasas,MATCH($G334,Catalogo_Codigos,0)),""))</f>
        <v/>
      </c>
      <c r="Q334" s="32">
        <f>IF($G334="","",IFERROR(INDEX(Catalogo_Umbrales,MATCH($G334,Catalogo_Codigos,0)),""))</f>
        <v/>
      </c>
      <c r="R334">
        <f>IF(OR($C334="",$P334="",$O334=""),"",IF($F334&lt;&gt;"FACTURA","NO",IF(AND($P334&gt;0,$O334&gt;$Q334),"SI","NO")))</f>
        <v/>
      </c>
      <c r="S334" s="20">
        <f>IF($R334="SI",ROUND($O334*$P334,2),IF($C334="","",0))</f>
        <v/>
      </c>
      <c r="T334" s="20" t="n"/>
      <c r="U334">
        <f>IF($C334="","",IF($R334&lt;&gt;"SI","",IF($T334="","SIN DATO",IF(ABS($T334-$S334)&lt;=0.5,"OK","REVISAR"))))</f>
        <v/>
      </c>
      <c r="V334" s="20" t="n"/>
      <c r="W334" s="20">
        <f>IF(OR($C334="",$N334=""),"",IF($F334="RHE",ROUND($L334-$V334,2),ROUND($L334-($S334/$N334),2)))</f>
        <v/>
      </c>
      <c r="X334" s="25" t="n"/>
      <c r="Y334" s="25" t="n"/>
    </row>
    <row r="335">
      <c r="A335" t="n">
        <v>332</v>
      </c>
      <c r="B335" s="25" t="n"/>
      <c r="D335" s="30" t="n"/>
      <c r="G335" s="30" t="n"/>
      <c r="H335">
        <f>IF($G335="","",IFERROR(INDEX(Catalogo_Etiquetas,MATCH($G335,Catalogo_Codigos,0)),"CODIGO NO VALIDO"))</f>
        <v/>
      </c>
      <c r="J335" s="20" t="n"/>
      <c r="K335" s="20" t="n"/>
      <c r="L335" s="20">
        <f>IF($C335="","",$J335+$K335)</f>
        <v/>
      </c>
      <c r="M335" s="30" t="n"/>
      <c r="N335" s="26">
        <f>IF($C335="","",IF($I335="PEN",1,IFERROR(IF(_xlfn.XLOOKUP($B335,TC_Fechas,TC_Venta_Rango,"",-1)="","",_xlfn.XLOOKUP($B335,TC_Fechas,TC_Venta_Rango,"",-1)),"")))</f>
        <v/>
      </c>
      <c r="O335" s="20">
        <f>IF(OR($C335="",$N335=""),"",ROUND($J335*$N335,2)+ROUND($K335*$N335,2))</f>
        <v/>
      </c>
      <c r="P335" s="31">
        <f>IF($G335="","",IFERROR(INDEX(Catalogo_Tasas,MATCH($G335,Catalogo_Codigos,0)),""))</f>
        <v/>
      </c>
      <c r="Q335" s="32">
        <f>IF($G335="","",IFERROR(INDEX(Catalogo_Umbrales,MATCH($G335,Catalogo_Codigos,0)),""))</f>
        <v/>
      </c>
      <c r="R335">
        <f>IF(OR($C335="",$P335="",$O335=""),"",IF($F335&lt;&gt;"FACTURA","NO",IF(AND($P335&gt;0,$O335&gt;$Q335),"SI","NO")))</f>
        <v/>
      </c>
      <c r="S335" s="20">
        <f>IF($R335="SI",ROUND($O335*$P335,2),IF($C335="","",0))</f>
        <v/>
      </c>
      <c r="T335" s="20" t="n"/>
      <c r="U335">
        <f>IF($C335="","",IF($R335&lt;&gt;"SI","",IF($T335="","SIN DATO",IF(ABS($T335-$S335)&lt;=0.5,"OK","REVISAR"))))</f>
        <v/>
      </c>
      <c r="V335" s="20" t="n"/>
      <c r="W335" s="20">
        <f>IF(OR($C335="",$N335=""),"",IF($F335="RHE",ROUND($L335-$V335,2),ROUND($L335-($S335/$N335),2)))</f>
        <v/>
      </c>
      <c r="X335" s="25" t="n"/>
      <c r="Y335" s="25" t="n"/>
    </row>
    <row r="336">
      <c r="A336" t="n">
        <v>333</v>
      </c>
      <c r="B336" s="25" t="n"/>
      <c r="D336" s="30" t="n"/>
      <c r="G336" s="30" t="n"/>
      <c r="H336">
        <f>IF($G336="","",IFERROR(INDEX(Catalogo_Etiquetas,MATCH($G336,Catalogo_Codigos,0)),"CODIGO NO VALIDO"))</f>
        <v/>
      </c>
      <c r="J336" s="20" t="n"/>
      <c r="K336" s="20" t="n"/>
      <c r="L336" s="20">
        <f>IF($C336="","",$J336+$K336)</f>
        <v/>
      </c>
      <c r="M336" s="30" t="n"/>
      <c r="N336" s="26">
        <f>IF($C336="","",IF($I336="PEN",1,IFERROR(IF(_xlfn.XLOOKUP($B336,TC_Fechas,TC_Venta_Rango,"",-1)="","",_xlfn.XLOOKUP($B336,TC_Fechas,TC_Venta_Rango,"",-1)),"")))</f>
        <v/>
      </c>
      <c r="O336" s="20">
        <f>IF(OR($C336="",$N336=""),"",ROUND($J336*$N336,2)+ROUND($K336*$N336,2))</f>
        <v/>
      </c>
      <c r="P336" s="31">
        <f>IF($G336="","",IFERROR(INDEX(Catalogo_Tasas,MATCH($G336,Catalogo_Codigos,0)),""))</f>
        <v/>
      </c>
      <c r="Q336" s="32">
        <f>IF($G336="","",IFERROR(INDEX(Catalogo_Umbrales,MATCH($G336,Catalogo_Codigos,0)),""))</f>
        <v/>
      </c>
      <c r="R336">
        <f>IF(OR($C336="",$P336="",$O336=""),"",IF($F336&lt;&gt;"FACTURA","NO",IF(AND($P336&gt;0,$O336&gt;$Q336),"SI","NO")))</f>
        <v/>
      </c>
      <c r="S336" s="20">
        <f>IF($R336="SI",ROUND($O336*$P336,2),IF($C336="","",0))</f>
        <v/>
      </c>
      <c r="T336" s="20" t="n"/>
      <c r="U336">
        <f>IF($C336="","",IF($R336&lt;&gt;"SI","",IF($T336="","SIN DATO",IF(ABS($T336-$S336)&lt;=0.5,"OK","REVISAR"))))</f>
        <v/>
      </c>
      <c r="V336" s="20" t="n"/>
      <c r="W336" s="20">
        <f>IF(OR($C336="",$N336=""),"",IF($F336="RHE",ROUND($L336-$V336,2),ROUND($L336-($S336/$N336),2)))</f>
        <v/>
      </c>
      <c r="X336" s="25" t="n"/>
      <c r="Y336" s="25" t="n"/>
    </row>
    <row r="337">
      <c r="A337" t="n">
        <v>334</v>
      </c>
      <c r="B337" s="25" t="n"/>
      <c r="D337" s="30" t="n"/>
      <c r="G337" s="30" t="n"/>
      <c r="H337">
        <f>IF($G337="","",IFERROR(INDEX(Catalogo_Etiquetas,MATCH($G337,Catalogo_Codigos,0)),"CODIGO NO VALIDO"))</f>
        <v/>
      </c>
      <c r="J337" s="20" t="n"/>
      <c r="K337" s="20" t="n"/>
      <c r="L337" s="20">
        <f>IF($C337="","",$J337+$K337)</f>
        <v/>
      </c>
      <c r="M337" s="30" t="n"/>
      <c r="N337" s="26">
        <f>IF($C337="","",IF($I337="PEN",1,IFERROR(IF(_xlfn.XLOOKUP($B337,TC_Fechas,TC_Venta_Rango,"",-1)="","",_xlfn.XLOOKUP($B337,TC_Fechas,TC_Venta_Rango,"",-1)),"")))</f>
        <v/>
      </c>
      <c r="O337" s="20">
        <f>IF(OR($C337="",$N337=""),"",ROUND($J337*$N337,2)+ROUND($K337*$N337,2))</f>
        <v/>
      </c>
      <c r="P337" s="31">
        <f>IF($G337="","",IFERROR(INDEX(Catalogo_Tasas,MATCH($G337,Catalogo_Codigos,0)),""))</f>
        <v/>
      </c>
      <c r="Q337" s="32">
        <f>IF($G337="","",IFERROR(INDEX(Catalogo_Umbrales,MATCH($G337,Catalogo_Codigos,0)),""))</f>
        <v/>
      </c>
      <c r="R337">
        <f>IF(OR($C337="",$P337="",$O337=""),"",IF($F337&lt;&gt;"FACTURA","NO",IF(AND($P337&gt;0,$O337&gt;$Q337),"SI","NO")))</f>
        <v/>
      </c>
      <c r="S337" s="20">
        <f>IF($R337="SI",ROUND($O337*$P337,2),IF($C337="","",0))</f>
        <v/>
      </c>
      <c r="T337" s="20" t="n"/>
      <c r="U337">
        <f>IF($C337="","",IF($R337&lt;&gt;"SI","",IF($T337="","SIN DATO",IF(ABS($T337-$S337)&lt;=0.5,"OK","REVISAR"))))</f>
        <v/>
      </c>
      <c r="V337" s="20" t="n"/>
      <c r="W337" s="20">
        <f>IF(OR($C337="",$N337=""),"",IF($F337="RHE",ROUND($L337-$V337,2),ROUND($L337-($S337/$N337),2)))</f>
        <v/>
      </c>
      <c r="X337" s="25" t="n"/>
      <c r="Y337" s="25" t="n"/>
    </row>
    <row r="338">
      <c r="A338" t="n">
        <v>335</v>
      </c>
      <c r="B338" s="25" t="n"/>
      <c r="D338" s="30" t="n"/>
      <c r="G338" s="30" t="n"/>
      <c r="H338">
        <f>IF($G338="","",IFERROR(INDEX(Catalogo_Etiquetas,MATCH($G338,Catalogo_Codigos,0)),"CODIGO NO VALIDO"))</f>
        <v/>
      </c>
      <c r="J338" s="20" t="n"/>
      <c r="K338" s="20" t="n"/>
      <c r="L338" s="20">
        <f>IF($C338="","",$J338+$K338)</f>
        <v/>
      </c>
      <c r="M338" s="30" t="n"/>
      <c r="N338" s="26">
        <f>IF($C338="","",IF($I338="PEN",1,IFERROR(IF(_xlfn.XLOOKUP($B338,TC_Fechas,TC_Venta_Rango,"",-1)="","",_xlfn.XLOOKUP($B338,TC_Fechas,TC_Venta_Rango,"",-1)),"")))</f>
        <v/>
      </c>
      <c r="O338" s="20">
        <f>IF(OR($C338="",$N338=""),"",ROUND($J338*$N338,2)+ROUND($K338*$N338,2))</f>
        <v/>
      </c>
      <c r="P338" s="31">
        <f>IF($G338="","",IFERROR(INDEX(Catalogo_Tasas,MATCH($G338,Catalogo_Codigos,0)),""))</f>
        <v/>
      </c>
      <c r="Q338" s="32">
        <f>IF($G338="","",IFERROR(INDEX(Catalogo_Umbrales,MATCH($G338,Catalogo_Codigos,0)),""))</f>
        <v/>
      </c>
      <c r="R338">
        <f>IF(OR($C338="",$P338="",$O338=""),"",IF($F338&lt;&gt;"FACTURA","NO",IF(AND($P338&gt;0,$O338&gt;$Q338),"SI","NO")))</f>
        <v/>
      </c>
      <c r="S338" s="20">
        <f>IF($R338="SI",ROUND($O338*$P338,2),IF($C338="","",0))</f>
        <v/>
      </c>
      <c r="T338" s="20" t="n"/>
      <c r="U338">
        <f>IF($C338="","",IF($R338&lt;&gt;"SI","",IF($T338="","SIN DATO",IF(ABS($T338-$S338)&lt;=0.5,"OK","REVISAR"))))</f>
        <v/>
      </c>
      <c r="V338" s="20" t="n"/>
      <c r="W338" s="20">
        <f>IF(OR($C338="",$N338=""),"",IF($F338="RHE",ROUND($L338-$V338,2),ROUND($L338-($S338/$N338),2)))</f>
        <v/>
      </c>
      <c r="X338" s="25" t="n"/>
      <c r="Y338" s="25" t="n"/>
    </row>
    <row r="339">
      <c r="A339" t="n">
        <v>336</v>
      </c>
      <c r="B339" s="25" t="n"/>
      <c r="D339" s="30" t="n"/>
      <c r="G339" s="30" t="n"/>
      <c r="H339">
        <f>IF($G339="","",IFERROR(INDEX(Catalogo_Etiquetas,MATCH($G339,Catalogo_Codigos,0)),"CODIGO NO VALIDO"))</f>
        <v/>
      </c>
      <c r="J339" s="20" t="n"/>
      <c r="K339" s="20" t="n"/>
      <c r="L339" s="20">
        <f>IF($C339="","",$J339+$K339)</f>
        <v/>
      </c>
      <c r="M339" s="30" t="n"/>
      <c r="N339" s="26">
        <f>IF($C339="","",IF($I339="PEN",1,IFERROR(IF(_xlfn.XLOOKUP($B339,TC_Fechas,TC_Venta_Rango,"",-1)="","",_xlfn.XLOOKUP($B339,TC_Fechas,TC_Venta_Rango,"",-1)),"")))</f>
        <v/>
      </c>
      <c r="O339" s="20">
        <f>IF(OR($C339="",$N339=""),"",ROUND($J339*$N339,2)+ROUND($K339*$N339,2))</f>
        <v/>
      </c>
      <c r="P339" s="31">
        <f>IF($G339="","",IFERROR(INDEX(Catalogo_Tasas,MATCH($G339,Catalogo_Codigos,0)),""))</f>
        <v/>
      </c>
      <c r="Q339" s="32">
        <f>IF($G339="","",IFERROR(INDEX(Catalogo_Umbrales,MATCH($G339,Catalogo_Codigos,0)),""))</f>
        <v/>
      </c>
      <c r="R339">
        <f>IF(OR($C339="",$P339="",$O339=""),"",IF($F339&lt;&gt;"FACTURA","NO",IF(AND($P339&gt;0,$O339&gt;$Q339),"SI","NO")))</f>
        <v/>
      </c>
      <c r="S339" s="20">
        <f>IF($R339="SI",ROUND($O339*$P339,2),IF($C339="","",0))</f>
        <v/>
      </c>
      <c r="T339" s="20" t="n"/>
      <c r="U339">
        <f>IF($C339="","",IF($R339&lt;&gt;"SI","",IF($T339="","SIN DATO",IF(ABS($T339-$S339)&lt;=0.5,"OK","REVISAR"))))</f>
        <v/>
      </c>
      <c r="V339" s="20" t="n"/>
      <c r="W339" s="20">
        <f>IF(OR($C339="",$N339=""),"",IF($F339="RHE",ROUND($L339-$V339,2),ROUND($L339-($S339/$N339),2)))</f>
        <v/>
      </c>
      <c r="X339" s="25" t="n"/>
      <c r="Y339" s="25" t="n"/>
    </row>
    <row r="340">
      <c r="A340" t="n">
        <v>337</v>
      </c>
      <c r="B340" s="25" t="n"/>
      <c r="D340" s="30" t="n"/>
      <c r="G340" s="30" t="n"/>
      <c r="H340">
        <f>IF($G340="","",IFERROR(INDEX(Catalogo_Etiquetas,MATCH($G340,Catalogo_Codigos,0)),"CODIGO NO VALIDO"))</f>
        <v/>
      </c>
      <c r="J340" s="20" t="n"/>
      <c r="K340" s="20" t="n"/>
      <c r="L340" s="20">
        <f>IF($C340="","",$J340+$K340)</f>
        <v/>
      </c>
      <c r="M340" s="30" t="n"/>
      <c r="N340" s="26">
        <f>IF($C340="","",IF($I340="PEN",1,IFERROR(IF(_xlfn.XLOOKUP($B340,TC_Fechas,TC_Venta_Rango,"",-1)="","",_xlfn.XLOOKUP($B340,TC_Fechas,TC_Venta_Rango,"",-1)),"")))</f>
        <v/>
      </c>
      <c r="O340" s="20">
        <f>IF(OR($C340="",$N340=""),"",ROUND($J340*$N340,2)+ROUND($K340*$N340,2))</f>
        <v/>
      </c>
      <c r="P340" s="31">
        <f>IF($G340="","",IFERROR(INDEX(Catalogo_Tasas,MATCH($G340,Catalogo_Codigos,0)),""))</f>
        <v/>
      </c>
      <c r="Q340" s="32">
        <f>IF($G340="","",IFERROR(INDEX(Catalogo_Umbrales,MATCH($G340,Catalogo_Codigos,0)),""))</f>
        <v/>
      </c>
      <c r="R340">
        <f>IF(OR($C340="",$P340="",$O340=""),"",IF($F340&lt;&gt;"FACTURA","NO",IF(AND($P340&gt;0,$O340&gt;$Q340),"SI","NO")))</f>
        <v/>
      </c>
      <c r="S340" s="20">
        <f>IF($R340="SI",ROUND($O340*$P340,2),IF($C340="","",0))</f>
        <v/>
      </c>
      <c r="T340" s="20" t="n"/>
      <c r="U340">
        <f>IF($C340="","",IF($R340&lt;&gt;"SI","",IF($T340="","SIN DATO",IF(ABS($T340-$S340)&lt;=0.5,"OK","REVISAR"))))</f>
        <v/>
      </c>
      <c r="V340" s="20" t="n"/>
      <c r="W340" s="20">
        <f>IF(OR($C340="",$N340=""),"",IF($F340="RHE",ROUND($L340-$V340,2),ROUND($L340-($S340/$N340),2)))</f>
        <v/>
      </c>
      <c r="X340" s="25" t="n"/>
      <c r="Y340" s="25" t="n"/>
    </row>
    <row r="341">
      <c r="A341" t="n">
        <v>338</v>
      </c>
      <c r="B341" s="25" t="n"/>
      <c r="D341" s="30" t="n"/>
      <c r="G341" s="30" t="n"/>
      <c r="H341">
        <f>IF($G341="","",IFERROR(INDEX(Catalogo_Etiquetas,MATCH($G341,Catalogo_Codigos,0)),"CODIGO NO VALIDO"))</f>
        <v/>
      </c>
      <c r="J341" s="20" t="n"/>
      <c r="K341" s="20" t="n"/>
      <c r="L341" s="20">
        <f>IF($C341="","",$J341+$K341)</f>
        <v/>
      </c>
      <c r="M341" s="30" t="n"/>
      <c r="N341" s="26">
        <f>IF($C341="","",IF($I341="PEN",1,IFERROR(IF(_xlfn.XLOOKUP($B341,TC_Fechas,TC_Venta_Rango,"",-1)="","",_xlfn.XLOOKUP($B341,TC_Fechas,TC_Venta_Rango,"",-1)),"")))</f>
        <v/>
      </c>
      <c r="O341" s="20">
        <f>IF(OR($C341="",$N341=""),"",ROUND($J341*$N341,2)+ROUND($K341*$N341,2))</f>
        <v/>
      </c>
      <c r="P341" s="31">
        <f>IF($G341="","",IFERROR(INDEX(Catalogo_Tasas,MATCH($G341,Catalogo_Codigos,0)),""))</f>
        <v/>
      </c>
      <c r="Q341" s="32">
        <f>IF($G341="","",IFERROR(INDEX(Catalogo_Umbrales,MATCH($G341,Catalogo_Codigos,0)),""))</f>
        <v/>
      </c>
      <c r="R341">
        <f>IF(OR($C341="",$P341="",$O341=""),"",IF($F341&lt;&gt;"FACTURA","NO",IF(AND($P341&gt;0,$O341&gt;$Q341),"SI","NO")))</f>
        <v/>
      </c>
      <c r="S341" s="20">
        <f>IF($R341="SI",ROUND($O341*$P341,2),IF($C341="","",0))</f>
        <v/>
      </c>
      <c r="T341" s="20" t="n"/>
      <c r="U341">
        <f>IF($C341="","",IF($R341&lt;&gt;"SI","",IF($T341="","SIN DATO",IF(ABS($T341-$S341)&lt;=0.5,"OK","REVISAR"))))</f>
        <v/>
      </c>
      <c r="V341" s="20" t="n"/>
      <c r="W341" s="20">
        <f>IF(OR($C341="",$N341=""),"",IF($F341="RHE",ROUND($L341-$V341,2),ROUND($L341-($S341/$N341),2)))</f>
        <v/>
      </c>
      <c r="X341" s="25" t="n"/>
      <c r="Y341" s="25" t="n"/>
    </row>
    <row r="342">
      <c r="A342" t="n">
        <v>339</v>
      </c>
      <c r="B342" s="25" t="n"/>
      <c r="D342" s="30" t="n"/>
      <c r="G342" s="30" t="n"/>
      <c r="H342">
        <f>IF($G342="","",IFERROR(INDEX(Catalogo_Etiquetas,MATCH($G342,Catalogo_Codigos,0)),"CODIGO NO VALIDO"))</f>
        <v/>
      </c>
      <c r="J342" s="20" t="n"/>
      <c r="K342" s="20" t="n"/>
      <c r="L342" s="20">
        <f>IF($C342="","",$J342+$K342)</f>
        <v/>
      </c>
      <c r="M342" s="30" t="n"/>
      <c r="N342" s="26">
        <f>IF($C342="","",IF($I342="PEN",1,IFERROR(IF(_xlfn.XLOOKUP($B342,TC_Fechas,TC_Venta_Rango,"",-1)="","",_xlfn.XLOOKUP($B342,TC_Fechas,TC_Venta_Rango,"",-1)),"")))</f>
        <v/>
      </c>
      <c r="O342" s="20">
        <f>IF(OR($C342="",$N342=""),"",ROUND($J342*$N342,2)+ROUND($K342*$N342,2))</f>
        <v/>
      </c>
      <c r="P342" s="31">
        <f>IF($G342="","",IFERROR(INDEX(Catalogo_Tasas,MATCH($G342,Catalogo_Codigos,0)),""))</f>
        <v/>
      </c>
      <c r="Q342" s="32">
        <f>IF($G342="","",IFERROR(INDEX(Catalogo_Umbrales,MATCH($G342,Catalogo_Codigos,0)),""))</f>
        <v/>
      </c>
      <c r="R342">
        <f>IF(OR($C342="",$P342="",$O342=""),"",IF($F342&lt;&gt;"FACTURA","NO",IF(AND($P342&gt;0,$O342&gt;$Q342),"SI","NO")))</f>
        <v/>
      </c>
      <c r="S342" s="20">
        <f>IF($R342="SI",ROUND($O342*$P342,2),IF($C342="","",0))</f>
        <v/>
      </c>
      <c r="T342" s="20" t="n"/>
      <c r="U342">
        <f>IF($C342="","",IF($R342&lt;&gt;"SI","",IF($T342="","SIN DATO",IF(ABS($T342-$S342)&lt;=0.5,"OK","REVISAR"))))</f>
        <v/>
      </c>
      <c r="V342" s="20" t="n"/>
      <c r="W342" s="20">
        <f>IF(OR($C342="",$N342=""),"",IF($F342="RHE",ROUND($L342-$V342,2),ROUND($L342-($S342/$N342),2)))</f>
        <v/>
      </c>
      <c r="X342" s="25" t="n"/>
      <c r="Y342" s="25" t="n"/>
    </row>
    <row r="343">
      <c r="A343" t="n">
        <v>340</v>
      </c>
      <c r="B343" s="25" t="n"/>
      <c r="D343" s="30" t="n"/>
      <c r="G343" s="30" t="n"/>
      <c r="H343">
        <f>IF($G343="","",IFERROR(INDEX(Catalogo_Etiquetas,MATCH($G343,Catalogo_Codigos,0)),"CODIGO NO VALIDO"))</f>
        <v/>
      </c>
      <c r="J343" s="20" t="n"/>
      <c r="K343" s="20" t="n"/>
      <c r="L343" s="20">
        <f>IF($C343="","",$J343+$K343)</f>
        <v/>
      </c>
      <c r="M343" s="30" t="n"/>
      <c r="N343" s="26">
        <f>IF($C343="","",IF($I343="PEN",1,IFERROR(IF(_xlfn.XLOOKUP($B343,TC_Fechas,TC_Venta_Rango,"",-1)="","",_xlfn.XLOOKUP($B343,TC_Fechas,TC_Venta_Rango,"",-1)),"")))</f>
        <v/>
      </c>
      <c r="O343" s="20">
        <f>IF(OR($C343="",$N343=""),"",ROUND($J343*$N343,2)+ROUND($K343*$N343,2))</f>
        <v/>
      </c>
      <c r="P343" s="31">
        <f>IF($G343="","",IFERROR(INDEX(Catalogo_Tasas,MATCH($G343,Catalogo_Codigos,0)),""))</f>
        <v/>
      </c>
      <c r="Q343" s="32">
        <f>IF($G343="","",IFERROR(INDEX(Catalogo_Umbrales,MATCH($G343,Catalogo_Codigos,0)),""))</f>
        <v/>
      </c>
      <c r="R343">
        <f>IF(OR($C343="",$P343="",$O343=""),"",IF($F343&lt;&gt;"FACTURA","NO",IF(AND($P343&gt;0,$O343&gt;$Q343),"SI","NO")))</f>
        <v/>
      </c>
      <c r="S343" s="20">
        <f>IF($R343="SI",ROUND($O343*$P343,2),IF($C343="","",0))</f>
        <v/>
      </c>
      <c r="T343" s="20" t="n"/>
      <c r="U343">
        <f>IF($C343="","",IF($R343&lt;&gt;"SI","",IF($T343="","SIN DATO",IF(ABS($T343-$S343)&lt;=0.5,"OK","REVISAR"))))</f>
        <v/>
      </c>
      <c r="V343" s="20" t="n"/>
      <c r="W343" s="20">
        <f>IF(OR($C343="",$N343=""),"",IF($F343="RHE",ROUND($L343-$V343,2),ROUND($L343-($S343/$N343),2)))</f>
        <v/>
      </c>
      <c r="X343" s="25" t="n"/>
      <c r="Y343" s="25" t="n"/>
    </row>
    <row r="344">
      <c r="A344" t="n">
        <v>341</v>
      </c>
      <c r="B344" s="25" t="n"/>
      <c r="D344" s="30" t="n"/>
      <c r="G344" s="30" t="n"/>
      <c r="H344">
        <f>IF($G344="","",IFERROR(INDEX(Catalogo_Etiquetas,MATCH($G344,Catalogo_Codigos,0)),"CODIGO NO VALIDO"))</f>
        <v/>
      </c>
      <c r="J344" s="20" t="n"/>
      <c r="K344" s="20" t="n"/>
      <c r="L344" s="20">
        <f>IF($C344="","",$J344+$K344)</f>
        <v/>
      </c>
      <c r="M344" s="30" t="n"/>
      <c r="N344" s="26">
        <f>IF($C344="","",IF($I344="PEN",1,IFERROR(IF(_xlfn.XLOOKUP($B344,TC_Fechas,TC_Venta_Rango,"",-1)="","",_xlfn.XLOOKUP($B344,TC_Fechas,TC_Venta_Rango,"",-1)),"")))</f>
        <v/>
      </c>
      <c r="O344" s="20">
        <f>IF(OR($C344="",$N344=""),"",ROUND($J344*$N344,2)+ROUND($K344*$N344,2))</f>
        <v/>
      </c>
      <c r="P344" s="31">
        <f>IF($G344="","",IFERROR(INDEX(Catalogo_Tasas,MATCH($G344,Catalogo_Codigos,0)),""))</f>
        <v/>
      </c>
      <c r="Q344" s="32">
        <f>IF($G344="","",IFERROR(INDEX(Catalogo_Umbrales,MATCH($G344,Catalogo_Codigos,0)),""))</f>
        <v/>
      </c>
      <c r="R344">
        <f>IF(OR($C344="",$P344="",$O344=""),"",IF($F344&lt;&gt;"FACTURA","NO",IF(AND($P344&gt;0,$O344&gt;$Q344),"SI","NO")))</f>
        <v/>
      </c>
      <c r="S344" s="20">
        <f>IF($R344="SI",ROUND($O344*$P344,2),IF($C344="","",0))</f>
        <v/>
      </c>
      <c r="T344" s="20" t="n"/>
      <c r="U344">
        <f>IF($C344="","",IF($R344&lt;&gt;"SI","",IF($T344="","SIN DATO",IF(ABS($T344-$S344)&lt;=0.5,"OK","REVISAR"))))</f>
        <v/>
      </c>
      <c r="V344" s="20" t="n"/>
      <c r="W344" s="20">
        <f>IF(OR($C344="",$N344=""),"",IF($F344="RHE",ROUND($L344-$V344,2),ROUND($L344-($S344/$N344),2)))</f>
        <v/>
      </c>
      <c r="X344" s="25" t="n"/>
      <c r="Y344" s="25" t="n"/>
    </row>
    <row r="345">
      <c r="A345" t="n">
        <v>342</v>
      </c>
      <c r="B345" s="25" t="n"/>
      <c r="D345" s="30" t="n"/>
      <c r="G345" s="30" t="n"/>
      <c r="H345">
        <f>IF($G345="","",IFERROR(INDEX(Catalogo_Etiquetas,MATCH($G345,Catalogo_Codigos,0)),"CODIGO NO VALIDO"))</f>
        <v/>
      </c>
      <c r="J345" s="20" t="n"/>
      <c r="K345" s="20" t="n"/>
      <c r="L345" s="20">
        <f>IF($C345="","",$J345+$K345)</f>
        <v/>
      </c>
      <c r="M345" s="30" t="n"/>
      <c r="N345" s="26">
        <f>IF($C345="","",IF($I345="PEN",1,IFERROR(IF(_xlfn.XLOOKUP($B345,TC_Fechas,TC_Venta_Rango,"",-1)="","",_xlfn.XLOOKUP($B345,TC_Fechas,TC_Venta_Rango,"",-1)),"")))</f>
        <v/>
      </c>
      <c r="O345" s="20">
        <f>IF(OR($C345="",$N345=""),"",ROUND($J345*$N345,2)+ROUND($K345*$N345,2))</f>
        <v/>
      </c>
      <c r="P345" s="31">
        <f>IF($G345="","",IFERROR(INDEX(Catalogo_Tasas,MATCH($G345,Catalogo_Codigos,0)),""))</f>
        <v/>
      </c>
      <c r="Q345" s="32">
        <f>IF($G345="","",IFERROR(INDEX(Catalogo_Umbrales,MATCH($G345,Catalogo_Codigos,0)),""))</f>
        <v/>
      </c>
      <c r="R345">
        <f>IF(OR($C345="",$P345="",$O345=""),"",IF($F345&lt;&gt;"FACTURA","NO",IF(AND($P345&gt;0,$O345&gt;$Q345),"SI","NO")))</f>
        <v/>
      </c>
      <c r="S345" s="20">
        <f>IF($R345="SI",ROUND($O345*$P345,2),IF($C345="","",0))</f>
        <v/>
      </c>
      <c r="T345" s="20" t="n"/>
      <c r="U345">
        <f>IF($C345="","",IF($R345&lt;&gt;"SI","",IF($T345="","SIN DATO",IF(ABS($T345-$S345)&lt;=0.5,"OK","REVISAR"))))</f>
        <v/>
      </c>
      <c r="V345" s="20" t="n"/>
      <c r="W345" s="20">
        <f>IF(OR($C345="",$N345=""),"",IF($F345="RHE",ROUND($L345-$V345,2),ROUND($L345-($S345/$N345),2)))</f>
        <v/>
      </c>
      <c r="X345" s="25" t="n"/>
      <c r="Y345" s="25" t="n"/>
    </row>
    <row r="346">
      <c r="A346" t="n">
        <v>343</v>
      </c>
      <c r="B346" s="25" t="n"/>
      <c r="D346" s="30" t="n"/>
      <c r="G346" s="30" t="n"/>
      <c r="H346">
        <f>IF($G346="","",IFERROR(INDEX(Catalogo_Etiquetas,MATCH($G346,Catalogo_Codigos,0)),"CODIGO NO VALIDO"))</f>
        <v/>
      </c>
      <c r="J346" s="20" t="n"/>
      <c r="K346" s="20" t="n"/>
      <c r="L346" s="20">
        <f>IF($C346="","",$J346+$K346)</f>
        <v/>
      </c>
      <c r="M346" s="30" t="n"/>
      <c r="N346" s="26">
        <f>IF($C346="","",IF($I346="PEN",1,IFERROR(IF(_xlfn.XLOOKUP($B346,TC_Fechas,TC_Venta_Rango,"",-1)="","",_xlfn.XLOOKUP($B346,TC_Fechas,TC_Venta_Rango,"",-1)),"")))</f>
        <v/>
      </c>
      <c r="O346" s="20">
        <f>IF(OR($C346="",$N346=""),"",ROUND($J346*$N346,2)+ROUND($K346*$N346,2))</f>
        <v/>
      </c>
      <c r="P346" s="31">
        <f>IF($G346="","",IFERROR(INDEX(Catalogo_Tasas,MATCH($G346,Catalogo_Codigos,0)),""))</f>
        <v/>
      </c>
      <c r="Q346" s="32">
        <f>IF($G346="","",IFERROR(INDEX(Catalogo_Umbrales,MATCH($G346,Catalogo_Codigos,0)),""))</f>
        <v/>
      </c>
      <c r="R346">
        <f>IF(OR($C346="",$P346="",$O346=""),"",IF($F346&lt;&gt;"FACTURA","NO",IF(AND($P346&gt;0,$O346&gt;$Q346),"SI","NO")))</f>
        <v/>
      </c>
      <c r="S346" s="20">
        <f>IF($R346="SI",ROUND($O346*$P346,2),IF($C346="","",0))</f>
        <v/>
      </c>
      <c r="T346" s="20" t="n"/>
      <c r="U346">
        <f>IF($C346="","",IF($R346&lt;&gt;"SI","",IF($T346="","SIN DATO",IF(ABS($T346-$S346)&lt;=0.5,"OK","REVISAR"))))</f>
        <v/>
      </c>
      <c r="V346" s="20" t="n"/>
      <c r="W346" s="20">
        <f>IF(OR($C346="",$N346=""),"",IF($F346="RHE",ROUND($L346-$V346,2),ROUND($L346-($S346/$N346),2)))</f>
        <v/>
      </c>
      <c r="X346" s="25" t="n"/>
      <c r="Y346" s="25" t="n"/>
    </row>
    <row r="347">
      <c r="A347" t="n">
        <v>344</v>
      </c>
      <c r="B347" s="25" t="n"/>
      <c r="D347" s="30" t="n"/>
      <c r="G347" s="30" t="n"/>
      <c r="H347">
        <f>IF($G347="","",IFERROR(INDEX(Catalogo_Etiquetas,MATCH($G347,Catalogo_Codigos,0)),"CODIGO NO VALIDO"))</f>
        <v/>
      </c>
      <c r="J347" s="20" t="n"/>
      <c r="K347" s="20" t="n"/>
      <c r="L347" s="20">
        <f>IF($C347="","",$J347+$K347)</f>
        <v/>
      </c>
      <c r="M347" s="30" t="n"/>
      <c r="N347" s="26">
        <f>IF($C347="","",IF($I347="PEN",1,IFERROR(IF(_xlfn.XLOOKUP($B347,TC_Fechas,TC_Venta_Rango,"",-1)="","",_xlfn.XLOOKUP($B347,TC_Fechas,TC_Venta_Rango,"",-1)),"")))</f>
        <v/>
      </c>
      <c r="O347" s="20">
        <f>IF(OR($C347="",$N347=""),"",ROUND($J347*$N347,2)+ROUND($K347*$N347,2))</f>
        <v/>
      </c>
      <c r="P347" s="31">
        <f>IF($G347="","",IFERROR(INDEX(Catalogo_Tasas,MATCH($G347,Catalogo_Codigos,0)),""))</f>
        <v/>
      </c>
      <c r="Q347" s="32">
        <f>IF($G347="","",IFERROR(INDEX(Catalogo_Umbrales,MATCH($G347,Catalogo_Codigos,0)),""))</f>
        <v/>
      </c>
      <c r="R347">
        <f>IF(OR($C347="",$P347="",$O347=""),"",IF($F347&lt;&gt;"FACTURA","NO",IF(AND($P347&gt;0,$O347&gt;$Q347),"SI","NO")))</f>
        <v/>
      </c>
      <c r="S347" s="20">
        <f>IF($R347="SI",ROUND($O347*$P347,2),IF($C347="","",0))</f>
        <v/>
      </c>
      <c r="T347" s="20" t="n"/>
      <c r="U347">
        <f>IF($C347="","",IF($R347&lt;&gt;"SI","",IF($T347="","SIN DATO",IF(ABS($T347-$S347)&lt;=0.5,"OK","REVISAR"))))</f>
        <v/>
      </c>
      <c r="V347" s="20" t="n"/>
      <c r="W347" s="20">
        <f>IF(OR($C347="",$N347=""),"",IF($F347="RHE",ROUND($L347-$V347,2),ROUND($L347-($S347/$N347),2)))</f>
        <v/>
      </c>
      <c r="X347" s="25" t="n"/>
      <c r="Y347" s="25" t="n"/>
    </row>
    <row r="348">
      <c r="A348" t="n">
        <v>345</v>
      </c>
      <c r="B348" s="25" t="n"/>
      <c r="D348" s="30" t="n"/>
      <c r="G348" s="30" t="n"/>
      <c r="H348">
        <f>IF($G348="","",IFERROR(INDEX(Catalogo_Etiquetas,MATCH($G348,Catalogo_Codigos,0)),"CODIGO NO VALIDO"))</f>
        <v/>
      </c>
      <c r="J348" s="20" t="n"/>
      <c r="K348" s="20" t="n"/>
      <c r="L348" s="20">
        <f>IF($C348="","",$J348+$K348)</f>
        <v/>
      </c>
      <c r="M348" s="30" t="n"/>
      <c r="N348" s="26">
        <f>IF($C348="","",IF($I348="PEN",1,IFERROR(IF(_xlfn.XLOOKUP($B348,TC_Fechas,TC_Venta_Rango,"",-1)="","",_xlfn.XLOOKUP($B348,TC_Fechas,TC_Venta_Rango,"",-1)),"")))</f>
        <v/>
      </c>
      <c r="O348" s="20">
        <f>IF(OR($C348="",$N348=""),"",ROUND($J348*$N348,2)+ROUND($K348*$N348,2))</f>
        <v/>
      </c>
      <c r="P348" s="31">
        <f>IF($G348="","",IFERROR(INDEX(Catalogo_Tasas,MATCH($G348,Catalogo_Codigos,0)),""))</f>
        <v/>
      </c>
      <c r="Q348" s="32">
        <f>IF($G348="","",IFERROR(INDEX(Catalogo_Umbrales,MATCH($G348,Catalogo_Codigos,0)),""))</f>
        <v/>
      </c>
      <c r="R348">
        <f>IF(OR($C348="",$P348="",$O348=""),"",IF($F348&lt;&gt;"FACTURA","NO",IF(AND($P348&gt;0,$O348&gt;$Q348),"SI","NO")))</f>
        <v/>
      </c>
      <c r="S348" s="20">
        <f>IF($R348="SI",ROUND($O348*$P348,2),IF($C348="","",0))</f>
        <v/>
      </c>
      <c r="T348" s="20" t="n"/>
      <c r="U348">
        <f>IF($C348="","",IF($R348&lt;&gt;"SI","",IF($T348="","SIN DATO",IF(ABS($T348-$S348)&lt;=0.5,"OK","REVISAR"))))</f>
        <v/>
      </c>
      <c r="V348" s="20" t="n"/>
      <c r="W348" s="20">
        <f>IF(OR($C348="",$N348=""),"",IF($F348="RHE",ROUND($L348-$V348,2),ROUND($L348-($S348/$N348),2)))</f>
        <v/>
      </c>
      <c r="X348" s="25" t="n"/>
      <c r="Y348" s="25" t="n"/>
    </row>
    <row r="349">
      <c r="A349" t="n">
        <v>346</v>
      </c>
      <c r="B349" s="25" t="n"/>
      <c r="D349" s="30" t="n"/>
      <c r="G349" s="30" t="n"/>
      <c r="H349">
        <f>IF($G349="","",IFERROR(INDEX(Catalogo_Etiquetas,MATCH($G349,Catalogo_Codigos,0)),"CODIGO NO VALIDO"))</f>
        <v/>
      </c>
      <c r="J349" s="20" t="n"/>
      <c r="K349" s="20" t="n"/>
      <c r="L349" s="20">
        <f>IF($C349="","",$J349+$K349)</f>
        <v/>
      </c>
      <c r="M349" s="30" t="n"/>
      <c r="N349" s="26">
        <f>IF($C349="","",IF($I349="PEN",1,IFERROR(IF(_xlfn.XLOOKUP($B349,TC_Fechas,TC_Venta_Rango,"",-1)="","",_xlfn.XLOOKUP($B349,TC_Fechas,TC_Venta_Rango,"",-1)),"")))</f>
        <v/>
      </c>
      <c r="O349" s="20">
        <f>IF(OR($C349="",$N349=""),"",ROUND($J349*$N349,2)+ROUND($K349*$N349,2))</f>
        <v/>
      </c>
      <c r="P349" s="31">
        <f>IF($G349="","",IFERROR(INDEX(Catalogo_Tasas,MATCH($G349,Catalogo_Codigos,0)),""))</f>
        <v/>
      </c>
      <c r="Q349" s="32">
        <f>IF($G349="","",IFERROR(INDEX(Catalogo_Umbrales,MATCH($G349,Catalogo_Codigos,0)),""))</f>
        <v/>
      </c>
      <c r="R349">
        <f>IF(OR($C349="",$P349="",$O349=""),"",IF($F349&lt;&gt;"FACTURA","NO",IF(AND($P349&gt;0,$O349&gt;$Q349),"SI","NO")))</f>
        <v/>
      </c>
      <c r="S349" s="20">
        <f>IF($R349="SI",ROUND($O349*$P349,2),IF($C349="","",0))</f>
        <v/>
      </c>
      <c r="T349" s="20" t="n"/>
      <c r="U349">
        <f>IF($C349="","",IF($R349&lt;&gt;"SI","",IF($T349="","SIN DATO",IF(ABS($T349-$S349)&lt;=0.5,"OK","REVISAR"))))</f>
        <v/>
      </c>
      <c r="V349" s="20" t="n"/>
      <c r="W349" s="20">
        <f>IF(OR($C349="",$N349=""),"",IF($F349="RHE",ROUND($L349-$V349,2),ROUND($L349-($S349/$N349),2)))</f>
        <v/>
      </c>
      <c r="X349" s="25" t="n"/>
      <c r="Y349" s="25" t="n"/>
    </row>
    <row r="350">
      <c r="A350" t="n">
        <v>347</v>
      </c>
      <c r="B350" s="25" t="n"/>
      <c r="D350" s="30" t="n"/>
      <c r="G350" s="30" t="n"/>
      <c r="H350">
        <f>IF($G350="","",IFERROR(INDEX(Catalogo_Etiquetas,MATCH($G350,Catalogo_Codigos,0)),"CODIGO NO VALIDO"))</f>
        <v/>
      </c>
      <c r="J350" s="20" t="n"/>
      <c r="K350" s="20" t="n"/>
      <c r="L350" s="20">
        <f>IF($C350="","",$J350+$K350)</f>
        <v/>
      </c>
      <c r="M350" s="30" t="n"/>
      <c r="N350" s="26">
        <f>IF($C350="","",IF($I350="PEN",1,IFERROR(IF(_xlfn.XLOOKUP($B350,TC_Fechas,TC_Venta_Rango,"",-1)="","",_xlfn.XLOOKUP($B350,TC_Fechas,TC_Venta_Rango,"",-1)),"")))</f>
        <v/>
      </c>
      <c r="O350" s="20">
        <f>IF(OR($C350="",$N350=""),"",ROUND($J350*$N350,2)+ROUND($K350*$N350,2))</f>
        <v/>
      </c>
      <c r="P350" s="31">
        <f>IF($G350="","",IFERROR(INDEX(Catalogo_Tasas,MATCH($G350,Catalogo_Codigos,0)),""))</f>
        <v/>
      </c>
      <c r="Q350" s="32">
        <f>IF($G350="","",IFERROR(INDEX(Catalogo_Umbrales,MATCH($G350,Catalogo_Codigos,0)),""))</f>
        <v/>
      </c>
      <c r="R350">
        <f>IF(OR($C350="",$P350="",$O350=""),"",IF($F350&lt;&gt;"FACTURA","NO",IF(AND($P350&gt;0,$O350&gt;$Q350),"SI","NO")))</f>
        <v/>
      </c>
      <c r="S350" s="20">
        <f>IF($R350="SI",ROUND($O350*$P350,2),IF($C350="","",0))</f>
        <v/>
      </c>
      <c r="T350" s="20" t="n"/>
      <c r="U350">
        <f>IF($C350="","",IF($R350&lt;&gt;"SI","",IF($T350="","SIN DATO",IF(ABS($T350-$S350)&lt;=0.5,"OK","REVISAR"))))</f>
        <v/>
      </c>
      <c r="V350" s="20" t="n"/>
      <c r="W350" s="20">
        <f>IF(OR($C350="",$N350=""),"",IF($F350="RHE",ROUND($L350-$V350,2),ROUND($L350-($S350/$N350),2)))</f>
        <v/>
      </c>
      <c r="X350" s="25" t="n"/>
      <c r="Y350" s="25" t="n"/>
    </row>
    <row r="351">
      <c r="A351" t="n">
        <v>348</v>
      </c>
      <c r="B351" s="25" t="n"/>
      <c r="D351" s="30" t="n"/>
      <c r="G351" s="30" t="n"/>
      <c r="H351">
        <f>IF($G351="","",IFERROR(INDEX(Catalogo_Etiquetas,MATCH($G351,Catalogo_Codigos,0)),"CODIGO NO VALIDO"))</f>
        <v/>
      </c>
      <c r="J351" s="20" t="n"/>
      <c r="K351" s="20" t="n"/>
      <c r="L351" s="20">
        <f>IF($C351="","",$J351+$K351)</f>
        <v/>
      </c>
      <c r="M351" s="30" t="n"/>
      <c r="N351" s="26">
        <f>IF($C351="","",IF($I351="PEN",1,IFERROR(IF(_xlfn.XLOOKUP($B351,TC_Fechas,TC_Venta_Rango,"",-1)="","",_xlfn.XLOOKUP($B351,TC_Fechas,TC_Venta_Rango,"",-1)),"")))</f>
        <v/>
      </c>
      <c r="O351" s="20">
        <f>IF(OR($C351="",$N351=""),"",ROUND($J351*$N351,2)+ROUND($K351*$N351,2))</f>
        <v/>
      </c>
      <c r="P351" s="31">
        <f>IF($G351="","",IFERROR(INDEX(Catalogo_Tasas,MATCH($G351,Catalogo_Codigos,0)),""))</f>
        <v/>
      </c>
      <c r="Q351" s="32">
        <f>IF($G351="","",IFERROR(INDEX(Catalogo_Umbrales,MATCH($G351,Catalogo_Codigos,0)),""))</f>
        <v/>
      </c>
      <c r="R351">
        <f>IF(OR($C351="",$P351="",$O351=""),"",IF($F351&lt;&gt;"FACTURA","NO",IF(AND($P351&gt;0,$O351&gt;$Q351),"SI","NO")))</f>
        <v/>
      </c>
      <c r="S351" s="20">
        <f>IF($R351="SI",ROUND($O351*$P351,2),IF($C351="","",0))</f>
        <v/>
      </c>
      <c r="T351" s="20" t="n"/>
      <c r="U351">
        <f>IF($C351="","",IF($R351&lt;&gt;"SI","",IF($T351="","SIN DATO",IF(ABS($T351-$S351)&lt;=0.5,"OK","REVISAR"))))</f>
        <v/>
      </c>
      <c r="V351" s="20" t="n"/>
      <c r="W351" s="20">
        <f>IF(OR($C351="",$N351=""),"",IF($F351="RHE",ROUND($L351-$V351,2),ROUND($L351-($S351/$N351),2)))</f>
        <v/>
      </c>
      <c r="X351" s="25" t="n"/>
      <c r="Y351" s="25" t="n"/>
    </row>
    <row r="352">
      <c r="A352" t="n">
        <v>349</v>
      </c>
      <c r="B352" s="25" t="n"/>
      <c r="D352" s="30" t="n"/>
      <c r="G352" s="30" t="n"/>
      <c r="H352">
        <f>IF($G352="","",IFERROR(INDEX(Catalogo_Etiquetas,MATCH($G352,Catalogo_Codigos,0)),"CODIGO NO VALIDO"))</f>
        <v/>
      </c>
      <c r="J352" s="20" t="n"/>
      <c r="K352" s="20" t="n"/>
      <c r="L352" s="20">
        <f>IF($C352="","",$J352+$K352)</f>
        <v/>
      </c>
      <c r="M352" s="30" t="n"/>
      <c r="N352" s="26">
        <f>IF($C352="","",IF($I352="PEN",1,IFERROR(IF(_xlfn.XLOOKUP($B352,TC_Fechas,TC_Venta_Rango,"",-1)="","",_xlfn.XLOOKUP($B352,TC_Fechas,TC_Venta_Rango,"",-1)),"")))</f>
        <v/>
      </c>
      <c r="O352" s="20">
        <f>IF(OR($C352="",$N352=""),"",ROUND($J352*$N352,2)+ROUND($K352*$N352,2))</f>
        <v/>
      </c>
      <c r="P352" s="31">
        <f>IF($G352="","",IFERROR(INDEX(Catalogo_Tasas,MATCH($G352,Catalogo_Codigos,0)),""))</f>
        <v/>
      </c>
      <c r="Q352" s="32">
        <f>IF($G352="","",IFERROR(INDEX(Catalogo_Umbrales,MATCH($G352,Catalogo_Codigos,0)),""))</f>
        <v/>
      </c>
      <c r="R352">
        <f>IF(OR($C352="",$P352="",$O352=""),"",IF($F352&lt;&gt;"FACTURA","NO",IF(AND($P352&gt;0,$O352&gt;$Q352),"SI","NO")))</f>
        <v/>
      </c>
      <c r="S352" s="20">
        <f>IF($R352="SI",ROUND($O352*$P352,2),IF($C352="","",0))</f>
        <v/>
      </c>
      <c r="T352" s="20" t="n"/>
      <c r="U352">
        <f>IF($C352="","",IF($R352&lt;&gt;"SI","",IF($T352="","SIN DATO",IF(ABS($T352-$S352)&lt;=0.5,"OK","REVISAR"))))</f>
        <v/>
      </c>
      <c r="V352" s="20" t="n"/>
      <c r="W352" s="20">
        <f>IF(OR($C352="",$N352=""),"",IF($F352="RHE",ROUND($L352-$V352,2),ROUND($L352-($S352/$N352),2)))</f>
        <v/>
      </c>
      <c r="X352" s="25" t="n"/>
      <c r="Y352" s="25" t="n"/>
    </row>
    <row r="353">
      <c r="A353" t="n">
        <v>350</v>
      </c>
      <c r="B353" s="25" t="n"/>
      <c r="D353" s="30" t="n"/>
      <c r="G353" s="30" t="n"/>
      <c r="H353">
        <f>IF($G353="","",IFERROR(INDEX(Catalogo_Etiquetas,MATCH($G353,Catalogo_Codigos,0)),"CODIGO NO VALIDO"))</f>
        <v/>
      </c>
      <c r="J353" s="20" t="n"/>
      <c r="K353" s="20" t="n"/>
      <c r="L353" s="20">
        <f>IF($C353="","",$J353+$K353)</f>
        <v/>
      </c>
      <c r="M353" s="30" t="n"/>
      <c r="N353" s="26">
        <f>IF($C353="","",IF($I353="PEN",1,IFERROR(IF(_xlfn.XLOOKUP($B353,TC_Fechas,TC_Venta_Rango,"",-1)="","",_xlfn.XLOOKUP($B353,TC_Fechas,TC_Venta_Rango,"",-1)),"")))</f>
        <v/>
      </c>
      <c r="O353" s="20">
        <f>IF(OR($C353="",$N353=""),"",ROUND($J353*$N353,2)+ROUND($K353*$N353,2))</f>
        <v/>
      </c>
      <c r="P353" s="31">
        <f>IF($G353="","",IFERROR(INDEX(Catalogo_Tasas,MATCH($G353,Catalogo_Codigos,0)),""))</f>
        <v/>
      </c>
      <c r="Q353" s="32">
        <f>IF($G353="","",IFERROR(INDEX(Catalogo_Umbrales,MATCH($G353,Catalogo_Codigos,0)),""))</f>
        <v/>
      </c>
      <c r="R353">
        <f>IF(OR($C353="",$P353="",$O353=""),"",IF($F353&lt;&gt;"FACTURA","NO",IF(AND($P353&gt;0,$O353&gt;$Q353),"SI","NO")))</f>
        <v/>
      </c>
      <c r="S353" s="20">
        <f>IF($R353="SI",ROUND($O353*$P353,2),IF($C353="","",0))</f>
        <v/>
      </c>
      <c r="T353" s="20" t="n"/>
      <c r="U353">
        <f>IF($C353="","",IF($R353&lt;&gt;"SI","",IF($T353="","SIN DATO",IF(ABS($T353-$S353)&lt;=0.5,"OK","REVISAR"))))</f>
        <v/>
      </c>
      <c r="V353" s="20" t="n"/>
      <c r="W353" s="20">
        <f>IF(OR($C353="",$N353=""),"",IF($F353="RHE",ROUND($L353-$V353,2),ROUND($L353-($S353/$N353),2)))</f>
        <v/>
      </c>
      <c r="X353" s="25" t="n"/>
      <c r="Y353" s="25" t="n"/>
    </row>
    <row r="354">
      <c r="A354" t="n">
        <v>351</v>
      </c>
      <c r="B354" s="25" t="n"/>
      <c r="D354" s="30" t="n"/>
      <c r="G354" s="30" t="n"/>
      <c r="H354">
        <f>IF($G354="","",IFERROR(INDEX(Catalogo_Etiquetas,MATCH($G354,Catalogo_Codigos,0)),"CODIGO NO VALIDO"))</f>
        <v/>
      </c>
      <c r="J354" s="20" t="n"/>
      <c r="K354" s="20" t="n"/>
      <c r="L354" s="20">
        <f>IF($C354="","",$J354+$K354)</f>
        <v/>
      </c>
      <c r="M354" s="30" t="n"/>
      <c r="N354" s="26">
        <f>IF($C354="","",IF($I354="PEN",1,IFERROR(IF(_xlfn.XLOOKUP($B354,TC_Fechas,TC_Venta_Rango,"",-1)="","",_xlfn.XLOOKUP($B354,TC_Fechas,TC_Venta_Rango,"",-1)),"")))</f>
        <v/>
      </c>
      <c r="O354" s="20">
        <f>IF(OR($C354="",$N354=""),"",ROUND($J354*$N354,2)+ROUND($K354*$N354,2))</f>
        <v/>
      </c>
      <c r="P354" s="31">
        <f>IF($G354="","",IFERROR(INDEX(Catalogo_Tasas,MATCH($G354,Catalogo_Codigos,0)),""))</f>
        <v/>
      </c>
      <c r="Q354" s="32">
        <f>IF($G354="","",IFERROR(INDEX(Catalogo_Umbrales,MATCH($G354,Catalogo_Codigos,0)),""))</f>
        <v/>
      </c>
      <c r="R354">
        <f>IF(OR($C354="",$P354="",$O354=""),"",IF($F354&lt;&gt;"FACTURA","NO",IF(AND($P354&gt;0,$O354&gt;$Q354),"SI","NO")))</f>
        <v/>
      </c>
      <c r="S354" s="20">
        <f>IF($R354="SI",ROUND($O354*$P354,2),IF($C354="","",0))</f>
        <v/>
      </c>
      <c r="T354" s="20" t="n"/>
      <c r="U354">
        <f>IF($C354="","",IF($R354&lt;&gt;"SI","",IF($T354="","SIN DATO",IF(ABS($T354-$S354)&lt;=0.5,"OK","REVISAR"))))</f>
        <v/>
      </c>
      <c r="V354" s="20" t="n"/>
      <c r="W354" s="20">
        <f>IF(OR($C354="",$N354=""),"",IF($F354="RHE",ROUND($L354-$V354,2),ROUND($L354-($S354/$N354),2)))</f>
        <v/>
      </c>
      <c r="X354" s="25" t="n"/>
      <c r="Y354" s="25" t="n"/>
    </row>
    <row r="355">
      <c r="A355" t="n">
        <v>352</v>
      </c>
      <c r="B355" s="25" t="n"/>
      <c r="D355" s="30" t="n"/>
      <c r="G355" s="30" t="n"/>
      <c r="H355">
        <f>IF($G355="","",IFERROR(INDEX(Catalogo_Etiquetas,MATCH($G355,Catalogo_Codigos,0)),"CODIGO NO VALIDO"))</f>
        <v/>
      </c>
      <c r="J355" s="20" t="n"/>
      <c r="K355" s="20" t="n"/>
      <c r="L355" s="20">
        <f>IF($C355="","",$J355+$K355)</f>
        <v/>
      </c>
      <c r="M355" s="30" t="n"/>
      <c r="N355" s="26">
        <f>IF($C355="","",IF($I355="PEN",1,IFERROR(IF(_xlfn.XLOOKUP($B355,TC_Fechas,TC_Venta_Rango,"",-1)="","",_xlfn.XLOOKUP($B355,TC_Fechas,TC_Venta_Rango,"",-1)),"")))</f>
        <v/>
      </c>
      <c r="O355" s="20">
        <f>IF(OR($C355="",$N355=""),"",ROUND($J355*$N355,2)+ROUND($K355*$N355,2))</f>
        <v/>
      </c>
      <c r="P355" s="31">
        <f>IF($G355="","",IFERROR(INDEX(Catalogo_Tasas,MATCH($G355,Catalogo_Codigos,0)),""))</f>
        <v/>
      </c>
      <c r="Q355" s="32">
        <f>IF($G355="","",IFERROR(INDEX(Catalogo_Umbrales,MATCH($G355,Catalogo_Codigos,0)),""))</f>
        <v/>
      </c>
      <c r="R355">
        <f>IF(OR($C355="",$P355="",$O355=""),"",IF($F355&lt;&gt;"FACTURA","NO",IF(AND($P355&gt;0,$O355&gt;$Q355),"SI","NO")))</f>
        <v/>
      </c>
      <c r="S355" s="20">
        <f>IF($R355="SI",ROUND($O355*$P355,2),IF($C355="","",0))</f>
        <v/>
      </c>
      <c r="T355" s="20" t="n"/>
      <c r="U355">
        <f>IF($C355="","",IF($R355&lt;&gt;"SI","",IF($T355="","SIN DATO",IF(ABS($T355-$S355)&lt;=0.5,"OK","REVISAR"))))</f>
        <v/>
      </c>
      <c r="V355" s="20" t="n"/>
      <c r="W355" s="20">
        <f>IF(OR($C355="",$N355=""),"",IF($F355="RHE",ROUND($L355-$V355,2),ROUND($L355-($S355/$N355),2)))</f>
        <v/>
      </c>
      <c r="X355" s="25" t="n"/>
      <c r="Y355" s="25" t="n"/>
    </row>
    <row r="356">
      <c r="A356" t="n">
        <v>353</v>
      </c>
      <c r="B356" s="25" t="n"/>
      <c r="D356" s="30" t="n"/>
      <c r="G356" s="30" t="n"/>
      <c r="H356">
        <f>IF($G356="","",IFERROR(INDEX(Catalogo_Etiquetas,MATCH($G356,Catalogo_Codigos,0)),"CODIGO NO VALIDO"))</f>
        <v/>
      </c>
      <c r="J356" s="20" t="n"/>
      <c r="K356" s="20" t="n"/>
      <c r="L356" s="20">
        <f>IF($C356="","",$J356+$K356)</f>
        <v/>
      </c>
      <c r="M356" s="30" t="n"/>
      <c r="N356" s="26">
        <f>IF($C356="","",IF($I356="PEN",1,IFERROR(IF(_xlfn.XLOOKUP($B356,TC_Fechas,TC_Venta_Rango,"",-1)="","",_xlfn.XLOOKUP($B356,TC_Fechas,TC_Venta_Rango,"",-1)),"")))</f>
        <v/>
      </c>
      <c r="O356" s="20">
        <f>IF(OR($C356="",$N356=""),"",ROUND($J356*$N356,2)+ROUND($K356*$N356,2))</f>
        <v/>
      </c>
      <c r="P356" s="31">
        <f>IF($G356="","",IFERROR(INDEX(Catalogo_Tasas,MATCH($G356,Catalogo_Codigos,0)),""))</f>
        <v/>
      </c>
      <c r="Q356" s="32">
        <f>IF($G356="","",IFERROR(INDEX(Catalogo_Umbrales,MATCH($G356,Catalogo_Codigos,0)),""))</f>
        <v/>
      </c>
      <c r="R356">
        <f>IF(OR($C356="",$P356="",$O356=""),"",IF($F356&lt;&gt;"FACTURA","NO",IF(AND($P356&gt;0,$O356&gt;$Q356),"SI","NO")))</f>
        <v/>
      </c>
      <c r="S356" s="20">
        <f>IF($R356="SI",ROUND($O356*$P356,2),IF($C356="","",0))</f>
        <v/>
      </c>
      <c r="T356" s="20" t="n"/>
      <c r="U356">
        <f>IF($C356="","",IF($R356&lt;&gt;"SI","",IF($T356="","SIN DATO",IF(ABS($T356-$S356)&lt;=0.5,"OK","REVISAR"))))</f>
        <v/>
      </c>
      <c r="V356" s="20" t="n"/>
      <c r="W356" s="20">
        <f>IF(OR($C356="",$N356=""),"",IF($F356="RHE",ROUND($L356-$V356,2),ROUND($L356-($S356/$N356),2)))</f>
        <v/>
      </c>
      <c r="X356" s="25" t="n"/>
      <c r="Y356" s="25" t="n"/>
    </row>
    <row r="357">
      <c r="A357" t="n">
        <v>354</v>
      </c>
      <c r="B357" s="25" t="n"/>
      <c r="D357" s="30" t="n"/>
      <c r="G357" s="30" t="n"/>
      <c r="H357">
        <f>IF($G357="","",IFERROR(INDEX(Catalogo_Etiquetas,MATCH($G357,Catalogo_Codigos,0)),"CODIGO NO VALIDO"))</f>
        <v/>
      </c>
      <c r="J357" s="20" t="n"/>
      <c r="K357" s="20" t="n"/>
      <c r="L357" s="20">
        <f>IF($C357="","",$J357+$K357)</f>
        <v/>
      </c>
      <c r="M357" s="30" t="n"/>
      <c r="N357" s="26">
        <f>IF($C357="","",IF($I357="PEN",1,IFERROR(IF(_xlfn.XLOOKUP($B357,TC_Fechas,TC_Venta_Rango,"",-1)="","",_xlfn.XLOOKUP($B357,TC_Fechas,TC_Venta_Rango,"",-1)),"")))</f>
        <v/>
      </c>
      <c r="O357" s="20">
        <f>IF(OR($C357="",$N357=""),"",ROUND($J357*$N357,2)+ROUND($K357*$N357,2))</f>
        <v/>
      </c>
      <c r="P357" s="31">
        <f>IF($G357="","",IFERROR(INDEX(Catalogo_Tasas,MATCH($G357,Catalogo_Codigos,0)),""))</f>
        <v/>
      </c>
      <c r="Q357" s="32">
        <f>IF($G357="","",IFERROR(INDEX(Catalogo_Umbrales,MATCH($G357,Catalogo_Codigos,0)),""))</f>
        <v/>
      </c>
      <c r="R357">
        <f>IF(OR($C357="",$P357="",$O357=""),"",IF($F357&lt;&gt;"FACTURA","NO",IF(AND($P357&gt;0,$O357&gt;$Q357),"SI","NO")))</f>
        <v/>
      </c>
      <c r="S357" s="20">
        <f>IF($R357="SI",ROUND($O357*$P357,2),IF($C357="","",0))</f>
        <v/>
      </c>
      <c r="T357" s="20" t="n"/>
      <c r="U357">
        <f>IF($C357="","",IF($R357&lt;&gt;"SI","",IF($T357="","SIN DATO",IF(ABS($T357-$S357)&lt;=0.5,"OK","REVISAR"))))</f>
        <v/>
      </c>
      <c r="V357" s="20" t="n"/>
      <c r="W357" s="20">
        <f>IF(OR($C357="",$N357=""),"",IF($F357="RHE",ROUND($L357-$V357,2),ROUND($L357-($S357/$N357),2)))</f>
        <v/>
      </c>
      <c r="X357" s="25" t="n"/>
      <c r="Y357" s="25" t="n"/>
    </row>
    <row r="358">
      <c r="A358" t="n">
        <v>355</v>
      </c>
      <c r="B358" s="25" t="n"/>
      <c r="D358" s="30" t="n"/>
      <c r="G358" s="30" t="n"/>
      <c r="H358">
        <f>IF($G358="","",IFERROR(INDEX(Catalogo_Etiquetas,MATCH($G358,Catalogo_Codigos,0)),"CODIGO NO VALIDO"))</f>
        <v/>
      </c>
      <c r="J358" s="20" t="n"/>
      <c r="K358" s="20" t="n"/>
      <c r="L358" s="20">
        <f>IF($C358="","",$J358+$K358)</f>
        <v/>
      </c>
      <c r="M358" s="30" t="n"/>
      <c r="N358" s="26">
        <f>IF($C358="","",IF($I358="PEN",1,IFERROR(IF(_xlfn.XLOOKUP($B358,TC_Fechas,TC_Venta_Rango,"",-1)="","",_xlfn.XLOOKUP($B358,TC_Fechas,TC_Venta_Rango,"",-1)),"")))</f>
        <v/>
      </c>
      <c r="O358" s="20">
        <f>IF(OR($C358="",$N358=""),"",ROUND($J358*$N358,2)+ROUND($K358*$N358,2))</f>
        <v/>
      </c>
      <c r="P358" s="31">
        <f>IF($G358="","",IFERROR(INDEX(Catalogo_Tasas,MATCH($G358,Catalogo_Codigos,0)),""))</f>
        <v/>
      </c>
      <c r="Q358" s="32">
        <f>IF($G358="","",IFERROR(INDEX(Catalogo_Umbrales,MATCH($G358,Catalogo_Codigos,0)),""))</f>
        <v/>
      </c>
      <c r="R358">
        <f>IF(OR($C358="",$P358="",$O358=""),"",IF($F358&lt;&gt;"FACTURA","NO",IF(AND($P358&gt;0,$O358&gt;$Q358),"SI","NO")))</f>
        <v/>
      </c>
      <c r="S358" s="20">
        <f>IF($R358="SI",ROUND($O358*$P358,2),IF($C358="","",0))</f>
        <v/>
      </c>
      <c r="T358" s="20" t="n"/>
      <c r="U358">
        <f>IF($C358="","",IF($R358&lt;&gt;"SI","",IF($T358="","SIN DATO",IF(ABS($T358-$S358)&lt;=0.5,"OK","REVISAR"))))</f>
        <v/>
      </c>
      <c r="V358" s="20" t="n"/>
      <c r="W358" s="20">
        <f>IF(OR($C358="",$N358=""),"",IF($F358="RHE",ROUND($L358-$V358,2),ROUND($L358-($S358/$N358),2)))</f>
        <v/>
      </c>
      <c r="X358" s="25" t="n"/>
      <c r="Y358" s="25" t="n"/>
    </row>
    <row r="359">
      <c r="A359" t="n">
        <v>356</v>
      </c>
      <c r="B359" s="25" t="n"/>
      <c r="D359" s="30" t="n"/>
      <c r="G359" s="30" t="n"/>
      <c r="H359">
        <f>IF($G359="","",IFERROR(INDEX(Catalogo_Etiquetas,MATCH($G359,Catalogo_Codigos,0)),"CODIGO NO VALIDO"))</f>
        <v/>
      </c>
      <c r="J359" s="20" t="n"/>
      <c r="K359" s="20" t="n"/>
      <c r="L359" s="20">
        <f>IF($C359="","",$J359+$K359)</f>
        <v/>
      </c>
      <c r="M359" s="30" t="n"/>
      <c r="N359" s="26">
        <f>IF($C359="","",IF($I359="PEN",1,IFERROR(IF(_xlfn.XLOOKUP($B359,TC_Fechas,TC_Venta_Rango,"",-1)="","",_xlfn.XLOOKUP($B359,TC_Fechas,TC_Venta_Rango,"",-1)),"")))</f>
        <v/>
      </c>
      <c r="O359" s="20">
        <f>IF(OR($C359="",$N359=""),"",ROUND($J359*$N359,2)+ROUND($K359*$N359,2))</f>
        <v/>
      </c>
      <c r="P359" s="31">
        <f>IF($G359="","",IFERROR(INDEX(Catalogo_Tasas,MATCH($G359,Catalogo_Codigos,0)),""))</f>
        <v/>
      </c>
      <c r="Q359" s="32">
        <f>IF($G359="","",IFERROR(INDEX(Catalogo_Umbrales,MATCH($G359,Catalogo_Codigos,0)),""))</f>
        <v/>
      </c>
      <c r="R359">
        <f>IF(OR($C359="",$P359="",$O359=""),"",IF($F359&lt;&gt;"FACTURA","NO",IF(AND($P359&gt;0,$O359&gt;$Q359),"SI","NO")))</f>
        <v/>
      </c>
      <c r="S359" s="20">
        <f>IF($R359="SI",ROUND($O359*$P359,2),IF($C359="","",0))</f>
        <v/>
      </c>
      <c r="T359" s="20" t="n"/>
      <c r="U359">
        <f>IF($C359="","",IF($R359&lt;&gt;"SI","",IF($T359="","SIN DATO",IF(ABS($T359-$S359)&lt;=0.5,"OK","REVISAR"))))</f>
        <v/>
      </c>
      <c r="V359" s="20" t="n"/>
      <c r="W359" s="20">
        <f>IF(OR($C359="",$N359=""),"",IF($F359="RHE",ROUND($L359-$V359,2),ROUND($L359-($S359/$N359),2)))</f>
        <v/>
      </c>
      <c r="X359" s="25" t="n"/>
      <c r="Y359" s="25" t="n"/>
    </row>
    <row r="360">
      <c r="A360" t="n">
        <v>357</v>
      </c>
      <c r="B360" s="25" t="n"/>
      <c r="D360" s="30" t="n"/>
      <c r="G360" s="30" t="n"/>
      <c r="H360">
        <f>IF($G360="","",IFERROR(INDEX(Catalogo_Etiquetas,MATCH($G360,Catalogo_Codigos,0)),"CODIGO NO VALIDO"))</f>
        <v/>
      </c>
      <c r="J360" s="20" t="n"/>
      <c r="K360" s="20" t="n"/>
      <c r="L360" s="20">
        <f>IF($C360="","",$J360+$K360)</f>
        <v/>
      </c>
      <c r="M360" s="30" t="n"/>
      <c r="N360" s="26">
        <f>IF($C360="","",IF($I360="PEN",1,IFERROR(IF(_xlfn.XLOOKUP($B360,TC_Fechas,TC_Venta_Rango,"",-1)="","",_xlfn.XLOOKUP($B360,TC_Fechas,TC_Venta_Rango,"",-1)),"")))</f>
        <v/>
      </c>
      <c r="O360" s="20">
        <f>IF(OR($C360="",$N360=""),"",ROUND($J360*$N360,2)+ROUND($K360*$N360,2))</f>
        <v/>
      </c>
      <c r="P360" s="31">
        <f>IF($G360="","",IFERROR(INDEX(Catalogo_Tasas,MATCH($G360,Catalogo_Codigos,0)),""))</f>
        <v/>
      </c>
      <c r="Q360" s="32">
        <f>IF($G360="","",IFERROR(INDEX(Catalogo_Umbrales,MATCH($G360,Catalogo_Codigos,0)),""))</f>
        <v/>
      </c>
      <c r="R360">
        <f>IF(OR($C360="",$P360="",$O360=""),"",IF($F360&lt;&gt;"FACTURA","NO",IF(AND($P360&gt;0,$O360&gt;$Q360),"SI","NO")))</f>
        <v/>
      </c>
      <c r="S360" s="20">
        <f>IF($R360="SI",ROUND($O360*$P360,2),IF($C360="","",0))</f>
        <v/>
      </c>
      <c r="T360" s="20" t="n"/>
      <c r="U360">
        <f>IF($C360="","",IF($R360&lt;&gt;"SI","",IF($T360="","SIN DATO",IF(ABS($T360-$S360)&lt;=0.5,"OK","REVISAR"))))</f>
        <v/>
      </c>
      <c r="V360" s="20" t="n"/>
      <c r="W360" s="20">
        <f>IF(OR($C360="",$N360=""),"",IF($F360="RHE",ROUND($L360-$V360,2),ROUND($L360-($S360/$N360),2)))</f>
        <v/>
      </c>
      <c r="X360" s="25" t="n"/>
      <c r="Y360" s="25" t="n"/>
    </row>
    <row r="361">
      <c r="A361" t="n">
        <v>358</v>
      </c>
      <c r="B361" s="25" t="n"/>
      <c r="D361" s="30" t="n"/>
      <c r="G361" s="30" t="n"/>
      <c r="H361">
        <f>IF($G361="","",IFERROR(INDEX(Catalogo_Etiquetas,MATCH($G361,Catalogo_Codigos,0)),"CODIGO NO VALIDO"))</f>
        <v/>
      </c>
      <c r="J361" s="20" t="n"/>
      <c r="K361" s="20" t="n"/>
      <c r="L361" s="20">
        <f>IF($C361="","",$J361+$K361)</f>
        <v/>
      </c>
      <c r="M361" s="30" t="n"/>
      <c r="N361" s="26">
        <f>IF($C361="","",IF($I361="PEN",1,IFERROR(IF(_xlfn.XLOOKUP($B361,TC_Fechas,TC_Venta_Rango,"",-1)="","",_xlfn.XLOOKUP($B361,TC_Fechas,TC_Venta_Rango,"",-1)),"")))</f>
        <v/>
      </c>
      <c r="O361" s="20">
        <f>IF(OR($C361="",$N361=""),"",ROUND($J361*$N361,2)+ROUND($K361*$N361,2))</f>
        <v/>
      </c>
      <c r="P361" s="31">
        <f>IF($G361="","",IFERROR(INDEX(Catalogo_Tasas,MATCH($G361,Catalogo_Codigos,0)),""))</f>
        <v/>
      </c>
      <c r="Q361" s="32">
        <f>IF($G361="","",IFERROR(INDEX(Catalogo_Umbrales,MATCH($G361,Catalogo_Codigos,0)),""))</f>
        <v/>
      </c>
      <c r="R361">
        <f>IF(OR($C361="",$P361="",$O361=""),"",IF($F361&lt;&gt;"FACTURA","NO",IF(AND($P361&gt;0,$O361&gt;$Q361),"SI","NO")))</f>
        <v/>
      </c>
      <c r="S361" s="20">
        <f>IF($R361="SI",ROUND($O361*$P361,2),IF($C361="","",0))</f>
        <v/>
      </c>
      <c r="T361" s="20" t="n"/>
      <c r="U361">
        <f>IF($C361="","",IF($R361&lt;&gt;"SI","",IF($T361="","SIN DATO",IF(ABS($T361-$S361)&lt;=0.5,"OK","REVISAR"))))</f>
        <v/>
      </c>
      <c r="V361" s="20" t="n"/>
      <c r="W361" s="20">
        <f>IF(OR($C361="",$N361=""),"",IF($F361="RHE",ROUND($L361-$V361,2),ROUND($L361-($S361/$N361),2)))</f>
        <v/>
      </c>
      <c r="X361" s="25" t="n"/>
      <c r="Y361" s="25" t="n"/>
    </row>
    <row r="362">
      <c r="A362" t="n">
        <v>359</v>
      </c>
      <c r="B362" s="25" t="n"/>
      <c r="D362" s="30" t="n"/>
      <c r="G362" s="30" t="n"/>
      <c r="H362">
        <f>IF($G362="","",IFERROR(INDEX(Catalogo_Etiquetas,MATCH($G362,Catalogo_Codigos,0)),"CODIGO NO VALIDO"))</f>
        <v/>
      </c>
      <c r="J362" s="20" t="n"/>
      <c r="K362" s="20" t="n"/>
      <c r="L362" s="20">
        <f>IF($C362="","",$J362+$K362)</f>
        <v/>
      </c>
      <c r="M362" s="30" t="n"/>
      <c r="N362" s="26">
        <f>IF($C362="","",IF($I362="PEN",1,IFERROR(IF(_xlfn.XLOOKUP($B362,TC_Fechas,TC_Venta_Rango,"",-1)="","",_xlfn.XLOOKUP($B362,TC_Fechas,TC_Venta_Rango,"",-1)),"")))</f>
        <v/>
      </c>
      <c r="O362" s="20">
        <f>IF(OR($C362="",$N362=""),"",ROUND($J362*$N362,2)+ROUND($K362*$N362,2))</f>
        <v/>
      </c>
      <c r="P362" s="31">
        <f>IF($G362="","",IFERROR(INDEX(Catalogo_Tasas,MATCH($G362,Catalogo_Codigos,0)),""))</f>
        <v/>
      </c>
      <c r="Q362" s="32">
        <f>IF($G362="","",IFERROR(INDEX(Catalogo_Umbrales,MATCH($G362,Catalogo_Codigos,0)),""))</f>
        <v/>
      </c>
      <c r="R362">
        <f>IF(OR($C362="",$P362="",$O362=""),"",IF($F362&lt;&gt;"FACTURA","NO",IF(AND($P362&gt;0,$O362&gt;$Q362),"SI","NO")))</f>
        <v/>
      </c>
      <c r="S362" s="20">
        <f>IF($R362="SI",ROUND($O362*$P362,2),IF($C362="","",0))</f>
        <v/>
      </c>
      <c r="T362" s="20" t="n"/>
      <c r="U362">
        <f>IF($C362="","",IF($R362&lt;&gt;"SI","",IF($T362="","SIN DATO",IF(ABS($T362-$S362)&lt;=0.5,"OK","REVISAR"))))</f>
        <v/>
      </c>
      <c r="V362" s="20" t="n"/>
      <c r="W362" s="20">
        <f>IF(OR($C362="",$N362=""),"",IF($F362="RHE",ROUND($L362-$V362,2),ROUND($L362-($S362/$N362),2)))</f>
        <v/>
      </c>
      <c r="X362" s="25" t="n"/>
      <c r="Y362" s="25" t="n"/>
    </row>
    <row r="363">
      <c r="A363" t="n">
        <v>360</v>
      </c>
      <c r="B363" s="25" t="n"/>
      <c r="D363" s="30" t="n"/>
      <c r="G363" s="30" t="n"/>
      <c r="H363">
        <f>IF($G363="","",IFERROR(INDEX(Catalogo_Etiquetas,MATCH($G363,Catalogo_Codigos,0)),"CODIGO NO VALIDO"))</f>
        <v/>
      </c>
      <c r="J363" s="20" t="n"/>
      <c r="K363" s="20" t="n"/>
      <c r="L363" s="20">
        <f>IF($C363="","",$J363+$K363)</f>
        <v/>
      </c>
      <c r="M363" s="30" t="n"/>
      <c r="N363" s="26">
        <f>IF($C363="","",IF($I363="PEN",1,IFERROR(IF(_xlfn.XLOOKUP($B363,TC_Fechas,TC_Venta_Rango,"",-1)="","",_xlfn.XLOOKUP($B363,TC_Fechas,TC_Venta_Rango,"",-1)),"")))</f>
        <v/>
      </c>
      <c r="O363" s="20">
        <f>IF(OR($C363="",$N363=""),"",ROUND($J363*$N363,2)+ROUND($K363*$N363,2))</f>
        <v/>
      </c>
      <c r="P363" s="31">
        <f>IF($G363="","",IFERROR(INDEX(Catalogo_Tasas,MATCH($G363,Catalogo_Codigos,0)),""))</f>
        <v/>
      </c>
      <c r="Q363" s="32">
        <f>IF($G363="","",IFERROR(INDEX(Catalogo_Umbrales,MATCH($G363,Catalogo_Codigos,0)),""))</f>
        <v/>
      </c>
      <c r="R363">
        <f>IF(OR($C363="",$P363="",$O363=""),"",IF($F363&lt;&gt;"FACTURA","NO",IF(AND($P363&gt;0,$O363&gt;$Q363),"SI","NO")))</f>
        <v/>
      </c>
      <c r="S363" s="20">
        <f>IF($R363="SI",ROUND($O363*$P363,2),IF($C363="","",0))</f>
        <v/>
      </c>
      <c r="T363" s="20" t="n"/>
      <c r="U363">
        <f>IF($C363="","",IF($R363&lt;&gt;"SI","",IF($T363="","SIN DATO",IF(ABS($T363-$S363)&lt;=0.5,"OK","REVISAR"))))</f>
        <v/>
      </c>
      <c r="V363" s="20" t="n"/>
      <c r="W363" s="20">
        <f>IF(OR($C363="",$N363=""),"",IF($F363="RHE",ROUND($L363-$V363,2),ROUND($L363-($S363/$N363),2)))</f>
        <v/>
      </c>
      <c r="X363" s="25" t="n"/>
      <c r="Y363" s="25" t="n"/>
    </row>
    <row r="364">
      <c r="A364" t="n">
        <v>361</v>
      </c>
      <c r="B364" s="25" t="n"/>
      <c r="D364" s="30" t="n"/>
      <c r="G364" s="30" t="n"/>
      <c r="H364">
        <f>IF($G364="","",IFERROR(INDEX(Catalogo_Etiquetas,MATCH($G364,Catalogo_Codigos,0)),"CODIGO NO VALIDO"))</f>
        <v/>
      </c>
      <c r="J364" s="20" t="n"/>
      <c r="K364" s="20" t="n"/>
      <c r="L364" s="20">
        <f>IF($C364="","",$J364+$K364)</f>
        <v/>
      </c>
      <c r="M364" s="30" t="n"/>
      <c r="N364" s="26">
        <f>IF($C364="","",IF($I364="PEN",1,IFERROR(IF(_xlfn.XLOOKUP($B364,TC_Fechas,TC_Venta_Rango,"",-1)="","",_xlfn.XLOOKUP($B364,TC_Fechas,TC_Venta_Rango,"",-1)),"")))</f>
        <v/>
      </c>
      <c r="O364" s="20">
        <f>IF(OR($C364="",$N364=""),"",ROUND($J364*$N364,2)+ROUND($K364*$N364,2))</f>
        <v/>
      </c>
      <c r="P364" s="31">
        <f>IF($G364="","",IFERROR(INDEX(Catalogo_Tasas,MATCH($G364,Catalogo_Codigos,0)),""))</f>
        <v/>
      </c>
      <c r="Q364" s="32">
        <f>IF($G364="","",IFERROR(INDEX(Catalogo_Umbrales,MATCH($G364,Catalogo_Codigos,0)),""))</f>
        <v/>
      </c>
      <c r="R364">
        <f>IF(OR($C364="",$P364="",$O364=""),"",IF($F364&lt;&gt;"FACTURA","NO",IF(AND($P364&gt;0,$O364&gt;$Q364),"SI","NO")))</f>
        <v/>
      </c>
      <c r="S364" s="20">
        <f>IF($R364="SI",ROUND($O364*$P364,2),IF($C364="","",0))</f>
        <v/>
      </c>
      <c r="T364" s="20" t="n"/>
      <c r="U364">
        <f>IF($C364="","",IF($R364&lt;&gt;"SI","",IF($T364="","SIN DATO",IF(ABS($T364-$S364)&lt;=0.5,"OK","REVISAR"))))</f>
        <v/>
      </c>
      <c r="V364" s="20" t="n"/>
      <c r="W364" s="20">
        <f>IF(OR($C364="",$N364=""),"",IF($F364="RHE",ROUND($L364-$V364,2),ROUND($L364-($S364/$N364),2)))</f>
        <v/>
      </c>
      <c r="X364" s="25" t="n"/>
      <c r="Y364" s="25" t="n"/>
    </row>
    <row r="365">
      <c r="A365" t="n">
        <v>362</v>
      </c>
      <c r="B365" s="25" t="n"/>
      <c r="D365" s="30" t="n"/>
      <c r="G365" s="30" t="n"/>
      <c r="H365">
        <f>IF($G365="","",IFERROR(INDEX(Catalogo_Etiquetas,MATCH($G365,Catalogo_Codigos,0)),"CODIGO NO VALIDO"))</f>
        <v/>
      </c>
      <c r="J365" s="20" t="n"/>
      <c r="K365" s="20" t="n"/>
      <c r="L365" s="20">
        <f>IF($C365="","",$J365+$K365)</f>
        <v/>
      </c>
      <c r="M365" s="30" t="n"/>
      <c r="N365" s="26">
        <f>IF($C365="","",IF($I365="PEN",1,IFERROR(IF(_xlfn.XLOOKUP($B365,TC_Fechas,TC_Venta_Rango,"",-1)="","",_xlfn.XLOOKUP($B365,TC_Fechas,TC_Venta_Rango,"",-1)),"")))</f>
        <v/>
      </c>
      <c r="O365" s="20">
        <f>IF(OR($C365="",$N365=""),"",ROUND($J365*$N365,2)+ROUND($K365*$N365,2))</f>
        <v/>
      </c>
      <c r="P365" s="31">
        <f>IF($G365="","",IFERROR(INDEX(Catalogo_Tasas,MATCH($G365,Catalogo_Codigos,0)),""))</f>
        <v/>
      </c>
      <c r="Q365" s="32">
        <f>IF($G365="","",IFERROR(INDEX(Catalogo_Umbrales,MATCH($G365,Catalogo_Codigos,0)),""))</f>
        <v/>
      </c>
      <c r="R365">
        <f>IF(OR($C365="",$P365="",$O365=""),"",IF($F365&lt;&gt;"FACTURA","NO",IF(AND($P365&gt;0,$O365&gt;$Q365),"SI","NO")))</f>
        <v/>
      </c>
      <c r="S365" s="20">
        <f>IF($R365="SI",ROUND($O365*$P365,2),IF($C365="","",0))</f>
        <v/>
      </c>
      <c r="T365" s="20" t="n"/>
      <c r="U365">
        <f>IF($C365="","",IF($R365&lt;&gt;"SI","",IF($T365="","SIN DATO",IF(ABS($T365-$S365)&lt;=0.5,"OK","REVISAR"))))</f>
        <v/>
      </c>
      <c r="V365" s="20" t="n"/>
      <c r="W365" s="20">
        <f>IF(OR($C365="",$N365=""),"",IF($F365="RHE",ROUND($L365-$V365,2),ROUND($L365-($S365/$N365),2)))</f>
        <v/>
      </c>
      <c r="X365" s="25" t="n"/>
      <c r="Y365" s="25" t="n"/>
    </row>
    <row r="366">
      <c r="A366" t="n">
        <v>363</v>
      </c>
      <c r="B366" s="25" t="n"/>
      <c r="D366" s="30" t="n"/>
      <c r="G366" s="30" t="n"/>
      <c r="H366">
        <f>IF($G366="","",IFERROR(INDEX(Catalogo_Etiquetas,MATCH($G366,Catalogo_Codigos,0)),"CODIGO NO VALIDO"))</f>
        <v/>
      </c>
      <c r="J366" s="20" t="n"/>
      <c r="K366" s="20" t="n"/>
      <c r="L366" s="20">
        <f>IF($C366="","",$J366+$K366)</f>
        <v/>
      </c>
      <c r="M366" s="30" t="n"/>
      <c r="N366" s="26">
        <f>IF($C366="","",IF($I366="PEN",1,IFERROR(IF(_xlfn.XLOOKUP($B366,TC_Fechas,TC_Venta_Rango,"",-1)="","",_xlfn.XLOOKUP($B366,TC_Fechas,TC_Venta_Rango,"",-1)),"")))</f>
        <v/>
      </c>
      <c r="O366" s="20">
        <f>IF(OR($C366="",$N366=""),"",ROUND($J366*$N366,2)+ROUND($K366*$N366,2))</f>
        <v/>
      </c>
      <c r="P366" s="31">
        <f>IF($G366="","",IFERROR(INDEX(Catalogo_Tasas,MATCH($G366,Catalogo_Codigos,0)),""))</f>
        <v/>
      </c>
      <c r="Q366" s="32">
        <f>IF($G366="","",IFERROR(INDEX(Catalogo_Umbrales,MATCH($G366,Catalogo_Codigos,0)),""))</f>
        <v/>
      </c>
      <c r="R366">
        <f>IF(OR($C366="",$P366="",$O366=""),"",IF($F366&lt;&gt;"FACTURA","NO",IF(AND($P366&gt;0,$O366&gt;$Q366),"SI","NO")))</f>
        <v/>
      </c>
      <c r="S366" s="20">
        <f>IF($R366="SI",ROUND($O366*$P366,2),IF($C366="","",0))</f>
        <v/>
      </c>
      <c r="T366" s="20" t="n"/>
      <c r="U366">
        <f>IF($C366="","",IF($R366&lt;&gt;"SI","",IF($T366="","SIN DATO",IF(ABS($T366-$S366)&lt;=0.5,"OK","REVISAR"))))</f>
        <v/>
      </c>
      <c r="V366" s="20" t="n"/>
      <c r="W366" s="20">
        <f>IF(OR($C366="",$N366=""),"",IF($F366="RHE",ROUND($L366-$V366,2),ROUND($L366-($S366/$N366),2)))</f>
        <v/>
      </c>
      <c r="X366" s="25" t="n"/>
      <c r="Y366" s="25" t="n"/>
    </row>
    <row r="367">
      <c r="A367" t="n">
        <v>364</v>
      </c>
      <c r="B367" s="25" t="n"/>
      <c r="D367" s="30" t="n"/>
      <c r="G367" s="30" t="n"/>
      <c r="H367">
        <f>IF($G367="","",IFERROR(INDEX(Catalogo_Etiquetas,MATCH($G367,Catalogo_Codigos,0)),"CODIGO NO VALIDO"))</f>
        <v/>
      </c>
      <c r="J367" s="20" t="n"/>
      <c r="K367" s="20" t="n"/>
      <c r="L367" s="20">
        <f>IF($C367="","",$J367+$K367)</f>
        <v/>
      </c>
      <c r="M367" s="30" t="n"/>
      <c r="N367" s="26">
        <f>IF($C367="","",IF($I367="PEN",1,IFERROR(IF(_xlfn.XLOOKUP($B367,TC_Fechas,TC_Venta_Rango,"",-1)="","",_xlfn.XLOOKUP($B367,TC_Fechas,TC_Venta_Rango,"",-1)),"")))</f>
        <v/>
      </c>
      <c r="O367" s="20">
        <f>IF(OR($C367="",$N367=""),"",ROUND($J367*$N367,2)+ROUND($K367*$N367,2))</f>
        <v/>
      </c>
      <c r="P367" s="31">
        <f>IF($G367="","",IFERROR(INDEX(Catalogo_Tasas,MATCH($G367,Catalogo_Codigos,0)),""))</f>
        <v/>
      </c>
      <c r="Q367" s="32">
        <f>IF($G367="","",IFERROR(INDEX(Catalogo_Umbrales,MATCH($G367,Catalogo_Codigos,0)),""))</f>
        <v/>
      </c>
      <c r="R367">
        <f>IF(OR($C367="",$P367="",$O367=""),"",IF($F367&lt;&gt;"FACTURA","NO",IF(AND($P367&gt;0,$O367&gt;$Q367),"SI","NO")))</f>
        <v/>
      </c>
      <c r="S367" s="20">
        <f>IF($R367="SI",ROUND($O367*$P367,2),IF($C367="","",0))</f>
        <v/>
      </c>
      <c r="T367" s="20" t="n"/>
      <c r="U367">
        <f>IF($C367="","",IF($R367&lt;&gt;"SI","",IF($T367="","SIN DATO",IF(ABS($T367-$S367)&lt;=0.5,"OK","REVISAR"))))</f>
        <v/>
      </c>
      <c r="V367" s="20" t="n"/>
      <c r="W367" s="20">
        <f>IF(OR($C367="",$N367=""),"",IF($F367="RHE",ROUND($L367-$V367,2),ROUND($L367-($S367/$N367),2)))</f>
        <v/>
      </c>
      <c r="X367" s="25" t="n"/>
      <c r="Y367" s="25" t="n"/>
    </row>
    <row r="368">
      <c r="A368" t="n">
        <v>365</v>
      </c>
      <c r="B368" s="25" t="n"/>
      <c r="D368" s="30" t="n"/>
      <c r="G368" s="30" t="n"/>
      <c r="H368">
        <f>IF($G368="","",IFERROR(INDEX(Catalogo_Etiquetas,MATCH($G368,Catalogo_Codigos,0)),"CODIGO NO VALIDO"))</f>
        <v/>
      </c>
      <c r="J368" s="20" t="n"/>
      <c r="K368" s="20" t="n"/>
      <c r="L368" s="20">
        <f>IF($C368="","",$J368+$K368)</f>
        <v/>
      </c>
      <c r="M368" s="30" t="n"/>
      <c r="N368" s="26">
        <f>IF($C368="","",IF($I368="PEN",1,IFERROR(IF(_xlfn.XLOOKUP($B368,TC_Fechas,TC_Venta_Rango,"",-1)="","",_xlfn.XLOOKUP($B368,TC_Fechas,TC_Venta_Rango,"",-1)),"")))</f>
        <v/>
      </c>
      <c r="O368" s="20">
        <f>IF(OR($C368="",$N368=""),"",ROUND($J368*$N368,2)+ROUND($K368*$N368,2))</f>
        <v/>
      </c>
      <c r="P368" s="31">
        <f>IF($G368="","",IFERROR(INDEX(Catalogo_Tasas,MATCH($G368,Catalogo_Codigos,0)),""))</f>
        <v/>
      </c>
      <c r="Q368" s="32">
        <f>IF($G368="","",IFERROR(INDEX(Catalogo_Umbrales,MATCH($G368,Catalogo_Codigos,0)),""))</f>
        <v/>
      </c>
      <c r="R368">
        <f>IF(OR($C368="",$P368="",$O368=""),"",IF($F368&lt;&gt;"FACTURA","NO",IF(AND($P368&gt;0,$O368&gt;$Q368),"SI","NO")))</f>
        <v/>
      </c>
      <c r="S368" s="20">
        <f>IF($R368="SI",ROUND($O368*$P368,2),IF($C368="","",0))</f>
        <v/>
      </c>
      <c r="T368" s="20" t="n"/>
      <c r="U368">
        <f>IF($C368="","",IF($R368&lt;&gt;"SI","",IF($T368="","SIN DATO",IF(ABS($T368-$S368)&lt;=0.5,"OK","REVISAR"))))</f>
        <v/>
      </c>
      <c r="V368" s="20" t="n"/>
      <c r="W368" s="20">
        <f>IF(OR($C368="",$N368=""),"",IF($F368="RHE",ROUND($L368-$V368,2),ROUND($L368-($S368/$N368),2)))</f>
        <v/>
      </c>
      <c r="X368" s="25" t="n"/>
      <c r="Y368" s="25" t="n"/>
    </row>
    <row r="369">
      <c r="A369" t="n">
        <v>366</v>
      </c>
      <c r="B369" s="25" t="n"/>
      <c r="D369" s="30" t="n"/>
      <c r="G369" s="30" t="n"/>
      <c r="H369">
        <f>IF($G369="","",IFERROR(INDEX(Catalogo_Etiquetas,MATCH($G369,Catalogo_Codigos,0)),"CODIGO NO VALIDO"))</f>
        <v/>
      </c>
      <c r="J369" s="20" t="n"/>
      <c r="K369" s="20" t="n"/>
      <c r="L369" s="20">
        <f>IF($C369="","",$J369+$K369)</f>
        <v/>
      </c>
      <c r="M369" s="30" t="n"/>
      <c r="N369" s="26">
        <f>IF($C369="","",IF($I369="PEN",1,IFERROR(IF(_xlfn.XLOOKUP($B369,TC_Fechas,TC_Venta_Rango,"",-1)="","",_xlfn.XLOOKUP($B369,TC_Fechas,TC_Venta_Rango,"",-1)),"")))</f>
        <v/>
      </c>
      <c r="O369" s="20">
        <f>IF(OR($C369="",$N369=""),"",ROUND($J369*$N369,2)+ROUND($K369*$N369,2))</f>
        <v/>
      </c>
      <c r="P369" s="31">
        <f>IF($G369="","",IFERROR(INDEX(Catalogo_Tasas,MATCH($G369,Catalogo_Codigos,0)),""))</f>
        <v/>
      </c>
      <c r="Q369" s="32">
        <f>IF($G369="","",IFERROR(INDEX(Catalogo_Umbrales,MATCH($G369,Catalogo_Codigos,0)),""))</f>
        <v/>
      </c>
      <c r="R369">
        <f>IF(OR($C369="",$P369="",$O369=""),"",IF($F369&lt;&gt;"FACTURA","NO",IF(AND($P369&gt;0,$O369&gt;$Q369),"SI","NO")))</f>
        <v/>
      </c>
      <c r="S369" s="20">
        <f>IF($R369="SI",ROUND($O369*$P369,2),IF($C369="","",0))</f>
        <v/>
      </c>
      <c r="T369" s="20" t="n"/>
      <c r="U369">
        <f>IF($C369="","",IF($R369&lt;&gt;"SI","",IF($T369="","SIN DATO",IF(ABS($T369-$S369)&lt;=0.5,"OK","REVISAR"))))</f>
        <v/>
      </c>
      <c r="V369" s="20" t="n"/>
      <c r="W369" s="20">
        <f>IF(OR($C369="",$N369=""),"",IF($F369="RHE",ROUND($L369-$V369,2),ROUND($L369-($S369/$N369),2)))</f>
        <v/>
      </c>
      <c r="X369" s="25" t="n"/>
      <c r="Y369" s="25" t="n"/>
    </row>
    <row r="370">
      <c r="A370" t="n">
        <v>367</v>
      </c>
      <c r="B370" s="25" t="n"/>
      <c r="D370" s="30" t="n"/>
      <c r="G370" s="30" t="n"/>
      <c r="H370">
        <f>IF($G370="","",IFERROR(INDEX(Catalogo_Etiquetas,MATCH($G370,Catalogo_Codigos,0)),"CODIGO NO VALIDO"))</f>
        <v/>
      </c>
      <c r="J370" s="20" t="n"/>
      <c r="K370" s="20" t="n"/>
      <c r="L370" s="20">
        <f>IF($C370="","",$J370+$K370)</f>
        <v/>
      </c>
      <c r="M370" s="30" t="n"/>
      <c r="N370" s="26">
        <f>IF($C370="","",IF($I370="PEN",1,IFERROR(IF(_xlfn.XLOOKUP($B370,TC_Fechas,TC_Venta_Rango,"",-1)="","",_xlfn.XLOOKUP($B370,TC_Fechas,TC_Venta_Rango,"",-1)),"")))</f>
        <v/>
      </c>
      <c r="O370" s="20">
        <f>IF(OR($C370="",$N370=""),"",ROUND($J370*$N370,2)+ROUND($K370*$N370,2))</f>
        <v/>
      </c>
      <c r="P370" s="31">
        <f>IF($G370="","",IFERROR(INDEX(Catalogo_Tasas,MATCH($G370,Catalogo_Codigos,0)),""))</f>
        <v/>
      </c>
      <c r="Q370" s="32">
        <f>IF($G370="","",IFERROR(INDEX(Catalogo_Umbrales,MATCH($G370,Catalogo_Codigos,0)),""))</f>
        <v/>
      </c>
      <c r="R370">
        <f>IF(OR($C370="",$P370="",$O370=""),"",IF($F370&lt;&gt;"FACTURA","NO",IF(AND($P370&gt;0,$O370&gt;$Q370),"SI","NO")))</f>
        <v/>
      </c>
      <c r="S370" s="20">
        <f>IF($R370="SI",ROUND($O370*$P370,2),IF($C370="","",0))</f>
        <v/>
      </c>
      <c r="T370" s="20" t="n"/>
      <c r="U370">
        <f>IF($C370="","",IF($R370&lt;&gt;"SI","",IF($T370="","SIN DATO",IF(ABS($T370-$S370)&lt;=0.5,"OK","REVISAR"))))</f>
        <v/>
      </c>
      <c r="V370" s="20" t="n"/>
      <c r="W370" s="20">
        <f>IF(OR($C370="",$N370=""),"",IF($F370="RHE",ROUND($L370-$V370,2),ROUND($L370-($S370/$N370),2)))</f>
        <v/>
      </c>
      <c r="X370" s="25" t="n"/>
      <c r="Y370" s="25" t="n"/>
    </row>
    <row r="371">
      <c r="A371" t="n">
        <v>368</v>
      </c>
      <c r="B371" s="25" t="n"/>
      <c r="D371" s="30" t="n"/>
      <c r="G371" s="30" t="n"/>
      <c r="H371">
        <f>IF($G371="","",IFERROR(INDEX(Catalogo_Etiquetas,MATCH($G371,Catalogo_Codigos,0)),"CODIGO NO VALIDO"))</f>
        <v/>
      </c>
      <c r="J371" s="20" t="n"/>
      <c r="K371" s="20" t="n"/>
      <c r="L371" s="20">
        <f>IF($C371="","",$J371+$K371)</f>
        <v/>
      </c>
      <c r="M371" s="30" t="n"/>
      <c r="N371" s="26">
        <f>IF($C371="","",IF($I371="PEN",1,IFERROR(IF(_xlfn.XLOOKUP($B371,TC_Fechas,TC_Venta_Rango,"",-1)="","",_xlfn.XLOOKUP($B371,TC_Fechas,TC_Venta_Rango,"",-1)),"")))</f>
        <v/>
      </c>
      <c r="O371" s="20">
        <f>IF(OR($C371="",$N371=""),"",ROUND($J371*$N371,2)+ROUND($K371*$N371,2))</f>
        <v/>
      </c>
      <c r="P371" s="31">
        <f>IF($G371="","",IFERROR(INDEX(Catalogo_Tasas,MATCH($G371,Catalogo_Codigos,0)),""))</f>
        <v/>
      </c>
      <c r="Q371" s="32">
        <f>IF($G371="","",IFERROR(INDEX(Catalogo_Umbrales,MATCH($G371,Catalogo_Codigos,0)),""))</f>
        <v/>
      </c>
      <c r="R371">
        <f>IF(OR($C371="",$P371="",$O371=""),"",IF($F371&lt;&gt;"FACTURA","NO",IF(AND($P371&gt;0,$O371&gt;$Q371),"SI","NO")))</f>
        <v/>
      </c>
      <c r="S371" s="20">
        <f>IF($R371="SI",ROUND($O371*$P371,2),IF($C371="","",0))</f>
        <v/>
      </c>
      <c r="T371" s="20" t="n"/>
      <c r="U371">
        <f>IF($C371="","",IF($R371&lt;&gt;"SI","",IF($T371="","SIN DATO",IF(ABS($T371-$S371)&lt;=0.5,"OK","REVISAR"))))</f>
        <v/>
      </c>
      <c r="V371" s="20" t="n"/>
      <c r="W371" s="20">
        <f>IF(OR($C371="",$N371=""),"",IF($F371="RHE",ROUND($L371-$V371,2),ROUND($L371-($S371/$N371),2)))</f>
        <v/>
      </c>
      <c r="X371" s="25" t="n"/>
      <c r="Y371" s="25" t="n"/>
    </row>
    <row r="372">
      <c r="A372" t="n">
        <v>369</v>
      </c>
      <c r="B372" s="25" t="n"/>
      <c r="D372" s="30" t="n"/>
      <c r="G372" s="30" t="n"/>
      <c r="H372">
        <f>IF($G372="","",IFERROR(INDEX(Catalogo_Etiquetas,MATCH($G372,Catalogo_Codigos,0)),"CODIGO NO VALIDO"))</f>
        <v/>
      </c>
      <c r="J372" s="20" t="n"/>
      <c r="K372" s="20" t="n"/>
      <c r="L372" s="20">
        <f>IF($C372="","",$J372+$K372)</f>
        <v/>
      </c>
      <c r="M372" s="30" t="n"/>
      <c r="N372" s="26">
        <f>IF($C372="","",IF($I372="PEN",1,IFERROR(IF(_xlfn.XLOOKUP($B372,TC_Fechas,TC_Venta_Rango,"",-1)="","",_xlfn.XLOOKUP($B372,TC_Fechas,TC_Venta_Rango,"",-1)),"")))</f>
        <v/>
      </c>
      <c r="O372" s="20">
        <f>IF(OR($C372="",$N372=""),"",ROUND($J372*$N372,2)+ROUND($K372*$N372,2))</f>
        <v/>
      </c>
      <c r="P372" s="31">
        <f>IF($G372="","",IFERROR(INDEX(Catalogo_Tasas,MATCH($G372,Catalogo_Codigos,0)),""))</f>
        <v/>
      </c>
      <c r="Q372" s="32">
        <f>IF($G372="","",IFERROR(INDEX(Catalogo_Umbrales,MATCH($G372,Catalogo_Codigos,0)),""))</f>
        <v/>
      </c>
      <c r="R372">
        <f>IF(OR($C372="",$P372="",$O372=""),"",IF($F372&lt;&gt;"FACTURA","NO",IF(AND($P372&gt;0,$O372&gt;$Q372),"SI","NO")))</f>
        <v/>
      </c>
      <c r="S372" s="20">
        <f>IF($R372="SI",ROUND($O372*$P372,2),IF($C372="","",0))</f>
        <v/>
      </c>
      <c r="T372" s="20" t="n"/>
      <c r="U372">
        <f>IF($C372="","",IF($R372&lt;&gt;"SI","",IF($T372="","SIN DATO",IF(ABS($T372-$S372)&lt;=0.5,"OK","REVISAR"))))</f>
        <v/>
      </c>
      <c r="V372" s="20" t="n"/>
      <c r="W372" s="20">
        <f>IF(OR($C372="",$N372=""),"",IF($F372="RHE",ROUND($L372-$V372,2),ROUND($L372-($S372/$N372),2)))</f>
        <v/>
      </c>
      <c r="X372" s="25" t="n"/>
      <c r="Y372" s="25" t="n"/>
    </row>
    <row r="373">
      <c r="A373" t="n">
        <v>370</v>
      </c>
      <c r="B373" s="25" t="n"/>
      <c r="D373" s="30" t="n"/>
      <c r="G373" s="30" t="n"/>
      <c r="H373">
        <f>IF($G373="","",IFERROR(INDEX(Catalogo_Etiquetas,MATCH($G373,Catalogo_Codigos,0)),"CODIGO NO VALIDO"))</f>
        <v/>
      </c>
      <c r="J373" s="20" t="n"/>
      <c r="K373" s="20" t="n"/>
      <c r="L373" s="20">
        <f>IF($C373="","",$J373+$K373)</f>
        <v/>
      </c>
      <c r="M373" s="30" t="n"/>
      <c r="N373" s="26">
        <f>IF($C373="","",IF($I373="PEN",1,IFERROR(IF(_xlfn.XLOOKUP($B373,TC_Fechas,TC_Venta_Rango,"",-1)="","",_xlfn.XLOOKUP($B373,TC_Fechas,TC_Venta_Rango,"",-1)),"")))</f>
        <v/>
      </c>
      <c r="O373" s="20">
        <f>IF(OR($C373="",$N373=""),"",ROUND($J373*$N373,2)+ROUND($K373*$N373,2))</f>
        <v/>
      </c>
      <c r="P373" s="31">
        <f>IF($G373="","",IFERROR(INDEX(Catalogo_Tasas,MATCH($G373,Catalogo_Codigos,0)),""))</f>
        <v/>
      </c>
      <c r="Q373" s="32">
        <f>IF($G373="","",IFERROR(INDEX(Catalogo_Umbrales,MATCH($G373,Catalogo_Codigos,0)),""))</f>
        <v/>
      </c>
      <c r="R373">
        <f>IF(OR($C373="",$P373="",$O373=""),"",IF($F373&lt;&gt;"FACTURA","NO",IF(AND($P373&gt;0,$O373&gt;$Q373),"SI","NO")))</f>
        <v/>
      </c>
      <c r="S373" s="20">
        <f>IF($R373="SI",ROUND($O373*$P373,2),IF($C373="","",0))</f>
        <v/>
      </c>
      <c r="T373" s="20" t="n"/>
      <c r="U373">
        <f>IF($C373="","",IF($R373&lt;&gt;"SI","",IF($T373="","SIN DATO",IF(ABS($T373-$S373)&lt;=0.5,"OK","REVISAR"))))</f>
        <v/>
      </c>
      <c r="V373" s="20" t="n"/>
      <c r="W373" s="20">
        <f>IF(OR($C373="",$N373=""),"",IF($F373="RHE",ROUND($L373-$V373,2),ROUND($L373-($S373/$N373),2)))</f>
        <v/>
      </c>
      <c r="X373" s="25" t="n"/>
      <c r="Y373" s="25" t="n"/>
    </row>
    <row r="374">
      <c r="A374" t="n">
        <v>371</v>
      </c>
      <c r="B374" s="25" t="n"/>
      <c r="D374" s="30" t="n"/>
      <c r="G374" s="30" t="n"/>
      <c r="H374">
        <f>IF($G374="","",IFERROR(INDEX(Catalogo_Etiquetas,MATCH($G374,Catalogo_Codigos,0)),"CODIGO NO VALIDO"))</f>
        <v/>
      </c>
      <c r="J374" s="20" t="n"/>
      <c r="K374" s="20" t="n"/>
      <c r="L374" s="20">
        <f>IF($C374="","",$J374+$K374)</f>
        <v/>
      </c>
      <c r="M374" s="30" t="n"/>
      <c r="N374" s="26">
        <f>IF($C374="","",IF($I374="PEN",1,IFERROR(IF(_xlfn.XLOOKUP($B374,TC_Fechas,TC_Venta_Rango,"",-1)="","",_xlfn.XLOOKUP($B374,TC_Fechas,TC_Venta_Rango,"",-1)),"")))</f>
        <v/>
      </c>
      <c r="O374" s="20">
        <f>IF(OR($C374="",$N374=""),"",ROUND($J374*$N374,2)+ROUND($K374*$N374,2))</f>
        <v/>
      </c>
      <c r="P374" s="31">
        <f>IF($G374="","",IFERROR(INDEX(Catalogo_Tasas,MATCH($G374,Catalogo_Codigos,0)),""))</f>
        <v/>
      </c>
      <c r="Q374" s="32">
        <f>IF($G374="","",IFERROR(INDEX(Catalogo_Umbrales,MATCH($G374,Catalogo_Codigos,0)),""))</f>
        <v/>
      </c>
      <c r="R374">
        <f>IF(OR($C374="",$P374="",$O374=""),"",IF($F374&lt;&gt;"FACTURA","NO",IF(AND($P374&gt;0,$O374&gt;$Q374),"SI","NO")))</f>
        <v/>
      </c>
      <c r="S374" s="20">
        <f>IF($R374="SI",ROUND($O374*$P374,2),IF($C374="","",0))</f>
        <v/>
      </c>
      <c r="T374" s="20" t="n"/>
      <c r="U374">
        <f>IF($C374="","",IF($R374&lt;&gt;"SI","",IF($T374="","SIN DATO",IF(ABS($T374-$S374)&lt;=0.5,"OK","REVISAR"))))</f>
        <v/>
      </c>
      <c r="V374" s="20" t="n"/>
      <c r="W374" s="20">
        <f>IF(OR($C374="",$N374=""),"",IF($F374="RHE",ROUND($L374-$V374,2),ROUND($L374-($S374/$N374),2)))</f>
        <v/>
      </c>
      <c r="X374" s="25" t="n"/>
      <c r="Y374" s="25" t="n"/>
    </row>
    <row r="375">
      <c r="A375" t="n">
        <v>372</v>
      </c>
      <c r="B375" s="25" t="n"/>
      <c r="D375" s="30" t="n"/>
      <c r="G375" s="30" t="n"/>
      <c r="H375">
        <f>IF($G375="","",IFERROR(INDEX(Catalogo_Etiquetas,MATCH($G375,Catalogo_Codigos,0)),"CODIGO NO VALIDO"))</f>
        <v/>
      </c>
      <c r="J375" s="20" t="n"/>
      <c r="K375" s="20" t="n"/>
      <c r="L375" s="20">
        <f>IF($C375="","",$J375+$K375)</f>
        <v/>
      </c>
      <c r="M375" s="30" t="n"/>
      <c r="N375" s="26">
        <f>IF($C375="","",IF($I375="PEN",1,IFERROR(IF(_xlfn.XLOOKUP($B375,TC_Fechas,TC_Venta_Rango,"",-1)="","",_xlfn.XLOOKUP($B375,TC_Fechas,TC_Venta_Rango,"",-1)),"")))</f>
        <v/>
      </c>
      <c r="O375" s="20">
        <f>IF(OR($C375="",$N375=""),"",ROUND($J375*$N375,2)+ROUND($K375*$N375,2))</f>
        <v/>
      </c>
      <c r="P375" s="31">
        <f>IF($G375="","",IFERROR(INDEX(Catalogo_Tasas,MATCH($G375,Catalogo_Codigos,0)),""))</f>
        <v/>
      </c>
      <c r="Q375" s="32">
        <f>IF($G375="","",IFERROR(INDEX(Catalogo_Umbrales,MATCH($G375,Catalogo_Codigos,0)),""))</f>
        <v/>
      </c>
      <c r="R375">
        <f>IF(OR($C375="",$P375="",$O375=""),"",IF($F375&lt;&gt;"FACTURA","NO",IF(AND($P375&gt;0,$O375&gt;$Q375),"SI","NO")))</f>
        <v/>
      </c>
      <c r="S375" s="20">
        <f>IF($R375="SI",ROUND($O375*$P375,2),IF($C375="","",0))</f>
        <v/>
      </c>
      <c r="T375" s="20" t="n"/>
      <c r="U375">
        <f>IF($C375="","",IF($R375&lt;&gt;"SI","",IF($T375="","SIN DATO",IF(ABS($T375-$S375)&lt;=0.5,"OK","REVISAR"))))</f>
        <v/>
      </c>
      <c r="V375" s="20" t="n"/>
      <c r="W375" s="20">
        <f>IF(OR($C375="",$N375=""),"",IF($F375="RHE",ROUND($L375-$V375,2),ROUND($L375-($S375/$N375),2)))</f>
        <v/>
      </c>
      <c r="X375" s="25" t="n"/>
      <c r="Y375" s="25" t="n"/>
    </row>
    <row r="376">
      <c r="A376" t="n">
        <v>373</v>
      </c>
      <c r="B376" s="25" t="n"/>
      <c r="D376" s="30" t="n"/>
      <c r="G376" s="30" t="n"/>
      <c r="H376">
        <f>IF($G376="","",IFERROR(INDEX(Catalogo_Etiquetas,MATCH($G376,Catalogo_Codigos,0)),"CODIGO NO VALIDO"))</f>
        <v/>
      </c>
      <c r="J376" s="20" t="n"/>
      <c r="K376" s="20" t="n"/>
      <c r="L376" s="20">
        <f>IF($C376="","",$J376+$K376)</f>
        <v/>
      </c>
      <c r="M376" s="30" t="n"/>
      <c r="N376" s="26">
        <f>IF($C376="","",IF($I376="PEN",1,IFERROR(IF(_xlfn.XLOOKUP($B376,TC_Fechas,TC_Venta_Rango,"",-1)="","",_xlfn.XLOOKUP($B376,TC_Fechas,TC_Venta_Rango,"",-1)),"")))</f>
        <v/>
      </c>
      <c r="O376" s="20">
        <f>IF(OR($C376="",$N376=""),"",ROUND($J376*$N376,2)+ROUND($K376*$N376,2))</f>
        <v/>
      </c>
      <c r="P376" s="31">
        <f>IF($G376="","",IFERROR(INDEX(Catalogo_Tasas,MATCH($G376,Catalogo_Codigos,0)),""))</f>
        <v/>
      </c>
      <c r="Q376" s="32">
        <f>IF($G376="","",IFERROR(INDEX(Catalogo_Umbrales,MATCH($G376,Catalogo_Codigos,0)),""))</f>
        <v/>
      </c>
      <c r="R376">
        <f>IF(OR($C376="",$P376="",$O376=""),"",IF($F376&lt;&gt;"FACTURA","NO",IF(AND($P376&gt;0,$O376&gt;$Q376),"SI","NO")))</f>
        <v/>
      </c>
      <c r="S376" s="20">
        <f>IF($R376="SI",ROUND($O376*$P376,2),IF($C376="","",0))</f>
        <v/>
      </c>
      <c r="T376" s="20" t="n"/>
      <c r="U376">
        <f>IF($C376="","",IF($R376&lt;&gt;"SI","",IF($T376="","SIN DATO",IF(ABS($T376-$S376)&lt;=0.5,"OK","REVISAR"))))</f>
        <v/>
      </c>
      <c r="V376" s="20" t="n"/>
      <c r="W376" s="20">
        <f>IF(OR($C376="",$N376=""),"",IF($F376="RHE",ROUND($L376-$V376,2),ROUND($L376-($S376/$N376),2)))</f>
        <v/>
      </c>
      <c r="X376" s="25" t="n"/>
      <c r="Y376" s="25" t="n"/>
    </row>
    <row r="377">
      <c r="A377" t="n">
        <v>374</v>
      </c>
      <c r="B377" s="25" t="n"/>
      <c r="D377" s="30" t="n"/>
      <c r="G377" s="30" t="n"/>
      <c r="H377">
        <f>IF($G377="","",IFERROR(INDEX(Catalogo_Etiquetas,MATCH($G377,Catalogo_Codigos,0)),"CODIGO NO VALIDO"))</f>
        <v/>
      </c>
      <c r="J377" s="20" t="n"/>
      <c r="K377" s="20" t="n"/>
      <c r="L377" s="20">
        <f>IF($C377="","",$J377+$K377)</f>
        <v/>
      </c>
      <c r="M377" s="30" t="n"/>
      <c r="N377" s="26">
        <f>IF($C377="","",IF($I377="PEN",1,IFERROR(IF(_xlfn.XLOOKUP($B377,TC_Fechas,TC_Venta_Rango,"",-1)="","",_xlfn.XLOOKUP($B377,TC_Fechas,TC_Venta_Rango,"",-1)),"")))</f>
        <v/>
      </c>
      <c r="O377" s="20">
        <f>IF(OR($C377="",$N377=""),"",ROUND($J377*$N377,2)+ROUND($K377*$N377,2))</f>
        <v/>
      </c>
      <c r="P377" s="31">
        <f>IF($G377="","",IFERROR(INDEX(Catalogo_Tasas,MATCH($G377,Catalogo_Codigos,0)),""))</f>
        <v/>
      </c>
      <c r="Q377" s="32">
        <f>IF($G377="","",IFERROR(INDEX(Catalogo_Umbrales,MATCH($G377,Catalogo_Codigos,0)),""))</f>
        <v/>
      </c>
      <c r="R377">
        <f>IF(OR($C377="",$P377="",$O377=""),"",IF($F377&lt;&gt;"FACTURA","NO",IF(AND($P377&gt;0,$O377&gt;$Q377),"SI","NO")))</f>
        <v/>
      </c>
      <c r="S377" s="20">
        <f>IF($R377="SI",ROUND($O377*$P377,2),IF($C377="","",0))</f>
        <v/>
      </c>
      <c r="T377" s="20" t="n"/>
      <c r="U377">
        <f>IF($C377="","",IF($R377&lt;&gt;"SI","",IF($T377="","SIN DATO",IF(ABS($T377-$S377)&lt;=0.5,"OK","REVISAR"))))</f>
        <v/>
      </c>
      <c r="V377" s="20" t="n"/>
      <c r="W377" s="20">
        <f>IF(OR($C377="",$N377=""),"",IF($F377="RHE",ROUND($L377-$V377,2),ROUND($L377-($S377/$N377),2)))</f>
        <v/>
      </c>
      <c r="X377" s="25" t="n"/>
      <c r="Y377" s="25" t="n"/>
    </row>
    <row r="378">
      <c r="A378" t="n">
        <v>375</v>
      </c>
      <c r="B378" s="25" t="n"/>
      <c r="D378" s="30" t="n"/>
      <c r="G378" s="30" t="n"/>
      <c r="H378">
        <f>IF($G378="","",IFERROR(INDEX(Catalogo_Etiquetas,MATCH($G378,Catalogo_Codigos,0)),"CODIGO NO VALIDO"))</f>
        <v/>
      </c>
      <c r="J378" s="20" t="n"/>
      <c r="K378" s="20" t="n"/>
      <c r="L378" s="20">
        <f>IF($C378="","",$J378+$K378)</f>
        <v/>
      </c>
      <c r="M378" s="30" t="n"/>
      <c r="N378" s="26">
        <f>IF($C378="","",IF($I378="PEN",1,IFERROR(IF(_xlfn.XLOOKUP($B378,TC_Fechas,TC_Venta_Rango,"",-1)="","",_xlfn.XLOOKUP($B378,TC_Fechas,TC_Venta_Rango,"",-1)),"")))</f>
        <v/>
      </c>
      <c r="O378" s="20">
        <f>IF(OR($C378="",$N378=""),"",ROUND($J378*$N378,2)+ROUND($K378*$N378,2))</f>
        <v/>
      </c>
      <c r="P378" s="31">
        <f>IF($G378="","",IFERROR(INDEX(Catalogo_Tasas,MATCH($G378,Catalogo_Codigos,0)),""))</f>
        <v/>
      </c>
      <c r="Q378" s="32">
        <f>IF($G378="","",IFERROR(INDEX(Catalogo_Umbrales,MATCH($G378,Catalogo_Codigos,0)),""))</f>
        <v/>
      </c>
      <c r="R378">
        <f>IF(OR($C378="",$P378="",$O378=""),"",IF($F378&lt;&gt;"FACTURA","NO",IF(AND($P378&gt;0,$O378&gt;$Q378),"SI","NO")))</f>
        <v/>
      </c>
      <c r="S378" s="20">
        <f>IF($R378="SI",ROUND($O378*$P378,2),IF($C378="","",0))</f>
        <v/>
      </c>
      <c r="T378" s="20" t="n"/>
      <c r="U378">
        <f>IF($C378="","",IF($R378&lt;&gt;"SI","",IF($T378="","SIN DATO",IF(ABS($T378-$S378)&lt;=0.5,"OK","REVISAR"))))</f>
        <v/>
      </c>
      <c r="V378" s="20" t="n"/>
      <c r="W378" s="20">
        <f>IF(OR($C378="",$N378=""),"",IF($F378="RHE",ROUND($L378-$V378,2),ROUND($L378-($S378/$N378),2)))</f>
        <v/>
      </c>
      <c r="X378" s="25" t="n"/>
      <c r="Y378" s="25" t="n"/>
    </row>
    <row r="379">
      <c r="A379" t="n">
        <v>376</v>
      </c>
      <c r="B379" s="25" t="n"/>
      <c r="D379" s="30" t="n"/>
      <c r="G379" s="30" t="n"/>
      <c r="H379">
        <f>IF($G379="","",IFERROR(INDEX(Catalogo_Etiquetas,MATCH($G379,Catalogo_Codigos,0)),"CODIGO NO VALIDO"))</f>
        <v/>
      </c>
      <c r="J379" s="20" t="n"/>
      <c r="K379" s="20" t="n"/>
      <c r="L379" s="20">
        <f>IF($C379="","",$J379+$K379)</f>
        <v/>
      </c>
      <c r="M379" s="30" t="n"/>
      <c r="N379" s="26">
        <f>IF($C379="","",IF($I379="PEN",1,IFERROR(IF(_xlfn.XLOOKUP($B379,TC_Fechas,TC_Venta_Rango,"",-1)="","",_xlfn.XLOOKUP($B379,TC_Fechas,TC_Venta_Rango,"",-1)),"")))</f>
        <v/>
      </c>
      <c r="O379" s="20">
        <f>IF(OR($C379="",$N379=""),"",ROUND($J379*$N379,2)+ROUND($K379*$N379,2))</f>
        <v/>
      </c>
      <c r="P379" s="31">
        <f>IF($G379="","",IFERROR(INDEX(Catalogo_Tasas,MATCH($G379,Catalogo_Codigos,0)),""))</f>
        <v/>
      </c>
      <c r="Q379" s="32">
        <f>IF($G379="","",IFERROR(INDEX(Catalogo_Umbrales,MATCH($G379,Catalogo_Codigos,0)),""))</f>
        <v/>
      </c>
      <c r="R379">
        <f>IF(OR($C379="",$P379="",$O379=""),"",IF($F379&lt;&gt;"FACTURA","NO",IF(AND($P379&gt;0,$O379&gt;$Q379),"SI","NO")))</f>
        <v/>
      </c>
      <c r="S379" s="20">
        <f>IF($R379="SI",ROUND($O379*$P379,2),IF($C379="","",0))</f>
        <v/>
      </c>
      <c r="T379" s="20" t="n"/>
      <c r="U379">
        <f>IF($C379="","",IF($R379&lt;&gt;"SI","",IF($T379="","SIN DATO",IF(ABS($T379-$S379)&lt;=0.5,"OK","REVISAR"))))</f>
        <v/>
      </c>
      <c r="V379" s="20" t="n"/>
      <c r="W379" s="20">
        <f>IF(OR($C379="",$N379=""),"",IF($F379="RHE",ROUND($L379-$V379,2),ROUND($L379-($S379/$N379),2)))</f>
        <v/>
      </c>
      <c r="X379" s="25" t="n"/>
      <c r="Y379" s="25" t="n"/>
    </row>
    <row r="380">
      <c r="A380" t="n">
        <v>377</v>
      </c>
      <c r="B380" s="25" t="n"/>
      <c r="D380" s="30" t="n"/>
      <c r="G380" s="30" t="n"/>
      <c r="H380">
        <f>IF($G380="","",IFERROR(INDEX(Catalogo_Etiquetas,MATCH($G380,Catalogo_Codigos,0)),"CODIGO NO VALIDO"))</f>
        <v/>
      </c>
      <c r="J380" s="20" t="n"/>
      <c r="K380" s="20" t="n"/>
      <c r="L380" s="20">
        <f>IF($C380="","",$J380+$K380)</f>
        <v/>
      </c>
      <c r="M380" s="30" t="n"/>
      <c r="N380" s="26">
        <f>IF($C380="","",IF($I380="PEN",1,IFERROR(IF(_xlfn.XLOOKUP($B380,TC_Fechas,TC_Venta_Rango,"",-1)="","",_xlfn.XLOOKUP($B380,TC_Fechas,TC_Venta_Rango,"",-1)),"")))</f>
        <v/>
      </c>
      <c r="O380" s="20">
        <f>IF(OR($C380="",$N380=""),"",ROUND($J380*$N380,2)+ROUND($K380*$N380,2))</f>
        <v/>
      </c>
      <c r="P380" s="31">
        <f>IF($G380="","",IFERROR(INDEX(Catalogo_Tasas,MATCH($G380,Catalogo_Codigos,0)),""))</f>
        <v/>
      </c>
      <c r="Q380" s="32">
        <f>IF($G380="","",IFERROR(INDEX(Catalogo_Umbrales,MATCH($G380,Catalogo_Codigos,0)),""))</f>
        <v/>
      </c>
      <c r="R380">
        <f>IF(OR($C380="",$P380="",$O380=""),"",IF($F380&lt;&gt;"FACTURA","NO",IF(AND($P380&gt;0,$O380&gt;$Q380),"SI","NO")))</f>
        <v/>
      </c>
      <c r="S380" s="20">
        <f>IF($R380="SI",ROUND($O380*$P380,2),IF($C380="","",0))</f>
        <v/>
      </c>
      <c r="T380" s="20" t="n"/>
      <c r="U380">
        <f>IF($C380="","",IF($R380&lt;&gt;"SI","",IF($T380="","SIN DATO",IF(ABS($T380-$S380)&lt;=0.5,"OK","REVISAR"))))</f>
        <v/>
      </c>
      <c r="V380" s="20" t="n"/>
      <c r="W380" s="20">
        <f>IF(OR($C380="",$N380=""),"",IF($F380="RHE",ROUND($L380-$V380,2),ROUND($L380-($S380/$N380),2)))</f>
        <v/>
      </c>
      <c r="X380" s="25" t="n"/>
      <c r="Y380" s="25" t="n"/>
    </row>
    <row r="381">
      <c r="A381" t="n">
        <v>378</v>
      </c>
      <c r="B381" s="25" t="n"/>
      <c r="D381" s="30" t="n"/>
      <c r="G381" s="30" t="n"/>
      <c r="H381">
        <f>IF($G381="","",IFERROR(INDEX(Catalogo_Etiquetas,MATCH($G381,Catalogo_Codigos,0)),"CODIGO NO VALIDO"))</f>
        <v/>
      </c>
      <c r="J381" s="20" t="n"/>
      <c r="K381" s="20" t="n"/>
      <c r="L381" s="20">
        <f>IF($C381="","",$J381+$K381)</f>
        <v/>
      </c>
      <c r="M381" s="30" t="n"/>
      <c r="N381" s="26">
        <f>IF($C381="","",IF($I381="PEN",1,IFERROR(IF(_xlfn.XLOOKUP($B381,TC_Fechas,TC_Venta_Rango,"",-1)="","",_xlfn.XLOOKUP($B381,TC_Fechas,TC_Venta_Rango,"",-1)),"")))</f>
        <v/>
      </c>
      <c r="O381" s="20">
        <f>IF(OR($C381="",$N381=""),"",ROUND($J381*$N381,2)+ROUND($K381*$N381,2))</f>
        <v/>
      </c>
      <c r="P381" s="31">
        <f>IF($G381="","",IFERROR(INDEX(Catalogo_Tasas,MATCH($G381,Catalogo_Codigos,0)),""))</f>
        <v/>
      </c>
      <c r="Q381" s="32">
        <f>IF($G381="","",IFERROR(INDEX(Catalogo_Umbrales,MATCH($G381,Catalogo_Codigos,0)),""))</f>
        <v/>
      </c>
      <c r="R381">
        <f>IF(OR($C381="",$P381="",$O381=""),"",IF($F381&lt;&gt;"FACTURA","NO",IF(AND($P381&gt;0,$O381&gt;$Q381),"SI","NO")))</f>
        <v/>
      </c>
      <c r="S381" s="20">
        <f>IF($R381="SI",ROUND($O381*$P381,2),IF($C381="","",0))</f>
        <v/>
      </c>
      <c r="T381" s="20" t="n"/>
      <c r="U381">
        <f>IF($C381="","",IF($R381&lt;&gt;"SI","",IF($T381="","SIN DATO",IF(ABS($T381-$S381)&lt;=0.5,"OK","REVISAR"))))</f>
        <v/>
      </c>
      <c r="V381" s="20" t="n"/>
      <c r="W381" s="20">
        <f>IF(OR($C381="",$N381=""),"",IF($F381="RHE",ROUND($L381-$V381,2),ROUND($L381-($S381/$N381),2)))</f>
        <v/>
      </c>
      <c r="X381" s="25" t="n"/>
      <c r="Y381" s="25" t="n"/>
    </row>
    <row r="382">
      <c r="A382" t="n">
        <v>379</v>
      </c>
      <c r="B382" s="25" t="n"/>
      <c r="D382" s="30" t="n"/>
      <c r="G382" s="30" t="n"/>
      <c r="H382">
        <f>IF($G382="","",IFERROR(INDEX(Catalogo_Etiquetas,MATCH($G382,Catalogo_Codigos,0)),"CODIGO NO VALIDO"))</f>
        <v/>
      </c>
      <c r="J382" s="20" t="n"/>
      <c r="K382" s="20" t="n"/>
      <c r="L382" s="20">
        <f>IF($C382="","",$J382+$K382)</f>
        <v/>
      </c>
      <c r="M382" s="30" t="n"/>
      <c r="N382" s="26">
        <f>IF($C382="","",IF($I382="PEN",1,IFERROR(IF(_xlfn.XLOOKUP($B382,TC_Fechas,TC_Venta_Rango,"",-1)="","",_xlfn.XLOOKUP($B382,TC_Fechas,TC_Venta_Rango,"",-1)),"")))</f>
        <v/>
      </c>
      <c r="O382" s="20">
        <f>IF(OR($C382="",$N382=""),"",ROUND($J382*$N382,2)+ROUND($K382*$N382,2))</f>
        <v/>
      </c>
      <c r="P382" s="31">
        <f>IF($G382="","",IFERROR(INDEX(Catalogo_Tasas,MATCH($G382,Catalogo_Codigos,0)),""))</f>
        <v/>
      </c>
      <c r="Q382" s="32">
        <f>IF($G382="","",IFERROR(INDEX(Catalogo_Umbrales,MATCH($G382,Catalogo_Codigos,0)),""))</f>
        <v/>
      </c>
      <c r="R382">
        <f>IF(OR($C382="",$P382="",$O382=""),"",IF($F382&lt;&gt;"FACTURA","NO",IF(AND($P382&gt;0,$O382&gt;$Q382),"SI","NO")))</f>
        <v/>
      </c>
      <c r="S382" s="20">
        <f>IF($R382="SI",ROUND($O382*$P382,2),IF($C382="","",0))</f>
        <v/>
      </c>
      <c r="T382" s="20" t="n"/>
      <c r="U382">
        <f>IF($C382="","",IF($R382&lt;&gt;"SI","",IF($T382="","SIN DATO",IF(ABS($T382-$S382)&lt;=0.5,"OK","REVISAR"))))</f>
        <v/>
      </c>
      <c r="V382" s="20" t="n"/>
      <c r="W382" s="20">
        <f>IF(OR($C382="",$N382=""),"",IF($F382="RHE",ROUND($L382-$V382,2),ROUND($L382-($S382/$N382),2)))</f>
        <v/>
      </c>
      <c r="X382" s="25" t="n"/>
      <c r="Y382" s="25" t="n"/>
    </row>
    <row r="383">
      <c r="A383" t="n">
        <v>380</v>
      </c>
      <c r="B383" s="25" t="n"/>
      <c r="D383" s="30" t="n"/>
      <c r="G383" s="30" t="n"/>
      <c r="H383">
        <f>IF($G383="","",IFERROR(INDEX(Catalogo_Etiquetas,MATCH($G383,Catalogo_Codigos,0)),"CODIGO NO VALIDO"))</f>
        <v/>
      </c>
      <c r="J383" s="20" t="n"/>
      <c r="K383" s="20" t="n"/>
      <c r="L383" s="20">
        <f>IF($C383="","",$J383+$K383)</f>
        <v/>
      </c>
      <c r="M383" s="30" t="n"/>
      <c r="N383" s="26">
        <f>IF($C383="","",IF($I383="PEN",1,IFERROR(IF(_xlfn.XLOOKUP($B383,TC_Fechas,TC_Venta_Rango,"",-1)="","",_xlfn.XLOOKUP($B383,TC_Fechas,TC_Venta_Rango,"",-1)),"")))</f>
        <v/>
      </c>
      <c r="O383" s="20">
        <f>IF(OR($C383="",$N383=""),"",ROUND($J383*$N383,2)+ROUND($K383*$N383,2))</f>
        <v/>
      </c>
      <c r="P383" s="31">
        <f>IF($G383="","",IFERROR(INDEX(Catalogo_Tasas,MATCH($G383,Catalogo_Codigos,0)),""))</f>
        <v/>
      </c>
      <c r="Q383" s="32">
        <f>IF($G383="","",IFERROR(INDEX(Catalogo_Umbrales,MATCH($G383,Catalogo_Codigos,0)),""))</f>
        <v/>
      </c>
      <c r="R383">
        <f>IF(OR($C383="",$P383="",$O383=""),"",IF($F383&lt;&gt;"FACTURA","NO",IF(AND($P383&gt;0,$O383&gt;$Q383),"SI","NO")))</f>
        <v/>
      </c>
      <c r="S383" s="20">
        <f>IF($R383="SI",ROUND($O383*$P383,2),IF($C383="","",0))</f>
        <v/>
      </c>
      <c r="T383" s="20" t="n"/>
      <c r="U383">
        <f>IF($C383="","",IF($R383&lt;&gt;"SI","",IF($T383="","SIN DATO",IF(ABS($T383-$S383)&lt;=0.5,"OK","REVISAR"))))</f>
        <v/>
      </c>
      <c r="V383" s="20" t="n"/>
      <c r="W383" s="20">
        <f>IF(OR($C383="",$N383=""),"",IF($F383="RHE",ROUND($L383-$V383,2),ROUND($L383-($S383/$N383),2)))</f>
        <v/>
      </c>
      <c r="X383" s="25" t="n"/>
      <c r="Y383" s="25" t="n"/>
    </row>
    <row r="384">
      <c r="A384" t="n">
        <v>381</v>
      </c>
      <c r="B384" s="25" t="n"/>
      <c r="D384" s="30" t="n"/>
      <c r="G384" s="30" t="n"/>
      <c r="H384">
        <f>IF($G384="","",IFERROR(INDEX(Catalogo_Etiquetas,MATCH($G384,Catalogo_Codigos,0)),"CODIGO NO VALIDO"))</f>
        <v/>
      </c>
      <c r="J384" s="20" t="n"/>
      <c r="K384" s="20" t="n"/>
      <c r="L384" s="20">
        <f>IF($C384="","",$J384+$K384)</f>
        <v/>
      </c>
      <c r="M384" s="30" t="n"/>
      <c r="N384" s="26">
        <f>IF($C384="","",IF($I384="PEN",1,IFERROR(IF(_xlfn.XLOOKUP($B384,TC_Fechas,TC_Venta_Rango,"",-1)="","",_xlfn.XLOOKUP($B384,TC_Fechas,TC_Venta_Rango,"",-1)),"")))</f>
        <v/>
      </c>
      <c r="O384" s="20">
        <f>IF(OR($C384="",$N384=""),"",ROUND($J384*$N384,2)+ROUND($K384*$N384,2))</f>
        <v/>
      </c>
      <c r="P384" s="31">
        <f>IF($G384="","",IFERROR(INDEX(Catalogo_Tasas,MATCH($G384,Catalogo_Codigos,0)),""))</f>
        <v/>
      </c>
      <c r="Q384" s="32">
        <f>IF($G384="","",IFERROR(INDEX(Catalogo_Umbrales,MATCH($G384,Catalogo_Codigos,0)),""))</f>
        <v/>
      </c>
      <c r="R384">
        <f>IF(OR($C384="",$P384="",$O384=""),"",IF($F384&lt;&gt;"FACTURA","NO",IF(AND($P384&gt;0,$O384&gt;$Q384),"SI","NO")))</f>
        <v/>
      </c>
      <c r="S384" s="20">
        <f>IF($R384="SI",ROUND($O384*$P384,2),IF($C384="","",0))</f>
        <v/>
      </c>
      <c r="T384" s="20" t="n"/>
      <c r="U384">
        <f>IF($C384="","",IF($R384&lt;&gt;"SI","",IF($T384="","SIN DATO",IF(ABS($T384-$S384)&lt;=0.5,"OK","REVISAR"))))</f>
        <v/>
      </c>
      <c r="V384" s="20" t="n"/>
      <c r="W384" s="20">
        <f>IF(OR($C384="",$N384=""),"",IF($F384="RHE",ROUND($L384-$V384,2),ROUND($L384-($S384/$N384),2)))</f>
        <v/>
      </c>
      <c r="X384" s="25" t="n"/>
      <c r="Y384" s="25" t="n"/>
    </row>
    <row r="385">
      <c r="A385" t="n">
        <v>382</v>
      </c>
      <c r="B385" s="25" t="n"/>
      <c r="D385" s="30" t="n"/>
      <c r="G385" s="30" t="n"/>
      <c r="H385">
        <f>IF($G385="","",IFERROR(INDEX(Catalogo_Etiquetas,MATCH($G385,Catalogo_Codigos,0)),"CODIGO NO VALIDO"))</f>
        <v/>
      </c>
      <c r="J385" s="20" t="n"/>
      <c r="K385" s="20" t="n"/>
      <c r="L385" s="20">
        <f>IF($C385="","",$J385+$K385)</f>
        <v/>
      </c>
      <c r="M385" s="30" t="n"/>
      <c r="N385" s="26">
        <f>IF($C385="","",IF($I385="PEN",1,IFERROR(IF(_xlfn.XLOOKUP($B385,TC_Fechas,TC_Venta_Rango,"",-1)="","",_xlfn.XLOOKUP($B385,TC_Fechas,TC_Venta_Rango,"",-1)),"")))</f>
        <v/>
      </c>
      <c r="O385" s="20">
        <f>IF(OR($C385="",$N385=""),"",ROUND($J385*$N385,2)+ROUND($K385*$N385,2))</f>
        <v/>
      </c>
      <c r="P385" s="31">
        <f>IF($G385="","",IFERROR(INDEX(Catalogo_Tasas,MATCH($G385,Catalogo_Codigos,0)),""))</f>
        <v/>
      </c>
      <c r="Q385" s="32">
        <f>IF($G385="","",IFERROR(INDEX(Catalogo_Umbrales,MATCH($G385,Catalogo_Codigos,0)),""))</f>
        <v/>
      </c>
      <c r="R385">
        <f>IF(OR($C385="",$P385="",$O385=""),"",IF($F385&lt;&gt;"FACTURA","NO",IF(AND($P385&gt;0,$O385&gt;$Q385),"SI","NO")))</f>
        <v/>
      </c>
      <c r="S385" s="20">
        <f>IF($R385="SI",ROUND($O385*$P385,2),IF($C385="","",0))</f>
        <v/>
      </c>
      <c r="T385" s="20" t="n"/>
      <c r="U385">
        <f>IF($C385="","",IF($R385&lt;&gt;"SI","",IF($T385="","SIN DATO",IF(ABS($T385-$S385)&lt;=0.5,"OK","REVISAR"))))</f>
        <v/>
      </c>
      <c r="V385" s="20" t="n"/>
      <c r="W385" s="20">
        <f>IF(OR($C385="",$N385=""),"",IF($F385="RHE",ROUND($L385-$V385,2),ROUND($L385-($S385/$N385),2)))</f>
        <v/>
      </c>
      <c r="X385" s="25" t="n"/>
      <c r="Y385" s="25" t="n"/>
    </row>
    <row r="386">
      <c r="A386" t="n">
        <v>383</v>
      </c>
      <c r="B386" s="25" t="n"/>
      <c r="D386" s="30" t="n"/>
      <c r="G386" s="30" t="n"/>
      <c r="H386">
        <f>IF($G386="","",IFERROR(INDEX(Catalogo_Etiquetas,MATCH($G386,Catalogo_Codigos,0)),"CODIGO NO VALIDO"))</f>
        <v/>
      </c>
      <c r="J386" s="20" t="n"/>
      <c r="K386" s="20" t="n"/>
      <c r="L386" s="20">
        <f>IF($C386="","",$J386+$K386)</f>
        <v/>
      </c>
      <c r="M386" s="30" t="n"/>
      <c r="N386" s="26">
        <f>IF($C386="","",IF($I386="PEN",1,IFERROR(IF(_xlfn.XLOOKUP($B386,TC_Fechas,TC_Venta_Rango,"",-1)="","",_xlfn.XLOOKUP($B386,TC_Fechas,TC_Venta_Rango,"",-1)),"")))</f>
        <v/>
      </c>
      <c r="O386" s="20">
        <f>IF(OR($C386="",$N386=""),"",ROUND($J386*$N386,2)+ROUND($K386*$N386,2))</f>
        <v/>
      </c>
      <c r="P386" s="31">
        <f>IF($G386="","",IFERROR(INDEX(Catalogo_Tasas,MATCH($G386,Catalogo_Codigos,0)),""))</f>
        <v/>
      </c>
      <c r="Q386" s="32">
        <f>IF($G386="","",IFERROR(INDEX(Catalogo_Umbrales,MATCH($G386,Catalogo_Codigos,0)),""))</f>
        <v/>
      </c>
      <c r="R386">
        <f>IF(OR($C386="",$P386="",$O386=""),"",IF($F386&lt;&gt;"FACTURA","NO",IF(AND($P386&gt;0,$O386&gt;$Q386),"SI","NO")))</f>
        <v/>
      </c>
      <c r="S386" s="20">
        <f>IF($R386="SI",ROUND($O386*$P386,2),IF($C386="","",0))</f>
        <v/>
      </c>
      <c r="T386" s="20" t="n"/>
      <c r="U386">
        <f>IF($C386="","",IF($R386&lt;&gt;"SI","",IF($T386="","SIN DATO",IF(ABS($T386-$S386)&lt;=0.5,"OK","REVISAR"))))</f>
        <v/>
      </c>
      <c r="V386" s="20" t="n"/>
      <c r="W386" s="20">
        <f>IF(OR($C386="",$N386=""),"",IF($F386="RHE",ROUND($L386-$V386,2),ROUND($L386-($S386/$N386),2)))</f>
        <v/>
      </c>
      <c r="X386" s="25" t="n"/>
      <c r="Y386" s="25" t="n"/>
    </row>
    <row r="387">
      <c r="A387" t="n">
        <v>384</v>
      </c>
      <c r="B387" s="25" t="n"/>
      <c r="D387" s="30" t="n"/>
      <c r="G387" s="30" t="n"/>
      <c r="H387">
        <f>IF($G387="","",IFERROR(INDEX(Catalogo_Etiquetas,MATCH($G387,Catalogo_Codigos,0)),"CODIGO NO VALIDO"))</f>
        <v/>
      </c>
      <c r="J387" s="20" t="n"/>
      <c r="K387" s="20" t="n"/>
      <c r="L387" s="20">
        <f>IF($C387="","",$J387+$K387)</f>
        <v/>
      </c>
      <c r="M387" s="30" t="n"/>
      <c r="N387" s="26">
        <f>IF($C387="","",IF($I387="PEN",1,IFERROR(IF(_xlfn.XLOOKUP($B387,TC_Fechas,TC_Venta_Rango,"",-1)="","",_xlfn.XLOOKUP($B387,TC_Fechas,TC_Venta_Rango,"",-1)),"")))</f>
        <v/>
      </c>
      <c r="O387" s="20">
        <f>IF(OR($C387="",$N387=""),"",ROUND($J387*$N387,2)+ROUND($K387*$N387,2))</f>
        <v/>
      </c>
      <c r="P387" s="31">
        <f>IF($G387="","",IFERROR(INDEX(Catalogo_Tasas,MATCH($G387,Catalogo_Codigos,0)),""))</f>
        <v/>
      </c>
      <c r="Q387" s="32">
        <f>IF($G387="","",IFERROR(INDEX(Catalogo_Umbrales,MATCH($G387,Catalogo_Codigos,0)),""))</f>
        <v/>
      </c>
      <c r="R387">
        <f>IF(OR($C387="",$P387="",$O387=""),"",IF($F387&lt;&gt;"FACTURA","NO",IF(AND($P387&gt;0,$O387&gt;$Q387),"SI","NO")))</f>
        <v/>
      </c>
      <c r="S387" s="20">
        <f>IF($R387="SI",ROUND($O387*$P387,2),IF($C387="","",0))</f>
        <v/>
      </c>
      <c r="T387" s="20" t="n"/>
      <c r="U387">
        <f>IF($C387="","",IF($R387&lt;&gt;"SI","",IF($T387="","SIN DATO",IF(ABS($T387-$S387)&lt;=0.5,"OK","REVISAR"))))</f>
        <v/>
      </c>
      <c r="V387" s="20" t="n"/>
      <c r="W387" s="20">
        <f>IF(OR($C387="",$N387=""),"",IF($F387="RHE",ROUND($L387-$V387,2),ROUND($L387-($S387/$N387),2)))</f>
        <v/>
      </c>
      <c r="X387" s="25" t="n"/>
      <c r="Y387" s="25" t="n"/>
    </row>
    <row r="388">
      <c r="A388" t="n">
        <v>385</v>
      </c>
      <c r="B388" s="25" t="n"/>
      <c r="D388" s="30" t="n"/>
      <c r="G388" s="30" t="n"/>
      <c r="H388">
        <f>IF($G388="","",IFERROR(INDEX(Catalogo_Etiquetas,MATCH($G388,Catalogo_Codigos,0)),"CODIGO NO VALIDO"))</f>
        <v/>
      </c>
      <c r="J388" s="20" t="n"/>
      <c r="K388" s="20" t="n"/>
      <c r="L388" s="20">
        <f>IF($C388="","",$J388+$K388)</f>
        <v/>
      </c>
      <c r="M388" s="30" t="n"/>
      <c r="N388" s="26">
        <f>IF($C388="","",IF($I388="PEN",1,IFERROR(IF(_xlfn.XLOOKUP($B388,TC_Fechas,TC_Venta_Rango,"",-1)="","",_xlfn.XLOOKUP($B388,TC_Fechas,TC_Venta_Rango,"",-1)),"")))</f>
        <v/>
      </c>
      <c r="O388" s="20">
        <f>IF(OR($C388="",$N388=""),"",ROUND($J388*$N388,2)+ROUND($K388*$N388,2))</f>
        <v/>
      </c>
      <c r="P388" s="31">
        <f>IF($G388="","",IFERROR(INDEX(Catalogo_Tasas,MATCH($G388,Catalogo_Codigos,0)),""))</f>
        <v/>
      </c>
      <c r="Q388" s="32">
        <f>IF($G388="","",IFERROR(INDEX(Catalogo_Umbrales,MATCH($G388,Catalogo_Codigos,0)),""))</f>
        <v/>
      </c>
      <c r="R388">
        <f>IF(OR($C388="",$P388="",$O388=""),"",IF($F388&lt;&gt;"FACTURA","NO",IF(AND($P388&gt;0,$O388&gt;$Q388),"SI","NO")))</f>
        <v/>
      </c>
      <c r="S388" s="20">
        <f>IF($R388="SI",ROUND($O388*$P388,2),IF($C388="","",0))</f>
        <v/>
      </c>
      <c r="T388" s="20" t="n"/>
      <c r="U388">
        <f>IF($C388="","",IF($R388&lt;&gt;"SI","",IF($T388="","SIN DATO",IF(ABS($T388-$S388)&lt;=0.5,"OK","REVISAR"))))</f>
        <v/>
      </c>
      <c r="V388" s="20" t="n"/>
      <c r="W388" s="20">
        <f>IF(OR($C388="",$N388=""),"",IF($F388="RHE",ROUND($L388-$V388,2),ROUND($L388-($S388/$N388),2)))</f>
        <v/>
      </c>
      <c r="X388" s="25" t="n"/>
      <c r="Y388" s="25" t="n"/>
    </row>
    <row r="389">
      <c r="A389" t="n">
        <v>386</v>
      </c>
      <c r="B389" s="25" t="n"/>
      <c r="D389" s="30" t="n"/>
      <c r="G389" s="30" t="n"/>
      <c r="H389">
        <f>IF($G389="","",IFERROR(INDEX(Catalogo_Etiquetas,MATCH($G389,Catalogo_Codigos,0)),"CODIGO NO VALIDO"))</f>
        <v/>
      </c>
      <c r="J389" s="20" t="n"/>
      <c r="K389" s="20" t="n"/>
      <c r="L389" s="20">
        <f>IF($C389="","",$J389+$K389)</f>
        <v/>
      </c>
      <c r="M389" s="30" t="n"/>
      <c r="N389" s="26">
        <f>IF($C389="","",IF($I389="PEN",1,IFERROR(IF(_xlfn.XLOOKUP($B389,TC_Fechas,TC_Venta_Rango,"",-1)="","",_xlfn.XLOOKUP($B389,TC_Fechas,TC_Venta_Rango,"",-1)),"")))</f>
        <v/>
      </c>
      <c r="O389" s="20">
        <f>IF(OR($C389="",$N389=""),"",ROUND($J389*$N389,2)+ROUND($K389*$N389,2))</f>
        <v/>
      </c>
      <c r="P389" s="31">
        <f>IF($G389="","",IFERROR(INDEX(Catalogo_Tasas,MATCH($G389,Catalogo_Codigos,0)),""))</f>
        <v/>
      </c>
      <c r="Q389" s="32">
        <f>IF($G389="","",IFERROR(INDEX(Catalogo_Umbrales,MATCH($G389,Catalogo_Codigos,0)),""))</f>
        <v/>
      </c>
      <c r="R389">
        <f>IF(OR($C389="",$P389="",$O389=""),"",IF($F389&lt;&gt;"FACTURA","NO",IF(AND($P389&gt;0,$O389&gt;$Q389),"SI","NO")))</f>
        <v/>
      </c>
      <c r="S389" s="20">
        <f>IF($R389="SI",ROUND($O389*$P389,2),IF($C389="","",0))</f>
        <v/>
      </c>
      <c r="T389" s="20" t="n"/>
      <c r="U389">
        <f>IF($C389="","",IF($R389&lt;&gt;"SI","",IF($T389="","SIN DATO",IF(ABS($T389-$S389)&lt;=0.5,"OK","REVISAR"))))</f>
        <v/>
      </c>
      <c r="V389" s="20" t="n"/>
      <c r="W389" s="20">
        <f>IF(OR($C389="",$N389=""),"",IF($F389="RHE",ROUND($L389-$V389,2),ROUND($L389-($S389/$N389),2)))</f>
        <v/>
      </c>
      <c r="X389" s="25" t="n"/>
      <c r="Y389" s="25" t="n"/>
    </row>
    <row r="390">
      <c r="A390" t="n">
        <v>387</v>
      </c>
      <c r="B390" s="25" t="n"/>
      <c r="D390" s="30" t="n"/>
      <c r="G390" s="30" t="n"/>
      <c r="H390">
        <f>IF($G390="","",IFERROR(INDEX(Catalogo_Etiquetas,MATCH($G390,Catalogo_Codigos,0)),"CODIGO NO VALIDO"))</f>
        <v/>
      </c>
      <c r="J390" s="20" t="n"/>
      <c r="K390" s="20" t="n"/>
      <c r="L390" s="20">
        <f>IF($C390="","",$J390+$K390)</f>
        <v/>
      </c>
      <c r="M390" s="30" t="n"/>
      <c r="N390" s="26">
        <f>IF($C390="","",IF($I390="PEN",1,IFERROR(IF(_xlfn.XLOOKUP($B390,TC_Fechas,TC_Venta_Rango,"",-1)="","",_xlfn.XLOOKUP($B390,TC_Fechas,TC_Venta_Rango,"",-1)),"")))</f>
        <v/>
      </c>
      <c r="O390" s="20">
        <f>IF(OR($C390="",$N390=""),"",ROUND($J390*$N390,2)+ROUND($K390*$N390,2))</f>
        <v/>
      </c>
      <c r="P390" s="31">
        <f>IF($G390="","",IFERROR(INDEX(Catalogo_Tasas,MATCH($G390,Catalogo_Codigos,0)),""))</f>
        <v/>
      </c>
      <c r="Q390" s="32">
        <f>IF($G390="","",IFERROR(INDEX(Catalogo_Umbrales,MATCH($G390,Catalogo_Codigos,0)),""))</f>
        <v/>
      </c>
      <c r="R390">
        <f>IF(OR($C390="",$P390="",$O390=""),"",IF($F390&lt;&gt;"FACTURA","NO",IF(AND($P390&gt;0,$O390&gt;$Q390),"SI","NO")))</f>
        <v/>
      </c>
      <c r="S390" s="20">
        <f>IF($R390="SI",ROUND($O390*$P390,2),IF($C390="","",0))</f>
        <v/>
      </c>
      <c r="T390" s="20" t="n"/>
      <c r="U390">
        <f>IF($C390="","",IF($R390&lt;&gt;"SI","",IF($T390="","SIN DATO",IF(ABS($T390-$S390)&lt;=0.5,"OK","REVISAR"))))</f>
        <v/>
      </c>
      <c r="V390" s="20" t="n"/>
      <c r="W390" s="20">
        <f>IF(OR($C390="",$N390=""),"",IF($F390="RHE",ROUND($L390-$V390,2),ROUND($L390-($S390/$N390),2)))</f>
        <v/>
      </c>
      <c r="X390" s="25" t="n"/>
      <c r="Y390" s="25" t="n"/>
    </row>
    <row r="391">
      <c r="A391" t="n">
        <v>388</v>
      </c>
      <c r="B391" s="25" t="n"/>
      <c r="D391" s="30" t="n"/>
      <c r="G391" s="30" t="n"/>
      <c r="H391">
        <f>IF($G391="","",IFERROR(INDEX(Catalogo_Etiquetas,MATCH($G391,Catalogo_Codigos,0)),"CODIGO NO VALIDO"))</f>
        <v/>
      </c>
      <c r="J391" s="20" t="n"/>
      <c r="K391" s="20" t="n"/>
      <c r="L391" s="20">
        <f>IF($C391="","",$J391+$K391)</f>
        <v/>
      </c>
      <c r="M391" s="30" t="n"/>
      <c r="N391" s="26">
        <f>IF($C391="","",IF($I391="PEN",1,IFERROR(IF(_xlfn.XLOOKUP($B391,TC_Fechas,TC_Venta_Rango,"",-1)="","",_xlfn.XLOOKUP($B391,TC_Fechas,TC_Venta_Rango,"",-1)),"")))</f>
        <v/>
      </c>
      <c r="O391" s="20">
        <f>IF(OR($C391="",$N391=""),"",ROUND($J391*$N391,2)+ROUND($K391*$N391,2))</f>
        <v/>
      </c>
      <c r="P391" s="31">
        <f>IF($G391="","",IFERROR(INDEX(Catalogo_Tasas,MATCH($G391,Catalogo_Codigos,0)),""))</f>
        <v/>
      </c>
      <c r="Q391" s="32">
        <f>IF($G391="","",IFERROR(INDEX(Catalogo_Umbrales,MATCH($G391,Catalogo_Codigos,0)),""))</f>
        <v/>
      </c>
      <c r="R391">
        <f>IF(OR($C391="",$P391="",$O391=""),"",IF($F391&lt;&gt;"FACTURA","NO",IF(AND($P391&gt;0,$O391&gt;$Q391),"SI","NO")))</f>
        <v/>
      </c>
      <c r="S391" s="20">
        <f>IF($R391="SI",ROUND($O391*$P391,2),IF($C391="","",0))</f>
        <v/>
      </c>
      <c r="T391" s="20" t="n"/>
      <c r="U391">
        <f>IF($C391="","",IF($R391&lt;&gt;"SI","",IF($T391="","SIN DATO",IF(ABS($T391-$S391)&lt;=0.5,"OK","REVISAR"))))</f>
        <v/>
      </c>
      <c r="V391" s="20" t="n"/>
      <c r="W391" s="20">
        <f>IF(OR($C391="",$N391=""),"",IF($F391="RHE",ROUND($L391-$V391,2),ROUND($L391-($S391/$N391),2)))</f>
        <v/>
      </c>
      <c r="X391" s="25" t="n"/>
      <c r="Y391" s="25" t="n"/>
    </row>
    <row r="392">
      <c r="A392" t="n">
        <v>389</v>
      </c>
      <c r="B392" s="25" t="n"/>
      <c r="D392" s="30" t="n"/>
      <c r="G392" s="30" t="n"/>
      <c r="H392">
        <f>IF($G392="","",IFERROR(INDEX(Catalogo_Etiquetas,MATCH($G392,Catalogo_Codigos,0)),"CODIGO NO VALIDO"))</f>
        <v/>
      </c>
      <c r="J392" s="20" t="n"/>
      <c r="K392" s="20" t="n"/>
      <c r="L392" s="20">
        <f>IF($C392="","",$J392+$K392)</f>
        <v/>
      </c>
      <c r="M392" s="30" t="n"/>
      <c r="N392" s="26">
        <f>IF($C392="","",IF($I392="PEN",1,IFERROR(IF(_xlfn.XLOOKUP($B392,TC_Fechas,TC_Venta_Rango,"",-1)="","",_xlfn.XLOOKUP($B392,TC_Fechas,TC_Venta_Rango,"",-1)),"")))</f>
        <v/>
      </c>
      <c r="O392" s="20">
        <f>IF(OR($C392="",$N392=""),"",ROUND($J392*$N392,2)+ROUND($K392*$N392,2))</f>
        <v/>
      </c>
      <c r="P392" s="31">
        <f>IF($G392="","",IFERROR(INDEX(Catalogo_Tasas,MATCH($G392,Catalogo_Codigos,0)),""))</f>
        <v/>
      </c>
      <c r="Q392" s="32">
        <f>IF($G392="","",IFERROR(INDEX(Catalogo_Umbrales,MATCH($G392,Catalogo_Codigos,0)),""))</f>
        <v/>
      </c>
      <c r="R392">
        <f>IF(OR($C392="",$P392="",$O392=""),"",IF($F392&lt;&gt;"FACTURA","NO",IF(AND($P392&gt;0,$O392&gt;$Q392),"SI","NO")))</f>
        <v/>
      </c>
      <c r="S392" s="20">
        <f>IF($R392="SI",ROUND($O392*$P392,2),IF($C392="","",0))</f>
        <v/>
      </c>
      <c r="T392" s="20" t="n"/>
      <c r="U392">
        <f>IF($C392="","",IF($R392&lt;&gt;"SI","",IF($T392="","SIN DATO",IF(ABS($T392-$S392)&lt;=0.5,"OK","REVISAR"))))</f>
        <v/>
      </c>
      <c r="V392" s="20" t="n"/>
      <c r="W392" s="20">
        <f>IF(OR($C392="",$N392=""),"",IF($F392="RHE",ROUND($L392-$V392,2),ROUND($L392-($S392/$N392),2)))</f>
        <v/>
      </c>
      <c r="X392" s="25" t="n"/>
      <c r="Y392" s="25" t="n"/>
    </row>
    <row r="393">
      <c r="A393" t="n">
        <v>390</v>
      </c>
      <c r="B393" s="25" t="n"/>
      <c r="D393" s="30" t="n"/>
      <c r="G393" s="30" t="n"/>
      <c r="H393">
        <f>IF($G393="","",IFERROR(INDEX(Catalogo_Etiquetas,MATCH($G393,Catalogo_Codigos,0)),"CODIGO NO VALIDO"))</f>
        <v/>
      </c>
      <c r="J393" s="20" t="n"/>
      <c r="K393" s="20" t="n"/>
      <c r="L393" s="20">
        <f>IF($C393="","",$J393+$K393)</f>
        <v/>
      </c>
      <c r="M393" s="30" t="n"/>
      <c r="N393" s="26">
        <f>IF($C393="","",IF($I393="PEN",1,IFERROR(IF(_xlfn.XLOOKUP($B393,TC_Fechas,TC_Venta_Rango,"",-1)="","",_xlfn.XLOOKUP($B393,TC_Fechas,TC_Venta_Rango,"",-1)),"")))</f>
        <v/>
      </c>
      <c r="O393" s="20">
        <f>IF(OR($C393="",$N393=""),"",ROUND($J393*$N393,2)+ROUND($K393*$N393,2))</f>
        <v/>
      </c>
      <c r="P393" s="31">
        <f>IF($G393="","",IFERROR(INDEX(Catalogo_Tasas,MATCH($G393,Catalogo_Codigos,0)),""))</f>
        <v/>
      </c>
      <c r="Q393" s="32">
        <f>IF($G393="","",IFERROR(INDEX(Catalogo_Umbrales,MATCH($G393,Catalogo_Codigos,0)),""))</f>
        <v/>
      </c>
      <c r="R393">
        <f>IF(OR($C393="",$P393="",$O393=""),"",IF($F393&lt;&gt;"FACTURA","NO",IF(AND($P393&gt;0,$O393&gt;$Q393),"SI","NO")))</f>
        <v/>
      </c>
      <c r="S393" s="20">
        <f>IF($R393="SI",ROUND($O393*$P393,2),IF($C393="","",0))</f>
        <v/>
      </c>
      <c r="T393" s="20" t="n"/>
      <c r="U393">
        <f>IF($C393="","",IF($R393&lt;&gt;"SI","",IF($T393="","SIN DATO",IF(ABS($T393-$S393)&lt;=0.5,"OK","REVISAR"))))</f>
        <v/>
      </c>
      <c r="V393" s="20" t="n"/>
      <c r="W393" s="20">
        <f>IF(OR($C393="",$N393=""),"",IF($F393="RHE",ROUND($L393-$V393,2),ROUND($L393-($S393/$N393),2)))</f>
        <v/>
      </c>
      <c r="X393" s="25" t="n"/>
      <c r="Y393" s="25" t="n"/>
    </row>
    <row r="394">
      <c r="A394" t="n">
        <v>391</v>
      </c>
      <c r="B394" s="25" t="n"/>
      <c r="D394" s="30" t="n"/>
      <c r="G394" s="30" t="n"/>
      <c r="H394">
        <f>IF($G394="","",IFERROR(INDEX(Catalogo_Etiquetas,MATCH($G394,Catalogo_Codigos,0)),"CODIGO NO VALIDO"))</f>
        <v/>
      </c>
      <c r="J394" s="20" t="n"/>
      <c r="K394" s="20" t="n"/>
      <c r="L394" s="20">
        <f>IF($C394="","",$J394+$K394)</f>
        <v/>
      </c>
      <c r="M394" s="30" t="n"/>
      <c r="N394" s="26">
        <f>IF($C394="","",IF($I394="PEN",1,IFERROR(IF(_xlfn.XLOOKUP($B394,TC_Fechas,TC_Venta_Rango,"",-1)="","",_xlfn.XLOOKUP($B394,TC_Fechas,TC_Venta_Rango,"",-1)),"")))</f>
        <v/>
      </c>
      <c r="O394" s="20">
        <f>IF(OR($C394="",$N394=""),"",ROUND($J394*$N394,2)+ROUND($K394*$N394,2))</f>
        <v/>
      </c>
      <c r="P394" s="31">
        <f>IF($G394="","",IFERROR(INDEX(Catalogo_Tasas,MATCH($G394,Catalogo_Codigos,0)),""))</f>
        <v/>
      </c>
      <c r="Q394" s="32">
        <f>IF($G394="","",IFERROR(INDEX(Catalogo_Umbrales,MATCH($G394,Catalogo_Codigos,0)),""))</f>
        <v/>
      </c>
      <c r="R394">
        <f>IF(OR($C394="",$P394="",$O394=""),"",IF($F394&lt;&gt;"FACTURA","NO",IF(AND($P394&gt;0,$O394&gt;$Q394),"SI","NO")))</f>
        <v/>
      </c>
      <c r="S394" s="20">
        <f>IF($R394="SI",ROUND($O394*$P394,2),IF($C394="","",0))</f>
        <v/>
      </c>
      <c r="T394" s="20" t="n"/>
      <c r="U394">
        <f>IF($C394="","",IF($R394&lt;&gt;"SI","",IF($T394="","SIN DATO",IF(ABS($T394-$S394)&lt;=0.5,"OK","REVISAR"))))</f>
        <v/>
      </c>
      <c r="V394" s="20" t="n"/>
      <c r="W394" s="20">
        <f>IF(OR($C394="",$N394=""),"",IF($F394="RHE",ROUND($L394-$V394,2),ROUND($L394-($S394/$N394),2)))</f>
        <v/>
      </c>
      <c r="X394" s="25" t="n"/>
      <c r="Y394" s="25" t="n"/>
    </row>
    <row r="395">
      <c r="A395" t="n">
        <v>392</v>
      </c>
      <c r="B395" s="25" t="n"/>
      <c r="D395" s="30" t="n"/>
      <c r="G395" s="30" t="n"/>
      <c r="H395">
        <f>IF($G395="","",IFERROR(INDEX(Catalogo_Etiquetas,MATCH($G395,Catalogo_Codigos,0)),"CODIGO NO VALIDO"))</f>
        <v/>
      </c>
      <c r="J395" s="20" t="n"/>
      <c r="K395" s="20" t="n"/>
      <c r="L395" s="20">
        <f>IF($C395="","",$J395+$K395)</f>
        <v/>
      </c>
      <c r="M395" s="30" t="n"/>
      <c r="N395" s="26">
        <f>IF($C395="","",IF($I395="PEN",1,IFERROR(IF(_xlfn.XLOOKUP($B395,TC_Fechas,TC_Venta_Rango,"",-1)="","",_xlfn.XLOOKUP($B395,TC_Fechas,TC_Venta_Rango,"",-1)),"")))</f>
        <v/>
      </c>
      <c r="O395" s="20">
        <f>IF(OR($C395="",$N395=""),"",ROUND($J395*$N395,2)+ROUND($K395*$N395,2))</f>
        <v/>
      </c>
      <c r="P395" s="31">
        <f>IF($G395="","",IFERROR(INDEX(Catalogo_Tasas,MATCH($G395,Catalogo_Codigos,0)),""))</f>
        <v/>
      </c>
      <c r="Q395" s="32">
        <f>IF($G395="","",IFERROR(INDEX(Catalogo_Umbrales,MATCH($G395,Catalogo_Codigos,0)),""))</f>
        <v/>
      </c>
      <c r="R395">
        <f>IF(OR($C395="",$P395="",$O395=""),"",IF($F395&lt;&gt;"FACTURA","NO",IF(AND($P395&gt;0,$O395&gt;$Q395),"SI","NO")))</f>
        <v/>
      </c>
      <c r="S395" s="20">
        <f>IF($R395="SI",ROUND($O395*$P395,2),IF($C395="","",0))</f>
        <v/>
      </c>
      <c r="T395" s="20" t="n"/>
      <c r="U395">
        <f>IF($C395="","",IF($R395&lt;&gt;"SI","",IF($T395="","SIN DATO",IF(ABS($T395-$S395)&lt;=0.5,"OK","REVISAR"))))</f>
        <v/>
      </c>
      <c r="V395" s="20" t="n"/>
      <c r="W395" s="20">
        <f>IF(OR($C395="",$N395=""),"",IF($F395="RHE",ROUND($L395-$V395,2),ROUND($L395-($S395/$N395),2)))</f>
        <v/>
      </c>
      <c r="X395" s="25" t="n"/>
      <c r="Y395" s="25" t="n"/>
    </row>
    <row r="396">
      <c r="A396" t="n">
        <v>393</v>
      </c>
      <c r="B396" s="25" t="n"/>
      <c r="D396" s="30" t="n"/>
      <c r="G396" s="30" t="n"/>
      <c r="H396">
        <f>IF($G396="","",IFERROR(INDEX(Catalogo_Etiquetas,MATCH($G396,Catalogo_Codigos,0)),"CODIGO NO VALIDO"))</f>
        <v/>
      </c>
      <c r="J396" s="20" t="n"/>
      <c r="K396" s="20" t="n"/>
      <c r="L396" s="20">
        <f>IF($C396="","",$J396+$K396)</f>
        <v/>
      </c>
      <c r="M396" s="30" t="n"/>
      <c r="N396" s="26">
        <f>IF($C396="","",IF($I396="PEN",1,IFERROR(IF(_xlfn.XLOOKUP($B396,TC_Fechas,TC_Venta_Rango,"",-1)="","",_xlfn.XLOOKUP($B396,TC_Fechas,TC_Venta_Rango,"",-1)),"")))</f>
        <v/>
      </c>
      <c r="O396" s="20">
        <f>IF(OR($C396="",$N396=""),"",ROUND($J396*$N396,2)+ROUND($K396*$N396,2))</f>
        <v/>
      </c>
      <c r="P396" s="31">
        <f>IF($G396="","",IFERROR(INDEX(Catalogo_Tasas,MATCH($G396,Catalogo_Codigos,0)),""))</f>
        <v/>
      </c>
      <c r="Q396" s="32">
        <f>IF($G396="","",IFERROR(INDEX(Catalogo_Umbrales,MATCH($G396,Catalogo_Codigos,0)),""))</f>
        <v/>
      </c>
      <c r="R396">
        <f>IF(OR($C396="",$P396="",$O396=""),"",IF($F396&lt;&gt;"FACTURA","NO",IF(AND($P396&gt;0,$O396&gt;$Q396),"SI","NO")))</f>
        <v/>
      </c>
      <c r="S396" s="20">
        <f>IF($R396="SI",ROUND($O396*$P396,2),IF($C396="","",0))</f>
        <v/>
      </c>
      <c r="T396" s="20" t="n"/>
      <c r="U396">
        <f>IF($C396="","",IF($R396&lt;&gt;"SI","",IF($T396="","SIN DATO",IF(ABS($T396-$S396)&lt;=0.5,"OK","REVISAR"))))</f>
        <v/>
      </c>
      <c r="V396" s="20" t="n"/>
      <c r="W396" s="20">
        <f>IF(OR($C396="",$N396=""),"",IF($F396="RHE",ROUND($L396-$V396,2),ROUND($L396-($S396/$N396),2)))</f>
        <v/>
      </c>
      <c r="X396" s="25" t="n"/>
      <c r="Y396" s="25" t="n"/>
    </row>
    <row r="397">
      <c r="A397" t="n">
        <v>394</v>
      </c>
      <c r="B397" s="25" t="n"/>
      <c r="D397" s="30" t="n"/>
      <c r="G397" s="30" t="n"/>
      <c r="H397">
        <f>IF($G397="","",IFERROR(INDEX(Catalogo_Etiquetas,MATCH($G397,Catalogo_Codigos,0)),"CODIGO NO VALIDO"))</f>
        <v/>
      </c>
      <c r="J397" s="20" t="n"/>
      <c r="K397" s="20" t="n"/>
      <c r="L397" s="20">
        <f>IF($C397="","",$J397+$K397)</f>
        <v/>
      </c>
      <c r="M397" s="30" t="n"/>
      <c r="N397" s="26">
        <f>IF($C397="","",IF($I397="PEN",1,IFERROR(IF(_xlfn.XLOOKUP($B397,TC_Fechas,TC_Venta_Rango,"",-1)="","",_xlfn.XLOOKUP($B397,TC_Fechas,TC_Venta_Rango,"",-1)),"")))</f>
        <v/>
      </c>
      <c r="O397" s="20">
        <f>IF(OR($C397="",$N397=""),"",ROUND($J397*$N397,2)+ROUND($K397*$N397,2))</f>
        <v/>
      </c>
      <c r="P397" s="31">
        <f>IF($G397="","",IFERROR(INDEX(Catalogo_Tasas,MATCH($G397,Catalogo_Codigos,0)),""))</f>
        <v/>
      </c>
      <c r="Q397" s="32">
        <f>IF($G397="","",IFERROR(INDEX(Catalogo_Umbrales,MATCH($G397,Catalogo_Codigos,0)),""))</f>
        <v/>
      </c>
      <c r="R397">
        <f>IF(OR($C397="",$P397="",$O397=""),"",IF($F397&lt;&gt;"FACTURA","NO",IF(AND($P397&gt;0,$O397&gt;$Q397),"SI","NO")))</f>
        <v/>
      </c>
      <c r="S397" s="20">
        <f>IF($R397="SI",ROUND($O397*$P397,2),IF($C397="","",0))</f>
        <v/>
      </c>
      <c r="T397" s="20" t="n"/>
      <c r="U397">
        <f>IF($C397="","",IF($R397&lt;&gt;"SI","",IF($T397="","SIN DATO",IF(ABS($T397-$S397)&lt;=0.5,"OK","REVISAR"))))</f>
        <v/>
      </c>
      <c r="V397" s="20" t="n"/>
      <c r="W397" s="20">
        <f>IF(OR($C397="",$N397=""),"",IF($F397="RHE",ROUND($L397-$V397,2),ROUND($L397-($S397/$N397),2)))</f>
        <v/>
      </c>
      <c r="X397" s="25" t="n"/>
      <c r="Y397" s="25" t="n"/>
    </row>
    <row r="398">
      <c r="A398" t="n">
        <v>395</v>
      </c>
      <c r="B398" s="25" t="n"/>
      <c r="D398" s="30" t="n"/>
      <c r="G398" s="30" t="n"/>
      <c r="H398">
        <f>IF($G398="","",IFERROR(INDEX(Catalogo_Etiquetas,MATCH($G398,Catalogo_Codigos,0)),"CODIGO NO VALIDO"))</f>
        <v/>
      </c>
      <c r="J398" s="20" t="n"/>
      <c r="K398" s="20" t="n"/>
      <c r="L398" s="20">
        <f>IF($C398="","",$J398+$K398)</f>
        <v/>
      </c>
      <c r="M398" s="30" t="n"/>
      <c r="N398" s="26">
        <f>IF($C398="","",IF($I398="PEN",1,IFERROR(IF(_xlfn.XLOOKUP($B398,TC_Fechas,TC_Venta_Rango,"",-1)="","",_xlfn.XLOOKUP($B398,TC_Fechas,TC_Venta_Rango,"",-1)),"")))</f>
        <v/>
      </c>
      <c r="O398" s="20">
        <f>IF(OR($C398="",$N398=""),"",ROUND($J398*$N398,2)+ROUND($K398*$N398,2))</f>
        <v/>
      </c>
      <c r="P398" s="31">
        <f>IF($G398="","",IFERROR(INDEX(Catalogo_Tasas,MATCH($G398,Catalogo_Codigos,0)),""))</f>
        <v/>
      </c>
      <c r="Q398" s="32">
        <f>IF($G398="","",IFERROR(INDEX(Catalogo_Umbrales,MATCH($G398,Catalogo_Codigos,0)),""))</f>
        <v/>
      </c>
      <c r="R398">
        <f>IF(OR($C398="",$P398="",$O398=""),"",IF($F398&lt;&gt;"FACTURA","NO",IF(AND($P398&gt;0,$O398&gt;$Q398),"SI","NO")))</f>
        <v/>
      </c>
      <c r="S398" s="20">
        <f>IF($R398="SI",ROUND($O398*$P398,2),IF($C398="","",0))</f>
        <v/>
      </c>
      <c r="T398" s="20" t="n"/>
      <c r="U398">
        <f>IF($C398="","",IF($R398&lt;&gt;"SI","",IF($T398="","SIN DATO",IF(ABS($T398-$S398)&lt;=0.5,"OK","REVISAR"))))</f>
        <v/>
      </c>
      <c r="V398" s="20" t="n"/>
      <c r="W398" s="20">
        <f>IF(OR($C398="",$N398=""),"",IF($F398="RHE",ROUND($L398-$V398,2),ROUND($L398-($S398/$N398),2)))</f>
        <v/>
      </c>
      <c r="X398" s="25" t="n"/>
      <c r="Y398" s="25" t="n"/>
    </row>
    <row r="399">
      <c r="A399" t="n">
        <v>396</v>
      </c>
      <c r="B399" s="25" t="n"/>
      <c r="D399" s="30" t="n"/>
      <c r="G399" s="30" t="n"/>
      <c r="H399">
        <f>IF($G399="","",IFERROR(INDEX(Catalogo_Etiquetas,MATCH($G399,Catalogo_Codigos,0)),"CODIGO NO VALIDO"))</f>
        <v/>
      </c>
      <c r="J399" s="20" t="n"/>
      <c r="K399" s="20" t="n"/>
      <c r="L399" s="20">
        <f>IF($C399="","",$J399+$K399)</f>
        <v/>
      </c>
      <c r="M399" s="30" t="n"/>
      <c r="N399" s="26">
        <f>IF($C399="","",IF($I399="PEN",1,IFERROR(IF(_xlfn.XLOOKUP($B399,TC_Fechas,TC_Venta_Rango,"",-1)="","",_xlfn.XLOOKUP($B399,TC_Fechas,TC_Venta_Rango,"",-1)),"")))</f>
        <v/>
      </c>
      <c r="O399" s="20">
        <f>IF(OR($C399="",$N399=""),"",ROUND($J399*$N399,2)+ROUND($K399*$N399,2))</f>
        <v/>
      </c>
      <c r="P399" s="31">
        <f>IF($G399="","",IFERROR(INDEX(Catalogo_Tasas,MATCH($G399,Catalogo_Codigos,0)),""))</f>
        <v/>
      </c>
      <c r="Q399" s="32">
        <f>IF($G399="","",IFERROR(INDEX(Catalogo_Umbrales,MATCH($G399,Catalogo_Codigos,0)),""))</f>
        <v/>
      </c>
      <c r="R399">
        <f>IF(OR($C399="",$P399="",$O399=""),"",IF($F399&lt;&gt;"FACTURA","NO",IF(AND($P399&gt;0,$O399&gt;$Q399),"SI","NO")))</f>
        <v/>
      </c>
      <c r="S399" s="20">
        <f>IF($R399="SI",ROUND($O399*$P399,2),IF($C399="","",0))</f>
        <v/>
      </c>
      <c r="T399" s="20" t="n"/>
      <c r="U399">
        <f>IF($C399="","",IF($R399&lt;&gt;"SI","",IF($T399="","SIN DATO",IF(ABS($T399-$S399)&lt;=0.5,"OK","REVISAR"))))</f>
        <v/>
      </c>
      <c r="V399" s="20" t="n"/>
      <c r="W399" s="20">
        <f>IF(OR($C399="",$N399=""),"",IF($F399="RHE",ROUND($L399-$V399,2),ROUND($L399-($S399/$N399),2)))</f>
        <v/>
      </c>
      <c r="X399" s="25" t="n"/>
      <c r="Y399" s="25" t="n"/>
    </row>
    <row r="400">
      <c r="A400" t="n">
        <v>397</v>
      </c>
      <c r="B400" s="25" t="n"/>
      <c r="D400" s="30" t="n"/>
      <c r="G400" s="30" t="n"/>
      <c r="H400">
        <f>IF($G400="","",IFERROR(INDEX(Catalogo_Etiquetas,MATCH($G400,Catalogo_Codigos,0)),"CODIGO NO VALIDO"))</f>
        <v/>
      </c>
      <c r="J400" s="20" t="n"/>
      <c r="K400" s="20" t="n"/>
      <c r="L400" s="20">
        <f>IF($C400="","",$J400+$K400)</f>
        <v/>
      </c>
      <c r="M400" s="30" t="n"/>
      <c r="N400" s="26">
        <f>IF($C400="","",IF($I400="PEN",1,IFERROR(IF(_xlfn.XLOOKUP($B400,TC_Fechas,TC_Venta_Rango,"",-1)="","",_xlfn.XLOOKUP($B400,TC_Fechas,TC_Venta_Rango,"",-1)),"")))</f>
        <v/>
      </c>
      <c r="O400" s="20">
        <f>IF(OR($C400="",$N400=""),"",ROUND($J400*$N400,2)+ROUND($K400*$N400,2))</f>
        <v/>
      </c>
      <c r="P400" s="31">
        <f>IF($G400="","",IFERROR(INDEX(Catalogo_Tasas,MATCH($G400,Catalogo_Codigos,0)),""))</f>
        <v/>
      </c>
      <c r="Q400" s="32">
        <f>IF($G400="","",IFERROR(INDEX(Catalogo_Umbrales,MATCH($G400,Catalogo_Codigos,0)),""))</f>
        <v/>
      </c>
      <c r="R400">
        <f>IF(OR($C400="",$P400="",$O400=""),"",IF($F400&lt;&gt;"FACTURA","NO",IF(AND($P400&gt;0,$O400&gt;$Q400),"SI","NO")))</f>
        <v/>
      </c>
      <c r="S400" s="20">
        <f>IF($R400="SI",ROUND($O400*$P400,2),IF($C400="","",0))</f>
        <v/>
      </c>
      <c r="T400" s="20" t="n"/>
      <c r="U400">
        <f>IF($C400="","",IF($R400&lt;&gt;"SI","",IF($T400="","SIN DATO",IF(ABS($T400-$S400)&lt;=0.5,"OK","REVISAR"))))</f>
        <v/>
      </c>
      <c r="V400" s="20" t="n"/>
      <c r="W400" s="20">
        <f>IF(OR($C400="",$N400=""),"",IF($F400="RHE",ROUND($L400-$V400,2),ROUND($L400-($S400/$N400),2)))</f>
        <v/>
      </c>
      <c r="X400" s="25" t="n"/>
      <c r="Y400" s="25" t="n"/>
    </row>
    <row r="401">
      <c r="A401" t="n">
        <v>398</v>
      </c>
      <c r="B401" s="25" t="n"/>
      <c r="D401" s="30" t="n"/>
      <c r="G401" s="30" t="n"/>
      <c r="H401">
        <f>IF($G401="","",IFERROR(INDEX(Catalogo_Etiquetas,MATCH($G401,Catalogo_Codigos,0)),"CODIGO NO VALIDO"))</f>
        <v/>
      </c>
      <c r="J401" s="20" t="n"/>
      <c r="K401" s="20" t="n"/>
      <c r="L401" s="20">
        <f>IF($C401="","",$J401+$K401)</f>
        <v/>
      </c>
      <c r="M401" s="30" t="n"/>
      <c r="N401" s="26">
        <f>IF($C401="","",IF($I401="PEN",1,IFERROR(IF(_xlfn.XLOOKUP($B401,TC_Fechas,TC_Venta_Rango,"",-1)="","",_xlfn.XLOOKUP($B401,TC_Fechas,TC_Venta_Rango,"",-1)),"")))</f>
        <v/>
      </c>
      <c r="O401" s="20">
        <f>IF(OR($C401="",$N401=""),"",ROUND($J401*$N401,2)+ROUND($K401*$N401,2))</f>
        <v/>
      </c>
      <c r="P401" s="31">
        <f>IF($G401="","",IFERROR(INDEX(Catalogo_Tasas,MATCH($G401,Catalogo_Codigos,0)),""))</f>
        <v/>
      </c>
      <c r="Q401" s="32">
        <f>IF($G401="","",IFERROR(INDEX(Catalogo_Umbrales,MATCH($G401,Catalogo_Codigos,0)),""))</f>
        <v/>
      </c>
      <c r="R401">
        <f>IF(OR($C401="",$P401="",$O401=""),"",IF($F401&lt;&gt;"FACTURA","NO",IF(AND($P401&gt;0,$O401&gt;$Q401),"SI","NO")))</f>
        <v/>
      </c>
      <c r="S401" s="20">
        <f>IF($R401="SI",ROUND($O401*$P401,2),IF($C401="","",0))</f>
        <v/>
      </c>
      <c r="T401" s="20" t="n"/>
      <c r="U401">
        <f>IF($C401="","",IF($R401&lt;&gt;"SI","",IF($T401="","SIN DATO",IF(ABS($T401-$S401)&lt;=0.5,"OK","REVISAR"))))</f>
        <v/>
      </c>
      <c r="V401" s="20" t="n"/>
      <c r="W401" s="20">
        <f>IF(OR($C401="",$N401=""),"",IF($F401="RHE",ROUND($L401-$V401,2),ROUND($L401-($S401/$N401),2)))</f>
        <v/>
      </c>
      <c r="X401" s="25" t="n"/>
      <c r="Y401" s="25" t="n"/>
    </row>
    <row r="402">
      <c r="A402" t="n">
        <v>399</v>
      </c>
      <c r="B402" s="25" t="n"/>
      <c r="D402" s="30" t="n"/>
      <c r="G402" s="30" t="n"/>
      <c r="H402">
        <f>IF($G402="","",IFERROR(INDEX(Catalogo_Etiquetas,MATCH($G402,Catalogo_Codigos,0)),"CODIGO NO VALIDO"))</f>
        <v/>
      </c>
      <c r="J402" s="20" t="n"/>
      <c r="K402" s="20" t="n"/>
      <c r="L402" s="20">
        <f>IF($C402="","",$J402+$K402)</f>
        <v/>
      </c>
      <c r="M402" s="30" t="n"/>
      <c r="N402" s="26">
        <f>IF($C402="","",IF($I402="PEN",1,IFERROR(IF(_xlfn.XLOOKUP($B402,TC_Fechas,TC_Venta_Rango,"",-1)="","",_xlfn.XLOOKUP($B402,TC_Fechas,TC_Venta_Rango,"",-1)),"")))</f>
        <v/>
      </c>
      <c r="O402" s="20">
        <f>IF(OR($C402="",$N402=""),"",ROUND($J402*$N402,2)+ROUND($K402*$N402,2))</f>
        <v/>
      </c>
      <c r="P402" s="31">
        <f>IF($G402="","",IFERROR(INDEX(Catalogo_Tasas,MATCH($G402,Catalogo_Codigos,0)),""))</f>
        <v/>
      </c>
      <c r="Q402" s="32">
        <f>IF($G402="","",IFERROR(INDEX(Catalogo_Umbrales,MATCH($G402,Catalogo_Codigos,0)),""))</f>
        <v/>
      </c>
      <c r="R402">
        <f>IF(OR($C402="",$P402="",$O402=""),"",IF($F402&lt;&gt;"FACTURA","NO",IF(AND($P402&gt;0,$O402&gt;$Q402),"SI","NO")))</f>
        <v/>
      </c>
      <c r="S402" s="20">
        <f>IF($R402="SI",ROUND($O402*$P402,2),IF($C402="","",0))</f>
        <v/>
      </c>
      <c r="T402" s="20" t="n"/>
      <c r="U402">
        <f>IF($C402="","",IF($R402&lt;&gt;"SI","",IF($T402="","SIN DATO",IF(ABS($T402-$S402)&lt;=0.5,"OK","REVISAR"))))</f>
        <v/>
      </c>
      <c r="V402" s="20" t="n"/>
      <c r="W402" s="20">
        <f>IF(OR($C402="",$N402=""),"",IF($F402="RHE",ROUND($L402-$V402,2),ROUND($L402-($S402/$N402),2)))</f>
        <v/>
      </c>
      <c r="X402" s="25" t="n"/>
      <c r="Y402" s="25" t="n"/>
    </row>
    <row r="403">
      <c r="A403" t="n">
        <v>400</v>
      </c>
      <c r="B403" s="25" t="n"/>
      <c r="D403" s="30" t="n"/>
      <c r="G403" s="30" t="n"/>
      <c r="H403">
        <f>IF($G403="","",IFERROR(INDEX(Catalogo_Etiquetas,MATCH($G403,Catalogo_Codigos,0)),"CODIGO NO VALIDO"))</f>
        <v/>
      </c>
      <c r="J403" s="20" t="n"/>
      <c r="K403" s="20" t="n"/>
      <c r="L403" s="20">
        <f>IF($C403="","",$J403+$K403)</f>
        <v/>
      </c>
      <c r="M403" s="30" t="n"/>
      <c r="N403" s="26">
        <f>IF($C403="","",IF($I403="PEN",1,IFERROR(IF(_xlfn.XLOOKUP($B403,TC_Fechas,TC_Venta_Rango,"",-1)="","",_xlfn.XLOOKUP($B403,TC_Fechas,TC_Venta_Rango,"",-1)),"")))</f>
        <v/>
      </c>
      <c r="O403" s="20">
        <f>IF(OR($C403="",$N403=""),"",ROUND($J403*$N403,2)+ROUND($K403*$N403,2))</f>
        <v/>
      </c>
      <c r="P403" s="31">
        <f>IF($G403="","",IFERROR(INDEX(Catalogo_Tasas,MATCH($G403,Catalogo_Codigos,0)),""))</f>
        <v/>
      </c>
      <c r="Q403" s="32">
        <f>IF($G403="","",IFERROR(INDEX(Catalogo_Umbrales,MATCH($G403,Catalogo_Codigos,0)),""))</f>
        <v/>
      </c>
      <c r="R403">
        <f>IF(OR($C403="",$P403="",$O403=""),"",IF($F403&lt;&gt;"FACTURA","NO",IF(AND($P403&gt;0,$O403&gt;$Q403),"SI","NO")))</f>
        <v/>
      </c>
      <c r="S403" s="20">
        <f>IF($R403="SI",ROUND($O403*$P403,2),IF($C403="","",0))</f>
        <v/>
      </c>
      <c r="T403" s="20" t="n"/>
      <c r="U403">
        <f>IF($C403="","",IF($R403&lt;&gt;"SI","",IF($T403="","SIN DATO",IF(ABS($T403-$S403)&lt;=0.5,"OK","REVISAR"))))</f>
        <v/>
      </c>
      <c r="V403" s="20" t="n"/>
      <c r="W403" s="20">
        <f>IF(OR($C403="",$N403=""),"",IF($F403="RHE",ROUND($L403-$V403,2),ROUND($L403-($S403/$N403),2)))</f>
        <v/>
      </c>
      <c r="X403" s="25" t="n"/>
      <c r="Y403" s="25" t="n"/>
    </row>
    <row r="404">
      <c r="A404" t="n">
        <v>401</v>
      </c>
      <c r="B404" s="25" t="n"/>
      <c r="D404" s="30" t="n"/>
      <c r="G404" s="30" t="n"/>
      <c r="H404">
        <f>IF($G404="","",IFERROR(INDEX(Catalogo_Etiquetas,MATCH($G404,Catalogo_Codigos,0)),"CODIGO NO VALIDO"))</f>
        <v/>
      </c>
      <c r="J404" s="20" t="n"/>
      <c r="K404" s="20" t="n"/>
      <c r="L404" s="20">
        <f>IF($C404="","",$J404+$K404)</f>
        <v/>
      </c>
      <c r="M404" s="30" t="n"/>
      <c r="N404" s="26">
        <f>IF($C404="","",IF($I404="PEN",1,IFERROR(IF(_xlfn.XLOOKUP($B404,TC_Fechas,TC_Venta_Rango,"",-1)="","",_xlfn.XLOOKUP($B404,TC_Fechas,TC_Venta_Rango,"",-1)),"")))</f>
        <v/>
      </c>
      <c r="O404" s="20">
        <f>IF(OR($C404="",$N404=""),"",ROUND($J404*$N404,2)+ROUND($K404*$N404,2))</f>
        <v/>
      </c>
      <c r="P404" s="31">
        <f>IF($G404="","",IFERROR(INDEX(Catalogo_Tasas,MATCH($G404,Catalogo_Codigos,0)),""))</f>
        <v/>
      </c>
      <c r="Q404" s="32">
        <f>IF($G404="","",IFERROR(INDEX(Catalogo_Umbrales,MATCH($G404,Catalogo_Codigos,0)),""))</f>
        <v/>
      </c>
      <c r="R404">
        <f>IF(OR($C404="",$P404="",$O404=""),"",IF($F404&lt;&gt;"FACTURA","NO",IF(AND($P404&gt;0,$O404&gt;$Q404),"SI","NO")))</f>
        <v/>
      </c>
      <c r="S404" s="20">
        <f>IF($R404="SI",ROUND($O404*$P404,2),IF($C404="","",0))</f>
        <v/>
      </c>
      <c r="T404" s="20" t="n"/>
      <c r="U404">
        <f>IF($C404="","",IF($R404&lt;&gt;"SI","",IF($T404="","SIN DATO",IF(ABS($T404-$S404)&lt;=0.5,"OK","REVISAR"))))</f>
        <v/>
      </c>
      <c r="V404" s="20" t="n"/>
      <c r="W404" s="20">
        <f>IF(OR($C404="",$N404=""),"",IF($F404="RHE",ROUND($L404-$V404,2),ROUND($L404-($S404/$N404),2)))</f>
        <v/>
      </c>
      <c r="X404" s="25" t="n"/>
      <c r="Y404" s="25" t="n"/>
    </row>
    <row r="405">
      <c r="A405" t="n">
        <v>402</v>
      </c>
      <c r="B405" s="25" t="n"/>
      <c r="D405" s="30" t="n"/>
      <c r="G405" s="30" t="n"/>
      <c r="H405">
        <f>IF($G405="","",IFERROR(INDEX(Catalogo_Etiquetas,MATCH($G405,Catalogo_Codigos,0)),"CODIGO NO VALIDO"))</f>
        <v/>
      </c>
      <c r="J405" s="20" t="n"/>
      <c r="K405" s="20" t="n"/>
      <c r="L405" s="20">
        <f>IF($C405="","",$J405+$K405)</f>
        <v/>
      </c>
      <c r="M405" s="30" t="n"/>
      <c r="N405" s="26">
        <f>IF($C405="","",IF($I405="PEN",1,IFERROR(IF(_xlfn.XLOOKUP($B405,TC_Fechas,TC_Venta_Rango,"",-1)="","",_xlfn.XLOOKUP($B405,TC_Fechas,TC_Venta_Rango,"",-1)),"")))</f>
        <v/>
      </c>
      <c r="O405" s="20">
        <f>IF(OR($C405="",$N405=""),"",ROUND($J405*$N405,2)+ROUND($K405*$N405,2))</f>
        <v/>
      </c>
      <c r="P405" s="31">
        <f>IF($G405="","",IFERROR(INDEX(Catalogo_Tasas,MATCH($G405,Catalogo_Codigos,0)),""))</f>
        <v/>
      </c>
      <c r="Q405" s="32">
        <f>IF($G405="","",IFERROR(INDEX(Catalogo_Umbrales,MATCH($G405,Catalogo_Codigos,0)),""))</f>
        <v/>
      </c>
      <c r="R405">
        <f>IF(OR($C405="",$P405="",$O405=""),"",IF($F405&lt;&gt;"FACTURA","NO",IF(AND($P405&gt;0,$O405&gt;$Q405),"SI","NO")))</f>
        <v/>
      </c>
      <c r="S405" s="20">
        <f>IF($R405="SI",ROUND($O405*$P405,2),IF($C405="","",0))</f>
        <v/>
      </c>
      <c r="T405" s="20" t="n"/>
      <c r="U405">
        <f>IF($C405="","",IF($R405&lt;&gt;"SI","",IF($T405="","SIN DATO",IF(ABS($T405-$S405)&lt;=0.5,"OK","REVISAR"))))</f>
        <v/>
      </c>
      <c r="V405" s="20" t="n"/>
      <c r="W405" s="20">
        <f>IF(OR($C405="",$N405=""),"",IF($F405="RHE",ROUND($L405-$V405,2),ROUND($L405-($S405/$N405),2)))</f>
        <v/>
      </c>
      <c r="X405" s="25" t="n"/>
      <c r="Y405" s="25" t="n"/>
    </row>
    <row r="406">
      <c r="A406" t="n">
        <v>403</v>
      </c>
      <c r="B406" s="25" t="n"/>
      <c r="D406" s="30" t="n"/>
      <c r="G406" s="30" t="n"/>
      <c r="H406">
        <f>IF($G406="","",IFERROR(INDEX(Catalogo_Etiquetas,MATCH($G406,Catalogo_Codigos,0)),"CODIGO NO VALIDO"))</f>
        <v/>
      </c>
      <c r="J406" s="20" t="n"/>
      <c r="K406" s="20" t="n"/>
      <c r="L406" s="20">
        <f>IF($C406="","",$J406+$K406)</f>
        <v/>
      </c>
      <c r="M406" s="30" t="n"/>
      <c r="N406" s="26">
        <f>IF($C406="","",IF($I406="PEN",1,IFERROR(IF(_xlfn.XLOOKUP($B406,TC_Fechas,TC_Venta_Rango,"",-1)="","",_xlfn.XLOOKUP($B406,TC_Fechas,TC_Venta_Rango,"",-1)),"")))</f>
        <v/>
      </c>
      <c r="O406" s="20">
        <f>IF(OR($C406="",$N406=""),"",ROUND($J406*$N406,2)+ROUND($K406*$N406,2))</f>
        <v/>
      </c>
      <c r="P406" s="31">
        <f>IF($G406="","",IFERROR(INDEX(Catalogo_Tasas,MATCH($G406,Catalogo_Codigos,0)),""))</f>
        <v/>
      </c>
      <c r="Q406" s="32">
        <f>IF($G406="","",IFERROR(INDEX(Catalogo_Umbrales,MATCH($G406,Catalogo_Codigos,0)),""))</f>
        <v/>
      </c>
      <c r="R406">
        <f>IF(OR($C406="",$P406="",$O406=""),"",IF($F406&lt;&gt;"FACTURA","NO",IF(AND($P406&gt;0,$O406&gt;$Q406),"SI","NO")))</f>
        <v/>
      </c>
      <c r="S406" s="20">
        <f>IF($R406="SI",ROUND($O406*$P406,2),IF($C406="","",0))</f>
        <v/>
      </c>
      <c r="T406" s="20" t="n"/>
      <c r="U406">
        <f>IF($C406="","",IF($R406&lt;&gt;"SI","",IF($T406="","SIN DATO",IF(ABS($T406-$S406)&lt;=0.5,"OK","REVISAR"))))</f>
        <v/>
      </c>
      <c r="V406" s="20" t="n"/>
      <c r="W406" s="20">
        <f>IF(OR($C406="",$N406=""),"",IF($F406="RHE",ROUND($L406-$V406,2),ROUND($L406-($S406/$N406),2)))</f>
        <v/>
      </c>
      <c r="X406" s="25" t="n"/>
      <c r="Y406" s="25" t="n"/>
    </row>
    <row r="407">
      <c r="A407" t="n">
        <v>404</v>
      </c>
      <c r="B407" s="25" t="n"/>
      <c r="D407" s="30" t="n"/>
      <c r="G407" s="30" t="n"/>
      <c r="H407">
        <f>IF($G407="","",IFERROR(INDEX(Catalogo_Etiquetas,MATCH($G407,Catalogo_Codigos,0)),"CODIGO NO VALIDO"))</f>
        <v/>
      </c>
      <c r="J407" s="20" t="n"/>
      <c r="K407" s="20" t="n"/>
      <c r="L407" s="20">
        <f>IF($C407="","",$J407+$K407)</f>
        <v/>
      </c>
      <c r="M407" s="30" t="n"/>
      <c r="N407" s="26">
        <f>IF($C407="","",IF($I407="PEN",1,IFERROR(IF(_xlfn.XLOOKUP($B407,TC_Fechas,TC_Venta_Rango,"",-1)="","",_xlfn.XLOOKUP($B407,TC_Fechas,TC_Venta_Rango,"",-1)),"")))</f>
        <v/>
      </c>
      <c r="O407" s="20">
        <f>IF(OR($C407="",$N407=""),"",ROUND($J407*$N407,2)+ROUND($K407*$N407,2))</f>
        <v/>
      </c>
      <c r="P407" s="31">
        <f>IF($G407="","",IFERROR(INDEX(Catalogo_Tasas,MATCH($G407,Catalogo_Codigos,0)),""))</f>
        <v/>
      </c>
      <c r="Q407" s="32">
        <f>IF($G407="","",IFERROR(INDEX(Catalogo_Umbrales,MATCH($G407,Catalogo_Codigos,0)),""))</f>
        <v/>
      </c>
      <c r="R407">
        <f>IF(OR($C407="",$P407="",$O407=""),"",IF($F407&lt;&gt;"FACTURA","NO",IF(AND($P407&gt;0,$O407&gt;$Q407),"SI","NO")))</f>
        <v/>
      </c>
      <c r="S407" s="20">
        <f>IF($R407="SI",ROUND($O407*$P407,2),IF($C407="","",0))</f>
        <v/>
      </c>
      <c r="T407" s="20" t="n"/>
      <c r="U407">
        <f>IF($C407="","",IF($R407&lt;&gt;"SI","",IF($T407="","SIN DATO",IF(ABS($T407-$S407)&lt;=0.5,"OK","REVISAR"))))</f>
        <v/>
      </c>
      <c r="V407" s="20" t="n"/>
      <c r="W407" s="20">
        <f>IF(OR($C407="",$N407=""),"",IF($F407="RHE",ROUND($L407-$V407,2),ROUND($L407-($S407/$N407),2)))</f>
        <v/>
      </c>
      <c r="X407" s="25" t="n"/>
      <c r="Y407" s="25" t="n"/>
    </row>
    <row r="408">
      <c r="A408" t="n">
        <v>405</v>
      </c>
      <c r="B408" s="25" t="n"/>
      <c r="D408" s="30" t="n"/>
      <c r="G408" s="30" t="n"/>
      <c r="H408">
        <f>IF($G408="","",IFERROR(INDEX(Catalogo_Etiquetas,MATCH($G408,Catalogo_Codigos,0)),"CODIGO NO VALIDO"))</f>
        <v/>
      </c>
      <c r="J408" s="20" t="n"/>
      <c r="K408" s="20" t="n"/>
      <c r="L408" s="20">
        <f>IF($C408="","",$J408+$K408)</f>
        <v/>
      </c>
      <c r="M408" s="30" t="n"/>
      <c r="N408" s="26">
        <f>IF($C408="","",IF($I408="PEN",1,IFERROR(IF(_xlfn.XLOOKUP($B408,TC_Fechas,TC_Venta_Rango,"",-1)="","",_xlfn.XLOOKUP($B408,TC_Fechas,TC_Venta_Rango,"",-1)),"")))</f>
        <v/>
      </c>
      <c r="O408" s="20">
        <f>IF(OR($C408="",$N408=""),"",ROUND($J408*$N408,2)+ROUND($K408*$N408,2))</f>
        <v/>
      </c>
      <c r="P408" s="31">
        <f>IF($G408="","",IFERROR(INDEX(Catalogo_Tasas,MATCH($G408,Catalogo_Codigos,0)),""))</f>
        <v/>
      </c>
      <c r="Q408" s="32">
        <f>IF($G408="","",IFERROR(INDEX(Catalogo_Umbrales,MATCH($G408,Catalogo_Codigos,0)),""))</f>
        <v/>
      </c>
      <c r="R408">
        <f>IF(OR($C408="",$P408="",$O408=""),"",IF($F408&lt;&gt;"FACTURA","NO",IF(AND($P408&gt;0,$O408&gt;$Q408),"SI","NO")))</f>
        <v/>
      </c>
      <c r="S408" s="20">
        <f>IF($R408="SI",ROUND($O408*$P408,2),IF($C408="","",0))</f>
        <v/>
      </c>
      <c r="T408" s="20" t="n"/>
      <c r="U408">
        <f>IF($C408="","",IF($R408&lt;&gt;"SI","",IF($T408="","SIN DATO",IF(ABS($T408-$S408)&lt;=0.5,"OK","REVISAR"))))</f>
        <v/>
      </c>
      <c r="V408" s="20" t="n"/>
      <c r="W408" s="20">
        <f>IF(OR($C408="",$N408=""),"",IF($F408="RHE",ROUND($L408-$V408,2),ROUND($L408-($S408/$N408),2)))</f>
        <v/>
      </c>
      <c r="X408" s="25" t="n"/>
      <c r="Y408" s="25" t="n"/>
    </row>
    <row r="409">
      <c r="A409" t="n">
        <v>406</v>
      </c>
      <c r="B409" s="25" t="n"/>
      <c r="D409" s="30" t="n"/>
      <c r="G409" s="30" t="n"/>
      <c r="H409">
        <f>IF($G409="","",IFERROR(INDEX(Catalogo_Etiquetas,MATCH($G409,Catalogo_Codigos,0)),"CODIGO NO VALIDO"))</f>
        <v/>
      </c>
      <c r="J409" s="20" t="n"/>
      <c r="K409" s="20" t="n"/>
      <c r="L409" s="20">
        <f>IF($C409="","",$J409+$K409)</f>
        <v/>
      </c>
      <c r="M409" s="30" t="n"/>
      <c r="N409" s="26">
        <f>IF($C409="","",IF($I409="PEN",1,IFERROR(IF(_xlfn.XLOOKUP($B409,TC_Fechas,TC_Venta_Rango,"",-1)="","",_xlfn.XLOOKUP($B409,TC_Fechas,TC_Venta_Rango,"",-1)),"")))</f>
        <v/>
      </c>
      <c r="O409" s="20">
        <f>IF(OR($C409="",$N409=""),"",ROUND($J409*$N409,2)+ROUND($K409*$N409,2))</f>
        <v/>
      </c>
      <c r="P409" s="31">
        <f>IF($G409="","",IFERROR(INDEX(Catalogo_Tasas,MATCH($G409,Catalogo_Codigos,0)),""))</f>
        <v/>
      </c>
      <c r="Q409" s="32">
        <f>IF($G409="","",IFERROR(INDEX(Catalogo_Umbrales,MATCH($G409,Catalogo_Codigos,0)),""))</f>
        <v/>
      </c>
      <c r="R409">
        <f>IF(OR($C409="",$P409="",$O409=""),"",IF($F409&lt;&gt;"FACTURA","NO",IF(AND($P409&gt;0,$O409&gt;$Q409),"SI","NO")))</f>
        <v/>
      </c>
      <c r="S409" s="20">
        <f>IF($R409="SI",ROUND($O409*$P409,2),IF($C409="","",0))</f>
        <v/>
      </c>
      <c r="T409" s="20" t="n"/>
      <c r="U409">
        <f>IF($C409="","",IF($R409&lt;&gt;"SI","",IF($T409="","SIN DATO",IF(ABS($T409-$S409)&lt;=0.5,"OK","REVISAR"))))</f>
        <v/>
      </c>
      <c r="V409" s="20" t="n"/>
      <c r="W409" s="20">
        <f>IF(OR($C409="",$N409=""),"",IF($F409="RHE",ROUND($L409-$V409,2),ROUND($L409-($S409/$N409),2)))</f>
        <v/>
      </c>
      <c r="X409" s="25" t="n"/>
      <c r="Y409" s="25" t="n"/>
    </row>
    <row r="410">
      <c r="A410" t="n">
        <v>407</v>
      </c>
      <c r="B410" s="25" t="n"/>
      <c r="D410" s="30" t="n"/>
      <c r="G410" s="30" t="n"/>
      <c r="H410">
        <f>IF($G410="","",IFERROR(INDEX(Catalogo_Etiquetas,MATCH($G410,Catalogo_Codigos,0)),"CODIGO NO VALIDO"))</f>
        <v/>
      </c>
      <c r="J410" s="20" t="n"/>
      <c r="K410" s="20" t="n"/>
      <c r="L410" s="20">
        <f>IF($C410="","",$J410+$K410)</f>
        <v/>
      </c>
      <c r="M410" s="30" t="n"/>
      <c r="N410" s="26">
        <f>IF($C410="","",IF($I410="PEN",1,IFERROR(IF(_xlfn.XLOOKUP($B410,TC_Fechas,TC_Venta_Rango,"",-1)="","",_xlfn.XLOOKUP($B410,TC_Fechas,TC_Venta_Rango,"",-1)),"")))</f>
        <v/>
      </c>
      <c r="O410" s="20">
        <f>IF(OR($C410="",$N410=""),"",ROUND($J410*$N410,2)+ROUND($K410*$N410,2))</f>
        <v/>
      </c>
      <c r="P410" s="31">
        <f>IF($G410="","",IFERROR(INDEX(Catalogo_Tasas,MATCH($G410,Catalogo_Codigos,0)),""))</f>
        <v/>
      </c>
      <c r="Q410" s="32">
        <f>IF($G410="","",IFERROR(INDEX(Catalogo_Umbrales,MATCH($G410,Catalogo_Codigos,0)),""))</f>
        <v/>
      </c>
      <c r="R410">
        <f>IF(OR($C410="",$P410="",$O410=""),"",IF($F410&lt;&gt;"FACTURA","NO",IF(AND($P410&gt;0,$O410&gt;$Q410),"SI","NO")))</f>
        <v/>
      </c>
      <c r="S410" s="20">
        <f>IF($R410="SI",ROUND($O410*$P410,2),IF($C410="","",0))</f>
        <v/>
      </c>
      <c r="T410" s="20" t="n"/>
      <c r="U410">
        <f>IF($C410="","",IF($R410&lt;&gt;"SI","",IF($T410="","SIN DATO",IF(ABS($T410-$S410)&lt;=0.5,"OK","REVISAR"))))</f>
        <v/>
      </c>
      <c r="V410" s="20" t="n"/>
      <c r="W410" s="20">
        <f>IF(OR($C410="",$N410=""),"",IF($F410="RHE",ROUND($L410-$V410,2),ROUND($L410-($S410/$N410),2)))</f>
        <v/>
      </c>
      <c r="X410" s="25" t="n"/>
      <c r="Y410" s="25" t="n"/>
    </row>
    <row r="411">
      <c r="A411" t="n">
        <v>408</v>
      </c>
      <c r="B411" s="25" t="n"/>
      <c r="D411" s="30" t="n"/>
      <c r="G411" s="30" t="n"/>
      <c r="H411">
        <f>IF($G411="","",IFERROR(INDEX(Catalogo_Etiquetas,MATCH($G411,Catalogo_Codigos,0)),"CODIGO NO VALIDO"))</f>
        <v/>
      </c>
      <c r="J411" s="20" t="n"/>
      <c r="K411" s="20" t="n"/>
      <c r="L411" s="20">
        <f>IF($C411="","",$J411+$K411)</f>
        <v/>
      </c>
      <c r="M411" s="30" t="n"/>
      <c r="N411" s="26">
        <f>IF($C411="","",IF($I411="PEN",1,IFERROR(IF(_xlfn.XLOOKUP($B411,TC_Fechas,TC_Venta_Rango,"",-1)="","",_xlfn.XLOOKUP($B411,TC_Fechas,TC_Venta_Rango,"",-1)),"")))</f>
        <v/>
      </c>
      <c r="O411" s="20">
        <f>IF(OR($C411="",$N411=""),"",ROUND($J411*$N411,2)+ROUND($K411*$N411,2))</f>
        <v/>
      </c>
      <c r="P411" s="31">
        <f>IF($G411="","",IFERROR(INDEX(Catalogo_Tasas,MATCH($G411,Catalogo_Codigos,0)),""))</f>
        <v/>
      </c>
      <c r="Q411" s="32">
        <f>IF($G411="","",IFERROR(INDEX(Catalogo_Umbrales,MATCH($G411,Catalogo_Codigos,0)),""))</f>
        <v/>
      </c>
      <c r="R411">
        <f>IF(OR($C411="",$P411="",$O411=""),"",IF($F411&lt;&gt;"FACTURA","NO",IF(AND($P411&gt;0,$O411&gt;$Q411),"SI","NO")))</f>
        <v/>
      </c>
      <c r="S411" s="20">
        <f>IF($R411="SI",ROUND($O411*$P411,2),IF($C411="","",0))</f>
        <v/>
      </c>
      <c r="T411" s="20" t="n"/>
      <c r="U411">
        <f>IF($C411="","",IF($R411&lt;&gt;"SI","",IF($T411="","SIN DATO",IF(ABS($T411-$S411)&lt;=0.5,"OK","REVISAR"))))</f>
        <v/>
      </c>
      <c r="V411" s="20" t="n"/>
      <c r="W411" s="20">
        <f>IF(OR($C411="",$N411=""),"",IF($F411="RHE",ROUND($L411-$V411,2),ROUND($L411-($S411/$N411),2)))</f>
        <v/>
      </c>
      <c r="X411" s="25" t="n"/>
      <c r="Y411" s="25" t="n"/>
    </row>
    <row r="412">
      <c r="A412" t="n">
        <v>409</v>
      </c>
      <c r="B412" s="25" t="n"/>
      <c r="D412" s="30" t="n"/>
      <c r="G412" s="30" t="n"/>
      <c r="H412">
        <f>IF($G412="","",IFERROR(INDEX(Catalogo_Etiquetas,MATCH($G412,Catalogo_Codigos,0)),"CODIGO NO VALIDO"))</f>
        <v/>
      </c>
      <c r="J412" s="20" t="n"/>
      <c r="K412" s="20" t="n"/>
      <c r="L412" s="20">
        <f>IF($C412="","",$J412+$K412)</f>
        <v/>
      </c>
      <c r="M412" s="30" t="n"/>
      <c r="N412" s="26">
        <f>IF($C412="","",IF($I412="PEN",1,IFERROR(IF(_xlfn.XLOOKUP($B412,TC_Fechas,TC_Venta_Rango,"",-1)="","",_xlfn.XLOOKUP($B412,TC_Fechas,TC_Venta_Rango,"",-1)),"")))</f>
        <v/>
      </c>
      <c r="O412" s="20">
        <f>IF(OR($C412="",$N412=""),"",ROUND($J412*$N412,2)+ROUND($K412*$N412,2))</f>
        <v/>
      </c>
      <c r="P412" s="31">
        <f>IF($G412="","",IFERROR(INDEX(Catalogo_Tasas,MATCH($G412,Catalogo_Codigos,0)),""))</f>
        <v/>
      </c>
      <c r="Q412" s="32">
        <f>IF($G412="","",IFERROR(INDEX(Catalogo_Umbrales,MATCH($G412,Catalogo_Codigos,0)),""))</f>
        <v/>
      </c>
      <c r="R412">
        <f>IF(OR($C412="",$P412="",$O412=""),"",IF($F412&lt;&gt;"FACTURA","NO",IF(AND($P412&gt;0,$O412&gt;$Q412),"SI","NO")))</f>
        <v/>
      </c>
      <c r="S412" s="20">
        <f>IF($R412="SI",ROUND($O412*$P412,2),IF($C412="","",0))</f>
        <v/>
      </c>
      <c r="T412" s="20" t="n"/>
      <c r="U412">
        <f>IF($C412="","",IF($R412&lt;&gt;"SI","",IF($T412="","SIN DATO",IF(ABS($T412-$S412)&lt;=0.5,"OK","REVISAR"))))</f>
        <v/>
      </c>
      <c r="V412" s="20" t="n"/>
      <c r="W412" s="20">
        <f>IF(OR($C412="",$N412=""),"",IF($F412="RHE",ROUND($L412-$V412,2),ROUND($L412-($S412/$N412),2)))</f>
        <v/>
      </c>
      <c r="X412" s="25" t="n"/>
      <c r="Y412" s="25" t="n"/>
    </row>
    <row r="413">
      <c r="A413" t="n">
        <v>410</v>
      </c>
      <c r="B413" s="25" t="n"/>
      <c r="D413" s="30" t="n"/>
      <c r="G413" s="30" t="n"/>
      <c r="H413">
        <f>IF($G413="","",IFERROR(INDEX(Catalogo_Etiquetas,MATCH($G413,Catalogo_Codigos,0)),"CODIGO NO VALIDO"))</f>
        <v/>
      </c>
      <c r="J413" s="20" t="n"/>
      <c r="K413" s="20" t="n"/>
      <c r="L413" s="20">
        <f>IF($C413="","",$J413+$K413)</f>
        <v/>
      </c>
      <c r="M413" s="30" t="n"/>
      <c r="N413" s="26">
        <f>IF($C413="","",IF($I413="PEN",1,IFERROR(IF(_xlfn.XLOOKUP($B413,TC_Fechas,TC_Venta_Rango,"",-1)="","",_xlfn.XLOOKUP($B413,TC_Fechas,TC_Venta_Rango,"",-1)),"")))</f>
        <v/>
      </c>
      <c r="O413" s="20">
        <f>IF(OR($C413="",$N413=""),"",ROUND($J413*$N413,2)+ROUND($K413*$N413,2))</f>
        <v/>
      </c>
      <c r="P413" s="31">
        <f>IF($G413="","",IFERROR(INDEX(Catalogo_Tasas,MATCH($G413,Catalogo_Codigos,0)),""))</f>
        <v/>
      </c>
      <c r="Q413" s="32">
        <f>IF($G413="","",IFERROR(INDEX(Catalogo_Umbrales,MATCH($G413,Catalogo_Codigos,0)),""))</f>
        <v/>
      </c>
      <c r="R413">
        <f>IF(OR($C413="",$P413="",$O413=""),"",IF($F413&lt;&gt;"FACTURA","NO",IF(AND($P413&gt;0,$O413&gt;$Q413),"SI","NO")))</f>
        <v/>
      </c>
      <c r="S413" s="20">
        <f>IF($R413="SI",ROUND($O413*$P413,2),IF($C413="","",0))</f>
        <v/>
      </c>
      <c r="T413" s="20" t="n"/>
      <c r="U413">
        <f>IF($C413="","",IF($R413&lt;&gt;"SI","",IF($T413="","SIN DATO",IF(ABS($T413-$S413)&lt;=0.5,"OK","REVISAR"))))</f>
        <v/>
      </c>
      <c r="V413" s="20" t="n"/>
      <c r="W413" s="20">
        <f>IF(OR($C413="",$N413=""),"",IF($F413="RHE",ROUND($L413-$V413,2),ROUND($L413-($S413/$N413),2)))</f>
        <v/>
      </c>
      <c r="X413" s="25" t="n"/>
      <c r="Y413" s="25" t="n"/>
    </row>
    <row r="414">
      <c r="A414" t="n">
        <v>411</v>
      </c>
      <c r="B414" s="25" t="n"/>
      <c r="D414" s="30" t="n"/>
      <c r="G414" s="30" t="n"/>
      <c r="H414">
        <f>IF($G414="","",IFERROR(INDEX(Catalogo_Etiquetas,MATCH($G414,Catalogo_Codigos,0)),"CODIGO NO VALIDO"))</f>
        <v/>
      </c>
      <c r="J414" s="20" t="n"/>
      <c r="K414" s="20" t="n"/>
      <c r="L414" s="20">
        <f>IF($C414="","",$J414+$K414)</f>
        <v/>
      </c>
      <c r="M414" s="30" t="n"/>
      <c r="N414" s="26">
        <f>IF($C414="","",IF($I414="PEN",1,IFERROR(IF(_xlfn.XLOOKUP($B414,TC_Fechas,TC_Venta_Rango,"",-1)="","",_xlfn.XLOOKUP($B414,TC_Fechas,TC_Venta_Rango,"",-1)),"")))</f>
        <v/>
      </c>
      <c r="O414" s="20">
        <f>IF(OR($C414="",$N414=""),"",ROUND($J414*$N414,2)+ROUND($K414*$N414,2))</f>
        <v/>
      </c>
      <c r="P414" s="31">
        <f>IF($G414="","",IFERROR(INDEX(Catalogo_Tasas,MATCH($G414,Catalogo_Codigos,0)),""))</f>
        <v/>
      </c>
      <c r="Q414" s="32">
        <f>IF($G414="","",IFERROR(INDEX(Catalogo_Umbrales,MATCH($G414,Catalogo_Codigos,0)),""))</f>
        <v/>
      </c>
      <c r="R414">
        <f>IF(OR($C414="",$P414="",$O414=""),"",IF($F414&lt;&gt;"FACTURA","NO",IF(AND($P414&gt;0,$O414&gt;$Q414),"SI","NO")))</f>
        <v/>
      </c>
      <c r="S414" s="20">
        <f>IF($R414="SI",ROUND($O414*$P414,2),IF($C414="","",0))</f>
        <v/>
      </c>
      <c r="T414" s="20" t="n"/>
      <c r="U414">
        <f>IF($C414="","",IF($R414&lt;&gt;"SI","",IF($T414="","SIN DATO",IF(ABS($T414-$S414)&lt;=0.5,"OK","REVISAR"))))</f>
        <v/>
      </c>
      <c r="V414" s="20" t="n"/>
      <c r="W414" s="20">
        <f>IF(OR($C414="",$N414=""),"",IF($F414="RHE",ROUND($L414-$V414,2),ROUND($L414-($S414/$N414),2)))</f>
        <v/>
      </c>
      <c r="X414" s="25" t="n"/>
      <c r="Y414" s="25" t="n"/>
    </row>
    <row r="415">
      <c r="A415" t="n">
        <v>412</v>
      </c>
      <c r="B415" s="25" t="n"/>
      <c r="D415" s="30" t="n"/>
      <c r="G415" s="30" t="n"/>
      <c r="H415">
        <f>IF($G415="","",IFERROR(INDEX(Catalogo_Etiquetas,MATCH($G415,Catalogo_Codigos,0)),"CODIGO NO VALIDO"))</f>
        <v/>
      </c>
      <c r="J415" s="20" t="n"/>
      <c r="K415" s="20" t="n"/>
      <c r="L415" s="20">
        <f>IF($C415="","",$J415+$K415)</f>
        <v/>
      </c>
      <c r="M415" s="30" t="n"/>
      <c r="N415" s="26">
        <f>IF($C415="","",IF($I415="PEN",1,IFERROR(IF(_xlfn.XLOOKUP($B415,TC_Fechas,TC_Venta_Rango,"",-1)="","",_xlfn.XLOOKUP($B415,TC_Fechas,TC_Venta_Rango,"",-1)),"")))</f>
        <v/>
      </c>
      <c r="O415" s="20">
        <f>IF(OR($C415="",$N415=""),"",ROUND($J415*$N415,2)+ROUND($K415*$N415,2))</f>
        <v/>
      </c>
      <c r="P415" s="31">
        <f>IF($G415="","",IFERROR(INDEX(Catalogo_Tasas,MATCH($G415,Catalogo_Codigos,0)),""))</f>
        <v/>
      </c>
      <c r="Q415" s="32">
        <f>IF($G415="","",IFERROR(INDEX(Catalogo_Umbrales,MATCH($G415,Catalogo_Codigos,0)),""))</f>
        <v/>
      </c>
      <c r="R415">
        <f>IF(OR($C415="",$P415="",$O415=""),"",IF($F415&lt;&gt;"FACTURA","NO",IF(AND($P415&gt;0,$O415&gt;$Q415),"SI","NO")))</f>
        <v/>
      </c>
      <c r="S415" s="20">
        <f>IF($R415="SI",ROUND($O415*$P415,2),IF($C415="","",0))</f>
        <v/>
      </c>
      <c r="T415" s="20" t="n"/>
      <c r="U415">
        <f>IF($C415="","",IF($R415&lt;&gt;"SI","",IF($T415="","SIN DATO",IF(ABS($T415-$S415)&lt;=0.5,"OK","REVISAR"))))</f>
        <v/>
      </c>
      <c r="V415" s="20" t="n"/>
      <c r="W415" s="20">
        <f>IF(OR($C415="",$N415=""),"",IF($F415="RHE",ROUND($L415-$V415,2),ROUND($L415-($S415/$N415),2)))</f>
        <v/>
      </c>
      <c r="X415" s="25" t="n"/>
      <c r="Y415" s="25" t="n"/>
    </row>
    <row r="416">
      <c r="A416" t="n">
        <v>413</v>
      </c>
      <c r="B416" s="25" t="n"/>
      <c r="D416" s="30" t="n"/>
      <c r="G416" s="30" t="n"/>
      <c r="H416">
        <f>IF($G416="","",IFERROR(INDEX(Catalogo_Etiquetas,MATCH($G416,Catalogo_Codigos,0)),"CODIGO NO VALIDO"))</f>
        <v/>
      </c>
      <c r="J416" s="20" t="n"/>
      <c r="K416" s="20" t="n"/>
      <c r="L416" s="20">
        <f>IF($C416="","",$J416+$K416)</f>
        <v/>
      </c>
      <c r="M416" s="30" t="n"/>
      <c r="N416" s="26">
        <f>IF($C416="","",IF($I416="PEN",1,IFERROR(IF(_xlfn.XLOOKUP($B416,TC_Fechas,TC_Venta_Rango,"",-1)="","",_xlfn.XLOOKUP($B416,TC_Fechas,TC_Venta_Rango,"",-1)),"")))</f>
        <v/>
      </c>
      <c r="O416" s="20">
        <f>IF(OR($C416="",$N416=""),"",ROUND($J416*$N416,2)+ROUND($K416*$N416,2))</f>
        <v/>
      </c>
      <c r="P416" s="31">
        <f>IF($G416="","",IFERROR(INDEX(Catalogo_Tasas,MATCH($G416,Catalogo_Codigos,0)),""))</f>
        <v/>
      </c>
      <c r="Q416" s="32">
        <f>IF($G416="","",IFERROR(INDEX(Catalogo_Umbrales,MATCH($G416,Catalogo_Codigos,0)),""))</f>
        <v/>
      </c>
      <c r="R416">
        <f>IF(OR($C416="",$P416="",$O416=""),"",IF($F416&lt;&gt;"FACTURA","NO",IF(AND($P416&gt;0,$O416&gt;$Q416),"SI","NO")))</f>
        <v/>
      </c>
      <c r="S416" s="20">
        <f>IF($R416="SI",ROUND($O416*$P416,2),IF($C416="","",0))</f>
        <v/>
      </c>
      <c r="T416" s="20" t="n"/>
      <c r="U416">
        <f>IF($C416="","",IF($R416&lt;&gt;"SI","",IF($T416="","SIN DATO",IF(ABS($T416-$S416)&lt;=0.5,"OK","REVISAR"))))</f>
        <v/>
      </c>
      <c r="V416" s="20" t="n"/>
      <c r="W416" s="20">
        <f>IF(OR($C416="",$N416=""),"",IF($F416="RHE",ROUND($L416-$V416,2),ROUND($L416-($S416/$N416),2)))</f>
        <v/>
      </c>
      <c r="X416" s="25" t="n"/>
      <c r="Y416" s="25" t="n"/>
    </row>
    <row r="417">
      <c r="A417" t="n">
        <v>414</v>
      </c>
      <c r="B417" s="25" t="n"/>
      <c r="D417" s="30" t="n"/>
      <c r="G417" s="30" t="n"/>
      <c r="H417">
        <f>IF($G417="","",IFERROR(INDEX(Catalogo_Etiquetas,MATCH($G417,Catalogo_Codigos,0)),"CODIGO NO VALIDO"))</f>
        <v/>
      </c>
      <c r="J417" s="20" t="n"/>
      <c r="K417" s="20" t="n"/>
      <c r="L417" s="20">
        <f>IF($C417="","",$J417+$K417)</f>
        <v/>
      </c>
      <c r="M417" s="30" t="n"/>
      <c r="N417" s="26">
        <f>IF($C417="","",IF($I417="PEN",1,IFERROR(IF(_xlfn.XLOOKUP($B417,TC_Fechas,TC_Venta_Rango,"",-1)="","",_xlfn.XLOOKUP($B417,TC_Fechas,TC_Venta_Rango,"",-1)),"")))</f>
        <v/>
      </c>
      <c r="O417" s="20">
        <f>IF(OR($C417="",$N417=""),"",ROUND($J417*$N417,2)+ROUND($K417*$N417,2))</f>
        <v/>
      </c>
      <c r="P417" s="31">
        <f>IF($G417="","",IFERROR(INDEX(Catalogo_Tasas,MATCH($G417,Catalogo_Codigos,0)),""))</f>
        <v/>
      </c>
      <c r="Q417" s="32">
        <f>IF($G417="","",IFERROR(INDEX(Catalogo_Umbrales,MATCH($G417,Catalogo_Codigos,0)),""))</f>
        <v/>
      </c>
      <c r="R417">
        <f>IF(OR($C417="",$P417="",$O417=""),"",IF($F417&lt;&gt;"FACTURA","NO",IF(AND($P417&gt;0,$O417&gt;$Q417),"SI","NO")))</f>
        <v/>
      </c>
      <c r="S417" s="20">
        <f>IF($R417="SI",ROUND($O417*$P417,2),IF($C417="","",0))</f>
        <v/>
      </c>
      <c r="T417" s="20" t="n"/>
      <c r="U417">
        <f>IF($C417="","",IF($R417&lt;&gt;"SI","",IF($T417="","SIN DATO",IF(ABS($T417-$S417)&lt;=0.5,"OK","REVISAR"))))</f>
        <v/>
      </c>
      <c r="V417" s="20" t="n"/>
      <c r="W417" s="20">
        <f>IF(OR($C417="",$N417=""),"",IF($F417="RHE",ROUND($L417-$V417,2),ROUND($L417-($S417/$N417),2)))</f>
        <v/>
      </c>
      <c r="X417" s="25" t="n"/>
      <c r="Y417" s="25" t="n"/>
    </row>
    <row r="418">
      <c r="A418" t="n">
        <v>415</v>
      </c>
      <c r="B418" s="25" t="n"/>
      <c r="D418" s="30" t="n"/>
      <c r="G418" s="30" t="n"/>
      <c r="H418">
        <f>IF($G418="","",IFERROR(INDEX(Catalogo_Etiquetas,MATCH($G418,Catalogo_Codigos,0)),"CODIGO NO VALIDO"))</f>
        <v/>
      </c>
      <c r="J418" s="20" t="n"/>
      <c r="K418" s="20" t="n"/>
      <c r="L418" s="20">
        <f>IF($C418="","",$J418+$K418)</f>
        <v/>
      </c>
      <c r="M418" s="30" t="n"/>
      <c r="N418" s="26">
        <f>IF($C418="","",IF($I418="PEN",1,IFERROR(IF(_xlfn.XLOOKUP($B418,TC_Fechas,TC_Venta_Rango,"",-1)="","",_xlfn.XLOOKUP($B418,TC_Fechas,TC_Venta_Rango,"",-1)),"")))</f>
        <v/>
      </c>
      <c r="O418" s="20">
        <f>IF(OR($C418="",$N418=""),"",ROUND($J418*$N418,2)+ROUND($K418*$N418,2))</f>
        <v/>
      </c>
      <c r="P418" s="31">
        <f>IF($G418="","",IFERROR(INDEX(Catalogo_Tasas,MATCH($G418,Catalogo_Codigos,0)),""))</f>
        <v/>
      </c>
      <c r="Q418" s="32">
        <f>IF($G418="","",IFERROR(INDEX(Catalogo_Umbrales,MATCH($G418,Catalogo_Codigos,0)),""))</f>
        <v/>
      </c>
      <c r="R418">
        <f>IF(OR($C418="",$P418="",$O418=""),"",IF($F418&lt;&gt;"FACTURA","NO",IF(AND($P418&gt;0,$O418&gt;$Q418),"SI","NO")))</f>
        <v/>
      </c>
      <c r="S418" s="20">
        <f>IF($R418="SI",ROUND($O418*$P418,2),IF($C418="","",0))</f>
        <v/>
      </c>
      <c r="T418" s="20" t="n"/>
      <c r="U418">
        <f>IF($C418="","",IF($R418&lt;&gt;"SI","",IF($T418="","SIN DATO",IF(ABS($T418-$S418)&lt;=0.5,"OK","REVISAR"))))</f>
        <v/>
      </c>
      <c r="V418" s="20" t="n"/>
      <c r="W418" s="20">
        <f>IF(OR($C418="",$N418=""),"",IF($F418="RHE",ROUND($L418-$V418,2),ROUND($L418-($S418/$N418),2)))</f>
        <v/>
      </c>
      <c r="X418" s="25" t="n"/>
      <c r="Y418" s="25" t="n"/>
    </row>
    <row r="419">
      <c r="A419" t="n">
        <v>416</v>
      </c>
      <c r="B419" s="25" t="n"/>
      <c r="D419" s="30" t="n"/>
      <c r="G419" s="30" t="n"/>
      <c r="H419">
        <f>IF($G419="","",IFERROR(INDEX(Catalogo_Etiquetas,MATCH($G419,Catalogo_Codigos,0)),"CODIGO NO VALIDO"))</f>
        <v/>
      </c>
      <c r="J419" s="20" t="n"/>
      <c r="K419" s="20" t="n"/>
      <c r="L419" s="20">
        <f>IF($C419="","",$J419+$K419)</f>
        <v/>
      </c>
      <c r="M419" s="30" t="n"/>
      <c r="N419" s="26">
        <f>IF($C419="","",IF($I419="PEN",1,IFERROR(IF(_xlfn.XLOOKUP($B419,TC_Fechas,TC_Venta_Rango,"",-1)="","",_xlfn.XLOOKUP($B419,TC_Fechas,TC_Venta_Rango,"",-1)),"")))</f>
        <v/>
      </c>
      <c r="O419" s="20">
        <f>IF(OR($C419="",$N419=""),"",ROUND($J419*$N419,2)+ROUND($K419*$N419,2))</f>
        <v/>
      </c>
      <c r="P419" s="31">
        <f>IF($G419="","",IFERROR(INDEX(Catalogo_Tasas,MATCH($G419,Catalogo_Codigos,0)),""))</f>
        <v/>
      </c>
      <c r="Q419" s="32">
        <f>IF($G419="","",IFERROR(INDEX(Catalogo_Umbrales,MATCH($G419,Catalogo_Codigos,0)),""))</f>
        <v/>
      </c>
      <c r="R419">
        <f>IF(OR($C419="",$P419="",$O419=""),"",IF($F419&lt;&gt;"FACTURA","NO",IF(AND($P419&gt;0,$O419&gt;$Q419),"SI","NO")))</f>
        <v/>
      </c>
      <c r="S419" s="20">
        <f>IF($R419="SI",ROUND($O419*$P419,2),IF($C419="","",0))</f>
        <v/>
      </c>
      <c r="T419" s="20" t="n"/>
      <c r="U419">
        <f>IF($C419="","",IF($R419&lt;&gt;"SI","",IF($T419="","SIN DATO",IF(ABS($T419-$S419)&lt;=0.5,"OK","REVISAR"))))</f>
        <v/>
      </c>
      <c r="V419" s="20" t="n"/>
      <c r="W419" s="20">
        <f>IF(OR($C419="",$N419=""),"",IF($F419="RHE",ROUND($L419-$V419,2),ROUND($L419-($S419/$N419),2)))</f>
        <v/>
      </c>
      <c r="X419" s="25" t="n"/>
      <c r="Y419" s="25" t="n"/>
    </row>
    <row r="420">
      <c r="A420" t="n">
        <v>417</v>
      </c>
      <c r="B420" s="25" t="n"/>
      <c r="D420" s="30" t="n"/>
      <c r="G420" s="30" t="n"/>
      <c r="H420">
        <f>IF($G420="","",IFERROR(INDEX(Catalogo_Etiquetas,MATCH($G420,Catalogo_Codigos,0)),"CODIGO NO VALIDO"))</f>
        <v/>
      </c>
      <c r="J420" s="20" t="n"/>
      <c r="K420" s="20" t="n"/>
      <c r="L420" s="20">
        <f>IF($C420="","",$J420+$K420)</f>
        <v/>
      </c>
      <c r="M420" s="30" t="n"/>
      <c r="N420" s="26">
        <f>IF($C420="","",IF($I420="PEN",1,IFERROR(IF(_xlfn.XLOOKUP($B420,TC_Fechas,TC_Venta_Rango,"",-1)="","",_xlfn.XLOOKUP($B420,TC_Fechas,TC_Venta_Rango,"",-1)),"")))</f>
        <v/>
      </c>
      <c r="O420" s="20">
        <f>IF(OR($C420="",$N420=""),"",ROUND($J420*$N420,2)+ROUND($K420*$N420,2))</f>
        <v/>
      </c>
      <c r="P420" s="31">
        <f>IF($G420="","",IFERROR(INDEX(Catalogo_Tasas,MATCH($G420,Catalogo_Codigos,0)),""))</f>
        <v/>
      </c>
      <c r="Q420" s="32">
        <f>IF($G420="","",IFERROR(INDEX(Catalogo_Umbrales,MATCH($G420,Catalogo_Codigos,0)),""))</f>
        <v/>
      </c>
      <c r="R420">
        <f>IF(OR($C420="",$P420="",$O420=""),"",IF($F420&lt;&gt;"FACTURA","NO",IF(AND($P420&gt;0,$O420&gt;$Q420),"SI","NO")))</f>
        <v/>
      </c>
      <c r="S420" s="20">
        <f>IF($R420="SI",ROUND($O420*$P420,2),IF($C420="","",0))</f>
        <v/>
      </c>
      <c r="T420" s="20" t="n"/>
      <c r="U420">
        <f>IF($C420="","",IF($R420&lt;&gt;"SI","",IF($T420="","SIN DATO",IF(ABS($T420-$S420)&lt;=0.5,"OK","REVISAR"))))</f>
        <v/>
      </c>
      <c r="V420" s="20" t="n"/>
      <c r="W420" s="20">
        <f>IF(OR($C420="",$N420=""),"",IF($F420="RHE",ROUND($L420-$V420,2),ROUND($L420-($S420/$N420),2)))</f>
        <v/>
      </c>
      <c r="X420" s="25" t="n"/>
      <c r="Y420" s="25" t="n"/>
    </row>
    <row r="421">
      <c r="A421" t="n">
        <v>418</v>
      </c>
      <c r="B421" s="25" t="n"/>
      <c r="D421" s="30" t="n"/>
      <c r="G421" s="30" t="n"/>
      <c r="H421">
        <f>IF($G421="","",IFERROR(INDEX(Catalogo_Etiquetas,MATCH($G421,Catalogo_Codigos,0)),"CODIGO NO VALIDO"))</f>
        <v/>
      </c>
      <c r="J421" s="20" t="n"/>
      <c r="K421" s="20" t="n"/>
      <c r="L421" s="20">
        <f>IF($C421="","",$J421+$K421)</f>
        <v/>
      </c>
      <c r="M421" s="30" t="n"/>
      <c r="N421" s="26">
        <f>IF($C421="","",IF($I421="PEN",1,IFERROR(IF(_xlfn.XLOOKUP($B421,TC_Fechas,TC_Venta_Rango,"",-1)="","",_xlfn.XLOOKUP($B421,TC_Fechas,TC_Venta_Rango,"",-1)),"")))</f>
        <v/>
      </c>
      <c r="O421" s="20">
        <f>IF(OR($C421="",$N421=""),"",ROUND($J421*$N421,2)+ROUND($K421*$N421,2))</f>
        <v/>
      </c>
      <c r="P421" s="31">
        <f>IF($G421="","",IFERROR(INDEX(Catalogo_Tasas,MATCH($G421,Catalogo_Codigos,0)),""))</f>
        <v/>
      </c>
      <c r="Q421" s="32">
        <f>IF($G421="","",IFERROR(INDEX(Catalogo_Umbrales,MATCH($G421,Catalogo_Codigos,0)),""))</f>
        <v/>
      </c>
      <c r="R421">
        <f>IF(OR($C421="",$P421="",$O421=""),"",IF($F421&lt;&gt;"FACTURA","NO",IF(AND($P421&gt;0,$O421&gt;$Q421),"SI","NO")))</f>
        <v/>
      </c>
      <c r="S421" s="20">
        <f>IF($R421="SI",ROUND($O421*$P421,2),IF($C421="","",0))</f>
        <v/>
      </c>
      <c r="T421" s="20" t="n"/>
      <c r="U421">
        <f>IF($C421="","",IF($R421&lt;&gt;"SI","",IF($T421="","SIN DATO",IF(ABS($T421-$S421)&lt;=0.5,"OK","REVISAR"))))</f>
        <v/>
      </c>
      <c r="V421" s="20" t="n"/>
      <c r="W421" s="20">
        <f>IF(OR($C421="",$N421=""),"",IF($F421="RHE",ROUND($L421-$V421,2),ROUND($L421-($S421/$N421),2)))</f>
        <v/>
      </c>
      <c r="X421" s="25" t="n"/>
      <c r="Y421" s="25" t="n"/>
    </row>
    <row r="422">
      <c r="A422" t="n">
        <v>419</v>
      </c>
      <c r="B422" s="25" t="n"/>
      <c r="D422" s="30" t="n"/>
      <c r="G422" s="30" t="n"/>
      <c r="H422">
        <f>IF($G422="","",IFERROR(INDEX(Catalogo_Etiquetas,MATCH($G422,Catalogo_Codigos,0)),"CODIGO NO VALIDO"))</f>
        <v/>
      </c>
      <c r="J422" s="20" t="n"/>
      <c r="K422" s="20" t="n"/>
      <c r="L422" s="20">
        <f>IF($C422="","",$J422+$K422)</f>
        <v/>
      </c>
      <c r="M422" s="30" t="n"/>
      <c r="N422" s="26">
        <f>IF($C422="","",IF($I422="PEN",1,IFERROR(IF(_xlfn.XLOOKUP($B422,TC_Fechas,TC_Venta_Rango,"",-1)="","",_xlfn.XLOOKUP($B422,TC_Fechas,TC_Venta_Rango,"",-1)),"")))</f>
        <v/>
      </c>
      <c r="O422" s="20">
        <f>IF(OR($C422="",$N422=""),"",ROUND($J422*$N422,2)+ROUND($K422*$N422,2))</f>
        <v/>
      </c>
      <c r="P422" s="31">
        <f>IF($G422="","",IFERROR(INDEX(Catalogo_Tasas,MATCH($G422,Catalogo_Codigos,0)),""))</f>
        <v/>
      </c>
      <c r="Q422" s="32">
        <f>IF($G422="","",IFERROR(INDEX(Catalogo_Umbrales,MATCH($G422,Catalogo_Codigos,0)),""))</f>
        <v/>
      </c>
      <c r="R422">
        <f>IF(OR($C422="",$P422="",$O422=""),"",IF($F422&lt;&gt;"FACTURA","NO",IF(AND($P422&gt;0,$O422&gt;$Q422),"SI","NO")))</f>
        <v/>
      </c>
      <c r="S422" s="20">
        <f>IF($R422="SI",ROUND($O422*$P422,2),IF($C422="","",0))</f>
        <v/>
      </c>
      <c r="T422" s="20" t="n"/>
      <c r="U422">
        <f>IF($C422="","",IF($R422&lt;&gt;"SI","",IF($T422="","SIN DATO",IF(ABS($T422-$S422)&lt;=0.5,"OK","REVISAR"))))</f>
        <v/>
      </c>
      <c r="V422" s="20" t="n"/>
      <c r="W422" s="20">
        <f>IF(OR($C422="",$N422=""),"",IF($F422="RHE",ROUND($L422-$V422,2),ROUND($L422-($S422/$N422),2)))</f>
        <v/>
      </c>
      <c r="X422" s="25" t="n"/>
      <c r="Y422" s="25" t="n"/>
    </row>
    <row r="423">
      <c r="A423" t="n">
        <v>420</v>
      </c>
      <c r="B423" s="25" t="n"/>
      <c r="D423" s="30" t="n"/>
      <c r="G423" s="30" t="n"/>
      <c r="H423">
        <f>IF($G423="","",IFERROR(INDEX(Catalogo_Etiquetas,MATCH($G423,Catalogo_Codigos,0)),"CODIGO NO VALIDO"))</f>
        <v/>
      </c>
      <c r="J423" s="20" t="n"/>
      <c r="K423" s="20" t="n"/>
      <c r="L423" s="20">
        <f>IF($C423="","",$J423+$K423)</f>
        <v/>
      </c>
      <c r="M423" s="30" t="n"/>
      <c r="N423" s="26">
        <f>IF($C423="","",IF($I423="PEN",1,IFERROR(IF(_xlfn.XLOOKUP($B423,TC_Fechas,TC_Venta_Rango,"",-1)="","",_xlfn.XLOOKUP($B423,TC_Fechas,TC_Venta_Rango,"",-1)),"")))</f>
        <v/>
      </c>
      <c r="O423" s="20">
        <f>IF(OR($C423="",$N423=""),"",ROUND($J423*$N423,2)+ROUND($K423*$N423,2))</f>
        <v/>
      </c>
      <c r="P423" s="31">
        <f>IF($G423="","",IFERROR(INDEX(Catalogo_Tasas,MATCH($G423,Catalogo_Codigos,0)),""))</f>
        <v/>
      </c>
      <c r="Q423" s="32">
        <f>IF($G423="","",IFERROR(INDEX(Catalogo_Umbrales,MATCH($G423,Catalogo_Codigos,0)),""))</f>
        <v/>
      </c>
      <c r="R423">
        <f>IF(OR($C423="",$P423="",$O423=""),"",IF($F423&lt;&gt;"FACTURA","NO",IF(AND($P423&gt;0,$O423&gt;$Q423),"SI","NO")))</f>
        <v/>
      </c>
      <c r="S423" s="20">
        <f>IF($R423="SI",ROUND($O423*$P423,2),IF($C423="","",0))</f>
        <v/>
      </c>
      <c r="T423" s="20" t="n"/>
      <c r="U423">
        <f>IF($C423="","",IF($R423&lt;&gt;"SI","",IF($T423="","SIN DATO",IF(ABS($T423-$S423)&lt;=0.5,"OK","REVISAR"))))</f>
        <v/>
      </c>
      <c r="V423" s="20" t="n"/>
      <c r="W423" s="20">
        <f>IF(OR($C423="",$N423=""),"",IF($F423="RHE",ROUND($L423-$V423,2),ROUND($L423-($S423/$N423),2)))</f>
        <v/>
      </c>
      <c r="X423" s="25" t="n"/>
      <c r="Y423" s="25" t="n"/>
    </row>
    <row r="424">
      <c r="A424" t="n">
        <v>421</v>
      </c>
      <c r="B424" s="25" t="n"/>
      <c r="D424" s="30" t="n"/>
      <c r="G424" s="30" t="n"/>
      <c r="H424">
        <f>IF($G424="","",IFERROR(INDEX(Catalogo_Etiquetas,MATCH($G424,Catalogo_Codigos,0)),"CODIGO NO VALIDO"))</f>
        <v/>
      </c>
      <c r="J424" s="20" t="n"/>
      <c r="K424" s="20" t="n"/>
      <c r="L424" s="20">
        <f>IF($C424="","",$J424+$K424)</f>
        <v/>
      </c>
      <c r="M424" s="30" t="n"/>
      <c r="N424" s="26">
        <f>IF($C424="","",IF($I424="PEN",1,IFERROR(IF(_xlfn.XLOOKUP($B424,TC_Fechas,TC_Venta_Rango,"",-1)="","",_xlfn.XLOOKUP($B424,TC_Fechas,TC_Venta_Rango,"",-1)),"")))</f>
        <v/>
      </c>
      <c r="O424" s="20">
        <f>IF(OR($C424="",$N424=""),"",ROUND($J424*$N424,2)+ROUND($K424*$N424,2))</f>
        <v/>
      </c>
      <c r="P424" s="31">
        <f>IF($G424="","",IFERROR(INDEX(Catalogo_Tasas,MATCH($G424,Catalogo_Codigos,0)),""))</f>
        <v/>
      </c>
      <c r="Q424" s="32">
        <f>IF($G424="","",IFERROR(INDEX(Catalogo_Umbrales,MATCH($G424,Catalogo_Codigos,0)),""))</f>
        <v/>
      </c>
      <c r="R424">
        <f>IF(OR($C424="",$P424="",$O424=""),"",IF($F424&lt;&gt;"FACTURA","NO",IF(AND($P424&gt;0,$O424&gt;$Q424),"SI","NO")))</f>
        <v/>
      </c>
      <c r="S424" s="20">
        <f>IF($R424="SI",ROUND($O424*$P424,2),IF($C424="","",0))</f>
        <v/>
      </c>
      <c r="T424" s="20" t="n"/>
      <c r="U424">
        <f>IF($C424="","",IF($R424&lt;&gt;"SI","",IF($T424="","SIN DATO",IF(ABS($T424-$S424)&lt;=0.5,"OK","REVISAR"))))</f>
        <v/>
      </c>
      <c r="V424" s="20" t="n"/>
      <c r="W424" s="20">
        <f>IF(OR($C424="",$N424=""),"",IF($F424="RHE",ROUND($L424-$V424,2),ROUND($L424-($S424/$N424),2)))</f>
        <v/>
      </c>
      <c r="X424" s="25" t="n"/>
      <c r="Y424" s="25" t="n"/>
    </row>
    <row r="425">
      <c r="A425" t="n">
        <v>422</v>
      </c>
      <c r="B425" s="25" t="n"/>
      <c r="D425" s="30" t="n"/>
      <c r="G425" s="30" t="n"/>
      <c r="H425">
        <f>IF($G425="","",IFERROR(INDEX(Catalogo_Etiquetas,MATCH($G425,Catalogo_Codigos,0)),"CODIGO NO VALIDO"))</f>
        <v/>
      </c>
      <c r="J425" s="20" t="n"/>
      <c r="K425" s="20" t="n"/>
      <c r="L425" s="20">
        <f>IF($C425="","",$J425+$K425)</f>
        <v/>
      </c>
      <c r="M425" s="30" t="n"/>
      <c r="N425" s="26">
        <f>IF($C425="","",IF($I425="PEN",1,IFERROR(IF(_xlfn.XLOOKUP($B425,TC_Fechas,TC_Venta_Rango,"",-1)="","",_xlfn.XLOOKUP($B425,TC_Fechas,TC_Venta_Rango,"",-1)),"")))</f>
        <v/>
      </c>
      <c r="O425" s="20">
        <f>IF(OR($C425="",$N425=""),"",ROUND($J425*$N425,2)+ROUND($K425*$N425,2))</f>
        <v/>
      </c>
      <c r="P425" s="31">
        <f>IF($G425="","",IFERROR(INDEX(Catalogo_Tasas,MATCH($G425,Catalogo_Codigos,0)),""))</f>
        <v/>
      </c>
      <c r="Q425" s="32">
        <f>IF($G425="","",IFERROR(INDEX(Catalogo_Umbrales,MATCH($G425,Catalogo_Codigos,0)),""))</f>
        <v/>
      </c>
      <c r="R425">
        <f>IF(OR($C425="",$P425="",$O425=""),"",IF($F425&lt;&gt;"FACTURA","NO",IF(AND($P425&gt;0,$O425&gt;$Q425),"SI","NO")))</f>
        <v/>
      </c>
      <c r="S425" s="20">
        <f>IF($R425="SI",ROUND($O425*$P425,2),IF($C425="","",0))</f>
        <v/>
      </c>
      <c r="T425" s="20" t="n"/>
      <c r="U425">
        <f>IF($C425="","",IF($R425&lt;&gt;"SI","",IF($T425="","SIN DATO",IF(ABS($T425-$S425)&lt;=0.5,"OK","REVISAR"))))</f>
        <v/>
      </c>
      <c r="V425" s="20" t="n"/>
      <c r="W425" s="20">
        <f>IF(OR($C425="",$N425=""),"",IF($F425="RHE",ROUND($L425-$V425,2),ROUND($L425-($S425/$N425),2)))</f>
        <v/>
      </c>
      <c r="X425" s="25" t="n"/>
      <c r="Y425" s="25" t="n"/>
    </row>
    <row r="426">
      <c r="A426" t="n">
        <v>423</v>
      </c>
      <c r="B426" s="25" t="n"/>
      <c r="D426" s="30" t="n"/>
      <c r="G426" s="30" t="n"/>
      <c r="H426">
        <f>IF($G426="","",IFERROR(INDEX(Catalogo_Etiquetas,MATCH($G426,Catalogo_Codigos,0)),"CODIGO NO VALIDO"))</f>
        <v/>
      </c>
      <c r="J426" s="20" t="n"/>
      <c r="K426" s="20" t="n"/>
      <c r="L426" s="20">
        <f>IF($C426="","",$J426+$K426)</f>
        <v/>
      </c>
      <c r="M426" s="30" t="n"/>
      <c r="N426" s="26">
        <f>IF($C426="","",IF($I426="PEN",1,IFERROR(IF(_xlfn.XLOOKUP($B426,TC_Fechas,TC_Venta_Rango,"",-1)="","",_xlfn.XLOOKUP($B426,TC_Fechas,TC_Venta_Rango,"",-1)),"")))</f>
        <v/>
      </c>
      <c r="O426" s="20">
        <f>IF(OR($C426="",$N426=""),"",ROUND($J426*$N426,2)+ROUND($K426*$N426,2))</f>
        <v/>
      </c>
      <c r="P426" s="31">
        <f>IF($G426="","",IFERROR(INDEX(Catalogo_Tasas,MATCH($G426,Catalogo_Codigos,0)),""))</f>
        <v/>
      </c>
      <c r="Q426" s="32">
        <f>IF($G426="","",IFERROR(INDEX(Catalogo_Umbrales,MATCH($G426,Catalogo_Codigos,0)),""))</f>
        <v/>
      </c>
      <c r="R426">
        <f>IF(OR($C426="",$P426="",$O426=""),"",IF($F426&lt;&gt;"FACTURA","NO",IF(AND($P426&gt;0,$O426&gt;$Q426),"SI","NO")))</f>
        <v/>
      </c>
      <c r="S426" s="20">
        <f>IF($R426="SI",ROUND($O426*$P426,2),IF($C426="","",0))</f>
        <v/>
      </c>
      <c r="T426" s="20" t="n"/>
      <c r="U426">
        <f>IF($C426="","",IF($R426&lt;&gt;"SI","",IF($T426="","SIN DATO",IF(ABS($T426-$S426)&lt;=0.5,"OK","REVISAR"))))</f>
        <v/>
      </c>
      <c r="V426" s="20" t="n"/>
      <c r="W426" s="20">
        <f>IF(OR($C426="",$N426=""),"",IF($F426="RHE",ROUND($L426-$V426,2),ROUND($L426-($S426/$N426),2)))</f>
        <v/>
      </c>
      <c r="X426" s="25" t="n"/>
      <c r="Y426" s="25" t="n"/>
    </row>
    <row r="427">
      <c r="A427" t="n">
        <v>424</v>
      </c>
      <c r="B427" s="25" t="n"/>
      <c r="D427" s="30" t="n"/>
      <c r="G427" s="30" t="n"/>
      <c r="H427">
        <f>IF($G427="","",IFERROR(INDEX(Catalogo_Etiquetas,MATCH($G427,Catalogo_Codigos,0)),"CODIGO NO VALIDO"))</f>
        <v/>
      </c>
      <c r="J427" s="20" t="n"/>
      <c r="K427" s="20" t="n"/>
      <c r="L427" s="20">
        <f>IF($C427="","",$J427+$K427)</f>
        <v/>
      </c>
      <c r="M427" s="30" t="n"/>
      <c r="N427" s="26">
        <f>IF($C427="","",IF($I427="PEN",1,IFERROR(IF(_xlfn.XLOOKUP($B427,TC_Fechas,TC_Venta_Rango,"",-1)="","",_xlfn.XLOOKUP($B427,TC_Fechas,TC_Venta_Rango,"",-1)),"")))</f>
        <v/>
      </c>
      <c r="O427" s="20">
        <f>IF(OR($C427="",$N427=""),"",ROUND($J427*$N427,2)+ROUND($K427*$N427,2))</f>
        <v/>
      </c>
      <c r="P427" s="31">
        <f>IF($G427="","",IFERROR(INDEX(Catalogo_Tasas,MATCH($G427,Catalogo_Codigos,0)),""))</f>
        <v/>
      </c>
      <c r="Q427" s="32">
        <f>IF($G427="","",IFERROR(INDEX(Catalogo_Umbrales,MATCH($G427,Catalogo_Codigos,0)),""))</f>
        <v/>
      </c>
      <c r="R427">
        <f>IF(OR($C427="",$P427="",$O427=""),"",IF($F427&lt;&gt;"FACTURA","NO",IF(AND($P427&gt;0,$O427&gt;$Q427),"SI","NO")))</f>
        <v/>
      </c>
      <c r="S427" s="20">
        <f>IF($R427="SI",ROUND($O427*$P427,2),IF($C427="","",0))</f>
        <v/>
      </c>
      <c r="T427" s="20" t="n"/>
      <c r="U427">
        <f>IF($C427="","",IF($R427&lt;&gt;"SI","",IF($T427="","SIN DATO",IF(ABS($T427-$S427)&lt;=0.5,"OK","REVISAR"))))</f>
        <v/>
      </c>
      <c r="V427" s="20" t="n"/>
      <c r="W427" s="20">
        <f>IF(OR($C427="",$N427=""),"",IF($F427="RHE",ROUND($L427-$V427,2),ROUND($L427-($S427/$N427),2)))</f>
        <v/>
      </c>
      <c r="X427" s="25" t="n"/>
      <c r="Y427" s="25" t="n"/>
    </row>
    <row r="428">
      <c r="A428" t="n">
        <v>425</v>
      </c>
      <c r="B428" s="25" t="n"/>
      <c r="D428" s="30" t="n"/>
      <c r="G428" s="30" t="n"/>
      <c r="H428">
        <f>IF($G428="","",IFERROR(INDEX(Catalogo_Etiquetas,MATCH($G428,Catalogo_Codigos,0)),"CODIGO NO VALIDO"))</f>
        <v/>
      </c>
      <c r="J428" s="20" t="n"/>
      <c r="K428" s="20" t="n"/>
      <c r="L428" s="20">
        <f>IF($C428="","",$J428+$K428)</f>
        <v/>
      </c>
      <c r="M428" s="30" t="n"/>
      <c r="N428" s="26">
        <f>IF($C428="","",IF($I428="PEN",1,IFERROR(IF(_xlfn.XLOOKUP($B428,TC_Fechas,TC_Venta_Rango,"",-1)="","",_xlfn.XLOOKUP($B428,TC_Fechas,TC_Venta_Rango,"",-1)),"")))</f>
        <v/>
      </c>
      <c r="O428" s="20">
        <f>IF(OR($C428="",$N428=""),"",ROUND($J428*$N428,2)+ROUND($K428*$N428,2))</f>
        <v/>
      </c>
      <c r="P428" s="31">
        <f>IF($G428="","",IFERROR(INDEX(Catalogo_Tasas,MATCH($G428,Catalogo_Codigos,0)),""))</f>
        <v/>
      </c>
      <c r="Q428" s="32">
        <f>IF($G428="","",IFERROR(INDEX(Catalogo_Umbrales,MATCH($G428,Catalogo_Codigos,0)),""))</f>
        <v/>
      </c>
      <c r="R428">
        <f>IF(OR($C428="",$P428="",$O428=""),"",IF($F428&lt;&gt;"FACTURA","NO",IF(AND($P428&gt;0,$O428&gt;$Q428),"SI","NO")))</f>
        <v/>
      </c>
      <c r="S428" s="20">
        <f>IF($R428="SI",ROUND($O428*$P428,2),IF($C428="","",0))</f>
        <v/>
      </c>
      <c r="T428" s="20" t="n"/>
      <c r="U428">
        <f>IF($C428="","",IF($R428&lt;&gt;"SI","",IF($T428="","SIN DATO",IF(ABS($T428-$S428)&lt;=0.5,"OK","REVISAR"))))</f>
        <v/>
      </c>
      <c r="V428" s="20" t="n"/>
      <c r="W428" s="20">
        <f>IF(OR($C428="",$N428=""),"",IF($F428="RHE",ROUND($L428-$V428,2),ROUND($L428-($S428/$N428),2)))</f>
        <v/>
      </c>
      <c r="X428" s="25" t="n"/>
      <c r="Y428" s="25" t="n"/>
    </row>
    <row r="429">
      <c r="A429" t="n">
        <v>426</v>
      </c>
      <c r="B429" s="25" t="n"/>
      <c r="D429" s="30" t="n"/>
      <c r="G429" s="30" t="n"/>
      <c r="H429">
        <f>IF($G429="","",IFERROR(INDEX(Catalogo_Etiquetas,MATCH($G429,Catalogo_Codigos,0)),"CODIGO NO VALIDO"))</f>
        <v/>
      </c>
      <c r="J429" s="20" t="n"/>
      <c r="K429" s="20" t="n"/>
      <c r="L429" s="20">
        <f>IF($C429="","",$J429+$K429)</f>
        <v/>
      </c>
      <c r="M429" s="30" t="n"/>
      <c r="N429" s="26">
        <f>IF($C429="","",IF($I429="PEN",1,IFERROR(IF(_xlfn.XLOOKUP($B429,TC_Fechas,TC_Venta_Rango,"",-1)="","",_xlfn.XLOOKUP($B429,TC_Fechas,TC_Venta_Rango,"",-1)),"")))</f>
        <v/>
      </c>
      <c r="O429" s="20">
        <f>IF(OR($C429="",$N429=""),"",ROUND($J429*$N429,2)+ROUND($K429*$N429,2))</f>
        <v/>
      </c>
      <c r="P429" s="31">
        <f>IF($G429="","",IFERROR(INDEX(Catalogo_Tasas,MATCH($G429,Catalogo_Codigos,0)),""))</f>
        <v/>
      </c>
      <c r="Q429" s="32">
        <f>IF($G429="","",IFERROR(INDEX(Catalogo_Umbrales,MATCH($G429,Catalogo_Codigos,0)),""))</f>
        <v/>
      </c>
      <c r="R429">
        <f>IF(OR($C429="",$P429="",$O429=""),"",IF($F429&lt;&gt;"FACTURA","NO",IF(AND($P429&gt;0,$O429&gt;$Q429),"SI","NO")))</f>
        <v/>
      </c>
      <c r="S429" s="20">
        <f>IF($R429="SI",ROUND($O429*$P429,2),IF($C429="","",0))</f>
        <v/>
      </c>
      <c r="T429" s="20" t="n"/>
      <c r="U429">
        <f>IF($C429="","",IF($R429&lt;&gt;"SI","",IF($T429="","SIN DATO",IF(ABS($T429-$S429)&lt;=0.5,"OK","REVISAR"))))</f>
        <v/>
      </c>
      <c r="V429" s="20" t="n"/>
      <c r="W429" s="20">
        <f>IF(OR($C429="",$N429=""),"",IF($F429="RHE",ROUND($L429-$V429,2),ROUND($L429-($S429/$N429),2)))</f>
        <v/>
      </c>
      <c r="X429" s="25" t="n"/>
      <c r="Y429" s="25" t="n"/>
    </row>
    <row r="430">
      <c r="A430" t="n">
        <v>427</v>
      </c>
      <c r="B430" s="25" t="n"/>
      <c r="D430" s="30" t="n"/>
      <c r="G430" s="30" t="n"/>
      <c r="H430">
        <f>IF($G430="","",IFERROR(INDEX(Catalogo_Etiquetas,MATCH($G430,Catalogo_Codigos,0)),"CODIGO NO VALIDO"))</f>
        <v/>
      </c>
      <c r="J430" s="20" t="n"/>
      <c r="K430" s="20" t="n"/>
      <c r="L430" s="20">
        <f>IF($C430="","",$J430+$K430)</f>
        <v/>
      </c>
      <c r="M430" s="30" t="n"/>
      <c r="N430" s="26">
        <f>IF($C430="","",IF($I430="PEN",1,IFERROR(IF(_xlfn.XLOOKUP($B430,TC_Fechas,TC_Venta_Rango,"",-1)="","",_xlfn.XLOOKUP($B430,TC_Fechas,TC_Venta_Rango,"",-1)),"")))</f>
        <v/>
      </c>
      <c r="O430" s="20">
        <f>IF(OR($C430="",$N430=""),"",ROUND($J430*$N430,2)+ROUND($K430*$N430,2))</f>
        <v/>
      </c>
      <c r="P430" s="31">
        <f>IF($G430="","",IFERROR(INDEX(Catalogo_Tasas,MATCH($G430,Catalogo_Codigos,0)),""))</f>
        <v/>
      </c>
      <c r="Q430" s="32">
        <f>IF($G430="","",IFERROR(INDEX(Catalogo_Umbrales,MATCH($G430,Catalogo_Codigos,0)),""))</f>
        <v/>
      </c>
      <c r="R430">
        <f>IF(OR($C430="",$P430="",$O430=""),"",IF($F430&lt;&gt;"FACTURA","NO",IF(AND($P430&gt;0,$O430&gt;$Q430),"SI","NO")))</f>
        <v/>
      </c>
      <c r="S430" s="20">
        <f>IF($R430="SI",ROUND($O430*$P430,2),IF($C430="","",0))</f>
        <v/>
      </c>
      <c r="T430" s="20" t="n"/>
      <c r="U430">
        <f>IF($C430="","",IF($R430&lt;&gt;"SI","",IF($T430="","SIN DATO",IF(ABS($T430-$S430)&lt;=0.5,"OK","REVISAR"))))</f>
        <v/>
      </c>
      <c r="V430" s="20" t="n"/>
      <c r="W430" s="20">
        <f>IF(OR($C430="",$N430=""),"",IF($F430="RHE",ROUND($L430-$V430,2),ROUND($L430-($S430/$N430),2)))</f>
        <v/>
      </c>
      <c r="X430" s="25" t="n"/>
      <c r="Y430" s="25" t="n"/>
    </row>
    <row r="431">
      <c r="A431" t="n">
        <v>428</v>
      </c>
      <c r="B431" s="25" t="n"/>
      <c r="D431" s="30" t="n"/>
      <c r="G431" s="30" t="n"/>
      <c r="H431">
        <f>IF($G431="","",IFERROR(INDEX(Catalogo_Etiquetas,MATCH($G431,Catalogo_Codigos,0)),"CODIGO NO VALIDO"))</f>
        <v/>
      </c>
      <c r="J431" s="20" t="n"/>
      <c r="K431" s="20" t="n"/>
      <c r="L431" s="20">
        <f>IF($C431="","",$J431+$K431)</f>
        <v/>
      </c>
      <c r="M431" s="30" t="n"/>
      <c r="N431" s="26">
        <f>IF($C431="","",IF($I431="PEN",1,IFERROR(IF(_xlfn.XLOOKUP($B431,TC_Fechas,TC_Venta_Rango,"",-1)="","",_xlfn.XLOOKUP($B431,TC_Fechas,TC_Venta_Rango,"",-1)),"")))</f>
        <v/>
      </c>
      <c r="O431" s="20">
        <f>IF(OR($C431="",$N431=""),"",ROUND($J431*$N431,2)+ROUND($K431*$N431,2))</f>
        <v/>
      </c>
      <c r="P431" s="31">
        <f>IF($G431="","",IFERROR(INDEX(Catalogo_Tasas,MATCH($G431,Catalogo_Codigos,0)),""))</f>
        <v/>
      </c>
      <c r="Q431" s="32">
        <f>IF($G431="","",IFERROR(INDEX(Catalogo_Umbrales,MATCH($G431,Catalogo_Codigos,0)),""))</f>
        <v/>
      </c>
      <c r="R431">
        <f>IF(OR($C431="",$P431="",$O431=""),"",IF($F431&lt;&gt;"FACTURA","NO",IF(AND($P431&gt;0,$O431&gt;$Q431),"SI","NO")))</f>
        <v/>
      </c>
      <c r="S431" s="20">
        <f>IF($R431="SI",ROUND($O431*$P431,2),IF($C431="","",0))</f>
        <v/>
      </c>
      <c r="T431" s="20" t="n"/>
      <c r="U431">
        <f>IF($C431="","",IF($R431&lt;&gt;"SI","",IF($T431="","SIN DATO",IF(ABS($T431-$S431)&lt;=0.5,"OK","REVISAR"))))</f>
        <v/>
      </c>
      <c r="V431" s="20" t="n"/>
      <c r="W431" s="20">
        <f>IF(OR($C431="",$N431=""),"",IF($F431="RHE",ROUND($L431-$V431,2),ROUND($L431-($S431/$N431),2)))</f>
        <v/>
      </c>
      <c r="X431" s="25" t="n"/>
      <c r="Y431" s="25" t="n"/>
    </row>
    <row r="432">
      <c r="A432" t="n">
        <v>429</v>
      </c>
      <c r="B432" s="25" t="n"/>
      <c r="D432" s="30" t="n"/>
      <c r="G432" s="30" t="n"/>
      <c r="H432">
        <f>IF($G432="","",IFERROR(INDEX(Catalogo_Etiquetas,MATCH($G432,Catalogo_Codigos,0)),"CODIGO NO VALIDO"))</f>
        <v/>
      </c>
      <c r="J432" s="20" t="n"/>
      <c r="K432" s="20" t="n"/>
      <c r="L432" s="20">
        <f>IF($C432="","",$J432+$K432)</f>
        <v/>
      </c>
      <c r="M432" s="30" t="n"/>
      <c r="N432" s="26">
        <f>IF($C432="","",IF($I432="PEN",1,IFERROR(IF(_xlfn.XLOOKUP($B432,TC_Fechas,TC_Venta_Rango,"",-1)="","",_xlfn.XLOOKUP($B432,TC_Fechas,TC_Venta_Rango,"",-1)),"")))</f>
        <v/>
      </c>
      <c r="O432" s="20">
        <f>IF(OR($C432="",$N432=""),"",ROUND($J432*$N432,2)+ROUND($K432*$N432,2))</f>
        <v/>
      </c>
      <c r="P432" s="31">
        <f>IF($G432="","",IFERROR(INDEX(Catalogo_Tasas,MATCH($G432,Catalogo_Codigos,0)),""))</f>
        <v/>
      </c>
      <c r="Q432" s="32">
        <f>IF($G432="","",IFERROR(INDEX(Catalogo_Umbrales,MATCH($G432,Catalogo_Codigos,0)),""))</f>
        <v/>
      </c>
      <c r="R432">
        <f>IF(OR($C432="",$P432="",$O432=""),"",IF($F432&lt;&gt;"FACTURA","NO",IF(AND($P432&gt;0,$O432&gt;$Q432),"SI","NO")))</f>
        <v/>
      </c>
      <c r="S432" s="20">
        <f>IF($R432="SI",ROUND($O432*$P432,2),IF($C432="","",0))</f>
        <v/>
      </c>
      <c r="T432" s="20" t="n"/>
      <c r="U432">
        <f>IF($C432="","",IF($R432&lt;&gt;"SI","",IF($T432="","SIN DATO",IF(ABS($T432-$S432)&lt;=0.5,"OK","REVISAR"))))</f>
        <v/>
      </c>
      <c r="V432" s="20" t="n"/>
      <c r="W432" s="20">
        <f>IF(OR($C432="",$N432=""),"",IF($F432="RHE",ROUND($L432-$V432,2),ROUND($L432-($S432/$N432),2)))</f>
        <v/>
      </c>
      <c r="X432" s="25" t="n"/>
      <c r="Y432" s="25" t="n"/>
    </row>
    <row r="433">
      <c r="A433" t="n">
        <v>430</v>
      </c>
      <c r="B433" s="25" t="n"/>
      <c r="D433" s="30" t="n"/>
      <c r="G433" s="30" t="n"/>
      <c r="H433">
        <f>IF($G433="","",IFERROR(INDEX(Catalogo_Etiquetas,MATCH($G433,Catalogo_Codigos,0)),"CODIGO NO VALIDO"))</f>
        <v/>
      </c>
      <c r="J433" s="20" t="n"/>
      <c r="K433" s="20" t="n"/>
      <c r="L433" s="20">
        <f>IF($C433="","",$J433+$K433)</f>
        <v/>
      </c>
      <c r="M433" s="30" t="n"/>
      <c r="N433" s="26">
        <f>IF($C433="","",IF($I433="PEN",1,IFERROR(IF(_xlfn.XLOOKUP($B433,TC_Fechas,TC_Venta_Rango,"",-1)="","",_xlfn.XLOOKUP($B433,TC_Fechas,TC_Venta_Rango,"",-1)),"")))</f>
        <v/>
      </c>
      <c r="O433" s="20">
        <f>IF(OR($C433="",$N433=""),"",ROUND($J433*$N433,2)+ROUND($K433*$N433,2))</f>
        <v/>
      </c>
      <c r="P433" s="31">
        <f>IF($G433="","",IFERROR(INDEX(Catalogo_Tasas,MATCH($G433,Catalogo_Codigos,0)),""))</f>
        <v/>
      </c>
      <c r="Q433" s="32">
        <f>IF($G433="","",IFERROR(INDEX(Catalogo_Umbrales,MATCH($G433,Catalogo_Codigos,0)),""))</f>
        <v/>
      </c>
      <c r="R433">
        <f>IF(OR($C433="",$P433="",$O433=""),"",IF($F433&lt;&gt;"FACTURA","NO",IF(AND($P433&gt;0,$O433&gt;$Q433),"SI","NO")))</f>
        <v/>
      </c>
      <c r="S433" s="20">
        <f>IF($R433="SI",ROUND($O433*$P433,2),IF($C433="","",0))</f>
        <v/>
      </c>
      <c r="T433" s="20" t="n"/>
      <c r="U433">
        <f>IF($C433="","",IF($R433&lt;&gt;"SI","",IF($T433="","SIN DATO",IF(ABS($T433-$S433)&lt;=0.5,"OK","REVISAR"))))</f>
        <v/>
      </c>
      <c r="V433" s="20" t="n"/>
      <c r="W433" s="20">
        <f>IF(OR($C433="",$N433=""),"",IF($F433="RHE",ROUND($L433-$V433,2),ROUND($L433-($S433/$N433),2)))</f>
        <v/>
      </c>
      <c r="X433" s="25" t="n"/>
      <c r="Y433" s="25" t="n"/>
    </row>
    <row r="434">
      <c r="A434" t="n">
        <v>431</v>
      </c>
      <c r="B434" s="25" t="n"/>
      <c r="D434" s="30" t="n"/>
      <c r="G434" s="30" t="n"/>
      <c r="H434">
        <f>IF($G434="","",IFERROR(INDEX(Catalogo_Etiquetas,MATCH($G434,Catalogo_Codigos,0)),"CODIGO NO VALIDO"))</f>
        <v/>
      </c>
      <c r="J434" s="20" t="n"/>
      <c r="K434" s="20" t="n"/>
      <c r="L434" s="20">
        <f>IF($C434="","",$J434+$K434)</f>
        <v/>
      </c>
      <c r="M434" s="30" t="n"/>
      <c r="N434" s="26">
        <f>IF($C434="","",IF($I434="PEN",1,IFERROR(IF(_xlfn.XLOOKUP($B434,TC_Fechas,TC_Venta_Rango,"",-1)="","",_xlfn.XLOOKUP($B434,TC_Fechas,TC_Venta_Rango,"",-1)),"")))</f>
        <v/>
      </c>
      <c r="O434" s="20">
        <f>IF(OR($C434="",$N434=""),"",ROUND($J434*$N434,2)+ROUND($K434*$N434,2))</f>
        <v/>
      </c>
      <c r="P434" s="31">
        <f>IF($G434="","",IFERROR(INDEX(Catalogo_Tasas,MATCH($G434,Catalogo_Codigos,0)),""))</f>
        <v/>
      </c>
      <c r="Q434" s="32">
        <f>IF($G434="","",IFERROR(INDEX(Catalogo_Umbrales,MATCH($G434,Catalogo_Codigos,0)),""))</f>
        <v/>
      </c>
      <c r="R434">
        <f>IF(OR($C434="",$P434="",$O434=""),"",IF($F434&lt;&gt;"FACTURA","NO",IF(AND($P434&gt;0,$O434&gt;$Q434),"SI","NO")))</f>
        <v/>
      </c>
      <c r="S434" s="20">
        <f>IF($R434="SI",ROUND($O434*$P434,2),IF($C434="","",0))</f>
        <v/>
      </c>
      <c r="T434" s="20" t="n"/>
      <c r="U434">
        <f>IF($C434="","",IF($R434&lt;&gt;"SI","",IF($T434="","SIN DATO",IF(ABS($T434-$S434)&lt;=0.5,"OK","REVISAR"))))</f>
        <v/>
      </c>
      <c r="V434" s="20" t="n"/>
      <c r="W434" s="20">
        <f>IF(OR($C434="",$N434=""),"",IF($F434="RHE",ROUND($L434-$V434,2),ROUND($L434-($S434/$N434),2)))</f>
        <v/>
      </c>
      <c r="X434" s="25" t="n"/>
      <c r="Y434" s="25" t="n"/>
    </row>
    <row r="435">
      <c r="A435" t="n">
        <v>432</v>
      </c>
      <c r="B435" s="25" t="n"/>
      <c r="D435" s="30" t="n"/>
      <c r="G435" s="30" t="n"/>
      <c r="H435">
        <f>IF($G435="","",IFERROR(INDEX(Catalogo_Etiquetas,MATCH($G435,Catalogo_Codigos,0)),"CODIGO NO VALIDO"))</f>
        <v/>
      </c>
      <c r="J435" s="20" t="n"/>
      <c r="K435" s="20" t="n"/>
      <c r="L435" s="20">
        <f>IF($C435="","",$J435+$K435)</f>
        <v/>
      </c>
      <c r="M435" s="30" t="n"/>
      <c r="N435" s="26">
        <f>IF($C435="","",IF($I435="PEN",1,IFERROR(IF(_xlfn.XLOOKUP($B435,TC_Fechas,TC_Venta_Rango,"",-1)="","",_xlfn.XLOOKUP($B435,TC_Fechas,TC_Venta_Rango,"",-1)),"")))</f>
        <v/>
      </c>
      <c r="O435" s="20">
        <f>IF(OR($C435="",$N435=""),"",ROUND($J435*$N435,2)+ROUND($K435*$N435,2))</f>
        <v/>
      </c>
      <c r="P435" s="31">
        <f>IF($G435="","",IFERROR(INDEX(Catalogo_Tasas,MATCH($G435,Catalogo_Codigos,0)),""))</f>
        <v/>
      </c>
      <c r="Q435" s="32">
        <f>IF($G435="","",IFERROR(INDEX(Catalogo_Umbrales,MATCH($G435,Catalogo_Codigos,0)),""))</f>
        <v/>
      </c>
      <c r="R435">
        <f>IF(OR($C435="",$P435="",$O435=""),"",IF($F435&lt;&gt;"FACTURA","NO",IF(AND($P435&gt;0,$O435&gt;$Q435),"SI","NO")))</f>
        <v/>
      </c>
      <c r="S435" s="20">
        <f>IF($R435="SI",ROUND($O435*$P435,2),IF($C435="","",0))</f>
        <v/>
      </c>
      <c r="T435" s="20" t="n"/>
      <c r="U435">
        <f>IF($C435="","",IF($R435&lt;&gt;"SI","",IF($T435="","SIN DATO",IF(ABS($T435-$S435)&lt;=0.5,"OK","REVISAR"))))</f>
        <v/>
      </c>
      <c r="V435" s="20" t="n"/>
      <c r="W435" s="20">
        <f>IF(OR($C435="",$N435=""),"",IF($F435="RHE",ROUND($L435-$V435,2),ROUND($L435-($S435/$N435),2)))</f>
        <v/>
      </c>
      <c r="X435" s="25" t="n"/>
      <c r="Y435" s="25" t="n"/>
    </row>
    <row r="436">
      <c r="A436" t="n">
        <v>433</v>
      </c>
      <c r="B436" s="25" t="n"/>
      <c r="D436" s="30" t="n"/>
      <c r="G436" s="30" t="n"/>
      <c r="H436">
        <f>IF($G436="","",IFERROR(INDEX(Catalogo_Etiquetas,MATCH($G436,Catalogo_Codigos,0)),"CODIGO NO VALIDO"))</f>
        <v/>
      </c>
      <c r="J436" s="20" t="n"/>
      <c r="K436" s="20" t="n"/>
      <c r="L436" s="20">
        <f>IF($C436="","",$J436+$K436)</f>
        <v/>
      </c>
      <c r="M436" s="30" t="n"/>
      <c r="N436" s="26">
        <f>IF($C436="","",IF($I436="PEN",1,IFERROR(IF(_xlfn.XLOOKUP($B436,TC_Fechas,TC_Venta_Rango,"",-1)="","",_xlfn.XLOOKUP($B436,TC_Fechas,TC_Venta_Rango,"",-1)),"")))</f>
        <v/>
      </c>
      <c r="O436" s="20">
        <f>IF(OR($C436="",$N436=""),"",ROUND($J436*$N436,2)+ROUND($K436*$N436,2))</f>
        <v/>
      </c>
      <c r="P436" s="31">
        <f>IF($G436="","",IFERROR(INDEX(Catalogo_Tasas,MATCH($G436,Catalogo_Codigos,0)),""))</f>
        <v/>
      </c>
      <c r="Q436" s="32">
        <f>IF($G436="","",IFERROR(INDEX(Catalogo_Umbrales,MATCH($G436,Catalogo_Codigos,0)),""))</f>
        <v/>
      </c>
      <c r="R436">
        <f>IF(OR($C436="",$P436="",$O436=""),"",IF($F436&lt;&gt;"FACTURA","NO",IF(AND($P436&gt;0,$O436&gt;$Q436),"SI","NO")))</f>
        <v/>
      </c>
      <c r="S436" s="20">
        <f>IF($R436="SI",ROUND($O436*$P436,2),IF($C436="","",0))</f>
        <v/>
      </c>
      <c r="T436" s="20" t="n"/>
      <c r="U436">
        <f>IF($C436="","",IF($R436&lt;&gt;"SI","",IF($T436="","SIN DATO",IF(ABS($T436-$S436)&lt;=0.5,"OK","REVISAR"))))</f>
        <v/>
      </c>
      <c r="V436" s="20" t="n"/>
      <c r="W436" s="20">
        <f>IF(OR($C436="",$N436=""),"",IF($F436="RHE",ROUND($L436-$V436,2),ROUND($L436-($S436/$N436),2)))</f>
        <v/>
      </c>
      <c r="X436" s="25" t="n"/>
      <c r="Y436" s="25" t="n"/>
    </row>
    <row r="437">
      <c r="A437" t="n">
        <v>434</v>
      </c>
      <c r="B437" s="25" t="n"/>
      <c r="D437" s="30" t="n"/>
      <c r="G437" s="30" t="n"/>
      <c r="H437">
        <f>IF($G437="","",IFERROR(INDEX(Catalogo_Etiquetas,MATCH($G437,Catalogo_Codigos,0)),"CODIGO NO VALIDO"))</f>
        <v/>
      </c>
      <c r="J437" s="20" t="n"/>
      <c r="K437" s="20" t="n"/>
      <c r="L437" s="20">
        <f>IF($C437="","",$J437+$K437)</f>
        <v/>
      </c>
      <c r="M437" s="30" t="n"/>
      <c r="N437" s="26">
        <f>IF($C437="","",IF($I437="PEN",1,IFERROR(IF(_xlfn.XLOOKUP($B437,TC_Fechas,TC_Venta_Rango,"",-1)="","",_xlfn.XLOOKUP($B437,TC_Fechas,TC_Venta_Rango,"",-1)),"")))</f>
        <v/>
      </c>
      <c r="O437" s="20">
        <f>IF(OR($C437="",$N437=""),"",ROUND($J437*$N437,2)+ROUND($K437*$N437,2))</f>
        <v/>
      </c>
      <c r="P437" s="31">
        <f>IF($G437="","",IFERROR(INDEX(Catalogo_Tasas,MATCH($G437,Catalogo_Codigos,0)),""))</f>
        <v/>
      </c>
      <c r="Q437" s="32">
        <f>IF($G437="","",IFERROR(INDEX(Catalogo_Umbrales,MATCH($G437,Catalogo_Codigos,0)),""))</f>
        <v/>
      </c>
      <c r="R437">
        <f>IF(OR($C437="",$P437="",$O437=""),"",IF($F437&lt;&gt;"FACTURA","NO",IF(AND($P437&gt;0,$O437&gt;$Q437),"SI","NO")))</f>
        <v/>
      </c>
      <c r="S437" s="20">
        <f>IF($R437="SI",ROUND($O437*$P437,2),IF($C437="","",0))</f>
        <v/>
      </c>
      <c r="T437" s="20" t="n"/>
      <c r="U437">
        <f>IF($C437="","",IF($R437&lt;&gt;"SI","",IF($T437="","SIN DATO",IF(ABS($T437-$S437)&lt;=0.5,"OK","REVISAR"))))</f>
        <v/>
      </c>
      <c r="V437" s="20" t="n"/>
      <c r="W437" s="20">
        <f>IF(OR($C437="",$N437=""),"",IF($F437="RHE",ROUND($L437-$V437,2),ROUND($L437-($S437/$N437),2)))</f>
        <v/>
      </c>
      <c r="X437" s="25" t="n"/>
      <c r="Y437" s="25" t="n"/>
    </row>
    <row r="438">
      <c r="A438" t="n">
        <v>435</v>
      </c>
      <c r="B438" s="25" t="n"/>
      <c r="D438" s="30" t="n"/>
      <c r="G438" s="30" t="n"/>
      <c r="H438">
        <f>IF($G438="","",IFERROR(INDEX(Catalogo_Etiquetas,MATCH($G438,Catalogo_Codigos,0)),"CODIGO NO VALIDO"))</f>
        <v/>
      </c>
      <c r="J438" s="20" t="n"/>
      <c r="K438" s="20" t="n"/>
      <c r="L438" s="20">
        <f>IF($C438="","",$J438+$K438)</f>
        <v/>
      </c>
      <c r="M438" s="30" t="n"/>
      <c r="N438" s="26">
        <f>IF($C438="","",IF($I438="PEN",1,IFERROR(IF(_xlfn.XLOOKUP($B438,TC_Fechas,TC_Venta_Rango,"",-1)="","",_xlfn.XLOOKUP($B438,TC_Fechas,TC_Venta_Rango,"",-1)),"")))</f>
        <v/>
      </c>
      <c r="O438" s="20">
        <f>IF(OR($C438="",$N438=""),"",ROUND($J438*$N438,2)+ROUND($K438*$N438,2))</f>
        <v/>
      </c>
      <c r="P438" s="31">
        <f>IF($G438="","",IFERROR(INDEX(Catalogo_Tasas,MATCH($G438,Catalogo_Codigos,0)),""))</f>
        <v/>
      </c>
      <c r="Q438" s="32">
        <f>IF($G438="","",IFERROR(INDEX(Catalogo_Umbrales,MATCH($G438,Catalogo_Codigos,0)),""))</f>
        <v/>
      </c>
      <c r="R438">
        <f>IF(OR($C438="",$P438="",$O438=""),"",IF($F438&lt;&gt;"FACTURA","NO",IF(AND($P438&gt;0,$O438&gt;$Q438),"SI","NO")))</f>
        <v/>
      </c>
      <c r="S438" s="20">
        <f>IF($R438="SI",ROUND($O438*$P438,2),IF($C438="","",0))</f>
        <v/>
      </c>
      <c r="T438" s="20" t="n"/>
      <c r="U438">
        <f>IF($C438="","",IF($R438&lt;&gt;"SI","",IF($T438="","SIN DATO",IF(ABS($T438-$S438)&lt;=0.5,"OK","REVISAR"))))</f>
        <v/>
      </c>
      <c r="V438" s="20" t="n"/>
      <c r="W438" s="20">
        <f>IF(OR($C438="",$N438=""),"",IF($F438="RHE",ROUND($L438-$V438,2),ROUND($L438-($S438/$N438),2)))</f>
        <v/>
      </c>
      <c r="X438" s="25" t="n"/>
      <c r="Y438" s="25" t="n"/>
    </row>
    <row r="439">
      <c r="A439" t="n">
        <v>436</v>
      </c>
      <c r="B439" s="25" t="n"/>
      <c r="D439" s="30" t="n"/>
      <c r="G439" s="30" t="n"/>
      <c r="H439">
        <f>IF($G439="","",IFERROR(INDEX(Catalogo_Etiquetas,MATCH($G439,Catalogo_Codigos,0)),"CODIGO NO VALIDO"))</f>
        <v/>
      </c>
      <c r="J439" s="20" t="n"/>
      <c r="K439" s="20" t="n"/>
      <c r="L439" s="20">
        <f>IF($C439="","",$J439+$K439)</f>
        <v/>
      </c>
      <c r="M439" s="30" t="n"/>
      <c r="N439" s="26">
        <f>IF($C439="","",IF($I439="PEN",1,IFERROR(IF(_xlfn.XLOOKUP($B439,TC_Fechas,TC_Venta_Rango,"",-1)="","",_xlfn.XLOOKUP($B439,TC_Fechas,TC_Venta_Rango,"",-1)),"")))</f>
        <v/>
      </c>
      <c r="O439" s="20">
        <f>IF(OR($C439="",$N439=""),"",ROUND($J439*$N439,2)+ROUND($K439*$N439,2))</f>
        <v/>
      </c>
      <c r="P439" s="31">
        <f>IF($G439="","",IFERROR(INDEX(Catalogo_Tasas,MATCH($G439,Catalogo_Codigos,0)),""))</f>
        <v/>
      </c>
      <c r="Q439" s="32">
        <f>IF($G439="","",IFERROR(INDEX(Catalogo_Umbrales,MATCH($G439,Catalogo_Codigos,0)),""))</f>
        <v/>
      </c>
      <c r="R439">
        <f>IF(OR($C439="",$P439="",$O439=""),"",IF($F439&lt;&gt;"FACTURA","NO",IF(AND($P439&gt;0,$O439&gt;$Q439),"SI","NO")))</f>
        <v/>
      </c>
      <c r="S439" s="20">
        <f>IF($R439="SI",ROUND($O439*$P439,2),IF($C439="","",0))</f>
        <v/>
      </c>
      <c r="T439" s="20" t="n"/>
      <c r="U439">
        <f>IF($C439="","",IF($R439&lt;&gt;"SI","",IF($T439="","SIN DATO",IF(ABS($T439-$S439)&lt;=0.5,"OK","REVISAR"))))</f>
        <v/>
      </c>
      <c r="V439" s="20" t="n"/>
      <c r="W439" s="20">
        <f>IF(OR($C439="",$N439=""),"",IF($F439="RHE",ROUND($L439-$V439,2),ROUND($L439-($S439/$N439),2)))</f>
        <v/>
      </c>
      <c r="X439" s="25" t="n"/>
      <c r="Y439" s="25" t="n"/>
    </row>
    <row r="440">
      <c r="A440" t="n">
        <v>437</v>
      </c>
      <c r="B440" s="25" t="n"/>
      <c r="D440" s="30" t="n"/>
      <c r="G440" s="30" t="n"/>
      <c r="H440">
        <f>IF($G440="","",IFERROR(INDEX(Catalogo_Etiquetas,MATCH($G440,Catalogo_Codigos,0)),"CODIGO NO VALIDO"))</f>
        <v/>
      </c>
      <c r="J440" s="20" t="n"/>
      <c r="K440" s="20" t="n"/>
      <c r="L440" s="20">
        <f>IF($C440="","",$J440+$K440)</f>
        <v/>
      </c>
      <c r="M440" s="30" t="n"/>
      <c r="N440" s="26">
        <f>IF($C440="","",IF($I440="PEN",1,IFERROR(IF(_xlfn.XLOOKUP($B440,TC_Fechas,TC_Venta_Rango,"",-1)="","",_xlfn.XLOOKUP($B440,TC_Fechas,TC_Venta_Rango,"",-1)),"")))</f>
        <v/>
      </c>
      <c r="O440" s="20">
        <f>IF(OR($C440="",$N440=""),"",ROUND($J440*$N440,2)+ROUND($K440*$N440,2))</f>
        <v/>
      </c>
      <c r="P440" s="31">
        <f>IF($G440="","",IFERROR(INDEX(Catalogo_Tasas,MATCH($G440,Catalogo_Codigos,0)),""))</f>
        <v/>
      </c>
      <c r="Q440" s="32">
        <f>IF($G440="","",IFERROR(INDEX(Catalogo_Umbrales,MATCH($G440,Catalogo_Codigos,0)),""))</f>
        <v/>
      </c>
      <c r="R440">
        <f>IF(OR($C440="",$P440="",$O440=""),"",IF($F440&lt;&gt;"FACTURA","NO",IF(AND($P440&gt;0,$O440&gt;$Q440),"SI","NO")))</f>
        <v/>
      </c>
      <c r="S440" s="20">
        <f>IF($R440="SI",ROUND($O440*$P440,2),IF($C440="","",0))</f>
        <v/>
      </c>
      <c r="T440" s="20" t="n"/>
      <c r="U440">
        <f>IF($C440="","",IF($R440&lt;&gt;"SI","",IF($T440="","SIN DATO",IF(ABS($T440-$S440)&lt;=0.5,"OK","REVISAR"))))</f>
        <v/>
      </c>
      <c r="V440" s="20" t="n"/>
      <c r="W440" s="20">
        <f>IF(OR($C440="",$N440=""),"",IF($F440="RHE",ROUND($L440-$V440,2),ROUND($L440-($S440/$N440),2)))</f>
        <v/>
      </c>
      <c r="X440" s="25" t="n"/>
      <c r="Y440" s="25" t="n"/>
    </row>
    <row r="441">
      <c r="A441" t="n">
        <v>438</v>
      </c>
      <c r="B441" s="25" t="n"/>
      <c r="D441" s="30" t="n"/>
      <c r="G441" s="30" t="n"/>
      <c r="H441">
        <f>IF($G441="","",IFERROR(INDEX(Catalogo_Etiquetas,MATCH($G441,Catalogo_Codigos,0)),"CODIGO NO VALIDO"))</f>
        <v/>
      </c>
      <c r="J441" s="20" t="n"/>
      <c r="K441" s="20" t="n"/>
      <c r="L441" s="20">
        <f>IF($C441="","",$J441+$K441)</f>
        <v/>
      </c>
      <c r="M441" s="30" t="n"/>
      <c r="N441" s="26">
        <f>IF($C441="","",IF($I441="PEN",1,IFERROR(IF(_xlfn.XLOOKUP($B441,TC_Fechas,TC_Venta_Rango,"",-1)="","",_xlfn.XLOOKUP($B441,TC_Fechas,TC_Venta_Rango,"",-1)),"")))</f>
        <v/>
      </c>
      <c r="O441" s="20">
        <f>IF(OR($C441="",$N441=""),"",ROUND($J441*$N441,2)+ROUND($K441*$N441,2))</f>
        <v/>
      </c>
      <c r="P441" s="31">
        <f>IF($G441="","",IFERROR(INDEX(Catalogo_Tasas,MATCH($G441,Catalogo_Codigos,0)),""))</f>
        <v/>
      </c>
      <c r="Q441" s="32">
        <f>IF($G441="","",IFERROR(INDEX(Catalogo_Umbrales,MATCH($G441,Catalogo_Codigos,0)),""))</f>
        <v/>
      </c>
      <c r="R441">
        <f>IF(OR($C441="",$P441="",$O441=""),"",IF($F441&lt;&gt;"FACTURA","NO",IF(AND($P441&gt;0,$O441&gt;$Q441),"SI","NO")))</f>
        <v/>
      </c>
      <c r="S441" s="20">
        <f>IF($R441="SI",ROUND($O441*$P441,2),IF($C441="","",0))</f>
        <v/>
      </c>
      <c r="T441" s="20" t="n"/>
      <c r="U441">
        <f>IF($C441="","",IF($R441&lt;&gt;"SI","",IF($T441="","SIN DATO",IF(ABS($T441-$S441)&lt;=0.5,"OK","REVISAR"))))</f>
        <v/>
      </c>
      <c r="V441" s="20" t="n"/>
      <c r="W441" s="20">
        <f>IF(OR($C441="",$N441=""),"",IF($F441="RHE",ROUND($L441-$V441,2),ROUND($L441-($S441/$N441),2)))</f>
        <v/>
      </c>
      <c r="X441" s="25" t="n"/>
      <c r="Y441" s="25" t="n"/>
    </row>
    <row r="442">
      <c r="A442" t="n">
        <v>439</v>
      </c>
      <c r="B442" s="25" t="n"/>
      <c r="D442" s="30" t="n"/>
      <c r="G442" s="30" t="n"/>
      <c r="H442">
        <f>IF($G442="","",IFERROR(INDEX(Catalogo_Etiquetas,MATCH($G442,Catalogo_Codigos,0)),"CODIGO NO VALIDO"))</f>
        <v/>
      </c>
      <c r="J442" s="20" t="n"/>
      <c r="K442" s="20" t="n"/>
      <c r="L442" s="20">
        <f>IF($C442="","",$J442+$K442)</f>
        <v/>
      </c>
      <c r="M442" s="30" t="n"/>
      <c r="N442" s="26">
        <f>IF($C442="","",IF($I442="PEN",1,IFERROR(IF(_xlfn.XLOOKUP($B442,TC_Fechas,TC_Venta_Rango,"",-1)="","",_xlfn.XLOOKUP($B442,TC_Fechas,TC_Venta_Rango,"",-1)),"")))</f>
        <v/>
      </c>
      <c r="O442" s="20">
        <f>IF(OR($C442="",$N442=""),"",ROUND($J442*$N442,2)+ROUND($K442*$N442,2))</f>
        <v/>
      </c>
      <c r="P442" s="31">
        <f>IF($G442="","",IFERROR(INDEX(Catalogo_Tasas,MATCH($G442,Catalogo_Codigos,0)),""))</f>
        <v/>
      </c>
      <c r="Q442" s="32">
        <f>IF($G442="","",IFERROR(INDEX(Catalogo_Umbrales,MATCH($G442,Catalogo_Codigos,0)),""))</f>
        <v/>
      </c>
      <c r="R442">
        <f>IF(OR($C442="",$P442="",$O442=""),"",IF($F442&lt;&gt;"FACTURA","NO",IF(AND($P442&gt;0,$O442&gt;$Q442),"SI","NO")))</f>
        <v/>
      </c>
      <c r="S442" s="20">
        <f>IF($R442="SI",ROUND($O442*$P442,2),IF($C442="","",0))</f>
        <v/>
      </c>
      <c r="T442" s="20" t="n"/>
      <c r="U442">
        <f>IF($C442="","",IF($R442&lt;&gt;"SI","",IF($T442="","SIN DATO",IF(ABS($T442-$S442)&lt;=0.5,"OK","REVISAR"))))</f>
        <v/>
      </c>
      <c r="V442" s="20" t="n"/>
      <c r="W442" s="20">
        <f>IF(OR($C442="",$N442=""),"",IF($F442="RHE",ROUND($L442-$V442,2),ROUND($L442-($S442/$N442),2)))</f>
        <v/>
      </c>
      <c r="X442" s="25" t="n"/>
      <c r="Y442" s="25" t="n"/>
    </row>
    <row r="443">
      <c r="A443" t="n">
        <v>440</v>
      </c>
      <c r="B443" s="25" t="n"/>
      <c r="D443" s="30" t="n"/>
      <c r="G443" s="30" t="n"/>
      <c r="H443">
        <f>IF($G443="","",IFERROR(INDEX(Catalogo_Etiquetas,MATCH($G443,Catalogo_Codigos,0)),"CODIGO NO VALIDO"))</f>
        <v/>
      </c>
      <c r="J443" s="20" t="n"/>
      <c r="K443" s="20" t="n"/>
      <c r="L443" s="20">
        <f>IF($C443="","",$J443+$K443)</f>
        <v/>
      </c>
      <c r="M443" s="30" t="n"/>
      <c r="N443" s="26">
        <f>IF($C443="","",IF($I443="PEN",1,IFERROR(IF(_xlfn.XLOOKUP($B443,TC_Fechas,TC_Venta_Rango,"",-1)="","",_xlfn.XLOOKUP($B443,TC_Fechas,TC_Venta_Rango,"",-1)),"")))</f>
        <v/>
      </c>
      <c r="O443" s="20">
        <f>IF(OR($C443="",$N443=""),"",ROUND($J443*$N443,2)+ROUND($K443*$N443,2))</f>
        <v/>
      </c>
      <c r="P443" s="31">
        <f>IF($G443="","",IFERROR(INDEX(Catalogo_Tasas,MATCH($G443,Catalogo_Codigos,0)),""))</f>
        <v/>
      </c>
      <c r="Q443" s="32">
        <f>IF($G443="","",IFERROR(INDEX(Catalogo_Umbrales,MATCH($G443,Catalogo_Codigos,0)),""))</f>
        <v/>
      </c>
      <c r="R443">
        <f>IF(OR($C443="",$P443="",$O443=""),"",IF($F443&lt;&gt;"FACTURA","NO",IF(AND($P443&gt;0,$O443&gt;$Q443),"SI","NO")))</f>
        <v/>
      </c>
      <c r="S443" s="20">
        <f>IF($R443="SI",ROUND($O443*$P443,2),IF($C443="","",0))</f>
        <v/>
      </c>
      <c r="T443" s="20" t="n"/>
      <c r="U443">
        <f>IF($C443="","",IF($R443&lt;&gt;"SI","",IF($T443="","SIN DATO",IF(ABS($T443-$S443)&lt;=0.5,"OK","REVISAR"))))</f>
        <v/>
      </c>
      <c r="V443" s="20" t="n"/>
      <c r="W443" s="20">
        <f>IF(OR($C443="",$N443=""),"",IF($F443="RHE",ROUND($L443-$V443,2),ROUND($L443-($S443/$N443),2)))</f>
        <v/>
      </c>
      <c r="X443" s="25" t="n"/>
      <c r="Y443" s="25" t="n"/>
    </row>
    <row r="444">
      <c r="A444" t="n">
        <v>441</v>
      </c>
      <c r="B444" s="25" t="n"/>
      <c r="D444" s="30" t="n"/>
      <c r="G444" s="30" t="n"/>
      <c r="H444">
        <f>IF($G444="","",IFERROR(INDEX(Catalogo_Etiquetas,MATCH($G444,Catalogo_Codigos,0)),"CODIGO NO VALIDO"))</f>
        <v/>
      </c>
      <c r="J444" s="20" t="n"/>
      <c r="K444" s="20" t="n"/>
      <c r="L444" s="20">
        <f>IF($C444="","",$J444+$K444)</f>
        <v/>
      </c>
      <c r="M444" s="30" t="n"/>
      <c r="N444" s="26">
        <f>IF($C444="","",IF($I444="PEN",1,IFERROR(IF(_xlfn.XLOOKUP($B444,TC_Fechas,TC_Venta_Rango,"",-1)="","",_xlfn.XLOOKUP($B444,TC_Fechas,TC_Venta_Rango,"",-1)),"")))</f>
        <v/>
      </c>
      <c r="O444" s="20">
        <f>IF(OR($C444="",$N444=""),"",ROUND($J444*$N444,2)+ROUND($K444*$N444,2))</f>
        <v/>
      </c>
      <c r="P444" s="31">
        <f>IF($G444="","",IFERROR(INDEX(Catalogo_Tasas,MATCH($G444,Catalogo_Codigos,0)),""))</f>
        <v/>
      </c>
      <c r="Q444" s="32">
        <f>IF($G444="","",IFERROR(INDEX(Catalogo_Umbrales,MATCH($G444,Catalogo_Codigos,0)),""))</f>
        <v/>
      </c>
      <c r="R444">
        <f>IF(OR($C444="",$P444="",$O444=""),"",IF($F444&lt;&gt;"FACTURA","NO",IF(AND($P444&gt;0,$O444&gt;$Q444),"SI","NO")))</f>
        <v/>
      </c>
      <c r="S444" s="20">
        <f>IF($R444="SI",ROUND($O444*$P444,2),IF($C444="","",0))</f>
        <v/>
      </c>
      <c r="T444" s="20" t="n"/>
      <c r="U444">
        <f>IF($C444="","",IF($R444&lt;&gt;"SI","",IF($T444="","SIN DATO",IF(ABS($T444-$S444)&lt;=0.5,"OK","REVISAR"))))</f>
        <v/>
      </c>
      <c r="V444" s="20" t="n"/>
      <c r="W444" s="20">
        <f>IF(OR($C444="",$N444=""),"",IF($F444="RHE",ROUND($L444-$V444,2),ROUND($L444-($S444/$N444),2)))</f>
        <v/>
      </c>
      <c r="X444" s="25" t="n"/>
      <c r="Y444" s="25" t="n"/>
    </row>
    <row r="445">
      <c r="A445" t="n">
        <v>442</v>
      </c>
      <c r="B445" s="25" t="n"/>
      <c r="D445" s="30" t="n"/>
      <c r="G445" s="30" t="n"/>
      <c r="H445">
        <f>IF($G445="","",IFERROR(INDEX(Catalogo_Etiquetas,MATCH($G445,Catalogo_Codigos,0)),"CODIGO NO VALIDO"))</f>
        <v/>
      </c>
      <c r="J445" s="20" t="n"/>
      <c r="K445" s="20" t="n"/>
      <c r="L445" s="20">
        <f>IF($C445="","",$J445+$K445)</f>
        <v/>
      </c>
      <c r="M445" s="30" t="n"/>
      <c r="N445" s="26">
        <f>IF($C445="","",IF($I445="PEN",1,IFERROR(IF(_xlfn.XLOOKUP($B445,TC_Fechas,TC_Venta_Rango,"",-1)="","",_xlfn.XLOOKUP($B445,TC_Fechas,TC_Venta_Rango,"",-1)),"")))</f>
        <v/>
      </c>
      <c r="O445" s="20">
        <f>IF(OR($C445="",$N445=""),"",ROUND($J445*$N445,2)+ROUND($K445*$N445,2))</f>
        <v/>
      </c>
      <c r="P445" s="31">
        <f>IF($G445="","",IFERROR(INDEX(Catalogo_Tasas,MATCH($G445,Catalogo_Codigos,0)),""))</f>
        <v/>
      </c>
      <c r="Q445" s="32">
        <f>IF($G445="","",IFERROR(INDEX(Catalogo_Umbrales,MATCH($G445,Catalogo_Codigos,0)),""))</f>
        <v/>
      </c>
      <c r="R445">
        <f>IF(OR($C445="",$P445="",$O445=""),"",IF($F445&lt;&gt;"FACTURA","NO",IF(AND($P445&gt;0,$O445&gt;$Q445),"SI","NO")))</f>
        <v/>
      </c>
      <c r="S445" s="20">
        <f>IF($R445="SI",ROUND($O445*$P445,2),IF($C445="","",0))</f>
        <v/>
      </c>
      <c r="T445" s="20" t="n"/>
      <c r="U445">
        <f>IF($C445="","",IF($R445&lt;&gt;"SI","",IF($T445="","SIN DATO",IF(ABS($T445-$S445)&lt;=0.5,"OK","REVISAR"))))</f>
        <v/>
      </c>
      <c r="V445" s="20" t="n"/>
      <c r="W445" s="20">
        <f>IF(OR($C445="",$N445=""),"",IF($F445="RHE",ROUND($L445-$V445,2),ROUND($L445-($S445/$N445),2)))</f>
        <v/>
      </c>
      <c r="X445" s="25" t="n"/>
      <c r="Y445" s="25" t="n"/>
    </row>
    <row r="446">
      <c r="A446" t="n">
        <v>443</v>
      </c>
      <c r="B446" s="25" t="n"/>
      <c r="D446" s="30" t="n"/>
      <c r="G446" s="30" t="n"/>
      <c r="H446">
        <f>IF($G446="","",IFERROR(INDEX(Catalogo_Etiquetas,MATCH($G446,Catalogo_Codigos,0)),"CODIGO NO VALIDO"))</f>
        <v/>
      </c>
      <c r="J446" s="20" t="n"/>
      <c r="K446" s="20" t="n"/>
      <c r="L446" s="20">
        <f>IF($C446="","",$J446+$K446)</f>
        <v/>
      </c>
      <c r="M446" s="30" t="n"/>
      <c r="N446" s="26">
        <f>IF($C446="","",IF($I446="PEN",1,IFERROR(IF(_xlfn.XLOOKUP($B446,TC_Fechas,TC_Venta_Rango,"",-1)="","",_xlfn.XLOOKUP($B446,TC_Fechas,TC_Venta_Rango,"",-1)),"")))</f>
        <v/>
      </c>
      <c r="O446" s="20">
        <f>IF(OR($C446="",$N446=""),"",ROUND($J446*$N446,2)+ROUND($K446*$N446,2))</f>
        <v/>
      </c>
      <c r="P446" s="31">
        <f>IF($G446="","",IFERROR(INDEX(Catalogo_Tasas,MATCH($G446,Catalogo_Codigos,0)),""))</f>
        <v/>
      </c>
      <c r="Q446" s="32">
        <f>IF($G446="","",IFERROR(INDEX(Catalogo_Umbrales,MATCH($G446,Catalogo_Codigos,0)),""))</f>
        <v/>
      </c>
      <c r="R446">
        <f>IF(OR($C446="",$P446="",$O446=""),"",IF($F446&lt;&gt;"FACTURA","NO",IF(AND($P446&gt;0,$O446&gt;$Q446),"SI","NO")))</f>
        <v/>
      </c>
      <c r="S446" s="20">
        <f>IF($R446="SI",ROUND($O446*$P446,2),IF($C446="","",0))</f>
        <v/>
      </c>
      <c r="T446" s="20" t="n"/>
      <c r="U446">
        <f>IF($C446="","",IF($R446&lt;&gt;"SI","",IF($T446="","SIN DATO",IF(ABS($T446-$S446)&lt;=0.5,"OK","REVISAR"))))</f>
        <v/>
      </c>
      <c r="V446" s="20" t="n"/>
      <c r="W446" s="20">
        <f>IF(OR($C446="",$N446=""),"",IF($F446="RHE",ROUND($L446-$V446,2),ROUND($L446-($S446/$N446),2)))</f>
        <v/>
      </c>
      <c r="X446" s="25" t="n"/>
      <c r="Y446" s="25" t="n"/>
    </row>
    <row r="447">
      <c r="A447" t="n">
        <v>444</v>
      </c>
      <c r="B447" s="25" t="n"/>
      <c r="D447" s="30" t="n"/>
      <c r="G447" s="30" t="n"/>
      <c r="H447">
        <f>IF($G447="","",IFERROR(INDEX(Catalogo_Etiquetas,MATCH($G447,Catalogo_Codigos,0)),"CODIGO NO VALIDO"))</f>
        <v/>
      </c>
      <c r="J447" s="20" t="n"/>
      <c r="K447" s="20" t="n"/>
      <c r="L447" s="20">
        <f>IF($C447="","",$J447+$K447)</f>
        <v/>
      </c>
      <c r="M447" s="30" t="n"/>
      <c r="N447" s="26">
        <f>IF($C447="","",IF($I447="PEN",1,IFERROR(IF(_xlfn.XLOOKUP($B447,TC_Fechas,TC_Venta_Rango,"",-1)="","",_xlfn.XLOOKUP($B447,TC_Fechas,TC_Venta_Rango,"",-1)),"")))</f>
        <v/>
      </c>
      <c r="O447" s="20">
        <f>IF(OR($C447="",$N447=""),"",ROUND($J447*$N447,2)+ROUND($K447*$N447,2))</f>
        <v/>
      </c>
      <c r="P447" s="31">
        <f>IF($G447="","",IFERROR(INDEX(Catalogo_Tasas,MATCH($G447,Catalogo_Codigos,0)),""))</f>
        <v/>
      </c>
      <c r="Q447" s="32">
        <f>IF($G447="","",IFERROR(INDEX(Catalogo_Umbrales,MATCH($G447,Catalogo_Codigos,0)),""))</f>
        <v/>
      </c>
      <c r="R447">
        <f>IF(OR($C447="",$P447="",$O447=""),"",IF($F447&lt;&gt;"FACTURA","NO",IF(AND($P447&gt;0,$O447&gt;$Q447),"SI","NO")))</f>
        <v/>
      </c>
      <c r="S447" s="20">
        <f>IF($R447="SI",ROUND($O447*$P447,2),IF($C447="","",0))</f>
        <v/>
      </c>
      <c r="T447" s="20" t="n"/>
      <c r="U447">
        <f>IF($C447="","",IF($R447&lt;&gt;"SI","",IF($T447="","SIN DATO",IF(ABS($T447-$S447)&lt;=0.5,"OK","REVISAR"))))</f>
        <v/>
      </c>
      <c r="V447" s="20" t="n"/>
      <c r="W447" s="20">
        <f>IF(OR($C447="",$N447=""),"",IF($F447="RHE",ROUND($L447-$V447,2),ROUND($L447-($S447/$N447),2)))</f>
        <v/>
      </c>
      <c r="X447" s="25" t="n"/>
      <c r="Y447" s="25" t="n"/>
    </row>
    <row r="448">
      <c r="A448" t="n">
        <v>445</v>
      </c>
      <c r="B448" s="25" t="n"/>
      <c r="D448" s="30" t="n"/>
      <c r="G448" s="30" t="n"/>
      <c r="H448">
        <f>IF($G448="","",IFERROR(INDEX(Catalogo_Etiquetas,MATCH($G448,Catalogo_Codigos,0)),"CODIGO NO VALIDO"))</f>
        <v/>
      </c>
      <c r="J448" s="20" t="n"/>
      <c r="K448" s="20" t="n"/>
      <c r="L448" s="20">
        <f>IF($C448="","",$J448+$K448)</f>
        <v/>
      </c>
      <c r="M448" s="30" t="n"/>
      <c r="N448" s="26">
        <f>IF($C448="","",IF($I448="PEN",1,IFERROR(IF(_xlfn.XLOOKUP($B448,TC_Fechas,TC_Venta_Rango,"",-1)="","",_xlfn.XLOOKUP($B448,TC_Fechas,TC_Venta_Rango,"",-1)),"")))</f>
        <v/>
      </c>
      <c r="O448" s="20">
        <f>IF(OR($C448="",$N448=""),"",ROUND($J448*$N448,2)+ROUND($K448*$N448,2))</f>
        <v/>
      </c>
      <c r="P448" s="31">
        <f>IF($G448="","",IFERROR(INDEX(Catalogo_Tasas,MATCH($G448,Catalogo_Codigos,0)),""))</f>
        <v/>
      </c>
      <c r="Q448" s="32">
        <f>IF($G448="","",IFERROR(INDEX(Catalogo_Umbrales,MATCH($G448,Catalogo_Codigos,0)),""))</f>
        <v/>
      </c>
      <c r="R448">
        <f>IF(OR($C448="",$P448="",$O448=""),"",IF($F448&lt;&gt;"FACTURA","NO",IF(AND($P448&gt;0,$O448&gt;$Q448),"SI","NO")))</f>
        <v/>
      </c>
      <c r="S448" s="20">
        <f>IF($R448="SI",ROUND($O448*$P448,2),IF($C448="","",0))</f>
        <v/>
      </c>
      <c r="T448" s="20" t="n"/>
      <c r="U448">
        <f>IF($C448="","",IF($R448&lt;&gt;"SI","",IF($T448="","SIN DATO",IF(ABS($T448-$S448)&lt;=0.5,"OK","REVISAR"))))</f>
        <v/>
      </c>
      <c r="V448" s="20" t="n"/>
      <c r="W448" s="20">
        <f>IF(OR($C448="",$N448=""),"",IF($F448="RHE",ROUND($L448-$V448,2),ROUND($L448-($S448/$N448),2)))</f>
        <v/>
      </c>
      <c r="X448" s="25" t="n"/>
      <c r="Y448" s="25" t="n"/>
    </row>
    <row r="449">
      <c r="A449" t="n">
        <v>446</v>
      </c>
      <c r="B449" s="25" t="n"/>
      <c r="D449" s="30" t="n"/>
      <c r="G449" s="30" t="n"/>
      <c r="H449">
        <f>IF($G449="","",IFERROR(INDEX(Catalogo_Etiquetas,MATCH($G449,Catalogo_Codigos,0)),"CODIGO NO VALIDO"))</f>
        <v/>
      </c>
      <c r="J449" s="20" t="n"/>
      <c r="K449" s="20" t="n"/>
      <c r="L449" s="20">
        <f>IF($C449="","",$J449+$K449)</f>
        <v/>
      </c>
      <c r="M449" s="30" t="n"/>
      <c r="N449" s="26">
        <f>IF($C449="","",IF($I449="PEN",1,IFERROR(IF(_xlfn.XLOOKUP($B449,TC_Fechas,TC_Venta_Rango,"",-1)="","",_xlfn.XLOOKUP($B449,TC_Fechas,TC_Venta_Rango,"",-1)),"")))</f>
        <v/>
      </c>
      <c r="O449" s="20">
        <f>IF(OR($C449="",$N449=""),"",ROUND($J449*$N449,2)+ROUND($K449*$N449,2))</f>
        <v/>
      </c>
      <c r="P449" s="31">
        <f>IF($G449="","",IFERROR(INDEX(Catalogo_Tasas,MATCH($G449,Catalogo_Codigos,0)),""))</f>
        <v/>
      </c>
      <c r="Q449" s="32">
        <f>IF($G449="","",IFERROR(INDEX(Catalogo_Umbrales,MATCH($G449,Catalogo_Codigos,0)),""))</f>
        <v/>
      </c>
      <c r="R449">
        <f>IF(OR($C449="",$P449="",$O449=""),"",IF($F449&lt;&gt;"FACTURA","NO",IF(AND($P449&gt;0,$O449&gt;$Q449),"SI","NO")))</f>
        <v/>
      </c>
      <c r="S449" s="20">
        <f>IF($R449="SI",ROUND($O449*$P449,2),IF($C449="","",0))</f>
        <v/>
      </c>
      <c r="T449" s="20" t="n"/>
      <c r="U449">
        <f>IF($C449="","",IF($R449&lt;&gt;"SI","",IF($T449="","SIN DATO",IF(ABS($T449-$S449)&lt;=0.5,"OK","REVISAR"))))</f>
        <v/>
      </c>
      <c r="V449" s="20" t="n"/>
      <c r="W449" s="20">
        <f>IF(OR($C449="",$N449=""),"",IF($F449="RHE",ROUND($L449-$V449,2),ROUND($L449-($S449/$N449),2)))</f>
        <v/>
      </c>
      <c r="X449" s="25" t="n"/>
      <c r="Y449" s="25" t="n"/>
    </row>
    <row r="450">
      <c r="A450" t="n">
        <v>447</v>
      </c>
      <c r="B450" s="25" t="n"/>
      <c r="D450" s="30" t="n"/>
      <c r="G450" s="30" t="n"/>
      <c r="H450">
        <f>IF($G450="","",IFERROR(INDEX(Catalogo_Etiquetas,MATCH($G450,Catalogo_Codigos,0)),"CODIGO NO VALIDO"))</f>
        <v/>
      </c>
      <c r="J450" s="20" t="n"/>
      <c r="K450" s="20" t="n"/>
      <c r="L450" s="20">
        <f>IF($C450="","",$J450+$K450)</f>
        <v/>
      </c>
      <c r="M450" s="30" t="n"/>
      <c r="N450" s="26">
        <f>IF($C450="","",IF($I450="PEN",1,IFERROR(IF(_xlfn.XLOOKUP($B450,TC_Fechas,TC_Venta_Rango,"",-1)="","",_xlfn.XLOOKUP($B450,TC_Fechas,TC_Venta_Rango,"",-1)),"")))</f>
        <v/>
      </c>
      <c r="O450" s="20">
        <f>IF(OR($C450="",$N450=""),"",ROUND($J450*$N450,2)+ROUND($K450*$N450,2))</f>
        <v/>
      </c>
      <c r="P450" s="31">
        <f>IF($G450="","",IFERROR(INDEX(Catalogo_Tasas,MATCH($G450,Catalogo_Codigos,0)),""))</f>
        <v/>
      </c>
      <c r="Q450" s="32">
        <f>IF($G450="","",IFERROR(INDEX(Catalogo_Umbrales,MATCH($G450,Catalogo_Codigos,0)),""))</f>
        <v/>
      </c>
      <c r="R450">
        <f>IF(OR($C450="",$P450="",$O450=""),"",IF($F450&lt;&gt;"FACTURA","NO",IF(AND($P450&gt;0,$O450&gt;$Q450),"SI","NO")))</f>
        <v/>
      </c>
      <c r="S450" s="20">
        <f>IF($R450="SI",ROUND($O450*$P450,2),IF($C450="","",0))</f>
        <v/>
      </c>
      <c r="T450" s="20" t="n"/>
      <c r="U450">
        <f>IF($C450="","",IF($R450&lt;&gt;"SI","",IF($T450="","SIN DATO",IF(ABS($T450-$S450)&lt;=0.5,"OK","REVISAR"))))</f>
        <v/>
      </c>
      <c r="V450" s="20" t="n"/>
      <c r="W450" s="20">
        <f>IF(OR($C450="",$N450=""),"",IF($F450="RHE",ROUND($L450-$V450,2),ROUND($L450-($S450/$N450),2)))</f>
        <v/>
      </c>
      <c r="X450" s="25" t="n"/>
      <c r="Y450" s="25" t="n"/>
    </row>
    <row r="451">
      <c r="A451" t="n">
        <v>448</v>
      </c>
      <c r="B451" s="25" t="n"/>
      <c r="D451" s="30" t="n"/>
      <c r="G451" s="30" t="n"/>
      <c r="H451">
        <f>IF($G451="","",IFERROR(INDEX(Catalogo_Etiquetas,MATCH($G451,Catalogo_Codigos,0)),"CODIGO NO VALIDO"))</f>
        <v/>
      </c>
      <c r="J451" s="20" t="n"/>
      <c r="K451" s="20" t="n"/>
      <c r="L451" s="20">
        <f>IF($C451="","",$J451+$K451)</f>
        <v/>
      </c>
      <c r="M451" s="30" t="n"/>
      <c r="N451" s="26">
        <f>IF($C451="","",IF($I451="PEN",1,IFERROR(IF(_xlfn.XLOOKUP($B451,TC_Fechas,TC_Venta_Rango,"",-1)="","",_xlfn.XLOOKUP($B451,TC_Fechas,TC_Venta_Rango,"",-1)),"")))</f>
        <v/>
      </c>
      <c r="O451" s="20">
        <f>IF(OR($C451="",$N451=""),"",ROUND($J451*$N451,2)+ROUND($K451*$N451,2))</f>
        <v/>
      </c>
      <c r="P451" s="31">
        <f>IF($G451="","",IFERROR(INDEX(Catalogo_Tasas,MATCH($G451,Catalogo_Codigos,0)),""))</f>
        <v/>
      </c>
      <c r="Q451" s="32">
        <f>IF($G451="","",IFERROR(INDEX(Catalogo_Umbrales,MATCH($G451,Catalogo_Codigos,0)),""))</f>
        <v/>
      </c>
      <c r="R451">
        <f>IF(OR($C451="",$P451="",$O451=""),"",IF($F451&lt;&gt;"FACTURA","NO",IF(AND($P451&gt;0,$O451&gt;$Q451),"SI","NO")))</f>
        <v/>
      </c>
      <c r="S451" s="20">
        <f>IF($R451="SI",ROUND($O451*$P451,2),IF($C451="","",0))</f>
        <v/>
      </c>
      <c r="T451" s="20" t="n"/>
      <c r="U451">
        <f>IF($C451="","",IF($R451&lt;&gt;"SI","",IF($T451="","SIN DATO",IF(ABS($T451-$S451)&lt;=0.5,"OK","REVISAR"))))</f>
        <v/>
      </c>
      <c r="V451" s="20" t="n"/>
      <c r="W451" s="20">
        <f>IF(OR($C451="",$N451=""),"",IF($F451="RHE",ROUND($L451-$V451,2),ROUND($L451-($S451/$N451),2)))</f>
        <v/>
      </c>
      <c r="X451" s="25" t="n"/>
      <c r="Y451" s="25" t="n"/>
    </row>
    <row r="452">
      <c r="A452" t="n">
        <v>449</v>
      </c>
      <c r="B452" s="25" t="n"/>
      <c r="D452" s="30" t="n"/>
      <c r="G452" s="30" t="n"/>
      <c r="H452">
        <f>IF($G452="","",IFERROR(INDEX(Catalogo_Etiquetas,MATCH($G452,Catalogo_Codigos,0)),"CODIGO NO VALIDO"))</f>
        <v/>
      </c>
      <c r="J452" s="20" t="n"/>
      <c r="K452" s="20" t="n"/>
      <c r="L452" s="20">
        <f>IF($C452="","",$J452+$K452)</f>
        <v/>
      </c>
      <c r="M452" s="30" t="n"/>
      <c r="N452" s="26">
        <f>IF($C452="","",IF($I452="PEN",1,IFERROR(IF(_xlfn.XLOOKUP($B452,TC_Fechas,TC_Venta_Rango,"",-1)="","",_xlfn.XLOOKUP($B452,TC_Fechas,TC_Venta_Rango,"",-1)),"")))</f>
        <v/>
      </c>
      <c r="O452" s="20">
        <f>IF(OR($C452="",$N452=""),"",ROUND($J452*$N452,2)+ROUND($K452*$N452,2))</f>
        <v/>
      </c>
      <c r="P452" s="31">
        <f>IF($G452="","",IFERROR(INDEX(Catalogo_Tasas,MATCH($G452,Catalogo_Codigos,0)),""))</f>
        <v/>
      </c>
      <c r="Q452" s="32">
        <f>IF($G452="","",IFERROR(INDEX(Catalogo_Umbrales,MATCH($G452,Catalogo_Codigos,0)),""))</f>
        <v/>
      </c>
      <c r="R452">
        <f>IF(OR($C452="",$P452="",$O452=""),"",IF($F452&lt;&gt;"FACTURA","NO",IF(AND($P452&gt;0,$O452&gt;$Q452),"SI","NO")))</f>
        <v/>
      </c>
      <c r="S452" s="20">
        <f>IF($R452="SI",ROUND($O452*$P452,2),IF($C452="","",0))</f>
        <v/>
      </c>
      <c r="T452" s="20" t="n"/>
      <c r="U452">
        <f>IF($C452="","",IF($R452&lt;&gt;"SI","",IF($T452="","SIN DATO",IF(ABS($T452-$S452)&lt;=0.5,"OK","REVISAR"))))</f>
        <v/>
      </c>
      <c r="V452" s="20" t="n"/>
      <c r="W452" s="20">
        <f>IF(OR($C452="",$N452=""),"",IF($F452="RHE",ROUND($L452-$V452,2),ROUND($L452-($S452/$N452),2)))</f>
        <v/>
      </c>
      <c r="X452" s="25" t="n"/>
      <c r="Y452" s="25" t="n"/>
    </row>
    <row r="453">
      <c r="A453" t="n">
        <v>450</v>
      </c>
      <c r="B453" s="25" t="n"/>
      <c r="D453" s="30" t="n"/>
      <c r="G453" s="30" t="n"/>
      <c r="H453">
        <f>IF($G453="","",IFERROR(INDEX(Catalogo_Etiquetas,MATCH($G453,Catalogo_Codigos,0)),"CODIGO NO VALIDO"))</f>
        <v/>
      </c>
      <c r="J453" s="20" t="n"/>
      <c r="K453" s="20" t="n"/>
      <c r="L453" s="20">
        <f>IF($C453="","",$J453+$K453)</f>
        <v/>
      </c>
      <c r="M453" s="30" t="n"/>
      <c r="N453" s="26">
        <f>IF($C453="","",IF($I453="PEN",1,IFERROR(IF(_xlfn.XLOOKUP($B453,TC_Fechas,TC_Venta_Rango,"",-1)="","",_xlfn.XLOOKUP($B453,TC_Fechas,TC_Venta_Rango,"",-1)),"")))</f>
        <v/>
      </c>
      <c r="O453" s="20">
        <f>IF(OR($C453="",$N453=""),"",ROUND($J453*$N453,2)+ROUND($K453*$N453,2))</f>
        <v/>
      </c>
      <c r="P453" s="31">
        <f>IF($G453="","",IFERROR(INDEX(Catalogo_Tasas,MATCH($G453,Catalogo_Codigos,0)),""))</f>
        <v/>
      </c>
      <c r="Q453" s="32">
        <f>IF($G453="","",IFERROR(INDEX(Catalogo_Umbrales,MATCH($G453,Catalogo_Codigos,0)),""))</f>
        <v/>
      </c>
      <c r="R453">
        <f>IF(OR($C453="",$P453="",$O453=""),"",IF($F453&lt;&gt;"FACTURA","NO",IF(AND($P453&gt;0,$O453&gt;$Q453),"SI","NO")))</f>
        <v/>
      </c>
      <c r="S453" s="20">
        <f>IF($R453="SI",ROUND($O453*$P453,2),IF($C453="","",0))</f>
        <v/>
      </c>
      <c r="T453" s="20" t="n"/>
      <c r="U453">
        <f>IF($C453="","",IF($R453&lt;&gt;"SI","",IF($T453="","SIN DATO",IF(ABS($T453-$S453)&lt;=0.5,"OK","REVISAR"))))</f>
        <v/>
      </c>
      <c r="V453" s="20" t="n"/>
      <c r="W453" s="20">
        <f>IF(OR($C453="",$N453=""),"",IF($F453="RHE",ROUND($L453-$V453,2),ROUND($L453-($S453/$N453),2)))</f>
        <v/>
      </c>
      <c r="X453" s="25" t="n"/>
      <c r="Y453" s="25" t="n"/>
    </row>
    <row r="454">
      <c r="A454" t="n">
        <v>451</v>
      </c>
      <c r="B454" s="25" t="n"/>
      <c r="D454" s="30" t="n"/>
      <c r="G454" s="30" t="n"/>
      <c r="H454">
        <f>IF($G454="","",IFERROR(INDEX(Catalogo_Etiquetas,MATCH($G454,Catalogo_Codigos,0)),"CODIGO NO VALIDO"))</f>
        <v/>
      </c>
      <c r="J454" s="20" t="n"/>
      <c r="K454" s="20" t="n"/>
      <c r="L454" s="20">
        <f>IF($C454="","",$J454+$K454)</f>
        <v/>
      </c>
      <c r="M454" s="30" t="n"/>
      <c r="N454" s="26">
        <f>IF($C454="","",IF($I454="PEN",1,IFERROR(IF(_xlfn.XLOOKUP($B454,TC_Fechas,TC_Venta_Rango,"",-1)="","",_xlfn.XLOOKUP($B454,TC_Fechas,TC_Venta_Rango,"",-1)),"")))</f>
        <v/>
      </c>
      <c r="O454" s="20">
        <f>IF(OR($C454="",$N454=""),"",ROUND($J454*$N454,2)+ROUND($K454*$N454,2))</f>
        <v/>
      </c>
      <c r="P454" s="31">
        <f>IF($G454="","",IFERROR(INDEX(Catalogo_Tasas,MATCH($G454,Catalogo_Codigos,0)),""))</f>
        <v/>
      </c>
      <c r="Q454" s="32">
        <f>IF($G454="","",IFERROR(INDEX(Catalogo_Umbrales,MATCH($G454,Catalogo_Codigos,0)),""))</f>
        <v/>
      </c>
      <c r="R454">
        <f>IF(OR($C454="",$P454="",$O454=""),"",IF($F454&lt;&gt;"FACTURA","NO",IF(AND($P454&gt;0,$O454&gt;$Q454),"SI","NO")))</f>
        <v/>
      </c>
      <c r="S454" s="20">
        <f>IF($R454="SI",ROUND($O454*$P454,2),IF($C454="","",0))</f>
        <v/>
      </c>
      <c r="T454" s="20" t="n"/>
      <c r="U454">
        <f>IF($C454="","",IF($R454&lt;&gt;"SI","",IF($T454="","SIN DATO",IF(ABS($T454-$S454)&lt;=0.5,"OK","REVISAR"))))</f>
        <v/>
      </c>
      <c r="V454" s="20" t="n"/>
      <c r="W454" s="20">
        <f>IF(OR($C454="",$N454=""),"",IF($F454="RHE",ROUND($L454-$V454,2),ROUND($L454-($S454/$N454),2)))</f>
        <v/>
      </c>
      <c r="X454" s="25" t="n"/>
      <c r="Y454" s="25" t="n"/>
    </row>
    <row r="455">
      <c r="A455" t="n">
        <v>452</v>
      </c>
      <c r="B455" s="25" t="n"/>
      <c r="D455" s="30" t="n"/>
      <c r="G455" s="30" t="n"/>
      <c r="H455">
        <f>IF($G455="","",IFERROR(INDEX(Catalogo_Etiquetas,MATCH($G455,Catalogo_Codigos,0)),"CODIGO NO VALIDO"))</f>
        <v/>
      </c>
      <c r="J455" s="20" t="n"/>
      <c r="K455" s="20" t="n"/>
      <c r="L455" s="20">
        <f>IF($C455="","",$J455+$K455)</f>
        <v/>
      </c>
      <c r="M455" s="30" t="n"/>
      <c r="N455" s="26">
        <f>IF($C455="","",IF($I455="PEN",1,IFERROR(IF(_xlfn.XLOOKUP($B455,TC_Fechas,TC_Venta_Rango,"",-1)="","",_xlfn.XLOOKUP($B455,TC_Fechas,TC_Venta_Rango,"",-1)),"")))</f>
        <v/>
      </c>
      <c r="O455" s="20">
        <f>IF(OR($C455="",$N455=""),"",ROUND($J455*$N455,2)+ROUND($K455*$N455,2))</f>
        <v/>
      </c>
      <c r="P455" s="31">
        <f>IF($G455="","",IFERROR(INDEX(Catalogo_Tasas,MATCH($G455,Catalogo_Codigos,0)),""))</f>
        <v/>
      </c>
      <c r="Q455" s="32">
        <f>IF($G455="","",IFERROR(INDEX(Catalogo_Umbrales,MATCH($G455,Catalogo_Codigos,0)),""))</f>
        <v/>
      </c>
      <c r="R455">
        <f>IF(OR($C455="",$P455="",$O455=""),"",IF($F455&lt;&gt;"FACTURA","NO",IF(AND($P455&gt;0,$O455&gt;$Q455),"SI","NO")))</f>
        <v/>
      </c>
      <c r="S455" s="20">
        <f>IF($R455="SI",ROUND($O455*$P455,2),IF($C455="","",0))</f>
        <v/>
      </c>
      <c r="T455" s="20" t="n"/>
      <c r="U455">
        <f>IF($C455="","",IF($R455&lt;&gt;"SI","",IF($T455="","SIN DATO",IF(ABS($T455-$S455)&lt;=0.5,"OK","REVISAR"))))</f>
        <v/>
      </c>
      <c r="V455" s="20" t="n"/>
      <c r="W455" s="20">
        <f>IF(OR($C455="",$N455=""),"",IF($F455="RHE",ROUND($L455-$V455,2),ROUND($L455-($S455/$N455),2)))</f>
        <v/>
      </c>
      <c r="X455" s="25" t="n"/>
      <c r="Y455" s="25" t="n"/>
    </row>
    <row r="456">
      <c r="A456" t="n">
        <v>453</v>
      </c>
      <c r="B456" s="25" t="n"/>
      <c r="D456" s="30" t="n"/>
      <c r="G456" s="30" t="n"/>
      <c r="H456">
        <f>IF($G456="","",IFERROR(INDEX(Catalogo_Etiquetas,MATCH($G456,Catalogo_Codigos,0)),"CODIGO NO VALIDO"))</f>
        <v/>
      </c>
      <c r="J456" s="20" t="n"/>
      <c r="K456" s="20" t="n"/>
      <c r="L456" s="20">
        <f>IF($C456="","",$J456+$K456)</f>
        <v/>
      </c>
      <c r="M456" s="30" t="n"/>
      <c r="N456" s="26">
        <f>IF($C456="","",IF($I456="PEN",1,IFERROR(IF(_xlfn.XLOOKUP($B456,TC_Fechas,TC_Venta_Rango,"",-1)="","",_xlfn.XLOOKUP($B456,TC_Fechas,TC_Venta_Rango,"",-1)),"")))</f>
        <v/>
      </c>
      <c r="O456" s="20">
        <f>IF(OR($C456="",$N456=""),"",ROUND($J456*$N456,2)+ROUND($K456*$N456,2))</f>
        <v/>
      </c>
      <c r="P456" s="31">
        <f>IF($G456="","",IFERROR(INDEX(Catalogo_Tasas,MATCH($G456,Catalogo_Codigos,0)),""))</f>
        <v/>
      </c>
      <c r="Q456" s="32">
        <f>IF($G456="","",IFERROR(INDEX(Catalogo_Umbrales,MATCH($G456,Catalogo_Codigos,0)),""))</f>
        <v/>
      </c>
      <c r="R456">
        <f>IF(OR($C456="",$P456="",$O456=""),"",IF($F456&lt;&gt;"FACTURA","NO",IF(AND($P456&gt;0,$O456&gt;$Q456),"SI","NO")))</f>
        <v/>
      </c>
      <c r="S456" s="20">
        <f>IF($R456="SI",ROUND($O456*$P456,2),IF($C456="","",0))</f>
        <v/>
      </c>
      <c r="T456" s="20" t="n"/>
      <c r="U456">
        <f>IF($C456="","",IF($R456&lt;&gt;"SI","",IF($T456="","SIN DATO",IF(ABS($T456-$S456)&lt;=0.5,"OK","REVISAR"))))</f>
        <v/>
      </c>
      <c r="V456" s="20" t="n"/>
      <c r="W456" s="20">
        <f>IF(OR($C456="",$N456=""),"",IF($F456="RHE",ROUND($L456-$V456,2),ROUND($L456-($S456/$N456),2)))</f>
        <v/>
      </c>
      <c r="X456" s="25" t="n"/>
      <c r="Y456" s="25" t="n"/>
    </row>
    <row r="457">
      <c r="A457" t="n">
        <v>454</v>
      </c>
      <c r="B457" s="25" t="n"/>
      <c r="D457" s="30" t="n"/>
      <c r="G457" s="30" t="n"/>
      <c r="H457">
        <f>IF($G457="","",IFERROR(INDEX(Catalogo_Etiquetas,MATCH($G457,Catalogo_Codigos,0)),"CODIGO NO VALIDO"))</f>
        <v/>
      </c>
      <c r="J457" s="20" t="n"/>
      <c r="K457" s="20" t="n"/>
      <c r="L457" s="20">
        <f>IF($C457="","",$J457+$K457)</f>
        <v/>
      </c>
      <c r="M457" s="30" t="n"/>
      <c r="N457" s="26">
        <f>IF($C457="","",IF($I457="PEN",1,IFERROR(IF(_xlfn.XLOOKUP($B457,TC_Fechas,TC_Venta_Rango,"",-1)="","",_xlfn.XLOOKUP($B457,TC_Fechas,TC_Venta_Rango,"",-1)),"")))</f>
        <v/>
      </c>
      <c r="O457" s="20">
        <f>IF(OR($C457="",$N457=""),"",ROUND($J457*$N457,2)+ROUND($K457*$N457,2))</f>
        <v/>
      </c>
      <c r="P457" s="31">
        <f>IF($G457="","",IFERROR(INDEX(Catalogo_Tasas,MATCH($G457,Catalogo_Codigos,0)),""))</f>
        <v/>
      </c>
      <c r="Q457" s="32">
        <f>IF($G457="","",IFERROR(INDEX(Catalogo_Umbrales,MATCH($G457,Catalogo_Codigos,0)),""))</f>
        <v/>
      </c>
      <c r="R457">
        <f>IF(OR($C457="",$P457="",$O457=""),"",IF($F457&lt;&gt;"FACTURA","NO",IF(AND($P457&gt;0,$O457&gt;$Q457),"SI","NO")))</f>
        <v/>
      </c>
      <c r="S457" s="20">
        <f>IF($R457="SI",ROUND($O457*$P457,2),IF($C457="","",0))</f>
        <v/>
      </c>
      <c r="T457" s="20" t="n"/>
      <c r="U457">
        <f>IF($C457="","",IF($R457&lt;&gt;"SI","",IF($T457="","SIN DATO",IF(ABS($T457-$S457)&lt;=0.5,"OK","REVISAR"))))</f>
        <v/>
      </c>
      <c r="V457" s="20" t="n"/>
      <c r="W457" s="20">
        <f>IF(OR($C457="",$N457=""),"",IF($F457="RHE",ROUND($L457-$V457,2),ROUND($L457-($S457/$N457),2)))</f>
        <v/>
      </c>
      <c r="X457" s="25" t="n"/>
      <c r="Y457" s="25" t="n"/>
    </row>
    <row r="458">
      <c r="A458" t="n">
        <v>455</v>
      </c>
      <c r="B458" s="25" t="n"/>
      <c r="D458" s="30" t="n"/>
      <c r="G458" s="30" t="n"/>
      <c r="H458">
        <f>IF($G458="","",IFERROR(INDEX(Catalogo_Etiquetas,MATCH($G458,Catalogo_Codigos,0)),"CODIGO NO VALIDO"))</f>
        <v/>
      </c>
      <c r="J458" s="20" t="n"/>
      <c r="K458" s="20" t="n"/>
      <c r="L458" s="20">
        <f>IF($C458="","",$J458+$K458)</f>
        <v/>
      </c>
      <c r="M458" s="30" t="n"/>
      <c r="N458" s="26">
        <f>IF($C458="","",IF($I458="PEN",1,IFERROR(IF(_xlfn.XLOOKUP($B458,TC_Fechas,TC_Venta_Rango,"",-1)="","",_xlfn.XLOOKUP($B458,TC_Fechas,TC_Venta_Rango,"",-1)),"")))</f>
        <v/>
      </c>
      <c r="O458" s="20">
        <f>IF(OR($C458="",$N458=""),"",ROUND($J458*$N458,2)+ROUND($K458*$N458,2))</f>
        <v/>
      </c>
      <c r="P458" s="31">
        <f>IF($G458="","",IFERROR(INDEX(Catalogo_Tasas,MATCH($G458,Catalogo_Codigos,0)),""))</f>
        <v/>
      </c>
      <c r="Q458" s="32">
        <f>IF($G458="","",IFERROR(INDEX(Catalogo_Umbrales,MATCH($G458,Catalogo_Codigos,0)),""))</f>
        <v/>
      </c>
      <c r="R458">
        <f>IF(OR($C458="",$P458="",$O458=""),"",IF($F458&lt;&gt;"FACTURA","NO",IF(AND($P458&gt;0,$O458&gt;$Q458),"SI","NO")))</f>
        <v/>
      </c>
      <c r="S458" s="20">
        <f>IF($R458="SI",ROUND($O458*$P458,2),IF($C458="","",0))</f>
        <v/>
      </c>
      <c r="T458" s="20" t="n"/>
      <c r="U458">
        <f>IF($C458="","",IF($R458&lt;&gt;"SI","",IF($T458="","SIN DATO",IF(ABS($T458-$S458)&lt;=0.5,"OK","REVISAR"))))</f>
        <v/>
      </c>
      <c r="V458" s="20" t="n"/>
      <c r="W458" s="20">
        <f>IF(OR($C458="",$N458=""),"",IF($F458="RHE",ROUND($L458-$V458,2),ROUND($L458-($S458/$N458),2)))</f>
        <v/>
      </c>
      <c r="X458" s="25" t="n"/>
      <c r="Y458" s="25" t="n"/>
    </row>
    <row r="459">
      <c r="A459" t="n">
        <v>456</v>
      </c>
      <c r="B459" s="25" t="n"/>
      <c r="D459" s="30" t="n"/>
      <c r="G459" s="30" t="n"/>
      <c r="H459">
        <f>IF($G459="","",IFERROR(INDEX(Catalogo_Etiquetas,MATCH($G459,Catalogo_Codigos,0)),"CODIGO NO VALIDO"))</f>
        <v/>
      </c>
      <c r="J459" s="20" t="n"/>
      <c r="K459" s="20" t="n"/>
      <c r="L459" s="20">
        <f>IF($C459="","",$J459+$K459)</f>
        <v/>
      </c>
      <c r="M459" s="30" t="n"/>
      <c r="N459" s="26">
        <f>IF($C459="","",IF($I459="PEN",1,IFERROR(IF(_xlfn.XLOOKUP($B459,TC_Fechas,TC_Venta_Rango,"",-1)="","",_xlfn.XLOOKUP($B459,TC_Fechas,TC_Venta_Rango,"",-1)),"")))</f>
        <v/>
      </c>
      <c r="O459" s="20">
        <f>IF(OR($C459="",$N459=""),"",ROUND($J459*$N459,2)+ROUND($K459*$N459,2))</f>
        <v/>
      </c>
      <c r="P459" s="31">
        <f>IF($G459="","",IFERROR(INDEX(Catalogo_Tasas,MATCH($G459,Catalogo_Codigos,0)),""))</f>
        <v/>
      </c>
      <c r="Q459" s="32">
        <f>IF($G459="","",IFERROR(INDEX(Catalogo_Umbrales,MATCH($G459,Catalogo_Codigos,0)),""))</f>
        <v/>
      </c>
      <c r="R459">
        <f>IF(OR($C459="",$P459="",$O459=""),"",IF($F459&lt;&gt;"FACTURA","NO",IF(AND($P459&gt;0,$O459&gt;$Q459),"SI","NO")))</f>
        <v/>
      </c>
      <c r="S459" s="20">
        <f>IF($R459="SI",ROUND($O459*$P459,2),IF($C459="","",0))</f>
        <v/>
      </c>
      <c r="T459" s="20" t="n"/>
      <c r="U459">
        <f>IF($C459="","",IF($R459&lt;&gt;"SI","",IF($T459="","SIN DATO",IF(ABS($T459-$S459)&lt;=0.5,"OK","REVISAR"))))</f>
        <v/>
      </c>
      <c r="V459" s="20" t="n"/>
      <c r="W459" s="20">
        <f>IF(OR($C459="",$N459=""),"",IF($F459="RHE",ROUND($L459-$V459,2),ROUND($L459-($S459/$N459),2)))</f>
        <v/>
      </c>
      <c r="X459" s="25" t="n"/>
      <c r="Y459" s="25" t="n"/>
    </row>
    <row r="460">
      <c r="A460" t="n">
        <v>457</v>
      </c>
      <c r="B460" s="25" t="n"/>
      <c r="D460" s="30" t="n"/>
      <c r="G460" s="30" t="n"/>
      <c r="H460">
        <f>IF($G460="","",IFERROR(INDEX(Catalogo_Etiquetas,MATCH($G460,Catalogo_Codigos,0)),"CODIGO NO VALIDO"))</f>
        <v/>
      </c>
      <c r="J460" s="20" t="n"/>
      <c r="K460" s="20" t="n"/>
      <c r="L460" s="20">
        <f>IF($C460="","",$J460+$K460)</f>
        <v/>
      </c>
      <c r="M460" s="30" t="n"/>
      <c r="N460" s="26">
        <f>IF($C460="","",IF($I460="PEN",1,IFERROR(IF(_xlfn.XLOOKUP($B460,TC_Fechas,TC_Venta_Rango,"",-1)="","",_xlfn.XLOOKUP($B460,TC_Fechas,TC_Venta_Rango,"",-1)),"")))</f>
        <v/>
      </c>
      <c r="O460" s="20">
        <f>IF(OR($C460="",$N460=""),"",ROUND($J460*$N460,2)+ROUND($K460*$N460,2))</f>
        <v/>
      </c>
      <c r="P460" s="31">
        <f>IF($G460="","",IFERROR(INDEX(Catalogo_Tasas,MATCH($G460,Catalogo_Codigos,0)),""))</f>
        <v/>
      </c>
      <c r="Q460" s="32">
        <f>IF($G460="","",IFERROR(INDEX(Catalogo_Umbrales,MATCH($G460,Catalogo_Codigos,0)),""))</f>
        <v/>
      </c>
      <c r="R460">
        <f>IF(OR($C460="",$P460="",$O460=""),"",IF($F460&lt;&gt;"FACTURA","NO",IF(AND($P460&gt;0,$O460&gt;$Q460),"SI","NO")))</f>
        <v/>
      </c>
      <c r="S460" s="20">
        <f>IF($R460="SI",ROUND($O460*$P460,2),IF($C460="","",0))</f>
        <v/>
      </c>
      <c r="T460" s="20" t="n"/>
      <c r="U460">
        <f>IF($C460="","",IF($R460&lt;&gt;"SI","",IF($T460="","SIN DATO",IF(ABS($T460-$S460)&lt;=0.5,"OK","REVISAR"))))</f>
        <v/>
      </c>
      <c r="V460" s="20" t="n"/>
      <c r="W460" s="20">
        <f>IF(OR($C460="",$N460=""),"",IF($F460="RHE",ROUND($L460-$V460,2),ROUND($L460-($S460/$N460),2)))</f>
        <v/>
      </c>
      <c r="X460" s="25" t="n"/>
      <c r="Y460" s="25" t="n"/>
    </row>
    <row r="461">
      <c r="A461" t="n">
        <v>458</v>
      </c>
      <c r="B461" s="25" t="n"/>
      <c r="D461" s="30" t="n"/>
      <c r="G461" s="30" t="n"/>
      <c r="H461">
        <f>IF($G461="","",IFERROR(INDEX(Catalogo_Etiquetas,MATCH($G461,Catalogo_Codigos,0)),"CODIGO NO VALIDO"))</f>
        <v/>
      </c>
      <c r="J461" s="20" t="n"/>
      <c r="K461" s="20" t="n"/>
      <c r="L461" s="20">
        <f>IF($C461="","",$J461+$K461)</f>
        <v/>
      </c>
      <c r="M461" s="30" t="n"/>
      <c r="N461" s="26">
        <f>IF($C461="","",IF($I461="PEN",1,IFERROR(IF(_xlfn.XLOOKUP($B461,TC_Fechas,TC_Venta_Rango,"",-1)="","",_xlfn.XLOOKUP($B461,TC_Fechas,TC_Venta_Rango,"",-1)),"")))</f>
        <v/>
      </c>
      <c r="O461" s="20">
        <f>IF(OR($C461="",$N461=""),"",ROUND($J461*$N461,2)+ROUND($K461*$N461,2))</f>
        <v/>
      </c>
      <c r="P461" s="31">
        <f>IF($G461="","",IFERROR(INDEX(Catalogo_Tasas,MATCH($G461,Catalogo_Codigos,0)),""))</f>
        <v/>
      </c>
      <c r="Q461" s="32">
        <f>IF($G461="","",IFERROR(INDEX(Catalogo_Umbrales,MATCH($G461,Catalogo_Codigos,0)),""))</f>
        <v/>
      </c>
      <c r="R461">
        <f>IF(OR($C461="",$P461="",$O461=""),"",IF($F461&lt;&gt;"FACTURA","NO",IF(AND($P461&gt;0,$O461&gt;$Q461),"SI","NO")))</f>
        <v/>
      </c>
      <c r="S461" s="20">
        <f>IF($R461="SI",ROUND($O461*$P461,2),IF($C461="","",0))</f>
        <v/>
      </c>
      <c r="T461" s="20" t="n"/>
      <c r="U461">
        <f>IF($C461="","",IF($R461&lt;&gt;"SI","",IF($T461="","SIN DATO",IF(ABS($T461-$S461)&lt;=0.5,"OK","REVISAR"))))</f>
        <v/>
      </c>
      <c r="V461" s="20" t="n"/>
      <c r="W461" s="20">
        <f>IF(OR($C461="",$N461=""),"",IF($F461="RHE",ROUND($L461-$V461,2),ROUND($L461-($S461/$N461),2)))</f>
        <v/>
      </c>
      <c r="X461" s="25" t="n"/>
      <c r="Y461" s="25" t="n"/>
    </row>
    <row r="462">
      <c r="A462" t="n">
        <v>459</v>
      </c>
      <c r="B462" s="25" t="n"/>
      <c r="D462" s="30" t="n"/>
      <c r="G462" s="30" t="n"/>
      <c r="H462">
        <f>IF($G462="","",IFERROR(INDEX(Catalogo_Etiquetas,MATCH($G462,Catalogo_Codigos,0)),"CODIGO NO VALIDO"))</f>
        <v/>
      </c>
      <c r="J462" s="20" t="n"/>
      <c r="K462" s="20" t="n"/>
      <c r="L462" s="20">
        <f>IF($C462="","",$J462+$K462)</f>
        <v/>
      </c>
      <c r="M462" s="30" t="n"/>
      <c r="N462" s="26">
        <f>IF($C462="","",IF($I462="PEN",1,IFERROR(IF(_xlfn.XLOOKUP($B462,TC_Fechas,TC_Venta_Rango,"",-1)="","",_xlfn.XLOOKUP($B462,TC_Fechas,TC_Venta_Rango,"",-1)),"")))</f>
        <v/>
      </c>
      <c r="O462" s="20">
        <f>IF(OR($C462="",$N462=""),"",ROUND($J462*$N462,2)+ROUND($K462*$N462,2))</f>
        <v/>
      </c>
      <c r="P462" s="31">
        <f>IF($G462="","",IFERROR(INDEX(Catalogo_Tasas,MATCH($G462,Catalogo_Codigos,0)),""))</f>
        <v/>
      </c>
      <c r="Q462" s="32">
        <f>IF($G462="","",IFERROR(INDEX(Catalogo_Umbrales,MATCH($G462,Catalogo_Codigos,0)),""))</f>
        <v/>
      </c>
      <c r="R462">
        <f>IF(OR($C462="",$P462="",$O462=""),"",IF($F462&lt;&gt;"FACTURA","NO",IF(AND($P462&gt;0,$O462&gt;$Q462),"SI","NO")))</f>
        <v/>
      </c>
      <c r="S462" s="20">
        <f>IF($R462="SI",ROUND($O462*$P462,2),IF($C462="","",0))</f>
        <v/>
      </c>
      <c r="T462" s="20" t="n"/>
      <c r="U462">
        <f>IF($C462="","",IF($R462&lt;&gt;"SI","",IF($T462="","SIN DATO",IF(ABS($T462-$S462)&lt;=0.5,"OK","REVISAR"))))</f>
        <v/>
      </c>
      <c r="V462" s="20" t="n"/>
      <c r="W462" s="20">
        <f>IF(OR($C462="",$N462=""),"",IF($F462="RHE",ROUND($L462-$V462,2),ROUND($L462-($S462/$N462),2)))</f>
        <v/>
      </c>
      <c r="X462" s="25" t="n"/>
      <c r="Y462" s="25" t="n"/>
    </row>
    <row r="463">
      <c r="A463" t="n">
        <v>460</v>
      </c>
      <c r="B463" s="25" t="n"/>
      <c r="D463" s="30" t="n"/>
      <c r="G463" s="30" t="n"/>
      <c r="H463">
        <f>IF($G463="","",IFERROR(INDEX(Catalogo_Etiquetas,MATCH($G463,Catalogo_Codigos,0)),"CODIGO NO VALIDO"))</f>
        <v/>
      </c>
      <c r="J463" s="20" t="n"/>
      <c r="K463" s="20" t="n"/>
      <c r="L463" s="20">
        <f>IF($C463="","",$J463+$K463)</f>
        <v/>
      </c>
      <c r="M463" s="30" t="n"/>
      <c r="N463" s="26">
        <f>IF($C463="","",IF($I463="PEN",1,IFERROR(IF(_xlfn.XLOOKUP($B463,TC_Fechas,TC_Venta_Rango,"",-1)="","",_xlfn.XLOOKUP($B463,TC_Fechas,TC_Venta_Rango,"",-1)),"")))</f>
        <v/>
      </c>
      <c r="O463" s="20">
        <f>IF(OR($C463="",$N463=""),"",ROUND($J463*$N463,2)+ROUND($K463*$N463,2))</f>
        <v/>
      </c>
      <c r="P463" s="31">
        <f>IF($G463="","",IFERROR(INDEX(Catalogo_Tasas,MATCH($G463,Catalogo_Codigos,0)),""))</f>
        <v/>
      </c>
      <c r="Q463" s="32">
        <f>IF($G463="","",IFERROR(INDEX(Catalogo_Umbrales,MATCH($G463,Catalogo_Codigos,0)),""))</f>
        <v/>
      </c>
      <c r="R463">
        <f>IF(OR($C463="",$P463="",$O463=""),"",IF($F463&lt;&gt;"FACTURA","NO",IF(AND($P463&gt;0,$O463&gt;$Q463),"SI","NO")))</f>
        <v/>
      </c>
      <c r="S463" s="20">
        <f>IF($R463="SI",ROUND($O463*$P463,2),IF($C463="","",0))</f>
        <v/>
      </c>
      <c r="T463" s="20" t="n"/>
      <c r="U463">
        <f>IF($C463="","",IF($R463&lt;&gt;"SI","",IF($T463="","SIN DATO",IF(ABS($T463-$S463)&lt;=0.5,"OK","REVISAR"))))</f>
        <v/>
      </c>
      <c r="V463" s="20" t="n"/>
      <c r="W463" s="20">
        <f>IF(OR($C463="",$N463=""),"",IF($F463="RHE",ROUND($L463-$V463,2),ROUND($L463-($S463/$N463),2)))</f>
        <v/>
      </c>
      <c r="X463" s="25" t="n"/>
      <c r="Y463" s="25" t="n"/>
    </row>
    <row r="464">
      <c r="A464" t="n">
        <v>461</v>
      </c>
      <c r="B464" s="25" t="n"/>
      <c r="D464" s="30" t="n"/>
      <c r="G464" s="30" t="n"/>
      <c r="H464">
        <f>IF($G464="","",IFERROR(INDEX(Catalogo_Etiquetas,MATCH($G464,Catalogo_Codigos,0)),"CODIGO NO VALIDO"))</f>
        <v/>
      </c>
      <c r="J464" s="20" t="n"/>
      <c r="K464" s="20" t="n"/>
      <c r="L464" s="20">
        <f>IF($C464="","",$J464+$K464)</f>
        <v/>
      </c>
      <c r="M464" s="30" t="n"/>
      <c r="N464" s="26">
        <f>IF($C464="","",IF($I464="PEN",1,IFERROR(IF(_xlfn.XLOOKUP($B464,TC_Fechas,TC_Venta_Rango,"",-1)="","",_xlfn.XLOOKUP($B464,TC_Fechas,TC_Venta_Rango,"",-1)),"")))</f>
        <v/>
      </c>
      <c r="O464" s="20">
        <f>IF(OR($C464="",$N464=""),"",ROUND($J464*$N464,2)+ROUND($K464*$N464,2))</f>
        <v/>
      </c>
      <c r="P464" s="31">
        <f>IF($G464="","",IFERROR(INDEX(Catalogo_Tasas,MATCH($G464,Catalogo_Codigos,0)),""))</f>
        <v/>
      </c>
      <c r="Q464" s="32">
        <f>IF($G464="","",IFERROR(INDEX(Catalogo_Umbrales,MATCH($G464,Catalogo_Codigos,0)),""))</f>
        <v/>
      </c>
      <c r="R464">
        <f>IF(OR($C464="",$P464="",$O464=""),"",IF($F464&lt;&gt;"FACTURA","NO",IF(AND($P464&gt;0,$O464&gt;$Q464),"SI","NO")))</f>
        <v/>
      </c>
      <c r="S464" s="20">
        <f>IF($R464="SI",ROUND($O464*$P464,2),IF($C464="","",0))</f>
        <v/>
      </c>
      <c r="T464" s="20" t="n"/>
      <c r="U464">
        <f>IF($C464="","",IF($R464&lt;&gt;"SI","",IF($T464="","SIN DATO",IF(ABS($T464-$S464)&lt;=0.5,"OK","REVISAR"))))</f>
        <v/>
      </c>
      <c r="V464" s="20" t="n"/>
      <c r="W464" s="20">
        <f>IF(OR($C464="",$N464=""),"",IF($F464="RHE",ROUND($L464-$V464,2),ROUND($L464-($S464/$N464),2)))</f>
        <v/>
      </c>
      <c r="X464" s="25" t="n"/>
      <c r="Y464" s="25" t="n"/>
    </row>
    <row r="465">
      <c r="A465" t="n">
        <v>462</v>
      </c>
      <c r="B465" s="25" t="n"/>
      <c r="D465" s="30" t="n"/>
      <c r="G465" s="30" t="n"/>
      <c r="H465">
        <f>IF($G465="","",IFERROR(INDEX(Catalogo_Etiquetas,MATCH($G465,Catalogo_Codigos,0)),"CODIGO NO VALIDO"))</f>
        <v/>
      </c>
      <c r="J465" s="20" t="n"/>
      <c r="K465" s="20" t="n"/>
      <c r="L465" s="20">
        <f>IF($C465="","",$J465+$K465)</f>
        <v/>
      </c>
      <c r="M465" s="30" t="n"/>
      <c r="N465" s="26">
        <f>IF($C465="","",IF($I465="PEN",1,IFERROR(IF(_xlfn.XLOOKUP($B465,TC_Fechas,TC_Venta_Rango,"",-1)="","",_xlfn.XLOOKUP($B465,TC_Fechas,TC_Venta_Rango,"",-1)),"")))</f>
        <v/>
      </c>
      <c r="O465" s="20">
        <f>IF(OR($C465="",$N465=""),"",ROUND($J465*$N465,2)+ROUND($K465*$N465,2))</f>
        <v/>
      </c>
      <c r="P465" s="31">
        <f>IF($G465="","",IFERROR(INDEX(Catalogo_Tasas,MATCH($G465,Catalogo_Codigos,0)),""))</f>
        <v/>
      </c>
      <c r="Q465" s="32">
        <f>IF($G465="","",IFERROR(INDEX(Catalogo_Umbrales,MATCH($G465,Catalogo_Codigos,0)),""))</f>
        <v/>
      </c>
      <c r="R465">
        <f>IF(OR($C465="",$P465="",$O465=""),"",IF($F465&lt;&gt;"FACTURA","NO",IF(AND($P465&gt;0,$O465&gt;$Q465),"SI","NO")))</f>
        <v/>
      </c>
      <c r="S465" s="20">
        <f>IF($R465="SI",ROUND($O465*$P465,2),IF($C465="","",0))</f>
        <v/>
      </c>
      <c r="T465" s="20" t="n"/>
      <c r="U465">
        <f>IF($C465="","",IF($R465&lt;&gt;"SI","",IF($T465="","SIN DATO",IF(ABS($T465-$S465)&lt;=0.5,"OK","REVISAR"))))</f>
        <v/>
      </c>
      <c r="V465" s="20" t="n"/>
      <c r="W465" s="20">
        <f>IF(OR($C465="",$N465=""),"",IF($F465="RHE",ROUND($L465-$V465,2),ROUND($L465-($S465/$N465),2)))</f>
        <v/>
      </c>
      <c r="X465" s="25" t="n"/>
      <c r="Y465" s="25" t="n"/>
    </row>
    <row r="466">
      <c r="A466" t="n">
        <v>463</v>
      </c>
      <c r="B466" s="25" t="n"/>
      <c r="D466" s="30" t="n"/>
      <c r="G466" s="30" t="n"/>
      <c r="H466">
        <f>IF($G466="","",IFERROR(INDEX(Catalogo_Etiquetas,MATCH($G466,Catalogo_Codigos,0)),"CODIGO NO VALIDO"))</f>
        <v/>
      </c>
      <c r="J466" s="20" t="n"/>
      <c r="K466" s="20" t="n"/>
      <c r="L466" s="20">
        <f>IF($C466="","",$J466+$K466)</f>
        <v/>
      </c>
      <c r="M466" s="30" t="n"/>
      <c r="N466" s="26">
        <f>IF($C466="","",IF($I466="PEN",1,IFERROR(IF(_xlfn.XLOOKUP($B466,TC_Fechas,TC_Venta_Rango,"",-1)="","",_xlfn.XLOOKUP($B466,TC_Fechas,TC_Venta_Rango,"",-1)),"")))</f>
        <v/>
      </c>
      <c r="O466" s="20">
        <f>IF(OR($C466="",$N466=""),"",ROUND($J466*$N466,2)+ROUND($K466*$N466,2))</f>
        <v/>
      </c>
      <c r="P466" s="31">
        <f>IF($G466="","",IFERROR(INDEX(Catalogo_Tasas,MATCH($G466,Catalogo_Codigos,0)),""))</f>
        <v/>
      </c>
      <c r="Q466" s="32">
        <f>IF($G466="","",IFERROR(INDEX(Catalogo_Umbrales,MATCH($G466,Catalogo_Codigos,0)),""))</f>
        <v/>
      </c>
      <c r="R466">
        <f>IF(OR($C466="",$P466="",$O466=""),"",IF($F466&lt;&gt;"FACTURA","NO",IF(AND($P466&gt;0,$O466&gt;$Q466),"SI","NO")))</f>
        <v/>
      </c>
      <c r="S466" s="20">
        <f>IF($R466="SI",ROUND($O466*$P466,2),IF($C466="","",0))</f>
        <v/>
      </c>
      <c r="T466" s="20" t="n"/>
      <c r="U466">
        <f>IF($C466="","",IF($R466&lt;&gt;"SI","",IF($T466="","SIN DATO",IF(ABS($T466-$S466)&lt;=0.5,"OK","REVISAR"))))</f>
        <v/>
      </c>
      <c r="V466" s="20" t="n"/>
      <c r="W466" s="20">
        <f>IF(OR($C466="",$N466=""),"",IF($F466="RHE",ROUND($L466-$V466,2),ROUND($L466-($S466/$N466),2)))</f>
        <v/>
      </c>
      <c r="X466" s="25" t="n"/>
      <c r="Y466" s="25" t="n"/>
    </row>
    <row r="467">
      <c r="A467" t="n">
        <v>464</v>
      </c>
      <c r="B467" s="25" t="n"/>
      <c r="D467" s="30" t="n"/>
      <c r="G467" s="30" t="n"/>
      <c r="H467">
        <f>IF($G467="","",IFERROR(INDEX(Catalogo_Etiquetas,MATCH($G467,Catalogo_Codigos,0)),"CODIGO NO VALIDO"))</f>
        <v/>
      </c>
      <c r="J467" s="20" t="n"/>
      <c r="K467" s="20" t="n"/>
      <c r="L467" s="20">
        <f>IF($C467="","",$J467+$K467)</f>
        <v/>
      </c>
      <c r="M467" s="30" t="n"/>
      <c r="N467" s="26">
        <f>IF($C467="","",IF($I467="PEN",1,IFERROR(IF(_xlfn.XLOOKUP($B467,TC_Fechas,TC_Venta_Rango,"",-1)="","",_xlfn.XLOOKUP($B467,TC_Fechas,TC_Venta_Rango,"",-1)),"")))</f>
        <v/>
      </c>
      <c r="O467" s="20">
        <f>IF(OR($C467="",$N467=""),"",ROUND($J467*$N467,2)+ROUND($K467*$N467,2))</f>
        <v/>
      </c>
      <c r="P467" s="31">
        <f>IF($G467="","",IFERROR(INDEX(Catalogo_Tasas,MATCH($G467,Catalogo_Codigos,0)),""))</f>
        <v/>
      </c>
      <c r="Q467" s="32">
        <f>IF($G467="","",IFERROR(INDEX(Catalogo_Umbrales,MATCH($G467,Catalogo_Codigos,0)),""))</f>
        <v/>
      </c>
      <c r="R467">
        <f>IF(OR($C467="",$P467="",$O467=""),"",IF($F467&lt;&gt;"FACTURA","NO",IF(AND($P467&gt;0,$O467&gt;$Q467),"SI","NO")))</f>
        <v/>
      </c>
      <c r="S467" s="20">
        <f>IF($R467="SI",ROUND($O467*$P467,2),IF($C467="","",0))</f>
        <v/>
      </c>
      <c r="T467" s="20" t="n"/>
      <c r="U467">
        <f>IF($C467="","",IF($R467&lt;&gt;"SI","",IF($T467="","SIN DATO",IF(ABS($T467-$S467)&lt;=0.5,"OK","REVISAR"))))</f>
        <v/>
      </c>
      <c r="V467" s="20" t="n"/>
      <c r="W467" s="20">
        <f>IF(OR($C467="",$N467=""),"",IF($F467="RHE",ROUND($L467-$V467,2),ROUND($L467-($S467/$N467),2)))</f>
        <v/>
      </c>
      <c r="X467" s="25" t="n"/>
      <c r="Y467" s="25" t="n"/>
    </row>
    <row r="468">
      <c r="A468" t="n">
        <v>465</v>
      </c>
      <c r="B468" s="25" t="n"/>
      <c r="D468" s="30" t="n"/>
      <c r="G468" s="30" t="n"/>
      <c r="H468">
        <f>IF($G468="","",IFERROR(INDEX(Catalogo_Etiquetas,MATCH($G468,Catalogo_Codigos,0)),"CODIGO NO VALIDO"))</f>
        <v/>
      </c>
      <c r="J468" s="20" t="n"/>
      <c r="K468" s="20" t="n"/>
      <c r="L468" s="20">
        <f>IF($C468="","",$J468+$K468)</f>
        <v/>
      </c>
      <c r="M468" s="30" t="n"/>
      <c r="N468" s="26">
        <f>IF($C468="","",IF($I468="PEN",1,IFERROR(IF(_xlfn.XLOOKUP($B468,TC_Fechas,TC_Venta_Rango,"",-1)="","",_xlfn.XLOOKUP($B468,TC_Fechas,TC_Venta_Rango,"",-1)),"")))</f>
        <v/>
      </c>
      <c r="O468" s="20">
        <f>IF(OR($C468="",$N468=""),"",ROUND($J468*$N468,2)+ROUND($K468*$N468,2))</f>
        <v/>
      </c>
      <c r="P468" s="31">
        <f>IF($G468="","",IFERROR(INDEX(Catalogo_Tasas,MATCH($G468,Catalogo_Codigos,0)),""))</f>
        <v/>
      </c>
      <c r="Q468" s="32">
        <f>IF($G468="","",IFERROR(INDEX(Catalogo_Umbrales,MATCH($G468,Catalogo_Codigos,0)),""))</f>
        <v/>
      </c>
      <c r="R468">
        <f>IF(OR($C468="",$P468="",$O468=""),"",IF($F468&lt;&gt;"FACTURA","NO",IF(AND($P468&gt;0,$O468&gt;$Q468),"SI","NO")))</f>
        <v/>
      </c>
      <c r="S468" s="20">
        <f>IF($R468="SI",ROUND($O468*$P468,2),IF($C468="","",0))</f>
        <v/>
      </c>
      <c r="T468" s="20" t="n"/>
      <c r="U468">
        <f>IF($C468="","",IF($R468&lt;&gt;"SI","",IF($T468="","SIN DATO",IF(ABS($T468-$S468)&lt;=0.5,"OK","REVISAR"))))</f>
        <v/>
      </c>
      <c r="V468" s="20" t="n"/>
      <c r="W468" s="20">
        <f>IF(OR($C468="",$N468=""),"",IF($F468="RHE",ROUND($L468-$V468,2),ROUND($L468-($S468/$N468),2)))</f>
        <v/>
      </c>
      <c r="X468" s="25" t="n"/>
      <c r="Y468" s="25" t="n"/>
    </row>
    <row r="469">
      <c r="A469" t="n">
        <v>466</v>
      </c>
      <c r="B469" s="25" t="n"/>
      <c r="D469" s="30" t="n"/>
      <c r="G469" s="30" t="n"/>
      <c r="H469">
        <f>IF($G469="","",IFERROR(INDEX(Catalogo_Etiquetas,MATCH($G469,Catalogo_Codigos,0)),"CODIGO NO VALIDO"))</f>
        <v/>
      </c>
      <c r="J469" s="20" t="n"/>
      <c r="K469" s="20" t="n"/>
      <c r="L469" s="20">
        <f>IF($C469="","",$J469+$K469)</f>
        <v/>
      </c>
      <c r="M469" s="30" t="n"/>
      <c r="N469" s="26">
        <f>IF($C469="","",IF($I469="PEN",1,IFERROR(IF(_xlfn.XLOOKUP($B469,TC_Fechas,TC_Venta_Rango,"",-1)="","",_xlfn.XLOOKUP($B469,TC_Fechas,TC_Venta_Rango,"",-1)),"")))</f>
        <v/>
      </c>
      <c r="O469" s="20">
        <f>IF(OR($C469="",$N469=""),"",ROUND($J469*$N469,2)+ROUND($K469*$N469,2))</f>
        <v/>
      </c>
      <c r="P469" s="31">
        <f>IF($G469="","",IFERROR(INDEX(Catalogo_Tasas,MATCH($G469,Catalogo_Codigos,0)),""))</f>
        <v/>
      </c>
      <c r="Q469" s="32">
        <f>IF($G469="","",IFERROR(INDEX(Catalogo_Umbrales,MATCH($G469,Catalogo_Codigos,0)),""))</f>
        <v/>
      </c>
      <c r="R469">
        <f>IF(OR($C469="",$P469="",$O469=""),"",IF($F469&lt;&gt;"FACTURA","NO",IF(AND($P469&gt;0,$O469&gt;$Q469),"SI","NO")))</f>
        <v/>
      </c>
      <c r="S469" s="20">
        <f>IF($R469="SI",ROUND($O469*$P469,2),IF($C469="","",0))</f>
        <v/>
      </c>
      <c r="T469" s="20" t="n"/>
      <c r="U469">
        <f>IF($C469="","",IF($R469&lt;&gt;"SI","",IF($T469="","SIN DATO",IF(ABS($T469-$S469)&lt;=0.5,"OK","REVISAR"))))</f>
        <v/>
      </c>
      <c r="V469" s="20" t="n"/>
      <c r="W469" s="20">
        <f>IF(OR($C469="",$N469=""),"",IF($F469="RHE",ROUND($L469-$V469,2),ROUND($L469-($S469/$N469),2)))</f>
        <v/>
      </c>
      <c r="X469" s="25" t="n"/>
      <c r="Y469" s="25" t="n"/>
    </row>
    <row r="470">
      <c r="A470" t="n">
        <v>467</v>
      </c>
      <c r="B470" s="25" t="n"/>
      <c r="D470" s="30" t="n"/>
      <c r="G470" s="30" t="n"/>
      <c r="H470">
        <f>IF($G470="","",IFERROR(INDEX(Catalogo_Etiquetas,MATCH($G470,Catalogo_Codigos,0)),"CODIGO NO VALIDO"))</f>
        <v/>
      </c>
      <c r="J470" s="20" t="n"/>
      <c r="K470" s="20" t="n"/>
      <c r="L470" s="20">
        <f>IF($C470="","",$J470+$K470)</f>
        <v/>
      </c>
      <c r="M470" s="30" t="n"/>
      <c r="N470" s="26">
        <f>IF($C470="","",IF($I470="PEN",1,IFERROR(IF(_xlfn.XLOOKUP($B470,TC_Fechas,TC_Venta_Rango,"",-1)="","",_xlfn.XLOOKUP($B470,TC_Fechas,TC_Venta_Rango,"",-1)),"")))</f>
        <v/>
      </c>
      <c r="O470" s="20">
        <f>IF(OR($C470="",$N470=""),"",ROUND($J470*$N470,2)+ROUND($K470*$N470,2))</f>
        <v/>
      </c>
      <c r="P470" s="31">
        <f>IF($G470="","",IFERROR(INDEX(Catalogo_Tasas,MATCH($G470,Catalogo_Codigos,0)),""))</f>
        <v/>
      </c>
      <c r="Q470" s="32">
        <f>IF($G470="","",IFERROR(INDEX(Catalogo_Umbrales,MATCH($G470,Catalogo_Codigos,0)),""))</f>
        <v/>
      </c>
      <c r="R470">
        <f>IF(OR($C470="",$P470="",$O470=""),"",IF($F470&lt;&gt;"FACTURA","NO",IF(AND($P470&gt;0,$O470&gt;$Q470),"SI","NO")))</f>
        <v/>
      </c>
      <c r="S470" s="20">
        <f>IF($R470="SI",ROUND($O470*$P470,2),IF($C470="","",0))</f>
        <v/>
      </c>
      <c r="T470" s="20" t="n"/>
      <c r="U470">
        <f>IF($C470="","",IF($R470&lt;&gt;"SI","",IF($T470="","SIN DATO",IF(ABS($T470-$S470)&lt;=0.5,"OK","REVISAR"))))</f>
        <v/>
      </c>
      <c r="V470" s="20" t="n"/>
      <c r="W470" s="20">
        <f>IF(OR($C470="",$N470=""),"",IF($F470="RHE",ROUND($L470-$V470,2),ROUND($L470-($S470/$N470),2)))</f>
        <v/>
      </c>
      <c r="X470" s="25" t="n"/>
      <c r="Y470" s="25" t="n"/>
    </row>
    <row r="471">
      <c r="A471" t="n">
        <v>468</v>
      </c>
      <c r="B471" s="25" t="n"/>
      <c r="D471" s="30" t="n"/>
      <c r="G471" s="30" t="n"/>
      <c r="H471">
        <f>IF($G471="","",IFERROR(INDEX(Catalogo_Etiquetas,MATCH($G471,Catalogo_Codigos,0)),"CODIGO NO VALIDO"))</f>
        <v/>
      </c>
      <c r="J471" s="20" t="n"/>
      <c r="K471" s="20" t="n"/>
      <c r="L471" s="20">
        <f>IF($C471="","",$J471+$K471)</f>
        <v/>
      </c>
      <c r="M471" s="30" t="n"/>
      <c r="N471" s="26">
        <f>IF($C471="","",IF($I471="PEN",1,IFERROR(IF(_xlfn.XLOOKUP($B471,TC_Fechas,TC_Venta_Rango,"",-1)="","",_xlfn.XLOOKUP($B471,TC_Fechas,TC_Venta_Rango,"",-1)),"")))</f>
        <v/>
      </c>
      <c r="O471" s="20">
        <f>IF(OR($C471="",$N471=""),"",ROUND($J471*$N471,2)+ROUND($K471*$N471,2))</f>
        <v/>
      </c>
      <c r="P471" s="31">
        <f>IF($G471="","",IFERROR(INDEX(Catalogo_Tasas,MATCH($G471,Catalogo_Codigos,0)),""))</f>
        <v/>
      </c>
      <c r="Q471" s="32">
        <f>IF($G471="","",IFERROR(INDEX(Catalogo_Umbrales,MATCH($G471,Catalogo_Codigos,0)),""))</f>
        <v/>
      </c>
      <c r="R471">
        <f>IF(OR($C471="",$P471="",$O471=""),"",IF($F471&lt;&gt;"FACTURA","NO",IF(AND($P471&gt;0,$O471&gt;$Q471),"SI","NO")))</f>
        <v/>
      </c>
      <c r="S471" s="20">
        <f>IF($R471="SI",ROUND($O471*$P471,2),IF($C471="","",0))</f>
        <v/>
      </c>
      <c r="T471" s="20" t="n"/>
      <c r="U471">
        <f>IF($C471="","",IF($R471&lt;&gt;"SI","",IF($T471="","SIN DATO",IF(ABS($T471-$S471)&lt;=0.5,"OK","REVISAR"))))</f>
        <v/>
      </c>
      <c r="V471" s="20" t="n"/>
      <c r="W471" s="20">
        <f>IF(OR($C471="",$N471=""),"",IF($F471="RHE",ROUND($L471-$V471,2),ROUND($L471-($S471/$N471),2)))</f>
        <v/>
      </c>
      <c r="X471" s="25" t="n"/>
      <c r="Y471" s="25" t="n"/>
    </row>
    <row r="472">
      <c r="A472" t="n">
        <v>469</v>
      </c>
      <c r="B472" s="25" t="n"/>
      <c r="D472" s="30" t="n"/>
      <c r="G472" s="30" t="n"/>
      <c r="H472">
        <f>IF($G472="","",IFERROR(INDEX(Catalogo_Etiquetas,MATCH($G472,Catalogo_Codigos,0)),"CODIGO NO VALIDO"))</f>
        <v/>
      </c>
      <c r="J472" s="20" t="n"/>
      <c r="K472" s="20" t="n"/>
      <c r="L472" s="20">
        <f>IF($C472="","",$J472+$K472)</f>
        <v/>
      </c>
      <c r="M472" s="30" t="n"/>
      <c r="N472" s="26">
        <f>IF($C472="","",IF($I472="PEN",1,IFERROR(IF(_xlfn.XLOOKUP($B472,TC_Fechas,TC_Venta_Rango,"",-1)="","",_xlfn.XLOOKUP($B472,TC_Fechas,TC_Venta_Rango,"",-1)),"")))</f>
        <v/>
      </c>
      <c r="O472" s="20">
        <f>IF(OR($C472="",$N472=""),"",ROUND($J472*$N472,2)+ROUND($K472*$N472,2))</f>
        <v/>
      </c>
      <c r="P472" s="31">
        <f>IF($G472="","",IFERROR(INDEX(Catalogo_Tasas,MATCH($G472,Catalogo_Codigos,0)),""))</f>
        <v/>
      </c>
      <c r="Q472" s="32">
        <f>IF($G472="","",IFERROR(INDEX(Catalogo_Umbrales,MATCH($G472,Catalogo_Codigos,0)),""))</f>
        <v/>
      </c>
      <c r="R472">
        <f>IF(OR($C472="",$P472="",$O472=""),"",IF($F472&lt;&gt;"FACTURA","NO",IF(AND($P472&gt;0,$O472&gt;$Q472),"SI","NO")))</f>
        <v/>
      </c>
      <c r="S472" s="20">
        <f>IF($R472="SI",ROUND($O472*$P472,2),IF($C472="","",0))</f>
        <v/>
      </c>
      <c r="T472" s="20" t="n"/>
      <c r="U472">
        <f>IF($C472="","",IF($R472&lt;&gt;"SI","",IF($T472="","SIN DATO",IF(ABS($T472-$S472)&lt;=0.5,"OK","REVISAR"))))</f>
        <v/>
      </c>
      <c r="V472" s="20" t="n"/>
      <c r="W472" s="20">
        <f>IF(OR($C472="",$N472=""),"",IF($F472="RHE",ROUND($L472-$V472,2),ROUND($L472-($S472/$N472),2)))</f>
        <v/>
      </c>
      <c r="X472" s="25" t="n"/>
      <c r="Y472" s="25" t="n"/>
    </row>
    <row r="473">
      <c r="A473" t="n">
        <v>470</v>
      </c>
      <c r="B473" s="25" t="n"/>
      <c r="D473" s="30" t="n"/>
      <c r="G473" s="30" t="n"/>
      <c r="H473">
        <f>IF($G473="","",IFERROR(INDEX(Catalogo_Etiquetas,MATCH($G473,Catalogo_Codigos,0)),"CODIGO NO VALIDO"))</f>
        <v/>
      </c>
      <c r="J473" s="20" t="n"/>
      <c r="K473" s="20" t="n"/>
      <c r="L473" s="20">
        <f>IF($C473="","",$J473+$K473)</f>
        <v/>
      </c>
      <c r="M473" s="30" t="n"/>
      <c r="N473" s="26">
        <f>IF($C473="","",IF($I473="PEN",1,IFERROR(IF(_xlfn.XLOOKUP($B473,TC_Fechas,TC_Venta_Rango,"",-1)="","",_xlfn.XLOOKUP($B473,TC_Fechas,TC_Venta_Rango,"",-1)),"")))</f>
        <v/>
      </c>
      <c r="O473" s="20">
        <f>IF(OR($C473="",$N473=""),"",ROUND($J473*$N473,2)+ROUND($K473*$N473,2))</f>
        <v/>
      </c>
      <c r="P473" s="31">
        <f>IF($G473="","",IFERROR(INDEX(Catalogo_Tasas,MATCH($G473,Catalogo_Codigos,0)),""))</f>
        <v/>
      </c>
      <c r="Q473" s="32">
        <f>IF($G473="","",IFERROR(INDEX(Catalogo_Umbrales,MATCH($G473,Catalogo_Codigos,0)),""))</f>
        <v/>
      </c>
      <c r="R473">
        <f>IF(OR($C473="",$P473="",$O473=""),"",IF($F473&lt;&gt;"FACTURA","NO",IF(AND($P473&gt;0,$O473&gt;$Q473),"SI","NO")))</f>
        <v/>
      </c>
      <c r="S473" s="20">
        <f>IF($R473="SI",ROUND($O473*$P473,2),IF($C473="","",0))</f>
        <v/>
      </c>
      <c r="T473" s="20" t="n"/>
      <c r="U473">
        <f>IF($C473="","",IF($R473&lt;&gt;"SI","",IF($T473="","SIN DATO",IF(ABS($T473-$S473)&lt;=0.5,"OK","REVISAR"))))</f>
        <v/>
      </c>
      <c r="V473" s="20" t="n"/>
      <c r="W473" s="20">
        <f>IF(OR($C473="",$N473=""),"",IF($F473="RHE",ROUND($L473-$V473,2),ROUND($L473-($S473/$N473),2)))</f>
        <v/>
      </c>
      <c r="X473" s="25" t="n"/>
      <c r="Y473" s="25" t="n"/>
    </row>
    <row r="474">
      <c r="A474" t="n">
        <v>471</v>
      </c>
      <c r="B474" s="25" t="n"/>
      <c r="D474" s="30" t="n"/>
      <c r="G474" s="30" t="n"/>
      <c r="H474">
        <f>IF($G474="","",IFERROR(INDEX(Catalogo_Etiquetas,MATCH($G474,Catalogo_Codigos,0)),"CODIGO NO VALIDO"))</f>
        <v/>
      </c>
      <c r="J474" s="20" t="n"/>
      <c r="K474" s="20" t="n"/>
      <c r="L474" s="20">
        <f>IF($C474="","",$J474+$K474)</f>
        <v/>
      </c>
      <c r="M474" s="30" t="n"/>
      <c r="N474" s="26">
        <f>IF($C474="","",IF($I474="PEN",1,IFERROR(IF(_xlfn.XLOOKUP($B474,TC_Fechas,TC_Venta_Rango,"",-1)="","",_xlfn.XLOOKUP($B474,TC_Fechas,TC_Venta_Rango,"",-1)),"")))</f>
        <v/>
      </c>
      <c r="O474" s="20">
        <f>IF(OR($C474="",$N474=""),"",ROUND($J474*$N474,2)+ROUND($K474*$N474,2))</f>
        <v/>
      </c>
      <c r="P474" s="31">
        <f>IF($G474="","",IFERROR(INDEX(Catalogo_Tasas,MATCH($G474,Catalogo_Codigos,0)),""))</f>
        <v/>
      </c>
      <c r="Q474" s="32">
        <f>IF($G474="","",IFERROR(INDEX(Catalogo_Umbrales,MATCH($G474,Catalogo_Codigos,0)),""))</f>
        <v/>
      </c>
      <c r="R474">
        <f>IF(OR($C474="",$P474="",$O474=""),"",IF($F474&lt;&gt;"FACTURA","NO",IF(AND($P474&gt;0,$O474&gt;$Q474),"SI","NO")))</f>
        <v/>
      </c>
      <c r="S474" s="20">
        <f>IF($R474="SI",ROUND($O474*$P474,2),IF($C474="","",0))</f>
        <v/>
      </c>
      <c r="T474" s="20" t="n"/>
      <c r="U474">
        <f>IF($C474="","",IF($R474&lt;&gt;"SI","",IF($T474="","SIN DATO",IF(ABS($T474-$S474)&lt;=0.5,"OK","REVISAR"))))</f>
        <v/>
      </c>
      <c r="V474" s="20" t="n"/>
      <c r="W474" s="20">
        <f>IF(OR($C474="",$N474=""),"",IF($F474="RHE",ROUND($L474-$V474,2),ROUND($L474-($S474/$N474),2)))</f>
        <v/>
      </c>
      <c r="X474" s="25" t="n"/>
      <c r="Y474" s="25" t="n"/>
    </row>
    <row r="475">
      <c r="A475" t="n">
        <v>472</v>
      </c>
      <c r="B475" s="25" t="n"/>
      <c r="D475" s="30" t="n"/>
      <c r="G475" s="30" t="n"/>
      <c r="H475">
        <f>IF($G475="","",IFERROR(INDEX(Catalogo_Etiquetas,MATCH($G475,Catalogo_Codigos,0)),"CODIGO NO VALIDO"))</f>
        <v/>
      </c>
      <c r="J475" s="20" t="n"/>
      <c r="K475" s="20" t="n"/>
      <c r="L475" s="20">
        <f>IF($C475="","",$J475+$K475)</f>
        <v/>
      </c>
      <c r="M475" s="30" t="n"/>
      <c r="N475" s="26">
        <f>IF($C475="","",IF($I475="PEN",1,IFERROR(IF(_xlfn.XLOOKUP($B475,TC_Fechas,TC_Venta_Rango,"",-1)="","",_xlfn.XLOOKUP($B475,TC_Fechas,TC_Venta_Rango,"",-1)),"")))</f>
        <v/>
      </c>
      <c r="O475" s="20">
        <f>IF(OR($C475="",$N475=""),"",ROUND($J475*$N475,2)+ROUND($K475*$N475,2))</f>
        <v/>
      </c>
      <c r="P475" s="31">
        <f>IF($G475="","",IFERROR(INDEX(Catalogo_Tasas,MATCH($G475,Catalogo_Codigos,0)),""))</f>
        <v/>
      </c>
      <c r="Q475" s="32">
        <f>IF($G475="","",IFERROR(INDEX(Catalogo_Umbrales,MATCH($G475,Catalogo_Codigos,0)),""))</f>
        <v/>
      </c>
      <c r="R475">
        <f>IF(OR($C475="",$P475="",$O475=""),"",IF($F475&lt;&gt;"FACTURA","NO",IF(AND($P475&gt;0,$O475&gt;$Q475),"SI","NO")))</f>
        <v/>
      </c>
      <c r="S475" s="20">
        <f>IF($R475="SI",ROUND($O475*$P475,2),IF($C475="","",0))</f>
        <v/>
      </c>
      <c r="T475" s="20" t="n"/>
      <c r="U475">
        <f>IF($C475="","",IF($R475&lt;&gt;"SI","",IF($T475="","SIN DATO",IF(ABS($T475-$S475)&lt;=0.5,"OK","REVISAR"))))</f>
        <v/>
      </c>
      <c r="V475" s="20" t="n"/>
      <c r="W475" s="20">
        <f>IF(OR($C475="",$N475=""),"",IF($F475="RHE",ROUND($L475-$V475,2),ROUND($L475-($S475/$N475),2)))</f>
        <v/>
      </c>
      <c r="X475" s="25" t="n"/>
      <c r="Y475" s="25" t="n"/>
    </row>
    <row r="476">
      <c r="A476" t="n">
        <v>473</v>
      </c>
      <c r="B476" s="25" t="n"/>
      <c r="D476" s="30" t="n"/>
      <c r="G476" s="30" t="n"/>
      <c r="H476">
        <f>IF($G476="","",IFERROR(INDEX(Catalogo_Etiquetas,MATCH($G476,Catalogo_Codigos,0)),"CODIGO NO VALIDO"))</f>
        <v/>
      </c>
      <c r="J476" s="20" t="n"/>
      <c r="K476" s="20" t="n"/>
      <c r="L476" s="20">
        <f>IF($C476="","",$J476+$K476)</f>
        <v/>
      </c>
      <c r="M476" s="30" t="n"/>
      <c r="N476" s="26">
        <f>IF($C476="","",IF($I476="PEN",1,IFERROR(IF(_xlfn.XLOOKUP($B476,TC_Fechas,TC_Venta_Rango,"",-1)="","",_xlfn.XLOOKUP($B476,TC_Fechas,TC_Venta_Rango,"",-1)),"")))</f>
        <v/>
      </c>
      <c r="O476" s="20">
        <f>IF(OR($C476="",$N476=""),"",ROUND($J476*$N476,2)+ROUND($K476*$N476,2))</f>
        <v/>
      </c>
      <c r="P476" s="31">
        <f>IF($G476="","",IFERROR(INDEX(Catalogo_Tasas,MATCH($G476,Catalogo_Codigos,0)),""))</f>
        <v/>
      </c>
      <c r="Q476" s="32">
        <f>IF($G476="","",IFERROR(INDEX(Catalogo_Umbrales,MATCH($G476,Catalogo_Codigos,0)),""))</f>
        <v/>
      </c>
      <c r="R476">
        <f>IF(OR($C476="",$P476="",$O476=""),"",IF($F476&lt;&gt;"FACTURA","NO",IF(AND($P476&gt;0,$O476&gt;$Q476),"SI","NO")))</f>
        <v/>
      </c>
      <c r="S476" s="20">
        <f>IF($R476="SI",ROUND($O476*$P476,2),IF($C476="","",0))</f>
        <v/>
      </c>
      <c r="T476" s="20" t="n"/>
      <c r="U476">
        <f>IF($C476="","",IF($R476&lt;&gt;"SI","",IF($T476="","SIN DATO",IF(ABS($T476-$S476)&lt;=0.5,"OK","REVISAR"))))</f>
        <v/>
      </c>
      <c r="V476" s="20" t="n"/>
      <c r="W476" s="20">
        <f>IF(OR($C476="",$N476=""),"",IF($F476="RHE",ROUND($L476-$V476,2),ROUND($L476-($S476/$N476),2)))</f>
        <v/>
      </c>
      <c r="X476" s="25" t="n"/>
      <c r="Y476" s="25" t="n"/>
    </row>
    <row r="477">
      <c r="A477" t="n">
        <v>474</v>
      </c>
      <c r="B477" s="25" t="n"/>
      <c r="D477" s="30" t="n"/>
      <c r="G477" s="30" t="n"/>
      <c r="H477">
        <f>IF($G477="","",IFERROR(INDEX(Catalogo_Etiquetas,MATCH($G477,Catalogo_Codigos,0)),"CODIGO NO VALIDO"))</f>
        <v/>
      </c>
      <c r="J477" s="20" t="n"/>
      <c r="K477" s="20" t="n"/>
      <c r="L477" s="20">
        <f>IF($C477="","",$J477+$K477)</f>
        <v/>
      </c>
      <c r="M477" s="30" t="n"/>
      <c r="N477" s="26">
        <f>IF($C477="","",IF($I477="PEN",1,IFERROR(IF(_xlfn.XLOOKUP($B477,TC_Fechas,TC_Venta_Rango,"",-1)="","",_xlfn.XLOOKUP($B477,TC_Fechas,TC_Venta_Rango,"",-1)),"")))</f>
        <v/>
      </c>
      <c r="O477" s="20">
        <f>IF(OR($C477="",$N477=""),"",ROUND($J477*$N477,2)+ROUND($K477*$N477,2))</f>
        <v/>
      </c>
      <c r="P477" s="31">
        <f>IF($G477="","",IFERROR(INDEX(Catalogo_Tasas,MATCH($G477,Catalogo_Codigos,0)),""))</f>
        <v/>
      </c>
      <c r="Q477" s="32">
        <f>IF($G477="","",IFERROR(INDEX(Catalogo_Umbrales,MATCH($G477,Catalogo_Codigos,0)),""))</f>
        <v/>
      </c>
      <c r="R477">
        <f>IF(OR($C477="",$P477="",$O477=""),"",IF($F477&lt;&gt;"FACTURA","NO",IF(AND($P477&gt;0,$O477&gt;$Q477),"SI","NO")))</f>
        <v/>
      </c>
      <c r="S477" s="20">
        <f>IF($R477="SI",ROUND($O477*$P477,2),IF($C477="","",0))</f>
        <v/>
      </c>
      <c r="T477" s="20" t="n"/>
      <c r="U477">
        <f>IF($C477="","",IF($R477&lt;&gt;"SI","",IF($T477="","SIN DATO",IF(ABS($T477-$S477)&lt;=0.5,"OK","REVISAR"))))</f>
        <v/>
      </c>
      <c r="V477" s="20" t="n"/>
      <c r="W477" s="20">
        <f>IF(OR($C477="",$N477=""),"",IF($F477="RHE",ROUND($L477-$V477,2),ROUND($L477-($S477/$N477),2)))</f>
        <v/>
      </c>
      <c r="X477" s="25" t="n"/>
      <c r="Y477" s="25" t="n"/>
    </row>
    <row r="478">
      <c r="A478" t="n">
        <v>475</v>
      </c>
      <c r="B478" s="25" t="n"/>
      <c r="D478" s="30" t="n"/>
      <c r="G478" s="30" t="n"/>
      <c r="H478">
        <f>IF($G478="","",IFERROR(INDEX(Catalogo_Etiquetas,MATCH($G478,Catalogo_Codigos,0)),"CODIGO NO VALIDO"))</f>
        <v/>
      </c>
      <c r="J478" s="20" t="n"/>
      <c r="K478" s="20" t="n"/>
      <c r="L478" s="20">
        <f>IF($C478="","",$J478+$K478)</f>
        <v/>
      </c>
      <c r="M478" s="30" t="n"/>
      <c r="N478" s="26">
        <f>IF($C478="","",IF($I478="PEN",1,IFERROR(IF(_xlfn.XLOOKUP($B478,TC_Fechas,TC_Venta_Rango,"",-1)="","",_xlfn.XLOOKUP($B478,TC_Fechas,TC_Venta_Rango,"",-1)),"")))</f>
        <v/>
      </c>
      <c r="O478" s="20">
        <f>IF(OR($C478="",$N478=""),"",ROUND($J478*$N478,2)+ROUND($K478*$N478,2))</f>
        <v/>
      </c>
      <c r="P478" s="31">
        <f>IF($G478="","",IFERROR(INDEX(Catalogo_Tasas,MATCH($G478,Catalogo_Codigos,0)),""))</f>
        <v/>
      </c>
      <c r="Q478" s="32">
        <f>IF($G478="","",IFERROR(INDEX(Catalogo_Umbrales,MATCH($G478,Catalogo_Codigos,0)),""))</f>
        <v/>
      </c>
      <c r="R478">
        <f>IF(OR($C478="",$P478="",$O478=""),"",IF($F478&lt;&gt;"FACTURA","NO",IF(AND($P478&gt;0,$O478&gt;$Q478),"SI","NO")))</f>
        <v/>
      </c>
      <c r="S478" s="20">
        <f>IF($R478="SI",ROUND($O478*$P478,2),IF($C478="","",0))</f>
        <v/>
      </c>
      <c r="T478" s="20" t="n"/>
      <c r="U478">
        <f>IF($C478="","",IF($R478&lt;&gt;"SI","",IF($T478="","SIN DATO",IF(ABS($T478-$S478)&lt;=0.5,"OK","REVISAR"))))</f>
        <v/>
      </c>
      <c r="V478" s="20" t="n"/>
      <c r="W478" s="20">
        <f>IF(OR($C478="",$N478=""),"",IF($F478="RHE",ROUND($L478-$V478,2),ROUND($L478-($S478/$N478),2)))</f>
        <v/>
      </c>
      <c r="X478" s="25" t="n"/>
      <c r="Y478" s="25" t="n"/>
    </row>
    <row r="479">
      <c r="A479" t="n">
        <v>476</v>
      </c>
      <c r="B479" s="25" t="n"/>
      <c r="D479" s="30" t="n"/>
      <c r="G479" s="30" t="n"/>
      <c r="H479">
        <f>IF($G479="","",IFERROR(INDEX(Catalogo_Etiquetas,MATCH($G479,Catalogo_Codigos,0)),"CODIGO NO VALIDO"))</f>
        <v/>
      </c>
      <c r="J479" s="20" t="n"/>
      <c r="K479" s="20" t="n"/>
      <c r="L479" s="20">
        <f>IF($C479="","",$J479+$K479)</f>
        <v/>
      </c>
      <c r="M479" s="30" t="n"/>
      <c r="N479" s="26">
        <f>IF($C479="","",IF($I479="PEN",1,IFERROR(IF(_xlfn.XLOOKUP($B479,TC_Fechas,TC_Venta_Rango,"",-1)="","",_xlfn.XLOOKUP($B479,TC_Fechas,TC_Venta_Rango,"",-1)),"")))</f>
        <v/>
      </c>
      <c r="O479" s="20">
        <f>IF(OR($C479="",$N479=""),"",ROUND($J479*$N479,2)+ROUND($K479*$N479,2))</f>
        <v/>
      </c>
      <c r="P479" s="31">
        <f>IF($G479="","",IFERROR(INDEX(Catalogo_Tasas,MATCH($G479,Catalogo_Codigos,0)),""))</f>
        <v/>
      </c>
      <c r="Q479" s="32">
        <f>IF($G479="","",IFERROR(INDEX(Catalogo_Umbrales,MATCH($G479,Catalogo_Codigos,0)),""))</f>
        <v/>
      </c>
      <c r="R479">
        <f>IF(OR($C479="",$P479="",$O479=""),"",IF($F479&lt;&gt;"FACTURA","NO",IF(AND($P479&gt;0,$O479&gt;$Q479),"SI","NO")))</f>
        <v/>
      </c>
      <c r="S479" s="20">
        <f>IF($R479="SI",ROUND($O479*$P479,2),IF($C479="","",0))</f>
        <v/>
      </c>
      <c r="T479" s="20" t="n"/>
      <c r="U479">
        <f>IF($C479="","",IF($R479&lt;&gt;"SI","",IF($T479="","SIN DATO",IF(ABS($T479-$S479)&lt;=0.5,"OK","REVISAR"))))</f>
        <v/>
      </c>
      <c r="V479" s="20" t="n"/>
      <c r="W479" s="20">
        <f>IF(OR($C479="",$N479=""),"",IF($F479="RHE",ROUND($L479-$V479,2),ROUND($L479-($S479/$N479),2)))</f>
        <v/>
      </c>
      <c r="X479" s="25" t="n"/>
      <c r="Y479" s="25" t="n"/>
    </row>
    <row r="480">
      <c r="A480" t="n">
        <v>477</v>
      </c>
      <c r="B480" s="25" t="n"/>
      <c r="D480" s="30" t="n"/>
      <c r="G480" s="30" t="n"/>
      <c r="H480">
        <f>IF($G480="","",IFERROR(INDEX(Catalogo_Etiquetas,MATCH($G480,Catalogo_Codigos,0)),"CODIGO NO VALIDO"))</f>
        <v/>
      </c>
      <c r="J480" s="20" t="n"/>
      <c r="K480" s="20" t="n"/>
      <c r="L480" s="20">
        <f>IF($C480="","",$J480+$K480)</f>
        <v/>
      </c>
      <c r="M480" s="30" t="n"/>
      <c r="N480" s="26">
        <f>IF($C480="","",IF($I480="PEN",1,IFERROR(IF(_xlfn.XLOOKUP($B480,TC_Fechas,TC_Venta_Rango,"",-1)="","",_xlfn.XLOOKUP($B480,TC_Fechas,TC_Venta_Rango,"",-1)),"")))</f>
        <v/>
      </c>
      <c r="O480" s="20">
        <f>IF(OR($C480="",$N480=""),"",ROUND($J480*$N480,2)+ROUND($K480*$N480,2))</f>
        <v/>
      </c>
      <c r="P480" s="31">
        <f>IF($G480="","",IFERROR(INDEX(Catalogo_Tasas,MATCH($G480,Catalogo_Codigos,0)),""))</f>
        <v/>
      </c>
      <c r="Q480" s="32">
        <f>IF($G480="","",IFERROR(INDEX(Catalogo_Umbrales,MATCH($G480,Catalogo_Codigos,0)),""))</f>
        <v/>
      </c>
      <c r="R480">
        <f>IF(OR($C480="",$P480="",$O480=""),"",IF($F480&lt;&gt;"FACTURA","NO",IF(AND($P480&gt;0,$O480&gt;$Q480),"SI","NO")))</f>
        <v/>
      </c>
      <c r="S480" s="20">
        <f>IF($R480="SI",ROUND($O480*$P480,2),IF($C480="","",0))</f>
        <v/>
      </c>
      <c r="T480" s="20" t="n"/>
      <c r="U480">
        <f>IF($C480="","",IF($R480&lt;&gt;"SI","",IF($T480="","SIN DATO",IF(ABS($T480-$S480)&lt;=0.5,"OK","REVISAR"))))</f>
        <v/>
      </c>
      <c r="V480" s="20" t="n"/>
      <c r="W480" s="20">
        <f>IF(OR($C480="",$N480=""),"",IF($F480="RHE",ROUND($L480-$V480,2),ROUND($L480-($S480/$N480),2)))</f>
        <v/>
      </c>
      <c r="X480" s="25" t="n"/>
      <c r="Y480" s="25" t="n"/>
    </row>
    <row r="481">
      <c r="A481" t="n">
        <v>478</v>
      </c>
      <c r="B481" s="25" t="n"/>
      <c r="D481" s="30" t="n"/>
      <c r="G481" s="30" t="n"/>
      <c r="H481">
        <f>IF($G481="","",IFERROR(INDEX(Catalogo_Etiquetas,MATCH($G481,Catalogo_Codigos,0)),"CODIGO NO VALIDO"))</f>
        <v/>
      </c>
      <c r="J481" s="20" t="n"/>
      <c r="K481" s="20" t="n"/>
      <c r="L481" s="20">
        <f>IF($C481="","",$J481+$K481)</f>
        <v/>
      </c>
      <c r="M481" s="30" t="n"/>
      <c r="N481" s="26">
        <f>IF($C481="","",IF($I481="PEN",1,IFERROR(IF(_xlfn.XLOOKUP($B481,TC_Fechas,TC_Venta_Rango,"",-1)="","",_xlfn.XLOOKUP($B481,TC_Fechas,TC_Venta_Rango,"",-1)),"")))</f>
        <v/>
      </c>
      <c r="O481" s="20">
        <f>IF(OR($C481="",$N481=""),"",ROUND($J481*$N481,2)+ROUND($K481*$N481,2))</f>
        <v/>
      </c>
      <c r="P481" s="31">
        <f>IF($G481="","",IFERROR(INDEX(Catalogo_Tasas,MATCH($G481,Catalogo_Codigos,0)),""))</f>
        <v/>
      </c>
      <c r="Q481" s="32">
        <f>IF($G481="","",IFERROR(INDEX(Catalogo_Umbrales,MATCH($G481,Catalogo_Codigos,0)),""))</f>
        <v/>
      </c>
      <c r="R481">
        <f>IF(OR($C481="",$P481="",$O481=""),"",IF($F481&lt;&gt;"FACTURA","NO",IF(AND($P481&gt;0,$O481&gt;$Q481),"SI","NO")))</f>
        <v/>
      </c>
      <c r="S481" s="20">
        <f>IF($R481="SI",ROUND($O481*$P481,2),IF($C481="","",0))</f>
        <v/>
      </c>
      <c r="T481" s="20" t="n"/>
      <c r="U481">
        <f>IF($C481="","",IF($R481&lt;&gt;"SI","",IF($T481="","SIN DATO",IF(ABS($T481-$S481)&lt;=0.5,"OK","REVISAR"))))</f>
        <v/>
      </c>
      <c r="V481" s="20" t="n"/>
      <c r="W481" s="20">
        <f>IF(OR($C481="",$N481=""),"",IF($F481="RHE",ROUND($L481-$V481,2),ROUND($L481-($S481/$N481),2)))</f>
        <v/>
      </c>
      <c r="X481" s="25" t="n"/>
      <c r="Y481" s="25" t="n"/>
    </row>
    <row r="482">
      <c r="A482" t="n">
        <v>479</v>
      </c>
      <c r="B482" s="25" t="n"/>
      <c r="D482" s="30" t="n"/>
      <c r="G482" s="30" t="n"/>
      <c r="H482">
        <f>IF($G482="","",IFERROR(INDEX(Catalogo_Etiquetas,MATCH($G482,Catalogo_Codigos,0)),"CODIGO NO VALIDO"))</f>
        <v/>
      </c>
      <c r="J482" s="20" t="n"/>
      <c r="K482" s="20" t="n"/>
      <c r="L482" s="20">
        <f>IF($C482="","",$J482+$K482)</f>
        <v/>
      </c>
      <c r="M482" s="30" t="n"/>
      <c r="N482" s="26">
        <f>IF($C482="","",IF($I482="PEN",1,IFERROR(IF(_xlfn.XLOOKUP($B482,TC_Fechas,TC_Venta_Rango,"",-1)="","",_xlfn.XLOOKUP($B482,TC_Fechas,TC_Venta_Rango,"",-1)),"")))</f>
        <v/>
      </c>
      <c r="O482" s="20">
        <f>IF(OR($C482="",$N482=""),"",ROUND($J482*$N482,2)+ROUND($K482*$N482,2))</f>
        <v/>
      </c>
      <c r="P482" s="31">
        <f>IF($G482="","",IFERROR(INDEX(Catalogo_Tasas,MATCH($G482,Catalogo_Codigos,0)),""))</f>
        <v/>
      </c>
      <c r="Q482" s="32">
        <f>IF($G482="","",IFERROR(INDEX(Catalogo_Umbrales,MATCH($G482,Catalogo_Codigos,0)),""))</f>
        <v/>
      </c>
      <c r="R482">
        <f>IF(OR($C482="",$P482="",$O482=""),"",IF($F482&lt;&gt;"FACTURA","NO",IF(AND($P482&gt;0,$O482&gt;$Q482),"SI","NO")))</f>
        <v/>
      </c>
      <c r="S482" s="20">
        <f>IF($R482="SI",ROUND($O482*$P482,2),IF($C482="","",0))</f>
        <v/>
      </c>
      <c r="T482" s="20" t="n"/>
      <c r="U482">
        <f>IF($C482="","",IF($R482&lt;&gt;"SI","",IF($T482="","SIN DATO",IF(ABS($T482-$S482)&lt;=0.5,"OK","REVISAR"))))</f>
        <v/>
      </c>
      <c r="V482" s="20" t="n"/>
      <c r="W482" s="20">
        <f>IF(OR($C482="",$N482=""),"",IF($F482="RHE",ROUND($L482-$V482,2),ROUND($L482-($S482/$N482),2)))</f>
        <v/>
      </c>
      <c r="X482" s="25" t="n"/>
      <c r="Y482" s="25" t="n"/>
    </row>
    <row r="483">
      <c r="A483" t="n">
        <v>480</v>
      </c>
      <c r="B483" s="25" t="n"/>
      <c r="D483" s="30" t="n"/>
      <c r="G483" s="30" t="n"/>
      <c r="H483">
        <f>IF($G483="","",IFERROR(INDEX(Catalogo_Etiquetas,MATCH($G483,Catalogo_Codigos,0)),"CODIGO NO VALIDO"))</f>
        <v/>
      </c>
      <c r="J483" s="20" t="n"/>
      <c r="K483" s="20" t="n"/>
      <c r="L483" s="20">
        <f>IF($C483="","",$J483+$K483)</f>
        <v/>
      </c>
      <c r="M483" s="30" t="n"/>
      <c r="N483" s="26">
        <f>IF($C483="","",IF($I483="PEN",1,IFERROR(IF(_xlfn.XLOOKUP($B483,TC_Fechas,TC_Venta_Rango,"",-1)="","",_xlfn.XLOOKUP($B483,TC_Fechas,TC_Venta_Rango,"",-1)),"")))</f>
        <v/>
      </c>
      <c r="O483" s="20">
        <f>IF(OR($C483="",$N483=""),"",ROUND($J483*$N483,2)+ROUND($K483*$N483,2))</f>
        <v/>
      </c>
      <c r="P483" s="31">
        <f>IF($G483="","",IFERROR(INDEX(Catalogo_Tasas,MATCH($G483,Catalogo_Codigos,0)),""))</f>
        <v/>
      </c>
      <c r="Q483" s="32">
        <f>IF($G483="","",IFERROR(INDEX(Catalogo_Umbrales,MATCH($G483,Catalogo_Codigos,0)),""))</f>
        <v/>
      </c>
      <c r="R483">
        <f>IF(OR($C483="",$P483="",$O483=""),"",IF($F483&lt;&gt;"FACTURA","NO",IF(AND($P483&gt;0,$O483&gt;$Q483),"SI","NO")))</f>
        <v/>
      </c>
      <c r="S483" s="20">
        <f>IF($R483="SI",ROUND($O483*$P483,2),IF($C483="","",0))</f>
        <v/>
      </c>
      <c r="T483" s="20" t="n"/>
      <c r="U483">
        <f>IF($C483="","",IF($R483&lt;&gt;"SI","",IF($T483="","SIN DATO",IF(ABS($T483-$S483)&lt;=0.5,"OK","REVISAR"))))</f>
        <v/>
      </c>
      <c r="V483" s="20" t="n"/>
      <c r="W483" s="20">
        <f>IF(OR($C483="",$N483=""),"",IF($F483="RHE",ROUND($L483-$V483,2),ROUND($L483-($S483/$N483),2)))</f>
        <v/>
      </c>
      <c r="X483" s="25" t="n"/>
      <c r="Y483" s="25" t="n"/>
    </row>
    <row r="484">
      <c r="A484" t="n">
        <v>481</v>
      </c>
      <c r="B484" s="25" t="n"/>
      <c r="D484" s="30" t="n"/>
      <c r="G484" s="30" t="n"/>
      <c r="H484">
        <f>IF($G484="","",IFERROR(INDEX(Catalogo_Etiquetas,MATCH($G484,Catalogo_Codigos,0)),"CODIGO NO VALIDO"))</f>
        <v/>
      </c>
      <c r="J484" s="20" t="n"/>
      <c r="K484" s="20" t="n"/>
      <c r="L484" s="20">
        <f>IF($C484="","",$J484+$K484)</f>
        <v/>
      </c>
      <c r="M484" s="30" t="n"/>
      <c r="N484" s="26">
        <f>IF($C484="","",IF($I484="PEN",1,IFERROR(IF(_xlfn.XLOOKUP($B484,TC_Fechas,TC_Venta_Rango,"",-1)="","",_xlfn.XLOOKUP($B484,TC_Fechas,TC_Venta_Rango,"",-1)),"")))</f>
        <v/>
      </c>
      <c r="O484" s="20">
        <f>IF(OR($C484="",$N484=""),"",ROUND($J484*$N484,2)+ROUND($K484*$N484,2))</f>
        <v/>
      </c>
      <c r="P484" s="31">
        <f>IF($G484="","",IFERROR(INDEX(Catalogo_Tasas,MATCH($G484,Catalogo_Codigos,0)),""))</f>
        <v/>
      </c>
      <c r="Q484" s="32">
        <f>IF($G484="","",IFERROR(INDEX(Catalogo_Umbrales,MATCH($G484,Catalogo_Codigos,0)),""))</f>
        <v/>
      </c>
      <c r="R484">
        <f>IF(OR($C484="",$P484="",$O484=""),"",IF($F484&lt;&gt;"FACTURA","NO",IF(AND($P484&gt;0,$O484&gt;$Q484),"SI","NO")))</f>
        <v/>
      </c>
      <c r="S484" s="20">
        <f>IF($R484="SI",ROUND($O484*$P484,2),IF($C484="","",0))</f>
        <v/>
      </c>
      <c r="T484" s="20" t="n"/>
      <c r="U484">
        <f>IF($C484="","",IF($R484&lt;&gt;"SI","",IF($T484="","SIN DATO",IF(ABS($T484-$S484)&lt;=0.5,"OK","REVISAR"))))</f>
        <v/>
      </c>
      <c r="V484" s="20" t="n"/>
      <c r="W484" s="20">
        <f>IF(OR($C484="",$N484=""),"",IF($F484="RHE",ROUND($L484-$V484,2),ROUND($L484-($S484/$N484),2)))</f>
        <v/>
      </c>
      <c r="X484" s="25" t="n"/>
      <c r="Y484" s="25" t="n"/>
    </row>
    <row r="485">
      <c r="A485" t="n">
        <v>482</v>
      </c>
      <c r="B485" s="25" t="n"/>
      <c r="D485" s="30" t="n"/>
      <c r="G485" s="30" t="n"/>
      <c r="H485">
        <f>IF($G485="","",IFERROR(INDEX(Catalogo_Etiquetas,MATCH($G485,Catalogo_Codigos,0)),"CODIGO NO VALIDO"))</f>
        <v/>
      </c>
      <c r="J485" s="20" t="n"/>
      <c r="K485" s="20" t="n"/>
      <c r="L485" s="20">
        <f>IF($C485="","",$J485+$K485)</f>
        <v/>
      </c>
      <c r="M485" s="30" t="n"/>
      <c r="N485" s="26">
        <f>IF($C485="","",IF($I485="PEN",1,IFERROR(IF(_xlfn.XLOOKUP($B485,TC_Fechas,TC_Venta_Rango,"",-1)="","",_xlfn.XLOOKUP($B485,TC_Fechas,TC_Venta_Rango,"",-1)),"")))</f>
        <v/>
      </c>
      <c r="O485" s="20">
        <f>IF(OR($C485="",$N485=""),"",ROUND($J485*$N485,2)+ROUND($K485*$N485,2))</f>
        <v/>
      </c>
      <c r="P485" s="31">
        <f>IF($G485="","",IFERROR(INDEX(Catalogo_Tasas,MATCH($G485,Catalogo_Codigos,0)),""))</f>
        <v/>
      </c>
      <c r="Q485" s="32">
        <f>IF($G485="","",IFERROR(INDEX(Catalogo_Umbrales,MATCH($G485,Catalogo_Codigos,0)),""))</f>
        <v/>
      </c>
      <c r="R485">
        <f>IF(OR($C485="",$P485="",$O485=""),"",IF($F485&lt;&gt;"FACTURA","NO",IF(AND($P485&gt;0,$O485&gt;$Q485),"SI","NO")))</f>
        <v/>
      </c>
      <c r="S485" s="20">
        <f>IF($R485="SI",ROUND($O485*$P485,2),IF($C485="","",0))</f>
        <v/>
      </c>
      <c r="T485" s="20" t="n"/>
      <c r="U485">
        <f>IF($C485="","",IF($R485&lt;&gt;"SI","",IF($T485="","SIN DATO",IF(ABS($T485-$S485)&lt;=0.5,"OK","REVISAR"))))</f>
        <v/>
      </c>
      <c r="V485" s="20" t="n"/>
      <c r="W485" s="20">
        <f>IF(OR($C485="",$N485=""),"",IF($F485="RHE",ROUND($L485-$V485,2),ROUND($L485-($S485/$N485),2)))</f>
        <v/>
      </c>
      <c r="X485" s="25" t="n"/>
      <c r="Y485" s="25" t="n"/>
    </row>
    <row r="486">
      <c r="A486" t="n">
        <v>483</v>
      </c>
      <c r="B486" s="25" t="n"/>
      <c r="D486" s="30" t="n"/>
      <c r="G486" s="30" t="n"/>
      <c r="H486">
        <f>IF($G486="","",IFERROR(INDEX(Catalogo_Etiquetas,MATCH($G486,Catalogo_Codigos,0)),"CODIGO NO VALIDO"))</f>
        <v/>
      </c>
      <c r="J486" s="20" t="n"/>
      <c r="K486" s="20" t="n"/>
      <c r="L486" s="20">
        <f>IF($C486="","",$J486+$K486)</f>
        <v/>
      </c>
      <c r="M486" s="30" t="n"/>
      <c r="N486" s="26">
        <f>IF($C486="","",IF($I486="PEN",1,IFERROR(IF(_xlfn.XLOOKUP($B486,TC_Fechas,TC_Venta_Rango,"",-1)="","",_xlfn.XLOOKUP($B486,TC_Fechas,TC_Venta_Rango,"",-1)),"")))</f>
        <v/>
      </c>
      <c r="O486" s="20">
        <f>IF(OR($C486="",$N486=""),"",ROUND($J486*$N486,2)+ROUND($K486*$N486,2))</f>
        <v/>
      </c>
      <c r="P486" s="31">
        <f>IF($G486="","",IFERROR(INDEX(Catalogo_Tasas,MATCH($G486,Catalogo_Codigos,0)),""))</f>
        <v/>
      </c>
      <c r="Q486" s="32">
        <f>IF($G486="","",IFERROR(INDEX(Catalogo_Umbrales,MATCH($G486,Catalogo_Codigos,0)),""))</f>
        <v/>
      </c>
      <c r="R486">
        <f>IF(OR($C486="",$P486="",$O486=""),"",IF($F486&lt;&gt;"FACTURA","NO",IF(AND($P486&gt;0,$O486&gt;$Q486),"SI","NO")))</f>
        <v/>
      </c>
      <c r="S486" s="20">
        <f>IF($R486="SI",ROUND($O486*$P486,2),IF($C486="","",0))</f>
        <v/>
      </c>
      <c r="T486" s="20" t="n"/>
      <c r="U486">
        <f>IF($C486="","",IF($R486&lt;&gt;"SI","",IF($T486="","SIN DATO",IF(ABS($T486-$S486)&lt;=0.5,"OK","REVISAR"))))</f>
        <v/>
      </c>
      <c r="V486" s="20" t="n"/>
      <c r="W486" s="20">
        <f>IF(OR($C486="",$N486=""),"",IF($F486="RHE",ROUND($L486-$V486,2),ROUND($L486-($S486/$N486),2)))</f>
        <v/>
      </c>
      <c r="X486" s="25" t="n"/>
      <c r="Y486" s="25" t="n"/>
    </row>
    <row r="487">
      <c r="A487" t="n">
        <v>484</v>
      </c>
      <c r="B487" s="25" t="n"/>
      <c r="D487" s="30" t="n"/>
      <c r="G487" s="30" t="n"/>
      <c r="H487">
        <f>IF($G487="","",IFERROR(INDEX(Catalogo_Etiquetas,MATCH($G487,Catalogo_Codigos,0)),"CODIGO NO VALIDO"))</f>
        <v/>
      </c>
      <c r="J487" s="20" t="n"/>
      <c r="K487" s="20" t="n"/>
      <c r="L487" s="20">
        <f>IF($C487="","",$J487+$K487)</f>
        <v/>
      </c>
      <c r="M487" s="30" t="n"/>
      <c r="N487" s="26">
        <f>IF($C487="","",IF($I487="PEN",1,IFERROR(IF(_xlfn.XLOOKUP($B487,TC_Fechas,TC_Venta_Rango,"",-1)="","",_xlfn.XLOOKUP($B487,TC_Fechas,TC_Venta_Rango,"",-1)),"")))</f>
        <v/>
      </c>
      <c r="O487" s="20">
        <f>IF(OR($C487="",$N487=""),"",ROUND($J487*$N487,2)+ROUND($K487*$N487,2))</f>
        <v/>
      </c>
      <c r="P487" s="31">
        <f>IF($G487="","",IFERROR(INDEX(Catalogo_Tasas,MATCH($G487,Catalogo_Codigos,0)),""))</f>
        <v/>
      </c>
      <c r="Q487" s="32">
        <f>IF($G487="","",IFERROR(INDEX(Catalogo_Umbrales,MATCH($G487,Catalogo_Codigos,0)),""))</f>
        <v/>
      </c>
      <c r="R487">
        <f>IF(OR($C487="",$P487="",$O487=""),"",IF($F487&lt;&gt;"FACTURA","NO",IF(AND($P487&gt;0,$O487&gt;$Q487),"SI","NO")))</f>
        <v/>
      </c>
      <c r="S487" s="20">
        <f>IF($R487="SI",ROUND($O487*$P487,2),IF($C487="","",0))</f>
        <v/>
      </c>
      <c r="T487" s="20" t="n"/>
      <c r="U487">
        <f>IF($C487="","",IF($R487&lt;&gt;"SI","",IF($T487="","SIN DATO",IF(ABS($T487-$S487)&lt;=0.5,"OK","REVISAR"))))</f>
        <v/>
      </c>
      <c r="V487" s="20" t="n"/>
      <c r="W487" s="20">
        <f>IF(OR($C487="",$N487=""),"",IF($F487="RHE",ROUND($L487-$V487,2),ROUND($L487-($S487/$N487),2)))</f>
        <v/>
      </c>
      <c r="X487" s="25" t="n"/>
      <c r="Y487" s="25" t="n"/>
    </row>
    <row r="488">
      <c r="A488" t="n">
        <v>485</v>
      </c>
      <c r="B488" s="25" t="n"/>
      <c r="D488" s="30" t="n"/>
      <c r="G488" s="30" t="n"/>
      <c r="H488">
        <f>IF($G488="","",IFERROR(INDEX(Catalogo_Etiquetas,MATCH($G488,Catalogo_Codigos,0)),"CODIGO NO VALIDO"))</f>
        <v/>
      </c>
      <c r="J488" s="20" t="n"/>
      <c r="K488" s="20" t="n"/>
      <c r="L488" s="20">
        <f>IF($C488="","",$J488+$K488)</f>
        <v/>
      </c>
      <c r="M488" s="30" t="n"/>
      <c r="N488" s="26">
        <f>IF($C488="","",IF($I488="PEN",1,IFERROR(IF(_xlfn.XLOOKUP($B488,TC_Fechas,TC_Venta_Rango,"",-1)="","",_xlfn.XLOOKUP($B488,TC_Fechas,TC_Venta_Rango,"",-1)),"")))</f>
        <v/>
      </c>
      <c r="O488" s="20">
        <f>IF(OR($C488="",$N488=""),"",ROUND($J488*$N488,2)+ROUND($K488*$N488,2))</f>
        <v/>
      </c>
      <c r="P488" s="31">
        <f>IF($G488="","",IFERROR(INDEX(Catalogo_Tasas,MATCH($G488,Catalogo_Codigos,0)),""))</f>
        <v/>
      </c>
      <c r="Q488" s="32">
        <f>IF($G488="","",IFERROR(INDEX(Catalogo_Umbrales,MATCH($G488,Catalogo_Codigos,0)),""))</f>
        <v/>
      </c>
      <c r="R488">
        <f>IF(OR($C488="",$P488="",$O488=""),"",IF($F488&lt;&gt;"FACTURA","NO",IF(AND($P488&gt;0,$O488&gt;$Q488),"SI","NO")))</f>
        <v/>
      </c>
      <c r="S488" s="20">
        <f>IF($R488="SI",ROUND($O488*$P488,2),IF($C488="","",0))</f>
        <v/>
      </c>
      <c r="T488" s="20" t="n"/>
      <c r="U488">
        <f>IF($C488="","",IF($R488&lt;&gt;"SI","",IF($T488="","SIN DATO",IF(ABS($T488-$S488)&lt;=0.5,"OK","REVISAR"))))</f>
        <v/>
      </c>
      <c r="V488" s="20" t="n"/>
      <c r="W488" s="20">
        <f>IF(OR($C488="",$N488=""),"",IF($F488="RHE",ROUND($L488-$V488,2),ROUND($L488-($S488/$N488),2)))</f>
        <v/>
      </c>
      <c r="X488" s="25" t="n"/>
      <c r="Y488" s="25" t="n"/>
    </row>
    <row r="489">
      <c r="A489" t="n">
        <v>486</v>
      </c>
      <c r="B489" s="25" t="n"/>
      <c r="D489" s="30" t="n"/>
      <c r="G489" s="30" t="n"/>
      <c r="H489">
        <f>IF($G489="","",IFERROR(INDEX(Catalogo_Etiquetas,MATCH($G489,Catalogo_Codigos,0)),"CODIGO NO VALIDO"))</f>
        <v/>
      </c>
      <c r="J489" s="20" t="n"/>
      <c r="K489" s="20" t="n"/>
      <c r="L489" s="20">
        <f>IF($C489="","",$J489+$K489)</f>
        <v/>
      </c>
      <c r="M489" s="30" t="n"/>
      <c r="N489" s="26">
        <f>IF($C489="","",IF($I489="PEN",1,IFERROR(IF(_xlfn.XLOOKUP($B489,TC_Fechas,TC_Venta_Rango,"",-1)="","",_xlfn.XLOOKUP($B489,TC_Fechas,TC_Venta_Rango,"",-1)),"")))</f>
        <v/>
      </c>
      <c r="O489" s="20">
        <f>IF(OR($C489="",$N489=""),"",ROUND($J489*$N489,2)+ROUND($K489*$N489,2))</f>
        <v/>
      </c>
      <c r="P489" s="31">
        <f>IF($G489="","",IFERROR(INDEX(Catalogo_Tasas,MATCH($G489,Catalogo_Codigos,0)),""))</f>
        <v/>
      </c>
      <c r="Q489" s="32">
        <f>IF($G489="","",IFERROR(INDEX(Catalogo_Umbrales,MATCH($G489,Catalogo_Codigos,0)),""))</f>
        <v/>
      </c>
      <c r="R489">
        <f>IF(OR($C489="",$P489="",$O489=""),"",IF($F489&lt;&gt;"FACTURA","NO",IF(AND($P489&gt;0,$O489&gt;$Q489),"SI","NO")))</f>
        <v/>
      </c>
      <c r="S489" s="20">
        <f>IF($R489="SI",ROUND($O489*$P489,2),IF($C489="","",0))</f>
        <v/>
      </c>
      <c r="T489" s="20" t="n"/>
      <c r="U489">
        <f>IF($C489="","",IF($R489&lt;&gt;"SI","",IF($T489="","SIN DATO",IF(ABS($T489-$S489)&lt;=0.5,"OK","REVISAR"))))</f>
        <v/>
      </c>
      <c r="V489" s="20" t="n"/>
      <c r="W489" s="20">
        <f>IF(OR($C489="",$N489=""),"",IF($F489="RHE",ROUND($L489-$V489,2),ROUND($L489-($S489/$N489),2)))</f>
        <v/>
      </c>
      <c r="X489" s="25" t="n"/>
      <c r="Y489" s="25" t="n"/>
    </row>
    <row r="490">
      <c r="A490" t="n">
        <v>487</v>
      </c>
      <c r="B490" s="25" t="n"/>
      <c r="D490" s="30" t="n"/>
      <c r="G490" s="30" t="n"/>
      <c r="H490">
        <f>IF($G490="","",IFERROR(INDEX(Catalogo_Etiquetas,MATCH($G490,Catalogo_Codigos,0)),"CODIGO NO VALIDO"))</f>
        <v/>
      </c>
      <c r="J490" s="20" t="n"/>
      <c r="K490" s="20" t="n"/>
      <c r="L490" s="20">
        <f>IF($C490="","",$J490+$K490)</f>
        <v/>
      </c>
      <c r="M490" s="30" t="n"/>
      <c r="N490" s="26">
        <f>IF($C490="","",IF($I490="PEN",1,IFERROR(IF(_xlfn.XLOOKUP($B490,TC_Fechas,TC_Venta_Rango,"",-1)="","",_xlfn.XLOOKUP($B490,TC_Fechas,TC_Venta_Rango,"",-1)),"")))</f>
        <v/>
      </c>
      <c r="O490" s="20">
        <f>IF(OR($C490="",$N490=""),"",ROUND($J490*$N490,2)+ROUND($K490*$N490,2))</f>
        <v/>
      </c>
      <c r="P490" s="31">
        <f>IF($G490="","",IFERROR(INDEX(Catalogo_Tasas,MATCH($G490,Catalogo_Codigos,0)),""))</f>
        <v/>
      </c>
      <c r="Q490" s="32">
        <f>IF($G490="","",IFERROR(INDEX(Catalogo_Umbrales,MATCH($G490,Catalogo_Codigos,0)),""))</f>
        <v/>
      </c>
      <c r="R490">
        <f>IF(OR($C490="",$P490="",$O490=""),"",IF($F490&lt;&gt;"FACTURA","NO",IF(AND($P490&gt;0,$O490&gt;$Q490),"SI","NO")))</f>
        <v/>
      </c>
      <c r="S490" s="20">
        <f>IF($R490="SI",ROUND($O490*$P490,2),IF($C490="","",0))</f>
        <v/>
      </c>
      <c r="T490" s="20" t="n"/>
      <c r="U490">
        <f>IF($C490="","",IF($R490&lt;&gt;"SI","",IF($T490="","SIN DATO",IF(ABS($T490-$S490)&lt;=0.5,"OK","REVISAR"))))</f>
        <v/>
      </c>
      <c r="V490" s="20" t="n"/>
      <c r="W490" s="20">
        <f>IF(OR($C490="",$N490=""),"",IF($F490="RHE",ROUND($L490-$V490,2),ROUND($L490-($S490/$N490),2)))</f>
        <v/>
      </c>
      <c r="X490" s="25" t="n"/>
      <c r="Y490" s="25" t="n"/>
    </row>
    <row r="491">
      <c r="A491" t="n">
        <v>488</v>
      </c>
      <c r="B491" s="25" t="n"/>
      <c r="D491" s="30" t="n"/>
      <c r="G491" s="30" t="n"/>
      <c r="H491">
        <f>IF($G491="","",IFERROR(INDEX(Catalogo_Etiquetas,MATCH($G491,Catalogo_Codigos,0)),"CODIGO NO VALIDO"))</f>
        <v/>
      </c>
      <c r="J491" s="20" t="n"/>
      <c r="K491" s="20" t="n"/>
      <c r="L491" s="20">
        <f>IF($C491="","",$J491+$K491)</f>
        <v/>
      </c>
      <c r="M491" s="30" t="n"/>
      <c r="N491" s="26">
        <f>IF($C491="","",IF($I491="PEN",1,IFERROR(IF(_xlfn.XLOOKUP($B491,TC_Fechas,TC_Venta_Rango,"",-1)="","",_xlfn.XLOOKUP($B491,TC_Fechas,TC_Venta_Rango,"",-1)),"")))</f>
        <v/>
      </c>
      <c r="O491" s="20">
        <f>IF(OR($C491="",$N491=""),"",ROUND($J491*$N491,2)+ROUND($K491*$N491,2))</f>
        <v/>
      </c>
      <c r="P491" s="31">
        <f>IF($G491="","",IFERROR(INDEX(Catalogo_Tasas,MATCH($G491,Catalogo_Codigos,0)),""))</f>
        <v/>
      </c>
      <c r="Q491" s="32">
        <f>IF($G491="","",IFERROR(INDEX(Catalogo_Umbrales,MATCH($G491,Catalogo_Codigos,0)),""))</f>
        <v/>
      </c>
      <c r="R491">
        <f>IF(OR($C491="",$P491="",$O491=""),"",IF($F491&lt;&gt;"FACTURA","NO",IF(AND($P491&gt;0,$O491&gt;$Q491),"SI","NO")))</f>
        <v/>
      </c>
      <c r="S491" s="20">
        <f>IF($R491="SI",ROUND($O491*$P491,2),IF($C491="","",0))</f>
        <v/>
      </c>
      <c r="T491" s="20" t="n"/>
      <c r="U491">
        <f>IF($C491="","",IF($R491&lt;&gt;"SI","",IF($T491="","SIN DATO",IF(ABS($T491-$S491)&lt;=0.5,"OK","REVISAR"))))</f>
        <v/>
      </c>
      <c r="V491" s="20" t="n"/>
      <c r="W491" s="20">
        <f>IF(OR($C491="",$N491=""),"",IF($F491="RHE",ROUND($L491-$V491,2),ROUND($L491-($S491/$N491),2)))</f>
        <v/>
      </c>
      <c r="X491" s="25" t="n"/>
      <c r="Y491" s="25" t="n"/>
    </row>
    <row r="492">
      <c r="A492" t="n">
        <v>489</v>
      </c>
      <c r="B492" s="25" t="n"/>
      <c r="D492" s="30" t="n"/>
      <c r="G492" s="30" t="n"/>
      <c r="H492">
        <f>IF($G492="","",IFERROR(INDEX(Catalogo_Etiquetas,MATCH($G492,Catalogo_Codigos,0)),"CODIGO NO VALIDO"))</f>
        <v/>
      </c>
      <c r="J492" s="20" t="n"/>
      <c r="K492" s="20" t="n"/>
      <c r="L492" s="20">
        <f>IF($C492="","",$J492+$K492)</f>
        <v/>
      </c>
      <c r="M492" s="30" t="n"/>
      <c r="N492" s="26">
        <f>IF($C492="","",IF($I492="PEN",1,IFERROR(IF(_xlfn.XLOOKUP($B492,TC_Fechas,TC_Venta_Rango,"",-1)="","",_xlfn.XLOOKUP($B492,TC_Fechas,TC_Venta_Rango,"",-1)),"")))</f>
        <v/>
      </c>
      <c r="O492" s="20">
        <f>IF(OR($C492="",$N492=""),"",ROUND($J492*$N492,2)+ROUND($K492*$N492,2))</f>
        <v/>
      </c>
      <c r="P492" s="31">
        <f>IF($G492="","",IFERROR(INDEX(Catalogo_Tasas,MATCH($G492,Catalogo_Codigos,0)),""))</f>
        <v/>
      </c>
      <c r="Q492" s="32">
        <f>IF($G492="","",IFERROR(INDEX(Catalogo_Umbrales,MATCH($G492,Catalogo_Codigos,0)),""))</f>
        <v/>
      </c>
      <c r="R492">
        <f>IF(OR($C492="",$P492="",$O492=""),"",IF($F492&lt;&gt;"FACTURA","NO",IF(AND($P492&gt;0,$O492&gt;$Q492),"SI","NO")))</f>
        <v/>
      </c>
      <c r="S492" s="20">
        <f>IF($R492="SI",ROUND($O492*$P492,2),IF($C492="","",0))</f>
        <v/>
      </c>
      <c r="T492" s="20" t="n"/>
      <c r="U492">
        <f>IF($C492="","",IF($R492&lt;&gt;"SI","",IF($T492="","SIN DATO",IF(ABS($T492-$S492)&lt;=0.5,"OK","REVISAR"))))</f>
        <v/>
      </c>
      <c r="V492" s="20" t="n"/>
      <c r="W492" s="20">
        <f>IF(OR($C492="",$N492=""),"",IF($F492="RHE",ROUND($L492-$V492,2),ROUND($L492-($S492/$N492),2)))</f>
        <v/>
      </c>
      <c r="X492" s="25" t="n"/>
      <c r="Y492" s="25" t="n"/>
    </row>
    <row r="493">
      <c r="A493" t="n">
        <v>490</v>
      </c>
      <c r="B493" s="25" t="n"/>
      <c r="D493" s="30" t="n"/>
      <c r="G493" s="30" t="n"/>
      <c r="H493">
        <f>IF($G493="","",IFERROR(INDEX(Catalogo_Etiquetas,MATCH($G493,Catalogo_Codigos,0)),"CODIGO NO VALIDO"))</f>
        <v/>
      </c>
      <c r="J493" s="20" t="n"/>
      <c r="K493" s="20" t="n"/>
      <c r="L493" s="20">
        <f>IF($C493="","",$J493+$K493)</f>
        <v/>
      </c>
      <c r="M493" s="30" t="n"/>
      <c r="N493" s="26">
        <f>IF($C493="","",IF($I493="PEN",1,IFERROR(IF(_xlfn.XLOOKUP($B493,TC_Fechas,TC_Venta_Rango,"",-1)="","",_xlfn.XLOOKUP($B493,TC_Fechas,TC_Venta_Rango,"",-1)),"")))</f>
        <v/>
      </c>
      <c r="O493" s="20">
        <f>IF(OR($C493="",$N493=""),"",ROUND($J493*$N493,2)+ROUND($K493*$N493,2))</f>
        <v/>
      </c>
      <c r="P493" s="31">
        <f>IF($G493="","",IFERROR(INDEX(Catalogo_Tasas,MATCH($G493,Catalogo_Codigos,0)),""))</f>
        <v/>
      </c>
      <c r="Q493" s="32">
        <f>IF($G493="","",IFERROR(INDEX(Catalogo_Umbrales,MATCH($G493,Catalogo_Codigos,0)),""))</f>
        <v/>
      </c>
      <c r="R493">
        <f>IF(OR($C493="",$P493="",$O493=""),"",IF($F493&lt;&gt;"FACTURA","NO",IF(AND($P493&gt;0,$O493&gt;$Q493),"SI","NO")))</f>
        <v/>
      </c>
      <c r="S493" s="20">
        <f>IF($R493="SI",ROUND($O493*$P493,2),IF($C493="","",0))</f>
        <v/>
      </c>
      <c r="T493" s="20" t="n"/>
      <c r="U493">
        <f>IF($C493="","",IF($R493&lt;&gt;"SI","",IF($T493="","SIN DATO",IF(ABS($T493-$S493)&lt;=0.5,"OK","REVISAR"))))</f>
        <v/>
      </c>
      <c r="V493" s="20" t="n"/>
      <c r="W493" s="20">
        <f>IF(OR($C493="",$N493=""),"",IF($F493="RHE",ROUND($L493-$V493,2),ROUND($L493-($S493/$N493),2)))</f>
        <v/>
      </c>
      <c r="X493" s="25" t="n"/>
      <c r="Y493" s="25" t="n"/>
    </row>
    <row r="494">
      <c r="A494" t="n">
        <v>491</v>
      </c>
      <c r="B494" s="25" t="n"/>
      <c r="D494" s="30" t="n"/>
      <c r="G494" s="30" t="n"/>
      <c r="H494">
        <f>IF($G494="","",IFERROR(INDEX(Catalogo_Etiquetas,MATCH($G494,Catalogo_Codigos,0)),"CODIGO NO VALIDO"))</f>
        <v/>
      </c>
      <c r="J494" s="20" t="n"/>
      <c r="K494" s="20" t="n"/>
      <c r="L494" s="20">
        <f>IF($C494="","",$J494+$K494)</f>
        <v/>
      </c>
      <c r="M494" s="30" t="n"/>
      <c r="N494" s="26">
        <f>IF($C494="","",IF($I494="PEN",1,IFERROR(IF(_xlfn.XLOOKUP($B494,TC_Fechas,TC_Venta_Rango,"",-1)="","",_xlfn.XLOOKUP($B494,TC_Fechas,TC_Venta_Rango,"",-1)),"")))</f>
        <v/>
      </c>
      <c r="O494" s="20">
        <f>IF(OR($C494="",$N494=""),"",ROUND($J494*$N494,2)+ROUND($K494*$N494,2))</f>
        <v/>
      </c>
      <c r="P494" s="31">
        <f>IF($G494="","",IFERROR(INDEX(Catalogo_Tasas,MATCH($G494,Catalogo_Codigos,0)),""))</f>
        <v/>
      </c>
      <c r="Q494" s="32">
        <f>IF($G494="","",IFERROR(INDEX(Catalogo_Umbrales,MATCH($G494,Catalogo_Codigos,0)),""))</f>
        <v/>
      </c>
      <c r="R494">
        <f>IF(OR($C494="",$P494="",$O494=""),"",IF($F494&lt;&gt;"FACTURA","NO",IF(AND($P494&gt;0,$O494&gt;$Q494),"SI","NO")))</f>
        <v/>
      </c>
      <c r="S494" s="20">
        <f>IF($R494="SI",ROUND($O494*$P494,2),IF($C494="","",0))</f>
        <v/>
      </c>
      <c r="T494" s="20" t="n"/>
      <c r="U494">
        <f>IF($C494="","",IF($R494&lt;&gt;"SI","",IF($T494="","SIN DATO",IF(ABS($T494-$S494)&lt;=0.5,"OK","REVISAR"))))</f>
        <v/>
      </c>
      <c r="V494" s="20" t="n"/>
      <c r="W494" s="20">
        <f>IF(OR($C494="",$N494=""),"",IF($F494="RHE",ROUND($L494-$V494,2),ROUND($L494-($S494/$N494),2)))</f>
        <v/>
      </c>
      <c r="X494" s="25" t="n"/>
      <c r="Y494" s="25" t="n"/>
    </row>
    <row r="495">
      <c r="A495" t="n">
        <v>492</v>
      </c>
      <c r="B495" s="25" t="n"/>
      <c r="D495" s="30" t="n"/>
      <c r="G495" s="30" t="n"/>
      <c r="H495">
        <f>IF($G495="","",IFERROR(INDEX(Catalogo_Etiquetas,MATCH($G495,Catalogo_Codigos,0)),"CODIGO NO VALIDO"))</f>
        <v/>
      </c>
      <c r="J495" s="20" t="n"/>
      <c r="K495" s="20" t="n"/>
      <c r="L495" s="20">
        <f>IF($C495="","",$J495+$K495)</f>
        <v/>
      </c>
      <c r="M495" s="30" t="n"/>
      <c r="N495" s="26">
        <f>IF($C495="","",IF($I495="PEN",1,IFERROR(IF(_xlfn.XLOOKUP($B495,TC_Fechas,TC_Venta_Rango,"",-1)="","",_xlfn.XLOOKUP($B495,TC_Fechas,TC_Venta_Rango,"",-1)),"")))</f>
        <v/>
      </c>
      <c r="O495" s="20">
        <f>IF(OR($C495="",$N495=""),"",ROUND($J495*$N495,2)+ROUND($K495*$N495,2))</f>
        <v/>
      </c>
      <c r="P495" s="31">
        <f>IF($G495="","",IFERROR(INDEX(Catalogo_Tasas,MATCH($G495,Catalogo_Codigos,0)),""))</f>
        <v/>
      </c>
      <c r="Q495" s="32">
        <f>IF($G495="","",IFERROR(INDEX(Catalogo_Umbrales,MATCH($G495,Catalogo_Codigos,0)),""))</f>
        <v/>
      </c>
      <c r="R495">
        <f>IF(OR($C495="",$P495="",$O495=""),"",IF($F495&lt;&gt;"FACTURA","NO",IF(AND($P495&gt;0,$O495&gt;$Q495),"SI","NO")))</f>
        <v/>
      </c>
      <c r="S495" s="20">
        <f>IF($R495="SI",ROUND($O495*$P495,2),IF($C495="","",0))</f>
        <v/>
      </c>
      <c r="T495" s="20" t="n"/>
      <c r="U495">
        <f>IF($C495="","",IF($R495&lt;&gt;"SI","",IF($T495="","SIN DATO",IF(ABS($T495-$S495)&lt;=0.5,"OK","REVISAR"))))</f>
        <v/>
      </c>
      <c r="V495" s="20" t="n"/>
      <c r="W495" s="20">
        <f>IF(OR($C495="",$N495=""),"",IF($F495="RHE",ROUND($L495-$V495,2),ROUND($L495-($S495/$N495),2)))</f>
        <v/>
      </c>
      <c r="X495" s="25" t="n"/>
      <c r="Y495" s="25" t="n"/>
    </row>
    <row r="496">
      <c r="A496" t="n">
        <v>493</v>
      </c>
      <c r="B496" s="25" t="n"/>
      <c r="D496" s="30" t="n"/>
      <c r="G496" s="30" t="n"/>
      <c r="H496">
        <f>IF($G496="","",IFERROR(INDEX(Catalogo_Etiquetas,MATCH($G496,Catalogo_Codigos,0)),"CODIGO NO VALIDO"))</f>
        <v/>
      </c>
      <c r="J496" s="20" t="n"/>
      <c r="K496" s="20" t="n"/>
      <c r="L496" s="20">
        <f>IF($C496="","",$J496+$K496)</f>
        <v/>
      </c>
      <c r="M496" s="30" t="n"/>
      <c r="N496" s="26">
        <f>IF($C496="","",IF($I496="PEN",1,IFERROR(IF(_xlfn.XLOOKUP($B496,TC_Fechas,TC_Venta_Rango,"",-1)="","",_xlfn.XLOOKUP($B496,TC_Fechas,TC_Venta_Rango,"",-1)),"")))</f>
        <v/>
      </c>
      <c r="O496" s="20">
        <f>IF(OR($C496="",$N496=""),"",ROUND($J496*$N496,2)+ROUND($K496*$N496,2))</f>
        <v/>
      </c>
      <c r="P496" s="31">
        <f>IF($G496="","",IFERROR(INDEX(Catalogo_Tasas,MATCH($G496,Catalogo_Codigos,0)),""))</f>
        <v/>
      </c>
      <c r="Q496" s="32">
        <f>IF($G496="","",IFERROR(INDEX(Catalogo_Umbrales,MATCH($G496,Catalogo_Codigos,0)),""))</f>
        <v/>
      </c>
      <c r="R496">
        <f>IF(OR($C496="",$P496="",$O496=""),"",IF($F496&lt;&gt;"FACTURA","NO",IF(AND($P496&gt;0,$O496&gt;$Q496),"SI","NO")))</f>
        <v/>
      </c>
      <c r="S496" s="20">
        <f>IF($R496="SI",ROUND($O496*$P496,2),IF($C496="","",0))</f>
        <v/>
      </c>
      <c r="T496" s="20" t="n"/>
      <c r="U496">
        <f>IF($C496="","",IF($R496&lt;&gt;"SI","",IF($T496="","SIN DATO",IF(ABS($T496-$S496)&lt;=0.5,"OK","REVISAR"))))</f>
        <v/>
      </c>
      <c r="V496" s="20" t="n"/>
      <c r="W496" s="20">
        <f>IF(OR($C496="",$N496=""),"",IF($F496="RHE",ROUND($L496-$V496,2),ROUND($L496-($S496/$N496),2)))</f>
        <v/>
      </c>
      <c r="X496" s="25" t="n"/>
      <c r="Y496" s="25" t="n"/>
    </row>
    <row r="497">
      <c r="A497" t="n">
        <v>494</v>
      </c>
      <c r="B497" s="25" t="n"/>
      <c r="D497" s="30" t="n"/>
      <c r="G497" s="30" t="n"/>
      <c r="H497">
        <f>IF($G497="","",IFERROR(INDEX(Catalogo_Etiquetas,MATCH($G497,Catalogo_Codigos,0)),"CODIGO NO VALIDO"))</f>
        <v/>
      </c>
      <c r="J497" s="20" t="n"/>
      <c r="K497" s="20" t="n"/>
      <c r="L497" s="20">
        <f>IF($C497="","",$J497+$K497)</f>
        <v/>
      </c>
      <c r="M497" s="30" t="n"/>
      <c r="N497" s="26">
        <f>IF($C497="","",IF($I497="PEN",1,IFERROR(IF(_xlfn.XLOOKUP($B497,TC_Fechas,TC_Venta_Rango,"",-1)="","",_xlfn.XLOOKUP($B497,TC_Fechas,TC_Venta_Rango,"",-1)),"")))</f>
        <v/>
      </c>
      <c r="O497" s="20">
        <f>IF(OR($C497="",$N497=""),"",ROUND($J497*$N497,2)+ROUND($K497*$N497,2))</f>
        <v/>
      </c>
      <c r="P497" s="31">
        <f>IF($G497="","",IFERROR(INDEX(Catalogo_Tasas,MATCH($G497,Catalogo_Codigos,0)),""))</f>
        <v/>
      </c>
      <c r="Q497" s="32">
        <f>IF($G497="","",IFERROR(INDEX(Catalogo_Umbrales,MATCH($G497,Catalogo_Codigos,0)),""))</f>
        <v/>
      </c>
      <c r="R497">
        <f>IF(OR($C497="",$P497="",$O497=""),"",IF($F497&lt;&gt;"FACTURA","NO",IF(AND($P497&gt;0,$O497&gt;$Q497),"SI","NO")))</f>
        <v/>
      </c>
      <c r="S497" s="20">
        <f>IF($R497="SI",ROUND($O497*$P497,2),IF($C497="","",0))</f>
        <v/>
      </c>
      <c r="T497" s="20" t="n"/>
      <c r="U497">
        <f>IF($C497="","",IF($R497&lt;&gt;"SI","",IF($T497="","SIN DATO",IF(ABS($T497-$S497)&lt;=0.5,"OK","REVISAR"))))</f>
        <v/>
      </c>
      <c r="V497" s="20" t="n"/>
      <c r="W497" s="20">
        <f>IF(OR($C497="",$N497=""),"",IF($F497="RHE",ROUND($L497-$V497,2),ROUND($L497-($S497/$N497),2)))</f>
        <v/>
      </c>
      <c r="X497" s="25" t="n"/>
      <c r="Y497" s="25" t="n"/>
    </row>
    <row r="498">
      <c r="A498" t="n">
        <v>495</v>
      </c>
      <c r="B498" s="25" t="n"/>
      <c r="D498" s="30" t="n"/>
      <c r="G498" s="30" t="n"/>
      <c r="H498">
        <f>IF($G498="","",IFERROR(INDEX(Catalogo_Etiquetas,MATCH($G498,Catalogo_Codigos,0)),"CODIGO NO VALIDO"))</f>
        <v/>
      </c>
      <c r="J498" s="20" t="n"/>
      <c r="K498" s="20" t="n"/>
      <c r="L498" s="20">
        <f>IF($C498="","",$J498+$K498)</f>
        <v/>
      </c>
      <c r="M498" s="30" t="n"/>
      <c r="N498" s="26">
        <f>IF($C498="","",IF($I498="PEN",1,IFERROR(IF(_xlfn.XLOOKUP($B498,TC_Fechas,TC_Venta_Rango,"",-1)="","",_xlfn.XLOOKUP($B498,TC_Fechas,TC_Venta_Rango,"",-1)),"")))</f>
        <v/>
      </c>
      <c r="O498" s="20">
        <f>IF(OR($C498="",$N498=""),"",ROUND($J498*$N498,2)+ROUND($K498*$N498,2))</f>
        <v/>
      </c>
      <c r="P498" s="31">
        <f>IF($G498="","",IFERROR(INDEX(Catalogo_Tasas,MATCH($G498,Catalogo_Codigos,0)),""))</f>
        <v/>
      </c>
      <c r="Q498" s="32">
        <f>IF($G498="","",IFERROR(INDEX(Catalogo_Umbrales,MATCH($G498,Catalogo_Codigos,0)),""))</f>
        <v/>
      </c>
      <c r="R498">
        <f>IF(OR($C498="",$P498="",$O498=""),"",IF($F498&lt;&gt;"FACTURA","NO",IF(AND($P498&gt;0,$O498&gt;$Q498),"SI","NO")))</f>
        <v/>
      </c>
      <c r="S498" s="20">
        <f>IF($R498="SI",ROUND($O498*$P498,2),IF($C498="","",0))</f>
        <v/>
      </c>
      <c r="T498" s="20" t="n"/>
      <c r="U498">
        <f>IF($C498="","",IF($R498&lt;&gt;"SI","",IF($T498="","SIN DATO",IF(ABS($T498-$S498)&lt;=0.5,"OK","REVISAR"))))</f>
        <v/>
      </c>
      <c r="V498" s="20" t="n"/>
      <c r="W498" s="20">
        <f>IF(OR($C498="",$N498=""),"",IF($F498="RHE",ROUND($L498-$V498,2),ROUND($L498-($S498/$N498),2)))</f>
        <v/>
      </c>
      <c r="X498" s="25" t="n"/>
      <c r="Y498" s="25" t="n"/>
    </row>
    <row r="499">
      <c r="A499" t="n">
        <v>496</v>
      </c>
      <c r="B499" s="25" t="n"/>
      <c r="D499" s="30" t="n"/>
      <c r="G499" s="30" t="n"/>
      <c r="H499">
        <f>IF($G499="","",IFERROR(INDEX(Catalogo_Etiquetas,MATCH($G499,Catalogo_Codigos,0)),"CODIGO NO VALIDO"))</f>
        <v/>
      </c>
      <c r="J499" s="20" t="n"/>
      <c r="K499" s="20" t="n"/>
      <c r="L499" s="20">
        <f>IF($C499="","",$J499+$K499)</f>
        <v/>
      </c>
      <c r="M499" s="30" t="n"/>
      <c r="N499" s="26">
        <f>IF($C499="","",IF($I499="PEN",1,IFERROR(IF(_xlfn.XLOOKUP($B499,TC_Fechas,TC_Venta_Rango,"",-1)="","",_xlfn.XLOOKUP($B499,TC_Fechas,TC_Venta_Rango,"",-1)),"")))</f>
        <v/>
      </c>
      <c r="O499" s="20">
        <f>IF(OR($C499="",$N499=""),"",ROUND($J499*$N499,2)+ROUND($K499*$N499,2))</f>
        <v/>
      </c>
      <c r="P499" s="31">
        <f>IF($G499="","",IFERROR(INDEX(Catalogo_Tasas,MATCH($G499,Catalogo_Codigos,0)),""))</f>
        <v/>
      </c>
      <c r="Q499" s="32">
        <f>IF($G499="","",IFERROR(INDEX(Catalogo_Umbrales,MATCH($G499,Catalogo_Codigos,0)),""))</f>
        <v/>
      </c>
      <c r="R499">
        <f>IF(OR($C499="",$P499="",$O499=""),"",IF($F499&lt;&gt;"FACTURA","NO",IF(AND($P499&gt;0,$O499&gt;$Q499),"SI","NO")))</f>
        <v/>
      </c>
      <c r="S499" s="20">
        <f>IF($R499="SI",ROUND($O499*$P499,2),IF($C499="","",0))</f>
        <v/>
      </c>
      <c r="T499" s="20" t="n"/>
      <c r="U499">
        <f>IF($C499="","",IF($R499&lt;&gt;"SI","",IF($T499="","SIN DATO",IF(ABS($T499-$S499)&lt;=0.5,"OK","REVISAR"))))</f>
        <v/>
      </c>
      <c r="V499" s="20" t="n"/>
      <c r="W499" s="20">
        <f>IF(OR($C499="",$N499=""),"",IF($F499="RHE",ROUND($L499-$V499,2),ROUND($L499-($S499/$N499),2)))</f>
        <v/>
      </c>
      <c r="X499" s="25" t="n"/>
      <c r="Y499" s="25" t="n"/>
    </row>
    <row r="500">
      <c r="A500" t="n">
        <v>497</v>
      </c>
      <c r="B500" s="25" t="n"/>
      <c r="D500" s="30" t="n"/>
      <c r="G500" s="30" t="n"/>
      <c r="H500">
        <f>IF($G500="","",IFERROR(INDEX(Catalogo_Etiquetas,MATCH($G500,Catalogo_Codigos,0)),"CODIGO NO VALIDO"))</f>
        <v/>
      </c>
      <c r="J500" s="20" t="n"/>
      <c r="K500" s="20" t="n"/>
      <c r="L500" s="20">
        <f>IF($C500="","",$J500+$K500)</f>
        <v/>
      </c>
      <c r="M500" s="30" t="n"/>
      <c r="N500" s="26">
        <f>IF($C500="","",IF($I500="PEN",1,IFERROR(IF(_xlfn.XLOOKUP($B500,TC_Fechas,TC_Venta_Rango,"",-1)="","",_xlfn.XLOOKUP($B500,TC_Fechas,TC_Venta_Rango,"",-1)),"")))</f>
        <v/>
      </c>
      <c r="O500" s="20">
        <f>IF(OR($C500="",$N500=""),"",ROUND($J500*$N500,2)+ROUND($K500*$N500,2))</f>
        <v/>
      </c>
      <c r="P500" s="31">
        <f>IF($G500="","",IFERROR(INDEX(Catalogo_Tasas,MATCH($G500,Catalogo_Codigos,0)),""))</f>
        <v/>
      </c>
      <c r="Q500" s="32">
        <f>IF($G500="","",IFERROR(INDEX(Catalogo_Umbrales,MATCH($G500,Catalogo_Codigos,0)),""))</f>
        <v/>
      </c>
      <c r="R500">
        <f>IF(OR($C500="",$P500="",$O500=""),"",IF($F500&lt;&gt;"FACTURA","NO",IF(AND($P500&gt;0,$O500&gt;$Q500),"SI","NO")))</f>
        <v/>
      </c>
      <c r="S500" s="20">
        <f>IF($R500="SI",ROUND($O500*$P500,2),IF($C500="","",0))</f>
        <v/>
      </c>
      <c r="T500" s="20" t="n"/>
      <c r="U500">
        <f>IF($C500="","",IF($R500&lt;&gt;"SI","",IF($T500="","SIN DATO",IF(ABS($T500-$S500)&lt;=0.5,"OK","REVISAR"))))</f>
        <v/>
      </c>
      <c r="V500" s="20" t="n"/>
      <c r="W500" s="20">
        <f>IF(OR($C500="",$N500=""),"",IF($F500="RHE",ROUND($L500-$V500,2),ROUND($L500-($S500/$N500),2)))</f>
        <v/>
      </c>
      <c r="X500" s="25" t="n"/>
      <c r="Y500" s="25" t="n"/>
    </row>
    <row r="501">
      <c r="A501" t="n">
        <v>498</v>
      </c>
      <c r="B501" s="25" t="n"/>
      <c r="D501" s="30" t="n"/>
      <c r="G501" s="30" t="n"/>
      <c r="H501">
        <f>IF($G501="","",IFERROR(INDEX(Catalogo_Etiquetas,MATCH($G501,Catalogo_Codigos,0)),"CODIGO NO VALIDO"))</f>
        <v/>
      </c>
      <c r="J501" s="20" t="n"/>
      <c r="K501" s="20" t="n"/>
      <c r="L501" s="20">
        <f>IF($C501="","",$J501+$K501)</f>
        <v/>
      </c>
      <c r="M501" s="30" t="n"/>
      <c r="N501" s="26">
        <f>IF($C501="","",IF($I501="PEN",1,IFERROR(IF(_xlfn.XLOOKUP($B501,TC_Fechas,TC_Venta_Rango,"",-1)="","",_xlfn.XLOOKUP($B501,TC_Fechas,TC_Venta_Rango,"",-1)),"")))</f>
        <v/>
      </c>
      <c r="O501" s="20">
        <f>IF(OR($C501="",$N501=""),"",ROUND($J501*$N501,2)+ROUND($K501*$N501,2))</f>
        <v/>
      </c>
      <c r="P501" s="31">
        <f>IF($G501="","",IFERROR(INDEX(Catalogo_Tasas,MATCH($G501,Catalogo_Codigos,0)),""))</f>
        <v/>
      </c>
      <c r="Q501" s="32">
        <f>IF($G501="","",IFERROR(INDEX(Catalogo_Umbrales,MATCH($G501,Catalogo_Codigos,0)),""))</f>
        <v/>
      </c>
      <c r="R501">
        <f>IF(OR($C501="",$P501="",$O501=""),"",IF($F501&lt;&gt;"FACTURA","NO",IF(AND($P501&gt;0,$O501&gt;$Q501),"SI","NO")))</f>
        <v/>
      </c>
      <c r="S501" s="20">
        <f>IF($R501="SI",ROUND($O501*$P501,2),IF($C501="","",0))</f>
        <v/>
      </c>
      <c r="T501" s="20" t="n"/>
      <c r="U501">
        <f>IF($C501="","",IF($R501&lt;&gt;"SI","",IF($T501="","SIN DATO",IF(ABS($T501-$S501)&lt;=0.5,"OK","REVISAR"))))</f>
        <v/>
      </c>
      <c r="V501" s="20" t="n"/>
      <c r="W501" s="20">
        <f>IF(OR($C501="",$N501=""),"",IF($F501="RHE",ROUND($L501-$V501,2),ROUND($L501-($S501/$N501),2)))</f>
        <v/>
      </c>
      <c r="X501" s="25" t="n"/>
      <c r="Y501" s="25" t="n"/>
    </row>
    <row r="502">
      <c r="A502" t="n">
        <v>499</v>
      </c>
      <c r="B502" s="25" t="n"/>
      <c r="D502" s="30" t="n"/>
      <c r="G502" s="30" t="n"/>
      <c r="H502">
        <f>IF($G502="","",IFERROR(INDEX(Catalogo_Etiquetas,MATCH($G502,Catalogo_Codigos,0)),"CODIGO NO VALIDO"))</f>
        <v/>
      </c>
      <c r="J502" s="20" t="n"/>
      <c r="K502" s="20" t="n"/>
      <c r="L502" s="20">
        <f>IF($C502="","",$J502+$K502)</f>
        <v/>
      </c>
      <c r="M502" s="30" t="n"/>
      <c r="N502" s="26">
        <f>IF($C502="","",IF($I502="PEN",1,IFERROR(IF(_xlfn.XLOOKUP($B502,TC_Fechas,TC_Venta_Rango,"",-1)="","",_xlfn.XLOOKUP($B502,TC_Fechas,TC_Venta_Rango,"",-1)),"")))</f>
        <v/>
      </c>
      <c r="O502" s="20">
        <f>IF(OR($C502="",$N502=""),"",ROUND($J502*$N502,2)+ROUND($K502*$N502,2))</f>
        <v/>
      </c>
      <c r="P502" s="31">
        <f>IF($G502="","",IFERROR(INDEX(Catalogo_Tasas,MATCH($G502,Catalogo_Codigos,0)),""))</f>
        <v/>
      </c>
      <c r="Q502" s="32">
        <f>IF($G502="","",IFERROR(INDEX(Catalogo_Umbrales,MATCH($G502,Catalogo_Codigos,0)),""))</f>
        <v/>
      </c>
      <c r="R502">
        <f>IF(OR($C502="",$P502="",$O502=""),"",IF($F502&lt;&gt;"FACTURA","NO",IF(AND($P502&gt;0,$O502&gt;$Q502),"SI","NO")))</f>
        <v/>
      </c>
      <c r="S502" s="20">
        <f>IF($R502="SI",ROUND($O502*$P502,2),IF($C502="","",0))</f>
        <v/>
      </c>
      <c r="T502" s="20" t="n"/>
      <c r="U502">
        <f>IF($C502="","",IF($R502&lt;&gt;"SI","",IF($T502="","SIN DATO",IF(ABS($T502-$S502)&lt;=0.5,"OK","REVISAR"))))</f>
        <v/>
      </c>
      <c r="V502" s="20" t="n"/>
      <c r="W502" s="20">
        <f>IF(OR($C502="",$N502=""),"",IF($F502="RHE",ROUND($L502-$V502,2),ROUND($L502-($S502/$N502),2)))</f>
        <v/>
      </c>
      <c r="X502" s="25" t="n"/>
      <c r="Y502" s="25" t="n"/>
    </row>
    <row r="503">
      <c r="A503" t="n">
        <v>500</v>
      </c>
      <c r="B503" s="25" t="n"/>
      <c r="D503" s="30" t="n"/>
      <c r="G503" s="30" t="n"/>
      <c r="H503">
        <f>IF($G503="","",IFERROR(INDEX(Catalogo_Etiquetas,MATCH($G503,Catalogo_Codigos,0)),"CODIGO NO VALIDO"))</f>
        <v/>
      </c>
      <c r="J503" s="20" t="n"/>
      <c r="K503" s="20" t="n"/>
      <c r="L503" s="20">
        <f>IF($C503="","",$J503+$K503)</f>
        <v/>
      </c>
      <c r="M503" s="30" t="n"/>
      <c r="N503" s="26">
        <f>IF($C503="","",IF($I503="PEN",1,IFERROR(IF(_xlfn.XLOOKUP($B503,TC_Fechas,TC_Venta_Rango,"",-1)="","",_xlfn.XLOOKUP($B503,TC_Fechas,TC_Venta_Rango,"",-1)),"")))</f>
        <v/>
      </c>
      <c r="O503" s="20">
        <f>IF(OR($C503="",$N503=""),"",ROUND($J503*$N503,2)+ROUND($K503*$N503,2))</f>
        <v/>
      </c>
      <c r="P503" s="31">
        <f>IF($G503="","",IFERROR(INDEX(Catalogo_Tasas,MATCH($G503,Catalogo_Codigos,0)),""))</f>
        <v/>
      </c>
      <c r="Q503" s="32">
        <f>IF($G503="","",IFERROR(INDEX(Catalogo_Umbrales,MATCH($G503,Catalogo_Codigos,0)),""))</f>
        <v/>
      </c>
      <c r="R503">
        <f>IF(OR($C503="",$P503="",$O503=""),"",IF($F503&lt;&gt;"FACTURA","NO",IF(AND($P503&gt;0,$O503&gt;$Q503),"SI","NO")))</f>
        <v/>
      </c>
      <c r="S503" s="20">
        <f>IF($R503="SI",ROUND($O503*$P503,2),IF($C503="","",0))</f>
        <v/>
      </c>
      <c r="T503" s="20" t="n"/>
      <c r="U503">
        <f>IF($C503="","",IF($R503&lt;&gt;"SI","",IF($T503="","SIN DATO",IF(ABS($T503-$S503)&lt;=0.5,"OK","REVISAR"))))</f>
        <v/>
      </c>
      <c r="V503" s="20" t="n"/>
      <c r="W503" s="20">
        <f>IF(OR($C503="",$N503=""),"",IF($F503="RHE",ROUND($L503-$V503,2),ROUND($L503-($S503/$N503),2)))</f>
        <v/>
      </c>
      <c r="X503" s="25" t="n"/>
      <c r="Y503" s="25" t="n"/>
    </row>
  </sheetData>
  <dataValidations count="5">
    <dataValidation sqref="F4:F503" showDropDown="0" showInputMessage="1" showErrorMessage="1" allowBlank="1" type="list"/>
    <dataValidation sqref="G4:G503" showDropDown="0" showInputMessage="1" showErrorMessage="1" allowBlank="1" type="list">
      <formula1>Catalogo_Codigos</formula1>
    </dataValidation>
    <dataValidation sqref="I4:I503" showDropDown="0" showInputMessage="1" showErrorMessage="1" allowBlank="1" type="list"/>
    <dataValidation sqref="AA4:AA503" showDropDown="0" showInputMessage="1" showErrorMessage="1" allowBlank="1" type="list"/>
    <dataValidation sqref="AB4:AB503" showDropDown="0" showInputMessage="1" showErrorMessage="1" allowBlank="1" type="list"/>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R53"/>
  <sheetViews>
    <sheetView showGridLines="0" zoomScaleNormal="100" workbookViewId="0">
      <pane ySplit="3" topLeftCell="A4" activePane="bottomLeft" state="frozen"/>
      <selection pane="bottomLeft" activeCell="C4" sqref="C4"/>
    </sheetView>
  </sheetViews>
  <sheetFormatPr baseColWidth="10" defaultColWidth="8.7109375" defaultRowHeight="15"/>
  <cols>
    <col width="5" customWidth="1" min="1" max="1"/>
    <col width="12" customWidth="1" min="2" max="2"/>
    <col width="16" customWidth="1" min="3" max="3"/>
    <col width="14" customWidth="1" min="4" max="4"/>
    <col width="26" customWidth="1" min="5" max="5"/>
    <col width="8" customWidth="1" min="6" max="6"/>
    <col width="12" customWidth="1" min="7" max="7"/>
    <col width="10" customWidth="1" min="8" max="8"/>
    <col width="12" customWidth="1" min="9" max="9"/>
    <col width="14" customWidth="1" min="10" max="10"/>
    <col width="40" customWidth="1" min="11" max="11"/>
    <col width="10" customWidth="1" min="12" max="12"/>
    <col width="13" customWidth="1" min="13" max="14"/>
    <col width="10" customWidth="1" min="15" max="15"/>
    <col width="12" customWidth="1" min="16" max="16"/>
    <col width="14" customWidth="1" min="17" max="17"/>
  </cols>
  <sheetData>
    <row r="1" ht="18" customHeight="1">
      <c r="A1" s="1" t="inlineStr">
        <is>
          <t>Registro de Ventas — Comprobantes Emitidos a Clientes</t>
        </is>
      </c>
    </row>
    <row r="2">
      <c r="A2" s="5" t="inlineStr">
        <is>
          <t>Caso normal: "¿Sujeto a Detracción Emitida?" = NO (Braidy Wonders casi siempre es el adquiriente, no el emisor, de servicios del Anexo 3). Marca SI solo si el servicio que facturas está en el catálogo (ej. transporte de personas).</t>
        </is>
      </c>
    </row>
    <row r="3" ht="31.5" customHeight="1">
      <c r="A3" s="6" t="inlineStr">
        <is>
          <t>N°</t>
        </is>
      </c>
      <c r="B3" s="6" t="inlineStr">
        <is>
          <t>Fecha Emisión</t>
        </is>
      </c>
      <c r="C3" s="6" t="inlineStr">
        <is>
          <t>N° Comprobante</t>
        </is>
      </c>
      <c r="D3" s="6" t="inlineStr">
        <is>
          <t>RUC/Doc. Cliente</t>
        </is>
      </c>
      <c r="E3" s="6" t="inlineStr">
        <is>
          <t>Cliente</t>
        </is>
      </c>
      <c r="F3" s="6" t="inlineStr">
        <is>
          <t>Moneda</t>
        </is>
      </c>
      <c r="G3" s="6" t="inlineStr">
        <is>
          <t>Valor Venta</t>
        </is>
      </c>
      <c r="H3" s="6" t="inlineStr">
        <is>
          <t>IGV (18%)</t>
        </is>
      </c>
      <c r="I3" s="6" t="inlineStr">
        <is>
          <t>Total Factura</t>
        </is>
      </c>
      <c r="J3" s="6" t="inlineStr">
        <is>
          <t>¿Sujeto a Detracción Emitida?</t>
        </is>
      </c>
      <c r="K3" s="6" t="inlineStr">
        <is>
          <t>Concepto (si aplica, elige de la lista)</t>
        </is>
      </c>
      <c r="L3" s="6" t="inlineStr">
        <is>
          <t>% Detracción</t>
        </is>
      </c>
      <c r="M3" s="6" t="inlineStr">
        <is>
          <t>Monto Detracción</t>
        </is>
      </c>
      <c r="N3" s="6" t="inlineStr">
        <is>
          <t>Neto a Cobrar</t>
        </is>
      </c>
      <c r="O3" s="6" t="inlineStr">
        <is>
          <t>¿Cobrado?</t>
        </is>
      </c>
      <c r="P3" s="6" t="inlineStr">
        <is>
          <t>Fecha de Cobro</t>
        </is>
      </c>
      <c r="Q3" s="6" t="inlineStr">
        <is>
          <t>Estado</t>
        </is>
      </c>
      <c r="R3" t="inlineStr">
        <is>
          <t>¿Exportación de Servicios Turísticos (No Domiciliado)?</t>
        </is>
      </c>
    </row>
    <row r="4">
      <c r="A4" s="10" t="n">
        <v>1</v>
      </c>
      <c r="B4" s="11" t="inlineStr">
        <is>
          <t>2026-08-10</t>
        </is>
      </c>
      <c r="C4" s="11" t="inlineStr">
        <is>
          <t>F001-EJEMPLO</t>
        </is>
      </c>
      <c r="D4" s="11" t="inlineStr">
        <is>
          <t>10999999999</t>
        </is>
      </c>
      <c r="E4" s="11" t="inlineStr">
        <is>
          <t>Cliente de Ejemplo [BORRAR/REEMPLAZAR]</t>
        </is>
      </c>
      <c r="F4" s="11" t="inlineStr">
        <is>
          <t>USD</t>
        </is>
      </c>
      <c r="G4" s="12" t="n">
        <v>2000</v>
      </c>
      <c r="H4" s="13">
        <f>IF(C4="","",IF(R4="SI",0,G4*0.18))</f>
        <v/>
      </c>
      <c r="I4" s="13">
        <f>IF(C4="","",G4+H4)</f>
        <v/>
      </c>
      <c r="J4" s="11" t="inlineStr">
        <is>
          <t>NO</t>
        </is>
      </c>
      <c r="K4" s="11" t="n"/>
      <c r="L4" s="14">
        <f>IF(OR(C4="",J4&lt;&gt;"SI",K4=""),IF(C4="","",0),IFERROR(INDEX(Catalogo_Tasas,MATCH(K4,Catalogo_Etiquetas,0)),0))</f>
        <v/>
      </c>
      <c r="M4" s="13">
        <f>IF(C4="","",IF(J4="SI",ROUND(I4*L4,2),0))</f>
        <v/>
      </c>
      <c r="N4" s="13">
        <f>IF(C4="","",I4-M4)</f>
        <v/>
      </c>
      <c r="O4" s="11" t="inlineStr">
        <is>
          <t>SI</t>
        </is>
      </c>
      <c r="P4" s="11" t="inlineStr">
        <is>
          <t>2026-08-20</t>
        </is>
      </c>
      <c r="Q4" s="11" t="inlineStr">
        <is>
          <t>EJEMPLO</t>
        </is>
      </c>
      <c r="R4" t="inlineStr">
        <is>
          <t>SI</t>
        </is>
      </c>
    </row>
    <row r="5">
      <c r="A5" s="15" t="n">
        <v>2</v>
      </c>
      <c r="B5" s="16" t="n"/>
      <c r="C5" s="16" t="n"/>
      <c r="D5" s="16" t="n"/>
      <c r="E5" s="16" t="n"/>
      <c r="F5" s="16" t="n"/>
      <c r="G5" s="17" t="n"/>
      <c r="H5" s="18">
        <f>IF(C5="","",IF(R5="SI",0,G5*0.18))</f>
        <v/>
      </c>
      <c r="I5" s="18">
        <f>IF(C5="","",G5+H5)</f>
        <v/>
      </c>
      <c r="J5" s="16" t="n"/>
      <c r="K5" s="16" t="n"/>
      <c r="L5" s="19">
        <f>IF(OR(C5="",J5&lt;&gt;"SI",K5=""),IF(C5="","",0),IFERROR(INDEX(Catalogo_Tasas,MATCH(K5,Catalogo_Etiquetas,0)),0))</f>
        <v/>
      </c>
      <c r="M5" s="18">
        <f>IF(C5="","",IF(J5="SI",ROUND(I5*L5,2),0))</f>
        <v/>
      </c>
      <c r="N5" s="18">
        <f>IF(C5="","",I5-M5)</f>
        <v/>
      </c>
      <c r="O5" s="16" t="n"/>
      <c r="P5" s="16" t="n"/>
      <c r="Q5" s="16" t="n"/>
    </row>
    <row r="6">
      <c r="A6" s="15" t="n">
        <v>3</v>
      </c>
      <c r="B6" s="16" t="n"/>
      <c r="C6" s="16" t="n"/>
      <c r="D6" s="16" t="n"/>
      <c r="E6" s="16" t="n"/>
      <c r="F6" s="16" t="n"/>
      <c r="G6" s="17" t="n"/>
      <c r="H6" s="18">
        <f>IF(C6="","",IF(R6="SI",0,G6*0.18))</f>
        <v/>
      </c>
      <c r="I6" s="18">
        <f>IF(C6="","",G6+H6)</f>
        <v/>
      </c>
      <c r="J6" s="16" t="n"/>
      <c r="K6" s="16" t="n"/>
      <c r="L6" s="19">
        <f>IF(OR(C6="",J6&lt;&gt;"SI",K6=""),IF(C6="","",0),IFERROR(INDEX(Catalogo_Tasas,MATCH(K6,Catalogo_Etiquetas,0)),0))</f>
        <v/>
      </c>
      <c r="M6" s="18">
        <f>IF(C6="","",IF(J6="SI",ROUND(I6*L6,2),0))</f>
        <v/>
      </c>
      <c r="N6" s="18">
        <f>IF(C6="","",I6-M6)</f>
        <v/>
      </c>
      <c r="O6" s="16" t="n"/>
      <c r="P6" s="16" t="n"/>
      <c r="Q6" s="16" t="n"/>
    </row>
    <row r="7">
      <c r="A7" s="15" t="n">
        <v>4</v>
      </c>
      <c r="B7" s="16" t="n"/>
      <c r="C7" s="16" t="n"/>
      <c r="D7" s="16" t="n"/>
      <c r="E7" s="16" t="n"/>
      <c r="F7" s="16" t="n"/>
      <c r="G7" s="17" t="n"/>
      <c r="H7" s="18">
        <f>IF(C7="","",IF(R7="SI",0,G7*0.18))</f>
        <v/>
      </c>
      <c r="I7" s="18">
        <f>IF(C7="","",G7+H7)</f>
        <v/>
      </c>
      <c r="J7" s="16" t="n"/>
      <c r="K7" s="16" t="n"/>
      <c r="L7" s="19">
        <f>IF(OR(C7="",J7&lt;&gt;"SI",K7=""),IF(C7="","",0),IFERROR(INDEX(Catalogo_Tasas,MATCH(K7,Catalogo_Etiquetas,0)),0))</f>
        <v/>
      </c>
      <c r="M7" s="18">
        <f>IF(C7="","",IF(J7="SI",ROUND(I7*L7,2),0))</f>
        <v/>
      </c>
      <c r="N7" s="18">
        <f>IF(C7="","",I7-M7)</f>
        <v/>
      </c>
      <c r="O7" s="16" t="n"/>
      <c r="P7" s="16" t="n"/>
      <c r="Q7" s="16" t="n"/>
    </row>
    <row r="8">
      <c r="A8" s="15" t="n">
        <v>5</v>
      </c>
      <c r="B8" s="16" t="n"/>
      <c r="C8" s="16" t="n"/>
      <c r="D8" s="16" t="n"/>
      <c r="E8" s="16" t="n"/>
      <c r="F8" s="16" t="n"/>
      <c r="G8" s="17" t="n"/>
      <c r="H8" s="18">
        <f>IF(C8="","",IF(R8="SI",0,G8*0.18))</f>
        <v/>
      </c>
      <c r="I8" s="18">
        <f>IF(C8="","",G8+H8)</f>
        <v/>
      </c>
      <c r="J8" s="16" t="n"/>
      <c r="K8" s="16" t="n"/>
      <c r="L8" s="19">
        <f>IF(OR(C8="",J8&lt;&gt;"SI",K8=""),IF(C8="","",0),IFERROR(INDEX(Catalogo_Tasas,MATCH(K8,Catalogo_Etiquetas,0)),0))</f>
        <v/>
      </c>
      <c r="M8" s="18">
        <f>IF(C8="","",IF(J8="SI",ROUND(I8*L8,2),0))</f>
        <v/>
      </c>
      <c r="N8" s="18">
        <f>IF(C8="","",I8-M8)</f>
        <v/>
      </c>
      <c r="O8" s="16" t="n"/>
      <c r="P8" s="16" t="n"/>
      <c r="Q8" s="16" t="n"/>
    </row>
    <row r="9">
      <c r="A9" s="15" t="n">
        <v>6</v>
      </c>
      <c r="B9" s="16" t="n"/>
      <c r="C9" s="16" t="n"/>
      <c r="D9" s="16" t="n"/>
      <c r="E9" s="16" t="n"/>
      <c r="F9" s="16" t="n"/>
      <c r="G9" s="17" t="n"/>
      <c r="H9" s="18">
        <f>IF(C9="","",IF(R9="SI",0,G9*0.18))</f>
        <v/>
      </c>
      <c r="I9" s="18">
        <f>IF(C9="","",G9+H9)</f>
        <v/>
      </c>
      <c r="J9" s="16" t="n"/>
      <c r="K9" s="16" t="n"/>
      <c r="L9" s="19">
        <f>IF(OR(C9="",J9&lt;&gt;"SI",K9=""),IF(C9="","",0),IFERROR(INDEX(Catalogo_Tasas,MATCH(K9,Catalogo_Etiquetas,0)),0))</f>
        <v/>
      </c>
      <c r="M9" s="18">
        <f>IF(C9="","",IF(J9="SI",ROUND(I9*L9,2),0))</f>
        <v/>
      </c>
      <c r="N9" s="18">
        <f>IF(C9="","",I9-M9)</f>
        <v/>
      </c>
      <c r="O9" s="16" t="n"/>
      <c r="P9" s="16" t="n"/>
      <c r="Q9" s="16" t="n"/>
    </row>
    <row r="10">
      <c r="A10" s="15" t="n">
        <v>7</v>
      </c>
      <c r="B10" s="16" t="n"/>
      <c r="C10" s="16" t="n"/>
      <c r="D10" s="16" t="n"/>
      <c r="E10" s="16" t="n"/>
      <c r="F10" s="16" t="n"/>
      <c r="G10" s="17" t="n"/>
      <c r="H10" s="18">
        <f>IF(C10="","",IF(R10="SI",0,G10*0.18))</f>
        <v/>
      </c>
      <c r="I10" s="18">
        <f>IF(C10="","",G10+H10)</f>
        <v/>
      </c>
      <c r="J10" s="16" t="n"/>
      <c r="K10" s="16" t="n"/>
      <c r="L10" s="19">
        <f>IF(OR(C10="",J10&lt;&gt;"SI",K10=""),IF(C10="","",0),IFERROR(INDEX(Catalogo_Tasas,MATCH(K10,Catalogo_Etiquetas,0)),0))</f>
        <v/>
      </c>
      <c r="M10" s="18">
        <f>IF(C10="","",IF(J10="SI",ROUND(I10*L10,2),0))</f>
        <v/>
      </c>
      <c r="N10" s="18">
        <f>IF(C10="","",I10-M10)</f>
        <v/>
      </c>
      <c r="O10" s="16" t="n"/>
      <c r="P10" s="16" t="n"/>
      <c r="Q10" s="16" t="n"/>
    </row>
    <row r="11">
      <c r="A11" s="15" t="n">
        <v>8</v>
      </c>
      <c r="B11" s="16" t="n"/>
      <c r="C11" s="16" t="n"/>
      <c r="D11" s="16" t="n"/>
      <c r="E11" s="16" t="n"/>
      <c r="F11" s="16" t="n"/>
      <c r="G11" s="17" t="n"/>
      <c r="H11" s="18">
        <f>IF(C11="","",IF(R11="SI",0,G11*0.18))</f>
        <v/>
      </c>
      <c r="I11" s="18">
        <f>IF(C11="","",G11+H11)</f>
        <v/>
      </c>
      <c r="J11" s="16" t="n"/>
      <c r="K11" s="16" t="n"/>
      <c r="L11" s="19">
        <f>IF(OR(C11="",J11&lt;&gt;"SI",K11=""),IF(C11="","",0),IFERROR(INDEX(Catalogo_Tasas,MATCH(K11,Catalogo_Etiquetas,0)),0))</f>
        <v/>
      </c>
      <c r="M11" s="18">
        <f>IF(C11="","",IF(J11="SI",ROUND(I11*L11,2),0))</f>
        <v/>
      </c>
      <c r="N11" s="18">
        <f>IF(C11="","",I11-M11)</f>
        <v/>
      </c>
      <c r="O11" s="16" t="n"/>
      <c r="P11" s="16" t="n"/>
      <c r="Q11" s="16" t="n"/>
    </row>
    <row r="12">
      <c r="A12" s="15" t="n">
        <v>9</v>
      </c>
      <c r="B12" s="16" t="n"/>
      <c r="C12" s="16" t="n"/>
      <c r="D12" s="16" t="n"/>
      <c r="E12" s="16" t="n"/>
      <c r="F12" s="16" t="n"/>
      <c r="G12" s="17" t="n"/>
      <c r="H12" s="18">
        <f>IF(C12="","",IF(R12="SI",0,G12*0.18))</f>
        <v/>
      </c>
      <c r="I12" s="18">
        <f>IF(C12="","",G12+H12)</f>
        <v/>
      </c>
      <c r="J12" s="16" t="n"/>
      <c r="K12" s="16" t="n"/>
      <c r="L12" s="19">
        <f>IF(OR(C12="",J12&lt;&gt;"SI",K12=""),IF(C12="","",0),IFERROR(INDEX(Catalogo_Tasas,MATCH(K12,Catalogo_Etiquetas,0)),0))</f>
        <v/>
      </c>
      <c r="M12" s="18">
        <f>IF(C12="","",IF(J12="SI",ROUND(I12*L12,2),0))</f>
        <v/>
      </c>
      <c r="N12" s="18">
        <f>IF(C12="","",I12-M12)</f>
        <v/>
      </c>
      <c r="O12" s="16" t="n"/>
      <c r="P12" s="16" t="n"/>
      <c r="Q12" s="16" t="n"/>
    </row>
    <row r="13">
      <c r="A13" s="15" t="n">
        <v>10</v>
      </c>
      <c r="B13" s="16" t="n"/>
      <c r="C13" s="16" t="n"/>
      <c r="D13" s="16" t="n"/>
      <c r="E13" s="16" t="n"/>
      <c r="F13" s="16" t="n"/>
      <c r="G13" s="17" t="n"/>
      <c r="H13" s="18">
        <f>IF(C13="","",IF(R13="SI",0,G13*0.18))</f>
        <v/>
      </c>
      <c r="I13" s="18">
        <f>IF(C13="","",G13+H13)</f>
        <v/>
      </c>
      <c r="J13" s="16" t="n"/>
      <c r="K13" s="16" t="n"/>
      <c r="L13" s="19">
        <f>IF(OR(C13="",J13&lt;&gt;"SI",K13=""),IF(C13="","",0),IFERROR(INDEX(Catalogo_Tasas,MATCH(K13,Catalogo_Etiquetas,0)),0))</f>
        <v/>
      </c>
      <c r="M13" s="18">
        <f>IF(C13="","",IF(J13="SI",ROUND(I13*L13,2),0))</f>
        <v/>
      </c>
      <c r="N13" s="18">
        <f>IF(C13="","",I13-M13)</f>
        <v/>
      </c>
      <c r="O13" s="16" t="n"/>
      <c r="P13" s="16" t="n"/>
      <c r="Q13" s="16" t="n"/>
    </row>
    <row r="14">
      <c r="A14" s="15" t="n">
        <v>11</v>
      </c>
      <c r="B14" s="16" t="n"/>
      <c r="C14" s="16" t="n"/>
      <c r="D14" s="16" t="n"/>
      <c r="E14" s="16" t="n"/>
      <c r="F14" s="16" t="n"/>
      <c r="G14" s="17" t="n"/>
      <c r="H14" s="18">
        <f>IF(C14="","",IF(R14="SI",0,G14*0.18))</f>
        <v/>
      </c>
      <c r="I14" s="18">
        <f>IF(C14="","",G14+H14)</f>
        <v/>
      </c>
      <c r="J14" s="16" t="n"/>
      <c r="K14" s="16" t="n"/>
      <c r="L14" s="19">
        <f>IF(OR(C14="",J14&lt;&gt;"SI",K14=""),IF(C14="","",0),IFERROR(INDEX(Catalogo_Tasas,MATCH(K14,Catalogo_Etiquetas,0)),0))</f>
        <v/>
      </c>
      <c r="M14" s="18">
        <f>IF(C14="","",IF(J14="SI",ROUND(I14*L14,2),0))</f>
        <v/>
      </c>
      <c r="N14" s="18">
        <f>IF(C14="","",I14-M14)</f>
        <v/>
      </c>
      <c r="O14" s="16" t="n"/>
      <c r="P14" s="16" t="n"/>
      <c r="Q14" s="16" t="n"/>
    </row>
    <row r="15">
      <c r="A15" s="15" t="n">
        <v>12</v>
      </c>
      <c r="B15" s="16" t="n"/>
      <c r="C15" s="16" t="n"/>
      <c r="D15" s="16" t="n"/>
      <c r="E15" s="16" t="n"/>
      <c r="F15" s="16" t="n"/>
      <c r="G15" s="17" t="n"/>
      <c r="H15" s="18">
        <f>IF(C15="","",IF(R15="SI",0,G15*0.18))</f>
        <v/>
      </c>
      <c r="I15" s="18">
        <f>IF(C15="","",G15+H15)</f>
        <v/>
      </c>
      <c r="J15" s="16" t="n"/>
      <c r="K15" s="16" t="n"/>
      <c r="L15" s="19">
        <f>IF(OR(C15="",J15&lt;&gt;"SI",K15=""),IF(C15="","",0),IFERROR(INDEX(Catalogo_Tasas,MATCH(K15,Catalogo_Etiquetas,0)),0))</f>
        <v/>
      </c>
      <c r="M15" s="18">
        <f>IF(C15="","",IF(J15="SI",ROUND(I15*L15,2),0))</f>
        <v/>
      </c>
      <c r="N15" s="18">
        <f>IF(C15="","",I15-M15)</f>
        <v/>
      </c>
      <c r="O15" s="16" t="n"/>
      <c r="P15" s="16" t="n"/>
      <c r="Q15" s="16" t="n"/>
    </row>
    <row r="16">
      <c r="A16" s="15" t="n">
        <v>13</v>
      </c>
      <c r="B16" s="16" t="n"/>
      <c r="C16" s="16" t="n"/>
      <c r="D16" s="16" t="n"/>
      <c r="E16" s="16" t="n"/>
      <c r="F16" s="16" t="n"/>
      <c r="G16" s="17" t="n"/>
      <c r="H16" s="18">
        <f>IF(C16="","",IF(R16="SI",0,G16*0.18))</f>
        <v/>
      </c>
      <c r="I16" s="18">
        <f>IF(C16="","",G16+H16)</f>
        <v/>
      </c>
      <c r="J16" s="16" t="n"/>
      <c r="K16" s="16" t="n"/>
      <c r="L16" s="19">
        <f>IF(OR(C16="",J16&lt;&gt;"SI",K16=""),IF(C16="","",0),IFERROR(INDEX(Catalogo_Tasas,MATCH(K16,Catalogo_Etiquetas,0)),0))</f>
        <v/>
      </c>
      <c r="M16" s="18">
        <f>IF(C16="","",IF(J16="SI",ROUND(I16*L16,2),0))</f>
        <v/>
      </c>
      <c r="N16" s="18">
        <f>IF(C16="","",I16-M16)</f>
        <v/>
      </c>
      <c r="O16" s="16" t="n"/>
      <c r="P16" s="16" t="n"/>
      <c r="Q16" s="16" t="n"/>
    </row>
    <row r="17">
      <c r="A17" s="15" t="n">
        <v>14</v>
      </c>
      <c r="B17" s="16" t="n"/>
      <c r="C17" s="16" t="n"/>
      <c r="D17" s="16" t="n"/>
      <c r="E17" s="16" t="n"/>
      <c r="F17" s="16" t="n"/>
      <c r="G17" s="17" t="n"/>
      <c r="H17" s="18">
        <f>IF(C17="","",IF(R17="SI",0,G17*0.18))</f>
        <v/>
      </c>
      <c r="I17" s="18">
        <f>IF(C17="","",G17+H17)</f>
        <v/>
      </c>
      <c r="J17" s="16" t="n"/>
      <c r="K17" s="16" t="n"/>
      <c r="L17" s="19">
        <f>IF(OR(C17="",J17&lt;&gt;"SI",K17=""),IF(C17="","",0),IFERROR(INDEX(Catalogo_Tasas,MATCH(K17,Catalogo_Etiquetas,0)),0))</f>
        <v/>
      </c>
      <c r="M17" s="18">
        <f>IF(C17="","",IF(J17="SI",ROUND(I17*L17,2),0))</f>
        <v/>
      </c>
      <c r="N17" s="18">
        <f>IF(C17="","",I17-M17)</f>
        <v/>
      </c>
      <c r="O17" s="16" t="n"/>
      <c r="P17" s="16" t="n"/>
      <c r="Q17" s="16" t="n"/>
    </row>
    <row r="18">
      <c r="A18" s="15" t="n">
        <v>15</v>
      </c>
      <c r="B18" s="16" t="n"/>
      <c r="C18" s="16" t="n"/>
      <c r="D18" s="16" t="n"/>
      <c r="E18" s="16" t="n"/>
      <c r="F18" s="16" t="n"/>
      <c r="G18" s="17" t="n"/>
      <c r="H18" s="18">
        <f>IF(C18="","",IF(R18="SI",0,G18*0.18))</f>
        <v/>
      </c>
      <c r="I18" s="18">
        <f>IF(C18="","",G18+H18)</f>
        <v/>
      </c>
      <c r="J18" s="16" t="n"/>
      <c r="K18" s="16" t="n"/>
      <c r="L18" s="19">
        <f>IF(OR(C18="",J18&lt;&gt;"SI",K18=""),IF(C18="","",0),IFERROR(INDEX(Catalogo_Tasas,MATCH(K18,Catalogo_Etiquetas,0)),0))</f>
        <v/>
      </c>
      <c r="M18" s="18">
        <f>IF(C18="","",IF(J18="SI",ROUND(I18*L18,2),0))</f>
        <v/>
      </c>
      <c r="N18" s="18">
        <f>IF(C18="","",I18-M18)</f>
        <v/>
      </c>
      <c r="O18" s="16" t="n"/>
      <c r="P18" s="16" t="n"/>
      <c r="Q18" s="16" t="n"/>
    </row>
    <row r="19">
      <c r="A19" s="15" t="n">
        <v>16</v>
      </c>
      <c r="B19" s="16" t="n"/>
      <c r="C19" s="16" t="n"/>
      <c r="D19" s="16" t="n"/>
      <c r="E19" s="16" t="n"/>
      <c r="F19" s="16" t="n"/>
      <c r="G19" s="17" t="n"/>
      <c r="H19" s="18">
        <f>IF(C19="","",IF(R19="SI",0,G19*0.18))</f>
        <v/>
      </c>
      <c r="I19" s="18">
        <f>IF(C19="","",G19+H19)</f>
        <v/>
      </c>
      <c r="J19" s="16" t="n"/>
      <c r="K19" s="16" t="n"/>
      <c r="L19" s="19">
        <f>IF(OR(C19="",J19&lt;&gt;"SI",K19=""),IF(C19="","",0),IFERROR(INDEX(Catalogo_Tasas,MATCH(K19,Catalogo_Etiquetas,0)),0))</f>
        <v/>
      </c>
      <c r="M19" s="18">
        <f>IF(C19="","",IF(J19="SI",ROUND(I19*L19,2),0))</f>
        <v/>
      </c>
      <c r="N19" s="18">
        <f>IF(C19="","",I19-M19)</f>
        <v/>
      </c>
      <c r="O19" s="16" t="n"/>
      <c r="P19" s="16" t="n"/>
      <c r="Q19" s="16" t="n"/>
    </row>
    <row r="20">
      <c r="A20" s="15" t="n">
        <v>17</v>
      </c>
      <c r="B20" s="16" t="n"/>
      <c r="C20" s="16" t="n"/>
      <c r="D20" s="16" t="n"/>
      <c r="E20" s="16" t="n"/>
      <c r="F20" s="16" t="n"/>
      <c r="G20" s="17" t="n"/>
      <c r="H20" s="18">
        <f>IF(C20="","",IF(R20="SI",0,G20*0.18))</f>
        <v/>
      </c>
      <c r="I20" s="18">
        <f>IF(C20="","",G20+H20)</f>
        <v/>
      </c>
      <c r="J20" s="16" t="n"/>
      <c r="K20" s="16" t="n"/>
      <c r="L20" s="19">
        <f>IF(OR(C20="",J20&lt;&gt;"SI",K20=""),IF(C20="","",0),IFERROR(INDEX(Catalogo_Tasas,MATCH(K20,Catalogo_Etiquetas,0)),0))</f>
        <v/>
      </c>
      <c r="M20" s="18">
        <f>IF(C20="","",IF(J20="SI",ROUND(I20*L20,2),0))</f>
        <v/>
      </c>
      <c r="N20" s="18">
        <f>IF(C20="","",I20-M20)</f>
        <v/>
      </c>
      <c r="O20" s="16" t="n"/>
      <c r="P20" s="16" t="n"/>
      <c r="Q20" s="16" t="n"/>
    </row>
    <row r="21">
      <c r="A21" s="15" t="n">
        <v>18</v>
      </c>
      <c r="B21" s="16" t="n"/>
      <c r="C21" s="16" t="n"/>
      <c r="D21" s="16" t="n"/>
      <c r="E21" s="16" t="n"/>
      <c r="F21" s="16" t="n"/>
      <c r="G21" s="17" t="n"/>
      <c r="H21" s="18">
        <f>IF(C21="","",IF(R21="SI",0,G21*0.18))</f>
        <v/>
      </c>
      <c r="I21" s="18">
        <f>IF(C21="","",G21+H21)</f>
        <v/>
      </c>
      <c r="J21" s="16" t="n"/>
      <c r="K21" s="16" t="n"/>
      <c r="L21" s="19">
        <f>IF(OR(C21="",J21&lt;&gt;"SI",K21=""),IF(C21="","",0),IFERROR(INDEX(Catalogo_Tasas,MATCH(K21,Catalogo_Etiquetas,0)),0))</f>
        <v/>
      </c>
      <c r="M21" s="18">
        <f>IF(C21="","",IF(J21="SI",ROUND(I21*L21,2),0))</f>
        <v/>
      </c>
      <c r="N21" s="18">
        <f>IF(C21="","",I21-M21)</f>
        <v/>
      </c>
      <c r="O21" s="16" t="n"/>
      <c r="P21" s="16" t="n"/>
      <c r="Q21" s="16" t="n"/>
    </row>
    <row r="22">
      <c r="A22" s="15" t="n">
        <v>19</v>
      </c>
      <c r="B22" s="16" t="n"/>
      <c r="C22" s="16" t="n"/>
      <c r="D22" s="16" t="n"/>
      <c r="E22" s="16" t="n"/>
      <c r="F22" s="16" t="n"/>
      <c r="G22" s="17" t="n"/>
      <c r="H22" s="18">
        <f>IF(C22="","",IF(R22="SI",0,G22*0.18))</f>
        <v/>
      </c>
      <c r="I22" s="18">
        <f>IF(C22="","",G22+H22)</f>
        <v/>
      </c>
      <c r="J22" s="16" t="n"/>
      <c r="K22" s="16" t="n"/>
      <c r="L22" s="19">
        <f>IF(OR(C22="",J22&lt;&gt;"SI",K22=""),IF(C22="","",0),IFERROR(INDEX(Catalogo_Tasas,MATCH(K22,Catalogo_Etiquetas,0)),0))</f>
        <v/>
      </c>
      <c r="M22" s="18">
        <f>IF(C22="","",IF(J22="SI",ROUND(I22*L22,2),0))</f>
        <v/>
      </c>
      <c r="N22" s="18">
        <f>IF(C22="","",I22-M22)</f>
        <v/>
      </c>
      <c r="O22" s="16" t="n"/>
      <c r="P22" s="16" t="n"/>
      <c r="Q22" s="16" t="n"/>
    </row>
    <row r="23">
      <c r="A23" s="15" t="n">
        <v>20</v>
      </c>
      <c r="B23" s="16" t="n"/>
      <c r="C23" s="16" t="n"/>
      <c r="D23" s="16" t="n"/>
      <c r="E23" s="16" t="n"/>
      <c r="F23" s="16" t="n"/>
      <c r="G23" s="17" t="n"/>
      <c r="H23" s="18">
        <f>IF(C23="","",IF(R23="SI",0,G23*0.18))</f>
        <v/>
      </c>
      <c r="I23" s="18">
        <f>IF(C23="","",G23+H23)</f>
        <v/>
      </c>
      <c r="J23" s="16" t="n"/>
      <c r="K23" s="16" t="n"/>
      <c r="L23" s="19">
        <f>IF(OR(C23="",J23&lt;&gt;"SI",K23=""),IF(C23="","",0),IFERROR(INDEX(Catalogo_Tasas,MATCH(K23,Catalogo_Etiquetas,0)),0))</f>
        <v/>
      </c>
      <c r="M23" s="18">
        <f>IF(C23="","",IF(J23="SI",ROUND(I23*L23,2),0))</f>
        <v/>
      </c>
      <c r="N23" s="18">
        <f>IF(C23="","",I23-M23)</f>
        <v/>
      </c>
      <c r="O23" s="16" t="n"/>
      <c r="P23" s="16" t="n"/>
      <c r="Q23" s="16" t="n"/>
    </row>
    <row r="24">
      <c r="A24" s="15" t="n">
        <v>21</v>
      </c>
      <c r="B24" s="16" t="n"/>
      <c r="C24" s="16" t="n"/>
      <c r="D24" s="16" t="n"/>
      <c r="E24" s="16" t="n"/>
      <c r="F24" s="16" t="n"/>
      <c r="G24" s="17" t="n"/>
      <c r="H24" s="18">
        <f>IF(C24="","",IF(R24="SI",0,G24*0.18))</f>
        <v/>
      </c>
      <c r="I24" s="18">
        <f>IF(C24="","",G24+H24)</f>
        <v/>
      </c>
      <c r="J24" s="16" t="n"/>
      <c r="K24" s="16" t="n"/>
      <c r="L24" s="19">
        <f>IF(OR(C24="",J24&lt;&gt;"SI",K24=""),IF(C24="","",0),IFERROR(INDEX(Catalogo_Tasas,MATCH(K24,Catalogo_Etiquetas,0)),0))</f>
        <v/>
      </c>
      <c r="M24" s="18">
        <f>IF(C24="","",IF(J24="SI",ROUND(I24*L24,2),0))</f>
        <v/>
      </c>
      <c r="N24" s="18">
        <f>IF(C24="","",I24-M24)</f>
        <v/>
      </c>
      <c r="O24" s="16" t="n"/>
      <c r="P24" s="16" t="n"/>
      <c r="Q24" s="16" t="n"/>
    </row>
    <row r="25">
      <c r="A25" s="15" t="n">
        <v>22</v>
      </c>
      <c r="B25" s="16" t="n"/>
      <c r="C25" s="16" t="n"/>
      <c r="D25" s="16" t="n"/>
      <c r="E25" s="16" t="n"/>
      <c r="F25" s="16" t="n"/>
      <c r="G25" s="17" t="n"/>
      <c r="H25" s="18">
        <f>IF(C25="","",IF(R25="SI",0,G25*0.18))</f>
        <v/>
      </c>
      <c r="I25" s="18">
        <f>IF(C25="","",G25+H25)</f>
        <v/>
      </c>
      <c r="J25" s="16" t="n"/>
      <c r="K25" s="16" t="n"/>
      <c r="L25" s="19">
        <f>IF(OR(C25="",J25&lt;&gt;"SI",K25=""),IF(C25="","",0),IFERROR(INDEX(Catalogo_Tasas,MATCH(K25,Catalogo_Etiquetas,0)),0))</f>
        <v/>
      </c>
      <c r="M25" s="18">
        <f>IF(C25="","",IF(J25="SI",ROUND(I25*L25,2),0))</f>
        <v/>
      </c>
      <c r="N25" s="18">
        <f>IF(C25="","",I25-M25)</f>
        <v/>
      </c>
      <c r="O25" s="16" t="n"/>
      <c r="P25" s="16" t="n"/>
      <c r="Q25" s="16" t="n"/>
    </row>
    <row r="26">
      <c r="A26" s="15" t="n">
        <v>23</v>
      </c>
      <c r="B26" s="16" t="n"/>
      <c r="C26" s="16" t="n"/>
      <c r="D26" s="16" t="n"/>
      <c r="E26" s="16" t="n"/>
      <c r="F26" s="16" t="n"/>
      <c r="G26" s="17" t="n"/>
      <c r="H26" s="18">
        <f>IF(C26="","",IF(R26="SI",0,G26*0.18))</f>
        <v/>
      </c>
      <c r="I26" s="18">
        <f>IF(C26="","",G26+H26)</f>
        <v/>
      </c>
      <c r="J26" s="16" t="n"/>
      <c r="K26" s="16" t="n"/>
      <c r="L26" s="19">
        <f>IF(OR(C26="",J26&lt;&gt;"SI",K26=""),IF(C26="","",0),IFERROR(INDEX(Catalogo_Tasas,MATCH(K26,Catalogo_Etiquetas,0)),0))</f>
        <v/>
      </c>
      <c r="M26" s="18">
        <f>IF(C26="","",IF(J26="SI",ROUND(I26*L26,2),0))</f>
        <v/>
      </c>
      <c r="N26" s="18">
        <f>IF(C26="","",I26-M26)</f>
        <v/>
      </c>
      <c r="O26" s="16" t="n"/>
      <c r="P26" s="16" t="n"/>
      <c r="Q26" s="16" t="n"/>
    </row>
    <row r="27">
      <c r="A27" s="15" t="n">
        <v>24</v>
      </c>
      <c r="B27" s="16" t="n"/>
      <c r="C27" s="16" t="n"/>
      <c r="D27" s="16" t="n"/>
      <c r="E27" s="16" t="n"/>
      <c r="F27" s="16" t="n"/>
      <c r="G27" s="17" t="n"/>
      <c r="H27" s="18">
        <f>IF(C27="","",IF(R27="SI",0,G27*0.18))</f>
        <v/>
      </c>
      <c r="I27" s="18">
        <f>IF(C27="","",G27+H27)</f>
        <v/>
      </c>
      <c r="J27" s="16" t="n"/>
      <c r="K27" s="16" t="n"/>
      <c r="L27" s="19">
        <f>IF(OR(C27="",J27&lt;&gt;"SI",K27=""),IF(C27="","",0),IFERROR(INDEX(Catalogo_Tasas,MATCH(K27,Catalogo_Etiquetas,0)),0))</f>
        <v/>
      </c>
      <c r="M27" s="18">
        <f>IF(C27="","",IF(J27="SI",ROUND(I27*L27,2),0))</f>
        <v/>
      </c>
      <c r="N27" s="18">
        <f>IF(C27="","",I27-M27)</f>
        <v/>
      </c>
      <c r="O27" s="16" t="n"/>
      <c r="P27" s="16" t="n"/>
      <c r="Q27" s="16" t="n"/>
    </row>
    <row r="28">
      <c r="A28" s="15" t="n">
        <v>25</v>
      </c>
      <c r="B28" s="16" t="n"/>
      <c r="C28" s="16" t="n"/>
      <c r="D28" s="16" t="n"/>
      <c r="E28" s="16" t="n"/>
      <c r="F28" s="16" t="n"/>
      <c r="G28" s="17" t="n"/>
      <c r="H28" s="18">
        <f>IF(C28="","",IF(R28="SI",0,G28*0.18))</f>
        <v/>
      </c>
      <c r="I28" s="18">
        <f>IF(C28="","",G28+H28)</f>
        <v/>
      </c>
      <c r="J28" s="16" t="n"/>
      <c r="K28" s="16" t="n"/>
      <c r="L28" s="19">
        <f>IF(OR(C28="",J28&lt;&gt;"SI",K28=""),IF(C28="","",0),IFERROR(INDEX(Catalogo_Tasas,MATCH(K28,Catalogo_Etiquetas,0)),0))</f>
        <v/>
      </c>
      <c r="M28" s="18">
        <f>IF(C28="","",IF(J28="SI",ROUND(I28*L28,2),0))</f>
        <v/>
      </c>
      <c r="N28" s="18">
        <f>IF(C28="","",I28-M28)</f>
        <v/>
      </c>
      <c r="O28" s="16" t="n"/>
      <c r="P28" s="16" t="n"/>
      <c r="Q28" s="16" t="n"/>
    </row>
    <row r="29">
      <c r="A29" s="15" t="n">
        <v>26</v>
      </c>
      <c r="B29" s="16" t="n"/>
      <c r="C29" s="16" t="n"/>
      <c r="D29" s="16" t="n"/>
      <c r="E29" s="16" t="n"/>
      <c r="F29" s="16" t="n"/>
      <c r="G29" s="17" t="n"/>
      <c r="H29" s="18">
        <f>IF(C29="","",IF(R29="SI",0,G29*0.18))</f>
        <v/>
      </c>
      <c r="I29" s="18">
        <f>IF(C29="","",G29+H29)</f>
        <v/>
      </c>
      <c r="J29" s="16" t="n"/>
      <c r="K29" s="16" t="n"/>
      <c r="L29" s="19">
        <f>IF(OR(C29="",J29&lt;&gt;"SI",K29=""),IF(C29="","",0),IFERROR(INDEX(Catalogo_Tasas,MATCH(K29,Catalogo_Etiquetas,0)),0))</f>
        <v/>
      </c>
      <c r="M29" s="18">
        <f>IF(C29="","",IF(J29="SI",ROUND(I29*L29,2),0))</f>
        <v/>
      </c>
      <c r="N29" s="18">
        <f>IF(C29="","",I29-M29)</f>
        <v/>
      </c>
      <c r="O29" s="16" t="n"/>
      <c r="P29" s="16" t="n"/>
      <c r="Q29" s="16" t="n"/>
    </row>
    <row r="30">
      <c r="A30" s="15" t="n">
        <v>27</v>
      </c>
      <c r="B30" s="16" t="n"/>
      <c r="C30" s="16" t="n"/>
      <c r="D30" s="16" t="n"/>
      <c r="E30" s="16" t="n"/>
      <c r="F30" s="16" t="n"/>
      <c r="G30" s="17" t="n"/>
      <c r="H30" s="18">
        <f>IF(C30="","",IF(R30="SI",0,G30*0.18))</f>
        <v/>
      </c>
      <c r="I30" s="18">
        <f>IF(C30="","",G30+H30)</f>
        <v/>
      </c>
      <c r="J30" s="16" t="n"/>
      <c r="K30" s="16" t="n"/>
      <c r="L30" s="19">
        <f>IF(OR(C30="",J30&lt;&gt;"SI",K30=""),IF(C30="","",0),IFERROR(INDEX(Catalogo_Tasas,MATCH(K30,Catalogo_Etiquetas,0)),0))</f>
        <v/>
      </c>
      <c r="M30" s="18">
        <f>IF(C30="","",IF(J30="SI",ROUND(I30*L30,2),0))</f>
        <v/>
      </c>
      <c r="N30" s="18">
        <f>IF(C30="","",I30-M30)</f>
        <v/>
      </c>
      <c r="O30" s="16" t="n"/>
      <c r="P30" s="16" t="n"/>
      <c r="Q30" s="16" t="n"/>
    </row>
    <row r="31">
      <c r="A31" s="15" t="n">
        <v>28</v>
      </c>
      <c r="B31" s="16" t="n"/>
      <c r="C31" s="16" t="n"/>
      <c r="D31" s="16" t="n"/>
      <c r="E31" s="16" t="n"/>
      <c r="F31" s="16" t="n"/>
      <c r="G31" s="17" t="n"/>
      <c r="H31" s="18">
        <f>IF(C31="","",IF(R31="SI",0,G31*0.18))</f>
        <v/>
      </c>
      <c r="I31" s="18">
        <f>IF(C31="","",G31+H31)</f>
        <v/>
      </c>
      <c r="J31" s="16" t="n"/>
      <c r="K31" s="16" t="n"/>
      <c r="L31" s="19">
        <f>IF(OR(C31="",J31&lt;&gt;"SI",K31=""),IF(C31="","",0),IFERROR(INDEX(Catalogo_Tasas,MATCH(K31,Catalogo_Etiquetas,0)),0))</f>
        <v/>
      </c>
      <c r="M31" s="18">
        <f>IF(C31="","",IF(J31="SI",ROUND(I31*L31,2),0))</f>
        <v/>
      </c>
      <c r="N31" s="18">
        <f>IF(C31="","",I31-M31)</f>
        <v/>
      </c>
      <c r="O31" s="16" t="n"/>
      <c r="P31" s="16" t="n"/>
      <c r="Q31" s="16" t="n"/>
    </row>
    <row r="32">
      <c r="A32" s="15" t="n">
        <v>29</v>
      </c>
      <c r="B32" s="16" t="n"/>
      <c r="C32" s="16" t="n"/>
      <c r="D32" s="16" t="n"/>
      <c r="E32" s="16" t="n"/>
      <c r="F32" s="16" t="n"/>
      <c r="G32" s="17" t="n"/>
      <c r="H32" s="18">
        <f>IF(C32="","",IF(R32="SI",0,G32*0.18))</f>
        <v/>
      </c>
      <c r="I32" s="18">
        <f>IF(C32="","",G32+H32)</f>
        <v/>
      </c>
      <c r="J32" s="16" t="n"/>
      <c r="K32" s="16" t="n"/>
      <c r="L32" s="19">
        <f>IF(OR(C32="",J32&lt;&gt;"SI",K32=""),IF(C32="","",0),IFERROR(INDEX(Catalogo_Tasas,MATCH(K32,Catalogo_Etiquetas,0)),0))</f>
        <v/>
      </c>
      <c r="M32" s="18">
        <f>IF(C32="","",IF(J32="SI",ROUND(I32*L32,2),0))</f>
        <v/>
      </c>
      <c r="N32" s="18">
        <f>IF(C32="","",I32-M32)</f>
        <v/>
      </c>
      <c r="O32" s="16" t="n"/>
      <c r="P32" s="16" t="n"/>
      <c r="Q32" s="16" t="n"/>
    </row>
    <row r="33">
      <c r="A33" s="15" t="n">
        <v>30</v>
      </c>
      <c r="B33" s="16" t="n"/>
      <c r="C33" s="16" t="n"/>
      <c r="D33" s="16" t="n"/>
      <c r="E33" s="16" t="n"/>
      <c r="F33" s="16" t="n"/>
      <c r="G33" s="17" t="n"/>
      <c r="H33" s="18">
        <f>IF(C33="","",IF(R33="SI",0,G33*0.18))</f>
        <v/>
      </c>
      <c r="I33" s="18">
        <f>IF(C33="","",G33+H33)</f>
        <v/>
      </c>
      <c r="J33" s="16" t="n"/>
      <c r="K33" s="16" t="n"/>
      <c r="L33" s="19">
        <f>IF(OR(C33="",J33&lt;&gt;"SI",K33=""),IF(C33="","",0),IFERROR(INDEX(Catalogo_Tasas,MATCH(K33,Catalogo_Etiquetas,0)),0))</f>
        <v/>
      </c>
      <c r="M33" s="18">
        <f>IF(C33="","",IF(J33="SI",ROUND(I33*L33,2),0))</f>
        <v/>
      </c>
      <c r="N33" s="18">
        <f>IF(C33="","",I33-M33)</f>
        <v/>
      </c>
      <c r="O33" s="16" t="n"/>
      <c r="P33" s="16" t="n"/>
      <c r="Q33" s="16" t="n"/>
    </row>
    <row r="34">
      <c r="A34" s="15" t="n">
        <v>31</v>
      </c>
      <c r="B34" s="16" t="n"/>
      <c r="C34" s="16" t="n"/>
      <c r="D34" s="16" t="n"/>
      <c r="E34" s="16" t="n"/>
      <c r="F34" s="16" t="n"/>
      <c r="G34" s="17" t="n"/>
      <c r="H34" s="18">
        <f>IF(C34="","",IF(R34="SI",0,G34*0.18))</f>
        <v/>
      </c>
      <c r="I34" s="18">
        <f>IF(C34="","",G34+H34)</f>
        <v/>
      </c>
      <c r="J34" s="16" t="n"/>
      <c r="K34" s="16" t="n"/>
      <c r="L34" s="19">
        <f>IF(OR(C34="",J34&lt;&gt;"SI",K34=""),IF(C34="","",0),IFERROR(INDEX(Catalogo_Tasas,MATCH(K34,Catalogo_Etiquetas,0)),0))</f>
        <v/>
      </c>
      <c r="M34" s="18">
        <f>IF(C34="","",IF(J34="SI",ROUND(I34*L34,2),0))</f>
        <v/>
      </c>
      <c r="N34" s="18">
        <f>IF(C34="","",I34-M34)</f>
        <v/>
      </c>
      <c r="O34" s="16" t="n"/>
      <c r="P34" s="16" t="n"/>
      <c r="Q34" s="16" t="n"/>
    </row>
    <row r="35">
      <c r="A35" s="15" t="n">
        <v>32</v>
      </c>
      <c r="B35" s="16" t="n"/>
      <c r="C35" s="16" t="n"/>
      <c r="D35" s="16" t="n"/>
      <c r="E35" s="16" t="n"/>
      <c r="F35" s="16" t="n"/>
      <c r="G35" s="17" t="n"/>
      <c r="H35" s="18">
        <f>IF(C35="","",IF(R35="SI",0,G35*0.18))</f>
        <v/>
      </c>
      <c r="I35" s="18">
        <f>IF(C35="","",G35+H35)</f>
        <v/>
      </c>
      <c r="J35" s="16" t="n"/>
      <c r="K35" s="16" t="n"/>
      <c r="L35" s="19">
        <f>IF(OR(C35="",J35&lt;&gt;"SI",K35=""),IF(C35="","",0),IFERROR(INDEX(Catalogo_Tasas,MATCH(K35,Catalogo_Etiquetas,0)),0))</f>
        <v/>
      </c>
      <c r="M35" s="18">
        <f>IF(C35="","",IF(J35="SI",ROUND(I35*L35,2),0))</f>
        <v/>
      </c>
      <c r="N35" s="18">
        <f>IF(C35="","",I35-M35)</f>
        <v/>
      </c>
      <c r="O35" s="16" t="n"/>
      <c r="P35" s="16" t="n"/>
      <c r="Q35" s="16" t="n"/>
    </row>
    <row r="36">
      <c r="A36" s="15" t="n">
        <v>33</v>
      </c>
      <c r="B36" s="16" t="n"/>
      <c r="C36" s="16" t="n"/>
      <c r="D36" s="16" t="n"/>
      <c r="E36" s="16" t="n"/>
      <c r="F36" s="16" t="n"/>
      <c r="G36" s="17" t="n"/>
      <c r="H36" s="18">
        <f>IF(C36="","",IF(R36="SI",0,G36*0.18))</f>
        <v/>
      </c>
      <c r="I36" s="18">
        <f>IF(C36="","",G36+H36)</f>
        <v/>
      </c>
      <c r="J36" s="16" t="n"/>
      <c r="K36" s="16" t="n"/>
      <c r="L36" s="19">
        <f>IF(OR(C36="",J36&lt;&gt;"SI",K36=""),IF(C36="","",0),IFERROR(INDEX(Catalogo_Tasas,MATCH(K36,Catalogo_Etiquetas,0)),0))</f>
        <v/>
      </c>
      <c r="M36" s="18">
        <f>IF(C36="","",IF(J36="SI",ROUND(I36*L36,2),0))</f>
        <v/>
      </c>
      <c r="N36" s="18">
        <f>IF(C36="","",I36-M36)</f>
        <v/>
      </c>
      <c r="O36" s="16" t="n"/>
      <c r="P36" s="16" t="n"/>
      <c r="Q36" s="16" t="n"/>
    </row>
    <row r="37">
      <c r="A37" s="15" t="n">
        <v>34</v>
      </c>
      <c r="B37" s="16" t="n"/>
      <c r="C37" s="16" t="n"/>
      <c r="D37" s="16" t="n"/>
      <c r="E37" s="16" t="n"/>
      <c r="F37" s="16" t="n"/>
      <c r="G37" s="17" t="n"/>
      <c r="H37" s="18">
        <f>IF(C37="","",IF(R37="SI",0,G37*0.18))</f>
        <v/>
      </c>
      <c r="I37" s="18">
        <f>IF(C37="","",G37+H37)</f>
        <v/>
      </c>
      <c r="J37" s="16" t="n"/>
      <c r="K37" s="16" t="n"/>
      <c r="L37" s="19">
        <f>IF(OR(C37="",J37&lt;&gt;"SI",K37=""),IF(C37="","",0),IFERROR(INDEX(Catalogo_Tasas,MATCH(K37,Catalogo_Etiquetas,0)),0))</f>
        <v/>
      </c>
      <c r="M37" s="18">
        <f>IF(C37="","",IF(J37="SI",ROUND(I37*L37,2),0))</f>
        <v/>
      </c>
      <c r="N37" s="18">
        <f>IF(C37="","",I37-M37)</f>
        <v/>
      </c>
      <c r="O37" s="16" t="n"/>
      <c r="P37" s="16" t="n"/>
      <c r="Q37" s="16" t="n"/>
    </row>
    <row r="38">
      <c r="A38" s="15" t="n">
        <v>35</v>
      </c>
      <c r="B38" s="16" t="n"/>
      <c r="C38" s="16" t="n"/>
      <c r="D38" s="16" t="n"/>
      <c r="E38" s="16" t="n"/>
      <c r="F38" s="16" t="n"/>
      <c r="G38" s="17" t="n"/>
      <c r="H38" s="18">
        <f>IF(C38="","",IF(R38="SI",0,G38*0.18))</f>
        <v/>
      </c>
      <c r="I38" s="18">
        <f>IF(C38="","",G38+H38)</f>
        <v/>
      </c>
      <c r="J38" s="16" t="n"/>
      <c r="K38" s="16" t="n"/>
      <c r="L38" s="19">
        <f>IF(OR(C38="",J38&lt;&gt;"SI",K38=""),IF(C38="","",0),IFERROR(INDEX(Catalogo_Tasas,MATCH(K38,Catalogo_Etiquetas,0)),0))</f>
        <v/>
      </c>
      <c r="M38" s="18">
        <f>IF(C38="","",IF(J38="SI",ROUND(I38*L38,2),0))</f>
        <v/>
      </c>
      <c r="N38" s="18">
        <f>IF(C38="","",I38-M38)</f>
        <v/>
      </c>
      <c r="O38" s="16" t="n"/>
      <c r="P38" s="16" t="n"/>
      <c r="Q38" s="16" t="n"/>
    </row>
    <row r="39">
      <c r="A39" s="15" t="n">
        <v>36</v>
      </c>
      <c r="B39" s="16" t="n"/>
      <c r="C39" s="16" t="n"/>
      <c r="D39" s="16" t="n"/>
      <c r="E39" s="16" t="n"/>
      <c r="F39" s="16" t="n"/>
      <c r="G39" s="17" t="n"/>
      <c r="H39" s="18">
        <f>IF(C39="","",IF(R39="SI",0,G39*0.18))</f>
        <v/>
      </c>
      <c r="I39" s="18">
        <f>IF(C39="","",G39+H39)</f>
        <v/>
      </c>
      <c r="J39" s="16" t="n"/>
      <c r="K39" s="16" t="n"/>
      <c r="L39" s="19">
        <f>IF(OR(C39="",J39&lt;&gt;"SI",K39=""),IF(C39="","",0),IFERROR(INDEX(Catalogo_Tasas,MATCH(K39,Catalogo_Etiquetas,0)),0))</f>
        <v/>
      </c>
      <c r="M39" s="18">
        <f>IF(C39="","",IF(J39="SI",ROUND(I39*L39,2),0))</f>
        <v/>
      </c>
      <c r="N39" s="18">
        <f>IF(C39="","",I39-M39)</f>
        <v/>
      </c>
      <c r="O39" s="16" t="n"/>
      <c r="P39" s="16" t="n"/>
      <c r="Q39" s="16" t="n"/>
    </row>
    <row r="40">
      <c r="A40" s="15" t="n">
        <v>37</v>
      </c>
      <c r="B40" s="16" t="n"/>
      <c r="C40" s="16" t="n"/>
      <c r="D40" s="16" t="n"/>
      <c r="E40" s="16" t="n"/>
      <c r="F40" s="16" t="n"/>
      <c r="G40" s="17" t="n"/>
      <c r="H40" s="18">
        <f>IF(C40="","",IF(R40="SI",0,G40*0.18))</f>
        <v/>
      </c>
      <c r="I40" s="18">
        <f>IF(C40="","",G40+H40)</f>
        <v/>
      </c>
      <c r="J40" s="16" t="n"/>
      <c r="K40" s="16" t="n"/>
      <c r="L40" s="19">
        <f>IF(OR(C40="",J40&lt;&gt;"SI",K40=""),IF(C40="","",0),IFERROR(INDEX(Catalogo_Tasas,MATCH(K40,Catalogo_Etiquetas,0)),0))</f>
        <v/>
      </c>
      <c r="M40" s="18">
        <f>IF(C40="","",IF(J40="SI",ROUND(I40*L40,2),0))</f>
        <v/>
      </c>
      <c r="N40" s="18">
        <f>IF(C40="","",I40-M40)</f>
        <v/>
      </c>
      <c r="O40" s="16" t="n"/>
      <c r="P40" s="16" t="n"/>
      <c r="Q40" s="16" t="n"/>
    </row>
    <row r="41">
      <c r="A41" s="15" t="n">
        <v>38</v>
      </c>
      <c r="B41" s="16" t="n"/>
      <c r="C41" s="16" t="n"/>
      <c r="D41" s="16" t="n"/>
      <c r="E41" s="16" t="n"/>
      <c r="F41" s="16" t="n"/>
      <c r="G41" s="17" t="n"/>
      <c r="H41" s="18">
        <f>IF(C41="","",IF(R41="SI",0,G41*0.18))</f>
        <v/>
      </c>
      <c r="I41" s="18">
        <f>IF(C41="","",G41+H41)</f>
        <v/>
      </c>
      <c r="J41" s="16" t="n"/>
      <c r="K41" s="16" t="n"/>
      <c r="L41" s="19">
        <f>IF(OR(C41="",J41&lt;&gt;"SI",K41=""),IF(C41="","",0),IFERROR(INDEX(Catalogo_Tasas,MATCH(K41,Catalogo_Etiquetas,0)),0))</f>
        <v/>
      </c>
      <c r="M41" s="18">
        <f>IF(C41="","",IF(J41="SI",ROUND(I41*L41,2),0))</f>
        <v/>
      </c>
      <c r="N41" s="18">
        <f>IF(C41="","",I41-M41)</f>
        <v/>
      </c>
      <c r="O41" s="16" t="n"/>
      <c r="P41" s="16" t="n"/>
      <c r="Q41" s="16" t="n"/>
    </row>
    <row r="42">
      <c r="A42" s="15" t="n">
        <v>39</v>
      </c>
      <c r="B42" s="16" t="n"/>
      <c r="C42" s="16" t="n"/>
      <c r="D42" s="16" t="n"/>
      <c r="E42" s="16" t="n"/>
      <c r="F42" s="16" t="n"/>
      <c r="G42" s="17" t="n"/>
      <c r="H42" s="18">
        <f>IF(C42="","",IF(R42="SI",0,G42*0.18))</f>
        <v/>
      </c>
      <c r="I42" s="18">
        <f>IF(C42="","",G42+H42)</f>
        <v/>
      </c>
      <c r="J42" s="16" t="n"/>
      <c r="K42" s="16" t="n"/>
      <c r="L42" s="19">
        <f>IF(OR(C42="",J42&lt;&gt;"SI",K42=""),IF(C42="","",0),IFERROR(INDEX(Catalogo_Tasas,MATCH(K42,Catalogo_Etiquetas,0)),0))</f>
        <v/>
      </c>
      <c r="M42" s="18">
        <f>IF(C42="","",IF(J42="SI",ROUND(I42*L42,2),0))</f>
        <v/>
      </c>
      <c r="N42" s="18">
        <f>IF(C42="","",I42-M42)</f>
        <v/>
      </c>
      <c r="O42" s="16" t="n"/>
      <c r="P42" s="16" t="n"/>
      <c r="Q42" s="16" t="n"/>
    </row>
    <row r="43">
      <c r="A43" s="15" t="n">
        <v>40</v>
      </c>
      <c r="B43" s="16" t="n"/>
      <c r="C43" s="16" t="n"/>
      <c r="D43" s="16" t="n"/>
      <c r="E43" s="16" t="n"/>
      <c r="F43" s="16" t="n"/>
      <c r="G43" s="17" t="n"/>
      <c r="H43" s="18">
        <f>IF(C43="","",IF(R43="SI",0,G43*0.18))</f>
        <v/>
      </c>
      <c r="I43" s="18">
        <f>IF(C43="","",G43+H43)</f>
        <v/>
      </c>
      <c r="J43" s="16" t="n"/>
      <c r="K43" s="16" t="n"/>
      <c r="L43" s="19">
        <f>IF(OR(C43="",J43&lt;&gt;"SI",K43=""),IF(C43="","",0),IFERROR(INDEX(Catalogo_Tasas,MATCH(K43,Catalogo_Etiquetas,0)),0))</f>
        <v/>
      </c>
      <c r="M43" s="18">
        <f>IF(C43="","",IF(J43="SI",ROUND(I43*L43,2),0))</f>
        <v/>
      </c>
      <c r="N43" s="18">
        <f>IF(C43="","",I43-M43)</f>
        <v/>
      </c>
      <c r="O43" s="16" t="n"/>
      <c r="P43" s="16" t="n"/>
      <c r="Q43" s="16" t="n"/>
    </row>
    <row r="44">
      <c r="A44" s="15" t="n">
        <v>41</v>
      </c>
      <c r="B44" s="16" t="n"/>
      <c r="C44" s="16" t="n"/>
      <c r="D44" s="16" t="n"/>
      <c r="E44" s="16" t="n"/>
      <c r="F44" s="16" t="n"/>
      <c r="G44" s="17" t="n"/>
      <c r="H44" s="18">
        <f>IF(C44="","",IF(R44="SI",0,G44*0.18))</f>
        <v/>
      </c>
      <c r="I44" s="18">
        <f>IF(C44="","",G44+H44)</f>
        <v/>
      </c>
      <c r="J44" s="16" t="n"/>
      <c r="K44" s="16" t="n"/>
      <c r="L44" s="19">
        <f>IF(OR(C44="",J44&lt;&gt;"SI",K44=""),IF(C44="","",0),IFERROR(INDEX(Catalogo_Tasas,MATCH(K44,Catalogo_Etiquetas,0)),0))</f>
        <v/>
      </c>
      <c r="M44" s="18">
        <f>IF(C44="","",IF(J44="SI",ROUND(I44*L44,2),0))</f>
        <v/>
      </c>
      <c r="N44" s="18">
        <f>IF(C44="","",I44-M44)</f>
        <v/>
      </c>
      <c r="O44" s="16" t="n"/>
      <c r="P44" s="16" t="n"/>
      <c r="Q44" s="16" t="n"/>
    </row>
    <row r="45">
      <c r="A45" s="15" t="n">
        <v>42</v>
      </c>
      <c r="B45" s="16" t="n"/>
      <c r="C45" s="16" t="n"/>
      <c r="D45" s="16" t="n"/>
      <c r="E45" s="16" t="n"/>
      <c r="F45" s="16" t="n"/>
      <c r="G45" s="17" t="n"/>
      <c r="H45" s="18">
        <f>IF(C45="","",IF(R45="SI",0,G45*0.18))</f>
        <v/>
      </c>
      <c r="I45" s="18">
        <f>IF(C45="","",G45+H45)</f>
        <v/>
      </c>
      <c r="J45" s="16" t="n"/>
      <c r="K45" s="16" t="n"/>
      <c r="L45" s="19">
        <f>IF(OR(C45="",J45&lt;&gt;"SI",K45=""),IF(C45="","",0),IFERROR(INDEX(Catalogo_Tasas,MATCH(K45,Catalogo_Etiquetas,0)),0))</f>
        <v/>
      </c>
      <c r="M45" s="18">
        <f>IF(C45="","",IF(J45="SI",ROUND(I45*L45,2),0))</f>
        <v/>
      </c>
      <c r="N45" s="18">
        <f>IF(C45="","",I45-M45)</f>
        <v/>
      </c>
      <c r="O45" s="16" t="n"/>
      <c r="P45" s="16" t="n"/>
      <c r="Q45" s="16" t="n"/>
    </row>
    <row r="46">
      <c r="A46" s="15" t="n">
        <v>43</v>
      </c>
      <c r="B46" s="16" t="n"/>
      <c r="C46" s="16" t="n"/>
      <c r="D46" s="16" t="n"/>
      <c r="E46" s="16" t="n"/>
      <c r="F46" s="16" t="n"/>
      <c r="G46" s="17" t="n"/>
      <c r="H46" s="18">
        <f>IF(C46="","",IF(R46="SI",0,G46*0.18))</f>
        <v/>
      </c>
      <c r="I46" s="18">
        <f>IF(C46="","",G46+H46)</f>
        <v/>
      </c>
      <c r="J46" s="16" t="n"/>
      <c r="K46" s="16" t="n"/>
      <c r="L46" s="19">
        <f>IF(OR(C46="",J46&lt;&gt;"SI",K46=""),IF(C46="","",0),IFERROR(INDEX(Catalogo_Tasas,MATCH(K46,Catalogo_Etiquetas,0)),0))</f>
        <v/>
      </c>
      <c r="M46" s="18">
        <f>IF(C46="","",IF(J46="SI",ROUND(I46*L46,2),0))</f>
        <v/>
      </c>
      <c r="N46" s="18">
        <f>IF(C46="","",I46-M46)</f>
        <v/>
      </c>
      <c r="O46" s="16" t="n"/>
      <c r="P46" s="16" t="n"/>
      <c r="Q46" s="16" t="n"/>
    </row>
    <row r="47">
      <c r="A47" s="15" t="n">
        <v>44</v>
      </c>
      <c r="B47" s="16" t="n"/>
      <c r="C47" s="16" t="n"/>
      <c r="D47" s="16" t="n"/>
      <c r="E47" s="16" t="n"/>
      <c r="F47" s="16" t="n"/>
      <c r="G47" s="17" t="n"/>
      <c r="H47" s="18">
        <f>IF(C47="","",IF(R47="SI",0,G47*0.18))</f>
        <v/>
      </c>
      <c r="I47" s="18">
        <f>IF(C47="","",G47+H47)</f>
        <v/>
      </c>
      <c r="J47" s="16" t="n"/>
      <c r="K47" s="16" t="n"/>
      <c r="L47" s="19">
        <f>IF(OR(C47="",J47&lt;&gt;"SI",K47=""),IF(C47="","",0),IFERROR(INDEX(Catalogo_Tasas,MATCH(K47,Catalogo_Etiquetas,0)),0))</f>
        <v/>
      </c>
      <c r="M47" s="18">
        <f>IF(C47="","",IF(J47="SI",ROUND(I47*L47,2),0))</f>
        <v/>
      </c>
      <c r="N47" s="18">
        <f>IF(C47="","",I47-M47)</f>
        <v/>
      </c>
      <c r="O47" s="16" t="n"/>
      <c r="P47" s="16" t="n"/>
      <c r="Q47" s="16" t="n"/>
    </row>
    <row r="48">
      <c r="A48" s="15" t="n">
        <v>45</v>
      </c>
      <c r="B48" s="16" t="n"/>
      <c r="C48" s="16" t="n"/>
      <c r="D48" s="16" t="n"/>
      <c r="E48" s="16" t="n"/>
      <c r="F48" s="16" t="n"/>
      <c r="G48" s="17" t="n"/>
      <c r="H48" s="18">
        <f>IF(C48="","",IF(R48="SI",0,G48*0.18))</f>
        <v/>
      </c>
      <c r="I48" s="18">
        <f>IF(C48="","",G48+H48)</f>
        <v/>
      </c>
      <c r="J48" s="16" t="n"/>
      <c r="K48" s="16" t="n"/>
      <c r="L48" s="19">
        <f>IF(OR(C48="",J48&lt;&gt;"SI",K48=""),IF(C48="","",0),IFERROR(INDEX(Catalogo_Tasas,MATCH(K48,Catalogo_Etiquetas,0)),0))</f>
        <v/>
      </c>
      <c r="M48" s="18">
        <f>IF(C48="","",IF(J48="SI",ROUND(I48*L48,2),0))</f>
        <v/>
      </c>
      <c r="N48" s="18">
        <f>IF(C48="","",I48-M48)</f>
        <v/>
      </c>
      <c r="O48" s="16" t="n"/>
      <c r="P48" s="16" t="n"/>
      <c r="Q48" s="16" t="n"/>
    </row>
    <row r="49">
      <c r="A49" s="15" t="n">
        <v>46</v>
      </c>
      <c r="B49" s="16" t="n"/>
      <c r="C49" s="16" t="n"/>
      <c r="D49" s="16" t="n"/>
      <c r="E49" s="16" t="n"/>
      <c r="F49" s="16" t="n"/>
      <c r="G49" s="17" t="n"/>
      <c r="H49" s="18">
        <f>IF(C49="","",IF(R49="SI",0,G49*0.18))</f>
        <v/>
      </c>
      <c r="I49" s="18">
        <f>IF(C49="","",G49+H49)</f>
        <v/>
      </c>
      <c r="J49" s="16" t="n"/>
      <c r="K49" s="16" t="n"/>
      <c r="L49" s="19">
        <f>IF(OR(C49="",J49&lt;&gt;"SI",K49=""),IF(C49="","",0),IFERROR(INDEX(Catalogo_Tasas,MATCH(K49,Catalogo_Etiquetas,0)),0))</f>
        <v/>
      </c>
      <c r="M49" s="18">
        <f>IF(C49="","",IF(J49="SI",ROUND(I49*L49,2),0))</f>
        <v/>
      </c>
      <c r="N49" s="18">
        <f>IF(C49="","",I49-M49)</f>
        <v/>
      </c>
      <c r="O49" s="16" t="n"/>
      <c r="P49" s="16" t="n"/>
      <c r="Q49" s="16" t="n"/>
    </row>
    <row r="50">
      <c r="A50" s="15" t="n">
        <v>47</v>
      </c>
      <c r="B50" s="16" t="n"/>
      <c r="C50" s="16" t="n"/>
      <c r="D50" s="16" t="n"/>
      <c r="E50" s="16" t="n"/>
      <c r="F50" s="16" t="n"/>
      <c r="G50" s="17" t="n"/>
      <c r="H50" s="18">
        <f>IF(C50="","",IF(R50="SI",0,G50*0.18))</f>
        <v/>
      </c>
      <c r="I50" s="18">
        <f>IF(C50="","",G50+H50)</f>
        <v/>
      </c>
      <c r="J50" s="16" t="n"/>
      <c r="K50" s="16" t="n"/>
      <c r="L50" s="19">
        <f>IF(OR(C50="",J50&lt;&gt;"SI",K50=""),IF(C50="","",0),IFERROR(INDEX(Catalogo_Tasas,MATCH(K50,Catalogo_Etiquetas,0)),0))</f>
        <v/>
      </c>
      <c r="M50" s="18">
        <f>IF(C50="","",IF(J50="SI",ROUND(I50*L50,2),0))</f>
        <v/>
      </c>
      <c r="N50" s="18">
        <f>IF(C50="","",I50-M50)</f>
        <v/>
      </c>
      <c r="O50" s="16" t="n"/>
      <c r="P50" s="16" t="n"/>
      <c r="Q50" s="16" t="n"/>
    </row>
    <row r="51">
      <c r="A51" s="15" t="n">
        <v>48</v>
      </c>
      <c r="B51" s="16" t="n"/>
      <c r="C51" s="16" t="n"/>
      <c r="D51" s="16" t="n"/>
      <c r="E51" s="16" t="n"/>
      <c r="F51" s="16" t="n"/>
      <c r="G51" s="17" t="n"/>
      <c r="H51" s="18">
        <f>IF(C51="","",IF(R51="SI",0,G51*0.18))</f>
        <v/>
      </c>
      <c r="I51" s="18">
        <f>IF(C51="","",G51+H51)</f>
        <v/>
      </c>
      <c r="J51" s="16" t="n"/>
      <c r="K51" s="16" t="n"/>
      <c r="L51" s="19">
        <f>IF(OR(C51="",J51&lt;&gt;"SI",K51=""),IF(C51="","",0),IFERROR(INDEX(Catalogo_Tasas,MATCH(K51,Catalogo_Etiquetas,0)),0))</f>
        <v/>
      </c>
      <c r="M51" s="18">
        <f>IF(C51="","",IF(J51="SI",ROUND(I51*L51,2),0))</f>
        <v/>
      </c>
      <c r="N51" s="18">
        <f>IF(C51="","",I51-M51)</f>
        <v/>
      </c>
      <c r="O51" s="16" t="n"/>
      <c r="P51" s="16" t="n"/>
      <c r="Q51" s="16" t="n"/>
    </row>
    <row r="52">
      <c r="A52" s="15" t="n">
        <v>49</v>
      </c>
      <c r="B52" s="16" t="n"/>
      <c r="C52" s="16" t="n"/>
      <c r="D52" s="16" t="n"/>
      <c r="E52" s="16" t="n"/>
      <c r="F52" s="16" t="n"/>
      <c r="G52" s="17" t="n"/>
      <c r="H52" s="18">
        <f>IF(C52="","",IF(R52="SI",0,G52*0.18))</f>
        <v/>
      </c>
      <c r="I52" s="18">
        <f>IF(C52="","",G52+H52)</f>
        <v/>
      </c>
      <c r="J52" s="16" t="n"/>
      <c r="K52" s="16" t="n"/>
      <c r="L52" s="19">
        <f>IF(OR(C52="",J52&lt;&gt;"SI",K52=""),IF(C52="","",0),IFERROR(INDEX(Catalogo_Tasas,MATCH(K52,Catalogo_Etiquetas,0)),0))</f>
        <v/>
      </c>
      <c r="M52" s="18">
        <f>IF(C52="","",IF(J52="SI",ROUND(I52*L52,2),0))</f>
        <v/>
      </c>
      <c r="N52" s="18">
        <f>IF(C52="","",I52-M52)</f>
        <v/>
      </c>
      <c r="O52" s="16" t="n"/>
      <c r="P52" s="16" t="n"/>
      <c r="Q52" s="16" t="n"/>
    </row>
    <row r="53">
      <c r="A53" s="15" t="n">
        <v>50</v>
      </c>
      <c r="B53" s="16" t="n"/>
      <c r="C53" s="16" t="n"/>
      <c r="D53" s="16" t="n"/>
      <c r="E53" s="16" t="n"/>
      <c r="F53" s="16" t="n"/>
      <c r="G53" s="17" t="n"/>
      <c r="H53" s="18">
        <f>IF(C53="","",IF(R53="SI",0,G53*0.18))</f>
        <v/>
      </c>
      <c r="I53" s="18">
        <f>IF(C53="","",G53+H53)</f>
        <v/>
      </c>
      <c r="J53" s="16" t="n"/>
      <c r="K53" s="16" t="n"/>
      <c r="L53" s="19">
        <f>IF(OR(C53="",J53&lt;&gt;"SI",K53=""),IF(C53="","",0),IFERROR(INDEX(Catalogo_Tasas,MATCH(K53,Catalogo_Etiquetas,0)),0))</f>
        <v/>
      </c>
      <c r="M53" s="18">
        <f>IF(C53="","",IF(J53="SI",ROUND(I53*L53,2),0))</f>
        <v/>
      </c>
      <c r="N53" s="18">
        <f>IF(C53="","",I53-M53)</f>
        <v/>
      </c>
      <c r="O53" s="16" t="n"/>
      <c r="P53" s="16" t="n"/>
      <c r="Q53" s="16" t="n"/>
    </row>
  </sheetData>
  <dataValidations count="5">
    <dataValidation sqref="K4:K53" showDropDown="0" showInputMessage="0" showErrorMessage="0" allowBlank="1" type="list">
      <formula1>Catalogo_Etiquetas</formula1>
      <formula2>0</formula2>
    </dataValidation>
    <dataValidation sqref="J4:J53 O4:O53" showDropDown="0" showInputMessage="0" showErrorMessage="0" allowBlank="1" type="list">
      <formula1>"SI,NO"</formula1>
      <formula2>0</formula2>
    </dataValidation>
    <dataValidation sqref="F4:F53" showDropDown="0" showInputMessage="0" showErrorMessage="0" allowBlank="1" type="list">
      <formula1>"PEN,USD"</formula1>
      <formula2>0</formula2>
    </dataValidation>
    <dataValidation sqref="Q4:Q53" showDropDown="0" showInputMessage="0" showErrorMessage="0" allowBlank="1" type="list">
      <formula1>"PENDIENTE,FACTURADO,COBRADO"</formula1>
      <formula2>0</formula2>
    </dataValidation>
    <dataValidation sqref="R4:R53" showDropDown="0" showInputMessage="0" showErrorMessage="0" allowBlank="1" type="list">
      <formula1>"SI,NO"</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4809"/>
  <sheetViews>
    <sheetView showGridLines="0" zoomScaleNormal="100" workbookViewId="0">
      <pane ySplit="3" topLeftCell="A79" activePane="bottomLeft" state="frozen"/>
      <selection pane="bottomLeft" activeCell="G110" sqref="G110"/>
    </sheetView>
  </sheetViews>
  <sheetFormatPr baseColWidth="10" defaultColWidth="8.7109375" defaultRowHeight="15"/>
  <cols>
    <col width="12" customWidth="1" min="1" max="1"/>
    <col width="10.42578125" bestFit="1" customWidth="1" min="2" max="2"/>
    <col width="10" customWidth="1" min="3" max="3"/>
    <col width="45.7109375" customWidth="1" min="4" max="4"/>
    <col width="13" customWidth="1" min="5" max="6"/>
    <col width="99.42578125" customWidth="1" min="7" max="7"/>
    <col width="18.7109375" customWidth="1" min="8" max="8"/>
  </cols>
  <sheetData>
    <row r="1">
      <c r="A1" s="24" t="inlineStr">
        <is>
          <t>Libro Diario - Braidy Wonders SAC</t>
        </is>
      </c>
    </row>
    <row r="2">
      <c r="A2" t="inlineStr">
        <is>
          <t>Se genera solo desde Registro_Compras y Registro_Ventas. No editar a mano. Importes en PEN. Los asientos de deposito de detraccion y de pago del neto solo aparecen cuando la fecha real correspondiente esta cargada en el registro de origen.</t>
        </is>
      </c>
    </row>
    <row r="3">
      <c r="A3" s="33" t="inlineStr">
        <is>
          <t>Fecha</t>
        </is>
      </c>
      <c r="B3" s="33" t="inlineStr">
        <is>
          <t>N° Asiento</t>
        </is>
      </c>
      <c r="C3" s="33" t="inlineStr">
        <is>
          <t>Cuenta</t>
        </is>
      </c>
      <c r="D3" s="33" t="inlineStr">
        <is>
          <t>Denominación</t>
        </is>
      </c>
      <c r="E3" s="33" t="inlineStr">
        <is>
          <t>Debe</t>
        </is>
      </c>
      <c r="F3" s="33" t="inlineStr">
        <is>
          <t>Haber</t>
        </is>
      </c>
      <c r="G3" s="33" t="inlineStr">
        <is>
          <t>Glosa</t>
        </is>
      </c>
      <c r="H3" s="33" t="inlineStr">
        <is>
          <t>Ref. Comprobante</t>
        </is>
      </c>
    </row>
    <row r="4">
      <c r="A4" s="24" t="inlineStr">
        <is>
          <t>COMPRAS - Facturas de Proveedores</t>
        </is>
      </c>
    </row>
    <row r="5">
      <c r="A5" s="25">
        <f>IF($C5="","",Registro_Compras!$B$4)</f>
        <v/>
      </c>
      <c r="B5">
        <f>IF($C5="","","C"&amp;TEXT(INT((ROW()-5)/9)+1,"000")&amp;"-1")</f>
        <v/>
      </c>
      <c r="C5">
        <f>IF(OR(Registro_Compras!$C$4="",Registro_Compras!$O$4=""),"",IF(Registro_Compras!$F$4="NOTA DE CREDITO","4212",IF(Registro_Compras!$M$4="","63",Registro_Compras!$M$4)))</f>
        <v/>
      </c>
      <c r="D5">
        <f>IF(OR(Registro_Compras!$C$4="",Registro_Compras!$O$4=""),"",IF(Registro_Compras!$F$4="NOTA DE CREDITO","Cuentas por Pagar Comerciales - Terceros (Emitidas)",IF(Registro_Compras!$F$4="RHE","Honorarios Profesionales - Servicios de Terceros","Gastos de Servicios Prestados por Terceros")))</f>
        <v/>
      </c>
      <c r="E5" s="20">
        <f>IF($C5="","",IF(Registro_Compras!$F$4="NOTA DE CREDITO",ABS(Registro_Compras!$O$4),IF(Registro_Compras!$F$4="RHE",ROUND(Registro_Compras!$L$4*Registro_Compras!$N$4,2),ROUND(Registro_Compras!$J$4*Registro_Compras!$N$4,2))))</f>
        <v/>
      </c>
      <c r="F5" s="20">
        <f>""</f>
        <v/>
      </c>
      <c r="G5">
        <f>IF($C5="","",IF(Registro_Compras!$F$4="NOTA DE CREDITO","Por la nota de credito "&amp;Registro_Compras!$C$4&amp;" de "&amp;Registro_Compras!$E$4&amp;" [PATRON POR CONFIRMAR CON CONTADOR]",IF(Registro_Compras!$F$4="RHE","Por el registro del recibo por honorarios "&amp;Registro_Compras!$C$4&amp;" de "&amp;Registro_Compras!$E$4&amp;" [PATRON POR CONFIRMAR CON CONTADOR]","Por el registro de la factura "&amp;Registro_Compras!$C$4&amp;" de "&amp;Registro_Compras!$E$4)))</f>
        <v/>
      </c>
      <c r="H5">
        <f>IF($C5="","",Registro_Compras!$C$4)</f>
        <v/>
      </c>
    </row>
    <row r="6">
      <c r="A6" s="25">
        <f>IF($C6="","",Registro_Compras!$B$4)</f>
        <v/>
      </c>
      <c r="B6">
        <f>IF($C6="","","C"&amp;TEXT(INT((ROW()-5)/9)+1,"000")&amp;"-1")</f>
        <v/>
      </c>
      <c r="C6">
        <f>IF(OR(Registro_Compras!$C$4="",Registro_Compras!$O$4=""),"",IF(Registro_Compras!$F$4="RHE",IF(Registro_Compras!$V$4=0,"","40172"),IF(Registro_Compras!$F$4="NOTA DE CREDITO",IF(Registro_Compras!$M$4="","63",Registro_Compras!$M$4),IF(Registro_Compras!$K$4=0,"","40111"))))</f>
        <v/>
      </c>
      <c r="D6">
        <f>IF(OR(Registro_Compras!$C$4="",Registro_Compras!$O$4=""),"",IF(Registro_Compras!$F$4="RHE","Retencion Renta 4ta Categoria por Pagar",IF(Registro_Compras!$F$4="NOTA DE CREDITO","Gastos de Servicios Prestados por Terceros","IGV - Cuenta Propia (Credito Fiscal)")))</f>
        <v/>
      </c>
      <c r="E6" s="20">
        <f>IF($C6="","",IF(Registro_Compras!$F$4="FACTURA",ROUND(Registro_Compras!$K$4*Registro_Compras!$N$4,2),""))</f>
        <v/>
      </c>
      <c r="F6" s="20">
        <f>IF($C6="","",IF(Registro_Compras!$F$4="RHE",ROUND(Registro_Compras!$V$4*Registro_Compras!$N$4,2),IF(Registro_Compras!$F$4="NOTA DE CREDITO",ROUND(ABS(Registro_Compras!$J$4*Registro_Compras!$N$4),2),"")))</f>
        <v/>
      </c>
      <c r="G6">
        <f>IF($C6="","",IF(Registro_Compras!$F$4="NOTA DE CREDITO","Por la nota de credito "&amp;Registro_Compras!$C$4&amp;" de "&amp;Registro_Compras!$E$4&amp;" [PATRON POR CONFIRMAR CON CONTADOR]",IF(Registro_Compras!$F$4="RHE","Por el registro del recibo por honorarios "&amp;Registro_Compras!$C$4&amp;" de "&amp;Registro_Compras!$E$4&amp;" [PATRON POR CONFIRMAR CON CONTADOR]","Por el registro de la factura "&amp;Registro_Compras!$C$4&amp;" de "&amp;Registro_Compras!$E$4)))</f>
        <v/>
      </c>
      <c r="H6">
        <f>IF($C6="","",Registro_Compras!$C$4)</f>
        <v/>
      </c>
    </row>
    <row r="7">
      <c r="A7" s="25">
        <f>IF($C7="","",Registro_Compras!$B$4)</f>
        <v/>
      </c>
      <c r="B7">
        <f>IF($C7="","","C"&amp;TEXT(INT((ROW()-5)/9)+1,"000")&amp;"-1")</f>
        <v/>
      </c>
      <c r="C7">
        <f>IF(OR(Registro_Compras!$C$4="",Registro_Compras!$O$4=""),"",IF(Registro_Compras!$F$4="NOTA DE CREDITO",IF(Registro_Compras!$K$4=0,"","40111"),"4212"))</f>
        <v/>
      </c>
      <c r="D7">
        <f>IF(OR(Registro_Compras!$C$4="",Registro_Compras!$O$4=""),"",IF(Registro_Compras!$F$4="NOTA DE CREDITO","IGV - Cuenta Propia (Credito Fiscal)","Cuentas por Pagar Comerciales - Terceros (Emitidas)"))</f>
        <v/>
      </c>
      <c r="E7" s="20">
        <f>""</f>
        <v/>
      </c>
      <c r="F7" s="20">
        <f>IF($C7="","",IF(Registro_Compras!$F$4="NOTA DE CREDITO",ROUND(ABS(Registro_Compras!$K$4*Registro_Compras!$N$4),2),IF(Registro_Compras!$F$4="RHE",(ROUND(Registro_Compras!$L$4*Registro_Compras!$N$4,2)-ROUND(Registro_Compras!$V$4*Registro_Compras!$N$4,2)),Registro_Compras!$O$4)))</f>
        <v/>
      </c>
      <c r="G7">
        <f>IF($C7="","",IF(Registro_Compras!$F$4="NOTA DE CREDITO","Por la nota de credito "&amp;Registro_Compras!$C$4&amp;" de "&amp;Registro_Compras!$E$4&amp;" [PATRON POR CONFIRMAR CON CONTADOR]",IF(Registro_Compras!$F$4="RHE","Por el registro del recibo por honorarios "&amp;Registro_Compras!$C$4&amp;" de "&amp;Registro_Compras!$E$4&amp;" [PATRON POR CONFIRMAR CON CONTADOR]","Por el registro de la factura "&amp;Registro_Compras!$C$4&amp;" de "&amp;Registro_Compras!$E$4)))</f>
        <v/>
      </c>
      <c r="H7">
        <f>IF($C7="","",Registro_Compras!$C$4)</f>
        <v/>
      </c>
    </row>
    <row r="8">
      <c r="A8" s="25">
        <f>IF($C8="","",Registro_Compras!$B$4)</f>
        <v/>
      </c>
      <c r="B8">
        <f>IF($C8="","","C"&amp;TEXT(INT((ROW()-5)/9)+1,"000")&amp;"-2")</f>
        <v/>
      </c>
      <c r="C8">
        <f>IF(OR(Registro_Compras!$C$4="",Registro_Compras!$O$4=""),"",IF(Registro_Compras!$AB$4="ADMINISTRATIVO","94","95"))</f>
        <v/>
      </c>
      <c r="D8">
        <f>IF(OR(Registro_Compras!$C$4="",Registro_Compras!$O$4=""),"",IF(Registro_Compras!$AB$4="ADMINISTRATIVO","Gastos Administrativos","Gastos de Venta y Operacion"))</f>
        <v/>
      </c>
      <c r="E8" s="20">
        <f>IF($C8="","",IF(Registro_Compras!$F$4="NOTA DE CREDITO","",IF(Registro_Compras!$F$4="RHE",ROUND(Registro_Compras!$L$4*Registro_Compras!$N$4,2),ROUND(Registro_Compras!$J$4*Registro_Compras!$N$4,2))))</f>
        <v/>
      </c>
      <c r="F8" s="20">
        <f>IF($C8="","",IF(Registro_Compras!$F$4="NOTA DE CREDITO",ROUND(ABS(Registro_Compras!$J$4*Registro_Compras!$N$4),2),""))</f>
        <v/>
      </c>
      <c r="G8">
        <f>IF($C8="","","Por el destino del gasto")</f>
        <v/>
      </c>
      <c r="H8">
        <f>IF($C8="","",Registro_Compras!$C$4)</f>
        <v/>
      </c>
    </row>
    <row r="9">
      <c r="A9" s="25">
        <f>IF($C9="","",Registro_Compras!$B$4)</f>
        <v/>
      </c>
      <c r="B9">
        <f>IF($C9="","","C"&amp;TEXT(INT((ROW()-5)/9)+1,"000")&amp;"-2")</f>
        <v/>
      </c>
      <c r="C9">
        <f>IF(OR(Registro_Compras!$C$4="",Registro_Compras!$O$4=""),"","79/791")</f>
        <v/>
      </c>
      <c r="D9">
        <f>IF(OR(Registro_Compras!$C$4="",Registro_Compras!$O$4=""),"","Cargas Imputables a Cuentas de Costos y Gastos")</f>
        <v/>
      </c>
      <c r="E9" s="20">
        <f>IF($C9="","",IF(Registro_Compras!$F$4="NOTA DE CREDITO",ROUND(ABS(Registro_Compras!$J$4*Registro_Compras!$N$4),2),""))</f>
        <v/>
      </c>
      <c r="F9" s="20">
        <f>IF($C9="","",IF(Registro_Compras!$F$4="NOTA DE CREDITO","",IF(Registro_Compras!$F$4="RHE",ROUND(Registro_Compras!$L$4*Registro_Compras!$N$4,2),ROUND(Registro_Compras!$J$4*Registro_Compras!$N$4,2))))</f>
        <v/>
      </c>
      <c r="G9">
        <f>IF($C9="","","Por el destino del gasto")</f>
        <v/>
      </c>
      <c r="H9">
        <f>IF($C9="","",Registro_Compras!$C$4)</f>
        <v/>
      </c>
    </row>
    <row r="10">
      <c r="A10" s="25">
        <f>IF($C10="","",Registro_Compras!$X$4)</f>
        <v/>
      </c>
      <c r="B10">
        <f>IF($C10="","","C"&amp;TEXT(INT((ROW()-5)/9)+1,"000")&amp;"-3")</f>
        <v/>
      </c>
      <c r="C10">
        <f>IF(OR(Registro_Compras!$C$4="",Registro_Compras!$O$4="",Registro_Compras!$R$4&lt;&gt;"SI",Registro_Compras!$X$4=""),"","4212")</f>
        <v/>
      </c>
      <c r="D10">
        <f>IF(OR(Registro_Compras!$C$4="",Registro_Compras!$O$4=""),"","Cuentas por Pagar Comerciales - Terceros")</f>
        <v/>
      </c>
      <c r="E10" s="20">
        <f>IF($C10="","",Registro_Compras!$S$4)</f>
        <v/>
      </c>
      <c r="F10" s="20">
        <f>""</f>
        <v/>
      </c>
      <c r="G10">
        <f>IF($C10="","","Por el deposito de la detraccion en el Banco de la Nacion")</f>
        <v/>
      </c>
      <c r="H10">
        <f>IF($C10="","",Registro_Compras!$C$4)</f>
        <v/>
      </c>
    </row>
    <row r="11">
      <c r="A11" s="25">
        <f>IF($C11="","",Registro_Compras!$X$4)</f>
        <v/>
      </c>
      <c r="B11">
        <f>IF($C11="","","C"&amp;TEXT(INT((ROW()-5)/9)+1,"000")&amp;"-3")</f>
        <v/>
      </c>
      <c r="C11">
        <f>IF(OR(Registro_Compras!$C$4="",Registro_Compras!$O$4="",Registro_Compras!$R$4&lt;&gt;"SI",Registro_Compras!$X$4=""),"","10413")</f>
        <v/>
      </c>
      <c r="D11">
        <f>IF(OR(Registro_Compras!$C$4="",Registro_Compras!$O$4=""),"","Efectivo y Equivalentes - Cta. Cte. Operativa")</f>
        <v/>
      </c>
      <c r="E11" s="20">
        <f>""</f>
        <v/>
      </c>
      <c r="F11" s="20">
        <f>IF($C11="","",Registro_Compras!$S$4)</f>
        <v/>
      </c>
      <c r="G11">
        <f>IF($C11="","","Por el deposito de la detraccion en el Banco de la Nacion")</f>
        <v/>
      </c>
      <c r="H11">
        <f>IF($C11="","",Registro_Compras!$C$4)</f>
        <v/>
      </c>
    </row>
    <row r="12">
      <c r="A12" s="25">
        <f>IF($C12="","",Registro_Compras!$Y$4)</f>
        <v/>
      </c>
      <c r="B12">
        <f>IF($C12="","","C"&amp;TEXT(INT((ROW()-5)/9)+1,"000")&amp;"-4")</f>
        <v/>
      </c>
      <c r="C12">
        <f>IF(OR(Registro_Compras!$C$4="",Registro_Compras!$O$4="",Registro_Compras!$Y$4="",Registro_Compras!$F$4="NOTA DE CREDITO"),"","4212")</f>
        <v/>
      </c>
      <c r="D12">
        <f>IF(OR(Registro_Compras!$C$4="",Registro_Compras!$O$4=""),"","Cuentas por Pagar Comerciales - Terceros")</f>
        <v/>
      </c>
      <c r="E12" s="20">
        <f>IF($C12="","",IF(Registro_Compras!$F$4="RHE",(ROUND(Registro_Compras!$L$4*Registro_Compras!$N$4,2)-ROUND(Registro_Compras!$V$4*Registro_Compras!$N$4,2)),ROUND(Registro_Compras!$O$4-Registro_Compras!$S$4,2)))</f>
        <v/>
      </c>
      <c r="F12" s="20">
        <f>""</f>
        <v/>
      </c>
      <c r="G12">
        <f>IF($C12="","","Por la cancelacion del saldo al proveedor")</f>
        <v/>
      </c>
      <c r="H12">
        <f>IF($C12="","",Registro_Compras!$C$4)</f>
        <v/>
      </c>
    </row>
    <row r="13">
      <c r="A13" s="25">
        <f>IF($C13="","",Registro_Compras!$Y$4)</f>
        <v/>
      </c>
      <c r="B13">
        <f>IF($C13="","","C"&amp;TEXT(INT((ROW()-5)/9)+1,"000")&amp;"-4")</f>
        <v/>
      </c>
      <c r="C13">
        <f>IF(OR(Registro_Compras!$C$4="",Registro_Compras!$O$4="",Registro_Compras!$Y$4="",Registro_Compras!$F$4="NOTA DE CREDITO"),"","10413")</f>
        <v/>
      </c>
      <c r="D13">
        <f>IF(OR(Registro_Compras!$C$4="",Registro_Compras!$O$4=""),"","Efectivo y Equivalentes - Cta. Cte. Operativa")</f>
        <v/>
      </c>
      <c r="E13" s="20">
        <f>""</f>
        <v/>
      </c>
      <c r="F13" s="20">
        <f>IF($C13="","",IF(Registro_Compras!$F$4="RHE",(ROUND(Registro_Compras!$L$4*Registro_Compras!$N$4,2)-ROUND(Registro_Compras!$V$4*Registro_Compras!$N$4,2)),ROUND(Registro_Compras!$O$4-Registro_Compras!$S$4,2)))</f>
        <v/>
      </c>
      <c r="G13">
        <f>IF($C13="","","Por la cancelacion del saldo al proveedor")</f>
        <v/>
      </c>
      <c r="H13">
        <f>IF($C13="","",Registro_Compras!$C$4)</f>
        <v/>
      </c>
    </row>
    <row r="14">
      <c r="A14" s="25">
        <f>IF($C14="","",Registro_Compras!$B$5)</f>
        <v/>
      </c>
      <c r="B14">
        <f>IF($C14="","","C"&amp;TEXT(INT((ROW()-5)/9)+1,"000")&amp;"-1")</f>
        <v/>
      </c>
      <c r="C14">
        <f>IF(OR(Registro_Compras!$C$5="",Registro_Compras!$O$5=""),"",IF(Registro_Compras!$F$5="NOTA DE CREDITO","4212",IF(Registro_Compras!$M$5="","63",Registro_Compras!$M$5)))</f>
        <v/>
      </c>
      <c r="D14">
        <f>IF(OR(Registro_Compras!$C$5="",Registro_Compras!$O$5=""),"",IF(Registro_Compras!$F$5="NOTA DE CREDITO","Cuentas por Pagar Comerciales - Terceros (Emitidas)",IF(Registro_Compras!$F$5="RHE","Honorarios Profesionales - Servicios de Terceros","Gastos de Servicios Prestados por Terceros")))</f>
        <v/>
      </c>
      <c r="E14" s="20">
        <f>IF($C14="","",IF(Registro_Compras!$F$5="NOTA DE CREDITO",ABS(Registro_Compras!$O$5),IF(Registro_Compras!$F$5="RHE",ROUND(Registro_Compras!$L$5*Registro_Compras!$N$5,2),ROUND(Registro_Compras!$J$5*Registro_Compras!$N$5,2))))</f>
        <v/>
      </c>
      <c r="F14" s="20">
        <f>""</f>
        <v/>
      </c>
      <c r="G14">
        <f>IF($C14="","",IF(Registro_Compras!$F$5="NOTA DE CREDITO","Por la nota de credito "&amp;Registro_Compras!$C$5&amp;" de "&amp;Registro_Compras!$E$5&amp;" [PATRON POR CONFIRMAR CON CONTADOR]",IF(Registro_Compras!$F$5="RHE","Por el registro del recibo por honorarios "&amp;Registro_Compras!$C$5&amp;" de "&amp;Registro_Compras!$E$5&amp;" [PATRON POR CONFIRMAR CON CONTADOR]","Por el registro de la factura "&amp;Registro_Compras!$C$5&amp;" de "&amp;Registro_Compras!$E$5)))</f>
        <v/>
      </c>
      <c r="H14">
        <f>IF($C14="","",Registro_Compras!$C$5)</f>
        <v/>
      </c>
    </row>
    <row r="15">
      <c r="A15" s="25">
        <f>IF($C15="","",Registro_Compras!$B$5)</f>
        <v/>
      </c>
      <c r="B15">
        <f>IF($C15="","","C"&amp;TEXT(INT((ROW()-5)/9)+1,"000")&amp;"-1")</f>
        <v/>
      </c>
      <c r="C15">
        <f>IF(OR(Registro_Compras!$C$5="",Registro_Compras!$O$5=""),"",IF(Registro_Compras!$F$5="RHE",IF(Registro_Compras!$V$5=0,"","40172"),IF(Registro_Compras!$F$5="NOTA DE CREDITO",IF(Registro_Compras!$M$5="","63",Registro_Compras!$M$5),IF(Registro_Compras!$K$5=0,"","40111"))))</f>
        <v/>
      </c>
      <c r="D15">
        <f>IF(OR(Registro_Compras!$C$5="",Registro_Compras!$O$5=""),"",IF(Registro_Compras!$F$5="RHE","Retencion Renta 4ta Categoria por Pagar",IF(Registro_Compras!$F$5="NOTA DE CREDITO","Gastos de Servicios Prestados por Terceros","IGV - Cuenta Propia (Credito Fiscal)")))</f>
        <v/>
      </c>
      <c r="E15" s="20">
        <f>IF($C15="","",IF(Registro_Compras!$F$5="FACTURA",ROUND(Registro_Compras!$K$5*Registro_Compras!$N$5,2),""))</f>
        <v/>
      </c>
      <c r="F15" s="20">
        <f>IF($C15="","",IF(Registro_Compras!$F$5="RHE",ROUND(Registro_Compras!$V$5*Registro_Compras!$N$5,2),IF(Registro_Compras!$F$5="NOTA DE CREDITO",ROUND(ABS(Registro_Compras!$J$5*Registro_Compras!$N$5),2),"")))</f>
        <v/>
      </c>
      <c r="G15">
        <f>IF($C15="","",IF(Registro_Compras!$F$5="NOTA DE CREDITO","Por la nota de credito "&amp;Registro_Compras!$C$5&amp;" de "&amp;Registro_Compras!$E$5&amp;" [PATRON POR CONFIRMAR CON CONTADOR]",IF(Registro_Compras!$F$5="RHE","Por el registro del recibo por honorarios "&amp;Registro_Compras!$C$5&amp;" de "&amp;Registro_Compras!$E$5&amp;" [PATRON POR CONFIRMAR CON CONTADOR]","Por el registro de la factura "&amp;Registro_Compras!$C$5&amp;" de "&amp;Registro_Compras!$E$5)))</f>
        <v/>
      </c>
      <c r="H15">
        <f>IF($C15="","",Registro_Compras!$C$5)</f>
        <v/>
      </c>
    </row>
    <row r="16">
      <c r="A16" s="25">
        <f>IF($C16="","",Registro_Compras!$B$5)</f>
        <v/>
      </c>
      <c r="B16">
        <f>IF($C16="","","C"&amp;TEXT(INT((ROW()-5)/9)+1,"000")&amp;"-1")</f>
        <v/>
      </c>
      <c r="C16">
        <f>IF(OR(Registro_Compras!$C$5="",Registro_Compras!$O$5=""),"",IF(Registro_Compras!$F$5="NOTA DE CREDITO",IF(Registro_Compras!$K$5=0,"","40111"),"4212"))</f>
        <v/>
      </c>
      <c r="D16">
        <f>IF(OR(Registro_Compras!$C$5="",Registro_Compras!$O$5=""),"",IF(Registro_Compras!$F$5="NOTA DE CREDITO","IGV - Cuenta Propia (Credito Fiscal)","Cuentas por Pagar Comerciales - Terceros (Emitidas)"))</f>
        <v/>
      </c>
      <c r="E16" s="20">
        <f>""</f>
        <v/>
      </c>
      <c r="F16" s="20">
        <f>IF($C16="","",IF(Registro_Compras!$F$5="NOTA DE CREDITO",ROUND(ABS(Registro_Compras!$K$5*Registro_Compras!$N$5),2),IF(Registro_Compras!$F$5="RHE",(ROUND(Registro_Compras!$L$5*Registro_Compras!$N$5,2)-ROUND(Registro_Compras!$V$5*Registro_Compras!$N$5,2)),Registro_Compras!$O$5)))</f>
        <v/>
      </c>
      <c r="G16">
        <f>IF($C16="","",IF(Registro_Compras!$F$5="NOTA DE CREDITO","Por la nota de credito "&amp;Registro_Compras!$C$5&amp;" de "&amp;Registro_Compras!$E$5&amp;" [PATRON POR CONFIRMAR CON CONTADOR]",IF(Registro_Compras!$F$5="RHE","Por el registro del recibo por honorarios "&amp;Registro_Compras!$C$5&amp;" de "&amp;Registro_Compras!$E$5&amp;" [PATRON POR CONFIRMAR CON CONTADOR]","Por el registro de la factura "&amp;Registro_Compras!$C$5&amp;" de "&amp;Registro_Compras!$E$5)))</f>
        <v/>
      </c>
      <c r="H16">
        <f>IF($C16="","",Registro_Compras!$C$5)</f>
        <v/>
      </c>
    </row>
    <row r="17">
      <c r="A17" s="25">
        <f>IF($C17="","",Registro_Compras!$B$5)</f>
        <v/>
      </c>
      <c r="B17">
        <f>IF($C17="","","C"&amp;TEXT(INT((ROW()-5)/9)+1,"000")&amp;"-2")</f>
        <v/>
      </c>
      <c r="C17">
        <f>IF(OR(Registro_Compras!$C$5="",Registro_Compras!$O$5=""),"",IF(Registro_Compras!$AB$5="ADMINISTRATIVO","94","95"))</f>
        <v/>
      </c>
      <c r="D17">
        <f>IF(OR(Registro_Compras!$C$5="",Registro_Compras!$O$5=""),"",IF(Registro_Compras!$AB$5="ADMINISTRATIVO","Gastos Administrativos","Gastos de Venta y Operacion"))</f>
        <v/>
      </c>
      <c r="E17" s="20">
        <f>IF($C17="","",IF(Registro_Compras!$F$5="NOTA DE CREDITO","",IF(Registro_Compras!$F$5="RHE",ROUND(Registro_Compras!$L$5*Registro_Compras!$N$5,2),ROUND(Registro_Compras!$J$5*Registro_Compras!$N$5,2))))</f>
        <v/>
      </c>
      <c r="F17" s="20">
        <f>IF($C17="","",IF(Registro_Compras!$F$5="NOTA DE CREDITO",ROUND(ABS(Registro_Compras!$J$5*Registro_Compras!$N$5),2),""))</f>
        <v/>
      </c>
      <c r="G17">
        <f>IF($C17="","","Por el destino del gasto")</f>
        <v/>
      </c>
      <c r="H17">
        <f>IF($C17="","",Registro_Compras!$C$5)</f>
        <v/>
      </c>
    </row>
    <row r="18">
      <c r="A18" s="25">
        <f>IF($C18="","",Registro_Compras!$B$5)</f>
        <v/>
      </c>
      <c r="B18">
        <f>IF($C18="","","C"&amp;TEXT(INT((ROW()-5)/9)+1,"000")&amp;"-2")</f>
        <v/>
      </c>
      <c r="C18">
        <f>IF(OR(Registro_Compras!$C$5="",Registro_Compras!$O$5=""),"","79/791")</f>
        <v/>
      </c>
      <c r="D18">
        <f>IF(OR(Registro_Compras!$C$5="",Registro_Compras!$O$5=""),"","Cargas Imputables a Cuentas de Costos y Gastos")</f>
        <v/>
      </c>
      <c r="E18" s="20">
        <f>IF($C18="","",IF(Registro_Compras!$F$5="NOTA DE CREDITO",ROUND(ABS(Registro_Compras!$J$5*Registro_Compras!$N$5),2),""))</f>
        <v/>
      </c>
      <c r="F18" s="20">
        <f>IF($C18="","",IF(Registro_Compras!$F$5="NOTA DE CREDITO","",IF(Registro_Compras!$F$5="RHE",ROUND(Registro_Compras!$L$5*Registro_Compras!$N$5,2),ROUND(Registro_Compras!$J$5*Registro_Compras!$N$5,2))))</f>
        <v/>
      </c>
      <c r="G18">
        <f>IF($C18="","","Por el destino del gasto")</f>
        <v/>
      </c>
      <c r="H18">
        <f>IF($C18="","",Registro_Compras!$C$5)</f>
        <v/>
      </c>
    </row>
    <row r="19">
      <c r="A19" s="25">
        <f>IF($C19="","",Registro_Compras!$X$5)</f>
        <v/>
      </c>
      <c r="B19">
        <f>IF($C19="","","C"&amp;TEXT(INT((ROW()-5)/9)+1,"000")&amp;"-3")</f>
        <v/>
      </c>
      <c r="C19">
        <f>IF(OR(Registro_Compras!$C$5="",Registro_Compras!$O$5="",Registro_Compras!$R$5&lt;&gt;"SI",Registro_Compras!$X$5=""),"","4212")</f>
        <v/>
      </c>
      <c r="D19">
        <f>IF(OR(Registro_Compras!$C$5="",Registro_Compras!$O$5=""),"","Cuentas por Pagar Comerciales - Terceros")</f>
        <v/>
      </c>
      <c r="E19" s="20">
        <f>IF($C19="","",Registro_Compras!$S$5)</f>
        <v/>
      </c>
      <c r="F19" s="20">
        <f>""</f>
        <v/>
      </c>
      <c r="G19">
        <f>IF($C19="","","Por el deposito de la detraccion en el Banco de la Nacion")</f>
        <v/>
      </c>
      <c r="H19">
        <f>IF($C19="","",Registro_Compras!$C$5)</f>
        <v/>
      </c>
    </row>
    <row r="20">
      <c r="A20" s="25">
        <f>IF($C20="","",Registro_Compras!$X$5)</f>
        <v/>
      </c>
      <c r="B20">
        <f>IF($C20="","","C"&amp;TEXT(INT((ROW()-5)/9)+1,"000")&amp;"-3")</f>
        <v/>
      </c>
      <c r="C20">
        <f>IF(OR(Registro_Compras!$C$5="",Registro_Compras!$O$5="",Registro_Compras!$R$5&lt;&gt;"SI",Registro_Compras!$X$5=""),"","10413")</f>
        <v/>
      </c>
      <c r="D20">
        <f>IF(OR(Registro_Compras!$C$5="",Registro_Compras!$O$5=""),"","Efectivo y Equivalentes - Cta. Cte. Operativa")</f>
        <v/>
      </c>
      <c r="E20" s="20">
        <f>""</f>
        <v/>
      </c>
      <c r="F20" s="20">
        <f>IF($C20="","",Registro_Compras!$S$5)</f>
        <v/>
      </c>
      <c r="G20">
        <f>IF($C20="","","Por el deposito de la detraccion en el Banco de la Nacion")</f>
        <v/>
      </c>
      <c r="H20">
        <f>IF($C20="","",Registro_Compras!$C$5)</f>
        <v/>
      </c>
    </row>
    <row r="21">
      <c r="A21" s="25">
        <f>IF($C21="","",Registro_Compras!$Y$5)</f>
        <v/>
      </c>
      <c r="B21">
        <f>IF($C21="","","C"&amp;TEXT(INT((ROW()-5)/9)+1,"000")&amp;"-4")</f>
        <v/>
      </c>
      <c r="C21">
        <f>IF(OR(Registro_Compras!$C$5="",Registro_Compras!$O$5="",Registro_Compras!$Y$5="",Registro_Compras!$F$5="NOTA DE CREDITO"),"","4212")</f>
        <v/>
      </c>
      <c r="D21">
        <f>IF(OR(Registro_Compras!$C$5="",Registro_Compras!$O$5=""),"","Cuentas por Pagar Comerciales - Terceros")</f>
        <v/>
      </c>
      <c r="E21" s="20">
        <f>IF($C21="","",IF(Registro_Compras!$F$5="RHE",(ROUND(Registro_Compras!$L$5*Registro_Compras!$N$5,2)-ROUND(Registro_Compras!$V$5*Registro_Compras!$N$5,2)),ROUND(Registro_Compras!$O$5-Registro_Compras!$S$5,2)))</f>
        <v/>
      </c>
      <c r="F21" s="20">
        <f>""</f>
        <v/>
      </c>
      <c r="G21">
        <f>IF($C21="","","Por la cancelacion del saldo al proveedor")</f>
        <v/>
      </c>
      <c r="H21">
        <f>IF($C21="","",Registro_Compras!$C$5)</f>
        <v/>
      </c>
    </row>
    <row r="22">
      <c r="A22" s="25">
        <f>IF($C22="","",Registro_Compras!$Y$5)</f>
        <v/>
      </c>
      <c r="B22">
        <f>IF($C22="","","C"&amp;TEXT(INT((ROW()-5)/9)+1,"000")&amp;"-4")</f>
        <v/>
      </c>
      <c r="C22">
        <f>IF(OR(Registro_Compras!$C$5="",Registro_Compras!$O$5="",Registro_Compras!$Y$5="",Registro_Compras!$F$5="NOTA DE CREDITO"),"","10413")</f>
        <v/>
      </c>
      <c r="D22">
        <f>IF(OR(Registro_Compras!$C$5="",Registro_Compras!$O$5=""),"","Efectivo y Equivalentes - Cta. Cte. Operativa")</f>
        <v/>
      </c>
      <c r="E22" s="20">
        <f>""</f>
        <v/>
      </c>
      <c r="F22" s="20">
        <f>IF($C22="","",IF(Registro_Compras!$F$5="RHE",(ROUND(Registro_Compras!$L$5*Registro_Compras!$N$5,2)-ROUND(Registro_Compras!$V$5*Registro_Compras!$N$5,2)),ROUND(Registro_Compras!$O$5-Registro_Compras!$S$5,2)))</f>
        <v/>
      </c>
      <c r="G22">
        <f>IF($C22="","","Por la cancelacion del saldo al proveedor")</f>
        <v/>
      </c>
      <c r="H22">
        <f>IF($C22="","",Registro_Compras!$C$5)</f>
        <v/>
      </c>
    </row>
    <row r="23">
      <c r="A23" s="25">
        <f>IF($C23="","",Registro_Compras!$B$6)</f>
        <v/>
      </c>
      <c r="B23">
        <f>IF($C23="","","C"&amp;TEXT(INT((ROW()-5)/9)+1,"000")&amp;"-1")</f>
        <v/>
      </c>
      <c r="C23">
        <f>IF(OR(Registro_Compras!$C$6="",Registro_Compras!$O$6=""),"",IF(Registro_Compras!$F$6="NOTA DE CREDITO","4212",IF(Registro_Compras!$M$6="","63",Registro_Compras!$M$6)))</f>
        <v/>
      </c>
      <c r="D23">
        <f>IF(OR(Registro_Compras!$C$6="",Registro_Compras!$O$6=""),"",IF(Registro_Compras!$F$6="NOTA DE CREDITO","Cuentas por Pagar Comerciales - Terceros (Emitidas)",IF(Registro_Compras!$F$6="RHE","Honorarios Profesionales - Servicios de Terceros","Gastos de Servicios Prestados por Terceros")))</f>
        <v/>
      </c>
      <c r="E23" s="20">
        <f>IF($C23="","",IF(Registro_Compras!$F$6="NOTA DE CREDITO",ABS(Registro_Compras!$O$6),IF(Registro_Compras!$F$6="RHE",ROUND(Registro_Compras!$L$6*Registro_Compras!$N$6,2),ROUND(Registro_Compras!$J$6*Registro_Compras!$N$6,2))))</f>
        <v/>
      </c>
      <c r="F23" s="20">
        <f>""</f>
        <v/>
      </c>
      <c r="G23">
        <f>IF($C23="","",IF(Registro_Compras!$F$6="NOTA DE CREDITO","Por la nota de credito "&amp;Registro_Compras!$C$6&amp;" de "&amp;Registro_Compras!$E$6&amp;" [PATRON POR CONFIRMAR CON CONTADOR]",IF(Registro_Compras!$F$6="RHE","Por el registro del recibo por honorarios "&amp;Registro_Compras!$C$6&amp;" de "&amp;Registro_Compras!$E$6&amp;" [PATRON POR CONFIRMAR CON CONTADOR]","Por el registro de la factura "&amp;Registro_Compras!$C$6&amp;" de "&amp;Registro_Compras!$E$6)))</f>
        <v/>
      </c>
      <c r="H23">
        <f>IF($C23="","",Registro_Compras!$C$6)</f>
        <v/>
      </c>
    </row>
    <row r="24">
      <c r="A24" s="25">
        <f>IF($C24="","",Registro_Compras!$B$6)</f>
        <v/>
      </c>
      <c r="B24">
        <f>IF($C24="","","C"&amp;TEXT(INT((ROW()-5)/9)+1,"000")&amp;"-1")</f>
        <v/>
      </c>
      <c r="C24">
        <f>IF(OR(Registro_Compras!$C$6="",Registro_Compras!$O$6=""),"",IF(Registro_Compras!$F$6="RHE",IF(Registro_Compras!$V$6=0,"","40172"),IF(Registro_Compras!$F$6="NOTA DE CREDITO",IF(Registro_Compras!$M$6="","63",Registro_Compras!$M$6),IF(Registro_Compras!$K$6=0,"","40111"))))</f>
        <v/>
      </c>
      <c r="D24">
        <f>IF(OR(Registro_Compras!$C$6="",Registro_Compras!$O$6=""),"",IF(Registro_Compras!$F$6="RHE","Retencion Renta 4ta Categoria por Pagar",IF(Registro_Compras!$F$6="NOTA DE CREDITO","Gastos de Servicios Prestados por Terceros","IGV - Cuenta Propia (Credito Fiscal)")))</f>
        <v/>
      </c>
      <c r="E24" s="20">
        <f>IF($C24="","",IF(Registro_Compras!$F$6="FACTURA",ROUND(Registro_Compras!$K$6*Registro_Compras!$N$6,2),""))</f>
        <v/>
      </c>
      <c r="F24" s="20">
        <f>IF($C24="","",IF(Registro_Compras!$F$6="RHE",ROUND(Registro_Compras!$V$6*Registro_Compras!$N$6,2),IF(Registro_Compras!$F$6="NOTA DE CREDITO",ROUND(ABS(Registro_Compras!$J$6*Registro_Compras!$N$6),2),"")))</f>
        <v/>
      </c>
      <c r="G24">
        <f>IF($C24="","",IF(Registro_Compras!$F$6="NOTA DE CREDITO","Por la nota de credito "&amp;Registro_Compras!$C$6&amp;" de "&amp;Registro_Compras!$E$6&amp;" [PATRON POR CONFIRMAR CON CONTADOR]",IF(Registro_Compras!$F$6="RHE","Por el registro del recibo por honorarios "&amp;Registro_Compras!$C$6&amp;" de "&amp;Registro_Compras!$E$6&amp;" [PATRON POR CONFIRMAR CON CONTADOR]","Por el registro de la factura "&amp;Registro_Compras!$C$6&amp;" de "&amp;Registro_Compras!$E$6)))</f>
        <v/>
      </c>
      <c r="H24">
        <f>IF($C24="","",Registro_Compras!$C$6)</f>
        <v/>
      </c>
    </row>
    <row r="25">
      <c r="A25" s="25">
        <f>IF($C25="","",Registro_Compras!$B$6)</f>
        <v/>
      </c>
      <c r="B25">
        <f>IF($C25="","","C"&amp;TEXT(INT((ROW()-5)/9)+1,"000")&amp;"-1")</f>
        <v/>
      </c>
      <c r="C25">
        <f>IF(OR(Registro_Compras!$C$6="",Registro_Compras!$O$6=""),"",IF(Registro_Compras!$F$6="NOTA DE CREDITO",IF(Registro_Compras!$K$6=0,"","40111"),"4212"))</f>
        <v/>
      </c>
      <c r="D25">
        <f>IF(OR(Registro_Compras!$C$6="",Registro_Compras!$O$6=""),"",IF(Registro_Compras!$F$6="NOTA DE CREDITO","IGV - Cuenta Propia (Credito Fiscal)","Cuentas por Pagar Comerciales - Terceros (Emitidas)"))</f>
        <v/>
      </c>
      <c r="E25" s="20">
        <f>""</f>
        <v/>
      </c>
      <c r="F25" s="20">
        <f>IF($C25="","",IF(Registro_Compras!$F$6="NOTA DE CREDITO",ROUND(ABS(Registro_Compras!$K$6*Registro_Compras!$N$6),2),IF(Registro_Compras!$F$6="RHE",(ROUND(Registro_Compras!$L$6*Registro_Compras!$N$6,2)-ROUND(Registro_Compras!$V$6*Registro_Compras!$N$6,2)),Registro_Compras!$O$6)))</f>
        <v/>
      </c>
      <c r="G25">
        <f>IF($C25="","",IF(Registro_Compras!$F$6="NOTA DE CREDITO","Por la nota de credito "&amp;Registro_Compras!$C$6&amp;" de "&amp;Registro_Compras!$E$6&amp;" [PATRON POR CONFIRMAR CON CONTADOR]",IF(Registro_Compras!$F$6="RHE","Por el registro del recibo por honorarios "&amp;Registro_Compras!$C$6&amp;" de "&amp;Registro_Compras!$E$6&amp;" [PATRON POR CONFIRMAR CON CONTADOR]","Por el registro de la factura "&amp;Registro_Compras!$C$6&amp;" de "&amp;Registro_Compras!$E$6)))</f>
        <v/>
      </c>
      <c r="H25">
        <f>IF($C25="","",Registro_Compras!$C$6)</f>
        <v/>
      </c>
    </row>
    <row r="26">
      <c r="A26" s="25">
        <f>IF($C26="","",Registro_Compras!$B$6)</f>
        <v/>
      </c>
      <c r="B26">
        <f>IF($C26="","","C"&amp;TEXT(INT((ROW()-5)/9)+1,"000")&amp;"-2")</f>
        <v/>
      </c>
      <c r="C26">
        <f>IF(OR(Registro_Compras!$C$6="",Registro_Compras!$O$6=""),"",IF(Registro_Compras!$AB$6="ADMINISTRATIVO","94","95"))</f>
        <v/>
      </c>
      <c r="D26">
        <f>IF(OR(Registro_Compras!$C$6="",Registro_Compras!$O$6=""),"",IF(Registro_Compras!$AB$6="ADMINISTRATIVO","Gastos Administrativos","Gastos de Venta y Operacion"))</f>
        <v/>
      </c>
      <c r="E26" s="20">
        <f>IF($C26="","",IF(Registro_Compras!$F$6="NOTA DE CREDITO","",IF(Registro_Compras!$F$6="RHE",ROUND(Registro_Compras!$L$6*Registro_Compras!$N$6,2),ROUND(Registro_Compras!$J$6*Registro_Compras!$N$6,2))))</f>
        <v/>
      </c>
      <c r="F26" s="20">
        <f>IF($C26="","",IF(Registro_Compras!$F$6="NOTA DE CREDITO",ROUND(ABS(Registro_Compras!$J$6*Registro_Compras!$N$6),2),""))</f>
        <v/>
      </c>
      <c r="G26">
        <f>IF($C26="","","Por el destino del gasto")</f>
        <v/>
      </c>
      <c r="H26">
        <f>IF($C26="","",Registro_Compras!$C$6)</f>
        <v/>
      </c>
    </row>
    <row r="27">
      <c r="A27" s="25">
        <f>IF($C27="","",Registro_Compras!$B$6)</f>
        <v/>
      </c>
      <c r="B27">
        <f>IF($C27="","","C"&amp;TEXT(INT((ROW()-5)/9)+1,"000")&amp;"-2")</f>
        <v/>
      </c>
      <c r="C27">
        <f>IF(OR(Registro_Compras!$C$6="",Registro_Compras!$O$6=""),"","79/791")</f>
        <v/>
      </c>
      <c r="D27">
        <f>IF(OR(Registro_Compras!$C$6="",Registro_Compras!$O$6=""),"","Cargas Imputables a Cuentas de Costos y Gastos")</f>
        <v/>
      </c>
      <c r="E27" s="20">
        <f>IF($C27="","",IF(Registro_Compras!$F$6="NOTA DE CREDITO",ROUND(ABS(Registro_Compras!$J$6*Registro_Compras!$N$6),2),""))</f>
        <v/>
      </c>
      <c r="F27" s="20">
        <f>IF($C27="","",IF(Registro_Compras!$F$6="NOTA DE CREDITO","",IF(Registro_Compras!$F$6="RHE",ROUND(Registro_Compras!$L$6*Registro_Compras!$N$6,2),ROUND(Registro_Compras!$J$6*Registro_Compras!$N$6,2))))</f>
        <v/>
      </c>
      <c r="G27">
        <f>IF($C27="","","Por el destino del gasto")</f>
        <v/>
      </c>
      <c r="H27">
        <f>IF($C27="","",Registro_Compras!$C$6)</f>
        <v/>
      </c>
    </row>
    <row r="28">
      <c r="A28" s="25">
        <f>IF($C28="","",Registro_Compras!$X$6)</f>
        <v/>
      </c>
      <c r="B28">
        <f>IF($C28="","","C"&amp;TEXT(INT((ROW()-5)/9)+1,"000")&amp;"-3")</f>
        <v/>
      </c>
      <c r="C28">
        <f>IF(OR(Registro_Compras!$C$6="",Registro_Compras!$O$6="",Registro_Compras!$R$6&lt;&gt;"SI",Registro_Compras!$X$6=""),"","4212")</f>
        <v/>
      </c>
      <c r="D28">
        <f>IF(OR(Registro_Compras!$C$6="",Registro_Compras!$O$6=""),"","Cuentas por Pagar Comerciales - Terceros")</f>
        <v/>
      </c>
      <c r="E28" s="20">
        <f>IF($C28="","",Registro_Compras!$S$6)</f>
        <v/>
      </c>
      <c r="F28" s="20">
        <f>""</f>
        <v/>
      </c>
      <c r="G28">
        <f>IF($C28="","","Por el deposito de la detraccion en el Banco de la Nacion")</f>
        <v/>
      </c>
      <c r="H28">
        <f>IF($C28="","",Registro_Compras!$C$6)</f>
        <v/>
      </c>
    </row>
    <row r="29">
      <c r="A29" s="25">
        <f>IF($C29="","",Registro_Compras!$X$6)</f>
        <v/>
      </c>
      <c r="B29">
        <f>IF($C29="","","C"&amp;TEXT(INT((ROW()-5)/9)+1,"000")&amp;"-3")</f>
        <v/>
      </c>
      <c r="C29">
        <f>IF(OR(Registro_Compras!$C$6="",Registro_Compras!$O$6="",Registro_Compras!$R$6&lt;&gt;"SI",Registro_Compras!$X$6=""),"","10413")</f>
        <v/>
      </c>
      <c r="D29">
        <f>IF(OR(Registro_Compras!$C$6="",Registro_Compras!$O$6=""),"","Efectivo y Equivalentes - Cta. Cte. Operativa")</f>
        <v/>
      </c>
      <c r="E29" s="20">
        <f>""</f>
        <v/>
      </c>
      <c r="F29" s="20">
        <f>IF($C29="","",Registro_Compras!$S$6)</f>
        <v/>
      </c>
      <c r="G29">
        <f>IF($C29="","","Por el deposito de la detraccion en el Banco de la Nacion")</f>
        <v/>
      </c>
      <c r="H29">
        <f>IF($C29="","",Registro_Compras!$C$6)</f>
        <v/>
      </c>
    </row>
    <row r="30">
      <c r="A30" s="25">
        <f>IF($C30="","",Registro_Compras!$Y$6)</f>
        <v/>
      </c>
      <c r="B30">
        <f>IF($C30="","","C"&amp;TEXT(INT((ROW()-5)/9)+1,"000")&amp;"-4")</f>
        <v/>
      </c>
      <c r="C30">
        <f>IF(OR(Registro_Compras!$C$6="",Registro_Compras!$O$6="",Registro_Compras!$Y$6="",Registro_Compras!$F$6="NOTA DE CREDITO"),"","4212")</f>
        <v/>
      </c>
      <c r="D30">
        <f>IF(OR(Registro_Compras!$C$6="",Registro_Compras!$O$6=""),"","Cuentas por Pagar Comerciales - Terceros")</f>
        <v/>
      </c>
      <c r="E30" s="20">
        <f>IF($C30="","",IF(Registro_Compras!$F$6="RHE",(ROUND(Registro_Compras!$L$6*Registro_Compras!$N$6,2)-ROUND(Registro_Compras!$V$6*Registro_Compras!$N$6,2)),ROUND(Registro_Compras!$O$6-Registro_Compras!$S$6,2)))</f>
        <v/>
      </c>
      <c r="F30" s="20">
        <f>""</f>
        <v/>
      </c>
      <c r="G30">
        <f>IF($C30="","","Por la cancelacion del saldo al proveedor")</f>
        <v/>
      </c>
      <c r="H30">
        <f>IF($C30="","",Registro_Compras!$C$6)</f>
        <v/>
      </c>
    </row>
    <row r="31">
      <c r="A31" s="25">
        <f>IF($C31="","",Registro_Compras!$Y$6)</f>
        <v/>
      </c>
      <c r="B31">
        <f>IF($C31="","","C"&amp;TEXT(INT((ROW()-5)/9)+1,"000")&amp;"-4")</f>
        <v/>
      </c>
      <c r="C31">
        <f>IF(OR(Registro_Compras!$C$6="",Registro_Compras!$O$6="",Registro_Compras!$Y$6="",Registro_Compras!$F$6="NOTA DE CREDITO"),"","10413")</f>
        <v/>
      </c>
      <c r="D31">
        <f>IF(OR(Registro_Compras!$C$6="",Registro_Compras!$O$6=""),"","Efectivo y Equivalentes - Cta. Cte. Operativa")</f>
        <v/>
      </c>
      <c r="E31" s="20">
        <f>""</f>
        <v/>
      </c>
      <c r="F31" s="20">
        <f>IF($C31="","",IF(Registro_Compras!$F$6="RHE",(ROUND(Registro_Compras!$L$6*Registro_Compras!$N$6,2)-ROUND(Registro_Compras!$V$6*Registro_Compras!$N$6,2)),ROUND(Registro_Compras!$O$6-Registro_Compras!$S$6,2)))</f>
        <v/>
      </c>
      <c r="G31">
        <f>IF($C31="","","Por la cancelacion del saldo al proveedor")</f>
        <v/>
      </c>
      <c r="H31">
        <f>IF($C31="","",Registro_Compras!$C$6)</f>
        <v/>
      </c>
    </row>
    <row r="32">
      <c r="A32" s="25">
        <f>IF($C32="","",Registro_Compras!$B$7)</f>
        <v/>
      </c>
      <c r="B32">
        <f>IF($C32="","","C"&amp;TEXT(INT((ROW()-5)/9)+1,"000")&amp;"-1")</f>
        <v/>
      </c>
      <c r="C32">
        <f>IF(OR(Registro_Compras!$C$7="",Registro_Compras!$O$7=""),"",IF(Registro_Compras!$F$7="NOTA DE CREDITO","4212",IF(Registro_Compras!$M$7="","63",Registro_Compras!$M$7)))</f>
        <v/>
      </c>
      <c r="D32">
        <f>IF(OR(Registro_Compras!$C$7="",Registro_Compras!$O$7=""),"",IF(Registro_Compras!$F$7="NOTA DE CREDITO","Cuentas por Pagar Comerciales - Terceros (Emitidas)",IF(Registro_Compras!$F$7="RHE","Honorarios Profesionales - Servicios de Terceros","Gastos de Servicios Prestados por Terceros")))</f>
        <v/>
      </c>
      <c r="E32" s="20">
        <f>IF($C32="","",IF(Registro_Compras!$F$7="NOTA DE CREDITO",ABS(Registro_Compras!$O$7),IF(Registro_Compras!$F$7="RHE",ROUND(Registro_Compras!$L$7*Registro_Compras!$N$7,2),ROUND(Registro_Compras!$J$7*Registro_Compras!$N$7,2))))</f>
        <v/>
      </c>
      <c r="F32" s="20">
        <f>""</f>
        <v/>
      </c>
      <c r="G32">
        <f>IF($C32="","",IF(Registro_Compras!$F$7="NOTA DE CREDITO","Por la nota de credito "&amp;Registro_Compras!$C$7&amp;" de "&amp;Registro_Compras!$E$7&amp;" [PATRON POR CONFIRMAR CON CONTADOR]",IF(Registro_Compras!$F$7="RHE","Por el registro del recibo por honorarios "&amp;Registro_Compras!$C$7&amp;" de "&amp;Registro_Compras!$E$7&amp;" [PATRON POR CONFIRMAR CON CONTADOR]","Por el registro de la factura "&amp;Registro_Compras!$C$7&amp;" de "&amp;Registro_Compras!$E$7)))</f>
        <v/>
      </c>
      <c r="H32">
        <f>IF($C32="","",Registro_Compras!$C$7)</f>
        <v/>
      </c>
    </row>
    <row r="33">
      <c r="A33" s="25">
        <f>IF($C33="","",Registro_Compras!$B$7)</f>
        <v/>
      </c>
      <c r="B33">
        <f>IF($C33="","","C"&amp;TEXT(INT((ROW()-5)/9)+1,"000")&amp;"-1")</f>
        <v/>
      </c>
      <c r="C33">
        <f>IF(OR(Registro_Compras!$C$7="",Registro_Compras!$O$7=""),"",IF(Registro_Compras!$F$7="RHE",IF(Registro_Compras!$V$7=0,"","40172"),IF(Registro_Compras!$F$7="NOTA DE CREDITO",IF(Registro_Compras!$M$7="","63",Registro_Compras!$M$7),IF(Registro_Compras!$K$7=0,"","40111"))))</f>
        <v/>
      </c>
      <c r="D33">
        <f>IF(OR(Registro_Compras!$C$7="",Registro_Compras!$O$7=""),"",IF(Registro_Compras!$F$7="RHE","Retencion Renta 4ta Categoria por Pagar",IF(Registro_Compras!$F$7="NOTA DE CREDITO","Gastos de Servicios Prestados por Terceros","IGV - Cuenta Propia (Credito Fiscal)")))</f>
        <v/>
      </c>
      <c r="E33" s="20">
        <f>IF($C33="","",IF(Registro_Compras!$F$7="FACTURA",ROUND(Registro_Compras!$K$7*Registro_Compras!$N$7,2),""))</f>
        <v/>
      </c>
      <c r="F33" s="20">
        <f>IF($C33="","",IF(Registro_Compras!$F$7="RHE",ROUND(Registro_Compras!$V$7*Registro_Compras!$N$7,2),IF(Registro_Compras!$F$7="NOTA DE CREDITO",ROUND(ABS(Registro_Compras!$J$7*Registro_Compras!$N$7),2),"")))</f>
        <v/>
      </c>
      <c r="G33">
        <f>IF($C33="","",IF(Registro_Compras!$F$7="NOTA DE CREDITO","Por la nota de credito "&amp;Registro_Compras!$C$7&amp;" de "&amp;Registro_Compras!$E$7&amp;" [PATRON POR CONFIRMAR CON CONTADOR]",IF(Registro_Compras!$F$7="RHE","Por el registro del recibo por honorarios "&amp;Registro_Compras!$C$7&amp;" de "&amp;Registro_Compras!$E$7&amp;" [PATRON POR CONFIRMAR CON CONTADOR]","Por el registro de la factura "&amp;Registro_Compras!$C$7&amp;" de "&amp;Registro_Compras!$E$7)))</f>
        <v/>
      </c>
      <c r="H33">
        <f>IF($C33="","",Registro_Compras!$C$7)</f>
        <v/>
      </c>
    </row>
    <row r="34">
      <c r="A34" s="25">
        <f>IF($C34="","",Registro_Compras!$B$7)</f>
        <v/>
      </c>
      <c r="B34">
        <f>IF($C34="","","C"&amp;TEXT(INT((ROW()-5)/9)+1,"000")&amp;"-1")</f>
        <v/>
      </c>
      <c r="C34">
        <f>IF(OR(Registro_Compras!$C$7="",Registro_Compras!$O$7=""),"",IF(Registro_Compras!$F$7="NOTA DE CREDITO",IF(Registro_Compras!$K$7=0,"","40111"),"4212"))</f>
        <v/>
      </c>
      <c r="D34">
        <f>IF(OR(Registro_Compras!$C$7="",Registro_Compras!$O$7=""),"",IF(Registro_Compras!$F$7="NOTA DE CREDITO","IGV - Cuenta Propia (Credito Fiscal)","Cuentas por Pagar Comerciales - Terceros (Emitidas)"))</f>
        <v/>
      </c>
      <c r="E34" s="20">
        <f>""</f>
        <v/>
      </c>
      <c r="F34" s="20">
        <f>IF($C34="","",IF(Registro_Compras!$F$7="NOTA DE CREDITO",ROUND(ABS(Registro_Compras!$K$7*Registro_Compras!$N$7),2),IF(Registro_Compras!$F$7="RHE",(ROUND(Registro_Compras!$L$7*Registro_Compras!$N$7,2)-ROUND(Registro_Compras!$V$7*Registro_Compras!$N$7,2)),Registro_Compras!$O$7)))</f>
        <v/>
      </c>
      <c r="G34">
        <f>IF($C34="","",IF(Registro_Compras!$F$7="NOTA DE CREDITO","Por la nota de credito "&amp;Registro_Compras!$C$7&amp;" de "&amp;Registro_Compras!$E$7&amp;" [PATRON POR CONFIRMAR CON CONTADOR]",IF(Registro_Compras!$F$7="RHE","Por el registro del recibo por honorarios "&amp;Registro_Compras!$C$7&amp;" de "&amp;Registro_Compras!$E$7&amp;" [PATRON POR CONFIRMAR CON CONTADOR]","Por el registro de la factura "&amp;Registro_Compras!$C$7&amp;" de "&amp;Registro_Compras!$E$7)))</f>
        <v/>
      </c>
      <c r="H34">
        <f>IF($C34="","",Registro_Compras!$C$7)</f>
        <v/>
      </c>
    </row>
    <row r="35">
      <c r="A35" s="25">
        <f>IF($C35="","",Registro_Compras!$B$7)</f>
        <v/>
      </c>
      <c r="B35">
        <f>IF($C35="","","C"&amp;TEXT(INT((ROW()-5)/9)+1,"000")&amp;"-2")</f>
        <v/>
      </c>
      <c r="C35">
        <f>IF(OR(Registro_Compras!$C$7="",Registro_Compras!$O$7=""),"",IF(Registro_Compras!$AB$7="ADMINISTRATIVO","94","95"))</f>
        <v/>
      </c>
      <c r="D35">
        <f>IF(OR(Registro_Compras!$C$7="",Registro_Compras!$O$7=""),"",IF(Registro_Compras!$AB$7="ADMINISTRATIVO","Gastos Administrativos","Gastos de Venta y Operacion"))</f>
        <v/>
      </c>
      <c r="E35" s="20">
        <f>IF($C35="","",IF(Registro_Compras!$F$7="NOTA DE CREDITO","",IF(Registro_Compras!$F$7="RHE",ROUND(Registro_Compras!$L$7*Registro_Compras!$N$7,2),ROUND(Registro_Compras!$J$7*Registro_Compras!$N$7,2))))</f>
        <v/>
      </c>
      <c r="F35" s="20">
        <f>IF($C35="","",IF(Registro_Compras!$F$7="NOTA DE CREDITO",ROUND(ABS(Registro_Compras!$J$7*Registro_Compras!$N$7),2),""))</f>
        <v/>
      </c>
      <c r="G35">
        <f>IF($C35="","","Por el destino del gasto")</f>
        <v/>
      </c>
      <c r="H35">
        <f>IF($C35="","",Registro_Compras!$C$7)</f>
        <v/>
      </c>
    </row>
    <row r="36">
      <c r="A36" s="25">
        <f>IF($C36="","",Registro_Compras!$B$7)</f>
        <v/>
      </c>
      <c r="B36">
        <f>IF($C36="","","C"&amp;TEXT(INT((ROW()-5)/9)+1,"000")&amp;"-2")</f>
        <v/>
      </c>
      <c r="C36">
        <f>IF(OR(Registro_Compras!$C$7="",Registro_Compras!$O$7=""),"","79/791")</f>
        <v/>
      </c>
      <c r="D36">
        <f>IF(OR(Registro_Compras!$C$7="",Registro_Compras!$O$7=""),"","Cargas Imputables a Cuentas de Costos y Gastos")</f>
        <v/>
      </c>
      <c r="E36" s="20">
        <f>IF($C36="","",IF(Registro_Compras!$F$7="NOTA DE CREDITO",ROUND(ABS(Registro_Compras!$J$7*Registro_Compras!$N$7),2),""))</f>
        <v/>
      </c>
      <c r="F36" s="20">
        <f>IF($C36="","",IF(Registro_Compras!$F$7="NOTA DE CREDITO","",IF(Registro_Compras!$F$7="RHE",ROUND(Registro_Compras!$L$7*Registro_Compras!$N$7,2),ROUND(Registro_Compras!$J$7*Registro_Compras!$N$7,2))))</f>
        <v/>
      </c>
      <c r="G36">
        <f>IF($C36="","","Por el destino del gasto")</f>
        <v/>
      </c>
      <c r="H36">
        <f>IF($C36="","",Registro_Compras!$C$7)</f>
        <v/>
      </c>
    </row>
    <row r="37">
      <c r="A37" s="25">
        <f>IF($C37="","",Registro_Compras!$X$7)</f>
        <v/>
      </c>
      <c r="B37">
        <f>IF($C37="","","C"&amp;TEXT(INT((ROW()-5)/9)+1,"000")&amp;"-3")</f>
        <v/>
      </c>
      <c r="C37">
        <f>IF(OR(Registro_Compras!$C$7="",Registro_Compras!$O$7="",Registro_Compras!$R$7&lt;&gt;"SI",Registro_Compras!$X$7=""),"","4212")</f>
        <v/>
      </c>
      <c r="D37">
        <f>IF(OR(Registro_Compras!$C$7="",Registro_Compras!$O$7=""),"","Cuentas por Pagar Comerciales - Terceros")</f>
        <v/>
      </c>
      <c r="E37" s="20">
        <f>IF($C37="","",Registro_Compras!$S$7)</f>
        <v/>
      </c>
      <c r="F37" s="20">
        <f>""</f>
        <v/>
      </c>
      <c r="G37">
        <f>IF($C37="","","Por el deposito de la detraccion en el Banco de la Nacion")</f>
        <v/>
      </c>
      <c r="H37">
        <f>IF($C37="","",Registro_Compras!$C$7)</f>
        <v/>
      </c>
    </row>
    <row r="38">
      <c r="A38" s="25">
        <f>IF($C38="","",Registro_Compras!$X$7)</f>
        <v/>
      </c>
      <c r="B38">
        <f>IF($C38="","","C"&amp;TEXT(INT((ROW()-5)/9)+1,"000")&amp;"-3")</f>
        <v/>
      </c>
      <c r="C38">
        <f>IF(OR(Registro_Compras!$C$7="",Registro_Compras!$O$7="",Registro_Compras!$R$7&lt;&gt;"SI",Registro_Compras!$X$7=""),"","10413")</f>
        <v/>
      </c>
      <c r="D38">
        <f>IF(OR(Registro_Compras!$C$7="",Registro_Compras!$O$7=""),"","Efectivo y Equivalentes - Cta. Cte. Operativa")</f>
        <v/>
      </c>
      <c r="E38" s="20">
        <f>""</f>
        <v/>
      </c>
      <c r="F38" s="20">
        <f>IF($C38="","",Registro_Compras!$S$7)</f>
        <v/>
      </c>
      <c r="G38">
        <f>IF($C38="","","Por el deposito de la detraccion en el Banco de la Nacion")</f>
        <v/>
      </c>
      <c r="H38">
        <f>IF($C38="","",Registro_Compras!$C$7)</f>
        <v/>
      </c>
    </row>
    <row r="39">
      <c r="A39" s="25">
        <f>IF($C39="","",Registro_Compras!$Y$7)</f>
        <v/>
      </c>
      <c r="B39">
        <f>IF($C39="","","C"&amp;TEXT(INT((ROW()-5)/9)+1,"000")&amp;"-4")</f>
        <v/>
      </c>
      <c r="C39">
        <f>IF(OR(Registro_Compras!$C$7="",Registro_Compras!$O$7="",Registro_Compras!$Y$7="",Registro_Compras!$F$7="NOTA DE CREDITO"),"","4212")</f>
        <v/>
      </c>
      <c r="D39">
        <f>IF(OR(Registro_Compras!$C$7="",Registro_Compras!$O$7=""),"","Cuentas por Pagar Comerciales - Terceros")</f>
        <v/>
      </c>
      <c r="E39" s="20">
        <f>IF($C39="","",IF(Registro_Compras!$F$7="RHE",(ROUND(Registro_Compras!$L$7*Registro_Compras!$N$7,2)-ROUND(Registro_Compras!$V$7*Registro_Compras!$N$7,2)),ROUND(Registro_Compras!$O$7-Registro_Compras!$S$7,2)))</f>
        <v/>
      </c>
      <c r="F39" s="20">
        <f>""</f>
        <v/>
      </c>
      <c r="G39">
        <f>IF($C39="","","Por la cancelacion del saldo al proveedor")</f>
        <v/>
      </c>
      <c r="H39">
        <f>IF($C39="","",Registro_Compras!$C$7)</f>
        <v/>
      </c>
    </row>
    <row r="40">
      <c r="A40" s="25">
        <f>IF($C40="","",Registro_Compras!$Y$7)</f>
        <v/>
      </c>
      <c r="B40">
        <f>IF($C40="","","C"&amp;TEXT(INT((ROW()-5)/9)+1,"000")&amp;"-4")</f>
        <v/>
      </c>
      <c r="C40">
        <f>IF(OR(Registro_Compras!$C$7="",Registro_Compras!$O$7="",Registro_Compras!$Y$7="",Registro_Compras!$F$7="NOTA DE CREDITO"),"","10413")</f>
        <v/>
      </c>
      <c r="D40">
        <f>IF(OR(Registro_Compras!$C$7="",Registro_Compras!$O$7=""),"","Efectivo y Equivalentes - Cta. Cte. Operativa")</f>
        <v/>
      </c>
      <c r="E40" s="20">
        <f>""</f>
        <v/>
      </c>
      <c r="F40" s="20">
        <f>IF($C40="","",IF(Registro_Compras!$F$7="RHE",(ROUND(Registro_Compras!$L$7*Registro_Compras!$N$7,2)-ROUND(Registro_Compras!$V$7*Registro_Compras!$N$7,2)),ROUND(Registro_Compras!$O$7-Registro_Compras!$S$7,2)))</f>
        <v/>
      </c>
      <c r="G40">
        <f>IF($C40="","","Por la cancelacion del saldo al proveedor")</f>
        <v/>
      </c>
      <c r="H40">
        <f>IF($C40="","",Registro_Compras!$C$7)</f>
        <v/>
      </c>
    </row>
    <row r="41">
      <c r="A41" s="25">
        <f>IF($C41="","",Registro_Compras!$B$8)</f>
        <v/>
      </c>
      <c r="B41">
        <f>IF($C41="","","C"&amp;TEXT(INT((ROW()-5)/9)+1,"000")&amp;"-1")</f>
        <v/>
      </c>
      <c r="C41">
        <f>IF(OR(Registro_Compras!$C$8="",Registro_Compras!$O$8=""),"",IF(Registro_Compras!$F$8="NOTA DE CREDITO","4212",IF(Registro_Compras!$M$8="","63",Registro_Compras!$M$8)))</f>
        <v/>
      </c>
      <c r="D41">
        <f>IF(OR(Registro_Compras!$C$8="",Registro_Compras!$O$8=""),"",IF(Registro_Compras!$F$8="NOTA DE CREDITO","Cuentas por Pagar Comerciales - Terceros (Emitidas)",IF(Registro_Compras!$F$8="RHE","Honorarios Profesionales - Servicios de Terceros","Gastos de Servicios Prestados por Terceros")))</f>
        <v/>
      </c>
      <c r="E41" s="20">
        <f>IF($C41="","",IF(Registro_Compras!$F$8="NOTA DE CREDITO",ABS(Registro_Compras!$O$8),IF(Registro_Compras!$F$8="RHE",ROUND(Registro_Compras!$L$8*Registro_Compras!$N$8,2),ROUND(Registro_Compras!$J$8*Registro_Compras!$N$8,2))))</f>
        <v/>
      </c>
      <c r="F41" s="20">
        <f>""</f>
        <v/>
      </c>
      <c r="G41">
        <f>IF($C41="","",IF(Registro_Compras!$F$8="NOTA DE CREDITO","Por la nota de credito "&amp;Registro_Compras!$C$8&amp;" de "&amp;Registro_Compras!$E$8&amp;" [PATRON POR CONFIRMAR CON CONTADOR]",IF(Registro_Compras!$F$8="RHE","Por el registro del recibo por honorarios "&amp;Registro_Compras!$C$8&amp;" de "&amp;Registro_Compras!$E$8&amp;" [PATRON POR CONFIRMAR CON CONTADOR]","Por el registro de la factura "&amp;Registro_Compras!$C$8&amp;" de "&amp;Registro_Compras!$E$8)))</f>
        <v/>
      </c>
      <c r="H41">
        <f>IF($C41="","",Registro_Compras!$C$8)</f>
        <v/>
      </c>
    </row>
    <row r="42">
      <c r="A42" s="25">
        <f>IF($C42="","",Registro_Compras!$B$8)</f>
        <v/>
      </c>
      <c r="B42">
        <f>IF($C42="","","C"&amp;TEXT(INT((ROW()-5)/9)+1,"000")&amp;"-1")</f>
        <v/>
      </c>
      <c r="C42">
        <f>IF(OR(Registro_Compras!$C$8="",Registro_Compras!$O$8=""),"",IF(Registro_Compras!$F$8="RHE",IF(Registro_Compras!$V$8=0,"","40172"),IF(Registro_Compras!$F$8="NOTA DE CREDITO",IF(Registro_Compras!$M$8="","63",Registro_Compras!$M$8),IF(Registro_Compras!$K$8=0,"","40111"))))</f>
        <v/>
      </c>
      <c r="D42">
        <f>IF(OR(Registro_Compras!$C$8="",Registro_Compras!$O$8=""),"",IF(Registro_Compras!$F$8="RHE","Retencion Renta 4ta Categoria por Pagar",IF(Registro_Compras!$F$8="NOTA DE CREDITO","Gastos de Servicios Prestados por Terceros","IGV - Cuenta Propia (Credito Fiscal)")))</f>
        <v/>
      </c>
      <c r="E42" s="20">
        <f>IF($C42="","",IF(Registro_Compras!$F$8="FACTURA",ROUND(Registro_Compras!$K$8*Registro_Compras!$N$8,2),""))</f>
        <v/>
      </c>
      <c r="F42" s="20">
        <f>IF($C42="","",IF(Registro_Compras!$F$8="RHE",ROUND(Registro_Compras!$V$8*Registro_Compras!$N$8,2),IF(Registro_Compras!$F$8="NOTA DE CREDITO",ROUND(ABS(Registro_Compras!$J$8*Registro_Compras!$N$8),2),"")))</f>
        <v/>
      </c>
      <c r="G42">
        <f>IF($C42="","",IF(Registro_Compras!$F$8="NOTA DE CREDITO","Por la nota de credito "&amp;Registro_Compras!$C$8&amp;" de "&amp;Registro_Compras!$E$8&amp;" [PATRON POR CONFIRMAR CON CONTADOR]",IF(Registro_Compras!$F$8="RHE","Por el registro del recibo por honorarios "&amp;Registro_Compras!$C$8&amp;" de "&amp;Registro_Compras!$E$8&amp;" [PATRON POR CONFIRMAR CON CONTADOR]","Por el registro de la factura "&amp;Registro_Compras!$C$8&amp;" de "&amp;Registro_Compras!$E$8)))</f>
        <v/>
      </c>
      <c r="H42">
        <f>IF($C42="","",Registro_Compras!$C$8)</f>
        <v/>
      </c>
    </row>
    <row r="43">
      <c r="A43" s="25">
        <f>IF($C43="","",Registro_Compras!$B$8)</f>
        <v/>
      </c>
      <c r="B43">
        <f>IF($C43="","","C"&amp;TEXT(INT((ROW()-5)/9)+1,"000")&amp;"-1")</f>
        <v/>
      </c>
      <c r="C43">
        <f>IF(OR(Registro_Compras!$C$8="",Registro_Compras!$O$8=""),"",IF(Registro_Compras!$F$8="NOTA DE CREDITO",IF(Registro_Compras!$K$8=0,"","40111"),"4212"))</f>
        <v/>
      </c>
      <c r="D43">
        <f>IF(OR(Registro_Compras!$C$8="",Registro_Compras!$O$8=""),"",IF(Registro_Compras!$F$8="NOTA DE CREDITO","IGV - Cuenta Propia (Credito Fiscal)","Cuentas por Pagar Comerciales - Terceros (Emitidas)"))</f>
        <v/>
      </c>
      <c r="E43" s="20">
        <f>""</f>
        <v/>
      </c>
      <c r="F43" s="20">
        <f>IF($C43="","",IF(Registro_Compras!$F$8="NOTA DE CREDITO",ROUND(ABS(Registro_Compras!$K$8*Registro_Compras!$N$8),2),IF(Registro_Compras!$F$8="RHE",(ROUND(Registro_Compras!$L$8*Registro_Compras!$N$8,2)-ROUND(Registro_Compras!$V$8*Registro_Compras!$N$8,2)),Registro_Compras!$O$8)))</f>
        <v/>
      </c>
      <c r="G43">
        <f>IF($C43="","",IF(Registro_Compras!$F$8="NOTA DE CREDITO","Por la nota de credito "&amp;Registro_Compras!$C$8&amp;" de "&amp;Registro_Compras!$E$8&amp;" [PATRON POR CONFIRMAR CON CONTADOR]",IF(Registro_Compras!$F$8="RHE","Por el registro del recibo por honorarios "&amp;Registro_Compras!$C$8&amp;" de "&amp;Registro_Compras!$E$8&amp;" [PATRON POR CONFIRMAR CON CONTADOR]","Por el registro de la factura "&amp;Registro_Compras!$C$8&amp;" de "&amp;Registro_Compras!$E$8)))</f>
        <v/>
      </c>
      <c r="H43">
        <f>IF($C43="","",Registro_Compras!$C$8)</f>
        <v/>
      </c>
    </row>
    <row r="44">
      <c r="A44" s="25">
        <f>IF($C44="","",Registro_Compras!$B$8)</f>
        <v/>
      </c>
      <c r="B44">
        <f>IF($C44="","","C"&amp;TEXT(INT((ROW()-5)/9)+1,"000")&amp;"-2")</f>
        <v/>
      </c>
      <c r="C44">
        <f>IF(OR(Registro_Compras!$C$8="",Registro_Compras!$O$8=""),"",IF(Registro_Compras!$AB$8="ADMINISTRATIVO","94","95"))</f>
        <v/>
      </c>
      <c r="D44">
        <f>IF(OR(Registro_Compras!$C$8="",Registro_Compras!$O$8=""),"",IF(Registro_Compras!$AB$8="ADMINISTRATIVO","Gastos Administrativos","Gastos de Venta y Operacion"))</f>
        <v/>
      </c>
      <c r="E44" s="20">
        <f>IF($C44="","",IF(Registro_Compras!$F$8="NOTA DE CREDITO","",IF(Registro_Compras!$F$8="RHE",ROUND(Registro_Compras!$L$8*Registro_Compras!$N$8,2),ROUND(Registro_Compras!$J$8*Registro_Compras!$N$8,2))))</f>
        <v/>
      </c>
      <c r="F44" s="20">
        <f>IF($C44="","",IF(Registro_Compras!$F$8="NOTA DE CREDITO",ROUND(ABS(Registro_Compras!$J$8*Registro_Compras!$N$8),2),""))</f>
        <v/>
      </c>
      <c r="G44">
        <f>IF($C44="","","Por el destino del gasto")</f>
        <v/>
      </c>
      <c r="H44">
        <f>IF($C44="","",Registro_Compras!$C$8)</f>
        <v/>
      </c>
    </row>
    <row r="45">
      <c r="A45" s="25">
        <f>IF($C45="","",Registro_Compras!$B$8)</f>
        <v/>
      </c>
      <c r="B45">
        <f>IF($C45="","","C"&amp;TEXT(INT((ROW()-5)/9)+1,"000")&amp;"-2")</f>
        <v/>
      </c>
      <c r="C45">
        <f>IF(OR(Registro_Compras!$C$8="",Registro_Compras!$O$8=""),"","79/791")</f>
        <v/>
      </c>
      <c r="D45">
        <f>IF(OR(Registro_Compras!$C$8="",Registro_Compras!$O$8=""),"","Cargas Imputables a Cuentas de Costos y Gastos")</f>
        <v/>
      </c>
      <c r="E45" s="20">
        <f>IF($C45="","",IF(Registro_Compras!$F$8="NOTA DE CREDITO",ROUND(ABS(Registro_Compras!$J$8*Registro_Compras!$N$8),2),""))</f>
        <v/>
      </c>
      <c r="F45" s="20">
        <f>IF($C45="","",IF(Registro_Compras!$F$8="NOTA DE CREDITO","",IF(Registro_Compras!$F$8="RHE",ROUND(Registro_Compras!$L$8*Registro_Compras!$N$8,2),ROUND(Registro_Compras!$J$8*Registro_Compras!$N$8,2))))</f>
        <v/>
      </c>
      <c r="G45">
        <f>IF($C45="","","Por el destino del gasto")</f>
        <v/>
      </c>
      <c r="H45">
        <f>IF($C45="","",Registro_Compras!$C$8)</f>
        <v/>
      </c>
    </row>
    <row r="46">
      <c r="A46" s="25">
        <f>IF($C46="","",Registro_Compras!$X$8)</f>
        <v/>
      </c>
      <c r="B46">
        <f>IF($C46="","","C"&amp;TEXT(INT((ROW()-5)/9)+1,"000")&amp;"-3")</f>
        <v/>
      </c>
      <c r="C46">
        <f>IF(OR(Registro_Compras!$C$8="",Registro_Compras!$O$8="",Registro_Compras!$R$8&lt;&gt;"SI",Registro_Compras!$X$8=""),"","4212")</f>
        <v/>
      </c>
      <c r="D46">
        <f>IF(OR(Registro_Compras!$C$8="",Registro_Compras!$O$8=""),"","Cuentas por Pagar Comerciales - Terceros")</f>
        <v/>
      </c>
      <c r="E46" s="20">
        <f>IF($C46="","",Registro_Compras!$S$8)</f>
        <v/>
      </c>
      <c r="F46" s="20">
        <f>""</f>
        <v/>
      </c>
      <c r="G46">
        <f>IF($C46="","","Por el deposito de la detraccion en el Banco de la Nacion")</f>
        <v/>
      </c>
      <c r="H46">
        <f>IF($C46="","",Registro_Compras!$C$8)</f>
        <v/>
      </c>
    </row>
    <row r="47">
      <c r="A47" s="25">
        <f>IF($C47="","",Registro_Compras!$X$8)</f>
        <v/>
      </c>
      <c r="B47">
        <f>IF($C47="","","C"&amp;TEXT(INT((ROW()-5)/9)+1,"000")&amp;"-3")</f>
        <v/>
      </c>
      <c r="C47">
        <f>IF(OR(Registro_Compras!$C$8="",Registro_Compras!$O$8="",Registro_Compras!$R$8&lt;&gt;"SI",Registro_Compras!$X$8=""),"","10413")</f>
        <v/>
      </c>
      <c r="D47">
        <f>IF(OR(Registro_Compras!$C$8="",Registro_Compras!$O$8=""),"","Efectivo y Equivalentes - Cta. Cte. Operativa")</f>
        <v/>
      </c>
      <c r="E47" s="20">
        <f>""</f>
        <v/>
      </c>
      <c r="F47" s="20">
        <f>IF($C47="","",Registro_Compras!$S$8)</f>
        <v/>
      </c>
      <c r="G47">
        <f>IF($C47="","","Por el deposito de la detraccion en el Banco de la Nacion")</f>
        <v/>
      </c>
      <c r="H47">
        <f>IF($C47="","",Registro_Compras!$C$8)</f>
        <v/>
      </c>
    </row>
    <row r="48">
      <c r="A48" s="25">
        <f>IF($C48="","",Registro_Compras!$Y$8)</f>
        <v/>
      </c>
      <c r="B48">
        <f>IF($C48="","","C"&amp;TEXT(INT((ROW()-5)/9)+1,"000")&amp;"-4")</f>
        <v/>
      </c>
      <c r="C48">
        <f>IF(OR(Registro_Compras!$C$8="",Registro_Compras!$O$8="",Registro_Compras!$Y$8="",Registro_Compras!$F$8="NOTA DE CREDITO"),"","4212")</f>
        <v/>
      </c>
      <c r="D48">
        <f>IF(OR(Registro_Compras!$C$8="",Registro_Compras!$O$8=""),"","Cuentas por Pagar Comerciales - Terceros")</f>
        <v/>
      </c>
      <c r="E48" s="20">
        <f>IF($C48="","",IF(Registro_Compras!$F$8="RHE",(ROUND(Registro_Compras!$L$8*Registro_Compras!$N$8,2)-ROUND(Registro_Compras!$V$8*Registro_Compras!$N$8,2)),ROUND(Registro_Compras!$O$8-Registro_Compras!$S$8,2)))</f>
        <v/>
      </c>
      <c r="F48" s="20">
        <f>""</f>
        <v/>
      </c>
      <c r="G48">
        <f>IF($C48="","","Por la cancelacion del saldo al proveedor")</f>
        <v/>
      </c>
      <c r="H48">
        <f>IF($C48="","",Registro_Compras!$C$8)</f>
        <v/>
      </c>
    </row>
    <row r="49">
      <c r="A49" s="25">
        <f>IF($C49="","",Registro_Compras!$Y$8)</f>
        <v/>
      </c>
      <c r="B49">
        <f>IF($C49="","","C"&amp;TEXT(INT((ROW()-5)/9)+1,"000")&amp;"-4")</f>
        <v/>
      </c>
      <c r="C49">
        <f>IF(OR(Registro_Compras!$C$8="",Registro_Compras!$O$8="",Registro_Compras!$Y$8="",Registro_Compras!$F$8="NOTA DE CREDITO"),"","10413")</f>
        <v/>
      </c>
      <c r="D49">
        <f>IF(OR(Registro_Compras!$C$8="",Registro_Compras!$O$8=""),"","Efectivo y Equivalentes - Cta. Cte. Operativa")</f>
        <v/>
      </c>
      <c r="E49" s="20">
        <f>""</f>
        <v/>
      </c>
      <c r="F49" s="20">
        <f>IF($C49="","",IF(Registro_Compras!$F$8="RHE",(ROUND(Registro_Compras!$L$8*Registro_Compras!$N$8,2)-ROUND(Registro_Compras!$V$8*Registro_Compras!$N$8,2)),ROUND(Registro_Compras!$O$8-Registro_Compras!$S$8,2)))</f>
        <v/>
      </c>
      <c r="G49">
        <f>IF($C49="","","Por la cancelacion del saldo al proveedor")</f>
        <v/>
      </c>
      <c r="H49">
        <f>IF($C49="","",Registro_Compras!$C$8)</f>
        <v/>
      </c>
    </row>
    <row r="50">
      <c r="A50" s="25">
        <f>IF($C50="","",Registro_Compras!$B$9)</f>
        <v/>
      </c>
      <c r="B50">
        <f>IF($C50="","","C"&amp;TEXT(INT((ROW()-5)/9)+1,"000")&amp;"-1")</f>
        <v/>
      </c>
      <c r="C50">
        <f>IF(OR(Registro_Compras!$C$9="",Registro_Compras!$O$9=""),"",IF(Registro_Compras!$F$9="NOTA DE CREDITO","4212",IF(Registro_Compras!$M$9="","63",Registro_Compras!$M$9)))</f>
        <v/>
      </c>
      <c r="D50">
        <f>IF(OR(Registro_Compras!$C$9="",Registro_Compras!$O$9=""),"",IF(Registro_Compras!$F$9="NOTA DE CREDITO","Cuentas por Pagar Comerciales - Terceros (Emitidas)",IF(Registro_Compras!$F$9="RHE","Honorarios Profesionales - Servicios de Terceros","Gastos de Servicios Prestados por Terceros")))</f>
        <v/>
      </c>
      <c r="E50" s="20">
        <f>IF($C50="","",IF(Registro_Compras!$F$9="NOTA DE CREDITO",ABS(Registro_Compras!$O$9),IF(Registro_Compras!$F$9="RHE",ROUND(Registro_Compras!$L$9*Registro_Compras!$N$9,2),ROUND(Registro_Compras!$J$9*Registro_Compras!$N$9,2))))</f>
        <v/>
      </c>
      <c r="F50" s="20">
        <f>""</f>
        <v/>
      </c>
      <c r="G50">
        <f>IF($C50="","",IF(Registro_Compras!$F$9="NOTA DE CREDITO","Por la nota de credito "&amp;Registro_Compras!$C$9&amp;" de "&amp;Registro_Compras!$E$9&amp;" [PATRON POR CONFIRMAR CON CONTADOR]",IF(Registro_Compras!$F$9="RHE","Por el registro del recibo por honorarios "&amp;Registro_Compras!$C$9&amp;" de "&amp;Registro_Compras!$E$9&amp;" [PATRON POR CONFIRMAR CON CONTADOR]","Por el registro de la factura "&amp;Registro_Compras!$C$9&amp;" de "&amp;Registro_Compras!$E$9)))</f>
        <v/>
      </c>
      <c r="H50">
        <f>IF($C50="","",Registro_Compras!$C$9)</f>
        <v/>
      </c>
    </row>
    <row r="51">
      <c r="A51" s="25">
        <f>IF($C51="","",Registro_Compras!$B$9)</f>
        <v/>
      </c>
      <c r="B51">
        <f>IF($C51="","","C"&amp;TEXT(INT((ROW()-5)/9)+1,"000")&amp;"-1")</f>
        <v/>
      </c>
      <c r="C51">
        <f>IF(OR(Registro_Compras!$C$9="",Registro_Compras!$O$9=""),"",IF(Registro_Compras!$F$9="RHE",IF(Registro_Compras!$V$9=0,"","40172"),IF(Registro_Compras!$F$9="NOTA DE CREDITO",IF(Registro_Compras!$M$9="","63",Registro_Compras!$M$9),IF(Registro_Compras!$K$9=0,"","40111"))))</f>
        <v/>
      </c>
      <c r="D51">
        <f>IF(OR(Registro_Compras!$C$9="",Registro_Compras!$O$9=""),"",IF(Registro_Compras!$F$9="RHE","Retencion Renta 4ta Categoria por Pagar",IF(Registro_Compras!$F$9="NOTA DE CREDITO","Gastos de Servicios Prestados por Terceros","IGV - Cuenta Propia (Credito Fiscal)")))</f>
        <v/>
      </c>
      <c r="E51" s="20">
        <f>IF($C51="","",IF(Registro_Compras!$F$9="FACTURA",ROUND(Registro_Compras!$K$9*Registro_Compras!$N$9,2),""))</f>
        <v/>
      </c>
      <c r="F51" s="20">
        <f>IF($C51="","",IF(Registro_Compras!$F$9="RHE",ROUND(Registro_Compras!$V$9*Registro_Compras!$N$9,2),IF(Registro_Compras!$F$9="NOTA DE CREDITO",ROUND(ABS(Registro_Compras!$J$9*Registro_Compras!$N$9),2),"")))</f>
        <v/>
      </c>
      <c r="G51">
        <f>IF($C51="","",IF(Registro_Compras!$F$9="NOTA DE CREDITO","Por la nota de credito "&amp;Registro_Compras!$C$9&amp;" de "&amp;Registro_Compras!$E$9&amp;" [PATRON POR CONFIRMAR CON CONTADOR]",IF(Registro_Compras!$F$9="RHE","Por el registro del recibo por honorarios "&amp;Registro_Compras!$C$9&amp;" de "&amp;Registro_Compras!$E$9&amp;" [PATRON POR CONFIRMAR CON CONTADOR]","Por el registro de la factura "&amp;Registro_Compras!$C$9&amp;" de "&amp;Registro_Compras!$E$9)))</f>
        <v/>
      </c>
      <c r="H51">
        <f>IF($C51="","",Registro_Compras!$C$9)</f>
        <v/>
      </c>
    </row>
    <row r="52">
      <c r="A52" s="25">
        <f>IF($C52="","",Registro_Compras!$B$9)</f>
        <v/>
      </c>
      <c r="B52">
        <f>IF($C52="","","C"&amp;TEXT(INT((ROW()-5)/9)+1,"000")&amp;"-1")</f>
        <v/>
      </c>
      <c r="C52">
        <f>IF(OR(Registro_Compras!$C$9="",Registro_Compras!$O$9=""),"",IF(Registro_Compras!$F$9="NOTA DE CREDITO",IF(Registro_Compras!$K$9=0,"","40111"),"4212"))</f>
        <v/>
      </c>
      <c r="D52">
        <f>IF(OR(Registro_Compras!$C$9="",Registro_Compras!$O$9=""),"",IF(Registro_Compras!$F$9="NOTA DE CREDITO","IGV - Cuenta Propia (Credito Fiscal)","Cuentas por Pagar Comerciales - Terceros (Emitidas)"))</f>
        <v/>
      </c>
      <c r="E52" s="20">
        <f>""</f>
        <v/>
      </c>
      <c r="F52" s="20">
        <f>IF($C52="","",IF(Registro_Compras!$F$9="NOTA DE CREDITO",ROUND(ABS(Registro_Compras!$K$9*Registro_Compras!$N$9),2),IF(Registro_Compras!$F$9="RHE",(ROUND(Registro_Compras!$L$9*Registro_Compras!$N$9,2)-ROUND(Registro_Compras!$V$9*Registro_Compras!$N$9,2)),Registro_Compras!$O$9)))</f>
        <v/>
      </c>
      <c r="G52">
        <f>IF($C52="","",IF(Registro_Compras!$F$9="NOTA DE CREDITO","Por la nota de credito "&amp;Registro_Compras!$C$9&amp;" de "&amp;Registro_Compras!$E$9&amp;" [PATRON POR CONFIRMAR CON CONTADOR]",IF(Registro_Compras!$F$9="RHE","Por el registro del recibo por honorarios "&amp;Registro_Compras!$C$9&amp;" de "&amp;Registro_Compras!$E$9&amp;" [PATRON POR CONFIRMAR CON CONTADOR]","Por el registro de la factura "&amp;Registro_Compras!$C$9&amp;" de "&amp;Registro_Compras!$E$9)))</f>
        <v/>
      </c>
      <c r="H52">
        <f>IF($C52="","",Registro_Compras!$C$9)</f>
        <v/>
      </c>
    </row>
    <row r="53">
      <c r="A53" s="25">
        <f>IF($C53="","",Registro_Compras!$B$9)</f>
        <v/>
      </c>
      <c r="B53">
        <f>IF($C53="","","C"&amp;TEXT(INT((ROW()-5)/9)+1,"000")&amp;"-2")</f>
        <v/>
      </c>
      <c r="C53">
        <f>IF(OR(Registro_Compras!$C$9="",Registro_Compras!$O$9=""),"",IF(Registro_Compras!$AB$9="ADMINISTRATIVO","94","95"))</f>
        <v/>
      </c>
      <c r="D53">
        <f>IF(OR(Registro_Compras!$C$9="",Registro_Compras!$O$9=""),"",IF(Registro_Compras!$AB$9="ADMINISTRATIVO","Gastos Administrativos","Gastos de Venta y Operacion"))</f>
        <v/>
      </c>
      <c r="E53" s="20">
        <f>IF($C53="","",IF(Registro_Compras!$F$9="NOTA DE CREDITO","",IF(Registro_Compras!$F$9="RHE",ROUND(Registro_Compras!$L$9*Registro_Compras!$N$9,2),ROUND(Registro_Compras!$J$9*Registro_Compras!$N$9,2))))</f>
        <v/>
      </c>
      <c r="F53" s="20">
        <f>IF($C53="","",IF(Registro_Compras!$F$9="NOTA DE CREDITO",ROUND(ABS(Registro_Compras!$J$9*Registro_Compras!$N$9),2),""))</f>
        <v/>
      </c>
      <c r="G53">
        <f>IF($C53="","","Por el destino del gasto")</f>
        <v/>
      </c>
      <c r="H53">
        <f>IF($C53="","",Registro_Compras!$C$9)</f>
        <v/>
      </c>
    </row>
    <row r="54">
      <c r="A54" s="25">
        <f>IF($C54="","",Registro_Compras!$B$9)</f>
        <v/>
      </c>
      <c r="B54">
        <f>IF($C54="","","C"&amp;TEXT(INT((ROW()-5)/9)+1,"000")&amp;"-2")</f>
        <v/>
      </c>
      <c r="C54">
        <f>IF(OR(Registro_Compras!$C$9="",Registro_Compras!$O$9=""),"","79/791")</f>
        <v/>
      </c>
      <c r="D54">
        <f>IF(OR(Registro_Compras!$C$9="",Registro_Compras!$O$9=""),"","Cargas Imputables a Cuentas de Costos y Gastos")</f>
        <v/>
      </c>
      <c r="E54" s="20">
        <f>IF($C54="","",IF(Registro_Compras!$F$9="NOTA DE CREDITO",ROUND(ABS(Registro_Compras!$J$9*Registro_Compras!$N$9),2),""))</f>
        <v/>
      </c>
      <c r="F54" s="20">
        <f>IF($C54="","",IF(Registro_Compras!$F$9="NOTA DE CREDITO","",IF(Registro_Compras!$F$9="RHE",ROUND(Registro_Compras!$L$9*Registro_Compras!$N$9,2),ROUND(Registro_Compras!$J$9*Registro_Compras!$N$9,2))))</f>
        <v/>
      </c>
      <c r="G54">
        <f>IF($C54="","","Por el destino del gasto")</f>
        <v/>
      </c>
      <c r="H54">
        <f>IF($C54="","",Registro_Compras!$C$9)</f>
        <v/>
      </c>
    </row>
    <row r="55">
      <c r="A55" s="25">
        <f>IF($C55="","",Registro_Compras!$X$9)</f>
        <v/>
      </c>
      <c r="B55">
        <f>IF($C55="","","C"&amp;TEXT(INT((ROW()-5)/9)+1,"000")&amp;"-3")</f>
        <v/>
      </c>
      <c r="C55">
        <f>IF(OR(Registro_Compras!$C$9="",Registro_Compras!$O$9="",Registro_Compras!$R$9&lt;&gt;"SI",Registro_Compras!$X$9=""),"","4212")</f>
        <v/>
      </c>
      <c r="D55">
        <f>IF(OR(Registro_Compras!$C$9="",Registro_Compras!$O$9=""),"","Cuentas por Pagar Comerciales - Terceros")</f>
        <v/>
      </c>
      <c r="E55" s="20">
        <f>IF($C55="","",Registro_Compras!$S$9)</f>
        <v/>
      </c>
      <c r="F55" s="20">
        <f>""</f>
        <v/>
      </c>
      <c r="G55">
        <f>IF($C55="","","Por el deposito de la detraccion en el Banco de la Nacion")</f>
        <v/>
      </c>
      <c r="H55">
        <f>IF($C55="","",Registro_Compras!$C$9)</f>
        <v/>
      </c>
    </row>
    <row r="56">
      <c r="A56" s="25">
        <f>IF($C56="","",Registro_Compras!$X$9)</f>
        <v/>
      </c>
      <c r="B56">
        <f>IF($C56="","","C"&amp;TEXT(INT((ROW()-5)/9)+1,"000")&amp;"-3")</f>
        <v/>
      </c>
      <c r="C56">
        <f>IF(OR(Registro_Compras!$C$9="",Registro_Compras!$O$9="",Registro_Compras!$R$9&lt;&gt;"SI",Registro_Compras!$X$9=""),"","10413")</f>
        <v/>
      </c>
      <c r="D56">
        <f>IF(OR(Registro_Compras!$C$9="",Registro_Compras!$O$9=""),"","Efectivo y Equivalentes - Cta. Cte. Operativa")</f>
        <v/>
      </c>
      <c r="E56" s="20">
        <f>""</f>
        <v/>
      </c>
      <c r="F56" s="20">
        <f>IF($C56="","",Registro_Compras!$S$9)</f>
        <v/>
      </c>
      <c r="G56">
        <f>IF($C56="","","Por el deposito de la detraccion en el Banco de la Nacion")</f>
        <v/>
      </c>
      <c r="H56">
        <f>IF($C56="","",Registro_Compras!$C$9)</f>
        <v/>
      </c>
    </row>
    <row r="57">
      <c r="A57" s="25">
        <f>IF($C57="","",Registro_Compras!$Y$9)</f>
        <v/>
      </c>
      <c r="B57">
        <f>IF($C57="","","C"&amp;TEXT(INT((ROW()-5)/9)+1,"000")&amp;"-4")</f>
        <v/>
      </c>
      <c r="C57">
        <f>IF(OR(Registro_Compras!$C$9="",Registro_Compras!$O$9="",Registro_Compras!$Y$9="",Registro_Compras!$F$9="NOTA DE CREDITO"),"","4212")</f>
        <v/>
      </c>
      <c r="D57">
        <f>IF(OR(Registro_Compras!$C$9="",Registro_Compras!$O$9=""),"","Cuentas por Pagar Comerciales - Terceros")</f>
        <v/>
      </c>
      <c r="E57" s="20">
        <f>IF($C57="","",IF(Registro_Compras!$F$9="RHE",(ROUND(Registro_Compras!$L$9*Registro_Compras!$N$9,2)-ROUND(Registro_Compras!$V$9*Registro_Compras!$N$9,2)),ROUND(Registro_Compras!$O$9-Registro_Compras!$S$9,2)))</f>
        <v/>
      </c>
      <c r="F57" s="20">
        <f>""</f>
        <v/>
      </c>
      <c r="G57">
        <f>IF($C57="","","Por la cancelacion del saldo al proveedor")</f>
        <v/>
      </c>
      <c r="H57">
        <f>IF($C57="","",Registro_Compras!$C$9)</f>
        <v/>
      </c>
    </row>
    <row r="58">
      <c r="A58" s="25">
        <f>IF($C58="","",Registro_Compras!$Y$9)</f>
        <v/>
      </c>
      <c r="B58">
        <f>IF($C58="","","C"&amp;TEXT(INT((ROW()-5)/9)+1,"000")&amp;"-4")</f>
        <v/>
      </c>
      <c r="C58">
        <f>IF(OR(Registro_Compras!$C$9="",Registro_Compras!$O$9="",Registro_Compras!$Y$9="",Registro_Compras!$F$9="NOTA DE CREDITO"),"","10413")</f>
        <v/>
      </c>
      <c r="D58">
        <f>IF(OR(Registro_Compras!$C$9="",Registro_Compras!$O$9=""),"","Efectivo y Equivalentes - Cta. Cte. Operativa")</f>
        <v/>
      </c>
      <c r="E58" s="20">
        <f>""</f>
        <v/>
      </c>
      <c r="F58" s="20">
        <f>IF($C58="","",IF(Registro_Compras!$F$9="RHE",(ROUND(Registro_Compras!$L$9*Registro_Compras!$N$9,2)-ROUND(Registro_Compras!$V$9*Registro_Compras!$N$9,2)),ROUND(Registro_Compras!$O$9-Registro_Compras!$S$9,2)))</f>
        <v/>
      </c>
      <c r="G58">
        <f>IF($C58="","","Por la cancelacion del saldo al proveedor")</f>
        <v/>
      </c>
      <c r="H58">
        <f>IF($C58="","",Registro_Compras!$C$9)</f>
        <v/>
      </c>
    </row>
    <row r="59">
      <c r="A59" s="25">
        <f>IF($C59="","",Registro_Compras!$B$10)</f>
        <v/>
      </c>
      <c r="B59">
        <f>IF($C59="","","C"&amp;TEXT(INT((ROW()-5)/9)+1,"000")&amp;"-1")</f>
        <v/>
      </c>
      <c r="C59">
        <f>IF(OR(Registro_Compras!$C$10="",Registro_Compras!$O$10=""),"",IF(Registro_Compras!$F$10="NOTA DE CREDITO","4212",IF(Registro_Compras!$M$10="","63",Registro_Compras!$M$10)))</f>
        <v/>
      </c>
      <c r="D59">
        <f>IF(OR(Registro_Compras!$C$10="",Registro_Compras!$O$10=""),"",IF(Registro_Compras!$F$10="NOTA DE CREDITO","Cuentas por Pagar Comerciales - Terceros (Emitidas)",IF(Registro_Compras!$F$10="RHE","Honorarios Profesionales - Servicios de Terceros","Gastos de Servicios Prestados por Terceros")))</f>
        <v/>
      </c>
      <c r="E59" s="20">
        <f>IF($C59="","",IF(Registro_Compras!$F$10="NOTA DE CREDITO",ABS(Registro_Compras!$O$10),IF(Registro_Compras!$F$10="RHE",ROUND(Registro_Compras!$L$10*Registro_Compras!$N$10,2),ROUND(Registro_Compras!$J$10*Registro_Compras!$N$10,2))))</f>
        <v/>
      </c>
      <c r="F59" s="20">
        <f>""</f>
        <v/>
      </c>
      <c r="G59">
        <f>IF($C59="","",IF(Registro_Compras!$F$10="NOTA DE CREDITO","Por la nota de credito "&amp;Registro_Compras!$C$10&amp;" de "&amp;Registro_Compras!$E$10&amp;" [PATRON POR CONFIRMAR CON CONTADOR]",IF(Registro_Compras!$F$10="RHE","Por el registro del recibo por honorarios "&amp;Registro_Compras!$C$10&amp;" de "&amp;Registro_Compras!$E$10&amp;" [PATRON POR CONFIRMAR CON CONTADOR]","Por el registro de la factura "&amp;Registro_Compras!$C$10&amp;" de "&amp;Registro_Compras!$E$10)))</f>
        <v/>
      </c>
      <c r="H59">
        <f>IF($C59="","",Registro_Compras!$C$10)</f>
        <v/>
      </c>
    </row>
    <row r="60">
      <c r="A60" s="25">
        <f>IF($C60="","",Registro_Compras!$B$10)</f>
        <v/>
      </c>
      <c r="B60">
        <f>IF($C60="","","C"&amp;TEXT(INT((ROW()-5)/9)+1,"000")&amp;"-1")</f>
        <v/>
      </c>
      <c r="C60">
        <f>IF(OR(Registro_Compras!$C$10="",Registro_Compras!$O$10=""),"",IF(Registro_Compras!$F$10="RHE",IF(Registro_Compras!$V$10=0,"","40172"),IF(Registro_Compras!$F$10="NOTA DE CREDITO",IF(Registro_Compras!$M$10="","63",Registro_Compras!$M$10),IF(Registro_Compras!$K$10=0,"","40111"))))</f>
        <v/>
      </c>
      <c r="D60">
        <f>IF(OR(Registro_Compras!$C$10="",Registro_Compras!$O$10=""),"",IF(Registro_Compras!$F$10="RHE","Retencion Renta 4ta Categoria por Pagar",IF(Registro_Compras!$F$10="NOTA DE CREDITO","Gastos de Servicios Prestados por Terceros","IGV - Cuenta Propia (Credito Fiscal)")))</f>
        <v/>
      </c>
      <c r="E60" s="20">
        <f>IF($C60="","",IF(Registro_Compras!$F$10="FACTURA",ROUND(Registro_Compras!$K$10*Registro_Compras!$N$10,2),""))</f>
        <v/>
      </c>
      <c r="F60" s="20">
        <f>IF($C60="","",IF(Registro_Compras!$F$10="RHE",ROUND(Registro_Compras!$V$10*Registro_Compras!$N$10,2),IF(Registro_Compras!$F$10="NOTA DE CREDITO",ROUND(ABS(Registro_Compras!$J$10*Registro_Compras!$N$10),2),"")))</f>
        <v/>
      </c>
      <c r="G60">
        <f>IF($C60="","",IF(Registro_Compras!$F$10="NOTA DE CREDITO","Por la nota de credito "&amp;Registro_Compras!$C$10&amp;" de "&amp;Registro_Compras!$E$10&amp;" [PATRON POR CONFIRMAR CON CONTADOR]",IF(Registro_Compras!$F$10="RHE","Por el registro del recibo por honorarios "&amp;Registro_Compras!$C$10&amp;" de "&amp;Registro_Compras!$E$10&amp;" [PATRON POR CONFIRMAR CON CONTADOR]","Por el registro de la factura "&amp;Registro_Compras!$C$10&amp;" de "&amp;Registro_Compras!$E$10)))</f>
        <v/>
      </c>
      <c r="H60">
        <f>IF($C60="","",Registro_Compras!$C$10)</f>
        <v/>
      </c>
    </row>
    <row r="61">
      <c r="A61" s="25">
        <f>IF($C61="","",Registro_Compras!$B$10)</f>
        <v/>
      </c>
      <c r="B61">
        <f>IF($C61="","","C"&amp;TEXT(INT((ROW()-5)/9)+1,"000")&amp;"-1")</f>
        <v/>
      </c>
      <c r="C61">
        <f>IF(OR(Registro_Compras!$C$10="",Registro_Compras!$O$10=""),"",IF(Registro_Compras!$F$10="NOTA DE CREDITO",IF(Registro_Compras!$K$10=0,"","40111"),"4212"))</f>
        <v/>
      </c>
      <c r="D61">
        <f>IF(OR(Registro_Compras!$C$10="",Registro_Compras!$O$10=""),"",IF(Registro_Compras!$F$10="NOTA DE CREDITO","IGV - Cuenta Propia (Credito Fiscal)","Cuentas por Pagar Comerciales - Terceros (Emitidas)"))</f>
        <v/>
      </c>
      <c r="E61" s="20">
        <f>""</f>
        <v/>
      </c>
      <c r="F61" s="20">
        <f>IF($C61="","",IF(Registro_Compras!$F$10="NOTA DE CREDITO",ROUND(ABS(Registro_Compras!$K$10*Registro_Compras!$N$10),2),IF(Registro_Compras!$F$10="RHE",(ROUND(Registro_Compras!$L$10*Registro_Compras!$N$10,2)-ROUND(Registro_Compras!$V$10*Registro_Compras!$N$10,2)),Registro_Compras!$O$10)))</f>
        <v/>
      </c>
      <c r="G61">
        <f>IF($C61="","",IF(Registro_Compras!$F$10="NOTA DE CREDITO","Por la nota de credito "&amp;Registro_Compras!$C$10&amp;" de "&amp;Registro_Compras!$E$10&amp;" [PATRON POR CONFIRMAR CON CONTADOR]",IF(Registro_Compras!$F$10="RHE","Por el registro del recibo por honorarios "&amp;Registro_Compras!$C$10&amp;" de "&amp;Registro_Compras!$E$10&amp;" [PATRON POR CONFIRMAR CON CONTADOR]","Por el registro de la factura "&amp;Registro_Compras!$C$10&amp;" de "&amp;Registro_Compras!$E$10)))</f>
        <v/>
      </c>
      <c r="H61">
        <f>IF($C61="","",Registro_Compras!$C$10)</f>
        <v/>
      </c>
    </row>
    <row r="62">
      <c r="A62" s="25">
        <f>IF($C62="","",Registro_Compras!$B$10)</f>
        <v/>
      </c>
      <c r="B62">
        <f>IF($C62="","","C"&amp;TEXT(INT((ROW()-5)/9)+1,"000")&amp;"-2")</f>
        <v/>
      </c>
      <c r="C62">
        <f>IF(OR(Registro_Compras!$C$10="",Registro_Compras!$O$10=""),"",IF(Registro_Compras!$AB$10="ADMINISTRATIVO","94","95"))</f>
        <v/>
      </c>
      <c r="D62">
        <f>IF(OR(Registro_Compras!$C$10="",Registro_Compras!$O$10=""),"",IF(Registro_Compras!$AB$10="ADMINISTRATIVO","Gastos Administrativos","Gastos de Venta y Operacion"))</f>
        <v/>
      </c>
      <c r="E62" s="20">
        <f>IF($C62="","",IF(Registro_Compras!$F$10="NOTA DE CREDITO","",IF(Registro_Compras!$F$10="RHE",ROUND(Registro_Compras!$L$10*Registro_Compras!$N$10,2),ROUND(Registro_Compras!$J$10*Registro_Compras!$N$10,2))))</f>
        <v/>
      </c>
      <c r="F62" s="20">
        <f>IF($C62="","",IF(Registro_Compras!$F$10="NOTA DE CREDITO",ROUND(ABS(Registro_Compras!$J$10*Registro_Compras!$N$10),2),""))</f>
        <v/>
      </c>
      <c r="G62">
        <f>IF($C62="","","Por el destino del gasto")</f>
        <v/>
      </c>
      <c r="H62">
        <f>IF($C62="","",Registro_Compras!$C$10)</f>
        <v/>
      </c>
    </row>
    <row r="63">
      <c r="A63" s="25">
        <f>IF($C63="","",Registro_Compras!$B$10)</f>
        <v/>
      </c>
      <c r="B63">
        <f>IF($C63="","","C"&amp;TEXT(INT((ROW()-5)/9)+1,"000")&amp;"-2")</f>
        <v/>
      </c>
      <c r="C63">
        <f>IF(OR(Registro_Compras!$C$10="",Registro_Compras!$O$10=""),"","79/791")</f>
        <v/>
      </c>
      <c r="D63">
        <f>IF(OR(Registro_Compras!$C$10="",Registro_Compras!$O$10=""),"","Cargas Imputables a Cuentas de Costos y Gastos")</f>
        <v/>
      </c>
      <c r="E63" s="20">
        <f>IF($C63="","",IF(Registro_Compras!$F$10="NOTA DE CREDITO",ROUND(ABS(Registro_Compras!$J$10*Registro_Compras!$N$10),2),""))</f>
        <v/>
      </c>
      <c r="F63" s="20">
        <f>IF($C63="","",IF(Registro_Compras!$F$10="NOTA DE CREDITO","",IF(Registro_Compras!$F$10="RHE",ROUND(Registro_Compras!$L$10*Registro_Compras!$N$10,2),ROUND(Registro_Compras!$J$10*Registro_Compras!$N$10,2))))</f>
        <v/>
      </c>
      <c r="G63">
        <f>IF($C63="","","Por el destino del gasto")</f>
        <v/>
      </c>
      <c r="H63">
        <f>IF($C63="","",Registro_Compras!$C$10)</f>
        <v/>
      </c>
    </row>
    <row r="64">
      <c r="A64" s="25">
        <f>IF($C64="","",Registro_Compras!$X$10)</f>
        <v/>
      </c>
      <c r="B64">
        <f>IF($C64="","","C"&amp;TEXT(INT((ROW()-5)/9)+1,"000")&amp;"-3")</f>
        <v/>
      </c>
      <c r="C64">
        <f>IF(OR(Registro_Compras!$C$10="",Registro_Compras!$O$10="",Registro_Compras!$R$10&lt;&gt;"SI",Registro_Compras!$X$10=""),"","4212")</f>
        <v/>
      </c>
      <c r="D64">
        <f>IF(OR(Registro_Compras!$C$10="",Registro_Compras!$O$10=""),"","Cuentas por Pagar Comerciales - Terceros")</f>
        <v/>
      </c>
      <c r="E64" s="20">
        <f>IF($C64="","",Registro_Compras!$S$10)</f>
        <v/>
      </c>
      <c r="F64" s="20">
        <f>""</f>
        <v/>
      </c>
      <c r="G64">
        <f>IF($C64="","","Por el deposito de la detraccion en el Banco de la Nacion")</f>
        <v/>
      </c>
      <c r="H64">
        <f>IF($C64="","",Registro_Compras!$C$10)</f>
        <v/>
      </c>
    </row>
    <row r="65">
      <c r="A65" s="25">
        <f>IF($C65="","",Registro_Compras!$X$10)</f>
        <v/>
      </c>
      <c r="B65">
        <f>IF($C65="","","C"&amp;TEXT(INT((ROW()-5)/9)+1,"000")&amp;"-3")</f>
        <v/>
      </c>
      <c r="C65">
        <f>IF(OR(Registro_Compras!$C$10="",Registro_Compras!$O$10="",Registro_Compras!$R$10&lt;&gt;"SI",Registro_Compras!$X$10=""),"","10413")</f>
        <v/>
      </c>
      <c r="D65">
        <f>IF(OR(Registro_Compras!$C$10="",Registro_Compras!$O$10=""),"","Efectivo y Equivalentes - Cta. Cte. Operativa")</f>
        <v/>
      </c>
      <c r="E65" s="20">
        <f>""</f>
        <v/>
      </c>
      <c r="F65" s="20">
        <f>IF($C65="","",Registro_Compras!$S$10)</f>
        <v/>
      </c>
      <c r="G65">
        <f>IF($C65="","","Por el deposito de la detraccion en el Banco de la Nacion")</f>
        <v/>
      </c>
      <c r="H65">
        <f>IF($C65="","",Registro_Compras!$C$10)</f>
        <v/>
      </c>
    </row>
    <row r="66">
      <c r="A66" s="25">
        <f>IF($C66="","",Registro_Compras!$Y$10)</f>
        <v/>
      </c>
      <c r="B66">
        <f>IF($C66="","","C"&amp;TEXT(INT((ROW()-5)/9)+1,"000")&amp;"-4")</f>
        <v/>
      </c>
      <c r="C66">
        <f>IF(OR(Registro_Compras!$C$10="",Registro_Compras!$O$10="",Registro_Compras!$Y$10="",Registro_Compras!$F$10="NOTA DE CREDITO"),"","4212")</f>
        <v/>
      </c>
      <c r="D66">
        <f>IF(OR(Registro_Compras!$C$10="",Registro_Compras!$O$10=""),"","Cuentas por Pagar Comerciales - Terceros")</f>
        <v/>
      </c>
      <c r="E66" s="20">
        <f>IF($C66="","",IF(Registro_Compras!$F$10="RHE",(ROUND(Registro_Compras!$L$10*Registro_Compras!$N$10,2)-ROUND(Registro_Compras!$V$10*Registro_Compras!$N$10,2)),ROUND(Registro_Compras!$O$10-Registro_Compras!$S$10,2)))</f>
        <v/>
      </c>
      <c r="F66" s="20">
        <f>""</f>
        <v/>
      </c>
      <c r="G66">
        <f>IF($C66="","","Por la cancelacion del saldo al proveedor")</f>
        <v/>
      </c>
      <c r="H66">
        <f>IF($C66="","",Registro_Compras!$C$10)</f>
        <v/>
      </c>
    </row>
    <row r="67">
      <c r="A67" s="25">
        <f>IF($C67="","",Registro_Compras!$Y$10)</f>
        <v/>
      </c>
      <c r="B67">
        <f>IF($C67="","","C"&amp;TEXT(INT((ROW()-5)/9)+1,"000")&amp;"-4")</f>
        <v/>
      </c>
      <c r="C67">
        <f>IF(OR(Registro_Compras!$C$10="",Registro_Compras!$O$10="",Registro_Compras!$Y$10="",Registro_Compras!$F$10="NOTA DE CREDITO"),"","10413")</f>
        <v/>
      </c>
      <c r="D67">
        <f>IF(OR(Registro_Compras!$C$10="",Registro_Compras!$O$10=""),"","Efectivo y Equivalentes - Cta. Cte. Operativa")</f>
        <v/>
      </c>
      <c r="E67" s="20">
        <f>""</f>
        <v/>
      </c>
      <c r="F67" s="20">
        <f>IF($C67="","",IF(Registro_Compras!$F$10="RHE",(ROUND(Registro_Compras!$L$10*Registro_Compras!$N$10,2)-ROUND(Registro_Compras!$V$10*Registro_Compras!$N$10,2)),ROUND(Registro_Compras!$O$10-Registro_Compras!$S$10,2)))</f>
        <v/>
      </c>
      <c r="G67">
        <f>IF($C67="","","Por la cancelacion del saldo al proveedor")</f>
        <v/>
      </c>
      <c r="H67">
        <f>IF($C67="","",Registro_Compras!$C$10)</f>
        <v/>
      </c>
    </row>
    <row r="68">
      <c r="A68" s="25">
        <f>IF($C68="","",Registro_Compras!$B$11)</f>
        <v/>
      </c>
      <c r="B68">
        <f>IF($C68="","","C"&amp;TEXT(INT((ROW()-5)/9)+1,"000")&amp;"-1")</f>
        <v/>
      </c>
      <c r="C68">
        <f>IF(OR(Registro_Compras!$C$11="",Registro_Compras!$O$11=""),"",IF(Registro_Compras!$F$11="NOTA DE CREDITO","4212",IF(Registro_Compras!$M$11="","63",Registro_Compras!$M$11)))</f>
        <v/>
      </c>
      <c r="D68">
        <f>IF(OR(Registro_Compras!$C$11="",Registro_Compras!$O$11=""),"",IF(Registro_Compras!$F$11="NOTA DE CREDITO","Cuentas por Pagar Comerciales - Terceros (Emitidas)",IF(Registro_Compras!$F$11="RHE","Honorarios Profesionales - Servicios de Terceros","Gastos de Servicios Prestados por Terceros")))</f>
        <v/>
      </c>
      <c r="E68" s="20">
        <f>IF($C68="","",IF(Registro_Compras!$F$11="NOTA DE CREDITO",ABS(Registro_Compras!$O$11),IF(Registro_Compras!$F$11="RHE",ROUND(Registro_Compras!$L$11*Registro_Compras!$N$11,2),ROUND(Registro_Compras!$J$11*Registro_Compras!$N$11,2))))</f>
        <v/>
      </c>
      <c r="F68" s="20">
        <f>""</f>
        <v/>
      </c>
      <c r="G68">
        <f>IF($C68="","",IF(Registro_Compras!$F$11="NOTA DE CREDITO","Por la nota de credito "&amp;Registro_Compras!$C$11&amp;" de "&amp;Registro_Compras!$E$11&amp;" [PATRON POR CONFIRMAR CON CONTADOR]",IF(Registro_Compras!$F$11="RHE","Por el registro del recibo por honorarios "&amp;Registro_Compras!$C$11&amp;" de "&amp;Registro_Compras!$E$11&amp;" [PATRON POR CONFIRMAR CON CONTADOR]","Por el registro de la factura "&amp;Registro_Compras!$C$11&amp;" de "&amp;Registro_Compras!$E$11)))</f>
        <v/>
      </c>
      <c r="H68">
        <f>IF($C68="","",Registro_Compras!$C$11)</f>
        <v/>
      </c>
    </row>
    <row r="69">
      <c r="A69" s="25">
        <f>IF($C69="","",Registro_Compras!$B$11)</f>
        <v/>
      </c>
      <c r="B69">
        <f>IF($C69="","","C"&amp;TEXT(INT((ROW()-5)/9)+1,"000")&amp;"-1")</f>
        <v/>
      </c>
      <c r="C69">
        <f>IF(OR(Registro_Compras!$C$11="",Registro_Compras!$O$11=""),"",IF(Registro_Compras!$F$11="RHE",IF(Registro_Compras!$V$11=0,"","40172"),IF(Registro_Compras!$F$11="NOTA DE CREDITO",IF(Registro_Compras!$M$11="","63",Registro_Compras!$M$11),IF(Registro_Compras!$K$11=0,"","40111"))))</f>
        <v/>
      </c>
      <c r="D69">
        <f>IF(OR(Registro_Compras!$C$11="",Registro_Compras!$O$11=""),"",IF(Registro_Compras!$F$11="RHE","Retencion Renta 4ta Categoria por Pagar",IF(Registro_Compras!$F$11="NOTA DE CREDITO","Gastos de Servicios Prestados por Terceros","IGV - Cuenta Propia (Credito Fiscal)")))</f>
        <v/>
      </c>
      <c r="E69" s="20">
        <f>IF($C69="","",IF(Registro_Compras!$F$11="FACTURA",ROUND(Registro_Compras!$K$11*Registro_Compras!$N$11,2),""))</f>
        <v/>
      </c>
      <c r="F69" s="20">
        <f>IF($C69="","",IF(Registro_Compras!$F$11="RHE",ROUND(Registro_Compras!$V$11*Registro_Compras!$N$11,2),IF(Registro_Compras!$F$11="NOTA DE CREDITO",ROUND(ABS(Registro_Compras!$J$11*Registro_Compras!$N$11),2),"")))</f>
        <v/>
      </c>
      <c r="G69">
        <f>IF($C69="","",IF(Registro_Compras!$F$11="NOTA DE CREDITO","Por la nota de credito "&amp;Registro_Compras!$C$11&amp;" de "&amp;Registro_Compras!$E$11&amp;" [PATRON POR CONFIRMAR CON CONTADOR]",IF(Registro_Compras!$F$11="RHE","Por el registro del recibo por honorarios "&amp;Registro_Compras!$C$11&amp;" de "&amp;Registro_Compras!$E$11&amp;" [PATRON POR CONFIRMAR CON CONTADOR]","Por el registro de la factura "&amp;Registro_Compras!$C$11&amp;" de "&amp;Registro_Compras!$E$11)))</f>
        <v/>
      </c>
      <c r="H69">
        <f>IF($C69="","",Registro_Compras!$C$11)</f>
        <v/>
      </c>
    </row>
    <row r="70">
      <c r="A70" s="25">
        <f>IF($C70="","",Registro_Compras!$B$11)</f>
        <v/>
      </c>
      <c r="B70">
        <f>IF($C70="","","C"&amp;TEXT(INT((ROW()-5)/9)+1,"000")&amp;"-1")</f>
        <v/>
      </c>
      <c r="C70">
        <f>IF(OR(Registro_Compras!$C$11="",Registro_Compras!$O$11=""),"",IF(Registro_Compras!$F$11="NOTA DE CREDITO",IF(Registro_Compras!$K$11=0,"","40111"),"4212"))</f>
        <v/>
      </c>
      <c r="D70">
        <f>IF(OR(Registro_Compras!$C$11="",Registro_Compras!$O$11=""),"",IF(Registro_Compras!$F$11="NOTA DE CREDITO","IGV - Cuenta Propia (Credito Fiscal)","Cuentas por Pagar Comerciales - Terceros (Emitidas)"))</f>
        <v/>
      </c>
      <c r="E70" s="20">
        <f>""</f>
        <v/>
      </c>
      <c r="F70" s="20">
        <f>IF($C70="","",IF(Registro_Compras!$F$11="NOTA DE CREDITO",ROUND(ABS(Registro_Compras!$K$11*Registro_Compras!$N$11),2),IF(Registro_Compras!$F$11="RHE",(ROUND(Registro_Compras!$L$11*Registro_Compras!$N$11,2)-ROUND(Registro_Compras!$V$11*Registro_Compras!$N$11,2)),Registro_Compras!$O$11)))</f>
        <v/>
      </c>
      <c r="G70">
        <f>IF($C70="","",IF(Registro_Compras!$F$11="NOTA DE CREDITO","Por la nota de credito "&amp;Registro_Compras!$C$11&amp;" de "&amp;Registro_Compras!$E$11&amp;" [PATRON POR CONFIRMAR CON CONTADOR]",IF(Registro_Compras!$F$11="RHE","Por el registro del recibo por honorarios "&amp;Registro_Compras!$C$11&amp;" de "&amp;Registro_Compras!$E$11&amp;" [PATRON POR CONFIRMAR CON CONTADOR]","Por el registro de la factura "&amp;Registro_Compras!$C$11&amp;" de "&amp;Registro_Compras!$E$11)))</f>
        <v/>
      </c>
      <c r="H70">
        <f>IF($C70="","",Registro_Compras!$C$11)</f>
        <v/>
      </c>
    </row>
    <row r="71">
      <c r="A71" s="25">
        <f>IF($C71="","",Registro_Compras!$B$11)</f>
        <v/>
      </c>
      <c r="B71">
        <f>IF($C71="","","C"&amp;TEXT(INT((ROW()-5)/9)+1,"000")&amp;"-2")</f>
        <v/>
      </c>
      <c r="C71">
        <f>IF(OR(Registro_Compras!$C$11="",Registro_Compras!$O$11=""),"",IF(Registro_Compras!$AB$11="ADMINISTRATIVO","94","95"))</f>
        <v/>
      </c>
      <c r="D71">
        <f>IF(OR(Registro_Compras!$C$11="",Registro_Compras!$O$11=""),"",IF(Registro_Compras!$AB$11="ADMINISTRATIVO","Gastos Administrativos","Gastos de Venta y Operacion"))</f>
        <v/>
      </c>
      <c r="E71" s="20">
        <f>IF($C71="","",IF(Registro_Compras!$F$11="NOTA DE CREDITO","",IF(Registro_Compras!$F$11="RHE",ROUND(Registro_Compras!$L$11*Registro_Compras!$N$11,2),ROUND(Registro_Compras!$J$11*Registro_Compras!$N$11,2))))</f>
        <v/>
      </c>
      <c r="F71" s="20">
        <f>IF($C71="","",IF(Registro_Compras!$F$11="NOTA DE CREDITO",ROUND(ABS(Registro_Compras!$J$11*Registro_Compras!$N$11),2),""))</f>
        <v/>
      </c>
      <c r="G71">
        <f>IF($C71="","","Por el destino del gasto")</f>
        <v/>
      </c>
      <c r="H71">
        <f>IF($C71="","",Registro_Compras!$C$11)</f>
        <v/>
      </c>
    </row>
    <row r="72">
      <c r="A72" s="25">
        <f>IF($C72="","",Registro_Compras!$B$11)</f>
        <v/>
      </c>
      <c r="B72">
        <f>IF($C72="","","C"&amp;TEXT(INT((ROW()-5)/9)+1,"000")&amp;"-2")</f>
        <v/>
      </c>
      <c r="C72">
        <f>IF(OR(Registro_Compras!$C$11="",Registro_Compras!$O$11=""),"","79/791")</f>
        <v/>
      </c>
      <c r="D72">
        <f>IF(OR(Registro_Compras!$C$11="",Registro_Compras!$O$11=""),"","Cargas Imputables a Cuentas de Costos y Gastos")</f>
        <v/>
      </c>
      <c r="E72" s="20">
        <f>IF($C72="","",IF(Registro_Compras!$F$11="NOTA DE CREDITO",ROUND(ABS(Registro_Compras!$J$11*Registro_Compras!$N$11),2),""))</f>
        <v/>
      </c>
      <c r="F72" s="20">
        <f>IF($C72="","",IF(Registro_Compras!$F$11="NOTA DE CREDITO","",IF(Registro_Compras!$F$11="RHE",ROUND(Registro_Compras!$L$11*Registro_Compras!$N$11,2),ROUND(Registro_Compras!$J$11*Registro_Compras!$N$11,2))))</f>
        <v/>
      </c>
      <c r="G72">
        <f>IF($C72="","","Por el destino del gasto")</f>
        <v/>
      </c>
      <c r="H72">
        <f>IF($C72="","",Registro_Compras!$C$11)</f>
        <v/>
      </c>
    </row>
    <row r="73">
      <c r="A73" s="25">
        <f>IF($C73="","",Registro_Compras!$X$11)</f>
        <v/>
      </c>
      <c r="B73">
        <f>IF($C73="","","C"&amp;TEXT(INT((ROW()-5)/9)+1,"000")&amp;"-3")</f>
        <v/>
      </c>
      <c r="C73">
        <f>IF(OR(Registro_Compras!$C$11="",Registro_Compras!$O$11="",Registro_Compras!$R$11&lt;&gt;"SI",Registro_Compras!$X$11=""),"","4212")</f>
        <v/>
      </c>
      <c r="D73">
        <f>IF(OR(Registro_Compras!$C$11="",Registro_Compras!$O$11=""),"","Cuentas por Pagar Comerciales - Terceros")</f>
        <v/>
      </c>
      <c r="E73" s="20">
        <f>IF($C73="","",Registro_Compras!$S$11)</f>
        <v/>
      </c>
      <c r="F73" s="20">
        <f>""</f>
        <v/>
      </c>
      <c r="G73">
        <f>IF($C73="","","Por el deposito de la detraccion en el Banco de la Nacion")</f>
        <v/>
      </c>
      <c r="H73">
        <f>IF($C73="","",Registro_Compras!$C$11)</f>
        <v/>
      </c>
    </row>
    <row r="74">
      <c r="A74" s="25">
        <f>IF($C74="","",Registro_Compras!$X$11)</f>
        <v/>
      </c>
      <c r="B74">
        <f>IF($C74="","","C"&amp;TEXT(INT((ROW()-5)/9)+1,"000")&amp;"-3")</f>
        <v/>
      </c>
      <c r="C74">
        <f>IF(OR(Registro_Compras!$C$11="",Registro_Compras!$O$11="",Registro_Compras!$R$11&lt;&gt;"SI",Registro_Compras!$X$11=""),"","10413")</f>
        <v/>
      </c>
      <c r="D74">
        <f>IF(OR(Registro_Compras!$C$11="",Registro_Compras!$O$11=""),"","Efectivo y Equivalentes - Cta. Cte. Operativa")</f>
        <v/>
      </c>
      <c r="E74" s="20">
        <f>""</f>
        <v/>
      </c>
      <c r="F74" s="20">
        <f>IF($C74="","",Registro_Compras!$S$11)</f>
        <v/>
      </c>
      <c r="G74">
        <f>IF($C74="","","Por el deposito de la detraccion en el Banco de la Nacion")</f>
        <v/>
      </c>
      <c r="H74">
        <f>IF($C74="","",Registro_Compras!$C$11)</f>
        <v/>
      </c>
    </row>
    <row r="75">
      <c r="A75" s="25">
        <f>IF($C75="","",Registro_Compras!$Y$11)</f>
        <v/>
      </c>
      <c r="B75">
        <f>IF($C75="","","C"&amp;TEXT(INT((ROW()-5)/9)+1,"000")&amp;"-4")</f>
        <v/>
      </c>
      <c r="C75">
        <f>IF(OR(Registro_Compras!$C$11="",Registro_Compras!$O$11="",Registro_Compras!$Y$11="",Registro_Compras!$F$11="NOTA DE CREDITO"),"","4212")</f>
        <v/>
      </c>
      <c r="D75">
        <f>IF(OR(Registro_Compras!$C$11="",Registro_Compras!$O$11=""),"","Cuentas por Pagar Comerciales - Terceros")</f>
        <v/>
      </c>
      <c r="E75" s="20">
        <f>IF($C75="","",IF(Registro_Compras!$F$11="RHE",(ROUND(Registro_Compras!$L$11*Registro_Compras!$N$11,2)-ROUND(Registro_Compras!$V$11*Registro_Compras!$N$11,2)),ROUND(Registro_Compras!$O$11-Registro_Compras!$S$11,2)))</f>
        <v/>
      </c>
      <c r="F75" s="20">
        <f>""</f>
        <v/>
      </c>
      <c r="G75">
        <f>IF($C75="","","Por la cancelacion del saldo al proveedor")</f>
        <v/>
      </c>
      <c r="H75">
        <f>IF($C75="","",Registro_Compras!$C$11)</f>
        <v/>
      </c>
    </row>
    <row r="76">
      <c r="A76" s="25">
        <f>IF($C76="","",Registro_Compras!$Y$11)</f>
        <v/>
      </c>
      <c r="B76">
        <f>IF($C76="","","C"&amp;TEXT(INT((ROW()-5)/9)+1,"000")&amp;"-4")</f>
        <v/>
      </c>
      <c r="C76">
        <f>IF(OR(Registro_Compras!$C$11="",Registro_Compras!$O$11="",Registro_Compras!$Y$11="",Registro_Compras!$F$11="NOTA DE CREDITO"),"","10413")</f>
        <v/>
      </c>
      <c r="D76">
        <f>IF(OR(Registro_Compras!$C$11="",Registro_Compras!$O$11=""),"","Efectivo y Equivalentes - Cta. Cte. Operativa")</f>
        <v/>
      </c>
      <c r="E76" s="20">
        <f>""</f>
        <v/>
      </c>
      <c r="F76" s="20">
        <f>IF($C76="","",IF(Registro_Compras!$F$11="RHE",(ROUND(Registro_Compras!$L$11*Registro_Compras!$N$11,2)-ROUND(Registro_Compras!$V$11*Registro_Compras!$N$11,2)),ROUND(Registro_Compras!$O$11-Registro_Compras!$S$11,2)))</f>
        <v/>
      </c>
      <c r="G76">
        <f>IF($C76="","","Por la cancelacion del saldo al proveedor")</f>
        <v/>
      </c>
      <c r="H76">
        <f>IF($C76="","",Registro_Compras!$C$11)</f>
        <v/>
      </c>
    </row>
    <row r="77">
      <c r="A77" s="25">
        <f>IF($C77="","",Registro_Compras!$B$12)</f>
        <v/>
      </c>
      <c r="B77">
        <f>IF($C77="","","C"&amp;TEXT(INT((ROW()-5)/9)+1,"000")&amp;"-1")</f>
        <v/>
      </c>
      <c r="C77">
        <f>IF(OR(Registro_Compras!$C$12="",Registro_Compras!$O$12=""),"",IF(Registro_Compras!$F$12="NOTA DE CREDITO","4212",IF(Registro_Compras!$M$12="","63",Registro_Compras!$M$12)))</f>
        <v/>
      </c>
      <c r="D77">
        <f>IF(OR(Registro_Compras!$C$12="",Registro_Compras!$O$12=""),"",IF(Registro_Compras!$F$12="NOTA DE CREDITO","Cuentas por Pagar Comerciales - Terceros (Emitidas)",IF(Registro_Compras!$F$12="RHE","Honorarios Profesionales - Servicios de Terceros","Gastos de Servicios Prestados por Terceros")))</f>
        <v/>
      </c>
      <c r="E77" s="20">
        <f>IF($C77="","",IF(Registro_Compras!$F$12="NOTA DE CREDITO",ABS(Registro_Compras!$O$12),IF(Registro_Compras!$F$12="RHE",ROUND(Registro_Compras!$L$12*Registro_Compras!$N$12,2),ROUND(Registro_Compras!$J$12*Registro_Compras!$N$12,2))))</f>
        <v/>
      </c>
      <c r="F77" s="20">
        <f>""</f>
        <v/>
      </c>
      <c r="G77">
        <f>IF($C77="","",IF(Registro_Compras!$F$12="NOTA DE CREDITO","Por la nota de credito "&amp;Registro_Compras!$C$12&amp;" de "&amp;Registro_Compras!$E$12&amp;" [PATRON POR CONFIRMAR CON CONTADOR]",IF(Registro_Compras!$F$12="RHE","Por el registro del recibo por honorarios "&amp;Registro_Compras!$C$12&amp;" de "&amp;Registro_Compras!$E$12&amp;" [PATRON POR CONFIRMAR CON CONTADOR]","Por el registro de la factura "&amp;Registro_Compras!$C$12&amp;" de "&amp;Registro_Compras!$E$12)))</f>
        <v/>
      </c>
      <c r="H77">
        <f>IF($C77="","",Registro_Compras!$C$12)</f>
        <v/>
      </c>
    </row>
    <row r="78">
      <c r="A78" s="25">
        <f>IF($C78="","",Registro_Compras!$B$12)</f>
        <v/>
      </c>
      <c r="B78">
        <f>IF($C78="","","C"&amp;TEXT(INT((ROW()-5)/9)+1,"000")&amp;"-1")</f>
        <v/>
      </c>
      <c r="C78">
        <f>IF(OR(Registro_Compras!$C$12="",Registro_Compras!$O$12=""),"",IF(Registro_Compras!$F$12="RHE",IF(Registro_Compras!$V$12=0,"","40172"),IF(Registro_Compras!$F$12="NOTA DE CREDITO",IF(Registro_Compras!$M$12="","63",Registro_Compras!$M$12),IF(Registro_Compras!$K$12=0,"","40111"))))</f>
        <v/>
      </c>
      <c r="D78">
        <f>IF(OR(Registro_Compras!$C$12="",Registro_Compras!$O$12=""),"",IF(Registro_Compras!$F$12="RHE","Retencion Renta 4ta Categoria por Pagar",IF(Registro_Compras!$F$12="NOTA DE CREDITO","Gastos de Servicios Prestados por Terceros","IGV - Cuenta Propia (Credito Fiscal)")))</f>
        <v/>
      </c>
      <c r="E78" s="20">
        <f>IF($C78="","",IF(Registro_Compras!$F$12="FACTURA",ROUND(Registro_Compras!$K$12*Registro_Compras!$N$12,2),""))</f>
        <v/>
      </c>
      <c r="F78" s="20">
        <f>IF($C78="","",IF(Registro_Compras!$F$12="RHE",ROUND(Registro_Compras!$V$12*Registro_Compras!$N$12,2),IF(Registro_Compras!$F$12="NOTA DE CREDITO",ROUND(ABS(Registro_Compras!$J$12*Registro_Compras!$N$12),2),"")))</f>
        <v/>
      </c>
      <c r="G78">
        <f>IF($C78="","",IF(Registro_Compras!$F$12="NOTA DE CREDITO","Por la nota de credito "&amp;Registro_Compras!$C$12&amp;" de "&amp;Registro_Compras!$E$12&amp;" [PATRON POR CONFIRMAR CON CONTADOR]",IF(Registro_Compras!$F$12="RHE","Por el registro del recibo por honorarios "&amp;Registro_Compras!$C$12&amp;" de "&amp;Registro_Compras!$E$12&amp;" [PATRON POR CONFIRMAR CON CONTADOR]","Por el registro de la factura "&amp;Registro_Compras!$C$12&amp;" de "&amp;Registro_Compras!$E$12)))</f>
        <v/>
      </c>
      <c r="H78">
        <f>IF($C78="","",Registro_Compras!$C$12)</f>
        <v/>
      </c>
    </row>
    <row r="79">
      <c r="A79" s="25">
        <f>IF($C79="","",Registro_Compras!$B$12)</f>
        <v/>
      </c>
      <c r="B79">
        <f>IF($C79="","","C"&amp;TEXT(INT((ROW()-5)/9)+1,"000")&amp;"-1")</f>
        <v/>
      </c>
      <c r="C79">
        <f>IF(OR(Registro_Compras!$C$12="",Registro_Compras!$O$12=""),"",IF(Registro_Compras!$F$12="NOTA DE CREDITO",IF(Registro_Compras!$K$12=0,"","40111"),"4212"))</f>
        <v/>
      </c>
      <c r="D79">
        <f>IF(OR(Registro_Compras!$C$12="",Registro_Compras!$O$12=""),"",IF(Registro_Compras!$F$12="NOTA DE CREDITO","IGV - Cuenta Propia (Credito Fiscal)","Cuentas por Pagar Comerciales - Terceros (Emitidas)"))</f>
        <v/>
      </c>
      <c r="E79" s="20">
        <f>""</f>
        <v/>
      </c>
      <c r="F79" s="20">
        <f>IF($C79="","",IF(Registro_Compras!$F$12="NOTA DE CREDITO",ROUND(ABS(Registro_Compras!$K$12*Registro_Compras!$N$12),2),IF(Registro_Compras!$F$12="RHE",(ROUND(Registro_Compras!$L$12*Registro_Compras!$N$12,2)-ROUND(Registro_Compras!$V$12*Registro_Compras!$N$12,2)),Registro_Compras!$O$12)))</f>
        <v/>
      </c>
      <c r="G79">
        <f>IF($C79="","",IF(Registro_Compras!$F$12="NOTA DE CREDITO","Por la nota de credito "&amp;Registro_Compras!$C$12&amp;" de "&amp;Registro_Compras!$E$12&amp;" [PATRON POR CONFIRMAR CON CONTADOR]",IF(Registro_Compras!$F$12="RHE","Por el registro del recibo por honorarios "&amp;Registro_Compras!$C$12&amp;" de "&amp;Registro_Compras!$E$12&amp;" [PATRON POR CONFIRMAR CON CONTADOR]","Por el registro de la factura "&amp;Registro_Compras!$C$12&amp;" de "&amp;Registro_Compras!$E$12)))</f>
        <v/>
      </c>
      <c r="H79">
        <f>IF($C79="","",Registro_Compras!$C$12)</f>
        <v/>
      </c>
    </row>
    <row r="80">
      <c r="A80" s="25">
        <f>IF($C80="","",Registro_Compras!$B$12)</f>
        <v/>
      </c>
      <c r="B80">
        <f>IF($C80="","","C"&amp;TEXT(INT((ROW()-5)/9)+1,"000")&amp;"-2")</f>
        <v/>
      </c>
      <c r="C80">
        <f>IF(OR(Registro_Compras!$C$12="",Registro_Compras!$O$12=""),"",IF(Registro_Compras!$AB$12="ADMINISTRATIVO","94","95"))</f>
        <v/>
      </c>
      <c r="D80">
        <f>IF(OR(Registro_Compras!$C$12="",Registro_Compras!$O$12=""),"",IF(Registro_Compras!$AB$12="ADMINISTRATIVO","Gastos Administrativos","Gastos de Venta y Operacion"))</f>
        <v/>
      </c>
      <c r="E80" s="20">
        <f>IF($C80="","",IF(Registro_Compras!$F$12="NOTA DE CREDITO","",IF(Registro_Compras!$F$12="RHE",ROUND(Registro_Compras!$L$12*Registro_Compras!$N$12,2),ROUND(Registro_Compras!$J$12*Registro_Compras!$N$12,2))))</f>
        <v/>
      </c>
      <c r="F80" s="20">
        <f>IF($C80="","",IF(Registro_Compras!$F$12="NOTA DE CREDITO",ROUND(ABS(Registro_Compras!$J$12*Registro_Compras!$N$12),2),""))</f>
        <v/>
      </c>
      <c r="G80">
        <f>IF($C80="","","Por el destino del gasto")</f>
        <v/>
      </c>
      <c r="H80">
        <f>IF($C80="","",Registro_Compras!$C$12)</f>
        <v/>
      </c>
    </row>
    <row r="81">
      <c r="A81" s="25">
        <f>IF($C81="","",Registro_Compras!$B$12)</f>
        <v/>
      </c>
      <c r="B81">
        <f>IF($C81="","","C"&amp;TEXT(INT((ROW()-5)/9)+1,"000")&amp;"-2")</f>
        <v/>
      </c>
      <c r="C81">
        <f>IF(OR(Registro_Compras!$C$12="",Registro_Compras!$O$12=""),"","79/791")</f>
        <v/>
      </c>
      <c r="D81">
        <f>IF(OR(Registro_Compras!$C$12="",Registro_Compras!$O$12=""),"","Cargas Imputables a Cuentas de Costos y Gastos")</f>
        <v/>
      </c>
      <c r="E81" s="20">
        <f>IF($C81="","",IF(Registro_Compras!$F$12="NOTA DE CREDITO",ROUND(ABS(Registro_Compras!$J$12*Registro_Compras!$N$12),2),""))</f>
        <v/>
      </c>
      <c r="F81" s="20">
        <f>IF($C81="","",IF(Registro_Compras!$F$12="NOTA DE CREDITO","",IF(Registro_Compras!$F$12="RHE",ROUND(Registro_Compras!$L$12*Registro_Compras!$N$12,2),ROUND(Registro_Compras!$J$12*Registro_Compras!$N$12,2))))</f>
        <v/>
      </c>
      <c r="G81">
        <f>IF($C81="","","Por el destino del gasto")</f>
        <v/>
      </c>
      <c r="H81">
        <f>IF($C81="","",Registro_Compras!$C$12)</f>
        <v/>
      </c>
    </row>
    <row r="82">
      <c r="A82" s="25">
        <f>IF($C82="","",Registro_Compras!$X$12)</f>
        <v/>
      </c>
      <c r="B82">
        <f>IF($C82="","","C"&amp;TEXT(INT((ROW()-5)/9)+1,"000")&amp;"-3")</f>
        <v/>
      </c>
      <c r="C82">
        <f>IF(OR(Registro_Compras!$C$12="",Registro_Compras!$O$12="",Registro_Compras!$R$12&lt;&gt;"SI",Registro_Compras!$X$12=""),"","4212")</f>
        <v/>
      </c>
      <c r="D82">
        <f>IF(OR(Registro_Compras!$C$12="",Registro_Compras!$O$12=""),"","Cuentas por Pagar Comerciales - Terceros")</f>
        <v/>
      </c>
      <c r="E82" s="20">
        <f>IF($C82="","",Registro_Compras!$S$12)</f>
        <v/>
      </c>
      <c r="F82" s="20">
        <f>""</f>
        <v/>
      </c>
      <c r="G82">
        <f>IF($C82="","","Por el deposito de la detraccion en el Banco de la Nacion")</f>
        <v/>
      </c>
      <c r="H82">
        <f>IF($C82="","",Registro_Compras!$C$12)</f>
        <v/>
      </c>
    </row>
    <row r="83">
      <c r="A83" s="25">
        <f>IF($C83="","",Registro_Compras!$X$12)</f>
        <v/>
      </c>
      <c r="B83">
        <f>IF($C83="","","C"&amp;TEXT(INT((ROW()-5)/9)+1,"000")&amp;"-3")</f>
        <v/>
      </c>
      <c r="C83">
        <f>IF(OR(Registro_Compras!$C$12="",Registro_Compras!$O$12="",Registro_Compras!$R$12&lt;&gt;"SI",Registro_Compras!$X$12=""),"","10413")</f>
        <v/>
      </c>
      <c r="D83">
        <f>IF(OR(Registro_Compras!$C$12="",Registro_Compras!$O$12=""),"","Efectivo y Equivalentes - Cta. Cte. Operativa")</f>
        <v/>
      </c>
      <c r="E83" s="20">
        <f>""</f>
        <v/>
      </c>
      <c r="F83" s="20">
        <f>IF($C83="","",Registro_Compras!$S$12)</f>
        <v/>
      </c>
      <c r="G83">
        <f>IF($C83="","","Por el deposito de la detraccion en el Banco de la Nacion")</f>
        <v/>
      </c>
      <c r="H83">
        <f>IF($C83="","",Registro_Compras!$C$12)</f>
        <v/>
      </c>
    </row>
    <row r="84">
      <c r="A84" s="25">
        <f>IF($C84="","",Registro_Compras!$Y$12)</f>
        <v/>
      </c>
      <c r="B84">
        <f>IF($C84="","","C"&amp;TEXT(INT((ROW()-5)/9)+1,"000")&amp;"-4")</f>
        <v/>
      </c>
      <c r="C84">
        <f>IF(OR(Registro_Compras!$C$12="",Registro_Compras!$O$12="",Registro_Compras!$Y$12="",Registro_Compras!$F$12="NOTA DE CREDITO"),"","4212")</f>
        <v/>
      </c>
      <c r="D84">
        <f>IF(OR(Registro_Compras!$C$12="",Registro_Compras!$O$12=""),"","Cuentas por Pagar Comerciales - Terceros")</f>
        <v/>
      </c>
      <c r="E84" s="20">
        <f>IF($C84="","",IF(Registro_Compras!$F$12="RHE",(ROUND(Registro_Compras!$L$12*Registro_Compras!$N$12,2)-ROUND(Registro_Compras!$V$12*Registro_Compras!$N$12,2)),ROUND(Registro_Compras!$O$12-Registro_Compras!$S$12,2)))</f>
        <v/>
      </c>
      <c r="F84" s="20">
        <f>""</f>
        <v/>
      </c>
      <c r="G84">
        <f>IF($C84="","","Por la cancelacion del saldo al proveedor")</f>
        <v/>
      </c>
      <c r="H84">
        <f>IF($C84="","",Registro_Compras!$C$12)</f>
        <v/>
      </c>
    </row>
    <row r="85">
      <c r="A85" s="25">
        <f>IF($C85="","",Registro_Compras!$Y$12)</f>
        <v/>
      </c>
      <c r="B85">
        <f>IF($C85="","","C"&amp;TEXT(INT((ROW()-5)/9)+1,"000")&amp;"-4")</f>
        <v/>
      </c>
      <c r="C85">
        <f>IF(OR(Registro_Compras!$C$12="",Registro_Compras!$O$12="",Registro_Compras!$Y$12="",Registro_Compras!$F$12="NOTA DE CREDITO"),"","10413")</f>
        <v/>
      </c>
      <c r="D85">
        <f>IF(OR(Registro_Compras!$C$12="",Registro_Compras!$O$12=""),"","Efectivo y Equivalentes - Cta. Cte. Operativa")</f>
        <v/>
      </c>
      <c r="E85" s="20">
        <f>""</f>
        <v/>
      </c>
      <c r="F85" s="20">
        <f>IF($C85="","",IF(Registro_Compras!$F$12="RHE",(ROUND(Registro_Compras!$L$12*Registro_Compras!$N$12,2)-ROUND(Registro_Compras!$V$12*Registro_Compras!$N$12,2)),ROUND(Registro_Compras!$O$12-Registro_Compras!$S$12,2)))</f>
        <v/>
      </c>
      <c r="G85">
        <f>IF($C85="","","Por la cancelacion del saldo al proveedor")</f>
        <v/>
      </c>
      <c r="H85">
        <f>IF($C85="","",Registro_Compras!$C$12)</f>
        <v/>
      </c>
    </row>
    <row r="86">
      <c r="A86" s="25">
        <f>IF($C86="","",Registro_Compras!$B$13)</f>
        <v/>
      </c>
      <c r="B86">
        <f>IF($C86="","","C"&amp;TEXT(INT((ROW()-5)/9)+1,"000")&amp;"-1")</f>
        <v/>
      </c>
      <c r="C86">
        <f>IF(OR(Registro_Compras!$C$13="",Registro_Compras!$O$13=""),"",IF(Registro_Compras!$F$13="NOTA DE CREDITO","4212",IF(Registro_Compras!$M$13="","63",Registro_Compras!$M$13)))</f>
        <v/>
      </c>
      <c r="D86">
        <f>IF(OR(Registro_Compras!$C$13="",Registro_Compras!$O$13=""),"",IF(Registro_Compras!$F$13="NOTA DE CREDITO","Cuentas por Pagar Comerciales - Terceros (Emitidas)",IF(Registro_Compras!$F$13="RHE","Honorarios Profesionales - Servicios de Terceros","Gastos de Servicios Prestados por Terceros")))</f>
        <v/>
      </c>
      <c r="E86" s="20">
        <f>IF($C86="","",IF(Registro_Compras!$F$13="NOTA DE CREDITO",ABS(Registro_Compras!$O$13),IF(Registro_Compras!$F$13="RHE",ROUND(Registro_Compras!$L$13*Registro_Compras!$N$13,2),ROUND(Registro_Compras!$J$13*Registro_Compras!$N$13,2))))</f>
        <v/>
      </c>
      <c r="F86" s="20">
        <f>""</f>
        <v/>
      </c>
      <c r="G86">
        <f>IF($C86="","",IF(Registro_Compras!$F$13="NOTA DE CREDITO","Por la nota de credito "&amp;Registro_Compras!$C$13&amp;" de "&amp;Registro_Compras!$E$13&amp;" [PATRON POR CONFIRMAR CON CONTADOR]",IF(Registro_Compras!$F$13="RHE","Por el registro del recibo por honorarios "&amp;Registro_Compras!$C$13&amp;" de "&amp;Registro_Compras!$E$13&amp;" [PATRON POR CONFIRMAR CON CONTADOR]","Por el registro de la factura "&amp;Registro_Compras!$C$13&amp;" de "&amp;Registro_Compras!$E$13)))</f>
        <v/>
      </c>
      <c r="H86">
        <f>IF($C86="","",Registro_Compras!$C$13)</f>
        <v/>
      </c>
    </row>
    <row r="87">
      <c r="A87" s="25">
        <f>IF($C87="","",Registro_Compras!$B$13)</f>
        <v/>
      </c>
      <c r="B87">
        <f>IF($C87="","","C"&amp;TEXT(INT((ROW()-5)/9)+1,"000")&amp;"-1")</f>
        <v/>
      </c>
      <c r="C87">
        <f>IF(OR(Registro_Compras!$C$13="",Registro_Compras!$O$13=""),"",IF(Registro_Compras!$F$13="RHE",IF(Registro_Compras!$V$13=0,"","40172"),IF(Registro_Compras!$F$13="NOTA DE CREDITO",IF(Registro_Compras!$M$13="","63",Registro_Compras!$M$13),IF(Registro_Compras!$K$13=0,"","40111"))))</f>
        <v/>
      </c>
      <c r="D87">
        <f>IF(OR(Registro_Compras!$C$13="",Registro_Compras!$O$13=""),"",IF(Registro_Compras!$F$13="RHE","Retencion Renta 4ta Categoria por Pagar",IF(Registro_Compras!$F$13="NOTA DE CREDITO","Gastos de Servicios Prestados por Terceros","IGV - Cuenta Propia (Credito Fiscal)")))</f>
        <v/>
      </c>
      <c r="E87" s="20">
        <f>IF($C87="","",IF(Registro_Compras!$F$13="FACTURA",ROUND(Registro_Compras!$K$13*Registro_Compras!$N$13,2),""))</f>
        <v/>
      </c>
      <c r="F87" s="20">
        <f>IF($C87="","",IF(Registro_Compras!$F$13="RHE",ROUND(Registro_Compras!$V$13*Registro_Compras!$N$13,2),IF(Registro_Compras!$F$13="NOTA DE CREDITO",ROUND(ABS(Registro_Compras!$J$13*Registro_Compras!$N$13),2),"")))</f>
        <v/>
      </c>
      <c r="G87">
        <f>IF($C87="","",IF(Registro_Compras!$F$13="NOTA DE CREDITO","Por la nota de credito "&amp;Registro_Compras!$C$13&amp;" de "&amp;Registro_Compras!$E$13&amp;" [PATRON POR CONFIRMAR CON CONTADOR]",IF(Registro_Compras!$F$13="RHE","Por el registro del recibo por honorarios "&amp;Registro_Compras!$C$13&amp;" de "&amp;Registro_Compras!$E$13&amp;" [PATRON POR CONFIRMAR CON CONTADOR]","Por el registro de la factura "&amp;Registro_Compras!$C$13&amp;" de "&amp;Registro_Compras!$E$13)))</f>
        <v/>
      </c>
      <c r="H87">
        <f>IF($C87="","",Registro_Compras!$C$13)</f>
        <v/>
      </c>
    </row>
    <row r="88">
      <c r="A88" s="25">
        <f>IF($C88="","",Registro_Compras!$B$13)</f>
        <v/>
      </c>
      <c r="B88">
        <f>IF($C88="","","C"&amp;TEXT(INT((ROW()-5)/9)+1,"000")&amp;"-1")</f>
        <v/>
      </c>
      <c r="C88">
        <f>IF(OR(Registro_Compras!$C$13="",Registro_Compras!$O$13=""),"",IF(Registro_Compras!$F$13="NOTA DE CREDITO",IF(Registro_Compras!$K$13=0,"","40111"),"4212"))</f>
        <v/>
      </c>
      <c r="D88">
        <f>IF(OR(Registro_Compras!$C$13="",Registro_Compras!$O$13=""),"",IF(Registro_Compras!$F$13="NOTA DE CREDITO","IGV - Cuenta Propia (Credito Fiscal)","Cuentas por Pagar Comerciales - Terceros (Emitidas)"))</f>
        <v/>
      </c>
      <c r="E88" s="20">
        <f>""</f>
        <v/>
      </c>
      <c r="F88" s="20">
        <f>IF($C88="","",IF(Registro_Compras!$F$13="NOTA DE CREDITO",ROUND(ABS(Registro_Compras!$K$13*Registro_Compras!$N$13),2),IF(Registro_Compras!$F$13="RHE",(ROUND(Registro_Compras!$L$13*Registro_Compras!$N$13,2)-ROUND(Registro_Compras!$V$13*Registro_Compras!$N$13,2)),Registro_Compras!$O$13)))</f>
        <v/>
      </c>
      <c r="G88">
        <f>IF($C88="","",IF(Registro_Compras!$F$13="NOTA DE CREDITO","Por la nota de credito "&amp;Registro_Compras!$C$13&amp;" de "&amp;Registro_Compras!$E$13&amp;" [PATRON POR CONFIRMAR CON CONTADOR]",IF(Registro_Compras!$F$13="RHE","Por el registro del recibo por honorarios "&amp;Registro_Compras!$C$13&amp;" de "&amp;Registro_Compras!$E$13&amp;" [PATRON POR CONFIRMAR CON CONTADOR]","Por el registro de la factura "&amp;Registro_Compras!$C$13&amp;" de "&amp;Registro_Compras!$E$13)))</f>
        <v/>
      </c>
      <c r="H88">
        <f>IF($C88="","",Registro_Compras!$C$13)</f>
        <v/>
      </c>
    </row>
    <row r="89">
      <c r="A89" s="25">
        <f>IF($C89="","",Registro_Compras!$B$13)</f>
        <v/>
      </c>
      <c r="B89">
        <f>IF($C89="","","C"&amp;TEXT(INT((ROW()-5)/9)+1,"000")&amp;"-2")</f>
        <v/>
      </c>
      <c r="C89">
        <f>IF(OR(Registro_Compras!$C$13="",Registro_Compras!$O$13=""),"",IF(Registro_Compras!$AB$13="ADMINISTRATIVO","94","95"))</f>
        <v/>
      </c>
      <c r="D89">
        <f>IF(OR(Registro_Compras!$C$13="",Registro_Compras!$O$13=""),"",IF(Registro_Compras!$AB$13="ADMINISTRATIVO","Gastos Administrativos","Gastos de Venta y Operacion"))</f>
        <v/>
      </c>
      <c r="E89" s="20">
        <f>IF($C89="","",IF(Registro_Compras!$F$13="NOTA DE CREDITO","",IF(Registro_Compras!$F$13="RHE",ROUND(Registro_Compras!$L$13*Registro_Compras!$N$13,2),ROUND(Registro_Compras!$J$13*Registro_Compras!$N$13,2))))</f>
        <v/>
      </c>
      <c r="F89" s="20">
        <f>IF($C89="","",IF(Registro_Compras!$F$13="NOTA DE CREDITO",ROUND(ABS(Registro_Compras!$J$13*Registro_Compras!$N$13),2),""))</f>
        <v/>
      </c>
      <c r="G89">
        <f>IF($C89="","","Por el destino del gasto")</f>
        <v/>
      </c>
      <c r="H89">
        <f>IF($C89="","",Registro_Compras!$C$13)</f>
        <v/>
      </c>
    </row>
    <row r="90">
      <c r="A90" s="25">
        <f>IF($C90="","",Registro_Compras!$B$13)</f>
        <v/>
      </c>
      <c r="B90">
        <f>IF($C90="","","C"&amp;TEXT(INT((ROW()-5)/9)+1,"000")&amp;"-2")</f>
        <v/>
      </c>
      <c r="C90">
        <f>IF(OR(Registro_Compras!$C$13="",Registro_Compras!$O$13=""),"","79/791")</f>
        <v/>
      </c>
      <c r="D90">
        <f>IF(OR(Registro_Compras!$C$13="",Registro_Compras!$O$13=""),"","Cargas Imputables a Cuentas de Costos y Gastos")</f>
        <v/>
      </c>
      <c r="E90" s="20">
        <f>IF($C90="","",IF(Registro_Compras!$F$13="NOTA DE CREDITO",ROUND(ABS(Registro_Compras!$J$13*Registro_Compras!$N$13),2),""))</f>
        <v/>
      </c>
      <c r="F90" s="20">
        <f>IF($C90="","",IF(Registro_Compras!$F$13="NOTA DE CREDITO","",IF(Registro_Compras!$F$13="RHE",ROUND(Registro_Compras!$L$13*Registro_Compras!$N$13,2),ROUND(Registro_Compras!$J$13*Registro_Compras!$N$13,2))))</f>
        <v/>
      </c>
      <c r="G90">
        <f>IF($C90="","","Por el destino del gasto")</f>
        <v/>
      </c>
      <c r="H90">
        <f>IF($C90="","",Registro_Compras!$C$13)</f>
        <v/>
      </c>
    </row>
    <row r="91">
      <c r="A91" s="25">
        <f>IF($C91="","",Registro_Compras!$X$13)</f>
        <v/>
      </c>
      <c r="B91">
        <f>IF($C91="","","C"&amp;TEXT(INT((ROW()-5)/9)+1,"000")&amp;"-3")</f>
        <v/>
      </c>
      <c r="C91">
        <f>IF(OR(Registro_Compras!$C$13="",Registro_Compras!$O$13="",Registro_Compras!$R$13&lt;&gt;"SI",Registro_Compras!$X$13=""),"","4212")</f>
        <v/>
      </c>
      <c r="D91">
        <f>IF(OR(Registro_Compras!$C$13="",Registro_Compras!$O$13=""),"","Cuentas por Pagar Comerciales - Terceros")</f>
        <v/>
      </c>
      <c r="E91" s="20">
        <f>IF($C91="","",Registro_Compras!$S$13)</f>
        <v/>
      </c>
      <c r="F91" s="20">
        <f>""</f>
        <v/>
      </c>
      <c r="G91">
        <f>IF($C91="","","Por el deposito de la detraccion en el Banco de la Nacion")</f>
        <v/>
      </c>
      <c r="H91">
        <f>IF($C91="","",Registro_Compras!$C$13)</f>
        <v/>
      </c>
    </row>
    <row r="92">
      <c r="A92" s="25">
        <f>IF($C92="","",Registro_Compras!$X$13)</f>
        <v/>
      </c>
      <c r="B92">
        <f>IF($C92="","","C"&amp;TEXT(INT((ROW()-5)/9)+1,"000")&amp;"-3")</f>
        <v/>
      </c>
      <c r="C92">
        <f>IF(OR(Registro_Compras!$C$13="",Registro_Compras!$O$13="",Registro_Compras!$R$13&lt;&gt;"SI",Registro_Compras!$X$13=""),"","10413")</f>
        <v/>
      </c>
      <c r="D92">
        <f>IF(OR(Registro_Compras!$C$13="",Registro_Compras!$O$13=""),"","Efectivo y Equivalentes - Cta. Cte. Operativa")</f>
        <v/>
      </c>
      <c r="E92" s="20">
        <f>""</f>
        <v/>
      </c>
      <c r="F92" s="20">
        <f>IF($C92="","",Registro_Compras!$S$13)</f>
        <v/>
      </c>
      <c r="G92">
        <f>IF($C92="","","Por el deposito de la detraccion en el Banco de la Nacion")</f>
        <v/>
      </c>
      <c r="H92">
        <f>IF($C92="","",Registro_Compras!$C$13)</f>
        <v/>
      </c>
    </row>
    <row r="93">
      <c r="A93" s="25">
        <f>IF($C93="","",Registro_Compras!$Y$13)</f>
        <v/>
      </c>
      <c r="B93">
        <f>IF($C93="","","C"&amp;TEXT(INT((ROW()-5)/9)+1,"000")&amp;"-4")</f>
        <v/>
      </c>
      <c r="C93">
        <f>IF(OR(Registro_Compras!$C$13="",Registro_Compras!$O$13="",Registro_Compras!$Y$13="",Registro_Compras!$F$13="NOTA DE CREDITO"),"","4212")</f>
        <v/>
      </c>
      <c r="D93">
        <f>IF(OR(Registro_Compras!$C$13="",Registro_Compras!$O$13=""),"","Cuentas por Pagar Comerciales - Terceros")</f>
        <v/>
      </c>
      <c r="E93" s="20">
        <f>IF($C93="","",IF(Registro_Compras!$F$13="RHE",(ROUND(Registro_Compras!$L$13*Registro_Compras!$N$13,2)-ROUND(Registro_Compras!$V$13*Registro_Compras!$N$13,2)),ROUND(Registro_Compras!$O$13-Registro_Compras!$S$13,2)))</f>
        <v/>
      </c>
      <c r="F93" s="20">
        <f>""</f>
        <v/>
      </c>
      <c r="G93">
        <f>IF($C93="","","Por la cancelacion del saldo al proveedor")</f>
        <v/>
      </c>
      <c r="H93">
        <f>IF($C93="","",Registro_Compras!$C$13)</f>
        <v/>
      </c>
    </row>
    <row r="94">
      <c r="A94" s="25">
        <f>IF($C94="","",Registro_Compras!$Y$13)</f>
        <v/>
      </c>
      <c r="B94">
        <f>IF($C94="","","C"&amp;TEXT(INT((ROW()-5)/9)+1,"000")&amp;"-4")</f>
        <v/>
      </c>
      <c r="C94">
        <f>IF(OR(Registro_Compras!$C$13="",Registro_Compras!$O$13="",Registro_Compras!$Y$13="",Registro_Compras!$F$13="NOTA DE CREDITO"),"","10413")</f>
        <v/>
      </c>
      <c r="D94">
        <f>IF(OR(Registro_Compras!$C$13="",Registro_Compras!$O$13=""),"","Efectivo y Equivalentes - Cta. Cte. Operativa")</f>
        <v/>
      </c>
      <c r="E94" s="20">
        <f>""</f>
        <v/>
      </c>
      <c r="F94" s="20">
        <f>IF($C94="","",IF(Registro_Compras!$F$13="RHE",(ROUND(Registro_Compras!$L$13*Registro_Compras!$N$13,2)-ROUND(Registro_Compras!$V$13*Registro_Compras!$N$13,2)),ROUND(Registro_Compras!$O$13-Registro_Compras!$S$13,2)))</f>
        <v/>
      </c>
      <c r="G94">
        <f>IF($C94="","","Por la cancelacion del saldo al proveedor")</f>
        <v/>
      </c>
      <c r="H94">
        <f>IF($C94="","",Registro_Compras!$C$13)</f>
        <v/>
      </c>
    </row>
    <row r="95">
      <c r="A95" s="25">
        <f>IF($C95="","",Registro_Compras!$B$14)</f>
        <v/>
      </c>
      <c r="B95">
        <f>IF($C95="","","C"&amp;TEXT(INT((ROW()-5)/9)+1,"000")&amp;"-1")</f>
        <v/>
      </c>
      <c r="C95">
        <f>IF(OR(Registro_Compras!$C$14="",Registro_Compras!$O$14=""),"",IF(Registro_Compras!$F$14="NOTA DE CREDITO","4212",IF(Registro_Compras!$M$14="","63",Registro_Compras!$M$14)))</f>
        <v/>
      </c>
      <c r="D95">
        <f>IF(OR(Registro_Compras!$C$14="",Registro_Compras!$O$14=""),"",IF(Registro_Compras!$F$14="NOTA DE CREDITO","Cuentas por Pagar Comerciales - Terceros (Emitidas)",IF(Registro_Compras!$F$14="RHE","Honorarios Profesionales - Servicios de Terceros","Gastos de Servicios Prestados por Terceros")))</f>
        <v/>
      </c>
      <c r="E95" s="20">
        <f>IF($C95="","",IF(Registro_Compras!$F$14="NOTA DE CREDITO",ABS(Registro_Compras!$O$14),IF(Registro_Compras!$F$14="RHE",ROUND(Registro_Compras!$L$14*Registro_Compras!$N$14,2),ROUND(Registro_Compras!$J$14*Registro_Compras!$N$14,2))))</f>
        <v/>
      </c>
      <c r="F95" s="20">
        <f>""</f>
        <v/>
      </c>
      <c r="G95">
        <f>IF($C95="","",IF(Registro_Compras!$F$14="NOTA DE CREDITO","Por la nota de credito "&amp;Registro_Compras!$C$14&amp;" de "&amp;Registro_Compras!$E$14&amp;" [PATRON POR CONFIRMAR CON CONTADOR]",IF(Registro_Compras!$F$14="RHE","Por el registro del recibo por honorarios "&amp;Registro_Compras!$C$14&amp;" de "&amp;Registro_Compras!$E$14&amp;" [PATRON POR CONFIRMAR CON CONTADOR]","Por el registro de la factura "&amp;Registro_Compras!$C$14&amp;" de "&amp;Registro_Compras!$E$14)))</f>
        <v/>
      </c>
      <c r="H95">
        <f>IF($C95="","",Registro_Compras!$C$14)</f>
        <v/>
      </c>
    </row>
    <row r="96">
      <c r="A96" s="25">
        <f>IF($C96="","",Registro_Compras!$B$14)</f>
        <v/>
      </c>
      <c r="B96">
        <f>IF($C96="","","C"&amp;TEXT(INT((ROW()-5)/9)+1,"000")&amp;"-1")</f>
        <v/>
      </c>
      <c r="C96">
        <f>IF(OR(Registro_Compras!$C$14="",Registro_Compras!$O$14=""),"",IF(Registro_Compras!$F$14="RHE",IF(Registro_Compras!$V$14=0,"","40172"),IF(Registro_Compras!$F$14="NOTA DE CREDITO",IF(Registro_Compras!$M$14="","63",Registro_Compras!$M$14),IF(Registro_Compras!$K$14=0,"","40111"))))</f>
        <v/>
      </c>
      <c r="D96">
        <f>IF(OR(Registro_Compras!$C$14="",Registro_Compras!$O$14=""),"",IF(Registro_Compras!$F$14="RHE","Retencion Renta 4ta Categoria por Pagar",IF(Registro_Compras!$F$14="NOTA DE CREDITO","Gastos de Servicios Prestados por Terceros","IGV - Cuenta Propia (Credito Fiscal)")))</f>
        <v/>
      </c>
      <c r="E96" s="20">
        <f>IF($C96="","",IF(Registro_Compras!$F$14="FACTURA",ROUND(Registro_Compras!$K$14*Registro_Compras!$N$14,2),""))</f>
        <v/>
      </c>
      <c r="F96" s="20">
        <f>IF($C96="","",IF(Registro_Compras!$F$14="RHE",ROUND(Registro_Compras!$V$14*Registro_Compras!$N$14,2),IF(Registro_Compras!$F$14="NOTA DE CREDITO",ROUND(ABS(Registro_Compras!$J$14*Registro_Compras!$N$14),2),"")))</f>
        <v/>
      </c>
      <c r="G96">
        <f>IF($C96="","",IF(Registro_Compras!$F$14="NOTA DE CREDITO","Por la nota de credito "&amp;Registro_Compras!$C$14&amp;" de "&amp;Registro_Compras!$E$14&amp;" [PATRON POR CONFIRMAR CON CONTADOR]",IF(Registro_Compras!$F$14="RHE","Por el registro del recibo por honorarios "&amp;Registro_Compras!$C$14&amp;" de "&amp;Registro_Compras!$E$14&amp;" [PATRON POR CONFIRMAR CON CONTADOR]","Por el registro de la factura "&amp;Registro_Compras!$C$14&amp;" de "&amp;Registro_Compras!$E$14)))</f>
        <v/>
      </c>
      <c r="H96">
        <f>IF($C96="","",Registro_Compras!$C$14)</f>
        <v/>
      </c>
    </row>
    <row r="97">
      <c r="A97" s="25">
        <f>IF($C97="","",Registro_Compras!$B$14)</f>
        <v/>
      </c>
      <c r="B97">
        <f>IF($C97="","","C"&amp;TEXT(INT((ROW()-5)/9)+1,"000")&amp;"-1")</f>
        <v/>
      </c>
      <c r="C97">
        <f>IF(OR(Registro_Compras!$C$14="",Registro_Compras!$O$14=""),"",IF(Registro_Compras!$F$14="NOTA DE CREDITO",IF(Registro_Compras!$K$14=0,"","40111"),"4212"))</f>
        <v/>
      </c>
      <c r="D97">
        <f>IF(OR(Registro_Compras!$C$14="",Registro_Compras!$O$14=""),"",IF(Registro_Compras!$F$14="NOTA DE CREDITO","IGV - Cuenta Propia (Credito Fiscal)","Cuentas por Pagar Comerciales - Terceros (Emitidas)"))</f>
        <v/>
      </c>
      <c r="E97" s="20">
        <f>""</f>
        <v/>
      </c>
      <c r="F97" s="20">
        <f>IF($C97="","",IF(Registro_Compras!$F$14="NOTA DE CREDITO",ROUND(ABS(Registro_Compras!$K$14*Registro_Compras!$N$14),2),IF(Registro_Compras!$F$14="RHE",(ROUND(Registro_Compras!$L$14*Registro_Compras!$N$14,2)-ROUND(Registro_Compras!$V$14*Registro_Compras!$N$14,2)),Registro_Compras!$O$14)))</f>
        <v/>
      </c>
      <c r="G97">
        <f>IF($C97="","",IF(Registro_Compras!$F$14="NOTA DE CREDITO","Por la nota de credito "&amp;Registro_Compras!$C$14&amp;" de "&amp;Registro_Compras!$E$14&amp;" [PATRON POR CONFIRMAR CON CONTADOR]",IF(Registro_Compras!$F$14="RHE","Por el registro del recibo por honorarios "&amp;Registro_Compras!$C$14&amp;" de "&amp;Registro_Compras!$E$14&amp;" [PATRON POR CONFIRMAR CON CONTADOR]","Por el registro de la factura "&amp;Registro_Compras!$C$14&amp;" de "&amp;Registro_Compras!$E$14)))</f>
        <v/>
      </c>
      <c r="H97">
        <f>IF($C97="","",Registro_Compras!$C$14)</f>
        <v/>
      </c>
    </row>
    <row r="98">
      <c r="A98" s="25">
        <f>IF($C98="","",Registro_Compras!$B$14)</f>
        <v/>
      </c>
      <c r="B98">
        <f>IF($C98="","","C"&amp;TEXT(INT((ROW()-5)/9)+1,"000")&amp;"-2")</f>
        <v/>
      </c>
      <c r="C98">
        <f>IF(OR(Registro_Compras!$C$14="",Registro_Compras!$O$14=""),"",IF(Registro_Compras!$AB$14="ADMINISTRATIVO","94","95"))</f>
        <v/>
      </c>
      <c r="D98">
        <f>IF(OR(Registro_Compras!$C$14="",Registro_Compras!$O$14=""),"",IF(Registro_Compras!$AB$14="ADMINISTRATIVO","Gastos Administrativos","Gastos de Venta y Operacion"))</f>
        <v/>
      </c>
      <c r="E98" s="20">
        <f>IF($C98="","",IF(Registro_Compras!$F$14="NOTA DE CREDITO","",IF(Registro_Compras!$F$14="RHE",ROUND(Registro_Compras!$L$14*Registro_Compras!$N$14,2),ROUND(Registro_Compras!$J$14*Registro_Compras!$N$14,2))))</f>
        <v/>
      </c>
      <c r="F98" s="20">
        <f>IF($C98="","",IF(Registro_Compras!$F$14="NOTA DE CREDITO",ROUND(ABS(Registro_Compras!$J$14*Registro_Compras!$N$14),2),""))</f>
        <v/>
      </c>
      <c r="G98">
        <f>IF($C98="","","Por el destino del gasto")</f>
        <v/>
      </c>
      <c r="H98">
        <f>IF($C98="","",Registro_Compras!$C$14)</f>
        <v/>
      </c>
    </row>
    <row r="99">
      <c r="A99" s="25">
        <f>IF($C99="","",Registro_Compras!$B$14)</f>
        <v/>
      </c>
      <c r="B99">
        <f>IF($C99="","","C"&amp;TEXT(INT((ROW()-5)/9)+1,"000")&amp;"-2")</f>
        <v/>
      </c>
      <c r="C99">
        <f>IF(OR(Registro_Compras!$C$14="",Registro_Compras!$O$14=""),"","79/791")</f>
        <v/>
      </c>
      <c r="D99">
        <f>IF(OR(Registro_Compras!$C$14="",Registro_Compras!$O$14=""),"","Cargas Imputables a Cuentas de Costos y Gastos")</f>
        <v/>
      </c>
      <c r="E99" s="20">
        <f>IF($C99="","",IF(Registro_Compras!$F$14="NOTA DE CREDITO",ROUND(ABS(Registro_Compras!$J$14*Registro_Compras!$N$14),2),""))</f>
        <v/>
      </c>
      <c r="F99" s="20">
        <f>IF($C99="","",IF(Registro_Compras!$F$14="NOTA DE CREDITO","",IF(Registro_Compras!$F$14="RHE",ROUND(Registro_Compras!$L$14*Registro_Compras!$N$14,2),ROUND(Registro_Compras!$J$14*Registro_Compras!$N$14,2))))</f>
        <v/>
      </c>
      <c r="G99">
        <f>IF($C99="","","Por el destino del gasto")</f>
        <v/>
      </c>
      <c r="H99">
        <f>IF($C99="","",Registro_Compras!$C$14)</f>
        <v/>
      </c>
    </row>
    <row r="100">
      <c r="A100" s="25">
        <f>IF($C100="","",Registro_Compras!$X$14)</f>
        <v/>
      </c>
      <c r="B100">
        <f>IF($C100="","","C"&amp;TEXT(INT((ROW()-5)/9)+1,"000")&amp;"-3")</f>
        <v/>
      </c>
      <c r="C100">
        <f>IF(OR(Registro_Compras!$C$14="",Registro_Compras!$O$14="",Registro_Compras!$R$14&lt;&gt;"SI",Registro_Compras!$X$14=""),"","4212")</f>
        <v/>
      </c>
      <c r="D100">
        <f>IF(OR(Registro_Compras!$C$14="",Registro_Compras!$O$14=""),"","Cuentas por Pagar Comerciales - Terceros")</f>
        <v/>
      </c>
      <c r="E100" s="20">
        <f>IF($C100="","",Registro_Compras!$S$14)</f>
        <v/>
      </c>
      <c r="F100" s="20">
        <f>""</f>
        <v/>
      </c>
      <c r="G100">
        <f>IF($C100="","","Por el deposito de la detraccion en el Banco de la Nacion")</f>
        <v/>
      </c>
      <c r="H100">
        <f>IF($C100="","",Registro_Compras!$C$14)</f>
        <v/>
      </c>
    </row>
    <row r="101">
      <c r="A101" s="25">
        <f>IF($C101="","",Registro_Compras!$X$14)</f>
        <v/>
      </c>
      <c r="B101">
        <f>IF($C101="","","C"&amp;TEXT(INT((ROW()-5)/9)+1,"000")&amp;"-3")</f>
        <v/>
      </c>
      <c r="C101">
        <f>IF(OR(Registro_Compras!$C$14="",Registro_Compras!$O$14="",Registro_Compras!$R$14&lt;&gt;"SI",Registro_Compras!$X$14=""),"","10413")</f>
        <v/>
      </c>
      <c r="D101">
        <f>IF(OR(Registro_Compras!$C$14="",Registro_Compras!$O$14=""),"","Efectivo y Equivalentes - Cta. Cte. Operativa")</f>
        <v/>
      </c>
      <c r="E101" s="20">
        <f>""</f>
        <v/>
      </c>
      <c r="F101" s="20">
        <f>IF($C101="","",Registro_Compras!$S$14)</f>
        <v/>
      </c>
      <c r="G101">
        <f>IF($C101="","","Por el deposito de la detraccion en el Banco de la Nacion")</f>
        <v/>
      </c>
      <c r="H101">
        <f>IF($C101="","",Registro_Compras!$C$14)</f>
        <v/>
      </c>
    </row>
    <row r="102">
      <c r="A102" s="25">
        <f>IF($C102="","",Registro_Compras!$Y$14)</f>
        <v/>
      </c>
      <c r="B102">
        <f>IF($C102="","","C"&amp;TEXT(INT((ROW()-5)/9)+1,"000")&amp;"-4")</f>
        <v/>
      </c>
      <c r="C102">
        <f>IF(OR(Registro_Compras!$C$14="",Registro_Compras!$O$14="",Registro_Compras!$Y$14="",Registro_Compras!$F$14="NOTA DE CREDITO"),"","4212")</f>
        <v/>
      </c>
      <c r="D102">
        <f>IF(OR(Registro_Compras!$C$14="",Registro_Compras!$O$14=""),"","Cuentas por Pagar Comerciales - Terceros")</f>
        <v/>
      </c>
      <c r="E102" s="20">
        <f>IF($C102="","",IF(Registro_Compras!$F$14="RHE",(ROUND(Registro_Compras!$L$14*Registro_Compras!$N$14,2)-ROUND(Registro_Compras!$V$14*Registro_Compras!$N$14,2)),ROUND(Registro_Compras!$O$14-Registro_Compras!$S$14,2)))</f>
        <v/>
      </c>
      <c r="F102" s="20">
        <f>""</f>
        <v/>
      </c>
      <c r="G102">
        <f>IF($C102="","","Por la cancelacion del saldo al proveedor")</f>
        <v/>
      </c>
      <c r="H102">
        <f>IF($C102="","",Registro_Compras!$C$14)</f>
        <v/>
      </c>
    </row>
    <row r="103">
      <c r="A103" s="25">
        <f>IF($C103="","",Registro_Compras!$Y$14)</f>
        <v/>
      </c>
      <c r="B103">
        <f>IF($C103="","","C"&amp;TEXT(INT((ROW()-5)/9)+1,"000")&amp;"-4")</f>
        <v/>
      </c>
      <c r="C103">
        <f>IF(OR(Registro_Compras!$C$14="",Registro_Compras!$O$14="",Registro_Compras!$Y$14="",Registro_Compras!$F$14="NOTA DE CREDITO"),"","10413")</f>
        <v/>
      </c>
      <c r="D103">
        <f>IF(OR(Registro_Compras!$C$14="",Registro_Compras!$O$14=""),"","Efectivo y Equivalentes - Cta. Cte. Operativa")</f>
        <v/>
      </c>
      <c r="E103" s="20">
        <f>""</f>
        <v/>
      </c>
      <c r="F103" s="20">
        <f>IF($C103="","",IF(Registro_Compras!$F$14="RHE",(ROUND(Registro_Compras!$L$14*Registro_Compras!$N$14,2)-ROUND(Registro_Compras!$V$14*Registro_Compras!$N$14,2)),ROUND(Registro_Compras!$O$14-Registro_Compras!$S$14,2)))</f>
        <v/>
      </c>
      <c r="G103">
        <f>IF($C103="","","Por la cancelacion del saldo al proveedor")</f>
        <v/>
      </c>
      <c r="H103">
        <f>IF($C103="","",Registro_Compras!$C$14)</f>
        <v/>
      </c>
    </row>
    <row r="104">
      <c r="A104" s="25">
        <f>IF($C104="","",Registro_Compras!$B$15)</f>
        <v/>
      </c>
      <c r="B104">
        <f>IF($C104="","","C"&amp;TEXT(INT((ROW()-5)/9)+1,"000")&amp;"-1")</f>
        <v/>
      </c>
      <c r="C104">
        <f>IF(OR(Registro_Compras!$C$15="",Registro_Compras!$O$15=""),"",IF(Registro_Compras!$F$15="NOTA DE CREDITO","4212",IF(Registro_Compras!$M$15="","63",Registro_Compras!$M$15)))</f>
        <v/>
      </c>
      <c r="D104">
        <f>IF(OR(Registro_Compras!$C$15="",Registro_Compras!$O$15=""),"",IF(Registro_Compras!$F$15="NOTA DE CREDITO","Cuentas por Pagar Comerciales - Terceros (Emitidas)",IF(Registro_Compras!$F$15="RHE","Honorarios Profesionales - Servicios de Terceros","Gastos de Servicios Prestados por Terceros")))</f>
        <v/>
      </c>
      <c r="E104" s="20">
        <f>IF($C104="","",IF(Registro_Compras!$F$15="NOTA DE CREDITO",ABS(Registro_Compras!$O$15),IF(Registro_Compras!$F$15="RHE",ROUND(Registro_Compras!$L$15*Registro_Compras!$N$15,2),ROUND(Registro_Compras!$J$15*Registro_Compras!$N$15,2))))</f>
        <v/>
      </c>
      <c r="F104" s="20">
        <f>""</f>
        <v/>
      </c>
      <c r="G104">
        <f>IF($C104="","",IF(Registro_Compras!$F$15="NOTA DE CREDITO","Por la nota de credito "&amp;Registro_Compras!$C$15&amp;" de "&amp;Registro_Compras!$E$15&amp;" [PATRON POR CONFIRMAR CON CONTADOR]",IF(Registro_Compras!$F$15="RHE","Por el registro del recibo por honorarios "&amp;Registro_Compras!$C$15&amp;" de "&amp;Registro_Compras!$E$15&amp;" [PATRON POR CONFIRMAR CON CONTADOR]","Por el registro de la factura "&amp;Registro_Compras!$C$15&amp;" de "&amp;Registro_Compras!$E$15)))</f>
        <v/>
      </c>
      <c r="H104">
        <f>IF($C104="","",Registro_Compras!$C$15)</f>
        <v/>
      </c>
    </row>
    <row r="105">
      <c r="A105" s="25">
        <f>IF($C105="","",Registro_Compras!$B$15)</f>
        <v/>
      </c>
      <c r="B105">
        <f>IF($C105="","","C"&amp;TEXT(INT((ROW()-5)/9)+1,"000")&amp;"-1")</f>
        <v/>
      </c>
      <c r="C105">
        <f>IF(OR(Registro_Compras!$C$15="",Registro_Compras!$O$15=""),"",IF(Registro_Compras!$F$15="RHE",IF(Registro_Compras!$V$15=0,"","40172"),IF(Registro_Compras!$F$15="NOTA DE CREDITO",IF(Registro_Compras!$M$15="","63",Registro_Compras!$M$15),IF(Registro_Compras!$K$15=0,"","40111"))))</f>
        <v/>
      </c>
      <c r="D105">
        <f>IF(OR(Registro_Compras!$C$15="",Registro_Compras!$O$15=""),"",IF(Registro_Compras!$F$15="RHE","Retencion Renta 4ta Categoria por Pagar",IF(Registro_Compras!$F$15="NOTA DE CREDITO","Gastos de Servicios Prestados por Terceros","IGV - Cuenta Propia (Credito Fiscal)")))</f>
        <v/>
      </c>
      <c r="E105" s="20">
        <f>IF($C105="","",IF(Registro_Compras!$F$15="FACTURA",ROUND(Registro_Compras!$K$15*Registro_Compras!$N$15,2),""))</f>
        <v/>
      </c>
      <c r="F105" s="20">
        <f>IF($C105="","",IF(Registro_Compras!$F$15="RHE",ROUND(Registro_Compras!$V$15*Registro_Compras!$N$15,2),IF(Registro_Compras!$F$15="NOTA DE CREDITO",ROUND(ABS(Registro_Compras!$J$15*Registro_Compras!$N$15),2),"")))</f>
        <v/>
      </c>
      <c r="G105">
        <f>IF($C105="","",IF(Registro_Compras!$F$15="NOTA DE CREDITO","Por la nota de credito "&amp;Registro_Compras!$C$15&amp;" de "&amp;Registro_Compras!$E$15&amp;" [PATRON POR CONFIRMAR CON CONTADOR]",IF(Registro_Compras!$F$15="RHE","Por el registro del recibo por honorarios "&amp;Registro_Compras!$C$15&amp;" de "&amp;Registro_Compras!$E$15&amp;" [PATRON POR CONFIRMAR CON CONTADOR]","Por el registro de la factura "&amp;Registro_Compras!$C$15&amp;" de "&amp;Registro_Compras!$E$15)))</f>
        <v/>
      </c>
      <c r="H105">
        <f>IF($C105="","",Registro_Compras!$C$15)</f>
        <v/>
      </c>
    </row>
    <row r="106">
      <c r="A106" s="25">
        <f>IF($C106="","",Registro_Compras!$B$15)</f>
        <v/>
      </c>
      <c r="B106">
        <f>IF($C106="","","C"&amp;TEXT(INT((ROW()-5)/9)+1,"000")&amp;"-1")</f>
        <v/>
      </c>
      <c r="C106">
        <f>IF(OR(Registro_Compras!$C$15="",Registro_Compras!$O$15=""),"",IF(Registro_Compras!$F$15="NOTA DE CREDITO",IF(Registro_Compras!$K$15=0,"","40111"),"4212"))</f>
        <v/>
      </c>
      <c r="D106">
        <f>IF(OR(Registro_Compras!$C$15="",Registro_Compras!$O$15=""),"",IF(Registro_Compras!$F$15="NOTA DE CREDITO","IGV - Cuenta Propia (Credito Fiscal)","Cuentas por Pagar Comerciales - Terceros (Emitidas)"))</f>
        <v/>
      </c>
      <c r="E106" s="20">
        <f>""</f>
        <v/>
      </c>
      <c r="F106" s="20">
        <f>IF($C106="","",IF(Registro_Compras!$F$15="NOTA DE CREDITO",ROUND(ABS(Registro_Compras!$K$15*Registro_Compras!$N$15),2),IF(Registro_Compras!$F$15="RHE",(ROUND(Registro_Compras!$L$15*Registro_Compras!$N$15,2)-ROUND(Registro_Compras!$V$15*Registro_Compras!$N$15,2)),Registro_Compras!$O$15)))</f>
        <v/>
      </c>
      <c r="G106">
        <f>IF($C106="","",IF(Registro_Compras!$F$15="NOTA DE CREDITO","Por la nota de credito "&amp;Registro_Compras!$C$15&amp;" de "&amp;Registro_Compras!$E$15&amp;" [PATRON POR CONFIRMAR CON CONTADOR]",IF(Registro_Compras!$F$15="RHE","Por el registro del recibo por honorarios "&amp;Registro_Compras!$C$15&amp;" de "&amp;Registro_Compras!$E$15&amp;" [PATRON POR CONFIRMAR CON CONTADOR]","Por el registro de la factura "&amp;Registro_Compras!$C$15&amp;" de "&amp;Registro_Compras!$E$15)))</f>
        <v/>
      </c>
      <c r="H106">
        <f>IF($C106="","",Registro_Compras!$C$15)</f>
        <v/>
      </c>
    </row>
    <row r="107">
      <c r="A107" s="25">
        <f>IF($C107="","",Registro_Compras!$B$15)</f>
        <v/>
      </c>
      <c r="B107">
        <f>IF($C107="","","C"&amp;TEXT(INT((ROW()-5)/9)+1,"000")&amp;"-2")</f>
        <v/>
      </c>
      <c r="C107">
        <f>IF(OR(Registro_Compras!$C$15="",Registro_Compras!$O$15=""),"",IF(Registro_Compras!$AB$15="ADMINISTRATIVO","94","95"))</f>
        <v/>
      </c>
      <c r="D107">
        <f>IF(OR(Registro_Compras!$C$15="",Registro_Compras!$O$15=""),"",IF(Registro_Compras!$AB$15="ADMINISTRATIVO","Gastos Administrativos","Gastos de Venta y Operacion"))</f>
        <v/>
      </c>
      <c r="E107" s="20">
        <f>IF($C107="","",IF(Registro_Compras!$F$15="NOTA DE CREDITO","",IF(Registro_Compras!$F$15="RHE",ROUND(Registro_Compras!$L$15*Registro_Compras!$N$15,2),ROUND(Registro_Compras!$J$15*Registro_Compras!$N$15,2))))</f>
        <v/>
      </c>
      <c r="F107" s="20">
        <f>IF($C107="","",IF(Registro_Compras!$F$15="NOTA DE CREDITO",ROUND(ABS(Registro_Compras!$J$15*Registro_Compras!$N$15),2),""))</f>
        <v/>
      </c>
      <c r="G107">
        <f>IF($C107="","","Por el destino del gasto")</f>
        <v/>
      </c>
      <c r="H107">
        <f>IF($C107="","",Registro_Compras!$C$15)</f>
        <v/>
      </c>
    </row>
    <row r="108">
      <c r="A108" s="25">
        <f>IF($C108="","",Registro_Compras!$B$15)</f>
        <v/>
      </c>
      <c r="B108">
        <f>IF($C108="","","C"&amp;TEXT(INT((ROW()-5)/9)+1,"000")&amp;"-2")</f>
        <v/>
      </c>
      <c r="C108">
        <f>IF(OR(Registro_Compras!$C$15="",Registro_Compras!$O$15=""),"","79/791")</f>
        <v/>
      </c>
      <c r="D108">
        <f>IF(OR(Registro_Compras!$C$15="",Registro_Compras!$O$15=""),"","Cargas Imputables a Cuentas de Costos y Gastos")</f>
        <v/>
      </c>
      <c r="E108" s="20">
        <f>IF($C108="","",IF(Registro_Compras!$F$15="NOTA DE CREDITO",ROUND(ABS(Registro_Compras!$J$15*Registro_Compras!$N$15),2),""))</f>
        <v/>
      </c>
      <c r="F108" s="20">
        <f>IF($C108="","",IF(Registro_Compras!$F$15="NOTA DE CREDITO","",IF(Registro_Compras!$F$15="RHE",ROUND(Registro_Compras!$L$15*Registro_Compras!$N$15,2),ROUND(Registro_Compras!$J$15*Registro_Compras!$N$15,2))))</f>
        <v/>
      </c>
      <c r="G108">
        <f>IF($C108="","","Por el destino del gasto")</f>
        <v/>
      </c>
      <c r="H108">
        <f>IF($C108="","",Registro_Compras!$C$15)</f>
        <v/>
      </c>
    </row>
    <row r="109">
      <c r="A109" s="25">
        <f>IF($C109="","",Registro_Compras!$X$15)</f>
        <v/>
      </c>
      <c r="B109">
        <f>IF($C109="","","C"&amp;TEXT(INT((ROW()-5)/9)+1,"000")&amp;"-3")</f>
        <v/>
      </c>
      <c r="C109">
        <f>IF(OR(Registro_Compras!$C$15="",Registro_Compras!$O$15="",Registro_Compras!$R$15&lt;&gt;"SI",Registro_Compras!$X$15=""),"","4212")</f>
        <v/>
      </c>
      <c r="D109">
        <f>IF(OR(Registro_Compras!$C$15="",Registro_Compras!$O$15=""),"","Cuentas por Pagar Comerciales - Terceros")</f>
        <v/>
      </c>
      <c r="E109" s="20">
        <f>IF($C109="","",Registro_Compras!$S$15)</f>
        <v/>
      </c>
      <c r="F109" s="20">
        <f>""</f>
        <v/>
      </c>
      <c r="G109">
        <f>IF($C109="","","Por el deposito de la detraccion en el Banco de la Nacion")</f>
        <v/>
      </c>
      <c r="H109">
        <f>IF($C109="","",Registro_Compras!$C$15)</f>
        <v/>
      </c>
    </row>
    <row r="110">
      <c r="A110" s="25">
        <f>IF($C110="","",Registro_Compras!$X$15)</f>
        <v/>
      </c>
      <c r="B110">
        <f>IF($C110="","","C"&amp;TEXT(INT((ROW()-5)/9)+1,"000")&amp;"-3")</f>
        <v/>
      </c>
      <c r="C110">
        <f>IF(OR(Registro_Compras!$C$15="",Registro_Compras!$O$15="",Registro_Compras!$R$15&lt;&gt;"SI",Registro_Compras!$X$15=""),"","10413")</f>
        <v/>
      </c>
      <c r="D110">
        <f>IF(OR(Registro_Compras!$C$15="",Registro_Compras!$O$15=""),"","Efectivo y Equivalentes - Cta. Cte. Operativa")</f>
        <v/>
      </c>
      <c r="E110" s="20">
        <f>""</f>
        <v/>
      </c>
      <c r="F110" s="20">
        <f>IF($C110="","",Registro_Compras!$S$15)</f>
        <v/>
      </c>
      <c r="G110">
        <f>IF($C110="","","Por el deposito de la detraccion en el Banco de la Nacion")</f>
        <v/>
      </c>
      <c r="H110">
        <f>IF($C110="","",Registro_Compras!$C$15)</f>
        <v/>
      </c>
    </row>
    <row r="111">
      <c r="A111" s="25">
        <f>IF($C111="","",Registro_Compras!$Y$15)</f>
        <v/>
      </c>
      <c r="B111">
        <f>IF($C111="","","C"&amp;TEXT(INT((ROW()-5)/9)+1,"000")&amp;"-4")</f>
        <v/>
      </c>
      <c r="C111">
        <f>IF(OR(Registro_Compras!$C$15="",Registro_Compras!$O$15="",Registro_Compras!$Y$15="",Registro_Compras!$F$15="NOTA DE CREDITO"),"","4212")</f>
        <v/>
      </c>
      <c r="D111">
        <f>IF(OR(Registro_Compras!$C$15="",Registro_Compras!$O$15=""),"","Cuentas por Pagar Comerciales - Terceros")</f>
        <v/>
      </c>
      <c r="E111" s="20">
        <f>IF($C111="","",IF(Registro_Compras!$F$15="RHE",(ROUND(Registro_Compras!$L$15*Registro_Compras!$N$15,2)-ROUND(Registro_Compras!$V$15*Registro_Compras!$N$15,2)),ROUND(Registro_Compras!$O$15-Registro_Compras!$S$15,2)))</f>
        <v/>
      </c>
      <c r="F111" s="20">
        <f>""</f>
        <v/>
      </c>
      <c r="G111">
        <f>IF($C111="","","Por la cancelacion del saldo al proveedor")</f>
        <v/>
      </c>
      <c r="H111">
        <f>IF($C111="","",Registro_Compras!$C$15)</f>
        <v/>
      </c>
    </row>
    <row r="112">
      <c r="A112" s="25">
        <f>IF($C112="","",Registro_Compras!$Y$15)</f>
        <v/>
      </c>
      <c r="B112">
        <f>IF($C112="","","C"&amp;TEXT(INT((ROW()-5)/9)+1,"000")&amp;"-4")</f>
        <v/>
      </c>
      <c r="C112">
        <f>IF(OR(Registro_Compras!$C$15="",Registro_Compras!$O$15="",Registro_Compras!$Y$15="",Registro_Compras!$F$15="NOTA DE CREDITO"),"","10413")</f>
        <v/>
      </c>
      <c r="D112">
        <f>IF(OR(Registro_Compras!$C$15="",Registro_Compras!$O$15=""),"","Efectivo y Equivalentes - Cta. Cte. Operativa")</f>
        <v/>
      </c>
      <c r="E112" s="20">
        <f>""</f>
        <v/>
      </c>
      <c r="F112" s="20">
        <f>IF($C112="","",IF(Registro_Compras!$F$15="RHE",(ROUND(Registro_Compras!$L$15*Registro_Compras!$N$15,2)-ROUND(Registro_Compras!$V$15*Registro_Compras!$N$15,2)),ROUND(Registro_Compras!$O$15-Registro_Compras!$S$15,2)))</f>
        <v/>
      </c>
      <c r="G112">
        <f>IF($C112="","","Por la cancelacion del saldo al proveedor")</f>
        <v/>
      </c>
      <c r="H112">
        <f>IF($C112="","",Registro_Compras!$C$15)</f>
        <v/>
      </c>
    </row>
    <row r="113">
      <c r="A113" s="25">
        <f>IF($C113="","",Registro_Compras!$B$16)</f>
        <v/>
      </c>
      <c r="B113">
        <f>IF($C113="","","C"&amp;TEXT(INT((ROW()-5)/9)+1,"000")&amp;"-1")</f>
        <v/>
      </c>
      <c r="C113">
        <f>IF(OR(Registro_Compras!$C$16="",Registro_Compras!$O$16=""),"",IF(Registro_Compras!$F$16="NOTA DE CREDITO","4212",IF(Registro_Compras!$M$16="","63",Registro_Compras!$M$16)))</f>
        <v/>
      </c>
      <c r="D113">
        <f>IF(OR(Registro_Compras!$C$16="",Registro_Compras!$O$16=""),"",IF(Registro_Compras!$F$16="NOTA DE CREDITO","Cuentas por Pagar Comerciales - Terceros (Emitidas)",IF(Registro_Compras!$F$16="RHE","Honorarios Profesionales - Servicios de Terceros","Gastos de Servicios Prestados por Terceros")))</f>
        <v/>
      </c>
      <c r="E113" s="20">
        <f>IF($C113="","",IF(Registro_Compras!$F$16="NOTA DE CREDITO",ABS(Registro_Compras!$O$16),IF(Registro_Compras!$F$16="RHE",ROUND(Registro_Compras!$L$16*Registro_Compras!$N$16,2),ROUND(Registro_Compras!$J$16*Registro_Compras!$N$16,2))))</f>
        <v/>
      </c>
      <c r="F113" s="20">
        <f>""</f>
        <v/>
      </c>
      <c r="G113">
        <f>IF($C113="","",IF(Registro_Compras!$F$16="NOTA DE CREDITO","Por la nota de credito "&amp;Registro_Compras!$C$16&amp;" de "&amp;Registro_Compras!$E$16&amp;" [PATRON POR CONFIRMAR CON CONTADOR]",IF(Registro_Compras!$F$16="RHE","Por el registro del recibo por honorarios "&amp;Registro_Compras!$C$16&amp;" de "&amp;Registro_Compras!$E$16&amp;" [PATRON POR CONFIRMAR CON CONTADOR]","Por el registro de la factura "&amp;Registro_Compras!$C$16&amp;" de "&amp;Registro_Compras!$E$16)))</f>
        <v/>
      </c>
      <c r="H113">
        <f>IF($C113="","",Registro_Compras!$C$16)</f>
        <v/>
      </c>
    </row>
    <row r="114">
      <c r="A114" s="25">
        <f>IF($C114="","",Registro_Compras!$B$16)</f>
        <v/>
      </c>
      <c r="B114">
        <f>IF($C114="","","C"&amp;TEXT(INT((ROW()-5)/9)+1,"000")&amp;"-1")</f>
        <v/>
      </c>
      <c r="C114">
        <f>IF(OR(Registro_Compras!$C$16="",Registro_Compras!$O$16=""),"",IF(Registro_Compras!$F$16="RHE",IF(Registro_Compras!$V$16=0,"","40172"),IF(Registro_Compras!$F$16="NOTA DE CREDITO",IF(Registro_Compras!$M$16="","63",Registro_Compras!$M$16),IF(Registro_Compras!$K$16=0,"","40111"))))</f>
        <v/>
      </c>
      <c r="D114">
        <f>IF(OR(Registro_Compras!$C$16="",Registro_Compras!$O$16=""),"",IF(Registro_Compras!$F$16="RHE","Retencion Renta 4ta Categoria por Pagar",IF(Registro_Compras!$F$16="NOTA DE CREDITO","Gastos de Servicios Prestados por Terceros","IGV - Cuenta Propia (Credito Fiscal)")))</f>
        <v/>
      </c>
      <c r="E114" s="20">
        <f>IF($C114="","",IF(Registro_Compras!$F$16="FACTURA",ROUND(Registro_Compras!$K$16*Registro_Compras!$N$16,2),""))</f>
        <v/>
      </c>
      <c r="F114" s="20">
        <f>IF($C114="","",IF(Registro_Compras!$F$16="RHE",ROUND(Registro_Compras!$V$16*Registro_Compras!$N$16,2),IF(Registro_Compras!$F$16="NOTA DE CREDITO",ROUND(ABS(Registro_Compras!$J$16*Registro_Compras!$N$16),2),"")))</f>
        <v/>
      </c>
      <c r="G114">
        <f>IF($C114="","",IF(Registro_Compras!$F$16="NOTA DE CREDITO","Por la nota de credito "&amp;Registro_Compras!$C$16&amp;" de "&amp;Registro_Compras!$E$16&amp;" [PATRON POR CONFIRMAR CON CONTADOR]",IF(Registro_Compras!$F$16="RHE","Por el registro del recibo por honorarios "&amp;Registro_Compras!$C$16&amp;" de "&amp;Registro_Compras!$E$16&amp;" [PATRON POR CONFIRMAR CON CONTADOR]","Por el registro de la factura "&amp;Registro_Compras!$C$16&amp;" de "&amp;Registro_Compras!$E$16)))</f>
        <v/>
      </c>
      <c r="H114">
        <f>IF($C114="","",Registro_Compras!$C$16)</f>
        <v/>
      </c>
    </row>
    <row r="115">
      <c r="A115" s="25">
        <f>IF($C115="","",Registro_Compras!$B$16)</f>
        <v/>
      </c>
      <c r="B115">
        <f>IF($C115="","","C"&amp;TEXT(INT((ROW()-5)/9)+1,"000")&amp;"-1")</f>
        <v/>
      </c>
      <c r="C115">
        <f>IF(OR(Registro_Compras!$C$16="",Registro_Compras!$O$16=""),"",IF(Registro_Compras!$F$16="NOTA DE CREDITO",IF(Registro_Compras!$K$16=0,"","40111"),"4212"))</f>
        <v/>
      </c>
      <c r="D115">
        <f>IF(OR(Registro_Compras!$C$16="",Registro_Compras!$O$16=""),"",IF(Registro_Compras!$F$16="NOTA DE CREDITO","IGV - Cuenta Propia (Credito Fiscal)","Cuentas por Pagar Comerciales - Terceros (Emitidas)"))</f>
        <v/>
      </c>
      <c r="E115" s="20">
        <f>""</f>
        <v/>
      </c>
      <c r="F115" s="20">
        <f>IF($C115="","",IF(Registro_Compras!$F$16="NOTA DE CREDITO",ROUND(ABS(Registro_Compras!$K$16*Registro_Compras!$N$16),2),IF(Registro_Compras!$F$16="RHE",(ROUND(Registro_Compras!$L$16*Registro_Compras!$N$16,2)-ROUND(Registro_Compras!$V$16*Registro_Compras!$N$16,2)),Registro_Compras!$O$16)))</f>
        <v/>
      </c>
      <c r="G115">
        <f>IF($C115="","",IF(Registro_Compras!$F$16="NOTA DE CREDITO","Por la nota de credito "&amp;Registro_Compras!$C$16&amp;" de "&amp;Registro_Compras!$E$16&amp;" [PATRON POR CONFIRMAR CON CONTADOR]",IF(Registro_Compras!$F$16="RHE","Por el registro del recibo por honorarios "&amp;Registro_Compras!$C$16&amp;" de "&amp;Registro_Compras!$E$16&amp;" [PATRON POR CONFIRMAR CON CONTADOR]","Por el registro de la factura "&amp;Registro_Compras!$C$16&amp;" de "&amp;Registro_Compras!$E$16)))</f>
        <v/>
      </c>
      <c r="H115">
        <f>IF($C115="","",Registro_Compras!$C$16)</f>
        <v/>
      </c>
    </row>
    <row r="116">
      <c r="A116" s="25">
        <f>IF($C116="","",Registro_Compras!$B$16)</f>
        <v/>
      </c>
      <c r="B116">
        <f>IF($C116="","","C"&amp;TEXT(INT((ROW()-5)/9)+1,"000")&amp;"-2")</f>
        <v/>
      </c>
      <c r="C116">
        <f>IF(OR(Registro_Compras!$C$16="",Registro_Compras!$O$16=""),"",IF(Registro_Compras!$AB$16="ADMINISTRATIVO","94","95"))</f>
        <v/>
      </c>
      <c r="D116">
        <f>IF(OR(Registro_Compras!$C$16="",Registro_Compras!$O$16=""),"",IF(Registro_Compras!$AB$16="ADMINISTRATIVO","Gastos Administrativos","Gastos de Venta y Operacion"))</f>
        <v/>
      </c>
      <c r="E116" s="20">
        <f>IF($C116="","",IF(Registro_Compras!$F$16="NOTA DE CREDITO","",IF(Registro_Compras!$F$16="RHE",ROUND(Registro_Compras!$L$16*Registro_Compras!$N$16,2),ROUND(Registro_Compras!$J$16*Registro_Compras!$N$16,2))))</f>
        <v/>
      </c>
      <c r="F116" s="20">
        <f>IF($C116="","",IF(Registro_Compras!$F$16="NOTA DE CREDITO",ROUND(ABS(Registro_Compras!$J$16*Registro_Compras!$N$16),2),""))</f>
        <v/>
      </c>
      <c r="G116">
        <f>IF($C116="","","Por el destino del gasto")</f>
        <v/>
      </c>
      <c r="H116">
        <f>IF($C116="","",Registro_Compras!$C$16)</f>
        <v/>
      </c>
    </row>
    <row r="117">
      <c r="A117" s="25">
        <f>IF($C117="","",Registro_Compras!$B$16)</f>
        <v/>
      </c>
      <c r="B117">
        <f>IF($C117="","","C"&amp;TEXT(INT((ROW()-5)/9)+1,"000")&amp;"-2")</f>
        <v/>
      </c>
      <c r="C117">
        <f>IF(OR(Registro_Compras!$C$16="",Registro_Compras!$O$16=""),"","79/791")</f>
        <v/>
      </c>
      <c r="D117">
        <f>IF(OR(Registro_Compras!$C$16="",Registro_Compras!$O$16=""),"","Cargas Imputables a Cuentas de Costos y Gastos")</f>
        <v/>
      </c>
      <c r="E117" s="20">
        <f>IF($C117="","",IF(Registro_Compras!$F$16="NOTA DE CREDITO",ROUND(ABS(Registro_Compras!$J$16*Registro_Compras!$N$16),2),""))</f>
        <v/>
      </c>
      <c r="F117" s="20">
        <f>IF($C117="","",IF(Registro_Compras!$F$16="NOTA DE CREDITO","",IF(Registro_Compras!$F$16="RHE",ROUND(Registro_Compras!$L$16*Registro_Compras!$N$16,2),ROUND(Registro_Compras!$J$16*Registro_Compras!$N$16,2))))</f>
        <v/>
      </c>
      <c r="G117">
        <f>IF($C117="","","Por el destino del gasto")</f>
        <v/>
      </c>
      <c r="H117">
        <f>IF($C117="","",Registro_Compras!$C$16)</f>
        <v/>
      </c>
    </row>
    <row r="118">
      <c r="A118" s="25">
        <f>IF($C118="","",Registro_Compras!$X$16)</f>
        <v/>
      </c>
      <c r="B118">
        <f>IF($C118="","","C"&amp;TEXT(INT((ROW()-5)/9)+1,"000")&amp;"-3")</f>
        <v/>
      </c>
      <c r="C118">
        <f>IF(OR(Registro_Compras!$C$16="",Registro_Compras!$O$16="",Registro_Compras!$R$16&lt;&gt;"SI",Registro_Compras!$X$16=""),"","4212")</f>
        <v/>
      </c>
      <c r="D118">
        <f>IF(OR(Registro_Compras!$C$16="",Registro_Compras!$O$16=""),"","Cuentas por Pagar Comerciales - Terceros")</f>
        <v/>
      </c>
      <c r="E118" s="20">
        <f>IF($C118="","",Registro_Compras!$S$16)</f>
        <v/>
      </c>
      <c r="F118" s="20">
        <f>""</f>
        <v/>
      </c>
      <c r="G118">
        <f>IF($C118="","","Por el deposito de la detraccion en el Banco de la Nacion")</f>
        <v/>
      </c>
      <c r="H118">
        <f>IF($C118="","",Registro_Compras!$C$16)</f>
        <v/>
      </c>
    </row>
    <row r="119">
      <c r="A119" s="25">
        <f>IF($C119="","",Registro_Compras!$X$16)</f>
        <v/>
      </c>
      <c r="B119">
        <f>IF($C119="","","C"&amp;TEXT(INT((ROW()-5)/9)+1,"000")&amp;"-3")</f>
        <v/>
      </c>
      <c r="C119">
        <f>IF(OR(Registro_Compras!$C$16="",Registro_Compras!$O$16="",Registro_Compras!$R$16&lt;&gt;"SI",Registro_Compras!$X$16=""),"","10413")</f>
        <v/>
      </c>
      <c r="D119">
        <f>IF(OR(Registro_Compras!$C$16="",Registro_Compras!$O$16=""),"","Efectivo y Equivalentes - Cta. Cte. Operativa")</f>
        <v/>
      </c>
      <c r="E119" s="20">
        <f>""</f>
        <v/>
      </c>
      <c r="F119" s="20">
        <f>IF($C119="","",Registro_Compras!$S$16)</f>
        <v/>
      </c>
      <c r="G119">
        <f>IF($C119="","","Por el deposito de la detraccion en el Banco de la Nacion")</f>
        <v/>
      </c>
      <c r="H119">
        <f>IF($C119="","",Registro_Compras!$C$16)</f>
        <v/>
      </c>
    </row>
    <row r="120">
      <c r="A120" s="25">
        <f>IF($C120="","",Registro_Compras!$Y$16)</f>
        <v/>
      </c>
      <c r="B120">
        <f>IF($C120="","","C"&amp;TEXT(INT((ROW()-5)/9)+1,"000")&amp;"-4")</f>
        <v/>
      </c>
      <c r="C120">
        <f>IF(OR(Registro_Compras!$C$16="",Registro_Compras!$O$16="",Registro_Compras!$Y$16="",Registro_Compras!$F$16="NOTA DE CREDITO"),"","4212")</f>
        <v/>
      </c>
      <c r="D120">
        <f>IF(OR(Registro_Compras!$C$16="",Registro_Compras!$O$16=""),"","Cuentas por Pagar Comerciales - Terceros")</f>
        <v/>
      </c>
      <c r="E120" s="20">
        <f>IF($C120="","",IF(Registro_Compras!$F$16="RHE",(ROUND(Registro_Compras!$L$16*Registro_Compras!$N$16,2)-ROUND(Registro_Compras!$V$16*Registro_Compras!$N$16,2)),ROUND(Registro_Compras!$O$16-Registro_Compras!$S$16,2)))</f>
        <v/>
      </c>
      <c r="F120" s="20">
        <f>""</f>
        <v/>
      </c>
      <c r="G120">
        <f>IF($C120="","","Por la cancelacion del saldo al proveedor")</f>
        <v/>
      </c>
      <c r="H120">
        <f>IF($C120="","",Registro_Compras!$C$16)</f>
        <v/>
      </c>
    </row>
    <row r="121">
      <c r="A121" s="25">
        <f>IF($C121="","",Registro_Compras!$Y$16)</f>
        <v/>
      </c>
      <c r="B121">
        <f>IF($C121="","","C"&amp;TEXT(INT((ROW()-5)/9)+1,"000")&amp;"-4")</f>
        <v/>
      </c>
      <c r="C121">
        <f>IF(OR(Registro_Compras!$C$16="",Registro_Compras!$O$16="",Registro_Compras!$Y$16="",Registro_Compras!$F$16="NOTA DE CREDITO"),"","10413")</f>
        <v/>
      </c>
      <c r="D121">
        <f>IF(OR(Registro_Compras!$C$16="",Registro_Compras!$O$16=""),"","Efectivo y Equivalentes - Cta. Cte. Operativa")</f>
        <v/>
      </c>
      <c r="E121" s="20">
        <f>""</f>
        <v/>
      </c>
      <c r="F121" s="20">
        <f>IF($C121="","",IF(Registro_Compras!$F$16="RHE",(ROUND(Registro_Compras!$L$16*Registro_Compras!$N$16,2)-ROUND(Registro_Compras!$V$16*Registro_Compras!$N$16,2)),ROUND(Registro_Compras!$O$16-Registro_Compras!$S$16,2)))</f>
        <v/>
      </c>
      <c r="G121">
        <f>IF($C121="","","Por la cancelacion del saldo al proveedor")</f>
        <v/>
      </c>
      <c r="H121">
        <f>IF($C121="","",Registro_Compras!$C$16)</f>
        <v/>
      </c>
    </row>
    <row r="122">
      <c r="A122" s="25">
        <f>IF($C122="","",Registro_Compras!$B$17)</f>
        <v/>
      </c>
      <c r="B122">
        <f>IF($C122="","","C"&amp;TEXT(INT((ROW()-5)/9)+1,"000")&amp;"-1")</f>
        <v/>
      </c>
      <c r="C122">
        <f>IF(OR(Registro_Compras!$C$17="",Registro_Compras!$O$17=""),"",IF(Registro_Compras!$F$17="NOTA DE CREDITO","4212",IF(Registro_Compras!$M$17="","63",Registro_Compras!$M$17)))</f>
        <v/>
      </c>
      <c r="D122">
        <f>IF(OR(Registro_Compras!$C$17="",Registro_Compras!$O$17=""),"",IF(Registro_Compras!$F$17="NOTA DE CREDITO","Cuentas por Pagar Comerciales - Terceros (Emitidas)",IF(Registro_Compras!$F$17="RHE","Honorarios Profesionales - Servicios de Terceros","Gastos de Servicios Prestados por Terceros")))</f>
        <v/>
      </c>
      <c r="E122" s="20">
        <f>IF($C122="","",IF(Registro_Compras!$F$17="NOTA DE CREDITO",ABS(Registro_Compras!$O$17),IF(Registro_Compras!$F$17="RHE",ROUND(Registro_Compras!$L$17*Registro_Compras!$N$17,2),ROUND(Registro_Compras!$J$17*Registro_Compras!$N$17,2))))</f>
        <v/>
      </c>
      <c r="F122" s="20">
        <f>""</f>
        <v/>
      </c>
      <c r="G122">
        <f>IF($C122="","",IF(Registro_Compras!$F$17="NOTA DE CREDITO","Por la nota de credito "&amp;Registro_Compras!$C$17&amp;" de "&amp;Registro_Compras!$E$17&amp;" [PATRON POR CONFIRMAR CON CONTADOR]",IF(Registro_Compras!$F$17="RHE","Por el registro del recibo por honorarios "&amp;Registro_Compras!$C$17&amp;" de "&amp;Registro_Compras!$E$17&amp;" [PATRON POR CONFIRMAR CON CONTADOR]","Por el registro de la factura "&amp;Registro_Compras!$C$17&amp;" de "&amp;Registro_Compras!$E$17)))</f>
        <v/>
      </c>
      <c r="H122">
        <f>IF($C122="","",Registro_Compras!$C$17)</f>
        <v/>
      </c>
    </row>
    <row r="123">
      <c r="A123" s="25">
        <f>IF($C123="","",Registro_Compras!$B$17)</f>
        <v/>
      </c>
      <c r="B123">
        <f>IF($C123="","","C"&amp;TEXT(INT((ROW()-5)/9)+1,"000")&amp;"-1")</f>
        <v/>
      </c>
      <c r="C123">
        <f>IF(OR(Registro_Compras!$C$17="",Registro_Compras!$O$17=""),"",IF(Registro_Compras!$F$17="RHE",IF(Registro_Compras!$V$17=0,"","40172"),IF(Registro_Compras!$F$17="NOTA DE CREDITO",IF(Registro_Compras!$M$17="","63",Registro_Compras!$M$17),IF(Registro_Compras!$K$17=0,"","40111"))))</f>
        <v/>
      </c>
      <c r="D123">
        <f>IF(OR(Registro_Compras!$C$17="",Registro_Compras!$O$17=""),"",IF(Registro_Compras!$F$17="RHE","Retencion Renta 4ta Categoria por Pagar",IF(Registro_Compras!$F$17="NOTA DE CREDITO","Gastos de Servicios Prestados por Terceros","IGV - Cuenta Propia (Credito Fiscal)")))</f>
        <v/>
      </c>
      <c r="E123" s="20">
        <f>IF($C123="","",IF(Registro_Compras!$F$17="FACTURA",ROUND(Registro_Compras!$K$17*Registro_Compras!$N$17,2),""))</f>
        <v/>
      </c>
      <c r="F123" s="20">
        <f>IF($C123="","",IF(Registro_Compras!$F$17="RHE",ROUND(Registro_Compras!$V$17*Registro_Compras!$N$17,2),IF(Registro_Compras!$F$17="NOTA DE CREDITO",ROUND(ABS(Registro_Compras!$J$17*Registro_Compras!$N$17),2),"")))</f>
        <v/>
      </c>
      <c r="G123">
        <f>IF($C123="","",IF(Registro_Compras!$F$17="NOTA DE CREDITO","Por la nota de credito "&amp;Registro_Compras!$C$17&amp;" de "&amp;Registro_Compras!$E$17&amp;" [PATRON POR CONFIRMAR CON CONTADOR]",IF(Registro_Compras!$F$17="RHE","Por el registro del recibo por honorarios "&amp;Registro_Compras!$C$17&amp;" de "&amp;Registro_Compras!$E$17&amp;" [PATRON POR CONFIRMAR CON CONTADOR]","Por el registro de la factura "&amp;Registro_Compras!$C$17&amp;" de "&amp;Registro_Compras!$E$17)))</f>
        <v/>
      </c>
      <c r="H123">
        <f>IF($C123="","",Registro_Compras!$C$17)</f>
        <v/>
      </c>
    </row>
    <row r="124">
      <c r="A124" s="25">
        <f>IF($C124="","",Registro_Compras!$B$17)</f>
        <v/>
      </c>
      <c r="B124">
        <f>IF($C124="","","C"&amp;TEXT(INT((ROW()-5)/9)+1,"000")&amp;"-1")</f>
        <v/>
      </c>
      <c r="C124">
        <f>IF(OR(Registro_Compras!$C$17="",Registro_Compras!$O$17=""),"",IF(Registro_Compras!$F$17="NOTA DE CREDITO",IF(Registro_Compras!$K$17=0,"","40111"),"4212"))</f>
        <v/>
      </c>
      <c r="D124">
        <f>IF(OR(Registro_Compras!$C$17="",Registro_Compras!$O$17=""),"",IF(Registro_Compras!$F$17="NOTA DE CREDITO","IGV - Cuenta Propia (Credito Fiscal)","Cuentas por Pagar Comerciales - Terceros (Emitidas)"))</f>
        <v/>
      </c>
      <c r="E124" s="20">
        <f>""</f>
        <v/>
      </c>
      <c r="F124" s="20">
        <f>IF($C124="","",IF(Registro_Compras!$F$17="NOTA DE CREDITO",ROUND(ABS(Registro_Compras!$K$17*Registro_Compras!$N$17),2),IF(Registro_Compras!$F$17="RHE",(ROUND(Registro_Compras!$L$17*Registro_Compras!$N$17,2)-ROUND(Registro_Compras!$V$17*Registro_Compras!$N$17,2)),Registro_Compras!$O$17)))</f>
        <v/>
      </c>
      <c r="G124">
        <f>IF($C124="","",IF(Registro_Compras!$F$17="NOTA DE CREDITO","Por la nota de credito "&amp;Registro_Compras!$C$17&amp;" de "&amp;Registro_Compras!$E$17&amp;" [PATRON POR CONFIRMAR CON CONTADOR]",IF(Registro_Compras!$F$17="RHE","Por el registro del recibo por honorarios "&amp;Registro_Compras!$C$17&amp;" de "&amp;Registro_Compras!$E$17&amp;" [PATRON POR CONFIRMAR CON CONTADOR]","Por el registro de la factura "&amp;Registro_Compras!$C$17&amp;" de "&amp;Registro_Compras!$E$17)))</f>
        <v/>
      </c>
      <c r="H124">
        <f>IF($C124="","",Registro_Compras!$C$17)</f>
        <v/>
      </c>
    </row>
    <row r="125">
      <c r="A125" s="25">
        <f>IF($C125="","",Registro_Compras!$B$17)</f>
        <v/>
      </c>
      <c r="B125">
        <f>IF($C125="","","C"&amp;TEXT(INT((ROW()-5)/9)+1,"000")&amp;"-2")</f>
        <v/>
      </c>
      <c r="C125">
        <f>IF(OR(Registro_Compras!$C$17="",Registro_Compras!$O$17=""),"",IF(Registro_Compras!$AB$17="ADMINISTRATIVO","94","95"))</f>
        <v/>
      </c>
      <c r="D125">
        <f>IF(OR(Registro_Compras!$C$17="",Registro_Compras!$O$17=""),"",IF(Registro_Compras!$AB$17="ADMINISTRATIVO","Gastos Administrativos","Gastos de Venta y Operacion"))</f>
        <v/>
      </c>
      <c r="E125" s="20">
        <f>IF($C125="","",IF(Registro_Compras!$F$17="NOTA DE CREDITO","",IF(Registro_Compras!$F$17="RHE",ROUND(Registro_Compras!$L$17*Registro_Compras!$N$17,2),ROUND(Registro_Compras!$J$17*Registro_Compras!$N$17,2))))</f>
        <v/>
      </c>
      <c r="F125" s="20">
        <f>IF($C125="","",IF(Registro_Compras!$F$17="NOTA DE CREDITO",ROUND(ABS(Registro_Compras!$J$17*Registro_Compras!$N$17),2),""))</f>
        <v/>
      </c>
      <c r="G125">
        <f>IF($C125="","","Por el destino del gasto")</f>
        <v/>
      </c>
      <c r="H125">
        <f>IF($C125="","",Registro_Compras!$C$17)</f>
        <v/>
      </c>
    </row>
    <row r="126">
      <c r="A126" s="25">
        <f>IF($C126="","",Registro_Compras!$B$17)</f>
        <v/>
      </c>
      <c r="B126">
        <f>IF($C126="","","C"&amp;TEXT(INT((ROW()-5)/9)+1,"000")&amp;"-2")</f>
        <v/>
      </c>
      <c r="C126">
        <f>IF(OR(Registro_Compras!$C$17="",Registro_Compras!$O$17=""),"","79/791")</f>
        <v/>
      </c>
      <c r="D126">
        <f>IF(OR(Registro_Compras!$C$17="",Registro_Compras!$O$17=""),"","Cargas Imputables a Cuentas de Costos y Gastos")</f>
        <v/>
      </c>
      <c r="E126" s="20">
        <f>IF($C126="","",IF(Registro_Compras!$F$17="NOTA DE CREDITO",ROUND(ABS(Registro_Compras!$J$17*Registro_Compras!$N$17),2),""))</f>
        <v/>
      </c>
      <c r="F126" s="20">
        <f>IF($C126="","",IF(Registro_Compras!$F$17="NOTA DE CREDITO","",IF(Registro_Compras!$F$17="RHE",ROUND(Registro_Compras!$L$17*Registro_Compras!$N$17,2),ROUND(Registro_Compras!$J$17*Registro_Compras!$N$17,2))))</f>
        <v/>
      </c>
      <c r="G126">
        <f>IF($C126="","","Por el destino del gasto")</f>
        <v/>
      </c>
      <c r="H126">
        <f>IF($C126="","",Registro_Compras!$C$17)</f>
        <v/>
      </c>
    </row>
    <row r="127">
      <c r="A127" s="25">
        <f>IF($C127="","",Registro_Compras!$X$17)</f>
        <v/>
      </c>
      <c r="B127">
        <f>IF($C127="","","C"&amp;TEXT(INT((ROW()-5)/9)+1,"000")&amp;"-3")</f>
        <v/>
      </c>
      <c r="C127">
        <f>IF(OR(Registro_Compras!$C$17="",Registro_Compras!$O$17="",Registro_Compras!$R$17&lt;&gt;"SI",Registro_Compras!$X$17=""),"","4212")</f>
        <v/>
      </c>
      <c r="D127">
        <f>IF(OR(Registro_Compras!$C$17="",Registro_Compras!$O$17=""),"","Cuentas por Pagar Comerciales - Terceros")</f>
        <v/>
      </c>
      <c r="E127" s="20">
        <f>IF($C127="","",Registro_Compras!$S$17)</f>
        <v/>
      </c>
      <c r="F127" s="20">
        <f>""</f>
        <v/>
      </c>
      <c r="G127">
        <f>IF($C127="","","Por el deposito de la detraccion en el Banco de la Nacion")</f>
        <v/>
      </c>
      <c r="H127">
        <f>IF($C127="","",Registro_Compras!$C$17)</f>
        <v/>
      </c>
    </row>
    <row r="128">
      <c r="A128" s="25">
        <f>IF($C128="","",Registro_Compras!$X$17)</f>
        <v/>
      </c>
      <c r="B128">
        <f>IF($C128="","","C"&amp;TEXT(INT((ROW()-5)/9)+1,"000")&amp;"-3")</f>
        <v/>
      </c>
      <c r="C128">
        <f>IF(OR(Registro_Compras!$C$17="",Registro_Compras!$O$17="",Registro_Compras!$R$17&lt;&gt;"SI",Registro_Compras!$X$17=""),"","10413")</f>
        <v/>
      </c>
      <c r="D128">
        <f>IF(OR(Registro_Compras!$C$17="",Registro_Compras!$O$17=""),"","Efectivo y Equivalentes - Cta. Cte. Operativa")</f>
        <v/>
      </c>
      <c r="E128" s="20">
        <f>""</f>
        <v/>
      </c>
      <c r="F128" s="20">
        <f>IF($C128="","",Registro_Compras!$S$17)</f>
        <v/>
      </c>
      <c r="G128">
        <f>IF($C128="","","Por el deposito de la detraccion en el Banco de la Nacion")</f>
        <v/>
      </c>
      <c r="H128">
        <f>IF($C128="","",Registro_Compras!$C$17)</f>
        <v/>
      </c>
    </row>
    <row r="129">
      <c r="A129" s="25">
        <f>IF($C129="","",Registro_Compras!$Y$17)</f>
        <v/>
      </c>
      <c r="B129">
        <f>IF($C129="","","C"&amp;TEXT(INT((ROW()-5)/9)+1,"000")&amp;"-4")</f>
        <v/>
      </c>
      <c r="C129">
        <f>IF(OR(Registro_Compras!$C$17="",Registro_Compras!$O$17="",Registro_Compras!$Y$17="",Registro_Compras!$F$17="NOTA DE CREDITO"),"","4212")</f>
        <v/>
      </c>
      <c r="D129">
        <f>IF(OR(Registro_Compras!$C$17="",Registro_Compras!$O$17=""),"","Cuentas por Pagar Comerciales - Terceros")</f>
        <v/>
      </c>
      <c r="E129" s="20">
        <f>IF($C129="","",IF(Registro_Compras!$F$17="RHE",(ROUND(Registro_Compras!$L$17*Registro_Compras!$N$17,2)-ROUND(Registro_Compras!$V$17*Registro_Compras!$N$17,2)),ROUND(Registro_Compras!$O$17-Registro_Compras!$S$17,2)))</f>
        <v/>
      </c>
      <c r="F129" s="20">
        <f>""</f>
        <v/>
      </c>
      <c r="G129">
        <f>IF($C129="","","Por la cancelacion del saldo al proveedor")</f>
        <v/>
      </c>
      <c r="H129">
        <f>IF($C129="","",Registro_Compras!$C$17)</f>
        <v/>
      </c>
    </row>
    <row r="130">
      <c r="A130" s="25">
        <f>IF($C130="","",Registro_Compras!$Y$17)</f>
        <v/>
      </c>
      <c r="B130">
        <f>IF($C130="","","C"&amp;TEXT(INT((ROW()-5)/9)+1,"000")&amp;"-4")</f>
        <v/>
      </c>
      <c r="C130">
        <f>IF(OR(Registro_Compras!$C$17="",Registro_Compras!$O$17="",Registro_Compras!$Y$17="",Registro_Compras!$F$17="NOTA DE CREDITO"),"","10413")</f>
        <v/>
      </c>
      <c r="D130">
        <f>IF(OR(Registro_Compras!$C$17="",Registro_Compras!$O$17=""),"","Efectivo y Equivalentes - Cta. Cte. Operativa")</f>
        <v/>
      </c>
      <c r="E130" s="20">
        <f>""</f>
        <v/>
      </c>
      <c r="F130" s="20">
        <f>IF($C130="","",IF(Registro_Compras!$F$17="RHE",(ROUND(Registro_Compras!$L$17*Registro_Compras!$N$17,2)-ROUND(Registro_Compras!$V$17*Registro_Compras!$N$17,2)),ROUND(Registro_Compras!$O$17-Registro_Compras!$S$17,2)))</f>
        <v/>
      </c>
      <c r="G130">
        <f>IF($C130="","","Por la cancelacion del saldo al proveedor")</f>
        <v/>
      </c>
      <c r="H130">
        <f>IF($C130="","",Registro_Compras!$C$17)</f>
        <v/>
      </c>
    </row>
    <row r="131">
      <c r="A131" s="25">
        <f>IF($C131="","",Registro_Compras!$B$18)</f>
        <v/>
      </c>
      <c r="B131">
        <f>IF($C131="","","C"&amp;TEXT(INT((ROW()-5)/9)+1,"000")&amp;"-1")</f>
        <v/>
      </c>
      <c r="C131">
        <f>IF(OR(Registro_Compras!$C$18="",Registro_Compras!$O$18=""),"",IF(Registro_Compras!$F$18="NOTA DE CREDITO","4212",IF(Registro_Compras!$M$18="","63",Registro_Compras!$M$18)))</f>
        <v/>
      </c>
      <c r="D131">
        <f>IF(OR(Registro_Compras!$C$18="",Registro_Compras!$O$18=""),"",IF(Registro_Compras!$F$18="NOTA DE CREDITO","Cuentas por Pagar Comerciales - Terceros (Emitidas)",IF(Registro_Compras!$F$18="RHE","Honorarios Profesionales - Servicios de Terceros","Gastos de Servicios Prestados por Terceros")))</f>
        <v/>
      </c>
      <c r="E131" s="20">
        <f>IF($C131="","",IF(Registro_Compras!$F$18="NOTA DE CREDITO",ABS(Registro_Compras!$O$18),IF(Registro_Compras!$F$18="RHE",ROUND(Registro_Compras!$L$18*Registro_Compras!$N$18,2),ROUND(Registro_Compras!$J$18*Registro_Compras!$N$18,2))))</f>
        <v/>
      </c>
      <c r="F131" s="20">
        <f>""</f>
        <v/>
      </c>
      <c r="G131">
        <f>IF($C131="","",IF(Registro_Compras!$F$18="NOTA DE CREDITO","Por la nota de credito "&amp;Registro_Compras!$C$18&amp;" de "&amp;Registro_Compras!$E$18&amp;" [PATRON POR CONFIRMAR CON CONTADOR]",IF(Registro_Compras!$F$18="RHE","Por el registro del recibo por honorarios "&amp;Registro_Compras!$C$18&amp;" de "&amp;Registro_Compras!$E$18&amp;" [PATRON POR CONFIRMAR CON CONTADOR]","Por el registro de la factura "&amp;Registro_Compras!$C$18&amp;" de "&amp;Registro_Compras!$E$18)))</f>
        <v/>
      </c>
      <c r="H131">
        <f>IF($C131="","",Registro_Compras!$C$18)</f>
        <v/>
      </c>
    </row>
    <row r="132">
      <c r="A132" s="25">
        <f>IF($C132="","",Registro_Compras!$B$18)</f>
        <v/>
      </c>
      <c r="B132">
        <f>IF($C132="","","C"&amp;TEXT(INT((ROW()-5)/9)+1,"000")&amp;"-1")</f>
        <v/>
      </c>
      <c r="C132">
        <f>IF(OR(Registro_Compras!$C$18="",Registro_Compras!$O$18=""),"",IF(Registro_Compras!$F$18="RHE",IF(Registro_Compras!$V$18=0,"","40172"),IF(Registro_Compras!$F$18="NOTA DE CREDITO",IF(Registro_Compras!$M$18="","63",Registro_Compras!$M$18),IF(Registro_Compras!$K$18=0,"","40111"))))</f>
        <v/>
      </c>
      <c r="D132">
        <f>IF(OR(Registro_Compras!$C$18="",Registro_Compras!$O$18=""),"",IF(Registro_Compras!$F$18="RHE","Retencion Renta 4ta Categoria por Pagar",IF(Registro_Compras!$F$18="NOTA DE CREDITO","Gastos de Servicios Prestados por Terceros","IGV - Cuenta Propia (Credito Fiscal)")))</f>
        <v/>
      </c>
      <c r="E132" s="20">
        <f>IF($C132="","",IF(Registro_Compras!$F$18="FACTURA",ROUND(Registro_Compras!$K$18*Registro_Compras!$N$18,2),""))</f>
        <v/>
      </c>
      <c r="F132" s="20">
        <f>IF($C132="","",IF(Registro_Compras!$F$18="RHE",ROUND(Registro_Compras!$V$18*Registro_Compras!$N$18,2),IF(Registro_Compras!$F$18="NOTA DE CREDITO",ROUND(ABS(Registro_Compras!$J$18*Registro_Compras!$N$18),2),"")))</f>
        <v/>
      </c>
      <c r="G132">
        <f>IF($C132="","",IF(Registro_Compras!$F$18="NOTA DE CREDITO","Por la nota de credito "&amp;Registro_Compras!$C$18&amp;" de "&amp;Registro_Compras!$E$18&amp;" [PATRON POR CONFIRMAR CON CONTADOR]",IF(Registro_Compras!$F$18="RHE","Por el registro del recibo por honorarios "&amp;Registro_Compras!$C$18&amp;" de "&amp;Registro_Compras!$E$18&amp;" [PATRON POR CONFIRMAR CON CONTADOR]","Por el registro de la factura "&amp;Registro_Compras!$C$18&amp;" de "&amp;Registro_Compras!$E$18)))</f>
        <v/>
      </c>
      <c r="H132">
        <f>IF($C132="","",Registro_Compras!$C$18)</f>
        <v/>
      </c>
    </row>
    <row r="133">
      <c r="A133" s="25">
        <f>IF($C133="","",Registro_Compras!$B$18)</f>
        <v/>
      </c>
      <c r="B133">
        <f>IF($C133="","","C"&amp;TEXT(INT((ROW()-5)/9)+1,"000")&amp;"-1")</f>
        <v/>
      </c>
      <c r="C133">
        <f>IF(OR(Registro_Compras!$C$18="",Registro_Compras!$O$18=""),"",IF(Registro_Compras!$F$18="NOTA DE CREDITO",IF(Registro_Compras!$K$18=0,"","40111"),"4212"))</f>
        <v/>
      </c>
      <c r="D133">
        <f>IF(OR(Registro_Compras!$C$18="",Registro_Compras!$O$18=""),"",IF(Registro_Compras!$F$18="NOTA DE CREDITO","IGV - Cuenta Propia (Credito Fiscal)","Cuentas por Pagar Comerciales - Terceros (Emitidas)"))</f>
        <v/>
      </c>
      <c r="E133" s="20">
        <f>""</f>
        <v/>
      </c>
      <c r="F133" s="20">
        <f>IF($C133="","",IF(Registro_Compras!$F$18="NOTA DE CREDITO",ROUND(ABS(Registro_Compras!$K$18*Registro_Compras!$N$18),2),IF(Registro_Compras!$F$18="RHE",(ROUND(Registro_Compras!$L$18*Registro_Compras!$N$18,2)-ROUND(Registro_Compras!$V$18*Registro_Compras!$N$18,2)),Registro_Compras!$O$18)))</f>
        <v/>
      </c>
      <c r="G133">
        <f>IF($C133="","",IF(Registro_Compras!$F$18="NOTA DE CREDITO","Por la nota de credito "&amp;Registro_Compras!$C$18&amp;" de "&amp;Registro_Compras!$E$18&amp;" [PATRON POR CONFIRMAR CON CONTADOR]",IF(Registro_Compras!$F$18="RHE","Por el registro del recibo por honorarios "&amp;Registro_Compras!$C$18&amp;" de "&amp;Registro_Compras!$E$18&amp;" [PATRON POR CONFIRMAR CON CONTADOR]","Por el registro de la factura "&amp;Registro_Compras!$C$18&amp;" de "&amp;Registro_Compras!$E$18)))</f>
        <v/>
      </c>
      <c r="H133">
        <f>IF($C133="","",Registro_Compras!$C$18)</f>
        <v/>
      </c>
    </row>
    <row r="134">
      <c r="A134" s="25">
        <f>IF($C134="","",Registro_Compras!$B$18)</f>
        <v/>
      </c>
      <c r="B134">
        <f>IF($C134="","","C"&amp;TEXT(INT((ROW()-5)/9)+1,"000")&amp;"-2")</f>
        <v/>
      </c>
      <c r="C134">
        <f>IF(OR(Registro_Compras!$C$18="",Registro_Compras!$O$18=""),"",IF(Registro_Compras!$AB$18="ADMINISTRATIVO","94","95"))</f>
        <v/>
      </c>
      <c r="D134">
        <f>IF(OR(Registro_Compras!$C$18="",Registro_Compras!$O$18=""),"",IF(Registro_Compras!$AB$18="ADMINISTRATIVO","Gastos Administrativos","Gastos de Venta y Operacion"))</f>
        <v/>
      </c>
      <c r="E134" s="20">
        <f>IF($C134="","",IF(Registro_Compras!$F$18="NOTA DE CREDITO","",IF(Registro_Compras!$F$18="RHE",ROUND(Registro_Compras!$L$18*Registro_Compras!$N$18,2),ROUND(Registro_Compras!$J$18*Registro_Compras!$N$18,2))))</f>
        <v/>
      </c>
      <c r="F134" s="20">
        <f>IF($C134="","",IF(Registro_Compras!$F$18="NOTA DE CREDITO",ROUND(ABS(Registro_Compras!$J$18*Registro_Compras!$N$18),2),""))</f>
        <v/>
      </c>
      <c r="G134">
        <f>IF($C134="","","Por el destino del gasto")</f>
        <v/>
      </c>
      <c r="H134">
        <f>IF($C134="","",Registro_Compras!$C$18)</f>
        <v/>
      </c>
    </row>
    <row r="135">
      <c r="A135" s="25">
        <f>IF($C135="","",Registro_Compras!$B$18)</f>
        <v/>
      </c>
      <c r="B135">
        <f>IF($C135="","","C"&amp;TEXT(INT((ROW()-5)/9)+1,"000")&amp;"-2")</f>
        <v/>
      </c>
      <c r="C135">
        <f>IF(OR(Registro_Compras!$C$18="",Registro_Compras!$O$18=""),"","79/791")</f>
        <v/>
      </c>
      <c r="D135">
        <f>IF(OR(Registro_Compras!$C$18="",Registro_Compras!$O$18=""),"","Cargas Imputables a Cuentas de Costos y Gastos")</f>
        <v/>
      </c>
      <c r="E135" s="20">
        <f>IF($C135="","",IF(Registro_Compras!$F$18="NOTA DE CREDITO",ROUND(ABS(Registro_Compras!$J$18*Registro_Compras!$N$18),2),""))</f>
        <v/>
      </c>
      <c r="F135" s="20">
        <f>IF($C135="","",IF(Registro_Compras!$F$18="NOTA DE CREDITO","",IF(Registro_Compras!$F$18="RHE",ROUND(Registro_Compras!$L$18*Registro_Compras!$N$18,2),ROUND(Registro_Compras!$J$18*Registro_Compras!$N$18,2))))</f>
        <v/>
      </c>
      <c r="G135">
        <f>IF($C135="","","Por el destino del gasto")</f>
        <v/>
      </c>
      <c r="H135">
        <f>IF($C135="","",Registro_Compras!$C$18)</f>
        <v/>
      </c>
    </row>
    <row r="136">
      <c r="A136" s="25">
        <f>IF($C136="","",Registro_Compras!$X$18)</f>
        <v/>
      </c>
      <c r="B136">
        <f>IF($C136="","","C"&amp;TEXT(INT((ROW()-5)/9)+1,"000")&amp;"-3")</f>
        <v/>
      </c>
      <c r="C136">
        <f>IF(OR(Registro_Compras!$C$18="",Registro_Compras!$O$18="",Registro_Compras!$R$18&lt;&gt;"SI",Registro_Compras!$X$18=""),"","4212")</f>
        <v/>
      </c>
      <c r="D136">
        <f>IF(OR(Registro_Compras!$C$18="",Registro_Compras!$O$18=""),"","Cuentas por Pagar Comerciales - Terceros")</f>
        <v/>
      </c>
      <c r="E136" s="20">
        <f>IF($C136="","",Registro_Compras!$S$18)</f>
        <v/>
      </c>
      <c r="F136" s="20">
        <f>""</f>
        <v/>
      </c>
      <c r="G136">
        <f>IF($C136="","","Por el deposito de la detraccion en el Banco de la Nacion")</f>
        <v/>
      </c>
      <c r="H136">
        <f>IF($C136="","",Registro_Compras!$C$18)</f>
        <v/>
      </c>
    </row>
    <row r="137">
      <c r="A137" s="25">
        <f>IF($C137="","",Registro_Compras!$X$18)</f>
        <v/>
      </c>
      <c r="B137">
        <f>IF($C137="","","C"&amp;TEXT(INT((ROW()-5)/9)+1,"000")&amp;"-3")</f>
        <v/>
      </c>
      <c r="C137">
        <f>IF(OR(Registro_Compras!$C$18="",Registro_Compras!$O$18="",Registro_Compras!$R$18&lt;&gt;"SI",Registro_Compras!$X$18=""),"","10413")</f>
        <v/>
      </c>
      <c r="D137">
        <f>IF(OR(Registro_Compras!$C$18="",Registro_Compras!$O$18=""),"","Efectivo y Equivalentes - Cta. Cte. Operativa")</f>
        <v/>
      </c>
      <c r="E137" s="20">
        <f>""</f>
        <v/>
      </c>
      <c r="F137" s="20">
        <f>IF($C137="","",Registro_Compras!$S$18)</f>
        <v/>
      </c>
      <c r="G137">
        <f>IF($C137="","","Por el deposito de la detraccion en el Banco de la Nacion")</f>
        <v/>
      </c>
      <c r="H137">
        <f>IF($C137="","",Registro_Compras!$C$18)</f>
        <v/>
      </c>
    </row>
    <row r="138">
      <c r="A138" s="25">
        <f>IF($C138="","",Registro_Compras!$Y$18)</f>
        <v/>
      </c>
      <c r="B138">
        <f>IF($C138="","","C"&amp;TEXT(INT((ROW()-5)/9)+1,"000")&amp;"-4")</f>
        <v/>
      </c>
      <c r="C138">
        <f>IF(OR(Registro_Compras!$C$18="",Registro_Compras!$O$18="",Registro_Compras!$Y$18="",Registro_Compras!$F$18="NOTA DE CREDITO"),"","4212")</f>
        <v/>
      </c>
      <c r="D138">
        <f>IF(OR(Registro_Compras!$C$18="",Registro_Compras!$O$18=""),"","Cuentas por Pagar Comerciales - Terceros")</f>
        <v/>
      </c>
      <c r="E138" s="20">
        <f>IF($C138="","",IF(Registro_Compras!$F$18="RHE",(ROUND(Registro_Compras!$L$18*Registro_Compras!$N$18,2)-ROUND(Registro_Compras!$V$18*Registro_Compras!$N$18,2)),ROUND(Registro_Compras!$O$18-Registro_Compras!$S$18,2)))</f>
        <v/>
      </c>
      <c r="F138" s="20">
        <f>""</f>
        <v/>
      </c>
      <c r="G138">
        <f>IF($C138="","","Por la cancelacion del saldo al proveedor")</f>
        <v/>
      </c>
      <c r="H138">
        <f>IF($C138="","",Registro_Compras!$C$18)</f>
        <v/>
      </c>
    </row>
    <row r="139">
      <c r="A139" s="25">
        <f>IF($C139="","",Registro_Compras!$Y$18)</f>
        <v/>
      </c>
      <c r="B139">
        <f>IF($C139="","","C"&amp;TEXT(INT((ROW()-5)/9)+1,"000")&amp;"-4")</f>
        <v/>
      </c>
      <c r="C139">
        <f>IF(OR(Registro_Compras!$C$18="",Registro_Compras!$O$18="",Registro_Compras!$Y$18="",Registro_Compras!$F$18="NOTA DE CREDITO"),"","10413")</f>
        <v/>
      </c>
      <c r="D139">
        <f>IF(OR(Registro_Compras!$C$18="",Registro_Compras!$O$18=""),"","Efectivo y Equivalentes - Cta. Cte. Operativa")</f>
        <v/>
      </c>
      <c r="E139" s="20">
        <f>""</f>
        <v/>
      </c>
      <c r="F139" s="20">
        <f>IF($C139="","",IF(Registro_Compras!$F$18="RHE",(ROUND(Registro_Compras!$L$18*Registro_Compras!$N$18,2)-ROUND(Registro_Compras!$V$18*Registro_Compras!$N$18,2)),ROUND(Registro_Compras!$O$18-Registro_Compras!$S$18,2)))</f>
        <v/>
      </c>
      <c r="G139">
        <f>IF($C139="","","Por la cancelacion del saldo al proveedor")</f>
        <v/>
      </c>
      <c r="H139">
        <f>IF($C139="","",Registro_Compras!$C$18)</f>
        <v/>
      </c>
    </row>
    <row r="140">
      <c r="A140" s="25">
        <f>IF($C140="","",Registro_Compras!$B$19)</f>
        <v/>
      </c>
      <c r="B140">
        <f>IF($C140="","","C"&amp;TEXT(INT((ROW()-5)/9)+1,"000")&amp;"-1")</f>
        <v/>
      </c>
      <c r="C140">
        <f>IF(OR(Registro_Compras!$C$19="",Registro_Compras!$O$19=""),"",IF(Registro_Compras!$F$19="NOTA DE CREDITO","4212",IF(Registro_Compras!$M$19="","63",Registro_Compras!$M$19)))</f>
        <v/>
      </c>
      <c r="D140">
        <f>IF(OR(Registro_Compras!$C$19="",Registro_Compras!$O$19=""),"",IF(Registro_Compras!$F$19="NOTA DE CREDITO","Cuentas por Pagar Comerciales - Terceros (Emitidas)",IF(Registro_Compras!$F$19="RHE","Honorarios Profesionales - Servicios de Terceros","Gastos de Servicios Prestados por Terceros")))</f>
        <v/>
      </c>
      <c r="E140" s="20">
        <f>IF($C140="","",IF(Registro_Compras!$F$19="NOTA DE CREDITO",ABS(Registro_Compras!$O$19),IF(Registro_Compras!$F$19="RHE",ROUND(Registro_Compras!$L$19*Registro_Compras!$N$19,2),ROUND(Registro_Compras!$J$19*Registro_Compras!$N$19,2))))</f>
        <v/>
      </c>
      <c r="F140" s="20">
        <f>""</f>
        <v/>
      </c>
      <c r="G140">
        <f>IF($C140="","",IF(Registro_Compras!$F$19="NOTA DE CREDITO","Por la nota de credito "&amp;Registro_Compras!$C$19&amp;" de "&amp;Registro_Compras!$E$19&amp;" [PATRON POR CONFIRMAR CON CONTADOR]",IF(Registro_Compras!$F$19="RHE","Por el registro del recibo por honorarios "&amp;Registro_Compras!$C$19&amp;" de "&amp;Registro_Compras!$E$19&amp;" [PATRON POR CONFIRMAR CON CONTADOR]","Por el registro de la factura "&amp;Registro_Compras!$C$19&amp;" de "&amp;Registro_Compras!$E$19)))</f>
        <v/>
      </c>
      <c r="H140">
        <f>IF($C140="","",Registro_Compras!$C$19)</f>
        <v/>
      </c>
    </row>
    <row r="141">
      <c r="A141" s="25">
        <f>IF($C141="","",Registro_Compras!$B$19)</f>
        <v/>
      </c>
      <c r="B141">
        <f>IF($C141="","","C"&amp;TEXT(INT((ROW()-5)/9)+1,"000")&amp;"-1")</f>
        <v/>
      </c>
      <c r="C141">
        <f>IF(OR(Registro_Compras!$C$19="",Registro_Compras!$O$19=""),"",IF(Registro_Compras!$F$19="RHE",IF(Registro_Compras!$V$19=0,"","40172"),IF(Registro_Compras!$F$19="NOTA DE CREDITO",IF(Registro_Compras!$M$19="","63",Registro_Compras!$M$19),IF(Registro_Compras!$K$19=0,"","40111"))))</f>
        <v/>
      </c>
      <c r="D141">
        <f>IF(OR(Registro_Compras!$C$19="",Registro_Compras!$O$19=""),"",IF(Registro_Compras!$F$19="RHE","Retencion Renta 4ta Categoria por Pagar",IF(Registro_Compras!$F$19="NOTA DE CREDITO","Gastos de Servicios Prestados por Terceros","IGV - Cuenta Propia (Credito Fiscal)")))</f>
        <v/>
      </c>
      <c r="E141" s="20">
        <f>IF($C141="","",IF(Registro_Compras!$F$19="FACTURA",ROUND(Registro_Compras!$K$19*Registro_Compras!$N$19,2),""))</f>
        <v/>
      </c>
      <c r="F141" s="20">
        <f>IF($C141="","",IF(Registro_Compras!$F$19="RHE",ROUND(Registro_Compras!$V$19*Registro_Compras!$N$19,2),IF(Registro_Compras!$F$19="NOTA DE CREDITO",ROUND(ABS(Registro_Compras!$J$19*Registro_Compras!$N$19),2),"")))</f>
        <v/>
      </c>
      <c r="G141">
        <f>IF($C141="","",IF(Registro_Compras!$F$19="NOTA DE CREDITO","Por la nota de credito "&amp;Registro_Compras!$C$19&amp;" de "&amp;Registro_Compras!$E$19&amp;" [PATRON POR CONFIRMAR CON CONTADOR]",IF(Registro_Compras!$F$19="RHE","Por el registro del recibo por honorarios "&amp;Registro_Compras!$C$19&amp;" de "&amp;Registro_Compras!$E$19&amp;" [PATRON POR CONFIRMAR CON CONTADOR]","Por el registro de la factura "&amp;Registro_Compras!$C$19&amp;" de "&amp;Registro_Compras!$E$19)))</f>
        <v/>
      </c>
      <c r="H141">
        <f>IF($C141="","",Registro_Compras!$C$19)</f>
        <v/>
      </c>
    </row>
    <row r="142">
      <c r="A142" s="25">
        <f>IF($C142="","",Registro_Compras!$B$19)</f>
        <v/>
      </c>
      <c r="B142">
        <f>IF($C142="","","C"&amp;TEXT(INT((ROW()-5)/9)+1,"000")&amp;"-1")</f>
        <v/>
      </c>
      <c r="C142">
        <f>IF(OR(Registro_Compras!$C$19="",Registro_Compras!$O$19=""),"",IF(Registro_Compras!$F$19="NOTA DE CREDITO",IF(Registro_Compras!$K$19=0,"","40111"),"4212"))</f>
        <v/>
      </c>
      <c r="D142">
        <f>IF(OR(Registro_Compras!$C$19="",Registro_Compras!$O$19=""),"",IF(Registro_Compras!$F$19="NOTA DE CREDITO","IGV - Cuenta Propia (Credito Fiscal)","Cuentas por Pagar Comerciales - Terceros (Emitidas)"))</f>
        <v/>
      </c>
      <c r="E142" s="20">
        <f>""</f>
        <v/>
      </c>
      <c r="F142" s="20">
        <f>IF($C142="","",IF(Registro_Compras!$F$19="NOTA DE CREDITO",ROUND(ABS(Registro_Compras!$K$19*Registro_Compras!$N$19),2),IF(Registro_Compras!$F$19="RHE",(ROUND(Registro_Compras!$L$19*Registro_Compras!$N$19,2)-ROUND(Registro_Compras!$V$19*Registro_Compras!$N$19,2)),Registro_Compras!$O$19)))</f>
        <v/>
      </c>
      <c r="G142">
        <f>IF($C142="","",IF(Registro_Compras!$F$19="NOTA DE CREDITO","Por la nota de credito "&amp;Registro_Compras!$C$19&amp;" de "&amp;Registro_Compras!$E$19&amp;" [PATRON POR CONFIRMAR CON CONTADOR]",IF(Registro_Compras!$F$19="RHE","Por el registro del recibo por honorarios "&amp;Registro_Compras!$C$19&amp;" de "&amp;Registro_Compras!$E$19&amp;" [PATRON POR CONFIRMAR CON CONTADOR]","Por el registro de la factura "&amp;Registro_Compras!$C$19&amp;" de "&amp;Registro_Compras!$E$19)))</f>
        <v/>
      </c>
      <c r="H142">
        <f>IF($C142="","",Registro_Compras!$C$19)</f>
        <v/>
      </c>
    </row>
    <row r="143">
      <c r="A143" s="25">
        <f>IF($C143="","",Registro_Compras!$B$19)</f>
        <v/>
      </c>
      <c r="B143">
        <f>IF($C143="","","C"&amp;TEXT(INT((ROW()-5)/9)+1,"000")&amp;"-2")</f>
        <v/>
      </c>
      <c r="C143">
        <f>IF(OR(Registro_Compras!$C$19="",Registro_Compras!$O$19=""),"",IF(Registro_Compras!$AB$19="ADMINISTRATIVO","94","95"))</f>
        <v/>
      </c>
      <c r="D143">
        <f>IF(OR(Registro_Compras!$C$19="",Registro_Compras!$O$19=""),"",IF(Registro_Compras!$AB$19="ADMINISTRATIVO","Gastos Administrativos","Gastos de Venta y Operacion"))</f>
        <v/>
      </c>
      <c r="E143" s="20">
        <f>IF($C143="","",IF(Registro_Compras!$F$19="NOTA DE CREDITO","",IF(Registro_Compras!$F$19="RHE",ROUND(Registro_Compras!$L$19*Registro_Compras!$N$19,2),ROUND(Registro_Compras!$J$19*Registro_Compras!$N$19,2))))</f>
        <v/>
      </c>
      <c r="F143" s="20">
        <f>IF($C143="","",IF(Registro_Compras!$F$19="NOTA DE CREDITO",ROUND(ABS(Registro_Compras!$J$19*Registro_Compras!$N$19),2),""))</f>
        <v/>
      </c>
      <c r="G143">
        <f>IF($C143="","","Por el destino del gasto")</f>
        <v/>
      </c>
      <c r="H143">
        <f>IF($C143="","",Registro_Compras!$C$19)</f>
        <v/>
      </c>
    </row>
    <row r="144">
      <c r="A144" s="25">
        <f>IF($C144="","",Registro_Compras!$B$19)</f>
        <v/>
      </c>
      <c r="B144">
        <f>IF($C144="","","C"&amp;TEXT(INT((ROW()-5)/9)+1,"000")&amp;"-2")</f>
        <v/>
      </c>
      <c r="C144">
        <f>IF(OR(Registro_Compras!$C$19="",Registro_Compras!$O$19=""),"","79/791")</f>
        <v/>
      </c>
      <c r="D144">
        <f>IF(OR(Registro_Compras!$C$19="",Registro_Compras!$O$19=""),"","Cargas Imputables a Cuentas de Costos y Gastos")</f>
        <v/>
      </c>
      <c r="E144" s="20">
        <f>IF($C144="","",IF(Registro_Compras!$F$19="NOTA DE CREDITO",ROUND(ABS(Registro_Compras!$J$19*Registro_Compras!$N$19),2),""))</f>
        <v/>
      </c>
      <c r="F144" s="20">
        <f>IF($C144="","",IF(Registro_Compras!$F$19="NOTA DE CREDITO","",IF(Registro_Compras!$F$19="RHE",ROUND(Registro_Compras!$L$19*Registro_Compras!$N$19,2),ROUND(Registro_Compras!$J$19*Registro_Compras!$N$19,2))))</f>
        <v/>
      </c>
      <c r="G144">
        <f>IF($C144="","","Por el destino del gasto")</f>
        <v/>
      </c>
      <c r="H144">
        <f>IF($C144="","",Registro_Compras!$C$19)</f>
        <v/>
      </c>
    </row>
    <row r="145">
      <c r="A145" s="25">
        <f>IF($C145="","",Registro_Compras!$X$19)</f>
        <v/>
      </c>
      <c r="B145">
        <f>IF($C145="","","C"&amp;TEXT(INT((ROW()-5)/9)+1,"000")&amp;"-3")</f>
        <v/>
      </c>
      <c r="C145">
        <f>IF(OR(Registro_Compras!$C$19="",Registro_Compras!$O$19="",Registro_Compras!$R$19&lt;&gt;"SI",Registro_Compras!$X$19=""),"","4212")</f>
        <v/>
      </c>
      <c r="D145">
        <f>IF(OR(Registro_Compras!$C$19="",Registro_Compras!$O$19=""),"","Cuentas por Pagar Comerciales - Terceros")</f>
        <v/>
      </c>
      <c r="E145" s="20">
        <f>IF($C145="","",Registro_Compras!$S$19)</f>
        <v/>
      </c>
      <c r="F145" s="20">
        <f>""</f>
        <v/>
      </c>
      <c r="G145">
        <f>IF($C145="","","Por el deposito de la detraccion en el Banco de la Nacion")</f>
        <v/>
      </c>
      <c r="H145">
        <f>IF($C145="","",Registro_Compras!$C$19)</f>
        <v/>
      </c>
    </row>
    <row r="146">
      <c r="A146" s="25">
        <f>IF($C146="","",Registro_Compras!$X$19)</f>
        <v/>
      </c>
      <c r="B146">
        <f>IF($C146="","","C"&amp;TEXT(INT((ROW()-5)/9)+1,"000")&amp;"-3")</f>
        <v/>
      </c>
      <c r="C146">
        <f>IF(OR(Registro_Compras!$C$19="",Registro_Compras!$O$19="",Registro_Compras!$R$19&lt;&gt;"SI",Registro_Compras!$X$19=""),"","10413")</f>
        <v/>
      </c>
      <c r="D146">
        <f>IF(OR(Registro_Compras!$C$19="",Registro_Compras!$O$19=""),"","Efectivo y Equivalentes - Cta. Cte. Operativa")</f>
        <v/>
      </c>
      <c r="E146" s="20">
        <f>""</f>
        <v/>
      </c>
      <c r="F146" s="20">
        <f>IF($C146="","",Registro_Compras!$S$19)</f>
        <v/>
      </c>
      <c r="G146">
        <f>IF($C146="","","Por el deposito de la detraccion en el Banco de la Nacion")</f>
        <v/>
      </c>
      <c r="H146">
        <f>IF($C146="","",Registro_Compras!$C$19)</f>
        <v/>
      </c>
    </row>
    <row r="147">
      <c r="A147" s="25">
        <f>IF($C147="","",Registro_Compras!$Y$19)</f>
        <v/>
      </c>
      <c r="B147">
        <f>IF($C147="","","C"&amp;TEXT(INT((ROW()-5)/9)+1,"000")&amp;"-4")</f>
        <v/>
      </c>
      <c r="C147">
        <f>IF(OR(Registro_Compras!$C$19="",Registro_Compras!$O$19="",Registro_Compras!$Y$19="",Registro_Compras!$F$19="NOTA DE CREDITO"),"","4212")</f>
        <v/>
      </c>
      <c r="D147">
        <f>IF(OR(Registro_Compras!$C$19="",Registro_Compras!$O$19=""),"","Cuentas por Pagar Comerciales - Terceros")</f>
        <v/>
      </c>
      <c r="E147" s="20">
        <f>IF($C147="","",IF(Registro_Compras!$F$19="RHE",(ROUND(Registro_Compras!$L$19*Registro_Compras!$N$19,2)-ROUND(Registro_Compras!$V$19*Registro_Compras!$N$19,2)),ROUND(Registro_Compras!$O$19-Registro_Compras!$S$19,2)))</f>
        <v/>
      </c>
      <c r="F147" s="20">
        <f>""</f>
        <v/>
      </c>
      <c r="G147">
        <f>IF($C147="","","Por la cancelacion del saldo al proveedor")</f>
        <v/>
      </c>
      <c r="H147">
        <f>IF($C147="","",Registro_Compras!$C$19)</f>
        <v/>
      </c>
    </row>
    <row r="148">
      <c r="A148" s="25">
        <f>IF($C148="","",Registro_Compras!$Y$19)</f>
        <v/>
      </c>
      <c r="B148">
        <f>IF($C148="","","C"&amp;TEXT(INT((ROW()-5)/9)+1,"000")&amp;"-4")</f>
        <v/>
      </c>
      <c r="C148">
        <f>IF(OR(Registro_Compras!$C$19="",Registro_Compras!$O$19="",Registro_Compras!$Y$19="",Registro_Compras!$F$19="NOTA DE CREDITO"),"","10413")</f>
        <v/>
      </c>
      <c r="D148">
        <f>IF(OR(Registro_Compras!$C$19="",Registro_Compras!$O$19=""),"","Efectivo y Equivalentes - Cta. Cte. Operativa")</f>
        <v/>
      </c>
      <c r="E148" s="20">
        <f>""</f>
        <v/>
      </c>
      <c r="F148" s="20">
        <f>IF($C148="","",IF(Registro_Compras!$F$19="RHE",(ROUND(Registro_Compras!$L$19*Registro_Compras!$N$19,2)-ROUND(Registro_Compras!$V$19*Registro_Compras!$N$19,2)),ROUND(Registro_Compras!$O$19-Registro_Compras!$S$19,2)))</f>
        <v/>
      </c>
      <c r="G148">
        <f>IF($C148="","","Por la cancelacion del saldo al proveedor")</f>
        <v/>
      </c>
      <c r="H148">
        <f>IF($C148="","",Registro_Compras!$C$19)</f>
        <v/>
      </c>
    </row>
    <row r="149">
      <c r="A149" s="25">
        <f>IF($C149="","",Registro_Compras!$B$20)</f>
        <v/>
      </c>
      <c r="B149">
        <f>IF($C149="","","C"&amp;TEXT(INT((ROW()-5)/9)+1,"000")&amp;"-1")</f>
        <v/>
      </c>
      <c r="C149">
        <f>IF(OR(Registro_Compras!$C$20="",Registro_Compras!$O$20=""),"",IF(Registro_Compras!$F$20="NOTA DE CREDITO","4212",IF(Registro_Compras!$M$20="","63",Registro_Compras!$M$20)))</f>
        <v/>
      </c>
      <c r="D149">
        <f>IF(OR(Registro_Compras!$C$20="",Registro_Compras!$O$20=""),"",IF(Registro_Compras!$F$20="NOTA DE CREDITO","Cuentas por Pagar Comerciales - Terceros (Emitidas)",IF(Registro_Compras!$F$20="RHE","Honorarios Profesionales - Servicios de Terceros","Gastos de Servicios Prestados por Terceros")))</f>
        <v/>
      </c>
      <c r="E149" s="20">
        <f>IF($C149="","",IF(Registro_Compras!$F$20="NOTA DE CREDITO",ABS(Registro_Compras!$O$20),IF(Registro_Compras!$F$20="RHE",ROUND(Registro_Compras!$L$20*Registro_Compras!$N$20,2),ROUND(Registro_Compras!$J$20*Registro_Compras!$N$20,2))))</f>
        <v/>
      </c>
      <c r="F149" s="20">
        <f>""</f>
        <v/>
      </c>
      <c r="G149">
        <f>IF($C149="","",IF(Registro_Compras!$F$20="NOTA DE CREDITO","Por la nota de credito "&amp;Registro_Compras!$C$20&amp;" de "&amp;Registro_Compras!$E$20&amp;" [PATRON POR CONFIRMAR CON CONTADOR]",IF(Registro_Compras!$F$20="RHE","Por el registro del recibo por honorarios "&amp;Registro_Compras!$C$20&amp;" de "&amp;Registro_Compras!$E$20&amp;" [PATRON POR CONFIRMAR CON CONTADOR]","Por el registro de la factura "&amp;Registro_Compras!$C$20&amp;" de "&amp;Registro_Compras!$E$20)))</f>
        <v/>
      </c>
      <c r="H149">
        <f>IF($C149="","",Registro_Compras!$C$20)</f>
        <v/>
      </c>
    </row>
    <row r="150">
      <c r="A150" s="25">
        <f>IF($C150="","",Registro_Compras!$B$20)</f>
        <v/>
      </c>
      <c r="B150">
        <f>IF($C150="","","C"&amp;TEXT(INT((ROW()-5)/9)+1,"000")&amp;"-1")</f>
        <v/>
      </c>
      <c r="C150">
        <f>IF(OR(Registro_Compras!$C$20="",Registro_Compras!$O$20=""),"",IF(Registro_Compras!$F$20="RHE",IF(Registro_Compras!$V$20=0,"","40172"),IF(Registro_Compras!$F$20="NOTA DE CREDITO",IF(Registro_Compras!$M$20="","63",Registro_Compras!$M$20),IF(Registro_Compras!$K$20=0,"","40111"))))</f>
        <v/>
      </c>
      <c r="D150">
        <f>IF(OR(Registro_Compras!$C$20="",Registro_Compras!$O$20=""),"",IF(Registro_Compras!$F$20="RHE","Retencion Renta 4ta Categoria por Pagar",IF(Registro_Compras!$F$20="NOTA DE CREDITO","Gastos de Servicios Prestados por Terceros","IGV - Cuenta Propia (Credito Fiscal)")))</f>
        <v/>
      </c>
      <c r="E150" s="20">
        <f>IF($C150="","",IF(Registro_Compras!$F$20="FACTURA",ROUND(Registro_Compras!$K$20*Registro_Compras!$N$20,2),""))</f>
        <v/>
      </c>
      <c r="F150" s="20">
        <f>IF($C150="","",IF(Registro_Compras!$F$20="RHE",ROUND(Registro_Compras!$V$20*Registro_Compras!$N$20,2),IF(Registro_Compras!$F$20="NOTA DE CREDITO",ROUND(ABS(Registro_Compras!$J$20*Registro_Compras!$N$20),2),"")))</f>
        <v/>
      </c>
      <c r="G150">
        <f>IF($C150="","",IF(Registro_Compras!$F$20="NOTA DE CREDITO","Por la nota de credito "&amp;Registro_Compras!$C$20&amp;" de "&amp;Registro_Compras!$E$20&amp;" [PATRON POR CONFIRMAR CON CONTADOR]",IF(Registro_Compras!$F$20="RHE","Por el registro del recibo por honorarios "&amp;Registro_Compras!$C$20&amp;" de "&amp;Registro_Compras!$E$20&amp;" [PATRON POR CONFIRMAR CON CONTADOR]","Por el registro de la factura "&amp;Registro_Compras!$C$20&amp;" de "&amp;Registro_Compras!$E$20)))</f>
        <v/>
      </c>
      <c r="H150">
        <f>IF($C150="","",Registro_Compras!$C$20)</f>
        <v/>
      </c>
    </row>
    <row r="151">
      <c r="A151" s="25">
        <f>IF($C151="","",Registro_Compras!$B$20)</f>
        <v/>
      </c>
      <c r="B151">
        <f>IF($C151="","","C"&amp;TEXT(INT((ROW()-5)/9)+1,"000")&amp;"-1")</f>
        <v/>
      </c>
      <c r="C151">
        <f>IF(OR(Registro_Compras!$C$20="",Registro_Compras!$O$20=""),"",IF(Registro_Compras!$F$20="NOTA DE CREDITO",IF(Registro_Compras!$K$20=0,"","40111"),"4212"))</f>
        <v/>
      </c>
      <c r="D151">
        <f>IF(OR(Registro_Compras!$C$20="",Registro_Compras!$O$20=""),"",IF(Registro_Compras!$F$20="NOTA DE CREDITO","IGV - Cuenta Propia (Credito Fiscal)","Cuentas por Pagar Comerciales - Terceros (Emitidas)"))</f>
        <v/>
      </c>
      <c r="E151" s="20">
        <f>""</f>
        <v/>
      </c>
      <c r="F151" s="20">
        <f>IF($C151="","",IF(Registro_Compras!$F$20="NOTA DE CREDITO",ROUND(ABS(Registro_Compras!$K$20*Registro_Compras!$N$20),2),IF(Registro_Compras!$F$20="RHE",(ROUND(Registro_Compras!$L$20*Registro_Compras!$N$20,2)-ROUND(Registro_Compras!$V$20*Registro_Compras!$N$20,2)),Registro_Compras!$O$20)))</f>
        <v/>
      </c>
      <c r="G151">
        <f>IF($C151="","",IF(Registro_Compras!$F$20="NOTA DE CREDITO","Por la nota de credito "&amp;Registro_Compras!$C$20&amp;" de "&amp;Registro_Compras!$E$20&amp;" [PATRON POR CONFIRMAR CON CONTADOR]",IF(Registro_Compras!$F$20="RHE","Por el registro del recibo por honorarios "&amp;Registro_Compras!$C$20&amp;" de "&amp;Registro_Compras!$E$20&amp;" [PATRON POR CONFIRMAR CON CONTADOR]","Por el registro de la factura "&amp;Registro_Compras!$C$20&amp;" de "&amp;Registro_Compras!$E$20)))</f>
        <v/>
      </c>
      <c r="H151">
        <f>IF($C151="","",Registro_Compras!$C$20)</f>
        <v/>
      </c>
    </row>
    <row r="152">
      <c r="A152" s="25">
        <f>IF($C152="","",Registro_Compras!$B$20)</f>
        <v/>
      </c>
      <c r="B152">
        <f>IF($C152="","","C"&amp;TEXT(INT((ROW()-5)/9)+1,"000")&amp;"-2")</f>
        <v/>
      </c>
      <c r="C152">
        <f>IF(OR(Registro_Compras!$C$20="",Registro_Compras!$O$20=""),"",IF(Registro_Compras!$AB$20="ADMINISTRATIVO","94","95"))</f>
        <v/>
      </c>
      <c r="D152">
        <f>IF(OR(Registro_Compras!$C$20="",Registro_Compras!$O$20=""),"",IF(Registro_Compras!$AB$20="ADMINISTRATIVO","Gastos Administrativos","Gastos de Venta y Operacion"))</f>
        <v/>
      </c>
      <c r="E152" s="20">
        <f>IF($C152="","",IF(Registro_Compras!$F$20="NOTA DE CREDITO","",IF(Registro_Compras!$F$20="RHE",ROUND(Registro_Compras!$L$20*Registro_Compras!$N$20,2),ROUND(Registro_Compras!$J$20*Registro_Compras!$N$20,2))))</f>
        <v/>
      </c>
      <c r="F152" s="20">
        <f>IF($C152="","",IF(Registro_Compras!$F$20="NOTA DE CREDITO",ROUND(ABS(Registro_Compras!$J$20*Registro_Compras!$N$20),2),""))</f>
        <v/>
      </c>
      <c r="G152">
        <f>IF($C152="","","Por el destino del gasto")</f>
        <v/>
      </c>
      <c r="H152">
        <f>IF($C152="","",Registro_Compras!$C$20)</f>
        <v/>
      </c>
    </row>
    <row r="153">
      <c r="A153" s="25">
        <f>IF($C153="","",Registro_Compras!$B$20)</f>
        <v/>
      </c>
      <c r="B153">
        <f>IF($C153="","","C"&amp;TEXT(INT((ROW()-5)/9)+1,"000")&amp;"-2")</f>
        <v/>
      </c>
      <c r="C153">
        <f>IF(OR(Registro_Compras!$C$20="",Registro_Compras!$O$20=""),"","79/791")</f>
        <v/>
      </c>
      <c r="D153">
        <f>IF(OR(Registro_Compras!$C$20="",Registro_Compras!$O$20=""),"","Cargas Imputables a Cuentas de Costos y Gastos")</f>
        <v/>
      </c>
      <c r="E153" s="20">
        <f>IF($C153="","",IF(Registro_Compras!$F$20="NOTA DE CREDITO",ROUND(ABS(Registro_Compras!$J$20*Registro_Compras!$N$20),2),""))</f>
        <v/>
      </c>
      <c r="F153" s="20">
        <f>IF($C153="","",IF(Registro_Compras!$F$20="NOTA DE CREDITO","",IF(Registro_Compras!$F$20="RHE",ROUND(Registro_Compras!$L$20*Registro_Compras!$N$20,2),ROUND(Registro_Compras!$J$20*Registro_Compras!$N$20,2))))</f>
        <v/>
      </c>
      <c r="G153">
        <f>IF($C153="","","Por el destino del gasto")</f>
        <v/>
      </c>
      <c r="H153">
        <f>IF($C153="","",Registro_Compras!$C$20)</f>
        <v/>
      </c>
    </row>
    <row r="154">
      <c r="A154" s="25">
        <f>IF($C154="","",Registro_Compras!$X$20)</f>
        <v/>
      </c>
      <c r="B154">
        <f>IF($C154="","","C"&amp;TEXT(INT((ROW()-5)/9)+1,"000")&amp;"-3")</f>
        <v/>
      </c>
      <c r="C154">
        <f>IF(OR(Registro_Compras!$C$20="",Registro_Compras!$O$20="",Registro_Compras!$R$20&lt;&gt;"SI",Registro_Compras!$X$20=""),"","4212")</f>
        <v/>
      </c>
      <c r="D154">
        <f>IF(OR(Registro_Compras!$C$20="",Registro_Compras!$O$20=""),"","Cuentas por Pagar Comerciales - Terceros")</f>
        <v/>
      </c>
      <c r="E154" s="20">
        <f>IF($C154="","",Registro_Compras!$S$20)</f>
        <v/>
      </c>
      <c r="F154" s="20">
        <f>""</f>
        <v/>
      </c>
      <c r="G154">
        <f>IF($C154="","","Por el deposito de la detraccion en el Banco de la Nacion")</f>
        <v/>
      </c>
      <c r="H154">
        <f>IF($C154="","",Registro_Compras!$C$20)</f>
        <v/>
      </c>
    </row>
    <row r="155">
      <c r="A155" s="25">
        <f>IF($C155="","",Registro_Compras!$X$20)</f>
        <v/>
      </c>
      <c r="B155">
        <f>IF($C155="","","C"&amp;TEXT(INT((ROW()-5)/9)+1,"000")&amp;"-3")</f>
        <v/>
      </c>
      <c r="C155">
        <f>IF(OR(Registro_Compras!$C$20="",Registro_Compras!$O$20="",Registro_Compras!$R$20&lt;&gt;"SI",Registro_Compras!$X$20=""),"","10413")</f>
        <v/>
      </c>
      <c r="D155">
        <f>IF(OR(Registro_Compras!$C$20="",Registro_Compras!$O$20=""),"","Efectivo y Equivalentes - Cta. Cte. Operativa")</f>
        <v/>
      </c>
      <c r="E155" s="20">
        <f>""</f>
        <v/>
      </c>
      <c r="F155" s="20">
        <f>IF($C155="","",Registro_Compras!$S$20)</f>
        <v/>
      </c>
      <c r="G155">
        <f>IF($C155="","","Por el deposito de la detraccion en el Banco de la Nacion")</f>
        <v/>
      </c>
      <c r="H155">
        <f>IF($C155="","",Registro_Compras!$C$20)</f>
        <v/>
      </c>
    </row>
    <row r="156">
      <c r="A156" s="25">
        <f>IF($C156="","",Registro_Compras!$Y$20)</f>
        <v/>
      </c>
      <c r="B156">
        <f>IF($C156="","","C"&amp;TEXT(INT((ROW()-5)/9)+1,"000")&amp;"-4")</f>
        <v/>
      </c>
      <c r="C156">
        <f>IF(OR(Registro_Compras!$C$20="",Registro_Compras!$O$20="",Registro_Compras!$Y$20="",Registro_Compras!$F$20="NOTA DE CREDITO"),"","4212")</f>
        <v/>
      </c>
      <c r="D156">
        <f>IF(OR(Registro_Compras!$C$20="",Registro_Compras!$O$20=""),"","Cuentas por Pagar Comerciales - Terceros")</f>
        <v/>
      </c>
      <c r="E156" s="20">
        <f>IF($C156="","",IF(Registro_Compras!$F$20="RHE",(ROUND(Registro_Compras!$L$20*Registro_Compras!$N$20,2)-ROUND(Registro_Compras!$V$20*Registro_Compras!$N$20,2)),ROUND(Registro_Compras!$O$20-Registro_Compras!$S$20,2)))</f>
        <v/>
      </c>
      <c r="F156" s="20">
        <f>""</f>
        <v/>
      </c>
      <c r="G156">
        <f>IF($C156="","","Por la cancelacion del saldo al proveedor")</f>
        <v/>
      </c>
      <c r="H156">
        <f>IF($C156="","",Registro_Compras!$C$20)</f>
        <v/>
      </c>
    </row>
    <row r="157">
      <c r="A157" s="25">
        <f>IF($C157="","",Registro_Compras!$Y$20)</f>
        <v/>
      </c>
      <c r="B157">
        <f>IF($C157="","","C"&amp;TEXT(INT((ROW()-5)/9)+1,"000")&amp;"-4")</f>
        <v/>
      </c>
      <c r="C157">
        <f>IF(OR(Registro_Compras!$C$20="",Registro_Compras!$O$20="",Registro_Compras!$Y$20="",Registro_Compras!$F$20="NOTA DE CREDITO"),"","10413")</f>
        <v/>
      </c>
      <c r="D157">
        <f>IF(OR(Registro_Compras!$C$20="",Registro_Compras!$O$20=""),"","Efectivo y Equivalentes - Cta. Cte. Operativa")</f>
        <v/>
      </c>
      <c r="E157" s="20">
        <f>""</f>
        <v/>
      </c>
      <c r="F157" s="20">
        <f>IF($C157="","",IF(Registro_Compras!$F$20="RHE",(ROUND(Registro_Compras!$L$20*Registro_Compras!$N$20,2)-ROUND(Registro_Compras!$V$20*Registro_Compras!$N$20,2)),ROUND(Registro_Compras!$O$20-Registro_Compras!$S$20,2)))</f>
        <v/>
      </c>
      <c r="G157">
        <f>IF($C157="","","Por la cancelacion del saldo al proveedor")</f>
        <v/>
      </c>
      <c r="H157">
        <f>IF($C157="","",Registro_Compras!$C$20)</f>
        <v/>
      </c>
    </row>
    <row r="158">
      <c r="A158" s="25">
        <f>IF($C158="","",Registro_Compras!$B$21)</f>
        <v/>
      </c>
      <c r="B158">
        <f>IF($C158="","","C"&amp;TEXT(INT((ROW()-5)/9)+1,"000")&amp;"-1")</f>
        <v/>
      </c>
      <c r="C158">
        <f>IF(OR(Registro_Compras!$C$21="",Registro_Compras!$O$21=""),"",IF(Registro_Compras!$F$21="NOTA DE CREDITO","4212",IF(Registro_Compras!$M$21="","63",Registro_Compras!$M$21)))</f>
        <v/>
      </c>
      <c r="D158">
        <f>IF(OR(Registro_Compras!$C$21="",Registro_Compras!$O$21=""),"",IF(Registro_Compras!$F$21="NOTA DE CREDITO","Cuentas por Pagar Comerciales - Terceros (Emitidas)",IF(Registro_Compras!$F$21="RHE","Honorarios Profesionales - Servicios de Terceros","Gastos de Servicios Prestados por Terceros")))</f>
        <v/>
      </c>
      <c r="E158" s="20">
        <f>IF($C158="","",IF(Registro_Compras!$F$21="NOTA DE CREDITO",ABS(Registro_Compras!$O$21),IF(Registro_Compras!$F$21="RHE",ROUND(Registro_Compras!$L$21*Registro_Compras!$N$21,2),ROUND(Registro_Compras!$J$21*Registro_Compras!$N$21,2))))</f>
        <v/>
      </c>
      <c r="F158" s="20">
        <f>""</f>
        <v/>
      </c>
      <c r="G158">
        <f>IF($C158="","",IF(Registro_Compras!$F$21="NOTA DE CREDITO","Por la nota de credito "&amp;Registro_Compras!$C$21&amp;" de "&amp;Registro_Compras!$E$21&amp;" [PATRON POR CONFIRMAR CON CONTADOR]",IF(Registro_Compras!$F$21="RHE","Por el registro del recibo por honorarios "&amp;Registro_Compras!$C$21&amp;" de "&amp;Registro_Compras!$E$21&amp;" [PATRON POR CONFIRMAR CON CONTADOR]","Por el registro de la factura "&amp;Registro_Compras!$C$21&amp;" de "&amp;Registro_Compras!$E$21)))</f>
        <v/>
      </c>
      <c r="H158">
        <f>IF($C158="","",Registro_Compras!$C$21)</f>
        <v/>
      </c>
    </row>
    <row r="159">
      <c r="A159" s="25">
        <f>IF($C159="","",Registro_Compras!$B$21)</f>
        <v/>
      </c>
      <c r="B159">
        <f>IF($C159="","","C"&amp;TEXT(INT((ROW()-5)/9)+1,"000")&amp;"-1")</f>
        <v/>
      </c>
      <c r="C159">
        <f>IF(OR(Registro_Compras!$C$21="",Registro_Compras!$O$21=""),"",IF(Registro_Compras!$F$21="RHE",IF(Registro_Compras!$V$21=0,"","40172"),IF(Registro_Compras!$F$21="NOTA DE CREDITO",IF(Registro_Compras!$M$21="","63",Registro_Compras!$M$21),IF(Registro_Compras!$K$21=0,"","40111"))))</f>
        <v/>
      </c>
      <c r="D159">
        <f>IF(OR(Registro_Compras!$C$21="",Registro_Compras!$O$21=""),"",IF(Registro_Compras!$F$21="RHE","Retencion Renta 4ta Categoria por Pagar",IF(Registro_Compras!$F$21="NOTA DE CREDITO","Gastos de Servicios Prestados por Terceros","IGV - Cuenta Propia (Credito Fiscal)")))</f>
        <v/>
      </c>
      <c r="E159" s="20">
        <f>IF($C159="","",IF(Registro_Compras!$F$21="FACTURA",ROUND(Registro_Compras!$K$21*Registro_Compras!$N$21,2),""))</f>
        <v/>
      </c>
      <c r="F159" s="20">
        <f>IF($C159="","",IF(Registro_Compras!$F$21="RHE",ROUND(Registro_Compras!$V$21*Registro_Compras!$N$21,2),IF(Registro_Compras!$F$21="NOTA DE CREDITO",ROUND(ABS(Registro_Compras!$J$21*Registro_Compras!$N$21),2),"")))</f>
        <v/>
      </c>
      <c r="G159">
        <f>IF($C159="","",IF(Registro_Compras!$F$21="NOTA DE CREDITO","Por la nota de credito "&amp;Registro_Compras!$C$21&amp;" de "&amp;Registro_Compras!$E$21&amp;" [PATRON POR CONFIRMAR CON CONTADOR]",IF(Registro_Compras!$F$21="RHE","Por el registro del recibo por honorarios "&amp;Registro_Compras!$C$21&amp;" de "&amp;Registro_Compras!$E$21&amp;" [PATRON POR CONFIRMAR CON CONTADOR]","Por el registro de la factura "&amp;Registro_Compras!$C$21&amp;" de "&amp;Registro_Compras!$E$21)))</f>
        <v/>
      </c>
      <c r="H159">
        <f>IF($C159="","",Registro_Compras!$C$21)</f>
        <v/>
      </c>
    </row>
    <row r="160">
      <c r="A160" s="25">
        <f>IF($C160="","",Registro_Compras!$B$21)</f>
        <v/>
      </c>
      <c r="B160">
        <f>IF($C160="","","C"&amp;TEXT(INT((ROW()-5)/9)+1,"000")&amp;"-1")</f>
        <v/>
      </c>
      <c r="C160">
        <f>IF(OR(Registro_Compras!$C$21="",Registro_Compras!$O$21=""),"",IF(Registro_Compras!$F$21="NOTA DE CREDITO",IF(Registro_Compras!$K$21=0,"","40111"),"4212"))</f>
        <v/>
      </c>
      <c r="D160">
        <f>IF(OR(Registro_Compras!$C$21="",Registro_Compras!$O$21=""),"",IF(Registro_Compras!$F$21="NOTA DE CREDITO","IGV - Cuenta Propia (Credito Fiscal)","Cuentas por Pagar Comerciales - Terceros (Emitidas)"))</f>
        <v/>
      </c>
      <c r="E160" s="20">
        <f>""</f>
        <v/>
      </c>
      <c r="F160" s="20">
        <f>IF($C160="","",IF(Registro_Compras!$F$21="NOTA DE CREDITO",ROUND(ABS(Registro_Compras!$K$21*Registro_Compras!$N$21),2),IF(Registro_Compras!$F$21="RHE",(ROUND(Registro_Compras!$L$21*Registro_Compras!$N$21,2)-ROUND(Registro_Compras!$V$21*Registro_Compras!$N$21,2)),Registro_Compras!$O$21)))</f>
        <v/>
      </c>
      <c r="G160">
        <f>IF($C160="","",IF(Registro_Compras!$F$21="NOTA DE CREDITO","Por la nota de credito "&amp;Registro_Compras!$C$21&amp;" de "&amp;Registro_Compras!$E$21&amp;" [PATRON POR CONFIRMAR CON CONTADOR]",IF(Registro_Compras!$F$21="RHE","Por el registro del recibo por honorarios "&amp;Registro_Compras!$C$21&amp;" de "&amp;Registro_Compras!$E$21&amp;" [PATRON POR CONFIRMAR CON CONTADOR]","Por el registro de la factura "&amp;Registro_Compras!$C$21&amp;" de "&amp;Registro_Compras!$E$21)))</f>
        <v/>
      </c>
      <c r="H160">
        <f>IF($C160="","",Registro_Compras!$C$21)</f>
        <v/>
      </c>
    </row>
    <row r="161">
      <c r="A161" s="25">
        <f>IF($C161="","",Registro_Compras!$B$21)</f>
        <v/>
      </c>
      <c r="B161">
        <f>IF($C161="","","C"&amp;TEXT(INT((ROW()-5)/9)+1,"000")&amp;"-2")</f>
        <v/>
      </c>
      <c r="C161">
        <f>IF(OR(Registro_Compras!$C$21="",Registro_Compras!$O$21=""),"",IF(Registro_Compras!$AB$21="ADMINISTRATIVO","94","95"))</f>
        <v/>
      </c>
      <c r="D161">
        <f>IF(OR(Registro_Compras!$C$21="",Registro_Compras!$O$21=""),"",IF(Registro_Compras!$AB$21="ADMINISTRATIVO","Gastos Administrativos","Gastos de Venta y Operacion"))</f>
        <v/>
      </c>
      <c r="E161" s="20">
        <f>IF($C161="","",IF(Registro_Compras!$F$21="NOTA DE CREDITO","",IF(Registro_Compras!$F$21="RHE",ROUND(Registro_Compras!$L$21*Registro_Compras!$N$21,2),ROUND(Registro_Compras!$J$21*Registro_Compras!$N$21,2))))</f>
        <v/>
      </c>
      <c r="F161" s="20">
        <f>IF($C161="","",IF(Registro_Compras!$F$21="NOTA DE CREDITO",ROUND(ABS(Registro_Compras!$J$21*Registro_Compras!$N$21),2),""))</f>
        <v/>
      </c>
      <c r="G161">
        <f>IF($C161="","","Por el destino del gasto")</f>
        <v/>
      </c>
      <c r="H161">
        <f>IF($C161="","",Registro_Compras!$C$21)</f>
        <v/>
      </c>
    </row>
    <row r="162">
      <c r="A162" s="25">
        <f>IF($C162="","",Registro_Compras!$B$21)</f>
        <v/>
      </c>
      <c r="B162">
        <f>IF($C162="","","C"&amp;TEXT(INT((ROW()-5)/9)+1,"000")&amp;"-2")</f>
        <v/>
      </c>
      <c r="C162">
        <f>IF(OR(Registro_Compras!$C$21="",Registro_Compras!$O$21=""),"","79/791")</f>
        <v/>
      </c>
      <c r="D162">
        <f>IF(OR(Registro_Compras!$C$21="",Registro_Compras!$O$21=""),"","Cargas Imputables a Cuentas de Costos y Gastos")</f>
        <v/>
      </c>
      <c r="E162" s="20">
        <f>IF($C162="","",IF(Registro_Compras!$F$21="NOTA DE CREDITO",ROUND(ABS(Registro_Compras!$J$21*Registro_Compras!$N$21),2),""))</f>
        <v/>
      </c>
      <c r="F162" s="20">
        <f>IF($C162="","",IF(Registro_Compras!$F$21="NOTA DE CREDITO","",IF(Registro_Compras!$F$21="RHE",ROUND(Registro_Compras!$L$21*Registro_Compras!$N$21,2),ROUND(Registro_Compras!$J$21*Registro_Compras!$N$21,2))))</f>
        <v/>
      </c>
      <c r="G162">
        <f>IF($C162="","","Por el destino del gasto")</f>
        <v/>
      </c>
      <c r="H162">
        <f>IF($C162="","",Registro_Compras!$C$21)</f>
        <v/>
      </c>
    </row>
    <row r="163">
      <c r="A163" s="25">
        <f>IF($C163="","",Registro_Compras!$X$21)</f>
        <v/>
      </c>
      <c r="B163">
        <f>IF($C163="","","C"&amp;TEXT(INT((ROW()-5)/9)+1,"000")&amp;"-3")</f>
        <v/>
      </c>
      <c r="C163">
        <f>IF(OR(Registro_Compras!$C$21="",Registro_Compras!$O$21="",Registro_Compras!$R$21&lt;&gt;"SI",Registro_Compras!$X$21=""),"","4212")</f>
        <v/>
      </c>
      <c r="D163">
        <f>IF(OR(Registro_Compras!$C$21="",Registro_Compras!$O$21=""),"","Cuentas por Pagar Comerciales - Terceros")</f>
        <v/>
      </c>
      <c r="E163" s="20">
        <f>IF($C163="","",Registro_Compras!$S$21)</f>
        <v/>
      </c>
      <c r="F163" s="20">
        <f>""</f>
        <v/>
      </c>
      <c r="G163">
        <f>IF($C163="","","Por el deposito de la detraccion en el Banco de la Nacion")</f>
        <v/>
      </c>
      <c r="H163">
        <f>IF($C163="","",Registro_Compras!$C$21)</f>
        <v/>
      </c>
    </row>
    <row r="164">
      <c r="A164" s="25">
        <f>IF($C164="","",Registro_Compras!$X$21)</f>
        <v/>
      </c>
      <c r="B164">
        <f>IF($C164="","","C"&amp;TEXT(INT((ROW()-5)/9)+1,"000")&amp;"-3")</f>
        <v/>
      </c>
      <c r="C164">
        <f>IF(OR(Registro_Compras!$C$21="",Registro_Compras!$O$21="",Registro_Compras!$R$21&lt;&gt;"SI",Registro_Compras!$X$21=""),"","10413")</f>
        <v/>
      </c>
      <c r="D164">
        <f>IF(OR(Registro_Compras!$C$21="",Registro_Compras!$O$21=""),"","Efectivo y Equivalentes - Cta. Cte. Operativa")</f>
        <v/>
      </c>
      <c r="E164" s="20">
        <f>""</f>
        <v/>
      </c>
      <c r="F164" s="20">
        <f>IF($C164="","",Registro_Compras!$S$21)</f>
        <v/>
      </c>
      <c r="G164">
        <f>IF($C164="","","Por el deposito de la detraccion en el Banco de la Nacion")</f>
        <v/>
      </c>
      <c r="H164">
        <f>IF($C164="","",Registro_Compras!$C$21)</f>
        <v/>
      </c>
    </row>
    <row r="165">
      <c r="A165" s="25">
        <f>IF($C165="","",Registro_Compras!$Y$21)</f>
        <v/>
      </c>
      <c r="B165">
        <f>IF($C165="","","C"&amp;TEXT(INT((ROW()-5)/9)+1,"000")&amp;"-4")</f>
        <v/>
      </c>
      <c r="C165">
        <f>IF(OR(Registro_Compras!$C$21="",Registro_Compras!$O$21="",Registro_Compras!$Y$21="",Registro_Compras!$F$21="NOTA DE CREDITO"),"","4212")</f>
        <v/>
      </c>
      <c r="D165">
        <f>IF(OR(Registro_Compras!$C$21="",Registro_Compras!$O$21=""),"","Cuentas por Pagar Comerciales - Terceros")</f>
        <v/>
      </c>
      <c r="E165" s="20">
        <f>IF($C165="","",IF(Registro_Compras!$F$21="RHE",(ROUND(Registro_Compras!$L$21*Registro_Compras!$N$21,2)-ROUND(Registro_Compras!$V$21*Registro_Compras!$N$21,2)),ROUND(Registro_Compras!$O$21-Registro_Compras!$S$21,2)))</f>
        <v/>
      </c>
      <c r="F165" s="20">
        <f>""</f>
        <v/>
      </c>
      <c r="G165">
        <f>IF($C165="","","Por la cancelacion del saldo al proveedor")</f>
        <v/>
      </c>
      <c r="H165">
        <f>IF($C165="","",Registro_Compras!$C$21)</f>
        <v/>
      </c>
    </row>
    <row r="166">
      <c r="A166" s="25">
        <f>IF($C166="","",Registro_Compras!$Y$21)</f>
        <v/>
      </c>
      <c r="B166">
        <f>IF($C166="","","C"&amp;TEXT(INT((ROW()-5)/9)+1,"000")&amp;"-4")</f>
        <v/>
      </c>
      <c r="C166">
        <f>IF(OR(Registro_Compras!$C$21="",Registro_Compras!$O$21="",Registro_Compras!$Y$21="",Registro_Compras!$F$21="NOTA DE CREDITO"),"","10413")</f>
        <v/>
      </c>
      <c r="D166">
        <f>IF(OR(Registro_Compras!$C$21="",Registro_Compras!$O$21=""),"","Efectivo y Equivalentes - Cta. Cte. Operativa")</f>
        <v/>
      </c>
      <c r="E166" s="20">
        <f>""</f>
        <v/>
      </c>
      <c r="F166" s="20">
        <f>IF($C166="","",IF(Registro_Compras!$F$21="RHE",(ROUND(Registro_Compras!$L$21*Registro_Compras!$N$21,2)-ROUND(Registro_Compras!$V$21*Registro_Compras!$N$21,2)),ROUND(Registro_Compras!$O$21-Registro_Compras!$S$21,2)))</f>
        <v/>
      </c>
      <c r="G166">
        <f>IF($C166="","","Por la cancelacion del saldo al proveedor")</f>
        <v/>
      </c>
      <c r="H166">
        <f>IF($C166="","",Registro_Compras!$C$21)</f>
        <v/>
      </c>
    </row>
    <row r="167">
      <c r="A167" s="25">
        <f>IF($C167="","",Registro_Compras!$B$22)</f>
        <v/>
      </c>
      <c r="B167">
        <f>IF($C167="","","C"&amp;TEXT(INT((ROW()-5)/9)+1,"000")&amp;"-1")</f>
        <v/>
      </c>
      <c r="C167">
        <f>IF(OR(Registro_Compras!$C$22="",Registro_Compras!$O$22=""),"",IF(Registro_Compras!$F$22="NOTA DE CREDITO","4212",IF(Registro_Compras!$M$22="","63",Registro_Compras!$M$22)))</f>
        <v/>
      </c>
      <c r="D167">
        <f>IF(OR(Registro_Compras!$C$22="",Registro_Compras!$O$22=""),"",IF(Registro_Compras!$F$22="NOTA DE CREDITO","Cuentas por Pagar Comerciales - Terceros (Emitidas)",IF(Registro_Compras!$F$22="RHE","Honorarios Profesionales - Servicios de Terceros","Gastos de Servicios Prestados por Terceros")))</f>
        <v/>
      </c>
      <c r="E167" s="20">
        <f>IF($C167="","",IF(Registro_Compras!$F$22="NOTA DE CREDITO",ABS(Registro_Compras!$O$22),IF(Registro_Compras!$F$22="RHE",ROUND(Registro_Compras!$L$22*Registro_Compras!$N$22,2),ROUND(Registro_Compras!$J$22*Registro_Compras!$N$22,2))))</f>
        <v/>
      </c>
      <c r="F167" s="20">
        <f>""</f>
        <v/>
      </c>
      <c r="G167">
        <f>IF($C167="","",IF(Registro_Compras!$F$22="NOTA DE CREDITO","Por la nota de credito "&amp;Registro_Compras!$C$22&amp;" de "&amp;Registro_Compras!$E$22&amp;" [PATRON POR CONFIRMAR CON CONTADOR]",IF(Registro_Compras!$F$22="RHE","Por el registro del recibo por honorarios "&amp;Registro_Compras!$C$22&amp;" de "&amp;Registro_Compras!$E$22&amp;" [PATRON POR CONFIRMAR CON CONTADOR]","Por el registro de la factura "&amp;Registro_Compras!$C$22&amp;" de "&amp;Registro_Compras!$E$22)))</f>
        <v/>
      </c>
      <c r="H167">
        <f>IF($C167="","",Registro_Compras!$C$22)</f>
        <v/>
      </c>
    </row>
    <row r="168">
      <c r="A168" s="25">
        <f>IF($C168="","",Registro_Compras!$B$22)</f>
        <v/>
      </c>
      <c r="B168">
        <f>IF($C168="","","C"&amp;TEXT(INT((ROW()-5)/9)+1,"000")&amp;"-1")</f>
        <v/>
      </c>
      <c r="C168">
        <f>IF(OR(Registro_Compras!$C$22="",Registro_Compras!$O$22=""),"",IF(Registro_Compras!$F$22="RHE",IF(Registro_Compras!$V$22=0,"","40172"),IF(Registro_Compras!$F$22="NOTA DE CREDITO",IF(Registro_Compras!$M$22="","63",Registro_Compras!$M$22),IF(Registro_Compras!$K$22=0,"","40111"))))</f>
        <v/>
      </c>
      <c r="D168">
        <f>IF(OR(Registro_Compras!$C$22="",Registro_Compras!$O$22=""),"",IF(Registro_Compras!$F$22="RHE","Retencion Renta 4ta Categoria por Pagar",IF(Registro_Compras!$F$22="NOTA DE CREDITO","Gastos de Servicios Prestados por Terceros","IGV - Cuenta Propia (Credito Fiscal)")))</f>
        <v/>
      </c>
      <c r="E168" s="20">
        <f>IF($C168="","",IF(Registro_Compras!$F$22="FACTURA",ROUND(Registro_Compras!$K$22*Registro_Compras!$N$22,2),""))</f>
        <v/>
      </c>
      <c r="F168" s="20">
        <f>IF($C168="","",IF(Registro_Compras!$F$22="RHE",ROUND(Registro_Compras!$V$22*Registro_Compras!$N$22,2),IF(Registro_Compras!$F$22="NOTA DE CREDITO",ROUND(ABS(Registro_Compras!$J$22*Registro_Compras!$N$22),2),"")))</f>
        <v/>
      </c>
      <c r="G168">
        <f>IF($C168="","",IF(Registro_Compras!$F$22="NOTA DE CREDITO","Por la nota de credito "&amp;Registro_Compras!$C$22&amp;" de "&amp;Registro_Compras!$E$22&amp;" [PATRON POR CONFIRMAR CON CONTADOR]",IF(Registro_Compras!$F$22="RHE","Por el registro del recibo por honorarios "&amp;Registro_Compras!$C$22&amp;" de "&amp;Registro_Compras!$E$22&amp;" [PATRON POR CONFIRMAR CON CONTADOR]","Por el registro de la factura "&amp;Registro_Compras!$C$22&amp;" de "&amp;Registro_Compras!$E$22)))</f>
        <v/>
      </c>
      <c r="H168">
        <f>IF($C168="","",Registro_Compras!$C$22)</f>
        <v/>
      </c>
    </row>
    <row r="169">
      <c r="A169" s="25">
        <f>IF($C169="","",Registro_Compras!$B$22)</f>
        <v/>
      </c>
      <c r="B169">
        <f>IF($C169="","","C"&amp;TEXT(INT((ROW()-5)/9)+1,"000")&amp;"-1")</f>
        <v/>
      </c>
      <c r="C169">
        <f>IF(OR(Registro_Compras!$C$22="",Registro_Compras!$O$22=""),"",IF(Registro_Compras!$F$22="NOTA DE CREDITO",IF(Registro_Compras!$K$22=0,"","40111"),"4212"))</f>
        <v/>
      </c>
      <c r="D169">
        <f>IF(OR(Registro_Compras!$C$22="",Registro_Compras!$O$22=""),"",IF(Registro_Compras!$F$22="NOTA DE CREDITO","IGV - Cuenta Propia (Credito Fiscal)","Cuentas por Pagar Comerciales - Terceros (Emitidas)"))</f>
        <v/>
      </c>
      <c r="E169" s="20">
        <f>""</f>
        <v/>
      </c>
      <c r="F169" s="20">
        <f>IF($C169="","",IF(Registro_Compras!$F$22="NOTA DE CREDITO",ROUND(ABS(Registro_Compras!$K$22*Registro_Compras!$N$22),2),IF(Registro_Compras!$F$22="RHE",(ROUND(Registro_Compras!$L$22*Registro_Compras!$N$22,2)-ROUND(Registro_Compras!$V$22*Registro_Compras!$N$22,2)),Registro_Compras!$O$22)))</f>
        <v/>
      </c>
      <c r="G169">
        <f>IF($C169="","",IF(Registro_Compras!$F$22="NOTA DE CREDITO","Por la nota de credito "&amp;Registro_Compras!$C$22&amp;" de "&amp;Registro_Compras!$E$22&amp;" [PATRON POR CONFIRMAR CON CONTADOR]",IF(Registro_Compras!$F$22="RHE","Por el registro del recibo por honorarios "&amp;Registro_Compras!$C$22&amp;" de "&amp;Registro_Compras!$E$22&amp;" [PATRON POR CONFIRMAR CON CONTADOR]","Por el registro de la factura "&amp;Registro_Compras!$C$22&amp;" de "&amp;Registro_Compras!$E$22)))</f>
        <v/>
      </c>
      <c r="H169">
        <f>IF($C169="","",Registro_Compras!$C$22)</f>
        <v/>
      </c>
    </row>
    <row r="170">
      <c r="A170" s="25">
        <f>IF($C170="","",Registro_Compras!$B$22)</f>
        <v/>
      </c>
      <c r="B170">
        <f>IF($C170="","","C"&amp;TEXT(INT((ROW()-5)/9)+1,"000")&amp;"-2")</f>
        <v/>
      </c>
      <c r="C170">
        <f>IF(OR(Registro_Compras!$C$22="",Registro_Compras!$O$22=""),"",IF(Registro_Compras!$AB$22="ADMINISTRATIVO","94","95"))</f>
        <v/>
      </c>
      <c r="D170">
        <f>IF(OR(Registro_Compras!$C$22="",Registro_Compras!$O$22=""),"",IF(Registro_Compras!$AB$22="ADMINISTRATIVO","Gastos Administrativos","Gastos de Venta y Operacion"))</f>
        <v/>
      </c>
      <c r="E170" s="20">
        <f>IF($C170="","",IF(Registro_Compras!$F$22="NOTA DE CREDITO","",IF(Registro_Compras!$F$22="RHE",ROUND(Registro_Compras!$L$22*Registro_Compras!$N$22,2),ROUND(Registro_Compras!$J$22*Registro_Compras!$N$22,2))))</f>
        <v/>
      </c>
      <c r="F170" s="20">
        <f>IF($C170="","",IF(Registro_Compras!$F$22="NOTA DE CREDITO",ROUND(ABS(Registro_Compras!$J$22*Registro_Compras!$N$22),2),""))</f>
        <v/>
      </c>
      <c r="G170">
        <f>IF($C170="","","Por el destino del gasto")</f>
        <v/>
      </c>
      <c r="H170">
        <f>IF($C170="","",Registro_Compras!$C$22)</f>
        <v/>
      </c>
    </row>
    <row r="171">
      <c r="A171" s="25">
        <f>IF($C171="","",Registro_Compras!$B$22)</f>
        <v/>
      </c>
      <c r="B171">
        <f>IF($C171="","","C"&amp;TEXT(INT((ROW()-5)/9)+1,"000")&amp;"-2")</f>
        <v/>
      </c>
      <c r="C171">
        <f>IF(OR(Registro_Compras!$C$22="",Registro_Compras!$O$22=""),"","79/791")</f>
        <v/>
      </c>
      <c r="D171">
        <f>IF(OR(Registro_Compras!$C$22="",Registro_Compras!$O$22=""),"","Cargas Imputables a Cuentas de Costos y Gastos")</f>
        <v/>
      </c>
      <c r="E171" s="20">
        <f>IF($C171="","",IF(Registro_Compras!$F$22="NOTA DE CREDITO",ROUND(ABS(Registro_Compras!$J$22*Registro_Compras!$N$22),2),""))</f>
        <v/>
      </c>
      <c r="F171" s="20">
        <f>IF($C171="","",IF(Registro_Compras!$F$22="NOTA DE CREDITO","",IF(Registro_Compras!$F$22="RHE",ROUND(Registro_Compras!$L$22*Registro_Compras!$N$22,2),ROUND(Registro_Compras!$J$22*Registro_Compras!$N$22,2))))</f>
        <v/>
      </c>
      <c r="G171">
        <f>IF($C171="","","Por el destino del gasto")</f>
        <v/>
      </c>
      <c r="H171">
        <f>IF($C171="","",Registro_Compras!$C$22)</f>
        <v/>
      </c>
    </row>
    <row r="172">
      <c r="A172" s="25">
        <f>IF($C172="","",Registro_Compras!$X$22)</f>
        <v/>
      </c>
      <c r="B172">
        <f>IF($C172="","","C"&amp;TEXT(INT((ROW()-5)/9)+1,"000")&amp;"-3")</f>
        <v/>
      </c>
      <c r="C172">
        <f>IF(OR(Registro_Compras!$C$22="",Registro_Compras!$O$22="",Registro_Compras!$R$22&lt;&gt;"SI",Registro_Compras!$X$22=""),"","4212")</f>
        <v/>
      </c>
      <c r="D172">
        <f>IF(OR(Registro_Compras!$C$22="",Registro_Compras!$O$22=""),"","Cuentas por Pagar Comerciales - Terceros")</f>
        <v/>
      </c>
      <c r="E172" s="20">
        <f>IF($C172="","",Registro_Compras!$S$22)</f>
        <v/>
      </c>
      <c r="F172" s="20">
        <f>""</f>
        <v/>
      </c>
      <c r="G172">
        <f>IF($C172="","","Por el deposito de la detraccion en el Banco de la Nacion")</f>
        <v/>
      </c>
      <c r="H172">
        <f>IF($C172="","",Registro_Compras!$C$22)</f>
        <v/>
      </c>
    </row>
    <row r="173">
      <c r="A173" s="25">
        <f>IF($C173="","",Registro_Compras!$X$22)</f>
        <v/>
      </c>
      <c r="B173">
        <f>IF($C173="","","C"&amp;TEXT(INT((ROW()-5)/9)+1,"000")&amp;"-3")</f>
        <v/>
      </c>
      <c r="C173">
        <f>IF(OR(Registro_Compras!$C$22="",Registro_Compras!$O$22="",Registro_Compras!$R$22&lt;&gt;"SI",Registro_Compras!$X$22=""),"","10413")</f>
        <v/>
      </c>
      <c r="D173">
        <f>IF(OR(Registro_Compras!$C$22="",Registro_Compras!$O$22=""),"","Efectivo y Equivalentes - Cta. Cte. Operativa")</f>
        <v/>
      </c>
      <c r="E173" s="20">
        <f>""</f>
        <v/>
      </c>
      <c r="F173" s="20">
        <f>IF($C173="","",Registro_Compras!$S$22)</f>
        <v/>
      </c>
      <c r="G173">
        <f>IF($C173="","","Por el deposito de la detraccion en el Banco de la Nacion")</f>
        <v/>
      </c>
      <c r="H173">
        <f>IF($C173="","",Registro_Compras!$C$22)</f>
        <v/>
      </c>
    </row>
    <row r="174">
      <c r="A174" s="25">
        <f>IF($C174="","",Registro_Compras!$Y$22)</f>
        <v/>
      </c>
      <c r="B174">
        <f>IF($C174="","","C"&amp;TEXT(INT((ROW()-5)/9)+1,"000")&amp;"-4")</f>
        <v/>
      </c>
      <c r="C174">
        <f>IF(OR(Registro_Compras!$C$22="",Registro_Compras!$O$22="",Registro_Compras!$Y$22="",Registro_Compras!$F$22="NOTA DE CREDITO"),"","4212")</f>
        <v/>
      </c>
      <c r="D174">
        <f>IF(OR(Registro_Compras!$C$22="",Registro_Compras!$O$22=""),"","Cuentas por Pagar Comerciales - Terceros")</f>
        <v/>
      </c>
      <c r="E174" s="20">
        <f>IF($C174="","",IF(Registro_Compras!$F$22="RHE",(ROUND(Registro_Compras!$L$22*Registro_Compras!$N$22,2)-ROUND(Registro_Compras!$V$22*Registro_Compras!$N$22,2)),ROUND(Registro_Compras!$O$22-Registro_Compras!$S$22,2)))</f>
        <v/>
      </c>
      <c r="F174" s="20">
        <f>""</f>
        <v/>
      </c>
      <c r="G174">
        <f>IF($C174="","","Por la cancelacion del saldo al proveedor")</f>
        <v/>
      </c>
      <c r="H174">
        <f>IF($C174="","",Registro_Compras!$C$22)</f>
        <v/>
      </c>
    </row>
    <row r="175">
      <c r="A175" s="25">
        <f>IF($C175="","",Registro_Compras!$Y$22)</f>
        <v/>
      </c>
      <c r="B175">
        <f>IF($C175="","","C"&amp;TEXT(INT((ROW()-5)/9)+1,"000")&amp;"-4")</f>
        <v/>
      </c>
      <c r="C175">
        <f>IF(OR(Registro_Compras!$C$22="",Registro_Compras!$O$22="",Registro_Compras!$Y$22="",Registro_Compras!$F$22="NOTA DE CREDITO"),"","10413")</f>
        <v/>
      </c>
      <c r="D175">
        <f>IF(OR(Registro_Compras!$C$22="",Registro_Compras!$O$22=""),"","Efectivo y Equivalentes - Cta. Cte. Operativa")</f>
        <v/>
      </c>
      <c r="E175" s="20">
        <f>""</f>
        <v/>
      </c>
      <c r="F175" s="20">
        <f>IF($C175="","",IF(Registro_Compras!$F$22="RHE",(ROUND(Registro_Compras!$L$22*Registro_Compras!$N$22,2)-ROUND(Registro_Compras!$V$22*Registro_Compras!$N$22,2)),ROUND(Registro_Compras!$O$22-Registro_Compras!$S$22,2)))</f>
        <v/>
      </c>
      <c r="G175">
        <f>IF($C175="","","Por la cancelacion del saldo al proveedor")</f>
        <v/>
      </c>
      <c r="H175">
        <f>IF($C175="","",Registro_Compras!$C$22)</f>
        <v/>
      </c>
    </row>
    <row r="176">
      <c r="A176" s="25">
        <f>IF($C176="","",Registro_Compras!$B$23)</f>
        <v/>
      </c>
      <c r="B176">
        <f>IF($C176="","","C"&amp;TEXT(INT((ROW()-5)/9)+1,"000")&amp;"-1")</f>
        <v/>
      </c>
      <c r="C176">
        <f>IF(OR(Registro_Compras!$C$23="",Registro_Compras!$O$23=""),"",IF(Registro_Compras!$F$23="NOTA DE CREDITO","4212",IF(Registro_Compras!$M$23="","63",Registro_Compras!$M$23)))</f>
        <v/>
      </c>
      <c r="D176">
        <f>IF(OR(Registro_Compras!$C$23="",Registro_Compras!$O$23=""),"",IF(Registro_Compras!$F$23="NOTA DE CREDITO","Cuentas por Pagar Comerciales - Terceros (Emitidas)",IF(Registro_Compras!$F$23="RHE","Honorarios Profesionales - Servicios de Terceros","Gastos de Servicios Prestados por Terceros")))</f>
        <v/>
      </c>
      <c r="E176" s="20">
        <f>IF($C176="","",IF(Registro_Compras!$F$23="NOTA DE CREDITO",ABS(Registro_Compras!$O$23),IF(Registro_Compras!$F$23="RHE",ROUND(Registro_Compras!$L$23*Registro_Compras!$N$23,2),ROUND(Registro_Compras!$J$23*Registro_Compras!$N$23,2))))</f>
        <v/>
      </c>
      <c r="F176" s="20">
        <f>""</f>
        <v/>
      </c>
      <c r="G176">
        <f>IF($C176="","",IF(Registro_Compras!$F$23="NOTA DE CREDITO","Por la nota de credito "&amp;Registro_Compras!$C$23&amp;" de "&amp;Registro_Compras!$E$23&amp;" [PATRON POR CONFIRMAR CON CONTADOR]",IF(Registro_Compras!$F$23="RHE","Por el registro del recibo por honorarios "&amp;Registro_Compras!$C$23&amp;" de "&amp;Registro_Compras!$E$23&amp;" [PATRON POR CONFIRMAR CON CONTADOR]","Por el registro de la factura "&amp;Registro_Compras!$C$23&amp;" de "&amp;Registro_Compras!$E$23)))</f>
        <v/>
      </c>
      <c r="H176">
        <f>IF($C176="","",Registro_Compras!$C$23)</f>
        <v/>
      </c>
    </row>
    <row r="177">
      <c r="A177" s="25">
        <f>IF($C177="","",Registro_Compras!$B$23)</f>
        <v/>
      </c>
      <c r="B177">
        <f>IF($C177="","","C"&amp;TEXT(INT((ROW()-5)/9)+1,"000")&amp;"-1")</f>
        <v/>
      </c>
      <c r="C177">
        <f>IF(OR(Registro_Compras!$C$23="",Registro_Compras!$O$23=""),"",IF(Registro_Compras!$F$23="RHE",IF(Registro_Compras!$V$23=0,"","40172"),IF(Registro_Compras!$F$23="NOTA DE CREDITO",IF(Registro_Compras!$M$23="","63",Registro_Compras!$M$23),IF(Registro_Compras!$K$23=0,"","40111"))))</f>
        <v/>
      </c>
      <c r="D177">
        <f>IF(OR(Registro_Compras!$C$23="",Registro_Compras!$O$23=""),"",IF(Registro_Compras!$F$23="RHE","Retencion Renta 4ta Categoria por Pagar",IF(Registro_Compras!$F$23="NOTA DE CREDITO","Gastos de Servicios Prestados por Terceros","IGV - Cuenta Propia (Credito Fiscal)")))</f>
        <v/>
      </c>
      <c r="E177" s="20">
        <f>IF($C177="","",IF(Registro_Compras!$F$23="FACTURA",ROUND(Registro_Compras!$K$23*Registro_Compras!$N$23,2),""))</f>
        <v/>
      </c>
      <c r="F177" s="20">
        <f>IF($C177="","",IF(Registro_Compras!$F$23="RHE",ROUND(Registro_Compras!$V$23*Registro_Compras!$N$23,2),IF(Registro_Compras!$F$23="NOTA DE CREDITO",ROUND(ABS(Registro_Compras!$J$23*Registro_Compras!$N$23),2),"")))</f>
        <v/>
      </c>
      <c r="G177">
        <f>IF($C177="","",IF(Registro_Compras!$F$23="NOTA DE CREDITO","Por la nota de credito "&amp;Registro_Compras!$C$23&amp;" de "&amp;Registro_Compras!$E$23&amp;" [PATRON POR CONFIRMAR CON CONTADOR]",IF(Registro_Compras!$F$23="RHE","Por el registro del recibo por honorarios "&amp;Registro_Compras!$C$23&amp;" de "&amp;Registro_Compras!$E$23&amp;" [PATRON POR CONFIRMAR CON CONTADOR]","Por el registro de la factura "&amp;Registro_Compras!$C$23&amp;" de "&amp;Registro_Compras!$E$23)))</f>
        <v/>
      </c>
      <c r="H177">
        <f>IF($C177="","",Registro_Compras!$C$23)</f>
        <v/>
      </c>
    </row>
    <row r="178">
      <c r="A178" s="25">
        <f>IF($C178="","",Registro_Compras!$B$23)</f>
        <v/>
      </c>
      <c r="B178">
        <f>IF($C178="","","C"&amp;TEXT(INT((ROW()-5)/9)+1,"000")&amp;"-1")</f>
        <v/>
      </c>
      <c r="C178">
        <f>IF(OR(Registro_Compras!$C$23="",Registro_Compras!$O$23=""),"",IF(Registro_Compras!$F$23="NOTA DE CREDITO",IF(Registro_Compras!$K$23=0,"","40111"),"4212"))</f>
        <v/>
      </c>
      <c r="D178">
        <f>IF(OR(Registro_Compras!$C$23="",Registro_Compras!$O$23=""),"",IF(Registro_Compras!$F$23="NOTA DE CREDITO","IGV - Cuenta Propia (Credito Fiscal)","Cuentas por Pagar Comerciales - Terceros (Emitidas)"))</f>
        <v/>
      </c>
      <c r="E178" s="20">
        <f>""</f>
        <v/>
      </c>
      <c r="F178" s="20">
        <f>IF($C178="","",IF(Registro_Compras!$F$23="NOTA DE CREDITO",ROUND(ABS(Registro_Compras!$K$23*Registro_Compras!$N$23),2),IF(Registro_Compras!$F$23="RHE",(ROUND(Registro_Compras!$L$23*Registro_Compras!$N$23,2)-ROUND(Registro_Compras!$V$23*Registro_Compras!$N$23,2)),Registro_Compras!$O$23)))</f>
        <v/>
      </c>
      <c r="G178">
        <f>IF($C178="","",IF(Registro_Compras!$F$23="NOTA DE CREDITO","Por la nota de credito "&amp;Registro_Compras!$C$23&amp;" de "&amp;Registro_Compras!$E$23&amp;" [PATRON POR CONFIRMAR CON CONTADOR]",IF(Registro_Compras!$F$23="RHE","Por el registro del recibo por honorarios "&amp;Registro_Compras!$C$23&amp;" de "&amp;Registro_Compras!$E$23&amp;" [PATRON POR CONFIRMAR CON CONTADOR]","Por el registro de la factura "&amp;Registro_Compras!$C$23&amp;" de "&amp;Registro_Compras!$E$23)))</f>
        <v/>
      </c>
      <c r="H178">
        <f>IF($C178="","",Registro_Compras!$C$23)</f>
        <v/>
      </c>
    </row>
    <row r="179">
      <c r="A179" s="25">
        <f>IF($C179="","",Registro_Compras!$B$23)</f>
        <v/>
      </c>
      <c r="B179">
        <f>IF($C179="","","C"&amp;TEXT(INT((ROW()-5)/9)+1,"000")&amp;"-2")</f>
        <v/>
      </c>
      <c r="C179">
        <f>IF(OR(Registro_Compras!$C$23="",Registro_Compras!$O$23=""),"",IF(Registro_Compras!$AB$23="ADMINISTRATIVO","94","95"))</f>
        <v/>
      </c>
      <c r="D179">
        <f>IF(OR(Registro_Compras!$C$23="",Registro_Compras!$O$23=""),"",IF(Registro_Compras!$AB$23="ADMINISTRATIVO","Gastos Administrativos","Gastos de Venta y Operacion"))</f>
        <v/>
      </c>
      <c r="E179" s="20">
        <f>IF($C179="","",IF(Registro_Compras!$F$23="NOTA DE CREDITO","",IF(Registro_Compras!$F$23="RHE",ROUND(Registro_Compras!$L$23*Registro_Compras!$N$23,2),ROUND(Registro_Compras!$J$23*Registro_Compras!$N$23,2))))</f>
        <v/>
      </c>
      <c r="F179" s="20">
        <f>IF($C179="","",IF(Registro_Compras!$F$23="NOTA DE CREDITO",ROUND(ABS(Registro_Compras!$J$23*Registro_Compras!$N$23),2),""))</f>
        <v/>
      </c>
      <c r="G179">
        <f>IF($C179="","","Por el destino del gasto")</f>
        <v/>
      </c>
      <c r="H179">
        <f>IF($C179="","",Registro_Compras!$C$23)</f>
        <v/>
      </c>
    </row>
    <row r="180">
      <c r="A180" s="25">
        <f>IF($C180="","",Registro_Compras!$B$23)</f>
        <v/>
      </c>
      <c r="B180">
        <f>IF($C180="","","C"&amp;TEXT(INT((ROW()-5)/9)+1,"000")&amp;"-2")</f>
        <v/>
      </c>
      <c r="C180">
        <f>IF(OR(Registro_Compras!$C$23="",Registro_Compras!$O$23=""),"","79/791")</f>
        <v/>
      </c>
      <c r="D180">
        <f>IF(OR(Registro_Compras!$C$23="",Registro_Compras!$O$23=""),"","Cargas Imputables a Cuentas de Costos y Gastos")</f>
        <v/>
      </c>
      <c r="E180" s="20">
        <f>IF($C180="","",IF(Registro_Compras!$F$23="NOTA DE CREDITO",ROUND(ABS(Registro_Compras!$J$23*Registro_Compras!$N$23),2),""))</f>
        <v/>
      </c>
      <c r="F180" s="20">
        <f>IF($C180="","",IF(Registro_Compras!$F$23="NOTA DE CREDITO","",IF(Registro_Compras!$F$23="RHE",ROUND(Registro_Compras!$L$23*Registro_Compras!$N$23,2),ROUND(Registro_Compras!$J$23*Registro_Compras!$N$23,2))))</f>
        <v/>
      </c>
      <c r="G180">
        <f>IF($C180="","","Por el destino del gasto")</f>
        <v/>
      </c>
      <c r="H180">
        <f>IF($C180="","",Registro_Compras!$C$23)</f>
        <v/>
      </c>
    </row>
    <row r="181">
      <c r="A181" s="25">
        <f>IF($C181="","",Registro_Compras!$X$23)</f>
        <v/>
      </c>
      <c r="B181">
        <f>IF($C181="","","C"&amp;TEXT(INT((ROW()-5)/9)+1,"000")&amp;"-3")</f>
        <v/>
      </c>
      <c r="C181">
        <f>IF(OR(Registro_Compras!$C$23="",Registro_Compras!$O$23="",Registro_Compras!$R$23&lt;&gt;"SI",Registro_Compras!$X$23=""),"","4212")</f>
        <v/>
      </c>
      <c r="D181">
        <f>IF(OR(Registro_Compras!$C$23="",Registro_Compras!$O$23=""),"","Cuentas por Pagar Comerciales - Terceros")</f>
        <v/>
      </c>
      <c r="E181" s="20">
        <f>IF($C181="","",Registro_Compras!$S$23)</f>
        <v/>
      </c>
      <c r="F181" s="20">
        <f>""</f>
        <v/>
      </c>
      <c r="G181">
        <f>IF($C181="","","Por el deposito de la detraccion en el Banco de la Nacion")</f>
        <v/>
      </c>
      <c r="H181">
        <f>IF($C181="","",Registro_Compras!$C$23)</f>
        <v/>
      </c>
    </row>
    <row r="182">
      <c r="A182" s="25">
        <f>IF($C182="","",Registro_Compras!$X$23)</f>
        <v/>
      </c>
      <c r="B182">
        <f>IF($C182="","","C"&amp;TEXT(INT((ROW()-5)/9)+1,"000")&amp;"-3")</f>
        <v/>
      </c>
      <c r="C182">
        <f>IF(OR(Registro_Compras!$C$23="",Registro_Compras!$O$23="",Registro_Compras!$R$23&lt;&gt;"SI",Registro_Compras!$X$23=""),"","10413")</f>
        <v/>
      </c>
      <c r="D182">
        <f>IF(OR(Registro_Compras!$C$23="",Registro_Compras!$O$23=""),"","Efectivo y Equivalentes - Cta. Cte. Operativa")</f>
        <v/>
      </c>
      <c r="E182" s="20">
        <f>""</f>
        <v/>
      </c>
      <c r="F182" s="20">
        <f>IF($C182="","",Registro_Compras!$S$23)</f>
        <v/>
      </c>
      <c r="G182">
        <f>IF($C182="","","Por el deposito de la detraccion en el Banco de la Nacion")</f>
        <v/>
      </c>
      <c r="H182">
        <f>IF($C182="","",Registro_Compras!$C$23)</f>
        <v/>
      </c>
    </row>
    <row r="183">
      <c r="A183" s="25">
        <f>IF($C183="","",Registro_Compras!$Y$23)</f>
        <v/>
      </c>
      <c r="B183">
        <f>IF($C183="","","C"&amp;TEXT(INT((ROW()-5)/9)+1,"000")&amp;"-4")</f>
        <v/>
      </c>
      <c r="C183">
        <f>IF(OR(Registro_Compras!$C$23="",Registro_Compras!$O$23="",Registro_Compras!$Y$23="",Registro_Compras!$F$23="NOTA DE CREDITO"),"","4212")</f>
        <v/>
      </c>
      <c r="D183">
        <f>IF(OR(Registro_Compras!$C$23="",Registro_Compras!$O$23=""),"","Cuentas por Pagar Comerciales - Terceros")</f>
        <v/>
      </c>
      <c r="E183" s="20">
        <f>IF($C183="","",IF(Registro_Compras!$F$23="RHE",(ROUND(Registro_Compras!$L$23*Registro_Compras!$N$23,2)-ROUND(Registro_Compras!$V$23*Registro_Compras!$N$23,2)),ROUND(Registro_Compras!$O$23-Registro_Compras!$S$23,2)))</f>
        <v/>
      </c>
      <c r="F183" s="20">
        <f>""</f>
        <v/>
      </c>
      <c r="G183">
        <f>IF($C183="","","Por la cancelacion del saldo al proveedor")</f>
        <v/>
      </c>
      <c r="H183">
        <f>IF($C183="","",Registro_Compras!$C$23)</f>
        <v/>
      </c>
    </row>
    <row r="184">
      <c r="A184" s="25">
        <f>IF($C184="","",Registro_Compras!$Y$23)</f>
        <v/>
      </c>
      <c r="B184">
        <f>IF($C184="","","C"&amp;TEXT(INT((ROW()-5)/9)+1,"000")&amp;"-4")</f>
        <v/>
      </c>
      <c r="C184">
        <f>IF(OR(Registro_Compras!$C$23="",Registro_Compras!$O$23="",Registro_Compras!$Y$23="",Registro_Compras!$F$23="NOTA DE CREDITO"),"","10413")</f>
        <v/>
      </c>
      <c r="D184">
        <f>IF(OR(Registro_Compras!$C$23="",Registro_Compras!$O$23=""),"","Efectivo y Equivalentes - Cta. Cte. Operativa")</f>
        <v/>
      </c>
      <c r="E184" s="20">
        <f>""</f>
        <v/>
      </c>
      <c r="F184" s="20">
        <f>IF($C184="","",IF(Registro_Compras!$F$23="RHE",(ROUND(Registro_Compras!$L$23*Registro_Compras!$N$23,2)-ROUND(Registro_Compras!$V$23*Registro_Compras!$N$23,2)),ROUND(Registro_Compras!$O$23-Registro_Compras!$S$23,2)))</f>
        <v/>
      </c>
      <c r="G184">
        <f>IF($C184="","","Por la cancelacion del saldo al proveedor")</f>
        <v/>
      </c>
      <c r="H184">
        <f>IF($C184="","",Registro_Compras!$C$23)</f>
        <v/>
      </c>
    </row>
    <row r="185">
      <c r="A185" s="25">
        <f>IF($C185="","",Registro_Compras!$B$24)</f>
        <v/>
      </c>
      <c r="B185">
        <f>IF($C185="","","C"&amp;TEXT(INT((ROW()-5)/9)+1,"000")&amp;"-1")</f>
        <v/>
      </c>
      <c r="C185">
        <f>IF(OR(Registro_Compras!$C$24="",Registro_Compras!$O$24=""),"",IF(Registro_Compras!$F$24="NOTA DE CREDITO","4212",IF(Registro_Compras!$M$24="","63",Registro_Compras!$M$24)))</f>
        <v/>
      </c>
      <c r="D185">
        <f>IF(OR(Registro_Compras!$C$24="",Registro_Compras!$O$24=""),"",IF(Registro_Compras!$F$24="NOTA DE CREDITO","Cuentas por Pagar Comerciales - Terceros (Emitidas)",IF(Registro_Compras!$F$24="RHE","Honorarios Profesionales - Servicios de Terceros","Gastos de Servicios Prestados por Terceros")))</f>
        <v/>
      </c>
      <c r="E185" s="20">
        <f>IF($C185="","",IF(Registro_Compras!$F$24="NOTA DE CREDITO",ABS(Registro_Compras!$O$24),IF(Registro_Compras!$F$24="RHE",ROUND(Registro_Compras!$L$24*Registro_Compras!$N$24,2),ROUND(Registro_Compras!$J$24*Registro_Compras!$N$24,2))))</f>
        <v/>
      </c>
      <c r="F185" s="20">
        <f>""</f>
        <v/>
      </c>
      <c r="G185">
        <f>IF($C185="","",IF(Registro_Compras!$F$24="NOTA DE CREDITO","Por la nota de credito "&amp;Registro_Compras!$C$24&amp;" de "&amp;Registro_Compras!$E$24&amp;" [PATRON POR CONFIRMAR CON CONTADOR]",IF(Registro_Compras!$F$24="RHE","Por el registro del recibo por honorarios "&amp;Registro_Compras!$C$24&amp;" de "&amp;Registro_Compras!$E$24&amp;" [PATRON POR CONFIRMAR CON CONTADOR]","Por el registro de la factura "&amp;Registro_Compras!$C$24&amp;" de "&amp;Registro_Compras!$E$24)))</f>
        <v/>
      </c>
      <c r="H185">
        <f>IF($C185="","",Registro_Compras!$C$24)</f>
        <v/>
      </c>
    </row>
    <row r="186">
      <c r="A186" s="25">
        <f>IF($C186="","",Registro_Compras!$B$24)</f>
        <v/>
      </c>
      <c r="B186">
        <f>IF($C186="","","C"&amp;TEXT(INT((ROW()-5)/9)+1,"000")&amp;"-1")</f>
        <v/>
      </c>
      <c r="C186">
        <f>IF(OR(Registro_Compras!$C$24="",Registro_Compras!$O$24=""),"",IF(Registro_Compras!$F$24="RHE",IF(Registro_Compras!$V$24=0,"","40172"),IF(Registro_Compras!$F$24="NOTA DE CREDITO",IF(Registro_Compras!$M$24="","63",Registro_Compras!$M$24),IF(Registro_Compras!$K$24=0,"","40111"))))</f>
        <v/>
      </c>
      <c r="D186">
        <f>IF(OR(Registro_Compras!$C$24="",Registro_Compras!$O$24=""),"",IF(Registro_Compras!$F$24="RHE","Retencion Renta 4ta Categoria por Pagar",IF(Registro_Compras!$F$24="NOTA DE CREDITO","Gastos de Servicios Prestados por Terceros","IGV - Cuenta Propia (Credito Fiscal)")))</f>
        <v/>
      </c>
      <c r="E186" s="20">
        <f>IF($C186="","",IF(Registro_Compras!$F$24="FACTURA",ROUND(Registro_Compras!$K$24*Registro_Compras!$N$24,2),""))</f>
        <v/>
      </c>
      <c r="F186" s="20">
        <f>IF($C186="","",IF(Registro_Compras!$F$24="RHE",ROUND(Registro_Compras!$V$24*Registro_Compras!$N$24,2),IF(Registro_Compras!$F$24="NOTA DE CREDITO",ROUND(ABS(Registro_Compras!$J$24*Registro_Compras!$N$24),2),"")))</f>
        <v/>
      </c>
      <c r="G186">
        <f>IF($C186="","",IF(Registro_Compras!$F$24="NOTA DE CREDITO","Por la nota de credito "&amp;Registro_Compras!$C$24&amp;" de "&amp;Registro_Compras!$E$24&amp;" [PATRON POR CONFIRMAR CON CONTADOR]",IF(Registro_Compras!$F$24="RHE","Por el registro del recibo por honorarios "&amp;Registro_Compras!$C$24&amp;" de "&amp;Registro_Compras!$E$24&amp;" [PATRON POR CONFIRMAR CON CONTADOR]","Por el registro de la factura "&amp;Registro_Compras!$C$24&amp;" de "&amp;Registro_Compras!$E$24)))</f>
        <v/>
      </c>
      <c r="H186">
        <f>IF($C186="","",Registro_Compras!$C$24)</f>
        <v/>
      </c>
    </row>
    <row r="187">
      <c r="A187" s="25">
        <f>IF($C187="","",Registro_Compras!$B$24)</f>
        <v/>
      </c>
      <c r="B187">
        <f>IF($C187="","","C"&amp;TEXT(INT((ROW()-5)/9)+1,"000")&amp;"-1")</f>
        <v/>
      </c>
      <c r="C187">
        <f>IF(OR(Registro_Compras!$C$24="",Registro_Compras!$O$24=""),"",IF(Registro_Compras!$F$24="NOTA DE CREDITO",IF(Registro_Compras!$K$24=0,"","40111"),"4212"))</f>
        <v/>
      </c>
      <c r="D187">
        <f>IF(OR(Registro_Compras!$C$24="",Registro_Compras!$O$24=""),"",IF(Registro_Compras!$F$24="NOTA DE CREDITO","IGV - Cuenta Propia (Credito Fiscal)","Cuentas por Pagar Comerciales - Terceros (Emitidas)"))</f>
        <v/>
      </c>
      <c r="E187" s="20">
        <f>""</f>
        <v/>
      </c>
      <c r="F187" s="20">
        <f>IF($C187="","",IF(Registro_Compras!$F$24="NOTA DE CREDITO",ROUND(ABS(Registro_Compras!$K$24*Registro_Compras!$N$24),2),IF(Registro_Compras!$F$24="RHE",(ROUND(Registro_Compras!$L$24*Registro_Compras!$N$24,2)-ROUND(Registro_Compras!$V$24*Registro_Compras!$N$24,2)),Registro_Compras!$O$24)))</f>
        <v/>
      </c>
      <c r="G187">
        <f>IF($C187="","",IF(Registro_Compras!$F$24="NOTA DE CREDITO","Por la nota de credito "&amp;Registro_Compras!$C$24&amp;" de "&amp;Registro_Compras!$E$24&amp;" [PATRON POR CONFIRMAR CON CONTADOR]",IF(Registro_Compras!$F$24="RHE","Por el registro del recibo por honorarios "&amp;Registro_Compras!$C$24&amp;" de "&amp;Registro_Compras!$E$24&amp;" [PATRON POR CONFIRMAR CON CONTADOR]","Por el registro de la factura "&amp;Registro_Compras!$C$24&amp;" de "&amp;Registro_Compras!$E$24)))</f>
        <v/>
      </c>
      <c r="H187">
        <f>IF($C187="","",Registro_Compras!$C$24)</f>
        <v/>
      </c>
    </row>
    <row r="188">
      <c r="A188" s="25">
        <f>IF($C188="","",Registro_Compras!$B$24)</f>
        <v/>
      </c>
      <c r="B188">
        <f>IF($C188="","","C"&amp;TEXT(INT((ROW()-5)/9)+1,"000")&amp;"-2")</f>
        <v/>
      </c>
      <c r="C188">
        <f>IF(OR(Registro_Compras!$C$24="",Registro_Compras!$O$24=""),"",IF(Registro_Compras!$AB$24="ADMINISTRATIVO","94","95"))</f>
        <v/>
      </c>
      <c r="D188">
        <f>IF(OR(Registro_Compras!$C$24="",Registro_Compras!$O$24=""),"",IF(Registro_Compras!$AB$24="ADMINISTRATIVO","Gastos Administrativos","Gastos de Venta y Operacion"))</f>
        <v/>
      </c>
      <c r="E188" s="20">
        <f>IF($C188="","",IF(Registro_Compras!$F$24="NOTA DE CREDITO","",IF(Registro_Compras!$F$24="RHE",ROUND(Registro_Compras!$L$24*Registro_Compras!$N$24,2),ROUND(Registro_Compras!$J$24*Registro_Compras!$N$24,2))))</f>
        <v/>
      </c>
      <c r="F188" s="20">
        <f>IF($C188="","",IF(Registro_Compras!$F$24="NOTA DE CREDITO",ROUND(ABS(Registro_Compras!$J$24*Registro_Compras!$N$24),2),""))</f>
        <v/>
      </c>
      <c r="G188">
        <f>IF($C188="","","Por el destino del gasto")</f>
        <v/>
      </c>
      <c r="H188">
        <f>IF($C188="","",Registro_Compras!$C$24)</f>
        <v/>
      </c>
    </row>
    <row r="189">
      <c r="A189" s="25">
        <f>IF($C189="","",Registro_Compras!$B$24)</f>
        <v/>
      </c>
      <c r="B189">
        <f>IF($C189="","","C"&amp;TEXT(INT((ROW()-5)/9)+1,"000")&amp;"-2")</f>
        <v/>
      </c>
      <c r="C189">
        <f>IF(OR(Registro_Compras!$C$24="",Registro_Compras!$O$24=""),"","79/791")</f>
        <v/>
      </c>
      <c r="D189">
        <f>IF(OR(Registro_Compras!$C$24="",Registro_Compras!$O$24=""),"","Cargas Imputables a Cuentas de Costos y Gastos")</f>
        <v/>
      </c>
      <c r="E189" s="20">
        <f>IF($C189="","",IF(Registro_Compras!$F$24="NOTA DE CREDITO",ROUND(ABS(Registro_Compras!$J$24*Registro_Compras!$N$24),2),""))</f>
        <v/>
      </c>
      <c r="F189" s="20">
        <f>IF($C189="","",IF(Registro_Compras!$F$24="NOTA DE CREDITO","",IF(Registro_Compras!$F$24="RHE",ROUND(Registro_Compras!$L$24*Registro_Compras!$N$24,2),ROUND(Registro_Compras!$J$24*Registro_Compras!$N$24,2))))</f>
        <v/>
      </c>
      <c r="G189">
        <f>IF($C189="","","Por el destino del gasto")</f>
        <v/>
      </c>
      <c r="H189">
        <f>IF($C189="","",Registro_Compras!$C$24)</f>
        <v/>
      </c>
    </row>
    <row r="190">
      <c r="A190" s="25">
        <f>IF($C190="","",Registro_Compras!$X$24)</f>
        <v/>
      </c>
      <c r="B190">
        <f>IF($C190="","","C"&amp;TEXT(INT((ROW()-5)/9)+1,"000")&amp;"-3")</f>
        <v/>
      </c>
      <c r="C190">
        <f>IF(OR(Registro_Compras!$C$24="",Registro_Compras!$O$24="",Registro_Compras!$R$24&lt;&gt;"SI",Registro_Compras!$X$24=""),"","4212")</f>
        <v/>
      </c>
      <c r="D190">
        <f>IF(OR(Registro_Compras!$C$24="",Registro_Compras!$O$24=""),"","Cuentas por Pagar Comerciales - Terceros")</f>
        <v/>
      </c>
      <c r="E190" s="20">
        <f>IF($C190="","",Registro_Compras!$S$24)</f>
        <v/>
      </c>
      <c r="F190" s="20">
        <f>""</f>
        <v/>
      </c>
      <c r="G190">
        <f>IF($C190="","","Por el deposito de la detraccion en el Banco de la Nacion")</f>
        <v/>
      </c>
      <c r="H190">
        <f>IF($C190="","",Registro_Compras!$C$24)</f>
        <v/>
      </c>
    </row>
    <row r="191">
      <c r="A191" s="25">
        <f>IF($C191="","",Registro_Compras!$X$24)</f>
        <v/>
      </c>
      <c r="B191">
        <f>IF($C191="","","C"&amp;TEXT(INT((ROW()-5)/9)+1,"000")&amp;"-3")</f>
        <v/>
      </c>
      <c r="C191">
        <f>IF(OR(Registro_Compras!$C$24="",Registro_Compras!$O$24="",Registro_Compras!$R$24&lt;&gt;"SI",Registro_Compras!$X$24=""),"","10413")</f>
        <v/>
      </c>
      <c r="D191">
        <f>IF(OR(Registro_Compras!$C$24="",Registro_Compras!$O$24=""),"","Efectivo y Equivalentes - Cta. Cte. Operativa")</f>
        <v/>
      </c>
      <c r="E191" s="20">
        <f>""</f>
        <v/>
      </c>
      <c r="F191" s="20">
        <f>IF($C191="","",Registro_Compras!$S$24)</f>
        <v/>
      </c>
      <c r="G191">
        <f>IF($C191="","","Por el deposito de la detraccion en el Banco de la Nacion")</f>
        <v/>
      </c>
      <c r="H191">
        <f>IF($C191="","",Registro_Compras!$C$24)</f>
        <v/>
      </c>
    </row>
    <row r="192">
      <c r="A192" s="25">
        <f>IF($C192="","",Registro_Compras!$Y$24)</f>
        <v/>
      </c>
      <c r="B192">
        <f>IF($C192="","","C"&amp;TEXT(INT((ROW()-5)/9)+1,"000")&amp;"-4")</f>
        <v/>
      </c>
      <c r="C192">
        <f>IF(OR(Registro_Compras!$C$24="",Registro_Compras!$O$24="",Registro_Compras!$Y$24="",Registro_Compras!$F$24="NOTA DE CREDITO"),"","4212")</f>
        <v/>
      </c>
      <c r="D192">
        <f>IF(OR(Registro_Compras!$C$24="",Registro_Compras!$O$24=""),"","Cuentas por Pagar Comerciales - Terceros")</f>
        <v/>
      </c>
      <c r="E192" s="20">
        <f>IF($C192="","",IF(Registro_Compras!$F$24="RHE",(ROUND(Registro_Compras!$L$24*Registro_Compras!$N$24,2)-ROUND(Registro_Compras!$V$24*Registro_Compras!$N$24,2)),ROUND(Registro_Compras!$O$24-Registro_Compras!$S$24,2)))</f>
        <v/>
      </c>
      <c r="F192" s="20">
        <f>""</f>
        <v/>
      </c>
      <c r="G192">
        <f>IF($C192="","","Por la cancelacion del saldo al proveedor")</f>
        <v/>
      </c>
      <c r="H192">
        <f>IF($C192="","",Registro_Compras!$C$24)</f>
        <v/>
      </c>
    </row>
    <row r="193">
      <c r="A193" s="25">
        <f>IF($C193="","",Registro_Compras!$Y$24)</f>
        <v/>
      </c>
      <c r="B193">
        <f>IF($C193="","","C"&amp;TEXT(INT((ROW()-5)/9)+1,"000")&amp;"-4")</f>
        <v/>
      </c>
      <c r="C193">
        <f>IF(OR(Registro_Compras!$C$24="",Registro_Compras!$O$24="",Registro_Compras!$Y$24="",Registro_Compras!$F$24="NOTA DE CREDITO"),"","10413")</f>
        <v/>
      </c>
      <c r="D193">
        <f>IF(OR(Registro_Compras!$C$24="",Registro_Compras!$O$24=""),"","Efectivo y Equivalentes - Cta. Cte. Operativa")</f>
        <v/>
      </c>
      <c r="E193" s="20">
        <f>""</f>
        <v/>
      </c>
      <c r="F193" s="20">
        <f>IF($C193="","",IF(Registro_Compras!$F$24="RHE",(ROUND(Registro_Compras!$L$24*Registro_Compras!$N$24,2)-ROUND(Registro_Compras!$V$24*Registro_Compras!$N$24,2)),ROUND(Registro_Compras!$O$24-Registro_Compras!$S$24,2)))</f>
        <v/>
      </c>
      <c r="G193">
        <f>IF($C193="","","Por la cancelacion del saldo al proveedor")</f>
        <v/>
      </c>
      <c r="H193">
        <f>IF($C193="","",Registro_Compras!$C$24)</f>
        <v/>
      </c>
    </row>
    <row r="194">
      <c r="A194" s="25">
        <f>IF($C194="","",Registro_Compras!$B$25)</f>
        <v/>
      </c>
      <c r="B194">
        <f>IF($C194="","","C"&amp;TEXT(INT((ROW()-5)/9)+1,"000")&amp;"-1")</f>
        <v/>
      </c>
      <c r="C194">
        <f>IF(OR(Registro_Compras!$C$25="",Registro_Compras!$O$25=""),"",IF(Registro_Compras!$F$25="NOTA DE CREDITO","4212",IF(Registro_Compras!$M$25="","63",Registro_Compras!$M$25)))</f>
        <v/>
      </c>
      <c r="D194">
        <f>IF(OR(Registro_Compras!$C$25="",Registro_Compras!$O$25=""),"",IF(Registro_Compras!$F$25="NOTA DE CREDITO","Cuentas por Pagar Comerciales - Terceros (Emitidas)",IF(Registro_Compras!$F$25="RHE","Honorarios Profesionales - Servicios de Terceros","Gastos de Servicios Prestados por Terceros")))</f>
        <v/>
      </c>
      <c r="E194" s="20">
        <f>IF($C194="","",IF(Registro_Compras!$F$25="NOTA DE CREDITO",ABS(Registro_Compras!$O$25),IF(Registro_Compras!$F$25="RHE",ROUND(Registro_Compras!$L$25*Registro_Compras!$N$25,2),ROUND(Registro_Compras!$J$25*Registro_Compras!$N$25,2))))</f>
        <v/>
      </c>
      <c r="F194" s="20">
        <f>""</f>
        <v/>
      </c>
      <c r="G194">
        <f>IF($C194="","",IF(Registro_Compras!$F$25="NOTA DE CREDITO","Por la nota de credito "&amp;Registro_Compras!$C$25&amp;" de "&amp;Registro_Compras!$E$25&amp;" [PATRON POR CONFIRMAR CON CONTADOR]",IF(Registro_Compras!$F$25="RHE","Por el registro del recibo por honorarios "&amp;Registro_Compras!$C$25&amp;" de "&amp;Registro_Compras!$E$25&amp;" [PATRON POR CONFIRMAR CON CONTADOR]","Por el registro de la factura "&amp;Registro_Compras!$C$25&amp;" de "&amp;Registro_Compras!$E$25)))</f>
        <v/>
      </c>
      <c r="H194">
        <f>IF($C194="","",Registro_Compras!$C$25)</f>
        <v/>
      </c>
    </row>
    <row r="195">
      <c r="A195" s="25">
        <f>IF($C195="","",Registro_Compras!$B$25)</f>
        <v/>
      </c>
      <c r="B195">
        <f>IF($C195="","","C"&amp;TEXT(INT((ROW()-5)/9)+1,"000")&amp;"-1")</f>
        <v/>
      </c>
      <c r="C195">
        <f>IF(OR(Registro_Compras!$C$25="",Registro_Compras!$O$25=""),"",IF(Registro_Compras!$F$25="RHE",IF(Registro_Compras!$V$25=0,"","40172"),IF(Registro_Compras!$F$25="NOTA DE CREDITO",IF(Registro_Compras!$M$25="","63",Registro_Compras!$M$25),IF(Registro_Compras!$K$25=0,"","40111"))))</f>
        <v/>
      </c>
      <c r="D195">
        <f>IF(OR(Registro_Compras!$C$25="",Registro_Compras!$O$25=""),"",IF(Registro_Compras!$F$25="RHE","Retencion Renta 4ta Categoria por Pagar",IF(Registro_Compras!$F$25="NOTA DE CREDITO","Gastos de Servicios Prestados por Terceros","IGV - Cuenta Propia (Credito Fiscal)")))</f>
        <v/>
      </c>
      <c r="E195" s="20">
        <f>IF($C195="","",IF(Registro_Compras!$F$25="FACTURA",ROUND(Registro_Compras!$K$25*Registro_Compras!$N$25,2),""))</f>
        <v/>
      </c>
      <c r="F195" s="20">
        <f>IF($C195="","",IF(Registro_Compras!$F$25="RHE",ROUND(Registro_Compras!$V$25*Registro_Compras!$N$25,2),IF(Registro_Compras!$F$25="NOTA DE CREDITO",ROUND(ABS(Registro_Compras!$J$25*Registro_Compras!$N$25),2),"")))</f>
        <v/>
      </c>
      <c r="G195">
        <f>IF($C195="","",IF(Registro_Compras!$F$25="NOTA DE CREDITO","Por la nota de credito "&amp;Registro_Compras!$C$25&amp;" de "&amp;Registro_Compras!$E$25&amp;" [PATRON POR CONFIRMAR CON CONTADOR]",IF(Registro_Compras!$F$25="RHE","Por el registro del recibo por honorarios "&amp;Registro_Compras!$C$25&amp;" de "&amp;Registro_Compras!$E$25&amp;" [PATRON POR CONFIRMAR CON CONTADOR]","Por el registro de la factura "&amp;Registro_Compras!$C$25&amp;" de "&amp;Registro_Compras!$E$25)))</f>
        <v/>
      </c>
      <c r="H195">
        <f>IF($C195="","",Registro_Compras!$C$25)</f>
        <v/>
      </c>
    </row>
    <row r="196">
      <c r="A196" s="25">
        <f>IF($C196="","",Registro_Compras!$B$25)</f>
        <v/>
      </c>
      <c r="B196">
        <f>IF($C196="","","C"&amp;TEXT(INT((ROW()-5)/9)+1,"000")&amp;"-1")</f>
        <v/>
      </c>
      <c r="C196">
        <f>IF(OR(Registro_Compras!$C$25="",Registro_Compras!$O$25=""),"",IF(Registro_Compras!$F$25="NOTA DE CREDITO",IF(Registro_Compras!$K$25=0,"","40111"),"4212"))</f>
        <v/>
      </c>
      <c r="D196">
        <f>IF(OR(Registro_Compras!$C$25="",Registro_Compras!$O$25=""),"",IF(Registro_Compras!$F$25="NOTA DE CREDITO","IGV - Cuenta Propia (Credito Fiscal)","Cuentas por Pagar Comerciales - Terceros (Emitidas)"))</f>
        <v/>
      </c>
      <c r="E196" s="20">
        <f>""</f>
        <v/>
      </c>
      <c r="F196" s="20">
        <f>IF($C196="","",IF(Registro_Compras!$F$25="NOTA DE CREDITO",ROUND(ABS(Registro_Compras!$K$25*Registro_Compras!$N$25),2),IF(Registro_Compras!$F$25="RHE",(ROUND(Registro_Compras!$L$25*Registro_Compras!$N$25,2)-ROUND(Registro_Compras!$V$25*Registro_Compras!$N$25,2)),Registro_Compras!$O$25)))</f>
        <v/>
      </c>
      <c r="G196">
        <f>IF($C196="","",IF(Registro_Compras!$F$25="NOTA DE CREDITO","Por la nota de credito "&amp;Registro_Compras!$C$25&amp;" de "&amp;Registro_Compras!$E$25&amp;" [PATRON POR CONFIRMAR CON CONTADOR]",IF(Registro_Compras!$F$25="RHE","Por el registro del recibo por honorarios "&amp;Registro_Compras!$C$25&amp;" de "&amp;Registro_Compras!$E$25&amp;" [PATRON POR CONFIRMAR CON CONTADOR]","Por el registro de la factura "&amp;Registro_Compras!$C$25&amp;" de "&amp;Registro_Compras!$E$25)))</f>
        <v/>
      </c>
      <c r="H196">
        <f>IF($C196="","",Registro_Compras!$C$25)</f>
        <v/>
      </c>
    </row>
    <row r="197">
      <c r="A197" s="25">
        <f>IF($C197="","",Registro_Compras!$B$25)</f>
        <v/>
      </c>
      <c r="B197">
        <f>IF($C197="","","C"&amp;TEXT(INT((ROW()-5)/9)+1,"000")&amp;"-2")</f>
        <v/>
      </c>
      <c r="C197">
        <f>IF(OR(Registro_Compras!$C$25="",Registro_Compras!$O$25=""),"",IF(Registro_Compras!$AB$25="ADMINISTRATIVO","94","95"))</f>
        <v/>
      </c>
      <c r="D197">
        <f>IF(OR(Registro_Compras!$C$25="",Registro_Compras!$O$25=""),"",IF(Registro_Compras!$AB$25="ADMINISTRATIVO","Gastos Administrativos","Gastos de Venta y Operacion"))</f>
        <v/>
      </c>
      <c r="E197" s="20">
        <f>IF($C197="","",IF(Registro_Compras!$F$25="NOTA DE CREDITO","",IF(Registro_Compras!$F$25="RHE",ROUND(Registro_Compras!$L$25*Registro_Compras!$N$25,2),ROUND(Registro_Compras!$J$25*Registro_Compras!$N$25,2))))</f>
        <v/>
      </c>
      <c r="F197" s="20">
        <f>IF($C197="","",IF(Registro_Compras!$F$25="NOTA DE CREDITO",ROUND(ABS(Registro_Compras!$J$25*Registro_Compras!$N$25),2),""))</f>
        <v/>
      </c>
      <c r="G197">
        <f>IF($C197="","","Por el destino del gasto")</f>
        <v/>
      </c>
      <c r="H197">
        <f>IF($C197="","",Registro_Compras!$C$25)</f>
        <v/>
      </c>
    </row>
    <row r="198">
      <c r="A198" s="25">
        <f>IF($C198="","",Registro_Compras!$B$25)</f>
        <v/>
      </c>
      <c r="B198">
        <f>IF($C198="","","C"&amp;TEXT(INT((ROW()-5)/9)+1,"000")&amp;"-2")</f>
        <v/>
      </c>
      <c r="C198">
        <f>IF(OR(Registro_Compras!$C$25="",Registro_Compras!$O$25=""),"","79/791")</f>
        <v/>
      </c>
      <c r="D198">
        <f>IF(OR(Registro_Compras!$C$25="",Registro_Compras!$O$25=""),"","Cargas Imputables a Cuentas de Costos y Gastos")</f>
        <v/>
      </c>
      <c r="E198" s="20">
        <f>IF($C198="","",IF(Registro_Compras!$F$25="NOTA DE CREDITO",ROUND(ABS(Registro_Compras!$J$25*Registro_Compras!$N$25),2),""))</f>
        <v/>
      </c>
      <c r="F198" s="20">
        <f>IF($C198="","",IF(Registro_Compras!$F$25="NOTA DE CREDITO","",IF(Registro_Compras!$F$25="RHE",ROUND(Registro_Compras!$L$25*Registro_Compras!$N$25,2),ROUND(Registro_Compras!$J$25*Registro_Compras!$N$25,2))))</f>
        <v/>
      </c>
      <c r="G198">
        <f>IF($C198="","","Por el destino del gasto")</f>
        <v/>
      </c>
      <c r="H198">
        <f>IF($C198="","",Registro_Compras!$C$25)</f>
        <v/>
      </c>
    </row>
    <row r="199">
      <c r="A199" s="25">
        <f>IF($C199="","",Registro_Compras!$X$25)</f>
        <v/>
      </c>
      <c r="B199">
        <f>IF($C199="","","C"&amp;TEXT(INT((ROW()-5)/9)+1,"000")&amp;"-3")</f>
        <v/>
      </c>
      <c r="C199">
        <f>IF(OR(Registro_Compras!$C$25="",Registro_Compras!$O$25="",Registro_Compras!$R$25&lt;&gt;"SI",Registro_Compras!$X$25=""),"","4212")</f>
        <v/>
      </c>
      <c r="D199">
        <f>IF(OR(Registro_Compras!$C$25="",Registro_Compras!$O$25=""),"","Cuentas por Pagar Comerciales - Terceros")</f>
        <v/>
      </c>
      <c r="E199" s="20">
        <f>IF($C199="","",Registro_Compras!$S$25)</f>
        <v/>
      </c>
      <c r="F199" s="20">
        <f>""</f>
        <v/>
      </c>
      <c r="G199">
        <f>IF($C199="","","Por el deposito de la detraccion en el Banco de la Nacion")</f>
        <v/>
      </c>
      <c r="H199">
        <f>IF($C199="","",Registro_Compras!$C$25)</f>
        <v/>
      </c>
    </row>
    <row r="200">
      <c r="A200" s="25">
        <f>IF($C200="","",Registro_Compras!$X$25)</f>
        <v/>
      </c>
      <c r="B200">
        <f>IF($C200="","","C"&amp;TEXT(INT((ROW()-5)/9)+1,"000")&amp;"-3")</f>
        <v/>
      </c>
      <c r="C200">
        <f>IF(OR(Registro_Compras!$C$25="",Registro_Compras!$O$25="",Registro_Compras!$R$25&lt;&gt;"SI",Registro_Compras!$X$25=""),"","10413")</f>
        <v/>
      </c>
      <c r="D200">
        <f>IF(OR(Registro_Compras!$C$25="",Registro_Compras!$O$25=""),"","Efectivo y Equivalentes - Cta. Cte. Operativa")</f>
        <v/>
      </c>
      <c r="E200" s="20">
        <f>""</f>
        <v/>
      </c>
      <c r="F200" s="20">
        <f>IF($C200="","",Registro_Compras!$S$25)</f>
        <v/>
      </c>
      <c r="G200">
        <f>IF($C200="","","Por el deposito de la detraccion en el Banco de la Nacion")</f>
        <v/>
      </c>
      <c r="H200">
        <f>IF($C200="","",Registro_Compras!$C$25)</f>
        <v/>
      </c>
    </row>
    <row r="201">
      <c r="A201" s="25">
        <f>IF($C201="","",Registro_Compras!$Y$25)</f>
        <v/>
      </c>
      <c r="B201">
        <f>IF($C201="","","C"&amp;TEXT(INT((ROW()-5)/9)+1,"000")&amp;"-4")</f>
        <v/>
      </c>
      <c r="C201">
        <f>IF(OR(Registro_Compras!$C$25="",Registro_Compras!$O$25="",Registro_Compras!$Y$25="",Registro_Compras!$F$25="NOTA DE CREDITO"),"","4212")</f>
        <v/>
      </c>
      <c r="D201">
        <f>IF(OR(Registro_Compras!$C$25="",Registro_Compras!$O$25=""),"","Cuentas por Pagar Comerciales - Terceros")</f>
        <v/>
      </c>
      <c r="E201" s="20">
        <f>IF($C201="","",IF(Registro_Compras!$F$25="RHE",(ROUND(Registro_Compras!$L$25*Registro_Compras!$N$25,2)-ROUND(Registro_Compras!$V$25*Registro_Compras!$N$25,2)),ROUND(Registro_Compras!$O$25-Registro_Compras!$S$25,2)))</f>
        <v/>
      </c>
      <c r="F201" s="20">
        <f>""</f>
        <v/>
      </c>
      <c r="G201">
        <f>IF($C201="","","Por la cancelacion del saldo al proveedor")</f>
        <v/>
      </c>
      <c r="H201">
        <f>IF($C201="","",Registro_Compras!$C$25)</f>
        <v/>
      </c>
    </row>
    <row r="202">
      <c r="A202" s="25">
        <f>IF($C202="","",Registro_Compras!$Y$25)</f>
        <v/>
      </c>
      <c r="B202">
        <f>IF($C202="","","C"&amp;TEXT(INT((ROW()-5)/9)+1,"000")&amp;"-4")</f>
        <v/>
      </c>
      <c r="C202">
        <f>IF(OR(Registro_Compras!$C$25="",Registro_Compras!$O$25="",Registro_Compras!$Y$25="",Registro_Compras!$F$25="NOTA DE CREDITO"),"","10413")</f>
        <v/>
      </c>
      <c r="D202">
        <f>IF(OR(Registro_Compras!$C$25="",Registro_Compras!$O$25=""),"","Efectivo y Equivalentes - Cta. Cte. Operativa")</f>
        <v/>
      </c>
      <c r="E202" s="20">
        <f>""</f>
        <v/>
      </c>
      <c r="F202" s="20">
        <f>IF($C202="","",IF(Registro_Compras!$F$25="RHE",(ROUND(Registro_Compras!$L$25*Registro_Compras!$N$25,2)-ROUND(Registro_Compras!$V$25*Registro_Compras!$N$25,2)),ROUND(Registro_Compras!$O$25-Registro_Compras!$S$25,2)))</f>
        <v/>
      </c>
      <c r="G202">
        <f>IF($C202="","","Por la cancelacion del saldo al proveedor")</f>
        <v/>
      </c>
      <c r="H202">
        <f>IF($C202="","",Registro_Compras!$C$25)</f>
        <v/>
      </c>
    </row>
    <row r="203">
      <c r="A203" s="25">
        <f>IF($C203="","",Registro_Compras!$B$26)</f>
        <v/>
      </c>
      <c r="B203">
        <f>IF($C203="","","C"&amp;TEXT(INT((ROW()-5)/9)+1,"000")&amp;"-1")</f>
        <v/>
      </c>
      <c r="C203">
        <f>IF(OR(Registro_Compras!$C$26="",Registro_Compras!$O$26=""),"",IF(Registro_Compras!$F$26="NOTA DE CREDITO","4212",IF(Registro_Compras!$M$26="","63",Registro_Compras!$M$26)))</f>
        <v/>
      </c>
      <c r="D203">
        <f>IF(OR(Registro_Compras!$C$26="",Registro_Compras!$O$26=""),"",IF(Registro_Compras!$F$26="NOTA DE CREDITO","Cuentas por Pagar Comerciales - Terceros (Emitidas)",IF(Registro_Compras!$F$26="RHE","Honorarios Profesionales - Servicios de Terceros","Gastos de Servicios Prestados por Terceros")))</f>
        <v/>
      </c>
      <c r="E203" s="20">
        <f>IF($C203="","",IF(Registro_Compras!$F$26="NOTA DE CREDITO",ABS(Registro_Compras!$O$26),IF(Registro_Compras!$F$26="RHE",ROUND(Registro_Compras!$L$26*Registro_Compras!$N$26,2),ROUND(Registro_Compras!$J$26*Registro_Compras!$N$26,2))))</f>
        <v/>
      </c>
      <c r="F203" s="20">
        <f>""</f>
        <v/>
      </c>
      <c r="G203">
        <f>IF($C203="","",IF(Registro_Compras!$F$26="NOTA DE CREDITO","Por la nota de credito "&amp;Registro_Compras!$C$26&amp;" de "&amp;Registro_Compras!$E$26&amp;" [PATRON POR CONFIRMAR CON CONTADOR]",IF(Registro_Compras!$F$26="RHE","Por el registro del recibo por honorarios "&amp;Registro_Compras!$C$26&amp;" de "&amp;Registro_Compras!$E$26&amp;" [PATRON POR CONFIRMAR CON CONTADOR]","Por el registro de la factura "&amp;Registro_Compras!$C$26&amp;" de "&amp;Registro_Compras!$E$26)))</f>
        <v/>
      </c>
      <c r="H203">
        <f>IF($C203="","",Registro_Compras!$C$26)</f>
        <v/>
      </c>
    </row>
    <row r="204">
      <c r="A204" s="25">
        <f>IF($C204="","",Registro_Compras!$B$26)</f>
        <v/>
      </c>
      <c r="B204">
        <f>IF($C204="","","C"&amp;TEXT(INT((ROW()-5)/9)+1,"000")&amp;"-1")</f>
        <v/>
      </c>
      <c r="C204">
        <f>IF(OR(Registro_Compras!$C$26="",Registro_Compras!$O$26=""),"",IF(Registro_Compras!$F$26="RHE",IF(Registro_Compras!$V$26=0,"","40172"),IF(Registro_Compras!$F$26="NOTA DE CREDITO",IF(Registro_Compras!$M$26="","63",Registro_Compras!$M$26),IF(Registro_Compras!$K$26=0,"","40111"))))</f>
        <v/>
      </c>
      <c r="D204">
        <f>IF(OR(Registro_Compras!$C$26="",Registro_Compras!$O$26=""),"",IF(Registro_Compras!$F$26="RHE","Retencion Renta 4ta Categoria por Pagar",IF(Registro_Compras!$F$26="NOTA DE CREDITO","Gastos de Servicios Prestados por Terceros","IGV - Cuenta Propia (Credito Fiscal)")))</f>
        <v/>
      </c>
      <c r="E204" s="20">
        <f>IF($C204="","",IF(Registro_Compras!$F$26="FACTURA",ROUND(Registro_Compras!$K$26*Registro_Compras!$N$26,2),""))</f>
        <v/>
      </c>
      <c r="F204" s="20">
        <f>IF($C204="","",IF(Registro_Compras!$F$26="RHE",ROUND(Registro_Compras!$V$26*Registro_Compras!$N$26,2),IF(Registro_Compras!$F$26="NOTA DE CREDITO",ROUND(ABS(Registro_Compras!$J$26*Registro_Compras!$N$26),2),"")))</f>
        <v/>
      </c>
      <c r="G204">
        <f>IF($C204="","",IF(Registro_Compras!$F$26="NOTA DE CREDITO","Por la nota de credito "&amp;Registro_Compras!$C$26&amp;" de "&amp;Registro_Compras!$E$26&amp;" [PATRON POR CONFIRMAR CON CONTADOR]",IF(Registro_Compras!$F$26="RHE","Por el registro del recibo por honorarios "&amp;Registro_Compras!$C$26&amp;" de "&amp;Registro_Compras!$E$26&amp;" [PATRON POR CONFIRMAR CON CONTADOR]","Por el registro de la factura "&amp;Registro_Compras!$C$26&amp;" de "&amp;Registro_Compras!$E$26)))</f>
        <v/>
      </c>
      <c r="H204">
        <f>IF($C204="","",Registro_Compras!$C$26)</f>
        <v/>
      </c>
    </row>
    <row r="205">
      <c r="A205" s="25">
        <f>IF($C205="","",Registro_Compras!$B$26)</f>
        <v/>
      </c>
      <c r="B205">
        <f>IF($C205="","","C"&amp;TEXT(INT((ROW()-5)/9)+1,"000")&amp;"-1")</f>
        <v/>
      </c>
      <c r="C205">
        <f>IF(OR(Registro_Compras!$C$26="",Registro_Compras!$O$26=""),"",IF(Registro_Compras!$F$26="NOTA DE CREDITO",IF(Registro_Compras!$K$26=0,"","40111"),"4212"))</f>
        <v/>
      </c>
      <c r="D205">
        <f>IF(OR(Registro_Compras!$C$26="",Registro_Compras!$O$26=""),"",IF(Registro_Compras!$F$26="NOTA DE CREDITO","IGV - Cuenta Propia (Credito Fiscal)","Cuentas por Pagar Comerciales - Terceros (Emitidas)"))</f>
        <v/>
      </c>
      <c r="E205" s="20">
        <f>""</f>
        <v/>
      </c>
      <c r="F205" s="20">
        <f>IF($C205="","",IF(Registro_Compras!$F$26="NOTA DE CREDITO",ROUND(ABS(Registro_Compras!$K$26*Registro_Compras!$N$26),2),IF(Registro_Compras!$F$26="RHE",(ROUND(Registro_Compras!$L$26*Registro_Compras!$N$26,2)-ROUND(Registro_Compras!$V$26*Registro_Compras!$N$26,2)),Registro_Compras!$O$26)))</f>
        <v/>
      </c>
      <c r="G205">
        <f>IF($C205="","",IF(Registro_Compras!$F$26="NOTA DE CREDITO","Por la nota de credito "&amp;Registro_Compras!$C$26&amp;" de "&amp;Registro_Compras!$E$26&amp;" [PATRON POR CONFIRMAR CON CONTADOR]",IF(Registro_Compras!$F$26="RHE","Por el registro del recibo por honorarios "&amp;Registro_Compras!$C$26&amp;" de "&amp;Registro_Compras!$E$26&amp;" [PATRON POR CONFIRMAR CON CONTADOR]","Por el registro de la factura "&amp;Registro_Compras!$C$26&amp;" de "&amp;Registro_Compras!$E$26)))</f>
        <v/>
      </c>
      <c r="H205">
        <f>IF($C205="","",Registro_Compras!$C$26)</f>
        <v/>
      </c>
    </row>
    <row r="206">
      <c r="A206" s="25">
        <f>IF($C206="","",Registro_Compras!$B$26)</f>
        <v/>
      </c>
      <c r="B206">
        <f>IF($C206="","","C"&amp;TEXT(INT((ROW()-5)/9)+1,"000")&amp;"-2")</f>
        <v/>
      </c>
      <c r="C206">
        <f>IF(OR(Registro_Compras!$C$26="",Registro_Compras!$O$26=""),"",IF(Registro_Compras!$AB$26="ADMINISTRATIVO","94","95"))</f>
        <v/>
      </c>
      <c r="D206">
        <f>IF(OR(Registro_Compras!$C$26="",Registro_Compras!$O$26=""),"",IF(Registro_Compras!$AB$26="ADMINISTRATIVO","Gastos Administrativos","Gastos de Venta y Operacion"))</f>
        <v/>
      </c>
      <c r="E206" s="20">
        <f>IF($C206="","",IF(Registro_Compras!$F$26="NOTA DE CREDITO","",IF(Registro_Compras!$F$26="RHE",ROUND(Registro_Compras!$L$26*Registro_Compras!$N$26,2),ROUND(Registro_Compras!$J$26*Registro_Compras!$N$26,2))))</f>
        <v/>
      </c>
      <c r="F206" s="20">
        <f>IF($C206="","",IF(Registro_Compras!$F$26="NOTA DE CREDITO",ROUND(ABS(Registro_Compras!$J$26*Registro_Compras!$N$26),2),""))</f>
        <v/>
      </c>
      <c r="G206">
        <f>IF($C206="","","Por el destino del gasto")</f>
        <v/>
      </c>
      <c r="H206">
        <f>IF($C206="","",Registro_Compras!$C$26)</f>
        <v/>
      </c>
    </row>
    <row r="207">
      <c r="A207" s="25">
        <f>IF($C207="","",Registro_Compras!$B$26)</f>
        <v/>
      </c>
      <c r="B207">
        <f>IF($C207="","","C"&amp;TEXT(INT((ROW()-5)/9)+1,"000")&amp;"-2")</f>
        <v/>
      </c>
      <c r="C207">
        <f>IF(OR(Registro_Compras!$C$26="",Registro_Compras!$O$26=""),"","79/791")</f>
        <v/>
      </c>
      <c r="D207">
        <f>IF(OR(Registro_Compras!$C$26="",Registro_Compras!$O$26=""),"","Cargas Imputables a Cuentas de Costos y Gastos")</f>
        <v/>
      </c>
      <c r="E207" s="20">
        <f>IF($C207="","",IF(Registro_Compras!$F$26="NOTA DE CREDITO",ROUND(ABS(Registro_Compras!$J$26*Registro_Compras!$N$26),2),""))</f>
        <v/>
      </c>
      <c r="F207" s="20">
        <f>IF($C207="","",IF(Registro_Compras!$F$26="NOTA DE CREDITO","",IF(Registro_Compras!$F$26="RHE",ROUND(Registro_Compras!$L$26*Registro_Compras!$N$26,2),ROUND(Registro_Compras!$J$26*Registro_Compras!$N$26,2))))</f>
        <v/>
      </c>
      <c r="G207">
        <f>IF($C207="","","Por el destino del gasto")</f>
        <v/>
      </c>
      <c r="H207">
        <f>IF($C207="","",Registro_Compras!$C$26)</f>
        <v/>
      </c>
    </row>
    <row r="208">
      <c r="A208" s="25">
        <f>IF($C208="","",Registro_Compras!$X$26)</f>
        <v/>
      </c>
      <c r="B208">
        <f>IF($C208="","","C"&amp;TEXT(INT((ROW()-5)/9)+1,"000")&amp;"-3")</f>
        <v/>
      </c>
      <c r="C208">
        <f>IF(OR(Registro_Compras!$C$26="",Registro_Compras!$O$26="",Registro_Compras!$R$26&lt;&gt;"SI",Registro_Compras!$X$26=""),"","4212")</f>
        <v/>
      </c>
      <c r="D208">
        <f>IF(OR(Registro_Compras!$C$26="",Registro_Compras!$O$26=""),"","Cuentas por Pagar Comerciales - Terceros")</f>
        <v/>
      </c>
      <c r="E208" s="20">
        <f>IF($C208="","",Registro_Compras!$S$26)</f>
        <v/>
      </c>
      <c r="F208" s="20">
        <f>""</f>
        <v/>
      </c>
      <c r="G208">
        <f>IF($C208="","","Por el deposito de la detraccion en el Banco de la Nacion")</f>
        <v/>
      </c>
      <c r="H208">
        <f>IF($C208="","",Registro_Compras!$C$26)</f>
        <v/>
      </c>
    </row>
    <row r="209">
      <c r="A209" s="25">
        <f>IF($C209="","",Registro_Compras!$X$26)</f>
        <v/>
      </c>
      <c r="B209">
        <f>IF($C209="","","C"&amp;TEXT(INT((ROW()-5)/9)+1,"000")&amp;"-3")</f>
        <v/>
      </c>
      <c r="C209">
        <f>IF(OR(Registro_Compras!$C$26="",Registro_Compras!$O$26="",Registro_Compras!$R$26&lt;&gt;"SI",Registro_Compras!$X$26=""),"","10413")</f>
        <v/>
      </c>
      <c r="D209">
        <f>IF(OR(Registro_Compras!$C$26="",Registro_Compras!$O$26=""),"","Efectivo y Equivalentes - Cta. Cte. Operativa")</f>
        <v/>
      </c>
      <c r="E209" s="20">
        <f>""</f>
        <v/>
      </c>
      <c r="F209" s="20">
        <f>IF($C209="","",Registro_Compras!$S$26)</f>
        <v/>
      </c>
      <c r="G209">
        <f>IF($C209="","","Por el deposito de la detraccion en el Banco de la Nacion")</f>
        <v/>
      </c>
      <c r="H209">
        <f>IF($C209="","",Registro_Compras!$C$26)</f>
        <v/>
      </c>
    </row>
    <row r="210">
      <c r="A210" s="25">
        <f>IF($C210="","",Registro_Compras!$Y$26)</f>
        <v/>
      </c>
      <c r="B210">
        <f>IF($C210="","","C"&amp;TEXT(INT((ROW()-5)/9)+1,"000")&amp;"-4")</f>
        <v/>
      </c>
      <c r="C210">
        <f>IF(OR(Registro_Compras!$C$26="",Registro_Compras!$O$26="",Registro_Compras!$Y$26="",Registro_Compras!$F$26="NOTA DE CREDITO"),"","4212")</f>
        <v/>
      </c>
      <c r="D210">
        <f>IF(OR(Registro_Compras!$C$26="",Registro_Compras!$O$26=""),"","Cuentas por Pagar Comerciales - Terceros")</f>
        <v/>
      </c>
      <c r="E210" s="20">
        <f>IF($C210="","",IF(Registro_Compras!$F$26="RHE",(ROUND(Registro_Compras!$L$26*Registro_Compras!$N$26,2)-ROUND(Registro_Compras!$V$26*Registro_Compras!$N$26,2)),ROUND(Registro_Compras!$O$26-Registro_Compras!$S$26,2)))</f>
        <v/>
      </c>
      <c r="F210" s="20">
        <f>""</f>
        <v/>
      </c>
      <c r="G210">
        <f>IF($C210="","","Por la cancelacion del saldo al proveedor")</f>
        <v/>
      </c>
      <c r="H210">
        <f>IF($C210="","",Registro_Compras!$C$26)</f>
        <v/>
      </c>
    </row>
    <row r="211">
      <c r="A211" s="25">
        <f>IF($C211="","",Registro_Compras!$Y$26)</f>
        <v/>
      </c>
      <c r="B211">
        <f>IF($C211="","","C"&amp;TEXT(INT((ROW()-5)/9)+1,"000")&amp;"-4")</f>
        <v/>
      </c>
      <c r="C211">
        <f>IF(OR(Registro_Compras!$C$26="",Registro_Compras!$O$26="",Registro_Compras!$Y$26="",Registro_Compras!$F$26="NOTA DE CREDITO"),"","10413")</f>
        <v/>
      </c>
      <c r="D211">
        <f>IF(OR(Registro_Compras!$C$26="",Registro_Compras!$O$26=""),"","Efectivo y Equivalentes - Cta. Cte. Operativa")</f>
        <v/>
      </c>
      <c r="E211" s="20">
        <f>""</f>
        <v/>
      </c>
      <c r="F211" s="20">
        <f>IF($C211="","",IF(Registro_Compras!$F$26="RHE",(ROUND(Registro_Compras!$L$26*Registro_Compras!$N$26,2)-ROUND(Registro_Compras!$V$26*Registro_Compras!$N$26,2)),ROUND(Registro_Compras!$O$26-Registro_Compras!$S$26,2)))</f>
        <v/>
      </c>
      <c r="G211">
        <f>IF($C211="","","Por la cancelacion del saldo al proveedor")</f>
        <v/>
      </c>
      <c r="H211">
        <f>IF($C211="","",Registro_Compras!$C$26)</f>
        <v/>
      </c>
    </row>
    <row r="212">
      <c r="A212" s="25">
        <f>IF($C212="","",Registro_Compras!$B$27)</f>
        <v/>
      </c>
      <c r="B212">
        <f>IF($C212="","","C"&amp;TEXT(INT((ROW()-5)/9)+1,"000")&amp;"-1")</f>
        <v/>
      </c>
      <c r="C212">
        <f>IF(OR(Registro_Compras!$C$27="",Registro_Compras!$O$27=""),"",IF(Registro_Compras!$F$27="NOTA DE CREDITO","4212",IF(Registro_Compras!$M$27="","63",Registro_Compras!$M$27)))</f>
        <v/>
      </c>
      <c r="D212">
        <f>IF(OR(Registro_Compras!$C$27="",Registro_Compras!$O$27=""),"",IF(Registro_Compras!$F$27="NOTA DE CREDITO","Cuentas por Pagar Comerciales - Terceros (Emitidas)",IF(Registro_Compras!$F$27="RHE","Honorarios Profesionales - Servicios de Terceros","Gastos de Servicios Prestados por Terceros")))</f>
        <v/>
      </c>
      <c r="E212" s="20">
        <f>IF($C212="","",IF(Registro_Compras!$F$27="NOTA DE CREDITO",ABS(Registro_Compras!$O$27),IF(Registro_Compras!$F$27="RHE",ROUND(Registro_Compras!$L$27*Registro_Compras!$N$27,2),ROUND(Registro_Compras!$J$27*Registro_Compras!$N$27,2))))</f>
        <v/>
      </c>
      <c r="F212" s="20">
        <f>""</f>
        <v/>
      </c>
      <c r="G212">
        <f>IF($C212="","",IF(Registro_Compras!$F$27="NOTA DE CREDITO","Por la nota de credito "&amp;Registro_Compras!$C$27&amp;" de "&amp;Registro_Compras!$E$27&amp;" [PATRON POR CONFIRMAR CON CONTADOR]",IF(Registro_Compras!$F$27="RHE","Por el registro del recibo por honorarios "&amp;Registro_Compras!$C$27&amp;" de "&amp;Registro_Compras!$E$27&amp;" [PATRON POR CONFIRMAR CON CONTADOR]","Por el registro de la factura "&amp;Registro_Compras!$C$27&amp;" de "&amp;Registro_Compras!$E$27)))</f>
        <v/>
      </c>
      <c r="H212">
        <f>IF($C212="","",Registro_Compras!$C$27)</f>
        <v/>
      </c>
    </row>
    <row r="213">
      <c r="A213" s="25">
        <f>IF($C213="","",Registro_Compras!$B$27)</f>
        <v/>
      </c>
      <c r="B213">
        <f>IF($C213="","","C"&amp;TEXT(INT((ROW()-5)/9)+1,"000")&amp;"-1")</f>
        <v/>
      </c>
      <c r="C213">
        <f>IF(OR(Registro_Compras!$C$27="",Registro_Compras!$O$27=""),"",IF(Registro_Compras!$F$27="RHE",IF(Registro_Compras!$V$27=0,"","40172"),IF(Registro_Compras!$F$27="NOTA DE CREDITO",IF(Registro_Compras!$M$27="","63",Registro_Compras!$M$27),IF(Registro_Compras!$K$27=0,"","40111"))))</f>
        <v/>
      </c>
      <c r="D213">
        <f>IF(OR(Registro_Compras!$C$27="",Registro_Compras!$O$27=""),"",IF(Registro_Compras!$F$27="RHE","Retencion Renta 4ta Categoria por Pagar",IF(Registro_Compras!$F$27="NOTA DE CREDITO","Gastos de Servicios Prestados por Terceros","IGV - Cuenta Propia (Credito Fiscal)")))</f>
        <v/>
      </c>
      <c r="E213" s="20">
        <f>IF($C213="","",IF(Registro_Compras!$F$27="FACTURA",ROUND(Registro_Compras!$K$27*Registro_Compras!$N$27,2),""))</f>
        <v/>
      </c>
      <c r="F213" s="20">
        <f>IF($C213="","",IF(Registro_Compras!$F$27="RHE",ROUND(Registro_Compras!$V$27*Registro_Compras!$N$27,2),IF(Registro_Compras!$F$27="NOTA DE CREDITO",ROUND(ABS(Registro_Compras!$J$27*Registro_Compras!$N$27),2),"")))</f>
        <v/>
      </c>
      <c r="G213">
        <f>IF($C213="","",IF(Registro_Compras!$F$27="NOTA DE CREDITO","Por la nota de credito "&amp;Registro_Compras!$C$27&amp;" de "&amp;Registro_Compras!$E$27&amp;" [PATRON POR CONFIRMAR CON CONTADOR]",IF(Registro_Compras!$F$27="RHE","Por el registro del recibo por honorarios "&amp;Registro_Compras!$C$27&amp;" de "&amp;Registro_Compras!$E$27&amp;" [PATRON POR CONFIRMAR CON CONTADOR]","Por el registro de la factura "&amp;Registro_Compras!$C$27&amp;" de "&amp;Registro_Compras!$E$27)))</f>
        <v/>
      </c>
      <c r="H213">
        <f>IF($C213="","",Registro_Compras!$C$27)</f>
        <v/>
      </c>
    </row>
    <row r="214">
      <c r="A214" s="25">
        <f>IF($C214="","",Registro_Compras!$B$27)</f>
        <v/>
      </c>
      <c r="B214">
        <f>IF($C214="","","C"&amp;TEXT(INT((ROW()-5)/9)+1,"000")&amp;"-1")</f>
        <v/>
      </c>
      <c r="C214">
        <f>IF(OR(Registro_Compras!$C$27="",Registro_Compras!$O$27=""),"",IF(Registro_Compras!$F$27="NOTA DE CREDITO",IF(Registro_Compras!$K$27=0,"","40111"),"4212"))</f>
        <v/>
      </c>
      <c r="D214">
        <f>IF(OR(Registro_Compras!$C$27="",Registro_Compras!$O$27=""),"",IF(Registro_Compras!$F$27="NOTA DE CREDITO","IGV - Cuenta Propia (Credito Fiscal)","Cuentas por Pagar Comerciales - Terceros (Emitidas)"))</f>
        <v/>
      </c>
      <c r="E214" s="20">
        <f>""</f>
        <v/>
      </c>
      <c r="F214" s="20">
        <f>IF($C214="","",IF(Registro_Compras!$F$27="NOTA DE CREDITO",ROUND(ABS(Registro_Compras!$K$27*Registro_Compras!$N$27),2),IF(Registro_Compras!$F$27="RHE",(ROUND(Registro_Compras!$L$27*Registro_Compras!$N$27,2)-ROUND(Registro_Compras!$V$27*Registro_Compras!$N$27,2)),Registro_Compras!$O$27)))</f>
        <v/>
      </c>
      <c r="G214">
        <f>IF($C214="","",IF(Registro_Compras!$F$27="NOTA DE CREDITO","Por la nota de credito "&amp;Registro_Compras!$C$27&amp;" de "&amp;Registro_Compras!$E$27&amp;" [PATRON POR CONFIRMAR CON CONTADOR]",IF(Registro_Compras!$F$27="RHE","Por el registro del recibo por honorarios "&amp;Registro_Compras!$C$27&amp;" de "&amp;Registro_Compras!$E$27&amp;" [PATRON POR CONFIRMAR CON CONTADOR]","Por el registro de la factura "&amp;Registro_Compras!$C$27&amp;" de "&amp;Registro_Compras!$E$27)))</f>
        <v/>
      </c>
      <c r="H214">
        <f>IF($C214="","",Registro_Compras!$C$27)</f>
        <v/>
      </c>
    </row>
    <row r="215">
      <c r="A215" s="25">
        <f>IF($C215="","",Registro_Compras!$B$27)</f>
        <v/>
      </c>
      <c r="B215">
        <f>IF($C215="","","C"&amp;TEXT(INT((ROW()-5)/9)+1,"000")&amp;"-2")</f>
        <v/>
      </c>
      <c r="C215">
        <f>IF(OR(Registro_Compras!$C$27="",Registro_Compras!$O$27=""),"",IF(Registro_Compras!$AB$27="ADMINISTRATIVO","94","95"))</f>
        <v/>
      </c>
      <c r="D215">
        <f>IF(OR(Registro_Compras!$C$27="",Registro_Compras!$O$27=""),"",IF(Registro_Compras!$AB$27="ADMINISTRATIVO","Gastos Administrativos","Gastos de Venta y Operacion"))</f>
        <v/>
      </c>
      <c r="E215" s="20">
        <f>IF($C215="","",IF(Registro_Compras!$F$27="NOTA DE CREDITO","",IF(Registro_Compras!$F$27="RHE",ROUND(Registro_Compras!$L$27*Registro_Compras!$N$27,2),ROUND(Registro_Compras!$J$27*Registro_Compras!$N$27,2))))</f>
        <v/>
      </c>
      <c r="F215" s="20">
        <f>IF($C215="","",IF(Registro_Compras!$F$27="NOTA DE CREDITO",ROUND(ABS(Registro_Compras!$J$27*Registro_Compras!$N$27),2),""))</f>
        <v/>
      </c>
      <c r="G215">
        <f>IF($C215="","","Por el destino del gasto")</f>
        <v/>
      </c>
      <c r="H215">
        <f>IF($C215="","",Registro_Compras!$C$27)</f>
        <v/>
      </c>
    </row>
    <row r="216">
      <c r="A216" s="25">
        <f>IF($C216="","",Registro_Compras!$B$27)</f>
        <v/>
      </c>
      <c r="B216">
        <f>IF($C216="","","C"&amp;TEXT(INT((ROW()-5)/9)+1,"000")&amp;"-2")</f>
        <v/>
      </c>
      <c r="C216">
        <f>IF(OR(Registro_Compras!$C$27="",Registro_Compras!$O$27=""),"","79/791")</f>
        <v/>
      </c>
      <c r="D216">
        <f>IF(OR(Registro_Compras!$C$27="",Registro_Compras!$O$27=""),"","Cargas Imputables a Cuentas de Costos y Gastos")</f>
        <v/>
      </c>
      <c r="E216" s="20">
        <f>IF($C216="","",IF(Registro_Compras!$F$27="NOTA DE CREDITO",ROUND(ABS(Registro_Compras!$J$27*Registro_Compras!$N$27),2),""))</f>
        <v/>
      </c>
      <c r="F216" s="20">
        <f>IF($C216="","",IF(Registro_Compras!$F$27="NOTA DE CREDITO","",IF(Registro_Compras!$F$27="RHE",ROUND(Registro_Compras!$L$27*Registro_Compras!$N$27,2),ROUND(Registro_Compras!$J$27*Registro_Compras!$N$27,2))))</f>
        <v/>
      </c>
      <c r="G216">
        <f>IF($C216="","","Por el destino del gasto")</f>
        <v/>
      </c>
      <c r="H216">
        <f>IF($C216="","",Registro_Compras!$C$27)</f>
        <v/>
      </c>
    </row>
    <row r="217">
      <c r="A217" s="25">
        <f>IF($C217="","",Registro_Compras!$X$27)</f>
        <v/>
      </c>
      <c r="B217">
        <f>IF($C217="","","C"&amp;TEXT(INT((ROW()-5)/9)+1,"000")&amp;"-3")</f>
        <v/>
      </c>
      <c r="C217">
        <f>IF(OR(Registro_Compras!$C$27="",Registro_Compras!$O$27="",Registro_Compras!$R$27&lt;&gt;"SI",Registro_Compras!$X$27=""),"","4212")</f>
        <v/>
      </c>
      <c r="D217">
        <f>IF(OR(Registro_Compras!$C$27="",Registro_Compras!$O$27=""),"","Cuentas por Pagar Comerciales - Terceros")</f>
        <v/>
      </c>
      <c r="E217" s="20">
        <f>IF($C217="","",Registro_Compras!$S$27)</f>
        <v/>
      </c>
      <c r="F217" s="20">
        <f>""</f>
        <v/>
      </c>
      <c r="G217">
        <f>IF($C217="","","Por el deposito de la detraccion en el Banco de la Nacion")</f>
        <v/>
      </c>
      <c r="H217">
        <f>IF($C217="","",Registro_Compras!$C$27)</f>
        <v/>
      </c>
    </row>
    <row r="218">
      <c r="A218" s="25">
        <f>IF($C218="","",Registro_Compras!$X$27)</f>
        <v/>
      </c>
      <c r="B218">
        <f>IF($C218="","","C"&amp;TEXT(INT((ROW()-5)/9)+1,"000")&amp;"-3")</f>
        <v/>
      </c>
      <c r="C218">
        <f>IF(OR(Registro_Compras!$C$27="",Registro_Compras!$O$27="",Registro_Compras!$R$27&lt;&gt;"SI",Registro_Compras!$X$27=""),"","10413")</f>
        <v/>
      </c>
      <c r="D218">
        <f>IF(OR(Registro_Compras!$C$27="",Registro_Compras!$O$27=""),"","Efectivo y Equivalentes - Cta. Cte. Operativa")</f>
        <v/>
      </c>
      <c r="E218" s="20">
        <f>""</f>
        <v/>
      </c>
      <c r="F218" s="20">
        <f>IF($C218="","",Registro_Compras!$S$27)</f>
        <v/>
      </c>
      <c r="G218">
        <f>IF($C218="","","Por el deposito de la detraccion en el Banco de la Nacion")</f>
        <v/>
      </c>
      <c r="H218">
        <f>IF($C218="","",Registro_Compras!$C$27)</f>
        <v/>
      </c>
    </row>
    <row r="219">
      <c r="A219" s="25">
        <f>IF($C219="","",Registro_Compras!$Y$27)</f>
        <v/>
      </c>
      <c r="B219">
        <f>IF($C219="","","C"&amp;TEXT(INT((ROW()-5)/9)+1,"000")&amp;"-4")</f>
        <v/>
      </c>
      <c r="C219">
        <f>IF(OR(Registro_Compras!$C$27="",Registro_Compras!$O$27="",Registro_Compras!$Y$27="",Registro_Compras!$F$27="NOTA DE CREDITO"),"","4212")</f>
        <v/>
      </c>
      <c r="D219">
        <f>IF(OR(Registro_Compras!$C$27="",Registro_Compras!$O$27=""),"","Cuentas por Pagar Comerciales - Terceros")</f>
        <v/>
      </c>
      <c r="E219" s="20">
        <f>IF($C219="","",IF(Registro_Compras!$F$27="RHE",(ROUND(Registro_Compras!$L$27*Registro_Compras!$N$27,2)-ROUND(Registro_Compras!$V$27*Registro_Compras!$N$27,2)),ROUND(Registro_Compras!$O$27-Registro_Compras!$S$27,2)))</f>
        <v/>
      </c>
      <c r="F219" s="20">
        <f>""</f>
        <v/>
      </c>
      <c r="G219">
        <f>IF($C219="","","Por la cancelacion del saldo al proveedor")</f>
        <v/>
      </c>
      <c r="H219">
        <f>IF($C219="","",Registro_Compras!$C$27)</f>
        <v/>
      </c>
    </row>
    <row r="220">
      <c r="A220" s="25">
        <f>IF($C220="","",Registro_Compras!$Y$27)</f>
        <v/>
      </c>
      <c r="B220">
        <f>IF($C220="","","C"&amp;TEXT(INT((ROW()-5)/9)+1,"000")&amp;"-4")</f>
        <v/>
      </c>
      <c r="C220">
        <f>IF(OR(Registro_Compras!$C$27="",Registro_Compras!$O$27="",Registro_Compras!$Y$27="",Registro_Compras!$F$27="NOTA DE CREDITO"),"","10413")</f>
        <v/>
      </c>
      <c r="D220">
        <f>IF(OR(Registro_Compras!$C$27="",Registro_Compras!$O$27=""),"","Efectivo y Equivalentes - Cta. Cte. Operativa")</f>
        <v/>
      </c>
      <c r="E220" s="20">
        <f>""</f>
        <v/>
      </c>
      <c r="F220" s="20">
        <f>IF($C220="","",IF(Registro_Compras!$F$27="RHE",(ROUND(Registro_Compras!$L$27*Registro_Compras!$N$27,2)-ROUND(Registro_Compras!$V$27*Registro_Compras!$N$27,2)),ROUND(Registro_Compras!$O$27-Registro_Compras!$S$27,2)))</f>
        <v/>
      </c>
      <c r="G220">
        <f>IF($C220="","","Por la cancelacion del saldo al proveedor")</f>
        <v/>
      </c>
      <c r="H220">
        <f>IF($C220="","",Registro_Compras!$C$27)</f>
        <v/>
      </c>
    </row>
    <row r="221">
      <c r="A221" s="25">
        <f>IF($C221="","",Registro_Compras!$B$28)</f>
        <v/>
      </c>
      <c r="B221">
        <f>IF($C221="","","C"&amp;TEXT(INT((ROW()-5)/9)+1,"000")&amp;"-1")</f>
        <v/>
      </c>
      <c r="C221">
        <f>IF(OR(Registro_Compras!$C$28="",Registro_Compras!$O$28=""),"",IF(Registro_Compras!$F$28="NOTA DE CREDITO","4212",IF(Registro_Compras!$M$28="","63",Registro_Compras!$M$28)))</f>
        <v/>
      </c>
      <c r="D221">
        <f>IF(OR(Registro_Compras!$C$28="",Registro_Compras!$O$28=""),"",IF(Registro_Compras!$F$28="NOTA DE CREDITO","Cuentas por Pagar Comerciales - Terceros (Emitidas)",IF(Registro_Compras!$F$28="RHE","Honorarios Profesionales - Servicios de Terceros","Gastos de Servicios Prestados por Terceros")))</f>
        <v/>
      </c>
      <c r="E221" s="20">
        <f>IF($C221="","",IF(Registro_Compras!$F$28="NOTA DE CREDITO",ABS(Registro_Compras!$O$28),IF(Registro_Compras!$F$28="RHE",ROUND(Registro_Compras!$L$28*Registro_Compras!$N$28,2),ROUND(Registro_Compras!$J$28*Registro_Compras!$N$28,2))))</f>
        <v/>
      </c>
      <c r="F221" s="20">
        <f>""</f>
        <v/>
      </c>
      <c r="G221">
        <f>IF($C221="","",IF(Registro_Compras!$F$28="NOTA DE CREDITO","Por la nota de credito "&amp;Registro_Compras!$C$28&amp;" de "&amp;Registro_Compras!$E$28&amp;" [PATRON POR CONFIRMAR CON CONTADOR]",IF(Registro_Compras!$F$28="RHE","Por el registro del recibo por honorarios "&amp;Registro_Compras!$C$28&amp;" de "&amp;Registro_Compras!$E$28&amp;" [PATRON POR CONFIRMAR CON CONTADOR]","Por el registro de la factura "&amp;Registro_Compras!$C$28&amp;" de "&amp;Registro_Compras!$E$28)))</f>
        <v/>
      </c>
      <c r="H221">
        <f>IF($C221="","",Registro_Compras!$C$28)</f>
        <v/>
      </c>
    </row>
    <row r="222">
      <c r="A222" s="25">
        <f>IF($C222="","",Registro_Compras!$B$28)</f>
        <v/>
      </c>
      <c r="B222">
        <f>IF($C222="","","C"&amp;TEXT(INT((ROW()-5)/9)+1,"000")&amp;"-1")</f>
        <v/>
      </c>
      <c r="C222">
        <f>IF(OR(Registro_Compras!$C$28="",Registro_Compras!$O$28=""),"",IF(Registro_Compras!$F$28="RHE",IF(Registro_Compras!$V$28=0,"","40172"),IF(Registro_Compras!$F$28="NOTA DE CREDITO",IF(Registro_Compras!$M$28="","63",Registro_Compras!$M$28),IF(Registro_Compras!$K$28=0,"","40111"))))</f>
        <v/>
      </c>
      <c r="D222">
        <f>IF(OR(Registro_Compras!$C$28="",Registro_Compras!$O$28=""),"",IF(Registro_Compras!$F$28="RHE","Retencion Renta 4ta Categoria por Pagar",IF(Registro_Compras!$F$28="NOTA DE CREDITO","Gastos de Servicios Prestados por Terceros","IGV - Cuenta Propia (Credito Fiscal)")))</f>
        <v/>
      </c>
      <c r="E222" s="20">
        <f>IF($C222="","",IF(Registro_Compras!$F$28="FACTURA",ROUND(Registro_Compras!$K$28*Registro_Compras!$N$28,2),""))</f>
        <v/>
      </c>
      <c r="F222" s="20">
        <f>IF($C222="","",IF(Registro_Compras!$F$28="RHE",ROUND(Registro_Compras!$V$28*Registro_Compras!$N$28,2),IF(Registro_Compras!$F$28="NOTA DE CREDITO",ROUND(ABS(Registro_Compras!$J$28*Registro_Compras!$N$28),2),"")))</f>
        <v/>
      </c>
      <c r="G222">
        <f>IF($C222="","",IF(Registro_Compras!$F$28="NOTA DE CREDITO","Por la nota de credito "&amp;Registro_Compras!$C$28&amp;" de "&amp;Registro_Compras!$E$28&amp;" [PATRON POR CONFIRMAR CON CONTADOR]",IF(Registro_Compras!$F$28="RHE","Por el registro del recibo por honorarios "&amp;Registro_Compras!$C$28&amp;" de "&amp;Registro_Compras!$E$28&amp;" [PATRON POR CONFIRMAR CON CONTADOR]","Por el registro de la factura "&amp;Registro_Compras!$C$28&amp;" de "&amp;Registro_Compras!$E$28)))</f>
        <v/>
      </c>
      <c r="H222">
        <f>IF($C222="","",Registro_Compras!$C$28)</f>
        <v/>
      </c>
    </row>
    <row r="223">
      <c r="A223" s="25">
        <f>IF($C223="","",Registro_Compras!$B$28)</f>
        <v/>
      </c>
      <c r="B223">
        <f>IF($C223="","","C"&amp;TEXT(INT((ROW()-5)/9)+1,"000")&amp;"-1")</f>
        <v/>
      </c>
      <c r="C223">
        <f>IF(OR(Registro_Compras!$C$28="",Registro_Compras!$O$28=""),"",IF(Registro_Compras!$F$28="NOTA DE CREDITO",IF(Registro_Compras!$K$28=0,"","40111"),"4212"))</f>
        <v/>
      </c>
      <c r="D223">
        <f>IF(OR(Registro_Compras!$C$28="",Registro_Compras!$O$28=""),"",IF(Registro_Compras!$F$28="NOTA DE CREDITO","IGV - Cuenta Propia (Credito Fiscal)","Cuentas por Pagar Comerciales - Terceros (Emitidas)"))</f>
        <v/>
      </c>
      <c r="E223" s="20">
        <f>""</f>
        <v/>
      </c>
      <c r="F223" s="20">
        <f>IF($C223="","",IF(Registro_Compras!$F$28="NOTA DE CREDITO",ROUND(ABS(Registro_Compras!$K$28*Registro_Compras!$N$28),2),IF(Registro_Compras!$F$28="RHE",(ROUND(Registro_Compras!$L$28*Registro_Compras!$N$28,2)-ROUND(Registro_Compras!$V$28*Registro_Compras!$N$28,2)),Registro_Compras!$O$28)))</f>
        <v/>
      </c>
      <c r="G223">
        <f>IF($C223="","",IF(Registro_Compras!$F$28="NOTA DE CREDITO","Por la nota de credito "&amp;Registro_Compras!$C$28&amp;" de "&amp;Registro_Compras!$E$28&amp;" [PATRON POR CONFIRMAR CON CONTADOR]",IF(Registro_Compras!$F$28="RHE","Por el registro del recibo por honorarios "&amp;Registro_Compras!$C$28&amp;" de "&amp;Registro_Compras!$E$28&amp;" [PATRON POR CONFIRMAR CON CONTADOR]","Por el registro de la factura "&amp;Registro_Compras!$C$28&amp;" de "&amp;Registro_Compras!$E$28)))</f>
        <v/>
      </c>
      <c r="H223">
        <f>IF($C223="","",Registro_Compras!$C$28)</f>
        <v/>
      </c>
    </row>
    <row r="224">
      <c r="A224" s="25">
        <f>IF($C224="","",Registro_Compras!$B$28)</f>
        <v/>
      </c>
      <c r="B224">
        <f>IF($C224="","","C"&amp;TEXT(INT((ROW()-5)/9)+1,"000")&amp;"-2")</f>
        <v/>
      </c>
      <c r="C224">
        <f>IF(OR(Registro_Compras!$C$28="",Registro_Compras!$O$28=""),"",IF(Registro_Compras!$AB$28="ADMINISTRATIVO","94","95"))</f>
        <v/>
      </c>
      <c r="D224">
        <f>IF(OR(Registro_Compras!$C$28="",Registro_Compras!$O$28=""),"",IF(Registro_Compras!$AB$28="ADMINISTRATIVO","Gastos Administrativos","Gastos de Venta y Operacion"))</f>
        <v/>
      </c>
      <c r="E224" s="20">
        <f>IF($C224="","",IF(Registro_Compras!$F$28="NOTA DE CREDITO","",IF(Registro_Compras!$F$28="RHE",ROUND(Registro_Compras!$L$28*Registro_Compras!$N$28,2),ROUND(Registro_Compras!$J$28*Registro_Compras!$N$28,2))))</f>
        <v/>
      </c>
      <c r="F224" s="20">
        <f>IF($C224="","",IF(Registro_Compras!$F$28="NOTA DE CREDITO",ROUND(ABS(Registro_Compras!$J$28*Registro_Compras!$N$28),2),""))</f>
        <v/>
      </c>
      <c r="G224">
        <f>IF($C224="","","Por el destino del gasto")</f>
        <v/>
      </c>
      <c r="H224">
        <f>IF($C224="","",Registro_Compras!$C$28)</f>
        <v/>
      </c>
    </row>
    <row r="225">
      <c r="A225" s="25">
        <f>IF($C225="","",Registro_Compras!$B$28)</f>
        <v/>
      </c>
      <c r="B225">
        <f>IF($C225="","","C"&amp;TEXT(INT((ROW()-5)/9)+1,"000")&amp;"-2")</f>
        <v/>
      </c>
      <c r="C225">
        <f>IF(OR(Registro_Compras!$C$28="",Registro_Compras!$O$28=""),"","79/791")</f>
        <v/>
      </c>
      <c r="D225">
        <f>IF(OR(Registro_Compras!$C$28="",Registro_Compras!$O$28=""),"","Cargas Imputables a Cuentas de Costos y Gastos")</f>
        <v/>
      </c>
      <c r="E225" s="20">
        <f>IF($C225="","",IF(Registro_Compras!$F$28="NOTA DE CREDITO",ROUND(ABS(Registro_Compras!$J$28*Registro_Compras!$N$28),2),""))</f>
        <v/>
      </c>
      <c r="F225" s="20">
        <f>IF($C225="","",IF(Registro_Compras!$F$28="NOTA DE CREDITO","",IF(Registro_Compras!$F$28="RHE",ROUND(Registro_Compras!$L$28*Registro_Compras!$N$28,2),ROUND(Registro_Compras!$J$28*Registro_Compras!$N$28,2))))</f>
        <v/>
      </c>
      <c r="G225">
        <f>IF($C225="","","Por el destino del gasto")</f>
        <v/>
      </c>
      <c r="H225">
        <f>IF($C225="","",Registro_Compras!$C$28)</f>
        <v/>
      </c>
    </row>
    <row r="226">
      <c r="A226" s="25">
        <f>IF($C226="","",Registro_Compras!$X$28)</f>
        <v/>
      </c>
      <c r="B226">
        <f>IF($C226="","","C"&amp;TEXT(INT((ROW()-5)/9)+1,"000")&amp;"-3")</f>
        <v/>
      </c>
      <c r="C226">
        <f>IF(OR(Registro_Compras!$C$28="",Registro_Compras!$O$28="",Registro_Compras!$R$28&lt;&gt;"SI",Registro_Compras!$X$28=""),"","4212")</f>
        <v/>
      </c>
      <c r="D226">
        <f>IF(OR(Registro_Compras!$C$28="",Registro_Compras!$O$28=""),"","Cuentas por Pagar Comerciales - Terceros")</f>
        <v/>
      </c>
      <c r="E226" s="20">
        <f>IF($C226="","",Registro_Compras!$S$28)</f>
        <v/>
      </c>
      <c r="F226" s="20">
        <f>""</f>
        <v/>
      </c>
      <c r="G226">
        <f>IF($C226="","","Por el deposito de la detraccion en el Banco de la Nacion")</f>
        <v/>
      </c>
      <c r="H226">
        <f>IF($C226="","",Registro_Compras!$C$28)</f>
        <v/>
      </c>
    </row>
    <row r="227">
      <c r="A227" s="25">
        <f>IF($C227="","",Registro_Compras!$X$28)</f>
        <v/>
      </c>
      <c r="B227">
        <f>IF($C227="","","C"&amp;TEXT(INT((ROW()-5)/9)+1,"000")&amp;"-3")</f>
        <v/>
      </c>
      <c r="C227">
        <f>IF(OR(Registro_Compras!$C$28="",Registro_Compras!$O$28="",Registro_Compras!$R$28&lt;&gt;"SI",Registro_Compras!$X$28=""),"","10413")</f>
        <v/>
      </c>
      <c r="D227">
        <f>IF(OR(Registro_Compras!$C$28="",Registro_Compras!$O$28=""),"","Efectivo y Equivalentes - Cta. Cte. Operativa")</f>
        <v/>
      </c>
      <c r="E227" s="20">
        <f>""</f>
        <v/>
      </c>
      <c r="F227" s="20">
        <f>IF($C227="","",Registro_Compras!$S$28)</f>
        <v/>
      </c>
      <c r="G227">
        <f>IF($C227="","","Por el deposito de la detraccion en el Banco de la Nacion")</f>
        <v/>
      </c>
      <c r="H227">
        <f>IF($C227="","",Registro_Compras!$C$28)</f>
        <v/>
      </c>
    </row>
    <row r="228">
      <c r="A228" s="25">
        <f>IF($C228="","",Registro_Compras!$Y$28)</f>
        <v/>
      </c>
      <c r="B228">
        <f>IF($C228="","","C"&amp;TEXT(INT((ROW()-5)/9)+1,"000")&amp;"-4")</f>
        <v/>
      </c>
      <c r="C228">
        <f>IF(OR(Registro_Compras!$C$28="",Registro_Compras!$O$28="",Registro_Compras!$Y$28="",Registro_Compras!$F$28="NOTA DE CREDITO"),"","4212")</f>
        <v/>
      </c>
      <c r="D228">
        <f>IF(OR(Registro_Compras!$C$28="",Registro_Compras!$O$28=""),"","Cuentas por Pagar Comerciales - Terceros")</f>
        <v/>
      </c>
      <c r="E228" s="20">
        <f>IF($C228="","",IF(Registro_Compras!$F$28="RHE",(ROUND(Registro_Compras!$L$28*Registro_Compras!$N$28,2)-ROUND(Registro_Compras!$V$28*Registro_Compras!$N$28,2)),ROUND(Registro_Compras!$O$28-Registro_Compras!$S$28,2)))</f>
        <v/>
      </c>
      <c r="F228" s="20">
        <f>""</f>
        <v/>
      </c>
      <c r="G228">
        <f>IF($C228="","","Por la cancelacion del saldo al proveedor")</f>
        <v/>
      </c>
      <c r="H228">
        <f>IF($C228="","",Registro_Compras!$C$28)</f>
        <v/>
      </c>
    </row>
    <row r="229">
      <c r="A229" s="25">
        <f>IF($C229="","",Registro_Compras!$Y$28)</f>
        <v/>
      </c>
      <c r="B229">
        <f>IF($C229="","","C"&amp;TEXT(INT((ROW()-5)/9)+1,"000")&amp;"-4")</f>
        <v/>
      </c>
      <c r="C229">
        <f>IF(OR(Registro_Compras!$C$28="",Registro_Compras!$O$28="",Registro_Compras!$Y$28="",Registro_Compras!$F$28="NOTA DE CREDITO"),"","10413")</f>
        <v/>
      </c>
      <c r="D229">
        <f>IF(OR(Registro_Compras!$C$28="",Registro_Compras!$O$28=""),"","Efectivo y Equivalentes - Cta. Cte. Operativa")</f>
        <v/>
      </c>
      <c r="E229" s="20">
        <f>""</f>
        <v/>
      </c>
      <c r="F229" s="20">
        <f>IF($C229="","",IF(Registro_Compras!$F$28="RHE",(ROUND(Registro_Compras!$L$28*Registro_Compras!$N$28,2)-ROUND(Registro_Compras!$V$28*Registro_Compras!$N$28,2)),ROUND(Registro_Compras!$O$28-Registro_Compras!$S$28,2)))</f>
        <v/>
      </c>
      <c r="G229">
        <f>IF($C229="","","Por la cancelacion del saldo al proveedor")</f>
        <v/>
      </c>
      <c r="H229">
        <f>IF($C229="","",Registro_Compras!$C$28)</f>
        <v/>
      </c>
    </row>
    <row r="230">
      <c r="A230" s="25">
        <f>IF($C230="","",Registro_Compras!$B$29)</f>
        <v/>
      </c>
      <c r="B230">
        <f>IF($C230="","","C"&amp;TEXT(INT((ROW()-5)/9)+1,"000")&amp;"-1")</f>
        <v/>
      </c>
      <c r="C230">
        <f>IF(OR(Registro_Compras!$C$29="",Registro_Compras!$O$29=""),"",IF(Registro_Compras!$F$29="NOTA DE CREDITO","4212",IF(Registro_Compras!$M$29="","63",Registro_Compras!$M$29)))</f>
        <v/>
      </c>
      <c r="D230">
        <f>IF(OR(Registro_Compras!$C$29="",Registro_Compras!$O$29=""),"",IF(Registro_Compras!$F$29="NOTA DE CREDITO","Cuentas por Pagar Comerciales - Terceros (Emitidas)",IF(Registro_Compras!$F$29="RHE","Honorarios Profesionales - Servicios de Terceros","Gastos de Servicios Prestados por Terceros")))</f>
        <v/>
      </c>
      <c r="E230" s="20">
        <f>IF($C230="","",IF(Registro_Compras!$F$29="NOTA DE CREDITO",ABS(Registro_Compras!$O$29),IF(Registro_Compras!$F$29="RHE",ROUND(Registro_Compras!$L$29*Registro_Compras!$N$29,2),ROUND(Registro_Compras!$J$29*Registro_Compras!$N$29,2))))</f>
        <v/>
      </c>
      <c r="F230" s="20">
        <f>""</f>
        <v/>
      </c>
      <c r="G230">
        <f>IF($C230="","",IF(Registro_Compras!$F$29="NOTA DE CREDITO","Por la nota de credito "&amp;Registro_Compras!$C$29&amp;" de "&amp;Registro_Compras!$E$29&amp;" [PATRON POR CONFIRMAR CON CONTADOR]",IF(Registro_Compras!$F$29="RHE","Por el registro del recibo por honorarios "&amp;Registro_Compras!$C$29&amp;" de "&amp;Registro_Compras!$E$29&amp;" [PATRON POR CONFIRMAR CON CONTADOR]","Por el registro de la factura "&amp;Registro_Compras!$C$29&amp;" de "&amp;Registro_Compras!$E$29)))</f>
        <v/>
      </c>
      <c r="H230">
        <f>IF($C230="","",Registro_Compras!$C$29)</f>
        <v/>
      </c>
    </row>
    <row r="231">
      <c r="A231" s="25">
        <f>IF($C231="","",Registro_Compras!$B$29)</f>
        <v/>
      </c>
      <c r="B231">
        <f>IF($C231="","","C"&amp;TEXT(INT((ROW()-5)/9)+1,"000")&amp;"-1")</f>
        <v/>
      </c>
      <c r="C231">
        <f>IF(OR(Registro_Compras!$C$29="",Registro_Compras!$O$29=""),"",IF(Registro_Compras!$F$29="RHE",IF(Registro_Compras!$V$29=0,"","40172"),IF(Registro_Compras!$F$29="NOTA DE CREDITO",IF(Registro_Compras!$M$29="","63",Registro_Compras!$M$29),IF(Registro_Compras!$K$29=0,"","40111"))))</f>
        <v/>
      </c>
      <c r="D231">
        <f>IF(OR(Registro_Compras!$C$29="",Registro_Compras!$O$29=""),"",IF(Registro_Compras!$F$29="RHE","Retencion Renta 4ta Categoria por Pagar",IF(Registro_Compras!$F$29="NOTA DE CREDITO","Gastos de Servicios Prestados por Terceros","IGV - Cuenta Propia (Credito Fiscal)")))</f>
        <v/>
      </c>
      <c r="E231" s="20">
        <f>IF($C231="","",IF(Registro_Compras!$F$29="FACTURA",ROUND(Registro_Compras!$K$29*Registro_Compras!$N$29,2),""))</f>
        <v/>
      </c>
      <c r="F231" s="20">
        <f>IF($C231="","",IF(Registro_Compras!$F$29="RHE",ROUND(Registro_Compras!$V$29*Registro_Compras!$N$29,2),IF(Registro_Compras!$F$29="NOTA DE CREDITO",ROUND(ABS(Registro_Compras!$J$29*Registro_Compras!$N$29),2),"")))</f>
        <v/>
      </c>
      <c r="G231">
        <f>IF($C231="","",IF(Registro_Compras!$F$29="NOTA DE CREDITO","Por la nota de credito "&amp;Registro_Compras!$C$29&amp;" de "&amp;Registro_Compras!$E$29&amp;" [PATRON POR CONFIRMAR CON CONTADOR]",IF(Registro_Compras!$F$29="RHE","Por el registro del recibo por honorarios "&amp;Registro_Compras!$C$29&amp;" de "&amp;Registro_Compras!$E$29&amp;" [PATRON POR CONFIRMAR CON CONTADOR]","Por el registro de la factura "&amp;Registro_Compras!$C$29&amp;" de "&amp;Registro_Compras!$E$29)))</f>
        <v/>
      </c>
      <c r="H231">
        <f>IF($C231="","",Registro_Compras!$C$29)</f>
        <v/>
      </c>
    </row>
    <row r="232">
      <c r="A232" s="25">
        <f>IF($C232="","",Registro_Compras!$B$29)</f>
        <v/>
      </c>
      <c r="B232">
        <f>IF($C232="","","C"&amp;TEXT(INT((ROW()-5)/9)+1,"000")&amp;"-1")</f>
        <v/>
      </c>
      <c r="C232">
        <f>IF(OR(Registro_Compras!$C$29="",Registro_Compras!$O$29=""),"",IF(Registro_Compras!$F$29="NOTA DE CREDITO",IF(Registro_Compras!$K$29=0,"","40111"),"4212"))</f>
        <v/>
      </c>
      <c r="D232">
        <f>IF(OR(Registro_Compras!$C$29="",Registro_Compras!$O$29=""),"",IF(Registro_Compras!$F$29="NOTA DE CREDITO","IGV - Cuenta Propia (Credito Fiscal)","Cuentas por Pagar Comerciales - Terceros (Emitidas)"))</f>
        <v/>
      </c>
      <c r="E232" s="20">
        <f>""</f>
        <v/>
      </c>
      <c r="F232" s="20">
        <f>IF($C232="","",IF(Registro_Compras!$F$29="NOTA DE CREDITO",ROUND(ABS(Registro_Compras!$K$29*Registro_Compras!$N$29),2),IF(Registro_Compras!$F$29="RHE",(ROUND(Registro_Compras!$L$29*Registro_Compras!$N$29,2)-ROUND(Registro_Compras!$V$29*Registro_Compras!$N$29,2)),Registro_Compras!$O$29)))</f>
        <v/>
      </c>
      <c r="G232">
        <f>IF($C232="","",IF(Registro_Compras!$F$29="NOTA DE CREDITO","Por la nota de credito "&amp;Registro_Compras!$C$29&amp;" de "&amp;Registro_Compras!$E$29&amp;" [PATRON POR CONFIRMAR CON CONTADOR]",IF(Registro_Compras!$F$29="RHE","Por el registro del recibo por honorarios "&amp;Registro_Compras!$C$29&amp;" de "&amp;Registro_Compras!$E$29&amp;" [PATRON POR CONFIRMAR CON CONTADOR]","Por el registro de la factura "&amp;Registro_Compras!$C$29&amp;" de "&amp;Registro_Compras!$E$29)))</f>
        <v/>
      </c>
      <c r="H232">
        <f>IF($C232="","",Registro_Compras!$C$29)</f>
        <v/>
      </c>
    </row>
    <row r="233">
      <c r="A233" s="25">
        <f>IF($C233="","",Registro_Compras!$B$29)</f>
        <v/>
      </c>
      <c r="B233">
        <f>IF($C233="","","C"&amp;TEXT(INT((ROW()-5)/9)+1,"000")&amp;"-2")</f>
        <v/>
      </c>
      <c r="C233">
        <f>IF(OR(Registro_Compras!$C$29="",Registro_Compras!$O$29=""),"",IF(Registro_Compras!$AB$29="ADMINISTRATIVO","94","95"))</f>
        <v/>
      </c>
      <c r="D233">
        <f>IF(OR(Registro_Compras!$C$29="",Registro_Compras!$O$29=""),"",IF(Registro_Compras!$AB$29="ADMINISTRATIVO","Gastos Administrativos","Gastos de Venta y Operacion"))</f>
        <v/>
      </c>
      <c r="E233" s="20">
        <f>IF($C233="","",IF(Registro_Compras!$F$29="NOTA DE CREDITO","",IF(Registro_Compras!$F$29="RHE",ROUND(Registro_Compras!$L$29*Registro_Compras!$N$29,2),ROUND(Registro_Compras!$J$29*Registro_Compras!$N$29,2))))</f>
        <v/>
      </c>
      <c r="F233" s="20">
        <f>IF($C233="","",IF(Registro_Compras!$F$29="NOTA DE CREDITO",ROUND(ABS(Registro_Compras!$J$29*Registro_Compras!$N$29),2),""))</f>
        <v/>
      </c>
      <c r="G233">
        <f>IF($C233="","","Por el destino del gasto")</f>
        <v/>
      </c>
      <c r="H233">
        <f>IF($C233="","",Registro_Compras!$C$29)</f>
        <v/>
      </c>
    </row>
    <row r="234">
      <c r="A234" s="25">
        <f>IF($C234="","",Registro_Compras!$B$29)</f>
        <v/>
      </c>
      <c r="B234">
        <f>IF($C234="","","C"&amp;TEXT(INT((ROW()-5)/9)+1,"000")&amp;"-2")</f>
        <v/>
      </c>
      <c r="C234">
        <f>IF(OR(Registro_Compras!$C$29="",Registro_Compras!$O$29=""),"","79/791")</f>
        <v/>
      </c>
      <c r="D234">
        <f>IF(OR(Registro_Compras!$C$29="",Registro_Compras!$O$29=""),"","Cargas Imputables a Cuentas de Costos y Gastos")</f>
        <v/>
      </c>
      <c r="E234" s="20">
        <f>IF($C234="","",IF(Registro_Compras!$F$29="NOTA DE CREDITO",ROUND(ABS(Registro_Compras!$J$29*Registro_Compras!$N$29),2),""))</f>
        <v/>
      </c>
      <c r="F234" s="20">
        <f>IF($C234="","",IF(Registro_Compras!$F$29="NOTA DE CREDITO","",IF(Registro_Compras!$F$29="RHE",ROUND(Registro_Compras!$L$29*Registro_Compras!$N$29,2),ROUND(Registro_Compras!$J$29*Registro_Compras!$N$29,2))))</f>
        <v/>
      </c>
      <c r="G234">
        <f>IF($C234="","","Por el destino del gasto")</f>
        <v/>
      </c>
      <c r="H234">
        <f>IF($C234="","",Registro_Compras!$C$29)</f>
        <v/>
      </c>
    </row>
    <row r="235">
      <c r="A235" s="25">
        <f>IF($C235="","",Registro_Compras!$X$29)</f>
        <v/>
      </c>
      <c r="B235">
        <f>IF($C235="","","C"&amp;TEXT(INT((ROW()-5)/9)+1,"000")&amp;"-3")</f>
        <v/>
      </c>
      <c r="C235">
        <f>IF(OR(Registro_Compras!$C$29="",Registro_Compras!$O$29="",Registro_Compras!$R$29&lt;&gt;"SI",Registro_Compras!$X$29=""),"","4212")</f>
        <v/>
      </c>
      <c r="D235">
        <f>IF(OR(Registro_Compras!$C$29="",Registro_Compras!$O$29=""),"","Cuentas por Pagar Comerciales - Terceros")</f>
        <v/>
      </c>
      <c r="E235" s="20">
        <f>IF($C235="","",Registro_Compras!$S$29)</f>
        <v/>
      </c>
      <c r="F235" s="20">
        <f>""</f>
        <v/>
      </c>
      <c r="G235">
        <f>IF($C235="","","Por el deposito de la detraccion en el Banco de la Nacion")</f>
        <v/>
      </c>
      <c r="H235">
        <f>IF($C235="","",Registro_Compras!$C$29)</f>
        <v/>
      </c>
    </row>
    <row r="236">
      <c r="A236" s="25">
        <f>IF($C236="","",Registro_Compras!$X$29)</f>
        <v/>
      </c>
      <c r="B236">
        <f>IF($C236="","","C"&amp;TEXT(INT((ROW()-5)/9)+1,"000")&amp;"-3")</f>
        <v/>
      </c>
      <c r="C236">
        <f>IF(OR(Registro_Compras!$C$29="",Registro_Compras!$O$29="",Registro_Compras!$R$29&lt;&gt;"SI",Registro_Compras!$X$29=""),"","10413")</f>
        <v/>
      </c>
      <c r="D236">
        <f>IF(OR(Registro_Compras!$C$29="",Registro_Compras!$O$29=""),"","Efectivo y Equivalentes - Cta. Cte. Operativa")</f>
        <v/>
      </c>
      <c r="E236" s="20">
        <f>""</f>
        <v/>
      </c>
      <c r="F236" s="20">
        <f>IF($C236="","",Registro_Compras!$S$29)</f>
        <v/>
      </c>
      <c r="G236">
        <f>IF($C236="","","Por el deposito de la detraccion en el Banco de la Nacion")</f>
        <v/>
      </c>
      <c r="H236">
        <f>IF($C236="","",Registro_Compras!$C$29)</f>
        <v/>
      </c>
    </row>
    <row r="237">
      <c r="A237" s="25">
        <f>IF($C237="","",Registro_Compras!$Y$29)</f>
        <v/>
      </c>
      <c r="B237">
        <f>IF($C237="","","C"&amp;TEXT(INT((ROW()-5)/9)+1,"000")&amp;"-4")</f>
        <v/>
      </c>
      <c r="C237">
        <f>IF(OR(Registro_Compras!$C$29="",Registro_Compras!$O$29="",Registro_Compras!$Y$29="",Registro_Compras!$F$29="NOTA DE CREDITO"),"","4212")</f>
        <v/>
      </c>
      <c r="D237">
        <f>IF(OR(Registro_Compras!$C$29="",Registro_Compras!$O$29=""),"","Cuentas por Pagar Comerciales - Terceros")</f>
        <v/>
      </c>
      <c r="E237" s="20">
        <f>IF($C237="","",IF(Registro_Compras!$F$29="RHE",(ROUND(Registro_Compras!$L$29*Registro_Compras!$N$29,2)-ROUND(Registro_Compras!$V$29*Registro_Compras!$N$29,2)),ROUND(Registro_Compras!$O$29-Registro_Compras!$S$29,2)))</f>
        <v/>
      </c>
      <c r="F237" s="20">
        <f>""</f>
        <v/>
      </c>
      <c r="G237">
        <f>IF($C237="","","Por la cancelacion del saldo al proveedor")</f>
        <v/>
      </c>
      <c r="H237">
        <f>IF($C237="","",Registro_Compras!$C$29)</f>
        <v/>
      </c>
    </row>
    <row r="238">
      <c r="A238" s="25">
        <f>IF($C238="","",Registro_Compras!$Y$29)</f>
        <v/>
      </c>
      <c r="B238">
        <f>IF($C238="","","C"&amp;TEXT(INT((ROW()-5)/9)+1,"000")&amp;"-4")</f>
        <v/>
      </c>
      <c r="C238">
        <f>IF(OR(Registro_Compras!$C$29="",Registro_Compras!$O$29="",Registro_Compras!$Y$29="",Registro_Compras!$F$29="NOTA DE CREDITO"),"","10413")</f>
        <v/>
      </c>
      <c r="D238">
        <f>IF(OR(Registro_Compras!$C$29="",Registro_Compras!$O$29=""),"","Efectivo y Equivalentes - Cta. Cte. Operativa")</f>
        <v/>
      </c>
      <c r="E238" s="20">
        <f>""</f>
        <v/>
      </c>
      <c r="F238" s="20">
        <f>IF($C238="","",IF(Registro_Compras!$F$29="RHE",(ROUND(Registro_Compras!$L$29*Registro_Compras!$N$29,2)-ROUND(Registro_Compras!$V$29*Registro_Compras!$N$29,2)),ROUND(Registro_Compras!$O$29-Registro_Compras!$S$29,2)))</f>
        <v/>
      </c>
      <c r="G238">
        <f>IF($C238="","","Por la cancelacion del saldo al proveedor")</f>
        <v/>
      </c>
      <c r="H238">
        <f>IF($C238="","",Registro_Compras!$C$29)</f>
        <v/>
      </c>
    </row>
    <row r="239">
      <c r="A239" s="25">
        <f>IF($C239="","",Registro_Compras!$B$30)</f>
        <v/>
      </c>
      <c r="B239">
        <f>IF($C239="","","C"&amp;TEXT(INT((ROW()-5)/9)+1,"000")&amp;"-1")</f>
        <v/>
      </c>
      <c r="C239">
        <f>IF(OR(Registro_Compras!$C$30="",Registro_Compras!$O$30=""),"",IF(Registro_Compras!$F$30="NOTA DE CREDITO","4212",IF(Registro_Compras!$M$30="","63",Registro_Compras!$M$30)))</f>
        <v/>
      </c>
      <c r="D239">
        <f>IF(OR(Registro_Compras!$C$30="",Registro_Compras!$O$30=""),"",IF(Registro_Compras!$F$30="NOTA DE CREDITO","Cuentas por Pagar Comerciales - Terceros (Emitidas)",IF(Registro_Compras!$F$30="RHE","Honorarios Profesionales - Servicios de Terceros","Gastos de Servicios Prestados por Terceros")))</f>
        <v/>
      </c>
      <c r="E239" s="20">
        <f>IF($C239="","",IF(Registro_Compras!$F$30="NOTA DE CREDITO",ABS(Registro_Compras!$O$30),IF(Registro_Compras!$F$30="RHE",ROUND(Registro_Compras!$L$30*Registro_Compras!$N$30,2),ROUND(Registro_Compras!$J$30*Registro_Compras!$N$30,2))))</f>
        <v/>
      </c>
      <c r="F239" s="20">
        <f>""</f>
        <v/>
      </c>
      <c r="G239">
        <f>IF($C239="","",IF(Registro_Compras!$F$30="NOTA DE CREDITO","Por la nota de credito "&amp;Registro_Compras!$C$30&amp;" de "&amp;Registro_Compras!$E$30&amp;" [PATRON POR CONFIRMAR CON CONTADOR]",IF(Registro_Compras!$F$30="RHE","Por el registro del recibo por honorarios "&amp;Registro_Compras!$C$30&amp;" de "&amp;Registro_Compras!$E$30&amp;" [PATRON POR CONFIRMAR CON CONTADOR]","Por el registro de la factura "&amp;Registro_Compras!$C$30&amp;" de "&amp;Registro_Compras!$E$30)))</f>
        <v/>
      </c>
      <c r="H239">
        <f>IF($C239="","",Registro_Compras!$C$30)</f>
        <v/>
      </c>
    </row>
    <row r="240">
      <c r="A240" s="25">
        <f>IF($C240="","",Registro_Compras!$B$30)</f>
        <v/>
      </c>
      <c r="B240">
        <f>IF($C240="","","C"&amp;TEXT(INT((ROW()-5)/9)+1,"000")&amp;"-1")</f>
        <v/>
      </c>
      <c r="C240">
        <f>IF(OR(Registro_Compras!$C$30="",Registro_Compras!$O$30=""),"",IF(Registro_Compras!$F$30="RHE",IF(Registro_Compras!$V$30=0,"","40172"),IF(Registro_Compras!$F$30="NOTA DE CREDITO",IF(Registro_Compras!$M$30="","63",Registro_Compras!$M$30),IF(Registro_Compras!$K$30=0,"","40111"))))</f>
        <v/>
      </c>
      <c r="D240">
        <f>IF(OR(Registro_Compras!$C$30="",Registro_Compras!$O$30=""),"",IF(Registro_Compras!$F$30="RHE","Retencion Renta 4ta Categoria por Pagar",IF(Registro_Compras!$F$30="NOTA DE CREDITO","Gastos de Servicios Prestados por Terceros","IGV - Cuenta Propia (Credito Fiscal)")))</f>
        <v/>
      </c>
      <c r="E240" s="20">
        <f>IF($C240="","",IF(Registro_Compras!$F$30="FACTURA",ROUND(Registro_Compras!$K$30*Registro_Compras!$N$30,2),""))</f>
        <v/>
      </c>
      <c r="F240" s="20">
        <f>IF($C240="","",IF(Registro_Compras!$F$30="RHE",ROUND(Registro_Compras!$V$30*Registro_Compras!$N$30,2),IF(Registro_Compras!$F$30="NOTA DE CREDITO",ROUND(ABS(Registro_Compras!$J$30*Registro_Compras!$N$30),2),"")))</f>
        <v/>
      </c>
      <c r="G240">
        <f>IF($C240="","",IF(Registro_Compras!$F$30="NOTA DE CREDITO","Por la nota de credito "&amp;Registro_Compras!$C$30&amp;" de "&amp;Registro_Compras!$E$30&amp;" [PATRON POR CONFIRMAR CON CONTADOR]",IF(Registro_Compras!$F$30="RHE","Por el registro del recibo por honorarios "&amp;Registro_Compras!$C$30&amp;" de "&amp;Registro_Compras!$E$30&amp;" [PATRON POR CONFIRMAR CON CONTADOR]","Por el registro de la factura "&amp;Registro_Compras!$C$30&amp;" de "&amp;Registro_Compras!$E$30)))</f>
        <v/>
      </c>
      <c r="H240">
        <f>IF($C240="","",Registro_Compras!$C$30)</f>
        <v/>
      </c>
    </row>
    <row r="241">
      <c r="A241" s="25">
        <f>IF($C241="","",Registro_Compras!$B$30)</f>
        <v/>
      </c>
      <c r="B241">
        <f>IF($C241="","","C"&amp;TEXT(INT((ROW()-5)/9)+1,"000")&amp;"-1")</f>
        <v/>
      </c>
      <c r="C241">
        <f>IF(OR(Registro_Compras!$C$30="",Registro_Compras!$O$30=""),"",IF(Registro_Compras!$F$30="NOTA DE CREDITO",IF(Registro_Compras!$K$30=0,"","40111"),"4212"))</f>
        <v/>
      </c>
      <c r="D241">
        <f>IF(OR(Registro_Compras!$C$30="",Registro_Compras!$O$30=""),"",IF(Registro_Compras!$F$30="NOTA DE CREDITO","IGV - Cuenta Propia (Credito Fiscal)","Cuentas por Pagar Comerciales - Terceros (Emitidas)"))</f>
        <v/>
      </c>
      <c r="E241" s="20">
        <f>""</f>
        <v/>
      </c>
      <c r="F241" s="20">
        <f>IF($C241="","",IF(Registro_Compras!$F$30="NOTA DE CREDITO",ROUND(ABS(Registro_Compras!$K$30*Registro_Compras!$N$30),2),IF(Registro_Compras!$F$30="RHE",(ROUND(Registro_Compras!$L$30*Registro_Compras!$N$30,2)-ROUND(Registro_Compras!$V$30*Registro_Compras!$N$30,2)),Registro_Compras!$O$30)))</f>
        <v/>
      </c>
      <c r="G241">
        <f>IF($C241="","",IF(Registro_Compras!$F$30="NOTA DE CREDITO","Por la nota de credito "&amp;Registro_Compras!$C$30&amp;" de "&amp;Registro_Compras!$E$30&amp;" [PATRON POR CONFIRMAR CON CONTADOR]",IF(Registro_Compras!$F$30="RHE","Por el registro del recibo por honorarios "&amp;Registro_Compras!$C$30&amp;" de "&amp;Registro_Compras!$E$30&amp;" [PATRON POR CONFIRMAR CON CONTADOR]","Por el registro de la factura "&amp;Registro_Compras!$C$30&amp;" de "&amp;Registro_Compras!$E$30)))</f>
        <v/>
      </c>
      <c r="H241">
        <f>IF($C241="","",Registro_Compras!$C$30)</f>
        <v/>
      </c>
    </row>
    <row r="242">
      <c r="A242" s="25">
        <f>IF($C242="","",Registro_Compras!$B$30)</f>
        <v/>
      </c>
      <c r="B242">
        <f>IF($C242="","","C"&amp;TEXT(INT((ROW()-5)/9)+1,"000")&amp;"-2")</f>
        <v/>
      </c>
      <c r="C242">
        <f>IF(OR(Registro_Compras!$C$30="",Registro_Compras!$O$30=""),"",IF(Registro_Compras!$AB$30="ADMINISTRATIVO","94","95"))</f>
        <v/>
      </c>
      <c r="D242">
        <f>IF(OR(Registro_Compras!$C$30="",Registro_Compras!$O$30=""),"",IF(Registro_Compras!$AB$30="ADMINISTRATIVO","Gastos Administrativos","Gastos de Venta y Operacion"))</f>
        <v/>
      </c>
      <c r="E242" s="20">
        <f>IF($C242="","",IF(Registro_Compras!$F$30="NOTA DE CREDITO","",IF(Registro_Compras!$F$30="RHE",ROUND(Registro_Compras!$L$30*Registro_Compras!$N$30,2),ROUND(Registro_Compras!$J$30*Registro_Compras!$N$30,2))))</f>
        <v/>
      </c>
      <c r="F242" s="20">
        <f>IF($C242="","",IF(Registro_Compras!$F$30="NOTA DE CREDITO",ROUND(ABS(Registro_Compras!$J$30*Registro_Compras!$N$30),2),""))</f>
        <v/>
      </c>
      <c r="G242">
        <f>IF($C242="","","Por el destino del gasto")</f>
        <v/>
      </c>
      <c r="H242">
        <f>IF($C242="","",Registro_Compras!$C$30)</f>
        <v/>
      </c>
    </row>
    <row r="243">
      <c r="A243" s="25">
        <f>IF($C243="","",Registro_Compras!$B$30)</f>
        <v/>
      </c>
      <c r="B243">
        <f>IF($C243="","","C"&amp;TEXT(INT((ROW()-5)/9)+1,"000")&amp;"-2")</f>
        <v/>
      </c>
      <c r="C243">
        <f>IF(OR(Registro_Compras!$C$30="",Registro_Compras!$O$30=""),"","79/791")</f>
        <v/>
      </c>
      <c r="D243">
        <f>IF(OR(Registro_Compras!$C$30="",Registro_Compras!$O$30=""),"","Cargas Imputables a Cuentas de Costos y Gastos")</f>
        <v/>
      </c>
      <c r="E243" s="20">
        <f>IF($C243="","",IF(Registro_Compras!$F$30="NOTA DE CREDITO",ROUND(ABS(Registro_Compras!$J$30*Registro_Compras!$N$30),2),""))</f>
        <v/>
      </c>
      <c r="F243" s="20">
        <f>IF($C243="","",IF(Registro_Compras!$F$30="NOTA DE CREDITO","",IF(Registro_Compras!$F$30="RHE",ROUND(Registro_Compras!$L$30*Registro_Compras!$N$30,2),ROUND(Registro_Compras!$J$30*Registro_Compras!$N$30,2))))</f>
        <v/>
      </c>
      <c r="G243">
        <f>IF($C243="","","Por el destino del gasto")</f>
        <v/>
      </c>
      <c r="H243">
        <f>IF($C243="","",Registro_Compras!$C$30)</f>
        <v/>
      </c>
    </row>
    <row r="244">
      <c r="A244" s="25">
        <f>IF($C244="","",Registro_Compras!$X$30)</f>
        <v/>
      </c>
      <c r="B244">
        <f>IF($C244="","","C"&amp;TEXT(INT((ROW()-5)/9)+1,"000")&amp;"-3")</f>
        <v/>
      </c>
      <c r="C244">
        <f>IF(OR(Registro_Compras!$C$30="",Registro_Compras!$O$30="",Registro_Compras!$R$30&lt;&gt;"SI",Registro_Compras!$X$30=""),"","4212")</f>
        <v/>
      </c>
      <c r="D244">
        <f>IF(OR(Registro_Compras!$C$30="",Registro_Compras!$O$30=""),"","Cuentas por Pagar Comerciales - Terceros")</f>
        <v/>
      </c>
      <c r="E244" s="20">
        <f>IF($C244="","",Registro_Compras!$S$30)</f>
        <v/>
      </c>
      <c r="F244" s="20">
        <f>""</f>
        <v/>
      </c>
      <c r="G244">
        <f>IF($C244="","","Por el deposito de la detraccion en el Banco de la Nacion")</f>
        <v/>
      </c>
      <c r="H244">
        <f>IF($C244="","",Registro_Compras!$C$30)</f>
        <v/>
      </c>
    </row>
    <row r="245">
      <c r="A245" s="25">
        <f>IF($C245="","",Registro_Compras!$X$30)</f>
        <v/>
      </c>
      <c r="B245">
        <f>IF($C245="","","C"&amp;TEXT(INT((ROW()-5)/9)+1,"000")&amp;"-3")</f>
        <v/>
      </c>
      <c r="C245">
        <f>IF(OR(Registro_Compras!$C$30="",Registro_Compras!$O$30="",Registro_Compras!$R$30&lt;&gt;"SI",Registro_Compras!$X$30=""),"","10413")</f>
        <v/>
      </c>
      <c r="D245">
        <f>IF(OR(Registro_Compras!$C$30="",Registro_Compras!$O$30=""),"","Efectivo y Equivalentes - Cta. Cte. Operativa")</f>
        <v/>
      </c>
      <c r="E245" s="20">
        <f>""</f>
        <v/>
      </c>
      <c r="F245" s="20">
        <f>IF($C245="","",Registro_Compras!$S$30)</f>
        <v/>
      </c>
      <c r="G245">
        <f>IF($C245="","","Por el deposito de la detraccion en el Banco de la Nacion")</f>
        <v/>
      </c>
      <c r="H245">
        <f>IF($C245="","",Registro_Compras!$C$30)</f>
        <v/>
      </c>
    </row>
    <row r="246">
      <c r="A246" s="25">
        <f>IF($C246="","",Registro_Compras!$Y$30)</f>
        <v/>
      </c>
      <c r="B246">
        <f>IF($C246="","","C"&amp;TEXT(INT((ROW()-5)/9)+1,"000")&amp;"-4")</f>
        <v/>
      </c>
      <c r="C246">
        <f>IF(OR(Registro_Compras!$C$30="",Registro_Compras!$O$30="",Registro_Compras!$Y$30="",Registro_Compras!$F$30="NOTA DE CREDITO"),"","4212")</f>
        <v/>
      </c>
      <c r="D246">
        <f>IF(OR(Registro_Compras!$C$30="",Registro_Compras!$O$30=""),"","Cuentas por Pagar Comerciales - Terceros")</f>
        <v/>
      </c>
      <c r="E246" s="20">
        <f>IF($C246="","",IF(Registro_Compras!$F$30="RHE",(ROUND(Registro_Compras!$L$30*Registro_Compras!$N$30,2)-ROUND(Registro_Compras!$V$30*Registro_Compras!$N$30,2)),ROUND(Registro_Compras!$O$30-Registro_Compras!$S$30,2)))</f>
        <v/>
      </c>
      <c r="F246" s="20">
        <f>""</f>
        <v/>
      </c>
      <c r="G246">
        <f>IF($C246="","","Por la cancelacion del saldo al proveedor")</f>
        <v/>
      </c>
      <c r="H246">
        <f>IF($C246="","",Registro_Compras!$C$30)</f>
        <v/>
      </c>
    </row>
    <row r="247">
      <c r="A247" s="25">
        <f>IF($C247="","",Registro_Compras!$Y$30)</f>
        <v/>
      </c>
      <c r="B247">
        <f>IF($C247="","","C"&amp;TEXT(INT((ROW()-5)/9)+1,"000")&amp;"-4")</f>
        <v/>
      </c>
      <c r="C247">
        <f>IF(OR(Registro_Compras!$C$30="",Registro_Compras!$O$30="",Registro_Compras!$Y$30="",Registro_Compras!$F$30="NOTA DE CREDITO"),"","10413")</f>
        <v/>
      </c>
      <c r="D247">
        <f>IF(OR(Registro_Compras!$C$30="",Registro_Compras!$O$30=""),"","Efectivo y Equivalentes - Cta. Cte. Operativa")</f>
        <v/>
      </c>
      <c r="E247" s="20">
        <f>""</f>
        <v/>
      </c>
      <c r="F247" s="20">
        <f>IF($C247="","",IF(Registro_Compras!$F$30="RHE",(ROUND(Registro_Compras!$L$30*Registro_Compras!$N$30,2)-ROUND(Registro_Compras!$V$30*Registro_Compras!$N$30,2)),ROUND(Registro_Compras!$O$30-Registro_Compras!$S$30,2)))</f>
        <v/>
      </c>
      <c r="G247">
        <f>IF($C247="","","Por la cancelacion del saldo al proveedor")</f>
        <v/>
      </c>
      <c r="H247">
        <f>IF($C247="","",Registro_Compras!$C$30)</f>
        <v/>
      </c>
    </row>
    <row r="248">
      <c r="A248" s="25">
        <f>IF($C248="","",Registro_Compras!$B$31)</f>
        <v/>
      </c>
      <c r="B248">
        <f>IF($C248="","","C"&amp;TEXT(INT((ROW()-5)/9)+1,"000")&amp;"-1")</f>
        <v/>
      </c>
      <c r="C248">
        <f>IF(OR(Registro_Compras!$C$31="",Registro_Compras!$O$31=""),"",IF(Registro_Compras!$F$31="NOTA DE CREDITO","4212",IF(Registro_Compras!$M$31="","63",Registro_Compras!$M$31)))</f>
        <v/>
      </c>
      <c r="D248">
        <f>IF(OR(Registro_Compras!$C$31="",Registro_Compras!$O$31=""),"",IF(Registro_Compras!$F$31="NOTA DE CREDITO","Cuentas por Pagar Comerciales - Terceros (Emitidas)",IF(Registro_Compras!$F$31="RHE","Honorarios Profesionales - Servicios de Terceros","Gastos de Servicios Prestados por Terceros")))</f>
        <v/>
      </c>
      <c r="E248" s="20">
        <f>IF($C248="","",IF(Registro_Compras!$F$31="NOTA DE CREDITO",ABS(Registro_Compras!$O$31),IF(Registro_Compras!$F$31="RHE",ROUND(Registro_Compras!$L$31*Registro_Compras!$N$31,2),ROUND(Registro_Compras!$J$31*Registro_Compras!$N$31,2))))</f>
        <v/>
      </c>
      <c r="F248" s="20">
        <f>""</f>
        <v/>
      </c>
      <c r="G248">
        <f>IF($C248="","",IF(Registro_Compras!$F$31="NOTA DE CREDITO","Por la nota de credito "&amp;Registro_Compras!$C$31&amp;" de "&amp;Registro_Compras!$E$31&amp;" [PATRON POR CONFIRMAR CON CONTADOR]",IF(Registro_Compras!$F$31="RHE","Por el registro del recibo por honorarios "&amp;Registro_Compras!$C$31&amp;" de "&amp;Registro_Compras!$E$31&amp;" [PATRON POR CONFIRMAR CON CONTADOR]","Por el registro de la factura "&amp;Registro_Compras!$C$31&amp;" de "&amp;Registro_Compras!$E$31)))</f>
        <v/>
      </c>
      <c r="H248">
        <f>IF($C248="","",Registro_Compras!$C$31)</f>
        <v/>
      </c>
    </row>
    <row r="249">
      <c r="A249" s="25">
        <f>IF($C249="","",Registro_Compras!$B$31)</f>
        <v/>
      </c>
      <c r="B249">
        <f>IF($C249="","","C"&amp;TEXT(INT((ROW()-5)/9)+1,"000")&amp;"-1")</f>
        <v/>
      </c>
      <c r="C249">
        <f>IF(OR(Registro_Compras!$C$31="",Registro_Compras!$O$31=""),"",IF(Registro_Compras!$F$31="RHE",IF(Registro_Compras!$V$31=0,"","40172"),IF(Registro_Compras!$F$31="NOTA DE CREDITO",IF(Registro_Compras!$M$31="","63",Registro_Compras!$M$31),IF(Registro_Compras!$K$31=0,"","40111"))))</f>
        <v/>
      </c>
      <c r="D249">
        <f>IF(OR(Registro_Compras!$C$31="",Registro_Compras!$O$31=""),"",IF(Registro_Compras!$F$31="RHE","Retencion Renta 4ta Categoria por Pagar",IF(Registro_Compras!$F$31="NOTA DE CREDITO","Gastos de Servicios Prestados por Terceros","IGV - Cuenta Propia (Credito Fiscal)")))</f>
        <v/>
      </c>
      <c r="E249" s="20">
        <f>IF($C249="","",IF(Registro_Compras!$F$31="FACTURA",ROUND(Registro_Compras!$K$31*Registro_Compras!$N$31,2),""))</f>
        <v/>
      </c>
      <c r="F249" s="20">
        <f>IF($C249="","",IF(Registro_Compras!$F$31="RHE",ROUND(Registro_Compras!$V$31*Registro_Compras!$N$31,2),IF(Registro_Compras!$F$31="NOTA DE CREDITO",ROUND(ABS(Registro_Compras!$J$31*Registro_Compras!$N$31),2),"")))</f>
        <v/>
      </c>
      <c r="G249">
        <f>IF($C249="","",IF(Registro_Compras!$F$31="NOTA DE CREDITO","Por la nota de credito "&amp;Registro_Compras!$C$31&amp;" de "&amp;Registro_Compras!$E$31&amp;" [PATRON POR CONFIRMAR CON CONTADOR]",IF(Registro_Compras!$F$31="RHE","Por el registro del recibo por honorarios "&amp;Registro_Compras!$C$31&amp;" de "&amp;Registro_Compras!$E$31&amp;" [PATRON POR CONFIRMAR CON CONTADOR]","Por el registro de la factura "&amp;Registro_Compras!$C$31&amp;" de "&amp;Registro_Compras!$E$31)))</f>
        <v/>
      </c>
      <c r="H249">
        <f>IF($C249="","",Registro_Compras!$C$31)</f>
        <v/>
      </c>
    </row>
    <row r="250">
      <c r="A250" s="25">
        <f>IF($C250="","",Registro_Compras!$B$31)</f>
        <v/>
      </c>
      <c r="B250">
        <f>IF($C250="","","C"&amp;TEXT(INT((ROW()-5)/9)+1,"000")&amp;"-1")</f>
        <v/>
      </c>
      <c r="C250">
        <f>IF(OR(Registro_Compras!$C$31="",Registro_Compras!$O$31=""),"",IF(Registro_Compras!$F$31="NOTA DE CREDITO",IF(Registro_Compras!$K$31=0,"","40111"),"4212"))</f>
        <v/>
      </c>
      <c r="D250">
        <f>IF(OR(Registro_Compras!$C$31="",Registro_Compras!$O$31=""),"",IF(Registro_Compras!$F$31="NOTA DE CREDITO","IGV - Cuenta Propia (Credito Fiscal)","Cuentas por Pagar Comerciales - Terceros (Emitidas)"))</f>
        <v/>
      </c>
      <c r="E250" s="20">
        <f>""</f>
        <v/>
      </c>
      <c r="F250" s="20">
        <f>IF($C250="","",IF(Registro_Compras!$F$31="NOTA DE CREDITO",ROUND(ABS(Registro_Compras!$K$31*Registro_Compras!$N$31),2),IF(Registro_Compras!$F$31="RHE",(ROUND(Registro_Compras!$L$31*Registro_Compras!$N$31,2)-ROUND(Registro_Compras!$V$31*Registro_Compras!$N$31,2)),Registro_Compras!$O$31)))</f>
        <v/>
      </c>
      <c r="G250">
        <f>IF($C250="","",IF(Registro_Compras!$F$31="NOTA DE CREDITO","Por la nota de credito "&amp;Registro_Compras!$C$31&amp;" de "&amp;Registro_Compras!$E$31&amp;" [PATRON POR CONFIRMAR CON CONTADOR]",IF(Registro_Compras!$F$31="RHE","Por el registro del recibo por honorarios "&amp;Registro_Compras!$C$31&amp;" de "&amp;Registro_Compras!$E$31&amp;" [PATRON POR CONFIRMAR CON CONTADOR]","Por el registro de la factura "&amp;Registro_Compras!$C$31&amp;" de "&amp;Registro_Compras!$E$31)))</f>
        <v/>
      </c>
      <c r="H250">
        <f>IF($C250="","",Registro_Compras!$C$31)</f>
        <v/>
      </c>
    </row>
    <row r="251">
      <c r="A251" s="25">
        <f>IF($C251="","",Registro_Compras!$B$31)</f>
        <v/>
      </c>
      <c r="B251">
        <f>IF($C251="","","C"&amp;TEXT(INT((ROW()-5)/9)+1,"000")&amp;"-2")</f>
        <v/>
      </c>
      <c r="C251">
        <f>IF(OR(Registro_Compras!$C$31="",Registro_Compras!$O$31=""),"",IF(Registro_Compras!$AB$31="ADMINISTRATIVO","94","95"))</f>
        <v/>
      </c>
      <c r="D251">
        <f>IF(OR(Registro_Compras!$C$31="",Registro_Compras!$O$31=""),"",IF(Registro_Compras!$AB$31="ADMINISTRATIVO","Gastos Administrativos","Gastos de Venta y Operacion"))</f>
        <v/>
      </c>
      <c r="E251" s="20">
        <f>IF($C251="","",IF(Registro_Compras!$F$31="NOTA DE CREDITO","",IF(Registro_Compras!$F$31="RHE",ROUND(Registro_Compras!$L$31*Registro_Compras!$N$31,2),ROUND(Registro_Compras!$J$31*Registro_Compras!$N$31,2))))</f>
        <v/>
      </c>
      <c r="F251" s="20">
        <f>IF($C251="","",IF(Registro_Compras!$F$31="NOTA DE CREDITO",ROUND(ABS(Registro_Compras!$J$31*Registro_Compras!$N$31),2),""))</f>
        <v/>
      </c>
      <c r="G251">
        <f>IF($C251="","","Por el destino del gasto")</f>
        <v/>
      </c>
      <c r="H251">
        <f>IF($C251="","",Registro_Compras!$C$31)</f>
        <v/>
      </c>
    </row>
    <row r="252">
      <c r="A252" s="25">
        <f>IF($C252="","",Registro_Compras!$B$31)</f>
        <v/>
      </c>
      <c r="B252">
        <f>IF($C252="","","C"&amp;TEXT(INT((ROW()-5)/9)+1,"000")&amp;"-2")</f>
        <v/>
      </c>
      <c r="C252">
        <f>IF(OR(Registro_Compras!$C$31="",Registro_Compras!$O$31=""),"","79/791")</f>
        <v/>
      </c>
      <c r="D252">
        <f>IF(OR(Registro_Compras!$C$31="",Registro_Compras!$O$31=""),"","Cargas Imputables a Cuentas de Costos y Gastos")</f>
        <v/>
      </c>
      <c r="E252" s="20">
        <f>IF($C252="","",IF(Registro_Compras!$F$31="NOTA DE CREDITO",ROUND(ABS(Registro_Compras!$J$31*Registro_Compras!$N$31),2),""))</f>
        <v/>
      </c>
      <c r="F252" s="20">
        <f>IF($C252="","",IF(Registro_Compras!$F$31="NOTA DE CREDITO","",IF(Registro_Compras!$F$31="RHE",ROUND(Registro_Compras!$L$31*Registro_Compras!$N$31,2),ROUND(Registro_Compras!$J$31*Registro_Compras!$N$31,2))))</f>
        <v/>
      </c>
      <c r="G252">
        <f>IF($C252="","","Por el destino del gasto")</f>
        <v/>
      </c>
      <c r="H252">
        <f>IF($C252="","",Registro_Compras!$C$31)</f>
        <v/>
      </c>
    </row>
    <row r="253">
      <c r="A253" s="25">
        <f>IF($C253="","",Registro_Compras!$X$31)</f>
        <v/>
      </c>
      <c r="B253">
        <f>IF($C253="","","C"&amp;TEXT(INT((ROW()-5)/9)+1,"000")&amp;"-3")</f>
        <v/>
      </c>
      <c r="C253">
        <f>IF(OR(Registro_Compras!$C$31="",Registro_Compras!$O$31="",Registro_Compras!$R$31&lt;&gt;"SI",Registro_Compras!$X$31=""),"","4212")</f>
        <v/>
      </c>
      <c r="D253">
        <f>IF(OR(Registro_Compras!$C$31="",Registro_Compras!$O$31=""),"","Cuentas por Pagar Comerciales - Terceros")</f>
        <v/>
      </c>
      <c r="E253" s="20">
        <f>IF($C253="","",Registro_Compras!$S$31)</f>
        <v/>
      </c>
      <c r="F253" s="20">
        <f>""</f>
        <v/>
      </c>
      <c r="G253">
        <f>IF($C253="","","Por el deposito de la detraccion en el Banco de la Nacion")</f>
        <v/>
      </c>
      <c r="H253">
        <f>IF($C253="","",Registro_Compras!$C$31)</f>
        <v/>
      </c>
    </row>
    <row r="254">
      <c r="A254" s="25">
        <f>IF($C254="","",Registro_Compras!$X$31)</f>
        <v/>
      </c>
      <c r="B254">
        <f>IF($C254="","","C"&amp;TEXT(INT((ROW()-5)/9)+1,"000")&amp;"-3")</f>
        <v/>
      </c>
      <c r="C254">
        <f>IF(OR(Registro_Compras!$C$31="",Registro_Compras!$O$31="",Registro_Compras!$R$31&lt;&gt;"SI",Registro_Compras!$X$31=""),"","10413")</f>
        <v/>
      </c>
      <c r="D254">
        <f>IF(OR(Registro_Compras!$C$31="",Registro_Compras!$O$31=""),"","Efectivo y Equivalentes - Cta. Cte. Operativa")</f>
        <v/>
      </c>
      <c r="E254" s="20">
        <f>""</f>
        <v/>
      </c>
      <c r="F254" s="20">
        <f>IF($C254="","",Registro_Compras!$S$31)</f>
        <v/>
      </c>
      <c r="G254">
        <f>IF($C254="","","Por el deposito de la detraccion en el Banco de la Nacion")</f>
        <v/>
      </c>
      <c r="H254">
        <f>IF($C254="","",Registro_Compras!$C$31)</f>
        <v/>
      </c>
    </row>
    <row r="255">
      <c r="A255" s="25">
        <f>IF($C255="","",Registro_Compras!$Y$31)</f>
        <v/>
      </c>
      <c r="B255">
        <f>IF($C255="","","C"&amp;TEXT(INT((ROW()-5)/9)+1,"000")&amp;"-4")</f>
        <v/>
      </c>
      <c r="C255">
        <f>IF(OR(Registro_Compras!$C$31="",Registro_Compras!$O$31="",Registro_Compras!$Y$31="",Registro_Compras!$F$31="NOTA DE CREDITO"),"","4212")</f>
        <v/>
      </c>
      <c r="D255">
        <f>IF(OR(Registro_Compras!$C$31="",Registro_Compras!$O$31=""),"","Cuentas por Pagar Comerciales - Terceros")</f>
        <v/>
      </c>
      <c r="E255" s="20">
        <f>IF($C255="","",IF(Registro_Compras!$F$31="RHE",(ROUND(Registro_Compras!$L$31*Registro_Compras!$N$31,2)-ROUND(Registro_Compras!$V$31*Registro_Compras!$N$31,2)),ROUND(Registro_Compras!$O$31-Registro_Compras!$S$31,2)))</f>
        <v/>
      </c>
      <c r="F255" s="20">
        <f>""</f>
        <v/>
      </c>
      <c r="G255">
        <f>IF($C255="","","Por la cancelacion del saldo al proveedor")</f>
        <v/>
      </c>
      <c r="H255">
        <f>IF($C255="","",Registro_Compras!$C$31)</f>
        <v/>
      </c>
    </row>
    <row r="256">
      <c r="A256" s="25">
        <f>IF($C256="","",Registro_Compras!$Y$31)</f>
        <v/>
      </c>
      <c r="B256">
        <f>IF($C256="","","C"&amp;TEXT(INT((ROW()-5)/9)+1,"000")&amp;"-4")</f>
        <v/>
      </c>
      <c r="C256">
        <f>IF(OR(Registro_Compras!$C$31="",Registro_Compras!$O$31="",Registro_Compras!$Y$31="",Registro_Compras!$F$31="NOTA DE CREDITO"),"","10413")</f>
        <v/>
      </c>
      <c r="D256">
        <f>IF(OR(Registro_Compras!$C$31="",Registro_Compras!$O$31=""),"","Efectivo y Equivalentes - Cta. Cte. Operativa")</f>
        <v/>
      </c>
      <c r="E256" s="20">
        <f>""</f>
        <v/>
      </c>
      <c r="F256" s="20">
        <f>IF($C256="","",IF(Registro_Compras!$F$31="RHE",(ROUND(Registro_Compras!$L$31*Registro_Compras!$N$31,2)-ROUND(Registro_Compras!$V$31*Registro_Compras!$N$31,2)),ROUND(Registro_Compras!$O$31-Registro_Compras!$S$31,2)))</f>
        <v/>
      </c>
      <c r="G256">
        <f>IF($C256="","","Por la cancelacion del saldo al proveedor")</f>
        <v/>
      </c>
      <c r="H256">
        <f>IF($C256="","",Registro_Compras!$C$31)</f>
        <v/>
      </c>
    </row>
    <row r="257">
      <c r="A257" s="25">
        <f>IF($C257="","",Registro_Compras!$B$32)</f>
        <v/>
      </c>
      <c r="B257">
        <f>IF($C257="","","C"&amp;TEXT(INT((ROW()-5)/9)+1,"000")&amp;"-1")</f>
        <v/>
      </c>
      <c r="C257">
        <f>IF(OR(Registro_Compras!$C$32="",Registro_Compras!$O$32=""),"",IF(Registro_Compras!$F$32="NOTA DE CREDITO","4212",IF(Registro_Compras!$M$32="","63",Registro_Compras!$M$32)))</f>
        <v/>
      </c>
      <c r="D257">
        <f>IF(OR(Registro_Compras!$C$32="",Registro_Compras!$O$32=""),"",IF(Registro_Compras!$F$32="NOTA DE CREDITO","Cuentas por Pagar Comerciales - Terceros (Emitidas)",IF(Registro_Compras!$F$32="RHE","Honorarios Profesionales - Servicios de Terceros","Gastos de Servicios Prestados por Terceros")))</f>
        <v/>
      </c>
      <c r="E257" s="20">
        <f>IF($C257="","",IF(Registro_Compras!$F$32="NOTA DE CREDITO",ABS(Registro_Compras!$O$32),IF(Registro_Compras!$F$32="RHE",ROUND(Registro_Compras!$L$32*Registro_Compras!$N$32,2),ROUND(Registro_Compras!$J$32*Registro_Compras!$N$32,2))))</f>
        <v/>
      </c>
      <c r="F257" s="20">
        <f>""</f>
        <v/>
      </c>
      <c r="G257">
        <f>IF($C257="","",IF(Registro_Compras!$F$32="NOTA DE CREDITO","Por la nota de credito "&amp;Registro_Compras!$C$32&amp;" de "&amp;Registro_Compras!$E$32&amp;" [PATRON POR CONFIRMAR CON CONTADOR]",IF(Registro_Compras!$F$32="RHE","Por el registro del recibo por honorarios "&amp;Registro_Compras!$C$32&amp;" de "&amp;Registro_Compras!$E$32&amp;" [PATRON POR CONFIRMAR CON CONTADOR]","Por el registro de la factura "&amp;Registro_Compras!$C$32&amp;" de "&amp;Registro_Compras!$E$32)))</f>
        <v/>
      </c>
      <c r="H257">
        <f>IF($C257="","",Registro_Compras!$C$32)</f>
        <v/>
      </c>
    </row>
    <row r="258">
      <c r="A258" s="25">
        <f>IF($C258="","",Registro_Compras!$B$32)</f>
        <v/>
      </c>
      <c r="B258">
        <f>IF($C258="","","C"&amp;TEXT(INT((ROW()-5)/9)+1,"000")&amp;"-1")</f>
        <v/>
      </c>
      <c r="C258">
        <f>IF(OR(Registro_Compras!$C$32="",Registro_Compras!$O$32=""),"",IF(Registro_Compras!$F$32="RHE",IF(Registro_Compras!$V$32=0,"","40172"),IF(Registro_Compras!$F$32="NOTA DE CREDITO",IF(Registro_Compras!$M$32="","63",Registro_Compras!$M$32),IF(Registro_Compras!$K$32=0,"","40111"))))</f>
        <v/>
      </c>
      <c r="D258">
        <f>IF(OR(Registro_Compras!$C$32="",Registro_Compras!$O$32=""),"",IF(Registro_Compras!$F$32="RHE","Retencion Renta 4ta Categoria por Pagar",IF(Registro_Compras!$F$32="NOTA DE CREDITO","Gastos de Servicios Prestados por Terceros","IGV - Cuenta Propia (Credito Fiscal)")))</f>
        <v/>
      </c>
      <c r="E258" s="20">
        <f>IF($C258="","",IF(Registro_Compras!$F$32="FACTURA",ROUND(Registro_Compras!$K$32*Registro_Compras!$N$32,2),""))</f>
        <v/>
      </c>
      <c r="F258" s="20">
        <f>IF($C258="","",IF(Registro_Compras!$F$32="RHE",ROUND(Registro_Compras!$V$32*Registro_Compras!$N$32,2),IF(Registro_Compras!$F$32="NOTA DE CREDITO",ROUND(ABS(Registro_Compras!$J$32*Registro_Compras!$N$32),2),"")))</f>
        <v/>
      </c>
      <c r="G258">
        <f>IF($C258="","",IF(Registro_Compras!$F$32="NOTA DE CREDITO","Por la nota de credito "&amp;Registro_Compras!$C$32&amp;" de "&amp;Registro_Compras!$E$32&amp;" [PATRON POR CONFIRMAR CON CONTADOR]",IF(Registro_Compras!$F$32="RHE","Por el registro del recibo por honorarios "&amp;Registro_Compras!$C$32&amp;" de "&amp;Registro_Compras!$E$32&amp;" [PATRON POR CONFIRMAR CON CONTADOR]","Por el registro de la factura "&amp;Registro_Compras!$C$32&amp;" de "&amp;Registro_Compras!$E$32)))</f>
        <v/>
      </c>
      <c r="H258">
        <f>IF($C258="","",Registro_Compras!$C$32)</f>
        <v/>
      </c>
    </row>
    <row r="259">
      <c r="A259" s="25">
        <f>IF($C259="","",Registro_Compras!$B$32)</f>
        <v/>
      </c>
      <c r="B259">
        <f>IF($C259="","","C"&amp;TEXT(INT((ROW()-5)/9)+1,"000")&amp;"-1")</f>
        <v/>
      </c>
      <c r="C259">
        <f>IF(OR(Registro_Compras!$C$32="",Registro_Compras!$O$32=""),"",IF(Registro_Compras!$F$32="NOTA DE CREDITO",IF(Registro_Compras!$K$32=0,"","40111"),"4212"))</f>
        <v/>
      </c>
      <c r="D259">
        <f>IF(OR(Registro_Compras!$C$32="",Registro_Compras!$O$32=""),"",IF(Registro_Compras!$F$32="NOTA DE CREDITO","IGV - Cuenta Propia (Credito Fiscal)","Cuentas por Pagar Comerciales - Terceros (Emitidas)"))</f>
        <v/>
      </c>
      <c r="E259" s="20">
        <f>""</f>
        <v/>
      </c>
      <c r="F259" s="20">
        <f>IF($C259="","",IF(Registro_Compras!$F$32="NOTA DE CREDITO",ROUND(ABS(Registro_Compras!$K$32*Registro_Compras!$N$32),2),IF(Registro_Compras!$F$32="RHE",(ROUND(Registro_Compras!$L$32*Registro_Compras!$N$32,2)-ROUND(Registro_Compras!$V$32*Registro_Compras!$N$32,2)),Registro_Compras!$O$32)))</f>
        <v/>
      </c>
      <c r="G259">
        <f>IF($C259="","",IF(Registro_Compras!$F$32="NOTA DE CREDITO","Por la nota de credito "&amp;Registro_Compras!$C$32&amp;" de "&amp;Registro_Compras!$E$32&amp;" [PATRON POR CONFIRMAR CON CONTADOR]",IF(Registro_Compras!$F$32="RHE","Por el registro del recibo por honorarios "&amp;Registro_Compras!$C$32&amp;" de "&amp;Registro_Compras!$E$32&amp;" [PATRON POR CONFIRMAR CON CONTADOR]","Por el registro de la factura "&amp;Registro_Compras!$C$32&amp;" de "&amp;Registro_Compras!$E$32)))</f>
        <v/>
      </c>
      <c r="H259">
        <f>IF($C259="","",Registro_Compras!$C$32)</f>
        <v/>
      </c>
    </row>
    <row r="260">
      <c r="A260" s="25">
        <f>IF($C260="","",Registro_Compras!$B$32)</f>
        <v/>
      </c>
      <c r="B260">
        <f>IF($C260="","","C"&amp;TEXT(INT((ROW()-5)/9)+1,"000")&amp;"-2")</f>
        <v/>
      </c>
      <c r="C260">
        <f>IF(OR(Registro_Compras!$C$32="",Registro_Compras!$O$32=""),"",IF(Registro_Compras!$AB$32="ADMINISTRATIVO","94","95"))</f>
        <v/>
      </c>
      <c r="D260">
        <f>IF(OR(Registro_Compras!$C$32="",Registro_Compras!$O$32=""),"",IF(Registro_Compras!$AB$32="ADMINISTRATIVO","Gastos Administrativos","Gastos de Venta y Operacion"))</f>
        <v/>
      </c>
      <c r="E260" s="20">
        <f>IF($C260="","",IF(Registro_Compras!$F$32="NOTA DE CREDITO","",IF(Registro_Compras!$F$32="RHE",ROUND(Registro_Compras!$L$32*Registro_Compras!$N$32,2),ROUND(Registro_Compras!$J$32*Registro_Compras!$N$32,2))))</f>
        <v/>
      </c>
      <c r="F260" s="20">
        <f>IF($C260="","",IF(Registro_Compras!$F$32="NOTA DE CREDITO",ROUND(ABS(Registro_Compras!$J$32*Registro_Compras!$N$32),2),""))</f>
        <v/>
      </c>
      <c r="G260">
        <f>IF($C260="","","Por el destino del gasto")</f>
        <v/>
      </c>
      <c r="H260">
        <f>IF($C260="","",Registro_Compras!$C$32)</f>
        <v/>
      </c>
    </row>
    <row r="261">
      <c r="A261" s="25">
        <f>IF($C261="","",Registro_Compras!$B$32)</f>
        <v/>
      </c>
      <c r="B261">
        <f>IF($C261="","","C"&amp;TEXT(INT((ROW()-5)/9)+1,"000")&amp;"-2")</f>
        <v/>
      </c>
      <c r="C261">
        <f>IF(OR(Registro_Compras!$C$32="",Registro_Compras!$O$32=""),"","79/791")</f>
        <v/>
      </c>
      <c r="D261">
        <f>IF(OR(Registro_Compras!$C$32="",Registro_Compras!$O$32=""),"","Cargas Imputables a Cuentas de Costos y Gastos")</f>
        <v/>
      </c>
      <c r="E261" s="20">
        <f>IF($C261="","",IF(Registro_Compras!$F$32="NOTA DE CREDITO",ROUND(ABS(Registro_Compras!$J$32*Registro_Compras!$N$32),2),""))</f>
        <v/>
      </c>
      <c r="F261" s="20">
        <f>IF($C261="","",IF(Registro_Compras!$F$32="NOTA DE CREDITO","",IF(Registro_Compras!$F$32="RHE",ROUND(Registro_Compras!$L$32*Registro_Compras!$N$32,2),ROUND(Registro_Compras!$J$32*Registro_Compras!$N$32,2))))</f>
        <v/>
      </c>
      <c r="G261">
        <f>IF($C261="","","Por el destino del gasto")</f>
        <v/>
      </c>
      <c r="H261">
        <f>IF($C261="","",Registro_Compras!$C$32)</f>
        <v/>
      </c>
    </row>
    <row r="262">
      <c r="A262" s="25">
        <f>IF($C262="","",Registro_Compras!$X$32)</f>
        <v/>
      </c>
      <c r="B262">
        <f>IF($C262="","","C"&amp;TEXT(INT((ROW()-5)/9)+1,"000")&amp;"-3")</f>
        <v/>
      </c>
      <c r="C262">
        <f>IF(OR(Registro_Compras!$C$32="",Registro_Compras!$O$32="",Registro_Compras!$R$32&lt;&gt;"SI",Registro_Compras!$X$32=""),"","4212")</f>
        <v/>
      </c>
      <c r="D262">
        <f>IF(OR(Registro_Compras!$C$32="",Registro_Compras!$O$32=""),"","Cuentas por Pagar Comerciales - Terceros")</f>
        <v/>
      </c>
      <c r="E262" s="20">
        <f>IF($C262="","",Registro_Compras!$S$32)</f>
        <v/>
      </c>
      <c r="F262" s="20">
        <f>""</f>
        <v/>
      </c>
      <c r="G262">
        <f>IF($C262="","","Por el deposito de la detraccion en el Banco de la Nacion")</f>
        <v/>
      </c>
      <c r="H262">
        <f>IF($C262="","",Registro_Compras!$C$32)</f>
        <v/>
      </c>
    </row>
    <row r="263">
      <c r="A263" s="25">
        <f>IF($C263="","",Registro_Compras!$X$32)</f>
        <v/>
      </c>
      <c r="B263">
        <f>IF($C263="","","C"&amp;TEXT(INT((ROW()-5)/9)+1,"000")&amp;"-3")</f>
        <v/>
      </c>
      <c r="C263">
        <f>IF(OR(Registro_Compras!$C$32="",Registro_Compras!$O$32="",Registro_Compras!$R$32&lt;&gt;"SI",Registro_Compras!$X$32=""),"","10413")</f>
        <v/>
      </c>
      <c r="D263">
        <f>IF(OR(Registro_Compras!$C$32="",Registro_Compras!$O$32=""),"","Efectivo y Equivalentes - Cta. Cte. Operativa")</f>
        <v/>
      </c>
      <c r="E263" s="20">
        <f>""</f>
        <v/>
      </c>
      <c r="F263" s="20">
        <f>IF($C263="","",Registro_Compras!$S$32)</f>
        <v/>
      </c>
      <c r="G263">
        <f>IF($C263="","","Por el deposito de la detraccion en el Banco de la Nacion")</f>
        <v/>
      </c>
      <c r="H263">
        <f>IF($C263="","",Registro_Compras!$C$32)</f>
        <v/>
      </c>
    </row>
    <row r="264">
      <c r="A264" s="25">
        <f>IF($C264="","",Registro_Compras!$Y$32)</f>
        <v/>
      </c>
      <c r="B264">
        <f>IF($C264="","","C"&amp;TEXT(INT((ROW()-5)/9)+1,"000")&amp;"-4")</f>
        <v/>
      </c>
      <c r="C264">
        <f>IF(OR(Registro_Compras!$C$32="",Registro_Compras!$O$32="",Registro_Compras!$Y$32="",Registro_Compras!$F$32="NOTA DE CREDITO"),"","4212")</f>
        <v/>
      </c>
      <c r="D264">
        <f>IF(OR(Registro_Compras!$C$32="",Registro_Compras!$O$32=""),"","Cuentas por Pagar Comerciales - Terceros")</f>
        <v/>
      </c>
      <c r="E264" s="20">
        <f>IF($C264="","",IF(Registro_Compras!$F$32="RHE",(ROUND(Registro_Compras!$L$32*Registro_Compras!$N$32,2)-ROUND(Registro_Compras!$V$32*Registro_Compras!$N$32,2)),ROUND(Registro_Compras!$O$32-Registro_Compras!$S$32,2)))</f>
        <v/>
      </c>
      <c r="F264" s="20">
        <f>""</f>
        <v/>
      </c>
      <c r="G264">
        <f>IF($C264="","","Por la cancelacion del saldo al proveedor")</f>
        <v/>
      </c>
      <c r="H264">
        <f>IF($C264="","",Registro_Compras!$C$32)</f>
        <v/>
      </c>
    </row>
    <row r="265">
      <c r="A265" s="25">
        <f>IF($C265="","",Registro_Compras!$Y$32)</f>
        <v/>
      </c>
      <c r="B265">
        <f>IF($C265="","","C"&amp;TEXT(INT((ROW()-5)/9)+1,"000")&amp;"-4")</f>
        <v/>
      </c>
      <c r="C265">
        <f>IF(OR(Registro_Compras!$C$32="",Registro_Compras!$O$32="",Registro_Compras!$Y$32="",Registro_Compras!$F$32="NOTA DE CREDITO"),"","10413")</f>
        <v/>
      </c>
      <c r="D265">
        <f>IF(OR(Registro_Compras!$C$32="",Registro_Compras!$O$32=""),"","Efectivo y Equivalentes - Cta. Cte. Operativa")</f>
        <v/>
      </c>
      <c r="E265" s="20">
        <f>""</f>
        <v/>
      </c>
      <c r="F265" s="20">
        <f>IF($C265="","",IF(Registro_Compras!$F$32="RHE",(ROUND(Registro_Compras!$L$32*Registro_Compras!$N$32,2)-ROUND(Registro_Compras!$V$32*Registro_Compras!$N$32,2)),ROUND(Registro_Compras!$O$32-Registro_Compras!$S$32,2)))</f>
        <v/>
      </c>
      <c r="G265">
        <f>IF($C265="","","Por la cancelacion del saldo al proveedor")</f>
        <v/>
      </c>
      <c r="H265">
        <f>IF($C265="","",Registro_Compras!$C$32)</f>
        <v/>
      </c>
    </row>
    <row r="266">
      <c r="A266" s="25">
        <f>IF($C266="","",Registro_Compras!$B$33)</f>
        <v/>
      </c>
      <c r="B266">
        <f>IF($C266="","","C"&amp;TEXT(INT((ROW()-5)/9)+1,"000")&amp;"-1")</f>
        <v/>
      </c>
      <c r="C266">
        <f>IF(OR(Registro_Compras!$C$33="",Registro_Compras!$O$33=""),"",IF(Registro_Compras!$F$33="NOTA DE CREDITO","4212",IF(Registro_Compras!$M$33="","63",Registro_Compras!$M$33)))</f>
        <v/>
      </c>
      <c r="D266">
        <f>IF(OR(Registro_Compras!$C$33="",Registro_Compras!$O$33=""),"",IF(Registro_Compras!$F$33="NOTA DE CREDITO","Cuentas por Pagar Comerciales - Terceros (Emitidas)",IF(Registro_Compras!$F$33="RHE","Honorarios Profesionales - Servicios de Terceros","Gastos de Servicios Prestados por Terceros")))</f>
        <v/>
      </c>
      <c r="E266" s="20">
        <f>IF($C266="","",IF(Registro_Compras!$F$33="NOTA DE CREDITO",ABS(Registro_Compras!$O$33),IF(Registro_Compras!$F$33="RHE",ROUND(Registro_Compras!$L$33*Registro_Compras!$N$33,2),ROUND(Registro_Compras!$J$33*Registro_Compras!$N$33,2))))</f>
        <v/>
      </c>
      <c r="F266" s="20">
        <f>""</f>
        <v/>
      </c>
      <c r="G266">
        <f>IF($C266="","",IF(Registro_Compras!$F$33="NOTA DE CREDITO","Por la nota de credito "&amp;Registro_Compras!$C$33&amp;" de "&amp;Registro_Compras!$E$33&amp;" [PATRON POR CONFIRMAR CON CONTADOR]",IF(Registro_Compras!$F$33="RHE","Por el registro del recibo por honorarios "&amp;Registro_Compras!$C$33&amp;" de "&amp;Registro_Compras!$E$33&amp;" [PATRON POR CONFIRMAR CON CONTADOR]","Por el registro de la factura "&amp;Registro_Compras!$C$33&amp;" de "&amp;Registro_Compras!$E$33)))</f>
        <v/>
      </c>
      <c r="H266">
        <f>IF($C266="","",Registro_Compras!$C$33)</f>
        <v/>
      </c>
    </row>
    <row r="267">
      <c r="A267" s="25">
        <f>IF($C267="","",Registro_Compras!$B$33)</f>
        <v/>
      </c>
      <c r="B267">
        <f>IF($C267="","","C"&amp;TEXT(INT((ROW()-5)/9)+1,"000")&amp;"-1")</f>
        <v/>
      </c>
      <c r="C267">
        <f>IF(OR(Registro_Compras!$C$33="",Registro_Compras!$O$33=""),"",IF(Registro_Compras!$F$33="RHE",IF(Registro_Compras!$V$33=0,"","40172"),IF(Registro_Compras!$F$33="NOTA DE CREDITO",IF(Registro_Compras!$M$33="","63",Registro_Compras!$M$33),IF(Registro_Compras!$K$33=0,"","40111"))))</f>
        <v/>
      </c>
      <c r="D267">
        <f>IF(OR(Registro_Compras!$C$33="",Registro_Compras!$O$33=""),"",IF(Registro_Compras!$F$33="RHE","Retencion Renta 4ta Categoria por Pagar",IF(Registro_Compras!$F$33="NOTA DE CREDITO","Gastos de Servicios Prestados por Terceros","IGV - Cuenta Propia (Credito Fiscal)")))</f>
        <v/>
      </c>
      <c r="E267" s="20">
        <f>IF($C267="","",IF(Registro_Compras!$F$33="FACTURA",ROUND(Registro_Compras!$K$33*Registro_Compras!$N$33,2),""))</f>
        <v/>
      </c>
      <c r="F267" s="20">
        <f>IF($C267="","",IF(Registro_Compras!$F$33="RHE",ROUND(Registro_Compras!$V$33*Registro_Compras!$N$33,2),IF(Registro_Compras!$F$33="NOTA DE CREDITO",ROUND(ABS(Registro_Compras!$J$33*Registro_Compras!$N$33),2),"")))</f>
        <v/>
      </c>
      <c r="G267">
        <f>IF($C267="","",IF(Registro_Compras!$F$33="NOTA DE CREDITO","Por la nota de credito "&amp;Registro_Compras!$C$33&amp;" de "&amp;Registro_Compras!$E$33&amp;" [PATRON POR CONFIRMAR CON CONTADOR]",IF(Registro_Compras!$F$33="RHE","Por el registro del recibo por honorarios "&amp;Registro_Compras!$C$33&amp;" de "&amp;Registro_Compras!$E$33&amp;" [PATRON POR CONFIRMAR CON CONTADOR]","Por el registro de la factura "&amp;Registro_Compras!$C$33&amp;" de "&amp;Registro_Compras!$E$33)))</f>
        <v/>
      </c>
      <c r="H267">
        <f>IF($C267="","",Registro_Compras!$C$33)</f>
        <v/>
      </c>
    </row>
    <row r="268">
      <c r="A268" s="25">
        <f>IF($C268="","",Registro_Compras!$B$33)</f>
        <v/>
      </c>
      <c r="B268">
        <f>IF($C268="","","C"&amp;TEXT(INT((ROW()-5)/9)+1,"000")&amp;"-1")</f>
        <v/>
      </c>
      <c r="C268">
        <f>IF(OR(Registro_Compras!$C$33="",Registro_Compras!$O$33=""),"",IF(Registro_Compras!$F$33="NOTA DE CREDITO",IF(Registro_Compras!$K$33=0,"","40111"),"4212"))</f>
        <v/>
      </c>
      <c r="D268">
        <f>IF(OR(Registro_Compras!$C$33="",Registro_Compras!$O$33=""),"",IF(Registro_Compras!$F$33="NOTA DE CREDITO","IGV - Cuenta Propia (Credito Fiscal)","Cuentas por Pagar Comerciales - Terceros (Emitidas)"))</f>
        <v/>
      </c>
      <c r="E268" s="20">
        <f>""</f>
        <v/>
      </c>
      <c r="F268" s="20">
        <f>IF($C268="","",IF(Registro_Compras!$F$33="NOTA DE CREDITO",ROUND(ABS(Registro_Compras!$K$33*Registro_Compras!$N$33),2),IF(Registro_Compras!$F$33="RHE",(ROUND(Registro_Compras!$L$33*Registro_Compras!$N$33,2)-ROUND(Registro_Compras!$V$33*Registro_Compras!$N$33,2)),Registro_Compras!$O$33)))</f>
        <v/>
      </c>
      <c r="G268">
        <f>IF($C268="","",IF(Registro_Compras!$F$33="NOTA DE CREDITO","Por la nota de credito "&amp;Registro_Compras!$C$33&amp;" de "&amp;Registro_Compras!$E$33&amp;" [PATRON POR CONFIRMAR CON CONTADOR]",IF(Registro_Compras!$F$33="RHE","Por el registro del recibo por honorarios "&amp;Registro_Compras!$C$33&amp;" de "&amp;Registro_Compras!$E$33&amp;" [PATRON POR CONFIRMAR CON CONTADOR]","Por el registro de la factura "&amp;Registro_Compras!$C$33&amp;" de "&amp;Registro_Compras!$E$33)))</f>
        <v/>
      </c>
      <c r="H268">
        <f>IF($C268="","",Registro_Compras!$C$33)</f>
        <v/>
      </c>
    </row>
    <row r="269">
      <c r="A269" s="25">
        <f>IF($C269="","",Registro_Compras!$B$33)</f>
        <v/>
      </c>
      <c r="B269">
        <f>IF($C269="","","C"&amp;TEXT(INT((ROW()-5)/9)+1,"000")&amp;"-2")</f>
        <v/>
      </c>
      <c r="C269">
        <f>IF(OR(Registro_Compras!$C$33="",Registro_Compras!$O$33=""),"",IF(Registro_Compras!$AB$33="ADMINISTRATIVO","94","95"))</f>
        <v/>
      </c>
      <c r="D269">
        <f>IF(OR(Registro_Compras!$C$33="",Registro_Compras!$O$33=""),"",IF(Registro_Compras!$AB$33="ADMINISTRATIVO","Gastos Administrativos","Gastos de Venta y Operacion"))</f>
        <v/>
      </c>
      <c r="E269" s="20">
        <f>IF($C269="","",IF(Registro_Compras!$F$33="NOTA DE CREDITO","",IF(Registro_Compras!$F$33="RHE",ROUND(Registro_Compras!$L$33*Registro_Compras!$N$33,2),ROUND(Registro_Compras!$J$33*Registro_Compras!$N$33,2))))</f>
        <v/>
      </c>
      <c r="F269" s="20">
        <f>IF($C269="","",IF(Registro_Compras!$F$33="NOTA DE CREDITO",ROUND(ABS(Registro_Compras!$J$33*Registro_Compras!$N$33),2),""))</f>
        <v/>
      </c>
      <c r="G269">
        <f>IF($C269="","","Por el destino del gasto")</f>
        <v/>
      </c>
      <c r="H269">
        <f>IF($C269="","",Registro_Compras!$C$33)</f>
        <v/>
      </c>
    </row>
    <row r="270">
      <c r="A270" s="25">
        <f>IF($C270="","",Registro_Compras!$B$33)</f>
        <v/>
      </c>
      <c r="B270">
        <f>IF($C270="","","C"&amp;TEXT(INT((ROW()-5)/9)+1,"000")&amp;"-2")</f>
        <v/>
      </c>
      <c r="C270">
        <f>IF(OR(Registro_Compras!$C$33="",Registro_Compras!$O$33=""),"","79/791")</f>
        <v/>
      </c>
      <c r="D270">
        <f>IF(OR(Registro_Compras!$C$33="",Registro_Compras!$O$33=""),"","Cargas Imputables a Cuentas de Costos y Gastos")</f>
        <v/>
      </c>
      <c r="E270" s="20">
        <f>IF($C270="","",IF(Registro_Compras!$F$33="NOTA DE CREDITO",ROUND(ABS(Registro_Compras!$J$33*Registro_Compras!$N$33),2),""))</f>
        <v/>
      </c>
      <c r="F270" s="20">
        <f>IF($C270="","",IF(Registro_Compras!$F$33="NOTA DE CREDITO","",IF(Registro_Compras!$F$33="RHE",ROUND(Registro_Compras!$L$33*Registro_Compras!$N$33,2),ROUND(Registro_Compras!$J$33*Registro_Compras!$N$33,2))))</f>
        <v/>
      </c>
      <c r="G270">
        <f>IF($C270="","","Por el destino del gasto")</f>
        <v/>
      </c>
      <c r="H270">
        <f>IF($C270="","",Registro_Compras!$C$33)</f>
        <v/>
      </c>
    </row>
    <row r="271">
      <c r="A271" s="25">
        <f>IF($C271="","",Registro_Compras!$X$33)</f>
        <v/>
      </c>
      <c r="B271">
        <f>IF($C271="","","C"&amp;TEXT(INT((ROW()-5)/9)+1,"000")&amp;"-3")</f>
        <v/>
      </c>
      <c r="C271">
        <f>IF(OR(Registro_Compras!$C$33="",Registro_Compras!$O$33="",Registro_Compras!$R$33&lt;&gt;"SI",Registro_Compras!$X$33=""),"","4212")</f>
        <v/>
      </c>
      <c r="D271">
        <f>IF(OR(Registro_Compras!$C$33="",Registro_Compras!$O$33=""),"","Cuentas por Pagar Comerciales - Terceros")</f>
        <v/>
      </c>
      <c r="E271" s="20">
        <f>IF($C271="","",Registro_Compras!$S$33)</f>
        <v/>
      </c>
      <c r="F271" s="20">
        <f>""</f>
        <v/>
      </c>
      <c r="G271">
        <f>IF($C271="","","Por el deposito de la detraccion en el Banco de la Nacion")</f>
        <v/>
      </c>
      <c r="H271">
        <f>IF($C271="","",Registro_Compras!$C$33)</f>
        <v/>
      </c>
    </row>
    <row r="272">
      <c r="A272" s="25">
        <f>IF($C272="","",Registro_Compras!$X$33)</f>
        <v/>
      </c>
      <c r="B272">
        <f>IF($C272="","","C"&amp;TEXT(INT((ROW()-5)/9)+1,"000")&amp;"-3")</f>
        <v/>
      </c>
      <c r="C272">
        <f>IF(OR(Registro_Compras!$C$33="",Registro_Compras!$O$33="",Registro_Compras!$R$33&lt;&gt;"SI",Registro_Compras!$X$33=""),"","10413")</f>
        <v/>
      </c>
      <c r="D272">
        <f>IF(OR(Registro_Compras!$C$33="",Registro_Compras!$O$33=""),"","Efectivo y Equivalentes - Cta. Cte. Operativa")</f>
        <v/>
      </c>
      <c r="E272" s="20">
        <f>""</f>
        <v/>
      </c>
      <c r="F272" s="20">
        <f>IF($C272="","",Registro_Compras!$S$33)</f>
        <v/>
      </c>
      <c r="G272">
        <f>IF($C272="","","Por el deposito de la detraccion en el Banco de la Nacion")</f>
        <v/>
      </c>
      <c r="H272">
        <f>IF($C272="","",Registro_Compras!$C$33)</f>
        <v/>
      </c>
    </row>
    <row r="273">
      <c r="A273" s="25">
        <f>IF($C273="","",Registro_Compras!$Y$33)</f>
        <v/>
      </c>
      <c r="B273">
        <f>IF($C273="","","C"&amp;TEXT(INT((ROW()-5)/9)+1,"000")&amp;"-4")</f>
        <v/>
      </c>
      <c r="C273">
        <f>IF(OR(Registro_Compras!$C$33="",Registro_Compras!$O$33="",Registro_Compras!$Y$33="",Registro_Compras!$F$33="NOTA DE CREDITO"),"","4212")</f>
        <v/>
      </c>
      <c r="D273">
        <f>IF(OR(Registro_Compras!$C$33="",Registro_Compras!$O$33=""),"","Cuentas por Pagar Comerciales - Terceros")</f>
        <v/>
      </c>
      <c r="E273" s="20">
        <f>IF($C273="","",IF(Registro_Compras!$F$33="RHE",(ROUND(Registro_Compras!$L$33*Registro_Compras!$N$33,2)-ROUND(Registro_Compras!$V$33*Registro_Compras!$N$33,2)),ROUND(Registro_Compras!$O$33-Registro_Compras!$S$33,2)))</f>
        <v/>
      </c>
      <c r="F273" s="20">
        <f>""</f>
        <v/>
      </c>
      <c r="G273">
        <f>IF($C273="","","Por la cancelacion del saldo al proveedor")</f>
        <v/>
      </c>
      <c r="H273">
        <f>IF($C273="","",Registro_Compras!$C$33)</f>
        <v/>
      </c>
    </row>
    <row r="274">
      <c r="A274" s="25">
        <f>IF($C274="","",Registro_Compras!$Y$33)</f>
        <v/>
      </c>
      <c r="B274">
        <f>IF($C274="","","C"&amp;TEXT(INT((ROW()-5)/9)+1,"000")&amp;"-4")</f>
        <v/>
      </c>
      <c r="C274">
        <f>IF(OR(Registro_Compras!$C$33="",Registro_Compras!$O$33="",Registro_Compras!$Y$33="",Registro_Compras!$F$33="NOTA DE CREDITO"),"","10413")</f>
        <v/>
      </c>
      <c r="D274">
        <f>IF(OR(Registro_Compras!$C$33="",Registro_Compras!$O$33=""),"","Efectivo y Equivalentes - Cta. Cte. Operativa")</f>
        <v/>
      </c>
      <c r="E274" s="20">
        <f>""</f>
        <v/>
      </c>
      <c r="F274" s="20">
        <f>IF($C274="","",IF(Registro_Compras!$F$33="RHE",(ROUND(Registro_Compras!$L$33*Registro_Compras!$N$33,2)-ROUND(Registro_Compras!$V$33*Registro_Compras!$N$33,2)),ROUND(Registro_Compras!$O$33-Registro_Compras!$S$33,2)))</f>
        <v/>
      </c>
      <c r="G274">
        <f>IF($C274="","","Por la cancelacion del saldo al proveedor")</f>
        <v/>
      </c>
      <c r="H274">
        <f>IF($C274="","",Registro_Compras!$C$33)</f>
        <v/>
      </c>
    </row>
    <row r="275">
      <c r="A275" s="25">
        <f>IF($C275="","",Registro_Compras!$B$34)</f>
        <v/>
      </c>
      <c r="B275">
        <f>IF($C275="","","C"&amp;TEXT(INT((ROW()-5)/9)+1,"000")&amp;"-1")</f>
        <v/>
      </c>
      <c r="C275">
        <f>IF(OR(Registro_Compras!$C$34="",Registro_Compras!$O$34=""),"",IF(Registro_Compras!$F$34="NOTA DE CREDITO","4212",IF(Registro_Compras!$M$34="","63",Registro_Compras!$M$34)))</f>
        <v/>
      </c>
      <c r="D275">
        <f>IF(OR(Registro_Compras!$C$34="",Registro_Compras!$O$34=""),"",IF(Registro_Compras!$F$34="NOTA DE CREDITO","Cuentas por Pagar Comerciales - Terceros (Emitidas)",IF(Registro_Compras!$F$34="RHE","Honorarios Profesionales - Servicios de Terceros","Gastos de Servicios Prestados por Terceros")))</f>
        <v/>
      </c>
      <c r="E275" s="20">
        <f>IF($C275="","",IF(Registro_Compras!$F$34="NOTA DE CREDITO",ABS(Registro_Compras!$O$34),IF(Registro_Compras!$F$34="RHE",ROUND(Registro_Compras!$L$34*Registro_Compras!$N$34,2),ROUND(Registro_Compras!$J$34*Registro_Compras!$N$34,2))))</f>
        <v/>
      </c>
      <c r="F275" s="20">
        <f>""</f>
        <v/>
      </c>
      <c r="G275">
        <f>IF($C275="","",IF(Registro_Compras!$F$34="NOTA DE CREDITO","Por la nota de credito "&amp;Registro_Compras!$C$34&amp;" de "&amp;Registro_Compras!$E$34&amp;" [PATRON POR CONFIRMAR CON CONTADOR]",IF(Registro_Compras!$F$34="RHE","Por el registro del recibo por honorarios "&amp;Registro_Compras!$C$34&amp;" de "&amp;Registro_Compras!$E$34&amp;" [PATRON POR CONFIRMAR CON CONTADOR]","Por el registro de la factura "&amp;Registro_Compras!$C$34&amp;" de "&amp;Registro_Compras!$E$34)))</f>
        <v/>
      </c>
      <c r="H275">
        <f>IF($C275="","",Registro_Compras!$C$34)</f>
        <v/>
      </c>
    </row>
    <row r="276">
      <c r="A276" s="25">
        <f>IF($C276="","",Registro_Compras!$B$34)</f>
        <v/>
      </c>
      <c r="B276">
        <f>IF($C276="","","C"&amp;TEXT(INT((ROW()-5)/9)+1,"000")&amp;"-1")</f>
        <v/>
      </c>
      <c r="C276">
        <f>IF(OR(Registro_Compras!$C$34="",Registro_Compras!$O$34=""),"",IF(Registro_Compras!$F$34="RHE",IF(Registro_Compras!$V$34=0,"","40172"),IF(Registro_Compras!$F$34="NOTA DE CREDITO",IF(Registro_Compras!$M$34="","63",Registro_Compras!$M$34),IF(Registro_Compras!$K$34=0,"","40111"))))</f>
        <v/>
      </c>
      <c r="D276">
        <f>IF(OR(Registro_Compras!$C$34="",Registro_Compras!$O$34=""),"",IF(Registro_Compras!$F$34="RHE","Retencion Renta 4ta Categoria por Pagar",IF(Registro_Compras!$F$34="NOTA DE CREDITO","Gastos de Servicios Prestados por Terceros","IGV - Cuenta Propia (Credito Fiscal)")))</f>
        <v/>
      </c>
      <c r="E276" s="20">
        <f>IF($C276="","",IF(Registro_Compras!$F$34="FACTURA",ROUND(Registro_Compras!$K$34*Registro_Compras!$N$34,2),""))</f>
        <v/>
      </c>
      <c r="F276" s="20">
        <f>IF($C276="","",IF(Registro_Compras!$F$34="RHE",ROUND(Registro_Compras!$V$34*Registro_Compras!$N$34,2),IF(Registro_Compras!$F$34="NOTA DE CREDITO",ROUND(ABS(Registro_Compras!$J$34*Registro_Compras!$N$34),2),"")))</f>
        <v/>
      </c>
      <c r="G276">
        <f>IF($C276="","",IF(Registro_Compras!$F$34="NOTA DE CREDITO","Por la nota de credito "&amp;Registro_Compras!$C$34&amp;" de "&amp;Registro_Compras!$E$34&amp;" [PATRON POR CONFIRMAR CON CONTADOR]",IF(Registro_Compras!$F$34="RHE","Por el registro del recibo por honorarios "&amp;Registro_Compras!$C$34&amp;" de "&amp;Registro_Compras!$E$34&amp;" [PATRON POR CONFIRMAR CON CONTADOR]","Por el registro de la factura "&amp;Registro_Compras!$C$34&amp;" de "&amp;Registro_Compras!$E$34)))</f>
        <v/>
      </c>
      <c r="H276">
        <f>IF($C276="","",Registro_Compras!$C$34)</f>
        <v/>
      </c>
    </row>
    <row r="277">
      <c r="A277" s="25">
        <f>IF($C277="","",Registro_Compras!$B$34)</f>
        <v/>
      </c>
      <c r="B277">
        <f>IF($C277="","","C"&amp;TEXT(INT((ROW()-5)/9)+1,"000")&amp;"-1")</f>
        <v/>
      </c>
      <c r="C277">
        <f>IF(OR(Registro_Compras!$C$34="",Registro_Compras!$O$34=""),"",IF(Registro_Compras!$F$34="NOTA DE CREDITO",IF(Registro_Compras!$K$34=0,"","40111"),"4212"))</f>
        <v/>
      </c>
      <c r="D277">
        <f>IF(OR(Registro_Compras!$C$34="",Registro_Compras!$O$34=""),"",IF(Registro_Compras!$F$34="NOTA DE CREDITO","IGV - Cuenta Propia (Credito Fiscal)","Cuentas por Pagar Comerciales - Terceros (Emitidas)"))</f>
        <v/>
      </c>
      <c r="E277" s="20">
        <f>""</f>
        <v/>
      </c>
      <c r="F277" s="20">
        <f>IF($C277="","",IF(Registro_Compras!$F$34="NOTA DE CREDITO",ROUND(ABS(Registro_Compras!$K$34*Registro_Compras!$N$34),2),IF(Registro_Compras!$F$34="RHE",(ROUND(Registro_Compras!$L$34*Registro_Compras!$N$34,2)-ROUND(Registro_Compras!$V$34*Registro_Compras!$N$34,2)),Registro_Compras!$O$34)))</f>
        <v/>
      </c>
      <c r="G277">
        <f>IF($C277="","",IF(Registro_Compras!$F$34="NOTA DE CREDITO","Por la nota de credito "&amp;Registro_Compras!$C$34&amp;" de "&amp;Registro_Compras!$E$34&amp;" [PATRON POR CONFIRMAR CON CONTADOR]",IF(Registro_Compras!$F$34="RHE","Por el registro del recibo por honorarios "&amp;Registro_Compras!$C$34&amp;" de "&amp;Registro_Compras!$E$34&amp;" [PATRON POR CONFIRMAR CON CONTADOR]","Por el registro de la factura "&amp;Registro_Compras!$C$34&amp;" de "&amp;Registro_Compras!$E$34)))</f>
        <v/>
      </c>
      <c r="H277">
        <f>IF($C277="","",Registro_Compras!$C$34)</f>
        <v/>
      </c>
    </row>
    <row r="278">
      <c r="A278" s="25">
        <f>IF($C278="","",Registro_Compras!$B$34)</f>
        <v/>
      </c>
      <c r="B278">
        <f>IF($C278="","","C"&amp;TEXT(INT((ROW()-5)/9)+1,"000")&amp;"-2")</f>
        <v/>
      </c>
      <c r="C278">
        <f>IF(OR(Registro_Compras!$C$34="",Registro_Compras!$O$34=""),"",IF(Registro_Compras!$AB$34="ADMINISTRATIVO","94","95"))</f>
        <v/>
      </c>
      <c r="D278">
        <f>IF(OR(Registro_Compras!$C$34="",Registro_Compras!$O$34=""),"",IF(Registro_Compras!$AB$34="ADMINISTRATIVO","Gastos Administrativos","Gastos de Venta y Operacion"))</f>
        <v/>
      </c>
      <c r="E278" s="20">
        <f>IF($C278="","",IF(Registro_Compras!$F$34="NOTA DE CREDITO","",IF(Registro_Compras!$F$34="RHE",ROUND(Registro_Compras!$L$34*Registro_Compras!$N$34,2),ROUND(Registro_Compras!$J$34*Registro_Compras!$N$34,2))))</f>
        <v/>
      </c>
      <c r="F278" s="20">
        <f>IF($C278="","",IF(Registro_Compras!$F$34="NOTA DE CREDITO",ROUND(ABS(Registro_Compras!$J$34*Registro_Compras!$N$34),2),""))</f>
        <v/>
      </c>
      <c r="G278">
        <f>IF($C278="","","Por el destino del gasto")</f>
        <v/>
      </c>
      <c r="H278">
        <f>IF($C278="","",Registro_Compras!$C$34)</f>
        <v/>
      </c>
    </row>
    <row r="279">
      <c r="A279" s="25">
        <f>IF($C279="","",Registro_Compras!$B$34)</f>
        <v/>
      </c>
      <c r="B279">
        <f>IF($C279="","","C"&amp;TEXT(INT((ROW()-5)/9)+1,"000")&amp;"-2")</f>
        <v/>
      </c>
      <c r="C279">
        <f>IF(OR(Registro_Compras!$C$34="",Registro_Compras!$O$34=""),"","79/791")</f>
        <v/>
      </c>
      <c r="D279">
        <f>IF(OR(Registro_Compras!$C$34="",Registro_Compras!$O$34=""),"","Cargas Imputables a Cuentas de Costos y Gastos")</f>
        <v/>
      </c>
      <c r="E279" s="20">
        <f>IF($C279="","",IF(Registro_Compras!$F$34="NOTA DE CREDITO",ROUND(ABS(Registro_Compras!$J$34*Registro_Compras!$N$34),2),""))</f>
        <v/>
      </c>
      <c r="F279" s="20">
        <f>IF($C279="","",IF(Registro_Compras!$F$34="NOTA DE CREDITO","",IF(Registro_Compras!$F$34="RHE",ROUND(Registro_Compras!$L$34*Registro_Compras!$N$34,2),ROUND(Registro_Compras!$J$34*Registro_Compras!$N$34,2))))</f>
        <v/>
      </c>
      <c r="G279">
        <f>IF($C279="","","Por el destino del gasto")</f>
        <v/>
      </c>
      <c r="H279">
        <f>IF($C279="","",Registro_Compras!$C$34)</f>
        <v/>
      </c>
    </row>
    <row r="280">
      <c r="A280" s="25">
        <f>IF($C280="","",Registro_Compras!$X$34)</f>
        <v/>
      </c>
      <c r="B280">
        <f>IF($C280="","","C"&amp;TEXT(INT((ROW()-5)/9)+1,"000")&amp;"-3")</f>
        <v/>
      </c>
      <c r="C280">
        <f>IF(OR(Registro_Compras!$C$34="",Registro_Compras!$O$34="",Registro_Compras!$R$34&lt;&gt;"SI",Registro_Compras!$X$34=""),"","4212")</f>
        <v/>
      </c>
      <c r="D280">
        <f>IF(OR(Registro_Compras!$C$34="",Registro_Compras!$O$34=""),"","Cuentas por Pagar Comerciales - Terceros")</f>
        <v/>
      </c>
      <c r="E280" s="20">
        <f>IF($C280="","",Registro_Compras!$S$34)</f>
        <v/>
      </c>
      <c r="F280" s="20">
        <f>""</f>
        <v/>
      </c>
      <c r="G280">
        <f>IF($C280="","","Por el deposito de la detraccion en el Banco de la Nacion")</f>
        <v/>
      </c>
      <c r="H280">
        <f>IF($C280="","",Registro_Compras!$C$34)</f>
        <v/>
      </c>
    </row>
    <row r="281">
      <c r="A281" s="25">
        <f>IF($C281="","",Registro_Compras!$X$34)</f>
        <v/>
      </c>
      <c r="B281">
        <f>IF($C281="","","C"&amp;TEXT(INT((ROW()-5)/9)+1,"000")&amp;"-3")</f>
        <v/>
      </c>
      <c r="C281">
        <f>IF(OR(Registro_Compras!$C$34="",Registro_Compras!$O$34="",Registro_Compras!$R$34&lt;&gt;"SI",Registro_Compras!$X$34=""),"","10413")</f>
        <v/>
      </c>
      <c r="D281">
        <f>IF(OR(Registro_Compras!$C$34="",Registro_Compras!$O$34=""),"","Efectivo y Equivalentes - Cta. Cte. Operativa")</f>
        <v/>
      </c>
      <c r="E281" s="20">
        <f>""</f>
        <v/>
      </c>
      <c r="F281" s="20">
        <f>IF($C281="","",Registro_Compras!$S$34)</f>
        <v/>
      </c>
      <c r="G281">
        <f>IF($C281="","","Por el deposito de la detraccion en el Banco de la Nacion")</f>
        <v/>
      </c>
      <c r="H281">
        <f>IF($C281="","",Registro_Compras!$C$34)</f>
        <v/>
      </c>
    </row>
    <row r="282">
      <c r="A282" s="25">
        <f>IF($C282="","",Registro_Compras!$Y$34)</f>
        <v/>
      </c>
      <c r="B282">
        <f>IF($C282="","","C"&amp;TEXT(INT((ROW()-5)/9)+1,"000")&amp;"-4")</f>
        <v/>
      </c>
      <c r="C282">
        <f>IF(OR(Registro_Compras!$C$34="",Registro_Compras!$O$34="",Registro_Compras!$Y$34="",Registro_Compras!$F$34="NOTA DE CREDITO"),"","4212")</f>
        <v/>
      </c>
      <c r="D282">
        <f>IF(OR(Registro_Compras!$C$34="",Registro_Compras!$O$34=""),"","Cuentas por Pagar Comerciales - Terceros")</f>
        <v/>
      </c>
      <c r="E282" s="20">
        <f>IF($C282="","",IF(Registro_Compras!$F$34="RHE",(ROUND(Registro_Compras!$L$34*Registro_Compras!$N$34,2)-ROUND(Registro_Compras!$V$34*Registro_Compras!$N$34,2)),ROUND(Registro_Compras!$O$34-Registro_Compras!$S$34,2)))</f>
        <v/>
      </c>
      <c r="F282" s="20">
        <f>""</f>
        <v/>
      </c>
      <c r="G282">
        <f>IF($C282="","","Por la cancelacion del saldo al proveedor")</f>
        <v/>
      </c>
      <c r="H282">
        <f>IF($C282="","",Registro_Compras!$C$34)</f>
        <v/>
      </c>
    </row>
    <row r="283">
      <c r="A283" s="25">
        <f>IF($C283="","",Registro_Compras!$Y$34)</f>
        <v/>
      </c>
      <c r="B283">
        <f>IF($C283="","","C"&amp;TEXT(INT((ROW()-5)/9)+1,"000")&amp;"-4")</f>
        <v/>
      </c>
      <c r="C283">
        <f>IF(OR(Registro_Compras!$C$34="",Registro_Compras!$O$34="",Registro_Compras!$Y$34="",Registro_Compras!$F$34="NOTA DE CREDITO"),"","10413")</f>
        <v/>
      </c>
      <c r="D283">
        <f>IF(OR(Registro_Compras!$C$34="",Registro_Compras!$O$34=""),"","Efectivo y Equivalentes - Cta. Cte. Operativa")</f>
        <v/>
      </c>
      <c r="E283" s="20">
        <f>""</f>
        <v/>
      </c>
      <c r="F283" s="20">
        <f>IF($C283="","",IF(Registro_Compras!$F$34="RHE",(ROUND(Registro_Compras!$L$34*Registro_Compras!$N$34,2)-ROUND(Registro_Compras!$V$34*Registro_Compras!$N$34,2)),ROUND(Registro_Compras!$O$34-Registro_Compras!$S$34,2)))</f>
        <v/>
      </c>
      <c r="G283">
        <f>IF($C283="","","Por la cancelacion del saldo al proveedor")</f>
        <v/>
      </c>
      <c r="H283">
        <f>IF($C283="","",Registro_Compras!$C$34)</f>
        <v/>
      </c>
    </row>
    <row r="284">
      <c r="A284" s="25">
        <f>IF($C284="","",Registro_Compras!$B$35)</f>
        <v/>
      </c>
      <c r="B284">
        <f>IF($C284="","","C"&amp;TEXT(INT((ROW()-5)/9)+1,"000")&amp;"-1")</f>
        <v/>
      </c>
      <c r="C284">
        <f>IF(OR(Registro_Compras!$C$35="",Registro_Compras!$O$35=""),"",IF(Registro_Compras!$F$35="NOTA DE CREDITO","4212",IF(Registro_Compras!$M$35="","63",Registro_Compras!$M$35)))</f>
        <v/>
      </c>
      <c r="D284">
        <f>IF(OR(Registro_Compras!$C$35="",Registro_Compras!$O$35=""),"",IF(Registro_Compras!$F$35="NOTA DE CREDITO","Cuentas por Pagar Comerciales - Terceros (Emitidas)",IF(Registro_Compras!$F$35="RHE","Honorarios Profesionales - Servicios de Terceros","Gastos de Servicios Prestados por Terceros")))</f>
        <v/>
      </c>
      <c r="E284" s="20">
        <f>IF($C284="","",IF(Registro_Compras!$F$35="NOTA DE CREDITO",ABS(Registro_Compras!$O$35),IF(Registro_Compras!$F$35="RHE",ROUND(Registro_Compras!$L$35*Registro_Compras!$N$35,2),ROUND(Registro_Compras!$J$35*Registro_Compras!$N$35,2))))</f>
        <v/>
      </c>
      <c r="F284" s="20">
        <f>""</f>
        <v/>
      </c>
      <c r="G284">
        <f>IF($C284="","",IF(Registro_Compras!$F$35="NOTA DE CREDITO","Por la nota de credito "&amp;Registro_Compras!$C$35&amp;" de "&amp;Registro_Compras!$E$35&amp;" [PATRON POR CONFIRMAR CON CONTADOR]",IF(Registro_Compras!$F$35="RHE","Por el registro del recibo por honorarios "&amp;Registro_Compras!$C$35&amp;" de "&amp;Registro_Compras!$E$35&amp;" [PATRON POR CONFIRMAR CON CONTADOR]","Por el registro de la factura "&amp;Registro_Compras!$C$35&amp;" de "&amp;Registro_Compras!$E$35)))</f>
        <v/>
      </c>
      <c r="H284">
        <f>IF($C284="","",Registro_Compras!$C$35)</f>
        <v/>
      </c>
    </row>
    <row r="285">
      <c r="A285" s="25">
        <f>IF($C285="","",Registro_Compras!$B$35)</f>
        <v/>
      </c>
      <c r="B285">
        <f>IF($C285="","","C"&amp;TEXT(INT((ROW()-5)/9)+1,"000")&amp;"-1")</f>
        <v/>
      </c>
      <c r="C285">
        <f>IF(OR(Registro_Compras!$C$35="",Registro_Compras!$O$35=""),"",IF(Registro_Compras!$F$35="RHE",IF(Registro_Compras!$V$35=0,"","40172"),IF(Registro_Compras!$F$35="NOTA DE CREDITO",IF(Registro_Compras!$M$35="","63",Registro_Compras!$M$35),IF(Registro_Compras!$K$35=0,"","40111"))))</f>
        <v/>
      </c>
      <c r="D285">
        <f>IF(OR(Registro_Compras!$C$35="",Registro_Compras!$O$35=""),"",IF(Registro_Compras!$F$35="RHE","Retencion Renta 4ta Categoria por Pagar",IF(Registro_Compras!$F$35="NOTA DE CREDITO","Gastos de Servicios Prestados por Terceros","IGV - Cuenta Propia (Credito Fiscal)")))</f>
        <v/>
      </c>
      <c r="E285" s="20">
        <f>IF($C285="","",IF(Registro_Compras!$F$35="FACTURA",ROUND(Registro_Compras!$K$35*Registro_Compras!$N$35,2),""))</f>
        <v/>
      </c>
      <c r="F285" s="20">
        <f>IF($C285="","",IF(Registro_Compras!$F$35="RHE",ROUND(Registro_Compras!$V$35*Registro_Compras!$N$35,2),IF(Registro_Compras!$F$35="NOTA DE CREDITO",ROUND(ABS(Registro_Compras!$J$35*Registro_Compras!$N$35),2),"")))</f>
        <v/>
      </c>
      <c r="G285">
        <f>IF($C285="","",IF(Registro_Compras!$F$35="NOTA DE CREDITO","Por la nota de credito "&amp;Registro_Compras!$C$35&amp;" de "&amp;Registro_Compras!$E$35&amp;" [PATRON POR CONFIRMAR CON CONTADOR]",IF(Registro_Compras!$F$35="RHE","Por el registro del recibo por honorarios "&amp;Registro_Compras!$C$35&amp;" de "&amp;Registro_Compras!$E$35&amp;" [PATRON POR CONFIRMAR CON CONTADOR]","Por el registro de la factura "&amp;Registro_Compras!$C$35&amp;" de "&amp;Registro_Compras!$E$35)))</f>
        <v/>
      </c>
      <c r="H285">
        <f>IF($C285="","",Registro_Compras!$C$35)</f>
        <v/>
      </c>
    </row>
    <row r="286">
      <c r="A286" s="25">
        <f>IF($C286="","",Registro_Compras!$B$35)</f>
        <v/>
      </c>
      <c r="B286">
        <f>IF($C286="","","C"&amp;TEXT(INT((ROW()-5)/9)+1,"000")&amp;"-1")</f>
        <v/>
      </c>
      <c r="C286">
        <f>IF(OR(Registro_Compras!$C$35="",Registro_Compras!$O$35=""),"",IF(Registro_Compras!$F$35="NOTA DE CREDITO",IF(Registro_Compras!$K$35=0,"","40111"),"4212"))</f>
        <v/>
      </c>
      <c r="D286">
        <f>IF(OR(Registro_Compras!$C$35="",Registro_Compras!$O$35=""),"",IF(Registro_Compras!$F$35="NOTA DE CREDITO","IGV - Cuenta Propia (Credito Fiscal)","Cuentas por Pagar Comerciales - Terceros (Emitidas)"))</f>
        <v/>
      </c>
      <c r="E286" s="20">
        <f>""</f>
        <v/>
      </c>
      <c r="F286" s="20">
        <f>IF($C286="","",IF(Registro_Compras!$F$35="NOTA DE CREDITO",ROUND(ABS(Registro_Compras!$K$35*Registro_Compras!$N$35),2),IF(Registro_Compras!$F$35="RHE",(ROUND(Registro_Compras!$L$35*Registro_Compras!$N$35,2)-ROUND(Registro_Compras!$V$35*Registro_Compras!$N$35,2)),Registro_Compras!$O$35)))</f>
        <v/>
      </c>
      <c r="G286">
        <f>IF($C286="","",IF(Registro_Compras!$F$35="NOTA DE CREDITO","Por la nota de credito "&amp;Registro_Compras!$C$35&amp;" de "&amp;Registro_Compras!$E$35&amp;" [PATRON POR CONFIRMAR CON CONTADOR]",IF(Registro_Compras!$F$35="RHE","Por el registro del recibo por honorarios "&amp;Registro_Compras!$C$35&amp;" de "&amp;Registro_Compras!$E$35&amp;" [PATRON POR CONFIRMAR CON CONTADOR]","Por el registro de la factura "&amp;Registro_Compras!$C$35&amp;" de "&amp;Registro_Compras!$E$35)))</f>
        <v/>
      </c>
      <c r="H286">
        <f>IF($C286="","",Registro_Compras!$C$35)</f>
        <v/>
      </c>
    </row>
    <row r="287">
      <c r="A287" s="25">
        <f>IF($C287="","",Registro_Compras!$B$35)</f>
        <v/>
      </c>
      <c r="B287">
        <f>IF($C287="","","C"&amp;TEXT(INT((ROW()-5)/9)+1,"000")&amp;"-2")</f>
        <v/>
      </c>
      <c r="C287">
        <f>IF(OR(Registro_Compras!$C$35="",Registro_Compras!$O$35=""),"",IF(Registro_Compras!$AB$35="ADMINISTRATIVO","94","95"))</f>
        <v/>
      </c>
      <c r="D287">
        <f>IF(OR(Registro_Compras!$C$35="",Registro_Compras!$O$35=""),"",IF(Registro_Compras!$AB$35="ADMINISTRATIVO","Gastos Administrativos","Gastos de Venta y Operacion"))</f>
        <v/>
      </c>
      <c r="E287" s="20">
        <f>IF($C287="","",IF(Registro_Compras!$F$35="NOTA DE CREDITO","",IF(Registro_Compras!$F$35="RHE",ROUND(Registro_Compras!$L$35*Registro_Compras!$N$35,2),ROUND(Registro_Compras!$J$35*Registro_Compras!$N$35,2))))</f>
        <v/>
      </c>
      <c r="F287" s="20">
        <f>IF($C287="","",IF(Registro_Compras!$F$35="NOTA DE CREDITO",ROUND(ABS(Registro_Compras!$J$35*Registro_Compras!$N$35),2),""))</f>
        <v/>
      </c>
      <c r="G287">
        <f>IF($C287="","","Por el destino del gasto")</f>
        <v/>
      </c>
      <c r="H287">
        <f>IF($C287="","",Registro_Compras!$C$35)</f>
        <v/>
      </c>
    </row>
    <row r="288">
      <c r="A288" s="25">
        <f>IF($C288="","",Registro_Compras!$B$35)</f>
        <v/>
      </c>
      <c r="B288">
        <f>IF($C288="","","C"&amp;TEXT(INT((ROW()-5)/9)+1,"000")&amp;"-2")</f>
        <v/>
      </c>
      <c r="C288">
        <f>IF(OR(Registro_Compras!$C$35="",Registro_Compras!$O$35=""),"","79/791")</f>
        <v/>
      </c>
      <c r="D288">
        <f>IF(OR(Registro_Compras!$C$35="",Registro_Compras!$O$35=""),"","Cargas Imputables a Cuentas de Costos y Gastos")</f>
        <v/>
      </c>
      <c r="E288" s="20">
        <f>IF($C288="","",IF(Registro_Compras!$F$35="NOTA DE CREDITO",ROUND(ABS(Registro_Compras!$J$35*Registro_Compras!$N$35),2),""))</f>
        <v/>
      </c>
      <c r="F288" s="20">
        <f>IF($C288="","",IF(Registro_Compras!$F$35="NOTA DE CREDITO","",IF(Registro_Compras!$F$35="RHE",ROUND(Registro_Compras!$L$35*Registro_Compras!$N$35,2),ROUND(Registro_Compras!$J$35*Registro_Compras!$N$35,2))))</f>
        <v/>
      </c>
      <c r="G288">
        <f>IF($C288="","","Por el destino del gasto")</f>
        <v/>
      </c>
      <c r="H288">
        <f>IF($C288="","",Registro_Compras!$C$35)</f>
        <v/>
      </c>
    </row>
    <row r="289">
      <c r="A289" s="25">
        <f>IF($C289="","",Registro_Compras!$X$35)</f>
        <v/>
      </c>
      <c r="B289">
        <f>IF($C289="","","C"&amp;TEXT(INT((ROW()-5)/9)+1,"000")&amp;"-3")</f>
        <v/>
      </c>
      <c r="C289">
        <f>IF(OR(Registro_Compras!$C$35="",Registro_Compras!$O$35="",Registro_Compras!$R$35&lt;&gt;"SI",Registro_Compras!$X$35=""),"","4212")</f>
        <v/>
      </c>
      <c r="D289">
        <f>IF(OR(Registro_Compras!$C$35="",Registro_Compras!$O$35=""),"","Cuentas por Pagar Comerciales - Terceros")</f>
        <v/>
      </c>
      <c r="E289" s="20">
        <f>IF($C289="","",Registro_Compras!$S$35)</f>
        <v/>
      </c>
      <c r="F289" s="20">
        <f>""</f>
        <v/>
      </c>
      <c r="G289">
        <f>IF($C289="","","Por el deposito de la detraccion en el Banco de la Nacion")</f>
        <v/>
      </c>
      <c r="H289">
        <f>IF($C289="","",Registro_Compras!$C$35)</f>
        <v/>
      </c>
    </row>
    <row r="290">
      <c r="A290" s="25">
        <f>IF($C290="","",Registro_Compras!$X$35)</f>
        <v/>
      </c>
      <c r="B290">
        <f>IF($C290="","","C"&amp;TEXT(INT((ROW()-5)/9)+1,"000")&amp;"-3")</f>
        <v/>
      </c>
      <c r="C290">
        <f>IF(OR(Registro_Compras!$C$35="",Registro_Compras!$O$35="",Registro_Compras!$R$35&lt;&gt;"SI",Registro_Compras!$X$35=""),"","10413")</f>
        <v/>
      </c>
      <c r="D290">
        <f>IF(OR(Registro_Compras!$C$35="",Registro_Compras!$O$35=""),"","Efectivo y Equivalentes - Cta. Cte. Operativa")</f>
        <v/>
      </c>
      <c r="E290" s="20">
        <f>""</f>
        <v/>
      </c>
      <c r="F290" s="20">
        <f>IF($C290="","",Registro_Compras!$S$35)</f>
        <v/>
      </c>
      <c r="G290">
        <f>IF($C290="","","Por el deposito de la detraccion en el Banco de la Nacion")</f>
        <v/>
      </c>
      <c r="H290">
        <f>IF($C290="","",Registro_Compras!$C$35)</f>
        <v/>
      </c>
    </row>
    <row r="291">
      <c r="A291" s="25">
        <f>IF($C291="","",Registro_Compras!$Y$35)</f>
        <v/>
      </c>
      <c r="B291">
        <f>IF($C291="","","C"&amp;TEXT(INT((ROW()-5)/9)+1,"000")&amp;"-4")</f>
        <v/>
      </c>
      <c r="C291">
        <f>IF(OR(Registro_Compras!$C$35="",Registro_Compras!$O$35="",Registro_Compras!$Y$35="",Registro_Compras!$F$35="NOTA DE CREDITO"),"","4212")</f>
        <v/>
      </c>
      <c r="D291">
        <f>IF(OR(Registro_Compras!$C$35="",Registro_Compras!$O$35=""),"","Cuentas por Pagar Comerciales - Terceros")</f>
        <v/>
      </c>
      <c r="E291" s="20">
        <f>IF($C291="","",IF(Registro_Compras!$F$35="RHE",(ROUND(Registro_Compras!$L$35*Registro_Compras!$N$35,2)-ROUND(Registro_Compras!$V$35*Registro_Compras!$N$35,2)),ROUND(Registro_Compras!$O$35-Registro_Compras!$S$35,2)))</f>
        <v/>
      </c>
      <c r="F291" s="20">
        <f>""</f>
        <v/>
      </c>
      <c r="G291">
        <f>IF($C291="","","Por la cancelacion del saldo al proveedor")</f>
        <v/>
      </c>
      <c r="H291">
        <f>IF($C291="","",Registro_Compras!$C$35)</f>
        <v/>
      </c>
    </row>
    <row r="292">
      <c r="A292" s="25">
        <f>IF($C292="","",Registro_Compras!$Y$35)</f>
        <v/>
      </c>
      <c r="B292">
        <f>IF($C292="","","C"&amp;TEXT(INT((ROW()-5)/9)+1,"000")&amp;"-4")</f>
        <v/>
      </c>
      <c r="C292">
        <f>IF(OR(Registro_Compras!$C$35="",Registro_Compras!$O$35="",Registro_Compras!$Y$35="",Registro_Compras!$F$35="NOTA DE CREDITO"),"","10413")</f>
        <v/>
      </c>
      <c r="D292">
        <f>IF(OR(Registro_Compras!$C$35="",Registro_Compras!$O$35=""),"","Efectivo y Equivalentes - Cta. Cte. Operativa")</f>
        <v/>
      </c>
      <c r="E292" s="20">
        <f>""</f>
        <v/>
      </c>
      <c r="F292" s="20">
        <f>IF($C292="","",IF(Registro_Compras!$F$35="RHE",(ROUND(Registro_Compras!$L$35*Registro_Compras!$N$35,2)-ROUND(Registro_Compras!$V$35*Registro_Compras!$N$35,2)),ROUND(Registro_Compras!$O$35-Registro_Compras!$S$35,2)))</f>
        <v/>
      </c>
      <c r="G292">
        <f>IF($C292="","","Por la cancelacion del saldo al proveedor")</f>
        <v/>
      </c>
      <c r="H292">
        <f>IF($C292="","",Registro_Compras!$C$35)</f>
        <v/>
      </c>
    </row>
    <row r="293">
      <c r="A293" s="25">
        <f>IF($C293="","",Registro_Compras!$B$36)</f>
        <v/>
      </c>
      <c r="B293">
        <f>IF($C293="","","C"&amp;TEXT(INT((ROW()-5)/9)+1,"000")&amp;"-1")</f>
        <v/>
      </c>
      <c r="C293">
        <f>IF(OR(Registro_Compras!$C$36="",Registro_Compras!$O$36=""),"",IF(Registro_Compras!$F$36="NOTA DE CREDITO","4212",IF(Registro_Compras!$M$36="","63",Registro_Compras!$M$36)))</f>
        <v/>
      </c>
      <c r="D293">
        <f>IF(OR(Registro_Compras!$C$36="",Registro_Compras!$O$36=""),"",IF(Registro_Compras!$F$36="NOTA DE CREDITO","Cuentas por Pagar Comerciales - Terceros (Emitidas)",IF(Registro_Compras!$F$36="RHE","Honorarios Profesionales - Servicios de Terceros","Gastos de Servicios Prestados por Terceros")))</f>
        <v/>
      </c>
      <c r="E293" s="20">
        <f>IF($C293="","",IF(Registro_Compras!$F$36="NOTA DE CREDITO",ABS(Registro_Compras!$O$36),IF(Registro_Compras!$F$36="RHE",ROUND(Registro_Compras!$L$36*Registro_Compras!$N$36,2),ROUND(Registro_Compras!$J$36*Registro_Compras!$N$36,2))))</f>
        <v/>
      </c>
      <c r="F293" s="20">
        <f>""</f>
        <v/>
      </c>
      <c r="G293">
        <f>IF($C293="","",IF(Registro_Compras!$F$36="NOTA DE CREDITO","Por la nota de credito "&amp;Registro_Compras!$C$36&amp;" de "&amp;Registro_Compras!$E$36&amp;" [PATRON POR CONFIRMAR CON CONTADOR]",IF(Registro_Compras!$F$36="RHE","Por el registro del recibo por honorarios "&amp;Registro_Compras!$C$36&amp;" de "&amp;Registro_Compras!$E$36&amp;" [PATRON POR CONFIRMAR CON CONTADOR]","Por el registro de la factura "&amp;Registro_Compras!$C$36&amp;" de "&amp;Registro_Compras!$E$36)))</f>
        <v/>
      </c>
      <c r="H293">
        <f>IF($C293="","",Registro_Compras!$C$36)</f>
        <v/>
      </c>
    </row>
    <row r="294">
      <c r="A294" s="25">
        <f>IF($C294="","",Registro_Compras!$B$36)</f>
        <v/>
      </c>
      <c r="B294">
        <f>IF($C294="","","C"&amp;TEXT(INT((ROW()-5)/9)+1,"000")&amp;"-1")</f>
        <v/>
      </c>
      <c r="C294">
        <f>IF(OR(Registro_Compras!$C$36="",Registro_Compras!$O$36=""),"",IF(Registro_Compras!$F$36="RHE",IF(Registro_Compras!$V$36=0,"","40172"),IF(Registro_Compras!$F$36="NOTA DE CREDITO",IF(Registro_Compras!$M$36="","63",Registro_Compras!$M$36),IF(Registro_Compras!$K$36=0,"","40111"))))</f>
        <v/>
      </c>
      <c r="D294">
        <f>IF(OR(Registro_Compras!$C$36="",Registro_Compras!$O$36=""),"",IF(Registro_Compras!$F$36="RHE","Retencion Renta 4ta Categoria por Pagar",IF(Registro_Compras!$F$36="NOTA DE CREDITO","Gastos de Servicios Prestados por Terceros","IGV - Cuenta Propia (Credito Fiscal)")))</f>
        <v/>
      </c>
      <c r="E294" s="20">
        <f>IF($C294="","",IF(Registro_Compras!$F$36="FACTURA",ROUND(Registro_Compras!$K$36*Registro_Compras!$N$36,2),""))</f>
        <v/>
      </c>
      <c r="F294" s="20">
        <f>IF($C294="","",IF(Registro_Compras!$F$36="RHE",ROUND(Registro_Compras!$V$36*Registro_Compras!$N$36,2),IF(Registro_Compras!$F$36="NOTA DE CREDITO",ROUND(ABS(Registro_Compras!$J$36*Registro_Compras!$N$36),2),"")))</f>
        <v/>
      </c>
      <c r="G294">
        <f>IF($C294="","",IF(Registro_Compras!$F$36="NOTA DE CREDITO","Por la nota de credito "&amp;Registro_Compras!$C$36&amp;" de "&amp;Registro_Compras!$E$36&amp;" [PATRON POR CONFIRMAR CON CONTADOR]",IF(Registro_Compras!$F$36="RHE","Por el registro del recibo por honorarios "&amp;Registro_Compras!$C$36&amp;" de "&amp;Registro_Compras!$E$36&amp;" [PATRON POR CONFIRMAR CON CONTADOR]","Por el registro de la factura "&amp;Registro_Compras!$C$36&amp;" de "&amp;Registro_Compras!$E$36)))</f>
        <v/>
      </c>
      <c r="H294">
        <f>IF($C294="","",Registro_Compras!$C$36)</f>
        <v/>
      </c>
    </row>
    <row r="295">
      <c r="A295" s="25">
        <f>IF($C295="","",Registro_Compras!$B$36)</f>
        <v/>
      </c>
      <c r="B295">
        <f>IF($C295="","","C"&amp;TEXT(INT((ROW()-5)/9)+1,"000")&amp;"-1")</f>
        <v/>
      </c>
      <c r="C295">
        <f>IF(OR(Registro_Compras!$C$36="",Registro_Compras!$O$36=""),"",IF(Registro_Compras!$F$36="NOTA DE CREDITO",IF(Registro_Compras!$K$36=0,"","40111"),"4212"))</f>
        <v/>
      </c>
      <c r="D295">
        <f>IF(OR(Registro_Compras!$C$36="",Registro_Compras!$O$36=""),"",IF(Registro_Compras!$F$36="NOTA DE CREDITO","IGV - Cuenta Propia (Credito Fiscal)","Cuentas por Pagar Comerciales - Terceros (Emitidas)"))</f>
        <v/>
      </c>
      <c r="E295" s="20">
        <f>""</f>
        <v/>
      </c>
      <c r="F295" s="20">
        <f>IF($C295="","",IF(Registro_Compras!$F$36="NOTA DE CREDITO",ROUND(ABS(Registro_Compras!$K$36*Registro_Compras!$N$36),2),IF(Registro_Compras!$F$36="RHE",(ROUND(Registro_Compras!$L$36*Registro_Compras!$N$36,2)-ROUND(Registro_Compras!$V$36*Registro_Compras!$N$36,2)),Registro_Compras!$O$36)))</f>
        <v/>
      </c>
      <c r="G295">
        <f>IF($C295="","",IF(Registro_Compras!$F$36="NOTA DE CREDITO","Por la nota de credito "&amp;Registro_Compras!$C$36&amp;" de "&amp;Registro_Compras!$E$36&amp;" [PATRON POR CONFIRMAR CON CONTADOR]",IF(Registro_Compras!$F$36="RHE","Por el registro del recibo por honorarios "&amp;Registro_Compras!$C$36&amp;" de "&amp;Registro_Compras!$E$36&amp;" [PATRON POR CONFIRMAR CON CONTADOR]","Por el registro de la factura "&amp;Registro_Compras!$C$36&amp;" de "&amp;Registro_Compras!$E$36)))</f>
        <v/>
      </c>
      <c r="H295">
        <f>IF($C295="","",Registro_Compras!$C$36)</f>
        <v/>
      </c>
    </row>
    <row r="296">
      <c r="A296" s="25">
        <f>IF($C296="","",Registro_Compras!$B$36)</f>
        <v/>
      </c>
      <c r="B296">
        <f>IF($C296="","","C"&amp;TEXT(INT((ROW()-5)/9)+1,"000")&amp;"-2")</f>
        <v/>
      </c>
      <c r="C296">
        <f>IF(OR(Registro_Compras!$C$36="",Registro_Compras!$O$36=""),"",IF(Registro_Compras!$AB$36="ADMINISTRATIVO","94","95"))</f>
        <v/>
      </c>
      <c r="D296">
        <f>IF(OR(Registro_Compras!$C$36="",Registro_Compras!$O$36=""),"",IF(Registro_Compras!$AB$36="ADMINISTRATIVO","Gastos Administrativos","Gastos de Venta y Operacion"))</f>
        <v/>
      </c>
      <c r="E296" s="20">
        <f>IF($C296="","",IF(Registro_Compras!$F$36="NOTA DE CREDITO","",IF(Registro_Compras!$F$36="RHE",ROUND(Registro_Compras!$L$36*Registro_Compras!$N$36,2),ROUND(Registro_Compras!$J$36*Registro_Compras!$N$36,2))))</f>
        <v/>
      </c>
      <c r="F296" s="20">
        <f>IF($C296="","",IF(Registro_Compras!$F$36="NOTA DE CREDITO",ROUND(ABS(Registro_Compras!$J$36*Registro_Compras!$N$36),2),""))</f>
        <v/>
      </c>
      <c r="G296">
        <f>IF($C296="","","Por el destino del gasto")</f>
        <v/>
      </c>
      <c r="H296">
        <f>IF($C296="","",Registro_Compras!$C$36)</f>
        <v/>
      </c>
    </row>
    <row r="297">
      <c r="A297" s="25">
        <f>IF($C297="","",Registro_Compras!$B$36)</f>
        <v/>
      </c>
      <c r="B297">
        <f>IF($C297="","","C"&amp;TEXT(INT((ROW()-5)/9)+1,"000")&amp;"-2")</f>
        <v/>
      </c>
      <c r="C297">
        <f>IF(OR(Registro_Compras!$C$36="",Registro_Compras!$O$36=""),"","79/791")</f>
        <v/>
      </c>
      <c r="D297">
        <f>IF(OR(Registro_Compras!$C$36="",Registro_Compras!$O$36=""),"","Cargas Imputables a Cuentas de Costos y Gastos")</f>
        <v/>
      </c>
      <c r="E297" s="20">
        <f>IF($C297="","",IF(Registro_Compras!$F$36="NOTA DE CREDITO",ROUND(ABS(Registro_Compras!$J$36*Registro_Compras!$N$36),2),""))</f>
        <v/>
      </c>
      <c r="F297" s="20">
        <f>IF($C297="","",IF(Registro_Compras!$F$36="NOTA DE CREDITO","",IF(Registro_Compras!$F$36="RHE",ROUND(Registro_Compras!$L$36*Registro_Compras!$N$36,2),ROUND(Registro_Compras!$J$36*Registro_Compras!$N$36,2))))</f>
        <v/>
      </c>
      <c r="G297">
        <f>IF($C297="","","Por el destino del gasto")</f>
        <v/>
      </c>
      <c r="H297">
        <f>IF($C297="","",Registro_Compras!$C$36)</f>
        <v/>
      </c>
    </row>
    <row r="298">
      <c r="A298" s="25">
        <f>IF($C298="","",Registro_Compras!$X$36)</f>
        <v/>
      </c>
      <c r="B298">
        <f>IF($C298="","","C"&amp;TEXT(INT((ROW()-5)/9)+1,"000")&amp;"-3")</f>
        <v/>
      </c>
      <c r="C298">
        <f>IF(OR(Registro_Compras!$C$36="",Registro_Compras!$O$36="",Registro_Compras!$R$36&lt;&gt;"SI",Registro_Compras!$X$36=""),"","4212")</f>
        <v/>
      </c>
      <c r="D298">
        <f>IF(OR(Registro_Compras!$C$36="",Registro_Compras!$O$36=""),"","Cuentas por Pagar Comerciales - Terceros")</f>
        <v/>
      </c>
      <c r="E298" s="20">
        <f>IF($C298="","",Registro_Compras!$S$36)</f>
        <v/>
      </c>
      <c r="F298" s="20">
        <f>""</f>
        <v/>
      </c>
      <c r="G298">
        <f>IF($C298="","","Por el deposito de la detraccion en el Banco de la Nacion")</f>
        <v/>
      </c>
      <c r="H298">
        <f>IF($C298="","",Registro_Compras!$C$36)</f>
        <v/>
      </c>
    </row>
    <row r="299">
      <c r="A299" s="25">
        <f>IF($C299="","",Registro_Compras!$X$36)</f>
        <v/>
      </c>
      <c r="B299">
        <f>IF($C299="","","C"&amp;TEXT(INT((ROW()-5)/9)+1,"000")&amp;"-3")</f>
        <v/>
      </c>
      <c r="C299">
        <f>IF(OR(Registro_Compras!$C$36="",Registro_Compras!$O$36="",Registro_Compras!$R$36&lt;&gt;"SI",Registro_Compras!$X$36=""),"","10413")</f>
        <v/>
      </c>
      <c r="D299">
        <f>IF(OR(Registro_Compras!$C$36="",Registro_Compras!$O$36=""),"","Efectivo y Equivalentes - Cta. Cte. Operativa")</f>
        <v/>
      </c>
      <c r="E299" s="20">
        <f>""</f>
        <v/>
      </c>
      <c r="F299" s="20">
        <f>IF($C299="","",Registro_Compras!$S$36)</f>
        <v/>
      </c>
      <c r="G299">
        <f>IF($C299="","","Por el deposito de la detraccion en el Banco de la Nacion")</f>
        <v/>
      </c>
      <c r="H299">
        <f>IF($C299="","",Registro_Compras!$C$36)</f>
        <v/>
      </c>
    </row>
    <row r="300">
      <c r="A300" s="25">
        <f>IF($C300="","",Registro_Compras!$Y$36)</f>
        <v/>
      </c>
      <c r="B300">
        <f>IF($C300="","","C"&amp;TEXT(INT((ROW()-5)/9)+1,"000")&amp;"-4")</f>
        <v/>
      </c>
      <c r="C300">
        <f>IF(OR(Registro_Compras!$C$36="",Registro_Compras!$O$36="",Registro_Compras!$Y$36="",Registro_Compras!$F$36="NOTA DE CREDITO"),"","4212")</f>
        <v/>
      </c>
      <c r="D300">
        <f>IF(OR(Registro_Compras!$C$36="",Registro_Compras!$O$36=""),"","Cuentas por Pagar Comerciales - Terceros")</f>
        <v/>
      </c>
      <c r="E300" s="20">
        <f>IF($C300="","",IF(Registro_Compras!$F$36="RHE",(ROUND(Registro_Compras!$L$36*Registro_Compras!$N$36,2)-ROUND(Registro_Compras!$V$36*Registro_Compras!$N$36,2)),ROUND(Registro_Compras!$O$36-Registro_Compras!$S$36,2)))</f>
        <v/>
      </c>
      <c r="F300" s="20">
        <f>""</f>
        <v/>
      </c>
      <c r="G300">
        <f>IF($C300="","","Por la cancelacion del saldo al proveedor")</f>
        <v/>
      </c>
      <c r="H300">
        <f>IF($C300="","",Registro_Compras!$C$36)</f>
        <v/>
      </c>
    </row>
    <row r="301">
      <c r="A301" s="25">
        <f>IF($C301="","",Registro_Compras!$Y$36)</f>
        <v/>
      </c>
      <c r="B301">
        <f>IF($C301="","","C"&amp;TEXT(INT((ROW()-5)/9)+1,"000")&amp;"-4")</f>
        <v/>
      </c>
      <c r="C301">
        <f>IF(OR(Registro_Compras!$C$36="",Registro_Compras!$O$36="",Registro_Compras!$Y$36="",Registro_Compras!$F$36="NOTA DE CREDITO"),"","10413")</f>
        <v/>
      </c>
      <c r="D301">
        <f>IF(OR(Registro_Compras!$C$36="",Registro_Compras!$O$36=""),"","Efectivo y Equivalentes - Cta. Cte. Operativa")</f>
        <v/>
      </c>
      <c r="E301" s="20">
        <f>""</f>
        <v/>
      </c>
      <c r="F301" s="20">
        <f>IF($C301="","",IF(Registro_Compras!$F$36="RHE",(ROUND(Registro_Compras!$L$36*Registro_Compras!$N$36,2)-ROUND(Registro_Compras!$V$36*Registro_Compras!$N$36,2)),ROUND(Registro_Compras!$O$36-Registro_Compras!$S$36,2)))</f>
        <v/>
      </c>
      <c r="G301">
        <f>IF($C301="","","Por la cancelacion del saldo al proveedor")</f>
        <v/>
      </c>
      <c r="H301">
        <f>IF($C301="","",Registro_Compras!$C$36)</f>
        <v/>
      </c>
    </row>
    <row r="302">
      <c r="A302" s="25">
        <f>IF($C302="","",Registro_Compras!$B$37)</f>
        <v/>
      </c>
      <c r="B302">
        <f>IF($C302="","","C"&amp;TEXT(INT((ROW()-5)/9)+1,"000")&amp;"-1")</f>
        <v/>
      </c>
      <c r="C302">
        <f>IF(OR(Registro_Compras!$C$37="",Registro_Compras!$O$37=""),"",IF(Registro_Compras!$F$37="NOTA DE CREDITO","4212",IF(Registro_Compras!$M$37="","63",Registro_Compras!$M$37)))</f>
        <v/>
      </c>
      <c r="D302">
        <f>IF(OR(Registro_Compras!$C$37="",Registro_Compras!$O$37=""),"",IF(Registro_Compras!$F$37="NOTA DE CREDITO","Cuentas por Pagar Comerciales - Terceros (Emitidas)",IF(Registro_Compras!$F$37="RHE","Honorarios Profesionales - Servicios de Terceros","Gastos de Servicios Prestados por Terceros")))</f>
        <v/>
      </c>
      <c r="E302" s="20">
        <f>IF($C302="","",IF(Registro_Compras!$F$37="NOTA DE CREDITO",ABS(Registro_Compras!$O$37),IF(Registro_Compras!$F$37="RHE",ROUND(Registro_Compras!$L$37*Registro_Compras!$N$37,2),ROUND(Registro_Compras!$J$37*Registro_Compras!$N$37,2))))</f>
        <v/>
      </c>
      <c r="F302" s="20">
        <f>""</f>
        <v/>
      </c>
      <c r="G302">
        <f>IF($C302="","",IF(Registro_Compras!$F$37="NOTA DE CREDITO","Por la nota de credito "&amp;Registro_Compras!$C$37&amp;" de "&amp;Registro_Compras!$E$37&amp;" [PATRON POR CONFIRMAR CON CONTADOR]",IF(Registro_Compras!$F$37="RHE","Por el registro del recibo por honorarios "&amp;Registro_Compras!$C$37&amp;" de "&amp;Registro_Compras!$E$37&amp;" [PATRON POR CONFIRMAR CON CONTADOR]","Por el registro de la factura "&amp;Registro_Compras!$C$37&amp;" de "&amp;Registro_Compras!$E$37)))</f>
        <v/>
      </c>
      <c r="H302">
        <f>IF($C302="","",Registro_Compras!$C$37)</f>
        <v/>
      </c>
    </row>
    <row r="303">
      <c r="A303" s="25">
        <f>IF($C303="","",Registro_Compras!$B$37)</f>
        <v/>
      </c>
      <c r="B303">
        <f>IF($C303="","","C"&amp;TEXT(INT((ROW()-5)/9)+1,"000")&amp;"-1")</f>
        <v/>
      </c>
      <c r="C303">
        <f>IF(OR(Registro_Compras!$C$37="",Registro_Compras!$O$37=""),"",IF(Registro_Compras!$F$37="RHE",IF(Registro_Compras!$V$37=0,"","40172"),IF(Registro_Compras!$F$37="NOTA DE CREDITO",IF(Registro_Compras!$M$37="","63",Registro_Compras!$M$37),IF(Registro_Compras!$K$37=0,"","40111"))))</f>
        <v/>
      </c>
      <c r="D303">
        <f>IF(OR(Registro_Compras!$C$37="",Registro_Compras!$O$37=""),"",IF(Registro_Compras!$F$37="RHE","Retencion Renta 4ta Categoria por Pagar",IF(Registro_Compras!$F$37="NOTA DE CREDITO","Gastos de Servicios Prestados por Terceros","IGV - Cuenta Propia (Credito Fiscal)")))</f>
        <v/>
      </c>
      <c r="E303" s="20">
        <f>IF($C303="","",IF(Registro_Compras!$F$37="FACTURA",ROUND(Registro_Compras!$K$37*Registro_Compras!$N$37,2),""))</f>
        <v/>
      </c>
      <c r="F303" s="20">
        <f>IF($C303="","",IF(Registro_Compras!$F$37="RHE",ROUND(Registro_Compras!$V$37*Registro_Compras!$N$37,2),IF(Registro_Compras!$F$37="NOTA DE CREDITO",ROUND(ABS(Registro_Compras!$J$37*Registro_Compras!$N$37),2),"")))</f>
        <v/>
      </c>
      <c r="G303">
        <f>IF($C303="","",IF(Registro_Compras!$F$37="NOTA DE CREDITO","Por la nota de credito "&amp;Registro_Compras!$C$37&amp;" de "&amp;Registro_Compras!$E$37&amp;" [PATRON POR CONFIRMAR CON CONTADOR]",IF(Registro_Compras!$F$37="RHE","Por el registro del recibo por honorarios "&amp;Registro_Compras!$C$37&amp;" de "&amp;Registro_Compras!$E$37&amp;" [PATRON POR CONFIRMAR CON CONTADOR]","Por el registro de la factura "&amp;Registro_Compras!$C$37&amp;" de "&amp;Registro_Compras!$E$37)))</f>
        <v/>
      </c>
      <c r="H303">
        <f>IF($C303="","",Registro_Compras!$C$37)</f>
        <v/>
      </c>
    </row>
    <row r="304">
      <c r="A304" s="25">
        <f>IF($C304="","",Registro_Compras!$B$37)</f>
        <v/>
      </c>
      <c r="B304">
        <f>IF($C304="","","C"&amp;TEXT(INT((ROW()-5)/9)+1,"000")&amp;"-1")</f>
        <v/>
      </c>
      <c r="C304">
        <f>IF(OR(Registro_Compras!$C$37="",Registro_Compras!$O$37=""),"",IF(Registro_Compras!$F$37="NOTA DE CREDITO",IF(Registro_Compras!$K$37=0,"","40111"),"4212"))</f>
        <v/>
      </c>
      <c r="D304">
        <f>IF(OR(Registro_Compras!$C$37="",Registro_Compras!$O$37=""),"",IF(Registro_Compras!$F$37="NOTA DE CREDITO","IGV - Cuenta Propia (Credito Fiscal)","Cuentas por Pagar Comerciales - Terceros (Emitidas)"))</f>
        <v/>
      </c>
      <c r="E304" s="20">
        <f>""</f>
        <v/>
      </c>
      <c r="F304" s="20">
        <f>IF($C304="","",IF(Registro_Compras!$F$37="NOTA DE CREDITO",ROUND(ABS(Registro_Compras!$K$37*Registro_Compras!$N$37),2),IF(Registro_Compras!$F$37="RHE",(ROUND(Registro_Compras!$L$37*Registro_Compras!$N$37,2)-ROUND(Registro_Compras!$V$37*Registro_Compras!$N$37,2)),Registro_Compras!$O$37)))</f>
        <v/>
      </c>
      <c r="G304">
        <f>IF($C304="","",IF(Registro_Compras!$F$37="NOTA DE CREDITO","Por la nota de credito "&amp;Registro_Compras!$C$37&amp;" de "&amp;Registro_Compras!$E$37&amp;" [PATRON POR CONFIRMAR CON CONTADOR]",IF(Registro_Compras!$F$37="RHE","Por el registro del recibo por honorarios "&amp;Registro_Compras!$C$37&amp;" de "&amp;Registro_Compras!$E$37&amp;" [PATRON POR CONFIRMAR CON CONTADOR]","Por el registro de la factura "&amp;Registro_Compras!$C$37&amp;" de "&amp;Registro_Compras!$E$37)))</f>
        <v/>
      </c>
      <c r="H304">
        <f>IF($C304="","",Registro_Compras!$C$37)</f>
        <v/>
      </c>
    </row>
    <row r="305">
      <c r="A305" s="25">
        <f>IF($C305="","",Registro_Compras!$B$37)</f>
        <v/>
      </c>
      <c r="B305">
        <f>IF($C305="","","C"&amp;TEXT(INT((ROW()-5)/9)+1,"000")&amp;"-2")</f>
        <v/>
      </c>
      <c r="C305">
        <f>IF(OR(Registro_Compras!$C$37="",Registro_Compras!$O$37=""),"",IF(Registro_Compras!$AB$37="ADMINISTRATIVO","94","95"))</f>
        <v/>
      </c>
      <c r="D305">
        <f>IF(OR(Registro_Compras!$C$37="",Registro_Compras!$O$37=""),"",IF(Registro_Compras!$AB$37="ADMINISTRATIVO","Gastos Administrativos","Gastos de Venta y Operacion"))</f>
        <v/>
      </c>
      <c r="E305" s="20">
        <f>IF($C305="","",IF(Registro_Compras!$F$37="NOTA DE CREDITO","",IF(Registro_Compras!$F$37="RHE",ROUND(Registro_Compras!$L$37*Registro_Compras!$N$37,2),ROUND(Registro_Compras!$J$37*Registro_Compras!$N$37,2))))</f>
        <v/>
      </c>
      <c r="F305" s="20">
        <f>IF($C305="","",IF(Registro_Compras!$F$37="NOTA DE CREDITO",ROUND(ABS(Registro_Compras!$J$37*Registro_Compras!$N$37),2),""))</f>
        <v/>
      </c>
      <c r="G305">
        <f>IF($C305="","","Por el destino del gasto")</f>
        <v/>
      </c>
      <c r="H305">
        <f>IF($C305="","",Registro_Compras!$C$37)</f>
        <v/>
      </c>
    </row>
    <row r="306">
      <c r="A306" s="25">
        <f>IF($C306="","",Registro_Compras!$B$37)</f>
        <v/>
      </c>
      <c r="B306">
        <f>IF($C306="","","C"&amp;TEXT(INT((ROW()-5)/9)+1,"000")&amp;"-2")</f>
        <v/>
      </c>
      <c r="C306">
        <f>IF(OR(Registro_Compras!$C$37="",Registro_Compras!$O$37=""),"","79/791")</f>
        <v/>
      </c>
      <c r="D306">
        <f>IF(OR(Registro_Compras!$C$37="",Registro_Compras!$O$37=""),"","Cargas Imputables a Cuentas de Costos y Gastos")</f>
        <v/>
      </c>
      <c r="E306" s="20">
        <f>IF($C306="","",IF(Registro_Compras!$F$37="NOTA DE CREDITO",ROUND(ABS(Registro_Compras!$J$37*Registro_Compras!$N$37),2),""))</f>
        <v/>
      </c>
      <c r="F306" s="20">
        <f>IF($C306="","",IF(Registro_Compras!$F$37="NOTA DE CREDITO","",IF(Registro_Compras!$F$37="RHE",ROUND(Registro_Compras!$L$37*Registro_Compras!$N$37,2),ROUND(Registro_Compras!$J$37*Registro_Compras!$N$37,2))))</f>
        <v/>
      </c>
      <c r="G306">
        <f>IF($C306="","","Por el destino del gasto")</f>
        <v/>
      </c>
      <c r="H306">
        <f>IF($C306="","",Registro_Compras!$C$37)</f>
        <v/>
      </c>
    </row>
    <row r="307">
      <c r="A307" s="25">
        <f>IF($C307="","",Registro_Compras!$X$37)</f>
        <v/>
      </c>
      <c r="B307">
        <f>IF($C307="","","C"&amp;TEXT(INT((ROW()-5)/9)+1,"000")&amp;"-3")</f>
        <v/>
      </c>
      <c r="C307">
        <f>IF(OR(Registro_Compras!$C$37="",Registro_Compras!$O$37="",Registro_Compras!$R$37&lt;&gt;"SI",Registro_Compras!$X$37=""),"","4212")</f>
        <v/>
      </c>
      <c r="D307">
        <f>IF(OR(Registro_Compras!$C$37="",Registro_Compras!$O$37=""),"","Cuentas por Pagar Comerciales - Terceros")</f>
        <v/>
      </c>
      <c r="E307" s="20">
        <f>IF($C307="","",Registro_Compras!$S$37)</f>
        <v/>
      </c>
      <c r="F307" s="20">
        <f>""</f>
        <v/>
      </c>
      <c r="G307">
        <f>IF($C307="","","Por el deposito de la detraccion en el Banco de la Nacion")</f>
        <v/>
      </c>
      <c r="H307">
        <f>IF($C307="","",Registro_Compras!$C$37)</f>
        <v/>
      </c>
    </row>
    <row r="308">
      <c r="A308" s="25">
        <f>IF($C308="","",Registro_Compras!$X$37)</f>
        <v/>
      </c>
      <c r="B308">
        <f>IF($C308="","","C"&amp;TEXT(INT((ROW()-5)/9)+1,"000")&amp;"-3")</f>
        <v/>
      </c>
      <c r="C308">
        <f>IF(OR(Registro_Compras!$C$37="",Registro_Compras!$O$37="",Registro_Compras!$R$37&lt;&gt;"SI",Registro_Compras!$X$37=""),"","10413")</f>
        <v/>
      </c>
      <c r="D308">
        <f>IF(OR(Registro_Compras!$C$37="",Registro_Compras!$O$37=""),"","Efectivo y Equivalentes - Cta. Cte. Operativa")</f>
        <v/>
      </c>
      <c r="E308" s="20">
        <f>""</f>
        <v/>
      </c>
      <c r="F308" s="20">
        <f>IF($C308="","",Registro_Compras!$S$37)</f>
        <v/>
      </c>
      <c r="G308">
        <f>IF($C308="","","Por el deposito de la detraccion en el Banco de la Nacion")</f>
        <v/>
      </c>
      <c r="H308">
        <f>IF($C308="","",Registro_Compras!$C$37)</f>
        <v/>
      </c>
    </row>
    <row r="309">
      <c r="A309" s="25">
        <f>IF($C309="","",Registro_Compras!$Y$37)</f>
        <v/>
      </c>
      <c r="B309">
        <f>IF($C309="","","C"&amp;TEXT(INT((ROW()-5)/9)+1,"000")&amp;"-4")</f>
        <v/>
      </c>
      <c r="C309">
        <f>IF(OR(Registro_Compras!$C$37="",Registro_Compras!$O$37="",Registro_Compras!$Y$37="",Registro_Compras!$F$37="NOTA DE CREDITO"),"","4212")</f>
        <v/>
      </c>
      <c r="D309">
        <f>IF(OR(Registro_Compras!$C$37="",Registro_Compras!$O$37=""),"","Cuentas por Pagar Comerciales - Terceros")</f>
        <v/>
      </c>
      <c r="E309" s="20">
        <f>IF($C309="","",IF(Registro_Compras!$F$37="RHE",(ROUND(Registro_Compras!$L$37*Registro_Compras!$N$37,2)-ROUND(Registro_Compras!$V$37*Registro_Compras!$N$37,2)),ROUND(Registro_Compras!$O$37-Registro_Compras!$S$37,2)))</f>
        <v/>
      </c>
      <c r="F309" s="20">
        <f>""</f>
        <v/>
      </c>
      <c r="G309">
        <f>IF($C309="","","Por la cancelacion del saldo al proveedor")</f>
        <v/>
      </c>
      <c r="H309">
        <f>IF($C309="","",Registro_Compras!$C$37)</f>
        <v/>
      </c>
    </row>
    <row r="310">
      <c r="A310" s="25">
        <f>IF($C310="","",Registro_Compras!$Y$37)</f>
        <v/>
      </c>
      <c r="B310">
        <f>IF($C310="","","C"&amp;TEXT(INT((ROW()-5)/9)+1,"000")&amp;"-4")</f>
        <v/>
      </c>
      <c r="C310">
        <f>IF(OR(Registro_Compras!$C$37="",Registro_Compras!$O$37="",Registro_Compras!$Y$37="",Registro_Compras!$F$37="NOTA DE CREDITO"),"","10413")</f>
        <v/>
      </c>
      <c r="D310">
        <f>IF(OR(Registro_Compras!$C$37="",Registro_Compras!$O$37=""),"","Efectivo y Equivalentes - Cta. Cte. Operativa")</f>
        <v/>
      </c>
      <c r="E310" s="20">
        <f>""</f>
        <v/>
      </c>
      <c r="F310" s="20">
        <f>IF($C310="","",IF(Registro_Compras!$F$37="RHE",(ROUND(Registro_Compras!$L$37*Registro_Compras!$N$37,2)-ROUND(Registro_Compras!$V$37*Registro_Compras!$N$37,2)),ROUND(Registro_Compras!$O$37-Registro_Compras!$S$37,2)))</f>
        <v/>
      </c>
      <c r="G310">
        <f>IF($C310="","","Por la cancelacion del saldo al proveedor")</f>
        <v/>
      </c>
      <c r="H310">
        <f>IF($C310="","",Registro_Compras!$C$37)</f>
        <v/>
      </c>
    </row>
    <row r="311">
      <c r="A311" s="25">
        <f>IF($C311="","",Registro_Compras!$B$38)</f>
        <v/>
      </c>
      <c r="B311">
        <f>IF($C311="","","C"&amp;TEXT(INT((ROW()-5)/9)+1,"000")&amp;"-1")</f>
        <v/>
      </c>
      <c r="C311">
        <f>IF(OR(Registro_Compras!$C$38="",Registro_Compras!$O$38=""),"",IF(Registro_Compras!$F$38="NOTA DE CREDITO","4212",IF(Registro_Compras!$M$38="","63",Registro_Compras!$M$38)))</f>
        <v/>
      </c>
      <c r="D311">
        <f>IF(OR(Registro_Compras!$C$38="",Registro_Compras!$O$38=""),"",IF(Registro_Compras!$F$38="NOTA DE CREDITO","Cuentas por Pagar Comerciales - Terceros (Emitidas)",IF(Registro_Compras!$F$38="RHE","Honorarios Profesionales - Servicios de Terceros","Gastos de Servicios Prestados por Terceros")))</f>
        <v/>
      </c>
      <c r="E311" s="20">
        <f>IF($C311="","",IF(Registro_Compras!$F$38="NOTA DE CREDITO",ABS(Registro_Compras!$O$38),IF(Registro_Compras!$F$38="RHE",ROUND(Registro_Compras!$L$38*Registro_Compras!$N$38,2),ROUND(Registro_Compras!$J$38*Registro_Compras!$N$38,2))))</f>
        <v/>
      </c>
      <c r="F311" s="20">
        <f>""</f>
        <v/>
      </c>
      <c r="G311">
        <f>IF($C311="","",IF(Registro_Compras!$F$38="NOTA DE CREDITO","Por la nota de credito "&amp;Registro_Compras!$C$38&amp;" de "&amp;Registro_Compras!$E$38&amp;" [PATRON POR CONFIRMAR CON CONTADOR]",IF(Registro_Compras!$F$38="RHE","Por el registro del recibo por honorarios "&amp;Registro_Compras!$C$38&amp;" de "&amp;Registro_Compras!$E$38&amp;" [PATRON POR CONFIRMAR CON CONTADOR]","Por el registro de la factura "&amp;Registro_Compras!$C$38&amp;" de "&amp;Registro_Compras!$E$38)))</f>
        <v/>
      </c>
      <c r="H311">
        <f>IF($C311="","",Registro_Compras!$C$38)</f>
        <v/>
      </c>
    </row>
    <row r="312">
      <c r="A312" s="25">
        <f>IF($C312="","",Registro_Compras!$B$38)</f>
        <v/>
      </c>
      <c r="B312">
        <f>IF($C312="","","C"&amp;TEXT(INT((ROW()-5)/9)+1,"000")&amp;"-1")</f>
        <v/>
      </c>
      <c r="C312">
        <f>IF(OR(Registro_Compras!$C$38="",Registro_Compras!$O$38=""),"",IF(Registro_Compras!$F$38="RHE",IF(Registro_Compras!$V$38=0,"","40172"),IF(Registro_Compras!$F$38="NOTA DE CREDITO",IF(Registro_Compras!$M$38="","63",Registro_Compras!$M$38),IF(Registro_Compras!$K$38=0,"","40111"))))</f>
        <v/>
      </c>
      <c r="D312">
        <f>IF(OR(Registro_Compras!$C$38="",Registro_Compras!$O$38=""),"",IF(Registro_Compras!$F$38="RHE","Retencion Renta 4ta Categoria por Pagar",IF(Registro_Compras!$F$38="NOTA DE CREDITO","Gastos de Servicios Prestados por Terceros","IGV - Cuenta Propia (Credito Fiscal)")))</f>
        <v/>
      </c>
      <c r="E312" s="20">
        <f>IF($C312="","",IF(Registro_Compras!$F$38="FACTURA",ROUND(Registro_Compras!$K$38*Registro_Compras!$N$38,2),""))</f>
        <v/>
      </c>
      <c r="F312" s="20">
        <f>IF($C312="","",IF(Registro_Compras!$F$38="RHE",ROUND(Registro_Compras!$V$38*Registro_Compras!$N$38,2),IF(Registro_Compras!$F$38="NOTA DE CREDITO",ROUND(ABS(Registro_Compras!$J$38*Registro_Compras!$N$38),2),"")))</f>
        <v/>
      </c>
      <c r="G312">
        <f>IF($C312="","",IF(Registro_Compras!$F$38="NOTA DE CREDITO","Por la nota de credito "&amp;Registro_Compras!$C$38&amp;" de "&amp;Registro_Compras!$E$38&amp;" [PATRON POR CONFIRMAR CON CONTADOR]",IF(Registro_Compras!$F$38="RHE","Por el registro del recibo por honorarios "&amp;Registro_Compras!$C$38&amp;" de "&amp;Registro_Compras!$E$38&amp;" [PATRON POR CONFIRMAR CON CONTADOR]","Por el registro de la factura "&amp;Registro_Compras!$C$38&amp;" de "&amp;Registro_Compras!$E$38)))</f>
        <v/>
      </c>
      <c r="H312">
        <f>IF($C312="","",Registro_Compras!$C$38)</f>
        <v/>
      </c>
    </row>
    <row r="313">
      <c r="A313" s="25">
        <f>IF($C313="","",Registro_Compras!$B$38)</f>
        <v/>
      </c>
      <c r="B313">
        <f>IF($C313="","","C"&amp;TEXT(INT((ROW()-5)/9)+1,"000")&amp;"-1")</f>
        <v/>
      </c>
      <c r="C313">
        <f>IF(OR(Registro_Compras!$C$38="",Registro_Compras!$O$38=""),"",IF(Registro_Compras!$F$38="NOTA DE CREDITO",IF(Registro_Compras!$K$38=0,"","40111"),"4212"))</f>
        <v/>
      </c>
      <c r="D313">
        <f>IF(OR(Registro_Compras!$C$38="",Registro_Compras!$O$38=""),"",IF(Registro_Compras!$F$38="NOTA DE CREDITO","IGV - Cuenta Propia (Credito Fiscal)","Cuentas por Pagar Comerciales - Terceros (Emitidas)"))</f>
        <v/>
      </c>
      <c r="E313" s="20">
        <f>""</f>
        <v/>
      </c>
      <c r="F313" s="20">
        <f>IF($C313="","",IF(Registro_Compras!$F$38="NOTA DE CREDITO",ROUND(ABS(Registro_Compras!$K$38*Registro_Compras!$N$38),2),IF(Registro_Compras!$F$38="RHE",(ROUND(Registro_Compras!$L$38*Registro_Compras!$N$38,2)-ROUND(Registro_Compras!$V$38*Registro_Compras!$N$38,2)),Registro_Compras!$O$38)))</f>
        <v/>
      </c>
      <c r="G313">
        <f>IF($C313="","",IF(Registro_Compras!$F$38="NOTA DE CREDITO","Por la nota de credito "&amp;Registro_Compras!$C$38&amp;" de "&amp;Registro_Compras!$E$38&amp;" [PATRON POR CONFIRMAR CON CONTADOR]",IF(Registro_Compras!$F$38="RHE","Por el registro del recibo por honorarios "&amp;Registro_Compras!$C$38&amp;" de "&amp;Registro_Compras!$E$38&amp;" [PATRON POR CONFIRMAR CON CONTADOR]","Por el registro de la factura "&amp;Registro_Compras!$C$38&amp;" de "&amp;Registro_Compras!$E$38)))</f>
        <v/>
      </c>
      <c r="H313">
        <f>IF($C313="","",Registro_Compras!$C$38)</f>
        <v/>
      </c>
    </row>
    <row r="314">
      <c r="A314" s="25">
        <f>IF($C314="","",Registro_Compras!$B$38)</f>
        <v/>
      </c>
      <c r="B314">
        <f>IF($C314="","","C"&amp;TEXT(INT((ROW()-5)/9)+1,"000")&amp;"-2")</f>
        <v/>
      </c>
      <c r="C314">
        <f>IF(OR(Registro_Compras!$C$38="",Registro_Compras!$O$38=""),"",IF(Registro_Compras!$AB$38="ADMINISTRATIVO","94","95"))</f>
        <v/>
      </c>
      <c r="D314">
        <f>IF(OR(Registro_Compras!$C$38="",Registro_Compras!$O$38=""),"",IF(Registro_Compras!$AB$38="ADMINISTRATIVO","Gastos Administrativos","Gastos de Venta y Operacion"))</f>
        <v/>
      </c>
      <c r="E314" s="20">
        <f>IF($C314="","",IF(Registro_Compras!$F$38="NOTA DE CREDITO","",IF(Registro_Compras!$F$38="RHE",ROUND(Registro_Compras!$L$38*Registro_Compras!$N$38,2),ROUND(Registro_Compras!$J$38*Registro_Compras!$N$38,2))))</f>
        <v/>
      </c>
      <c r="F314" s="20">
        <f>IF($C314="","",IF(Registro_Compras!$F$38="NOTA DE CREDITO",ROUND(ABS(Registro_Compras!$J$38*Registro_Compras!$N$38),2),""))</f>
        <v/>
      </c>
      <c r="G314">
        <f>IF($C314="","","Por el destino del gasto")</f>
        <v/>
      </c>
      <c r="H314">
        <f>IF($C314="","",Registro_Compras!$C$38)</f>
        <v/>
      </c>
    </row>
    <row r="315">
      <c r="A315" s="25">
        <f>IF($C315="","",Registro_Compras!$B$38)</f>
        <v/>
      </c>
      <c r="B315">
        <f>IF($C315="","","C"&amp;TEXT(INT((ROW()-5)/9)+1,"000")&amp;"-2")</f>
        <v/>
      </c>
      <c r="C315">
        <f>IF(OR(Registro_Compras!$C$38="",Registro_Compras!$O$38=""),"","79/791")</f>
        <v/>
      </c>
      <c r="D315">
        <f>IF(OR(Registro_Compras!$C$38="",Registro_Compras!$O$38=""),"","Cargas Imputables a Cuentas de Costos y Gastos")</f>
        <v/>
      </c>
      <c r="E315" s="20">
        <f>IF($C315="","",IF(Registro_Compras!$F$38="NOTA DE CREDITO",ROUND(ABS(Registro_Compras!$J$38*Registro_Compras!$N$38),2),""))</f>
        <v/>
      </c>
      <c r="F315" s="20">
        <f>IF($C315="","",IF(Registro_Compras!$F$38="NOTA DE CREDITO","",IF(Registro_Compras!$F$38="RHE",ROUND(Registro_Compras!$L$38*Registro_Compras!$N$38,2),ROUND(Registro_Compras!$J$38*Registro_Compras!$N$38,2))))</f>
        <v/>
      </c>
      <c r="G315">
        <f>IF($C315="","","Por el destino del gasto")</f>
        <v/>
      </c>
      <c r="H315">
        <f>IF($C315="","",Registro_Compras!$C$38)</f>
        <v/>
      </c>
    </row>
    <row r="316">
      <c r="A316" s="25">
        <f>IF($C316="","",Registro_Compras!$X$38)</f>
        <v/>
      </c>
      <c r="B316">
        <f>IF($C316="","","C"&amp;TEXT(INT((ROW()-5)/9)+1,"000")&amp;"-3")</f>
        <v/>
      </c>
      <c r="C316">
        <f>IF(OR(Registro_Compras!$C$38="",Registro_Compras!$O$38="",Registro_Compras!$R$38&lt;&gt;"SI",Registro_Compras!$X$38=""),"","4212")</f>
        <v/>
      </c>
      <c r="D316">
        <f>IF(OR(Registro_Compras!$C$38="",Registro_Compras!$O$38=""),"","Cuentas por Pagar Comerciales - Terceros")</f>
        <v/>
      </c>
      <c r="E316" s="20">
        <f>IF($C316="","",Registro_Compras!$S$38)</f>
        <v/>
      </c>
      <c r="F316" s="20">
        <f>""</f>
        <v/>
      </c>
      <c r="G316">
        <f>IF($C316="","","Por el deposito de la detraccion en el Banco de la Nacion")</f>
        <v/>
      </c>
      <c r="H316">
        <f>IF($C316="","",Registro_Compras!$C$38)</f>
        <v/>
      </c>
    </row>
    <row r="317">
      <c r="A317" s="25">
        <f>IF($C317="","",Registro_Compras!$X$38)</f>
        <v/>
      </c>
      <c r="B317">
        <f>IF($C317="","","C"&amp;TEXT(INT((ROW()-5)/9)+1,"000")&amp;"-3")</f>
        <v/>
      </c>
      <c r="C317">
        <f>IF(OR(Registro_Compras!$C$38="",Registro_Compras!$O$38="",Registro_Compras!$R$38&lt;&gt;"SI",Registro_Compras!$X$38=""),"","10413")</f>
        <v/>
      </c>
      <c r="D317">
        <f>IF(OR(Registro_Compras!$C$38="",Registro_Compras!$O$38=""),"","Efectivo y Equivalentes - Cta. Cte. Operativa")</f>
        <v/>
      </c>
      <c r="E317" s="20">
        <f>""</f>
        <v/>
      </c>
      <c r="F317" s="20">
        <f>IF($C317="","",Registro_Compras!$S$38)</f>
        <v/>
      </c>
      <c r="G317">
        <f>IF($C317="","","Por el deposito de la detraccion en el Banco de la Nacion")</f>
        <v/>
      </c>
      <c r="H317">
        <f>IF($C317="","",Registro_Compras!$C$38)</f>
        <v/>
      </c>
    </row>
    <row r="318">
      <c r="A318" s="25">
        <f>IF($C318="","",Registro_Compras!$Y$38)</f>
        <v/>
      </c>
      <c r="B318">
        <f>IF($C318="","","C"&amp;TEXT(INT((ROW()-5)/9)+1,"000")&amp;"-4")</f>
        <v/>
      </c>
      <c r="C318">
        <f>IF(OR(Registro_Compras!$C$38="",Registro_Compras!$O$38="",Registro_Compras!$Y$38="",Registro_Compras!$F$38="NOTA DE CREDITO"),"","4212")</f>
        <v/>
      </c>
      <c r="D318">
        <f>IF(OR(Registro_Compras!$C$38="",Registro_Compras!$O$38=""),"","Cuentas por Pagar Comerciales - Terceros")</f>
        <v/>
      </c>
      <c r="E318" s="20">
        <f>IF($C318="","",IF(Registro_Compras!$F$38="RHE",(ROUND(Registro_Compras!$L$38*Registro_Compras!$N$38,2)-ROUND(Registro_Compras!$V$38*Registro_Compras!$N$38,2)),ROUND(Registro_Compras!$O$38-Registro_Compras!$S$38,2)))</f>
        <v/>
      </c>
      <c r="F318" s="20">
        <f>""</f>
        <v/>
      </c>
      <c r="G318">
        <f>IF($C318="","","Por la cancelacion del saldo al proveedor")</f>
        <v/>
      </c>
      <c r="H318">
        <f>IF($C318="","",Registro_Compras!$C$38)</f>
        <v/>
      </c>
    </row>
    <row r="319">
      <c r="A319" s="25">
        <f>IF($C319="","",Registro_Compras!$Y$38)</f>
        <v/>
      </c>
      <c r="B319">
        <f>IF($C319="","","C"&amp;TEXT(INT((ROW()-5)/9)+1,"000")&amp;"-4")</f>
        <v/>
      </c>
      <c r="C319">
        <f>IF(OR(Registro_Compras!$C$38="",Registro_Compras!$O$38="",Registro_Compras!$Y$38="",Registro_Compras!$F$38="NOTA DE CREDITO"),"","10413")</f>
        <v/>
      </c>
      <c r="D319">
        <f>IF(OR(Registro_Compras!$C$38="",Registro_Compras!$O$38=""),"","Efectivo y Equivalentes - Cta. Cte. Operativa")</f>
        <v/>
      </c>
      <c r="E319" s="20">
        <f>""</f>
        <v/>
      </c>
      <c r="F319" s="20">
        <f>IF($C319="","",IF(Registro_Compras!$F$38="RHE",(ROUND(Registro_Compras!$L$38*Registro_Compras!$N$38,2)-ROUND(Registro_Compras!$V$38*Registro_Compras!$N$38,2)),ROUND(Registro_Compras!$O$38-Registro_Compras!$S$38,2)))</f>
        <v/>
      </c>
      <c r="G319">
        <f>IF($C319="","","Por la cancelacion del saldo al proveedor")</f>
        <v/>
      </c>
      <c r="H319">
        <f>IF($C319="","",Registro_Compras!$C$38)</f>
        <v/>
      </c>
    </row>
    <row r="320">
      <c r="A320" s="25">
        <f>IF($C320="","",Registro_Compras!$B$39)</f>
        <v/>
      </c>
      <c r="B320">
        <f>IF($C320="","","C"&amp;TEXT(INT((ROW()-5)/9)+1,"000")&amp;"-1")</f>
        <v/>
      </c>
      <c r="C320">
        <f>IF(OR(Registro_Compras!$C$39="",Registro_Compras!$O$39=""),"",IF(Registro_Compras!$F$39="NOTA DE CREDITO","4212",IF(Registro_Compras!$M$39="","63",Registro_Compras!$M$39)))</f>
        <v/>
      </c>
      <c r="D320">
        <f>IF(OR(Registro_Compras!$C$39="",Registro_Compras!$O$39=""),"",IF(Registro_Compras!$F$39="NOTA DE CREDITO","Cuentas por Pagar Comerciales - Terceros (Emitidas)",IF(Registro_Compras!$F$39="RHE","Honorarios Profesionales - Servicios de Terceros","Gastos de Servicios Prestados por Terceros")))</f>
        <v/>
      </c>
      <c r="E320" s="20">
        <f>IF($C320="","",IF(Registro_Compras!$F$39="NOTA DE CREDITO",ABS(Registro_Compras!$O$39),IF(Registro_Compras!$F$39="RHE",ROUND(Registro_Compras!$L$39*Registro_Compras!$N$39,2),ROUND(Registro_Compras!$J$39*Registro_Compras!$N$39,2))))</f>
        <v/>
      </c>
      <c r="F320" s="20">
        <f>""</f>
        <v/>
      </c>
      <c r="G320">
        <f>IF($C320="","",IF(Registro_Compras!$F$39="NOTA DE CREDITO","Por la nota de credito "&amp;Registro_Compras!$C$39&amp;" de "&amp;Registro_Compras!$E$39&amp;" [PATRON POR CONFIRMAR CON CONTADOR]",IF(Registro_Compras!$F$39="RHE","Por el registro del recibo por honorarios "&amp;Registro_Compras!$C$39&amp;" de "&amp;Registro_Compras!$E$39&amp;" [PATRON POR CONFIRMAR CON CONTADOR]","Por el registro de la factura "&amp;Registro_Compras!$C$39&amp;" de "&amp;Registro_Compras!$E$39)))</f>
        <v/>
      </c>
      <c r="H320">
        <f>IF($C320="","",Registro_Compras!$C$39)</f>
        <v/>
      </c>
    </row>
    <row r="321">
      <c r="A321" s="25">
        <f>IF($C321="","",Registro_Compras!$B$39)</f>
        <v/>
      </c>
      <c r="B321">
        <f>IF($C321="","","C"&amp;TEXT(INT((ROW()-5)/9)+1,"000")&amp;"-1")</f>
        <v/>
      </c>
      <c r="C321">
        <f>IF(OR(Registro_Compras!$C$39="",Registro_Compras!$O$39=""),"",IF(Registro_Compras!$F$39="RHE",IF(Registro_Compras!$V$39=0,"","40172"),IF(Registro_Compras!$F$39="NOTA DE CREDITO",IF(Registro_Compras!$M$39="","63",Registro_Compras!$M$39),IF(Registro_Compras!$K$39=0,"","40111"))))</f>
        <v/>
      </c>
      <c r="D321">
        <f>IF(OR(Registro_Compras!$C$39="",Registro_Compras!$O$39=""),"",IF(Registro_Compras!$F$39="RHE","Retencion Renta 4ta Categoria por Pagar",IF(Registro_Compras!$F$39="NOTA DE CREDITO","Gastos de Servicios Prestados por Terceros","IGV - Cuenta Propia (Credito Fiscal)")))</f>
        <v/>
      </c>
      <c r="E321" s="20">
        <f>IF($C321="","",IF(Registro_Compras!$F$39="FACTURA",ROUND(Registro_Compras!$K$39*Registro_Compras!$N$39,2),""))</f>
        <v/>
      </c>
      <c r="F321" s="20">
        <f>IF($C321="","",IF(Registro_Compras!$F$39="RHE",ROUND(Registro_Compras!$V$39*Registro_Compras!$N$39,2),IF(Registro_Compras!$F$39="NOTA DE CREDITO",ROUND(ABS(Registro_Compras!$J$39*Registro_Compras!$N$39),2),"")))</f>
        <v/>
      </c>
      <c r="G321">
        <f>IF($C321="","",IF(Registro_Compras!$F$39="NOTA DE CREDITO","Por la nota de credito "&amp;Registro_Compras!$C$39&amp;" de "&amp;Registro_Compras!$E$39&amp;" [PATRON POR CONFIRMAR CON CONTADOR]",IF(Registro_Compras!$F$39="RHE","Por el registro del recibo por honorarios "&amp;Registro_Compras!$C$39&amp;" de "&amp;Registro_Compras!$E$39&amp;" [PATRON POR CONFIRMAR CON CONTADOR]","Por el registro de la factura "&amp;Registro_Compras!$C$39&amp;" de "&amp;Registro_Compras!$E$39)))</f>
        <v/>
      </c>
      <c r="H321">
        <f>IF($C321="","",Registro_Compras!$C$39)</f>
        <v/>
      </c>
    </row>
    <row r="322">
      <c r="A322" s="25">
        <f>IF($C322="","",Registro_Compras!$B$39)</f>
        <v/>
      </c>
      <c r="B322">
        <f>IF($C322="","","C"&amp;TEXT(INT((ROW()-5)/9)+1,"000")&amp;"-1")</f>
        <v/>
      </c>
      <c r="C322">
        <f>IF(OR(Registro_Compras!$C$39="",Registro_Compras!$O$39=""),"",IF(Registro_Compras!$F$39="NOTA DE CREDITO",IF(Registro_Compras!$K$39=0,"","40111"),"4212"))</f>
        <v/>
      </c>
      <c r="D322">
        <f>IF(OR(Registro_Compras!$C$39="",Registro_Compras!$O$39=""),"",IF(Registro_Compras!$F$39="NOTA DE CREDITO","IGV - Cuenta Propia (Credito Fiscal)","Cuentas por Pagar Comerciales - Terceros (Emitidas)"))</f>
        <v/>
      </c>
      <c r="E322" s="20">
        <f>""</f>
        <v/>
      </c>
      <c r="F322" s="20">
        <f>IF($C322="","",IF(Registro_Compras!$F$39="NOTA DE CREDITO",ROUND(ABS(Registro_Compras!$K$39*Registro_Compras!$N$39),2),IF(Registro_Compras!$F$39="RHE",(ROUND(Registro_Compras!$L$39*Registro_Compras!$N$39,2)-ROUND(Registro_Compras!$V$39*Registro_Compras!$N$39,2)),Registro_Compras!$O$39)))</f>
        <v/>
      </c>
      <c r="G322">
        <f>IF($C322="","",IF(Registro_Compras!$F$39="NOTA DE CREDITO","Por la nota de credito "&amp;Registro_Compras!$C$39&amp;" de "&amp;Registro_Compras!$E$39&amp;" [PATRON POR CONFIRMAR CON CONTADOR]",IF(Registro_Compras!$F$39="RHE","Por el registro del recibo por honorarios "&amp;Registro_Compras!$C$39&amp;" de "&amp;Registro_Compras!$E$39&amp;" [PATRON POR CONFIRMAR CON CONTADOR]","Por el registro de la factura "&amp;Registro_Compras!$C$39&amp;" de "&amp;Registro_Compras!$E$39)))</f>
        <v/>
      </c>
      <c r="H322">
        <f>IF($C322="","",Registro_Compras!$C$39)</f>
        <v/>
      </c>
    </row>
    <row r="323">
      <c r="A323" s="25">
        <f>IF($C323="","",Registro_Compras!$B$39)</f>
        <v/>
      </c>
      <c r="B323">
        <f>IF($C323="","","C"&amp;TEXT(INT((ROW()-5)/9)+1,"000")&amp;"-2")</f>
        <v/>
      </c>
      <c r="C323">
        <f>IF(OR(Registro_Compras!$C$39="",Registro_Compras!$O$39=""),"",IF(Registro_Compras!$AB$39="ADMINISTRATIVO","94","95"))</f>
        <v/>
      </c>
      <c r="D323">
        <f>IF(OR(Registro_Compras!$C$39="",Registro_Compras!$O$39=""),"",IF(Registro_Compras!$AB$39="ADMINISTRATIVO","Gastos Administrativos","Gastos de Venta y Operacion"))</f>
        <v/>
      </c>
      <c r="E323" s="20">
        <f>IF($C323="","",IF(Registro_Compras!$F$39="NOTA DE CREDITO","",IF(Registro_Compras!$F$39="RHE",ROUND(Registro_Compras!$L$39*Registro_Compras!$N$39,2),ROUND(Registro_Compras!$J$39*Registro_Compras!$N$39,2))))</f>
        <v/>
      </c>
      <c r="F323" s="20">
        <f>IF($C323="","",IF(Registro_Compras!$F$39="NOTA DE CREDITO",ROUND(ABS(Registro_Compras!$J$39*Registro_Compras!$N$39),2),""))</f>
        <v/>
      </c>
      <c r="G323">
        <f>IF($C323="","","Por el destino del gasto")</f>
        <v/>
      </c>
      <c r="H323">
        <f>IF($C323="","",Registro_Compras!$C$39)</f>
        <v/>
      </c>
    </row>
    <row r="324">
      <c r="A324" s="25">
        <f>IF($C324="","",Registro_Compras!$B$39)</f>
        <v/>
      </c>
      <c r="B324">
        <f>IF($C324="","","C"&amp;TEXT(INT((ROW()-5)/9)+1,"000")&amp;"-2")</f>
        <v/>
      </c>
      <c r="C324">
        <f>IF(OR(Registro_Compras!$C$39="",Registro_Compras!$O$39=""),"","79/791")</f>
        <v/>
      </c>
      <c r="D324">
        <f>IF(OR(Registro_Compras!$C$39="",Registro_Compras!$O$39=""),"","Cargas Imputables a Cuentas de Costos y Gastos")</f>
        <v/>
      </c>
      <c r="E324" s="20">
        <f>IF($C324="","",IF(Registro_Compras!$F$39="NOTA DE CREDITO",ROUND(ABS(Registro_Compras!$J$39*Registro_Compras!$N$39),2),""))</f>
        <v/>
      </c>
      <c r="F324" s="20">
        <f>IF($C324="","",IF(Registro_Compras!$F$39="NOTA DE CREDITO","",IF(Registro_Compras!$F$39="RHE",ROUND(Registro_Compras!$L$39*Registro_Compras!$N$39,2),ROUND(Registro_Compras!$J$39*Registro_Compras!$N$39,2))))</f>
        <v/>
      </c>
      <c r="G324">
        <f>IF($C324="","","Por el destino del gasto")</f>
        <v/>
      </c>
      <c r="H324">
        <f>IF($C324="","",Registro_Compras!$C$39)</f>
        <v/>
      </c>
    </row>
    <row r="325">
      <c r="A325" s="25">
        <f>IF($C325="","",Registro_Compras!$X$39)</f>
        <v/>
      </c>
      <c r="B325">
        <f>IF($C325="","","C"&amp;TEXT(INT((ROW()-5)/9)+1,"000")&amp;"-3")</f>
        <v/>
      </c>
      <c r="C325">
        <f>IF(OR(Registro_Compras!$C$39="",Registro_Compras!$O$39="",Registro_Compras!$R$39&lt;&gt;"SI",Registro_Compras!$X$39=""),"","4212")</f>
        <v/>
      </c>
      <c r="D325">
        <f>IF(OR(Registro_Compras!$C$39="",Registro_Compras!$O$39=""),"","Cuentas por Pagar Comerciales - Terceros")</f>
        <v/>
      </c>
      <c r="E325" s="20">
        <f>IF($C325="","",Registro_Compras!$S$39)</f>
        <v/>
      </c>
      <c r="F325" s="20">
        <f>""</f>
        <v/>
      </c>
      <c r="G325">
        <f>IF($C325="","","Por el deposito de la detraccion en el Banco de la Nacion")</f>
        <v/>
      </c>
      <c r="H325">
        <f>IF($C325="","",Registro_Compras!$C$39)</f>
        <v/>
      </c>
    </row>
    <row r="326">
      <c r="A326" s="25">
        <f>IF($C326="","",Registro_Compras!$X$39)</f>
        <v/>
      </c>
      <c r="B326">
        <f>IF($C326="","","C"&amp;TEXT(INT((ROW()-5)/9)+1,"000")&amp;"-3")</f>
        <v/>
      </c>
      <c r="C326">
        <f>IF(OR(Registro_Compras!$C$39="",Registro_Compras!$O$39="",Registro_Compras!$R$39&lt;&gt;"SI",Registro_Compras!$X$39=""),"","10413")</f>
        <v/>
      </c>
      <c r="D326">
        <f>IF(OR(Registro_Compras!$C$39="",Registro_Compras!$O$39=""),"","Efectivo y Equivalentes - Cta. Cte. Operativa")</f>
        <v/>
      </c>
      <c r="E326" s="20">
        <f>""</f>
        <v/>
      </c>
      <c r="F326" s="20">
        <f>IF($C326="","",Registro_Compras!$S$39)</f>
        <v/>
      </c>
      <c r="G326">
        <f>IF($C326="","","Por el deposito de la detraccion en el Banco de la Nacion")</f>
        <v/>
      </c>
      <c r="H326">
        <f>IF($C326="","",Registro_Compras!$C$39)</f>
        <v/>
      </c>
    </row>
    <row r="327">
      <c r="A327" s="25">
        <f>IF($C327="","",Registro_Compras!$Y$39)</f>
        <v/>
      </c>
      <c r="B327">
        <f>IF($C327="","","C"&amp;TEXT(INT((ROW()-5)/9)+1,"000")&amp;"-4")</f>
        <v/>
      </c>
      <c r="C327">
        <f>IF(OR(Registro_Compras!$C$39="",Registro_Compras!$O$39="",Registro_Compras!$Y$39="",Registro_Compras!$F$39="NOTA DE CREDITO"),"","4212")</f>
        <v/>
      </c>
      <c r="D327">
        <f>IF(OR(Registro_Compras!$C$39="",Registro_Compras!$O$39=""),"","Cuentas por Pagar Comerciales - Terceros")</f>
        <v/>
      </c>
      <c r="E327" s="20">
        <f>IF($C327="","",IF(Registro_Compras!$F$39="RHE",(ROUND(Registro_Compras!$L$39*Registro_Compras!$N$39,2)-ROUND(Registro_Compras!$V$39*Registro_Compras!$N$39,2)),ROUND(Registro_Compras!$O$39-Registro_Compras!$S$39,2)))</f>
        <v/>
      </c>
      <c r="F327" s="20">
        <f>""</f>
        <v/>
      </c>
      <c r="G327">
        <f>IF($C327="","","Por la cancelacion del saldo al proveedor")</f>
        <v/>
      </c>
      <c r="H327">
        <f>IF($C327="","",Registro_Compras!$C$39)</f>
        <v/>
      </c>
    </row>
    <row r="328">
      <c r="A328" s="25">
        <f>IF($C328="","",Registro_Compras!$Y$39)</f>
        <v/>
      </c>
      <c r="B328">
        <f>IF($C328="","","C"&amp;TEXT(INT((ROW()-5)/9)+1,"000")&amp;"-4")</f>
        <v/>
      </c>
      <c r="C328">
        <f>IF(OR(Registro_Compras!$C$39="",Registro_Compras!$O$39="",Registro_Compras!$Y$39="",Registro_Compras!$F$39="NOTA DE CREDITO"),"","10413")</f>
        <v/>
      </c>
      <c r="D328">
        <f>IF(OR(Registro_Compras!$C$39="",Registro_Compras!$O$39=""),"","Efectivo y Equivalentes - Cta. Cte. Operativa")</f>
        <v/>
      </c>
      <c r="E328" s="20">
        <f>""</f>
        <v/>
      </c>
      <c r="F328" s="20">
        <f>IF($C328="","",IF(Registro_Compras!$F$39="RHE",(ROUND(Registro_Compras!$L$39*Registro_Compras!$N$39,2)-ROUND(Registro_Compras!$V$39*Registro_Compras!$N$39,2)),ROUND(Registro_Compras!$O$39-Registro_Compras!$S$39,2)))</f>
        <v/>
      </c>
      <c r="G328">
        <f>IF($C328="","","Por la cancelacion del saldo al proveedor")</f>
        <v/>
      </c>
      <c r="H328">
        <f>IF($C328="","",Registro_Compras!$C$39)</f>
        <v/>
      </c>
    </row>
    <row r="329">
      <c r="A329" s="25">
        <f>IF($C329="","",Registro_Compras!$B$40)</f>
        <v/>
      </c>
      <c r="B329">
        <f>IF($C329="","","C"&amp;TEXT(INT((ROW()-5)/9)+1,"000")&amp;"-1")</f>
        <v/>
      </c>
      <c r="C329">
        <f>IF(OR(Registro_Compras!$C$40="",Registro_Compras!$O$40=""),"",IF(Registro_Compras!$F$40="NOTA DE CREDITO","4212",IF(Registro_Compras!$M$40="","63",Registro_Compras!$M$40)))</f>
        <v/>
      </c>
      <c r="D329">
        <f>IF(OR(Registro_Compras!$C$40="",Registro_Compras!$O$40=""),"",IF(Registro_Compras!$F$40="NOTA DE CREDITO","Cuentas por Pagar Comerciales - Terceros (Emitidas)",IF(Registro_Compras!$F$40="RHE","Honorarios Profesionales - Servicios de Terceros","Gastos de Servicios Prestados por Terceros")))</f>
        <v/>
      </c>
      <c r="E329" s="20">
        <f>IF($C329="","",IF(Registro_Compras!$F$40="NOTA DE CREDITO",ABS(Registro_Compras!$O$40),IF(Registro_Compras!$F$40="RHE",ROUND(Registro_Compras!$L$40*Registro_Compras!$N$40,2),ROUND(Registro_Compras!$J$40*Registro_Compras!$N$40,2))))</f>
        <v/>
      </c>
      <c r="F329" s="20">
        <f>""</f>
        <v/>
      </c>
      <c r="G329">
        <f>IF($C329="","",IF(Registro_Compras!$F$40="NOTA DE CREDITO","Por la nota de credito "&amp;Registro_Compras!$C$40&amp;" de "&amp;Registro_Compras!$E$40&amp;" [PATRON POR CONFIRMAR CON CONTADOR]",IF(Registro_Compras!$F$40="RHE","Por el registro del recibo por honorarios "&amp;Registro_Compras!$C$40&amp;" de "&amp;Registro_Compras!$E$40&amp;" [PATRON POR CONFIRMAR CON CONTADOR]","Por el registro de la factura "&amp;Registro_Compras!$C$40&amp;" de "&amp;Registro_Compras!$E$40)))</f>
        <v/>
      </c>
      <c r="H329">
        <f>IF($C329="","",Registro_Compras!$C$40)</f>
        <v/>
      </c>
    </row>
    <row r="330">
      <c r="A330" s="25">
        <f>IF($C330="","",Registro_Compras!$B$40)</f>
        <v/>
      </c>
      <c r="B330">
        <f>IF($C330="","","C"&amp;TEXT(INT((ROW()-5)/9)+1,"000")&amp;"-1")</f>
        <v/>
      </c>
      <c r="C330">
        <f>IF(OR(Registro_Compras!$C$40="",Registro_Compras!$O$40=""),"",IF(Registro_Compras!$F$40="RHE",IF(Registro_Compras!$V$40=0,"","40172"),IF(Registro_Compras!$F$40="NOTA DE CREDITO",IF(Registro_Compras!$M$40="","63",Registro_Compras!$M$40),IF(Registro_Compras!$K$40=0,"","40111"))))</f>
        <v/>
      </c>
      <c r="D330">
        <f>IF(OR(Registro_Compras!$C$40="",Registro_Compras!$O$40=""),"",IF(Registro_Compras!$F$40="RHE","Retencion Renta 4ta Categoria por Pagar",IF(Registro_Compras!$F$40="NOTA DE CREDITO","Gastos de Servicios Prestados por Terceros","IGV - Cuenta Propia (Credito Fiscal)")))</f>
        <v/>
      </c>
      <c r="E330" s="20">
        <f>IF($C330="","",IF(Registro_Compras!$F$40="FACTURA",ROUND(Registro_Compras!$K$40*Registro_Compras!$N$40,2),""))</f>
        <v/>
      </c>
      <c r="F330" s="20">
        <f>IF($C330="","",IF(Registro_Compras!$F$40="RHE",ROUND(Registro_Compras!$V$40*Registro_Compras!$N$40,2),IF(Registro_Compras!$F$40="NOTA DE CREDITO",ROUND(ABS(Registro_Compras!$J$40*Registro_Compras!$N$40),2),"")))</f>
        <v/>
      </c>
      <c r="G330">
        <f>IF($C330="","",IF(Registro_Compras!$F$40="NOTA DE CREDITO","Por la nota de credito "&amp;Registro_Compras!$C$40&amp;" de "&amp;Registro_Compras!$E$40&amp;" [PATRON POR CONFIRMAR CON CONTADOR]",IF(Registro_Compras!$F$40="RHE","Por el registro del recibo por honorarios "&amp;Registro_Compras!$C$40&amp;" de "&amp;Registro_Compras!$E$40&amp;" [PATRON POR CONFIRMAR CON CONTADOR]","Por el registro de la factura "&amp;Registro_Compras!$C$40&amp;" de "&amp;Registro_Compras!$E$40)))</f>
        <v/>
      </c>
      <c r="H330">
        <f>IF($C330="","",Registro_Compras!$C$40)</f>
        <v/>
      </c>
    </row>
    <row r="331">
      <c r="A331" s="25">
        <f>IF($C331="","",Registro_Compras!$B$40)</f>
        <v/>
      </c>
      <c r="B331">
        <f>IF($C331="","","C"&amp;TEXT(INT((ROW()-5)/9)+1,"000")&amp;"-1")</f>
        <v/>
      </c>
      <c r="C331">
        <f>IF(OR(Registro_Compras!$C$40="",Registro_Compras!$O$40=""),"",IF(Registro_Compras!$F$40="NOTA DE CREDITO",IF(Registro_Compras!$K$40=0,"","40111"),"4212"))</f>
        <v/>
      </c>
      <c r="D331">
        <f>IF(OR(Registro_Compras!$C$40="",Registro_Compras!$O$40=""),"",IF(Registro_Compras!$F$40="NOTA DE CREDITO","IGV - Cuenta Propia (Credito Fiscal)","Cuentas por Pagar Comerciales - Terceros (Emitidas)"))</f>
        <v/>
      </c>
      <c r="E331" s="20">
        <f>""</f>
        <v/>
      </c>
      <c r="F331" s="20">
        <f>IF($C331="","",IF(Registro_Compras!$F$40="NOTA DE CREDITO",ROUND(ABS(Registro_Compras!$K$40*Registro_Compras!$N$40),2),IF(Registro_Compras!$F$40="RHE",(ROUND(Registro_Compras!$L$40*Registro_Compras!$N$40,2)-ROUND(Registro_Compras!$V$40*Registro_Compras!$N$40,2)),Registro_Compras!$O$40)))</f>
        <v/>
      </c>
      <c r="G331">
        <f>IF($C331="","",IF(Registro_Compras!$F$40="NOTA DE CREDITO","Por la nota de credito "&amp;Registro_Compras!$C$40&amp;" de "&amp;Registro_Compras!$E$40&amp;" [PATRON POR CONFIRMAR CON CONTADOR]",IF(Registro_Compras!$F$40="RHE","Por el registro del recibo por honorarios "&amp;Registro_Compras!$C$40&amp;" de "&amp;Registro_Compras!$E$40&amp;" [PATRON POR CONFIRMAR CON CONTADOR]","Por el registro de la factura "&amp;Registro_Compras!$C$40&amp;" de "&amp;Registro_Compras!$E$40)))</f>
        <v/>
      </c>
      <c r="H331">
        <f>IF($C331="","",Registro_Compras!$C$40)</f>
        <v/>
      </c>
    </row>
    <row r="332">
      <c r="A332" s="25">
        <f>IF($C332="","",Registro_Compras!$B$40)</f>
        <v/>
      </c>
      <c r="B332">
        <f>IF($C332="","","C"&amp;TEXT(INT((ROW()-5)/9)+1,"000")&amp;"-2")</f>
        <v/>
      </c>
      <c r="C332">
        <f>IF(OR(Registro_Compras!$C$40="",Registro_Compras!$O$40=""),"",IF(Registro_Compras!$AB$40="ADMINISTRATIVO","94","95"))</f>
        <v/>
      </c>
      <c r="D332">
        <f>IF(OR(Registro_Compras!$C$40="",Registro_Compras!$O$40=""),"",IF(Registro_Compras!$AB$40="ADMINISTRATIVO","Gastos Administrativos","Gastos de Venta y Operacion"))</f>
        <v/>
      </c>
      <c r="E332" s="20">
        <f>IF($C332="","",IF(Registro_Compras!$F$40="NOTA DE CREDITO","",IF(Registro_Compras!$F$40="RHE",ROUND(Registro_Compras!$L$40*Registro_Compras!$N$40,2),ROUND(Registro_Compras!$J$40*Registro_Compras!$N$40,2))))</f>
        <v/>
      </c>
      <c r="F332" s="20">
        <f>IF($C332="","",IF(Registro_Compras!$F$40="NOTA DE CREDITO",ROUND(ABS(Registro_Compras!$J$40*Registro_Compras!$N$40),2),""))</f>
        <v/>
      </c>
      <c r="G332">
        <f>IF($C332="","","Por el destino del gasto")</f>
        <v/>
      </c>
      <c r="H332">
        <f>IF($C332="","",Registro_Compras!$C$40)</f>
        <v/>
      </c>
    </row>
    <row r="333">
      <c r="A333" s="25">
        <f>IF($C333="","",Registro_Compras!$B$40)</f>
        <v/>
      </c>
      <c r="B333">
        <f>IF($C333="","","C"&amp;TEXT(INT((ROW()-5)/9)+1,"000")&amp;"-2")</f>
        <v/>
      </c>
      <c r="C333">
        <f>IF(OR(Registro_Compras!$C$40="",Registro_Compras!$O$40=""),"","79/791")</f>
        <v/>
      </c>
      <c r="D333">
        <f>IF(OR(Registro_Compras!$C$40="",Registro_Compras!$O$40=""),"","Cargas Imputables a Cuentas de Costos y Gastos")</f>
        <v/>
      </c>
      <c r="E333" s="20">
        <f>IF($C333="","",IF(Registro_Compras!$F$40="NOTA DE CREDITO",ROUND(ABS(Registro_Compras!$J$40*Registro_Compras!$N$40),2),""))</f>
        <v/>
      </c>
      <c r="F333" s="20">
        <f>IF($C333="","",IF(Registro_Compras!$F$40="NOTA DE CREDITO","",IF(Registro_Compras!$F$40="RHE",ROUND(Registro_Compras!$L$40*Registro_Compras!$N$40,2),ROUND(Registro_Compras!$J$40*Registro_Compras!$N$40,2))))</f>
        <v/>
      </c>
      <c r="G333">
        <f>IF($C333="","","Por el destino del gasto")</f>
        <v/>
      </c>
      <c r="H333">
        <f>IF($C333="","",Registro_Compras!$C$40)</f>
        <v/>
      </c>
    </row>
    <row r="334">
      <c r="A334" s="25">
        <f>IF($C334="","",Registro_Compras!$X$40)</f>
        <v/>
      </c>
      <c r="B334">
        <f>IF($C334="","","C"&amp;TEXT(INT((ROW()-5)/9)+1,"000")&amp;"-3")</f>
        <v/>
      </c>
      <c r="C334">
        <f>IF(OR(Registro_Compras!$C$40="",Registro_Compras!$O$40="",Registro_Compras!$R$40&lt;&gt;"SI",Registro_Compras!$X$40=""),"","4212")</f>
        <v/>
      </c>
      <c r="D334">
        <f>IF(OR(Registro_Compras!$C$40="",Registro_Compras!$O$40=""),"","Cuentas por Pagar Comerciales - Terceros")</f>
        <v/>
      </c>
      <c r="E334" s="20">
        <f>IF($C334="","",Registro_Compras!$S$40)</f>
        <v/>
      </c>
      <c r="F334" s="20">
        <f>""</f>
        <v/>
      </c>
      <c r="G334">
        <f>IF($C334="","","Por el deposito de la detraccion en el Banco de la Nacion")</f>
        <v/>
      </c>
      <c r="H334">
        <f>IF($C334="","",Registro_Compras!$C$40)</f>
        <v/>
      </c>
    </row>
    <row r="335">
      <c r="A335" s="25">
        <f>IF($C335="","",Registro_Compras!$X$40)</f>
        <v/>
      </c>
      <c r="B335">
        <f>IF($C335="","","C"&amp;TEXT(INT((ROW()-5)/9)+1,"000")&amp;"-3")</f>
        <v/>
      </c>
      <c r="C335">
        <f>IF(OR(Registro_Compras!$C$40="",Registro_Compras!$O$40="",Registro_Compras!$R$40&lt;&gt;"SI",Registro_Compras!$X$40=""),"","10413")</f>
        <v/>
      </c>
      <c r="D335">
        <f>IF(OR(Registro_Compras!$C$40="",Registro_Compras!$O$40=""),"","Efectivo y Equivalentes - Cta. Cte. Operativa")</f>
        <v/>
      </c>
      <c r="E335" s="20">
        <f>""</f>
        <v/>
      </c>
      <c r="F335" s="20">
        <f>IF($C335="","",Registro_Compras!$S$40)</f>
        <v/>
      </c>
      <c r="G335">
        <f>IF($C335="","","Por el deposito de la detraccion en el Banco de la Nacion")</f>
        <v/>
      </c>
      <c r="H335">
        <f>IF($C335="","",Registro_Compras!$C$40)</f>
        <v/>
      </c>
    </row>
    <row r="336">
      <c r="A336" s="25">
        <f>IF($C336="","",Registro_Compras!$Y$40)</f>
        <v/>
      </c>
      <c r="B336">
        <f>IF($C336="","","C"&amp;TEXT(INT((ROW()-5)/9)+1,"000")&amp;"-4")</f>
        <v/>
      </c>
      <c r="C336">
        <f>IF(OR(Registro_Compras!$C$40="",Registro_Compras!$O$40="",Registro_Compras!$Y$40="",Registro_Compras!$F$40="NOTA DE CREDITO"),"","4212")</f>
        <v/>
      </c>
      <c r="D336">
        <f>IF(OR(Registro_Compras!$C$40="",Registro_Compras!$O$40=""),"","Cuentas por Pagar Comerciales - Terceros")</f>
        <v/>
      </c>
      <c r="E336" s="20">
        <f>IF($C336="","",IF(Registro_Compras!$F$40="RHE",(ROUND(Registro_Compras!$L$40*Registro_Compras!$N$40,2)-ROUND(Registro_Compras!$V$40*Registro_Compras!$N$40,2)),ROUND(Registro_Compras!$O$40-Registro_Compras!$S$40,2)))</f>
        <v/>
      </c>
      <c r="F336" s="20">
        <f>""</f>
        <v/>
      </c>
      <c r="G336">
        <f>IF($C336="","","Por la cancelacion del saldo al proveedor")</f>
        <v/>
      </c>
      <c r="H336">
        <f>IF($C336="","",Registro_Compras!$C$40)</f>
        <v/>
      </c>
    </row>
    <row r="337">
      <c r="A337" s="25">
        <f>IF($C337="","",Registro_Compras!$Y$40)</f>
        <v/>
      </c>
      <c r="B337">
        <f>IF($C337="","","C"&amp;TEXT(INT((ROW()-5)/9)+1,"000")&amp;"-4")</f>
        <v/>
      </c>
      <c r="C337">
        <f>IF(OR(Registro_Compras!$C$40="",Registro_Compras!$O$40="",Registro_Compras!$Y$40="",Registro_Compras!$F$40="NOTA DE CREDITO"),"","10413")</f>
        <v/>
      </c>
      <c r="D337">
        <f>IF(OR(Registro_Compras!$C$40="",Registro_Compras!$O$40=""),"","Efectivo y Equivalentes - Cta. Cte. Operativa")</f>
        <v/>
      </c>
      <c r="E337" s="20">
        <f>""</f>
        <v/>
      </c>
      <c r="F337" s="20">
        <f>IF($C337="","",IF(Registro_Compras!$F$40="RHE",(ROUND(Registro_Compras!$L$40*Registro_Compras!$N$40,2)-ROUND(Registro_Compras!$V$40*Registro_Compras!$N$40,2)),ROUND(Registro_Compras!$O$40-Registro_Compras!$S$40,2)))</f>
        <v/>
      </c>
      <c r="G337">
        <f>IF($C337="","","Por la cancelacion del saldo al proveedor")</f>
        <v/>
      </c>
      <c r="H337">
        <f>IF($C337="","",Registro_Compras!$C$40)</f>
        <v/>
      </c>
    </row>
    <row r="338">
      <c r="A338" s="25">
        <f>IF($C338="","",Registro_Compras!$B$41)</f>
        <v/>
      </c>
      <c r="B338">
        <f>IF($C338="","","C"&amp;TEXT(INT((ROW()-5)/9)+1,"000")&amp;"-1")</f>
        <v/>
      </c>
      <c r="C338">
        <f>IF(OR(Registro_Compras!$C$41="",Registro_Compras!$O$41=""),"",IF(Registro_Compras!$F$41="NOTA DE CREDITO","4212",IF(Registro_Compras!$M$41="","63",Registro_Compras!$M$41)))</f>
        <v/>
      </c>
      <c r="D338">
        <f>IF(OR(Registro_Compras!$C$41="",Registro_Compras!$O$41=""),"",IF(Registro_Compras!$F$41="NOTA DE CREDITO","Cuentas por Pagar Comerciales - Terceros (Emitidas)",IF(Registro_Compras!$F$41="RHE","Honorarios Profesionales - Servicios de Terceros","Gastos de Servicios Prestados por Terceros")))</f>
        <v/>
      </c>
      <c r="E338" s="20">
        <f>IF($C338="","",IF(Registro_Compras!$F$41="NOTA DE CREDITO",ABS(Registro_Compras!$O$41),IF(Registro_Compras!$F$41="RHE",ROUND(Registro_Compras!$L$41*Registro_Compras!$N$41,2),ROUND(Registro_Compras!$J$41*Registro_Compras!$N$41,2))))</f>
        <v/>
      </c>
      <c r="F338" s="20">
        <f>""</f>
        <v/>
      </c>
      <c r="G338">
        <f>IF($C338="","",IF(Registro_Compras!$F$41="NOTA DE CREDITO","Por la nota de credito "&amp;Registro_Compras!$C$41&amp;" de "&amp;Registro_Compras!$E$41&amp;" [PATRON POR CONFIRMAR CON CONTADOR]",IF(Registro_Compras!$F$41="RHE","Por el registro del recibo por honorarios "&amp;Registro_Compras!$C$41&amp;" de "&amp;Registro_Compras!$E$41&amp;" [PATRON POR CONFIRMAR CON CONTADOR]","Por el registro de la factura "&amp;Registro_Compras!$C$41&amp;" de "&amp;Registro_Compras!$E$41)))</f>
        <v/>
      </c>
      <c r="H338">
        <f>IF($C338="","",Registro_Compras!$C$41)</f>
        <v/>
      </c>
    </row>
    <row r="339">
      <c r="A339" s="25">
        <f>IF($C339="","",Registro_Compras!$B$41)</f>
        <v/>
      </c>
      <c r="B339">
        <f>IF($C339="","","C"&amp;TEXT(INT((ROW()-5)/9)+1,"000")&amp;"-1")</f>
        <v/>
      </c>
      <c r="C339">
        <f>IF(OR(Registro_Compras!$C$41="",Registro_Compras!$O$41=""),"",IF(Registro_Compras!$F$41="RHE",IF(Registro_Compras!$V$41=0,"","40172"),IF(Registro_Compras!$F$41="NOTA DE CREDITO",IF(Registro_Compras!$M$41="","63",Registro_Compras!$M$41),IF(Registro_Compras!$K$41=0,"","40111"))))</f>
        <v/>
      </c>
      <c r="D339">
        <f>IF(OR(Registro_Compras!$C$41="",Registro_Compras!$O$41=""),"",IF(Registro_Compras!$F$41="RHE","Retencion Renta 4ta Categoria por Pagar",IF(Registro_Compras!$F$41="NOTA DE CREDITO","Gastos de Servicios Prestados por Terceros","IGV - Cuenta Propia (Credito Fiscal)")))</f>
        <v/>
      </c>
      <c r="E339" s="20">
        <f>IF($C339="","",IF(Registro_Compras!$F$41="FACTURA",ROUND(Registro_Compras!$K$41*Registro_Compras!$N$41,2),""))</f>
        <v/>
      </c>
      <c r="F339" s="20">
        <f>IF($C339="","",IF(Registro_Compras!$F$41="RHE",ROUND(Registro_Compras!$V$41*Registro_Compras!$N$41,2),IF(Registro_Compras!$F$41="NOTA DE CREDITO",ROUND(ABS(Registro_Compras!$J$41*Registro_Compras!$N$41),2),"")))</f>
        <v/>
      </c>
      <c r="G339">
        <f>IF($C339="","",IF(Registro_Compras!$F$41="NOTA DE CREDITO","Por la nota de credito "&amp;Registro_Compras!$C$41&amp;" de "&amp;Registro_Compras!$E$41&amp;" [PATRON POR CONFIRMAR CON CONTADOR]",IF(Registro_Compras!$F$41="RHE","Por el registro del recibo por honorarios "&amp;Registro_Compras!$C$41&amp;" de "&amp;Registro_Compras!$E$41&amp;" [PATRON POR CONFIRMAR CON CONTADOR]","Por el registro de la factura "&amp;Registro_Compras!$C$41&amp;" de "&amp;Registro_Compras!$E$41)))</f>
        <v/>
      </c>
      <c r="H339">
        <f>IF($C339="","",Registro_Compras!$C$41)</f>
        <v/>
      </c>
    </row>
    <row r="340">
      <c r="A340" s="25">
        <f>IF($C340="","",Registro_Compras!$B$41)</f>
        <v/>
      </c>
      <c r="B340">
        <f>IF($C340="","","C"&amp;TEXT(INT((ROW()-5)/9)+1,"000")&amp;"-1")</f>
        <v/>
      </c>
      <c r="C340">
        <f>IF(OR(Registro_Compras!$C$41="",Registro_Compras!$O$41=""),"",IF(Registro_Compras!$F$41="NOTA DE CREDITO",IF(Registro_Compras!$K$41=0,"","40111"),"4212"))</f>
        <v/>
      </c>
      <c r="D340">
        <f>IF(OR(Registro_Compras!$C$41="",Registro_Compras!$O$41=""),"",IF(Registro_Compras!$F$41="NOTA DE CREDITO","IGV - Cuenta Propia (Credito Fiscal)","Cuentas por Pagar Comerciales - Terceros (Emitidas)"))</f>
        <v/>
      </c>
      <c r="E340" s="20">
        <f>""</f>
        <v/>
      </c>
      <c r="F340" s="20">
        <f>IF($C340="","",IF(Registro_Compras!$F$41="NOTA DE CREDITO",ROUND(ABS(Registro_Compras!$K$41*Registro_Compras!$N$41),2),IF(Registro_Compras!$F$41="RHE",(ROUND(Registro_Compras!$L$41*Registro_Compras!$N$41,2)-ROUND(Registro_Compras!$V$41*Registro_Compras!$N$41,2)),Registro_Compras!$O$41)))</f>
        <v/>
      </c>
      <c r="G340">
        <f>IF($C340="","",IF(Registro_Compras!$F$41="NOTA DE CREDITO","Por la nota de credito "&amp;Registro_Compras!$C$41&amp;" de "&amp;Registro_Compras!$E$41&amp;" [PATRON POR CONFIRMAR CON CONTADOR]",IF(Registro_Compras!$F$41="RHE","Por el registro del recibo por honorarios "&amp;Registro_Compras!$C$41&amp;" de "&amp;Registro_Compras!$E$41&amp;" [PATRON POR CONFIRMAR CON CONTADOR]","Por el registro de la factura "&amp;Registro_Compras!$C$41&amp;" de "&amp;Registro_Compras!$E$41)))</f>
        <v/>
      </c>
      <c r="H340">
        <f>IF($C340="","",Registro_Compras!$C$41)</f>
        <v/>
      </c>
    </row>
    <row r="341">
      <c r="A341" s="25">
        <f>IF($C341="","",Registro_Compras!$B$41)</f>
        <v/>
      </c>
      <c r="B341">
        <f>IF($C341="","","C"&amp;TEXT(INT((ROW()-5)/9)+1,"000")&amp;"-2")</f>
        <v/>
      </c>
      <c r="C341">
        <f>IF(OR(Registro_Compras!$C$41="",Registro_Compras!$O$41=""),"",IF(Registro_Compras!$AB$41="ADMINISTRATIVO","94","95"))</f>
        <v/>
      </c>
      <c r="D341">
        <f>IF(OR(Registro_Compras!$C$41="",Registro_Compras!$O$41=""),"",IF(Registro_Compras!$AB$41="ADMINISTRATIVO","Gastos Administrativos","Gastos de Venta y Operacion"))</f>
        <v/>
      </c>
      <c r="E341" s="20">
        <f>IF($C341="","",IF(Registro_Compras!$F$41="NOTA DE CREDITO","",IF(Registro_Compras!$F$41="RHE",ROUND(Registro_Compras!$L$41*Registro_Compras!$N$41,2),ROUND(Registro_Compras!$J$41*Registro_Compras!$N$41,2))))</f>
        <v/>
      </c>
      <c r="F341" s="20">
        <f>IF($C341="","",IF(Registro_Compras!$F$41="NOTA DE CREDITO",ROUND(ABS(Registro_Compras!$J$41*Registro_Compras!$N$41),2),""))</f>
        <v/>
      </c>
      <c r="G341">
        <f>IF($C341="","","Por el destino del gasto")</f>
        <v/>
      </c>
      <c r="H341">
        <f>IF($C341="","",Registro_Compras!$C$41)</f>
        <v/>
      </c>
    </row>
    <row r="342">
      <c r="A342" s="25">
        <f>IF($C342="","",Registro_Compras!$B$41)</f>
        <v/>
      </c>
      <c r="B342">
        <f>IF($C342="","","C"&amp;TEXT(INT((ROW()-5)/9)+1,"000")&amp;"-2")</f>
        <v/>
      </c>
      <c r="C342">
        <f>IF(OR(Registro_Compras!$C$41="",Registro_Compras!$O$41=""),"","79/791")</f>
        <v/>
      </c>
      <c r="D342">
        <f>IF(OR(Registro_Compras!$C$41="",Registro_Compras!$O$41=""),"","Cargas Imputables a Cuentas de Costos y Gastos")</f>
        <v/>
      </c>
      <c r="E342" s="20">
        <f>IF($C342="","",IF(Registro_Compras!$F$41="NOTA DE CREDITO",ROUND(ABS(Registro_Compras!$J$41*Registro_Compras!$N$41),2),""))</f>
        <v/>
      </c>
      <c r="F342" s="20">
        <f>IF($C342="","",IF(Registro_Compras!$F$41="NOTA DE CREDITO","",IF(Registro_Compras!$F$41="RHE",ROUND(Registro_Compras!$L$41*Registro_Compras!$N$41,2),ROUND(Registro_Compras!$J$41*Registro_Compras!$N$41,2))))</f>
        <v/>
      </c>
      <c r="G342">
        <f>IF($C342="","","Por el destino del gasto")</f>
        <v/>
      </c>
      <c r="H342">
        <f>IF($C342="","",Registro_Compras!$C$41)</f>
        <v/>
      </c>
    </row>
    <row r="343">
      <c r="A343" s="25">
        <f>IF($C343="","",Registro_Compras!$X$41)</f>
        <v/>
      </c>
      <c r="B343">
        <f>IF($C343="","","C"&amp;TEXT(INT((ROW()-5)/9)+1,"000")&amp;"-3")</f>
        <v/>
      </c>
      <c r="C343">
        <f>IF(OR(Registro_Compras!$C$41="",Registro_Compras!$O$41="",Registro_Compras!$R$41&lt;&gt;"SI",Registro_Compras!$X$41=""),"","4212")</f>
        <v/>
      </c>
      <c r="D343">
        <f>IF(OR(Registro_Compras!$C$41="",Registro_Compras!$O$41=""),"","Cuentas por Pagar Comerciales - Terceros")</f>
        <v/>
      </c>
      <c r="E343" s="20">
        <f>IF($C343="","",Registro_Compras!$S$41)</f>
        <v/>
      </c>
      <c r="F343" s="20">
        <f>""</f>
        <v/>
      </c>
      <c r="G343">
        <f>IF($C343="","","Por el deposito de la detraccion en el Banco de la Nacion")</f>
        <v/>
      </c>
      <c r="H343">
        <f>IF($C343="","",Registro_Compras!$C$41)</f>
        <v/>
      </c>
    </row>
    <row r="344">
      <c r="A344" s="25">
        <f>IF($C344="","",Registro_Compras!$X$41)</f>
        <v/>
      </c>
      <c r="B344">
        <f>IF($C344="","","C"&amp;TEXT(INT((ROW()-5)/9)+1,"000")&amp;"-3")</f>
        <v/>
      </c>
      <c r="C344">
        <f>IF(OR(Registro_Compras!$C$41="",Registro_Compras!$O$41="",Registro_Compras!$R$41&lt;&gt;"SI",Registro_Compras!$X$41=""),"","10413")</f>
        <v/>
      </c>
      <c r="D344">
        <f>IF(OR(Registro_Compras!$C$41="",Registro_Compras!$O$41=""),"","Efectivo y Equivalentes - Cta. Cte. Operativa")</f>
        <v/>
      </c>
      <c r="E344" s="20">
        <f>""</f>
        <v/>
      </c>
      <c r="F344" s="20">
        <f>IF($C344="","",Registro_Compras!$S$41)</f>
        <v/>
      </c>
      <c r="G344">
        <f>IF($C344="","","Por el deposito de la detraccion en el Banco de la Nacion")</f>
        <v/>
      </c>
      <c r="H344">
        <f>IF($C344="","",Registro_Compras!$C$41)</f>
        <v/>
      </c>
    </row>
    <row r="345">
      <c r="A345" s="25">
        <f>IF($C345="","",Registro_Compras!$Y$41)</f>
        <v/>
      </c>
      <c r="B345">
        <f>IF($C345="","","C"&amp;TEXT(INT((ROW()-5)/9)+1,"000")&amp;"-4")</f>
        <v/>
      </c>
      <c r="C345">
        <f>IF(OR(Registro_Compras!$C$41="",Registro_Compras!$O$41="",Registro_Compras!$Y$41="",Registro_Compras!$F$41="NOTA DE CREDITO"),"","4212")</f>
        <v/>
      </c>
      <c r="D345">
        <f>IF(OR(Registro_Compras!$C$41="",Registro_Compras!$O$41=""),"","Cuentas por Pagar Comerciales - Terceros")</f>
        <v/>
      </c>
      <c r="E345" s="20">
        <f>IF($C345="","",IF(Registro_Compras!$F$41="RHE",(ROUND(Registro_Compras!$L$41*Registro_Compras!$N$41,2)-ROUND(Registro_Compras!$V$41*Registro_Compras!$N$41,2)),ROUND(Registro_Compras!$O$41-Registro_Compras!$S$41,2)))</f>
        <v/>
      </c>
      <c r="F345" s="20">
        <f>""</f>
        <v/>
      </c>
      <c r="G345">
        <f>IF($C345="","","Por la cancelacion del saldo al proveedor")</f>
        <v/>
      </c>
      <c r="H345">
        <f>IF($C345="","",Registro_Compras!$C$41)</f>
        <v/>
      </c>
    </row>
    <row r="346">
      <c r="A346" s="25">
        <f>IF($C346="","",Registro_Compras!$Y$41)</f>
        <v/>
      </c>
      <c r="B346">
        <f>IF($C346="","","C"&amp;TEXT(INT((ROW()-5)/9)+1,"000")&amp;"-4")</f>
        <v/>
      </c>
      <c r="C346">
        <f>IF(OR(Registro_Compras!$C$41="",Registro_Compras!$O$41="",Registro_Compras!$Y$41="",Registro_Compras!$F$41="NOTA DE CREDITO"),"","10413")</f>
        <v/>
      </c>
      <c r="D346">
        <f>IF(OR(Registro_Compras!$C$41="",Registro_Compras!$O$41=""),"","Efectivo y Equivalentes - Cta. Cte. Operativa")</f>
        <v/>
      </c>
      <c r="E346" s="20">
        <f>""</f>
        <v/>
      </c>
      <c r="F346" s="20">
        <f>IF($C346="","",IF(Registro_Compras!$F$41="RHE",(ROUND(Registro_Compras!$L$41*Registro_Compras!$N$41,2)-ROUND(Registro_Compras!$V$41*Registro_Compras!$N$41,2)),ROUND(Registro_Compras!$O$41-Registro_Compras!$S$41,2)))</f>
        <v/>
      </c>
      <c r="G346">
        <f>IF($C346="","","Por la cancelacion del saldo al proveedor")</f>
        <v/>
      </c>
      <c r="H346">
        <f>IF($C346="","",Registro_Compras!$C$41)</f>
        <v/>
      </c>
    </row>
    <row r="347">
      <c r="A347" s="25">
        <f>IF($C347="","",Registro_Compras!$B$42)</f>
        <v/>
      </c>
      <c r="B347">
        <f>IF($C347="","","C"&amp;TEXT(INT((ROW()-5)/9)+1,"000")&amp;"-1")</f>
        <v/>
      </c>
      <c r="C347">
        <f>IF(OR(Registro_Compras!$C$42="",Registro_Compras!$O$42=""),"",IF(Registro_Compras!$F$42="NOTA DE CREDITO","4212",IF(Registro_Compras!$M$42="","63",Registro_Compras!$M$42)))</f>
        <v/>
      </c>
      <c r="D347">
        <f>IF(OR(Registro_Compras!$C$42="",Registro_Compras!$O$42=""),"",IF(Registro_Compras!$F$42="NOTA DE CREDITO","Cuentas por Pagar Comerciales - Terceros (Emitidas)",IF(Registro_Compras!$F$42="RHE","Honorarios Profesionales - Servicios de Terceros","Gastos de Servicios Prestados por Terceros")))</f>
        <v/>
      </c>
      <c r="E347" s="20">
        <f>IF($C347="","",IF(Registro_Compras!$F$42="NOTA DE CREDITO",ABS(Registro_Compras!$O$42),IF(Registro_Compras!$F$42="RHE",ROUND(Registro_Compras!$L$42*Registro_Compras!$N$42,2),ROUND(Registro_Compras!$J$42*Registro_Compras!$N$42,2))))</f>
        <v/>
      </c>
      <c r="F347" s="20">
        <f>""</f>
        <v/>
      </c>
      <c r="G347">
        <f>IF($C347="","",IF(Registro_Compras!$F$42="NOTA DE CREDITO","Por la nota de credito "&amp;Registro_Compras!$C$42&amp;" de "&amp;Registro_Compras!$E$42&amp;" [PATRON POR CONFIRMAR CON CONTADOR]",IF(Registro_Compras!$F$42="RHE","Por el registro del recibo por honorarios "&amp;Registro_Compras!$C$42&amp;" de "&amp;Registro_Compras!$E$42&amp;" [PATRON POR CONFIRMAR CON CONTADOR]","Por el registro de la factura "&amp;Registro_Compras!$C$42&amp;" de "&amp;Registro_Compras!$E$42)))</f>
        <v/>
      </c>
      <c r="H347">
        <f>IF($C347="","",Registro_Compras!$C$42)</f>
        <v/>
      </c>
    </row>
    <row r="348">
      <c r="A348" s="25">
        <f>IF($C348="","",Registro_Compras!$B$42)</f>
        <v/>
      </c>
      <c r="B348">
        <f>IF($C348="","","C"&amp;TEXT(INT((ROW()-5)/9)+1,"000")&amp;"-1")</f>
        <v/>
      </c>
      <c r="C348">
        <f>IF(OR(Registro_Compras!$C$42="",Registro_Compras!$O$42=""),"",IF(Registro_Compras!$F$42="RHE",IF(Registro_Compras!$V$42=0,"","40172"),IF(Registro_Compras!$F$42="NOTA DE CREDITO",IF(Registro_Compras!$M$42="","63",Registro_Compras!$M$42),IF(Registro_Compras!$K$42=0,"","40111"))))</f>
        <v/>
      </c>
      <c r="D348">
        <f>IF(OR(Registro_Compras!$C$42="",Registro_Compras!$O$42=""),"",IF(Registro_Compras!$F$42="RHE","Retencion Renta 4ta Categoria por Pagar",IF(Registro_Compras!$F$42="NOTA DE CREDITO","Gastos de Servicios Prestados por Terceros","IGV - Cuenta Propia (Credito Fiscal)")))</f>
        <v/>
      </c>
      <c r="E348" s="20">
        <f>IF($C348="","",IF(Registro_Compras!$F$42="FACTURA",ROUND(Registro_Compras!$K$42*Registro_Compras!$N$42,2),""))</f>
        <v/>
      </c>
      <c r="F348" s="20">
        <f>IF($C348="","",IF(Registro_Compras!$F$42="RHE",ROUND(Registro_Compras!$V$42*Registro_Compras!$N$42,2),IF(Registro_Compras!$F$42="NOTA DE CREDITO",ROUND(ABS(Registro_Compras!$J$42*Registro_Compras!$N$42),2),"")))</f>
        <v/>
      </c>
      <c r="G348">
        <f>IF($C348="","",IF(Registro_Compras!$F$42="NOTA DE CREDITO","Por la nota de credito "&amp;Registro_Compras!$C$42&amp;" de "&amp;Registro_Compras!$E$42&amp;" [PATRON POR CONFIRMAR CON CONTADOR]",IF(Registro_Compras!$F$42="RHE","Por el registro del recibo por honorarios "&amp;Registro_Compras!$C$42&amp;" de "&amp;Registro_Compras!$E$42&amp;" [PATRON POR CONFIRMAR CON CONTADOR]","Por el registro de la factura "&amp;Registro_Compras!$C$42&amp;" de "&amp;Registro_Compras!$E$42)))</f>
        <v/>
      </c>
      <c r="H348">
        <f>IF($C348="","",Registro_Compras!$C$42)</f>
        <v/>
      </c>
    </row>
    <row r="349">
      <c r="A349" s="25">
        <f>IF($C349="","",Registro_Compras!$B$42)</f>
        <v/>
      </c>
      <c r="B349">
        <f>IF($C349="","","C"&amp;TEXT(INT((ROW()-5)/9)+1,"000")&amp;"-1")</f>
        <v/>
      </c>
      <c r="C349">
        <f>IF(OR(Registro_Compras!$C$42="",Registro_Compras!$O$42=""),"",IF(Registro_Compras!$F$42="NOTA DE CREDITO",IF(Registro_Compras!$K$42=0,"","40111"),"4212"))</f>
        <v/>
      </c>
      <c r="D349">
        <f>IF(OR(Registro_Compras!$C$42="",Registro_Compras!$O$42=""),"",IF(Registro_Compras!$F$42="NOTA DE CREDITO","IGV - Cuenta Propia (Credito Fiscal)","Cuentas por Pagar Comerciales - Terceros (Emitidas)"))</f>
        <v/>
      </c>
      <c r="E349" s="20">
        <f>""</f>
        <v/>
      </c>
      <c r="F349" s="20">
        <f>IF($C349="","",IF(Registro_Compras!$F$42="NOTA DE CREDITO",ROUND(ABS(Registro_Compras!$K$42*Registro_Compras!$N$42),2),IF(Registro_Compras!$F$42="RHE",(ROUND(Registro_Compras!$L$42*Registro_Compras!$N$42,2)-ROUND(Registro_Compras!$V$42*Registro_Compras!$N$42,2)),Registro_Compras!$O$42)))</f>
        <v/>
      </c>
      <c r="G349">
        <f>IF($C349="","",IF(Registro_Compras!$F$42="NOTA DE CREDITO","Por la nota de credito "&amp;Registro_Compras!$C$42&amp;" de "&amp;Registro_Compras!$E$42&amp;" [PATRON POR CONFIRMAR CON CONTADOR]",IF(Registro_Compras!$F$42="RHE","Por el registro del recibo por honorarios "&amp;Registro_Compras!$C$42&amp;" de "&amp;Registro_Compras!$E$42&amp;" [PATRON POR CONFIRMAR CON CONTADOR]","Por el registro de la factura "&amp;Registro_Compras!$C$42&amp;" de "&amp;Registro_Compras!$E$42)))</f>
        <v/>
      </c>
      <c r="H349">
        <f>IF($C349="","",Registro_Compras!$C$42)</f>
        <v/>
      </c>
    </row>
    <row r="350">
      <c r="A350" s="25">
        <f>IF($C350="","",Registro_Compras!$B$42)</f>
        <v/>
      </c>
      <c r="B350">
        <f>IF($C350="","","C"&amp;TEXT(INT((ROW()-5)/9)+1,"000")&amp;"-2")</f>
        <v/>
      </c>
      <c r="C350">
        <f>IF(OR(Registro_Compras!$C$42="",Registro_Compras!$O$42=""),"",IF(Registro_Compras!$AB$42="ADMINISTRATIVO","94","95"))</f>
        <v/>
      </c>
      <c r="D350">
        <f>IF(OR(Registro_Compras!$C$42="",Registro_Compras!$O$42=""),"",IF(Registro_Compras!$AB$42="ADMINISTRATIVO","Gastos Administrativos","Gastos de Venta y Operacion"))</f>
        <v/>
      </c>
      <c r="E350" s="20">
        <f>IF($C350="","",IF(Registro_Compras!$F$42="NOTA DE CREDITO","",IF(Registro_Compras!$F$42="RHE",ROUND(Registro_Compras!$L$42*Registro_Compras!$N$42,2),ROUND(Registro_Compras!$J$42*Registro_Compras!$N$42,2))))</f>
        <v/>
      </c>
      <c r="F350" s="20">
        <f>IF($C350="","",IF(Registro_Compras!$F$42="NOTA DE CREDITO",ROUND(ABS(Registro_Compras!$J$42*Registro_Compras!$N$42),2),""))</f>
        <v/>
      </c>
      <c r="G350">
        <f>IF($C350="","","Por el destino del gasto")</f>
        <v/>
      </c>
      <c r="H350">
        <f>IF($C350="","",Registro_Compras!$C$42)</f>
        <v/>
      </c>
    </row>
    <row r="351">
      <c r="A351" s="25">
        <f>IF($C351="","",Registro_Compras!$B$42)</f>
        <v/>
      </c>
      <c r="B351">
        <f>IF($C351="","","C"&amp;TEXT(INT((ROW()-5)/9)+1,"000")&amp;"-2")</f>
        <v/>
      </c>
      <c r="C351">
        <f>IF(OR(Registro_Compras!$C$42="",Registro_Compras!$O$42=""),"","79/791")</f>
        <v/>
      </c>
      <c r="D351">
        <f>IF(OR(Registro_Compras!$C$42="",Registro_Compras!$O$42=""),"","Cargas Imputables a Cuentas de Costos y Gastos")</f>
        <v/>
      </c>
      <c r="E351" s="20">
        <f>IF($C351="","",IF(Registro_Compras!$F$42="NOTA DE CREDITO",ROUND(ABS(Registro_Compras!$J$42*Registro_Compras!$N$42),2),""))</f>
        <v/>
      </c>
      <c r="F351" s="20">
        <f>IF($C351="","",IF(Registro_Compras!$F$42="NOTA DE CREDITO","",IF(Registro_Compras!$F$42="RHE",ROUND(Registro_Compras!$L$42*Registro_Compras!$N$42,2),ROUND(Registro_Compras!$J$42*Registro_Compras!$N$42,2))))</f>
        <v/>
      </c>
      <c r="G351">
        <f>IF($C351="","","Por el destino del gasto")</f>
        <v/>
      </c>
      <c r="H351">
        <f>IF($C351="","",Registro_Compras!$C$42)</f>
        <v/>
      </c>
    </row>
    <row r="352">
      <c r="A352" s="25">
        <f>IF($C352="","",Registro_Compras!$X$42)</f>
        <v/>
      </c>
      <c r="B352">
        <f>IF($C352="","","C"&amp;TEXT(INT((ROW()-5)/9)+1,"000")&amp;"-3")</f>
        <v/>
      </c>
      <c r="C352">
        <f>IF(OR(Registro_Compras!$C$42="",Registro_Compras!$O$42="",Registro_Compras!$R$42&lt;&gt;"SI",Registro_Compras!$X$42=""),"","4212")</f>
        <v/>
      </c>
      <c r="D352">
        <f>IF(OR(Registro_Compras!$C$42="",Registro_Compras!$O$42=""),"","Cuentas por Pagar Comerciales - Terceros")</f>
        <v/>
      </c>
      <c r="E352" s="20">
        <f>IF($C352="","",Registro_Compras!$S$42)</f>
        <v/>
      </c>
      <c r="F352" s="20">
        <f>""</f>
        <v/>
      </c>
      <c r="G352">
        <f>IF($C352="","","Por el deposito de la detraccion en el Banco de la Nacion")</f>
        <v/>
      </c>
      <c r="H352">
        <f>IF($C352="","",Registro_Compras!$C$42)</f>
        <v/>
      </c>
    </row>
    <row r="353">
      <c r="A353" s="25">
        <f>IF($C353="","",Registro_Compras!$X$42)</f>
        <v/>
      </c>
      <c r="B353">
        <f>IF($C353="","","C"&amp;TEXT(INT((ROW()-5)/9)+1,"000")&amp;"-3")</f>
        <v/>
      </c>
      <c r="C353">
        <f>IF(OR(Registro_Compras!$C$42="",Registro_Compras!$O$42="",Registro_Compras!$R$42&lt;&gt;"SI",Registro_Compras!$X$42=""),"","10413")</f>
        <v/>
      </c>
      <c r="D353">
        <f>IF(OR(Registro_Compras!$C$42="",Registro_Compras!$O$42=""),"","Efectivo y Equivalentes - Cta. Cte. Operativa")</f>
        <v/>
      </c>
      <c r="E353" s="20">
        <f>""</f>
        <v/>
      </c>
      <c r="F353" s="20">
        <f>IF($C353="","",Registro_Compras!$S$42)</f>
        <v/>
      </c>
      <c r="G353">
        <f>IF($C353="","","Por el deposito de la detraccion en el Banco de la Nacion")</f>
        <v/>
      </c>
      <c r="H353">
        <f>IF($C353="","",Registro_Compras!$C$42)</f>
        <v/>
      </c>
    </row>
    <row r="354">
      <c r="A354" s="25">
        <f>IF($C354="","",Registro_Compras!$Y$42)</f>
        <v/>
      </c>
      <c r="B354">
        <f>IF($C354="","","C"&amp;TEXT(INT((ROW()-5)/9)+1,"000")&amp;"-4")</f>
        <v/>
      </c>
      <c r="C354">
        <f>IF(OR(Registro_Compras!$C$42="",Registro_Compras!$O$42="",Registro_Compras!$Y$42="",Registro_Compras!$F$42="NOTA DE CREDITO"),"","4212")</f>
        <v/>
      </c>
      <c r="D354">
        <f>IF(OR(Registro_Compras!$C$42="",Registro_Compras!$O$42=""),"","Cuentas por Pagar Comerciales - Terceros")</f>
        <v/>
      </c>
      <c r="E354" s="20">
        <f>IF($C354="","",IF(Registro_Compras!$F$42="RHE",(ROUND(Registro_Compras!$L$42*Registro_Compras!$N$42,2)-ROUND(Registro_Compras!$V$42*Registro_Compras!$N$42,2)),ROUND(Registro_Compras!$O$42-Registro_Compras!$S$42,2)))</f>
        <v/>
      </c>
      <c r="F354" s="20">
        <f>""</f>
        <v/>
      </c>
      <c r="G354">
        <f>IF($C354="","","Por la cancelacion del saldo al proveedor")</f>
        <v/>
      </c>
      <c r="H354">
        <f>IF($C354="","",Registro_Compras!$C$42)</f>
        <v/>
      </c>
    </row>
    <row r="355">
      <c r="A355" s="25">
        <f>IF($C355="","",Registro_Compras!$Y$42)</f>
        <v/>
      </c>
      <c r="B355">
        <f>IF($C355="","","C"&amp;TEXT(INT((ROW()-5)/9)+1,"000")&amp;"-4")</f>
        <v/>
      </c>
      <c r="C355">
        <f>IF(OR(Registro_Compras!$C$42="",Registro_Compras!$O$42="",Registro_Compras!$Y$42="",Registro_Compras!$F$42="NOTA DE CREDITO"),"","10413")</f>
        <v/>
      </c>
      <c r="D355">
        <f>IF(OR(Registro_Compras!$C$42="",Registro_Compras!$O$42=""),"","Efectivo y Equivalentes - Cta. Cte. Operativa")</f>
        <v/>
      </c>
      <c r="E355" s="20">
        <f>""</f>
        <v/>
      </c>
      <c r="F355" s="20">
        <f>IF($C355="","",IF(Registro_Compras!$F$42="RHE",(ROUND(Registro_Compras!$L$42*Registro_Compras!$N$42,2)-ROUND(Registro_Compras!$V$42*Registro_Compras!$N$42,2)),ROUND(Registro_Compras!$O$42-Registro_Compras!$S$42,2)))</f>
        <v/>
      </c>
      <c r="G355">
        <f>IF($C355="","","Por la cancelacion del saldo al proveedor")</f>
        <v/>
      </c>
      <c r="H355">
        <f>IF($C355="","",Registro_Compras!$C$42)</f>
        <v/>
      </c>
    </row>
    <row r="356">
      <c r="A356" s="25">
        <f>IF($C356="","",Registro_Compras!$B$43)</f>
        <v/>
      </c>
      <c r="B356">
        <f>IF($C356="","","C"&amp;TEXT(INT((ROW()-5)/9)+1,"000")&amp;"-1")</f>
        <v/>
      </c>
      <c r="C356">
        <f>IF(OR(Registro_Compras!$C$43="",Registro_Compras!$O$43=""),"",IF(Registro_Compras!$F$43="NOTA DE CREDITO","4212",IF(Registro_Compras!$M$43="","63",Registro_Compras!$M$43)))</f>
        <v/>
      </c>
      <c r="D356">
        <f>IF(OR(Registro_Compras!$C$43="",Registro_Compras!$O$43=""),"",IF(Registro_Compras!$F$43="NOTA DE CREDITO","Cuentas por Pagar Comerciales - Terceros (Emitidas)",IF(Registro_Compras!$F$43="RHE","Honorarios Profesionales - Servicios de Terceros","Gastos de Servicios Prestados por Terceros")))</f>
        <v/>
      </c>
      <c r="E356" s="20">
        <f>IF($C356="","",IF(Registro_Compras!$F$43="NOTA DE CREDITO",ABS(Registro_Compras!$O$43),IF(Registro_Compras!$F$43="RHE",ROUND(Registro_Compras!$L$43*Registro_Compras!$N$43,2),ROUND(Registro_Compras!$J$43*Registro_Compras!$N$43,2))))</f>
        <v/>
      </c>
      <c r="F356" s="20">
        <f>""</f>
        <v/>
      </c>
      <c r="G356">
        <f>IF($C356="","",IF(Registro_Compras!$F$43="NOTA DE CREDITO","Por la nota de credito "&amp;Registro_Compras!$C$43&amp;" de "&amp;Registro_Compras!$E$43&amp;" [PATRON POR CONFIRMAR CON CONTADOR]",IF(Registro_Compras!$F$43="RHE","Por el registro del recibo por honorarios "&amp;Registro_Compras!$C$43&amp;" de "&amp;Registro_Compras!$E$43&amp;" [PATRON POR CONFIRMAR CON CONTADOR]","Por el registro de la factura "&amp;Registro_Compras!$C$43&amp;" de "&amp;Registro_Compras!$E$43)))</f>
        <v/>
      </c>
      <c r="H356">
        <f>IF($C356="","",Registro_Compras!$C$43)</f>
        <v/>
      </c>
    </row>
    <row r="357">
      <c r="A357" s="25">
        <f>IF($C357="","",Registro_Compras!$B$43)</f>
        <v/>
      </c>
      <c r="B357">
        <f>IF($C357="","","C"&amp;TEXT(INT((ROW()-5)/9)+1,"000")&amp;"-1")</f>
        <v/>
      </c>
      <c r="C357">
        <f>IF(OR(Registro_Compras!$C$43="",Registro_Compras!$O$43=""),"",IF(Registro_Compras!$F$43="RHE",IF(Registro_Compras!$V$43=0,"","40172"),IF(Registro_Compras!$F$43="NOTA DE CREDITO",IF(Registro_Compras!$M$43="","63",Registro_Compras!$M$43),IF(Registro_Compras!$K$43=0,"","40111"))))</f>
        <v/>
      </c>
      <c r="D357">
        <f>IF(OR(Registro_Compras!$C$43="",Registro_Compras!$O$43=""),"",IF(Registro_Compras!$F$43="RHE","Retencion Renta 4ta Categoria por Pagar",IF(Registro_Compras!$F$43="NOTA DE CREDITO","Gastos de Servicios Prestados por Terceros","IGV - Cuenta Propia (Credito Fiscal)")))</f>
        <v/>
      </c>
      <c r="E357" s="20">
        <f>IF($C357="","",IF(Registro_Compras!$F$43="FACTURA",ROUND(Registro_Compras!$K$43*Registro_Compras!$N$43,2),""))</f>
        <v/>
      </c>
      <c r="F357" s="20">
        <f>IF($C357="","",IF(Registro_Compras!$F$43="RHE",ROUND(Registro_Compras!$V$43*Registro_Compras!$N$43,2),IF(Registro_Compras!$F$43="NOTA DE CREDITO",ROUND(ABS(Registro_Compras!$J$43*Registro_Compras!$N$43),2),"")))</f>
        <v/>
      </c>
      <c r="G357">
        <f>IF($C357="","",IF(Registro_Compras!$F$43="NOTA DE CREDITO","Por la nota de credito "&amp;Registro_Compras!$C$43&amp;" de "&amp;Registro_Compras!$E$43&amp;" [PATRON POR CONFIRMAR CON CONTADOR]",IF(Registro_Compras!$F$43="RHE","Por el registro del recibo por honorarios "&amp;Registro_Compras!$C$43&amp;" de "&amp;Registro_Compras!$E$43&amp;" [PATRON POR CONFIRMAR CON CONTADOR]","Por el registro de la factura "&amp;Registro_Compras!$C$43&amp;" de "&amp;Registro_Compras!$E$43)))</f>
        <v/>
      </c>
      <c r="H357">
        <f>IF($C357="","",Registro_Compras!$C$43)</f>
        <v/>
      </c>
    </row>
    <row r="358">
      <c r="A358" s="25">
        <f>IF($C358="","",Registro_Compras!$B$43)</f>
        <v/>
      </c>
      <c r="B358">
        <f>IF($C358="","","C"&amp;TEXT(INT((ROW()-5)/9)+1,"000")&amp;"-1")</f>
        <v/>
      </c>
      <c r="C358">
        <f>IF(OR(Registro_Compras!$C$43="",Registro_Compras!$O$43=""),"",IF(Registro_Compras!$F$43="NOTA DE CREDITO",IF(Registro_Compras!$K$43=0,"","40111"),"4212"))</f>
        <v/>
      </c>
      <c r="D358">
        <f>IF(OR(Registro_Compras!$C$43="",Registro_Compras!$O$43=""),"",IF(Registro_Compras!$F$43="NOTA DE CREDITO","IGV - Cuenta Propia (Credito Fiscal)","Cuentas por Pagar Comerciales - Terceros (Emitidas)"))</f>
        <v/>
      </c>
      <c r="E358" s="20">
        <f>""</f>
        <v/>
      </c>
      <c r="F358" s="20">
        <f>IF($C358="","",IF(Registro_Compras!$F$43="NOTA DE CREDITO",ROUND(ABS(Registro_Compras!$K$43*Registro_Compras!$N$43),2),IF(Registro_Compras!$F$43="RHE",(ROUND(Registro_Compras!$L$43*Registro_Compras!$N$43,2)-ROUND(Registro_Compras!$V$43*Registro_Compras!$N$43,2)),Registro_Compras!$O$43)))</f>
        <v/>
      </c>
      <c r="G358">
        <f>IF($C358="","",IF(Registro_Compras!$F$43="NOTA DE CREDITO","Por la nota de credito "&amp;Registro_Compras!$C$43&amp;" de "&amp;Registro_Compras!$E$43&amp;" [PATRON POR CONFIRMAR CON CONTADOR]",IF(Registro_Compras!$F$43="RHE","Por el registro del recibo por honorarios "&amp;Registro_Compras!$C$43&amp;" de "&amp;Registro_Compras!$E$43&amp;" [PATRON POR CONFIRMAR CON CONTADOR]","Por el registro de la factura "&amp;Registro_Compras!$C$43&amp;" de "&amp;Registro_Compras!$E$43)))</f>
        <v/>
      </c>
      <c r="H358">
        <f>IF($C358="","",Registro_Compras!$C$43)</f>
        <v/>
      </c>
    </row>
    <row r="359">
      <c r="A359" s="25">
        <f>IF($C359="","",Registro_Compras!$B$43)</f>
        <v/>
      </c>
      <c r="B359">
        <f>IF($C359="","","C"&amp;TEXT(INT((ROW()-5)/9)+1,"000")&amp;"-2")</f>
        <v/>
      </c>
      <c r="C359">
        <f>IF(OR(Registro_Compras!$C$43="",Registro_Compras!$O$43=""),"",IF(Registro_Compras!$AB$43="ADMINISTRATIVO","94","95"))</f>
        <v/>
      </c>
      <c r="D359">
        <f>IF(OR(Registro_Compras!$C$43="",Registro_Compras!$O$43=""),"",IF(Registro_Compras!$AB$43="ADMINISTRATIVO","Gastos Administrativos","Gastos de Venta y Operacion"))</f>
        <v/>
      </c>
      <c r="E359" s="20">
        <f>IF($C359="","",IF(Registro_Compras!$F$43="NOTA DE CREDITO","",IF(Registro_Compras!$F$43="RHE",ROUND(Registro_Compras!$L$43*Registro_Compras!$N$43,2),ROUND(Registro_Compras!$J$43*Registro_Compras!$N$43,2))))</f>
        <v/>
      </c>
      <c r="F359" s="20">
        <f>IF($C359="","",IF(Registro_Compras!$F$43="NOTA DE CREDITO",ROUND(ABS(Registro_Compras!$J$43*Registro_Compras!$N$43),2),""))</f>
        <v/>
      </c>
      <c r="G359">
        <f>IF($C359="","","Por el destino del gasto")</f>
        <v/>
      </c>
      <c r="H359">
        <f>IF($C359="","",Registro_Compras!$C$43)</f>
        <v/>
      </c>
    </row>
    <row r="360">
      <c r="A360" s="25">
        <f>IF($C360="","",Registro_Compras!$B$43)</f>
        <v/>
      </c>
      <c r="B360">
        <f>IF($C360="","","C"&amp;TEXT(INT((ROW()-5)/9)+1,"000")&amp;"-2")</f>
        <v/>
      </c>
      <c r="C360">
        <f>IF(OR(Registro_Compras!$C$43="",Registro_Compras!$O$43=""),"","79/791")</f>
        <v/>
      </c>
      <c r="D360">
        <f>IF(OR(Registro_Compras!$C$43="",Registro_Compras!$O$43=""),"","Cargas Imputables a Cuentas de Costos y Gastos")</f>
        <v/>
      </c>
      <c r="E360" s="20">
        <f>IF($C360="","",IF(Registro_Compras!$F$43="NOTA DE CREDITO",ROUND(ABS(Registro_Compras!$J$43*Registro_Compras!$N$43),2),""))</f>
        <v/>
      </c>
      <c r="F360" s="20">
        <f>IF($C360="","",IF(Registro_Compras!$F$43="NOTA DE CREDITO","",IF(Registro_Compras!$F$43="RHE",ROUND(Registro_Compras!$L$43*Registro_Compras!$N$43,2),ROUND(Registro_Compras!$J$43*Registro_Compras!$N$43,2))))</f>
        <v/>
      </c>
      <c r="G360">
        <f>IF($C360="","","Por el destino del gasto")</f>
        <v/>
      </c>
      <c r="H360">
        <f>IF($C360="","",Registro_Compras!$C$43)</f>
        <v/>
      </c>
    </row>
    <row r="361">
      <c r="A361" s="25">
        <f>IF($C361="","",Registro_Compras!$X$43)</f>
        <v/>
      </c>
      <c r="B361">
        <f>IF($C361="","","C"&amp;TEXT(INT((ROW()-5)/9)+1,"000")&amp;"-3")</f>
        <v/>
      </c>
      <c r="C361">
        <f>IF(OR(Registro_Compras!$C$43="",Registro_Compras!$O$43="",Registro_Compras!$R$43&lt;&gt;"SI",Registro_Compras!$X$43=""),"","4212")</f>
        <v/>
      </c>
      <c r="D361">
        <f>IF(OR(Registro_Compras!$C$43="",Registro_Compras!$O$43=""),"","Cuentas por Pagar Comerciales - Terceros")</f>
        <v/>
      </c>
      <c r="E361" s="20">
        <f>IF($C361="","",Registro_Compras!$S$43)</f>
        <v/>
      </c>
      <c r="F361" s="20">
        <f>""</f>
        <v/>
      </c>
      <c r="G361">
        <f>IF($C361="","","Por el deposito de la detraccion en el Banco de la Nacion")</f>
        <v/>
      </c>
      <c r="H361">
        <f>IF($C361="","",Registro_Compras!$C$43)</f>
        <v/>
      </c>
    </row>
    <row r="362">
      <c r="A362" s="25">
        <f>IF($C362="","",Registro_Compras!$X$43)</f>
        <v/>
      </c>
      <c r="B362">
        <f>IF($C362="","","C"&amp;TEXT(INT((ROW()-5)/9)+1,"000")&amp;"-3")</f>
        <v/>
      </c>
      <c r="C362">
        <f>IF(OR(Registro_Compras!$C$43="",Registro_Compras!$O$43="",Registro_Compras!$R$43&lt;&gt;"SI",Registro_Compras!$X$43=""),"","10413")</f>
        <v/>
      </c>
      <c r="D362">
        <f>IF(OR(Registro_Compras!$C$43="",Registro_Compras!$O$43=""),"","Efectivo y Equivalentes - Cta. Cte. Operativa")</f>
        <v/>
      </c>
      <c r="E362" s="20">
        <f>""</f>
        <v/>
      </c>
      <c r="F362" s="20">
        <f>IF($C362="","",Registro_Compras!$S$43)</f>
        <v/>
      </c>
      <c r="G362">
        <f>IF($C362="","","Por el deposito de la detraccion en el Banco de la Nacion")</f>
        <v/>
      </c>
      <c r="H362">
        <f>IF($C362="","",Registro_Compras!$C$43)</f>
        <v/>
      </c>
    </row>
    <row r="363">
      <c r="A363" s="25">
        <f>IF($C363="","",Registro_Compras!$Y$43)</f>
        <v/>
      </c>
      <c r="B363">
        <f>IF($C363="","","C"&amp;TEXT(INT((ROW()-5)/9)+1,"000")&amp;"-4")</f>
        <v/>
      </c>
      <c r="C363">
        <f>IF(OR(Registro_Compras!$C$43="",Registro_Compras!$O$43="",Registro_Compras!$Y$43="",Registro_Compras!$F$43="NOTA DE CREDITO"),"","4212")</f>
        <v/>
      </c>
      <c r="D363">
        <f>IF(OR(Registro_Compras!$C$43="",Registro_Compras!$O$43=""),"","Cuentas por Pagar Comerciales - Terceros")</f>
        <v/>
      </c>
      <c r="E363" s="20">
        <f>IF($C363="","",IF(Registro_Compras!$F$43="RHE",(ROUND(Registro_Compras!$L$43*Registro_Compras!$N$43,2)-ROUND(Registro_Compras!$V$43*Registro_Compras!$N$43,2)),ROUND(Registro_Compras!$O$43-Registro_Compras!$S$43,2)))</f>
        <v/>
      </c>
      <c r="F363" s="20">
        <f>""</f>
        <v/>
      </c>
      <c r="G363">
        <f>IF($C363="","","Por la cancelacion del saldo al proveedor")</f>
        <v/>
      </c>
      <c r="H363">
        <f>IF($C363="","",Registro_Compras!$C$43)</f>
        <v/>
      </c>
    </row>
    <row r="364">
      <c r="A364" s="25">
        <f>IF($C364="","",Registro_Compras!$Y$43)</f>
        <v/>
      </c>
      <c r="B364">
        <f>IF($C364="","","C"&amp;TEXT(INT((ROW()-5)/9)+1,"000")&amp;"-4")</f>
        <v/>
      </c>
      <c r="C364">
        <f>IF(OR(Registro_Compras!$C$43="",Registro_Compras!$O$43="",Registro_Compras!$Y$43="",Registro_Compras!$F$43="NOTA DE CREDITO"),"","10413")</f>
        <v/>
      </c>
      <c r="D364">
        <f>IF(OR(Registro_Compras!$C$43="",Registro_Compras!$O$43=""),"","Efectivo y Equivalentes - Cta. Cte. Operativa")</f>
        <v/>
      </c>
      <c r="E364" s="20">
        <f>""</f>
        <v/>
      </c>
      <c r="F364" s="20">
        <f>IF($C364="","",IF(Registro_Compras!$F$43="RHE",(ROUND(Registro_Compras!$L$43*Registro_Compras!$N$43,2)-ROUND(Registro_Compras!$V$43*Registro_Compras!$N$43,2)),ROUND(Registro_Compras!$O$43-Registro_Compras!$S$43,2)))</f>
        <v/>
      </c>
      <c r="G364">
        <f>IF($C364="","","Por la cancelacion del saldo al proveedor")</f>
        <v/>
      </c>
      <c r="H364">
        <f>IF($C364="","",Registro_Compras!$C$43)</f>
        <v/>
      </c>
    </row>
    <row r="365">
      <c r="A365" s="25">
        <f>IF($C365="","",Registro_Compras!$B$44)</f>
        <v/>
      </c>
      <c r="B365">
        <f>IF($C365="","","C"&amp;TEXT(INT((ROW()-5)/9)+1,"000")&amp;"-1")</f>
        <v/>
      </c>
      <c r="C365">
        <f>IF(OR(Registro_Compras!$C$44="",Registro_Compras!$O$44=""),"",IF(Registro_Compras!$F$44="NOTA DE CREDITO","4212",IF(Registro_Compras!$M$44="","63",Registro_Compras!$M$44)))</f>
        <v/>
      </c>
      <c r="D365">
        <f>IF(OR(Registro_Compras!$C$44="",Registro_Compras!$O$44=""),"",IF(Registro_Compras!$F$44="NOTA DE CREDITO","Cuentas por Pagar Comerciales - Terceros (Emitidas)",IF(Registro_Compras!$F$44="RHE","Honorarios Profesionales - Servicios de Terceros","Gastos de Servicios Prestados por Terceros")))</f>
        <v/>
      </c>
      <c r="E365" s="20">
        <f>IF($C365="","",IF(Registro_Compras!$F$44="NOTA DE CREDITO",ABS(Registro_Compras!$O$44),IF(Registro_Compras!$F$44="RHE",ROUND(Registro_Compras!$L$44*Registro_Compras!$N$44,2),ROUND(Registro_Compras!$J$44*Registro_Compras!$N$44,2))))</f>
        <v/>
      </c>
      <c r="F365" s="20">
        <f>""</f>
        <v/>
      </c>
      <c r="G365">
        <f>IF($C365="","",IF(Registro_Compras!$F$44="NOTA DE CREDITO","Por la nota de credito "&amp;Registro_Compras!$C$44&amp;" de "&amp;Registro_Compras!$E$44&amp;" [PATRON POR CONFIRMAR CON CONTADOR]",IF(Registro_Compras!$F$44="RHE","Por el registro del recibo por honorarios "&amp;Registro_Compras!$C$44&amp;" de "&amp;Registro_Compras!$E$44&amp;" [PATRON POR CONFIRMAR CON CONTADOR]","Por el registro de la factura "&amp;Registro_Compras!$C$44&amp;" de "&amp;Registro_Compras!$E$44)))</f>
        <v/>
      </c>
      <c r="H365">
        <f>IF($C365="","",Registro_Compras!$C$44)</f>
        <v/>
      </c>
    </row>
    <row r="366">
      <c r="A366" s="25">
        <f>IF($C366="","",Registro_Compras!$B$44)</f>
        <v/>
      </c>
      <c r="B366">
        <f>IF($C366="","","C"&amp;TEXT(INT((ROW()-5)/9)+1,"000")&amp;"-1")</f>
        <v/>
      </c>
      <c r="C366">
        <f>IF(OR(Registro_Compras!$C$44="",Registro_Compras!$O$44=""),"",IF(Registro_Compras!$F$44="RHE",IF(Registro_Compras!$V$44=0,"","40172"),IF(Registro_Compras!$F$44="NOTA DE CREDITO",IF(Registro_Compras!$M$44="","63",Registro_Compras!$M$44),IF(Registro_Compras!$K$44=0,"","40111"))))</f>
        <v/>
      </c>
      <c r="D366">
        <f>IF(OR(Registro_Compras!$C$44="",Registro_Compras!$O$44=""),"",IF(Registro_Compras!$F$44="RHE","Retencion Renta 4ta Categoria por Pagar",IF(Registro_Compras!$F$44="NOTA DE CREDITO","Gastos de Servicios Prestados por Terceros","IGV - Cuenta Propia (Credito Fiscal)")))</f>
        <v/>
      </c>
      <c r="E366" s="20">
        <f>IF($C366="","",IF(Registro_Compras!$F$44="FACTURA",ROUND(Registro_Compras!$K$44*Registro_Compras!$N$44,2),""))</f>
        <v/>
      </c>
      <c r="F366" s="20">
        <f>IF($C366="","",IF(Registro_Compras!$F$44="RHE",ROUND(Registro_Compras!$V$44*Registro_Compras!$N$44,2),IF(Registro_Compras!$F$44="NOTA DE CREDITO",ROUND(ABS(Registro_Compras!$J$44*Registro_Compras!$N$44),2),"")))</f>
        <v/>
      </c>
      <c r="G366">
        <f>IF($C366="","",IF(Registro_Compras!$F$44="NOTA DE CREDITO","Por la nota de credito "&amp;Registro_Compras!$C$44&amp;" de "&amp;Registro_Compras!$E$44&amp;" [PATRON POR CONFIRMAR CON CONTADOR]",IF(Registro_Compras!$F$44="RHE","Por el registro del recibo por honorarios "&amp;Registro_Compras!$C$44&amp;" de "&amp;Registro_Compras!$E$44&amp;" [PATRON POR CONFIRMAR CON CONTADOR]","Por el registro de la factura "&amp;Registro_Compras!$C$44&amp;" de "&amp;Registro_Compras!$E$44)))</f>
        <v/>
      </c>
      <c r="H366">
        <f>IF($C366="","",Registro_Compras!$C$44)</f>
        <v/>
      </c>
    </row>
    <row r="367">
      <c r="A367" s="25">
        <f>IF($C367="","",Registro_Compras!$B$44)</f>
        <v/>
      </c>
      <c r="B367">
        <f>IF($C367="","","C"&amp;TEXT(INT((ROW()-5)/9)+1,"000")&amp;"-1")</f>
        <v/>
      </c>
      <c r="C367">
        <f>IF(OR(Registro_Compras!$C$44="",Registro_Compras!$O$44=""),"",IF(Registro_Compras!$F$44="NOTA DE CREDITO",IF(Registro_Compras!$K$44=0,"","40111"),"4212"))</f>
        <v/>
      </c>
      <c r="D367">
        <f>IF(OR(Registro_Compras!$C$44="",Registro_Compras!$O$44=""),"",IF(Registro_Compras!$F$44="NOTA DE CREDITO","IGV - Cuenta Propia (Credito Fiscal)","Cuentas por Pagar Comerciales - Terceros (Emitidas)"))</f>
        <v/>
      </c>
      <c r="E367" s="20">
        <f>""</f>
        <v/>
      </c>
      <c r="F367" s="20">
        <f>IF($C367="","",IF(Registro_Compras!$F$44="NOTA DE CREDITO",ROUND(ABS(Registro_Compras!$K$44*Registro_Compras!$N$44),2),IF(Registro_Compras!$F$44="RHE",(ROUND(Registro_Compras!$L$44*Registro_Compras!$N$44,2)-ROUND(Registro_Compras!$V$44*Registro_Compras!$N$44,2)),Registro_Compras!$O$44)))</f>
        <v/>
      </c>
      <c r="G367">
        <f>IF($C367="","",IF(Registro_Compras!$F$44="NOTA DE CREDITO","Por la nota de credito "&amp;Registro_Compras!$C$44&amp;" de "&amp;Registro_Compras!$E$44&amp;" [PATRON POR CONFIRMAR CON CONTADOR]",IF(Registro_Compras!$F$44="RHE","Por el registro del recibo por honorarios "&amp;Registro_Compras!$C$44&amp;" de "&amp;Registro_Compras!$E$44&amp;" [PATRON POR CONFIRMAR CON CONTADOR]","Por el registro de la factura "&amp;Registro_Compras!$C$44&amp;" de "&amp;Registro_Compras!$E$44)))</f>
        <v/>
      </c>
      <c r="H367">
        <f>IF($C367="","",Registro_Compras!$C$44)</f>
        <v/>
      </c>
    </row>
    <row r="368">
      <c r="A368" s="25">
        <f>IF($C368="","",Registro_Compras!$B$44)</f>
        <v/>
      </c>
      <c r="B368">
        <f>IF($C368="","","C"&amp;TEXT(INT((ROW()-5)/9)+1,"000")&amp;"-2")</f>
        <v/>
      </c>
      <c r="C368">
        <f>IF(OR(Registro_Compras!$C$44="",Registro_Compras!$O$44=""),"",IF(Registro_Compras!$AB$44="ADMINISTRATIVO","94","95"))</f>
        <v/>
      </c>
      <c r="D368">
        <f>IF(OR(Registro_Compras!$C$44="",Registro_Compras!$O$44=""),"",IF(Registro_Compras!$AB$44="ADMINISTRATIVO","Gastos Administrativos","Gastos de Venta y Operacion"))</f>
        <v/>
      </c>
      <c r="E368" s="20">
        <f>IF($C368="","",IF(Registro_Compras!$F$44="NOTA DE CREDITO","",IF(Registro_Compras!$F$44="RHE",ROUND(Registro_Compras!$L$44*Registro_Compras!$N$44,2),ROUND(Registro_Compras!$J$44*Registro_Compras!$N$44,2))))</f>
        <v/>
      </c>
      <c r="F368" s="20">
        <f>IF($C368="","",IF(Registro_Compras!$F$44="NOTA DE CREDITO",ROUND(ABS(Registro_Compras!$J$44*Registro_Compras!$N$44),2),""))</f>
        <v/>
      </c>
      <c r="G368">
        <f>IF($C368="","","Por el destino del gasto")</f>
        <v/>
      </c>
      <c r="H368">
        <f>IF($C368="","",Registro_Compras!$C$44)</f>
        <v/>
      </c>
    </row>
    <row r="369">
      <c r="A369" s="25">
        <f>IF($C369="","",Registro_Compras!$B$44)</f>
        <v/>
      </c>
      <c r="B369">
        <f>IF($C369="","","C"&amp;TEXT(INT((ROW()-5)/9)+1,"000")&amp;"-2")</f>
        <v/>
      </c>
      <c r="C369">
        <f>IF(OR(Registro_Compras!$C$44="",Registro_Compras!$O$44=""),"","79/791")</f>
        <v/>
      </c>
      <c r="D369">
        <f>IF(OR(Registro_Compras!$C$44="",Registro_Compras!$O$44=""),"","Cargas Imputables a Cuentas de Costos y Gastos")</f>
        <v/>
      </c>
      <c r="E369" s="20">
        <f>IF($C369="","",IF(Registro_Compras!$F$44="NOTA DE CREDITO",ROUND(ABS(Registro_Compras!$J$44*Registro_Compras!$N$44),2),""))</f>
        <v/>
      </c>
      <c r="F369" s="20">
        <f>IF($C369="","",IF(Registro_Compras!$F$44="NOTA DE CREDITO","",IF(Registro_Compras!$F$44="RHE",ROUND(Registro_Compras!$L$44*Registro_Compras!$N$44,2),ROUND(Registro_Compras!$J$44*Registro_Compras!$N$44,2))))</f>
        <v/>
      </c>
      <c r="G369">
        <f>IF($C369="","","Por el destino del gasto")</f>
        <v/>
      </c>
      <c r="H369">
        <f>IF($C369="","",Registro_Compras!$C$44)</f>
        <v/>
      </c>
    </row>
    <row r="370">
      <c r="A370" s="25">
        <f>IF($C370="","",Registro_Compras!$X$44)</f>
        <v/>
      </c>
      <c r="B370">
        <f>IF($C370="","","C"&amp;TEXT(INT((ROW()-5)/9)+1,"000")&amp;"-3")</f>
        <v/>
      </c>
      <c r="C370">
        <f>IF(OR(Registro_Compras!$C$44="",Registro_Compras!$O$44="",Registro_Compras!$R$44&lt;&gt;"SI",Registro_Compras!$X$44=""),"","4212")</f>
        <v/>
      </c>
      <c r="D370">
        <f>IF(OR(Registro_Compras!$C$44="",Registro_Compras!$O$44=""),"","Cuentas por Pagar Comerciales - Terceros")</f>
        <v/>
      </c>
      <c r="E370" s="20">
        <f>IF($C370="","",Registro_Compras!$S$44)</f>
        <v/>
      </c>
      <c r="F370" s="20">
        <f>""</f>
        <v/>
      </c>
      <c r="G370">
        <f>IF($C370="","","Por el deposito de la detraccion en el Banco de la Nacion")</f>
        <v/>
      </c>
      <c r="H370">
        <f>IF($C370="","",Registro_Compras!$C$44)</f>
        <v/>
      </c>
    </row>
    <row r="371">
      <c r="A371" s="25">
        <f>IF($C371="","",Registro_Compras!$X$44)</f>
        <v/>
      </c>
      <c r="B371">
        <f>IF($C371="","","C"&amp;TEXT(INT((ROW()-5)/9)+1,"000")&amp;"-3")</f>
        <v/>
      </c>
      <c r="C371">
        <f>IF(OR(Registro_Compras!$C$44="",Registro_Compras!$O$44="",Registro_Compras!$R$44&lt;&gt;"SI",Registro_Compras!$X$44=""),"","10413")</f>
        <v/>
      </c>
      <c r="D371">
        <f>IF(OR(Registro_Compras!$C$44="",Registro_Compras!$O$44=""),"","Efectivo y Equivalentes - Cta. Cte. Operativa")</f>
        <v/>
      </c>
      <c r="E371" s="20">
        <f>""</f>
        <v/>
      </c>
      <c r="F371" s="20">
        <f>IF($C371="","",Registro_Compras!$S$44)</f>
        <v/>
      </c>
      <c r="G371">
        <f>IF($C371="","","Por el deposito de la detraccion en el Banco de la Nacion")</f>
        <v/>
      </c>
      <c r="H371">
        <f>IF($C371="","",Registro_Compras!$C$44)</f>
        <v/>
      </c>
    </row>
    <row r="372">
      <c r="A372" s="25">
        <f>IF($C372="","",Registro_Compras!$Y$44)</f>
        <v/>
      </c>
      <c r="B372">
        <f>IF($C372="","","C"&amp;TEXT(INT((ROW()-5)/9)+1,"000")&amp;"-4")</f>
        <v/>
      </c>
      <c r="C372">
        <f>IF(OR(Registro_Compras!$C$44="",Registro_Compras!$O$44="",Registro_Compras!$Y$44="",Registro_Compras!$F$44="NOTA DE CREDITO"),"","4212")</f>
        <v/>
      </c>
      <c r="D372">
        <f>IF(OR(Registro_Compras!$C$44="",Registro_Compras!$O$44=""),"","Cuentas por Pagar Comerciales - Terceros")</f>
        <v/>
      </c>
      <c r="E372" s="20">
        <f>IF($C372="","",IF(Registro_Compras!$F$44="RHE",(ROUND(Registro_Compras!$L$44*Registro_Compras!$N$44,2)-ROUND(Registro_Compras!$V$44*Registro_Compras!$N$44,2)),ROUND(Registro_Compras!$O$44-Registro_Compras!$S$44,2)))</f>
        <v/>
      </c>
      <c r="F372" s="20">
        <f>""</f>
        <v/>
      </c>
      <c r="G372">
        <f>IF($C372="","","Por la cancelacion del saldo al proveedor")</f>
        <v/>
      </c>
      <c r="H372">
        <f>IF($C372="","",Registro_Compras!$C$44)</f>
        <v/>
      </c>
    </row>
    <row r="373">
      <c r="A373" s="25">
        <f>IF($C373="","",Registro_Compras!$Y$44)</f>
        <v/>
      </c>
      <c r="B373">
        <f>IF($C373="","","C"&amp;TEXT(INT((ROW()-5)/9)+1,"000")&amp;"-4")</f>
        <v/>
      </c>
      <c r="C373">
        <f>IF(OR(Registro_Compras!$C$44="",Registro_Compras!$O$44="",Registro_Compras!$Y$44="",Registro_Compras!$F$44="NOTA DE CREDITO"),"","10413")</f>
        <v/>
      </c>
      <c r="D373">
        <f>IF(OR(Registro_Compras!$C$44="",Registro_Compras!$O$44=""),"","Efectivo y Equivalentes - Cta. Cte. Operativa")</f>
        <v/>
      </c>
      <c r="E373" s="20">
        <f>""</f>
        <v/>
      </c>
      <c r="F373" s="20">
        <f>IF($C373="","",IF(Registro_Compras!$F$44="RHE",(ROUND(Registro_Compras!$L$44*Registro_Compras!$N$44,2)-ROUND(Registro_Compras!$V$44*Registro_Compras!$N$44,2)),ROUND(Registro_Compras!$O$44-Registro_Compras!$S$44,2)))</f>
        <v/>
      </c>
      <c r="G373">
        <f>IF($C373="","","Por la cancelacion del saldo al proveedor")</f>
        <v/>
      </c>
      <c r="H373">
        <f>IF($C373="","",Registro_Compras!$C$44)</f>
        <v/>
      </c>
    </row>
    <row r="374">
      <c r="A374" s="25">
        <f>IF($C374="","",Registro_Compras!$B$45)</f>
        <v/>
      </c>
      <c r="B374">
        <f>IF($C374="","","C"&amp;TEXT(INT((ROW()-5)/9)+1,"000")&amp;"-1")</f>
        <v/>
      </c>
      <c r="C374">
        <f>IF(OR(Registro_Compras!$C$45="",Registro_Compras!$O$45=""),"",IF(Registro_Compras!$F$45="NOTA DE CREDITO","4212",IF(Registro_Compras!$M$45="","63",Registro_Compras!$M$45)))</f>
        <v/>
      </c>
      <c r="D374">
        <f>IF(OR(Registro_Compras!$C$45="",Registro_Compras!$O$45=""),"",IF(Registro_Compras!$F$45="NOTA DE CREDITO","Cuentas por Pagar Comerciales - Terceros (Emitidas)",IF(Registro_Compras!$F$45="RHE","Honorarios Profesionales - Servicios de Terceros","Gastos de Servicios Prestados por Terceros")))</f>
        <v/>
      </c>
      <c r="E374" s="20">
        <f>IF($C374="","",IF(Registro_Compras!$F$45="NOTA DE CREDITO",ABS(Registro_Compras!$O$45),IF(Registro_Compras!$F$45="RHE",ROUND(Registro_Compras!$L$45*Registro_Compras!$N$45,2),ROUND(Registro_Compras!$J$45*Registro_Compras!$N$45,2))))</f>
        <v/>
      </c>
      <c r="F374" s="20">
        <f>""</f>
        <v/>
      </c>
      <c r="G374">
        <f>IF($C374="","",IF(Registro_Compras!$F$45="NOTA DE CREDITO","Por la nota de credito "&amp;Registro_Compras!$C$45&amp;" de "&amp;Registro_Compras!$E$45&amp;" [PATRON POR CONFIRMAR CON CONTADOR]",IF(Registro_Compras!$F$45="RHE","Por el registro del recibo por honorarios "&amp;Registro_Compras!$C$45&amp;" de "&amp;Registro_Compras!$E$45&amp;" [PATRON POR CONFIRMAR CON CONTADOR]","Por el registro de la factura "&amp;Registro_Compras!$C$45&amp;" de "&amp;Registro_Compras!$E$45)))</f>
        <v/>
      </c>
      <c r="H374">
        <f>IF($C374="","",Registro_Compras!$C$45)</f>
        <v/>
      </c>
    </row>
    <row r="375">
      <c r="A375" s="25">
        <f>IF($C375="","",Registro_Compras!$B$45)</f>
        <v/>
      </c>
      <c r="B375">
        <f>IF($C375="","","C"&amp;TEXT(INT((ROW()-5)/9)+1,"000")&amp;"-1")</f>
        <v/>
      </c>
      <c r="C375">
        <f>IF(OR(Registro_Compras!$C$45="",Registro_Compras!$O$45=""),"",IF(Registro_Compras!$F$45="RHE",IF(Registro_Compras!$V$45=0,"","40172"),IF(Registro_Compras!$F$45="NOTA DE CREDITO",IF(Registro_Compras!$M$45="","63",Registro_Compras!$M$45),IF(Registro_Compras!$K$45=0,"","40111"))))</f>
        <v/>
      </c>
      <c r="D375">
        <f>IF(OR(Registro_Compras!$C$45="",Registro_Compras!$O$45=""),"",IF(Registro_Compras!$F$45="RHE","Retencion Renta 4ta Categoria por Pagar",IF(Registro_Compras!$F$45="NOTA DE CREDITO","Gastos de Servicios Prestados por Terceros","IGV - Cuenta Propia (Credito Fiscal)")))</f>
        <v/>
      </c>
      <c r="E375" s="20">
        <f>IF($C375="","",IF(Registro_Compras!$F$45="FACTURA",ROUND(Registro_Compras!$K$45*Registro_Compras!$N$45,2),""))</f>
        <v/>
      </c>
      <c r="F375" s="20">
        <f>IF($C375="","",IF(Registro_Compras!$F$45="RHE",ROUND(Registro_Compras!$V$45*Registro_Compras!$N$45,2),IF(Registro_Compras!$F$45="NOTA DE CREDITO",ROUND(ABS(Registro_Compras!$J$45*Registro_Compras!$N$45),2),"")))</f>
        <v/>
      </c>
      <c r="G375">
        <f>IF($C375="","",IF(Registro_Compras!$F$45="NOTA DE CREDITO","Por la nota de credito "&amp;Registro_Compras!$C$45&amp;" de "&amp;Registro_Compras!$E$45&amp;" [PATRON POR CONFIRMAR CON CONTADOR]",IF(Registro_Compras!$F$45="RHE","Por el registro del recibo por honorarios "&amp;Registro_Compras!$C$45&amp;" de "&amp;Registro_Compras!$E$45&amp;" [PATRON POR CONFIRMAR CON CONTADOR]","Por el registro de la factura "&amp;Registro_Compras!$C$45&amp;" de "&amp;Registro_Compras!$E$45)))</f>
        <v/>
      </c>
      <c r="H375">
        <f>IF($C375="","",Registro_Compras!$C$45)</f>
        <v/>
      </c>
    </row>
    <row r="376">
      <c r="A376" s="25">
        <f>IF($C376="","",Registro_Compras!$B$45)</f>
        <v/>
      </c>
      <c r="B376">
        <f>IF($C376="","","C"&amp;TEXT(INT((ROW()-5)/9)+1,"000")&amp;"-1")</f>
        <v/>
      </c>
      <c r="C376">
        <f>IF(OR(Registro_Compras!$C$45="",Registro_Compras!$O$45=""),"",IF(Registro_Compras!$F$45="NOTA DE CREDITO",IF(Registro_Compras!$K$45=0,"","40111"),"4212"))</f>
        <v/>
      </c>
      <c r="D376">
        <f>IF(OR(Registro_Compras!$C$45="",Registro_Compras!$O$45=""),"",IF(Registro_Compras!$F$45="NOTA DE CREDITO","IGV - Cuenta Propia (Credito Fiscal)","Cuentas por Pagar Comerciales - Terceros (Emitidas)"))</f>
        <v/>
      </c>
      <c r="E376" s="20">
        <f>""</f>
        <v/>
      </c>
      <c r="F376" s="20">
        <f>IF($C376="","",IF(Registro_Compras!$F$45="NOTA DE CREDITO",ROUND(ABS(Registro_Compras!$K$45*Registro_Compras!$N$45),2),IF(Registro_Compras!$F$45="RHE",(ROUND(Registro_Compras!$L$45*Registro_Compras!$N$45,2)-ROUND(Registro_Compras!$V$45*Registro_Compras!$N$45,2)),Registro_Compras!$O$45)))</f>
        <v/>
      </c>
      <c r="G376">
        <f>IF($C376="","",IF(Registro_Compras!$F$45="NOTA DE CREDITO","Por la nota de credito "&amp;Registro_Compras!$C$45&amp;" de "&amp;Registro_Compras!$E$45&amp;" [PATRON POR CONFIRMAR CON CONTADOR]",IF(Registro_Compras!$F$45="RHE","Por el registro del recibo por honorarios "&amp;Registro_Compras!$C$45&amp;" de "&amp;Registro_Compras!$E$45&amp;" [PATRON POR CONFIRMAR CON CONTADOR]","Por el registro de la factura "&amp;Registro_Compras!$C$45&amp;" de "&amp;Registro_Compras!$E$45)))</f>
        <v/>
      </c>
      <c r="H376">
        <f>IF($C376="","",Registro_Compras!$C$45)</f>
        <v/>
      </c>
    </row>
    <row r="377">
      <c r="A377" s="25">
        <f>IF($C377="","",Registro_Compras!$B$45)</f>
        <v/>
      </c>
      <c r="B377">
        <f>IF($C377="","","C"&amp;TEXT(INT((ROW()-5)/9)+1,"000")&amp;"-2")</f>
        <v/>
      </c>
      <c r="C377">
        <f>IF(OR(Registro_Compras!$C$45="",Registro_Compras!$O$45=""),"",IF(Registro_Compras!$AB$45="ADMINISTRATIVO","94","95"))</f>
        <v/>
      </c>
      <c r="D377">
        <f>IF(OR(Registro_Compras!$C$45="",Registro_Compras!$O$45=""),"",IF(Registro_Compras!$AB$45="ADMINISTRATIVO","Gastos Administrativos","Gastos de Venta y Operacion"))</f>
        <v/>
      </c>
      <c r="E377" s="20">
        <f>IF($C377="","",IF(Registro_Compras!$F$45="NOTA DE CREDITO","",IF(Registro_Compras!$F$45="RHE",ROUND(Registro_Compras!$L$45*Registro_Compras!$N$45,2),ROUND(Registro_Compras!$J$45*Registro_Compras!$N$45,2))))</f>
        <v/>
      </c>
      <c r="F377" s="20">
        <f>IF($C377="","",IF(Registro_Compras!$F$45="NOTA DE CREDITO",ROUND(ABS(Registro_Compras!$J$45*Registro_Compras!$N$45),2),""))</f>
        <v/>
      </c>
      <c r="G377">
        <f>IF($C377="","","Por el destino del gasto")</f>
        <v/>
      </c>
      <c r="H377">
        <f>IF($C377="","",Registro_Compras!$C$45)</f>
        <v/>
      </c>
    </row>
    <row r="378">
      <c r="A378" s="25">
        <f>IF($C378="","",Registro_Compras!$B$45)</f>
        <v/>
      </c>
      <c r="B378">
        <f>IF($C378="","","C"&amp;TEXT(INT((ROW()-5)/9)+1,"000")&amp;"-2")</f>
        <v/>
      </c>
      <c r="C378">
        <f>IF(OR(Registro_Compras!$C$45="",Registro_Compras!$O$45=""),"","79/791")</f>
        <v/>
      </c>
      <c r="D378">
        <f>IF(OR(Registro_Compras!$C$45="",Registro_Compras!$O$45=""),"","Cargas Imputables a Cuentas de Costos y Gastos")</f>
        <v/>
      </c>
      <c r="E378" s="20">
        <f>IF($C378="","",IF(Registro_Compras!$F$45="NOTA DE CREDITO",ROUND(ABS(Registro_Compras!$J$45*Registro_Compras!$N$45),2),""))</f>
        <v/>
      </c>
      <c r="F378" s="20">
        <f>IF($C378="","",IF(Registro_Compras!$F$45="NOTA DE CREDITO","",IF(Registro_Compras!$F$45="RHE",ROUND(Registro_Compras!$L$45*Registro_Compras!$N$45,2),ROUND(Registro_Compras!$J$45*Registro_Compras!$N$45,2))))</f>
        <v/>
      </c>
      <c r="G378">
        <f>IF($C378="","","Por el destino del gasto")</f>
        <v/>
      </c>
      <c r="H378">
        <f>IF($C378="","",Registro_Compras!$C$45)</f>
        <v/>
      </c>
    </row>
    <row r="379">
      <c r="A379" s="25">
        <f>IF($C379="","",Registro_Compras!$X$45)</f>
        <v/>
      </c>
      <c r="B379">
        <f>IF($C379="","","C"&amp;TEXT(INT((ROW()-5)/9)+1,"000")&amp;"-3")</f>
        <v/>
      </c>
      <c r="C379">
        <f>IF(OR(Registro_Compras!$C$45="",Registro_Compras!$O$45="",Registro_Compras!$R$45&lt;&gt;"SI",Registro_Compras!$X$45=""),"","4212")</f>
        <v/>
      </c>
      <c r="D379">
        <f>IF(OR(Registro_Compras!$C$45="",Registro_Compras!$O$45=""),"","Cuentas por Pagar Comerciales - Terceros")</f>
        <v/>
      </c>
      <c r="E379" s="20">
        <f>IF($C379="","",Registro_Compras!$S$45)</f>
        <v/>
      </c>
      <c r="F379" s="20">
        <f>""</f>
        <v/>
      </c>
      <c r="G379">
        <f>IF($C379="","","Por el deposito de la detraccion en el Banco de la Nacion")</f>
        <v/>
      </c>
      <c r="H379">
        <f>IF($C379="","",Registro_Compras!$C$45)</f>
        <v/>
      </c>
    </row>
    <row r="380">
      <c r="A380" s="25">
        <f>IF($C380="","",Registro_Compras!$X$45)</f>
        <v/>
      </c>
      <c r="B380">
        <f>IF($C380="","","C"&amp;TEXT(INT((ROW()-5)/9)+1,"000")&amp;"-3")</f>
        <v/>
      </c>
      <c r="C380">
        <f>IF(OR(Registro_Compras!$C$45="",Registro_Compras!$O$45="",Registro_Compras!$R$45&lt;&gt;"SI",Registro_Compras!$X$45=""),"","10413")</f>
        <v/>
      </c>
      <c r="D380">
        <f>IF(OR(Registro_Compras!$C$45="",Registro_Compras!$O$45=""),"","Efectivo y Equivalentes - Cta. Cte. Operativa")</f>
        <v/>
      </c>
      <c r="E380" s="20">
        <f>""</f>
        <v/>
      </c>
      <c r="F380" s="20">
        <f>IF($C380="","",Registro_Compras!$S$45)</f>
        <v/>
      </c>
      <c r="G380">
        <f>IF($C380="","","Por el deposito de la detraccion en el Banco de la Nacion")</f>
        <v/>
      </c>
      <c r="H380">
        <f>IF($C380="","",Registro_Compras!$C$45)</f>
        <v/>
      </c>
    </row>
    <row r="381">
      <c r="A381" s="25">
        <f>IF($C381="","",Registro_Compras!$Y$45)</f>
        <v/>
      </c>
      <c r="B381">
        <f>IF($C381="","","C"&amp;TEXT(INT((ROW()-5)/9)+1,"000")&amp;"-4")</f>
        <v/>
      </c>
      <c r="C381">
        <f>IF(OR(Registro_Compras!$C$45="",Registro_Compras!$O$45="",Registro_Compras!$Y$45="",Registro_Compras!$F$45="NOTA DE CREDITO"),"","4212")</f>
        <v/>
      </c>
      <c r="D381">
        <f>IF(OR(Registro_Compras!$C$45="",Registro_Compras!$O$45=""),"","Cuentas por Pagar Comerciales - Terceros")</f>
        <v/>
      </c>
      <c r="E381" s="20">
        <f>IF($C381="","",IF(Registro_Compras!$F$45="RHE",(ROUND(Registro_Compras!$L$45*Registro_Compras!$N$45,2)-ROUND(Registro_Compras!$V$45*Registro_Compras!$N$45,2)),ROUND(Registro_Compras!$O$45-Registro_Compras!$S$45,2)))</f>
        <v/>
      </c>
      <c r="F381" s="20">
        <f>""</f>
        <v/>
      </c>
      <c r="G381">
        <f>IF($C381="","","Por la cancelacion del saldo al proveedor")</f>
        <v/>
      </c>
      <c r="H381">
        <f>IF($C381="","",Registro_Compras!$C$45)</f>
        <v/>
      </c>
    </row>
    <row r="382">
      <c r="A382" s="25">
        <f>IF($C382="","",Registro_Compras!$Y$45)</f>
        <v/>
      </c>
      <c r="B382">
        <f>IF($C382="","","C"&amp;TEXT(INT((ROW()-5)/9)+1,"000")&amp;"-4")</f>
        <v/>
      </c>
      <c r="C382">
        <f>IF(OR(Registro_Compras!$C$45="",Registro_Compras!$O$45="",Registro_Compras!$Y$45="",Registro_Compras!$F$45="NOTA DE CREDITO"),"","10413")</f>
        <v/>
      </c>
      <c r="D382">
        <f>IF(OR(Registro_Compras!$C$45="",Registro_Compras!$O$45=""),"","Efectivo y Equivalentes - Cta. Cte. Operativa")</f>
        <v/>
      </c>
      <c r="E382" s="20">
        <f>""</f>
        <v/>
      </c>
      <c r="F382" s="20">
        <f>IF($C382="","",IF(Registro_Compras!$F$45="RHE",(ROUND(Registro_Compras!$L$45*Registro_Compras!$N$45,2)-ROUND(Registro_Compras!$V$45*Registro_Compras!$N$45,2)),ROUND(Registro_Compras!$O$45-Registro_Compras!$S$45,2)))</f>
        <v/>
      </c>
      <c r="G382">
        <f>IF($C382="","","Por la cancelacion del saldo al proveedor")</f>
        <v/>
      </c>
      <c r="H382">
        <f>IF($C382="","",Registro_Compras!$C$45)</f>
        <v/>
      </c>
    </row>
    <row r="383">
      <c r="A383" s="25">
        <f>IF($C383="","",Registro_Compras!$B$46)</f>
        <v/>
      </c>
      <c r="B383">
        <f>IF($C383="","","C"&amp;TEXT(INT((ROW()-5)/9)+1,"000")&amp;"-1")</f>
        <v/>
      </c>
      <c r="C383">
        <f>IF(OR(Registro_Compras!$C$46="",Registro_Compras!$O$46=""),"",IF(Registro_Compras!$F$46="NOTA DE CREDITO","4212",IF(Registro_Compras!$M$46="","63",Registro_Compras!$M$46)))</f>
        <v/>
      </c>
      <c r="D383">
        <f>IF(OR(Registro_Compras!$C$46="",Registro_Compras!$O$46=""),"",IF(Registro_Compras!$F$46="NOTA DE CREDITO","Cuentas por Pagar Comerciales - Terceros (Emitidas)",IF(Registro_Compras!$F$46="RHE","Honorarios Profesionales - Servicios de Terceros","Gastos de Servicios Prestados por Terceros")))</f>
        <v/>
      </c>
      <c r="E383" s="20">
        <f>IF($C383="","",IF(Registro_Compras!$F$46="NOTA DE CREDITO",ABS(Registro_Compras!$O$46),IF(Registro_Compras!$F$46="RHE",ROUND(Registro_Compras!$L$46*Registro_Compras!$N$46,2),ROUND(Registro_Compras!$J$46*Registro_Compras!$N$46,2))))</f>
        <v/>
      </c>
      <c r="F383" s="20">
        <f>""</f>
        <v/>
      </c>
      <c r="G383">
        <f>IF($C383="","",IF(Registro_Compras!$F$46="NOTA DE CREDITO","Por la nota de credito "&amp;Registro_Compras!$C$46&amp;" de "&amp;Registro_Compras!$E$46&amp;" [PATRON POR CONFIRMAR CON CONTADOR]",IF(Registro_Compras!$F$46="RHE","Por el registro del recibo por honorarios "&amp;Registro_Compras!$C$46&amp;" de "&amp;Registro_Compras!$E$46&amp;" [PATRON POR CONFIRMAR CON CONTADOR]","Por el registro de la factura "&amp;Registro_Compras!$C$46&amp;" de "&amp;Registro_Compras!$E$46)))</f>
        <v/>
      </c>
      <c r="H383">
        <f>IF($C383="","",Registro_Compras!$C$46)</f>
        <v/>
      </c>
    </row>
    <row r="384">
      <c r="A384" s="25">
        <f>IF($C384="","",Registro_Compras!$B$46)</f>
        <v/>
      </c>
      <c r="B384">
        <f>IF($C384="","","C"&amp;TEXT(INT((ROW()-5)/9)+1,"000")&amp;"-1")</f>
        <v/>
      </c>
      <c r="C384">
        <f>IF(OR(Registro_Compras!$C$46="",Registro_Compras!$O$46=""),"",IF(Registro_Compras!$F$46="RHE",IF(Registro_Compras!$V$46=0,"","40172"),IF(Registro_Compras!$F$46="NOTA DE CREDITO",IF(Registro_Compras!$M$46="","63",Registro_Compras!$M$46),IF(Registro_Compras!$K$46=0,"","40111"))))</f>
        <v/>
      </c>
      <c r="D384">
        <f>IF(OR(Registro_Compras!$C$46="",Registro_Compras!$O$46=""),"",IF(Registro_Compras!$F$46="RHE","Retencion Renta 4ta Categoria por Pagar",IF(Registro_Compras!$F$46="NOTA DE CREDITO","Gastos de Servicios Prestados por Terceros","IGV - Cuenta Propia (Credito Fiscal)")))</f>
        <v/>
      </c>
      <c r="E384" s="20">
        <f>IF($C384="","",IF(Registro_Compras!$F$46="FACTURA",ROUND(Registro_Compras!$K$46*Registro_Compras!$N$46,2),""))</f>
        <v/>
      </c>
      <c r="F384" s="20">
        <f>IF($C384="","",IF(Registro_Compras!$F$46="RHE",ROUND(Registro_Compras!$V$46*Registro_Compras!$N$46,2),IF(Registro_Compras!$F$46="NOTA DE CREDITO",ROUND(ABS(Registro_Compras!$J$46*Registro_Compras!$N$46),2),"")))</f>
        <v/>
      </c>
      <c r="G384">
        <f>IF($C384="","",IF(Registro_Compras!$F$46="NOTA DE CREDITO","Por la nota de credito "&amp;Registro_Compras!$C$46&amp;" de "&amp;Registro_Compras!$E$46&amp;" [PATRON POR CONFIRMAR CON CONTADOR]",IF(Registro_Compras!$F$46="RHE","Por el registro del recibo por honorarios "&amp;Registro_Compras!$C$46&amp;" de "&amp;Registro_Compras!$E$46&amp;" [PATRON POR CONFIRMAR CON CONTADOR]","Por el registro de la factura "&amp;Registro_Compras!$C$46&amp;" de "&amp;Registro_Compras!$E$46)))</f>
        <v/>
      </c>
      <c r="H384">
        <f>IF($C384="","",Registro_Compras!$C$46)</f>
        <v/>
      </c>
    </row>
    <row r="385">
      <c r="A385" s="25">
        <f>IF($C385="","",Registro_Compras!$B$46)</f>
        <v/>
      </c>
      <c r="B385">
        <f>IF($C385="","","C"&amp;TEXT(INT((ROW()-5)/9)+1,"000")&amp;"-1")</f>
        <v/>
      </c>
      <c r="C385">
        <f>IF(OR(Registro_Compras!$C$46="",Registro_Compras!$O$46=""),"",IF(Registro_Compras!$F$46="NOTA DE CREDITO",IF(Registro_Compras!$K$46=0,"","40111"),"4212"))</f>
        <v/>
      </c>
      <c r="D385">
        <f>IF(OR(Registro_Compras!$C$46="",Registro_Compras!$O$46=""),"",IF(Registro_Compras!$F$46="NOTA DE CREDITO","IGV - Cuenta Propia (Credito Fiscal)","Cuentas por Pagar Comerciales - Terceros (Emitidas)"))</f>
        <v/>
      </c>
      <c r="E385" s="20">
        <f>""</f>
        <v/>
      </c>
      <c r="F385" s="20">
        <f>IF($C385="","",IF(Registro_Compras!$F$46="NOTA DE CREDITO",ROUND(ABS(Registro_Compras!$K$46*Registro_Compras!$N$46),2),IF(Registro_Compras!$F$46="RHE",(ROUND(Registro_Compras!$L$46*Registro_Compras!$N$46,2)-ROUND(Registro_Compras!$V$46*Registro_Compras!$N$46,2)),Registro_Compras!$O$46)))</f>
        <v/>
      </c>
      <c r="G385">
        <f>IF($C385="","",IF(Registro_Compras!$F$46="NOTA DE CREDITO","Por la nota de credito "&amp;Registro_Compras!$C$46&amp;" de "&amp;Registro_Compras!$E$46&amp;" [PATRON POR CONFIRMAR CON CONTADOR]",IF(Registro_Compras!$F$46="RHE","Por el registro del recibo por honorarios "&amp;Registro_Compras!$C$46&amp;" de "&amp;Registro_Compras!$E$46&amp;" [PATRON POR CONFIRMAR CON CONTADOR]","Por el registro de la factura "&amp;Registro_Compras!$C$46&amp;" de "&amp;Registro_Compras!$E$46)))</f>
        <v/>
      </c>
      <c r="H385">
        <f>IF($C385="","",Registro_Compras!$C$46)</f>
        <v/>
      </c>
    </row>
    <row r="386">
      <c r="A386" s="25">
        <f>IF($C386="","",Registro_Compras!$B$46)</f>
        <v/>
      </c>
      <c r="B386">
        <f>IF($C386="","","C"&amp;TEXT(INT((ROW()-5)/9)+1,"000")&amp;"-2")</f>
        <v/>
      </c>
      <c r="C386">
        <f>IF(OR(Registro_Compras!$C$46="",Registro_Compras!$O$46=""),"",IF(Registro_Compras!$AB$46="ADMINISTRATIVO","94","95"))</f>
        <v/>
      </c>
      <c r="D386">
        <f>IF(OR(Registro_Compras!$C$46="",Registro_Compras!$O$46=""),"",IF(Registro_Compras!$AB$46="ADMINISTRATIVO","Gastos Administrativos","Gastos de Venta y Operacion"))</f>
        <v/>
      </c>
      <c r="E386" s="20">
        <f>IF($C386="","",IF(Registro_Compras!$F$46="NOTA DE CREDITO","",IF(Registro_Compras!$F$46="RHE",ROUND(Registro_Compras!$L$46*Registro_Compras!$N$46,2),ROUND(Registro_Compras!$J$46*Registro_Compras!$N$46,2))))</f>
        <v/>
      </c>
      <c r="F386" s="20">
        <f>IF($C386="","",IF(Registro_Compras!$F$46="NOTA DE CREDITO",ROUND(ABS(Registro_Compras!$J$46*Registro_Compras!$N$46),2),""))</f>
        <v/>
      </c>
      <c r="G386">
        <f>IF($C386="","","Por el destino del gasto")</f>
        <v/>
      </c>
      <c r="H386">
        <f>IF($C386="","",Registro_Compras!$C$46)</f>
        <v/>
      </c>
    </row>
    <row r="387">
      <c r="A387" s="25">
        <f>IF($C387="","",Registro_Compras!$B$46)</f>
        <v/>
      </c>
      <c r="B387">
        <f>IF($C387="","","C"&amp;TEXT(INT((ROW()-5)/9)+1,"000")&amp;"-2")</f>
        <v/>
      </c>
      <c r="C387">
        <f>IF(OR(Registro_Compras!$C$46="",Registro_Compras!$O$46=""),"","79/791")</f>
        <v/>
      </c>
      <c r="D387">
        <f>IF(OR(Registro_Compras!$C$46="",Registro_Compras!$O$46=""),"","Cargas Imputables a Cuentas de Costos y Gastos")</f>
        <v/>
      </c>
      <c r="E387" s="20">
        <f>IF($C387="","",IF(Registro_Compras!$F$46="NOTA DE CREDITO",ROUND(ABS(Registro_Compras!$J$46*Registro_Compras!$N$46),2),""))</f>
        <v/>
      </c>
      <c r="F387" s="20">
        <f>IF($C387="","",IF(Registro_Compras!$F$46="NOTA DE CREDITO","",IF(Registro_Compras!$F$46="RHE",ROUND(Registro_Compras!$L$46*Registro_Compras!$N$46,2),ROUND(Registro_Compras!$J$46*Registro_Compras!$N$46,2))))</f>
        <v/>
      </c>
      <c r="G387">
        <f>IF($C387="","","Por el destino del gasto")</f>
        <v/>
      </c>
      <c r="H387">
        <f>IF($C387="","",Registro_Compras!$C$46)</f>
        <v/>
      </c>
    </row>
    <row r="388">
      <c r="A388" s="25">
        <f>IF($C388="","",Registro_Compras!$X$46)</f>
        <v/>
      </c>
      <c r="B388">
        <f>IF($C388="","","C"&amp;TEXT(INT((ROW()-5)/9)+1,"000")&amp;"-3")</f>
        <v/>
      </c>
      <c r="C388">
        <f>IF(OR(Registro_Compras!$C$46="",Registro_Compras!$O$46="",Registro_Compras!$R$46&lt;&gt;"SI",Registro_Compras!$X$46=""),"","4212")</f>
        <v/>
      </c>
      <c r="D388">
        <f>IF(OR(Registro_Compras!$C$46="",Registro_Compras!$O$46=""),"","Cuentas por Pagar Comerciales - Terceros")</f>
        <v/>
      </c>
      <c r="E388" s="20">
        <f>IF($C388="","",Registro_Compras!$S$46)</f>
        <v/>
      </c>
      <c r="F388" s="20">
        <f>""</f>
        <v/>
      </c>
      <c r="G388">
        <f>IF($C388="","","Por el deposito de la detraccion en el Banco de la Nacion")</f>
        <v/>
      </c>
      <c r="H388">
        <f>IF($C388="","",Registro_Compras!$C$46)</f>
        <v/>
      </c>
    </row>
    <row r="389">
      <c r="A389" s="25">
        <f>IF($C389="","",Registro_Compras!$X$46)</f>
        <v/>
      </c>
      <c r="B389">
        <f>IF($C389="","","C"&amp;TEXT(INT((ROW()-5)/9)+1,"000")&amp;"-3")</f>
        <v/>
      </c>
      <c r="C389">
        <f>IF(OR(Registro_Compras!$C$46="",Registro_Compras!$O$46="",Registro_Compras!$R$46&lt;&gt;"SI",Registro_Compras!$X$46=""),"","10413")</f>
        <v/>
      </c>
      <c r="D389">
        <f>IF(OR(Registro_Compras!$C$46="",Registro_Compras!$O$46=""),"","Efectivo y Equivalentes - Cta. Cte. Operativa")</f>
        <v/>
      </c>
      <c r="E389" s="20">
        <f>""</f>
        <v/>
      </c>
      <c r="F389" s="20">
        <f>IF($C389="","",Registro_Compras!$S$46)</f>
        <v/>
      </c>
      <c r="G389">
        <f>IF($C389="","","Por el deposito de la detraccion en el Banco de la Nacion")</f>
        <v/>
      </c>
      <c r="H389">
        <f>IF($C389="","",Registro_Compras!$C$46)</f>
        <v/>
      </c>
    </row>
    <row r="390">
      <c r="A390" s="25">
        <f>IF($C390="","",Registro_Compras!$Y$46)</f>
        <v/>
      </c>
      <c r="B390">
        <f>IF($C390="","","C"&amp;TEXT(INT((ROW()-5)/9)+1,"000")&amp;"-4")</f>
        <v/>
      </c>
      <c r="C390">
        <f>IF(OR(Registro_Compras!$C$46="",Registro_Compras!$O$46="",Registro_Compras!$Y$46="",Registro_Compras!$F$46="NOTA DE CREDITO"),"","4212")</f>
        <v/>
      </c>
      <c r="D390">
        <f>IF(OR(Registro_Compras!$C$46="",Registro_Compras!$O$46=""),"","Cuentas por Pagar Comerciales - Terceros")</f>
        <v/>
      </c>
      <c r="E390" s="20">
        <f>IF($C390="","",IF(Registro_Compras!$F$46="RHE",(ROUND(Registro_Compras!$L$46*Registro_Compras!$N$46,2)-ROUND(Registro_Compras!$V$46*Registro_Compras!$N$46,2)),ROUND(Registro_Compras!$O$46-Registro_Compras!$S$46,2)))</f>
        <v/>
      </c>
      <c r="F390" s="20">
        <f>""</f>
        <v/>
      </c>
      <c r="G390">
        <f>IF($C390="","","Por la cancelacion del saldo al proveedor")</f>
        <v/>
      </c>
      <c r="H390">
        <f>IF($C390="","",Registro_Compras!$C$46)</f>
        <v/>
      </c>
    </row>
    <row r="391">
      <c r="A391" s="25">
        <f>IF($C391="","",Registro_Compras!$Y$46)</f>
        <v/>
      </c>
      <c r="B391">
        <f>IF($C391="","","C"&amp;TEXT(INT((ROW()-5)/9)+1,"000")&amp;"-4")</f>
        <v/>
      </c>
      <c r="C391">
        <f>IF(OR(Registro_Compras!$C$46="",Registro_Compras!$O$46="",Registro_Compras!$Y$46="",Registro_Compras!$F$46="NOTA DE CREDITO"),"","10413")</f>
        <v/>
      </c>
      <c r="D391">
        <f>IF(OR(Registro_Compras!$C$46="",Registro_Compras!$O$46=""),"","Efectivo y Equivalentes - Cta. Cte. Operativa")</f>
        <v/>
      </c>
      <c r="E391" s="20">
        <f>""</f>
        <v/>
      </c>
      <c r="F391" s="20">
        <f>IF($C391="","",IF(Registro_Compras!$F$46="RHE",(ROUND(Registro_Compras!$L$46*Registro_Compras!$N$46,2)-ROUND(Registro_Compras!$V$46*Registro_Compras!$N$46,2)),ROUND(Registro_Compras!$O$46-Registro_Compras!$S$46,2)))</f>
        <v/>
      </c>
      <c r="G391">
        <f>IF($C391="","","Por la cancelacion del saldo al proveedor")</f>
        <v/>
      </c>
      <c r="H391">
        <f>IF($C391="","",Registro_Compras!$C$46)</f>
        <v/>
      </c>
    </row>
    <row r="392">
      <c r="A392" s="25">
        <f>IF($C392="","",Registro_Compras!$B$47)</f>
        <v/>
      </c>
      <c r="B392">
        <f>IF($C392="","","C"&amp;TEXT(INT((ROW()-5)/9)+1,"000")&amp;"-1")</f>
        <v/>
      </c>
      <c r="C392">
        <f>IF(OR(Registro_Compras!$C$47="",Registro_Compras!$O$47=""),"",IF(Registro_Compras!$F$47="NOTA DE CREDITO","4212",IF(Registro_Compras!$M$47="","63",Registro_Compras!$M$47)))</f>
        <v/>
      </c>
      <c r="D392">
        <f>IF(OR(Registro_Compras!$C$47="",Registro_Compras!$O$47=""),"",IF(Registro_Compras!$F$47="NOTA DE CREDITO","Cuentas por Pagar Comerciales - Terceros (Emitidas)",IF(Registro_Compras!$F$47="RHE","Honorarios Profesionales - Servicios de Terceros","Gastos de Servicios Prestados por Terceros")))</f>
        <v/>
      </c>
      <c r="E392" s="20">
        <f>IF($C392="","",IF(Registro_Compras!$F$47="NOTA DE CREDITO",ABS(Registro_Compras!$O$47),IF(Registro_Compras!$F$47="RHE",ROUND(Registro_Compras!$L$47*Registro_Compras!$N$47,2),ROUND(Registro_Compras!$J$47*Registro_Compras!$N$47,2))))</f>
        <v/>
      </c>
      <c r="F392" s="20">
        <f>""</f>
        <v/>
      </c>
      <c r="G392">
        <f>IF($C392="","",IF(Registro_Compras!$F$47="NOTA DE CREDITO","Por la nota de credito "&amp;Registro_Compras!$C$47&amp;" de "&amp;Registro_Compras!$E$47&amp;" [PATRON POR CONFIRMAR CON CONTADOR]",IF(Registro_Compras!$F$47="RHE","Por el registro del recibo por honorarios "&amp;Registro_Compras!$C$47&amp;" de "&amp;Registro_Compras!$E$47&amp;" [PATRON POR CONFIRMAR CON CONTADOR]","Por el registro de la factura "&amp;Registro_Compras!$C$47&amp;" de "&amp;Registro_Compras!$E$47)))</f>
        <v/>
      </c>
      <c r="H392">
        <f>IF($C392="","",Registro_Compras!$C$47)</f>
        <v/>
      </c>
    </row>
    <row r="393">
      <c r="A393" s="25">
        <f>IF($C393="","",Registro_Compras!$B$47)</f>
        <v/>
      </c>
      <c r="B393">
        <f>IF($C393="","","C"&amp;TEXT(INT((ROW()-5)/9)+1,"000")&amp;"-1")</f>
        <v/>
      </c>
      <c r="C393">
        <f>IF(OR(Registro_Compras!$C$47="",Registro_Compras!$O$47=""),"",IF(Registro_Compras!$F$47="RHE",IF(Registro_Compras!$V$47=0,"","40172"),IF(Registro_Compras!$F$47="NOTA DE CREDITO",IF(Registro_Compras!$M$47="","63",Registro_Compras!$M$47),IF(Registro_Compras!$K$47=0,"","40111"))))</f>
        <v/>
      </c>
      <c r="D393">
        <f>IF(OR(Registro_Compras!$C$47="",Registro_Compras!$O$47=""),"",IF(Registro_Compras!$F$47="RHE","Retencion Renta 4ta Categoria por Pagar",IF(Registro_Compras!$F$47="NOTA DE CREDITO","Gastos de Servicios Prestados por Terceros","IGV - Cuenta Propia (Credito Fiscal)")))</f>
        <v/>
      </c>
      <c r="E393" s="20">
        <f>IF($C393="","",IF(Registro_Compras!$F$47="FACTURA",ROUND(Registro_Compras!$K$47*Registro_Compras!$N$47,2),""))</f>
        <v/>
      </c>
      <c r="F393" s="20">
        <f>IF($C393="","",IF(Registro_Compras!$F$47="RHE",ROUND(Registro_Compras!$V$47*Registro_Compras!$N$47,2),IF(Registro_Compras!$F$47="NOTA DE CREDITO",ROUND(ABS(Registro_Compras!$J$47*Registro_Compras!$N$47),2),"")))</f>
        <v/>
      </c>
      <c r="G393">
        <f>IF($C393="","",IF(Registro_Compras!$F$47="NOTA DE CREDITO","Por la nota de credito "&amp;Registro_Compras!$C$47&amp;" de "&amp;Registro_Compras!$E$47&amp;" [PATRON POR CONFIRMAR CON CONTADOR]",IF(Registro_Compras!$F$47="RHE","Por el registro del recibo por honorarios "&amp;Registro_Compras!$C$47&amp;" de "&amp;Registro_Compras!$E$47&amp;" [PATRON POR CONFIRMAR CON CONTADOR]","Por el registro de la factura "&amp;Registro_Compras!$C$47&amp;" de "&amp;Registro_Compras!$E$47)))</f>
        <v/>
      </c>
      <c r="H393">
        <f>IF($C393="","",Registro_Compras!$C$47)</f>
        <v/>
      </c>
    </row>
    <row r="394">
      <c r="A394" s="25">
        <f>IF($C394="","",Registro_Compras!$B$47)</f>
        <v/>
      </c>
      <c r="B394">
        <f>IF($C394="","","C"&amp;TEXT(INT((ROW()-5)/9)+1,"000")&amp;"-1")</f>
        <v/>
      </c>
      <c r="C394">
        <f>IF(OR(Registro_Compras!$C$47="",Registro_Compras!$O$47=""),"",IF(Registro_Compras!$F$47="NOTA DE CREDITO",IF(Registro_Compras!$K$47=0,"","40111"),"4212"))</f>
        <v/>
      </c>
      <c r="D394">
        <f>IF(OR(Registro_Compras!$C$47="",Registro_Compras!$O$47=""),"",IF(Registro_Compras!$F$47="NOTA DE CREDITO","IGV - Cuenta Propia (Credito Fiscal)","Cuentas por Pagar Comerciales - Terceros (Emitidas)"))</f>
        <v/>
      </c>
      <c r="E394" s="20">
        <f>""</f>
        <v/>
      </c>
      <c r="F394" s="20">
        <f>IF($C394="","",IF(Registro_Compras!$F$47="NOTA DE CREDITO",ROUND(ABS(Registro_Compras!$K$47*Registro_Compras!$N$47),2),IF(Registro_Compras!$F$47="RHE",(ROUND(Registro_Compras!$L$47*Registro_Compras!$N$47,2)-ROUND(Registro_Compras!$V$47*Registro_Compras!$N$47,2)),Registro_Compras!$O$47)))</f>
        <v/>
      </c>
      <c r="G394">
        <f>IF($C394="","",IF(Registro_Compras!$F$47="NOTA DE CREDITO","Por la nota de credito "&amp;Registro_Compras!$C$47&amp;" de "&amp;Registro_Compras!$E$47&amp;" [PATRON POR CONFIRMAR CON CONTADOR]",IF(Registro_Compras!$F$47="RHE","Por el registro del recibo por honorarios "&amp;Registro_Compras!$C$47&amp;" de "&amp;Registro_Compras!$E$47&amp;" [PATRON POR CONFIRMAR CON CONTADOR]","Por el registro de la factura "&amp;Registro_Compras!$C$47&amp;" de "&amp;Registro_Compras!$E$47)))</f>
        <v/>
      </c>
      <c r="H394">
        <f>IF($C394="","",Registro_Compras!$C$47)</f>
        <v/>
      </c>
    </row>
    <row r="395">
      <c r="A395" s="25">
        <f>IF($C395="","",Registro_Compras!$B$47)</f>
        <v/>
      </c>
      <c r="B395">
        <f>IF($C395="","","C"&amp;TEXT(INT((ROW()-5)/9)+1,"000")&amp;"-2")</f>
        <v/>
      </c>
      <c r="C395">
        <f>IF(OR(Registro_Compras!$C$47="",Registro_Compras!$O$47=""),"",IF(Registro_Compras!$AB$47="ADMINISTRATIVO","94","95"))</f>
        <v/>
      </c>
      <c r="D395">
        <f>IF(OR(Registro_Compras!$C$47="",Registro_Compras!$O$47=""),"",IF(Registro_Compras!$AB$47="ADMINISTRATIVO","Gastos Administrativos","Gastos de Venta y Operacion"))</f>
        <v/>
      </c>
      <c r="E395" s="20">
        <f>IF($C395="","",IF(Registro_Compras!$F$47="NOTA DE CREDITO","",IF(Registro_Compras!$F$47="RHE",ROUND(Registro_Compras!$L$47*Registro_Compras!$N$47,2),ROUND(Registro_Compras!$J$47*Registro_Compras!$N$47,2))))</f>
        <v/>
      </c>
      <c r="F395" s="20">
        <f>IF($C395="","",IF(Registro_Compras!$F$47="NOTA DE CREDITO",ROUND(ABS(Registro_Compras!$J$47*Registro_Compras!$N$47),2),""))</f>
        <v/>
      </c>
      <c r="G395">
        <f>IF($C395="","","Por el destino del gasto")</f>
        <v/>
      </c>
      <c r="H395">
        <f>IF($C395="","",Registro_Compras!$C$47)</f>
        <v/>
      </c>
    </row>
    <row r="396">
      <c r="A396" s="25">
        <f>IF($C396="","",Registro_Compras!$B$47)</f>
        <v/>
      </c>
      <c r="B396">
        <f>IF($C396="","","C"&amp;TEXT(INT((ROW()-5)/9)+1,"000")&amp;"-2")</f>
        <v/>
      </c>
      <c r="C396">
        <f>IF(OR(Registro_Compras!$C$47="",Registro_Compras!$O$47=""),"","79/791")</f>
        <v/>
      </c>
      <c r="D396">
        <f>IF(OR(Registro_Compras!$C$47="",Registro_Compras!$O$47=""),"","Cargas Imputables a Cuentas de Costos y Gastos")</f>
        <v/>
      </c>
      <c r="E396" s="20">
        <f>IF($C396="","",IF(Registro_Compras!$F$47="NOTA DE CREDITO",ROUND(ABS(Registro_Compras!$J$47*Registro_Compras!$N$47),2),""))</f>
        <v/>
      </c>
      <c r="F396" s="20">
        <f>IF($C396="","",IF(Registro_Compras!$F$47="NOTA DE CREDITO","",IF(Registro_Compras!$F$47="RHE",ROUND(Registro_Compras!$L$47*Registro_Compras!$N$47,2),ROUND(Registro_Compras!$J$47*Registro_Compras!$N$47,2))))</f>
        <v/>
      </c>
      <c r="G396">
        <f>IF($C396="","","Por el destino del gasto")</f>
        <v/>
      </c>
      <c r="H396">
        <f>IF($C396="","",Registro_Compras!$C$47)</f>
        <v/>
      </c>
    </row>
    <row r="397">
      <c r="A397" s="25">
        <f>IF($C397="","",Registro_Compras!$X$47)</f>
        <v/>
      </c>
      <c r="B397">
        <f>IF($C397="","","C"&amp;TEXT(INT((ROW()-5)/9)+1,"000")&amp;"-3")</f>
        <v/>
      </c>
      <c r="C397">
        <f>IF(OR(Registro_Compras!$C$47="",Registro_Compras!$O$47="",Registro_Compras!$R$47&lt;&gt;"SI",Registro_Compras!$X$47=""),"","4212")</f>
        <v/>
      </c>
      <c r="D397">
        <f>IF(OR(Registro_Compras!$C$47="",Registro_Compras!$O$47=""),"","Cuentas por Pagar Comerciales - Terceros")</f>
        <v/>
      </c>
      <c r="E397" s="20">
        <f>IF($C397="","",Registro_Compras!$S$47)</f>
        <v/>
      </c>
      <c r="F397" s="20">
        <f>""</f>
        <v/>
      </c>
      <c r="G397">
        <f>IF($C397="","","Por el deposito de la detraccion en el Banco de la Nacion")</f>
        <v/>
      </c>
      <c r="H397">
        <f>IF($C397="","",Registro_Compras!$C$47)</f>
        <v/>
      </c>
    </row>
    <row r="398">
      <c r="A398" s="25">
        <f>IF($C398="","",Registro_Compras!$X$47)</f>
        <v/>
      </c>
      <c r="B398">
        <f>IF($C398="","","C"&amp;TEXT(INT((ROW()-5)/9)+1,"000")&amp;"-3")</f>
        <v/>
      </c>
      <c r="C398">
        <f>IF(OR(Registro_Compras!$C$47="",Registro_Compras!$O$47="",Registro_Compras!$R$47&lt;&gt;"SI",Registro_Compras!$X$47=""),"","10413")</f>
        <v/>
      </c>
      <c r="D398">
        <f>IF(OR(Registro_Compras!$C$47="",Registro_Compras!$O$47=""),"","Efectivo y Equivalentes - Cta. Cte. Operativa")</f>
        <v/>
      </c>
      <c r="E398" s="20">
        <f>""</f>
        <v/>
      </c>
      <c r="F398" s="20">
        <f>IF($C398="","",Registro_Compras!$S$47)</f>
        <v/>
      </c>
      <c r="G398">
        <f>IF($C398="","","Por el deposito de la detraccion en el Banco de la Nacion")</f>
        <v/>
      </c>
      <c r="H398">
        <f>IF($C398="","",Registro_Compras!$C$47)</f>
        <v/>
      </c>
    </row>
    <row r="399">
      <c r="A399" s="25">
        <f>IF($C399="","",Registro_Compras!$Y$47)</f>
        <v/>
      </c>
      <c r="B399">
        <f>IF($C399="","","C"&amp;TEXT(INT((ROW()-5)/9)+1,"000")&amp;"-4")</f>
        <v/>
      </c>
      <c r="C399">
        <f>IF(OR(Registro_Compras!$C$47="",Registro_Compras!$O$47="",Registro_Compras!$Y$47="",Registro_Compras!$F$47="NOTA DE CREDITO"),"","4212")</f>
        <v/>
      </c>
      <c r="D399">
        <f>IF(OR(Registro_Compras!$C$47="",Registro_Compras!$O$47=""),"","Cuentas por Pagar Comerciales - Terceros")</f>
        <v/>
      </c>
      <c r="E399" s="20">
        <f>IF($C399="","",IF(Registro_Compras!$F$47="RHE",(ROUND(Registro_Compras!$L$47*Registro_Compras!$N$47,2)-ROUND(Registro_Compras!$V$47*Registro_Compras!$N$47,2)),ROUND(Registro_Compras!$O$47-Registro_Compras!$S$47,2)))</f>
        <v/>
      </c>
      <c r="F399" s="20">
        <f>""</f>
        <v/>
      </c>
      <c r="G399">
        <f>IF($C399="","","Por la cancelacion del saldo al proveedor")</f>
        <v/>
      </c>
      <c r="H399">
        <f>IF($C399="","",Registro_Compras!$C$47)</f>
        <v/>
      </c>
    </row>
    <row r="400">
      <c r="A400" s="25">
        <f>IF($C400="","",Registro_Compras!$Y$47)</f>
        <v/>
      </c>
      <c r="B400">
        <f>IF($C400="","","C"&amp;TEXT(INT((ROW()-5)/9)+1,"000")&amp;"-4")</f>
        <v/>
      </c>
      <c r="C400">
        <f>IF(OR(Registro_Compras!$C$47="",Registro_Compras!$O$47="",Registro_Compras!$Y$47="",Registro_Compras!$F$47="NOTA DE CREDITO"),"","10413")</f>
        <v/>
      </c>
      <c r="D400">
        <f>IF(OR(Registro_Compras!$C$47="",Registro_Compras!$O$47=""),"","Efectivo y Equivalentes - Cta. Cte. Operativa")</f>
        <v/>
      </c>
      <c r="E400" s="20">
        <f>""</f>
        <v/>
      </c>
      <c r="F400" s="20">
        <f>IF($C400="","",IF(Registro_Compras!$F$47="RHE",(ROUND(Registro_Compras!$L$47*Registro_Compras!$N$47,2)-ROUND(Registro_Compras!$V$47*Registro_Compras!$N$47,2)),ROUND(Registro_Compras!$O$47-Registro_Compras!$S$47,2)))</f>
        <v/>
      </c>
      <c r="G400">
        <f>IF($C400="","","Por la cancelacion del saldo al proveedor")</f>
        <v/>
      </c>
      <c r="H400">
        <f>IF($C400="","",Registro_Compras!$C$47)</f>
        <v/>
      </c>
    </row>
    <row r="401">
      <c r="A401" s="25">
        <f>IF($C401="","",Registro_Compras!$B$48)</f>
        <v/>
      </c>
      <c r="B401">
        <f>IF($C401="","","C"&amp;TEXT(INT((ROW()-5)/9)+1,"000")&amp;"-1")</f>
        <v/>
      </c>
      <c r="C401">
        <f>IF(OR(Registro_Compras!$C$48="",Registro_Compras!$O$48=""),"",IF(Registro_Compras!$F$48="NOTA DE CREDITO","4212",IF(Registro_Compras!$M$48="","63",Registro_Compras!$M$48)))</f>
        <v/>
      </c>
      <c r="D401">
        <f>IF(OR(Registro_Compras!$C$48="",Registro_Compras!$O$48=""),"",IF(Registro_Compras!$F$48="NOTA DE CREDITO","Cuentas por Pagar Comerciales - Terceros (Emitidas)",IF(Registro_Compras!$F$48="RHE","Honorarios Profesionales - Servicios de Terceros","Gastos de Servicios Prestados por Terceros")))</f>
        <v/>
      </c>
      <c r="E401" s="20">
        <f>IF($C401="","",IF(Registro_Compras!$F$48="NOTA DE CREDITO",ABS(Registro_Compras!$O$48),IF(Registro_Compras!$F$48="RHE",ROUND(Registro_Compras!$L$48*Registro_Compras!$N$48,2),ROUND(Registro_Compras!$J$48*Registro_Compras!$N$48,2))))</f>
        <v/>
      </c>
      <c r="F401" s="20">
        <f>""</f>
        <v/>
      </c>
      <c r="G401">
        <f>IF($C401="","",IF(Registro_Compras!$F$48="NOTA DE CREDITO","Por la nota de credito "&amp;Registro_Compras!$C$48&amp;" de "&amp;Registro_Compras!$E$48&amp;" [PATRON POR CONFIRMAR CON CONTADOR]",IF(Registro_Compras!$F$48="RHE","Por el registro del recibo por honorarios "&amp;Registro_Compras!$C$48&amp;" de "&amp;Registro_Compras!$E$48&amp;" [PATRON POR CONFIRMAR CON CONTADOR]","Por el registro de la factura "&amp;Registro_Compras!$C$48&amp;" de "&amp;Registro_Compras!$E$48)))</f>
        <v/>
      </c>
      <c r="H401">
        <f>IF($C401="","",Registro_Compras!$C$48)</f>
        <v/>
      </c>
    </row>
    <row r="402">
      <c r="A402" s="25">
        <f>IF($C402="","",Registro_Compras!$B$48)</f>
        <v/>
      </c>
      <c r="B402">
        <f>IF($C402="","","C"&amp;TEXT(INT((ROW()-5)/9)+1,"000")&amp;"-1")</f>
        <v/>
      </c>
      <c r="C402">
        <f>IF(OR(Registro_Compras!$C$48="",Registro_Compras!$O$48=""),"",IF(Registro_Compras!$F$48="RHE",IF(Registro_Compras!$V$48=0,"","40172"),IF(Registro_Compras!$F$48="NOTA DE CREDITO",IF(Registro_Compras!$M$48="","63",Registro_Compras!$M$48),IF(Registro_Compras!$K$48=0,"","40111"))))</f>
        <v/>
      </c>
      <c r="D402">
        <f>IF(OR(Registro_Compras!$C$48="",Registro_Compras!$O$48=""),"",IF(Registro_Compras!$F$48="RHE","Retencion Renta 4ta Categoria por Pagar",IF(Registro_Compras!$F$48="NOTA DE CREDITO","Gastos de Servicios Prestados por Terceros","IGV - Cuenta Propia (Credito Fiscal)")))</f>
        <v/>
      </c>
      <c r="E402" s="20">
        <f>IF($C402="","",IF(Registro_Compras!$F$48="FACTURA",ROUND(Registro_Compras!$K$48*Registro_Compras!$N$48,2),""))</f>
        <v/>
      </c>
      <c r="F402" s="20">
        <f>IF($C402="","",IF(Registro_Compras!$F$48="RHE",ROUND(Registro_Compras!$V$48*Registro_Compras!$N$48,2),IF(Registro_Compras!$F$48="NOTA DE CREDITO",ROUND(ABS(Registro_Compras!$J$48*Registro_Compras!$N$48),2),"")))</f>
        <v/>
      </c>
      <c r="G402">
        <f>IF($C402="","",IF(Registro_Compras!$F$48="NOTA DE CREDITO","Por la nota de credito "&amp;Registro_Compras!$C$48&amp;" de "&amp;Registro_Compras!$E$48&amp;" [PATRON POR CONFIRMAR CON CONTADOR]",IF(Registro_Compras!$F$48="RHE","Por el registro del recibo por honorarios "&amp;Registro_Compras!$C$48&amp;" de "&amp;Registro_Compras!$E$48&amp;" [PATRON POR CONFIRMAR CON CONTADOR]","Por el registro de la factura "&amp;Registro_Compras!$C$48&amp;" de "&amp;Registro_Compras!$E$48)))</f>
        <v/>
      </c>
      <c r="H402">
        <f>IF($C402="","",Registro_Compras!$C$48)</f>
        <v/>
      </c>
    </row>
    <row r="403">
      <c r="A403" s="25">
        <f>IF($C403="","",Registro_Compras!$B$48)</f>
        <v/>
      </c>
      <c r="B403">
        <f>IF($C403="","","C"&amp;TEXT(INT((ROW()-5)/9)+1,"000")&amp;"-1")</f>
        <v/>
      </c>
      <c r="C403">
        <f>IF(OR(Registro_Compras!$C$48="",Registro_Compras!$O$48=""),"",IF(Registro_Compras!$F$48="NOTA DE CREDITO",IF(Registro_Compras!$K$48=0,"","40111"),"4212"))</f>
        <v/>
      </c>
      <c r="D403">
        <f>IF(OR(Registro_Compras!$C$48="",Registro_Compras!$O$48=""),"",IF(Registro_Compras!$F$48="NOTA DE CREDITO","IGV - Cuenta Propia (Credito Fiscal)","Cuentas por Pagar Comerciales - Terceros (Emitidas)"))</f>
        <v/>
      </c>
      <c r="E403" s="20">
        <f>""</f>
        <v/>
      </c>
      <c r="F403" s="20">
        <f>IF($C403="","",IF(Registro_Compras!$F$48="NOTA DE CREDITO",ROUND(ABS(Registro_Compras!$K$48*Registro_Compras!$N$48),2),IF(Registro_Compras!$F$48="RHE",(ROUND(Registro_Compras!$L$48*Registro_Compras!$N$48,2)-ROUND(Registro_Compras!$V$48*Registro_Compras!$N$48,2)),Registro_Compras!$O$48)))</f>
        <v/>
      </c>
      <c r="G403">
        <f>IF($C403="","",IF(Registro_Compras!$F$48="NOTA DE CREDITO","Por la nota de credito "&amp;Registro_Compras!$C$48&amp;" de "&amp;Registro_Compras!$E$48&amp;" [PATRON POR CONFIRMAR CON CONTADOR]",IF(Registro_Compras!$F$48="RHE","Por el registro del recibo por honorarios "&amp;Registro_Compras!$C$48&amp;" de "&amp;Registro_Compras!$E$48&amp;" [PATRON POR CONFIRMAR CON CONTADOR]","Por el registro de la factura "&amp;Registro_Compras!$C$48&amp;" de "&amp;Registro_Compras!$E$48)))</f>
        <v/>
      </c>
      <c r="H403">
        <f>IF($C403="","",Registro_Compras!$C$48)</f>
        <v/>
      </c>
    </row>
    <row r="404">
      <c r="A404" s="25">
        <f>IF($C404="","",Registro_Compras!$B$48)</f>
        <v/>
      </c>
      <c r="B404">
        <f>IF($C404="","","C"&amp;TEXT(INT((ROW()-5)/9)+1,"000")&amp;"-2")</f>
        <v/>
      </c>
      <c r="C404">
        <f>IF(OR(Registro_Compras!$C$48="",Registro_Compras!$O$48=""),"",IF(Registro_Compras!$AB$48="ADMINISTRATIVO","94","95"))</f>
        <v/>
      </c>
      <c r="D404">
        <f>IF(OR(Registro_Compras!$C$48="",Registro_Compras!$O$48=""),"",IF(Registro_Compras!$AB$48="ADMINISTRATIVO","Gastos Administrativos","Gastos de Venta y Operacion"))</f>
        <v/>
      </c>
      <c r="E404" s="20">
        <f>IF($C404="","",IF(Registro_Compras!$F$48="NOTA DE CREDITO","",IF(Registro_Compras!$F$48="RHE",ROUND(Registro_Compras!$L$48*Registro_Compras!$N$48,2),ROUND(Registro_Compras!$J$48*Registro_Compras!$N$48,2))))</f>
        <v/>
      </c>
      <c r="F404" s="20">
        <f>IF($C404="","",IF(Registro_Compras!$F$48="NOTA DE CREDITO",ROUND(ABS(Registro_Compras!$J$48*Registro_Compras!$N$48),2),""))</f>
        <v/>
      </c>
      <c r="G404">
        <f>IF($C404="","","Por el destino del gasto")</f>
        <v/>
      </c>
      <c r="H404">
        <f>IF($C404="","",Registro_Compras!$C$48)</f>
        <v/>
      </c>
    </row>
    <row r="405">
      <c r="A405" s="25">
        <f>IF($C405="","",Registro_Compras!$B$48)</f>
        <v/>
      </c>
      <c r="B405">
        <f>IF($C405="","","C"&amp;TEXT(INT((ROW()-5)/9)+1,"000")&amp;"-2")</f>
        <v/>
      </c>
      <c r="C405">
        <f>IF(OR(Registro_Compras!$C$48="",Registro_Compras!$O$48=""),"","79/791")</f>
        <v/>
      </c>
      <c r="D405">
        <f>IF(OR(Registro_Compras!$C$48="",Registro_Compras!$O$48=""),"","Cargas Imputables a Cuentas de Costos y Gastos")</f>
        <v/>
      </c>
      <c r="E405" s="20">
        <f>IF($C405="","",IF(Registro_Compras!$F$48="NOTA DE CREDITO",ROUND(ABS(Registro_Compras!$J$48*Registro_Compras!$N$48),2),""))</f>
        <v/>
      </c>
      <c r="F405" s="20">
        <f>IF($C405="","",IF(Registro_Compras!$F$48="NOTA DE CREDITO","",IF(Registro_Compras!$F$48="RHE",ROUND(Registro_Compras!$L$48*Registro_Compras!$N$48,2),ROUND(Registro_Compras!$J$48*Registro_Compras!$N$48,2))))</f>
        <v/>
      </c>
      <c r="G405">
        <f>IF($C405="","","Por el destino del gasto")</f>
        <v/>
      </c>
      <c r="H405">
        <f>IF($C405="","",Registro_Compras!$C$48)</f>
        <v/>
      </c>
    </row>
    <row r="406">
      <c r="A406" s="25">
        <f>IF($C406="","",Registro_Compras!$X$48)</f>
        <v/>
      </c>
      <c r="B406">
        <f>IF($C406="","","C"&amp;TEXT(INT((ROW()-5)/9)+1,"000")&amp;"-3")</f>
        <v/>
      </c>
      <c r="C406">
        <f>IF(OR(Registro_Compras!$C$48="",Registro_Compras!$O$48="",Registro_Compras!$R$48&lt;&gt;"SI",Registro_Compras!$X$48=""),"","4212")</f>
        <v/>
      </c>
      <c r="D406">
        <f>IF(OR(Registro_Compras!$C$48="",Registro_Compras!$O$48=""),"","Cuentas por Pagar Comerciales - Terceros")</f>
        <v/>
      </c>
      <c r="E406" s="20">
        <f>IF($C406="","",Registro_Compras!$S$48)</f>
        <v/>
      </c>
      <c r="F406" s="20">
        <f>""</f>
        <v/>
      </c>
      <c r="G406">
        <f>IF($C406="","","Por el deposito de la detraccion en el Banco de la Nacion")</f>
        <v/>
      </c>
      <c r="H406">
        <f>IF($C406="","",Registro_Compras!$C$48)</f>
        <v/>
      </c>
    </row>
    <row r="407">
      <c r="A407" s="25">
        <f>IF($C407="","",Registro_Compras!$X$48)</f>
        <v/>
      </c>
      <c r="B407">
        <f>IF($C407="","","C"&amp;TEXT(INT((ROW()-5)/9)+1,"000")&amp;"-3")</f>
        <v/>
      </c>
      <c r="C407">
        <f>IF(OR(Registro_Compras!$C$48="",Registro_Compras!$O$48="",Registro_Compras!$R$48&lt;&gt;"SI",Registro_Compras!$X$48=""),"","10413")</f>
        <v/>
      </c>
      <c r="D407">
        <f>IF(OR(Registro_Compras!$C$48="",Registro_Compras!$O$48=""),"","Efectivo y Equivalentes - Cta. Cte. Operativa")</f>
        <v/>
      </c>
      <c r="E407" s="20">
        <f>""</f>
        <v/>
      </c>
      <c r="F407" s="20">
        <f>IF($C407="","",Registro_Compras!$S$48)</f>
        <v/>
      </c>
      <c r="G407">
        <f>IF($C407="","","Por el deposito de la detraccion en el Banco de la Nacion")</f>
        <v/>
      </c>
      <c r="H407">
        <f>IF($C407="","",Registro_Compras!$C$48)</f>
        <v/>
      </c>
    </row>
    <row r="408">
      <c r="A408" s="25">
        <f>IF($C408="","",Registro_Compras!$Y$48)</f>
        <v/>
      </c>
      <c r="B408">
        <f>IF($C408="","","C"&amp;TEXT(INT((ROW()-5)/9)+1,"000")&amp;"-4")</f>
        <v/>
      </c>
      <c r="C408">
        <f>IF(OR(Registro_Compras!$C$48="",Registro_Compras!$O$48="",Registro_Compras!$Y$48="",Registro_Compras!$F$48="NOTA DE CREDITO"),"","4212")</f>
        <v/>
      </c>
      <c r="D408">
        <f>IF(OR(Registro_Compras!$C$48="",Registro_Compras!$O$48=""),"","Cuentas por Pagar Comerciales - Terceros")</f>
        <v/>
      </c>
      <c r="E408" s="20">
        <f>IF($C408="","",IF(Registro_Compras!$F$48="RHE",(ROUND(Registro_Compras!$L$48*Registro_Compras!$N$48,2)-ROUND(Registro_Compras!$V$48*Registro_Compras!$N$48,2)),ROUND(Registro_Compras!$O$48-Registro_Compras!$S$48,2)))</f>
        <v/>
      </c>
      <c r="F408" s="20">
        <f>""</f>
        <v/>
      </c>
      <c r="G408">
        <f>IF($C408="","","Por la cancelacion del saldo al proveedor")</f>
        <v/>
      </c>
      <c r="H408">
        <f>IF($C408="","",Registro_Compras!$C$48)</f>
        <v/>
      </c>
    </row>
    <row r="409">
      <c r="A409" s="25">
        <f>IF($C409="","",Registro_Compras!$Y$48)</f>
        <v/>
      </c>
      <c r="B409">
        <f>IF($C409="","","C"&amp;TEXT(INT((ROW()-5)/9)+1,"000")&amp;"-4")</f>
        <v/>
      </c>
      <c r="C409">
        <f>IF(OR(Registro_Compras!$C$48="",Registro_Compras!$O$48="",Registro_Compras!$Y$48="",Registro_Compras!$F$48="NOTA DE CREDITO"),"","10413")</f>
        <v/>
      </c>
      <c r="D409">
        <f>IF(OR(Registro_Compras!$C$48="",Registro_Compras!$O$48=""),"","Efectivo y Equivalentes - Cta. Cte. Operativa")</f>
        <v/>
      </c>
      <c r="E409" s="20">
        <f>""</f>
        <v/>
      </c>
      <c r="F409" s="20">
        <f>IF($C409="","",IF(Registro_Compras!$F$48="RHE",(ROUND(Registro_Compras!$L$48*Registro_Compras!$N$48,2)-ROUND(Registro_Compras!$V$48*Registro_Compras!$N$48,2)),ROUND(Registro_Compras!$O$48-Registro_Compras!$S$48,2)))</f>
        <v/>
      </c>
      <c r="G409">
        <f>IF($C409="","","Por la cancelacion del saldo al proveedor")</f>
        <v/>
      </c>
      <c r="H409">
        <f>IF($C409="","",Registro_Compras!$C$48)</f>
        <v/>
      </c>
    </row>
    <row r="410">
      <c r="A410" s="25">
        <f>IF($C410="","",Registro_Compras!$B$49)</f>
        <v/>
      </c>
      <c r="B410">
        <f>IF($C410="","","C"&amp;TEXT(INT((ROW()-5)/9)+1,"000")&amp;"-1")</f>
        <v/>
      </c>
      <c r="C410">
        <f>IF(OR(Registro_Compras!$C$49="",Registro_Compras!$O$49=""),"",IF(Registro_Compras!$F$49="NOTA DE CREDITO","4212",IF(Registro_Compras!$M$49="","63",Registro_Compras!$M$49)))</f>
        <v/>
      </c>
      <c r="D410">
        <f>IF(OR(Registro_Compras!$C$49="",Registro_Compras!$O$49=""),"",IF(Registro_Compras!$F$49="NOTA DE CREDITO","Cuentas por Pagar Comerciales - Terceros (Emitidas)",IF(Registro_Compras!$F$49="RHE","Honorarios Profesionales - Servicios de Terceros","Gastos de Servicios Prestados por Terceros")))</f>
        <v/>
      </c>
      <c r="E410" s="20">
        <f>IF($C410="","",IF(Registro_Compras!$F$49="NOTA DE CREDITO",ABS(Registro_Compras!$O$49),IF(Registro_Compras!$F$49="RHE",ROUND(Registro_Compras!$L$49*Registro_Compras!$N$49,2),ROUND(Registro_Compras!$J$49*Registro_Compras!$N$49,2))))</f>
        <v/>
      </c>
      <c r="F410" s="20">
        <f>""</f>
        <v/>
      </c>
      <c r="G410">
        <f>IF($C410="","",IF(Registro_Compras!$F$49="NOTA DE CREDITO","Por la nota de credito "&amp;Registro_Compras!$C$49&amp;" de "&amp;Registro_Compras!$E$49&amp;" [PATRON POR CONFIRMAR CON CONTADOR]",IF(Registro_Compras!$F$49="RHE","Por el registro del recibo por honorarios "&amp;Registro_Compras!$C$49&amp;" de "&amp;Registro_Compras!$E$49&amp;" [PATRON POR CONFIRMAR CON CONTADOR]","Por el registro de la factura "&amp;Registro_Compras!$C$49&amp;" de "&amp;Registro_Compras!$E$49)))</f>
        <v/>
      </c>
      <c r="H410">
        <f>IF($C410="","",Registro_Compras!$C$49)</f>
        <v/>
      </c>
    </row>
    <row r="411">
      <c r="A411" s="25">
        <f>IF($C411="","",Registro_Compras!$B$49)</f>
        <v/>
      </c>
      <c r="B411">
        <f>IF($C411="","","C"&amp;TEXT(INT((ROW()-5)/9)+1,"000")&amp;"-1")</f>
        <v/>
      </c>
      <c r="C411">
        <f>IF(OR(Registro_Compras!$C$49="",Registro_Compras!$O$49=""),"",IF(Registro_Compras!$F$49="RHE",IF(Registro_Compras!$V$49=0,"","40172"),IF(Registro_Compras!$F$49="NOTA DE CREDITO",IF(Registro_Compras!$M$49="","63",Registro_Compras!$M$49),IF(Registro_Compras!$K$49=0,"","40111"))))</f>
        <v/>
      </c>
      <c r="D411">
        <f>IF(OR(Registro_Compras!$C$49="",Registro_Compras!$O$49=""),"",IF(Registro_Compras!$F$49="RHE","Retencion Renta 4ta Categoria por Pagar",IF(Registro_Compras!$F$49="NOTA DE CREDITO","Gastos de Servicios Prestados por Terceros","IGV - Cuenta Propia (Credito Fiscal)")))</f>
        <v/>
      </c>
      <c r="E411" s="20">
        <f>IF($C411="","",IF(Registro_Compras!$F$49="FACTURA",ROUND(Registro_Compras!$K$49*Registro_Compras!$N$49,2),""))</f>
        <v/>
      </c>
      <c r="F411" s="20">
        <f>IF($C411="","",IF(Registro_Compras!$F$49="RHE",ROUND(Registro_Compras!$V$49*Registro_Compras!$N$49,2),IF(Registro_Compras!$F$49="NOTA DE CREDITO",ROUND(ABS(Registro_Compras!$J$49*Registro_Compras!$N$49),2),"")))</f>
        <v/>
      </c>
      <c r="G411">
        <f>IF($C411="","",IF(Registro_Compras!$F$49="NOTA DE CREDITO","Por la nota de credito "&amp;Registro_Compras!$C$49&amp;" de "&amp;Registro_Compras!$E$49&amp;" [PATRON POR CONFIRMAR CON CONTADOR]",IF(Registro_Compras!$F$49="RHE","Por el registro del recibo por honorarios "&amp;Registro_Compras!$C$49&amp;" de "&amp;Registro_Compras!$E$49&amp;" [PATRON POR CONFIRMAR CON CONTADOR]","Por el registro de la factura "&amp;Registro_Compras!$C$49&amp;" de "&amp;Registro_Compras!$E$49)))</f>
        <v/>
      </c>
      <c r="H411">
        <f>IF($C411="","",Registro_Compras!$C$49)</f>
        <v/>
      </c>
    </row>
    <row r="412">
      <c r="A412" s="25">
        <f>IF($C412="","",Registro_Compras!$B$49)</f>
        <v/>
      </c>
      <c r="B412">
        <f>IF($C412="","","C"&amp;TEXT(INT((ROW()-5)/9)+1,"000")&amp;"-1")</f>
        <v/>
      </c>
      <c r="C412">
        <f>IF(OR(Registro_Compras!$C$49="",Registro_Compras!$O$49=""),"",IF(Registro_Compras!$F$49="NOTA DE CREDITO",IF(Registro_Compras!$K$49=0,"","40111"),"4212"))</f>
        <v/>
      </c>
      <c r="D412">
        <f>IF(OR(Registro_Compras!$C$49="",Registro_Compras!$O$49=""),"",IF(Registro_Compras!$F$49="NOTA DE CREDITO","IGV - Cuenta Propia (Credito Fiscal)","Cuentas por Pagar Comerciales - Terceros (Emitidas)"))</f>
        <v/>
      </c>
      <c r="E412" s="20">
        <f>""</f>
        <v/>
      </c>
      <c r="F412" s="20">
        <f>IF($C412="","",IF(Registro_Compras!$F$49="NOTA DE CREDITO",ROUND(ABS(Registro_Compras!$K$49*Registro_Compras!$N$49),2),IF(Registro_Compras!$F$49="RHE",(ROUND(Registro_Compras!$L$49*Registro_Compras!$N$49,2)-ROUND(Registro_Compras!$V$49*Registro_Compras!$N$49,2)),Registro_Compras!$O$49)))</f>
        <v/>
      </c>
      <c r="G412">
        <f>IF($C412="","",IF(Registro_Compras!$F$49="NOTA DE CREDITO","Por la nota de credito "&amp;Registro_Compras!$C$49&amp;" de "&amp;Registro_Compras!$E$49&amp;" [PATRON POR CONFIRMAR CON CONTADOR]",IF(Registro_Compras!$F$49="RHE","Por el registro del recibo por honorarios "&amp;Registro_Compras!$C$49&amp;" de "&amp;Registro_Compras!$E$49&amp;" [PATRON POR CONFIRMAR CON CONTADOR]","Por el registro de la factura "&amp;Registro_Compras!$C$49&amp;" de "&amp;Registro_Compras!$E$49)))</f>
        <v/>
      </c>
      <c r="H412">
        <f>IF($C412="","",Registro_Compras!$C$49)</f>
        <v/>
      </c>
    </row>
    <row r="413">
      <c r="A413" s="25">
        <f>IF($C413="","",Registro_Compras!$B$49)</f>
        <v/>
      </c>
      <c r="B413">
        <f>IF($C413="","","C"&amp;TEXT(INT((ROW()-5)/9)+1,"000")&amp;"-2")</f>
        <v/>
      </c>
      <c r="C413">
        <f>IF(OR(Registro_Compras!$C$49="",Registro_Compras!$O$49=""),"",IF(Registro_Compras!$AB$49="ADMINISTRATIVO","94","95"))</f>
        <v/>
      </c>
      <c r="D413">
        <f>IF(OR(Registro_Compras!$C$49="",Registro_Compras!$O$49=""),"",IF(Registro_Compras!$AB$49="ADMINISTRATIVO","Gastos Administrativos","Gastos de Venta y Operacion"))</f>
        <v/>
      </c>
      <c r="E413" s="20">
        <f>IF($C413="","",IF(Registro_Compras!$F$49="NOTA DE CREDITO","",IF(Registro_Compras!$F$49="RHE",ROUND(Registro_Compras!$L$49*Registro_Compras!$N$49,2),ROUND(Registro_Compras!$J$49*Registro_Compras!$N$49,2))))</f>
        <v/>
      </c>
      <c r="F413" s="20">
        <f>IF($C413="","",IF(Registro_Compras!$F$49="NOTA DE CREDITO",ROUND(ABS(Registro_Compras!$J$49*Registro_Compras!$N$49),2),""))</f>
        <v/>
      </c>
      <c r="G413">
        <f>IF($C413="","","Por el destino del gasto")</f>
        <v/>
      </c>
      <c r="H413">
        <f>IF($C413="","",Registro_Compras!$C$49)</f>
        <v/>
      </c>
    </row>
    <row r="414">
      <c r="A414" s="25">
        <f>IF($C414="","",Registro_Compras!$B$49)</f>
        <v/>
      </c>
      <c r="B414">
        <f>IF($C414="","","C"&amp;TEXT(INT((ROW()-5)/9)+1,"000")&amp;"-2")</f>
        <v/>
      </c>
      <c r="C414">
        <f>IF(OR(Registro_Compras!$C$49="",Registro_Compras!$O$49=""),"","79/791")</f>
        <v/>
      </c>
      <c r="D414">
        <f>IF(OR(Registro_Compras!$C$49="",Registro_Compras!$O$49=""),"","Cargas Imputables a Cuentas de Costos y Gastos")</f>
        <v/>
      </c>
      <c r="E414" s="20">
        <f>IF($C414="","",IF(Registro_Compras!$F$49="NOTA DE CREDITO",ROUND(ABS(Registro_Compras!$J$49*Registro_Compras!$N$49),2),""))</f>
        <v/>
      </c>
      <c r="F414" s="20">
        <f>IF($C414="","",IF(Registro_Compras!$F$49="NOTA DE CREDITO","",IF(Registro_Compras!$F$49="RHE",ROUND(Registro_Compras!$L$49*Registro_Compras!$N$49,2),ROUND(Registro_Compras!$J$49*Registro_Compras!$N$49,2))))</f>
        <v/>
      </c>
      <c r="G414">
        <f>IF($C414="","","Por el destino del gasto")</f>
        <v/>
      </c>
      <c r="H414">
        <f>IF($C414="","",Registro_Compras!$C$49)</f>
        <v/>
      </c>
    </row>
    <row r="415">
      <c r="A415" s="25">
        <f>IF($C415="","",Registro_Compras!$X$49)</f>
        <v/>
      </c>
      <c r="B415">
        <f>IF($C415="","","C"&amp;TEXT(INT((ROW()-5)/9)+1,"000")&amp;"-3")</f>
        <v/>
      </c>
      <c r="C415">
        <f>IF(OR(Registro_Compras!$C$49="",Registro_Compras!$O$49="",Registro_Compras!$R$49&lt;&gt;"SI",Registro_Compras!$X$49=""),"","4212")</f>
        <v/>
      </c>
      <c r="D415">
        <f>IF(OR(Registro_Compras!$C$49="",Registro_Compras!$O$49=""),"","Cuentas por Pagar Comerciales - Terceros")</f>
        <v/>
      </c>
      <c r="E415" s="20">
        <f>IF($C415="","",Registro_Compras!$S$49)</f>
        <v/>
      </c>
      <c r="F415" s="20">
        <f>""</f>
        <v/>
      </c>
      <c r="G415">
        <f>IF($C415="","","Por el deposito de la detraccion en el Banco de la Nacion")</f>
        <v/>
      </c>
      <c r="H415">
        <f>IF($C415="","",Registro_Compras!$C$49)</f>
        <v/>
      </c>
    </row>
    <row r="416">
      <c r="A416" s="25">
        <f>IF($C416="","",Registro_Compras!$X$49)</f>
        <v/>
      </c>
      <c r="B416">
        <f>IF($C416="","","C"&amp;TEXT(INT((ROW()-5)/9)+1,"000")&amp;"-3")</f>
        <v/>
      </c>
      <c r="C416">
        <f>IF(OR(Registro_Compras!$C$49="",Registro_Compras!$O$49="",Registro_Compras!$R$49&lt;&gt;"SI",Registro_Compras!$X$49=""),"","10413")</f>
        <v/>
      </c>
      <c r="D416">
        <f>IF(OR(Registro_Compras!$C$49="",Registro_Compras!$O$49=""),"","Efectivo y Equivalentes - Cta. Cte. Operativa")</f>
        <v/>
      </c>
      <c r="E416" s="20">
        <f>""</f>
        <v/>
      </c>
      <c r="F416" s="20">
        <f>IF($C416="","",Registro_Compras!$S$49)</f>
        <v/>
      </c>
      <c r="G416">
        <f>IF($C416="","","Por el deposito de la detraccion en el Banco de la Nacion")</f>
        <v/>
      </c>
      <c r="H416">
        <f>IF($C416="","",Registro_Compras!$C$49)</f>
        <v/>
      </c>
    </row>
    <row r="417">
      <c r="A417" s="25">
        <f>IF($C417="","",Registro_Compras!$Y$49)</f>
        <v/>
      </c>
      <c r="B417">
        <f>IF($C417="","","C"&amp;TEXT(INT((ROW()-5)/9)+1,"000")&amp;"-4")</f>
        <v/>
      </c>
      <c r="C417">
        <f>IF(OR(Registro_Compras!$C$49="",Registro_Compras!$O$49="",Registro_Compras!$Y$49="",Registro_Compras!$F$49="NOTA DE CREDITO"),"","4212")</f>
        <v/>
      </c>
      <c r="D417">
        <f>IF(OR(Registro_Compras!$C$49="",Registro_Compras!$O$49=""),"","Cuentas por Pagar Comerciales - Terceros")</f>
        <v/>
      </c>
      <c r="E417" s="20">
        <f>IF($C417="","",IF(Registro_Compras!$F$49="RHE",(ROUND(Registro_Compras!$L$49*Registro_Compras!$N$49,2)-ROUND(Registro_Compras!$V$49*Registro_Compras!$N$49,2)),ROUND(Registro_Compras!$O$49-Registro_Compras!$S$49,2)))</f>
        <v/>
      </c>
      <c r="F417" s="20">
        <f>""</f>
        <v/>
      </c>
      <c r="G417">
        <f>IF($C417="","","Por la cancelacion del saldo al proveedor")</f>
        <v/>
      </c>
      <c r="H417">
        <f>IF($C417="","",Registro_Compras!$C$49)</f>
        <v/>
      </c>
    </row>
    <row r="418">
      <c r="A418" s="25">
        <f>IF($C418="","",Registro_Compras!$Y$49)</f>
        <v/>
      </c>
      <c r="B418">
        <f>IF($C418="","","C"&amp;TEXT(INT((ROW()-5)/9)+1,"000")&amp;"-4")</f>
        <v/>
      </c>
      <c r="C418">
        <f>IF(OR(Registro_Compras!$C$49="",Registro_Compras!$O$49="",Registro_Compras!$Y$49="",Registro_Compras!$F$49="NOTA DE CREDITO"),"","10413")</f>
        <v/>
      </c>
      <c r="D418">
        <f>IF(OR(Registro_Compras!$C$49="",Registro_Compras!$O$49=""),"","Efectivo y Equivalentes - Cta. Cte. Operativa")</f>
        <v/>
      </c>
      <c r="E418" s="20">
        <f>""</f>
        <v/>
      </c>
      <c r="F418" s="20">
        <f>IF($C418="","",IF(Registro_Compras!$F$49="RHE",(ROUND(Registro_Compras!$L$49*Registro_Compras!$N$49,2)-ROUND(Registro_Compras!$V$49*Registro_Compras!$N$49,2)),ROUND(Registro_Compras!$O$49-Registro_Compras!$S$49,2)))</f>
        <v/>
      </c>
      <c r="G418">
        <f>IF($C418="","","Por la cancelacion del saldo al proveedor")</f>
        <v/>
      </c>
      <c r="H418">
        <f>IF($C418="","",Registro_Compras!$C$49)</f>
        <v/>
      </c>
    </row>
    <row r="419">
      <c r="A419" s="25">
        <f>IF($C419="","",Registro_Compras!$B$50)</f>
        <v/>
      </c>
      <c r="B419">
        <f>IF($C419="","","C"&amp;TEXT(INT((ROW()-5)/9)+1,"000")&amp;"-1")</f>
        <v/>
      </c>
      <c r="C419">
        <f>IF(OR(Registro_Compras!$C$50="",Registro_Compras!$O$50=""),"",IF(Registro_Compras!$F$50="NOTA DE CREDITO","4212",IF(Registro_Compras!$M$50="","63",Registro_Compras!$M$50)))</f>
        <v/>
      </c>
      <c r="D419">
        <f>IF(OR(Registro_Compras!$C$50="",Registro_Compras!$O$50=""),"",IF(Registro_Compras!$F$50="NOTA DE CREDITO","Cuentas por Pagar Comerciales - Terceros (Emitidas)",IF(Registro_Compras!$F$50="RHE","Honorarios Profesionales - Servicios de Terceros","Gastos de Servicios Prestados por Terceros")))</f>
        <v/>
      </c>
      <c r="E419" s="20">
        <f>IF($C419="","",IF(Registro_Compras!$F$50="NOTA DE CREDITO",ABS(Registro_Compras!$O$50),IF(Registro_Compras!$F$50="RHE",ROUND(Registro_Compras!$L$50*Registro_Compras!$N$50,2),ROUND(Registro_Compras!$J$50*Registro_Compras!$N$50,2))))</f>
        <v/>
      </c>
      <c r="F419" s="20">
        <f>""</f>
        <v/>
      </c>
      <c r="G419">
        <f>IF($C419="","",IF(Registro_Compras!$F$50="NOTA DE CREDITO","Por la nota de credito "&amp;Registro_Compras!$C$50&amp;" de "&amp;Registro_Compras!$E$50&amp;" [PATRON POR CONFIRMAR CON CONTADOR]",IF(Registro_Compras!$F$50="RHE","Por el registro del recibo por honorarios "&amp;Registro_Compras!$C$50&amp;" de "&amp;Registro_Compras!$E$50&amp;" [PATRON POR CONFIRMAR CON CONTADOR]","Por el registro de la factura "&amp;Registro_Compras!$C$50&amp;" de "&amp;Registro_Compras!$E$50)))</f>
        <v/>
      </c>
      <c r="H419">
        <f>IF($C419="","",Registro_Compras!$C$50)</f>
        <v/>
      </c>
    </row>
    <row r="420">
      <c r="A420" s="25">
        <f>IF($C420="","",Registro_Compras!$B$50)</f>
        <v/>
      </c>
      <c r="B420">
        <f>IF($C420="","","C"&amp;TEXT(INT((ROW()-5)/9)+1,"000")&amp;"-1")</f>
        <v/>
      </c>
      <c r="C420">
        <f>IF(OR(Registro_Compras!$C$50="",Registro_Compras!$O$50=""),"",IF(Registro_Compras!$F$50="RHE",IF(Registro_Compras!$V$50=0,"","40172"),IF(Registro_Compras!$F$50="NOTA DE CREDITO",IF(Registro_Compras!$M$50="","63",Registro_Compras!$M$50),IF(Registro_Compras!$K$50=0,"","40111"))))</f>
        <v/>
      </c>
      <c r="D420">
        <f>IF(OR(Registro_Compras!$C$50="",Registro_Compras!$O$50=""),"",IF(Registro_Compras!$F$50="RHE","Retencion Renta 4ta Categoria por Pagar",IF(Registro_Compras!$F$50="NOTA DE CREDITO","Gastos de Servicios Prestados por Terceros","IGV - Cuenta Propia (Credito Fiscal)")))</f>
        <v/>
      </c>
      <c r="E420" s="20">
        <f>IF($C420="","",IF(Registro_Compras!$F$50="FACTURA",ROUND(Registro_Compras!$K$50*Registro_Compras!$N$50,2),""))</f>
        <v/>
      </c>
      <c r="F420" s="20">
        <f>IF($C420="","",IF(Registro_Compras!$F$50="RHE",ROUND(Registro_Compras!$V$50*Registro_Compras!$N$50,2),IF(Registro_Compras!$F$50="NOTA DE CREDITO",ROUND(ABS(Registro_Compras!$J$50*Registro_Compras!$N$50),2),"")))</f>
        <v/>
      </c>
      <c r="G420">
        <f>IF($C420="","",IF(Registro_Compras!$F$50="NOTA DE CREDITO","Por la nota de credito "&amp;Registro_Compras!$C$50&amp;" de "&amp;Registro_Compras!$E$50&amp;" [PATRON POR CONFIRMAR CON CONTADOR]",IF(Registro_Compras!$F$50="RHE","Por el registro del recibo por honorarios "&amp;Registro_Compras!$C$50&amp;" de "&amp;Registro_Compras!$E$50&amp;" [PATRON POR CONFIRMAR CON CONTADOR]","Por el registro de la factura "&amp;Registro_Compras!$C$50&amp;" de "&amp;Registro_Compras!$E$50)))</f>
        <v/>
      </c>
      <c r="H420">
        <f>IF($C420="","",Registro_Compras!$C$50)</f>
        <v/>
      </c>
    </row>
    <row r="421">
      <c r="A421" s="25">
        <f>IF($C421="","",Registro_Compras!$B$50)</f>
        <v/>
      </c>
      <c r="B421">
        <f>IF($C421="","","C"&amp;TEXT(INT((ROW()-5)/9)+1,"000")&amp;"-1")</f>
        <v/>
      </c>
      <c r="C421">
        <f>IF(OR(Registro_Compras!$C$50="",Registro_Compras!$O$50=""),"",IF(Registro_Compras!$F$50="NOTA DE CREDITO",IF(Registro_Compras!$K$50=0,"","40111"),"4212"))</f>
        <v/>
      </c>
      <c r="D421">
        <f>IF(OR(Registro_Compras!$C$50="",Registro_Compras!$O$50=""),"",IF(Registro_Compras!$F$50="NOTA DE CREDITO","IGV - Cuenta Propia (Credito Fiscal)","Cuentas por Pagar Comerciales - Terceros (Emitidas)"))</f>
        <v/>
      </c>
      <c r="E421" s="20">
        <f>""</f>
        <v/>
      </c>
      <c r="F421" s="20">
        <f>IF($C421="","",IF(Registro_Compras!$F$50="NOTA DE CREDITO",ROUND(ABS(Registro_Compras!$K$50*Registro_Compras!$N$50),2),IF(Registro_Compras!$F$50="RHE",(ROUND(Registro_Compras!$L$50*Registro_Compras!$N$50,2)-ROUND(Registro_Compras!$V$50*Registro_Compras!$N$50,2)),Registro_Compras!$O$50)))</f>
        <v/>
      </c>
      <c r="G421">
        <f>IF($C421="","",IF(Registro_Compras!$F$50="NOTA DE CREDITO","Por la nota de credito "&amp;Registro_Compras!$C$50&amp;" de "&amp;Registro_Compras!$E$50&amp;" [PATRON POR CONFIRMAR CON CONTADOR]",IF(Registro_Compras!$F$50="RHE","Por el registro del recibo por honorarios "&amp;Registro_Compras!$C$50&amp;" de "&amp;Registro_Compras!$E$50&amp;" [PATRON POR CONFIRMAR CON CONTADOR]","Por el registro de la factura "&amp;Registro_Compras!$C$50&amp;" de "&amp;Registro_Compras!$E$50)))</f>
        <v/>
      </c>
      <c r="H421">
        <f>IF($C421="","",Registro_Compras!$C$50)</f>
        <v/>
      </c>
    </row>
    <row r="422">
      <c r="A422" s="25">
        <f>IF($C422="","",Registro_Compras!$B$50)</f>
        <v/>
      </c>
      <c r="B422">
        <f>IF($C422="","","C"&amp;TEXT(INT((ROW()-5)/9)+1,"000")&amp;"-2")</f>
        <v/>
      </c>
      <c r="C422">
        <f>IF(OR(Registro_Compras!$C$50="",Registro_Compras!$O$50=""),"",IF(Registro_Compras!$AB$50="ADMINISTRATIVO","94","95"))</f>
        <v/>
      </c>
      <c r="D422">
        <f>IF(OR(Registro_Compras!$C$50="",Registro_Compras!$O$50=""),"",IF(Registro_Compras!$AB$50="ADMINISTRATIVO","Gastos Administrativos","Gastos de Venta y Operacion"))</f>
        <v/>
      </c>
      <c r="E422" s="20">
        <f>IF($C422="","",IF(Registro_Compras!$F$50="NOTA DE CREDITO","",IF(Registro_Compras!$F$50="RHE",ROUND(Registro_Compras!$L$50*Registro_Compras!$N$50,2),ROUND(Registro_Compras!$J$50*Registro_Compras!$N$50,2))))</f>
        <v/>
      </c>
      <c r="F422" s="20">
        <f>IF($C422="","",IF(Registro_Compras!$F$50="NOTA DE CREDITO",ROUND(ABS(Registro_Compras!$J$50*Registro_Compras!$N$50),2),""))</f>
        <v/>
      </c>
      <c r="G422">
        <f>IF($C422="","","Por el destino del gasto")</f>
        <v/>
      </c>
      <c r="H422">
        <f>IF($C422="","",Registro_Compras!$C$50)</f>
        <v/>
      </c>
    </row>
    <row r="423">
      <c r="A423" s="25">
        <f>IF($C423="","",Registro_Compras!$B$50)</f>
        <v/>
      </c>
      <c r="B423">
        <f>IF($C423="","","C"&amp;TEXT(INT((ROW()-5)/9)+1,"000")&amp;"-2")</f>
        <v/>
      </c>
      <c r="C423">
        <f>IF(OR(Registro_Compras!$C$50="",Registro_Compras!$O$50=""),"","79/791")</f>
        <v/>
      </c>
      <c r="D423">
        <f>IF(OR(Registro_Compras!$C$50="",Registro_Compras!$O$50=""),"","Cargas Imputables a Cuentas de Costos y Gastos")</f>
        <v/>
      </c>
      <c r="E423" s="20">
        <f>IF($C423="","",IF(Registro_Compras!$F$50="NOTA DE CREDITO",ROUND(ABS(Registro_Compras!$J$50*Registro_Compras!$N$50),2),""))</f>
        <v/>
      </c>
      <c r="F423" s="20">
        <f>IF($C423="","",IF(Registro_Compras!$F$50="NOTA DE CREDITO","",IF(Registro_Compras!$F$50="RHE",ROUND(Registro_Compras!$L$50*Registro_Compras!$N$50,2),ROUND(Registro_Compras!$J$50*Registro_Compras!$N$50,2))))</f>
        <v/>
      </c>
      <c r="G423">
        <f>IF($C423="","","Por el destino del gasto")</f>
        <v/>
      </c>
      <c r="H423">
        <f>IF($C423="","",Registro_Compras!$C$50)</f>
        <v/>
      </c>
    </row>
    <row r="424">
      <c r="A424" s="25">
        <f>IF($C424="","",Registro_Compras!$X$50)</f>
        <v/>
      </c>
      <c r="B424">
        <f>IF($C424="","","C"&amp;TEXT(INT((ROW()-5)/9)+1,"000")&amp;"-3")</f>
        <v/>
      </c>
      <c r="C424">
        <f>IF(OR(Registro_Compras!$C$50="",Registro_Compras!$O$50="",Registro_Compras!$R$50&lt;&gt;"SI",Registro_Compras!$X$50=""),"","4212")</f>
        <v/>
      </c>
      <c r="D424">
        <f>IF(OR(Registro_Compras!$C$50="",Registro_Compras!$O$50=""),"","Cuentas por Pagar Comerciales - Terceros")</f>
        <v/>
      </c>
      <c r="E424" s="20">
        <f>IF($C424="","",Registro_Compras!$S$50)</f>
        <v/>
      </c>
      <c r="F424" s="20">
        <f>""</f>
        <v/>
      </c>
      <c r="G424">
        <f>IF($C424="","","Por el deposito de la detraccion en el Banco de la Nacion")</f>
        <v/>
      </c>
      <c r="H424">
        <f>IF($C424="","",Registro_Compras!$C$50)</f>
        <v/>
      </c>
    </row>
    <row r="425">
      <c r="A425" s="25">
        <f>IF($C425="","",Registro_Compras!$X$50)</f>
        <v/>
      </c>
      <c r="B425">
        <f>IF($C425="","","C"&amp;TEXT(INT((ROW()-5)/9)+1,"000")&amp;"-3")</f>
        <v/>
      </c>
      <c r="C425">
        <f>IF(OR(Registro_Compras!$C$50="",Registro_Compras!$O$50="",Registro_Compras!$R$50&lt;&gt;"SI",Registro_Compras!$X$50=""),"","10413")</f>
        <v/>
      </c>
      <c r="D425">
        <f>IF(OR(Registro_Compras!$C$50="",Registro_Compras!$O$50=""),"","Efectivo y Equivalentes - Cta. Cte. Operativa")</f>
        <v/>
      </c>
      <c r="E425" s="20">
        <f>""</f>
        <v/>
      </c>
      <c r="F425" s="20">
        <f>IF($C425="","",Registro_Compras!$S$50)</f>
        <v/>
      </c>
      <c r="G425">
        <f>IF($C425="","","Por el deposito de la detraccion en el Banco de la Nacion")</f>
        <v/>
      </c>
      <c r="H425">
        <f>IF($C425="","",Registro_Compras!$C$50)</f>
        <v/>
      </c>
    </row>
    <row r="426">
      <c r="A426" s="25">
        <f>IF($C426="","",Registro_Compras!$Y$50)</f>
        <v/>
      </c>
      <c r="B426">
        <f>IF($C426="","","C"&amp;TEXT(INT((ROW()-5)/9)+1,"000")&amp;"-4")</f>
        <v/>
      </c>
      <c r="C426">
        <f>IF(OR(Registro_Compras!$C$50="",Registro_Compras!$O$50="",Registro_Compras!$Y$50="",Registro_Compras!$F$50="NOTA DE CREDITO"),"","4212")</f>
        <v/>
      </c>
      <c r="D426">
        <f>IF(OR(Registro_Compras!$C$50="",Registro_Compras!$O$50=""),"","Cuentas por Pagar Comerciales - Terceros")</f>
        <v/>
      </c>
      <c r="E426" s="20">
        <f>IF($C426="","",IF(Registro_Compras!$F$50="RHE",(ROUND(Registro_Compras!$L$50*Registro_Compras!$N$50,2)-ROUND(Registro_Compras!$V$50*Registro_Compras!$N$50,2)),ROUND(Registro_Compras!$O$50-Registro_Compras!$S$50,2)))</f>
        <v/>
      </c>
      <c r="F426" s="20">
        <f>""</f>
        <v/>
      </c>
      <c r="G426">
        <f>IF($C426="","","Por la cancelacion del saldo al proveedor")</f>
        <v/>
      </c>
      <c r="H426">
        <f>IF($C426="","",Registro_Compras!$C$50)</f>
        <v/>
      </c>
    </row>
    <row r="427">
      <c r="A427" s="25">
        <f>IF($C427="","",Registro_Compras!$Y$50)</f>
        <v/>
      </c>
      <c r="B427">
        <f>IF($C427="","","C"&amp;TEXT(INT((ROW()-5)/9)+1,"000")&amp;"-4")</f>
        <v/>
      </c>
      <c r="C427">
        <f>IF(OR(Registro_Compras!$C$50="",Registro_Compras!$O$50="",Registro_Compras!$Y$50="",Registro_Compras!$F$50="NOTA DE CREDITO"),"","10413")</f>
        <v/>
      </c>
      <c r="D427">
        <f>IF(OR(Registro_Compras!$C$50="",Registro_Compras!$O$50=""),"","Efectivo y Equivalentes - Cta. Cte. Operativa")</f>
        <v/>
      </c>
      <c r="E427" s="20">
        <f>""</f>
        <v/>
      </c>
      <c r="F427" s="20">
        <f>IF($C427="","",IF(Registro_Compras!$F$50="RHE",(ROUND(Registro_Compras!$L$50*Registro_Compras!$N$50,2)-ROUND(Registro_Compras!$V$50*Registro_Compras!$N$50,2)),ROUND(Registro_Compras!$O$50-Registro_Compras!$S$50,2)))</f>
        <v/>
      </c>
      <c r="G427">
        <f>IF($C427="","","Por la cancelacion del saldo al proveedor")</f>
        <v/>
      </c>
      <c r="H427">
        <f>IF($C427="","",Registro_Compras!$C$50)</f>
        <v/>
      </c>
    </row>
    <row r="428">
      <c r="A428" s="25">
        <f>IF($C428="","",Registro_Compras!$B$51)</f>
        <v/>
      </c>
      <c r="B428">
        <f>IF($C428="","","C"&amp;TEXT(INT((ROW()-5)/9)+1,"000")&amp;"-1")</f>
        <v/>
      </c>
      <c r="C428">
        <f>IF(OR(Registro_Compras!$C$51="",Registro_Compras!$O$51=""),"",IF(Registro_Compras!$F$51="NOTA DE CREDITO","4212",IF(Registro_Compras!$M$51="","63",Registro_Compras!$M$51)))</f>
        <v/>
      </c>
      <c r="D428">
        <f>IF(OR(Registro_Compras!$C$51="",Registro_Compras!$O$51=""),"",IF(Registro_Compras!$F$51="NOTA DE CREDITO","Cuentas por Pagar Comerciales - Terceros (Emitidas)",IF(Registro_Compras!$F$51="RHE","Honorarios Profesionales - Servicios de Terceros","Gastos de Servicios Prestados por Terceros")))</f>
        <v/>
      </c>
      <c r="E428" s="20">
        <f>IF($C428="","",IF(Registro_Compras!$F$51="NOTA DE CREDITO",ABS(Registro_Compras!$O$51),IF(Registro_Compras!$F$51="RHE",ROUND(Registro_Compras!$L$51*Registro_Compras!$N$51,2),ROUND(Registro_Compras!$J$51*Registro_Compras!$N$51,2))))</f>
        <v/>
      </c>
      <c r="F428" s="20">
        <f>""</f>
        <v/>
      </c>
      <c r="G428">
        <f>IF($C428="","",IF(Registro_Compras!$F$51="NOTA DE CREDITO","Por la nota de credito "&amp;Registro_Compras!$C$51&amp;" de "&amp;Registro_Compras!$E$51&amp;" [PATRON POR CONFIRMAR CON CONTADOR]",IF(Registro_Compras!$F$51="RHE","Por el registro del recibo por honorarios "&amp;Registro_Compras!$C$51&amp;" de "&amp;Registro_Compras!$E$51&amp;" [PATRON POR CONFIRMAR CON CONTADOR]","Por el registro de la factura "&amp;Registro_Compras!$C$51&amp;" de "&amp;Registro_Compras!$E$51)))</f>
        <v/>
      </c>
      <c r="H428">
        <f>IF($C428="","",Registro_Compras!$C$51)</f>
        <v/>
      </c>
    </row>
    <row r="429">
      <c r="A429" s="25">
        <f>IF($C429="","",Registro_Compras!$B$51)</f>
        <v/>
      </c>
      <c r="B429">
        <f>IF($C429="","","C"&amp;TEXT(INT((ROW()-5)/9)+1,"000")&amp;"-1")</f>
        <v/>
      </c>
      <c r="C429">
        <f>IF(OR(Registro_Compras!$C$51="",Registro_Compras!$O$51=""),"",IF(Registro_Compras!$F$51="RHE",IF(Registro_Compras!$V$51=0,"","40172"),IF(Registro_Compras!$F$51="NOTA DE CREDITO",IF(Registro_Compras!$M$51="","63",Registro_Compras!$M$51),IF(Registro_Compras!$K$51=0,"","40111"))))</f>
        <v/>
      </c>
      <c r="D429">
        <f>IF(OR(Registro_Compras!$C$51="",Registro_Compras!$O$51=""),"",IF(Registro_Compras!$F$51="RHE","Retencion Renta 4ta Categoria por Pagar",IF(Registro_Compras!$F$51="NOTA DE CREDITO","Gastos de Servicios Prestados por Terceros","IGV - Cuenta Propia (Credito Fiscal)")))</f>
        <v/>
      </c>
      <c r="E429" s="20">
        <f>IF($C429="","",IF(Registro_Compras!$F$51="FACTURA",ROUND(Registro_Compras!$K$51*Registro_Compras!$N$51,2),""))</f>
        <v/>
      </c>
      <c r="F429" s="20">
        <f>IF($C429="","",IF(Registro_Compras!$F$51="RHE",ROUND(Registro_Compras!$V$51*Registro_Compras!$N$51,2),IF(Registro_Compras!$F$51="NOTA DE CREDITO",ROUND(ABS(Registro_Compras!$J$51*Registro_Compras!$N$51),2),"")))</f>
        <v/>
      </c>
      <c r="G429">
        <f>IF($C429="","",IF(Registro_Compras!$F$51="NOTA DE CREDITO","Por la nota de credito "&amp;Registro_Compras!$C$51&amp;" de "&amp;Registro_Compras!$E$51&amp;" [PATRON POR CONFIRMAR CON CONTADOR]",IF(Registro_Compras!$F$51="RHE","Por el registro del recibo por honorarios "&amp;Registro_Compras!$C$51&amp;" de "&amp;Registro_Compras!$E$51&amp;" [PATRON POR CONFIRMAR CON CONTADOR]","Por el registro de la factura "&amp;Registro_Compras!$C$51&amp;" de "&amp;Registro_Compras!$E$51)))</f>
        <v/>
      </c>
      <c r="H429">
        <f>IF($C429="","",Registro_Compras!$C$51)</f>
        <v/>
      </c>
    </row>
    <row r="430">
      <c r="A430" s="25">
        <f>IF($C430="","",Registro_Compras!$B$51)</f>
        <v/>
      </c>
      <c r="B430">
        <f>IF($C430="","","C"&amp;TEXT(INT((ROW()-5)/9)+1,"000")&amp;"-1")</f>
        <v/>
      </c>
      <c r="C430">
        <f>IF(OR(Registro_Compras!$C$51="",Registro_Compras!$O$51=""),"",IF(Registro_Compras!$F$51="NOTA DE CREDITO",IF(Registro_Compras!$K$51=0,"","40111"),"4212"))</f>
        <v/>
      </c>
      <c r="D430">
        <f>IF(OR(Registro_Compras!$C$51="",Registro_Compras!$O$51=""),"",IF(Registro_Compras!$F$51="NOTA DE CREDITO","IGV - Cuenta Propia (Credito Fiscal)","Cuentas por Pagar Comerciales - Terceros (Emitidas)"))</f>
        <v/>
      </c>
      <c r="E430" s="20">
        <f>""</f>
        <v/>
      </c>
      <c r="F430" s="20">
        <f>IF($C430="","",IF(Registro_Compras!$F$51="NOTA DE CREDITO",ROUND(ABS(Registro_Compras!$K$51*Registro_Compras!$N$51),2),IF(Registro_Compras!$F$51="RHE",(ROUND(Registro_Compras!$L$51*Registro_Compras!$N$51,2)-ROUND(Registro_Compras!$V$51*Registro_Compras!$N$51,2)),Registro_Compras!$O$51)))</f>
        <v/>
      </c>
      <c r="G430">
        <f>IF($C430="","",IF(Registro_Compras!$F$51="NOTA DE CREDITO","Por la nota de credito "&amp;Registro_Compras!$C$51&amp;" de "&amp;Registro_Compras!$E$51&amp;" [PATRON POR CONFIRMAR CON CONTADOR]",IF(Registro_Compras!$F$51="RHE","Por el registro del recibo por honorarios "&amp;Registro_Compras!$C$51&amp;" de "&amp;Registro_Compras!$E$51&amp;" [PATRON POR CONFIRMAR CON CONTADOR]","Por el registro de la factura "&amp;Registro_Compras!$C$51&amp;" de "&amp;Registro_Compras!$E$51)))</f>
        <v/>
      </c>
      <c r="H430">
        <f>IF($C430="","",Registro_Compras!$C$51)</f>
        <v/>
      </c>
    </row>
    <row r="431">
      <c r="A431" s="25">
        <f>IF($C431="","",Registro_Compras!$B$51)</f>
        <v/>
      </c>
      <c r="B431">
        <f>IF($C431="","","C"&amp;TEXT(INT((ROW()-5)/9)+1,"000")&amp;"-2")</f>
        <v/>
      </c>
      <c r="C431">
        <f>IF(OR(Registro_Compras!$C$51="",Registro_Compras!$O$51=""),"",IF(Registro_Compras!$AB$51="ADMINISTRATIVO","94","95"))</f>
        <v/>
      </c>
      <c r="D431">
        <f>IF(OR(Registro_Compras!$C$51="",Registro_Compras!$O$51=""),"",IF(Registro_Compras!$AB$51="ADMINISTRATIVO","Gastos Administrativos","Gastos de Venta y Operacion"))</f>
        <v/>
      </c>
      <c r="E431" s="20">
        <f>IF($C431="","",IF(Registro_Compras!$F$51="NOTA DE CREDITO","",IF(Registro_Compras!$F$51="RHE",ROUND(Registro_Compras!$L$51*Registro_Compras!$N$51,2),ROUND(Registro_Compras!$J$51*Registro_Compras!$N$51,2))))</f>
        <v/>
      </c>
      <c r="F431" s="20">
        <f>IF($C431="","",IF(Registro_Compras!$F$51="NOTA DE CREDITO",ROUND(ABS(Registro_Compras!$J$51*Registro_Compras!$N$51),2),""))</f>
        <v/>
      </c>
      <c r="G431">
        <f>IF($C431="","","Por el destino del gasto")</f>
        <v/>
      </c>
      <c r="H431">
        <f>IF($C431="","",Registro_Compras!$C$51)</f>
        <v/>
      </c>
    </row>
    <row r="432">
      <c r="A432" s="25">
        <f>IF($C432="","",Registro_Compras!$B$51)</f>
        <v/>
      </c>
      <c r="B432">
        <f>IF($C432="","","C"&amp;TEXT(INT((ROW()-5)/9)+1,"000")&amp;"-2")</f>
        <v/>
      </c>
      <c r="C432">
        <f>IF(OR(Registro_Compras!$C$51="",Registro_Compras!$O$51=""),"","79/791")</f>
        <v/>
      </c>
      <c r="D432">
        <f>IF(OR(Registro_Compras!$C$51="",Registro_Compras!$O$51=""),"","Cargas Imputables a Cuentas de Costos y Gastos")</f>
        <v/>
      </c>
      <c r="E432" s="20">
        <f>IF($C432="","",IF(Registro_Compras!$F$51="NOTA DE CREDITO",ROUND(ABS(Registro_Compras!$J$51*Registro_Compras!$N$51),2),""))</f>
        <v/>
      </c>
      <c r="F432" s="20">
        <f>IF($C432="","",IF(Registro_Compras!$F$51="NOTA DE CREDITO","",IF(Registro_Compras!$F$51="RHE",ROUND(Registro_Compras!$L$51*Registro_Compras!$N$51,2),ROUND(Registro_Compras!$J$51*Registro_Compras!$N$51,2))))</f>
        <v/>
      </c>
      <c r="G432">
        <f>IF($C432="","","Por el destino del gasto")</f>
        <v/>
      </c>
      <c r="H432">
        <f>IF($C432="","",Registro_Compras!$C$51)</f>
        <v/>
      </c>
    </row>
    <row r="433">
      <c r="A433" s="25">
        <f>IF($C433="","",Registro_Compras!$X$51)</f>
        <v/>
      </c>
      <c r="B433">
        <f>IF($C433="","","C"&amp;TEXT(INT((ROW()-5)/9)+1,"000")&amp;"-3")</f>
        <v/>
      </c>
      <c r="C433">
        <f>IF(OR(Registro_Compras!$C$51="",Registro_Compras!$O$51="",Registro_Compras!$R$51&lt;&gt;"SI",Registro_Compras!$X$51=""),"","4212")</f>
        <v/>
      </c>
      <c r="D433">
        <f>IF(OR(Registro_Compras!$C$51="",Registro_Compras!$O$51=""),"","Cuentas por Pagar Comerciales - Terceros")</f>
        <v/>
      </c>
      <c r="E433" s="20">
        <f>IF($C433="","",Registro_Compras!$S$51)</f>
        <v/>
      </c>
      <c r="F433" s="20">
        <f>""</f>
        <v/>
      </c>
      <c r="G433">
        <f>IF($C433="","","Por el deposito de la detraccion en el Banco de la Nacion")</f>
        <v/>
      </c>
      <c r="H433">
        <f>IF($C433="","",Registro_Compras!$C$51)</f>
        <v/>
      </c>
    </row>
    <row r="434">
      <c r="A434" s="25">
        <f>IF($C434="","",Registro_Compras!$X$51)</f>
        <v/>
      </c>
      <c r="B434">
        <f>IF($C434="","","C"&amp;TEXT(INT((ROW()-5)/9)+1,"000")&amp;"-3")</f>
        <v/>
      </c>
      <c r="C434">
        <f>IF(OR(Registro_Compras!$C$51="",Registro_Compras!$O$51="",Registro_Compras!$R$51&lt;&gt;"SI",Registro_Compras!$X$51=""),"","10413")</f>
        <v/>
      </c>
      <c r="D434">
        <f>IF(OR(Registro_Compras!$C$51="",Registro_Compras!$O$51=""),"","Efectivo y Equivalentes - Cta. Cte. Operativa")</f>
        <v/>
      </c>
      <c r="E434" s="20">
        <f>""</f>
        <v/>
      </c>
      <c r="F434" s="20">
        <f>IF($C434="","",Registro_Compras!$S$51)</f>
        <v/>
      </c>
      <c r="G434">
        <f>IF($C434="","","Por el deposito de la detraccion en el Banco de la Nacion")</f>
        <v/>
      </c>
      <c r="H434">
        <f>IF($C434="","",Registro_Compras!$C$51)</f>
        <v/>
      </c>
    </row>
    <row r="435">
      <c r="A435" s="25">
        <f>IF($C435="","",Registro_Compras!$Y$51)</f>
        <v/>
      </c>
      <c r="B435">
        <f>IF($C435="","","C"&amp;TEXT(INT((ROW()-5)/9)+1,"000")&amp;"-4")</f>
        <v/>
      </c>
      <c r="C435">
        <f>IF(OR(Registro_Compras!$C$51="",Registro_Compras!$O$51="",Registro_Compras!$Y$51="",Registro_Compras!$F$51="NOTA DE CREDITO"),"","4212")</f>
        <v/>
      </c>
      <c r="D435">
        <f>IF(OR(Registro_Compras!$C$51="",Registro_Compras!$O$51=""),"","Cuentas por Pagar Comerciales - Terceros")</f>
        <v/>
      </c>
      <c r="E435" s="20">
        <f>IF($C435="","",IF(Registro_Compras!$F$51="RHE",(ROUND(Registro_Compras!$L$51*Registro_Compras!$N$51,2)-ROUND(Registro_Compras!$V$51*Registro_Compras!$N$51,2)),ROUND(Registro_Compras!$O$51-Registro_Compras!$S$51,2)))</f>
        <v/>
      </c>
      <c r="F435" s="20">
        <f>""</f>
        <v/>
      </c>
      <c r="G435">
        <f>IF($C435="","","Por la cancelacion del saldo al proveedor")</f>
        <v/>
      </c>
      <c r="H435">
        <f>IF($C435="","",Registro_Compras!$C$51)</f>
        <v/>
      </c>
    </row>
    <row r="436">
      <c r="A436" s="25">
        <f>IF($C436="","",Registro_Compras!$Y$51)</f>
        <v/>
      </c>
      <c r="B436">
        <f>IF($C436="","","C"&amp;TEXT(INT((ROW()-5)/9)+1,"000")&amp;"-4")</f>
        <v/>
      </c>
      <c r="C436">
        <f>IF(OR(Registro_Compras!$C$51="",Registro_Compras!$O$51="",Registro_Compras!$Y$51="",Registro_Compras!$F$51="NOTA DE CREDITO"),"","10413")</f>
        <v/>
      </c>
      <c r="D436">
        <f>IF(OR(Registro_Compras!$C$51="",Registro_Compras!$O$51=""),"","Efectivo y Equivalentes - Cta. Cte. Operativa")</f>
        <v/>
      </c>
      <c r="E436" s="20">
        <f>""</f>
        <v/>
      </c>
      <c r="F436" s="20">
        <f>IF($C436="","",IF(Registro_Compras!$F$51="RHE",(ROUND(Registro_Compras!$L$51*Registro_Compras!$N$51,2)-ROUND(Registro_Compras!$V$51*Registro_Compras!$N$51,2)),ROUND(Registro_Compras!$O$51-Registro_Compras!$S$51,2)))</f>
        <v/>
      </c>
      <c r="G436">
        <f>IF($C436="","","Por la cancelacion del saldo al proveedor")</f>
        <v/>
      </c>
      <c r="H436">
        <f>IF($C436="","",Registro_Compras!$C$51)</f>
        <v/>
      </c>
    </row>
    <row r="437">
      <c r="A437" s="25">
        <f>IF($C437="","",Registro_Compras!$B$52)</f>
        <v/>
      </c>
      <c r="B437">
        <f>IF($C437="","","C"&amp;TEXT(INT((ROW()-5)/9)+1,"000")&amp;"-1")</f>
        <v/>
      </c>
      <c r="C437">
        <f>IF(OR(Registro_Compras!$C$52="",Registro_Compras!$O$52=""),"",IF(Registro_Compras!$F$52="NOTA DE CREDITO","4212",IF(Registro_Compras!$M$52="","63",Registro_Compras!$M$52)))</f>
        <v/>
      </c>
      <c r="D437">
        <f>IF(OR(Registro_Compras!$C$52="",Registro_Compras!$O$52=""),"",IF(Registro_Compras!$F$52="NOTA DE CREDITO","Cuentas por Pagar Comerciales - Terceros (Emitidas)",IF(Registro_Compras!$F$52="RHE","Honorarios Profesionales - Servicios de Terceros","Gastos de Servicios Prestados por Terceros")))</f>
        <v/>
      </c>
      <c r="E437" s="20">
        <f>IF($C437="","",IF(Registro_Compras!$F$52="NOTA DE CREDITO",ABS(Registro_Compras!$O$52),IF(Registro_Compras!$F$52="RHE",ROUND(Registro_Compras!$L$52*Registro_Compras!$N$52,2),ROUND(Registro_Compras!$J$52*Registro_Compras!$N$52,2))))</f>
        <v/>
      </c>
      <c r="F437" s="20">
        <f>""</f>
        <v/>
      </c>
      <c r="G437">
        <f>IF($C437="","",IF(Registro_Compras!$F$52="NOTA DE CREDITO","Por la nota de credito "&amp;Registro_Compras!$C$52&amp;" de "&amp;Registro_Compras!$E$52&amp;" [PATRON POR CONFIRMAR CON CONTADOR]",IF(Registro_Compras!$F$52="RHE","Por el registro del recibo por honorarios "&amp;Registro_Compras!$C$52&amp;" de "&amp;Registro_Compras!$E$52&amp;" [PATRON POR CONFIRMAR CON CONTADOR]","Por el registro de la factura "&amp;Registro_Compras!$C$52&amp;" de "&amp;Registro_Compras!$E$52)))</f>
        <v/>
      </c>
      <c r="H437">
        <f>IF($C437="","",Registro_Compras!$C$52)</f>
        <v/>
      </c>
    </row>
    <row r="438">
      <c r="A438" s="25">
        <f>IF($C438="","",Registro_Compras!$B$52)</f>
        <v/>
      </c>
      <c r="B438">
        <f>IF($C438="","","C"&amp;TEXT(INT((ROW()-5)/9)+1,"000")&amp;"-1")</f>
        <v/>
      </c>
      <c r="C438">
        <f>IF(OR(Registro_Compras!$C$52="",Registro_Compras!$O$52=""),"",IF(Registro_Compras!$F$52="RHE",IF(Registro_Compras!$V$52=0,"","40172"),IF(Registro_Compras!$F$52="NOTA DE CREDITO",IF(Registro_Compras!$M$52="","63",Registro_Compras!$M$52),IF(Registro_Compras!$K$52=0,"","40111"))))</f>
        <v/>
      </c>
      <c r="D438">
        <f>IF(OR(Registro_Compras!$C$52="",Registro_Compras!$O$52=""),"",IF(Registro_Compras!$F$52="RHE","Retencion Renta 4ta Categoria por Pagar",IF(Registro_Compras!$F$52="NOTA DE CREDITO","Gastos de Servicios Prestados por Terceros","IGV - Cuenta Propia (Credito Fiscal)")))</f>
        <v/>
      </c>
      <c r="E438" s="20">
        <f>IF($C438="","",IF(Registro_Compras!$F$52="FACTURA",ROUND(Registro_Compras!$K$52*Registro_Compras!$N$52,2),""))</f>
        <v/>
      </c>
      <c r="F438" s="20">
        <f>IF($C438="","",IF(Registro_Compras!$F$52="RHE",ROUND(Registro_Compras!$V$52*Registro_Compras!$N$52,2),IF(Registro_Compras!$F$52="NOTA DE CREDITO",ROUND(ABS(Registro_Compras!$J$52*Registro_Compras!$N$52),2),"")))</f>
        <v/>
      </c>
      <c r="G438">
        <f>IF($C438="","",IF(Registro_Compras!$F$52="NOTA DE CREDITO","Por la nota de credito "&amp;Registro_Compras!$C$52&amp;" de "&amp;Registro_Compras!$E$52&amp;" [PATRON POR CONFIRMAR CON CONTADOR]",IF(Registro_Compras!$F$52="RHE","Por el registro del recibo por honorarios "&amp;Registro_Compras!$C$52&amp;" de "&amp;Registro_Compras!$E$52&amp;" [PATRON POR CONFIRMAR CON CONTADOR]","Por el registro de la factura "&amp;Registro_Compras!$C$52&amp;" de "&amp;Registro_Compras!$E$52)))</f>
        <v/>
      </c>
      <c r="H438">
        <f>IF($C438="","",Registro_Compras!$C$52)</f>
        <v/>
      </c>
    </row>
    <row r="439">
      <c r="A439" s="25">
        <f>IF($C439="","",Registro_Compras!$B$52)</f>
        <v/>
      </c>
      <c r="B439">
        <f>IF($C439="","","C"&amp;TEXT(INT((ROW()-5)/9)+1,"000")&amp;"-1")</f>
        <v/>
      </c>
      <c r="C439">
        <f>IF(OR(Registro_Compras!$C$52="",Registro_Compras!$O$52=""),"",IF(Registro_Compras!$F$52="NOTA DE CREDITO",IF(Registro_Compras!$K$52=0,"","40111"),"4212"))</f>
        <v/>
      </c>
      <c r="D439">
        <f>IF(OR(Registro_Compras!$C$52="",Registro_Compras!$O$52=""),"",IF(Registro_Compras!$F$52="NOTA DE CREDITO","IGV - Cuenta Propia (Credito Fiscal)","Cuentas por Pagar Comerciales - Terceros (Emitidas)"))</f>
        <v/>
      </c>
      <c r="E439" s="20">
        <f>""</f>
        <v/>
      </c>
      <c r="F439" s="20">
        <f>IF($C439="","",IF(Registro_Compras!$F$52="NOTA DE CREDITO",ROUND(ABS(Registro_Compras!$K$52*Registro_Compras!$N$52),2),IF(Registro_Compras!$F$52="RHE",(ROUND(Registro_Compras!$L$52*Registro_Compras!$N$52,2)-ROUND(Registro_Compras!$V$52*Registro_Compras!$N$52,2)),Registro_Compras!$O$52)))</f>
        <v/>
      </c>
      <c r="G439">
        <f>IF($C439="","",IF(Registro_Compras!$F$52="NOTA DE CREDITO","Por la nota de credito "&amp;Registro_Compras!$C$52&amp;" de "&amp;Registro_Compras!$E$52&amp;" [PATRON POR CONFIRMAR CON CONTADOR]",IF(Registro_Compras!$F$52="RHE","Por el registro del recibo por honorarios "&amp;Registro_Compras!$C$52&amp;" de "&amp;Registro_Compras!$E$52&amp;" [PATRON POR CONFIRMAR CON CONTADOR]","Por el registro de la factura "&amp;Registro_Compras!$C$52&amp;" de "&amp;Registro_Compras!$E$52)))</f>
        <v/>
      </c>
      <c r="H439">
        <f>IF($C439="","",Registro_Compras!$C$52)</f>
        <v/>
      </c>
    </row>
    <row r="440">
      <c r="A440" s="25">
        <f>IF($C440="","",Registro_Compras!$B$52)</f>
        <v/>
      </c>
      <c r="B440">
        <f>IF($C440="","","C"&amp;TEXT(INT((ROW()-5)/9)+1,"000")&amp;"-2")</f>
        <v/>
      </c>
      <c r="C440">
        <f>IF(OR(Registro_Compras!$C$52="",Registro_Compras!$O$52=""),"",IF(Registro_Compras!$AB$52="ADMINISTRATIVO","94","95"))</f>
        <v/>
      </c>
      <c r="D440">
        <f>IF(OR(Registro_Compras!$C$52="",Registro_Compras!$O$52=""),"",IF(Registro_Compras!$AB$52="ADMINISTRATIVO","Gastos Administrativos","Gastos de Venta y Operacion"))</f>
        <v/>
      </c>
      <c r="E440" s="20">
        <f>IF($C440="","",IF(Registro_Compras!$F$52="NOTA DE CREDITO","",IF(Registro_Compras!$F$52="RHE",ROUND(Registro_Compras!$L$52*Registro_Compras!$N$52,2),ROUND(Registro_Compras!$J$52*Registro_Compras!$N$52,2))))</f>
        <v/>
      </c>
      <c r="F440" s="20">
        <f>IF($C440="","",IF(Registro_Compras!$F$52="NOTA DE CREDITO",ROUND(ABS(Registro_Compras!$J$52*Registro_Compras!$N$52),2),""))</f>
        <v/>
      </c>
      <c r="G440">
        <f>IF($C440="","","Por el destino del gasto")</f>
        <v/>
      </c>
      <c r="H440">
        <f>IF($C440="","",Registro_Compras!$C$52)</f>
        <v/>
      </c>
    </row>
    <row r="441">
      <c r="A441" s="25">
        <f>IF($C441="","",Registro_Compras!$B$52)</f>
        <v/>
      </c>
      <c r="B441">
        <f>IF($C441="","","C"&amp;TEXT(INT((ROW()-5)/9)+1,"000")&amp;"-2")</f>
        <v/>
      </c>
      <c r="C441">
        <f>IF(OR(Registro_Compras!$C$52="",Registro_Compras!$O$52=""),"","79/791")</f>
        <v/>
      </c>
      <c r="D441">
        <f>IF(OR(Registro_Compras!$C$52="",Registro_Compras!$O$52=""),"","Cargas Imputables a Cuentas de Costos y Gastos")</f>
        <v/>
      </c>
      <c r="E441" s="20">
        <f>IF($C441="","",IF(Registro_Compras!$F$52="NOTA DE CREDITO",ROUND(ABS(Registro_Compras!$J$52*Registro_Compras!$N$52),2),""))</f>
        <v/>
      </c>
      <c r="F441" s="20">
        <f>IF($C441="","",IF(Registro_Compras!$F$52="NOTA DE CREDITO","",IF(Registro_Compras!$F$52="RHE",ROUND(Registro_Compras!$L$52*Registro_Compras!$N$52,2),ROUND(Registro_Compras!$J$52*Registro_Compras!$N$52,2))))</f>
        <v/>
      </c>
      <c r="G441">
        <f>IF($C441="","","Por el destino del gasto")</f>
        <v/>
      </c>
      <c r="H441">
        <f>IF($C441="","",Registro_Compras!$C$52)</f>
        <v/>
      </c>
    </row>
    <row r="442">
      <c r="A442" s="25">
        <f>IF($C442="","",Registro_Compras!$X$52)</f>
        <v/>
      </c>
      <c r="B442">
        <f>IF($C442="","","C"&amp;TEXT(INT((ROW()-5)/9)+1,"000")&amp;"-3")</f>
        <v/>
      </c>
      <c r="C442">
        <f>IF(OR(Registro_Compras!$C$52="",Registro_Compras!$O$52="",Registro_Compras!$R$52&lt;&gt;"SI",Registro_Compras!$X$52=""),"","4212")</f>
        <v/>
      </c>
      <c r="D442">
        <f>IF(OR(Registro_Compras!$C$52="",Registro_Compras!$O$52=""),"","Cuentas por Pagar Comerciales - Terceros")</f>
        <v/>
      </c>
      <c r="E442" s="20">
        <f>IF($C442="","",Registro_Compras!$S$52)</f>
        <v/>
      </c>
      <c r="F442" s="20">
        <f>""</f>
        <v/>
      </c>
      <c r="G442">
        <f>IF($C442="","","Por el deposito de la detraccion en el Banco de la Nacion")</f>
        <v/>
      </c>
      <c r="H442">
        <f>IF($C442="","",Registro_Compras!$C$52)</f>
        <v/>
      </c>
    </row>
    <row r="443">
      <c r="A443" s="25">
        <f>IF($C443="","",Registro_Compras!$X$52)</f>
        <v/>
      </c>
      <c r="B443">
        <f>IF($C443="","","C"&amp;TEXT(INT((ROW()-5)/9)+1,"000")&amp;"-3")</f>
        <v/>
      </c>
      <c r="C443">
        <f>IF(OR(Registro_Compras!$C$52="",Registro_Compras!$O$52="",Registro_Compras!$R$52&lt;&gt;"SI",Registro_Compras!$X$52=""),"","10413")</f>
        <v/>
      </c>
      <c r="D443">
        <f>IF(OR(Registro_Compras!$C$52="",Registro_Compras!$O$52=""),"","Efectivo y Equivalentes - Cta. Cte. Operativa")</f>
        <v/>
      </c>
      <c r="E443" s="20">
        <f>""</f>
        <v/>
      </c>
      <c r="F443" s="20">
        <f>IF($C443="","",Registro_Compras!$S$52)</f>
        <v/>
      </c>
      <c r="G443">
        <f>IF($C443="","","Por el deposito de la detraccion en el Banco de la Nacion")</f>
        <v/>
      </c>
      <c r="H443">
        <f>IF($C443="","",Registro_Compras!$C$52)</f>
        <v/>
      </c>
    </row>
    <row r="444">
      <c r="A444" s="25">
        <f>IF($C444="","",Registro_Compras!$Y$52)</f>
        <v/>
      </c>
      <c r="B444">
        <f>IF($C444="","","C"&amp;TEXT(INT((ROW()-5)/9)+1,"000")&amp;"-4")</f>
        <v/>
      </c>
      <c r="C444">
        <f>IF(OR(Registro_Compras!$C$52="",Registro_Compras!$O$52="",Registro_Compras!$Y$52="",Registro_Compras!$F$52="NOTA DE CREDITO"),"","4212")</f>
        <v/>
      </c>
      <c r="D444">
        <f>IF(OR(Registro_Compras!$C$52="",Registro_Compras!$O$52=""),"","Cuentas por Pagar Comerciales - Terceros")</f>
        <v/>
      </c>
      <c r="E444" s="20">
        <f>IF($C444="","",IF(Registro_Compras!$F$52="RHE",(ROUND(Registro_Compras!$L$52*Registro_Compras!$N$52,2)-ROUND(Registro_Compras!$V$52*Registro_Compras!$N$52,2)),ROUND(Registro_Compras!$O$52-Registro_Compras!$S$52,2)))</f>
        <v/>
      </c>
      <c r="F444" s="20">
        <f>""</f>
        <v/>
      </c>
      <c r="G444">
        <f>IF($C444="","","Por la cancelacion del saldo al proveedor")</f>
        <v/>
      </c>
      <c r="H444">
        <f>IF($C444="","",Registro_Compras!$C$52)</f>
        <v/>
      </c>
    </row>
    <row r="445">
      <c r="A445" s="25">
        <f>IF($C445="","",Registro_Compras!$Y$52)</f>
        <v/>
      </c>
      <c r="B445">
        <f>IF($C445="","","C"&amp;TEXT(INT((ROW()-5)/9)+1,"000")&amp;"-4")</f>
        <v/>
      </c>
      <c r="C445">
        <f>IF(OR(Registro_Compras!$C$52="",Registro_Compras!$O$52="",Registro_Compras!$Y$52="",Registro_Compras!$F$52="NOTA DE CREDITO"),"","10413")</f>
        <v/>
      </c>
      <c r="D445">
        <f>IF(OR(Registro_Compras!$C$52="",Registro_Compras!$O$52=""),"","Efectivo y Equivalentes - Cta. Cte. Operativa")</f>
        <v/>
      </c>
      <c r="E445" s="20">
        <f>""</f>
        <v/>
      </c>
      <c r="F445" s="20">
        <f>IF($C445="","",IF(Registro_Compras!$F$52="RHE",(ROUND(Registro_Compras!$L$52*Registro_Compras!$N$52,2)-ROUND(Registro_Compras!$V$52*Registro_Compras!$N$52,2)),ROUND(Registro_Compras!$O$52-Registro_Compras!$S$52,2)))</f>
        <v/>
      </c>
      <c r="G445">
        <f>IF($C445="","","Por la cancelacion del saldo al proveedor")</f>
        <v/>
      </c>
      <c r="H445">
        <f>IF($C445="","",Registro_Compras!$C$52)</f>
        <v/>
      </c>
    </row>
    <row r="446">
      <c r="A446" s="25">
        <f>IF($C446="","",Registro_Compras!$B$53)</f>
        <v/>
      </c>
      <c r="B446">
        <f>IF($C446="","","C"&amp;TEXT(INT((ROW()-5)/9)+1,"000")&amp;"-1")</f>
        <v/>
      </c>
      <c r="C446">
        <f>IF(OR(Registro_Compras!$C$53="",Registro_Compras!$O$53=""),"",IF(Registro_Compras!$F$53="NOTA DE CREDITO","4212",IF(Registro_Compras!$M$53="","63",Registro_Compras!$M$53)))</f>
        <v/>
      </c>
      <c r="D446">
        <f>IF(OR(Registro_Compras!$C$53="",Registro_Compras!$O$53=""),"",IF(Registro_Compras!$F$53="NOTA DE CREDITO","Cuentas por Pagar Comerciales - Terceros (Emitidas)",IF(Registro_Compras!$F$53="RHE","Honorarios Profesionales - Servicios de Terceros","Gastos de Servicios Prestados por Terceros")))</f>
        <v/>
      </c>
      <c r="E446" s="20">
        <f>IF($C446="","",IF(Registro_Compras!$F$53="NOTA DE CREDITO",ABS(Registro_Compras!$O$53),IF(Registro_Compras!$F$53="RHE",ROUND(Registro_Compras!$L$53*Registro_Compras!$N$53,2),ROUND(Registro_Compras!$J$53*Registro_Compras!$N$53,2))))</f>
        <v/>
      </c>
      <c r="F446" s="20">
        <f>""</f>
        <v/>
      </c>
      <c r="G446">
        <f>IF($C446="","",IF(Registro_Compras!$F$53="NOTA DE CREDITO","Por la nota de credito "&amp;Registro_Compras!$C$53&amp;" de "&amp;Registro_Compras!$E$53&amp;" [PATRON POR CONFIRMAR CON CONTADOR]",IF(Registro_Compras!$F$53="RHE","Por el registro del recibo por honorarios "&amp;Registro_Compras!$C$53&amp;" de "&amp;Registro_Compras!$E$53&amp;" [PATRON POR CONFIRMAR CON CONTADOR]","Por el registro de la factura "&amp;Registro_Compras!$C$53&amp;" de "&amp;Registro_Compras!$E$53)))</f>
        <v/>
      </c>
      <c r="H446">
        <f>IF($C446="","",Registro_Compras!$C$53)</f>
        <v/>
      </c>
    </row>
    <row r="447">
      <c r="A447" s="25">
        <f>IF($C447="","",Registro_Compras!$B$53)</f>
        <v/>
      </c>
      <c r="B447">
        <f>IF($C447="","","C"&amp;TEXT(INT((ROW()-5)/9)+1,"000")&amp;"-1")</f>
        <v/>
      </c>
      <c r="C447">
        <f>IF(OR(Registro_Compras!$C$53="",Registro_Compras!$O$53=""),"",IF(Registro_Compras!$F$53="RHE",IF(Registro_Compras!$V$53=0,"","40172"),IF(Registro_Compras!$F$53="NOTA DE CREDITO",IF(Registro_Compras!$M$53="","63",Registro_Compras!$M$53),IF(Registro_Compras!$K$53=0,"","40111"))))</f>
        <v/>
      </c>
      <c r="D447">
        <f>IF(OR(Registro_Compras!$C$53="",Registro_Compras!$O$53=""),"",IF(Registro_Compras!$F$53="RHE","Retencion Renta 4ta Categoria por Pagar",IF(Registro_Compras!$F$53="NOTA DE CREDITO","Gastos de Servicios Prestados por Terceros","IGV - Cuenta Propia (Credito Fiscal)")))</f>
        <v/>
      </c>
      <c r="E447" s="20">
        <f>IF($C447="","",IF(Registro_Compras!$F$53="FACTURA",ROUND(Registro_Compras!$K$53*Registro_Compras!$N$53,2),""))</f>
        <v/>
      </c>
      <c r="F447" s="20">
        <f>IF($C447="","",IF(Registro_Compras!$F$53="RHE",ROUND(Registro_Compras!$V$53*Registro_Compras!$N$53,2),IF(Registro_Compras!$F$53="NOTA DE CREDITO",ROUND(ABS(Registro_Compras!$J$53*Registro_Compras!$N$53),2),"")))</f>
        <v/>
      </c>
      <c r="G447">
        <f>IF($C447="","",IF(Registro_Compras!$F$53="NOTA DE CREDITO","Por la nota de credito "&amp;Registro_Compras!$C$53&amp;" de "&amp;Registro_Compras!$E$53&amp;" [PATRON POR CONFIRMAR CON CONTADOR]",IF(Registro_Compras!$F$53="RHE","Por el registro del recibo por honorarios "&amp;Registro_Compras!$C$53&amp;" de "&amp;Registro_Compras!$E$53&amp;" [PATRON POR CONFIRMAR CON CONTADOR]","Por el registro de la factura "&amp;Registro_Compras!$C$53&amp;" de "&amp;Registro_Compras!$E$53)))</f>
        <v/>
      </c>
      <c r="H447">
        <f>IF($C447="","",Registro_Compras!$C$53)</f>
        <v/>
      </c>
    </row>
    <row r="448">
      <c r="A448" s="25">
        <f>IF($C448="","",Registro_Compras!$B$53)</f>
        <v/>
      </c>
      <c r="B448">
        <f>IF($C448="","","C"&amp;TEXT(INT((ROW()-5)/9)+1,"000")&amp;"-1")</f>
        <v/>
      </c>
      <c r="C448">
        <f>IF(OR(Registro_Compras!$C$53="",Registro_Compras!$O$53=""),"",IF(Registro_Compras!$F$53="NOTA DE CREDITO",IF(Registro_Compras!$K$53=0,"","40111"),"4212"))</f>
        <v/>
      </c>
      <c r="D448">
        <f>IF(OR(Registro_Compras!$C$53="",Registro_Compras!$O$53=""),"",IF(Registro_Compras!$F$53="NOTA DE CREDITO","IGV - Cuenta Propia (Credito Fiscal)","Cuentas por Pagar Comerciales - Terceros (Emitidas)"))</f>
        <v/>
      </c>
      <c r="E448" s="20">
        <f>""</f>
        <v/>
      </c>
      <c r="F448" s="20">
        <f>IF($C448="","",IF(Registro_Compras!$F$53="NOTA DE CREDITO",ROUND(ABS(Registro_Compras!$K$53*Registro_Compras!$N$53),2),IF(Registro_Compras!$F$53="RHE",(ROUND(Registro_Compras!$L$53*Registro_Compras!$N$53,2)-ROUND(Registro_Compras!$V$53*Registro_Compras!$N$53,2)),Registro_Compras!$O$53)))</f>
        <v/>
      </c>
      <c r="G448">
        <f>IF($C448="","",IF(Registro_Compras!$F$53="NOTA DE CREDITO","Por la nota de credito "&amp;Registro_Compras!$C$53&amp;" de "&amp;Registro_Compras!$E$53&amp;" [PATRON POR CONFIRMAR CON CONTADOR]",IF(Registro_Compras!$F$53="RHE","Por el registro del recibo por honorarios "&amp;Registro_Compras!$C$53&amp;" de "&amp;Registro_Compras!$E$53&amp;" [PATRON POR CONFIRMAR CON CONTADOR]","Por el registro de la factura "&amp;Registro_Compras!$C$53&amp;" de "&amp;Registro_Compras!$E$53)))</f>
        <v/>
      </c>
      <c r="H448">
        <f>IF($C448="","",Registro_Compras!$C$53)</f>
        <v/>
      </c>
    </row>
    <row r="449">
      <c r="A449" s="25">
        <f>IF($C449="","",Registro_Compras!$B$53)</f>
        <v/>
      </c>
      <c r="B449">
        <f>IF($C449="","","C"&amp;TEXT(INT((ROW()-5)/9)+1,"000")&amp;"-2")</f>
        <v/>
      </c>
      <c r="C449">
        <f>IF(OR(Registro_Compras!$C$53="",Registro_Compras!$O$53=""),"",IF(Registro_Compras!$AB$53="ADMINISTRATIVO","94","95"))</f>
        <v/>
      </c>
      <c r="D449">
        <f>IF(OR(Registro_Compras!$C$53="",Registro_Compras!$O$53=""),"",IF(Registro_Compras!$AB$53="ADMINISTRATIVO","Gastos Administrativos","Gastos de Venta y Operacion"))</f>
        <v/>
      </c>
      <c r="E449" s="20">
        <f>IF($C449="","",IF(Registro_Compras!$F$53="NOTA DE CREDITO","",IF(Registro_Compras!$F$53="RHE",ROUND(Registro_Compras!$L$53*Registro_Compras!$N$53,2),ROUND(Registro_Compras!$J$53*Registro_Compras!$N$53,2))))</f>
        <v/>
      </c>
      <c r="F449" s="20">
        <f>IF($C449="","",IF(Registro_Compras!$F$53="NOTA DE CREDITO",ROUND(ABS(Registro_Compras!$J$53*Registro_Compras!$N$53),2),""))</f>
        <v/>
      </c>
      <c r="G449">
        <f>IF($C449="","","Por el destino del gasto")</f>
        <v/>
      </c>
      <c r="H449">
        <f>IF($C449="","",Registro_Compras!$C$53)</f>
        <v/>
      </c>
    </row>
    <row r="450">
      <c r="A450" s="25">
        <f>IF($C450="","",Registro_Compras!$B$53)</f>
        <v/>
      </c>
      <c r="B450">
        <f>IF($C450="","","C"&amp;TEXT(INT((ROW()-5)/9)+1,"000")&amp;"-2")</f>
        <v/>
      </c>
      <c r="C450">
        <f>IF(OR(Registro_Compras!$C$53="",Registro_Compras!$O$53=""),"","79/791")</f>
        <v/>
      </c>
      <c r="D450">
        <f>IF(OR(Registro_Compras!$C$53="",Registro_Compras!$O$53=""),"","Cargas Imputables a Cuentas de Costos y Gastos")</f>
        <v/>
      </c>
      <c r="E450" s="20">
        <f>IF($C450="","",IF(Registro_Compras!$F$53="NOTA DE CREDITO",ROUND(ABS(Registro_Compras!$J$53*Registro_Compras!$N$53),2),""))</f>
        <v/>
      </c>
      <c r="F450" s="20">
        <f>IF($C450="","",IF(Registro_Compras!$F$53="NOTA DE CREDITO","",IF(Registro_Compras!$F$53="RHE",ROUND(Registro_Compras!$L$53*Registro_Compras!$N$53,2),ROUND(Registro_Compras!$J$53*Registro_Compras!$N$53,2))))</f>
        <v/>
      </c>
      <c r="G450">
        <f>IF($C450="","","Por el destino del gasto")</f>
        <v/>
      </c>
      <c r="H450">
        <f>IF($C450="","",Registro_Compras!$C$53)</f>
        <v/>
      </c>
    </row>
    <row r="451">
      <c r="A451" s="25">
        <f>IF($C451="","",Registro_Compras!$X$53)</f>
        <v/>
      </c>
      <c r="B451">
        <f>IF($C451="","","C"&amp;TEXT(INT((ROW()-5)/9)+1,"000")&amp;"-3")</f>
        <v/>
      </c>
      <c r="C451">
        <f>IF(OR(Registro_Compras!$C$53="",Registro_Compras!$O$53="",Registro_Compras!$R$53&lt;&gt;"SI",Registro_Compras!$X$53=""),"","4212")</f>
        <v/>
      </c>
      <c r="D451">
        <f>IF(OR(Registro_Compras!$C$53="",Registro_Compras!$O$53=""),"","Cuentas por Pagar Comerciales - Terceros")</f>
        <v/>
      </c>
      <c r="E451" s="20">
        <f>IF($C451="","",Registro_Compras!$S$53)</f>
        <v/>
      </c>
      <c r="F451" s="20">
        <f>""</f>
        <v/>
      </c>
      <c r="G451">
        <f>IF($C451="","","Por el deposito de la detraccion en el Banco de la Nacion")</f>
        <v/>
      </c>
      <c r="H451">
        <f>IF($C451="","",Registro_Compras!$C$53)</f>
        <v/>
      </c>
    </row>
    <row r="452">
      <c r="A452" s="25">
        <f>IF($C452="","",Registro_Compras!$X$53)</f>
        <v/>
      </c>
      <c r="B452">
        <f>IF($C452="","","C"&amp;TEXT(INT((ROW()-5)/9)+1,"000")&amp;"-3")</f>
        <v/>
      </c>
      <c r="C452">
        <f>IF(OR(Registro_Compras!$C$53="",Registro_Compras!$O$53="",Registro_Compras!$R$53&lt;&gt;"SI",Registro_Compras!$X$53=""),"","10413")</f>
        <v/>
      </c>
      <c r="D452">
        <f>IF(OR(Registro_Compras!$C$53="",Registro_Compras!$O$53=""),"","Efectivo y Equivalentes - Cta. Cte. Operativa")</f>
        <v/>
      </c>
      <c r="E452" s="20">
        <f>""</f>
        <v/>
      </c>
      <c r="F452" s="20">
        <f>IF($C452="","",Registro_Compras!$S$53)</f>
        <v/>
      </c>
      <c r="G452">
        <f>IF($C452="","","Por el deposito de la detraccion en el Banco de la Nacion")</f>
        <v/>
      </c>
      <c r="H452">
        <f>IF($C452="","",Registro_Compras!$C$53)</f>
        <v/>
      </c>
    </row>
    <row r="453">
      <c r="A453" s="25">
        <f>IF($C453="","",Registro_Compras!$Y$53)</f>
        <v/>
      </c>
      <c r="B453">
        <f>IF($C453="","","C"&amp;TEXT(INT((ROW()-5)/9)+1,"000")&amp;"-4")</f>
        <v/>
      </c>
      <c r="C453">
        <f>IF(OR(Registro_Compras!$C$53="",Registro_Compras!$O$53="",Registro_Compras!$Y$53="",Registro_Compras!$F$53="NOTA DE CREDITO"),"","4212")</f>
        <v/>
      </c>
      <c r="D453">
        <f>IF(OR(Registro_Compras!$C$53="",Registro_Compras!$O$53=""),"","Cuentas por Pagar Comerciales - Terceros")</f>
        <v/>
      </c>
      <c r="E453" s="20">
        <f>IF($C453="","",IF(Registro_Compras!$F$53="RHE",(ROUND(Registro_Compras!$L$53*Registro_Compras!$N$53,2)-ROUND(Registro_Compras!$V$53*Registro_Compras!$N$53,2)),ROUND(Registro_Compras!$O$53-Registro_Compras!$S$53,2)))</f>
        <v/>
      </c>
      <c r="F453" s="20">
        <f>""</f>
        <v/>
      </c>
      <c r="G453">
        <f>IF($C453="","","Por la cancelacion del saldo al proveedor")</f>
        <v/>
      </c>
      <c r="H453">
        <f>IF($C453="","",Registro_Compras!$C$53)</f>
        <v/>
      </c>
    </row>
    <row r="454">
      <c r="A454" s="25">
        <f>IF($C454="","",Registro_Compras!$Y$53)</f>
        <v/>
      </c>
      <c r="B454">
        <f>IF($C454="","","C"&amp;TEXT(INT((ROW()-5)/9)+1,"000")&amp;"-4")</f>
        <v/>
      </c>
      <c r="C454">
        <f>IF(OR(Registro_Compras!$C$53="",Registro_Compras!$O$53="",Registro_Compras!$Y$53="",Registro_Compras!$F$53="NOTA DE CREDITO"),"","10413")</f>
        <v/>
      </c>
      <c r="D454">
        <f>IF(OR(Registro_Compras!$C$53="",Registro_Compras!$O$53=""),"","Efectivo y Equivalentes - Cta. Cte. Operativa")</f>
        <v/>
      </c>
      <c r="E454" s="20">
        <f>""</f>
        <v/>
      </c>
      <c r="F454" s="20">
        <f>IF($C454="","",IF(Registro_Compras!$F$53="RHE",(ROUND(Registro_Compras!$L$53*Registro_Compras!$N$53,2)-ROUND(Registro_Compras!$V$53*Registro_Compras!$N$53,2)),ROUND(Registro_Compras!$O$53-Registro_Compras!$S$53,2)))</f>
        <v/>
      </c>
      <c r="G454">
        <f>IF($C454="","","Por la cancelacion del saldo al proveedor")</f>
        <v/>
      </c>
      <c r="H454">
        <f>IF($C454="","",Registro_Compras!$C$53)</f>
        <v/>
      </c>
    </row>
    <row r="455">
      <c r="A455" s="25">
        <f>IF($C455="","",Registro_Compras!$B$54)</f>
        <v/>
      </c>
      <c r="B455">
        <f>IF($C455="","","C"&amp;TEXT(INT((ROW()-5)/9)+1,"000")&amp;"-1")</f>
        <v/>
      </c>
      <c r="C455">
        <f>IF(OR(Registro_Compras!$C$54="",Registro_Compras!$O$54=""),"",IF(Registro_Compras!$F$54="NOTA DE CREDITO","4212",IF(Registro_Compras!$M$54="","63",Registro_Compras!$M$54)))</f>
        <v/>
      </c>
      <c r="D455">
        <f>IF(OR(Registro_Compras!$C$54="",Registro_Compras!$O$54=""),"",IF(Registro_Compras!$F$54="NOTA DE CREDITO","Cuentas por Pagar Comerciales - Terceros (Emitidas)",IF(Registro_Compras!$F$54="RHE","Honorarios Profesionales - Servicios de Terceros","Gastos de Servicios Prestados por Terceros")))</f>
        <v/>
      </c>
      <c r="E455" s="20">
        <f>IF($C455="","",IF(Registro_Compras!$F$54="NOTA DE CREDITO",ABS(Registro_Compras!$O$54),IF(Registro_Compras!$F$54="RHE",ROUND(Registro_Compras!$L$54*Registro_Compras!$N$54,2),ROUND(Registro_Compras!$J$54*Registro_Compras!$N$54,2))))</f>
        <v/>
      </c>
      <c r="F455" s="20">
        <f>""</f>
        <v/>
      </c>
      <c r="G455">
        <f>IF($C455="","",IF(Registro_Compras!$F$54="NOTA DE CREDITO","Por la nota de credito "&amp;Registro_Compras!$C$54&amp;" de "&amp;Registro_Compras!$E$54&amp;" [PATRON POR CONFIRMAR CON CONTADOR]",IF(Registro_Compras!$F$54="RHE","Por el registro del recibo por honorarios "&amp;Registro_Compras!$C$54&amp;" de "&amp;Registro_Compras!$E$54&amp;" [PATRON POR CONFIRMAR CON CONTADOR]","Por el registro de la factura "&amp;Registro_Compras!$C$54&amp;" de "&amp;Registro_Compras!$E$54)))</f>
        <v/>
      </c>
      <c r="H455">
        <f>IF($C455="","",Registro_Compras!$C$54)</f>
        <v/>
      </c>
    </row>
    <row r="456">
      <c r="A456" s="25">
        <f>IF($C456="","",Registro_Compras!$B$54)</f>
        <v/>
      </c>
      <c r="B456">
        <f>IF($C456="","","C"&amp;TEXT(INT((ROW()-5)/9)+1,"000")&amp;"-1")</f>
        <v/>
      </c>
      <c r="C456">
        <f>IF(OR(Registro_Compras!$C$54="",Registro_Compras!$O$54=""),"",IF(Registro_Compras!$F$54="RHE",IF(Registro_Compras!$V$54=0,"","40172"),IF(Registro_Compras!$F$54="NOTA DE CREDITO",IF(Registro_Compras!$M$54="","63",Registro_Compras!$M$54),IF(Registro_Compras!$K$54=0,"","40111"))))</f>
        <v/>
      </c>
      <c r="D456">
        <f>IF(OR(Registro_Compras!$C$54="",Registro_Compras!$O$54=""),"",IF(Registro_Compras!$F$54="RHE","Retencion Renta 4ta Categoria por Pagar",IF(Registro_Compras!$F$54="NOTA DE CREDITO","Gastos de Servicios Prestados por Terceros","IGV - Cuenta Propia (Credito Fiscal)")))</f>
        <v/>
      </c>
      <c r="E456" s="20">
        <f>IF($C456="","",IF(Registro_Compras!$F$54="FACTURA",ROUND(Registro_Compras!$K$54*Registro_Compras!$N$54,2),""))</f>
        <v/>
      </c>
      <c r="F456" s="20">
        <f>IF($C456="","",IF(Registro_Compras!$F$54="RHE",ROUND(Registro_Compras!$V$54*Registro_Compras!$N$54,2),IF(Registro_Compras!$F$54="NOTA DE CREDITO",ROUND(ABS(Registro_Compras!$J$54*Registro_Compras!$N$54),2),"")))</f>
        <v/>
      </c>
      <c r="G456">
        <f>IF($C456="","",IF(Registro_Compras!$F$54="NOTA DE CREDITO","Por la nota de credito "&amp;Registro_Compras!$C$54&amp;" de "&amp;Registro_Compras!$E$54&amp;" [PATRON POR CONFIRMAR CON CONTADOR]",IF(Registro_Compras!$F$54="RHE","Por el registro del recibo por honorarios "&amp;Registro_Compras!$C$54&amp;" de "&amp;Registro_Compras!$E$54&amp;" [PATRON POR CONFIRMAR CON CONTADOR]","Por el registro de la factura "&amp;Registro_Compras!$C$54&amp;" de "&amp;Registro_Compras!$E$54)))</f>
        <v/>
      </c>
      <c r="H456">
        <f>IF($C456="","",Registro_Compras!$C$54)</f>
        <v/>
      </c>
    </row>
    <row r="457">
      <c r="A457" s="25">
        <f>IF($C457="","",Registro_Compras!$B$54)</f>
        <v/>
      </c>
      <c r="B457">
        <f>IF($C457="","","C"&amp;TEXT(INT((ROW()-5)/9)+1,"000")&amp;"-1")</f>
        <v/>
      </c>
      <c r="C457">
        <f>IF(OR(Registro_Compras!$C$54="",Registro_Compras!$O$54=""),"",IF(Registro_Compras!$F$54="NOTA DE CREDITO",IF(Registro_Compras!$K$54=0,"","40111"),"4212"))</f>
        <v/>
      </c>
      <c r="D457">
        <f>IF(OR(Registro_Compras!$C$54="",Registro_Compras!$O$54=""),"",IF(Registro_Compras!$F$54="NOTA DE CREDITO","IGV - Cuenta Propia (Credito Fiscal)","Cuentas por Pagar Comerciales - Terceros (Emitidas)"))</f>
        <v/>
      </c>
      <c r="E457" s="20">
        <f>""</f>
        <v/>
      </c>
      <c r="F457" s="20">
        <f>IF($C457="","",IF(Registro_Compras!$F$54="NOTA DE CREDITO",ROUND(ABS(Registro_Compras!$K$54*Registro_Compras!$N$54),2),IF(Registro_Compras!$F$54="RHE",(ROUND(Registro_Compras!$L$54*Registro_Compras!$N$54,2)-ROUND(Registro_Compras!$V$54*Registro_Compras!$N$54,2)),Registro_Compras!$O$54)))</f>
        <v/>
      </c>
      <c r="G457">
        <f>IF($C457="","",IF(Registro_Compras!$F$54="NOTA DE CREDITO","Por la nota de credito "&amp;Registro_Compras!$C$54&amp;" de "&amp;Registro_Compras!$E$54&amp;" [PATRON POR CONFIRMAR CON CONTADOR]",IF(Registro_Compras!$F$54="RHE","Por el registro del recibo por honorarios "&amp;Registro_Compras!$C$54&amp;" de "&amp;Registro_Compras!$E$54&amp;" [PATRON POR CONFIRMAR CON CONTADOR]","Por el registro de la factura "&amp;Registro_Compras!$C$54&amp;" de "&amp;Registro_Compras!$E$54)))</f>
        <v/>
      </c>
      <c r="H457">
        <f>IF($C457="","",Registro_Compras!$C$54)</f>
        <v/>
      </c>
    </row>
    <row r="458">
      <c r="A458" s="25">
        <f>IF($C458="","",Registro_Compras!$B$54)</f>
        <v/>
      </c>
      <c r="B458">
        <f>IF($C458="","","C"&amp;TEXT(INT((ROW()-5)/9)+1,"000")&amp;"-2")</f>
        <v/>
      </c>
      <c r="C458">
        <f>IF(OR(Registro_Compras!$C$54="",Registro_Compras!$O$54=""),"",IF(Registro_Compras!$AB$54="ADMINISTRATIVO","94","95"))</f>
        <v/>
      </c>
      <c r="D458">
        <f>IF(OR(Registro_Compras!$C$54="",Registro_Compras!$O$54=""),"",IF(Registro_Compras!$AB$54="ADMINISTRATIVO","Gastos Administrativos","Gastos de Venta y Operacion"))</f>
        <v/>
      </c>
      <c r="E458" s="20">
        <f>IF($C458="","",IF(Registro_Compras!$F$54="NOTA DE CREDITO","",IF(Registro_Compras!$F$54="RHE",ROUND(Registro_Compras!$L$54*Registro_Compras!$N$54,2),ROUND(Registro_Compras!$J$54*Registro_Compras!$N$54,2))))</f>
        <v/>
      </c>
      <c r="F458" s="20">
        <f>IF($C458="","",IF(Registro_Compras!$F$54="NOTA DE CREDITO",ROUND(ABS(Registro_Compras!$J$54*Registro_Compras!$N$54),2),""))</f>
        <v/>
      </c>
      <c r="G458">
        <f>IF($C458="","","Por el destino del gasto")</f>
        <v/>
      </c>
      <c r="H458">
        <f>IF($C458="","",Registro_Compras!$C$54)</f>
        <v/>
      </c>
    </row>
    <row r="459">
      <c r="A459" s="25">
        <f>IF($C459="","",Registro_Compras!$B$54)</f>
        <v/>
      </c>
      <c r="B459">
        <f>IF($C459="","","C"&amp;TEXT(INT((ROW()-5)/9)+1,"000")&amp;"-2")</f>
        <v/>
      </c>
      <c r="C459">
        <f>IF(OR(Registro_Compras!$C$54="",Registro_Compras!$O$54=""),"","79/791")</f>
        <v/>
      </c>
      <c r="D459">
        <f>IF(OR(Registro_Compras!$C$54="",Registro_Compras!$O$54=""),"","Cargas Imputables a Cuentas de Costos y Gastos")</f>
        <v/>
      </c>
      <c r="E459" s="20">
        <f>IF($C459="","",IF(Registro_Compras!$F$54="NOTA DE CREDITO",ROUND(ABS(Registro_Compras!$J$54*Registro_Compras!$N$54),2),""))</f>
        <v/>
      </c>
      <c r="F459" s="20">
        <f>IF($C459="","",IF(Registro_Compras!$F$54="NOTA DE CREDITO","",IF(Registro_Compras!$F$54="RHE",ROUND(Registro_Compras!$L$54*Registro_Compras!$N$54,2),ROUND(Registro_Compras!$J$54*Registro_Compras!$N$54,2))))</f>
        <v/>
      </c>
      <c r="G459">
        <f>IF($C459="","","Por el destino del gasto")</f>
        <v/>
      </c>
      <c r="H459">
        <f>IF($C459="","",Registro_Compras!$C$54)</f>
        <v/>
      </c>
    </row>
    <row r="460">
      <c r="A460" s="25">
        <f>IF($C460="","",Registro_Compras!$X$54)</f>
        <v/>
      </c>
      <c r="B460">
        <f>IF($C460="","","C"&amp;TEXT(INT((ROW()-5)/9)+1,"000")&amp;"-3")</f>
        <v/>
      </c>
      <c r="C460">
        <f>IF(OR(Registro_Compras!$C$54="",Registro_Compras!$O$54="",Registro_Compras!$R$54&lt;&gt;"SI",Registro_Compras!$X$54=""),"","4212")</f>
        <v/>
      </c>
      <c r="D460">
        <f>IF(OR(Registro_Compras!$C$54="",Registro_Compras!$O$54=""),"","Cuentas por Pagar Comerciales - Terceros")</f>
        <v/>
      </c>
      <c r="E460" s="20">
        <f>IF($C460="","",Registro_Compras!$S$54)</f>
        <v/>
      </c>
      <c r="F460" s="20">
        <f>""</f>
        <v/>
      </c>
      <c r="G460">
        <f>IF($C460="","","Por el deposito de la detraccion en el Banco de la Nacion")</f>
        <v/>
      </c>
      <c r="H460">
        <f>IF($C460="","",Registro_Compras!$C$54)</f>
        <v/>
      </c>
    </row>
    <row r="461">
      <c r="A461" s="25">
        <f>IF($C461="","",Registro_Compras!$X$54)</f>
        <v/>
      </c>
      <c r="B461">
        <f>IF($C461="","","C"&amp;TEXT(INT((ROW()-5)/9)+1,"000")&amp;"-3")</f>
        <v/>
      </c>
      <c r="C461">
        <f>IF(OR(Registro_Compras!$C$54="",Registro_Compras!$O$54="",Registro_Compras!$R$54&lt;&gt;"SI",Registro_Compras!$X$54=""),"","10413")</f>
        <v/>
      </c>
      <c r="D461">
        <f>IF(OR(Registro_Compras!$C$54="",Registro_Compras!$O$54=""),"","Efectivo y Equivalentes - Cta. Cte. Operativa")</f>
        <v/>
      </c>
      <c r="E461" s="20">
        <f>""</f>
        <v/>
      </c>
      <c r="F461" s="20">
        <f>IF($C461="","",Registro_Compras!$S$54)</f>
        <v/>
      </c>
      <c r="G461">
        <f>IF($C461="","","Por el deposito de la detraccion en el Banco de la Nacion")</f>
        <v/>
      </c>
      <c r="H461">
        <f>IF($C461="","",Registro_Compras!$C$54)</f>
        <v/>
      </c>
    </row>
    <row r="462">
      <c r="A462" s="25">
        <f>IF($C462="","",Registro_Compras!$Y$54)</f>
        <v/>
      </c>
      <c r="B462">
        <f>IF($C462="","","C"&amp;TEXT(INT((ROW()-5)/9)+1,"000")&amp;"-4")</f>
        <v/>
      </c>
      <c r="C462">
        <f>IF(OR(Registro_Compras!$C$54="",Registro_Compras!$O$54="",Registro_Compras!$Y$54="",Registro_Compras!$F$54="NOTA DE CREDITO"),"","4212")</f>
        <v/>
      </c>
      <c r="D462">
        <f>IF(OR(Registro_Compras!$C$54="",Registro_Compras!$O$54=""),"","Cuentas por Pagar Comerciales - Terceros")</f>
        <v/>
      </c>
      <c r="E462" s="20">
        <f>IF($C462="","",IF(Registro_Compras!$F$54="RHE",(ROUND(Registro_Compras!$L$54*Registro_Compras!$N$54,2)-ROUND(Registro_Compras!$V$54*Registro_Compras!$N$54,2)),ROUND(Registro_Compras!$O$54-Registro_Compras!$S$54,2)))</f>
        <v/>
      </c>
      <c r="F462" s="20">
        <f>""</f>
        <v/>
      </c>
      <c r="G462">
        <f>IF($C462="","","Por la cancelacion del saldo al proveedor")</f>
        <v/>
      </c>
      <c r="H462">
        <f>IF($C462="","",Registro_Compras!$C$54)</f>
        <v/>
      </c>
    </row>
    <row r="463">
      <c r="A463" s="25">
        <f>IF($C463="","",Registro_Compras!$Y$54)</f>
        <v/>
      </c>
      <c r="B463">
        <f>IF($C463="","","C"&amp;TEXT(INT((ROW()-5)/9)+1,"000")&amp;"-4")</f>
        <v/>
      </c>
      <c r="C463">
        <f>IF(OR(Registro_Compras!$C$54="",Registro_Compras!$O$54="",Registro_Compras!$Y$54="",Registro_Compras!$F$54="NOTA DE CREDITO"),"","10413")</f>
        <v/>
      </c>
      <c r="D463">
        <f>IF(OR(Registro_Compras!$C$54="",Registro_Compras!$O$54=""),"","Efectivo y Equivalentes - Cta. Cte. Operativa")</f>
        <v/>
      </c>
      <c r="E463" s="20">
        <f>""</f>
        <v/>
      </c>
      <c r="F463" s="20">
        <f>IF($C463="","",IF(Registro_Compras!$F$54="RHE",(ROUND(Registro_Compras!$L$54*Registro_Compras!$N$54,2)-ROUND(Registro_Compras!$V$54*Registro_Compras!$N$54,2)),ROUND(Registro_Compras!$O$54-Registro_Compras!$S$54,2)))</f>
        <v/>
      </c>
      <c r="G463">
        <f>IF($C463="","","Por la cancelacion del saldo al proveedor")</f>
        <v/>
      </c>
      <c r="H463">
        <f>IF($C463="","",Registro_Compras!$C$54)</f>
        <v/>
      </c>
    </row>
    <row r="464">
      <c r="A464" s="25">
        <f>IF($C464="","",Registro_Compras!$B$55)</f>
        <v/>
      </c>
      <c r="B464">
        <f>IF($C464="","","C"&amp;TEXT(INT((ROW()-5)/9)+1,"000")&amp;"-1")</f>
        <v/>
      </c>
      <c r="C464">
        <f>IF(OR(Registro_Compras!$C$55="",Registro_Compras!$O$55=""),"",IF(Registro_Compras!$F$55="NOTA DE CREDITO","4212",IF(Registro_Compras!$M$55="","63",Registro_Compras!$M$55)))</f>
        <v/>
      </c>
      <c r="D464">
        <f>IF(OR(Registro_Compras!$C$55="",Registro_Compras!$O$55=""),"",IF(Registro_Compras!$F$55="NOTA DE CREDITO","Cuentas por Pagar Comerciales - Terceros (Emitidas)",IF(Registro_Compras!$F$55="RHE","Honorarios Profesionales - Servicios de Terceros","Gastos de Servicios Prestados por Terceros")))</f>
        <v/>
      </c>
      <c r="E464" s="20">
        <f>IF($C464="","",IF(Registro_Compras!$F$55="NOTA DE CREDITO",ABS(Registro_Compras!$O$55),IF(Registro_Compras!$F$55="RHE",ROUND(Registro_Compras!$L$55*Registro_Compras!$N$55,2),ROUND(Registro_Compras!$J$55*Registro_Compras!$N$55,2))))</f>
        <v/>
      </c>
      <c r="F464" s="20">
        <f>""</f>
        <v/>
      </c>
      <c r="G464">
        <f>IF($C464="","",IF(Registro_Compras!$F$55="NOTA DE CREDITO","Por la nota de credito "&amp;Registro_Compras!$C$55&amp;" de "&amp;Registro_Compras!$E$55&amp;" [PATRON POR CONFIRMAR CON CONTADOR]",IF(Registro_Compras!$F$55="RHE","Por el registro del recibo por honorarios "&amp;Registro_Compras!$C$55&amp;" de "&amp;Registro_Compras!$E$55&amp;" [PATRON POR CONFIRMAR CON CONTADOR]","Por el registro de la factura "&amp;Registro_Compras!$C$55&amp;" de "&amp;Registro_Compras!$E$55)))</f>
        <v/>
      </c>
      <c r="H464">
        <f>IF($C464="","",Registro_Compras!$C$55)</f>
        <v/>
      </c>
    </row>
    <row r="465">
      <c r="A465" s="25">
        <f>IF($C465="","",Registro_Compras!$B$55)</f>
        <v/>
      </c>
      <c r="B465">
        <f>IF($C465="","","C"&amp;TEXT(INT((ROW()-5)/9)+1,"000")&amp;"-1")</f>
        <v/>
      </c>
      <c r="C465">
        <f>IF(OR(Registro_Compras!$C$55="",Registro_Compras!$O$55=""),"",IF(Registro_Compras!$F$55="RHE",IF(Registro_Compras!$V$55=0,"","40172"),IF(Registro_Compras!$F$55="NOTA DE CREDITO",IF(Registro_Compras!$M$55="","63",Registro_Compras!$M$55),IF(Registro_Compras!$K$55=0,"","40111"))))</f>
        <v/>
      </c>
      <c r="D465">
        <f>IF(OR(Registro_Compras!$C$55="",Registro_Compras!$O$55=""),"",IF(Registro_Compras!$F$55="RHE","Retencion Renta 4ta Categoria por Pagar",IF(Registro_Compras!$F$55="NOTA DE CREDITO","Gastos de Servicios Prestados por Terceros","IGV - Cuenta Propia (Credito Fiscal)")))</f>
        <v/>
      </c>
      <c r="E465" s="20">
        <f>IF($C465="","",IF(Registro_Compras!$F$55="FACTURA",ROUND(Registro_Compras!$K$55*Registro_Compras!$N$55,2),""))</f>
        <v/>
      </c>
      <c r="F465" s="20">
        <f>IF($C465="","",IF(Registro_Compras!$F$55="RHE",ROUND(Registro_Compras!$V$55*Registro_Compras!$N$55,2),IF(Registro_Compras!$F$55="NOTA DE CREDITO",ROUND(ABS(Registro_Compras!$J$55*Registro_Compras!$N$55),2),"")))</f>
        <v/>
      </c>
      <c r="G465">
        <f>IF($C465="","",IF(Registro_Compras!$F$55="NOTA DE CREDITO","Por la nota de credito "&amp;Registro_Compras!$C$55&amp;" de "&amp;Registro_Compras!$E$55&amp;" [PATRON POR CONFIRMAR CON CONTADOR]",IF(Registro_Compras!$F$55="RHE","Por el registro del recibo por honorarios "&amp;Registro_Compras!$C$55&amp;" de "&amp;Registro_Compras!$E$55&amp;" [PATRON POR CONFIRMAR CON CONTADOR]","Por el registro de la factura "&amp;Registro_Compras!$C$55&amp;" de "&amp;Registro_Compras!$E$55)))</f>
        <v/>
      </c>
      <c r="H465">
        <f>IF($C465="","",Registro_Compras!$C$55)</f>
        <v/>
      </c>
    </row>
    <row r="466">
      <c r="A466" s="25">
        <f>IF($C466="","",Registro_Compras!$B$55)</f>
        <v/>
      </c>
      <c r="B466">
        <f>IF($C466="","","C"&amp;TEXT(INT((ROW()-5)/9)+1,"000")&amp;"-1")</f>
        <v/>
      </c>
      <c r="C466">
        <f>IF(OR(Registro_Compras!$C$55="",Registro_Compras!$O$55=""),"",IF(Registro_Compras!$F$55="NOTA DE CREDITO",IF(Registro_Compras!$K$55=0,"","40111"),"4212"))</f>
        <v/>
      </c>
      <c r="D466">
        <f>IF(OR(Registro_Compras!$C$55="",Registro_Compras!$O$55=""),"",IF(Registro_Compras!$F$55="NOTA DE CREDITO","IGV - Cuenta Propia (Credito Fiscal)","Cuentas por Pagar Comerciales - Terceros (Emitidas)"))</f>
        <v/>
      </c>
      <c r="E466" s="20">
        <f>""</f>
        <v/>
      </c>
      <c r="F466" s="20">
        <f>IF($C466="","",IF(Registro_Compras!$F$55="NOTA DE CREDITO",ROUND(ABS(Registro_Compras!$K$55*Registro_Compras!$N$55),2),IF(Registro_Compras!$F$55="RHE",(ROUND(Registro_Compras!$L$55*Registro_Compras!$N$55,2)-ROUND(Registro_Compras!$V$55*Registro_Compras!$N$55,2)),Registro_Compras!$O$55)))</f>
        <v/>
      </c>
      <c r="G466">
        <f>IF($C466="","",IF(Registro_Compras!$F$55="NOTA DE CREDITO","Por la nota de credito "&amp;Registro_Compras!$C$55&amp;" de "&amp;Registro_Compras!$E$55&amp;" [PATRON POR CONFIRMAR CON CONTADOR]",IF(Registro_Compras!$F$55="RHE","Por el registro del recibo por honorarios "&amp;Registro_Compras!$C$55&amp;" de "&amp;Registro_Compras!$E$55&amp;" [PATRON POR CONFIRMAR CON CONTADOR]","Por el registro de la factura "&amp;Registro_Compras!$C$55&amp;" de "&amp;Registro_Compras!$E$55)))</f>
        <v/>
      </c>
      <c r="H466">
        <f>IF($C466="","",Registro_Compras!$C$55)</f>
        <v/>
      </c>
    </row>
    <row r="467">
      <c r="A467" s="25">
        <f>IF($C467="","",Registro_Compras!$B$55)</f>
        <v/>
      </c>
      <c r="B467">
        <f>IF($C467="","","C"&amp;TEXT(INT((ROW()-5)/9)+1,"000")&amp;"-2")</f>
        <v/>
      </c>
      <c r="C467">
        <f>IF(OR(Registro_Compras!$C$55="",Registro_Compras!$O$55=""),"",IF(Registro_Compras!$AB$55="ADMINISTRATIVO","94","95"))</f>
        <v/>
      </c>
      <c r="D467">
        <f>IF(OR(Registro_Compras!$C$55="",Registro_Compras!$O$55=""),"",IF(Registro_Compras!$AB$55="ADMINISTRATIVO","Gastos Administrativos","Gastos de Venta y Operacion"))</f>
        <v/>
      </c>
      <c r="E467" s="20">
        <f>IF($C467="","",IF(Registro_Compras!$F$55="NOTA DE CREDITO","",IF(Registro_Compras!$F$55="RHE",ROUND(Registro_Compras!$L$55*Registro_Compras!$N$55,2),ROUND(Registro_Compras!$J$55*Registro_Compras!$N$55,2))))</f>
        <v/>
      </c>
      <c r="F467" s="20">
        <f>IF($C467="","",IF(Registro_Compras!$F$55="NOTA DE CREDITO",ROUND(ABS(Registro_Compras!$J$55*Registro_Compras!$N$55),2),""))</f>
        <v/>
      </c>
      <c r="G467">
        <f>IF($C467="","","Por el destino del gasto")</f>
        <v/>
      </c>
      <c r="H467">
        <f>IF($C467="","",Registro_Compras!$C$55)</f>
        <v/>
      </c>
    </row>
    <row r="468">
      <c r="A468" s="25">
        <f>IF($C468="","",Registro_Compras!$B$55)</f>
        <v/>
      </c>
      <c r="B468">
        <f>IF($C468="","","C"&amp;TEXT(INT((ROW()-5)/9)+1,"000")&amp;"-2")</f>
        <v/>
      </c>
      <c r="C468">
        <f>IF(OR(Registro_Compras!$C$55="",Registro_Compras!$O$55=""),"","79/791")</f>
        <v/>
      </c>
      <c r="D468">
        <f>IF(OR(Registro_Compras!$C$55="",Registro_Compras!$O$55=""),"","Cargas Imputables a Cuentas de Costos y Gastos")</f>
        <v/>
      </c>
      <c r="E468" s="20">
        <f>IF($C468="","",IF(Registro_Compras!$F$55="NOTA DE CREDITO",ROUND(ABS(Registro_Compras!$J$55*Registro_Compras!$N$55),2),""))</f>
        <v/>
      </c>
      <c r="F468" s="20">
        <f>IF($C468="","",IF(Registro_Compras!$F$55="NOTA DE CREDITO","",IF(Registro_Compras!$F$55="RHE",ROUND(Registro_Compras!$L$55*Registro_Compras!$N$55,2),ROUND(Registro_Compras!$J$55*Registro_Compras!$N$55,2))))</f>
        <v/>
      </c>
      <c r="G468">
        <f>IF($C468="","","Por el destino del gasto")</f>
        <v/>
      </c>
      <c r="H468">
        <f>IF($C468="","",Registro_Compras!$C$55)</f>
        <v/>
      </c>
    </row>
    <row r="469">
      <c r="A469" s="25">
        <f>IF($C469="","",Registro_Compras!$X$55)</f>
        <v/>
      </c>
      <c r="B469">
        <f>IF($C469="","","C"&amp;TEXT(INT((ROW()-5)/9)+1,"000")&amp;"-3")</f>
        <v/>
      </c>
      <c r="C469">
        <f>IF(OR(Registro_Compras!$C$55="",Registro_Compras!$O$55="",Registro_Compras!$R$55&lt;&gt;"SI",Registro_Compras!$X$55=""),"","4212")</f>
        <v/>
      </c>
      <c r="D469">
        <f>IF(OR(Registro_Compras!$C$55="",Registro_Compras!$O$55=""),"","Cuentas por Pagar Comerciales - Terceros")</f>
        <v/>
      </c>
      <c r="E469" s="20">
        <f>IF($C469="","",Registro_Compras!$S$55)</f>
        <v/>
      </c>
      <c r="F469" s="20">
        <f>""</f>
        <v/>
      </c>
      <c r="G469">
        <f>IF($C469="","","Por el deposito de la detraccion en el Banco de la Nacion")</f>
        <v/>
      </c>
      <c r="H469">
        <f>IF($C469="","",Registro_Compras!$C$55)</f>
        <v/>
      </c>
    </row>
    <row r="470">
      <c r="A470" s="25">
        <f>IF($C470="","",Registro_Compras!$X$55)</f>
        <v/>
      </c>
      <c r="B470">
        <f>IF($C470="","","C"&amp;TEXT(INT((ROW()-5)/9)+1,"000")&amp;"-3")</f>
        <v/>
      </c>
      <c r="C470">
        <f>IF(OR(Registro_Compras!$C$55="",Registro_Compras!$O$55="",Registro_Compras!$R$55&lt;&gt;"SI",Registro_Compras!$X$55=""),"","10413")</f>
        <v/>
      </c>
      <c r="D470">
        <f>IF(OR(Registro_Compras!$C$55="",Registro_Compras!$O$55=""),"","Efectivo y Equivalentes - Cta. Cte. Operativa")</f>
        <v/>
      </c>
      <c r="E470" s="20">
        <f>""</f>
        <v/>
      </c>
      <c r="F470" s="20">
        <f>IF($C470="","",Registro_Compras!$S$55)</f>
        <v/>
      </c>
      <c r="G470">
        <f>IF($C470="","","Por el deposito de la detraccion en el Banco de la Nacion")</f>
        <v/>
      </c>
      <c r="H470">
        <f>IF($C470="","",Registro_Compras!$C$55)</f>
        <v/>
      </c>
    </row>
    <row r="471">
      <c r="A471" s="25">
        <f>IF($C471="","",Registro_Compras!$Y$55)</f>
        <v/>
      </c>
      <c r="B471">
        <f>IF($C471="","","C"&amp;TEXT(INT((ROW()-5)/9)+1,"000")&amp;"-4")</f>
        <v/>
      </c>
      <c r="C471">
        <f>IF(OR(Registro_Compras!$C$55="",Registro_Compras!$O$55="",Registro_Compras!$Y$55="",Registro_Compras!$F$55="NOTA DE CREDITO"),"","4212")</f>
        <v/>
      </c>
      <c r="D471">
        <f>IF(OR(Registro_Compras!$C$55="",Registro_Compras!$O$55=""),"","Cuentas por Pagar Comerciales - Terceros")</f>
        <v/>
      </c>
      <c r="E471" s="20">
        <f>IF($C471="","",IF(Registro_Compras!$F$55="RHE",(ROUND(Registro_Compras!$L$55*Registro_Compras!$N$55,2)-ROUND(Registro_Compras!$V$55*Registro_Compras!$N$55,2)),ROUND(Registro_Compras!$O$55-Registro_Compras!$S$55,2)))</f>
        <v/>
      </c>
      <c r="F471" s="20">
        <f>""</f>
        <v/>
      </c>
      <c r="G471">
        <f>IF($C471="","","Por la cancelacion del saldo al proveedor")</f>
        <v/>
      </c>
      <c r="H471">
        <f>IF($C471="","",Registro_Compras!$C$55)</f>
        <v/>
      </c>
    </row>
    <row r="472">
      <c r="A472" s="25">
        <f>IF($C472="","",Registro_Compras!$Y$55)</f>
        <v/>
      </c>
      <c r="B472">
        <f>IF($C472="","","C"&amp;TEXT(INT((ROW()-5)/9)+1,"000")&amp;"-4")</f>
        <v/>
      </c>
      <c r="C472">
        <f>IF(OR(Registro_Compras!$C$55="",Registro_Compras!$O$55="",Registro_Compras!$Y$55="",Registro_Compras!$F$55="NOTA DE CREDITO"),"","10413")</f>
        <v/>
      </c>
      <c r="D472">
        <f>IF(OR(Registro_Compras!$C$55="",Registro_Compras!$O$55=""),"","Efectivo y Equivalentes - Cta. Cte. Operativa")</f>
        <v/>
      </c>
      <c r="E472" s="20">
        <f>""</f>
        <v/>
      </c>
      <c r="F472" s="20">
        <f>IF($C472="","",IF(Registro_Compras!$F$55="RHE",(ROUND(Registro_Compras!$L$55*Registro_Compras!$N$55,2)-ROUND(Registro_Compras!$V$55*Registro_Compras!$N$55,2)),ROUND(Registro_Compras!$O$55-Registro_Compras!$S$55,2)))</f>
        <v/>
      </c>
      <c r="G472">
        <f>IF($C472="","","Por la cancelacion del saldo al proveedor")</f>
        <v/>
      </c>
      <c r="H472">
        <f>IF($C472="","",Registro_Compras!$C$55)</f>
        <v/>
      </c>
    </row>
    <row r="473">
      <c r="A473" s="25">
        <f>IF($C473="","",Registro_Compras!$B$56)</f>
        <v/>
      </c>
      <c r="B473">
        <f>IF($C473="","","C"&amp;TEXT(INT((ROW()-5)/9)+1,"000")&amp;"-1")</f>
        <v/>
      </c>
      <c r="C473">
        <f>IF(OR(Registro_Compras!$C$56="",Registro_Compras!$O$56=""),"",IF(Registro_Compras!$F$56="NOTA DE CREDITO","4212",IF(Registro_Compras!$M$56="","63",Registro_Compras!$M$56)))</f>
        <v/>
      </c>
      <c r="D473">
        <f>IF(OR(Registro_Compras!$C$56="",Registro_Compras!$O$56=""),"",IF(Registro_Compras!$F$56="NOTA DE CREDITO","Cuentas por Pagar Comerciales - Terceros (Emitidas)",IF(Registro_Compras!$F$56="RHE","Honorarios Profesionales - Servicios de Terceros","Gastos de Servicios Prestados por Terceros")))</f>
        <v/>
      </c>
      <c r="E473" s="20">
        <f>IF($C473="","",IF(Registro_Compras!$F$56="NOTA DE CREDITO",ABS(Registro_Compras!$O$56),IF(Registro_Compras!$F$56="RHE",ROUND(Registro_Compras!$L$56*Registro_Compras!$N$56,2),ROUND(Registro_Compras!$J$56*Registro_Compras!$N$56,2))))</f>
        <v/>
      </c>
      <c r="F473" s="20">
        <f>""</f>
        <v/>
      </c>
      <c r="G473">
        <f>IF($C473="","",IF(Registro_Compras!$F$56="NOTA DE CREDITO","Por la nota de credito "&amp;Registro_Compras!$C$56&amp;" de "&amp;Registro_Compras!$E$56&amp;" [PATRON POR CONFIRMAR CON CONTADOR]",IF(Registro_Compras!$F$56="RHE","Por el registro del recibo por honorarios "&amp;Registro_Compras!$C$56&amp;" de "&amp;Registro_Compras!$E$56&amp;" [PATRON POR CONFIRMAR CON CONTADOR]","Por el registro de la factura "&amp;Registro_Compras!$C$56&amp;" de "&amp;Registro_Compras!$E$56)))</f>
        <v/>
      </c>
      <c r="H473">
        <f>IF($C473="","",Registro_Compras!$C$56)</f>
        <v/>
      </c>
    </row>
    <row r="474">
      <c r="A474" s="25">
        <f>IF($C474="","",Registro_Compras!$B$56)</f>
        <v/>
      </c>
      <c r="B474">
        <f>IF($C474="","","C"&amp;TEXT(INT((ROW()-5)/9)+1,"000")&amp;"-1")</f>
        <v/>
      </c>
      <c r="C474">
        <f>IF(OR(Registro_Compras!$C$56="",Registro_Compras!$O$56=""),"",IF(Registro_Compras!$F$56="RHE",IF(Registro_Compras!$V$56=0,"","40172"),IF(Registro_Compras!$F$56="NOTA DE CREDITO",IF(Registro_Compras!$M$56="","63",Registro_Compras!$M$56),IF(Registro_Compras!$K$56=0,"","40111"))))</f>
        <v/>
      </c>
      <c r="D474">
        <f>IF(OR(Registro_Compras!$C$56="",Registro_Compras!$O$56=""),"",IF(Registro_Compras!$F$56="RHE","Retencion Renta 4ta Categoria por Pagar",IF(Registro_Compras!$F$56="NOTA DE CREDITO","Gastos de Servicios Prestados por Terceros","IGV - Cuenta Propia (Credito Fiscal)")))</f>
        <v/>
      </c>
      <c r="E474" s="20">
        <f>IF($C474="","",IF(Registro_Compras!$F$56="FACTURA",ROUND(Registro_Compras!$K$56*Registro_Compras!$N$56,2),""))</f>
        <v/>
      </c>
      <c r="F474" s="20">
        <f>IF($C474="","",IF(Registro_Compras!$F$56="RHE",ROUND(Registro_Compras!$V$56*Registro_Compras!$N$56,2),IF(Registro_Compras!$F$56="NOTA DE CREDITO",ROUND(ABS(Registro_Compras!$J$56*Registro_Compras!$N$56),2),"")))</f>
        <v/>
      </c>
      <c r="G474">
        <f>IF($C474="","",IF(Registro_Compras!$F$56="NOTA DE CREDITO","Por la nota de credito "&amp;Registro_Compras!$C$56&amp;" de "&amp;Registro_Compras!$E$56&amp;" [PATRON POR CONFIRMAR CON CONTADOR]",IF(Registro_Compras!$F$56="RHE","Por el registro del recibo por honorarios "&amp;Registro_Compras!$C$56&amp;" de "&amp;Registro_Compras!$E$56&amp;" [PATRON POR CONFIRMAR CON CONTADOR]","Por el registro de la factura "&amp;Registro_Compras!$C$56&amp;" de "&amp;Registro_Compras!$E$56)))</f>
        <v/>
      </c>
      <c r="H474">
        <f>IF($C474="","",Registro_Compras!$C$56)</f>
        <v/>
      </c>
    </row>
    <row r="475">
      <c r="A475" s="25">
        <f>IF($C475="","",Registro_Compras!$B$56)</f>
        <v/>
      </c>
      <c r="B475">
        <f>IF($C475="","","C"&amp;TEXT(INT((ROW()-5)/9)+1,"000")&amp;"-1")</f>
        <v/>
      </c>
      <c r="C475">
        <f>IF(OR(Registro_Compras!$C$56="",Registro_Compras!$O$56=""),"",IF(Registro_Compras!$F$56="NOTA DE CREDITO",IF(Registro_Compras!$K$56=0,"","40111"),"4212"))</f>
        <v/>
      </c>
      <c r="D475">
        <f>IF(OR(Registro_Compras!$C$56="",Registro_Compras!$O$56=""),"",IF(Registro_Compras!$F$56="NOTA DE CREDITO","IGV - Cuenta Propia (Credito Fiscal)","Cuentas por Pagar Comerciales - Terceros (Emitidas)"))</f>
        <v/>
      </c>
      <c r="E475" s="20">
        <f>""</f>
        <v/>
      </c>
      <c r="F475" s="20">
        <f>IF($C475="","",IF(Registro_Compras!$F$56="NOTA DE CREDITO",ROUND(ABS(Registro_Compras!$K$56*Registro_Compras!$N$56),2),IF(Registro_Compras!$F$56="RHE",(ROUND(Registro_Compras!$L$56*Registro_Compras!$N$56,2)-ROUND(Registro_Compras!$V$56*Registro_Compras!$N$56,2)),Registro_Compras!$O$56)))</f>
        <v/>
      </c>
      <c r="G475">
        <f>IF($C475="","",IF(Registro_Compras!$F$56="NOTA DE CREDITO","Por la nota de credito "&amp;Registro_Compras!$C$56&amp;" de "&amp;Registro_Compras!$E$56&amp;" [PATRON POR CONFIRMAR CON CONTADOR]",IF(Registro_Compras!$F$56="RHE","Por el registro del recibo por honorarios "&amp;Registro_Compras!$C$56&amp;" de "&amp;Registro_Compras!$E$56&amp;" [PATRON POR CONFIRMAR CON CONTADOR]","Por el registro de la factura "&amp;Registro_Compras!$C$56&amp;" de "&amp;Registro_Compras!$E$56)))</f>
        <v/>
      </c>
      <c r="H475">
        <f>IF($C475="","",Registro_Compras!$C$56)</f>
        <v/>
      </c>
    </row>
    <row r="476">
      <c r="A476" s="25">
        <f>IF($C476="","",Registro_Compras!$B$56)</f>
        <v/>
      </c>
      <c r="B476">
        <f>IF($C476="","","C"&amp;TEXT(INT((ROW()-5)/9)+1,"000")&amp;"-2")</f>
        <v/>
      </c>
      <c r="C476">
        <f>IF(OR(Registro_Compras!$C$56="",Registro_Compras!$O$56=""),"",IF(Registro_Compras!$AB$56="ADMINISTRATIVO","94","95"))</f>
        <v/>
      </c>
      <c r="D476">
        <f>IF(OR(Registro_Compras!$C$56="",Registro_Compras!$O$56=""),"",IF(Registro_Compras!$AB$56="ADMINISTRATIVO","Gastos Administrativos","Gastos de Venta y Operacion"))</f>
        <v/>
      </c>
      <c r="E476" s="20">
        <f>IF($C476="","",IF(Registro_Compras!$F$56="NOTA DE CREDITO","",IF(Registro_Compras!$F$56="RHE",ROUND(Registro_Compras!$L$56*Registro_Compras!$N$56,2),ROUND(Registro_Compras!$J$56*Registro_Compras!$N$56,2))))</f>
        <v/>
      </c>
      <c r="F476" s="20">
        <f>IF($C476="","",IF(Registro_Compras!$F$56="NOTA DE CREDITO",ROUND(ABS(Registro_Compras!$J$56*Registro_Compras!$N$56),2),""))</f>
        <v/>
      </c>
      <c r="G476">
        <f>IF($C476="","","Por el destino del gasto")</f>
        <v/>
      </c>
      <c r="H476">
        <f>IF($C476="","",Registro_Compras!$C$56)</f>
        <v/>
      </c>
    </row>
    <row r="477">
      <c r="A477" s="25">
        <f>IF($C477="","",Registro_Compras!$B$56)</f>
        <v/>
      </c>
      <c r="B477">
        <f>IF($C477="","","C"&amp;TEXT(INT((ROW()-5)/9)+1,"000")&amp;"-2")</f>
        <v/>
      </c>
      <c r="C477">
        <f>IF(OR(Registro_Compras!$C$56="",Registro_Compras!$O$56=""),"","79/791")</f>
        <v/>
      </c>
      <c r="D477">
        <f>IF(OR(Registro_Compras!$C$56="",Registro_Compras!$O$56=""),"","Cargas Imputables a Cuentas de Costos y Gastos")</f>
        <v/>
      </c>
      <c r="E477" s="20">
        <f>IF($C477="","",IF(Registro_Compras!$F$56="NOTA DE CREDITO",ROUND(ABS(Registro_Compras!$J$56*Registro_Compras!$N$56),2),""))</f>
        <v/>
      </c>
      <c r="F477" s="20">
        <f>IF($C477="","",IF(Registro_Compras!$F$56="NOTA DE CREDITO","",IF(Registro_Compras!$F$56="RHE",ROUND(Registro_Compras!$L$56*Registro_Compras!$N$56,2),ROUND(Registro_Compras!$J$56*Registro_Compras!$N$56,2))))</f>
        <v/>
      </c>
      <c r="G477">
        <f>IF($C477="","","Por el destino del gasto")</f>
        <v/>
      </c>
      <c r="H477">
        <f>IF($C477="","",Registro_Compras!$C$56)</f>
        <v/>
      </c>
    </row>
    <row r="478">
      <c r="A478" s="25">
        <f>IF($C478="","",Registro_Compras!$X$56)</f>
        <v/>
      </c>
      <c r="B478">
        <f>IF($C478="","","C"&amp;TEXT(INT((ROW()-5)/9)+1,"000")&amp;"-3")</f>
        <v/>
      </c>
      <c r="C478">
        <f>IF(OR(Registro_Compras!$C$56="",Registro_Compras!$O$56="",Registro_Compras!$R$56&lt;&gt;"SI",Registro_Compras!$X$56=""),"","4212")</f>
        <v/>
      </c>
      <c r="D478">
        <f>IF(OR(Registro_Compras!$C$56="",Registro_Compras!$O$56=""),"","Cuentas por Pagar Comerciales - Terceros")</f>
        <v/>
      </c>
      <c r="E478" s="20">
        <f>IF($C478="","",Registro_Compras!$S$56)</f>
        <v/>
      </c>
      <c r="F478" s="20">
        <f>""</f>
        <v/>
      </c>
      <c r="G478">
        <f>IF($C478="","","Por el deposito de la detraccion en el Banco de la Nacion")</f>
        <v/>
      </c>
      <c r="H478">
        <f>IF($C478="","",Registro_Compras!$C$56)</f>
        <v/>
      </c>
    </row>
    <row r="479">
      <c r="A479" s="25">
        <f>IF($C479="","",Registro_Compras!$X$56)</f>
        <v/>
      </c>
      <c r="B479">
        <f>IF($C479="","","C"&amp;TEXT(INT((ROW()-5)/9)+1,"000")&amp;"-3")</f>
        <v/>
      </c>
      <c r="C479">
        <f>IF(OR(Registro_Compras!$C$56="",Registro_Compras!$O$56="",Registro_Compras!$R$56&lt;&gt;"SI",Registro_Compras!$X$56=""),"","10413")</f>
        <v/>
      </c>
      <c r="D479">
        <f>IF(OR(Registro_Compras!$C$56="",Registro_Compras!$O$56=""),"","Efectivo y Equivalentes - Cta. Cte. Operativa")</f>
        <v/>
      </c>
      <c r="E479" s="20">
        <f>""</f>
        <v/>
      </c>
      <c r="F479" s="20">
        <f>IF($C479="","",Registro_Compras!$S$56)</f>
        <v/>
      </c>
      <c r="G479">
        <f>IF($C479="","","Por el deposito de la detraccion en el Banco de la Nacion")</f>
        <v/>
      </c>
      <c r="H479">
        <f>IF($C479="","",Registro_Compras!$C$56)</f>
        <v/>
      </c>
    </row>
    <row r="480">
      <c r="A480" s="25">
        <f>IF($C480="","",Registro_Compras!$Y$56)</f>
        <v/>
      </c>
      <c r="B480">
        <f>IF($C480="","","C"&amp;TEXT(INT((ROW()-5)/9)+1,"000")&amp;"-4")</f>
        <v/>
      </c>
      <c r="C480">
        <f>IF(OR(Registro_Compras!$C$56="",Registro_Compras!$O$56="",Registro_Compras!$Y$56="",Registro_Compras!$F$56="NOTA DE CREDITO"),"","4212")</f>
        <v/>
      </c>
      <c r="D480">
        <f>IF(OR(Registro_Compras!$C$56="",Registro_Compras!$O$56=""),"","Cuentas por Pagar Comerciales - Terceros")</f>
        <v/>
      </c>
      <c r="E480" s="20">
        <f>IF($C480="","",IF(Registro_Compras!$F$56="RHE",(ROUND(Registro_Compras!$L$56*Registro_Compras!$N$56,2)-ROUND(Registro_Compras!$V$56*Registro_Compras!$N$56,2)),ROUND(Registro_Compras!$O$56-Registro_Compras!$S$56,2)))</f>
        <v/>
      </c>
      <c r="F480" s="20">
        <f>""</f>
        <v/>
      </c>
      <c r="G480">
        <f>IF($C480="","","Por la cancelacion del saldo al proveedor")</f>
        <v/>
      </c>
      <c r="H480">
        <f>IF($C480="","",Registro_Compras!$C$56)</f>
        <v/>
      </c>
    </row>
    <row r="481">
      <c r="A481" s="25">
        <f>IF($C481="","",Registro_Compras!$Y$56)</f>
        <v/>
      </c>
      <c r="B481">
        <f>IF($C481="","","C"&amp;TEXT(INT((ROW()-5)/9)+1,"000")&amp;"-4")</f>
        <v/>
      </c>
      <c r="C481">
        <f>IF(OR(Registro_Compras!$C$56="",Registro_Compras!$O$56="",Registro_Compras!$Y$56="",Registro_Compras!$F$56="NOTA DE CREDITO"),"","10413")</f>
        <v/>
      </c>
      <c r="D481">
        <f>IF(OR(Registro_Compras!$C$56="",Registro_Compras!$O$56=""),"","Efectivo y Equivalentes - Cta. Cte. Operativa")</f>
        <v/>
      </c>
      <c r="E481" s="20">
        <f>""</f>
        <v/>
      </c>
      <c r="F481" s="20">
        <f>IF($C481="","",IF(Registro_Compras!$F$56="RHE",(ROUND(Registro_Compras!$L$56*Registro_Compras!$N$56,2)-ROUND(Registro_Compras!$V$56*Registro_Compras!$N$56,2)),ROUND(Registro_Compras!$O$56-Registro_Compras!$S$56,2)))</f>
        <v/>
      </c>
      <c r="G481">
        <f>IF($C481="","","Por la cancelacion del saldo al proveedor")</f>
        <v/>
      </c>
      <c r="H481">
        <f>IF($C481="","",Registro_Compras!$C$56)</f>
        <v/>
      </c>
    </row>
    <row r="482">
      <c r="A482" s="25">
        <f>IF($C482="","",Registro_Compras!$B$57)</f>
        <v/>
      </c>
      <c r="B482">
        <f>IF($C482="","","C"&amp;TEXT(INT((ROW()-5)/9)+1,"000")&amp;"-1")</f>
        <v/>
      </c>
      <c r="C482">
        <f>IF(OR(Registro_Compras!$C$57="",Registro_Compras!$O$57=""),"",IF(Registro_Compras!$F$57="NOTA DE CREDITO","4212",IF(Registro_Compras!$M$57="","63",Registro_Compras!$M$57)))</f>
        <v/>
      </c>
      <c r="D482">
        <f>IF(OR(Registro_Compras!$C$57="",Registro_Compras!$O$57=""),"",IF(Registro_Compras!$F$57="NOTA DE CREDITO","Cuentas por Pagar Comerciales - Terceros (Emitidas)",IF(Registro_Compras!$F$57="RHE","Honorarios Profesionales - Servicios de Terceros","Gastos de Servicios Prestados por Terceros")))</f>
        <v/>
      </c>
      <c r="E482" s="20">
        <f>IF($C482="","",IF(Registro_Compras!$F$57="NOTA DE CREDITO",ABS(Registro_Compras!$O$57),IF(Registro_Compras!$F$57="RHE",ROUND(Registro_Compras!$L$57*Registro_Compras!$N$57,2),ROUND(Registro_Compras!$J$57*Registro_Compras!$N$57,2))))</f>
        <v/>
      </c>
      <c r="F482" s="20">
        <f>""</f>
        <v/>
      </c>
      <c r="G482">
        <f>IF($C482="","",IF(Registro_Compras!$F$57="NOTA DE CREDITO","Por la nota de credito "&amp;Registro_Compras!$C$57&amp;" de "&amp;Registro_Compras!$E$57&amp;" [PATRON POR CONFIRMAR CON CONTADOR]",IF(Registro_Compras!$F$57="RHE","Por el registro del recibo por honorarios "&amp;Registro_Compras!$C$57&amp;" de "&amp;Registro_Compras!$E$57&amp;" [PATRON POR CONFIRMAR CON CONTADOR]","Por el registro de la factura "&amp;Registro_Compras!$C$57&amp;" de "&amp;Registro_Compras!$E$57)))</f>
        <v/>
      </c>
      <c r="H482">
        <f>IF($C482="","",Registro_Compras!$C$57)</f>
        <v/>
      </c>
    </row>
    <row r="483">
      <c r="A483" s="25">
        <f>IF($C483="","",Registro_Compras!$B$57)</f>
        <v/>
      </c>
      <c r="B483">
        <f>IF($C483="","","C"&amp;TEXT(INT((ROW()-5)/9)+1,"000")&amp;"-1")</f>
        <v/>
      </c>
      <c r="C483">
        <f>IF(OR(Registro_Compras!$C$57="",Registro_Compras!$O$57=""),"",IF(Registro_Compras!$F$57="RHE",IF(Registro_Compras!$V$57=0,"","40172"),IF(Registro_Compras!$F$57="NOTA DE CREDITO",IF(Registro_Compras!$M$57="","63",Registro_Compras!$M$57),IF(Registro_Compras!$K$57=0,"","40111"))))</f>
        <v/>
      </c>
      <c r="D483">
        <f>IF(OR(Registro_Compras!$C$57="",Registro_Compras!$O$57=""),"",IF(Registro_Compras!$F$57="RHE","Retencion Renta 4ta Categoria por Pagar",IF(Registro_Compras!$F$57="NOTA DE CREDITO","Gastos de Servicios Prestados por Terceros","IGV - Cuenta Propia (Credito Fiscal)")))</f>
        <v/>
      </c>
      <c r="E483" s="20">
        <f>IF($C483="","",IF(Registro_Compras!$F$57="FACTURA",ROUND(Registro_Compras!$K$57*Registro_Compras!$N$57,2),""))</f>
        <v/>
      </c>
      <c r="F483" s="20">
        <f>IF($C483="","",IF(Registro_Compras!$F$57="RHE",ROUND(Registro_Compras!$V$57*Registro_Compras!$N$57,2),IF(Registro_Compras!$F$57="NOTA DE CREDITO",ROUND(ABS(Registro_Compras!$J$57*Registro_Compras!$N$57),2),"")))</f>
        <v/>
      </c>
      <c r="G483">
        <f>IF($C483="","",IF(Registro_Compras!$F$57="NOTA DE CREDITO","Por la nota de credito "&amp;Registro_Compras!$C$57&amp;" de "&amp;Registro_Compras!$E$57&amp;" [PATRON POR CONFIRMAR CON CONTADOR]",IF(Registro_Compras!$F$57="RHE","Por el registro del recibo por honorarios "&amp;Registro_Compras!$C$57&amp;" de "&amp;Registro_Compras!$E$57&amp;" [PATRON POR CONFIRMAR CON CONTADOR]","Por el registro de la factura "&amp;Registro_Compras!$C$57&amp;" de "&amp;Registro_Compras!$E$57)))</f>
        <v/>
      </c>
      <c r="H483">
        <f>IF($C483="","",Registro_Compras!$C$57)</f>
        <v/>
      </c>
    </row>
    <row r="484">
      <c r="A484" s="25">
        <f>IF($C484="","",Registro_Compras!$B$57)</f>
        <v/>
      </c>
      <c r="B484">
        <f>IF($C484="","","C"&amp;TEXT(INT((ROW()-5)/9)+1,"000")&amp;"-1")</f>
        <v/>
      </c>
      <c r="C484">
        <f>IF(OR(Registro_Compras!$C$57="",Registro_Compras!$O$57=""),"",IF(Registro_Compras!$F$57="NOTA DE CREDITO",IF(Registro_Compras!$K$57=0,"","40111"),"4212"))</f>
        <v/>
      </c>
      <c r="D484">
        <f>IF(OR(Registro_Compras!$C$57="",Registro_Compras!$O$57=""),"",IF(Registro_Compras!$F$57="NOTA DE CREDITO","IGV - Cuenta Propia (Credito Fiscal)","Cuentas por Pagar Comerciales - Terceros (Emitidas)"))</f>
        <v/>
      </c>
      <c r="E484" s="20">
        <f>""</f>
        <v/>
      </c>
      <c r="F484" s="20">
        <f>IF($C484="","",IF(Registro_Compras!$F$57="NOTA DE CREDITO",ROUND(ABS(Registro_Compras!$K$57*Registro_Compras!$N$57),2),IF(Registro_Compras!$F$57="RHE",(ROUND(Registro_Compras!$L$57*Registro_Compras!$N$57,2)-ROUND(Registro_Compras!$V$57*Registro_Compras!$N$57,2)),Registro_Compras!$O$57)))</f>
        <v/>
      </c>
      <c r="G484">
        <f>IF($C484="","",IF(Registro_Compras!$F$57="NOTA DE CREDITO","Por la nota de credito "&amp;Registro_Compras!$C$57&amp;" de "&amp;Registro_Compras!$E$57&amp;" [PATRON POR CONFIRMAR CON CONTADOR]",IF(Registro_Compras!$F$57="RHE","Por el registro del recibo por honorarios "&amp;Registro_Compras!$C$57&amp;" de "&amp;Registro_Compras!$E$57&amp;" [PATRON POR CONFIRMAR CON CONTADOR]","Por el registro de la factura "&amp;Registro_Compras!$C$57&amp;" de "&amp;Registro_Compras!$E$57)))</f>
        <v/>
      </c>
      <c r="H484">
        <f>IF($C484="","",Registro_Compras!$C$57)</f>
        <v/>
      </c>
    </row>
    <row r="485">
      <c r="A485" s="25">
        <f>IF($C485="","",Registro_Compras!$B$57)</f>
        <v/>
      </c>
      <c r="B485">
        <f>IF($C485="","","C"&amp;TEXT(INT((ROW()-5)/9)+1,"000")&amp;"-2")</f>
        <v/>
      </c>
      <c r="C485">
        <f>IF(OR(Registro_Compras!$C$57="",Registro_Compras!$O$57=""),"",IF(Registro_Compras!$AB$57="ADMINISTRATIVO","94","95"))</f>
        <v/>
      </c>
      <c r="D485">
        <f>IF(OR(Registro_Compras!$C$57="",Registro_Compras!$O$57=""),"",IF(Registro_Compras!$AB$57="ADMINISTRATIVO","Gastos Administrativos","Gastos de Venta y Operacion"))</f>
        <v/>
      </c>
      <c r="E485" s="20">
        <f>IF($C485="","",IF(Registro_Compras!$F$57="NOTA DE CREDITO","",IF(Registro_Compras!$F$57="RHE",ROUND(Registro_Compras!$L$57*Registro_Compras!$N$57,2),ROUND(Registro_Compras!$J$57*Registro_Compras!$N$57,2))))</f>
        <v/>
      </c>
      <c r="F485" s="20">
        <f>IF($C485="","",IF(Registro_Compras!$F$57="NOTA DE CREDITO",ROUND(ABS(Registro_Compras!$J$57*Registro_Compras!$N$57),2),""))</f>
        <v/>
      </c>
      <c r="G485">
        <f>IF($C485="","","Por el destino del gasto")</f>
        <v/>
      </c>
      <c r="H485">
        <f>IF($C485="","",Registro_Compras!$C$57)</f>
        <v/>
      </c>
    </row>
    <row r="486">
      <c r="A486" s="25">
        <f>IF($C486="","",Registro_Compras!$B$57)</f>
        <v/>
      </c>
      <c r="B486">
        <f>IF($C486="","","C"&amp;TEXT(INT((ROW()-5)/9)+1,"000")&amp;"-2")</f>
        <v/>
      </c>
      <c r="C486">
        <f>IF(OR(Registro_Compras!$C$57="",Registro_Compras!$O$57=""),"","79/791")</f>
        <v/>
      </c>
      <c r="D486">
        <f>IF(OR(Registro_Compras!$C$57="",Registro_Compras!$O$57=""),"","Cargas Imputables a Cuentas de Costos y Gastos")</f>
        <v/>
      </c>
      <c r="E486" s="20">
        <f>IF($C486="","",IF(Registro_Compras!$F$57="NOTA DE CREDITO",ROUND(ABS(Registro_Compras!$J$57*Registro_Compras!$N$57),2),""))</f>
        <v/>
      </c>
      <c r="F486" s="20">
        <f>IF($C486="","",IF(Registro_Compras!$F$57="NOTA DE CREDITO","",IF(Registro_Compras!$F$57="RHE",ROUND(Registro_Compras!$L$57*Registro_Compras!$N$57,2),ROUND(Registro_Compras!$J$57*Registro_Compras!$N$57,2))))</f>
        <v/>
      </c>
      <c r="G486">
        <f>IF($C486="","","Por el destino del gasto")</f>
        <v/>
      </c>
      <c r="H486">
        <f>IF($C486="","",Registro_Compras!$C$57)</f>
        <v/>
      </c>
    </row>
    <row r="487">
      <c r="A487" s="25">
        <f>IF($C487="","",Registro_Compras!$X$57)</f>
        <v/>
      </c>
      <c r="B487">
        <f>IF($C487="","","C"&amp;TEXT(INT((ROW()-5)/9)+1,"000")&amp;"-3")</f>
        <v/>
      </c>
      <c r="C487">
        <f>IF(OR(Registro_Compras!$C$57="",Registro_Compras!$O$57="",Registro_Compras!$R$57&lt;&gt;"SI",Registro_Compras!$X$57=""),"","4212")</f>
        <v/>
      </c>
      <c r="D487">
        <f>IF(OR(Registro_Compras!$C$57="",Registro_Compras!$O$57=""),"","Cuentas por Pagar Comerciales - Terceros")</f>
        <v/>
      </c>
      <c r="E487" s="20">
        <f>IF($C487="","",Registro_Compras!$S$57)</f>
        <v/>
      </c>
      <c r="F487" s="20">
        <f>""</f>
        <v/>
      </c>
      <c r="G487">
        <f>IF($C487="","","Por el deposito de la detraccion en el Banco de la Nacion")</f>
        <v/>
      </c>
      <c r="H487">
        <f>IF($C487="","",Registro_Compras!$C$57)</f>
        <v/>
      </c>
    </row>
    <row r="488">
      <c r="A488" s="25">
        <f>IF($C488="","",Registro_Compras!$X$57)</f>
        <v/>
      </c>
      <c r="B488">
        <f>IF($C488="","","C"&amp;TEXT(INT((ROW()-5)/9)+1,"000")&amp;"-3")</f>
        <v/>
      </c>
      <c r="C488">
        <f>IF(OR(Registro_Compras!$C$57="",Registro_Compras!$O$57="",Registro_Compras!$R$57&lt;&gt;"SI",Registro_Compras!$X$57=""),"","10413")</f>
        <v/>
      </c>
      <c r="D488">
        <f>IF(OR(Registro_Compras!$C$57="",Registro_Compras!$O$57=""),"","Efectivo y Equivalentes - Cta. Cte. Operativa")</f>
        <v/>
      </c>
      <c r="E488" s="20">
        <f>""</f>
        <v/>
      </c>
      <c r="F488" s="20">
        <f>IF($C488="","",Registro_Compras!$S$57)</f>
        <v/>
      </c>
      <c r="G488">
        <f>IF($C488="","","Por el deposito de la detraccion en el Banco de la Nacion")</f>
        <v/>
      </c>
      <c r="H488">
        <f>IF($C488="","",Registro_Compras!$C$57)</f>
        <v/>
      </c>
    </row>
    <row r="489">
      <c r="A489" s="25">
        <f>IF($C489="","",Registro_Compras!$Y$57)</f>
        <v/>
      </c>
      <c r="B489">
        <f>IF($C489="","","C"&amp;TEXT(INT((ROW()-5)/9)+1,"000")&amp;"-4")</f>
        <v/>
      </c>
      <c r="C489">
        <f>IF(OR(Registro_Compras!$C$57="",Registro_Compras!$O$57="",Registro_Compras!$Y$57="",Registro_Compras!$F$57="NOTA DE CREDITO"),"","4212")</f>
        <v/>
      </c>
      <c r="D489">
        <f>IF(OR(Registro_Compras!$C$57="",Registro_Compras!$O$57=""),"","Cuentas por Pagar Comerciales - Terceros")</f>
        <v/>
      </c>
      <c r="E489" s="20">
        <f>IF($C489="","",IF(Registro_Compras!$F$57="RHE",(ROUND(Registro_Compras!$L$57*Registro_Compras!$N$57,2)-ROUND(Registro_Compras!$V$57*Registro_Compras!$N$57,2)),ROUND(Registro_Compras!$O$57-Registro_Compras!$S$57,2)))</f>
        <v/>
      </c>
      <c r="F489" s="20">
        <f>""</f>
        <v/>
      </c>
      <c r="G489">
        <f>IF($C489="","","Por la cancelacion del saldo al proveedor")</f>
        <v/>
      </c>
      <c r="H489">
        <f>IF($C489="","",Registro_Compras!$C$57)</f>
        <v/>
      </c>
    </row>
    <row r="490">
      <c r="A490" s="25">
        <f>IF($C490="","",Registro_Compras!$Y$57)</f>
        <v/>
      </c>
      <c r="B490">
        <f>IF($C490="","","C"&amp;TEXT(INT((ROW()-5)/9)+1,"000")&amp;"-4")</f>
        <v/>
      </c>
      <c r="C490">
        <f>IF(OR(Registro_Compras!$C$57="",Registro_Compras!$O$57="",Registro_Compras!$Y$57="",Registro_Compras!$F$57="NOTA DE CREDITO"),"","10413")</f>
        <v/>
      </c>
      <c r="D490">
        <f>IF(OR(Registro_Compras!$C$57="",Registro_Compras!$O$57=""),"","Efectivo y Equivalentes - Cta. Cte. Operativa")</f>
        <v/>
      </c>
      <c r="E490" s="20">
        <f>""</f>
        <v/>
      </c>
      <c r="F490" s="20">
        <f>IF($C490="","",IF(Registro_Compras!$F$57="RHE",(ROUND(Registro_Compras!$L$57*Registro_Compras!$N$57,2)-ROUND(Registro_Compras!$V$57*Registro_Compras!$N$57,2)),ROUND(Registro_Compras!$O$57-Registro_Compras!$S$57,2)))</f>
        <v/>
      </c>
      <c r="G490">
        <f>IF($C490="","","Por la cancelacion del saldo al proveedor")</f>
        <v/>
      </c>
      <c r="H490">
        <f>IF($C490="","",Registro_Compras!$C$57)</f>
        <v/>
      </c>
    </row>
    <row r="491">
      <c r="A491" s="25">
        <f>IF($C491="","",Registro_Compras!$B$58)</f>
        <v/>
      </c>
      <c r="B491">
        <f>IF($C491="","","C"&amp;TEXT(INT((ROW()-5)/9)+1,"000")&amp;"-1")</f>
        <v/>
      </c>
      <c r="C491">
        <f>IF(OR(Registro_Compras!$C$58="",Registro_Compras!$O$58=""),"",IF(Registro_Compras!$F$58="NOTA DE CREDITO","4212",IF(Registro_Compras!$M$58="","63",Registro_Compras!$M$58)))</f>
        <v/>
      </c>
      <c r="D491">
        <f>IF(OR(Registro_Compras!$C$58="",Registro_Compras!$O$58=""),"",IF(Registro_Compras!$F$58="NOTA DE CREDITO","Cuentas por Pagar Comerciales - Terceros (Emitidas)",IF(Registro_Compras!$F$58="RHE","Honorarios Profesionales - Servicios de Terceros","Gastos de Servicios Prestados por Terceros")))</f>
        <v/>
      </c>
      <c r="E491" s="20">
        <f>IF($C491="","",IF(Registro_Compras!$F$58="NOTA DE CREDITO",ABS(Registro_Compras!$O$58),IF(Registro_Compras!$F$58="RHE",ROUND(Registro_Compras!$L$58*Registro_Compras!$N$58,2),ROUND(Registro_Compras!$J$58*Registro_Compras!$N$58,2))))</f>
        <v/>
      </c>
      <c r="F491" s="20">
        <f>""</f>
        <v/>
      </c>
      <c r="G491">
        <f>IF($C491="","",IF(Registro_Compras!$F$58="NOTA DE CREDITO","Por la nota de credito "&amp;Registro_Compras!$C$58&amp;" de "&amp;Registro_Compras!$E$58&amp;" [PATRON POR CONFIRMAR CON CONTADOR]",IF(Registro_Compras!$F$58="RHE","Por el registro del recibo por honorarios "&amp;Registro_Compras!$C$58&amp;" de "&amp;Registro_Compras!$E$58&amp;" [PATRON POR CONFIRMAR CON CONTADOR]","Por el registro de la factura "&amp;Registro_Compras!$C$58&amp;" de "&amp;Registro_Compras!$E$58)))</f>
        <v/>
      </c>
      <c r="H491">
        <f>IF($C491="","",Registro_Compras!$C$58)</f>
        <v/>
      </c>
    </row>
    <row r="492">
      <c r="A492" s="25">
        <f>IF($C492="","",Registro_Compras!$B$58)</f>
        <v/>
      </c>
      <c r="B492">
        <f>IF($C492="","","C"&amp;TEXT(INT((ROW()-5)/9)+1,"000")&amp;"-1")</f>
        <v/>
      </c>
      <c r="C492">
        <f>IF(OR(Registro_Compras!$C$58="",Registro_Compras!$O$58=""),"",IF(Registro_Compras!$F$58="RHE",IF(Registro_Compras!$V$58=0,"","40172"),IF(Registro_Compras!$F$58="NOTA DE CREDITO",IF(Registro_Compras!$M$58="","63",Registro_Compras!$M$58),IF(Registro_Compras!$K$58=0,"","40111"))))</f>
        <v/>
      </c>
      <c r="D492">
        <f>IF(OR(Registro_Compras!$C$58="",Registro_Compras!$O$58=""),"",IF(Registro_Compras!$F$58="RHE","Retencion Renta 4ta Categoria por Pagar",IF(Registro_Compras!$F$58="NOTA DE CREDITO","Gastos de Servicios Prestados por Terceros","IGV - Cuenta Propia (Credito Fiscal)")))</f>
        <v/>
      </c>
      <c r="E492" s="20">
        <f>IF($C492="","",IF(Registro_Compras!$F$58="FACTURA",ROUND(Registro_Compras!$K$58*Registro_Compras!$N$58,2),""))</f>
        <v/>
      </c>
      <c r="F492" s="20">
        <f>IF($C492="","",IF(Registro_Compras!$F$58="RHE",ROUND(Registro_Compras!$V$58*Registro_Compras!$N$58,2),IF(Registro_Compras!$F$58="NOTA DE CREDITO",ROUND(ABS(Registro_Compras!$J$58*Registro_Compras!$N$58),2),"")))</f>
        <v/>
      </c>
      <c r="G492">
        <f>IF($C492="","",IF(Registro_Compras!$F$58="NOTA DE CREDITO","Por la nota de credito "&amp;Registro_Compras!$C$58&amp;" de "&amp;Registro_Compras!$E$58&amp;" [PATRON POR CONFIRMAR CON CONTADOR]",IF(Registro_Compras!$F$58="RHE","Por el registro del recibo por honorarios "&amp;Registro_Compras!$C$58&amp;" de "&amp;Registro_Compras!$E$58&amp;" [PATRON POR CONFIRMAR CON CONTADOR]","Por el registro de la factura "&amp;Registro_Compras!$C$58&amp;" de "&amp;Registro_Compras!$E$58)))</f>
        <v/>
      </c>
      <c r="H492">
        <f>IF($C492="","",Registro_Compras!$C$58)</f>
        <v/>
      </c>
    </row>
    <row r="493">
      <c r="A493" s="25">
        <f>IF($C493="","",Registro_Compras!$B$58)</f>
        <v/>
      </c>
      <c r="B493">
        <f>IF($C493="","","C"&amp;TEXT(INT((ROW()-5)/9)+1,"000")&amp;"-1")</f>
        <v/>
      </c>
      <c r="C493">
        <f>IF(OR(Registro_Compras!$C$58="",Registro_Compras!$O$58=""),"",IF(Registro_Compras!$F$58="NOTA DE CREDITO",IF(Registro_Compras!$K$58=0,"","40111"),"4212"))</f>
        <v/>
      </c>
      <c r="D493">
        <f>IF(OR(Registro_Compras!$C$58="",Registro_Compras!$O$58=""),"",IF(Registro_Compras!$F$58="NOTA DE CREDITO","IGV - Cuenta Propia (Credito Fiscal)","Cuentas por Pagar Comerciales - Terceros (Emitidas)"))</f>
        <v/>
      </c>
      <c r="E493" s="20">
        <f>""</f>
        <v/>
      </c>
      <c r="F493" s="20">
        <f>IF($C493="","",IF(Registro_Compras!$F$58="NOTA DE CREDITO",ROUND(ABS(Registro_Compras!$K$58*Registro_Compras!$N$58),2),IF(Registro_Compras!$F$58="RHE",(ROUND(Registro_Compras!$L$58*Registro_Compras!$N$58,2)-ROUND(Registro_Compras!$V$58*Registro_Compras!$N$58,2)),Registro_Compras!$O$58)))</f>
        <v/>
      </c>
      <c r="G493">
        <f>IF($C493="","",IF(Registro_Compras!$F$58="NOTA DE CREDITO","Por la nota de credito "&amp;Registro_Compras!$C$58&amp;" de "&amp;Registro_Compras!$E$58&amp;" [PATRON POR CONFIRMAR CON CONTADOR]",IF(Registro_Compras!$F$58="RHE","Por el registro del recibo por honorarios "&amp;Registro_Compras!$C$58&amp;" de "&amp;Registro_Compras!$E$58&amp;" [PATRON POR CONFIRMAR CON CONTADOR]","Por el registro de la factura "&amp;Registro_Compras!$C$58&amp;" de "&amp;Registro_Compras!$E$58)))</f>
        <v/>
      </c>
      <c r="H493">
        <f>IF($C493="","",Registro_Compras!$C$58)</f>
        <v/>
      </c>
    </row>
    <row r="494">
      <c r="A494" s="25">
        <f>IF($C494="","",Registro_Compras!$B$58)</f>
        <v/>
      </c>
      <c r="B494">
        <f>IF($C494="","","C"&amp;TEXT(INT((ROW()-5)/9)+1,"000")&amp;"-2")</f>
        <v/>
      </c>
      <c r="C494">
        <f>IF(OR(Registro_Compras!$C$58="",Registro_Compras!$O$58=""),"",IF(Registro_Compras!$AB$58="ADMINISTRATIVO","94","95"))</f>
        <v/>
      </c>
      <c r="D494">
        <f>IF(OR(Registro_Compras!$C$58="",Registro_Compras!$O$58=""),"",IF(Registro_Compras!$AB$58="ADMINISTRATIVO","Gastos Administrativos","Gastos de Venta y Operacion"))</f>
        <v/>
      </c>
      <c r="E494" s="20">
        <f>IF($C494="","",IF(Registro_Compras!$F$58="NOTA DE CREDITO","",IF(Registro_Compras!$F$58="RHE",ROUND(Registro_Compras!$L$58*Registro_Compras!$N$58,2),ROUND(Registro_Compras!$J$58*Registro_Compras!$N$58,2))))</f>
        <v/>
      </c>
      <c r="F494" s="20">
        <f>IF($C494="","",IF(Registro_Compras!$F$58="NOTA DE CREDITO",ROUND(ABS(Registro_Compras!$J$58*Registro_Compras!$N$58),2),""))</f>
        <v/>
      </c>
      <c r="G494">
        <f>IF($C494="","","Por el destino del gasto")</f>
        <v/>
      </c>
      <c r="H494">
        <f>IF($C494="","",Registro_Compras!$C$58)</f>
        <v/>
      </c>
    </row>
    <row r="495">
      <c r="A495" s="25">
        <f>IF($C495="","",Registro_Compras!$B$58)</f>
        <v/>
      </c>
      <c r="B495">
        <f>IF($C495="","","C"&amp;TEXT(INT((ROW()-5)/9)+1,"000")&amp;"-2")</f>
        <v/>
      </c>
      <c r="C495">
        <f>IF(OR(Registro_Compras!$C$58="",Registro_Compras!$O$58=""),"","79/791")</f>
        <v/>
      </c>
      <c r="D495">
        <f>IF(OR(Registro_Compras!$C$58="",Registro_Compras!$O$58=""),"","Cargas Imputables a Cuentas de Costos y Gastos")</f>
        <v/>
      </c>
      <c r="E495" s="20">
        <f>IF($C495="","",IF(Registro_Compras!$F$58="NOTA DE CREDITO",ROUND(ABS(Registro_Compras!$J$58*Registro_Compras!$N$58),2),""))</f>
        <v/>
      </c>
      <c r="F495" s="20">
        <f>IF($C495="","",IF(Registro_Compras!$F$58="NOTA DE CREDITO","",IF(Registro_Compras!$F$58="RHE",ROUND(Registro_Compras!$L$58*Registro_Compras!$N$58,2),ROUND(Registro_Compras!$J$58*Registro_Compras!$N$58,2))))</f>
        <v/>
      </c>
      <c r="G495">
        <f>IF($C495="","","Por el destino del gasto")</f>
        <v/>
      </c>
      <c r="H495">
        <f>IF($C495="","",Registro_Compras!$C$58)</f>
        <v/>
      </c>
    </row>
    <row r="496">
      <c r="A496" s="25">
        <f>IF($C496="","",Registro_Compras!$X$58)</f>
        <v/>
      </c>
      <c r="B496">
        <f>IF($C496="","","C"&amp;TEXT(INT((ROW()-5)/9)+1,"000")&amp;"-3")</f>
        <v/>
      </c>
      <c r="C496">
        <f>IF(OR(Registro_Compras!$C$58="",Registro_Compras!$O$58="",Registro_Compras!$R$58&lt;&gt;"SI",Registro_Compras!$X$58=""),"","4212")</f>
        <v/>
      </c>
      <c r="D496">
        <f>IF(OR(Registro_Compras!$C$58="",Registro_Compras!$O$58=""),"","Cuentas por Pagar Comerciales - Terceros")</f>
        <v/>
      </c>
      <c r="E496" s="20">
        <f>IF($C496="","",Registro_Compras!$S$58)</f>
        <v/>
      </c>
      <c r="F496" s="20">
        <f>""</f>
        <v/>
      </c>
      <c r="G496">
        <f>IF($C496="","","Por el deposito de la detraccion en el Banco de la Nacion")</f>
        <v/>
      </c>
      <c r="H496">
        <f>IF($C496="","",Registro_Compras!$C$58)</f>
        <v/>
      </c>
    </row>
    <row r="497">
      <c r="A497" s="25">
        <f>IF($C497="","",Registro_Compras!$X$58)</f>
        <v/>
      </c>
      <c r="B497">
        <f>IF($C497="","","C"&amp;TEXT(INT((ROW()-5)/9)+1,"000")&amp;"-3")</f>
        <v/>
      </c>
      <c r="C497">
        <f>IF(OR(Registro_Compras!$C$58="",Registro_Compras!$O$58="",Registro_Compras!$R$58&lt;&gt;"SI",Registro_Compras!$X$58=""),"","10413")</f>
        <v/>
      </c>
      <c r="D497">
        <f>IF(OR(Registro_Compras!$C$58="",Registro_Compras!$O$58=""),"","Efectivo y Equivalentes - Cta. Cte. Operativa")</f>
        <v/>
      </c>
      <c r="E497" s="20">
        <f>""</f>
        <v/>
      </c>
      <c r="F497" s="20">
        <f>IF($C497="","",Registro_Compras!$S$58)</f>
        <v/>
      </c>
      <c r="G497">
        <f>IF($C497="","","Por el deposito de la detraccion en el Banco de la Nacion")</f>
        <v/>
      </c>
      <c r="H497">
        <f>IF($C497="","",Registro_Compras!$C$58)</f>
        <v/>
      </c>
    </row>
    <row r="498">
      <c r="A498" s="25">
        <f>IF($C498="","",Registro_Compras!$Y$58)</f>
        <v/>
      </c>
      <c r="B498">
        <f>IF($C498="","","C"&amp;TEXT(INT((ROW()-5)/9)+1,"000")&amp;"-4")</f>
        <v/>
      </c>
      <c r="C498">
        <f>IF(OR(Registro_Compras!$C$58="",Registro_Compras!$O$58="",Registro_Compras!$Y$58="",Registro_Compras!$F$58="NOTA DE CREDITO"),"","4212")</f>
        <v/>
      </c>
      <c r="D498">
        <f>IF(OR(Registro_Compras!$C$58="",Registro_Compras!$O$58=""),"","Cuentas por Pagar Comerciales - Terceros")</f>
        <v/>
      </c>
      <c r="E498" s="20">
        <f>IF($C498="","",IF(Registro_Compras!$F$58="RHE",(ROUND(Registro_Compras!$L$58*Registro_Compras!$N$58,2)-ROUND(Registro_Compras!$V$58*Registro_Compras!$N$58,2)),ROUND(Registro_Compras!$O$58-Registro_Compras!$S$58,2)))</f>
        <v/>
      </c>
      <c r="F498" s="20">
        <f>""</f>
        <v/>
      </c>
      <c r="G498">
        <f>IF($C498="","","Por la cancelacion del saldo al proveedor")</f>
        <v/>
      </c>
      <c r="H498">
        <f>IF($C498="","",Registro_Compras!$C$58)</f>
        <v/>
      </c>
    </row>
    <row r="499">
      <c r="A499" s="25">
        <f>IF($C499="","",Registro_Compras!$Y$58)</f>
        <v/>
      </c>
      <c r="B499">
        <f>IF($C499="","","C"&amp;TEXT(INT((ROW()-5)/9)+1,"000")&amp;"-4")</f>
        <v/>
      </c>
      <c r="C499">
        <f>IF(OR(Registro_Compras!$C$58="",Registro_Compras!$O$58="",Registro_Compras!$Y$58="",Registro_Compras!$F$58="NOTA DE CREDITO"),"","10413")</f>
        <v/>
      </c>
      <c r="D499">
        <f>IF(OR(Registro_Compras!$C$58="",Registro_Compras!$O$58=""),"","Efectivo y Equivalentes - Cta. Cte. Operativa")</f>
        <v/>
      </c>
      <c r="E499" s="20">
        <f>""</f>
        <v/>
      </c>
      <c r="F499" s="20">
        <f>IF($C499="","",IF(Registro_Compras!$F$58="RHE",(ROUND(Registro_Compras!$L$58*Registro_Compras!$N$58,2)-ROUND(Registro_Compras!$V$58*Registro_Compras!$N$58,2)),ROUND(Registro_Compras!$O$58-Registro_Compras!$S$58,2)))</f>
        <v/>
      </c>
      <c r="G499">
        <f>IF($C499="","","Por la cancelacion del saldo al proveedor")</f>
        <v/>
      </c>
      <c r="H499">
        <f>IF($C499="","",Registro_Compras!$C$58)</f>
        <v/>
      </c>
    </row>
    <row r="500">
      <c r="A500" s="25">
        <f>IF($C500="","",Registro_Compras!$B$59)</f>
        <v/>
      </c>
      <c r="B500">
        <f>IF($C500="","","C"&amp;TEXT(INT((ROW()-5)/9)+1,"000")&amp;"-1")</f>
        <v/>
      </c>
      <c r="C500">
        <f>IF(OR(Registro_Compras!$C$59="",Registro_Compras!$O$59=""),"",IF(Registro_Compras!$F$59="NOTA DE CREDITO","4212",IF(Registro_Compras!$M$59="","63",Registro_Compras!$M$59)))</f>
        <v/>
      </c>
      <c r="D500">
        <f>IF(OR(Registro_Compras!$C$59="",Registro_Compras!$O$59=""),"",IF(Registro_Compras!$F$59="NOTA DE CREDITO","Cuentas por Pagar Comerciales - Terceros (Emitidas)",IF(Registro_Compras!$F$59="RHE","Honorarios Profesionales - Servicios de Terceros","Gastos de Servicios Prestados por Terceros")))</f>
        <v/>
      </c>
      <c r="E500" s="20">
        <f>IF($C500="","",IF(Registro_Compras!$F$59="NOTA DE CREDITO",ABS(Registro_Compras!$O$59),IF(Registro_Compras!$F$59="RHE",ROUND(Registro_Compras!$L$59*Registro_Compras!$N$59,2),ROUND(Registro_Compras!$J$59*Registro_Compras!$N$59,2))))</f>
        <v/>
      </c>
      <c r="F500" s="20">
        <f>""</f>
        <v/>
      </c>
      <c r="G500">
        <f>IF($C500="","",IF(Registro_Compras!$F$59="NOTA DE CREDITO","Por la nota de credito "&amp;Registro_Compras!$C$59&amp;" de "&amp;Registro_Compras!$E$59&amp;" [PATRON POR CONFIRMAR CON CONTADOR]",IF(Registro_Compras!$F$59="RHE","Por el registro del recibo por honorarios "&amp;Registro_Compras!$C$59&amp;" de "&amp;Registro_Compras!$E$59&amp;" [PATRON POR CONFIRMAR CON CONTADOR]","Por el registro de la factura "&amp;Registro_Compras!$C$59&amp;" de "&amp;Registro_Compras!$E$59)))</f>
        <v/>
      </c>
      <c r="H500">
        <f>IF($C500="","",Registro_Compras!$C$59)</f>
        <v/>
      </c>
    </row>
    <row r="501">
      <c r="A501" s="25">
        <f>IF($C501="","",Registro_Compras!$B$59)</f>
        <v/>
      </c>
      <c r="B501">
        <f>IF($C501="","","C"&amp;TEXT(INT((ROW()-5)/9)+1,"000")&amp;"-1")</f>
        <v/>
      </c>
      <c r="C501">
        <f>IF(OR(Registro_Compras!$C$59="",Registro_Compras!$O$59=""),"",IF(Registro_Compras!$F$59="RHE",IF(Registro_Compras!$V$59=0,"","40172"),IF(Registro_Compras!$F$59="NOTA DE CREDITO",IF(Registro_Compras!$M$59="","63",Registro_Compras!$M$59),IF(Registro_Compras!$K$59=0,"","40111"))))</f>
        <v/>
      </c>
      <c r="D501">
        <f>IF(OR(Registro_Compras!$C$59="",Registro_Compras!$O$59=""),"",IF(Registro_Compras!$F$59="RHE","Retencion Renta 4ta Categoria por Pagar",IF(Registro_Compras!$F$59="NOTA DE CREDITO","Gastos de Servicios Prestados por Terceros","IGV - Cuenta Propia (Credito Fiscal)")))</f>
        <v/>
      </c>
      <c r="E501" s="20">
        <f>IF($C501="","",IF(Registro_Compras!$F$59="FACTURA",ROUND(Registro_Compras!$K$59*Registro_Compras!$N$59,2),""))</f>
        <v/>
      </c>
      <c r="F501" s="20">
        <f>IF($C501="","",IF(Registro_Compras!$F$59="RHE",ROUND(Registro_Compras!$V$59*Registro_Compras!$N$59,2),IF(Registro_Compras!$F$59="NOTA DE CREDITO",ROUND(ABS(Registro_Compras!$J$59*Registro_Compras!$N$59),2),"")))</f>
        <v/>
      </c>
      <c r="G501">
        <f>IF($C501="","",IF(Registro_Compras!$F$59="NOTA DE CREDITO","Por la nota de credito "&amp;Registro_Compras!$C$59&amp;" de "&amp;Registro_Compras!$E$59&amp;" [PATRON POR CONFIRMAR CON CONTADOR]",IF(Registro_Compras!$F$59="RHE","Por el registro del recibo por honorarios "&amp;Registro_Compras!$C$59&amp;" de "&amp;Registro_Compras!$E$59&amp;" [PATRON POR CONFIRMAR CON CONTADOR]","Por el registro de la factura "&amp;Registro_Compras!$C$59&amp;" de "&amp;Registro_Compras!$E$59)))</f>
        <v/>
      </c>
      <c r="H501">
        <f>IF($C501="","",Registro_Compras!$C$59)</f>
        <v/>
      </c>
    </row>
    <row r="502">
      <c r="A502" s="25">
        <f>IF($C502="","",Registro_Compras!$B$59)</f>
        <v/>
      </c>
      <c r="B502">
        <f>IF($C502="","","C"&amp;TEXT(INT((ROW()-5)/9)+1,"000")&amp;"-1")</f>
        <v/>
      </c>
      <c r="C502">
        <f>IF(OR(Registro_Compras!$C$59="",Registro_Compras!$O$59=""),"",IF(Registro_Compras!$F$59="NOTA DE CREDITO",IF(Registro_Compras!$K$59=0,"","40111"),"4212"))</f>
        <v/>
      </c>
      <c r="D502">
        <f>IF(OR(Registro_Compras!$C$59="",Registro_Compras!$O$59=""),"",IF(Registro_Compras!$F$59="NOTA DE CREDITO","IGV - Cuenta Propia (Credito Fiscal)","Cuentas por Pagar Comerciales - Terceros (Emitidas)"))</f>
        <v/>
      </c>
      <c r="E502" s="20">
        <f>""</f>
        <v/>
      </c>
      <c r="F502" s="20">
        <f>IF($C502="","",IF(Registro_Compras!$F$59="NOTA DE CREDITO",ROUND(ABS(Registro_Compras!$K$59*Registro_Compras!$N$59),2),IF(Registro_Compras!$F$59="RHE",(ROUND(Registro_Compras!$L$59*Registro_Compras!$N$59,2)-ROUND(Registro_Compras!$V$59*Registro_Compras!$N$59,2)),Registro_Compras!$O$59)))</f>
        <v/>
      </c>
      <c r="G502">
        <f>IF($C502="","",IF(Registro_Compras!$F$59="NOTA DE CREDITO","Por la nota de credito "&amp;Registro_Compras!$C$59&amp;" de "&amp;Registro_Compras!$E$59&amp;" [PATRON POR CONFIRMAR CON CONTADOR]",IF(Registro_Compras!$F$59="RHE","Por el registro del recibo por honorarios "&amp;Registro_Compras!$C$59&amp;" de "&amp;Registro_Compras!$E$59&amp;" [PATRON POR CONFIRMAR CON CONTADOR]","Por el registro de la factura "&amp;Registro_Compras!$C$59&amp;" de "&amp;Registro_Compras!$E$59)))</f>
        <v/>
      </c>
      <c r="H502">
        <f>IF($C502="","",Registro_Compras!$C$59)</f>
        <v/>
      </c>
    </row>
    <row r="503">
      <c r="A503" s="25">
        <f>IF($C503="","",Registro_Compras!$B$59)</f>
        <v/>
      </c>
      <c r="B503">
        <f>IF($C503="","","C"&amp;TEXT(INT((ROW()-5)/9)+1,"000")&amp;"-2")</f>
        <v/>
      </c>
      <c r="C503">
        <f>IF(OR(Registro_Compras!$C$59="",Registro_Compras!$O$59=""),"",IF(Registro_Compras!$AB$59="ADMINISTRATIVO","94","95"))</f>
        <v/>
      </c>
      <c r="D503">
        <f>IF(OR(Registro_Compras!$C$59="",Registro_Compras!$O$59=""),"",IF(Registro_Compras!$AB$59="ADMINISTRATIVO","Gastos Administrativos","Gastos de Venta y Operacion"))</f>
        <v/>
      </c>
      <c r="E503" s="20">
        <f>IF($C503="","",IF(Registro_Compras!$F$59="NOTA DE CREDITO","",IF(Registro_Compras!$F$59="RHE",ROUND(Registro_Compras!$L$59*Registro_Compras!$N$59,2),ROUND(Registro_Compras!$J$59*Registro_Compras!$N$59,2))))</f>
        <v/>
      </c>
      <c r="F503" s="20">
        <f>IF($C503="","",IF(Registro_Compras!$F$59="NOTA DE CREDITO",ROUND(ABS(Registro_Compras!$J$59*Registro_Compras!$N$59),2),""))</f>
        <v/>
      </c>
      <c r="G503">
        <f>IF($C503="","","Por el destino del gasto")</f>
        <v/>
      </c>
      <c r="H503">
        <f>IF($C503="","",Registro_Compras!$C$59)</f>
        <v/>
      </c>
    </row>
    <row r="504">
      <c r="A504" s="25">
        <f>IF($C504="","",Registro_Compras!$B$59)</f>
        <v/>
      </c>
      <c r="B504">
        <f>IF($C504="","","C"&amp;TEXT(INT((ROW()-5)/9)+1,"000")&amp;"-2")</f>
        <v/>
      </c>
      <c r="C504">
        <f>IF(OR(Registro_Compras!$C$59="",Registro_Compras!$O$59=""),"","79/791")</f>
        <v/>
      </c>
      <c r="D504">
        <f>IF(OR(Registro_Compras!$C$59="",Registro_Compras!$O$59=""),"","Cargas Imputables a Cuentas de Costos y Gastos")</f>
        <v/>
      </c>
      <c r="E504" s="20">
        <f>IF($C504="","",IF(Registro_Compras!$F$59="NOTA DE CREDITO",ROUND(ABS(Registro_Compras!$J$59*Registro_Compras!$N$59),2),""))</f>
        <v/>
      </c>
      <c r="F504" s="20">
        <f>IF($C504="","",IF(Registro_Compras!$F$59="NOTA DE CREDITO","",IF(Registro_Compras!$F$59="RHE",ROUND(Registro_Compras!$L$59*Registro_Compras!$N$59,2),ROUND(Registro_Compras!$J$59*Registro_Compras!$N$59,2))))</f>
        <v/>
      </c>
      <c r="G504">
        <f>IF($C504="","","Por el destino del gasto")</f>
        <v/>
      </c>
      <c r="H504">
        <f>IF($C504="","",Registro_Compras!$C$59)</f>
        <v/>
      </c>
    </row>
    <row r="505">
      <c r="A505" s="25">
        <f>IF($C505="","",Registro_Compras!$X$59)</f>
        <v/>
      </c>
      <c r="B505">
        <f>IF($C505="","","C"&amp;TEXT(INT((ROW()-5)/9)+1,"000")&amp;"-3")</f>
        <v/>
      </c>
      <c r="C505">
        <f>IF(OR(Registro_Compras!$C$59="",Registro_Compras!$O$59="",Registro_Compras!$R$59&lt;&gt;"SI",Registro_Compras!$X$59=""),"","4212")</f>
        <v/>
      </c>
      <c r="D505">
        <f>IF(OR(Registro_Compras!$C$59="",Registro_Compras!$O$59=""),"","Cuentas por Pagar Comerciales - Terceros")</f>
        <v/>
      </c>
      <c r="E505" s="20">
        <f>IF($C505="","",Registro_Compras!$S$59)</f>
        <v/>
      </c>
      <c r="F505" s="20">
        <f>""</f>
        <v/>
      </c>
      <c r="G505">
        <f>IF($C505="","","Por el deposito de la detraccion en el Banco de la Nacion")</f>
        <v/>
      </c>
      <c r="H505">
        <f>IF($C505="","",Registro_Compras!$C$59)</f>
        <v/>
      </c>
    </row>
    <row r="506">
      <c r="A506" s="25">
        <f>IF($C506="","",Registro_Compras!$X$59)</f>
        <v/>
      </c>
      <c r="B506">
        <f>IF($C506="","","C"&amp;TEXT(INT((ROW()-5)/9)+1,"000")&amp;"-3")</f>
        <v/>
      </c>
      <c r="C506">
        <f>IF(OR(Registro_Compras!$C$59="",Registro_Compras!$O$59="",Registro_Compras!$R$59&lt;&gt;"SI",Registro_Compras!$X$59=""),"","10413")</f>
        <v/>
      </c>
      <c r="D506">
        <f>IF(OR(Registro_Compras!$C$59="",Registro_Compras!$O$59=""),"","Efectivo y Equivalentes - Cta. Cte. Operativa")</f>
        <v/>
      </c>
      <c r="E506" s="20">
        <f>""</f>
        <v/>
      </c>
      <c r="F506" s="20">
        <f>IF($C506="","",Registro_Compras!$S$59)</f>
        <v/>
      </c>
      <c r="G506">
        <f>IF($C506="","","Por el deposito de la detraccion en el Banco de la Nacion")</f>
        <v/>
      </c>
      <c r="H506">
        <f>IF($C506="","",Registro_Compras!$C$59)</f>
        <v/>
      </c>
    </row>
    <row r="507">
      <c r="A507" s="25">
        <f>IF($C507="","",Registro_Compras!$Y$59)</f>
        <v/>
      </c>
      <c r="B507">
        <f>IF($C507="","","C"&amp;TEXT(INT((ROW()-5)/9)+1,"000")&amp;"-4")</f>
        <v/>
      </c>
      <c r="C507">
        <f>IF(OR(Registro_Compras!$C$59="",Registro_Compras!$O$59="",Registro_Compras!$Y$59="",Registro_Compras!$F$59="NOTA DE CREDITO"),"","4212")</f>
        <v/>
      </c>
      <c r="D507">
        <f>IF(OR(Registro_Compras!$C$59="",Registro_Compras!$O$59=""),"","Cuentas por Pagar Comerciales - Terceros")</f>
        <v/>
      </c>
      <c r="E507" s="20">
        <f>IF($C507="","",IF(Registro_Compras!$F$59="RHE",(ROUND(Registro_Compras!$L$59*Registro_Compras!$N$59,2)-ROUND(Registro_Compras!$V$59*Registro_Compras!$N$59,2)),ROUND(Registro_Compras!$O$59-Registro_Compras!$S$59,2)))</f>
        <v/>
      </c>
      <c r="F507" s="20">
        <f>""</f>
        <v/>
      </c>
      <c r="G507">
        <f>IF($C507="","","Por la cancelacion del saldo al proveedor")</f>
        <v/>
      </c>
      <c r="H507">
        <f>IF($C507="","",Registro_Compras!$C$59)</f>
        <v/>
      </c>
    </row>
    <row r="508">
      <c r="A508" s="25">
        <f>IF($C508="","",Registro_Compras!$Y$59)</f>
        <v/>
      </c>
      <c r="B508">
        <f>IF($C508="","","C"&amp;TEXT(INT((ROW()-5)/9)+1,"000")&amp;"-4")</f>
        <v/>
      </c>
      <c r="C508">
        <f>IF(OR(Registro_Compras!$C$59="",Registro_Compras!$O$59="",Registro_Compras!$Y$59="",Registro_Compras!$F$59="NOTA DE CREDITO"),"","10413")</f>
        <v/>
      </c>
      <c r="D508">
        <f>IF(OR(Registro_Compras!$C$59="",Registro_Compras!$O$59=""),"","Efectivo y Equivalentes - Cta. Cte. Operativa")</f>
        <v/>
      </c>
      <c r="E508" s="20">
        <f>""</f>
        <v/>
      </c>
      <c r="F508" s="20">
        <f>IF($C508="","",IF(Registro_Compras!$F$59="RHE",(ROUND(Registro_Compras!$L$59*Registro_Compras!$N$59,2)-ROUND(Registro_Compras!$V$59*Registro_Compras!$N$59,2)),ROUND(Registro_Compras!$O$59-Registro_Compras!$S$59,2)))</f>
        <v/>
      </c>
      <c r="G508">
        <f>IF($C508="","","Por la cancelacion del saldo al proveedor")</f>
        <v/>
      </c>
      <c r="H508">
        <f>IF($C508="","",Registro_Compras!$C$59)</f>
        <v/>
      </c>
    </row>
    <row r="509">
      <c r="A509" s="25">
        <f>IF($C509="","",Registro_Compras!$B$60)</f>
        <v/>
      </c>
      <c r="B509">
        <f>IF($C509="","","C"&amp;TEXT(INT((ROW()-5)/9)+1,"000")&amp;"-1")</f>
        <v/>
      </c>
      <c r="C509">
        <f>IF(OR(Registro_Compras!$C$60="",Registro_Compras!$O$60=""),"",IF(Registro_Compras!$F$60="NOTA DE CREDITO","4212",IF(Registro_Compras!$M$60="","63",Registro_Compras!$M$60)))</f>
        <v/>
      </c>
      <c r="D509">
        <f>IF(OR(Registro_Compras!$C$60="",Registro_Compras!$O$60=""),"",IF(Registro_Compras!$F$60="NOTA DE CREDITO","Cuentas por Pagar Comerciales - Terceros (Emitidas)",IF(Registro_Compras!$F$60="RHE","Honorarios Profesionales - Servicios de Terceros","Gastos de Servicios Prestados por Terceros")))</f>
        <v/>
      </c>
      <c r="E509" s="20">
        <f>IF($C509="","",IF(Registro_Compras!$F$60="NOTA DE CREDITO",ABS(Registro_Compras!$O$60),IF(Registro_Compras!$F$60="RHE",ROUND(Registro_Compras!$L$60*Registro_Compras!$N$60,2),ROUND(Registro_Compras!$J$60*Registro_Compras!$N$60,2))))</f>
        <v/>
      </c>
      <c r="F509" s="20">
        <f>""</f>
        <v/>
      </c>
      <c r="G509">
        <f>IF($C509="","",IF(Registro_Compras!$F$60="NOTA DE CREDITO","Por la nota de credito "&amp;Registro_Compras!$C$60&amp;" de "&amp;Registro_Compras!$E$60&amp;" [PATRON POR CONFIRMAR CON CONTADOR]",IF(Registro_Compras!$F$60="RHE","Por el registro del recibo por honorarios "&amp;Registro_Compras!$C$60&amp;" de "&amp;Registro_Compras!$E$60&amp;" [PATRON POR CONFIRMAR CON CONTADOR]","Por el registro de la factura "&amp;Registro_Compras!$C$60&amp;" de "&amp;Registro_Compras!$E$60)))</f>
        <v/>
      </c>
      <c r="H509">
        <f>IF($C509="","",Registro_Compras!$C$60)</f>
        <v/>
      </c>
    </row>
    <row r="510">
      <c r="A510" s="25">
        <f>IF($C510="","",Registro_Compras!$B$60)</f>
        <v/>
      </c>
      <c r="B510">
        <f>IF($C510="","","C"&amp;TEXT(INT((ROW()-5)/9)+1,"000")&amp;"-1")</f>
        <v/>
      </c>
      <c r="C510">
        <f>IF(OR(Registro_Compras!$C$60="",Registro_Compras!$O$60=""),"",IF(Registro_Compras!$F$60="RHE",IF(Registro_Compras!$V$60=0,"","40172"),IF(Registro_Compras!$F$60="NOTA DE CREDITO",IF(Registro_Compras!$M$60="","63",Registro_Compras!$M$60),IF(Registro_Compras!$K$60=0,"","40111"))))</f>
        <v/>
      </c>
      <c r="D510">
        <f>IF(OR(Registro_Compras!$C$60="",Registro_Compras!$O$60=""),"",IF(Registro_Compras!$F$60="RHE","Retencion Renta 4ta Categoria por Pagar",IF(Registro_Compras!$F$60="NOTA DE CREDITO","Gastos de Servicios Prestados por Terceros","IGV - Cuenta Propia (Credito Fiscal)")))</f>
        <v/>
      </c>
      <c r="E510" s="20">
        <f>IF($C510="","",IF(Registro_Compras!$F$60="FACTURA",ROUND(Registro_Compras!$K$60*Registro_Compras!$N$60,2),""))</f>
        <v/>
      </c>
      <c r="F510" s="20">
        <f>IF($C510="","",IF(Registro_Compras!$F$60="RHE",ROUND(Registro_Compras!$V$60*Registro_Compras!$N$60,2),IF(Registro_Compras!$F$60="NOTA DE CREDITO",ROUND(ABS(Registro_Compras!$J$60*Registro_Compras!$N$60),2),"")))</f>
        <v/>
      </c>
      <c r="G510">
        <f>IF($C510="","",IF(Registro_Compras!$F$60="NOTA DE CREDITO","Por la nota de credito "&amp;Registro_Compras!$C$60&amp;" de "&amp;Registro_Compras!$E$60&amp;" [PATRON POR CONFIRMAR CON CONTADOR]",IF(Registro_Compras!$F$60="RHE","Por el registro del recibo por honorarios "&amp;Registro_Compras!$C$60&amp;" de "&amp;Registro_Compras!$E$60&amp;" [PATRON POR CONFIRMAR CON CONTADOR]","Por el registro de la factura "&amp;Registro_Compras!$C$60&amp;" de "&amp;Registro_Compras!$E$60)))</f>
        <v/>
      </c>
      <c r="H510">
        <f>IF($C510="","",Registro_Compras!$C$60)</f>
        <v/>
      </c>
    </row>
    <row r="511">
      <c r="A511" s="25">
        <f>IF($C511="","",Registro_Compras!$B$60)</f>
        <v/>
      </c>
      <c r="B511">
        <f>IF($C511="","","C"&amp;TEXT(INT((ROW()-5)/9)+1,"000")&amp;"-1")</f>
        <v/>
      </c>
      <c r="C511">
        <f>IF(OR(Registro_Compras!$C$60="",Registro_Compras!$O$60=""),"",IF(Registro_Compras!$F$60="NOTA DE CREDITO",IF(Registro_Compras!$K$60=0,"","40111"),"4212"))</f>
        <v/>
      </c>
      <c r="D511">
        <f>IF(OR(Registro_Compras!$C$60="",Registro_Compras!$O$60=""),"",IF(Registro_Compras!$F$60="NOTA DE CREDITO","IGV - Cuenta Propia (Credito Fiscal)","Cuentas por Pagar Comerciales - Terceros (Emitidas)"))</f>
        <v/>
      </c>
      <c r="E511" s="20">
        <f>""</f>
        <v/>
      </c>
      <c r="F511" s="20">
        <f>IF($C511="","",IF(Registro_Compras!$F$60="NOTA DE CREDITO",ROUND(ABS(Registro_Compras!$K$60*Registro_Compras!$N$60),2),IF(Registro_Compras!$F$60="RHE",(ROUND(Registro_Compras!$L$60*Registro_Compras!$N$60,2)-ROUND(Registro_Compras!$V$60*Registro_Compras!$N$60,2)),Registro_Compras!$O$60)))</f>
        <v/>
      </c>
      <c r="G511">
        <f>IF($C511="","",IF(Registro_Compras!$F$60="NOTA DE CREDITO","Por la nota de credito "&amp;Registro_Compras!$C$60&amp;" de "&amp;Registro_Compras!$E$60&amp;" [PATRON POR CONFIRMAR CON CONTADOR]",IF(Registro_Compras!$F$60="RHE","Por el registro del recibo por honorarios "&amp;Registro_Compras!$C$60&amp;" de "&amp;Registro_Compras!$E$60&amp;" [PATRON POR CONFIRMAR CON CONTADOR]","Por el registro de la factura "&amp;Registro_Compras!$C$60&amp;" de "&amp;Registro_Compras!$E$60)))</f>
        <v/>
      </c>
      <c r="H511">
        <f>IF($C511="","",Registro_Compras!$C$60)</f>
        <v/>
      </c>
    </row>
    <row r="512">
      <c r="A512" s="25">
        <f>IF($C512="","",Registro_Compras!$B$60)</f>
        <v/>
      </c>
      <c r="B512">
        <f>IF($C512="","","C"&amp;TEXT(INT((ROW()-5)/9)+1,"000")&amp;"-2")</f>
        <v/>
      </c>
      <c r="C512">
        <f>IF(OR(Registro_Compras!$C$60="",Registro_Compras!$O$60=""),"",IF(Registro_Compras!$AB$60="ADMINISTRATIVO","94","95"))</f>
        <v/>
      </c>
      <c r="D512">
        <f>IF(OR(Registro_Compras!$C$60="",Registro_Compras!$O$60=""),"",IF(Registro_Compras!$AB$60="ADMINISTRATIVO","Gastos Administrativos","Gastos de Venta y Operacion"))</f>
        <v/>
      </c>
      <c r="E512" s="20">
        <f>IF($C512="","",IF(Registro_Compras!$F$60="NOTA DE CREDITO","",IF(Registro_Compras!$F$60="RHE",ROUND(Registro_Compras!$L$60*Registro_Compras!$N$60,2),ROUND(Registro_Compras!$J$60*Registro_Compras!$N$60,2))))</f>
        <v/>
      </c>
      <c r="F512" s="20">
        <f>IF($C512="","",IF(Registro_Compras!$F$60="NOTA DE CREDITO",ROUND(ABS(Registro_Compras!$J$60*Registro_Compras!$N$60),2),""))</f>
        <v/>
      </c>
      <c r="G512">
        <f>IF($C512="","","Por el destino del gasto")</f>
        <v/>
      </c>
      <c r="H512">
        <f>IF($C512="","",Registro_Compras!$C$60)</f>
        <v/>
      </c>
    </row>
    <row r="513">
      <c r="A513" s="25">
        <f>IF($C513="","",Registro_Compras!$B$60)</f>
        <v/>
      </c>
      <c r="B513">
        <f>IF($C513="","","C"&amp;TEXT(INT((ROW()-5)/9)+1,"000")&amp;"-2")</f>
        <v/>
      </c>
      <c r="C513">
        <f>IF(OR(Registro_Compras!$C$60="",Registro_Compras!$O$60=""),"","79/791")</f>
        <v/>
      </c>
      <c r="D513">
        <f>IF(OR(Registro_Compras!$C$60="",Registro_Compras!$O$60=""),"","Cargas Imputables a Cuentas de Costos y Gastos")</f>
        <v/>
      </c>
      <c r="E513" s="20">
        <f>IF($C513="","",IF(Registro_Compras!$F$60="NOTA DE CREDITO",ROUND(ABS(Registro_Compras!$J$60*Registro_Compras!$N$60),2),""))</f>
        <v/>
      </c>
      <c r="F513" s="20">
        <f>IF($C513="","",IF(Registro_Compras!$F$60="NOTA DE CREDITO","",IF(Registro_Compras!$F$60="RHE",ROUND(Registro_Compras!$L$60*Registro_Compras!$N$60,2),ROUND(Registro_Compras!$J$60*Registro_Compras!$N$60,2))))</f>
        <v/>
      </c>
      <c r="G513">
        <f>IF($C513="","","Por el destino del gasto")</f>
        <v/>
      </c>
      <c r="H513">
        <f>IF($C513="","",Registro_Compras!$C$60)</f>
        <v/>
      </c>
    </row>
    <row r="514">
      <c r="A514" s="25">
        <f>IF($C514="","",Registro_Compras!$X$60)</f>
        <v/>
      </c>
      <c r="B514">
        <f>IF($C514="","","C"&amp;TEXT(INT((ROW()-5)/9)+1,"000")&amp;"-3")</f>
        <v/>
      </c>
      <c r="C514">
        <f>IF(OR(Registro_Compras!$C$60="",Registro_Compras!$O$60="",Registro_Compras!$R$60&lt;&gt;"SI",Registro_Compras!$X$60=""),"","4212")</f>
        <v/>
      </c>
      <c r="D514">
        <f>IF(OR(Registro_Compras!$C$60="",Registro_Compras!$O$60=""),"","Cuentas por Pagar Comerciales - Terceros")</f>
        <v/>
      </c>
      <c r="E514" s="20">
        <f>IF($C514="","",Registro_Compras!$S$60)</f>
        <v/>
      </c>
      <c r="F514" s="20">
        <f>""</f>
        <v/>
      </c>
      <c r="G514">
        <f>IF($C514="","","Por el deposito de la detraccion en el Banco de la Nacion")</f>
        <v/>
      </c>
      <c r="H514">
        <f>IF($C514="","",Registro_Compras!$C$60)</f>
        <v/>
      </c>
    </row>
    <row r="515">
      <c r="A515" s="25">
        <f>IF($C515="","",Registro_Compras!$X$60)</f>
        <v/>
      </c>
      <c r="B515">
        <f>IF($C515="","","C"&amp;TEXT(INT((ROW()-5)/9)+1,"000")&amp;"-3")</f>
        <v/>
      </c>
      <c r="C515">
        <f>IF(OR(Registro_Compras!$C$60="",Registro_Compras!$O$60="",Registro_Compras!$R$60&lt;&gt;"SI",Registro_Compras!$X$60=""),"","10413")</f>
        <v/>
      </c>
      <c r="D515">
        <f>IF(OR(Registro_Compras!$C$60="",Registro_Compras!$O$60=""),"","Efectivo y Equivalentes - Cta. Cte. Operativa")</f>
        <v/>
      </c>
      <c r="E515" s="20">
        <f>""</f>
        <v/>
      </c>
      <c r="F515" s="20">
        <f>IF($C515="","",Registro_Compras!$S$60)</f>
        <v/>
      </c>
      <c r="G515">
        <f>IF($C515="","","Por el deposito de la detraccion en el Banco de la Nacion")</f>
        <v/>
      </c>
      <c r="H515">
        <f>IF($C515="","",Registro_Compras!$C$60)</f>
        <v/>
      </c>
    </row>
    <row r="516">
      <c r="A516" s="25">
        <f>IF($C516="","",Registro_Compras!$Y$60)</f>
        <v/>
      </c>
      <c r="B516">
        <f>IF($C516="","","C"&amp;TEXT(INT((ROW()-5)/9)+1,"000")&amp;"-4")</f>
        <v/>
      </c>
      <c r="C516">
        <f>IF(OR(Registro_Compras!$C$60="",Registro_Compras!$O$60="",Registro_Compras!$Y$60="",Registro_Compras!$F$60="NOTA DE CREDITO"),"","4212")</f>
        <v/>
      </c>
      <c r="D516">
        <f>IF(OR(Registro_Compras!$C$60="",Registro_Compras!$O$60=""),"","Cuentas por Pagar Comerciales - Terceros")</f>
        <v/>
      </c>
      <c r="E516" s="20">
        <f>IF($C516="","",IF(Registro_Compras!$F$60="RHE",(ROUND(Registro_Compras!$L$60*Registro_Compras!$N$60,2)-ROUND(Registro_Compras!$V$60*Registro_Compras!$N$60,2)),ROUND(Registro_Compras!$O$60-Registro_Compras!$S$60,2)))</f>
        <v/>
      </c>
      <c r="F516" s="20">
        <f>""</f>
        <v/>
      </c>
      <c r="G516">
        <f>IF($C516="","","Por la cancelacion del saldo al proveedor")</f>
        <v/>
      </c>
      <c r="H516">
        <f>IF($C516="","",Registro_Compras!$C$60)</f>
        <v/>
      </c>
    </row>
    <row r="517">
      <c r="A517" s="25">
        <f>IF($C517="","",Registro_Compras!$Y$60)</f>
        <v/>
      </c>
      <c r="B517">
        <f>IF($C517="","","C"&amp;TEXT(INT((ROW()-5)/9)+1,"000")&amp;"-4")</f>
        <v/>
      </c>
      <c r="C517">
        <f>IF(OR(Registro_Compras!$C$60="",Registro_Compras!$O$60="",Registro_Compras!$Y$60="",Registro_Compras!$F$60="NOTA DE CREDITO"),"","10413")</f>
        <v/>
      </c>
      <c r="D517">
        <f>IF(OR(Registro_Compras!$C$60="",Registro_Compras!$O$60=""),"","Efectivo y Equivalentes - Cta. Cte. Operativa")</f>
        <v/>
      </c>
      <c r="E517" s="20">
        <f>""</f>
        <v/>
      </c>
      <c r="F517" s="20">
        <f>IF($C517="","",IF(Registro_Compras!$F$60="RHE",(ROUND(Registro_Compras!$L$60*Registro_Compras!$N$60,2)-ROUND(Registro_Compras!$V$60*Registro_Compras!$N$60,2)),ROUND(Registro_Compras!$O$60-Registro_Compras!$S$60,2)))</f>
        <v/>
      </c>
      <c r="G517">
        <f>IF($C517="","","Por la cancelacion del saldo al proveedor")</f>
        <v/>
      </c>
      <c r="H517">
        <f>IF($C517="","",Registro_Compras!$C$60)</f>
        <v/>
      </c>
    </row>
    <row r="518">
      <c r="A518" s="25">
        <f>IF($C518="","",Registro_Compras!$B$61)</f>
        <v/>
      </c>
      <c r="B518">
        <f>IF($C518="","","C"&amp;TEXT(INT((ROW()-5)/9)+1,"000")&amp;"-1")</f>
        <v/>
      </c>
      <c r="C518">
        <f>IF(OR(Registro_Compras!$C$61="",Registro_Compras!$O$61=""),"",IF(Registro_Compras!$F$61="NOTA DE CREDITO","4212",IF(Registro_Compras!$M$61="","63",Registro_Compras!$M$61)))</f>
        <v/>
      </c>
      <c r="D518">
        <f>IF(OR(Registro_Compras!$C$61="",Registro_Compras!$O$61=""),"",IF(Registro_Compras!$F$61="NOTA DE CREDITO","Cuentas por Pagar Comerciales - Terceros (Emitidas)",IF(Registro_Compras!$F$61="RHE","Honorarios Profesionales - Servicios de Terceros","Gastos de Servicios Prestados por Terceros")))</f>
        <v/>
      </c>
      <c r="E518" s="20">
        <f>IF($C518="","",IF(Registro_Compras!$F$61="NOTA DE CREDITO",ABS(Registro_Compras!$O$61),IF(Registro_Compras!$F$61="RHE",ROUND(Registro_Compras!$L$61*Registro_Compras!$N$61,2),ROUND(Registro_Compras!$J$61*Registro_Compras!$N$61,2))))</f>
        <v/>
      </c>
      <c r="F518" s="20">
        <f>""</f>
        <v/>
      </c>
      <c r="G518">
        <f>IF($C518="","",IF(Registro_Compras!$F$61="NOTA DE CREDITO","Por la nota de credito "&amp;Registro_Compras!$C$61&amp;" de "&amp;Registro_Compras!$E$61&amp;" [PATRON POR CONFIRMAR CON CONTADOR]",IF(Registro_Compras!$F$61="RHE","Por el registro del recibo por honorarios "&amp;Registro_Compras!$C$61&amp;" de "&amp;Registro_Compras!$E$61&amp;" [PATRON POR CONFIRMAR CON CONTADOR]","Por el registro de la factura "&amp;Registro_Compras!$C$61&amp;" de "&amp;Registro_Compras!$E$61)))</f>
        <v/>
      </c>
      <c r="H518">
        <f>IF($C518="","",Registro_Compras!$C$61)</f>
        <v/>
      </c>
    </row>
    <row r="519">
      <c r="A519" s="25">
        <f>IF($C519="","",Registro_Compras!$B$61)</f>
        <v/>
      </c>
      <c r="B519">
        <f>IF($C519="","","C"&amp;TEXT(INT((ROW()-5)/9)+1,"000")&amp;"-1")</f>
        <v/>
      </c>
      <c r="C519">
        <f>IF(OR(Registro_Compras!$C$61="",Registro_Compras!$O$61=""),"",IF(Registro_Compras!$F$61="RHE",IF(Registro_Compras!$V$61=0,"","40172"),IF(Registro_Compras!$F$61="NOTA DE CREDITO",IF(Registro_Compras!$M$61="","63",Registro_Compras!$M$61),IF(Registro_Compras!$K$61=0,"","40111"))))</f>
        <v/>
      </c>
      <c r="D519">
        <f>IF(OR(Registro_Compras!$C$61="",Registro_Compras!$O$61=""),"",IF(Registro_Compras!$F$61="RHE","Retencion Renta 4ta Categoria por Pagar",IF(Registro_Compras!$F$61="NOTA DE CREDITO","Gastos de Servicios Prestados por Terceros","IGV - Cuenta Propia (Credito Fiscal)")))</f>
        <v/>
      </c>
      <c r="E519" s="20">
        <f>IF($C519="","",IF(Registro_Compras!$F$61="FACTURA",ROUND(Registro_Compras!$K$61*Registro_Compras!$N$61,2),""))</f>
        <v/>
      </c>
      <c r="F519" s="20">
        <f>IF($C519="","",IF(Registro_Compras!$F$61="RHE",ROUND(Registro_Compras!$V$61*Registro_Compras!$N$61,2),IF(Registro_Compras!$F$61="NOTA DE CREDITO",ROUND(ABS(Registro_Compras!$J$61*Registro_Compras!$N$61),2),"")))</f>
        <v/>
      </c>
      <c r="G519">
        <f>IF($C519="","",IF(Registro_Compras!$F$61="NOTA DE CREDITO","Por la nota de credito "&amp;Registro_Compras!$C$61&amp;" de "&amp;Registro_Compras!$E$61&amp;" [PATRON POR CONFIRMAR CON CONTADOR]",IF(Registro_Compras!$F$61="RHE","Por el registro del recibo por honorarios "&amp;Registro_Compras!$C$61&amp;" de "&amp;Registro_Compras!$E$61&amp;" [PATRON POR CONFIRMAR CON CONTADOR]","Por el registro de la factura "&amp;Registro_Compras!$C$61&amp;" de "&amp;Registro_Compras!$E$61)))</f>
        <v/>
      </c>
      <c r="H519">
        <f>IF($C519="","",Registro_Compras!$C$61)</f>
        <v/>
      </c>
    </row>
    <row r="520">
      <c r="A520" s="25">
        <f>IF($C520="","",Registro_Compras!$B$61)</f>
        <v/>
      </c>
      <c r="B520">
        <f>IF($C520="","","C"&amp;TEXT(INT((ROW()-5)/9)+1,"000")&amp;"-1")</f>
        <v/>
      </c>
      <c r="C520">
        <f>IF(OR(Registro_Compras!$C$61="",Registro_Compras!$O$61=""),"",IF(Registro_Compras!$F$61="NOTA DE CREDITO",IF(Registro_Compras!$K$61=0,"","40111"),"4212"))</f>
        <v/>
      </c>
      <c r="D520">
        <f>IF(OR(Registro_Compras!$C$61="",Registro_Compras!$O$61=""),"",IF(Registro_Compras!$F$61="NOTA DE CREDITO","IGV - Cuenta Propia (Credito Fiscal)","Cuentas por Pagar Comerciales - Terceros (Emitidas)"))</f>
        <v/>
      </c>
      <c r="E520" s="20">
        <f>""</f>
        <v/>
      </c>
      <c r="F520" s="20">
        <f>IF($C520="","",IF(Registro_Compras!$F$61="NOTA DE CREDITO",ROUND(ABS(Registro_Compras!$K$61*Registro_Compras!$N$61),2),IF(Registro_Compras!$F$61="RHE",(ROUND(Registro_Compras!$L$61*Registro_Compras!$N$61,2)-ROUND(Registro_Compras!$V$61*Registro_Compras!$N$61,2)),Registro_Compras!$O$61)))</f>
        <v/>
      </c>
      <c r="G520">
        <f>IF($C520="","",IF(Registro_Compras!$F$61="NOTA DE CREDITO","Por la nota de credito "&amp;Registro_Compras!$C$61&amp;" de "&amp;Registro_Compras!$E$61&amp;" [PATRON POR CONFIRMAR CON CONTADOR]",IF(Registro_Compras!$F$61="RHE","Por el registro del recibo por honorarios "&amp;Registro_Compras!$C$61&amp;" de "&amp;Registro_Compras!$E$61&amp;" [PATRON POR CONFIRMAR CON CONTADOR]","Por el registro de la factura "&amp;Registro_Compras!$C$61&amp;" de "&amp;Registro_Compras!$E$61)))</f>
        <v/>
      </c>
      <c r="H520">
        <f>IF($C520="","",Registro_Compras!$C$61)</f>
        <v/>
      </c>
    </row>
    <row r="521">
      <c r="A521" s="25">
        <f>IF($C521="","",Registro_Compras!$B$61)</f>
        <v/>
      </c>
      <c r="B521">
        <f>IF($C521="","","C"&amp;TEXT(INT((ROW()-5)/9)+1,"000")&amp;"-2")</f>
        <v/>
      </c>
      <c r="C521">
        <f>IF(OR(Registro_Compras!$C$61="",Registro_Compras!$O$61=""),"",IF(Registro_Compras!$AB$61="ADMINISTRATIVO","94","95"))</f>
        <v/>
      </c>
      <c r="D521">
        <f>IF(OR(Registro_Compras!$C$61="",Registro_Compras!$O$61=""),"",IF(Registro_Compras!$AB$61="ADMINISTRATIVO","Gastos Administrativos","Gastos de Venta y Operacion"))</f>
        <v/>
      </c>
      <c r="E521" s="20">
        <f>IF($C521="","",IF(Registro_Compras!$F$61="NOTA DE CREDITO","",IF(Registro_Compras!$F$61="RHE",ROUND(Registro_Compras!$L$61*Registro_Compras!$N$61,2),ROUND(Registro_Compras!$J$61*Registro_Compras!$N$61,2))))</f>
        <v/>
      </c>
      <c r="F521" s="20">
        <f>IF($C521="","",IF(Registro_Compras!$F$61="NOTA DE CREDITO",ROUND(ABS(Registro_Compras!$J$61*Registro_Compras!$N$61),2),""))</f>
        <v/>
      </c>
      <c r="G521">
        <f>IF($C521="","","Por el destino del gasto")</f>
        <v/>
      </c>
      <c r="H521">
        <f>IF($C521="","",Registro_Compras!$C$61)</f>
        <v/>
      </c>
    </row>
    <row r="522">
      <c r="A522" s="25">
        <f>IF($C522="","",Registro_Compras!$B$61)</f>
        <v/>
      </c>
      <c r="B522">
        <f>IF($C522="","","C"&amp;TEXT(INT((ROW()-5)/9)+1,"000")&amp;"-2")</f>
        <v/>
      </c>
      <c r="C522">
        <f>IF(OR(Registro_Compras!$C$61="",Registro_Compras!$O$61=""),"","79/791")</f>
        <v/>
      </c>
      <c r="D522">
        <f>IF(OR(Registro_Compras!$C$61="",Registro_Compras!$O$61=""),"","Cargas Imputables a Cuentas de Costos y Gastos")</f>
        <v/>
      </c>
      <c r="E522" s="20">
        <f>IF($C522="","",IF(Registro_Compras!$F$61="NOTA DE CREDITO",ROUND(ABS(Registro_Compras!$J$61*Registro_Compras!$N$61),2),""))</f>
        <v/>
      </c>
      <c r="F522" s="20">
        <f>IF($C522="","",IF(Registro_Compras!$F$61="NOTA DE CREDITO","",IF(Registro_Compras!$F$61="RHE",ROUND(Registro_Compras!$L$61*Registro_Compras!$N$61,2),ROUND(Registro_Compras!$J$61*Registro_Compras!$N$61,2))))</f>
        <v/>
      </c>
      <c r="G522">
        <f>IF($C522="","","Por el destino del gasto")</f>
        <v/>
      </c>
      <c r="H522">
        <f>IF($C522="","",Registro_Compras!$C$61)</f>
        <v/>
      </c>
    </row>
    <row r="523">
      <c r="A523" s="25">
        <f>IF($C523="","",Registro_Compras!$X$61)</f>
        <v/>
      </c>
      <c r="B523">
        <f>IF($C523="","","C"&amp;TEXT(INT((ROW()-5)/9)+1,"000")&amp;"-3")</f>
        <v/>
      </c>
      <c r="C523">
        <f>IF(OR(Registro_Compras!$C$61="",Registro_Compras!$O$61="",Registro_Compras!$R$61&lt;&gt;"SI",Registro_Compras!$X$61=""),"","4212")</f>
        <v/>
      </c>
      <c r="D523">
        <f>IF(OR(Registro_Compras!$C$61="",Registro_Compras!$O$61=""),"","Cuentas por Pagar Comerciales - Terceros")</f>
        <v/>
      </c>
      <c r="E523" s="20">
        <f>IF($C523="","",Registro_Compras!$S$61)</f>
        <v/>
      </c>
      <c r="F523" s="20">
        <f>""</f>
        <v/>
      </c>
      <c r="G523">
        <f>IF($C523="","","Por el deposito de la detraccion en el Banco de la Nacion")</f>
        <v/>
      </c>
      <c r="H523">
        <f>IF($C523="","",Registro_Compras!$C$61)</f>
        <v/>
      </c>
    </row>
    <row r="524">
      <c r="A524" s="25">
        <f>IF($C524="","",Registro_Compras!$X$61)</f>
        <v/>
      </c>
      <c r="B524">
        <f>IF($C524="","","C"&amp;TEXT(INT((ROW()-5)/9)+1,"000")&amp;"-3")</f>
        <v/>
      </c>
      <c r="C524">
        <f>IF(OR(Registro_Compras!$C$61="",Registro_Compras!$O$61="",Registro_Compras!$R$61&lt;&gt;"SI",Registro_Compras!$X$61=""),"","10413")</f>
        <v/>
      </c>
      <c r="D524">
        <f>IF(OR(Registro_Compras!$C$61="",Registro_Compras!$O$61=""),"","Efectivo y Equivalentes - Cta. Cte. Operativa")</f>
        <v/>
      </c>
      <c r="E524" s="20">
        <f>""</f>
        <v/>
      </c>
      <c r="F524" s="20">
        <f>IF($C524="","",Registro_Compras!$S$61)</f>
        <v/>
      </c>
      <c r="G524">
        <f>IF($C524="","","Por el deposito de la detraccion en el Banco de la Nacion")</f>
        <v/>
      </c>
      <c r="H524">
        <f>IF($C524="","",Registro_Compras!$C$61)</f>
        <v/>
      </c>
    </row>
    <row r="525">
      <c r="A525" s="25">
        <f>IF($C525="","",Registro_Compras!$Y$61)</f>
        <v/>
      </c>
      <c r="B525">
        <f>IF($C525="","","C"&amp;TEXT(INT((ROW()-5)/9)+1,"000")&amp;"-4")</f>
        <v/>
      </c>
      <c r="C525">
        <f>IF(OR(Registro_Compras!$C$61="",Registro_Compras!$O$61="",Registro_Compras!$Y$61="",Registro_Compras!$F$61="NOTA DE CREDITO"),"","4212")</f>
        <v/>
      </c>
      <c r="D525">
        <f>IF(OR(Registro_Compras!$C$61="",Registro_Compras!$O$61=""),"","Cuentas por Pagar Comerciales - Terceros")</f>
        <v/>
      </c>
      <c r="E525" s="20">
        <f>IF($C525="","",IF(Registro_Compras!$F$61="RHE",(ROUND(Registro_Compras!$L$61*Registro_Compras!$N$61,2)-ROUND(Registro_Compras!$V$61*Registro_Compras!$N$61,2)),ROUND(Registro_Compras!$O$61-Registro_Compras!$S$61,2)))</f>
        <v/>
      </c>
      <c r="F525" s="20">
        <f>""</f>
        <v/>
      </c>
      <c r="G525">
        <f>IF($C525="","","Por la cancelacion del saldo al proveedor")</f>
        <v/>
      </c>
      <c r="H525">
        <f>IF($C525="","",Registro_Compras!$C$61)</f>
        <v/>
      </c>
    </row>
    <row r="526">
      <c r="A526" s="25">
        <f>IF($C526="","",Registro_Compras!$Y$61)</f>
        <v/>
      </c>
      <c r="B526">
        <f>IF($C526="","","C"&amp;TEXT(INT((ROW()-5)/9)+1,"000")&amp;"-4")</f>
        <v/>
      </c>
      <c r="C526">
        <f>IF(OR(Registro_Compras!$C$61="",Registro_Compras!$O$61="",Registro_Compras!$Y$61="",Registro_Compras!$F$61="NOTA DE CREDITO"),"","10413")</f>
        <v/>
      </c>
      <c r="D526">
        <f>IF(OR(Registro_Compras!$C$61="",Registro_Compras!$O$61=""),"","Efectivo y Equivalentes - Cta. Cte. Operativa")</f>
        <v/>
      </c>
      <c r="E526" s="20">
        <f>""</f>
        <v/>
      </c>
      <c r="F526" s="20">
        <f>IF($C526="","",IF(Registro_Compras!$F$61="RHE",(ROUND(Registro_Compras!$L$61*Registro_Compras!$N$61,2)-ROUND(Registro_Compras!$V$61*Registro_Compras!$N$61,2)),ROUND(Registro_Compras!$O$61-Registro_Compras!$S$61,2)))</f>
        <v/>
      </c>
      <c r="G526">
        <f>IF($C526="","","Por la cancelacion del saldo al proveedor")</f>
        <v/>
      </c>
      <c r="H526">
        <f>IF($C526="","",Registro_Compras!$C$61)</f>
        <v/>
      </c>
    </row>
    <row r="527">
      <c r="A527" s="25">
        <f>IF($C527="","",Registro_Compras!$B$62)</f>
        <v/>
      </c>
      <c r="B527">
        <f>IF($C527="","","C"&amp;TEXT(INT((ROW()-5)/9)+1,"000")&amp;"-1")</f>
        <v/>
      </c>
      <c r="C527">
        <f>IF(OR(Registro_Compras!$C$62="",Registro_Compras!$O$62=""),"",IF(Registro_Compras!$F$62="NOTA DE CREDITO","4212",IF(Registro_Compras!$M$62="","63",Registro_Compras!$M$62)))</f>
        <v/>
      </c>
      <c r="D527">
        <f>IF(OR(Registro_Compras!$C$62="",Registro_Compras!$O$62=""),"",IF(Registro_Compras!$F$62="NOTA DE CREDITO","Cuentas por Pagar Comerciales - Terceros (Emitidas)",IF(Registro_Compras!$F$62="RHE","Honorarios Profesionales - Servicios de Terceros","Gastos de Servicios Prestados por Terceros")))</f>
        <v/>
      </c>
      <c r="E527" s="20">
        <f>IF($C527="","",IF(Registro_Compras!$F$62="NOTA DE CREDITO",ABS(Registro_Compras!$O$62),IF(Registro_Compras!$F$62="RHE",ROUND(Registro_Compras!$L$62*Registro_Compras!$N$62,2),ROUND(Registro_Compras!$J$62*Registro_Compras!$N$62,2))))</f>
        <v/>
      </c>
      <c r="F527" s="20">
        <f>""</f>
        <v/>
      </c>
      <c r="G527">
        <f>IF($C527="","",IF(Registro_Compras!$F$62="NOTA DE CREDITO","Por la nota de credito "&amp;Registro_Compras!$C$62&amp;" de "&amp;Registro_Compras!$E$62&amp;" [PATRON POR CONFIRMAR CON CONTADOR]",IF(Registro_Compras!$F$62="RHE","Por el registro del recibo por honorarios "&amp;Registro_Compras!$C$62&amp;" de "&amp;Registro_Compras!$E$62&amp;" [PATRON POR CONFIRMAR CON CONTADOR]","Por el registro de la factura "&amp;Registro_Compras!$C$62&amp;" de "&amp;Registro_Compras!$E$62)))</f>
        <v/>
      </c>
      <c r="H527">
        <f>IF($C527="","",Registro_Compras!$C$62)</f>
        <v/>
      </c>
    </row>
    <row r="528">
      <c r="A528" s="25">
        <f>IF($C528="","",Registro_Compras!$B$62)</f>
        <v/>
      </c>
      <c r="B528">
        <f>IF($C528="","","C"&amp;TEXT(INT((ROW()-5)/9)+1,"000")&amp;"-1")</f>
        <v/>
      </c>
      <c r="C528">
        <f>IF(OR(Registro_Compras!$C$62="",Registro_Compras!$O$62=""),"",IF(Registro_Compras!$F$62="RHE",IF(Registro_Compras!$V$62=0,"","40172"),IF(Registro_Compras!$F$62="NOTA DE CREDITO",IF(Registro_Compras!$M$62="","63",Registro_Compras!$M$62),IF(Registro_Compras!$K$62=0,"","40111"))))</f>
        <v/>
      </c>
      <c r="D528">
        <f>IF(OR(Registro_Compras!$C$62="",Registro_Compras!$O$62=""),"",IF(Registro_Compras!$F$62="RHE","Retencion Renta 4ta Categoria por Pagar",IF(Registro_Compras!$F$62="NOTA DE CREDITO","Gastos de Servicios Prestados por Terceros","IGV - Cuenta Propia (Credito Fiscal)")))</f>
        <v/>
      </c>
      <c r="E528" s="20">
        <f>IF($C528="","",IF(Registro_Compras!$F$62="FACTURA",ROUND(Registro_Compras!$K$62*Registro_Compras!$N$62,2),""))</f>
        <v/>
      </c>
      <c r="F528" s="20">
        <f>IF($C528="","",IF(Registro_Compras!$F$62="RHE",ROUND(Registro_Compras!$V$62*Registro_Compras!$N$62,2),IF(Registro_Compras!$F$62="NOTA DE CREDITO",ROUND(ABS(Registro_Compras!$J$62*Registro_Compras!$N$62),2),"")))</f>
        <v/>
      </c>
      <c r="G528">
        <f>IF($C528="","",IF(Registro_Compras!$F$62="NOTA DE CREDITO","Por la nota de credito "&amp;Registro_Compras!$C$62&amp;" de "&amp;Registro_Compras!$E$62&amp;" [PATRON POR CONFIRMAR CON CONTADOR]",IF(Registro_Compras!$F$62="RHE","Por el registro del recibo por honorarios "&amp;Registro_Compras!$C$62&amp;" de "&amp;Registro_Compras!$E$62&amp;" [PATRON POR CONFIRMAR CON CONTADOR]","Por el registro de la factura "&amp;Registro_Compras!$C$62&amp;" de "&amp;Registro_Compras!$E$62)))</f>
        <v/>
      </c>
      <c r="H528">
        <f>IF($C528="","",Registro_Compras!$C$62)</f>
        <v/>
      </c>
    </row>
    <row r="529">
      <c r="A529" s="25">
        <f>IF($C529="","",Registro_Compras!$B$62)</f>
        <v/>
      </c>
      <c r="B529">
        <f>IF($C529="","","C"&amp;TEXT(INT((ROW()-5)/9)+1,"000")&amp;"-1")</f>
        <v/>
      </c>
      <c r="C529">
        <f>IF(OR(Registro_Compras!$C$62="",Registro_Compras!$O$62=""),"",IF(Registro_Compras!$F$62="NOTA DE CREDITO",IF(Registro_Compras!$K$62=0,"","40111"),"4212"))</f>
        <v/>
      </c>
      <c r="D529">
        <f>IF(OR(Registro_Compras!$C$62="",Registro_Compras!$O$62=""),"",IF(Registro_Compras!$F$62="NOTA DE CREDITO","IGV - Cuenta Propia (Credito Fiscal)","Cuentas por Pagar Comerciales - Terceros (Emitidas)"))</f>
        <v/>
      </c>
      <c r="E529" s="20">
        <f>""</f>
        <v/>
      </c>
      <c r="F529" s="20">
        <f>IF($C529="","",IF(Registro_Compras!$F$62="NOTA DE CREDITO",ROUND(ABS(Registro_Compras!$K$62*Registro_Compras!$N$62),2),IF(Registro_Compras!$F$62="RHE",(ROUND(Registro_Compras!$L$62*Registro_Compras!$N$62,2)-ROUND(Registro_Compras!$V$62*Registro_Compras!$N$62,2)),Registro_Compras!$O$62)))</f>
        <v/>
      </c>
      <c r="G529">
        <f>IF($C529="","",IF(Registro_Compras!$F$62="NOTA DE CREDITO","Por la nota de credito "&amp;Registro_Compras!$C$62&amp;" de "&amp;Registro_Compras!$E$62&amp;" [PATRON POR CONFIRMAR CON CONTADOR]",IF(Registro_Compras!$F$62="RHE","Por el registro del recibo por honorarios "&amp;Registro_Compras!$C$62&amp;" de "&amp;Registro_Compras!$E$62&amp;" [PATRON POR CONFIRMAR CON CONTADOR]","Por el registro de la factura "&amp;Registro_Compras!$C$62&amp;" de "&amp;Registro_Compras!$E$62)))</f>
        <v/>
      </c>
      <c r="H529">
        <f>IF($C529="","",Registro_Compras!$C$62)</f>
        <v/>
      </c>
    </row>
    <row r="530">
      <c r="A530" s="25">
        <f>IF($C530="","",Registro_Compras!$B$62)</f>
        <v/>
      </c>
      <c r="B530">
        <f>IF($C530="","","C"&amp;TEXT(INT((ROW()-5)/9)+1,"000")&amp;"-2")</f>
        <v/>
      </c>
      <c r="C530">
        <f>IF(OR(Registro_Compras!$C$62="",Registro_Compras!$O$62=""),"",IF(Registro_Compras!$AB$62="ADMINISTRATIVO","94","95"))</f>
        <v/>
      </c>
      <c r="D530">
        <f>IF(OR(Registro_Compras!$C$62="",Registro_Compras!$O$62=""),"",IF(Registro_Compras!$AB$62="ADMINISTRATIVO","Gastos Administrativos","Gastos de Venta y Operacion"))</f>
        <v/>
      </c>
      <c r="E530" s="20">
        <f>IF($C530="","",IF(Registro_Compras!$F$62="NOTA DE CREDITO","",IF(Registro_Compras!$F$62="RHE",ROUND(Registro_Compras!$L$62*Registro_Compras!$N$62,2),ROUND(Registro_Compras!$J$62*Registro_Compras!$N$62,2))))</f>
        <v/>
      </c>
      <c r="F530" s="20">
        <f>IF($C530="","",IF(Registro_Compras!$F$62="NOTA DE CREDITO",ROUND(ABS(Registro_Compras!$J$62*Registro_Compras!$N$62),2),""))</f>
        <v/>
      </c>
      <c r="G530">
        <f>IF($C530="","","Por el destino del gasto")</f>
        <v/>
      </c>
      <c r="H530">
        <f>IF($C530="","",Registro_Compras!$C$62)</f>
        <v/>
      </c>
    </row>
    <row r="531">
      <c r="A531" s="25">
        <f>IF($C531="","",Registro_Compras!$B$62)</f>
        <v/>
      </c>
      <c r="B531">
        <f>IF($C531="","","C"&amp;TEXT(INT((ROW()-5)/9)+1,"000")&amp;"-2")</f>
        <v/>
      </c>
      <c r="C531">
        <f>IF(OR(Registro_Compras!$C$62="",Registro_Compras!$O$62=""),"","79/791")</f>
        <v/>
      </c>
      <c r="D531">
        <f>IF(OR(Registro_Compras!$C$62="",Registro_Compras!$O$62=""),"","Cargas Imputables a Cuentas de Costos y Gastos")</f>
        <v/>
      </c>
      <c r="E531" s="20">
        <f>IF($C531="","",IF(Registro_Compras!$F$62="NOTA DE CREDITO",ROUND(ABS(Registro_Compras!$J$62*Registro_Compras!$N$62),2),""))</f>
        <v/>
      </c>
      <c r="F531" s="20">
        <f>IF($C531="","",IF(Registro_Compras!$F$62="NOTA DE CREDITO","",IF(Registro_Compras!$F$62="RHE",ROUND(Registro_Compras!$L$62*Registro_Compras!$N$62,2),ROUND(Registro_Compras!$J$62*Registro_Compras!$N$62,2))))</f>
        <v/>
      </c>
      <c r="G531">
        <f>IF($C531="","","Por el destino del gasto")</f>
        <v/>
      </c>
      <c r="H531">
        <f>IF($C531="","",Registro_Compras!$C$62)</f>
        <v/>
      </c>
    </row>
    <row r="532">
      <c r="A532" s="25">
        <f>IF($C532="","",Registro_Compras!$X$62)</f>
        <v/>
      </c>
      <c r="B532">
        <f>IF($C532="","","C"&amp;TEXT(INT((ROW()-5)/9)+1,"000")&amp;"-3")</f>
        <v/>
      </c>
      <c r="C532">
        <f>IF(OR(Registro_Compras!$C$62="",Registro_Compras!$O$62="",Registro_Compras!$R$62&lt;&gt;"SI",Registro_Compras!$X$62=""),"","4212")</f>
        <v/>
      </c>
      <c r="D532">
        <f>IF(OR(Registro_Compras!$C$62="",Registro_Compras!$O$62=""),"","Cuentas por Pagar Comerciales - Terceros")</f>
        <v/>
      </c>
      <c r="E532" s="20">
        <f>IF($C532="","",Registro_Compras!$S$62)</f>
        <v/>
      </c>
      <c r="F532" s="20">
        <f>""</f>
        <v/>
      </c>
      <c r="G532">
        <f>IF($C532="","","Por el deposito de la detraccion en el Banco de la Nacion")</f>
        <v/>
      </c>
      <c r="H532">
        <f>IF($C532="","",Registro_Compras!$C$62)</f>
        <v/>
      </c>
    </row>
    <row r="533">
      <c r="A533" s="25">
        <f>IF($C533="","",Registro_Compras!$X$62)</f>
        <v/>
      </c>
      <c r="B533">
        <f>IF($C533="","","C"&amp;TEXT(INT((ROW()-5)/9)+1,"000")&amp;"-3")</f>
        <v/>
      </c>
      <c r="C533">
        <f>IF(OR(Registro_Compras!$C$62="",Registro_Compras!$O$62="",Registro_Compras!$R$62&lt;&gt;"SI",Registro_Compras!$X$62=""),"","10413")</f>
        <v/>
      </c>
      <c r="D533">
        <f>IF(OR(Registro_Compras!$C$62="",Registro_Compras!$O$62=""),"","Efectivo y Equivalentes - Cta. Cte. Operativa")</f>
        <v/>
      </c>
      <c r="E533" s="20">
        <f>""</f>
        <v/>
      </c>
      <c r="F533" s="20">
        <f>IF($C533="","",Registro_Compras!$S$62)</f>
        <v/>
      </c>
      <c r="G533">
        <f>IF($C533="","","Por el deposito de la detraccion en el Banco de la Nacion")</f>
        <v/>
      </c>
      <c r="H533">
        <f>IF($C533="","",Registro_Compras!$C$62)</f>
        <v/>
      </c>
    </row>
    <row r="534">
      <c r="A534" s="25">
        <f>IF($C534="","",Registro_Compras!$Y$62)</f>
        <v/>
      </c>
      <c r="B534">
        <f>IF($C534="","","C"&amp;TEXT(INT((ROW()-5)/9)+1,"000")&amp;"-4")</f>
        <v/>
      </c>
      <c r="C534">
        <f>IF(OR(Registro_Compras!$C$62="",Registro_Compras!$O$62="",Registro_Compras!$Y$62="",Registro_Compras!$F$62="NOTA DE CREDITO"),"","4212")</f>
        <v/>
      </c>
      <c r="D534">
        <f>IF(OR(Registro_Compras!$C$62="",Registro_Compras!$O$62=""),"","Cuentas por Pagar Comerciales - Terceros")</f>
        <v/>
      </c>
      <c r="E534" s="20">
        <f>IF($C534="","",IF(Registro_Compras!$F$62="RHE",(ROUND(Registro_Compras!$L$62*Registro_Compras!$N$62,2)-ROUND(Registro_Compras!$V$62*Registro_Compras!$N$62,2)),ROUND(Registro_Compras!$O$62-Registro_Compras!$S$62,2)))</f>
        <v/>
      </c>
      <c r="F534" s="20">
        <f>""</f>
        <v/>
      </c>
      <c r="G534">
        <f>IF($C534="","","Por la cancelacion del saldo al proveedor")</f>
        <v/>
      </c>
      <c r="H534">
        <f>IF($C534="","",Registro_Compras!$C$62)</f>
        <v/>
      </c>
    </row>
    <row r="535">
      <c r="A535" s="25">
        <f>IF($C535="","",Registro_Compras!$Y$62)</f>
        <v/>
      </c>
      <c r="B535">
        <f>IF($C535="","","C"&amp;TEXT(INT((ROW()-5)/9)+1,"000")&amp;"-4")</f>
        <v/>
      </c>
      <c r="C535">
        <f>IF(OR(Registro_Compras!$C$62="",Registro_Compras!$O$62="",Registro_Compras!$Y$62="",Registro_Compras!$F$62="NOTA DE CREDITO"),"","10413")</f>
        <v/>
      </c>
      <c r="D535">
        <f>IF(OR(Registro_Compras!$C$62="",Registro_Compras!$O$62=""),"","Efectivo y Equivalentes - Cta. Cte. Operativa")</f>
        <v/>
      </c>
      <c r="E535" s="20">
        <f>""</f>
        <v/>
      </c>
      <c r="F535" s="20">
        <f>IF($C535="","",IF(Registro_Compras!$F$62="RHE",(ROUND(Registro_Compras!$L$62*Registro_Compras!$N$62,2)-ROUND(Registro_Compras!$V$62*Registro_Compras!$N$62,2)),ROUND(Registro_Compras!$O$62-Registro_Compras!$S$62,2)))</f>
        <v/>
      </c>
      <c r="G535">
        <f>IF($C535="","","Por la cancelacion del saldo al proveedor")</f>
        <v/>
      </c>
      <c r="H535">
        <f>IF($C535="","",Registro_Compras!$C$62)</f>
        <v/>
      </c>
    </row>
    <row r="536">
      <c r="A536" s="25">
        <f>IF($C536="","",Registro_Compras!$B$63)</f>
        <v/>
      </c>
      <c r="B536">
        <f>IF($C536="","","C"&amp;TEXT(INT((ROW()-5)/9)+1,"000")&amp;"-1")</f>
        <v/>
      </c>
      <c r="C536">
        <f>IF(OR(Registro_Compras!$C$63="",Registro_Compras!$O$63=""),"",IF(Registro_Compras!$F$63="NOTA DE CREDITO","4212",IF(Registro_Compras!$M$63="","63",Registro_Compras!$M$63)))</f>
        <v/>
      </c>
      <c r="D536">
        <f>IF(OR(Registro_Compras!$C$63="",Registro_Compras!$O$63=""),"",IF(Registro_Compras!$F$63="NOTA DE CREDITO","Cuentas por Pagar Comerciales - Terceros (Emitidas)",IF(Registro_Compras!$F$63="RHE","Honorarios Profesionales - Servicios de Terceros","Gastos de Servicios Prestados por Terceros")))</f>
        <v/>
      </c>
      <c r="E536" s="20">
        <f>IF($C536="","",IF(Registro_Compras!$F$63="NOTA DE CREDITO",ABS(Registro_Compras!$O$63),IF(Registro_Compras!$F$63="RHE",ROUND(Registro_Compras!$L$63*Registro_Compras!$N$63,2),ROUND(Registro_Compras!$J$63*Registro_Compras!$N$63,2))))</f>
        <v/>
      </c>
      <c r="F536" s="20">
        <f>""</f>
        <v/>
      </c>
      <c r="G536">
        <f>IF($C536="","",IF(Registro_Compras!$F$63="NOTA DE CREDITO","Por la nota de credito "&amp;Registro_Compras!$C$63&amp;" de "&amp;Registro_Compras!$E$63&amp;" [PATRON POR CONFIRMAR CON CONTADOR]",IF(Registro_Compras!$F$63="RHE","Por el registro del recibo por honorarios "&amp;Registro_Compras!$C$63&amp;" de "&amp;Registro_Compras!$E$63&amp;" [PATRON POR CONFIRMAR CON CONTADOR]","Por el registro de la factura "&amp;Registro_Compras!$C$63&amp;" de "&amp;Registro_Compras!$E$63)))</f>
        <v/>
      </c>
      <c r="H536">
        <f>IF($C536="","",Registro_Compras!$C$63)</f>
        <v/>
      </c>
    </row>
    <row r="537">
      <c r="A537" s="25">
        <f>IF($C537="","",Registro_Compras!$B$63)</f>
        <v/>
      </c>
      <c r="B537">
        <f>IF($C537="","","C"&amp;TEXT(INT((ROW()-5)/9)+1,"000")&amp;"-1")</f>
        <v/>
      </c>
      <c r="C537">
        <f>IF(OR(Registro_Compras!$C$63="",Registro_Compras!$O$63=""),"",IF(Registro_Compras!$F$63="RHE",IF(Registro_Compras!$V$63=0,"","40172"),IF(Registro_Compras!$F$63="NOTA DE CREDITO",IF(Registro_Compras!$M$63="","63",Registro_Compras!$M$63),IF(Registro_Compras!$K$63=0,"","40111"))))</f>
        <v/>
      </c>
      <c r="D537">
        <f>IF(OR(Registro_Compras!$C$63="",Registro_Compras!$O$63=""),"",IF(Registro_Compras!$F$63="RHE","Retencion Renta 4ta Categoria por Pagar",IF(Registro_Compras!$F$63="NOTA DE CREDITO","Gastos de Servicios Prestados por Terceros","IGV - Cuenta Propia (Credito Fiscal)")))</f>
        <v/>
      </c>
      <c r="E537" s="20">
        <f>IF($C537="","",IF(Registro_Compras!$F$63="FACTURA",ROUND(Registro_Compras!$K$63*Registro_Compras!$N$63,2),""))</f>
        <v/>
      </c>
      <c r="F537" s="20">
        <f>IF($C537="","",IF(Registro_Compras!$F$63="RHE",ROUND(Registro_Compras!$V$63*Registro_Compras!$N$63,2),IF(Registro_Compras!$F$63="NOTA DE CREDITO",ROUND(ABS(Registro_Compras!$J$63*Registro_Compras!$N$63),2),"")))</f>
        <v/>
      </c>
      <c r="G537">
        <f>IF($C537="","",IF(Registro_Compras!$F$63="NOTA DE CREDITO","Por la nota de credito "&amp;Registro_Compras!$C$63&amp;" de "&amp;Registro_Compras!$E$63&amp;" [PATRON POR CONFIRMAR CON CONTADOR]",IF(Registro_Compras!$F$63="RHE","Por el registro del recibo por honorarios "&amp;Registro_Compras!$C$63&amp;" de "&amp;Registro_Compras!$E$63&amp;" [PATRON POR CONFIRMAR CON CONTADOR]","Por el registro de la factura "&amp;Registro_Compras!$C$63&amp;" de "&amp;Registro_Compras!$E$63)))</f>
        <v/>
      </c>
      <c r="H537">
        <f>IF($C537="","",Registro_Compras!$C$63)</f>
        <v/>
      </c>
    </row>
    <row r="538">
      <c r="A538" s="25">
        <f>IF($C538="","",Registro_Compras!$B$63)</f>
        <v/>
      </c>
      <c r="B538">
        <f>IF($C538="","","C"&amp;TEXT(INT((ROW()-5)/9)+1,"000")&amp;"-1")</f>
        <v/>
      </c>
      <c r="C538">
        <f>IF(OR(Registro_Compras!$C$63="",Registro_Compras!$O$63=""),"",IF(Registro_Compras!$F$63="NOTA DE CREDITO",IF(Registro_Compras!$K$63=0,"","40111"),"4212"))</f>
        <v/>
      </c>
      <c r="D538">
        <f>IF(OR(Registro_Compras!$C$63="",Registro_Compras!$O$63=""),"",IF(Registro_Compras!$F$63="NOTA DE CREDITO","IGV - Cuenta Propia (Credito Fiscal)","Cuentas por Pagar Comerciales - Terceros (Emitidas)"))</f>
        <v/>
      </c>
      <c r="E538" s="20">
        <f>""</f>
        <v/>
      </c>
      <c r="F538" s="20">
        <f>IF($C538="","",IF(Registro_Compras!$F$63="NOTA DE CREDITO",ROUND(ABS(Registro_Compras!$K$63*Registro_Compras!$N$63),2),IF(Registro_Compras!$F$63="RHE",(ROUND(Registro_Compras!$L$63*Registro_Compras!$N$63,2)-ROUND(Registro_Compras!$V$63*Registro_Compras!$N$63,2)),Registro_Compras!$O$63)))</f>
        <v/>
      </c>
      <c r="G538">
        <f>IF($C538="","",IF(Registro_Compras!$F$63="NOTA DE CREDITO","Por la nota de credito "&amp;Registro_Compras!$C$63&amp;" de "&amp;Registro_Compras!$E$63&amp;" [PATRON POR CONFIRMAR CON CONTADOR]",IF(Registro_Compras!$F$63="RHE","Por el registro del recibo por honorarios "&amp;Registro_Compras!$C$63&amp;" de "&amp;Registro_Compras!$E$63&amp;" [PATRON POR CONFIRMAR CON CONTADOR]","Por el registro de la factura "&amp;Registro_Compras!$C$63&amp;" de "&amp;Registro_Compras!$E$63)))</f>
        <v/>
      </c>
      <c r="H538">
        <f>IF($C538="","",Registro_Compras!$C$63)</f>
        <v/>
      </c>
    </row>
    <row r="539">
      <c r="A539" s="25">
        <f>IF($C539="","",Registro_Compras!$B$63)</f>
        <v/>
      </c>
      <c r="B539">
        <f>IF($C539="","","C"&amp;TEXT(INT((ROW()-5)/9)+1,"000")&amp;"-2")</f>
        <v/>
      </c>
      <c r="C539">
        <f>IF(OR(Registro_Compras!$C$63="",Registro_Compras!$O$63=""),"",IF(Registro_Compras!$AB$63="ADMINISTRATIVO","94","95"))</f>
        <v/>
      </c>
      <c r="D539">
        <f>IF(OR(Registro_Compras!$C$63="",Registro_Compras!$O$63=""),"",IF(Registro_Compras!$AB$63="ADMINISTRATIVO","Gastos Administrativos","Gastos de Venta y Operacion"))</f>
        <v/>
      </c>
      <c r="E539" s="20">
        <f>IF($C539="","",IF(Registro_Compras!$F$63="NOTA DE CREDITO","",IF(Registro_Compras!$F$63="RHE",ROUND(Registro_Compras!$L$63*Registro_Compras!$N$63,2),ROUND(Registro_Compras!$J$63*Registro_Compras!$N$63,2))))</f>
        <v/>
      </c>
      <c r="F539" s="20">
        <f>IF($C539="","",IF(Registro_Compras!$F$63="NOTA DE CREDITO",ROUND(ABS(Registro_Compras!$J$63*Registro_Compras!$N$63),2),""))</f>
        <v/>
      </c>
      <c r="G539">
        <f>IF($C539="","","Por el destino del gasto")</f>
        <v/>
      </c>
      <c r="H539">
        <f>IF($C539="","",Registro_Compras!$C$63)</f>
        <v/>
      </c>
    </row>
    <row r="540">
      <c r="A540" s="25">
        <f>IF($C540="","",Registro_Compras!$B$63)</f>
        <v/>
      </c>
      <c r="B540">
        <f>IF($C540="","","C"&amp;TEXT(INT((ROW()-5)/9)+1,"000")&amp;"-2")</f>
        <v/>
      </c>
      <c r="C540">
        <f>IF(OR(Registro_Compras!$C$63="",Registro_Compras!$O$63=""),"","79/791")</f>
        <v/>
      </c>
      <c r="D540">
        <f>IF(OR(Registro_Compras!$C$63="",Registro_Compras!$O$63=""),"","Cargas Imputables a Cuentas de Costos y Gastos")</f>
        <v/>
      </c>
      <c r="E540" s="20">
        <f>IF($C540="","",IF(Registro_Compras!$F$63="NOTA DE CREDITO",ROUND(ABS(Registro_Compras!$J$63*Registro_Compras!$N$63),2),""))</f>
        <v/>
      </c>
      <c r="F540" s="20">
        <f>IF($C540="","",IF(Registro_Compras!$F$63="NOTA DE CREDITO","",IF(Registro_Compras!$F$63="RHE",ROUND(Registro_Compras!$L$63*Registro_Compras!$N$63,2),ROUND(Registro_Compras!$J$63*Registro_Compras!$N$63,2))))</f>
        <v/>
      </c>
      <c r="G540">
        <f>IF($C540="","","Por el destino del gasto")</f>
        <v/>
      </c>
      <c r="H540">
        <f>IF($C540="","",Registro_Compras!$C$63)</f>
        <v/>
      </c>
    </row>
    <row r="541">
      <c r="A541" s="25">
        <f>IF($C541="","",Registro_Compras!$X$63)</f>
        <v/>
      </c>
      <c r="B541">
        <f>IF($C541="","","C"&amp;TEXT(INT((ROW()-5)/9)+1,"000")&amp;"-3")</f>
        <v/>
      </c>
      <c r="C541">
        <f>IF(OR(Registro_Compras!$C$63="",Registro_Compras!$O$63="",Registro_Compras!$R$63&lt;&gt;"SI",Registro_Compras!$X$63=""),"","4212")</f>
        <v/>
      </c>
      <c r="D541">
        <f>IF(OR(Registro_Compras!$C$63="",Registro_Compras!$O$63=""),"","Cuentas por Pagar Comerciales - Terceros")</f>
        <v/>
      </c>
      <c r="E541" s="20">
        <f>IF($C541="","",Registro_Compras!$S$63)</f>
        <v/>
      </c>
      <c r="F541" s="20">
        <f>""</f>
        <v/>
      </c>
      <c r="G541">
        <f>IF($C541="","","Por el deposito de la detraccion en el Banco de la Nacion")</f>
        <v/>
      </c>
      <c r="H541">
        <f>IF($C541="","",Registro_Compras!$C$63)</f>
        <v/>
      </c>
    </row>
    <row r="542">
      <c r="A542" s="25">
        <f>IF($C542="","",Registro_Compras!$X$63)</f>
        <v/>
      </c>
      <c r="B542">
        <f>IF($C542="","","C"&amp;TEXT(INT((ROW()-5)/9)+1,"000")&amp;"-3")</f>
        <v/>
      </c>
      <c r="C542">
        <f>IF(OR(Registro_Compras!$C$63="",Registro_Compras!$O$63="",Registro_Compras!$R$63&lt;&gt;"SI",Registro_Compras!$X$63=""),"","10413")</f>
        <v/>
      </c>
      <c r="D542">
        <f>IF(OR(Registro_Compras!$C$63="",Registro_Compras!$O$63=""),"","Efectivo y Equivalentes - Cta. Cte. Operativa")</f>
        <v/>
      </c>
      <c r="E542" s="20">
        <f>""</f>
        <v/>
      </c>
      <c r="F542" s="20">
        <f>IF($C542="","",Registro_Compras!$S$63)</f>
        <v/>
      </c>
      <c r="G542">
        <f>IF($C542="","","Por el deposito de la detraccion en el Banco de la Nacion")</f>
        <v/>
      </c>
      <c r="H542">
        <f>IF($C542="","",Registro_Compras!$C$63)</f>
        <v/>
      </c>
    </row>
    <row r="543">
      <c r="A543" s="25">
        <f>IF($C543="","",Registro_Compras!$Y$63)</f>
        <v/>
      </c>
      <c r="B543">
        <f>IF($C543="","","C"&amp;TEXT(INT((ROW()-5)/9)+1,"000")&amp;"-4")</f>
        <v/>
      </c>
      <c r="C543">
        <f>IF(OR(Registro_Compras!$C$63="",Registro_Compras!$O$63="",Registro_Compras!$Y$63="",Registro_Compras!$F$63="NOTA DE CREDITO"),"","4212")</f>
        <v/>
      </c>
      <c r="D543">
        <f>IF(OR(Registro_Compras!$C$63="",Registro_Compras!$O$63=""),"","Cuentas por Pagar Comerciales - Terceros")</f>
        <v/>
      </c>
      <c r="E543" s="20">
        <f>IF($C543="","",IF(Registro_Compras!$F$63="RHE",(ROUND(Registro_Compras!$L$63*Registro_Compras!$N$63,2)-ROUND(Registro_Compras!$V$63*Registro_Compras!$N$63,2)),ROUND(Registro_Compras!$O$63-Registro_Compras!$S$63,2)))</f>
        <v/>
      </c>
      <c r="F543" s="20">
        <f>""</f>
        <v/>
      </c>
      <c r="G543">
        <f>IF($C543="","","Por la cancelacion del saldo al proveedor")</f>
        <v/>
      </c>
      <c r="H543">
        <f>IF($C543="","",Registro_Compras!$C$63)</f>
        <v/>
      </c>
    </row>
    <row r="544">
      <c r="A544" s="25">
        <f>IF($C544="","",Registro_Compras!$Y$63)</f>
        <v/>
      </c>
      <c r="B544">
        <f>IF($C544="","","C"&amp;TEXT(INT((ROW()-5)/9)+1,"000")&amp;"-4")</f>
        <v/>
      </c>
      <c r="C544">
        <f>IF(OR(Registro_Compras!$C$63="",Registro_Compras!$O$63="",Registro_Compras!$Y$63="",Registro_Compras!$F$63="NOTA DE CREDITO"),"","10413")</f>
        <v/>
      </c>
      <c r="D544">
        <f>IF(OR(Registro_Compras!$C$63="",Registro_Compras!$O$63=""),"","Efectivo y Equivalentes - Cta. Cte. Operativa")</f>
        <v/>
      </c>
      <c r="E544" s="20">
        <f>""</f>
        <v/>
      </c>
      <c r="F544" s="20">
        <f>IF($C544="","",IF(Registro_Compras!$F$63="RHE",(ROUND(Registro_Compras!$L$63*Registro_Compras!$N$63,2)-ROUND(Registro_Compras!$V$63*Registro_Compras!$N$63,2)),ROUND(Registro_Compras!$O$63-Registro_Compras!$S$63,2)))</f>
        <v/>
      </c>
      <c r="G544">
        <f>IF($C544="","","Por la cancelacion del saldo al proveedor")</f>
        <v/>
      </c>
      <c r="H544">
        <f>IF($C544="","",Registro_Compras!$C$63)</f>
        <v/>
      </c>
    </row>
    <row r="545">
      <c r="A545" s="25">
        <f>IF($C545="","",Registro_Compras!$B$64)</f>
        <v/>
      </c>
      <c r="B545">
        <f>IF($C545="","","C"&amp;TEXT(INT((ROW()-5)/9)+1,"000")&amp;"-1")</f>
        <v/>
      </c>
      <c r="C545">
        <f>IF(OR(Registro_Compras!$C$64="",Registro_Compras!$O$64=""),"",IF(Registro_Compras!$F$64="NOTA DE CREDITO","4212",IF(Registro_Compras!$M$64="","63",Registro_Compras!$M$64)))</f>
        <v/>
      </c>
      <c r="D545">
        <f>IF(OR(Registro_Compras!$C$64="",Registro_Compras!$O$64=""),"",IF(Registro_Compras!$F$64="NOTA DE CREDITO","Cuentas por Pagar Comerciales - Terceros (Emitidas)",IF(Registro_Compras!$F$64="RHE","Honorarios Profesionales - Servicios de Terceros","Gastos de Servicios Prestados por Terceros")))</f>
        <v/>
      </c>
      <c r="E545" s="20">
        <f>IF($C545="","",IF(Registro_Compras!$F$64="NOTA DE CREDITO",ABS(Registro_Compras!$O$64),IF(Registro_Compras!$F$64="RHE",ROUND(Registro_Compras!$L$64*Registro_Compras!$N$64,2),ROUND(Registro_Compras!$J$64*Registro_Compras!$N$64,2))))</f>
        <v/>
      </c>
      <c r="F545" s="20">
        <f>""</f>
        <v/>
      </c>
      <c r="G545">
        <f>IF($C545="","",IF(Registro_Compras!$F$64="NOTA DE CREDITO","Por la nota de credito "&amp;Registro_Compras!$C$64&amp;" de "&amp;Registro_Compras!$E$64&amp;" [PATRON POR CONFIRMAR CON CONTADOR]",IF(Registro_Compras!$F$64="RHE","Por el registro del recibo por honorarios "&amp;Registro_Compras!$C$64&amp;" de "&amp;Registro_Compras!$E$64&amp;" [PATRON POR CONFIRMAR CON CONTADOR]","Por el registro de la factura "&amp;Registro_Compras!$C$64&amp;" de "&amp;Registro_Compras!$E$64)))</f>
        <v/>
      </c>
      <c r="H545">
        <f>IF($C545="","",Registro_Compras!$C$64)</f>
        <v/>
      </c>
    </row>
    <row r="546">
      <c r="A546" s="25">
        <f>IF($C546="","",Registro_Compras!$B$64)</f>
        <v/>
      </c>
      <c r="B546">
        <f>IF($C546="","","C"&amp;TEXT(INT((ROW()-5)/9)+1,"000")&amp;"-1")</f>
        <v/>
      </c>
      <c r="C546">
        <f>IF(OR(Registro_Compras!$C$64="",Registro_Compras!$O$64=""),"",IF(Registro_Compras!$F$64="RHE",IF(Registro_Compras!$V$64=0,"","40172"),IF(Registro_Compras!$F$64="NOTA DE CREDITO",IF(Registro_Compras!$M$64="","63",Registro_Compras!$M$64),IF(Registro_Compras!$K$64=0,"","40111"))))</f>
        <v/>
      </c>
      <c r="D546">
        <f>IF(OR(Registro_Compras!$C$64="",Registro_Compras!$O$64=""),"",IF(Registro_Compras!$F$64="RHE","Retencion Renta 4ta Categoria por Pagar",IF(Registro_Compras!$F$64="NOTA DE CREDITO","Gastos de Servicios Prestados por Terceros","IGV - Cuenta Propia (Credito Fiscal)")))</f>
        <v/>
      </c>
      <c r="E546" s="20">
        <f>IF($C546="","",IF(Registro_Compras!$F$64="FACTURA",ROUND(Registro_Compras!$K$64*Registro_Compras!$N$64,2),""))</f>
        <v/>
      </c>
      <c r="F546" s="20">
        <f>IF($C546="","",IF(Registro_Compras!$F$64="RHE",ROUND(Registro_Compras!$V$64*Registro_Compras!$N$64,2),IF(Registro_Compras!$F$64="NOTA DE CREDITO",ROUND(ABS(Registro_Compras!$J$64*Registro_Compras!$N$64),2),"")))</f>
        <v/>
      </c>
      <c r="G546">
        <f>IF($C546="","",IF(Registro_Compras!$F$64="NOTA DE CREDITO","Por la nota de credito "&amp;Registro_Compras!$C$64&amp;" de "&amp;Registro_Compras!$E$64&amp;" [PATRON POR CONFIRMAR CON CONTADOR]",IF(Registro_Compras!$F$64="RHE","Por el registro del recibo por honorarios "&amp;Registro_Compras!$C$64&amp;" de "&amp;Registro_Compras!$E$64&amp;" [PATRON POR CONFIRMAR CON CONTADOR]","Por el registro de la factura "&amp;Registro_Compras!$C$64&amp;" de "&amp;Registro_Compras!$E$64)))</f>
        <v/>
      </c>
      <c r="H546">
        <f>IF($C546="","",Registro_Compras!$C$64)</f>
        <v/>
      </c>
    </row>
    <row r="547">
      <c r="A547" s="25">
        <f>IF($C547="","",Registro_Compras!$B$64)</f>
        <v/>
      </c>
      <c r="B547">
        <f>IF($C547="","","C"&amp;TEXT(INT((ROW()-5)/9)+1,"000")&amp;"-1")</f>
        <v/>
      </c>
      <c r="C547">
        <f>IF(OR(Registro_Compras!$C$64="",Registro_Compras!$O$64=""),"",IF(Registro_Compras!$F$64="NOTA DE CREDITO",IF(Registro_Compras!$K$64=0,"","40111"),"4212"))</f>
        <v/>
      </c>
      <c r="D547">
        <f>IF(OR(Registro_Compras!$C$64="",Registro_Compras!$O$64=""),"",IF(Registro_Compras!$F$64="NOTA DE CREDITO","IGV - Cuenta Propia (Credito Fiscal)","Cuentas por Pagar Comerciales - Terceros (Emitidas)"))</f>
        <v/>
      </c>
      <c r="E547" s="20">
        <f>""</f>
        <v/>
      </c>
      <c r="F547" s="20">
        <f>IF($C547="","",IF(Registro_Compras!$F$64="NOTA DE CREDITO",ROUND(ABS(Registro_Compras!$K$64*Registro_Compras!$N$64),2),IF(Registro_Compras!$F$64="RHE",(ROUND(Registro_Compras!$L$64*Registro_Compras!$N$64,2)-ROUND(Registro_Compras!$V$64*Registro_Compras!$N$64,2)),Registro_Compras!$O$64)))</f>
        <v/>
      </c>
      <c r="G547">
        <f>IF($C547="","",IF(Registro_Compras!$F$64="NOTA DE CREDITO","Por la nota de credito "&amp;Registro_Compras!$C$64&amp;" de "&amp;Registro_Compras!$E$64&amp;" [PATRON POR CONFIRMAR CON CONTADOR]",IF(Registro_Compras!$F$64="RHE","Por el registro del recibo por honorarios "&amp;Registro_Compras!$C$64&amp;" de "&amp;Registro_Compras!$E$64&amp;" [PATRON POR CONFIRMAR CON CONTADOR]","Por el registro de la factura "&amp;Registro_Compras!$C$64&amp;" de "&amp;Registro_Compras!$E$64)))</f>
        <v/>
      </c>
      <c r="H547">
        <f>IF($C547="","",Registro_Compras!$C$64)</f>
        <v/>
      </c>
    </row>
    <row r="548">
      <c r="A548" s="25">
        <f>IF($C548="","",Registro_Compras!$B$64)</f>
        <v/>
      </c>
      <c r="B548">
        <f>IF($C548="","","C"&amp;TEXT(INT((ROW()-5)/9)+1,"000")&amp;"-2")</f>
        <v/>
      </c>
      <c r="C548">
        <f>IF(OR(Registro_Compras!$C$64="",Registro_Compras!$O$64=""),"",IF(Registro_Compras!$AB$64="ADMINISTRATIVO","94","95"))</f>
        <v/>
      </c>
      <c r="D548">
        <f>IF(OR(Registro_Compras!$C$64="",Registro_Compras!$O$64=""),"",IF(Registro_Compras!$AB$64="ADMINISTRATIVO","Gastos Administrativos","Gastos de Venta y Operacion"))</f>
        <v/>
      </c>
      <c r="E548" s="20">
        <f>IF($C548="","",IF(Registro_Compras!$F$64="NOTA DE CREDITO","",IF(Registro_Compras!$F$64="RHE",ROUND(Registro_Compras!$L$64*Registro_Compras!$N$64,2),ROUND(Registro_Compras!$J$64*Registro_Compras!$N$64,2))))</f>
        <v/>
      </c>
      <c r="F548" s="20">
        <f>IF($C548="","",IF(Registro_Compras!$F$64="NOTA DE CREDITO",ROUND(ABS(Registro_Compras!$J$64*Registro_Compras!$N$64),2),""))</f>
        <v/>
      </c>
      <c r="G548">
        <f>IF($C548="","","Por el destino del gasto")</f>
        <v/>
      </c>
      <c r="H548">
        <f>IF($C548="","",Registro_Compras!$C$64)</f>
        <v/>
      </c>
    </row>
    <row r="549">
      <c r="A549" s="25">
        <f>IF($C549="","",Registro_Compras!$B$64)</f>
        <v/>
      </c>
      <c r="B549">
        <f>IF($C549="","","C"&amp;TEXT(INT((ROW()-5)/9)+1,"000")&amp;"-2")</f>
        <v/>
      </c>
      <c r="C549">
        <f>IF(OR(Registro_Compras!$C$64="",Registro_Compras!$O$64=""),"","79/791")</f>
        <v/>
      </c>
      <c r="D549">
        <f>IF(OR(Registro_Compras!$C$64="",Registro_Compras!$O$64=""),"","Cargas Imputables a Cuentas de Costos y Gastos")</f>
        <v/>
      </c>
      <c r="E549" s="20">
        <f>IF($C549="","",IF(Registro_Compras!$F$64="NOTA DE CREDITO",ROUND(ABS(Registro_Compras!$J$64*Registro_Compras!$N$64),2),""))</f>
        <v/>
      </c>
      <c r="F549" s="20">
        <f>IF($C549="","",IF(Registro_Compras!$F$64="NOTA DE CREDITO","",IF(Registro_Compras!$F$64="RHE",ROUND(Registro_Compras!$L$64*Registro_Compras!$N$64,2),ROUND(Registro_Compras!$J$64*Registro_Compras!$N$64,2))))</f>
        <v/>
      </c>
      <c r="G549">
        <f>IF($C549="","","Por el destino del gasto")</f>
        <v/>
      </c>
      <c r="H549">
        <f>IF($C549="","",Registro_Compras!$C$64)</f>
        <v/>
      </c>
    </row>
    <row r="550">
      <c r="A550" s="25">
        <f>IF($C550="","",Registro_Compras!$X$64)</f>
        <v/>
      </c>
      <c r="B550">
        <f>IF($C550="","","C"&amp;TEXT(INT((ROW()-5)/9)+1,"000")&amp;"-3")</f>
        <v/>
      </c>
      <c r="C550">
        <f>IF(OR(Registro_Compras!$C$64="",Registro_Compras!$O$64="",Registro_Compras!$R$64&lt;&gt;"SI",Registro_Compras!$X$64=""),"","4212")</f>
        <v/>
      </c>
      <c r="D550">
        <f>IF(OR(Registro_Compras!$C$64="",Registro_Compras!$O$64=""),"","Cuentas por Pagar Comerciales - Terceros")</f>
        <v/>
      </c>
      <c r="E550" s="20">
        <f>IF($C550="","",Registro_Compras!$S$64)</f>
        <v/>
      </c>
      <c r="F550" s="20">
        <f>""</f>
        <v/>
      </c>
      <c r="G550">
        <f>IF($C550="","","Por el deposito de la detraccion en el Banco de la Nacion")</f>
        <v/>
      </c>
      <c r="H550">
        <f>IF($C550="","",Registro_Compras!$C$64)</f>
        <v/>
      </c>
    </row>
    <row r="551">
      <c r="A551" s="25">
        <f>IF($C551="","",Registro_Compras!$X$64)</f>
        <v/>
      </c>
      <c r="B551">
        <f>IF($C551="","","C"&amp;TEXT(INT((ROW()-5)/9)+1,"000")&amp;"-3")</f>
        <v/>
      </c>
      <c r="C551">
        <f>IF(OR(Registro_Compras!$C$64="",Registro_Compras!$O$64="",Registro_Compras!$R$64&lt;&gt;"SI",Registro_Compras!$X$64=""),"","10413")</f>
        <v/>
      </c>
      <c r="D551">
        <f>IF(OR(Registro_Compras!$C$64="",Registro_Compras!$O$64=""),"","Efectivo y Equivalentes - Cta. Cte. Operativa")</f>
        <v/>
      </c>
      <c r="E551" s="20">
        <f>""</f>
        <v/>
      </c>
      <c r="F551" s="20">
        <f>IF($C551="","",Registro_Compras!$S$64)</f>
        <v/>
      </c>
      <c r="G551">
        <f>IF($C551="","","Por el deposito de la detraccion en el Banco de la Nacion")</f>
        <v/>
      </c>
      <c r="H551">
        <f>IF($C551="","",Registro_Compras!$C$64)</f>
        <v/>
      </c>
    </row>
    <row r="552">
      <c r="A552" s="25">
        <f>IF($C552="","",Registro_Compras!$Y$64)</f>
        <v/>
      </c>
      <c r="B552">
        <f>IF($C552="","","C"&amp;TEXT(INT((ROW()-5)/9)+1,"000")&amp;"-4")</f>
        <v/>
      </c>
      <c r="C552">
        <f>IF(OR(Registro_Compras!$C$64="",Registro_Compras!$O$64="",Registro_Compras!$Y$64="",Registro_Compras!$F$64="NOTA DE CREDITO"),"","4212")</f>
        <v/>
      </c>
      <c r="D552">
        <f>IF(OR(Registro_Compras!$C$64="",Registro_Compras!$O$64=""),"","Cuentas por Pagar Comerciales - Terceros")</f>
        <v/>
      </c>
      <c r="E552" s="20">
        <f>IF($C552="","",IF(Registro_Compras!$F$64="RHE",(ROUND(Registro_Compras!$L$64*Registro_Compras!$N$64,2)-ROUND(Registro_Compras!$V$64*Registro_Compras!$N$64,2)),ROUND(Registro_Compras!$O$64-Registro_Compras!$S$64,2)))</f>
        <v/>
      </c>
      <c r="F552" s="20">
        <f>""</f>
        <v/>
      </c>
      <c r="G552">
        <f>IF($C552="","","Por la cancelacion del saldo al proveedor")</f>
        <v/>
      </c>
      <c r="H552">
        <f>IF($C552="","",Registro_Compras!$C$64)</f>
        <v/>
      </c>
    </row>
    <row r="553">
      <c r="A553" s="25">
        <f>IF($C553="","",Registro_Compras!$Y$64)</f>
        <v/>
      </c>
      <c r="B553">
        <f>IF($C553="","","C"&amp;TEXT(INT((ROW()-5)/9)+1,"000")&amp;"-4")</f>
        <v/>
      </c>
      <c r="C553">
        <f>IF(OR(Registro_Compras!$C$64="",Registro_Compras!$O$64="",Registro_Compras!$Y$64="",Registro_Compras!$F$64="NOTA DE CREDITO"),"","10413")</f>
        <v/>
      </c>
      <c r="D553">
        <f>IF(OR(Registro_Compras!$C$64="",Registro_Compras!$O$64=""),"","Efectivo y Equivalentes - Cta. Cte. Operativa")</f>
        <v/>
      </c>
      <c r="E553" s="20">
        <f>""</f>
        <v/>
      </c>
      <c r="F553" s="20">
        <f>IF($C553="","",IF(Registro_Compras!$F$64="RHE",(ROUND(Registro_Compras!$L$64*Registro_Compras!$N$64,2)-ROUND(Registro_Compras!$V$64*Registro_Compras!$N$64,2)),ROUND(Registro_Compras!$O$64-Registro_Compras!$S$64,2)))</f>
        <v/>
      </c>
      <c r="G553">
        <f>IF($C553="","","Por la cancelacion del saldo al proveedor")</f>
        <v/>
      </c>
      <c r="H553">
        <f>IF($C553="","",Registro_Compras!$C$64)</f>
        <v/>
      </c>
    </row>
    <row r="554">
      <c r="A554" s="25">
        <f>IF($C554="","",Registro_Compras!$B$65)</f>
        <v/>
      </c>
      <c r="B554">
        <f>IF($C554="","","C"&amp;TEXT(INT((ROW()-5)/9)+1,"000")&amp;"-1")</f>
        <v/>
      </c>
      <c r="C554">
        <f>IF(OR(Registro_Compras!$C$65="",Registro_Compras!$O$65=""),"",IF(Registro_Compras!$F$65="NOTA DE CREDITO","4212",IF(Registro_Compras!$M$65="","63",Registro_Compras!$M$65)))</f>
        <v/>
      </c>
      <c r="D554">
        <f>IF(OR(Registro_Compras!$C$65="",Registro_Compras!$O$65=""),"",IF(Registro_Compras!$F$65="NOTA DE CREDITO","Cuentas por Pagar Comerciales - Terceros (Emitidas)",IF(Registro_Compras!$F$65="RHE","Honorarios Profesionales - Servicios de Terceros","Gastos de Servicios Prestados por Terceros")))</f>
        <v/>
      </c>
      <c r="E554" s="20">
        <f>IF($C554="","",IF(Registro_Compras!$F$65="NOTA DE CREDITO",ABS(Registro_Compras!$O$65),IF(Registro_Compras!$F$65="RHE",ROUND(Registro_Compras!$L$65*Registro_Compras!$N$65,2),ROUND(Registro_Compras!$J$65*Registro_Compras!$N$65,2))))</f>
        <v/>
      </c>
      <c r="F554" s="20">
        <f>""</f>
        <v/>
      </c>
      <c r="G554">
        <f>IF($C554="","",IF(Registro_Compras!$F$65="NOTA DE CREDITO","Por la nota de credito "&amp;Registro_Compras!$C$65&amp;" de "&amp;Registro_Compras!$E$65&amp;" [PATRON POR CONFIRMAR CON CONTADOR]",IF(Registro_Compras!$F$65="RHE","Por el registro del recibo por honorarios "&amp;Registro_Compras!$C$65&amp;" de "&amp;Registro_Compras!$E$65&amp;" [PATRON POR CONFIRMAR CON CONTADOR]","Por el registro de la factura "&amp;Registro_Compras!$C$65&amp;" de "&amp;Registro_Compras!$E$65)))</f>
        <v/>
      </c>
      <c r="H554">
        <f>IF($C554="","",Registro_Compras!$C$65)</f>
        <v/>
      </c>
    </row>
    <row r="555">
      <c r="A555" s="25">
        <f>IF($C555="","",Registro_Compras!$B$65)</f>
        <v/>
      </c>
      <c r="B555">
        <f>IF($C555="","","C"&amp;TEXT(INT((ROW()-5)/9)+1,"000")&amp;"-1")</f>
        <v/>
      </c>
      <c r="C555">
        <f>IF(OR(Registro_Compras!$C$65="",Registro_Compras!$O$65=""),"",IF(Registro_Compras!$F$65="RHE",IF(Registro_Compras!$V$65=0,"","40172"),IF(Registro_Compras!$F$65="NOTA DE CREDITO",IF(Registro_Compras!$M$65="","63",Registro_Compras!$M$65),IF(Registro_Compras!$K$65=0,"","40111"))))</f>
        <v/>
      </c>
      <c r="D555">
        <f>IF(OR(Registro_Compras!$C$65="",Registro_Compras!$O$65=""),"",IF(Registro_Compras!$F$65="RHE","Retencion Renta 4ta Categoria por Pagar",IF(Registro_Compras!$F$65="NOTA DE CREDITO","Gastos de Servicios Prestados por Terceros","IGV - Cuenta Propia (Credito Fiscal)")))</f>
        <v/>
      </c>
      <c r="E555" s="20">
        <f>IF($C555="","",IF(Registro_Compras!$F$65="FACTURA",ROUND(Registro_Compras!$K$65*Registro_Compras!$N$65,2),""))</f>
        <v/>
      </c>
      <c r="F555" s="20">
        <f>IF($C555="","",IF(Registro_Compras!$F$65="RHE",ROUND(Registro_Compras!$V$65*Registro_Compras!$N$65,2),IF(Registro_Compras!$F$65="NOTA DE CREDITO",ROUND(ABS(Registro_Compras!$J$65*Registro_Compras!$N$65),2),"")))</f>
        <v/>
      </c>
      <c r="G555">
        <f>IF($C555="","",IF(Registro_Compras!$F$65="NOTA DE CREDITO","Por la nota de credito "&amp;Registro_Compras!$C$65&amp;" de "&amp;Registro_Compras!$E$65&amp;" [PATRON POR CONFIRMAR CON CONTADOR]",IF(Registro_Compras!$F$65="RHE","Por el registro del recibo por honorarios "&amp;Registro_Compras!$C$65&amp;" de "&amp;Registro_Compras!$E$65&amp;" [PATRON POR CONFIRMAR CON CONTADOR]","Por el registro de la factura "&amp;Registro_Compras!$C$65&amp;" de "&amp;Registro_Compras!$E$65)))</f>
        <v/>
      </c>
      <c r="H555">
        <f>IF($C555="","",Registro_Compras!$C$65)</f>
        <v/>
      </c>
    </row>
    <row r="556">
      <c r="A556" s="25">
        <f>IF($C556="","",Registro_Compras!$B$65)</f>
        <v/>
      </c>
      <c r="B556">
        <f>IF($C556="","","C"&amp;TEXT(INT((ROW()-5)/9)+1,"000")&amp;"-1")</f>
        <v/>
      </c>
      <c r="C556">
        <f>IF(OR(Registro_Compras!$C$65="",Registro_Compras!$O$65=""),"",IF(Registro_Compras!$F$65="NOTA DE CREDITO",IF(Registro_Compras!$K$65=0,"","40111"),"4212"))</f>
        <v/>
      </c>
      <c r="D556">
        <f>IF(OR(Registro_Compras!$C$65="",Registro_Compras!$O$65=""),"",IF(Registro_Compras!$F$65="NOTA DE CREDITO","IGV - Cuenta Propia (Credito Fiscal)","Cuentas por Pagar Comerciales - Terceros (Emitidas)"))</f>
        <v/>
      </c>
      <c r="E556" s="20">
        <f>""</f>
        <v/>
      </c>
      <c r="F556" s="20">
        <f>IF($C556="","",IF(Registro_Compras!$F$65="NOTA DE CREDITO",ROUND(ABS(Registro_Compras!$K$65*Registro_Compras!$N$65),2),IF(Registro_Compras!$F$65="RHE",(ROUND(Registro_Compras!$L$65*Registro_Compras!$N$65,2)-ROUND(Registro_Compras!$V$65*Registro_Compras!$N$65,2)),Registro_Compras!$O$65)))</f>
        <v/>
      </c>
      <c r="G556">
        <f>IF($C556="","",IF(Registro_Compras!$F$65="NOTA DE CREDITO","Por la nota de credito "&amp;Registro_Compras!$C$65&amp;" de "&amp;Registro_Compras!$E$65&amp;" [PATRON POR CONFIRMAR CON CONTADOR]",IF(Registro_Compras!$F$65="RHE","Por el registro del recibo por honorarios "&amp;Registro_Compras!$C$65&amp;" de "&amp;Registro_Compras!$E$65&amp;" [PATRON POR CONFIRMAR CON CONTADOR]","Por el registro de la factura "&amp;Registro_Compras!$C$65&amp;" de "&amp;Registro_Compras!$E$65)))</f>
        <v/>
      </c>
      <c r="H556">
        <f>IF($C556="","",Registro_Compras!$C$65)</f>
        <v/>
      </c>
    </row>
    <row r="557">
      <c r="A557" s="25">
        <f>IF($C557="","",Registro_Compras!$B$65)</f>
        <v/>
      </c>
      <c r="B557">
        <f>IF($C557="","","C"&amp;TEXT(INT((ROW()-5)/9)+1,"000")&amp;"-2")</f>
        <v/>
      </c>
      <c r="C557">
        <f>IF(OR(Registro_Compras!$C$65="",Registro_Compras!$O$65=""),"",IF(Registro_Compras!$AB$65="ADMINISTRATIVO","94","95"))</f>
        <v/>
      </c>
      <c r="D557">
        <f>IF(OR(Registro_Compras!$C$65="",Registro_Compras!$O$65=""),"",IF(Registro_Compras!$AB$65="ADMINISTRATIVO","Gastos Administrativos","Gastos de Venta y Operacion"))</f>
        <v/>
      </c>
      <c r="E557" s="20">
        <f>IF($C557="","",IF(Registro_Compras!$F$65="NOTA DE CREDITO","",IF(Registro_Compras!$F$65="RHE",ROUND(Registro_Compras!$L$65*Registro_Compras!$N$65,2),ROUND(Registro_Compras!$J$65*Registro_Compras!$N$65,2))))</f>
        <v/>
      </c>
      <c r="F557" s="20">
        <f>IF($C557="","",IF(Registro_Compras!$F$65="NOTA DE CREDITO",ROUND(ABS(Registro_Compras!$J$65*Registro_Compras!$N$65),2),""))</f>
        <v/>
      </c>
      <c r="G557">
        <f>IF($C557="","","Por el destino del gasto")</f>
        <v/>
      </c>
      <c r="H557">
        <f>IF($C557="","",Registro_Compras!$C$65)</f>
        <v/>
      </c>
    </row>
    <row r="558">
      <c r="A558" s="25">
        <f>IF($C558="","",Registro_Compras!$B$65)</f>
        <v/>
      </c>
      <c r="B558">
        <f>IF($C558="","","C"&amp;TEXT(INT((ROW()-5)/9)+1,"000")&amp;"-2")</f>
        <v/>
      </c>
      <c r="C558">
        <f>IF(OR(Registro_Compras!$C$65="",Registro_Compras!$O$65=""),"","79/791")</f>
        <v/>
      </c>
      <c r="D558">
        <f>IF(OR(Registro_Compras!$C$65="",Registro_Compras!$O$65=""),"","Cargas Imputables a Cuentas de Costos y Gastos")</f>
        <v/>
      </c>
      <c r="E558" s="20">
        <f>IF($C558="","",IF(Registro_Compras!$F$65="NOTA DE CREDITO",ROUND(ABS(Registro_Compras!$J$65*Registro_Compras!$N$65),2),""))</f>
        <v/>
      </c>
      <c r="F558" s="20">
        <f>IF($C558="","",IF(Registro_Compras!$F$65="NOTA DE CREDITO","",IF(Registro_Compras!$F$65="RHE",ROUND(Registro_Compras!$L$65*Registro_Compras!$N$65,2),ROUND(Registro_Compras!$J$65*Registro_Compras!$N$65,2))))</f>
        <v/>
      </c>
      <c r="G558">
        <f>IF($C558="","","Por el destino del gasto")</f>
        <v/>
      </c>
      <c r="H558">
        <f>IF($C558="","",Registro_Compras!$C$65)</f>
        <v/>
      </c>
    </row>
    <row r="559">
      <c r="A559" s="25">
        <f>IF($C559="","",Registro_Compras!$X$65)</f>
        <v/>
      </c>
      <c r="B559">
        <f>IF($C559="","","C"&amp;TEXT(INT((ROW()-5)/9)+1,"000")&amp;"-3")</f>
        <v/>
      </c>
      <c r="C559">
        <f>IF(OR(Registro_Compras!$C$65="",Registro_Compras!$O$65="",Registro_Compras!$R$65&lt;&gt;"SI",Registro_Compras!$X$65=""),"","4212")</f>
        <v/>
      </c>
      <c r="D559">
        <f>IF(OR(Registro_Compras!$C$65="",Registro_Compras!$O$65=""),"","Cuentas por Pagar Comerciales - Terceros")</f>
        <v/>
      </c>
      <c r="E559" s="20">
        <f>IF($C559="","",Registro_Compras!$S$65)</f>
        <v/>
      </c>
      <c r="F559" s="20">
        <f>""</f>
        <v/>
      </c>
      <c r="G559">
        <f>IF($C559="","","Por el deposito de la detraccion en el Banco de la Nacion")</f>
        <v/>
      </c>
      <c r="H559">
        <f>IF($C559="","",Registro_Compras!$C$65)</f>
        <v/>
      </c>
    </row>
    <row r="560">
      <c r="A560" s="25">
        <f>IF($C560="","",Registro_Compras!$X$65)</f>
        <v/>
      </c>
      <c r="B560">
        <f>IF($C560="","","C"&amp;TEXT(INT((ROW()-5)/9)+1,"000")&amp;"-3")</f>
        <v/>
      </c>
      <c r="C560">
        <f>IF(OR(Registro_Compras!$C$65="",Registro_Compras!$O$65="",Registro_Compras!$R$65&lt;&gt;"SI",Registro_Compras!$X$65=""),"","10413")</f>
        <v/>
      </c>
      <c r="D560">
        <f>IF(OR(Registro_Compras!$C$65="",Registro_Compras!$O$65=""),"","Efectivo y Equivalentes - Cta. Cte. Operativa")</f>
        <v/>
      </c>
      <c r="E560" s="20">
        <f>""</f>
        <v/>
      </c>
      <c r="F560" s="20">
        <f>IF($C560="","",Registro_Compras!$S$65)</f>
        <v/>
      </c>
      <c r="G560">
        <f>IF($C560="","","Por el deposito de la detraccion en el Banco de la Nacion")</f>
        <v/>
      </c>
      <c r="H560">
        <f>IF($C560="","",Registro_Compras!$C$65)</f>
        <v/>
      </c>
    </row>
    <row r="561">
      <c r="A561" s="25">
        <f>IF($C561="","",Registro_Compras!$Y$65)</f>
        <v/>
      </c>
      <c r="B561">
        <f>IF($C561="","","C"&amp;TEXT(INT((ROW()-5)/9)+1,"000")&amp;"-4")</f>
        <v/>
      </c>
      <c r="C561">
        <f>IF(OR(Registro_Compras!$C$65="",Registro_Compras!$O$65="",Registro_Compras!$Y$65="",Registro_Compras!$F$65="NOTA DE CREDITO"),"","4212")</f>
        <v/>
      </c>
      <c r="D561">
        <f>IF(OR(Registro_Compras!$C$65="",Registro_Compras!$O$65=""),"","Cuentas por Pagar Comerciales - Terceros")</f>
        <v/>
      </c>
      <c r="E561" s="20">
        <f>IF($C561="","",IF(Registro_Compras!$F$65="RHE",(ROUND(Registro_Compras!$L$65*Registro_Compras!$N$65,2)-ROUND(Registro_Compras!$V$65*Registro_Compras!$N$65,2)),ROUND(Registro_Compras!$O$65-Registro_Compras!$S$65,2)))</f>
        <v/>
      </c>
      <c r="F561" s="20">
        <f>""</f>
        <v/>
      </c>
      <c r="G561">
        <f>IF($C561="","","Por la cancelacion del saldo al proveedor")</f>
        <v/>
      </c>
      <c r="H561">
        <f>IF($C561="","",Registro_Compras!$C$65)</f>
        <v/>
      </c>
    </row>
    <row r="562">
      <c r="A562" s="25">
        <f>IF($C562="","",Registro_Compras!$Y$65)</f>
        <v/>
      </c>
      <c r="B562">
        <f>IF($C562="","","C"&amp;TEXT(INT((ROW()-5)/9)+1,"000")&amp;"-4")</f>
        <v/>
      </c>
      <c r="C562">
        <f>IF(OR(Registro_Compras!$C$65="",Registro_Compras!$O$65="",Registro_Compras!$Y$65="",Registro_Compras!$F$65="NOTA DE CREDITO"),"","10413")</f>
        <v/>
      </c>
      <c r="D562">
        <f>IF(OR(Registro_Compras!$C$65="",Registro_Compras!$O$65=""),"","Efectivo y Equivalentes - Cta. Cte. Operativa")</f>
        <v/>
      </c>
      <c r="E562" s="20">
        <f>""</f>
        <v/>
      </c>
      <c r="F562" s="20">
        <f>IF($C562="","",IF(Registro_Compras!$F$65="RHE",(ROUND(Registro_Compras!$L$65*Registro_Compras!$N$65,2)-ROUND(Registro_Compras!$V$65*Registro_Compras!$N$65,2)),ROUND(Registro_Compras!$O$65-Registro_Compras!$S$65,2)))</f>
        <v/>
      </c>
      <c r="G562">
        <f>IF($C562="","","Por la cancelacion del saldo al proveedor")</f>
        <v/>
      </c>
      <c r="H562">
        <f>IF($C562="","",Registro_Compras!$C$65)</f>
        <v/>
      </c>
    </row>
    <row r="563">
      <c r="A563" s="25">
        <f>IF($C563="","",Registro_Compras!$B$66)</f>
        <v/>
      </c>
      <c r="B563">
        <f>IF($C563="","","C"&amp;TEXT(INT((ROW()-5)/9)+1,"000")&amp;"-1")</f>
        <v/>
      </c>
      <c r="C563">
        <f>IF(OR(Registro_Compras!$C$66="",Registro_Compras!$O$66=""),"",IF(Registro_Compras!$F$66="NOTA DE CREDITO","4212",IF(Registro_Compras!$M$66="","63",Registro_Compras!$M$66)))</f>
        <v/>
      </c>
      <c r="D563">
        <f>IF(OR(Registro_Compras!$C$66="",Registro_Compras!$O$66=""),"",IF(Registro_Compras!$F$66="NOTA DE CREDITO","Cuentas por Pagar Comerciales - Terceros (Emitidas)",IF(Registro_Compras!$F$66="RHE","Honorarios Profesionales - Servicios de Terceros","Gastos de Servicios Prestados por Terceros")))</f>
        <v/>
      </c>
      <c r="E563" s="20">
        <f>IF($C563="","",IF(Registro_Compras!$F$66="NOTA DE CREDITO",ABS(Registro_Compras!$O$66),IF(Registro_Compras!$F$66="RHE",ROUND(Registro_Compras!$L$66*Registro_Compras!$N$66,2),ROUND(Registro_Compras!$J$66*Registro_Compras!$N$66,2))))</f>
        <v/>
      </c>
      <c r="F563" s="20">
        <f>""</f>
        <v/>
      </c>
      <c r="G563">
        <f>IF($C563="","",IF(Registro_Compras!$F$66="NOTA DE CREDITO","Por la nota de credito "&amp;Registro_Compras!$C$66&amp;" de "&amp;Registro_Compras!$E$66&amp;" [PATRON POR CONFIRMAR CON CONTADOR]",IF(Registro_Compras!$F$66="RHE","Por el registro del recibo por honorarios "&amp;Registro_Compras!$C$66&amp;" de "&amp;Registro_Compras!$E$66&amp;" [PATRON POR CONFIRMAR CON CONTADOR]","Por el registro de la factura "&amp;Registro_Compras!$C$66&amp;" de "&amp;Registro_Compras!$E$66)))</f>
        <v/>
      </c>
      <c r="H563">
        <f>IF($C563="","",Registro_Compras!$C$66)</f>
        <v/>
      </c>
    </row>
    <row r="564">
      <c r="A564" s="25">
        <f>IF($C564="","",Registro_Compras!$B$66)</f>
        <v/>
      </c>
      <c r="B564">
        <f>IF($C564="","","C"&amp;TEXT(INT((ROW()-5)/9)+1,"000")&amp;"-1")</f>
        <v/>
      </c>
      <c r="C564">
        <f>IF(OR(Registro_Compras!$C$66="",Registro_Compras!$O$66=""),"",IF(Registro_Compras!$F$66="RHE",IF(Registro_Compras!$V$66=0,"","40172"),IF(Registro_Compras!$F$66="NOTA DE CREDITO",IF(Registro_Compras!$M$66="","63",Registro_Compras!$M$66),IF(Registro_Compras!$K$66=0,"","40111"))))</f>
        <v/>
      </c>
      <c r="D564">
        <f>IF(OR(Registro_Compras!$C$66="",Registro_Compras!$O$66=""),"",IF(Registro_Compras!$F$66="RHE","Retencion Renta 4ta Categoria por Pagar",IF(Registro_Compras!$F$66="NOTA DE CREDITO","Gastos de Servicios Prestados por Terceros","IGV - Cuenta Propia (Credito Fiscal)")))</f>
        <v/>
      </c>
      <c r="E564" s="20">
        <f>IF($C564="","",IF(Registro_Compras!$F$66="FACTURA",ROUND(Registro_Compras!$K$66*Registro_Compras!$N$66,2),""))</f>
        <v/>
      </c>
      <c r="F564" s="20">
        <f>IF($C564="","",IF(Registro_Compras!$F$66="RHE",ROUND(Registro_Compras!$V$66*Registro_Compras!$N$66,2),IF(Registro_Compras!$F$66="NOTA DE CREDITO",ROUND(ABS(Registro_Compras!$J$66*Registro_Compras!$N$66),2),"")))</f>
        <v/>
      </c>
      <c r="G564">
        <f>IF($C564="","",IF(Registro_Compras!$F$66="NOTA DE CREDITO","Por la nota de credito "&amp;Registro_Compras!$C$66&amp;" de "&amp;Registro_Compras!$E$66&amp;" [PATRON POR CONFIRMAR CON CONTADOR]",IF(Registro_Compras!$F$66="RHE","Por el registro del recibo por honorarios "&amp;Registro_Compras!$C$66&amp;" de "&amp;Registro_Compras!$E$66&amp;" [PATRON POR CONFIRMAR CON CONTADOR]","Por el registro de la factura "&amp;Registro_Compras!$C$66&amp;" de "&amp;Registro_Compras!$E$66)))</f>
        <v/>
      </c>
      <c r="H564">
        <f>IF($C564="","",Registro_Compras!$C$66)</f>
        <v/>
      </c>
    </row>
    <row r="565">
      <c r="A565" s="25">
        <f>IF($C565="","",Registro_Compras!$B$66)</f>
        <v/>
      </c>
      <c r="B565">
        <f>IF($C565="","","C"&amp;TEXT(INT((ROW()-5)/9)+1,"000")&amp;"-1")</f>
        <v/>
      </c>
      <c r="C565">
        <f>IF(OR(Registro_Compras!$C$66="",Registro_Compras!$O$66=""),"",IF(Registro_Compras!$F$66="NOTA DE CREDITO",IF(Registro_Compras!$K$66=0,"","40111"),"4212"))</f>
        <v/>
      </c>
      <c r="D565">
        <f>IF(OR(Registro_Compras!$C$66="",Registro_Compras!$O$66=""),"",IF(Registro_Compras!$F$66="NOTA DE CREDITO","IGV - Cuenta Propia (Credito Fiscal)","Cuentas por Pagar Comerciales - Terceros (Emitidas)"))</f>
        <v/>
      </c>
      <c r="E565" s="20">
        <f>""</f>
        <v/>
      </c>
      <c r="F565" s="20">
        <f>IF($C565="","",IF(Registro_Compras!$F$66="NOTA DE CREDITO",ROUND(ABS(Registro_Compras!$K$66*Registro_Compras!$N$66),2),IF(Registro_Compras!$F$66="RHE",(ROUND(Registro_Compras!$L$66*Registro_Compras!$N$66,2)-ROUND(Registro_Compras!$V$66*Registro_Compras!$N$66,2)),Registro_Compras!$O$66)))</f>
        <v/>
      </c>
      <c r="G565">
        <f>IF($C565="","",IF(Registro_Compras!$F$66="NOTA DE CREDITO","Por la nota de credito "&amp;Registro_Compras!$C$66&amp;" de "&amp;Registro_Compras!$E$66&amp;" [PATRON POR CONFIRMAR CON CONTADOR]",IF(Registro_Compras!$F$66="RHE","Por el registro del recibo por honorarios "&amp;Registro_Compras!$C$66&amp;" de "&amp;Registro_Compras!$E$66&amp;" [PATRON POR CONFIRMAR CON CONTADOR]","Por el registro de la factura "&amp;Registro_Compras!$C$66&amp;" de "&amp;Registro_Compras!$E$66)))</f>
        <v/>
      </c>
      <c r="H565">
        <f>IF($C565="","",Registro_Compras!$C$66)</f>
        <v/>
      </c>
    </row>
    <row r="566">
      <c r="A566" s="25">
        <f>IF($C566="","",Registro_Compras!$B$66)</f>
        <v/>
      </c>
      <c r="B566">
        <f>IF($C566="","","C"&amp;TEXT(INT((ROW()-5)/9)+1,"000")&amp;"-2")</f>
        <v/>
      </c>
      <c r="C566">
        <f>IF(OR(Registro_Compras!$C$66="",Registro_Compras!$O$66=""),"",IF(Registro_Compras!$AB$66="ADMINISTRATIVO","94","95"))</f>
        <v/>
      </c>
      <c r="D566">
        <f>IF(OR(Registro_Compras!$C$66="",Registro_Compras!$O$66=""),"",IF(Registro_Compras!$AB$66="ADMINISTRATIVO","Gastos Administrativos","Gastos de Venta y Operacion"))</f>
        <v/>
      </c>
      <c r="E566" s="20">
        <f>IF($C566="","",IF(Registro_Compras!$F$66="NOTA DE CREDITO","",IF(Registro_Compras!$F$66="RHE",ROUND(Registro_Compras!$L$66*Registro_Compras!$N$66,2),ROUND(Registro_Compras!$J$66*Registro_Compras!$N$66,2))))</f>
        <v/>
      </c>
      <c r="F566" s="20">
        <f>IF($C566="","",IF(Registro_Compras!$F$66="NOTA DE CREDITO",ROUND(ABS(Registro_Compras!$J$66*Registro_Compras!$N$66),2),""))</f>
        <v/>
      </c>
      <c r="G566">
        <f>IF($C566="","","Por el destino del gasto")</f>
        <v/>
      </c>
      <c r="H566">
        <f>IF($C566="","",Registro_Compras!$C$66)</f>
        <v/>
      </c>
    </row>
    <row r="567">
      <c r="A567" s="25">
        <f>IF($C567="","",Registro_Compras!$B$66)</f>
        <v/>
      </c>
      <c r="B567">
        <f>IF($C567="","","C"&amp;TEXT(INT((ROW()-5)/9)+1,"000")&amp;"-2")</f>
        <v/>
      </c>
      <c r="C567">
        <f>IF(OR(Registro_Compras!$C$66="",Registro_Compras!$O$66=""),"","79/791")</f>
        <v/>
      </c>
      <c r="D567">
        <f>IF(OR(Registro_Compras!$C$66="",Registro_Compras!$O$66=""),"","Cargas Imputables a Cuentas de Costos y Gastos")</f>
        <v/>
      </c>
      <c r="E567" s="20">
        <f>IF($C567="","",IF(Registro_Compras!$F$66="NOTA DE CREDITO",ROUND(ABS(Registro_Compras!$J$66*Registro_Compras!$N$66),2),""))</f>
        <v/>
      </c>
      <c r="F567" s="20">
        <f>IF($C567="","",IF(Registro_Compras!$F$66="NOTA DE CREDITO","",IF(Registro_Compras!$F$66="RHE",ROUND(Registro_Compras!$L$66*Registro_Compras!$N$66,2),ROUND(Registro_Compras!$J$66*Registro_Compras!$N$66,2))))</f>
        <v/>
      </c>
      <c r="G567">
        <f>IF($C567="","","Por el destino del gasto")</f>
        <v/>
      </c>
      <c r="H567">
        <f>IF($C567="","",Registro_Compras!$C$66)</f>
        <v/>
      </c>
    </row>
    <row r="568">
      <c r="A568" s="25">
        <f>IF($C568="","",Registro_Compras!$X$66)</f>
        <v/>
      </c>
      <c r="B568">
        <f>IF($C568="","","C"&amp;TEXT(INT((ROW()-5)/9)+1,"000")&amp;"-3")</f>
        <v/>
      </c>
      <c r="C568">
        <f>IF(OR(Registro_Compras!$C$66="",Registro_Compras!$O$66="",Registro_Compras!$R$66&lt;&gt;"SI",Registro_Compras!$X$66=""),"","4212")</f>
        <v/>
      </c>
      <c r="D568">
        <f>IF(OR(Registro_Compras!$C$66="",Registro_Compras!$O$66=""),"","Cuentas por Pagar Comerciales - Terceros")</f>
        <v/>
      </c>
      <c r="E568" s="20">
        <f>IF($C568="","",Registro_Compras!$S$66)</f>
        <v/>
      </c>
      <c r="F568" s="20">
        <f>""</f>
        <v/>
      </c>
      <c r="G568">
        <f>IF($C568="","","Por el deposito de la detraccion en el Banco de la Nacion")</f>
        <v/>
      </c>
      <c r="H568">
        <f>IF($C568="","",Registro_Compras!$C$66)</f>
        <v/>
      </c>
    </row>
    <row r="569">
      <c r="A569" s="25">
        <f>IF($C569="","",Registro_Compras!$X$66)</f>
        <v/>
      </c>
      <c r="B569">
        <f>IF($C569="","","C"&amp;TEXT(INT((ROW()-5)/9)+1,"000")&amp;"-3")</f>
        <v/>
      </c>
      <c r="C569">
        <f>IF(OR(Registro_Compras!$C$66="",Registro_Compras!$O$66="",Registro_Compras!$R$66&lt;&gt;"SI",Registro_Compras!$X$66=""),"","10413")</f>
        <v/>
      </c>
      <c r="D569">
        <f>IF(OR(Registro_Compras!$C$66="",Registro_Compras!$O$66=""),"","Efectivo y Equivalentes - Cta. Cte. Operativa")</f>
        <v/>
      </c>
      <c r="E569" s="20">
        <f>""</f>
        <v/>
      </c>
      <c r="F569" s="20">
        <f>IF($C569="","",Registro_Compras!$S$66)</f>
        <v/>
      </c>
      <c r="G569">
        <f>IF($C569="","","Por el deposito de la detraccion en el Banco de la Nacion")</f>
        <v/>
      </c>
      <c r="H569">
        <f>IF($C569="","",Registro_Compras!$C$66)</f>
        <v/>
      </c>
    </row>
    <row r="570">
      <c r="A570" s="25">
        <f>IF($C570="","",Registro_Compras!$Y$66)</f>
        <v/>
      </c>
      <c r="B570">
        <f>IF($C570="","","C"&amp;TEXT(INT((ROW()-5)/9)+1,"000")&amp;"-4")</f>
        <v/>
      </c>
      <c r="C570">
        <f>IF(OR(Registro_Compras!$C$66="",Registro_Compras!$O$66="",Registro_Compras!$Y$66="",Registro_Compras!$F$66="NOTA DE CREDITO"),"","4212")</f>
        <v/>
      </c>
      <c r="D570">
        <f>IF(OR(Registro_Compras!$C$66="",Registro_Compras!$O$66=""),"","Cuentas por Pagar Comerciales - Terceros")</f>
        <v/>
      </c>
      <c r="E570" s="20">
        <f>IF($C570="","",IF(Registro_Compras!$F$66="RHE",(ROUND(Registro_Compras!$L$66*Registro_Compras!$N$66,2)-ROUND(Registro_Compras!$V$66*Registro_Compras!$N$66,2)),ROUND(Registro_Compras!$O$66-Registro_Compras!$S$66,2)))</f>
        <v/>
      </c>
      <c r="F570" s="20">
        <f>""</f>
        <v/>
      </c>
      <c r="G570">
        <f>IF($C570="","","Por la cancelacion del saldo al proveedor")</f>
        <v/>
      </c>
      <c r="H570">
        <f>IF($C570="","",Registro_Compras!$C$66)</f>
        <v/>
      </c>
    </row>
    <row r="571">
      <c r="A571" s="25">
        <f>IF($C571="","",Registro_Compras!$Y$66)</f>
        <v/>
      </c>
      <c r="B571">
        <f>IF($C571="","","C"&amp;TEXT(INT((ROW()-5)/9)+1,"000")&amp;"-4")</f>
        <v/>
      </c>
      <c r="C571">
        <f>IF(OR(Registro_Compras!$C$66="",Registro_Compras!$O$66="",Registro_Compras!$Y$66="",Registro_Compras!$F$66="NOTA DE CREDITO"),"","10413")</f>
        <v/>
      </c>
      <c r="D571">
        <f>IF(OR(Registro_Compras!$C$66="",Registro_Compras!$O$66=""),"","Efectivo y Equivalentes - Cta. Cte. Operativa")</f>
        <v/>
      </c>
      <c r="E571" s="20">
        <f>""</f>
        <v/>
      </c>
      <c r="F571" s="20">
        <f>IF($C571="","",IF(Registro_Compras!$F$66="RHE",(ROUND(Registro_Compras!$L$66*Registro_Compras!$N$66,2)-ROUND(Registro_Compras!$V$66*Registro_Compras!$N$66,2)),ROUND(Registro_Compras!$O$66-Registro_Compras!$S$66,2)))</f>
        <v/>
      </c>
      <c r="G571">
        <f>IF($C571="","","Por la cancelacion del saldo al proveedor")</f>
        <v/>
      </c>
      <c r="H571">
        <f>IF($C571="","",Registro_Compras!$C$66)</f>
        <v/>
      </c>
    </row>
    <row r="572">
      <c r="A572" s="25">
        <f>IF($C572="","",Registro_Compras!$B$67)</f>
        <v/>
      </c>
      <c r="B572">
        <f>IF($C572="","","C"&amp;TEXT(INT((ROW()-5)/9)+1,"000")&amp;"-1")</f>
        <v/>
      </c>
      <c r="C572">
        <f>IF(OR(Registro_Compras!$C$67="",Registro_Compras!$O$67=""),"",IF(Registro_Compras!$F$67="NOTA DE CREDITO","4212",IF(Registro_Compras!$M$67="","63",Registro_Compras!$M$67)))</f>
        <v/>
      </c>
      <c r="D572">
        <f>IF(OR(Registro_Compras!$C$67="",Registro_Compras!$O$67=""),"",IF(Registro_Compras!$F$67="NOTA DE CREDITO","Cuentas por Pagar Comerciales - Terceros (Emitidas)",IF(Registro_Compras!$F$67="RHE","Honorarios Profesionales - Servicios de Terceros","Gastos de Servicios Prestados por Terceros")))</f>
        <v/>
      </c>
      <c r="E572" s="20">
        <f>IF($C572="","",IF(Registro_Compras!$F$67="NOTA DE CREDITO",ABS(Registro_Compras!$O$67),IF(Registro_Compras!$F$67="RHE",ROUND(Registro_Compras!$L$67*Registro_Compras!$N$67,2),ROUND(Registro_Compras!$J$67*Registro_Compras!$N$67,2))))</f>
        <v/>
      </c>
      <c r="F572" s="20">
        <f>""</f>
        <v/>
      </c>
      <c r="G572">
        <f>IF($C572="","",IF(Registro_Compras!$F$67="NOTA DE CREDITO","Por la nota de credito "&amp;Registro_Compras!$C$67&amp;" de "&amp;Registro_Compras!$E$67&amp;" [PATRON POR CONFIRMAR CON CONTADOR]",IF(Registro_Compras!$F$67="RHE","Por el registro del recibo por honorarios "&amp;Registro_Compras!$C$67&amp;" de "&amp;Registro_Compras!$E$67&amp;" [PATRON POR CONFIRMAR CON CONTADOR]","Por el registro de la factura "&amp;Registro_Compras!$C$67&amp;" de "&amp;Registro_Compras!$E$67)))</f>
        <v/>
      </c>
      <c r="H572">
        <f>IF($C572="","",Registro_Compras!$C$67)</f>
        <v/>
      </c>
    </row>
    <row r="573">
      <c r="A573" s="25">
        <f>IF($C573="","",Registro_Compras!$B$67)</f>
        <v/>
      </c>
      <c r="B573">
        <f>IF($C573="","","C"&amp;TEXT(INT((ROW()-5)/9)+1,"000")&amp;"-1")</f>
        <v/>
      </c>
      <c r="C573">
        <f>IF(OR(Registro_Compras!$C$67="",Registro_Compras!$O$67=""),"",IF(Registro_Compras!$F$67="RHE",IF(Registro_Compras!$V$67=0,"","40172"),IF(Registro_Compras!$F$67="NOTA DE CREDITO",IF(Registro_Compras!$M$67="","63",Registro_Compras!$M$67),IF(Registro_Compras!$K$67=0,"","40111"))))</f>
        <v/>
      </c>
      <c r="D573">
        <f>IF(OR(Registro_Compras!$C$67="",Registro_Compras!$O$67=""),"",IF(Registro_Compras!$F$67="RHE","Retencion Renta 4ta Categoria por Pagar",IF(Registro_Compras!$F$67="NOTA DE CREDITO","Gastos de Servicios Prestados por Terceros","IGV - Cuenta Propia (Credito Fiscal)")))</f>
        <v/>
      </c>
      <c r="E573" s="20">
        <f>IF($C573="","",IF(Registro_Compras!$F$67="FACTURA",ROUND(Registro_Compras!$K$67*Registro_Compras!$N$67,2),""))</f>
        <v/>
      </c>
      <c r="F573" s="20">
        <f>IF($C573="","",IF(Registro_Compras!$F$67="RHE",ROUND(Registro_Compras!$V$67*Registro_Compras!$N$67,2),IF(Registro_Compras!$F$67="NOTA DE CREDITO",ROUND(ABS(Registro_Compras!$J$67*Registro_Compras!$N$67),2),"")))</f>
        <v/>
      </c>
      <c r="G573">
        <f>IF($C573="","",IF(Registro_Compras!$F$67="NOTA DE CREDITO","Por la nota de credito "&amp;Registro_Compras!$C$67&amp;" de "&amp;Registro_Compras!$E$67&amp;" [PATRON POR CONFIRMAR CON CONTADOR]",IF(Registro_Compras!$F$67="RHE","Por el registro del recibo por honorarios "&amp;Registro_Compras!$C$67&amp;" de "&amp;Registro_Compras!$E$67&amp;" [PATRON POR CONFIRMAR CON CONTADOR]","Por el registro de la factura "&amp;Registro_Compras!$C$67&amp;" de "&amp;Registro_Compras!$E$67)))</f>
        <v/>
      </c>
      <c r="H573">
        <f>IF($C573="","",Registro_Compras!$C$67)</f>
        <v/>
      </c>
    </row>
    <row r="574">
      <c r="A574" s="25">
        <f>IF($C574="","",Registro_Compras!$B$67)</f>
        <v/>
      </c>
      <c r="B574">
        <f>IF($C574="","","C"&amp;TEXT(INT((ROW()-5)/9)+1,"000")&amp;"-1")</f>
        <v/>
      </c>
      <c r="C574">
        <f>IF(OR(Registro_Compras!$C$67="",Registro_Compras!$O$67=""),"",IF(Registro_Compras!$F$67="NOTA DE CREDITO",IF(Registro_Compras!$K$67=0,"","40111"),"4212"))</f>
        <v/>
      </c>
      <c r="D574">
        <f>IF(OR(Registro_Compras!$C$67="",Registro_Compras!$O$67=""),"",IF(Registro_Compras!$F$67="NOTA DE CREDITO","IGV - Cuenta Propia (Credito Fiscal)","Cuentas por Pagar Comerciales - Terceros (Emitidas)"))</f>
        <v/>
      </c>
      <c r="E574" s="20">
        <f>""</f>
        <v/>
      </c>
      <c r="F574" s="20">
        <f>IF($C574="","",IF(Registro_Compras!$F$67="NOTA DE CREDITO",ROUND(ABS(Registro_Compras!$K$67*Registro_Compras!$N$67),2),IF(Registro_Compras!$F$67="RHE",(ROUND(Registro_Compras!$L$67*Registro_Compras!$N$67,2)-ROUND(Registro_Compras!$V$67*Registro_Compras!$N$67,2)),Registro_Compras!$O$67)))</f>
        <v/>
      </c>
      <c r="G574">
        <f>IF($C574="","",IF(Registro_Compras!$F$67="NOTA DE CREDITO","Por la nota de credito "&amp;Registro_Compras!$C$67&amp;" de "&amp;Registro_Compras!$E$67&amp;" [PATRON POR CONFIRMAR CON CONTADOR]",IF(Registro_Compras!$F$67="RHE","Por el registro del recibo por honorarios "&amp;Registro_Compras!$C$67&amp;" de "&amp;Registro_Compras!$E$67&amp;" [PATRON POR CONFIRMAR CON CONTADOR]","Por el registro de la factura "&amp;Registro_Compras!$C$67&amp;" de "&amp;Registro_Compras!$E$67)))</f>
        <v/>
      </c>
      <c r="H574">
        <f>IF($C574="","",Registro_Compras!$C$67)</f>
        <v/>
      </c>
    </row>
    <row r="575">
      <c r="A575" s="25">
        <f>IF($C575="","",Registro_Compras!$B$67)</f>
        <v/>
      </c>
      <c r="B575">
        <f>IF($C575="","","C"&amp;TEXT(INT((ROW()-5)/9)+1,"000")&amp;"-2")</f>
        <v/>
      </c>
      <c r="C575">
        <f>IF(OR(Registro_Compras!$C$67="",Registro_Compras!$O$67=""),"",IF(Registro_Compras!$AB$67="ADMINISTRATIVO","94","95"))</f>
        <v/>
      </c>
      <c r="D575">
        <f>IF(OR(Registro_Compras!$C$67="",Registro_Compras!$O$67=""),"",IF(Registro_Compras!$AB$67="ADMINISTRATIVO","Gastos Administrativos","Gastos de Venta y Operacion"))</f>
        <v/>
      </c>
      <c r="E575" s="20">
        <f>IF($C575="","",IF(Registro_Compras!$F$67="NOTA DE CREDITO","",IF(Registro_Compras!$F$67="RHE",ROUND(Registro_Compras!$L$67*Registro_Compras!$N$67,2),ROUND(Registro_Compras!$J$67*Registro_Compras!$N$67,2))))</f>
        <v/>
      </c>
      <c r="F575" s="20">
        <f>IF($C575="","",IF(Registro_Compras!$F$67="NOTA DE CREDITO",ROUND(ABS(Registro_Compras!$J$67*Registro_Compras!$N$67),2),""))</f>
        <v/>
      </c>
      <c r="G575">
        <f>IF($C575="","","Por el destino del gasto")</f>
        <v/>
      </c>
      <c r="H575">
        <f>IF($C575="","",Registro_Compras!$C$67)</f>
        <v/>
      </c>
    </row>
    <row r="576">
      <c r="A576" s="25">
        <f>IF($C576="","",Registro_Compras!$B$67)</f>
        <v/>
      </c>
      <c r="B576">
        <f>IF($C576="","","C"&amp;TEXT(INT((ROW()-5)/9)+1,"000")&amp;"-2")</f>
        <v/>
      </c>
      <c r="C576">
        <f>IF(OR(Registro_Compras!$C$67="",Registro_Compras!$O$67=""),"","79/791")</f>
        <v/>
      </c>
      <c r="D576">
        <f>IF(OR(Registro_Compras!$C$67="",Registro_Compras!$O$67=""),"","Cargas Imputables a Cuentas de Costos y Gastos")</f>
        <v/>
      </c>
      <c r="E576" s="20">
        <f>IF($C576="","",IF(Registro_Compras!$F$67="NOTA DE CREDITO",ROUND(ABS(Registro_Compras!$J$67*Registro_Compras!$N$67),2),""))</f>
        <v/>
      </c>
      <c r="F576" s="20">
        <f>IF($C576="","",IF(Registro_Compras!$F$67="NOTA DE CREDITO","",IF(Registro_Compras!$F$67="RHE",ROUND(Registro_Compras!$L$67*Registro_Compras!$N$67,2),ROUND(Registro_Compras!$J$67*Registro_Compras!$N$67,2))))</f>
        <v/>
      </c>
      <c r="G576">
        <f>IF($C576="","","Por el destino del gasto")</f>
        <v/>
      </c>
      <c r="H576">
        <f>IF($C576="","",Registro_Compras!$C$67)</f>
        <v/>
      </c>
    </row>
    <row r="577">
      <c r="A577" s="25">
        <f>IF($C577="","",Registro_Compras!$X$67)</f>
        <v/>
      </c>
      <c r="B577">
        <f>IF($C577="","","C"&amp;TEXT(INT((ROW()-5)/9)+1,"000")&amp;"-3")</f>
        <v/>
      </c>
      <c r="C577">
        <f>IF(OR(Registro_Compras!$C$67="",Registro_Compras!$O$67="",Registro_Compras!$R$67&lt;&gt;"SI",Registro_Compras!$X$67=""),"","4212")</f>
        <v/>
      </c>
      <c r="D577">
        <f>IF(OR(Registro_Compras!$C$67="",Registro_Compras!$O$67=""),"","Cuentas por Pagar Comerciales - Terceros")</f>
        <v/>
      </c>
      <c r="E577" s="20">
        <f>IF($C577="","",Registro_Compras!$S$67)</f>
        <v/>
      </c>
      <c r="F577" s="20">
        <f>""</f>
        <v/>
      </c>
      <c r="G577">
        <f>IF($C577="","","Por el deposito de la detraccion en el Banco de la Nacion")</f>
        <v/>
      </c>
      <c r="H577">
        <f>IF($C577="","",Registro_Compras!$C$67)</f>
        <v/>
      </c>
    </row>
    <row r="578">
      <c r="A578" s="25">
        <f>IF($C578="","",Registro_Compras!$X$67)</f>
        <v/>
      </c>
      <c r="B578">
        <f>IF($C578="","","C"&amp;TEXT(INT((ROW()-5)/9)+1,"000")&amp;"-3")</f>
        <v/>
      </c>
      <c r="C578">
        <f>IF(OR(Registro_Compras!$C$67="",Registro_Compras!$O$67="",Registro_Compras!$R$67&lt;&gt;"SI",Registro_Compras!$X$67=""),"","10413")</f>
        <v/>
      </c>
      <c r="D578">
        <f>IF(OR(Registro_Compras!$C$67="",Registro_Compras!$O$67=""),"","Efectivo y Equivalentes - Cta. Cte. Operativa")</f>
        <v/>
      </c>
      <c r="E578" s="20">
        <f>""</f>
        <v/>
      </c>
      <c r="F578" s="20">
        <f>IF($C578="","",Registro_Compras!$S$67)</f>
        <v/>
      </c>
      <c r="G578">
        <f>IF($C578="","","Por el deposito de la detraccion en el Banco de la Nacion")</f>
        <v/>
      </c>
      <c r="H578">
        <f>IF($C578="","",Registro_Compras!$C$67)</f>
        <v/>
      </c>
    </row>
    <row r="579">
      <c r="A579" s="25">
        <f>IF($C579="","",Registro_Compras!$Y$67)</f>
        <v/>
      </c>
      <c r="B579">
        <f>IF($C579="","","C"&amp;TEXT(INT((ROW()-5)/9)+1,"000")&amp;"-4")</f>
        <v/>
      </c>
      <c r="C579">
        <f>IF(OR(Registro_Compras!$C$67="",Registro_Compras!$O$67="",Registro_Compras!$Y$67="",Registro_Compras!$F$67="NOTA DE CREDITO"),"","4212")</f>
        <v/>
      </c>
      <c r="D579">
        <f>IF(OR(Registro_Compras!$C$67="",Registro_Compras!$O$67=""),"","Cuentas por Pagar Comerciales - Terceros")</f>
        <v/>
      </c>
      <c r="E579" s="20">
        <f>IF($C579="","",IF(Registro_Compras!$F$67="RHE",(ROUND(Registro_Compras!$L$67*Registro_Compras!$N$67,2)-ROUND(Registro_Compras!$V$67*Registro_Compras!$N$67,2)),ROUND(Registro_Compras!$O$67-Registro_Compras!$S$67,2)))</f>
        <v/>
      </c>
      <c r="F579" s="20">
        <f>""</f>
        <v/>
      </c>
      <c r="G579">
        <f>IF($C579="","","Por la cancelacion del saldo al proveedor")</f>
        <v/>
      </c>
      <c r="H579">
        <f>IF($C579="","",Registro_Compras!$C$67)</f>
        <v/>
      </c>
    </row>
    <row r="580">
      <c r="A580" s="25">
        <f>IF($C580="","",Registro_Compras!$Y$67)</f>
        <v/>
      </c>
      <c r="B580">
        <f>IF($C580="","","C"&amp;TEXT(INT((ROW()-5)/9)+1,"000")&amp;"-4")</f>
        <v/>
      </c>
      <c r="C580">
        <f>IF(OR(Registro_Compras!$C$67="",Registro_Compras!$O$67="",Registro_Compras!$Y$67="",Registro_Compras!$F$67="NOTA DE CREDITO"),"","10413")</f>
        <v/>
      </c>
      <c r="D580">
        <f>IF(OR(Registro_Compras!$C$67="",Registro_Compras!$O$67=""),"","Efectivo y Equivalentes - Cta. Cte. Operativa")</f>
        <v/>
      </c>
      <c r="E580" s="20">
        <f>""</f>
        <v/>
      </c>
      <c r="F580" s="20">
        <f>IF($C580="","",IF(Registro_Compras!$F$67="RHE",(ROUND(Registro_Compras!$L$67*Registro_Compras!$N$67,2)-ROUND(Registro_Compras!$V$67*Registro_Compras!$N$67,2)),ROUND(Registro_Compras!$O$67-Registro_Compras!$S$67,2)))</f>
        <v/>
      </c>
      <c r="G580">
        <f>IF($C580="","","Por la cancelacion del saldo al proveedor")</f>
        <v/>
      </c>
      <c r="H580">
        <f>IF($C580="","",Registro_Compras!$C$67)</f>
        <v/>
      </c>
    </row>
    <row r="581">
      <c r="A581" s="25">
        <f>IF($C581="","",Registro_Compras!$B$68)</f>
        <v/>
      </c>
      <c r="B581">
        <f>IF($C581="","","C"&amp;TEXT(INT((ROW()-5)/9)+1,"000")&amp;"-1")</f>
        <v/>
      </c>
      <c r="C581">
        <f>IF(OR(Registro_Compras!$C$68="",Registro_Compras!$O$68=""),"",IF(Registro_Compras!$F$68="NOTA DE CREDITO","4212",IF(Registro_Compras!$M$68="","63",Registro_Compras!$M$68)))</f>
        <v/>
      </c>
      <c r="D581">
        <f>IF(OR(Registro_Compras!$C$68="",Registro_Compras!$O$68=""),"",IF(Registro_Compras!$F$68="NOTA DE CREDITO","Cuentas por Pagar Comerciales - Terceros (Emitidas)",IF(Registro_Compras!$F$68="RHE","Honorarios Profesionales - Servicios de Terceros","Gastos de Servicios Prestados por Terceros")))</f>
        <v/>
      </c>
      <c r="E581" s="20">
        <f>IF($C581="","",IF(Registro_Compras!$F$68="NOTA DE CREDITO",ABS(Registro_Compras!$O$68),IF(Registro_Compras!$F$68="RHE",ROUND(Registro_Compras!$L$68*Registro_Compras!$N$68,2),ROUND(Registro_Compras!$J$68*Registro_Compras!$N$68,2))))</f>
        <v/>
      </c>
      <c r="F581" s="20">
        <f>""</f>
        <v/>
      </c>
      <c r="G581">
        <f>IF($C581="","",IF(Registro_Compras!$F$68="NOTA DE CREDITO","Por la nota de credito "&amp;Registro_Compras!$C$68&amp;" de "&amp;Registro_Compras!$E$68&amp;" [PATRON POR CONFIRMAR CON CONTADOR]",IF(Registro_Compras!$F$68="RHE","Por el registro del recibo por honorarios "&amp;Registro_Compras!$C$68&amp;" de "&amp;Registro_Compras!$E$68&amp;" [PATRON POR CONFIRMAR CON CONTADOR]","Por el registro de la factura "&amp;Registro_Compras!$C$68&amp;" de "&amp;Registro_Compras!$E$68)))</f>
        <v/>
      </c>
      <c r="H581">
        <f>IF($C581="","",Registro_Compras!$C$68)</f>
        <v/>
      </c>
    </row>
    <row r="582">
      <c r="A582" s="25">
        <f>IF($C582="","",Registro_Compras!$B$68)</f>
        <v/>
      </c>
      <c r="B582">
        <f>IF($C582="","","C"&amp;TEXT(INT((ROW()-5)/9)+1,"000")&amp;"-1")</f>
        <v/>
      </c>
      <c r="C582">
        <f>IF(OR(Registro_Compras!$C$68="",Registro_Compras!$O$68=""),"",IF(Registro_Compras!$F$68="RHE",IF(Registro_Compras!$V$68=0,"","40172"),IF(Registro_Compras!$F$68="NOTA DE CREDITO",IF(Registro_Compras!$M$68="","63",Registro_Compras!$M$68),IF(Registro_Compras!$K$68=0,"","40111"))))</f>
        <v/>
      </c>
      <c r="D582">
        <f>IF(OR(Registro_Compras!$C$68="",Registro_Compras!$O$68=""),"",IF(Registro_Compras!$F$68="RHE","Retencion Renta 4ta Categoria por Pagar",IF(Registro_Compras!$F$68="NOTA DE CREDITO","Gastos de Servicios Prestados por Terceros","IGV - Cuenta Propia (Credito Fiscal)")))</f>
        <v/>
      </c>
      <c r="E582" s="20">
        <f>IF($C582="","",IF(Registro_Compras!$F$68="FACTURA",ROUND(Registro_Compras!$K$68*Registro_Compras!$N$68,2),""))</f>
        <v/>
      </c>
      <c r="F582" s="20">
        <f>IF($C582="","",IF(Registro_Compras!$F$68="RHE",ROUND(Registro_Compras!$V$68*Registro_Compras!$N$68,2),IF(Registro_Compras!$F$68="NOTA DE CREDITO",ROUND(ABS(Registro_Compras!$J$68*Registro_Compras!$N$68),2),"")))</f>
        <v/>
      </c>
      <c r="G582">
        <f>IF($C582="","",IF(Registro_Compras!$F$68="NOTA DE CREDITO","Por la nota de credito "&amp;Registro_Compras!$C$68&amp;" de "&amp;Registro_Compras!$E$68&amp;" [PATRON POR CONFIRMAR CON CONTADOR]",IF(Registro_Compras!$F$68="RHE","Por el registro del recibo por honorarios "&amp;Registro_Compras!$C$68&amp;" de "&amp;Registro_Compras!$E$68&amp;" [PATRON POR CONFIRMAR CON CONTADOR]","Por el registro de la factura "&amp;Registro_Compras!$C$68&amp;" de "&amp;Registro_Compras!$E$68)))</f>
        <v/>
      </c>
      <c r="H582">
        <f>IF($C582="","",Registro_Compras!$C$68)</f>
        <v/>
      </c>
    </row>
    <row r="583">
      <c r="A583" s="25">
        <f>IF($C583="","",Registro_Compras!$B$68)</f>
        <v/>
      </c>
      <c r="B583">
        <f>IF($C583="","","C"&amp;TEXT(INT((ROW()-5)/9)+1,"000")&amp;"-1")</f>
        <v/>
      </c>
      <c r="C583">
        <f>IF(OR(Registro_Compras!$C$68="",Registro_Compras!$O$68=""),"",IF(Registro_Compras!$F$68="NOTA DE CREDITO",IF(Registro_Compras!$K$68=0,"","40111"),"4212"))</f>
        <v/>
      </c>
      <c r="D583">
        <f>IF(OR(Registro_Compras!$C$68="",Registro_Compras!$O$68=""),"",IF(Registro_Compras!$F$68="NOTA DE CREDITO","IGV - Cuenta Propia (Credito Fiscal)","Cuentas por Pagar Comerciales - Terceros (Emitidas)"))</f>
        <v/>
      </c>
      <c r="E583" s="20">
        <f>""</f>
        <v/>
      </c>
      <c r="F583" s="20">
        <f>IF($C583="","",IF(Registro_Compras!$F$68="NOTA DE CREDITO",ROUND(ABS(Registro_Compras!$K$68*Registro_Compras!$N$68),2),IF(Registro_Compras!$F$68="RHE",(ROUND(Registro_Compras!$L$68*Registro_Compras!$N$68,2)-ROUND(Registro_Compras!$V$68*Registro_Compras!$N$68,2)),Registro_Compras!$O$68)))</f>
        <v/>
      </c>
      <c r="G583">
        <f>IF($C583="","",IF(Registro_Compras!$F$68="NOTA DE CREDITO","Por la nota de credito "&amp;Registro_Compras!$C$68&amp;" de "&amp;Registro_Compras!$E$68&amp;" [PATRON POR CONFIRMAR CON CONTADOR]",IF(Registro_Compras!$F$68="RHE","Por el registro del recibo por honorarios "&amp;Registro_Compras!$C$68&amp;" de "&amp;Registro_Compras!$E$68&amp;" [PATRON POR CONFIRMAR CON CONTADOR]","Por el registro de la factura "&amp;Registro_Compras!$C$68&amp;" de "&amp;Registro_Compras!$E$68)))</f>
        <v/>
      </c>
      <c r="H583">
        <f>IF($C583="","",Registro_Compras!$C$68)</f>
        <v/>
      </c>
    </row>
    <row r="584">
      <c r="A584" s="25">
        <f>IF($C584="","",Registro_Compras!$B$68)</f>
        <v/>
      </c>
      <c r="B584">
        <f>IF($C584="","","C"&amp;TEXT(INT((ROW()-5)/9)+1,"000")&amp;"-2")</f>
        <v/>
      </c>
      <c r="C584">
        <f>IF(OR(Registro_Compras!$C$68="",Registro_Compras!$O$68=""),"",IF(Registro_Compras!$AB$68="ADMINISTRATIVO","94","95"))</f>
        <v/>
      </c>
      <c r="D584">
        <f>IF(OR(Registro_Compras!$C$68="",Registro_Compras!$O$68=""),"",IF(Registro_Compras!$AB$68="ADMINISTRATIVO","Gastos Administrativos","Gastos de Venta y Operacion"))</f>
        <v/>
      </c>
      <c r="E584" s="20">
        <f>IF($C584="","",IF(Registro_Compras!$F$68="NOTA DE CREDITO","",IF(Registro_Compras!$F$68="RHE",ROUND(Registro_Compras!$L$68*Registro_Compras!$N$68,2),ROUND(Registro_Compras!$J$68*Registro_Compras!$N$68,2))))</f>
        <v/>
      </c>
      <c r="F584" s="20">
        <f>IF($C584="","",IF(Registro_Compras!$F$68="NOTA DE CREDITO",ROUND(ABS(Registro_Compras!$J$68*Registro_Compras!$N$68),2),""))</f>
        <v/>
      </c>
      <c r="G584">
        <f>IF($C584="","","Por el destino del gasto")</f>
        <v/>
      </c>
      <c r="H584">
        <f>IF($C584="","",Registro_Compras!$C$68)</f>
        <v/>
      </c>
    </row>
    <row r="585">
      <c r="A585" s="25">
        <f>IF($C585="","",Registro_Compras!$B$68)</f>
        <v/>
      </c>
      <c r="B585">
        <f>IF($C585="","","C"&amp;TEXT(INT((ROW()-5)/9)+1,"000")&amp;"-2")</f>
        <v/>
      </c>
      <c r="C585">
        <f>IF(OR(Registro_Compras!$C$68="",Registro_Compras!$O$68=""),"","79/791")</f>
        <v/>
      </c>
      <c r="D585">
        <f>IF(OR(Registro_Compras!$C$68="",Registro_Compras!$O$68=""),"","Cargas Imputables a Cuentas de Costos y Gastos")</f>
        <v/>
      </c>
      <c r="E585" s="20">
        <f>IF($C585="","",IF(Registro_Compras!$F$68="NOTA DE CREDITO",ROUND(ABS(Registro_Compras!$J$68*Registro_Compras!$N$68),2),""))</f>
        <v/>
      </c>
      <c r="F585" s="20">
        <f>IF($C585="","",IF(Registro_Compras!$F$68="NOTA DE CREDITO","",IF(Registro_Compras!$F$68="RHE",ROUND(Registro_Compras!$L$68*Registro_Compras!$N$68,2),ROUND(Registro_Compras!$J$68*Registro_Compras!$N$68,2))))</f>
        <v/>
      </c>
      <c r="G585">
        <f>IF($C585="","","Por el destino del gasto")</f>
        <v/>
      </c>
      <c r="H585">
        <f>IF($C585="","",Registro_Compras!$C$68)</f>
        <v/>
      </c>
    </row>
    <row r="586">
      <c r="A586" s="25">
        <f>IF($C586="","",Registro_Compras!$X$68)</f>
        <v/>
      </c>
      <c r="B586">
        <f>IF($C586="","","C"&amp;TEXT(INT((ROW()-5)/9)+1,"000")&amp;"-3")</f>
        <v/>
      </c>
      <c r="C586">
        <f>IF(OR(Registro_Compras!$C$68="",Registro_Compras!$O$68="",Registro_Compras!$R$68&lt;&gt;"SI",Registro_Compras!$X$68=""),"","4212")</f>
        <v/>
      </c>
      <c r="D586">
        <f>IF(OR(Registro_Compras!$C$68="",Registro_Compras!$O$68=""),"","Cuentas por Pagar Comerciales - Terceros")</f>
        <v/>
      </c>
      <c r="E586" s="20">
        <f>IF($C586="","",Registro_Compras!$S$68)</f>
        <v/>
      </c>
      <c r="F586" s="20">
        <f>""</f>
        <v/>
      </c>
      <c r="G586">
        <f>IF($C586="","","Por el deposito de la detraccion en el Banco de la Nacion")</f>
        <v/>
      </c>
      <c r="H586">
        <f>IF($C586="","",Registro_Compras!$C$68)</f>
        <v/>
      </c>
    </row>
    <row r="587">
      <c r="A587" s="25">
        <f>IF($C587="","",Registro_Compras!$X$68)</f>
        <v/>
      </c>
      <c r="B587">
        <f>IF($C587="","","C"&amp;TEXT(INT((ROW()-5)/9)+1,"000")&amp;"-3")</f>
        <v/>
      </c>
      <c r="C587">
        <f>IF(OR(Registro_Compras!$C$68="",Registro_Compras!$O$68="",Registro_Compras!$R$68&lt;&gt;"SI",Registro_Compras!$X$68=""),"","10413")</f>
        <v/>
      </c>
      <c r="D587">
        <f>IF(OR(Registro_Compras!$C$68="",Registro_Compras!$O$68=""),"","Efectivo y Equivalentes - Cta. Cte. Operativa")</f>
        <v/>
      </c>
      <c r="E587" s="20">
        <f>""</f>
        <v/>
      </c>
      <c r="F587" s="20">
        <f>IF($C587="","",Registro_Compras!$S$68)</f>
        <v/>
      </c>
      <c r="G587">
        <f>IF($C587="","","Por el deposito de la detraccion en el Banco de la Nacion")</f>
        <v/>
      </c>
      <c r="H587">
        <f>IF($C587="","",Registro_Compras!$C$68)</f>
        <v/>
      </c>
    </row>
    <row r="588">
      <c r="A588" s="25">
        <f>IF($C588="","",Registro_Compras!$Y$68)</f>
        <v/>
      </c>
      <c r="B588">
        <f>IF($C588="","","C"&amp;TEXT(INT((ROW()-5)/9)+1,"000")&amp;"-4")</f>
        <v/>
      </c>
      <c r="C588">
        <f>IF(OR(Registro_Compras!$C$68="",Registro_Compras!$O$68="",Registro_Compras!$Y$68="",Registro_Compras!$F$68="NOTA DE CREDITO"),"","4212")</f>
        <v/>
      </c>
      <c r="D588">
        <f>IF(OR(Registro_Compras!$C$68="",Registro_Compras!$O$68=""),"","Cuentas por Pagar Comerciales - Terceros")</f>
        <v/>
      </c>
      <c r="E588" s="20">
        <f>IF($C588="","",IF(Registro_Compras!$F$68="RHE",(ROUND(Registro_Compras!$L$68*Registro_Compras!$N$68,2)-ROUND(Registro_Compras!$V$68*Registro_Compras!$N$68,2)),ROUND(Registro_Compras!$O$68-Registro_Compras!$S$68,2)))</f>
        <v/>
      </c>
      <c r="F588" s="20">
        <f>""</f>
        <v/>
      </c>
      <c r="G588">
        <f>IF($C588="","","Por la cancelacion del saldo al proveedor")</f>
        <v/>
      </c>
      <c r="H588">
        <f>IF($C588="","",Registro_Compras!$C$68)</f>
        <v/>
      </c>
    </row>
    <row r="589">
      <c r="A589" s="25">
        <f>IF($C589="","",Registro_Compras!$Y$68)</f>
        <v/>
      </c>
      <c r="B589">
        <f>IF($C589="","","C"&amp;TEXT(INT((ROW()-5)/9)+1,"000")&amp;"-4")</f>
        <v/>
      </c>
      <c r="C589">
        <f>IF(OR(Registro_Compras!$C$68="",Registro_Compras!$O$68="",Registro_Compras!$Y$68="",Registro_Compras!$F$68="NOTA DE CREDITO"),"","10413")</f>
        <v/>
      </c>
      <c r="D589">
        <f>IF(OR(Registro_Compras!$C$68="",Registro_Compras!$O$68=""),"","Efectivo y Equivalentes - Cta. Cte. Operativa")</f>
        <v/>
      </c>
      <c r="E589" s="20">
        <f>""</f>
        <v/>
      </c>
      <c r="F589" s="20">
        <f>IF($C589="","",IF(Registro_Compras!$F$68="RHE",(ROUND(Registro_Compras!$L$68*Registro_Compras!$N$68,2)-ROUND(Registro_Compras!$V$68*Registro_Compras!$N$68,2)),ROUND(Registro_Compras!$O$68-Registro_Compras!$S$68,2)))</f>
        <v/>
      </c>
      <c r="G589">
        <f>IF($C589="","","Por la cancelacion del saldo al proveedor")</f>
        <v/>
      </c>
      <c r="H589">
        <f>IF($C589="","",Registro_Compras!$C$68)</f>
        <v/>
      </c>
    </row>
    <row r="590">
      <c r="A590" s="25">
        <f>IF($C590="","",Registro_Compras!$B$69)</f>
        <v/>
      </c>
      <c r="B590">
        <f>IF($C590="","","C"&amp;TEXT(INT((ROW()-5)/9)+1,"000")&amp;"-1")</f>
        <v/>
      </c>
      <c r="C590">
        <f>IF(OR(Registro_Compras!$C$69="",Registro_Compras!$O$69=""),"",IF(Registro_Compras!$F$69="NOTA DE CREDITO","4212",IF(Registro_Compras!$M$69="","63",Registro_Compras!$M$69)))</f>
        <v/>
      </c>
      <c r="D590">
        <f>IF(OR(Registro_Compras!$C$69="",Registro_Compras!$O$69=""),"",IF(Registro_Compras!$F$69="NOTA DE CREDITO","Cuentas por Pagar Comerciales - Terceros (Emitidas)",IF(Registro_Compras!$F$69="RHE","Honorarios Profesionales - Servicios de Terceros","Gastos de Servicios Prestados por Terceros")))</f>
        <v/>
      </c>
      <c r="E590" s="20">
        <f>IF($C590="","",IF(Registro_Compras!$F$69="NOTA DE CREDITO",ABS(Registro_Compras!$O$69),IF(Registro_Compras!$F$69="RHE",ROUND(Registro_Compras!$L$69*Registro_Compras!$N$69,2),ROUND(Registro_Compras!$J$69*Registro_Compras!$N$69,2))))</f>
        <v/>
      </c>
      <c r="F590" s="20">
        <f>""</f>
        <v/>
      </c>
      <c r="G590">
        <f>IF($C590="","",IF(Registro_Compras!$F$69="NOTA DE CREDITO","Por la nota de credito "&amp;Registro_Compras!$C$69&amp;" de "&amp;Registro_Compras!$E$69&amp;" [PATRON POR CONFIRMAR CON CONTADOR]",IF(Registro_Compras!$F$69="RHE","Por el registro del recibo por honorarios "&amp;Registro_Compras!$C$69&amp;" de "&amp;Registro_Compras!$E$69&amp;" [PATRON POR CONFIRMAR CON CONTADOR]","Por el registro de la factura "&amp;Registro_Compras!$C$69&amp;" de "&amp;Registro_Compras!$E$69)))</f>
        <v/>
      </c>
      <c r="H590">
        <f>IF($C590="","",Registro_Compras!$C$69)</f>
        <v/>
      </c>
    </row>
    <row r="591">
      <c r="A591" s="25">
        <f>IF($C591="","",Registro_Compras!$B$69)</f>
        <v/>
      </c>
      <c r="B591">
        <f>IF($C591="","","C"&amp;TEXT(INT((ROW()-5)/9)+1,"000")&amp;"-1")</f>
        <v/>
      </c>
      <c r="C591">
        <f>IF(OR(Registro_Compras!$C$69="",Registro_Compras!$O$69=""),"",IF(Registro_Compras!$F$69="RHE",IF(Registro_Compras!$V$69=0,"","40172"),IF(Registro_Compras!$F$69="NOTA DE CREDITO",IF(Registro_Compras!$M$69="","63",Registro_Compras!$M$69),IF(Registro_Compras!$K$69=0,"","40111"))))</f>
        <v/>
      </c>
      <c r="D591">
        <f>IF(OR(Registro_Compras!$C$69="",Registro_Compras!$O$69=""),"",IF(Registro_Compras!$F$69="RHE","Retencion Renta 4ta Categoria por Pagar",IF(Registro_Compras!$F$69="NOTA DE CREDITO","Gastos de Servicios Prestados por Terceros","IGV - Cuenta Propia (Credito Fiscal)")))</f>
        <v/>
      </c>
      <c r="E591" s="20">
        <f>IF($C591="","",IF(Registro_Compras!$F$69="FACTURA",ROUND(Registro_Compras!$K$69*Registro_Compras!$N$69,2),""))</f>
        <v/>
      </c>
      <c r="F591" s="20">
        <f>IF($C591="","",IF(Registro_Compras!$F$69="RHE",ROUND(Registro_Compras!$V$69*Registro_Compras!$N$69,2),IF(Registro_Compras!$F$69="NOTA DE CREDITO",ROUND(ABS(Registro_Compras!$J$69*Registro_Compras!$N$69),2),"")))</f>
        <v/>
      </c>
      <c r="G591">
        <f>IF($C591="","",IF(Registro_Compras!$F$69="NOTA DE CREDITO","Por la nota de credito "&amp;Registro_Compras!$C$69&amp;" de "&amp;Registro_Compras!$E$69&amp;" [PATRON POR CONFIRMAR CON CONTADOR]",IF(Registro_Compras!$F$69="RHE","Por el registro del recibo por honorarios "&amp;Registro_Compras!$C$69&amp;" de "&amp;Registro_Compras!$E$69&amp;" [PATRON POR CONFIRMAR CON CONTADOR]","Por el registro de la factura "&amp;Registro_Compras!$C$69&amp;" de "&amp;Registro_Compras!$E$69)))</f>
        <v/>
      </c>
      <c r="H591">
        <f>IF($C591="","",Registro_Compras!$C$69)</f>
        <v/>
      </c>
    </row>
    <row r="592">
      <c r="A592" s="25">
        <f>IF($C592="","",Registro_Compras!$B$69)</f>
        <v/>
      </c>
      <c r="B592">
        <f>IF($C592="","","C"&amp;TEXT(INT((ROW()-5)/9)+1,"000")&amp;"-1")</f>
        <v/>
      </c>
      <c r="C592">
        <f>IF(OR(Registro_Compras!$C$69="",Registro_Compras!$O$69=""),"",IF(Registro_Compras!$F$69="NOTA DE CREDITO",IF(Registro_Compras!$K$69=0,"","40111"),"4212"))</f>
        <v/>
      </c>
      <c r="D592">
        <f>IF(OR(Registro_Compras!$C$69="",Registro_Compras!$O$69=""),"",IF(Registro_Compras!$F$69="NOTA DE CREDITO","IGV - Cuenta Propia (Credito Fiscal)","Cuentas por Pagar Comerciales - Terceros (Emitidas)"))</f>
        <v/>
      </c>
      <c r="E592" s="20">
        <f>""</f>
        <v/>
      </c>
      <c r="F592" s="20">
        <f>IF($C592="","",IF(Registro_Compras!$F$69="NOTA DE CREDITO",ROUND(ABS(Registro_Compras!$K$69*Registro_Compras!$N$69),2),IF(Registro_Compras!$F$69="RHE",(ROUND(Registro_Compras!$L$69*Registro_Compras!$N$69,2)-ROUND(Registro_Compras!$V$69*Registro_Compras!$N$69,2)),Registro_Compras!$O$69)))</f>
        <v/>
      </c>
      <c r="G592">
        <f>IF($C592="","",IF(Registro_Compras!$F$69="NOTA DE CREDITO","Por la nota de credito "&amp;Registro_Compras!$C$69&amp;" de "&amp;Registro_Compras!$E$69&amp;" [PATRON POR CONFIRMAR CON CONTADOR]",IF(Registro_Compras!$F$69="RHE","Por el registro del recibo por honorarios "&amp;Registro_Compras!$C$69&amp;" de "&amp;Registro_Compras!$E$69&amp;" [PATRON POR CONFIRMAR CON CONTADOR]","Por el registro de la factura "&amp;Registro_Compras!$C$69&amp;" de "&amp;Registro_Compras!$E$69)))</f>
        <v/>
      </c>
      <c r="H592">
        <f>IF($C592="","",Registro_Compras!$C$69)</f>
        <v/>
      </c>
    </row>
    <row r="593">
      <c r="A593" s="25">
        <f>IF($C593="","",Registro_Compras!$B$69)</f>
        <v/>
      </c>
      <c r="B593">
        <f>IF($C593="","","C"&amp;TEXT(INT((ROW()-5)/9)+1,"000")&amp;"-2")</f>
        <v/>
      </c>
      <c r="C593">
        <f>IF(OR(Registro_Compras!$C$69="",Registro_Compras!$O$69=""),"",IF(Registro_Compras!$AB$69="ADMINISTRATIVO","94","95"))</f>
        <v/>
      </c>
      <c r="D593">
        <f>IF(OR(Registro_Compras!$C$69="",Registro_Compras!$O$69=""),"",IF(Registro_Compras!$AB$69="ADMINISTRATIVO","Gastos Administrativos","Gastos de Venta y Operacion"))</f>
        <v/>
      </c>
      <c r="E593" s="20">
        <f>IF($C593="","",IF(Registro_Compras!$F$69="NOTA DE CREDITO","",IF(Registro_Compras!$F$69="RHE",ROUND(Registro_Compras!$L$69*Registro_Compras!$N$69,2),ROUND(Registro_Compras!$J$69*Registro_Compras!$N$69,2))))</f>
        <v/>
      </c>
      <c r="F593" s="20">
        <f>IF($C593="","",IF(Registro_Compras!$F$69="NOTA DE CREDITO",ROUND(ABS(Registro_Compras!$J$69*Registro_Compras!$N$69),2),""))</f>
        <v/>
      </c>
      <c r="G593">
        <f>IF($C593="","","Por el destino del gasto")</f>
        <v/>
      </c>
      <c r="H593">
        <f>IF($C593="","",Registro_Compras!$C$69)</f>
        <v/>
      </c>
    </row>
    <row r="594">
      <c r="A594" s="25">
        <f>IF($C594="","",Registro_Compras!$B$69)</f>
        <v/>
      </c>
      <c r="B594">
        <f>IF($C594="","","C"&amp;TEXT(INT((ROW()-5)/9)+1,"000")&amp;"-2")</f>
        <v/>
      </c>
      <c r="C594">
        <f>IF(OR(Registro_Compras!$C$69="",Registro_Compras!$O$69=""),"","79/791")</f>
        <v/>
      </c>
      <c r="D594">
        <f>IF(OR(Registro_Compras!$C$69="",Registro_Compras!$O$69=""),"","Cargas Imputables a Cuentas de Costos y Gastos")</f>
        <v/>
      </c>
      <c r="E594" s="20">
        <f>IF($C594="","",IF(Registro_Compras!$F$69="NOTA DE CREDITO",ROUND(ABS(Registro_Compras!$J$69*Registro_Compras!$N$69),2),""))</f>
        <v/>
      </c>
      <c r="F594" s="20">
        <f>IF($C594="","",IF(Registro_Compras!$F$69="NOTA DE CREDITO","",IF(Registro_Compras!$F$69="RHE",ROUND(Registro_Compras!$L$69*Registro_Compras!$N$69,2),ROUND(Registro_Compras!$J$69*Registro_Compras!$N$69,2))))</f>
        <v/>
      </c>
      <c r="G594">
        <f>IF($C594="","","Por el destino del gasto")</f>
        <v/>
      </c>
      <c r="H594">
        <f>IF($C594="","",Registro_Compras!$C$69)</f>
        <v/>
      </c>
    </row>
    <row r="595">
      <c r="A595" s="25">
        <f>IF($C595="","",Registro_Compras!$X$69)</f>
        <v/>
      </c>
      <c r="B595">
        <f>IF($C595="","","C"&amp;TEXT(INT((ROW()-5)/9)+1,"000")&amp;"-3")</f>
        <v/>
      </c>
      <c r="C595">
        <f>IF(OR(Registro_Compras!$C$69="",Registro_Compras!$O$69="",Registro_Compras!$R$69&lt;&gt;"SI",Registro_Compras!$X$69=""),"","4212")</f>
        <v/>
      </c>
      <c r="D595">
        <f>IF(OR(Registro_Compras!$C$69="",Registro_Compras!$O$69=""),"","Cuentas por Pagar Comerciales - Terceros")</f>
        <v/>
      </c>
      <c r="E595" s="20">
        <f>IF($C595="","",Registro_Compras!$S$69)</f>
        <v/>
      </c>
      <c r="F595" s="20">
        <f>""</f>
        <v/>
      </c>
      <c r="G595">
        <f>IF($C595="","","Por el deposito de la detraccion en el Banco de la Nacion")</f>
        <v/>
      </c>
      <c r="H595">
        <f>IF($C595="","",Registro_Compras!$C$69)</f>
        <v/>
      </c>
    </row>
    <row r="596">
      <c r="A596" s="25">
        <f>IF($C596="","",Registro_Compras!$X$69)</f>
        <v/>
      </c>
      <c r="B596">
        <f>IF($C596="","","C"&amp;TEXT(INT((ROW()-5)/9)+1,"000")&amp;"-3")</f>
        <v/>
      </c>
      <c r="C596">
        <f>IF(OR(Registro_Compras!$C$69="",Registro_Compras!$O$69="",Registro_Compras!$R$69&lt;&gt;"SI",Registro_Compras!$X$69=""),"","10413")</f>
        <v/>
      </c>
      <c r="D596">
        <f>IF(OR(Registro_Compras!$C$69="",Registro_Compras!$O$69=""),"","Efectivo y Equivalentes - Cta. Cte. Operativa")</f>
        <v/>
      </c>
      <c r="E596" s="20">
        <f>""</f>
        <v/>
      </c>
      <c r="F596" s="20">
        <f>IF($C596="","",Registro_Compras!$S$69)</f>
        <v/>
      </c>
      <c r="G596">
        <f>IF($C596="","","Por el deposito de la detraccion en el Banco de la Nacion")</f>
        <v/>
      </c>
      <c r="H596">
        <f>IF($C596="","",Registro_Compras!$C$69)</f>
        <v/>
      </c>
    </row>
    <row r="597">
      <c r="A597" s="25">
        <f>IF($C597="","",Registro_Compras!$Y$69)</f>
        <v/>
      </c>
      <c r="B597">
        <f>IF($C597="","","C"&amp;TEXT(INT((ROW()-5)/9)+1,"000")&amp;"-4")</f>
        <v/>
      </c>
      <c r="C597">
        <f>IF(OR(Registro_Compras!$C$69="",Registro_Compras!$O$69="",Registro_Compras!$Y$69="",Registro_Compras!$F$69="NOTA DE CREDITO"),"","4212")</f>
        <v/>
      </c>
      <c r="D597">
        <f>IF(OR(Registro_Compras!$C$69="",Registro_Compras!$O$69=""),"","Cuentas por Pagar Comerciales - Terceros")</f>
        <v/>
      </c>
      <c r="E597" s="20">
        <f>IF($C597="","",IF(Registro_Compras!$F$69="RHE",(ROUND(Registro_Compras!$L$69*Registro_Compras!$N$69,2)-ROUND(Registro_Compras!$V$69*Registro_Compras!$N$69,2)),ROUND(Registro_Compras!$O$69-Registro_Compras!$S$69,2)))</f>
        <v/>
      </c>
      <c r="F597" s="20">
        <f>""</f>
        <v/>
      </c>
      <c r="G597">
        <f>IF($C597="","","Por la cancelacion del saldo al proveedor")</f>
        <v/>
      </c>
      <c r="H597">
        <f>IF($C597="","",Registro_Compras!$C$69)</f>
        <v/>
      </c>
    </row>
    <row r="598">
      <c r="A598" s="25">
        <f>IF($C598="","",Registro_Compras!$Y$69)</f>
        <v/>
      </c>
      <c r="B598">
        <f>IF($C598="","","C"&amp;TEXT(INT((ROW()-5)/9)+1,"000")&amp;"-4")</f>
        <v/>
      </c>
      <c r="C598">
        <f>IF(OR(Registro_Compras!$C$69="",Registro_Compras!$O$69="",Registro_Compras!$Y$69="",Registro_Compras!$F$69="NOTA DE CREDITO"),"","10413")</f>
        <v/>
      </c>
      <c r="D598">
        <f>IF(OR(Registro_Compras!$C$69="",Registro_Compras!$O$69=""),"","Efectivo y Equivalentes - Cta. Cte. Operativa")</f>
        <v/>
      </c>
      <c r="E598" s="20">
        <f>""</f>
        <v/>
      </c>
      <c r="F598" s="20">
        <f>IF($C598="","",IF(Registro_Compras!$F$69="RHE",(ROUND(Registro_Compras!$L$69*Registro_Compras!$N$69,2)-ROUND(Registro_Compras!$V$69*Registro_Compras!$N$69,2)),ROUND(Registro_Compras!$O$69-Registro_Compras!$S$69,2)))</f>
        <v/>
      </c>
      <c r="G598">
        <f>IF($C598="","","Por la cancelacion del saldo al proveedor")</f>
        <v/>
      </c>
      <c r="H598">
        <f>IF($C598="","",Registro_Compras!$C$69)</f>
        <v/>
      </c>
    </row>
    <row r="599">
      <c r="A599" s="25">
        <f>IF($C599="","",Registro_Compras!$B$70)</f>
        <v/>
      </c>
      <c r="B599">
        <f>IF($C599="","","C"&amp;TEXT(INT((ROW()-5)/9)+1,"000")&amp;"-1")</f>
        <v/>
      </c>
      <c r="C599">
        <f>IF(OR(Registro_Compras!$C$70="",Registro_Compras!$O$70=""),"",IF(Registro_Compras!$F$70="NOTA DE CREDITO","4212",IF(Registro_Compras!$M$70="","63",Registro_Compras!$M$70)))</f>
        <v/>
      </c>
      <c r="D599">
        <f>IF(OR(Registro_Compras!$C$70="",Registro_Compras!$O$70=""),"",IF(Registro_Compras!$F$70="NOTA DE CREDITO","Cuentas por Pagar Comerciales - Terceros (Emitidas)",IF(Registro_Compras!$F$70="RHE","Honorarios Profesionales - Servicios de Terceros","Gastos de Servicios Prestados por Terceros")))</f>
        <v/>
      </c>
      <c r="E599" s="20">
        <f>IF($C599="","",IF(Registro_Compras!$F$70="NOTA DE CREDITO",ABS(Registro_Compras!$O$70),IF(Registro_Compras!$F$70="RHE",ROUND(Registro_Compras!$L$70*Registro_Compras!$N$70,2),ROUND(Registro_Compras!$J$70*Registro_Compras!$N$70,2))))</f>
        <v/>
      </c>
      <c r="F599" s="20">
        <f>""</f>
        <v/>
      </c>
      <c r="G599">
        <f>IF($C599="","",IF(Registro_Compras!$F$70="NOTA DE CREDITO","Por la nota de credito "&amp;Registro_Compras!$C$70&amp;" de "&amp;Registro_Compras!$E$70&amp;" [PATRON POR CONFIRMAR CON CONTADOR]",IF(Registro_Compras!$F$70="RHE","Por el registro del recibo por honorarios "&amp;Registro_Compras!$C$70&amp;" de "&amp;Registro_Compras!$E$70&amp;" [PATRON POR CONFIRMAR CON CONTADOR]","Por el registro de la factura "&amp;Registro_Compras!$C$70&amp;" de "&amp;Registro_Compras!$E$70)))</f>
        <v/>
      </c>
      <c r="H599">
        <f>IF($C599="","",Registro_Compras!$C$70)</f>
        <v/>
      </c>
    </row>
    <row r="600">
      <c r="A600" s="25">
        <f>IF($C600="","",Registro_Compras!$B$70)</f>
        <v/>
      </c>
      <c r="B600">
        <f>IF($C600="","","C"&amp;TEXT(INT((ROW()-5)/9)+1,"000")&amp;"-1")</f>
        <v/>
      </c>
      <c r="C600">
        <f>IF(OR(Registro_Compras!$C$70="",Registro_Compras!$O$70=""),"",IF(Registro_Compras!$F$70="RHE",IF(Registro_Compras!$V$70=0,"","40172"),IF(Registro_Compras!$F$70="NOTA DE CREDITO",IF(Registro_Compras!$M$70="","63",Registro_Compras!$M$70),IF(Registro_Compras!$K$70=0,"","40111"))))</f>
        <v/>
      </c>
      <c r="D600">
        <f>IF(OR(Registro_Compras!$C$70="",Registro_Compras!$O$70=""),"",IF(Registro_Compras!$F$70="RHE","Retencion Renta 4ta Categoria por Pagar",IF(Registro_Compras!$F$70="NOTA DE CREDITO","Gastos de Servicios Prestados por Terceros","IGV - Cuenta Propia (Credito Fiscal)")))</f>
        <v/>
      </c>
      <c r="E600" s="20">
        <f>IF($C600="","",IF(Registro_Compras!$F$70="FACTURA",ROUND(Registro_Compras!$K$70*Registro_Compras!$N$70,2),""))</f>
        <v/>
      </c>
      <c r="F600" s="20">
        <f>IF($C600="","",IF(Registro_Compras!$F$70="RHE",ROUND(Registro_Compras!$V$70*Registro_Compras!$N$70,2),IF(Registro_Compras!$F$70="NOTA DE CREDITO",ROUND(ABS(Registro_Compras!$J$70*Registro_Compras!$N$70),2),"")))</f>
        <v/>
      </c>
      <c r="G600">
        <f>IF($C600="","",IF(Registro_Compras!$F$70="NOTA DE CREDITO","Por la nota de credito "&amp;Registro_Compras!$C$70&amp;" de "&amp;Registro_Compras!$E$70&amp;" [PATRON POR CONFIRMAR CON CONTADOR]",IF(Registro_Compras!$F$70="RHE","Por el registro del recibo por honorarios "&amp;Registro_Compras!$C$70&amp;" de "&amp;Registro_Compras!$E$70&amp;" [PATRON POR CONFIRMAR CON CONTADOR]","Por el registro de la factura "&amp;Registro_Compras!$C$70&amp;" de "&amp;Registro_Compras!$E$70)))</f>
        <v/>
      </c>
      <c r="H600">
        <f>IF($C600="","",Registro_Compras!$C$70)</f>
        <v/>
      </c>
    </row>
    <row r="601">
      <c r="A601" s="25">
        <f>IF($C601="","",Registro_Compras!$B$70)</f>
        <v/>
      </c>
      <c r="B601">
        <f>IF($C601="","","C"&amp;TEXT(INT((ROW()-5)/9)+1,"000")&amp;"-1")</f>
        <v/>
      </c>
      <c r="C601">
        <f>IF(OR(Registro_Compras!$C$70="",Registro_Compras!$O$70=""),"",IF(Registro_Compras!$F$70="NOTA DE CREDITO",IF(Registro_Compras!$K$70=0,"","40111"),"4212"))</f>
        <v/>
      </c>
      <c r="D601">
        <f>IF(OR(Registro_Compras!$C$70="",Registro_Compras!$O$70=""),"",IF(Registro_Compras!$F$70="NOTA DE CREDITO","IGV - Cuenta Propia (Credito Fiscal)","Cuentas por Pagar Comerciales - Terceros (Emitidas)"))</f>
        <v/>
      </c>
      <c r="E601" s="20">
        <f>""</f>
        <v/>
      </c>
      <c r="F601" s="20">
        <f>IF($C601="","",IF(Registro_Compras!$F$70="NOTA DE CREDITO",ROUND(ABS(Registro_Compras!$K$70*Registro_Compras!$N$70),2),IF(Registro_Compras!$F$70="RHE",(ROUND(Registro_Compras!$L$70*Registro_Compras!$N$70,2)-ROUND(Registro_Compras!$V$70*Registro_Compras!$N$70,2)),Registro_Compras!$O$70)))</f>
        <v/>
      </c>
      <c r="G601">
        <f>IF($C601="","",IF(Registro_Compras!$F$70="NOTA DE CREDITO","Por la nota de credito "&amp;Registro_Compras!$C$70&amp;" de "&amp;Registro_Compras!$E$70&amp;" [PATRON POR CONFIRMAR CON CONTADOR]",IF(Registro_Compras!$F$70="RHE","Por el registro del recibo por honorarios "&amp;Registro_Compras!$C$70&amp;" de "&amp;Registro_Compras!$E$70&amp;" [PATRON POR CONFIRMAR CON CONTADOR]","Por el registro de la factura "&amp;Registro_Compras!$C$70&amp;" de "&amp;Registro_Compras!$E$70)))</f>
        <v/>
      </c>
      <c r="H601">
        <f>IF($C601="","",Registro_Compras!$C$70)</f>
        <v/>
      </c>
    </row>
    <row r="602">
      <c r="A602" s="25">
        <f>IF($C602="","",Registro_Compras!$B$70)</f>
        <v/>
      </c>
      <c r="B602">
        <f>IF($C602="","","C"&amp;TEXT(INT((ROW()-5)/9)+1,"000")&amp;"-2")</f>
        <v/>
      </c>
      <c r="C602">
        <f>IF(OR(Registro_Compras!$C$70="",Registro_Compras!$O$70=""),"",IF(Registro_Compras!$AB$70="ADMINISTRATIVO","94","95"))</f>
        <v/>
      </c>
      <c r="D602">
        <f>IF(OR(Registro_Compras!$C$70="",Registro_Compras!$O$70=""),"",IF(Registro_Compras!$AB$70="ADMINISTRATIVO","Gastos Administrativos","Gastos de Venta y Operacion"))</f>
        <v/>
      </c>
      <c r="E602" s="20">
        <f>IF($C602="","",IF(Registro_Compras!$F$70="NOTA DE CREDITO","",IF(Registro_Compras!$F$70="RHE",ROUND(Registro_Compras!$L$70*Registro_Compras!$N$70,2),ROUND(Registro_Compras!$J$70*Registro_Compras!$N$70,2))))</f>
        <v/>
      </c>
      <c r="F602" s="20">
        <f>IF($C602="","",IF(Registro_Compras!$F$70="NOTA DE CREDITO",ROUND(ABS(Registro_Compras!$J$70*Registro_Compras!$N$70),2),""))</f>
        <v/>
      </c>
      <c r="G602">
        <f>IF($C602="","","Por el destino del gasto")</f>
        <v/>
      </c>
      <c r="H602">
        <f>IF($C602="","",Registro_Compras!$C$70)</f>
        <v/>
      </c>
    </row>
    <row r="603">
      <c r="A603" s="25">
        <f>IF($C603="","",Registro_Compras!$B$70)</f>
        <v/>
      </c>
      <c r="B603">
        <f>IF($C603="","","C"&amp;TEXT(INT((ROW()-5)/9)+1,"000")&amp;"-2")</f>
        <v/>
      </c>
      <c r="C603">
        <f>IF(OR(Registro_Compras!$C$70="",Registro_Compras!$O$70=""),"","79/791")</f>
        <v/>
      </c>
      <c r="D603">
        <f>IF(OR(Registro_Compras!$C$70="",Registro_Compras!$O$70=""),"","Cargas Imputables a Cuentas de Costos y Gastos")</f>
        <v/>
      </c>
      <c r="E603" s="20">
        <f>IF($C603="","",IF(Registro_Compras!$F$70="NOTA DE CREDITO",ROUND(ABS(Registro_Compras!$J$70*Registro_Compras!$N$70),2),""))</f>
        <v/>
      </c>
      <c r="F603" s="20">
        <f>IF($C603="","",IF(Registro_Compras!$F$70="NOTA DE CREDITO","",IF(Registro_Compras!$F$70="RHE",ROUND(Registro_Compras!$L$70*Registro_Compras!$N$70,2),ROUND(Registro_Compras!$J$70*Registro_Compras!$N$70,2))))</f>
        <v/>
      </c>
      <c r="G603">
        <f>IF($C603="","","Por el destino del gasto")</f>
        <v/>
      </c>
      <c r="H603">
        <f>IF($C603="","",Registro_Compras!$C$70)</f>
        <v/>
      </c>
    </row>
    <row r="604">
      <c r="A604" s="25">
        <f>IF($C604="","",Registro_Compras!$X$70)</f>
        <v/>
      </c>
      <c r="B604">
        <f>IF($C604="","","C"&amp;TEXT(INT((ROW()-5)/9)+1,"000")&amp;"-3")</f>
        <v/>
      </c>
      <c r="C604">
        <f>IF(OR(Registro_Compras!$C$70="",Registro_Compras!$O$70="",Registro_Compras!$R$70&lt;&gt;"SI",Registro_Compras!$X$70=""),"","4212")</f>
        <v/>
      </c>
      <c r="D604">
        <f>IF(OR(Registro_Compras!$C$70="",Registro_Compras!$O$70=""),"","Cuentas por Pagar Comerciales - Terceros")</f>
        <v/>
      </c>
      <c r="E604" s="20">
        <f>IF($C604="","",Registro_Compras!$S$70)</f>
        <v/>
      </c>
      <c r="F604" s="20">
        <f>""</f>
        <v/>
      </c>
      <c r="G604">
        <f>IF($C604="","","Por el deposito de la detraccion en el Banco de la Nacion")</f>
        <v/>
      </c>
      <c r="H604">
        <f>IF($C604="","",Registro_Compras!$C$70)</f>
        <v/>
      </c>
    </row>
    <row r="605">
      <c r="A605" s="25">
        <f>IF($C605="","",Registro_Compras!$X$70)</f>
        <v/>
      </c>
      <c r="B605">
        <f>IF($C605="","","C"&amp;TEXT(INT((ROW()-5)/9)+1,"000")&amp;"-3")</f>
        <v/>
      </c>
      <c r="C605">
        <f>IF(OR(Registro_Compras!$C$70="",Registro_Compras!$O$70="",Registro_Compras!$R$70&lt;&gt;"SI",Registro_Compras!$X$70=""),"","10413")</f>
        <v/>
      </c>
      <c r="D605">
        <f>IF(OR(Registro_Compras!$C$70="",Registro_Compras!$O$70=""),"","Efectivo y Equivalentes - Cta. Cte. Operativa")</f>
        <v/>
      </c>
      <c r="E605" s="20">
        <f>""</f>
        <v/>
      </c>
      <c r="F605" s="20">
        <f>IF($C605="","",Registro_Compras!$S$70)</f>
        <v/>
      </c>
      <c r="G605">
        <f>IF($C605="","","Por el deposito de la detraccion en el Banco de la Nacion")</f>
        <v/>
      </c>
      <c r="H605">
        <f>IF($C605="","",Registro_Compras!$C$70)</f>
        <v/>
      </c>
    </row>
    <row r="606">
      <c r="A606" s="25">
        <f>IF($C606="","",Registro_Compras!$Y$70)</f>
        <v/>
      </c>
      <c r="B606">
        <f>IF($C606="","","C"&amp;TEXT(INT((ROW()-5)/9)+1,"000")&amp;"-4")</f>
        <v/>
      </c>
      <c r="C606">
        <f>IF(OR(Registro_Compras!$C$70="",Registro_Compras!$O$70="",Registro_Compras!$Y$70="",Registro_Compras!$F$70="NOTA DE CREDITO"),"","4212")</f>
        <v/>
      </c>
      <c r="D606">
        <f>IF(OR(Registro_Compras!$C$70="",Registro_Compras!$O$70=""),"","Cuentas por Pagar Comerciales - Terceros")</f>
        <v/>
      </c>
      <c r="E606" s="20">
        <f>IF($C606="","",IF(Registro_Compras!$F$70="RHE",(ROUND(Registro_Compras!$L$70*Registro_Compras!$N$70,2)-ROUND(Registro_Compras!$V$70*Registro_Compras!$N$70,2)),ROUND(Registro_Compras!$O$70-Registro_Compras!$S$70,2)))</f>
        <v/>
      </c>
      <c r="F606" s="20">
        <f>""</f>
        <v/>
      </c>
      <c r="G606">
        <f>IF($C606="","","Por la cancelacion del saldo al proveedor")</f>
        <v/>
      </c>
      <c r="H606">
        <f>IF($C606="","",Registro_Compras!$C$70)</f>
        <v/>
      </c>
    </row>
    <row r="607">
      <c r="A607" s="25">
        <f>IF($C607="","",Registro_Compras!$Y$70)</f>
        <v/>
      </c>
      <c r="B607">
        <f>IF($C607="","","C"&amp;TEXT(INT((ROW()-5)/9)+1,"000")&amp;"-4")</f>
        <v/>
      </c>
      <c r="C607">
        <f>IF(OR(Registro_Compras!$C$70="",Registro_Compras!$O$70="",Registro_Compras!$Y$70="",Registro_Compras!$F$70="NOTA DE CREDITO"),"","10413")</f>
        <v/>
      </c>
      <c r="D607">
        <f>IF(OR(Registro_Compras!$C$70="",Registro_Compras!$O$70=""),"","Efectivo y Equivalentes - Cta. Cte. Operativa")</f>
        <v/>
      </c>
      <c r="E607" s="20">
        <f>""</f>
        <v/>
      </c>
      <c r="F607" s="20">
        <f>IF($C607="","",IF(Registro_Compras!$F$70="RHE",(ROUND(Registro_Compras!$L$70*Registro_Compras!$N$70,2)-ROUND(Registro_Compras!$V$70*Registro_Compras!$N$70,2)),ROUND(Registro_Compras!$O$70-Registro_Compras!$S$70,2)))</f>
        <v/>
      </c>
      <c r="G607">
        <f>IF($C607="","","Por la cancelacion del saldo al proveedor")</f>
        <v/>
      </c>
      <c r="H607">
        <f>IF($C607="","",Registro_Compras!$C$70)</f>
        <v/>
      </c>
    </row>
    <row r="608">
      <c r="A608" s="25">
        <f>IF($C608="","",Registro_Compras!$B$71)</f>
        <v/>
      </c>
      <c r="B608">
        <f>IF($C608="","","C"&amp;TEXT(INT((ROW()-5)/9)+1,"000")&amp;"-1")</f>
        <v/>
      </c>
      <c r="C608">
        <f>IF(OR(Registro_Compras!$C$71="",Registro_Compras!$O$71=""),"",IF(Registro_Compras!$F$71="NOTA DE CREDITO","4212",IF(Registro_Compras!$M$71="","63",Registro_Compras!$M$71)))</f>
        <v/>
      </c>
      <c r="D608">
        <f>IF(OR(Registro_Compras!$C$71="",Registro_Compras!$O$71=""),"",IF(Registro_Compras!$F$71="NOTA DE CREDITO","Cuentas por Pagar Comerciales - Terceros (Emitidas)",IF(Registro_Compras!$F$71="RHE","Honorarios Profesionales - Servicios de Terceros","Gastos de Servicios Prestados por Terceros")))</f>
        <v/>
      </c>
      <c r="E608" s="20">
        <f>IF($C608="","",IF(Registro_Compras!$F$71="NOTA DE CREDITO",ABS(Registro_Compras!$O$71),IF(Registro_Compras!$F$71="RHE",ROUND(Registro_Compras!$L$71*Registro_Compras!$N$71,2),ROUND(Registro_Compras!$J$71*Registro_Compras!$N$71,2))))</f>
        <v/>
      </c>
      <c r="F608" s="20">
        <f>""</f>
        <v/>
      </c>
      <c r="G608">
        <f>IF($C608="","",IF(Registro_Compras!$F$71="NOTA DE CREDITO","Por la nota de credito "&amp;Registro_Compras!$C$71&amp;" de "&amp;Registro_Compras!$E$71&amp;" [PATRON POR CONFIRMAR CON CONTADOR]",IF(Registro_Compras!$F$71="RHE","Por el registro del recibo por honorarios "&amp;Registro_Compras!$C$71&amp;" de "&amp;Registro_Compras!$E$71&amp;" [PATRON POR CONFIRMAR CON CONTADOR]","Por el registro de la factura "&amp;Registro_Compras!$C$71&amp;" de "&amp;Registro_Compras!$E$71)))</f>
        <v/>
      </c>
      <c r="H608">
        <f>IF($C608="","",Registro_Compras!$C$71)</f>
        <v/>
      </c>
    </row>
    <row r="609">
      <c r="A609" s="25">
        <f>IF($C609="","",Registro_Compras!$B$71)</f>
        <v/>
      </c>
      <c r="B609">
        <f>IF($C609="","","C"&amp;TEXT(INT((ROW()-5)/9)+1,"000")&amp;"-1")</f>
        <v/>
      </c>
      <c r="C609">
        <f>IF(OR(Registro_Compras!$C$71="",Registro_Compras!$O$71=""),"",IF(Registro_Compras!$F$71="RHE",IF(Registro_Compras!$V$71=0,"","40172"),IF(Registro_Compras!$F$71="NOTA DE CREDITO",IF(Registro_Compras!$M$71="","63",Registro_Compras!$M$71),IF(Registro_Compras!$K$71=0,"","40111"))))</f>
        <v/>
      </c>
      <c r="D609">
        <f>IF(OR(Registro_Compras!$C$71="",Registro_Compras!$O$71=""),"",IF(Registro_Compras!$F$71="RHE","Retencion Renta 4ta Categoria por Pagar",IF(Registro_Compras!$F$71="NOTA DE CREDITO","Gastos de Servicios Prestados por Terceros","IGV - Cuenta Propia (Credito Fiscal)")))</f>
        <v/>
      </c>
      <c r="E609" s="20">
        <f>IF($C609="","",IF(Registro_Compras!$F$71="FACTURA",ROUND(Registro_Compras!$K$71*Registro_Compras!$N$71,2),""))</f>
        <v/>
      </c>
      <c r="F609" s="20">
        <f>IF($C609="","",IF(Registro_Compras!$F$71="RHE",ROUND(Registro_Compras!$V$71*Registro_Compras!$N$71,2),IF(Registro_Compras!$F$71="NOTA DE CREDITO",ROUND(ABS(Registro_Compras!$J$71*Registro_Compras!$N$71),2),"")))</f>
        <v/>
      </c>
      <c r="G609">
        <f>IF($C609="","",IF(Registro_Compras!$F$71="NOTA DE CREDITO","Por la nota de credito "&amp;Registro_Compras!$C$71&amp;" de "&amp;Registro_Compras!$E$71&amp;" [PATRON POR CONFIRMAR CON CONTADOR]",IF(Registro_Compras!$F$71="RHE","Por el registro del recibo por honorarios "&amp;Registro_Compras!$C$71&amp;" de "&amp;Registro_Compras!$E$71&amp;" [PATRON POR CONFIRMAR CON CONTADOR]","Por el registro de la factura "&amp;Registro_Compras!$C$71&amp;" de "&amp;Registro_Compras!$E$71)))</f>
        <v/>
      </c>
      <c r="H609">
        <f>IF($C609="","",Registro_Compras!$C$71)</f>
        <v/>
      </c>
    </row>
    <row r="610">
      <c r="A610" s="25">
        <f>IF($C610="","",Registro_Compras!$B$71)</f>
        <v/>
      </c>
      <c r="B610">
        <f>IF($C610="","","C"&amp;TEXT(INT((ROW()-5)/9)+1,"000")&amp;"-1")</f>
        <v/>
      </c>
      <c r="C610">
        <f>IF(OR(Registro_Compras!$C$71="",Registro_Compras!$O$71=""),"",IF(Registro_Compras!$F$71="NOTA DE CREDITO",IF(Registro_Compras!$K$71=0,"","40111"),"4212"))</f>
        <v/>
      </c>
      <c r="D610">
        <f>IF(OR(Registro_Compras!$C$71="",Registro_Compras!$O$71=""),"",IF(Registro_Compras!$F$71="NOTA DE CREDITO","IGV - Cuenta Propia (Credito Fiscal)","Cuentas por Pagar Comerciales - Terceros (Emitidas)"))</f>
        <v/>
      </c>
      <c r="E610" s="20">
        <f>""</f>
        <v/>
      </c>
      <c r="F610" s="20">
        <f>IF($C610="","",IF(Registro_Compras!$F$71="NOTA DE CREDITO",ROUND(ABS(Registro_Compras!$K$71*Registro_Compras!$N$71),2),IF(Registro_Compras!$F$71="RHE",(ROUND(Registro_Compras!$L$71*Registro_Compras!$N$71,2)-ROUND(Registro_Compras!$V$71*Registro_Compras!$N$71,2)),Registro_Compras!$O$71)))</f>
        <v/>
      </c>
      <c r="G610">
        <f>IF($C610="","",IF(Registro_Compras!$F$71="NOTA DE CREDITO","Por la nota de credito "&amp;Registro_Compras!$C$71&amp;" de "&amp;Registro_Compras!$E$71&amp;" [PATRON POR CONFIRMAR CON CONTADOR]",IF(Registro_Compras!$F$71="RHE","Por el registro del recibo por honorarios "&amp;Registro_Compras!$C$71&amp;" de "&amp;Registro_Compras!$E$71&amp;" [PATRON POR CONFIRMAR CON CONTADOR]","Por el registro de la factura "&amp;Registro_Compras!$C$71&amp;" de "&amp;Registro_Compras!$E$71)))</f>
        <v/>
      </c>
      <c r="H610">
        <f>IF($C610="","",Registro_Compras!$C$71)</f>
        <v/>
      </c>
    </row>
    <row r="611">
      <c r="A611" s="25">
        <f>IF($C611="","",Registro_Compras!$B$71)</f>
        <v/>
      </c>
      <c r="B611">
        <f>IF($C611="","","C"&amp;TEXT(INT((ROW()-5)/9)+1,"000")&amp;"-2")</f>
        <v/>
      </c>
      <c r="C611">
        <f>IF(OR(Registro_Compras!$C$71="",Registro_Compras!$O$71=""),"",IF(Registro_Compras!$AB$71="ADMINISTRATIVO","94","95"))</f>
        <v/>
      </c>
      <c r="D611">
        <f>IF(OR(Registro_Compras!$C$71="",Registro_Compras!$O$71=""),"",IF(Registro_Compras!$AB$71="ADMINISTRATIVO","Gastos Administrativos","Gastos de Venta y Operacion"))</f>
        <v/>
      </c>
      <c r="E611" s="20">
        <f>IF($C611="","",IF(Registro_Compras!$F$71="NOTA DE CREDITO","",IF(Registro_Compras!$F$71="RHE",ROUND(Registro_Compras!$L$71*Registro_Compras!$N$71,2),ROUND(Registro_Compras!$J$71*Registro_Compras!$N$71,2))))</f>
        <v/>
      </c>
      <c r="F611" s="20">
        <f>IF($C611="","",IF(Registro_Compras!$F$71="NOTA DE CREDITO",ROUND(ABS(Registro_Compras!$J$71*Registro_Compras!$N$71),2),""))</f>
        <v/>
      </c>
      <c r="G611">
        <f>IF($C611="","","Por el destino del gasto")</f>
        <v/>
      </c>
      <c r="H611">
        <f>IF($C611="","",Registro_Compras!$C$71)</f>
        <v/>
      </c>
    </row>
    <row r="612">
      <c r="A612" s="25">
        <f>IF($C612="","",Registro_Compras!$B$71)</f>
        <v/>
      </c>
      <c r="B612">
        <f>IF($C612="","","C"&amp;TEXT(INT((ROW()-5)/9)+1,"000")&amp;"-2")</f>
        <v/>
      </c>
      <c r="C612">
        <f>IF(OR(Registro_Compras!$C$71="",Registro_Compras!$O$71=""),"","79/791")</f>
        <v/>
      </c>
      <c r="D612">
        <f>IF(OR(Registro_Compras!$C$71="",Registro_Compras!$O$71=""),"","Cargas Imputables a Cuentas de Costos y Gastos")</f>
        <v/>
      </c>
      <c r="E612" s="20">
        <f>IF($C612="","",IF(Registro_Compras!$F$71="NOTA DE CREDITO",ROUND(ABS(Registro_Compras!$J$71*Registro_Compras!$N$71),2),""))</f>
        <v/>
      </c>
      <c r="F612" s="20">
        <f>IF($C612="","",IF(Registro_Compras!$F$71="NOTA DE CREDITO","",IF(Registro_Compras!$F$71="RHE",ROUND(Registro_Compras!$L$71*Registro_Compras!$N$71,2),ROUND(Registro_Compras!$J$71*Registro_Compras!$N$71,2))))</f>
        <v/>
      </c>
      <c r="G612">
        <f>IF($C612="","","Por el destino del gasto")</f>
        <v/>
      </c>
      <c r="H612">
        <f>IF($C612="","",Registro_Compras!$C$71)</f>
        <v/>
      </c>
    </row>
    <row r="613">
      <c r="A613" s="25">
        <f>IF($C613="","",Registro_Compras!$X$71)</f>
        <v/>
      </c>
      <c r="B613">
        <f>IF($C613="","","C"&amp;TEXT(INT((ROW()-5)/9)+1,"000")&amp;"-3")</f>
        <v/>
      </c>
      <c r="C613">
        <f>IF(OR(Registro_Compras!$C$71="",Registro_Compras!$O$71="",Registro_Compras!$R$71&lt;&gt;"SI",Registro_Compras!$X$71=""),"","4212")</f>
        <v/>
      </c>
      <c r="D613">
        <f>IF(OR(Registro_Compras!$C$71="",Registro_Compras!$O$71=""),"","Cuentas por Pagar Comerciales - Terceros")</f>
        <v/>
      </c>
      <c r="E613" s="20">
        <f>IF($C613="","",Registro_Compras!$S$71)</f>
        <v/>
      </c>
      <c r="F613" s="20">
        <f>""</f>
        <v/>
      </c>
      <c r="G613">
        <f>IF($C613="","","Por el deposito de la detraccion en el Banco de la Nacion")</f>
        <v/>
      </c>
      <c r="H613">
        <f>IF($C613="","",Registro_Compras!$C$71)</f>
        <v/>
      </c>
    </row>
    <row r="614">
      <c r="A614" s="25">
        <f>IF($C614="","",Registro_Compras!$X$71)</f>
        <v/>
      </c>
      <c r="B614">
        <f>IF($C614="","","C"&amp;TEXT(INT((ROW()-5)/9)+1,"000")&amp;"-3")</f>
        <v/>
      </c>
      <c r="C614">
        <f>IF(OR(Registro_Compras!$C$71="",Registro_Compras!$O$71="",Registro_Compras!$R$71&lt;&gt;"SI",Registro_Compras!$X$71=""),"","10413")</f>
        <v/>
      </c>
      <c r="D614">
        <f>IF(OR(Registro_Compras!$C$71="",Registro_Compras!$O$71=""),"","Efectivo y Equivalentes - Cta. Cte. Operativa")</f>
        <v/>
      </c>
      <c r="E614" s="20">
        <f>""</f>
        <v/>
      </c>
      <c r="F614" s="20">
        <f>IF($C614="","",Registro_Compras!$S$71)</f>
        <v/>
      </c>
      <c r="G614">
        <f>IF($C614="","","Por el deposito de la detraccion en el Banco de la Nacion")</f>
        <v/>
      </c>
      <c r="H614">
        <f>IF($C614="","",Registro_Compras!$C$71)</f>
        <v/>
      </c>
    </row>
    <row r="615">
      <c r="A615" s="25">
        <f>IF($C615="","",Registro_Compras!$Y$71)</f>
        <v/>
      </c>
      <c r="B615">
        <f>IF($C615="","","C"&amp;TEXT(INT((ROW()-5)/9)+1,"000")&amp;"-4")</f>
        <v/>
      </c>
      <c r="C615">
        <f>IF(OR(Registro_Compras!$C$71="",Registro_Compras!$O$71="",Registro_Compras!$Y$71="",Registro_Compras!$F$71="NOTA DE CREDITO"),"","4212")</f>
        <v/>
      </c>
      <c r="D615">
        <f>IF(OR(Registro_Compras!$C$71="",Registro_Compras!$O$71=""),"","Cuentas por Pagar Comerciales - Terceros")</f>
        <v/>
      </c>
      <c r="E615" s="20">
        <f>IF($C615="","",IF(Registro_Compras!$F$71="RHE",(ROUND(Registro_Compras!$L$71*Registro_Compras!$N$71,2)-ROUND(Registro_Compras!$V$71*Registro_Compras!$N$71,2)),ROUND(Registro_Compras!$O$71-Registro_Compras!$S$71,2)))</f>
        <v/>
      </c>
      <c r="F615" s="20">
        <f>""</f>
        <v/>
      </c>
      <c r="G615">
        <f>IF($C615="","","Por la cancelacion del saldo al proveedor")</f>
        <v/>
      </c>
      <c r="H615">
        <f>IF($C615="","",Registro_Compras!$C$71)</f>
        <v/>
      </c>
    </row>
    <row r="616">
      <c r="A616" s="25">
        <f>IF($C616="","",Registro_Compras!$Y$71)</f>
        <v/>
      </c>
      <c r="B616">
        <f>IF($C616="","","C"&amp;TEXT(INT((ROW()-5)/9)+1,"000")&amp;"-4")</f>
        <v/>
      </c>
      <c r="C616">
        <f>IF(OR(Registro_Compras!$C$71="",Registro_Compras!$O$71="",Registro_Compras!$Y$71="",Registro_Compras!$F$71="NOTA DE CREDITO"),"","10413")</f>
        <v/>
      </c>
      <c r="D616">
        <f>IF(OR(Registro_Compras!$C$71="",Registro_Compras!$O$71=""),"","Efectivo y Equivalentes - Cta. Cte. Operativa")</f>
        <v/>
      </c>
      <c r="E616" s="20">
        <f>""</f>
        <v/>
      </c>
      <c r="F616" s="20">
        <f>IF($C616="","",IF(Registro_Compras!$F$71="RHE",(ROUND(Registro_Compras!$L$71*Registro_Compras!$N$71,2)-ROUND(Registro_Compras!$V$71*Registro_Compras!$N$71,2)),ROUND(Registro_Compras!$O$71-Registro_Compras!$S$71,2)))</f>
        <v/>
      </c>
      <c r="G616">
        <f>IF($C616="","","Por la cancelacion del saldo al proveedor")</f>
        <v/>
      </c>
      <c r="H616">
        <f>IF($C616="","",Registro_Compras!$C$71)</f>
        <v/>
      </c>
    </row>
    <row r="617">
      <c r="A617" s="25">
        <f>IF($C617="","",Registro_Compras!$B$72)</f>
        <v/>
      </c>
      <c r="B617">
        <f>IF($C617="","","C"&amp;TEXT(INT((ROW()-5)/9)+1,"000")&amp;"-1")</f>
        <v/>
      </c>
      <c r="C617">
        <f>IF(OR(Registro_Compras!$C$72="",Registro_Compras!$O$72=""),"",IF(Registro_Compras!$F$72="NOTA DE CREDITO","4212",IF(Registro_Compras!$M$72="","63",Registro_Compras!$M$72)))</f>
        <v/>
      </c>
      <c r="D617">
        <f>IF(OR(Registro_Compras!$C$72="",Registro_Compras!$O$72=""),"",IF(Registro_Compras!$F$72="NOTA DE CREDITO","Cuentas por Pagar Comerciales - Terceros (Emitidas)",IF(Registro_Compras!$F$72="RHE","Honorarios Profesionales - Servicios de Terceros","Gastos de Servicios Prestados por Terceros")))</f>
        <v/>
      </c>
      <c r="E617" s="20">
        <f>IF($C617="","",IF(Registro_Compras!$F$72="NOTA DE CREDITO",ABS(Registro_Compras!$O$72),IF(Registro_Compras!$F$72="RHE",ROUND(Registro_Compras!$L$72*Registro_Compras!$N$72,2),ROUND(Registro_Compras!$J$72*Registro_Compras!$N$72,2))))</f>
        <v/>
      </c>
      <c r="F617" s="20">
        <f>""</f>
        <v/>
      </c>
      <c r="G617">
        <f>IF($C617="","",IF(Registro_Compras!$F$72="NOTA DE CREDITO","Por la nota de credito "&amp;Registro_Compras!$C$72&amp;" de "&amp;Registro_Compras!$E$72&amp;" [PATRON POR CONFIRMAR CON CONTADOR]",IF(Registro_Compras!$F$72="RHE","Por el registro del recibo por honorarios "&amp;Registro_Compras!$C$72&amp;" de "&amp;Registro_Compras!$E$72&amp;" [PATRON POR CONFIRMAR CON CONTADOR]","Por el registro de la factura "&amp;Registro_Compras!$C$72&amp;" de "&amp;Registro_Compras!$E$72)))</f>
        <v/>
      </c>
      <c r="H617">
        <f>IF($C617="","",Registro_Compras!$C$72)</f>
        <v/>
      </c>
    </row>
    <row r="618">
      <c r="A618" s="25">
        <f>IF($C618="","",Registro_Compras!$B$72)</f>
        <v/>
      </c>
      <c r="B618">
        <f>IF($C618="","","C"&amp;TEXT(INT((ROW()-5)/9)+1,"000")&amp;"-1")</f>
        <v/>
      </c>
      <c r="C618">
        <f>IF(OR(Registro_Compras!$C$72="",Registro_Compras!$O$72=""),"",IF(Registro_Compras!$F$72="RHE",IF(Registro_Compras!$V$72=0,"","40172"),IF(Registro_Compras!$F$72="NOTA DE CREDITO",IF(Registro_Compras!$M$72="","63",Registro_Compras!$M$72),IF(Registro_Compras!$K$72=0,"","40111"))))</f>
        <v/>
      </c>
      <c r="D618">
        <f>IF(OR(Registro_Compras!$C$72="",Registro_Compras!$O$72=""),"",IF(Registro_Compras!$F$72="RHE","Retencion Renta 4ta Categoria por Pagar",IF(Registro_Compras!$F$72="NOTA DE CREDITO","Gastos de Servicios Prestados por Terceros","IGV - Cuenta Propia (Credito Fiscal)")))</f>
        <v/>
      </c>
      <c r="E618" s="20">
        <f>IF($C618="","",IF(Registro_Compras!$F$72="FACTURA",ROUND(Registro_Compras!$K$72*Registro_Compras!$N$72,2),""))</f>
        <v/>
      </c>
      <c r="F618" s="20">
        <f>IF($C618="","",IF(Registro_Compras!$F$72="RHE",ROUND(Registro_Compras!$V$72*Registro_Compras!$N$72,2),IF(Registro_Compras!$F$72="NOTA DE CREDITO",ROUND(ABS(Registro_Compras!$J$72*Registro_Compras!$N$72),2),"")))</f>
        <v/>
      </c>
      <c r="G618">
        <f>IF($C618="","",IF(Registro_Compras!$F$72="NOTA DE CREDITO","Por la nota de credito "&amp;Registro_Compras!$C$72&amp;" de "&amp;Registro_Compras!$E$72&amp;" [PATRON POR CONFIRMAR CON CONTADOR]",IF(Registro_Compras!$F$72="RHE","Por el registro del recibo por honorarios "&amp;Registro_Compras!$C$72&amp;" de "&amp;Registro_Compras!$E$72&amp;" [PATRON POR CONFIRMAR CON CONTADOR]","Por el registro de la factura "&amp;Registro_Compras!$C$72&amp;" de "&amp;Registro_Compras!$E$72)))</f>
        <v/>
      </c>
      <c r="H618">
        <f>IF($C618="","",Registro_Compras!$C$72)</f>
        <v/>
      </c>
    </row>
    <row r="619">
      <c r="A619" s="25">
        <f>IF($C619="","",Registro_Compras!$B$72)</f>
        <v/>
      </c>
      <c r="B619">
        <f>IF($C619="","","C"&amp;TEXT(INT((ROW()-5)/9)+1,"000")&amp;"-1")</f>
        <v/>
      </c>
      <c r="C619">
        <f>IF(OR(Registro_Compras!$C$72="",Registro_Compras!$O$72=""),"",IF(Registro_Compras!$F$72="NOTA DE CREDITO",IF(Registro_Compras!$K$72=0,"","40111"),"4212"))</f>
        <v/>
      </c>
      <c r="D619">
        <f>IF(OR(Registro_Compras!$C$72="",Registro_Compras!$O$72=""),"",IF(Registro_Compras!$F$72="NOTA DE CREDITO","IGV - Cuenta Propia (Credito Fiscal)","Cuentas por Pagar Comerciales - Terceros (Emitidas)"))</f>
        <v/>
      </c>
      <c r="E619" s="20">
        <f>""</f>
        <v/>
      </c>
      <c r="F619" s="20">
        <f>IF($C619="","",IF(Registro_Compras!$F$72="NOTA DE CREDITO",ROUND(ABS(Registro_Compras!$K$72*Registro_Compras!$N$72),2),IF(Registro_Compras!$F$72="RHE",(ROUND(Registro_Compras!$L$72*Registro_Compras!$N$72,2)-ROUND(Registro_Compras!$V$72*Registro_Compras!$N$72,2)),Registro_Compras!$O$72)))</f>
        <v/>
      </c>
      <c r="G619">
        <f>IF($C619="","",IF(Registro_Compras!$F$72="NOTA DE CREDITO","Por la nota de credito "&amp;Registro_Compras!$C$72&amp;" de "&amp;Registro_Compras!$E$72&amp;" [PATRON POR CONFIRMAR CON CONTADOR]",IF(Registro_Compras!$F$72="RHE","Por el registro del recibo por honorarios "&amp;Registro_Compras!$C$72&amp;" de "&amp;Registro_Compras!$E$72&amp;" [PATRON POR CONFIRMAR CON CONTADOR]","Por el registro de la factura "&amp;Registro_Compras!$C$72&amp;" de "&amp;Registro_Compras!$E$72)))</f>
        <v/>
      </c>
      <c r="H619">
        <f>IF($C619="","",Registro_Compras!$C$72)</f>
        <v/>
      </c>
    </row>
    <row r="620">
      <c r="A620" s="25">
        <f>IF($C620="","",Registro_Compras!$B$72)</f>
        <v/>
      </c>
      <c r="B620">
        <f>IF($C620="","","C"&amp;TEXT(INT((ROW()-5)/9)+1,"000")&amp;"-2")</f>
        <v/>
      </c>
      <c r="C620">
        <f>IF(OR(Registro_Compras!$C$72="",Registro_Compras!$O$72=""),"",IF(Registro_Compras!$AB$72="ADMINISTRATIVO","94","95"))</f>
        <v/>
      </c>
      <c r="D620">
        <f>IF(OR(Registro_Compras!$C$72="",Registro_Compras!$O$72=""),"",IF(Registro_Compras!$AB$72="ADMINISTRATIVO","Gastos Administrativos","Gastos de Venta y Operacion"))</f>
        <v/>
      </c>
      <c r="E620" s="20">
        <f>IF($C620="","",IF(Registro_Compras!$F$72="NOTA DE CREDITO","",IF(Registro_Compras!$F$72="RHE",ROUND(Registro_Compras!$L$72*Registro_Compras!$N$72,2),ROUND(Registro_Compras!$J$72*Registro_Compras!$N$72,2))))</f>
        <v/>
      </c>
      <c r="F620" s="20">
        <f>IF($C620="","",IF(Registro_Compras!$F$72="NOTA DE CREDITO",ROUND(ABS(Registro_Compras!$J$72*Registro_Compras!$N$72),2),""))</f>
        <v/>
      </c>
      <c r="G620">
        <f>IF($C620="","","Por el destino del gasto")</f>
        <v/>
      </c>
      <c r="H620">
        <f>IF($C620="","",Registro_Compras!$C$72)</f>
        <v/>
      </c>
    </row>
    <row r="621">
      <c r="A621" s="25">
        <f>IF($C621="","",Registro_Compras!$B$72)</f>
        <v/>
      </c>
      <c r="B621">
        <f>IF($C621="","","C"&amp;TEXT(INT((ROW()-5)/9)+1,"000")&amp;"-2")</f>
        <v/>
      </c>
      <c r="C621">
        <f>IF(OR(Registro_Compras!$C$72="",Registro_Compras!$O$72=""),"","79/791")</f>
        <v/>
      </c>
      <c r="D621">
        <f>IF(OR(Registro_Compras!$C$72="",Registro_Compras!$O$72=""),"","Cargas Imputables a Cuentas de Costos y Gastos")</f>
        <v/>
      </c>
      <c r="E621" s="20">
        <f>IF($C621="","",IF(Registro_Compras!$F$72="NOTA DE CREDITO",ROUND(ABS(Registro_Compras!$J$72*Registro_Compras!$N$72),2),""))</f>
        <v/>
      </c>
      <c r="F621" s="20">
        <f>IF($C621="","",IF(Registro_Compras!$F$72="NOTA DE CREDITO","",IF(Registro_Compras!$F$72="RHE",ROUND(Registro_Compras!$L$72*Registro_Compras!$N$72,2),ROUND(Registro_Compras!$J$72*Registro_Compras!$N$72,2))))</f>
        <v/>
      </c>
      <c r="G621">
        <f>IF($C621="","","Por el destino del gasto")</f>
        <v/>
      </c>
      <c r="H621">
        <f>IF($C621="","",Registro_Compras!$C$72)</f>
        <v/>
      </c>
    </row>
    <row r="622">
      <c r="A622" s="25">
        <f>IF($C622="","",Registro_Compras!$X$72)</f>
        <v/>
      </c>
      <c r="B622">
        <f>IF($C622="","","C"&amp;TEXT(INT((ROW()-5)/9)+1,"000")&amp;"-3")</f>
        <v/>
      </c>
      <c r="C622">
        <f>IF(OR(Registro_Compras!$C$72="",Registro_Compras!$O$72="",Registro_Compras!$R$72&lt;&gt;"SI",Registro_Compras!$X$72=""),"","4212")</f>
        <v/>
      </c>
      <c r="D622">
        <f>IF(OR(Registro_Compras!$C$72="",Registro_Compras!$O$72=""),"","Cuentas por Pagar Comerciales - Terceros")</f>
        <v/>
      </c>
      <c r="E622" s="20">
        <f>IF($C622="","",Registro_Compras!$S$72)</f>
        <v/>
      </c>
      <c r="F622" s="20">
        <f>""</f>
        <v/>
      </c>
      <c r="G622">
        <f>IF($C622="","","Por el deposito de la detraccion en el Banco de la Nacion")</f>
        <v/>
      </c>
      <c r="H622">
        <f>IF($C622="","",Registro_Compras!$C$72)</f>
        <v/>
      </c>
    </row>
    <row r="623">
      <c r="A623" s="25">
        <f>IF($C623="","",Registro_Compras!$X$72)</f>
        <v/>
      </c>
      <c r="B623">
        <f>IF($C623="","","C"&amp;TEXT(INT((ROW()-5)/9)+1,"000")&amp;"-3")</f>
        <v/>
      </c>
      <c r="C623">
        <f>IF(OR(Registro_Compras!$C$72="",Registro_Compras!$O$72="",Registro_Compras!$R$72&lt;&gt;"SI",Registro_Compras!$X$72=""),"","10413")</f>
        <v/>
      </c>
      <c r="D623">
        <f>IF(OR(Registro_Compras!$C$72="",Registro_Compras!$O$72=""),"","Efectivo y Equivalentes - Cta. Cte. Operativa")</f>
        <v/>
      </c>
      <c r="E623" s="20">
        <f>""</f>
        <v/>
      </c>
      <c r="F623" s="20">
        <f>IF($C623="","",Registro_Compras!$S$72)</f>
        <v/>
      </c>
      <c r="G623">
        <f>IF($C623="","","Por el deposito de la detraccion en el Banco de la Nacion")</f>
        <v/>
      </c>
      <c r="H623">
        <f>IF($C623="","",Registro_Compras!$C$72)</f>
        <v/>
      </c>
    </row>
    <row r="624">
      <c r="A624" s="25">
        <f>IF($C624="","",Registro_Compras!$Y$72)</f>
        <v/>
      </c>
      <c r="B624">
        <f>IF($C624="","","C"&amp;TEXT(INT((ROW()-5)/9)+1,"000")&amp;"-4")</f>
        <v/>
      </c>
      <c r="C624">
        <f>IF(OR(Registro_Compras!$C$72="",Registro_Compras!$O$72="",Registro_Compras!$Y$72="",Registro_Compras!$F$72="NOTA DE CREDITO"),"","4212")</f>
        <v/>
      </c>
      <c r="D624">
        <f>IF(OR(Registro_Compras!$C$72="",Registro_Compras!$O$72=""),"","Cuentas por Pagar Comerciales - Terceros")</f>
        <v/>
      </c>
      <c r="E624" s="20">
        <f>IF($C624="","",IF(Registro_Compras!$F$72="RHE",(ROUND(Registro_Compras!$L$72*Registro_Compras!$N$72,2)-ROUND(Registro_Compras!$V$72*Registro_Compras!$N$72,2)),ROUND(Registro_Compras!$O$72-Registro_Compras!$S$72,2)))</f>
        <v/>
      </c>
      <c r="F624" s="20">
        <f>""</f>
        <v/>
      </c>
      <c r="G624">
        <f>IF($C624="","","Por la cancelacion del saldo al proveedor")</f>
        <v/>
      </c>
      <c r="H624">
        <f>IF($C624="","",Registro_Compras!$C$72)</f>
        <v/>
      </c>
    </row>
    <row r="625">
      <c r="A625" s="25">
        <f>IF($C625="","",Registro_Compras!$Y$72)</f>
        <v/>
      </c>
      <c r="B625">
        <f>IF($C625="","","C"&amp;TEXT(INT((ROW()-5)/9)+1,"000")&amp;"-4")</f>
        <v/>
      </c>
      <c r="C625">
        <f>IF(OR(Registro_Compras!$C$72="",Registro_Compras!$O$72="",Registro_Compras!$Y$72="",Registro_Compras!$F$72="NOTA DE CREDITO"),"","10413")</f>
        <v/>
      </c>
      <c r="D625">
        <f>IF(OR(Registro_Compras!$C$72="",Registro_Compras!$O$72=""),"","Efectivo y Equivalentes - Cta. Cte. Operativa")</f>
        <v/>
      </c>
      <c r="E625" s="20">
        <f>""</f>
        <v/>
      </c>
      <c r="F625" s="20">
        <f>IF($C625="","",IF(Registro_Compras!$F$72="RHE",(ROUND(Registro_Compras!$L$72*Registro_Compras!$N$72,2)-ROUND(Registro_Compras!$V$72*Registro_Compras!$N$72,2)),ROUND(Registro_Compras!$O$72-Registro_Compras!$S$72,2)))</f>
        <v/>
      </c>
      <c r="G625">
        <f>IF($C625="","","Por la cancelacion del saldo al proveedor")</f>
        <v/>
      </c>
      <c r="H625">
        <f>IF($C625="","",Registro_Compras!$C$72)</f>
        <v/>
      </c>
    </row>
    <row r="626">
      <c r="A626" s="25">
        <f>IF($C626="","",Registro_Compras!$B$73)</f>
        <v/>
      </c>
      <c r="B626">
        <f>IF($C626="","","C"&amp;TEXT(INT((ROW()-5)/9)+1,"000")&amp;"-1")</f>
        <v/>
      </c>
      <c r="C626">
        <f>IF(OR(Registro_Compras!$C$73="",Registro_Compras!$O$73=""),"",IF(Registro_Compras!$F$73="NOTA DE CREDITO","4212",IF(Registro_Compras!$M$73="","63",Registro_Compras!$M$73)))</f>
        <v/>
      </c>
      <c r="D626">
        <f>IF(OR(Registro_Compras!$C$73="",Registro_Compras!$O$73=""),"",IF(Registro_Compras!$F$73="NOTA DE CREDITO","Cuentas por Pagar Comerciales - Terceros (Emitidas)",IF(Registro_Compras!$F$73="RHE","Honorarios Profesionales - Servicios de Terceros","Gastos de Servicios Prestados por Terceros")))</f>
        <v/>
      </c>
      <c r="E626" s="20">
        <f>IF($C626="","",IF(Registro_Compras!$F$73="NOTA DE CREDITO",ABS(Registro_Compras!$O$73),IF(Registro_Compras!$F$73="RHE",ROUND(Registro_Compras!$L$73*Registro_Compras!$N$73,2),ROUND(Registro_Compras!$J$73*Registro_Compras!$N$73,2))))</f>
        <v/>
      </c>
      <c r="F626" s="20">
        <f>""</f>
        <v/>
      </c>
      <c r="G626">
        <f>IF($C626="","",IF(Registro_Compras!$F$73="NOTA DE CREDITO","Por la nota de credito "&amp;Registro_Compras!$C$73&amp;" de "&amp;Registro_Compras!$E$73&amp;" [PATRON POR CONFIRMAR CON CONTADOR]",IF(Registro_Compras!$F$73="RHE","Por el registro del recibo por honorarios "&amp;Registro_Compras!$C$73&amp;" de "&amp;Registro_Compras!$E$73&amp;" [PATRON POR CONFIRMAR CON CONTADOR]","Por el registro de la factura "&amp;Registro_Compras!$C$73&amp;" de "&amp;Registro_Compras!$E$73)))</f>
        <v/>
      </c>
      <c r="H626">
        <f>IF($C626="","",Registro_Compras!$C$73)</f>
        <v/>
      </c>
    </row>
    <row r="627">
      <c r="A627" s="25">
        <f>IF($C627="","",Registro_Compras!$B$73)</f>
        <v/>
      </c>
      <c r="B627">
        <f>IF($C627="","","C"&amp;TEXT(INT((ROW()-5)/9)+1,"000")&amp;"-1")</f>
        <v/>
      </c>
      <c r="C627">
        <f>IF(OR(Registro_Compras!$C$73="",Registro_Compras!$O$73=""),"",IF(Registro_Compras!$F$73="RHE",IF(Registro_Compras!$V$73=0,"","40172"),IF(Registro_Compras!$F$73="NOTA DE CREDITO",IF(Registro_Compras!$M$73="","63",Registro_Compras!$M$73),IF(Registro_Compras!$K$73=0,"","40111"))))</f>
        <v/>
      </c>
      <c r="D627">
        <f>IF(OR(Registro_Compras!$C$73="",Registro_Compras!$O$73=""),"",IF(Registro_Compras!$F$73="RHE","Retencion Renta 4ta Categoria por Pagar",IF(Registro_Compras!$F$73="NOTA DE CREDITO","Gastos de Servicios Prestados por Terceros","IGV - Cuenta Propia (Credito Fiscal)")))</f>
        <v/>
      </c>
      <c r="E627" s="20">
        <f>IF($C627="","",IF(Registro_Compras!$F$73="FACTURA",ROUND(Registro_Compras!$K$73*Registro_Compras!$N$73,2),""))</f>
        <v/>
      </c>
      <c r="F627" s="20">
        <f>IF($C627="","",IF(Registro_Compras!$F$73="RHE",ROUND(Registro_Compras!$V$73*Registro_Compras!$N$73,2),IF(Registro_Compras!$F$73="NOTA DE CREDITO",ROUND(ABS(Registro_Compras!$J$73*Registro_Compras!$N$73),2),"")))</f>
        <v/>
      </c>
      <c r="G627">
        <f>IF($C627="","",IF(Registro_Compras!$F$73="NOTA DE CREDITO","Por la nota de credito "&amp;Registro_Compras!$C$73&amp;" de "&amp;Registro_Compras!$E$73&amp;" [PATRON POR CONFIRMAR CON CONTADOR]",IF(Registro_Compras!$F$73="RHE","Por el registro del recibo por honorarios "&amp;Registro_Compras!$C$73&amp;" de "&amp;Registro_Compras!$E$73&amp;" [PATRON POR CONFIRMAR CON CONTADOR]","Por el registro de la factura "&amp;Registro_Compras!$C$73&amp;" de "&amp;Registro_Compras!$E$73)))</f>
        <v/>
      </c>
      <c r="H627">
        <f>IF($C627="","",Registro_Compras!$C$73)</f>
        <v/>
      </c>
    </row>
    <row r="628">
      <c r="A628" s="25">
        <f>IF($C628="","",Registro_Compras!$B$73)</f>
        <v/>
      </c>
      <c r="B628">
        <f>IF($C628="","","C"&amp;TEXT(INT((ROW()-5)/9)+1,"000")&amp;"-1")</f>
        <v/>
      </c>
      <c r="C628">
        <f>IF(OR(Registro_Compras!$C$73="",Registro_Compras!$O$73=""),"",IF(Registro_Compras!$F$73="NOTA DE CREDITO",IF(Registro_Compras!$K$73=0,"","40111"),"4212"))</f>
        <v/>
      </c>
      <c r="D628">
        <f>IF(OR(Registro_Compras!$C$73="",Registro_Compras!$O$73=""),"",IF(Registro_Compras!$F$73="NOTA DE CREDITO","IGV - Cuenta Propia (Credito Fiscal)","Cuentas por Pagar Comerciales - Terceros (Emitidas)"))</f>
        <v/>
      </c>
      <c r="E628" s="20">
        <f>""</f>
        <v/>
      </c>
      <c r="F628" s="20">
        <f>IF($C628="","",IF(Registro_Compras!$F$73="NOTA DE CREDITO",ROUND(ABS(Registro_Compras!$K$73*Registro_Compras!$N$73),2),IF(Registro_Compras!$F$73="RHE",(ROUND(Registro_Compras!$L$73*Registro_Compras!$N$73,2)-ROUND(Registro_Compras!$V$73*Registro_Compras!$N$73,2)),Registro_Compras!$O$73)))</f>
        <v/>
      </c>
      <c r="G628">
        <f>IF($C628="","",IF(Registro_Compras!$F$73="NOTA DE CREDITO","Por la nota de credito "&amp;Registro_Compras!$C$73&amp;" de "&amp;Registro_Compras!$E$73&amp;" [PATRON POR CONFIRMAR CON CONTADOR]",IF(Registro_Compras!$F$73="RHE","Por el registro del recibo por honorarios "&amp;Registro_Compras!$C$73&amp;" de "&amp;Registro_Compras!$E$73&amp;" [PATRON POR CONFIRMAR CON CONTADOR]","Por el registro de la factura "&amp;Registro_Compras!$C$73&amp;" de "&amp;Registro_Compras!$E$73)))</f>
        <v/>
      </c>
      <c r="H628">
        <f>IF($C628="","",Registro_Compras!$C$73)</f>
        <v/>
      </c>
    </row>
    <row r="629">
      <c r="A629" s="25">
        <f>IF($C629="","",Registro_Compras!$B$73)</f>
        <v/>
      </c>
      <c r="B629">
        <f>IF($C629="","","C"&amp;TEXT(INT((ROW()-5)/9)+1,"000")&amp;"-2")</f>
        <v/>
      </c>
      <c r="C629">
        <f>IF(OR(Registro_Compras!$C$73="",Registro_Compras!$O$73=""),"",IF(Registro_Compras!$AB$73="ADMINISTRATIVO","94","95"))</f>
        <v/>
      </c>
      <c r="D629">
        <f>IF(OR(Registro_Compras!$C$73="",Registro_Compras!$O$73=""),"",IF(Registro_Compras!$AB$73="ADMINISTRATIVO","Gastos Administrativos","Gastos de Venta y Operacion"))</f>
        <v/>
      </c>
      <c r="E629" s="20">
        <f>IF($C629="","",IF(Registro_Compras!$F$73="NOTA DE CREDITO","",IF(Registro_Compras!$F$73="RHE",ROUND(Registro_Compras!$L$73*Registro_Compras!$N$73,2),ROUND(Registro_Compras!$J$73*Registro_Compras!$N$73,2))))</f>
        <v/>
      </c>
      <c r="F629" s="20">
        <f>IF($C629="","",IF(Registro_Compras!$F$73="NOTA DE CREDITO",ROUND(ABS(Registro_Compras!$J$73*Registro_Compras!$N$73),2),""))</f>
        <v/>
      </c>
      <c r="G629">
        <f>IF($C629="","","Por el destino del gasto")</f>
        <v/>
      </c>
      <c r="H629">
        <f>IF($C629="","",Registro_Compras!$C$73)</f>
        <v/>
      </c>
    </row>
    <row r="630">
      <c r="A630" s="25">
        <f>IF($C630="","",Registro_Compras!$B$73)</f>
        <v/>
      </c>
      <c r="B630">
        <f>IF($C630="","","C"&amp;TEXT(INT((ROW()-5)/9)+1,"000")&amp;"-2")</f>
        <v/>
      </c>
      <c r="C630">
        <f>IF(OR(Registro_Compras!$C$73="",Registro_Compras!$O$73=""),"","79/791")</f>
        <v/>
      </c>
      <c r="D630">
        <f>IF(OR(Registro_Compras!$C$73="",Registro_Compras!$O$73=""),"","Cargas Imputables a Cuentas de Costos y Gastos")</f>
        <v/>
      </c>
      <c r="E630" s="20">
        <f>IF($C630="","",IF(Registro_Compras!$F$73="NOTA DE CREDITO",ROUND(ABS(Registro_Compras!$J$73*Registro_Compras!$N$73),2),""))</f>
        <v/>
      </c>
      <c r="F630" s="20">
        <f>IF($C630="","",IF(Registro_Compras!$F$73="NOTA DE CREDITO","",IF(Registro_Compras!$F$73="RHE",ROUND(Registro_Compras!$L$73*Registro_Compras!$N$73,2),ROUND(Registro_Compras!$J$73*Registro_Compras!$N$73,2))))</f>
        <v/>
      </c>
      <c r="G630">
        <f>IF($C630="","","Por el destino del gasto")</f>
        <v/>
      </c>
      <c r="H630">
        <f>IF($C630="","",Registro_Compras!$C$73)</f>
        <v/>
      </c>
    </row>
    <row r="631">
      <c r="A631" s="25">
        <f>IF($C631="","",Registro_Compras!$X$73)</f>
        <v/>
      </c>
      <c r="B631">
        <f>IF($C631="","","C"&amp;TEXT(INT((ROW()-5)/9)+1,"000")&amp;"-3")</f>
        <v/>
      </c>
      <c r="C631">
        <f>IF(OR(Registro_Compras!$C$73="",Registro_Compras!$O$73="",Registro_Compras!$R$73&lt;&gt;"SI",Registro_Compras!$X$73=""),"","4212")</f>
        <v/>
      </c>
      <c r="D631">
        <f>IF(OR(Registro_Compras!$C$73="",Registro_Compras!$O$73=""),"","Cuentas por Pagar Comerciales - Terceros")</f>
        <v/>
      </c>
      <c r="E631" s="20">
        <f>IF($C631="","",Registro_Compras!$S$73)</f>
        <v/>
      </c>
      <c r="F631" s="20">
        <f>""</f>
        <v/>
      </c>
      <c r="G631">
        <f>IF($C631="","","Por el deposito de la detraccion en el Banco de la Nacion")</f>
        <v/>
      </c>
      <c r="H631">
        <f>IF($C631="","",Registro_Compras!$C$73)</f>
        <v/>
      </c>
    </row>
    <row r="632">
      <c r="A632" s="25">
        <f>IF($C632="","",Registro_Compras!$X$73)</f>
        <v/>
      </c>
      <c r="B632">
        <f>IF($C632="","","C"&amp;TEXT(INT((ROW()-5)/9)+1,"000")&amp;"-3")</f>
        <v/>
      </c>
      <c r="C632">
        <f>IF(OR(Registro_Compras!$C$73="",Registro_Compras!$O$73="",Registro_Compras!$R$73&lt;&gt;"SI",Registro_Compras!$X$73=""),"","10413")</f>
        <v/>
      </c>
      <c r="D632">
        <f>IF(OR(Registro_Compras!$C$73="",Registro_Compras!$O$73=""),"","Efectivo y Equivalentes - Cta. Cte. Operativa")</f>
        <v/>
      </c>
      <c r="E632" s="20">
        <f>""</f>
        <v/>
      </c>
      <c r="F632" s="20">
        <f>IF($C632="","",Registro_Compras!$S$73)</f>
        <v/>
      </c>
      <c r="G632">
        <f>IF($C632="","","Por el deposito de la detraccion en el Banco de la Nacion")</f>
        <v/>
      </c>
      <c r="H632">
        <f>IF($C632="","",Registro_Compras!$C$73)</f>
        <v/>
      </c>
    </row>
    <row r="633">
      <c r="A633" s="25">
        <f>IF($C633="","",Registro_Compras!$Y$73)</f>
        <v/>
      </c>
      <c r="B633">
        <f>IF($C633="","","C"&amp;TEXT(INT((ROW()-5)/9)+1,"000")&amp;"-4")</f>
        <v/>
      </c>
      <c r="C633">
        <f>IF(OR(Registro_Compras!$C$73="",Registro_Compras!$O$73="",Registro_Compras!$Y$73="",Registro_Compras!$F$73="NOTA DE CREDITO"),"","4212")</f>
        <v/>
      </c>
      <c r="D633">
        <f>IF(OR(Registro_Compras!$C$73="",Registro_Compras!$O$73=""),"","Cuentas por Pagar Comerciales - Terceros")</f>
        <v/>
      </c>
      <c r="E633" s="20">
        <f>IF($C633="","",IF(Registro_Compras!$F$73="RHE",(ROUND(Registro_Compras!$L$73*Registro_Compras!$N$73,2)-ROUND(Registro_Compras!$V$73*Registro_Compras!$N$73,2)),ROUND(Registro_Compras!$O$73-Registro_Compras!$S$73,2)))</f>
        <v/>
      </c>
      <c r="F633" s="20">
        <f>""</f>
        <v/>
      </c>
      <c r="G633">
        <f>IF($C633="","","Por la cancelacion del saldo al proveedor")</f>
        <v/>
      </c>
      <c r="H633">
        <f>IF($C633="","",Registro_Compras!$C$73)</f>
        <v/>
      </c>
    </row>
    <row r="634">
      <c r="A634" s="25">
        <f>IF($C634="","",Registro_Compras!$Y$73)</f>
        <v/>
      </c>
      <c r="B634">
        <f>IF($C634="","","C"&amp;TEXT(INT((ROW()-5)/9)+1,"000")&amp;"-4")</f>
        <v/>
      </c>
      <c r="C634">
        <f>IF(OR(Registro_Compras!$C$73="",Registro_Compras!$O$73="",Registro_Compras!$Y$73="",Registro_Compras!$F$73="NOTA DE CREDITO"),"","10413")</f>
        <v/>
      </c>
      <c r="D634">
        <f>IF(OR(Registro_Compras!$C$73="",Registro_Compras!$O$73=""),"","Efectivo y Equivalentes - Cta. Cte. Operativa")</f>
        <v/>
      </c>
      <c r="E634" s="20">
        <f>""</f>
        <v/>
      </c>
      <c r="F634" s="20">
        <f>IF($C634="","",IF(Registro_Compras!$F$73="RHE",(ROUND(Registro_Compras!$L$73*Registro_Compras!$N$73,2)-ROUND(Registro_Compras!$V$73*Registro_Compras!$N$73,2)),ROUND(Registro_Compras!$O$73-Registro_Compras!$S$73,2)))</f>
        <v/>
      </c>
      <c r="G634">
        <f>IF($C634="","","Por la cancelacion del saldo al proveedor")</f>
        <v/>
      </c>
      <c r="H634">
        <f>IF($C634="","",Registro_Compras!$C$73)</f>
        <v/>
      </c>
    </row>
    <row r="635">
      <c r="A635" s="25">
        <f>IF($C635="","",Registro_Compras!$B$74)</f>
        <v/>
      </c>
      <c r="B635">
        <f>IF($C635="","","C"&amp;TEXT(INT((ROW()-5)/9)+1,"000")&amp;"-1")</f>
        <v/>
      </c>
      <c r="C635">
        <f>IF(OR(Registro_Compras!$C$74="",Registro_Compras!$O$74=""),"",IF(Registro_Compras!$F$74="NOTA DE CREDITO","4212",IF(Registro_Compras!$M$74="","63",Registro_Compras!$M$74)))</f>
        <v/>
      </c>
      <c r="D635">
        <f>IF(OR(Registro_Compras!$C$74="",Registro_Compras!$O$74=""),"",IF(Registro_Compras!$F$74="NOTA DE CREDITO","Cuentas por Pagar Comerciales - Terceros (Emitidas)",IF(Registro_Compras!$F$74="RHE","Honorarios Profesionales - Servicios de Terceros","Gastos de Servicios Prestados por Terceros")))</f>
        <v/>
      </c>
      <c r="E635" s="20">
        <f>IF($C635="","",IF(Registro_Compras!$F$74="NOTA DE CREDITO",ABS(Registro_Compras!$O$74),IF(Registro_Compras!$F$74="RHE",ROUND(Registro_Compras!$L$74*Registro_Compras!$N$74,2),ROUND(Registro_Compras!$J$74*Registro_Compras!$N$74,2))))</f>
        <v/>
      </c>
      <c r="F635" s="20">
        <f>""</f>
        <v/>
      </c>
      <c r="G635">
        <f>IF($C635="","",IF(Registro_Compras!$F$74="NOTA DE CREDITO","Por la nota de credito "&amp;Registro_Compras!$C$74&amp;" de "&amp;Registro_Compras!$E$74&amp;" [PATRON POR CONFIRMAR CON CONTADOR]",IF(Registro_Compras!$F$74="RHE","Por el registro del recibo por honorarios "&amp;Registro_Compras!$C$74&amp;" de "&amp;Registro_Compras!$E$74&amp;" [PATRON POR CONFIRMAR CON CONTADOR]","Por el registro de la factura "&amp;Registro_Compras!$C$74&amp;" de "&amp;Registro_Compras!$E$74)))</f>
        <v/>
      </c>
      <c r="H635">
        <f>IF($C635="","",Registro_Compras!$C$74)</f>
        <v/>
      </c>
    </row>
    <row r="636">
      <c r="A636" s="25">
        <f>IF($C636="","",Registro_Compras!$B$74)</f>
        <v/>
      </c>
      <c r="B636">
        <f>IF($C636="","","C"&amp;TEXT(INT((ROW()-5)/9)+1,"000")&amp;"-1")</f>
        <v/>
      </c>
      <c r="C636">
        <f>IF(OR(Registro_Compras!$C$74="",Registro_Compras!$O$74=""),"",IF(Registro_Compras!$F$74="RHE",IF(Registro_Compras!$V$74=0,"","40172"),IF(Registro_Compras!$F$74="NOTA DE CREDITO",IF(Registro_Compras!$M$74="","63",Registro_Compras!$M$74),IF(Registro_Compras!$K$74=0,"","40111"))))</f>
        <v/>
      </c>
      <c r="D636">
        <f>IF(OR(Registro_Compras!$C$74="",Registro_Compras!$O$74=""),"",IF(Registro_Compras!$F$74="RHE","Retencion Renta 4ta Categoria por Pagar",IF(Registro_Compras!$F$74="NOTA DE CREDITO","Gastos de Servicios Prestados por Terceros","IGV - Cuenta Propia (Credito Fiscal)")))</f>
        <v/>
      </c>
      <c r="E636" s="20">
        <f>IF($C636="","",IF(Registro_Compras!$F$74="FACTURA",ROUND(Registro_Compras!$K$74*Registro_Compras!$N$74,2),""))</f>
        <v/>
      </c>
      <c r="F636" s="20">
        <f>IF($C636="","",IF(Registro_Compras!$F$74="RHE",ROUND(Registro_Compras!$V$74*Registro_Compras!$N$74,2),IF(Registro_Compras!$F$74="NOTA DE CREDITO",ROUND(ABS(Registro_Compras!$J$74*Registro_Compras!$N$74),2),"")))</f>
        <v/>
      </c>
      <c r="G636">
        <f>IF($C636="","",IF(Registro_Compras!$F$74="NOTA DE CREDITO","Por la nota de credito "&amp;Registro_Compras!$C$74&amp;" de "&amp;Registro_Compras!$E$74&amp;" [PATRON POR CONFIRMAR CON CONTADOR]",IF(Registro_Compras!$F$74="RHE","Por el registro del recibo por honorarios "&amp;Registro_Compras!$C$74&amp;" de "&amp;Registro_Compras!$E$74&amp;" [PATRON POR CONFIRMAR CON CONTADOR]","Por el registro de la factura "&amp;Registro_Compras!$C$74&amp;" de "&amp;Registro_Compras!$E$74)))</f>
        <v/>
      </c>
      <c r="H636">
        <f>IF($C636="","",Registro_Compras!$C$74)</f>
        <v/>
      </c>
    </row>
    <row r="637">
      <c r="A637" s="25">
        <f>IF($C637="","",Registro_Compras!$B$74)</f>
        <v/>
      </c>
      <c r="B637">
        <f>IF($C637="","","C"&amp;TEXT(INT((ROW()-5)/9)+1,"000")&amp;"-1")</f>
        <v/>
      </c>
      <c r="C637">
        <f>IF(OR(Registro_Compras!$C$74="",Registro_Compras!$O$74=""),"",IF(Registro_Compras!$F$74="NOTA DE CREDITO",IF(Registro_Compras!$K$74=0,"","40111"),"4212"))</f>
        <v/>
      </c>
      <c r="D637">
        <f>IF(OR(Registro_Compras!$C$74="",Registro_Compras!$O$74=""),"",IF(Registro_Compras!$F$74="NOTA DE CREDITO","IGV - Cuenta Propia (Credito Fiscal)","Cuentas por Pagar Comerciales - Terceros (Emitidas)"))</f>
        <v/>
      </c>
      <c r="E637" s="20">
        <f>""</f>
        <v/>
      </c>
      <c r="F637" s="20">
        <f>IF($C637="","",IF(Registro_Compras!$F$74="NOTA DE CREDITO",ROUND(ABS(Registro_Compras!$K$74*Registro_Compras!$N$74),2),IF(Registro_Compras!$F$74="RHE",(ROUND(Registro_Compras!$L$74*Registro_Compras!$N$74,2)-ROUND(Registro_Compras!$V$74*Registro_Compras!$N$74,2)),Registro_Compras!$O$74)))</f>
        <v/>
      </c>
      <c r="G637">
        <f>IF($C637="","",IF(Registro_Compras!$F$74="NOTA DE CREDITO","Por la nota de credito "&amp;Registro_Compras!$C$74&amp;" de "&amp;Registro_Compras!$E$74&amp;" [PATRON POR CONFIRMAR CON CONTADOR]",IF(Registro_Compras!$F$74="RHE","Por el registro del recibo por honorarios "&amp;Registro_Compras!$C$74&amp;" de "&amp;Registro_Compras!$E$74&amp;" [PATRON POR CONFIRMAR CON CONTADOR]","Por el registro de la factura "&amp;Registro_Compras!$C$74&amp;" de "&amp;Registro_Compras!$E$74)))</f>
        <v/>
      </c>
      <c r="H637">
        <f>IF($C637="","",Registro_Compras!$C$74)</f>
        <v/>
      </c>
    </row>
    <row r="638">
      <c r="A638" s="25">
        <f>IF($C638="","",Registro_Compras!$B$74)</f>
        <v/>
      </c>
      <c r="B638">
        <f>IF($C638="","","C"&amp;TEXT(INT((ROW()-5)/9)+1,"000")&amp;"-2")</f>
        <v/>
      </c>
      <c r="C638">
        <f>IF(OR(Registro_Compras!$C$74="",Registro_Compras!$O$74=""),"",IF(Registro_Compras!$AB$74="ADMINISTRATIVO","94","95"))</f>
        <v/>
      </c>
      <c r="D638">
        <f>IF(OR(Registro_Compras!$C$74="",Registro_Compras!$O$74=""),"",IF(Registro_Compras!$AB$74="ADMINISTRATIVO","Gastos Administrativos","Gastos de Venta y Operacion"))</f>
        <v/>
      </c>
      <c r="E638" s="20">
        <f>IF($C638="","",IF(Registro_Compras!$F$74="NOTA DE CREDITO","",IF(Registro_Compras!$F$74="RHE",ROUND(Registro_Compras!$L$74*Registro_Compras!$N$74,2),ROUND(Registro_Compras!$J$74*Registro_Compras!$N$74,2))))</f>
        <v/>
      </c>
      <c r="F638" s="20">
        <f>IF($C638="","",IF(Registro_Compras!$F$74="NOTA DE CREDITO",ROUND(ABS(Registro_Compras!$J$74*Registro_Compras!$N$74),2),""))</f>
        <v/>
      </c>
      <c r="G638">
        <f>IF($C638="","","Por el destino del gasto")</f>
        <v/>
      </c>
      <c r="H638">
        <f>IF($C638="","",Registro_Compras!$C$74)</f>
        <v/>
      </c>
    </row>
    <row r="639">
      <c r="A639" s="25">
        <f>IF($C639="","",Registro_Compras!$B$74)</f>
        <v/>
      </c>
      <c r="B639">
        <f>IF($C639="","","C"&amp;TEXT(INT((ROW()-5)/9)+1,"000")&amp;"-2")</f>
        <v/>
      </c>
      <c r="C639">
        <f>IF(OR(Registro_Compras!$C$74="",Registro_Compras!$O$74=""),"","79/791")</f>
        <v/>
      </c>
      <c r="D639">
        <f>IF(OR(Registro_Compras!$C$74="",Registro_Compras!$O$74=""),"","Cargas Imputables a Cuentas de Costos y Gastos")</f>
        <v/>
      </c>
      <c r="E639" s="20">
        <f>IF($C639="","",IF(Registro_Compras!$F$74="NOTA DE CREDITO",ROUND(ABS(Registro_Compras!$J$74*Registro_Compras!$N$74),2),""))</f>
        <v/>
      </c>
      <c r="F639" s="20">
        <f>IF($C639="","",IF(Registro_Compras!$F$74="NOTA DE CREDITO","",IF(Registro_Compras!$F$74="RHE",ROUND(Registro_Compras!$L$74*Registro_Compras!$N$74,2),ROUND(Registro_Compras!$J$74*Registro_Compras!$N$74,2))))</f>
        <v/>
      </c>
      <c r="G639">
        <f>IF($C639="","","Por el destino del gasto")</f>
        <v/>
      </c>
      <c r="H639">
        <f>IF($C639="","",Registro_Compras!$C$74)</f>
        <v/>
      </c>
    </row>
    <row r="640">
      <c r="A640" s="25">
        <f>IF($C640="","",Registro_Compras!$X$74)</f>
        <v/>
      </c>
      <c r="B640">
        <f>IF($C640="","","C"&amp;TEXT(INT((ROW()-5)/9)+1,"000")&amp;"-3")</f>
        <v/>
      </c>
      <c r="C640">
        <f>IF(OR(Registro_Compras!$C$74="",Registro_Compras!$O$74="",Registro_Compras!$R$74&lt;&gt;"SI",Registro_Compras!$X$74=""),"","4212")</f>
        <v/>
      </c>
      <c r="D640">
        <f>IF(OR(Registro_Compras!$C$74="",Registro_Compras!$O$74=""),"","Cuentas por Pagar Comerciales - Terceros")</f>
        <v/>
      </c>
      <c r="E640" s="20">
        <f>IF($C640="","",Registro_Compras!$S$74)</f>
        <v/>
      </c>
      <c r="F640" s="20">
        <f>""</f>
        <v/>
      </c>
      <c r="G640">
        <f>IF($C640="","","Por el deposito de la detraccion en el Banco de la Nacion")</f>
        <v/>
      </c>
      <c r="H640">
        <f>IF($C640="","",Registro_Compras!$C$74)</f>
        <v/>
      </c>
    </row>
    <row r="641">
      <c r="A641" s="25">
        <f>IF($C641="","",Registro_Compras!$X$74)</f>
        <v/>
      </c>
      <c r="B641">
        <f>IF($C641="","","C"&amp;TEXT(INT((ROW()-5)/9)+1,"000")&amp;"-3")</f>
        <v/>
      </c>
      <c r="C641">
        <f>IF(OR(Registro_Compras!$C$74="",Registro_Compras!$O$74="",Registro_Compras!$R$74&lt;&gt;"SI",Registro_Compras!$X$74=""),"","10413")</f>
        <v/>
      </c>
      <c r="D641">
        <f>IF(OR(Registro_Compras!$C$74="",Registro_Compras!$O$74=""),"","Efectivo y Equivalentes - Cta. Cte. Operativa")</f>
        <v/>
      </c>
      <c r="E641" s="20">
        <f>""</f>
        <v/>
      </c>
      <c r="F641" s="20">
        <f>IF($C641="","",Registro_Compras!$S$74)</f>
        <v/>
      </c>
      <c r="G641">
        <f>IF($C641="","","Por el deposito de la detraccion en el Banco de la Nacion")</f>
        <v/>
      </c>
      <c r="H641">
        <f>IF($C641="","",Registro_Compras!$C$74)</f>
        <v/>
      </c>
    </row>
    <row r="642">
      <c r="A642" s="25">
        <f>IF($C642="","",Registro_Compras!$Y$74)</f>
        <v/>
      </c>
      <c r="B642">
        <f>IF($C642="","","C"&amp;TEXT(INT((ROW()-5)/9)+1,"000")&amp;"-4")</f>
        <v/>
      </c>
      <c r="C642">
        <f>IF(OR(Registro_Compras!$C$74="",Registro_Compras!$O$74="",Registro_Compras!$Y$74="",Registro_Compras!$F$74="NOTA DE CREDITO"),"","4212")</f>
        <v/>
      </c>
      <c r="D642">
        <f>IF(OR(Registro_Compras!$C$74="",Registro_Compras!$O$74=""),"","Cuentas por Pagar Comerciales - Terceros")</f>
        <v/>
      </c>
      <c r="E642" s="20">
        <f>IF($C642="","",IF(Registro_Compras!$F$74="RHE",(ROUND(Registro_Compras!$L$74*Registro_Compras!$N$74,2)-ROUND(Registro_Compras!$V$74*Registro_Compras!$N$74,2)),ROUND(Registro_Compras!$O$74-Registro_Compras!$S$74,2)))</f>
        <v/>
      </c>
      <c r="F642" s="20">
        <f>""</f>
        <v/>
      </c>
      <c r="G642">
        <f>IF($C642="","","Por la cancelacion del saldo al proveedor")</f>
        <v/>
      </c>
      <c r="H642">
        <f>IF($C642="","",Registro_Compras!$C$74)</f>
        <v/>
      </c>
    </row>
    <row r="643">
      <c r="A643" s="25">
        <f>IF($C643="","",Registro_Compras!$Y$74)</f>
        <v/>
      </c>
      <c r="B643">
        <f>IF($C643="","","C"&amp;TEXT(INT((ROW()-5)/9)+1,"000")&amp;"-4")</f>
        <v/>
      </c>
      <c r="C643">
        <f>IF(OR(Registro_Compras!$C$74="",Registro_Compras!$O$74="",Registro_Compras!$Y$74="",Registro_Compras!$F$74="NOTA DE CREDITO"),"","10413")</f>
        <v/>
      </c>
      <c r="D643">
        <f>IF(OR(Registro_Compras!$C$74="",Registro_Compras!$O$74=""),"","Efectivo y Equivalentes - Cta. Cte. Operativa")</f>
        <v/>
      </c>
      <c r="E643" s="20">
        <f>""</f>
        <v/>
      </c>
      <c r="F643" s="20">
        <f>IF($C643="","",IF(Registro_Compras!$F$74="RHE",(ROUND(Registro_Compras!$L$74*Registro_Compras!$N$74,2)-ROUND(Registro_Compras!$V$74*Registro_Compras!$N$74,2)),ROUND(Registro_Compras!$O$74-Registro_Compras!$S$74,2)))</f>
        <v/>
      </c>
      <c r="G643">
        <f>IF($C643="","","Por la cancelacion del saldo al proveedor")</f>
        <v/>
      </c>
      <c r="H643">
        <f>IF($C643="","",Registro_Compras!$C$74)</f>
        <v/>
      </c>
    </row>
    <row r="644">
      <c r="A644" s="25">
        <f>IF($C644="","",Registro_Compras!$B$75)</f>
        <v/>
      </c>
      <c r="B644">
        <f>IF($C644="","","C"&amp;TEXT(INT((ROW()-5)/9)+1,"000")&amp;"-1")</f>
        <v/>
      </c>
      <c r="C644">
        <f>IF(OR(Registro_Compras!$C$75="",Registro_Compras!$O$75=""),"",IF(Registro_Compras!$F$75="NOTA DE CREDITO","4212",IF(Registro_Compras!$M$75="","63",Registro_Compras!$M$75)))</f>
        <v/>
      </c>
      <c r="D644">
        <f>IF(OR(Registro_Compras!$C$75="",Registro_Compras!$O$75=""),"",IF(Registro_Compras!$F$75="NOTA DE CREDITO","Cuentas por Pagar Comerciales - Terceros (Emitidas)",IF(Registro_Compras!$F$75="RHE","Honorarios Profesionales - Servicios de Terceros","Gastos de Servicios Prestados por Terceros")))</f>
        <v/>
      </c>
      <c r="E644" s="20">
        <f>IF($C644="","",IF(Registro_Compras!$F$75="NOTA DE CREDITO",ABS(Registro_Compras!$O$75),IF(Registro_Compras!$F$75="RHE",ROUND(Registro_Compras!$L$75*Registro_Compras!$N$75,2),ROUND(Registro_Compras!$J$75*Registro_Compras!$N$75,2))))</f>
        <v/>
      </c>
      <c r="F644" s="20">
        <f>""</f>
        <v/>
      </c>
      <c r="G644">
        <f>IF($C644="","",IF(Registro_Compras!$F$75="NOTA DE CREDITO","Por la nota de credito "&amp;Registro_Compras!$C$75&amp;" de "&amp;Registro_Compras!$E$75&amp;" [PATRON POR CONFIRMAR CON CONTADOR]",IF(Registro_Compras!$F$75="RHE","Por el registro del recibo por honorarios "&amp;Registro_Compras!$C$75&amp;" de "&amp;Registro_Compras!$E$75&amp;" [PATRON POR CONFIRMAR CON CONTADOR]","Por el registro de la factura "&amp;Registro_Compras!$C$75&amp;" de "&amp;Registro_Compras!$E$75)))</f>
        <v/>
      </c>
      <c r="H644">
        <f>IF($C644="","",Registro_Compras!$C$75)</f>
        <v/>
      </c>
    </row>
    <row r="645">
      <c r="A645" s="25">
        <f>IF($C645="","",Registro_Compras!$B$75)</f>
        <v/>
      </c>
      <c r="B645">
        <f>IF($C645="","","C"&amp;TEXT(INT((ROW()-5)/9)+1,"000")&amp;"-1")</f>
        <v/>
      </c>
      <c r="C645">
        <f>IF(OR(Registro_Compras!$C$75="",Registro_Compras!$O$75=""),"",IF(Registro_Compras!$F$75="RHE",IF(Registro_Compras!$V$75=0,"","40172"),IF(Registro_Compras!$F$75="NOTA DE CREDITO",IF(Registro_Compras!$M$75="","63",Registro_Compras!$M$75),IF(Registro_Compras!$K$75=0,"","40111"))))</f>
        <v/>
      </c>
      <c r="D645">
        <f>IF(OR(Registro_Compras!$C$75="",Registro_Compras!$O$75=""),"",IF(Registro_Compras!$F$75="RHE","Retencion Renta 4ta Categoria por Pagar",IF(Registro_Compras!$F$75="NOTA DE CREDITO","Gastos de Servicios Prestados por Terceros","IGV - Cuenta Propia (Credito Fiscal)")))</f>
        <v/>
      </c>
      <c r="E645" s="20">
        <f>IF($C645="","",IF(Registro_Compras!$F$75="FACTURA",ROUND(Registro_Compras!$K$75*Registro_Compras!$N$75,2),""))</f>
        <v/>
      </c>
      <c r="F645" s="20">
        <f>IF($C645="","",IF(Registro_Compras!$F$75="RHE",ROUND(Registro_Compras!$V$75*Registro_Compras!$N$75,2),IF(Registro_Compras!$F$75="NOTA DE CREDITO",ROUND(ABS(Registro_Compras!$J$75*Registro_Compras!$N$75),2),"")))</f>
        <v/>
      </c>
      <c r="G645">
        <f>IF($C645="","",IF(Registro_Compras!$F$75="NOTA DE CREDITO","Por la nota de credito "&amp;Registro_Compras!$C$75&amp;" de "&amp;Registro_Compras!$E$75&amp;" [PATRON POR CONFIRMAR CON CONTADOR]",IF(Registro_Compras!$F$75="RHE","Por el registro del recibo por honorarios "&amp;Registro_Compras!$C$75&amp;" de "&amp;Registro_Compras!$E$75&amp;" [PATRON POR CONFIRMAR CON CONTADOR]","Por el registro de la factura "&amp;Registro_Compras!$C$75&amp;" de "&amp;Registro_Compras!$E$75)))</f>
        <v/>
      </c>
      <c r="H645">
        <f>IF($C645="","",Registro_Compras!$C$75)</f>
        <v/>
      </c>
    </row>
    <row r="646">
      <c r="A646" s="25">
        <f>IF($C646="","",Registro_Compras!$B$75)</f>
        <v/>
      </c>
      <c r="B646">
        <f>IF($C646="","","C"&amp;TEXT(INT((ROW()-5)/9)+1,"000")&amp;"-1")</f>
        <v/>
      </c>
      <c r="C646">
        <f>IF(OR(Registro_Compras!$C$75="",Registro_Compras!$O$75=""),"",IF(Registro_Compras!$F$75="NOTA DE CREDITO",IF(Registro_Compras!$K$75=0,"","40111"),"4212"))</f>
        <v/>
      </c>
      <c r="D646">
        <f>IF(OR(Registro_Compras!$C$75="",Registro_Compras!$O$75=""),"",IF(Registro_Compras!$F$75="NOTA DE CREDITO","IGV - Cuenta Propia (Credito Fiscal)","Cuentas por Pagar Comerciales - Terceros (Emitidas)"))</f>
        <v/>
      </c>
      <c r="E646" s="20">
        <f>""</f>
        <v/>
      </c>
      <c r="F646" s="20">
        <f>IF($C646="","",IF(Registro_Compras!$F$75="NOTA DE CREDITO",ROUND(ABS(Registro_Compras!$K$75*Registro_Compras!$N$75),2),IF(Registro_Compras!$F$75="RHE",(ROUND(Registro_Compras!$L$75*Registro_Compras!$N$75,2)-ROUND(Registro_Compras!$V$75*Registro_Compras!$N$75,2)),Registro_Compras!$O$75)))</f>
        <v/>
      </c>
      <c r="G646">
        <f>IF($C646="","",IF(Registro_Compras!$F$75="NOTA DE CREDITO","Por la nota de credito "&amp;Registro_Compras!$C$75&amp;" de "&amp;Registro_Compras!$E$75&amp;" [PATRON POR CONFIRMAR CON CONTADOR]",IF(Registro_Compras!$F$75="RHE","Por el registro del recibo por honorarios "&amp;Registro_Compras!$C$75&amp;" de "&amp;Registro_Compras!$E$75&amp;" [PATRON POR CONFIRMAR CON CONTADOR]","Por el registro de la factura "&amp;Registro_Compras!$C$75&amp;" de "&amp;Registro_Compras!$E$75)))</f>
        <v/>
      </c>
      <c r="H646">
        <f>IF($C646="","",Registro_Compras!$C$75)</f>
        <v/>
      </c>
    </row>
    <row r="647">
      <c r="A647" s="25">
        <f>IF($C647="","",Registro_Compras!$B$75)</f>
        <v/>
      </c>
      <c r="B647">
        <f>IF($C647="","","C"&amp;TEXT(INT((ROW()-5)/9)+1,"000")&amp;"-2")</f>
        <v/>
      </c>
      <c r="C647">
        <f>IF(OR(Registro_Compras!$C$75="",Registro_Compras!$O$75=""),"",IF(Registro_Compras!$AB$75="ADMINISTRATIVO","94","95"))</f>
        <v/>
      </c>
      <c r="D647">
        <f>IF(OR(Registro_Compras!$C$75="",Registro_Compras!$O$75=""),"",IF(Registro_Compras!$AB$75="ADMINISTRATIVO","Gastos Administrativos","Gastos de Venta y Operacion"))</f>
        <v/>
      </c>
      <c r="E647" s="20">
        <f>IF($C647="","",IF(Registro_Compras!$F$75="NOTA DE CREDITO","",IF(Registro_Compras!$F$75="RHE",ROUND(Registro_Compras!$L$75*Registro_Compras!$N$75,2),ROUND(Registro_Compras!$J$75*Registro_Compras!$N$75,2))))</f>
        <v/>
      </c>
      <c r="F647" s="20">
        <f>IF($C647="","",IF(Registro_Compras!$F$75="NOTA DE CREDITO",ROUND(ABS(Registro_Compras!$J$75*Registro_Compras!$N$75),2),""))</f>
        <v/>
      </c>
      <c r="G647">
        <f>IF($C647="","","Por el destino del gasto")</f>
        <v/>
      </c>
      <c r="H647">
        <f>IF($C647="","",Registro_Compras!$C$75)</f>
        <v/>
      </c>
    </row>
    <row r="648">
      <c r="A648" s="25">
        <f>IF($C648="","",Registro_Compras!$B$75)</f>
        <v/>
      </c>
      <c r="B648">
        <f>IF($C648="","","C"&amp;TEXT(INT((ROW()-5)/9)+1,"000")&amp;"-2")</f>
        <v/>
      </c>
      <c r="C648">
        <f>IF(OR(Registro_Compras!$C$75="",Registro_Compras!$O$75=""),"","79/791")</f>
        <v/>
      </c>
      <c r="D648">
        <f>IF(OR(Registro_Compras!$C$75="",Registro_Compras!$O$75=""),"","Cargas Imputables a Cuentas de Costos y Gastos")</f>
        <v/>
      </c>
      <c r="E648" s="20">
        <f>IF($C648="","",IF(Registro_Compras!$F$75="NOTA DE CREDITO",ROUND(ABS(Registro_Compras!$J$75*Registro_Compras!$N$75),2),""))</f>
        <v/>
      </c>
      <c r="F648" s="20">
        <f>IF($C648="","",IF(Registro_Compras!$F$75="NOTA DE CREDITO","",IF(Registro_Compras!$F$75="RHE",ROUND(Registro_Compras!$L$75*Registro_Compras!$N$75,2),ROUND(Registro_Compras!$J$75*Registro_Compras!$N$75,2))))</f>
        <v/>
      </c>
      <c r="G648">
        <f>IF($C648="","","Por el destino del gasto")</f>
        <v/>
      </c>
      <c r="H648">
        <f>IF($C648="","",Registro_Compras!$C$75)</f>
        <v/>
      </c>
    </row>
    <row r="649">
      <c r="A649" s="25">
        <f>IF($C649="","",Registro_Compras!$X$75)</f>
        <v/>
      </c>
      <c r="B649">
        <f>IF($C649="","","C"&amp;TEXT(INT((ROW()-5)/9)+1,"000")&amp;"-3")</f>
        <v/>
      </c>
      <c r="C649">
        <f>IF(OR(Registro_Compras!$C$75="",Registro_Compras!$O$75="",Registro_Compras!$R$75&lt;&gt;"SI",Registro_Compras!$X$75=""),"","4212")</f>
        <v/>
      </c>
      <c r="D649">
        <f>IF(OR(Registro_Compras!$C$75="",Registro_Compras!$O$75=""),"","Cuentas por Pagar Comerciales - Terceros")</f>
        <v/>
      </c>
      <c r="E649" s="20">
        <f>IF($C649="","",Registro_Compras!$S$75)</f>
        <v/>
      </c>
      <c r="F649" s="20">
        <f>""</f>
        <v/>
      </c>
      <c r="G649">
        <f>IF($C649="","","Por el deposito de la detraccion en el Banco de la Nacion")</f>
        <v/>
      </c>
      <c r="H649">
        <f>IF($C649="","",Registro_Compras!$C$75)</f>
        <v/>
      </c>
    </row>
    <row r="650">
      <c r="A650" s="25">
        <f>IF($C650="","",Registro_Compras!$X$75)</f>
        <v/>
      </c>
      <c r="B650">
        <f>IF($C650="","","C"&amp;TEXT(INT((ROW()-5)/9)+1,"000")&amp;"-3")</f>
        <v/>
      </c>
      <c r="C650">
        <f>IF(OR(Registro_Compras!$C$75="",Registro_Compras!$O$75="",Registro_Compras!$R$75&lt;&gt;"SI",Registro_Compras!$X$75=""),"","10413")</f>
        <v/>
      </c>
      <c r="D650">
        <f>IF(OR(Registro_Compras!$C$75="",Registro_Compras!$O$75=""),"","Efectivo y Equivalentes - Cta. Cte. Operativa")</f>
        <v/>
      </c>
      <c r="E650" s="20">
        <f>""</f>
        <v/>
      </c>
      <c r="F650" s="20">
        <f>IF($C650="","",Registro_Compras!$S$75)</f>
        <v/>
      </c>
      <c r="G650">
        <f>IF($C650="","","Por el deposito de la detraccion en el Banco de la Nacion")</f>
        <v/>
      </c>
      <c r="H650">
        <f>IF($C650="","",Registro_Compras!$C$75)</f>
        <v/>
      </c>
    </row>
    <row r="651">
      <c r="A651" s="25">
        <f>IF($C651="","",Registro_Compras!$Y$75)</f>
        <v/>
      </c>
      <c r="B651">
        <f>IF($C651="","","C"&amp;TEXT(INT((ROW()-5)/9)+1,"000")&amp;"-4")</f>
        <v/>
      </c>
      <c r="C651">
        <f>IF(OR(Registro_Compras!$C$75="",Registro_Compras!$O$75="",Registro_Compras!$Y$75="",Registro_Compras!$F$75="NOTA DE CREDITO"),"","4212")</f>
        <v/>
      </c>
      <c r="D651">
        <f>IF(OR(Registro_Compras!$C$75="",Registro_Compras!$O$75=""),"","Cuentas por Pagar Comerciales - Terceros")</f>
        <v/>
      </c>
      <c r="E651" s="20">
        <f>IF($C651="","",IF(Registro_Compras!$F$75="RHE",(ROUND(Registro_Compras!$L$75*Registro_Compras!$N$75,2)-ROUND(Registro_Compras!$V$75*Registro_Compras!$N$75,2)),ROUND(Registro_Compras!$O$75-Registro_Compras!$S$75,2)))</f>
        <v/>
      </c>
      <c r="F651" s="20">
        <f>""</f>
        <v/>
      </c>
      <c r="G651">
        <f>IF($C651="","","Por la cancelacion del saldo al proveedor")</f>
        <v/>
      </c>
      <c r="H651">
        <f>IF($C651="","",Registro_Compras!$C$75)</f>
        <v/>
      </c>
    </row>
    <row r="652">
      <c r="A652" s="25">
        <f>IF($C652="","",Registro_Compras!$Y$75)</f>
        <v/>
      </c>
      <c r="B652">
        <f>IF($C652="","","C"&amp;TEXT(INT((ROW()-5)/9)+1,"000")&amp;"-4")</f>
        <v/>
      </c>
      <c r="C652">
        <f>IF(OR(Registro_Compras!$C$75="",Registro_Compras!$O$75="",Registro_Compras!$Y$75="",Registro_Compras!$F$75="NOTA DE CREDITO"),"","10413")</f>
        <v/>
      </c>
      <c r="D652">
        <f>IF(OR(Registro_Compras!$C$75="",Registro_Compras!$O$75=""),"","Efectivo y Equivalentes - Cta. Cte. Operativa")</f>
        <v/>
      </c>
      <c r="E652" s="20">
        <f>""</f>
        <v/>
      </c>
      <c r="F652" s="20">
        <f>IF($C652="","",IF(Registro_Compras!$F$75="RHE",(ROUND(Registro_Compras!$L$75*Registro_Compras!$N$75,2)-ROUND(Registro_Compras!$V$75*Registro_Compras!$N$75,2)),ROUND(Registro_Compras!$O$75-Registro_Compras!$S$75,2)))</f>
        <v/>
      </c>
      <c r="G652">
        <f>IF($C652="","","Por la cancelacion del saldo al proveedor")</f>
        <v/>
      </c>
      <c r="H652">
        <f>IF($C652="","",Registro_Compras!$C$75)</f>
        <v/>
      </c>
    </row>
    <row r="653">
      <c r="A653" s="25">
        <f>IF($C653="","",Registro_Compras!$B$76)</f>
        <v/>
      </c>
      <c r="B653">
        <f>IF($C653="","","C"&amp;TEXT(INT((ROW()-5)/9)+1,"000")&amp;"-1")</f>
        <v/>
      </c>
      <c r="C653">
        <f>IF(OR(Registro_Compras!$C$76="",Registro_Compras!$O$76=""),"",IF(Registro_Compras!$F$76="NOTA DE CREDITO","4212",IF(Registro_Compras!$M$76="","63",Registro_Compras!$M$76)))</f>
        <v/>
      </c>
      <c r="D653">
        <f>IF(OR(Registro_Compras!$C$76="",Registro_Compras!$O$76=""),"",IF(Registro_Compras!$F$76="NOTA DE CREDITO","Cuentas por Pagar Comerciales - Terceros (Emitidas)",IF(Registro_Compras!$F$76="RHE","Honorarios Profesionales - Servicios de Terceros","Gastos de Servicios Prestados por Terceros")))</f>
        <v/>
      </c>
      <c r="E653" s="20">
        <f>IF($C653="","",IF(Registro_Compras!$F$76="NOTA DE CREDITO",ABS(Registro_Compras!$O$76),IF(Registro_Compras!$F$76="RHE",ROUND(Registro_Compras!$L$76*Registro_Compras!$N$76,2),ROUND(Registro_Compras!$J$76*Registro_Compras!$N$76,2))))</f>
        <v/>
      </c>
      <c r="F653" s="20">
        <f>""</f>
        <v/>
      </c>
      <c r="G653">
        <f>IF($C653="","",IF(Registro_Compras!$F$76="NOTA DE CREDITO","Por la nota de credito "&amp;Registro_Compras!$C$76&amp;" de "&amp;Registro_Compras!$E$76&amp;" [PATRON POR CONFIRMAR CON CONTADOR]",IF(Registro_Compras!$F$76="RHE","Por el registro del recibo por honorarios "&amp;Registro_Compras!$C$76&amp;" de "&amp;Registro_Compras!$E$76&amp;" [PATRON POR CONFIRMAR CON CONTADOR]","Por el registro de la factura "&amp;Registro_Compras!$C$76&amp;" de "&amp;Registro_Compras!$E$76)))</f>
        <v/>
      </c>
      <c r="H653">
        <f>IF($C653="","",Registro_Compras!$C$76)</f>
        <v/>
      </c>
    </row>
    <row r="654">
      <c r="A654" s="25">
        <f>IF($C654="","",Registro_Compras!$B$76)</f>
        <v/>
      </c>
      <c r="B654">
        <f>IF($C654="","","C"&amp;TEXT(INT((ROW()-5)/9)+1,"000")&amp;"-1")</f>
        <v/>
      </c>
      <c r="C654">
        <f>IF(OR(Registro_Compras!$C$76="",Registro_Compras!$O$76=""),"",IF(Registro_Compras!$F$76="RHE",IF(Registro_Compras!$V$76=0,"","40172"),IF(Registro_Compras!$F$76="NOTA DE CREDITO",IF(Registro_Compras!$M$76="","63",Registro_Compras!$M$76),IF(Registro_Compras!$K$76=0,"","40111"))))</f>
        <v/>
      </c>
      <c r="D654">
        <f>IF(OR(Registro_Compras!$C$76="",Registro_Compras!$O$76=""),"",IF(Registro_Compras!$F$76="RHE","Retencion Renta 4ta Categoria por Pagar",IF(Registro_Compras!$F$76="NOTA DE CREDITO","Gastos de Servicios Prestados por Terceros","IGV - Cuenta Propia (Credito Fiscal)")))</f>
        <v/>
      </c>
      <c r="E654" s="20">
        <f>IF($C654="","",IF(Registro_Compras!$F$76="FACTURA",ROUND(Registro_Compras!$K$76*Registro_Compras!$N$76,2),""))</f>
        <v/>
      </c>
      <c r="F654" s="20">
        <f>IF($C654="","",IF(Registro_Compras!$F$76="RHE",ROUND(Registro_Compras!$V$76*Registro_Compras!$N$76,2),IF(Registro_Compras!$F$76="NOTA DE CREDITO",ROUND(ABS(Registro_Compras!$J$76*Registro_Compras!$N$76),2),"")))</f>
        <v/>
      </c>
      <c r="G654">
        <f>IF($C654="","",IF(Registro_Compras!$F$76="NOTA DE CREDITO","Por la nota de credito "&amp;Registro_Compras!$C$76&amp;" de "&amp;Registro_Compras!$E$76&amp;" [PATRON POR CONFIRMAR CON CONTADOR]",IF(Registro_Compras!$F$76="RHE","Por el registro del recibo por honorarios "&amp;Registro_Compras!$C$76&amp;" de "&amp;Registro_Compras!$E$76&amp;" [PATRON POR CONFIRMAR CON CONTADOR]","Por el registro de la factura "&amp;Registro_Compras!$C$76&amp;" de "&amp;Registro_Compras!$E$76)))</f>
        <v/>
      </c>
      <c r="H654">
        <f>IF($C654="","",Registro_Compras!$C$76)</f>
        <v/>
      </c>
    </row>
    <row r="655">
      <c r="A655" s="25">
        <f>IF($C655="","",Registro_Compras!$B$76)</f>
        <v/>
      </c>
      <c r="B655">
        <f>IF($C655="","","C"&amp;TEXT(INT((ROW()-5)/9)+1,"000")&amp;"-1")</f>
        <v/>
      </c>
      <c r="C655">
        <f>IF(OR(Registro_Compras!$C$76="",Registro_Compras!$O$76=""),"",IF(Registro_Compras!$F$76="NOTA DE CREDITO",IF(Registro_Compras!$K$76=0,"","40111"),"4212"))</f>
        <v/>
      </c>
      <c r="D655">
        <f>IF(OR(Registro_Compras!$C$76="",Registro_Compras!$O$76=""),"",IF(Registro_Compras!$F$76="NOTA DE CREDITO","IGV - Cuenta Propia (Credito Fiscal)","Cuentas por Pagar Comerciales - Terceros (Emitidas)"))</f>
        <v/>
      </c>
      <c r="E655" s="20">
        <f>""</f>
        <v/>
      </c>
      <c r="F655" s="20">
        <f>IF($C655="","",IF(Registro_Compras!$F$76="NOTA DE CREDITO",ROUND(ABS(Registro_Compras!$K$76*Registro_Compras!$N$76),2),IF(Registro_Compras!$F$76="RHE",(ROUND(Registro_Compras!$L$76*Registro_Compras!$N$76,2)-ROUND(Registro_Compras!$V$76*Registro_Compras!$N$76,2)),Registro_Compras!$O$76)))</f>
        <v/>
      </c>
      <c r="G655">
        <f>IF($C655="","",IF(Registro_Compras!$F$76="NOTA DE CREDITO","Por la nota de credito "&amp;Registro_Compras!$C$76&amp;" de "&amp;Registro_Compras!$E$76&amp;" [PATRON POR CONFIRMAR CON CONTADOR]",IF(Registro_Compras!$F$76="RHE","Por el registro del recibo por honorarios "&amp;Registro_Compras!$C$76&amp;" de "&amp;Registro_Compras!$E$76&amp;" [PATRON POR CONFIRMAR CON CONTADOR]","Por el registro de la factura "&amp;Registro_Compras!$C$76&amp;" de "&amp;Registro_Compras!$E$76)))</f>
        <v/>
      </c>
      <c r="H655">
        <f>IF($C655="","",Registro_Compras!$C$76)</f>
        <v/>
      </c>
    </row>
    <row r="656">
      <c r="A656" s="25">
        <f>IF($C656="","",Registro_Compras!$B$76)</f>
        <v/>
      </c>
      <c r="B656">
        <f>IF($C656="","","C"&amp;TEXT(INT((ROW()-5)/9)+1,"000")&amp;"-2")</f>
        <v/>
      </c>
      <c r="C656">
        <f>IF(OR(Registro_Compras!$C$76="",Registro_Compras!$O$76=""),"",IF(Registro_Compras!$AB$76="ADMINISTRATIVO","94","95"))</f>
        <v/>
      </c>
      <c r="D656">
        <f>IF(OR(Registro_Compras!$C$76="",Registro_Compras!$O$76=""),"",IF(Registro_Compras!$AB$76="ADMINISTRATIVO","Gastos Administrativos","Gastos de Venta y Operacion"))</f>
        <v/>
      </c>
      <c r="E656" s="20">
        <f>IF($C656="","",IF(Registro_Compras!$F$76="NOTA DE CREDITO","",IF(Registro_Compras!$F$76="RHE",ROUND(Registro_Compras!$L$76*Registro_Compras!$N$76,2),ROUND(Registro_Compras!$J$76*Registro_Compras!$N$76,2))))</f>
        <v/>
      </c>
      <c r="F656" s="20">
        <f>IF($C656="","",IF(Registro_Compras!$F$76="NOTA DE CREDITO",ROUND(ABS(Registro_Compras!$J$76*Registro_Compras!$N$76),2),""))</f>
        <v/>
      </c>
      <c r="G656">
        <f>IF($C656="","","Por el destino del gasto")</f>
        <v/>
      </c>
      <c r="H656">
        <f>IF($C656="","",Registro_Compras!$C$76)</f>
        <v/>
      </c>
    </row>
    <row r="657">
      <c r="A657" s="25">
        <f>IF($C657="","",Registro_Compras!$B$76)</f>
        <v/>
      </c>
      <c r="B657">
        <f>IF($C657="","","C"&amp;TEXT(INT((ROW()-5)/9)+1,"000")&amp;"-2")</f>
        <v/>
      </c>
      <c r="C657">
        <f>IF(OR(Registro_Compras!$C$76="",Registro_Compras!$O$76=""),"","79/791")</f>
        <v/>
      </c>
      <c r="D657">
        <f>IF(OR(Registro_Compras!$C$76="",Registro_Compras!$O$76=""),"","Cargas Imputables a Cuentas de Costos y Gastos")</f>
        <v/>
      </c>
      <c r="E657" s="20">
        <f>IF($C657="","",IF(Registro_Compras!$F$76="NOTA DE CREDITO",ROUND(ABS(Registro_Compras!$J$76*Registro_Compras!$N$76),2),""))</f>
        <v/>
      </c>
      <c r="F657" s="20">
        <f>IF($C657="","",IF(Registro_Compras!$F$76="NOTA DE CREDITO","",IF(Registro_Compras!$F$76="RHE",ROUND(Registro_Compras!$L$76*Registro_Compras!$N$76,2),ROUND(Registro_Compras!$J$76*Registro_Compras!$N$76,2))))</f>
        <v/>
      </c>
      <c r="G657">
        <f>IF($C657="","","Por el destino del gasto")</f>
        <v/>
      </c>
      <c r="H657">
        <f>IF($C657="","",Registro_Compras!$C$76)</f>
        <v/>
      </c>
    </row>
    <row r="658">
      <c r="A658" s="25">
        <f>IF($C658="","",Registro_Compras!$X$76)</f>
        <v/>
      </c>
      <c r="B658">
        <f>IF($C658="","","C"&amp;TEXT(INT((ROW()-5)/9)+1,"000")&amp;"-3")</f>
        <v/>
      </c>
      <c r="C658">
        <f>IF(OR(Registro_Compras!$C$76="",Registro_Compras!$O$76="",Registro_Compras!$R$76&lt;&gt;"SI",Registro_Compras!$X$76=""),"","4212")</f>
        <v/>
      </c>
      <c r="D658">
        <f>IF(OR(Registro_Compras!$C$76="",Registro_Compras!$O$76=""),"","Cuentas por Pagar Comerciales - Terceros")</f>
        <v/>
      </c>
      <c r="E658" s="20">
        <f>IF($C658="","",Registro_Compras!$S$76)</f>
        <v/>
      </c>
      <c r="F658" s="20">
        <f>""</f>
        <v/>
      </c>
      <c r="G658">
        <f>IF($C658="","","Por el deposito de la detraccion en el Banco de la Nacion")</f>
        <v/>
      </c>
      <c r="H658">
        <f>IF($C658="","",Registro_Compras!$C$76)</f>
        <v/>
      </c>
    </row>
    <row r="659">
      <c r="A659" s="25">
        <f>IF($C659="","",Registro_Compras!$X$76)</f>
        <v/>
      </c>
      <c r="B659">
        <f>IF($C659="","","C"&amp;TEXT(INT((ROW()-5)/9)+1,"000")&amp;"-3")</f>
        <v/>
      </c>
      <c r="C659">
        <f>IF(OR(Registro_Compras!$C$76="",Registro_Compras!$O$76="",Registro_Compras!$R$76&lt;&gt;"SI",Registro_Compras!$X$76=""),"","10413")</f>
        <v/>
      </c>
      <c r="D659">
        <f>IF(OR(Registro_Compras!$C$76="",Registro_Compras!$O$76=""),"","Efectivo y Equivalentes - Cta. Cte. Operativa")</f>
        <v/>
      </c>
      <c r="E659" s="20">
        <f>""</f>
        <v/>
      </c>
      <c r="F659" s="20">
        <f>IF($C659="","",Registro_Compras!$S$76)</f>
        <v/>
      </c>
      <c r="G659">
        <f>IF($C659="","","Por el deposito de la detraccion en el Banco de la Nacion")</f>
        <v/>
      </c>
      <c r="H659">
        <f>IF($C659="","",Registro_Compras!$C$76)</f>
        <v/>
      </c>
    </row>
    <row r="660">
      <c r="A660" s="25">
        <f>IF($C660="","",Registro_Compras!$Y$76)</f>
        <v/>
      </c>
      <c r="B660">
        <f>IF($C660="","","C"&amp;TEXT(INT((ROW()-5)/9)+1,"000")&amp;"-4")</f>
        <v/>
      </c>
      <c r="C660">
        <f>IF(OR(Registro_Compras!$C$76="",Registro_Compras!$O$76="",Registro_Compras!$Y$76="",Registro_Compras!$F$76="NOTA DE CREDITO"),"","4212")</f>
        <v/>
      </c>
      <c r="D660">
        <f>IF(OR(Registro_Compras!$C$76="",Registro_Compras!$O$76=""),"","Cuentas por Pagar Comerciales - Terceros")</f>
        <v/>
      </c>
      <c r="E660" s="20">
        <f>IF($C660="","",IF(Registro_Compras!$F$76="RHE",(ROUND(Registro_Compras!$L$76*Registro_Compras!$N$76,2)-ROUND(Registro_Compras!$V$76*Registro_Compras!$N$76,2)),ROUND(Registro_Compras!$O$76-Registro_Compras!$S$76,2)))</f>
        <v/>
      </c>
      <c r="F660" s="20">
        <f>""</f>
        <v/>
      </c>
      <c r="G660">
        <f>IF($C660="","","Por la cancelacion del saldo al proveedor")</f>
        <v/>
      </c>
      <c r="H660">
        <f>IF($C660="","",Registro_Compras!$C$76)</f>
        <v/>
      </c>
    </row>
    <row r="661">
      <c r="A661" s="25">
        <f>IF($C661="","",Registro_Compras!$Y$76)</f>
        <v/>
      </c>
      <c r="B661">
        <f>IF($C661="","","C"&amp;TEXT(INT((ROW()-5)/9)+1,"000")&amp;"-4")</f>
        <v/>
      </c>
      <c r="C661">
        <f>IF(OR(Registro_Compras!$C$76="",Registro_Compras!$O$76="",Registro_Compras!$Y$76="",Registro_Compras!$F$76="NOTA DE CREDITO"),"","10413")</f>
        <v/>
      </c>
      <c r="D661">
        <f>IF(OR(Registro_Compras!$C$76="",Registro_Compras!$O$76=""),"","Efectivo y Equivalentes - Cta. Cte. Operativa")</f>
        <v/>
      </c>
      <c r="E661" s="20">
        <f>""</f>
        <v/>
      </c>
      <c r="F661" s="20">
        <f>IF($C661="","",IF(Registro_Compras!$F$76="RHE",(ROUND(Registro_Compras!$L$76*Registro_Compras!$N$76,2)-ROUND(Registro_Compras!$V$76*Registro_Compras!$N$76,2)),ROUND(Registro_Compras!$O$76-Registro_Compras!$S$76,2)))</f>
        <v/>
      </c>
      <c r="G661">
        <f>IF($C661="","","Por la cancelacion del saldo al proveedor")</f>
        <v/>
      </c>
      <c r="H661">
        <f>IF($C661="","",Registro_Compras!$C$76)</f>
        <v/>
      </c>
    </row>
    <row r="662">
      <c r="A662" s="25">
        <f>IF($C662="","",Registro_Compras!$B$77)</f>
        <v/>
      </c>
      <c r="B662">
        <f>IF($C662="","","C"&amp;TEXT(INT((ROW()-5)/9)+1,"000")&amp;"-1")</f>
        <v/>
      </c>
      <c r="C662">
        <f>IF(OR(Registro_Compras!$C$77="",Registro_Compras!$O$77=""),"",IF(Registro_Compras!$F$77="NOTA DE CREDITO","4212",IF(Registro_Compras!$M$77="","63",Registro_Compras!$M$77)))</f>
        <v/>
      </c>
      <c r="D662">
        <f>IF(OR(Registro_Compras!$C$77="",Registro_Compras!$O$77=""),"",IF(Registro_Compras!$F$77="NOTA DE CREDITO","Cuentas por Pagar Comerciales - Terceros (Emitidas)",IF(Registro_Compras!$F$77="RHE","Honorarios Profesionales - Servicios de Terceros","Gastos de Servicios Prestados por Terceros")))</f>
        <v/>
      </c>
      <c r="E662" s="20">
        <f>IF($C662="","",IF(Registro_Compras!$F$77="NOTA DE CREDITO",ABS(Registro_Compras!$O$77),IF(Registro_Compras!$F$77="RHE",ROUND(Registro_Compras!$L$77*Registro_Compras!$N$77,2),ROUND(Registro_Compras!$J$77*Registro_Compras!$N$77,2))))</f>
        <v/>
      </c>
      <c r="F662" s="20">
        <f>""</f>
        <v/>
      </c>
      <c r="G662">
        <f>IF($C662="","",IF(Registro_Compras!$F$77="NOTA DE CREDITO","Por la nota de credito "&amp;Registro_Compras!$C$77&amp;" de "&amp;Registro_Compras!$E$77&amp;" [PATRON POR CONFIRMAR CON CONTADOR]",IF(Registro_Compras!$F$77="RHE","Por el registro del recibo por honorarios "&amp;Registro_Compras!$C$77&amp;" de "&amp;Registro_Compras!$E$77&amp;" [PATRON POR CONFIRMAR CON CONTADOR]","Por el registro de la factura "&amp;Registro_Compras!$C$77&amp;" de "&amp;Registro_Compras!$E$77)))</f>
        <v/>
      </c>
      <c r="H662">
        <f>IF($C662="","",Registro_Compras!$C$77)</f>
        <v/>
      </c>
    </row>
    <row r="663">
      <c r="A663" s="25">
        <f>IF($C663="","",Registro_Compras!$B$77)</f>
        <v/>
      </c>
      <c r="B663">
        <f>IF($C663="","","C"&amp;TEXT(INT((ROW()-5)/9)+1,"000")&amp;"-1")</f>
        <v/>
      </c>
      <c r="C663">
        <f>IF(OR(Registro_Compras!$C$77="",Registro_Compras!$O$77=""),"",IF(Registro_Compras!$F$77="RHE",IF(Registro_Compras!$V$77=0,"","40172"),IF(Registro_Compras!$F$77="NOTA DE CREDITO",IF(Registro_Compras!$M$77="","63",Registro_Compras!$M$77),IF(Registro_Compras!$K$77=0,"","40111"))))</f>
        <v/>
      </c>
      <c r="D663">
        <f>IF(OR(Registro_Compras!$C$77="",Registro_Compras!$O$77=""),"",IF(Registro_Compras!$F$77="RHE","Retencion Renta 4ta Categoria por Pagar",IF(Registro_Compras!$F$77="NOTA DE CREDITO","Gastos de Servicios Prestados por Terceros","IGV - Cuenta Propia (Credito Fiscal)")))</f>
        <v/>
      </c>
      <c r="E663" s="20">
        <f>IF($C663="","",IF(Registro_Compras!$F$77="FACTURA",ROUND(Registro_Compras!$K$77*Registro_Compras!$N$77,2),""))</f>
        <v/>
      </c>
      <c r="F663" s="20">
        <f>IF($C663="","",IF(Registro_Compras!$F$77="RHE",ROUND(Registro_Compras!$V$77*Registro_Compras!$N$77,2),IF(Registro_Compras!$F$77="NOTA DE CREDITO",ROUND(ABS(Registro_Compras!$J$77*Registro_Compras!$N$77),2),"")))</f>
        <v/>
      </c>
      <c r="G663">
        <f>IF($C663="","",IF(Registro_Compras!$F$77="NOTA DE CREDITO","Por la nota de credito "&amp;Registro_Compras!$C$77&amp;" de "&amp;Registro_Compras!$E$77&amp;" [PATRON POR CONFIRMAR CON CONTADOR]",IF(Registro_Compras!$F$77="RHE","Por el registro del recibo por honorarios "&amp;Registro_Compras!$C$77&amp;" de "&amp;Registro_Compras!$E$77&amp;" [PATRON POR CONFIRMAR CON CONTADOR]","Por el registro de la factura "&amp;Registro_Compras!$C$77&amp;" de "&amp;Registro_Compras!$E$77)))</f>
        <v/>
      </c>
      <c r="H663">
        <f>IF($C663="","",Registro_Compras!$C$77)</f>
        <v/>
      </c>
    </row>
    <row r="664">
      <c r="A664" s="25">
        <f>IF($C664="","",Registro_Compras!$B$77)</f>
        <v/>
      </c>
      <c r="B664">
        <f>IF($C664="","","C"&amp;TEXT(INT((ROW()-5)/9)+1,"000")&amp;"-1")</f>
        <v/>
      </c>
      <c r="C664">
        <f>IF(OR(Registro_Compras!$C$77="",Registro_Compras!$O$77=""),"",IF(Registro_Compras!$F$77="NOTA DE CREDITO",IF(Registro_Compras!$K$77=0,"","40111"),"4212"))</f>
        <v/>
      </c>
      <c r="D664">
        <f>IF(OR(Registro_Compras!$C$77="",Registro_Compras!$O$77=""),"",IF(Registro_Compras!$F$77="NOTA DE CREDITO","IGV - Cuenta Propia (Credito Fiscal)","Cuentas por Pagar Comerciales - Terceros (Emitidas)"))</f>
        <v/>
      </c>
      <c r="E664" s="20">
        <f>""</f>
        <v/>
      </c>
      <c r="F664" s="20">
        <f>IF($C664="","",IF(Registro_Compras!$F$77="NOTA DE CREDITO",ROUND(ABS(Registro_Compras!$K$77*Registro_Compras!$N$77),2),IF(Registro_Compras!$F$77="RHE",(ROUND(Registro_Compras!$L$77*Registro_Compras!$N$77,2)-ROUND(Registro_Compras!$V$77*Registro_Compras!$N$77,2)),Registro_Compras!$O$77)))</f>
        <v/>
      </c>
      <c r="G664">
        <f>IF($C664="","",IF(Registro_Compras!$F$77="NOTA DE CREDITO","Por la nota de credito "&amp;Registro_Compras!$C$77&amp;" de "&amp;Registro_Compras!$E$77&amp;" [PATRON POR CONFIRMAR CON CONTADOR]",IF(Registro_Compras!$F$77="RHE","Por el registro del recibo por honorarios "&amp;Registro_Compras!$C$77&amp;" de "&amp;Registro_Compras!$E$77&amp;" [PATRON POR CONFIRMAR CON CONTADOR]","Por el registro de la factura "&amp;Registro_Compras!$C$77&amp;" de "&amp;Registro_Compras!$E$77)))</f>
        <v/>
      </c>
      <c r="H664">
        <f>IF($C664="","",Registro_Compras!$C$77)</f>
        <v/>
      </c>
    </row>
    <row r="665">
      <c r="A665" s="25">
        <f>IF($C665="","",Registro_Compras!$B$77)</f>
        <v/>
      </c>
      <c r="B665">
        <f>IF($C665="","","C"&amp;TEXT(INT((ROW()-5)/9)+1,"000")&amp;"-2")</f>
        <v/>
      </c>
      <c r="C665">
        <f>IF(OR(Registro_Compras!$C$77="",Registro_Compras!$O$77=""),"",IF(Registro_Compras!$AB$77="ADMINISTRATIVO","94","95"))</f>
        <v/>
      </c>
      <c r="D665">
        <f>IF(OR(Registro_Compras!$C$77="",Registro_Compras!$O$77=""),"",IF(Registro_Compras!$AB$77="ADMINISTRATIVO","Gastos Administrativos","Gastos de Venta y Operacion"))</f>
        <v/>
      </c>
      <c r="E665" s="20">
        <f>IF($C665="","",IF(Registro_Compras!$F$77="NOTA DE CREDITO","",IF(Registro_Compras!$F$77="RHE",ROUND(Registro_Compras!$L$77*Registro_Compras!$N$77,2),ROUND(Registro_Compras!$J$77*Registro_Compras!$N$77,2))))</f>
        <v/>
      </c>
      <c r="F665" s="20">
        <f>IF($C665="","",IF(Registro_Compras!$F$77="NOTA DE CREDITO",ROUND(ABS(Registro_Compras!$J$77*Registro_Compras!$N$77),2),""))</f>
        <v/>
      </c>
      <c r="G665">
        <f>IF($C665="","","Por el destino del gasto")</f>
        <v/>
      </c>
      <c r="H665">
        <f>IF($C665="","",Registro_Compras!$C$77)</f>
        <v/>
      </c>
    </row>
    <row r="666">
      <c r="A666" s="25">
        <f>IF($C666="","",Registro_Compras!$B$77)</f>
        <v/>
      </c>
      <c r="B666">
        <f>IF($C666="","","C"&amp;TEXT(INT((ROW()-5)/9)+1,"000")&amp;"-2")</f>
        <v/>
      </c>
      <c r="C666">
        <f>IF(OR(Registro_Compras!$C$77="",Registro_Compras!$O$77=""),"","79/791")</f>
        <v/>
      </c>
      <c r="D666">
        <f>IF(OR(Registro_Compras!$C$77="",Registro_Compras!$O$77=""),"","Cargas Imputables a Cuentas de Costos y Gastos")</f>
        <v/>
      </c>
      <c r="E666" s="20">
        <f>IF($C666="","",IF(Registro_Compras!$F$77="NOTA DE CREDITO",ROUND(ABS(Registro_Compras!$J$77*Registro_Compras!$N$77),2),""))</f>
        <v/>
      </c>
      <c r="F666" s="20">
        <f>IF($C666="","",IF(Registro_Compras!$F$77="NOTA DE CREDITO","",IF(Registro_Compras!$F$77="RHE",ROUND(Registro_Compras!$L$77*Registro_Compras!$N$77,2),ROUND(Registro_Compras!$J$77*Registro_Compras!$N$77,2))))</f>
        <v/>
      </c>
      <c r="G666">
        <f>IF($C666="","","Por el destino del gasto")</f>
        <v/>
      </c>
      <c r="H666">
        <f>IF($C666="","",Registro_Compras!$C$77)</f>
        <v/>
      </c>
    </row>
    <row r="667">
      <c r="A667" s="25">
        <f>IF($C667="","",Registro_Compras!$X$77)</f>
        <v/>
      </c>
      <c r="B667">
        <f>IF($C667="","","C"&amp;TEXT(INT((ROW()-5)/9)+1,"000")&amp;"-3")</f>
        <v/>
      </c>
      <c r="C667">
        <f>IF(OR(Registro_Compras!$C$77="",Registro_Compras!$O$77="",Registro_Compras!$R$77&lt;&gt;"SI",Registro_Compras!$X$77=""),"","4212")</f>
        <v/>
      </c>
      <c r="D667">
        <f>IF(OR(Registro_Compras!$C$77="",Registro_Compras!$O$77=""),"","Cuentas por Pagar Comerciales - Terceros")</f>
        <v/>
      </c>
      <c r="E667" s="20">
        <f>IF($C667="","",Registro_Compras!$S$77)</f>
        <v/>
      </c>
      <c r="F667" s="20">
        <f>""</f>
        <v/>
      </c>
      <c r="G667">
        <f>IF($C667="","","Por el deposito de la detraccion en el Banco de la Nacion")</f>
        <v/>
      </c>
      <c r="H667">
        <f>IF($C667="","",Registro_Compras!$C$77)</f>
        <v/>
      </c>
    </row>
    <row r="668">
      <c r="A668" s="25">
        <f>IF($C668="","",Registro_Compras!$X$77)</f>
        <v/>
      </c>
      <c r="B668">
        <f>IF($C668="","","C"&amp;TEXT(INT((ROW()-5)/9)+1,"000")&amp;"-3")</f>
        <v/>
      </c>
      <c r="C668">
        <f>IF(OR(Registro_Compras!$C$77="",Registro_Compras!$O$77="",Registro_Compras!$R$77&lt;&gt;"SI",Registro_Compras!$X$77=""),"","10413")</f>
        <v/>
      </c>
      <c r="D668">
        <f>IF(OR(Registro_Compras!$C$77="",Registro_Compras!$O$77=""),"","Efectivo y Equivalentes - Cta. Cte. Operativa")</f>
        <v/>
      </c>
      <c r="E668" s="20">
        <f>""</f>
        <v/>
      </c>
      <c r="F668" s="20">
        <f>IF($C668="","",Registro_Compras!$S$77)</f>
        <v/>
      </c>
      <c r="G668">
        <f>IF($C668="","","Por el deposito de la detraccion en el Banco de la Nacion")</f>
        <v/>
      </c>
      <c r="H668">
        <f>IF($C668="","",Registro_Compras!$C$77)</f>
        <v/>
      </c>
    </row>
    <row r="669">
      <c r="A669" s="25">
        <f>IF($C669="","",Registro_Compras!$Y$77)</f>
        <v/>
      </c>
      <c r="B669">
        <f>IF($C669="","","C"&amp;TEXT(INT((ROW()-5)/9)+1,"000")&amp;"-4")</f>
        <v/>
      </c>
      <c r="C669">
        <f>IF(OR(Registro_Compras!$C$77="",Registro_Compras!$O$77="",Registro_Compras!$Y$77="",Registro_Compras!$F$77="NOTA DE CREDITO"),"","4212")</f>
        <v/>
      </c>
      <c r="D669">
        <f>IF(OR(Registro_Compras!$C$77="",Registro_Compras!$O$77=""),"","Cuentas por Pagar Comerciales - Terceros")</f>
        <v/>
      </c>
      <c r="E669" s="20">
        <f>IF($C669="","",IF(Registro_Compras!$F$77="RHE",(ROUND(Registro_Compras!$L$77*Registro_Compras!$N$77,2)-ROUND(Registro_Compras!$V$77*Registro_Compras!$N$77,2)),ROUND(Registro_Compras!$O$77-Registro_Compras!$S$77,2)))</f>
        <v/>
      </c>
      <c r="F669" s="20">
        <f>""</f>
        <v/>
      </c>
      <c r="G669">
        <f>IF($C669="","","Por la cancelacion del saldo al proveedor")</f>
        <v/>
      </c>
      <c r="H669">
        <f>IF($C669="","",Registro_Compras!$C$77)</f>
        <v/>
      </c>
    </row>
    <row r="670">
      <c r="A670" s="25">
        <f>IF($C670="","",Registro_Compras!$Y$77)</f>
        <v/>
      </c>
      <c r="B670">
        <f>IF($C670="","","C"&amp;TEXT(INT((ROW()-5)/9)+1,"000")&amp;"-4")</f>
        <v/>
      </c>
      <c r="C670">
        <f>IF(OR(Registro_Compras!$C$77="",Registro_Compras!$O$77="",Registro_Compras!$Y$77="",Registro_Compras!$F$77="NOTA DE CREDITO"),"","10413")</f>
        <v/>
      </c>
      <c r="D670">
        <f>IF(OR(Registro_Compras!$C$77="",Registro_Compras!$O$77=""),"","Efectivo y Equivalentes - Cta. Cte. Operativa")</f>
        <v/>
      </c>
      <c r="E670" s="20">
        <f>""</f>
        <v/>
      </c>
      <c r="F670" s="20">
        <f>IF($C670="","",IF(Registro_Compras!$F$77="RHE",(ROUND(Registro_Compras!$L$77*Registro_Compras!$N$77,2)-ROUND(Registro_Compras!$V$77*Registro_Compras!$N$77,2)),ROUND(Registro_Compras!$O$77-Registro_Compras!$S$77,2)))</f>
        <v/>
      </c>
      <c r="G670">
        <f>IF($C670="","","Por la cancelacion del saldo al proveedor")</f>
        <v/>
      </c>
      <c r="H670">
        <f>IF($C670="","",Registro_Compras!$C$77)</f>
        <v/>
      </c>
    </row>
    <row r="671">
      <c r="A671" s="25">
        <f>IF($C671="","",Registro_Compras!$B$78)</f>
        <v/>
      </c>
      <c r="B671">
        <f>IF($C671="","","C"&amp;TEXT(INT((ROW()-5)/9)+1,"000")&amp;"-1")</f>
        <v/>
      </c>
      <c r="C671">
        <f>IF(OR(Registro_Compras!$C$78="",Registro_Compras!$O$78=""),"",IF(Registro_Compras!$F$78="NOTA DE CREDITO","4212",IF(Registro_Compras!$M$78="","63",Registro_Compras!$M$78)))</f>
        <v/>
      </c>
      <c r="D671">
        <f>IF(OR(Registro_Compras!$C$78="",Registro_Compras!$O$78=""),"",IF(Registro_Compras!$F$78="NOTA DE CREDITO","Cuentas por Pagar Comerciales - Terceros (Emitidas)",IF(Registro_Compras!$F$78="RHE","Honorarios Profesionales - Servicios de Terceros","Gastos de Servicios Prestados por Terceros")))</f>
        <v/>
      </c>
      <c r="E671" s="20">
        <f>IF($C671="","",IF(Registro_Compras!$F$78="NOTA DE CREDITO",ABS(Registro_Compras!$O$78),IF(Registro_Compras!$F$78="RHE",ROUND(Registro_Compras!$L$78*Registro_Compras!$N$78,2),ROUND(Registro_Compras!$J$78*Registro_Compras!$N$78,2))))</f>
        <v/>
      </c>
      <c r="F671" s="20">
        <f>""</f>
        <v/>
      </c>
      <c r="G671">
        <f>IF($C671="","",IF(Registro_Compras!$F$78="NOTA DE CREDITO","Por la nota de credito "&amp;Registro_Compras!$C$78&amp;" de "&amp;Registro_Compras!$E$78&amp;" [PATRON POR CONFIRMAR CON CONTADOR]",IF(Registro_Compras!$F$78="RHE","Por el registro del recibo por honorarios "&amp;Registro_Compras!$C$78&amp;" de "&amp;Registro_Compras!$E$78&amp;" [PATRON POR CONFIRMAR CON CONTADOR]","Por el registro de la factura "&amp;Registro_Compras!$C$78&amp;" de "&amp;Registro_Compras!$E$78)))</f>
        <v/>
      </c>
      <c r="H671">
        <f>IF($C671="","",Registro_Compras!$C$78)</f>
        <v/>
      </c>
    </row>
    <row r="672">
      <c r="A672" s="25">
        <f>IF($C672="","",Registro_Compras!$B$78)</f>
        <v/>
      </c>
      <c r="B672">
        <f>IF($C672="","","C"&amp;TEXT(INT((ROW()-5)/9)+1,"000")&amp;"-1")</f>
        <v/>
      </c>
      <c r="C672">
        <f>IF(OR(Registro_Compras!$C$78="",Registro_Compras!$O$78=""),"",IF(Registro_Compras!$F$78="RHE",IF(Registro_Compras!$V$78=0,"","40172"),IF(Registro_Compras!$F$78="NOTA DE CREDITO",IF(Registro_Compras!$M$78="","63",Registro_Compras!$M$78),IF(Registro_Compras!$K$78=0,"","40111"))))</f>
        <v/>
      </c>
      <c r="D672">
        <f>IF(OR(Registro_Compras!$C$78="",Registro_Compras!$O$78=""),"",IF(Registro_Compras!$F$78="RHE","Retencion Renta 4ta Categoria por Pagar",IF(Registro_Compras!$F$78="NOTA DE CREDITO","Gastos de Servicios Prestados por Terceros","IGV - Cuenta Propia (Credito Fiscal)")))</f>
        <v/>
      </c>
      <c r="E672" s="20">
        <f>IF($C672="","",IF(Registro_Compras!$F$78="FACTURA",ROUND(Registro_Compras!$K$78*Registro_Compras!$N$78,2),""))</f>
        <v/>
      </c>
      <c r="F672" s="20">
        <f>IF($C672="","",IF(Registro_Compras!$F$78="RHE",ROUND(Registro_Compras!$V$78*Registro_Compras!$N$78,2),IF(Registro_Compras!$F$78="NOTA DE CREDITO",ROUND(ABS(Registro_Compras!$J$78*Registro_Compras!$N$78),2),"")))</f>
        <v/>
      </c>
      <c r="G672">
        <f>IF($C672="","",IF(Registro_Compras!$F$78="NOTA DE CREDITO","Por la nota de credito "&amp;Registro_Compras!$C$78&amp;" de "&amp;Registro_Compras!$E$78&amp;" [PATRON POR CONFIRMAR CON CONTADOR]",IF(Registro_Compras!$F$78="RHE","Por el registro del recibo por honorarios "&amp;Registro_Compras!$C$78&amp;" de "&amp;Registro_Compras!$E$78&amp;" [PATRON POR CONFIRMAR CON CONTADOR]","Por el registro de la factura "&amp;Registro_Compras!$C$78&amp;" de "&amp;Registro_Compras!$E$78)))</f>
        <v/>
      </c>
      <c r="H672">
        <f>IF($C672="","",Registro_Compras!$C$78)</f>
        <v/>
      </c>
    </row>
    <row r="673">
      <c r="A673" s="25">
        <f>IF($C673="","",Registro_Compras!$B$78)</f>
        <v/>
      </c>
      <c r="B673">
        <f>IF($C673="","","C"&amp;TEXT(INT((ROW()-5)/9)+1,"000")&amp;"-1")</f>
        <v/>
      </c>
      <c r="C673">
        <f>IF(OR(Registro_Compras!$C$78="",Registro_Compras!$O$78=""),"",IF(Registro_Compras!$F$78="NOTA DE CREDITO",IF(Registro_Compras!$K$78=0,"","40111"),"4212"))</f>
        <v/>
      </c>
      <c r="D673">
        <f>IF(OR(Registro_Compras!$C$78="",Registro_Compras!$O$78=""),"",IF(Registro_Compras!$F$78="NOTA DE CREDITO","IGV - Cuenta Propia (Credito Fiscal)","Cuentas por Pagar Comerciales - Terceros (Emitidas)"))</f>
        <v/>
      </c>
      <c r="E673" s="20">
        <f>""</f>
        <v/>
      </c>
      <c r="F673" s="20">
        <f>IF($C673="","",IF(Registro_Compras!$F$78="NOTA DE CREDITO",ROUND(ABS(Registro_Compras!$K$78*Registro_Compras!$N$78),2),IF(Registro_Compras!$F$78="RHE",(ROUND(Registro_Compras!$L$78*Registro_Compras!$N$78,2)-ROUND(Registro_Compras!$V$78*Registro_Compras!$N$78,2)),Registro_Compras!$O$78)))</f>
        <v/>
      </c>
      <c r="G673">
        <f>IF($C673="","",IF(Registro_Compras!$F$78="NOTA DE CREDITO","Por la nota de credito "&amp;Registro_Compras!$C$78&amp;" de "&amp;Registro_Compras!$E$78&amp;" [PATRON POR CONFIRMAR CON CONTADOR]",IF(Registro_Compras!$F$78="RHE","Por el registro del recibo por honorarios "&amp;Registro_Compras!$C$78&amp;" de "&amp;Registro_Compras!$E$78&amp;" [PATRON POR CONFIRMAR CON CONTADOR]","Por el registro de la factura "&amp;Registro_Compras!$C$78&amp;" de "&amp;Registro_Compras!$E$78)))</f>
        <v/>
      </c>
      <c r="H673">
        <f>IF($C673="","",Registro_Compras!$C$78)</f>
        <v/>
      </c>
    </row>
    <row r="674">
      <c r="A674" s="25">
        <f>IF($C674="","",Registro_Compras!$B$78)</f>
        <v/>
      </c>
      <c r="B674">
        <f>IF($C674="","","C"&amp;TEXT(INT((ROW()-5)/9)+1,"000")&amp;"-2")</f>
        <v/>
      </c>
      <c r="C674">
        <f>IF(OR(Registro_Compras!$C$78="",Registro_Compras!$O$78=""),"",IF(Registro_Compras!$AB$78="ADMINISTRATIVO","94","95"))</f>
        <v/>
      </c>
      <c r="D674">
        <f>IF(OR(Registro_Compras!$C$78="",Registro_Compras!$O$78=""),"",IF(Registro_Compras!$AB$78="ADMINISTRATIVO","Gastos Administrativos","Gastos de Venta y Operacion"))</f>
        <v/>
      </c>
      <c r="E674" s="20">
        <f>IF($C674="","",IF(Registro_Compras!$F$78="NOTA DE CREDITO","",IF(Registro_Compras!$F$78="RHE",ROUND(Registro_Compras!$L$78*Registro_Compras!$N$78,2),ROUND(Registro_Compras!$J$78*Registro_Compras!$N$78,2))))</f>
        <v/>
      </c>
      <c r="F674" s="20">
        <f>IF($C674="","",IF(Registro_Compras!$F$78="NOTA DE CREDITO",ROUND(ABS(Registro_Compras!$J$78*Registro_Compras!$N$78),2),""))</f>
        <v/>
      </c>
      <c r="G674">
        <f>IF($C674="","","Por el destino del gasto")</f>
        <v/>
      </c>
      <c r="H674">
        <f>IF($C674="","",Registro_Compras!$C$78)</f>
        <v/>
      </c>
    </row>
    <row r="675">
      <c r="A675" s="25">
        <f>IF($C675="","",Registro_Compras!$B$78)</f>
        <v/>
      </c>
      <c r="B675">
        <f>IF($C675="","","C"&amp;TEXT(INT((ROW()-5)/9)+1,"000")&amp;"-2")</f>
        <v/>
      </c>
      <c r="C675">
        <f>IF(OR(Registro_Compras!$C$78="",Registro_Compras!$O$78=""),"","79/791")</f>
        <v/>
      </c>
      <c r="D675">
        <f>IF(OR(Registro_Compras!$C$78="",Registro_Compras!$O$78=""),"","Cargas Imputables a Cuentas de Costos y Gastos")</f>
        <v/>
      </c>
      <c r="E675" s="20">
        <f>IF($C675="","",IF(Registro_Compras!$F$78="NOTA DE CREDITO",ROUND(ABS(Registro_Compras!$J$78*Registro_Compras!$N$78),2),""))</f>
        <v/>
      </c>
      <c r="F675" s="20">
        <f>IF($C675="","",IF(Registro_Compras!$F$78="NOTA DE CREDITO","",IF(Registro_Compras!$F$78="RHE",ROUND(Registro_Compras!$L$78*Registro_Compras!$N$78,2),ROUND(Registro_Compras!$J$78*Registro_Compras!$N$78,2))))</f>
        <v/>
      </c>
      <c r="G675">
        <f>IF($C675="","","Por el destino del gasto")</f>
        <v/>
      </c>
      <c r="H675">
        <f>IF($C675="","",Registro_Compras!$C$78)</f>
        <v/>
      </c>
    </row>
    <row r="676">
      <c r="A676" s="25">
        <f>IF($C676="","",Registro_Compras!$X$78)</f>
        <v/>
      </c>
      <c r="B676">
        <f>IF($C676="","","C"&amp;TEXT(INT((ROW()-5)/9)+1,"000")&amp;"-3")</f>
        <v/>
      </c>
      <c r="C676">
        <f>IF(OR(Registro_Compras!$C$78="",Registro_Compras!$O$78="",Registro_Compras!$R$78&lt;&gt;"SI",Registro_Compras!$X$78=""),"","4212")</f>
        <v/>
      </c>
      <c r="D676">
        <f>IF(OR(Registro_Compras!$C$78="",Registro_Compras!$O$78=""),"","Cuentas por Pagar Comerciales - Terceros")</f>
        <v/>
      </c>
      <c r="E676" s="20">
        <f>IF($C676="","",Registro_Compras!$S$78)</f>
        <v/>
      </c>
      <c r="F676" s="20">
        <f>""</f>
        <v/>
      </c>
      <c r="G676">
        <f>IF($C676="","","Por el deposito de la detraccion en el Banco de la Nacion")</f>
        <v/>
      </c>
      <c r="H676">
        <f>IF($C676="","",Registro_Compras!$C$78)</f>
        <v/>
      </c>
    </row>
    <row r="677">
      <c r="A677" s="25">
        <f>IF($C677="","",Registro_Compras!$X$78)</f>
        <v/>
      </c>
      <c r="B677">
        <f>IF($C677="","","C"&amp;TEXT(INT((ROW()-5)/9)+1,"000")&amp;"-3")</f>
        <v/>
      </c>
      <c r="C677">
        <f>IF(OR(Registro_Compras!$C$78="",Registro_Compras!$O$78="",Registro_Compras!$R$78&lt;&gt;"SI",Registro_Compras!$X$78=""),"","10413")</f>
        <v/>
      </c>
      <c r="D677">
        <f>IF(OR(Registro_Compras!$C$78="",Registro_Compras!$O$78=""),"","Efectivo y Equivalentes - Cta. Cte. Operativa")</f>
        <v/>
      </c>
      <c r="E677" s="20">
        <f>""</f>
        <v/>
      </c>
      <c r="F677" s="20">
        <f>IF($C677="","",Registro_Compras!$S$78)</f>
        <v/>
      </c>
      <c r="G677">
        <f>IF($C677="","","Por el deposito de la detraccion en el Banco de la Nacion")</f>
        <v/>
      </c>
      <c r="H677">
        <f>IF($C677="","",Registro_Compras!$C$78)</f>
        <v/>
      </c>
    </row>
    <row r="678">
      <c r="A678" s="25">
        <f>IF($C678="","",Registro_Compras!$Y$78)</f>
        <v/>
      </c>
      <c r="B678">
        <f>IF($C678="","","C"&amp;TEXT(INT((ROW()-5)/9)+1,"000")&amp;"-4")</f>
        <v/>
      </c>
      <c r="C678">
        <f>IF(OR(Registro_Compras!$C$78="",Registro_Compras!$O$78="",Registro_Compras!$Y$78="",Registro_Compras!$F$78="NOTA DE CREDITO"),"","4212")</f>
        <v/>
      </c>
      <c r="D678">
        <f>IF(OR(Registro_Compras!$C$78="",Registro_Compras!$O$78=""),"","Cuentas por Pagar Comerciales - Terceros")</f>
        <v/>
      </c>
      <c r="E678" s="20">
        <f>IF($C678="","",IF(Registro_Compras!$F$78="RHE",(ROUND(Registro_Compras!$L$78*Registro_Compras!$N$78,2)-ROUND(Registro_Compras!$V$78*Registro_Compras!$N$78,2)),ROUND(Registro_Compras!$O$78-Registro_Compras!$S$78,2)))</f>
        <v/>
      </c>
      <c r="F678" s="20">
        <f>""</f>
        <v/>
      </c>
      <c r="G678">
        <f>IF($C678="","","Por la cancelacion del saldo al proveedor")</f>
        <v/>
      </c>
      <c r="H678">
        <f>IF($C678="","",Registro_Compras!$C$78)</f>
        <v/>
      </c>
    </row>
    <row r="679">
      <c r="A679" s="25">
        <f>IF($C679="","",Registro_Compras!$Y$78)</f>
        <v/>
      </c>
      <c r="B679">
        <f>IF($C679="","","C"&amp;TEXT(INT((ROW()-5)/9)+1,"000")&amp;"-4")</f>
        <v/>
      </c>
      <c r="C679">
        <f>IF(OR(Registro_Compras!$C$78="",Registro_Compras!$O$78="",Registro_Compras!$Y$78="",Registro_Compras!$F$78="NOTA DE CREDITO"),"","10413")</f>
        <v/>
      </c>
      <c r="D679">
        <f>IF(OR(Registro_Compras!$C$78="",Registro_Compras!$O$78=""),"","Efectivo y Equivalentes - Cta. Cte. Operativa")</f>
        <v/>
      </c>
      <c r="E679" s="20">
        <f>""</f>
        <v/>
      </c>
      <c r="F679" s="20">
        <f>IF($C679="","",IF(Registro_Compras!$F$78="RHE",(ROUND(Registro_Compras!$L$78*Registro_Compras!$N$78,2)-ROUND(Registro_Compras!$V$78*Registro_Compras!$N$78,2)),ROUND(Registro_Compras!$O$78-Registro_Compras!$S$78,2)))</f>
        <v/>
      </c>
      <c r="G679">
        <f>IF($C679="","","Por la cancelacion del saldo al proveedor")</f>
        <v/>
      </c>
      <c r="H679">
        <f>IF($C679="","",Registro_Compras!$C$78)</f>
        <v/>
      </c>
    </row>
    <row r="680">
      <c r="A680" s="25">
        <f>IF($C680="","",Registro_Compras!$B$79)</f>
        <v/>
      </c>
      <c r="B680">
        <f>IF($C680="","","C"&amp;TEXT(INT((ROW()-5)/9)+1,"000")&amp;"-1")</f>
        <v/>
      </c>
      <c r="C680">
        <f>IF(OR(Registro_Compras!$C$79="",Registro_Compras!$O$79=""),"",IF(Registro_Compras!$F$79="NOTA DE CREDITO","4212",IF(Registro_Compras!$M$79="","63",Registro_Compras!$M$79)))</f>
        <v/>
      </c>
      <c r="D680">
        <f>IF(OR(Registro_Compras!$C$79="",Registro_Compras!$O$79=""),"",IF(Registro_Compras!$F$79="NOTA DE CREDITO","Cuentas por Pagar Comerciales - Terceros (Emitidas)",IF(Registro_Compras!$F$79="RHE","Honorarios Profesionales - Servicios de Terceros","Gastos de Servicios Prestados por Terceros")))</f>
        <v/>
      </c>
      <c r="E680" s="20">
        <f>IF($C680="","",IF(Registro_Compras!$F$79="NOTA DE CREDITO",ABS(Registro_Compras!$O$79),IF(Registro_Compras!$F$79="RHE",ROUND(Registro_Compras!$L$79*Registro_Compras!$N$79,2),ROUND(Registro_Compras!$J$79*Registro_Compras!$N$79,2))))</f>
        <v/>
      </c>
      <c r="F680" s="20">
        <f>""</f>
        <v/>
      </c>
      <c r="G680">
        <f>IF($C680="","",IF(Registro_Compras!$F$79="NOTA DE CREDITO","Por la nota de credito "&amp;Registro_Compras!$C$79&amp;" de "&amp;Registro_Compras!$E$79&amp;" [PATRON POR CONFIRMAR CON CONTADOR]",IF(Registro_Compras!$F$79="RHE","Por el registro del recibo por honorarios "&amp;Registro_Compras!$C$79&amp;" de "&amp;Registro_Compras!$E$79&amp;" [PATRON POR CONFIRMAR CON CONTADOR]","Por el registro de la factura "&amp;Registro_Compras!$C$79&amp;" de "&amp;Registro_Compras!$E$79)))</f>
        <v/>
      </c>
      <c r="H680">
        <f>IF($C680="","",Registro_Compras!$C$79)</f>
        <v/>
      </c>
    </row>
    <row r="681">
      <c r="A681" s="25">
        <f>IF($C681="","",Registro_Compras!$B$79)</f>
        <v/>
      </c>
      <c r="B681">
        <f>IF($C681="","","C"&amp;TEXT(INT((ROW()-5)/9)+1,"000")&amp;"-1")</f>
        <v/>
      </c>
      <c r="C681">
        <f>IF(OR(Registro_Compras!$C$79="",Registro_Compras!$O$79=""),"",IF(Registro_Compras!$F$79="RHE",IF(Registro_Compras!$V$79=0,"","40172"),IF(Registro_Compras!$F$79="NOTA DE CREDITO",IF(Registro_Compras!$M$79="","63",Registro_Compras!$M$79),IF(Registro_Compras!$K$79=0,"","40111"))))</f>
        <v/>
      </c>
      <c r="D681">
        <f>IF(OR(Registro_Compras!$C$79="",Registro_Compras!$O$79=""),"",IF(Registro_Compras!$F$79="RHE","Retencion Renta 4ta Categoria por Pagar",IF(Registro_Compras!$F$79="NOTA DE CREDITO","Gastos de Servicios Prestados por Terceros","IGV - Cuenta Propia (Credito Fiscal)")))</f>
        <v/>
      </c>
      <c r="E681" s="20">
        <f>IF($C681="","",IF(Registro_Compras!$F$79="FACTURA",ROUND(Registro_Compras!$K$79*Registro_Compras!$N$79,2),""))</f>
        <v/>
      </c>
      <c r="F681" s="20">
        <f>IF($C681="","",IF(Registro_Compras!$F$79="RHE",ROUND(Registro_Compras!$V$79*Registro_Compras!$N$79,2),IF(Registro_Compras!$F$79="NOTA DE CREDITO",ROUND(ABS(Registro_Compras!$J$79*Registro_Compras!$N$79),2),"")))</f>
        <v/>
      </c>
      <c r="G681">
        <f>IF($C681="","",IF(Registro_Compras!$F$79="NOTA DE CREDITO","Por la nota de credito "&amp;Registro_Compras!$C$79&amp;" de "&amp;Registro_Compras!$E$79&amp;" [PATRON POR CONFIRMAR CON CONTADOR]",IF(Registro_Compras!$F$79="RHE","Por el registro del recibo por honorarios "&amp;Registro_Compras!$C$79&amp;" de "&amp;Registro_Compras!$E$79&amp;" [PATRON POR CONFIRMAR CON CONTADOR]","Por el registro de la factura "&amp;Registro_Compras!$C$79&amp;" de "&amp;Registro_Compras!$E$79)))</f>
        <v/>
      </c>
      <c r="H681">
        <f>IF($C681="","",Registro_Compras!$C$79)</f>
        <v/>
      </c>
    </row>
    <row r="682">
      <c r="A682" s="25">
        <f>IF($C682="","",Registro_Compras!$B$79)</f>
        <v/>
      </c>
      <c r="B682">
        <f>IF($C682="","","C"&amp;TEXT(INT((ROW()-5)/9)+1,"000")&amp;"-1")</f>
        <v/>
      </c>
      <c r="C682">
        <f>IF(OR(Registro_Compras!$C$79="",Registro_Compras!$O$79=""),"",IF(Registro_Compras!$F$79="NOTA DE CREDITO",IF(Registro_Compras!$K$79=0,"","40111"),"4212"))</f>
        <v/>
      </c>
      <c r="D682">
        <f>IF(OR(Registro_Compras!$C$79="",Registro_Compras!$O$79=""),"",IF(Registro_Compras!$F$79="NOTA DE CREDITO","IGV - Cuenta Propia (Credito Fiscal)","Cuentas por Pagar Comerciales - Terceros (Emitidas)"))</f>
        <v/>
      </c>
      <c r="E682" s="20">
        <f>""</f>
        <v/>
      </c>
      <c r="F682" s="20">
        <f>IF($C682="","",IF(Registro_Compras!$F$79="NOTA DE CREDITO",ROUND(ABS(Registro_Compras!$K$79*Registro_Compras!$N$79),2),IF(Registro_Compras!$F$79="RHE",(ROUND(Registro_Compras!$L$79*Registro_Compras!$N$79,2)-ROUND(Registro_Compras!$V$79*Registro_Compras!$N$79,2)),Registro_Compras!$O$79)))</f>
        <v/>
      </c>
      <c r="G682">
        <f>IF($C682="","",IF(Registro_Compras!$F$79="NOTA DE CREDITO","Por la nota de credito "&amp;Registro_Compras!$C$79&amp;" de "&amp;Registro_Compras!$E$79&amp;" [PATRON POR CONFIRMAR CON CONTADOR]",IF(Registro_Compras!$F$79="RHE","Por el registro del recibo por honorarios "&amp;Registro_Compras!$C$79&amp;" de "&amp;Registro_Compras!$E$79&amp;" [PATRON POR CONFIRMAR CON CONTADOR]","Por el registro de la factura "&amp;Registro_Compras!$C$79&amp;" de "&amp;Registro_Compras!$E$79)))</f>
        <v/>
      </c>
      <c r="H682">
        <f>IF($C682="","",Registro_Compras!$C$79)</f>
        <v/>
      </c>
    </row>
    <row r="683">
      <c r="A683" s="25">
        <f>IF($C683="","",Registro_Compras!$B$79)</f>
        <v/>
      </c>
      <c r="B683">
        <f>IF($C683="","","C"&amp;TEXT(INT((ROW()-5)/9)+1,"000")&amp;"-2")</f>
        <v/>
      </c>
      <c r="C683">
        <f>IF(OR(Registro_Compras!$C$79="",Registro_Compras!$O$79=""),"",IF(Registro_Compras!$AB$79="ADMINISTRATIVO","94","95"))</f>
        <v/>
      </c>
      <c r="D683">
        <f>IF(OR(Registro_Compras!$C$79="",Registro_Compras!$O$79=""),"",IF(Registro_Compras!$AB$79="ADMINISTRATIVO","Gastos Administrativos","Gastos de Venta y Operacion"))</f>
        <v/>
      </c>
      <c r="E683" s="20">
        <f>IF($C683="","",IF(Registro_Compras!$F$79="NOTA DE CREDITO","",IF(Registro_Compras!$F$79="RHE",ROUND(Registro_Compras!$L$79*Registro_Compras!$N$79,2),ROUND(Registro_Compras!$J$79*Registro_Compras!$N$79,2))))</f>
        <v/>
      </c>
      <c r="F683" s="20">
        <f>IF($C683="","",IF(Registro_Compras!$F$79="NOTA DE CREDITO",ROUND(ABS(Registro_Compras!$J$79*Registro_Compras!$N$79),2),""))</f>
        <v/>
      </c>
      <c r="G683">
        <f>IF($C683="","","Por el destino del gasto")</f>
        <v/>
      </c>
      <c r="H683">
        <f>IF($C683="","",Registro_Compras!$C$79)</f>
        <v/>
      </c>
    </row>
    <row r="684">
      <c r="A684" s="25">
        <f>IF($C684="","",Registro_Compras!$B$79)</f>
        <v/>
      </c>
      <c r="B684">
        <f>IF($C684="","","C"&amp;TEXT(INT((ROW()-5)/9)+1,"000")&amp;"-2")</f>
        <v/>
      </c>
      <c r="C684">
        <f>IF(OR(Registro_Compras!$C$79="",Registro_Compras!$O$79=""),"","79/791")</f>
        <v/>
      </c>
      <c r="D684">
        <f>IF(OR(Registro_Compras!$C$79="",Registro_Compras!$O$79=""),"","Cargas Imputables a Cuentas de Costos y Gastos")</f>
        <v/>
      </c>
      <c r="E684" s="20">
        <f>IF($C684="","",IF(Registro_Compras!$F$79="NOTA DE CREDITO",ROUND(ABS(Registro_Compras!$J$79*Registro_Compras!$N$79),2),""))</f>
        <v/>
      </c>
      <c r="F684" s="20">
        <f>IF($C684="","",IF(Registro_Compras!$F$79="NOTA DE CREDITO","",IF(Registro_Compras!$F$79="RHE",ROUND(Registro_Compras!$L$79*Registro_Compras!$N$79,2),ROUND(Registro_Compras!$J$79*Registro_Compras!$N$79,2))))</f>
        <v/>
      </c>
      <c r="G684">
        <f>IF($C684="","","Por el destino del gasto")</f>
        <v/>
      </c>
      <c r="H684">
        <f>IF($C684="","",Registro_Compras!$C$79)</f>
        <v/>
      </c>
    </row>
    <row r="685">
      <c r="A685" s="25">
        <f>IF($C685="","",Registro_Compras!$X$79)</f>
        <v/>
      </c>
      <c r="B685">
        <f>IF($C685="","","C"&amp;TEXT(INT((ROW()-5)/9)+1,"000")&amp;"-3")</f>
        <v/>
      </c>
      <c r="C685">
        <f>IF(OR(Registro_Compras!$C$79="",Registro_Compras!$O$79="",Registro_Compras!$R$79&lt;&gt;"SI",Registro_Compras!$X$79=""),"","4212")</f>
        <v/>
      </c>
      <c r="D685">
        <f>IF(OR(Registro_Compras!$C$79="",Registro_Compras!$O$79=""),"","Cuentas por Pagar Comerciales - Terceros")</f>
        <v/>
      </c>
      <c r="E685" s="20">
        <f>IF($C685="","",Registro_Compras!$S$79)</f>
        <v/>
      </c>
      <c r="F685" s="20">
        <f>""</f>
        <v/>
      </c>
      <c r="G685">
        <f>IF($C685="","","Por el deposito de la detraccion en el Banco de la Nacion")</f>
        <v/>
      </c>
      <c r="H685">
        <f>IF($C685="","",Registro_Compras!$C$79)</f>
        <v/>
      </c>
    </row>
    <row r="686">
      <c r="A686" s="25">
        <f>IF($C686="","",Registro_Compras!$X$79)</f>
        <v/>
      </c>
      <c r="B686">
        <f>IF($C686="","","C"&amp;TEXT(INT((ROW()-5)/9)+1,"000")&amp;"-3")</f>
        <v/>
      </c>
      <c r="C686">
        <f>IF(OR(Registro_Compras!$C$79="",Registro_Compras!$O$79="",Registro_Compras!$R$79&lt;&gt;"SI",Registro_Compras!$X$79=""),"","10413")</f>
        <v/>
      </c>
      <c r="D686">
        <f>IF(OR(Registro_Compras!$C$79="",Registro_Compras!$O$79=""),"","Efectivo y Equivalentes - Cta. Cte. Operativa")</f>
        <v/>
      </c>
      <c r="E686" s="20">
        <f>""</f>
        <v/>
      </c>
      <c r="F686" s="20">
        <f>IF($C686="","",Registro_Compras!$S$79)</f>
        <v/>
      </c>
      <c r="G686">
        <f>IF($C686="","","Por el deposito de la detraccion en el Banco de la Nacion")</f>
        <v/>
      </c>
      <c r="H686">
        <f>IF($C686="","",Registro_Compras!$C$79)</f>
        <v/>
      </c>
    </row>
    <row r="687">
      <c r="A687" s="25">
        <f>IF($C687="","",Registro_Compras!$Y$79)</f>
        <v/>
      </c>
      <c r="B687">
        <f>IF($C687="","","C"&amp;TEXT(INT((ROW()-5)/9)+1,"000")&amp;"-4")</f>
        <v/>
      </c>
      <c r="C687">
        <f>IF(OR(Registro_Compras!$C$79="",Registro_Compras!$O$79="",Registro_Compras!$Y$79="",Registro_Compras!$F$79="NOTA DE CREDITO"),"","4212")</f>
        <v/>
      </c>
      <c r="D687">
        <f>IF(OR(Registro_Compras!$C$79="",Registro_Compras!$O$79=""),"","Cuentas por Pagar Comerciales - Terceros")</f>
        <v/>
      </c>
      <c r="E687" s="20">
        <f>IF($C687="","",IF(Registro_Compras!$F$79="RHE",(ROUND(Registro_Compras!$L$79*Registro_Compras!$N$79,2)-ROUND(Registro_Compras!$V$79*Registro_Compras!$N$79,2)),ROUND(Registro_Compras!$O$79-Registro_Compras!$S$79,2)))</f>
        <v/>
      </c>
      <c r="F687" s="20">
        <f>""</f>
        <v/>
      </c>
      <c r="G687">
        <f>IF($C687="","","Por la cancelacion del saldo al proveedor")</f>
        <v/>
      </c>
      <c r="H687">
        <f>IF($C687="","",Registro_Compras!$C$79)</f>
        <v/>
      </c>
    </row>
    <row r="688">
      <c r="A688" s="25">
        <f>IF($C688="","",Registro_Compras!$Y$79)</f>
        <v/>
      </c>
      <c r="B688">
        <f>IF($C688="","","C"&amp;TEXT(INT((ROW()-5)/9)+1,"000")&amp;"-4")</f>
        <v/>
      </c>
      <c r="C688">
        <f>IF(OR(Registro_Compras!$C$79="",Registro_Compras!$O$79="",Registro_Compras!$Y$79="",Registro_Compras!$F$79="NOTA DE CREDITO"),"","10413")</f>
        <v/>
      </c>
      <c r="D688">
        <f>IF(OR(Registro_Compras!$C$79="",Registro_Compras!$O$79=""),"","Efectivo y Equivalentes - Cta. Cte. Operativa")</f>
        <v/>
      </c>
      <c r="E688" s="20">
        <f>""</f>
        <v/>
      </c>
      <c r="F688" s="20">
        <f>IF($C688="","",IF(Registro_Compras!$F$79="RHE",(ROUND(Registro_Compras!$L$79*Registro_Compras!$N$79,2)-ROUND(Registro_Compras!$V$79*Registro_Compras!$N$79,2)),ROUND(Registro_Compras!$O$79-Registro_Compras!$S$79,2)))</f>
        <v/>
      </c>
      <c r="G688">
        <f>IF($C688="","","Por la cancelacion del saldo al proveedor")</f>
        <v/>
      </c>
      <c r="H688">
        <f>IF($C688="","",Registro_Compras!$C$79)</f>
        <v/>
      </c>
    </row>
    <row r="689">
      <c r="A689" s="25">
        <f>IF($C689="","",Registro_Compras!$B$80)</f>
        <v/>
      </c>
      <c r="B689">
        <f>IF($C689="","","C"&amp;TEXT(INT((ROW()-5)/9)+1,"000")&amp;"-1")</f>
        <v/>
      </c>
      <c r="C689">
        <f>IF(OR(Registro_Compras!$C$80="",Registro_Compras!$O$80=""),"",IF(Registro_Compras!$F$80="NOTA DE CREDITO","4212",IF(Registro_Compras!$M$80="","63",Registro_Compras!$M$80)))</f>
        <v/>
      </c>
      <c r="D689">
        <f>IF(OR(Registro_Compras!$C$80="",Registro_Compras!$O$80=""),"",IF(Registro_Compras!$F$80="NOTA DE CREDITO","Cuentas por Pagar Comerciales - Terceros (Emitidas)",IF(Registro_Compras!$F$80="RHE","Honorarios Profesionales - Servicios de Terceros","Gastos de Servicios Prestados por Terceros")))</f>
        <v/>
      </c>
      <c r="E689" s="20">
        <f>IF($C689="","",IF(Registro_Compras!$F$80="NOTA DE CREDITO",ABS(Registro_Compras!$O$80),IF(Registro_Compras!$F$80="RHE",ROUND(Registro_Compras!$L$80*Registro_Compras!$N$80,2),ROUND(Registro_Compras!$J$80*Registro_Compras!$N$80,2))))</f>
        <v/>
      </c>
      <c r="F689" s="20">
        <f>""</f>
        <v/>
      </c>
      <c r="G689">
        <f>IF($C689="","",IF(Registro_Compras!$F$80="NOTA DE CREDITO","Por la nota de credito "&amp;Registro_Compras!$C$80&amp;" de "&amp;Registro_Compras!$E$80&amp;" [PATRON POR CONFIRMAR CON CONTADOR]",IF(Registro_Compras!$F$80="RHE","Por el registro del recibo por honorarios "&amp;Registro_Compras!$C$80&amp;" de "&amp;Registro_Compras!$E$80&amp;" [PATRON POR CONFIRMAR CON CONTADOR]","Por el registro de la factura "&amp;Registro_Compras!$C$80&amp;" de "&amp;Registro_Compras!$E$80)))</f>
        <v/>
      </c>
      <c r="H689">
        <f>IF($C689="","",Registro_Compras!$C$80)</f>
        <v/>
      </c>
    </row>
    <row r="690">
      <c r="A690" s="25">
        <f>IF($C690="","",Registro_Compras!$B$80)</f>
        <v/>
      </c>
      <c r="B690">
        <f>IF($C690="","","C"&amp;TEXT(INT((ROW()-5)/9)+1,"000")&amp;"-1")</f>
        <v/>
      </c>
      <c r="C690">
        <f>IF(OR(Registro_Compras!$C$80="",Registro_Compras!$O$80=""),"",IF(Registro_Compras!$F$80="RHE",IF(Registro_Compras!$V$80=0,"","40172"),IF(Registro_Compras!$F$80="NOTA DE CREDITO",IF(Registro_Compras!$M$80="","63",Registro_Compras!$M$80),IF(Registro_Compras!$K$80=0,"","40111"))))</f>
        <v/>
      </c>
      <c r="D690">
        <f>IF(OR(Registro_Compras!$C$80="",Registro_Compras!$O$80=""),"",IF(Registro_Compras!$F$80="RHE","Retencion Renta 4ta Categoria por Pagar",IF(Registro_Compras!$F$80="NOTA DE CREDITO","Gastos de Servicios Prestados por Terceros","IGV - Cuenta Propia (Credito Fiscal)")))</f>
        <v/>
      </c>
      <c r="E690" s="20">
        <f>IF($C690="","",IF(Registro_Compras!$F$80="FACTURA",ROUND(Registro_Compras!$K$80*Registro_Compras!$N$80,2),""))</f>
        <v/>
      </c>
      <c r="F690" s="20">
        <f>IF($C690="","",IF(Registro_Compras!$F$80="RHE",ROUND(Registro_Compras!$V$80*Registro_Compras!$N$80,2),IF(Registro_Compras!$F$80="NOTA DE CREDITO",ROUND(ABS(Registro_Compras!$J$80*Registro_Compras!$N$80),2),"")))</f>
        <v/>
      </c>
      <c r="G690">
        <f>IF($C690="","",IF(Registro_Compras!$F$80="NOTA DE CREDITO","Por la nota de credito "&amp;Registro_Compras!$C$80&amp;" de "&amp;Registro_Compras!$E$80&amp;" [PATRON POR CONFIRMAR CON CONTADOR]",IF(Registro_Compras!$F$80="RHE","Por el registro del recibo por honorarios "&amp;Registro_Compras!$C$80&amp;" de "&amp;Registro_Compras!$E$80&amp;" [PATRON POR CONFIRMAR CON CONTADOR]","Por el registro de la factura "&amp;Registro_Compras!$C$80&amp;" de "&amp;Registro_Compras!$E$80)))</f>
        <v/>
      </c>
      <c r="H690">
        <f>IF($C690="","",Registro_Compras!$C$80)</f>
        <v/>
      </c>
    </row>
    <row r="691">
      <c r="A691" s="25">
        <f>IF($C691="","",Registro_Compras!$B$80)</f>
        <v/>
      </c>
      <c r="B691">
        <f>IF($C691="","","C"&amp;TEXT(INT((ROW()-5)/9)+1,"000")&amp;"-1")</f>
        <v/>
      </c>
      <c r="C691">
        <f>IF(OR(Registro_Compras!$C$80="",Registro_Compras!$O$80=""),"",IF(Registro_Compras!$F$80="NOTA DE CREDITO",IF(Registro_Compras!$K$80=0,"","40111"),"4212"))</f>
        <v/>
      </c>
      <c r="D691">
        <f>IF(OR(Registro_Compras!$C$80="",Registro_Compras!$O$80=""),"",IF(Registro_Compras!$F$80="NOTA DE CREDITO","IGV - Cuenta Propia (Credito Fiscal)","Cuentas por Pagar Comerciales - Terceros (Emitidas)"))</f>
        <v/>
      </c>
      <c r="E691" s="20">
        <f>""</f>
        <v/>
      </c>
      <c r="F691" s="20">
        <f>IF($C691="","",IF(Registro_Compras!$F$80="NOTA DE CREDITO",ROUND(ABS(Registro_Compras!$K$80*Registro_Compras!$N$80),2),IF(Registro_Compras!$F$80="RHE",(ROUND(Registro_Compras!$L$80*Registro_Compras!$N$80,2)-ROUND(Registro_Compras!$V$80*Registro_Compras!$N$80,2)),Registro_Compras!$O$80)))</f>
        <v/>
      </c>
      <c r="G691">
        <f>IF($C691="","",IF(Registro_Compras!$F$80="NOTA DE CREDITO","Por la nota de credito "&amp;Registro_Compras!$C$80&amp;" de "&amp;Registro_Compras!$E$80&amp;" [PATRON POR CONFIRMAR CON CONTADOR]",IF(Registro_Compras!$F$80="RHE","Por el registro del recibo por honorarios "&amp;Registro_Compras!$C$80&amp;" de "&amp;Registro_Compras!$E$80&amp;" [PATRON POR CONFIRMAR CON CONTADOR]","Por el registro de la factura "&amp;Registro_Compras!$C$80&amp;" de "&amp;Registro_Compras!$E$80)))</f>
        <v/>
      </c>
      <c r="H691">
        <f>IF($C691="","",Registro_Compras!$C$80)</f>
        <v/>
      </c>
    </row>
    <row r="692">
      <c r="A692" s="25">
        <f>IF($C692="","",Registro_Compras!$B$80)</f>
        <v/>
      </c>
      <c r="B692">
        <f>IF($C692="","","C"&amp;TEXT(INT((ROW()-5)/9)+1,"000")&amp;"-2")</f>
        <v/>
      </c>
      <c r="C692">
        <f>IF(OR(Registro_Compras!$C$80="",Registro_Compras!$O$80=""),"",IF(Registro_Compras!$AB$80="ADMINISTRATIVO","94","95"))</f>
        <v/>
      </c>
      <c r="D692">
        <f>IF(OR(Registro_Compras!$C$80="",Registro_Compras!$O$80=""),"",IF(Registro_Compras!$AB$80="ADMINISTRATIVO","Gastos Administrativos","Gastos de Venta y Operacion"))</f>
        <v/>
      </c>
      <c r="E692" s="20">
        <f>IF($C692="","",IF(Registro_Compras!$F$80="NOTA DE CREDITO","",IF(Registro_Compras!$F$80="RHE",ROUND(Registro_Compras!$L$80*Registro_Compras!$N$80,2),ROUND(Registro_Compras!$J$80*Registro_Compras!$N$80,2))))</f>
        <v/>
      </c>
      <c r="F692" s="20">
        <f>IF($C692="","",IF(Registro_Compras!$F$80="NOTA DE CREDITO",ROUND(ABS(Registro_Compras!$J$80*Registro_Compras!$N$80),2),""))</f>
        <v/>
      </c>
      <c r="G692">
        <f>IF($C692="","","Por el destino del gasto")</f>
        <v/>
      </c>
      <c r="H692">
        <f>IF($C692="","",Registro_Compras!$C$80)</f>
        <v/>
      </c>
    </row>
    <row r="693">
      <c r="A693" s="25">
        <f>IF($C693="","",Registro_Compras!$B$80)</f>
        <v/>
      </c>
      <c r="B693">
        <f>IF($C693="","","C"&amp;TEXT(INT((ROW()-5)/9)+1,"000")&amp;"-2")</f>
        <v/>
      </c>
      <c r="C693">
        <f>IF(OR(Registro_Compras!$C$80="",Registro_Compras!$O$80=""),"","79/791")</f>
        <v/>
      </c>
      <c r="D693">
        <f>IF(OR(Registro_Compras!$C$80="",Registro_Compras!$O$80=""),"","Cargas Imputables a Cuentas de Costos y Gastos")</f>
        <v/>
      </c>
      <c r="E693" s="20">
        <f>IF($C693="","",IF(Registro_Compras!$F$80="NOTA DE CREDITO",ROUND(ABS(Registro_Compras!$J$80*Registro_Compras!$N$80),2),""))</f>
        <v/>
      </c>
      <c r="F693" s="20">
        <f>IF($C693="","",IF(Registro_Compras!$F$80="NOTA DE CREDITO","",IF(Registro_Compras!$F$80="RHE",ROUND(Registro_Compras!$L$80*Registro_Compras!$N$80,2),ROUND(Registro_Compras!$J$80*Registro_Compras!$N$80,2))))</f>
        <v/>
      </c>
      <c r="G693">
        <f>IF($C693="","","Por el destino del gasto")</f>
        <v/>
      </c>
      <c r="H693">
        <f>IF($C693="","",Registro_Compras!$C$80)</f>
        <v/>
      </c>
    </row>
    <row r="694">
      <c r="A694" s="25">
        <f>IF($C694="","",Registro_Compras!$X$80)</f>
        <v/>
      </c>
      <c r="B694">
        <f>IF($C694="","","C"&amp;TEXT(INT((ROW()-5)/9)+1,"000")&amp;"-3")</f>
        <v/>
      </c>
      <c r="C694">
        <f>IF(OR(Registro_Compras!$C$80="",Registro_Compras!$O$80="",Registro_Compras!$R$80&lt;&gt;"SI",Registro_Compras!$X$80=""),"","4212")</f>
        <v/>
      </c>
      <c r="D694">
        <f>IF(OR(Registro_Compras!$C$80="",Registro_Compras!$O$80=""),"","Cuentas por Pagar Comerciales - Terceros")</f>
        <v/>
      </c>
      <c r="E694" s="20">
        <f>IF($C694="","",Registro_Compras!$S$80)</f>
        <v/>
      </c>
      <c r="F694" s="20">
        <f>""</f>
        <v/>
      </c>
      <c r="G694">
        <f>IF($C694="","","Por el deposito de la detraccion en el Banco de la Nacion")</f>
        <v/>
      </c>
      <c r="H694">
        <f>IF($C694="","",Registro_Compras!$C$80)</f>
        <v/>
      </c>
    </row>
    <row r="695">
      <c r="A695" s="25">
        <f>IF($C695="","",Registro_Compras!$X$80)</f>
        <v/>
      </c>
      <c r="B695">
        <f>IF($C695="","","C"&amp;TEXT(INT((ROW()-5)/9)+1,"000")&amp;"-3")</f>
        <v/>
      </c>
      <c r="C695">
        <f>IF(OR(Registro_Compras!$C$80="",Registro_Compras!$O$80="",Registro_Compras!$R$80&lt;&gt;"SI",Registro_Compras!$X$80=""),"","10413")</f>
        <v/>
      </c>
      <c r="D695">
        <f>IF(OR(Registro_Compras!$C$80="",Registro_Compras!$O$80=""),"","Efectivo y Equivalentes - Cta. Cte. Operativa")</f>
        <v/>
      </c>
      <c r="E695" s="20">
        <f>""</f>
        <v/>
      </c>
      <c r="F695" s="20">
        <f>IF($C695="","",Registro_Compras!$S$80)</f>
        <v/>
      </c>
      <c r="G695">
        <f>IF($C695="","","Por el deposito de la detraccion en el Banco de la Nacion")</f>
        <v/>
      </c>
      <c r="H695">
        <f>IF($C695="","",Registro_Compras!$C$80)</f>
        <v/>
      </c>
    </row>
    <row r="696">
      <c r="A696" s="25">
        <f>IF($C696="","",Registro_Compras!$Y$80)</f>
        <v/>
      </c>
      <c r="B696">
        <f>IF($C696="","","C"&amp;TEXT(INT((ROW()-5)/9)+1,"000")&amp;"-4")</f>
        <v/>
      </c>
      <c r="C696">
        <f>IF(OR(Registro_Compras!$C$80="",Registro_Compras!$O$80="",Registro_Compras!$Y$80="",Registro_Compras!$F$80="NOTA DE CREDITO"),"","4212")</f>
        <v/>
      </c>
      <c r="D696">
        <f>IF(OR(Registro_Compras!$C$80="",Registro_Compras!$O$80=""),"","Cuentas por Pagar Comerciales - Terceros")</f>
        <v/>
      </c>
      <c r="E696" s="20">
        <f>IF($C696="","",IF(Registro_Compras!$F$80="RHE",(ROUND(Registro_Compras!$L$80*Registro_Compras!$N$80,2)-ROUND(Registro_Compras!$V$80*Registro_Compras!$N$80,2)),ROUND(Registro_Compras!$O$80-Registro_Compras!$S$80,2)))</f>
        <v/>
      </c>
      <c r="F696" s="20">
        <f>""</f>
        <v/>
      </c>
      <c r="G696">
        <f>IF($C696="","","Por la cancelacion del saldo al proveedor")</f>
        <v/>
      </c>
      <c r="H696">
        <f>IF($C696="","",Registro_Compras!$C$80)</f>
        <v/>
      </c>
    </row>
    <row r="697">
      <c r="A697" s="25">
        <f>IF($C697="","",Registro_Compras!$Y$80)</f>
        <v/>
      </c>
      <c r="B697">
        <f>IF($C697="","","C"&amp;TEXT(INT((ROW()-5)/9)+1,"000")&amp;"-4")</f>
        <v/>
      </c>
      <c r="C697">
        <f>IF(OR(Registro_Compras!$C$80="",Registro_Compras!$O$80="",Registro_Compras!$Y$80="",Registro_Compras!$F$80="NOTA DE CREDITO"),"","10413")</f>
        <v/>
      </c>
      <c r="D697">
        <f>IF(OR(Registro_Compras!$C$80="",Registro_Compras!$O$80=""),"","Efectivo y Equivalentes - Cta. Cte. Operativa")</f>
        <v/>
      </c>
      <c r="E697" s="20">
        <f>""</f>
        <v/>
      </c>
      <c r="F697" s="20">
        <f>IF($C697="","",IF(Registro_Compras!$F$80="RHE",(ROUND(Registro_Compras!$L$80*Registro_Compras!$N$80,2)-ROUND(Registro_Compras!$V$80*Registro_Compras!$N$80,2)),ROUND(Registro_Compras!$O$80-Registro_Compras!$S$80,2)))</f>
        <v/>
      </c>
      <c r="G697">
        <f>IF($C697="","","Por la cancelacion del saldo al proveedor")</f>
        <v/>
      </c>
      <c r="H697">
        <f>IF($C697="","",Registro_Compras!$C$80)</f>
        <v/>
      </c>
    </row>
    <row r="698">
      <c r="A698" s="25">
        <f>IF($C698="","",Registro_Compras!$B$81)</f>
        <v/>
      </c>
      <c r="B698">
        <f>IF($C698="","","C"&amp;TEXT(INT((ROW()-5)/9)+1,"000")&amp;"-1")</f>
        <v/>
      </c>
      <c r="C698">
        <f>IF(OR(Registro_Compras!$C$81="",Registro_Compras!$O$81=""),"",IF(Registro_Compras!$F$81="NOTA DE CREDITO","4212",IF(Registro_Compras!$M$81="","63",Registro_Compras!$M$81)))</f>
        <v/>
      </c>
      <c r="D698">
        <f>IF(OR(Registro_Compras!$C$81="",Registro_Compras!$O$81=""),"",IF(Registro_Compras!$F$81="NOTA DE CREDITO","Cuentas por Pagar Comerciales - Terceros (Emitidas)",IF(Registro_Compras!$F$81="RHE","Honorarios Profesionales - Servicios de Terceros","Gastos de Servicios Prestados por Terceros")))</f>
        <v/>
      </c>
      <c r="E698" s="20">
        <f>IF($C698="","",IF(Registro_Compras!$F$81="NOTA DE CREDITO",ABS(Registro_Compras!$O$81),IF(Registro_Compras!$F$81="RHE",ROUND(Registro_Compras!$L$81*Registro_Compras!$N$81,2),ROUND(Registro_Compras!$J$81*Registro_Compras!$N$81,2))))</f>
        <v/>
      </c>
      <c r="F698" s="20">
        <f>""</f>
        <v/>
      </c>
      <c r="G698">
        <f>IF($C698="","",IF(Registro_Compras!$F$81="NOTA DE CREDITO","Por la nota de credito "&amp;Registro_Compras!$C$81&amp;" de "&amp;Registro_Compras!$E$81&amp;" [PATRON POR CONFIRMAR CON CONTADOR]",IF(Registro_Compras!$F$81="RHE","Por el registro del recibo por honorarios "&amp;Registro_Compras!$C$81&amp;" de "&amp;Registro_Compras!$E$81&amp;" [PATRON POR CONFIRMAR CON CONTADOR]","Por el registro de la factura "&amp;Registro_Compras!$C$81&amp;" de "&amp;Registro_Compras!$E$81)))</f>
        <v/>
      </c>
      <c r="H698">
        <f>IF($C698="","",Registro_Compras!$C$81)</f>
        <v/>
      </c>
    </row>
    <row r="699">
      <c r="A699" s="25">
        <f>IF($C699="","",Registro_Compras!$B$81)</f>
        <v/>
      </c>
      <c r="B699">
        <f>IF($C699="","","C"&amp;TEXT(INT((ROW()-5)/9)+1,"000")&amp;"-1")</f>
        <v/>
      </c>
      <c r="C699">
        <f>IF(OR(Registro_Compras!$C$81="",Registro_Compras!$O$81=""),"",IF(Registro_Compras!$F$81="RHE",IF(Registro_Compras!$V$81=0,"","40172"),IF(Registro_Compras!$F$81="NOTA DE CREDITO",IF(Registro_Compras!$M$81="","63",Registro_Compras!$M$81),IF(Registro_Compras!$K$81=0,"","40111"))))</f>
        <v/>
      </c>
      <c r="D699">
        <f>IF(OR(Registro_Compras!$C$81="",Registro_Compras!$O$81=""),"",IF(Registro_Compras!$F$81="RHE","Retencion Renta 4ta Categoria por Pagar",IF(Registro_Compras!$F$81="NOTA DE CREDITO","Gastos de Servicios Prestados por Terceros","IGV - Cuenta Propia (Credito Fiscal)")))</f>
        <v/>
      </c>
      <c r="E699" s="20">
        <f>IF($C699="","",IF(Registro_Compras!$F$81="FACTURA",ROUND(Registro_Compras!$K$81*Registro_Compras!$N$81,2),""))</f>
        <v/>
      </c>
      <c r="F699" s="20">
        <f>IF($C699="","",IF(Registro_Compras!$F$81="RHE",ROUND(Registro_Compras!$V$81*Registro_Compras!$N$81,2),IF(Registro_Compras!$F$81="NOTA DE CREDITO",ROUND(ABS(Registro_Compras!$J$81*Registro_Compras!$N$81),2),"")))</f>
        <v/>
      </c>
      <c r="G699">
        <f>IF($C699="","",IF(Registro_Compras!$F$81="NOTA DE CREDITO","Por la nota de credito "&amp;Registro_Compras!$C$81&amp;" de "&amp;Registro_Compras!$E$81&amp;" [PATRON POR CONFIRMAR CON CONTADOR]",IF(Registro_Compras!$F$81="RHE","Por el registro del recibo por honorarios "&amp;Registro_Compras!$C$81&amp;" de "&amp;Registro_Compras!$E$81&amp;" [PATRON POR CONFIRMAR CON CONTADOR]","Por el registro de la factura "&amp;Registro_Compras!$C$81&amp;" de "&amp;Registro_Compras!$E$81)))</f>
        <v/>
      </c>
      <c r="H699">
        <f>IF($C699="","",Registro_Compras!$C$81)</f>
        <v/>
      </c>
    </row>
    <row r="700">
      <c r="A700" s="25">
        <f>IF($C700="","",Registro_Compras!$B$81)</f>
        <v/>
      </c>
      <c r="B700">
        <f>IF($C700="","","C"&amp;TEXT(INT((ROW()-5)/9)+1,"000")&amp;"-1")</f>
        <v/>
      </c>
      <c r="C700">
        <f>IF(OR(Registro_Compras!$C$81="",Registro_Compras!$O$81=""),"",IF(Registro_Compras!$F$81="NOTA DE CREDITO",IF(Registro_Compras!$K$81=0,"","40111"),"4212"))</f>
        <v/>
      </c>
      <c r="D700">
        <f>IF(OR(Registro_Compras!$C$81="",Registro_Compras!$O$81=""),"",IF(Registro_Compras!$F$81="NOTA DE CREDITO","IGV - Cuenta Propia (Credito Fiscal)","Cuentas por Pagar Comerciales - Terceros (Emitidas)"))</f>
        <v/>
      </c>
      <c r="E700" s="20">
        <f>""</f>
        <v/>
      </c>
      <c r="F700" s="20">
        <f>IF($C700="","",IF(Registro_Compras!$F$81="NOTA DE CREDITO",ROUND(ABS(Registro_Compras!$K$81*Registro_Compras!$N$81),2),IF(Registro_Compras!$F$81="RHE",(ROUND(Registro_Compras!$L$81*Registro_Compras!$N$81,2)-ROUND(Registro_Compras!$V$81*Registro_Compras!$N$81,2)),Registro_Compras!$O$81)))</f>
        <v/>
      </c>
      <c r="G700">
        <f>IF($C700="","",IF(Registro_Compras!$F$81="NOTA DE CREDITO","Por la nota de credito "&amp;Registro_Compras!$C$81&amp;" de "&amp;Registro_Compras!$E$81&amp;" [PATRON POR CONFIRMAR CON CONTADOR]",IF(Registro_Compras!$F$81="RHE","Por el registro del recibo por honorarios "&amp;Registro_Compras!$C$81&amp;" de "&amp;Registro_Compras!$E$81&amp;" [PATRON POR CONFIRMAR CON CONTADOR]","Por el registro de la factura "&amp;Registro_Compras!$C$81&amp;" de "&amp;Registro_Compras!$E$81)))</f>
        <v/>
      </c>
      <c r="H700">
        <f>IF($C700="","",Registro_Compras!$C$81)</f>
        <v/>
      </c>
    </row>
    <row r="701">
      <c r="A701" s="25">
        <f>IF($C701="","",Registro_Compras!$B$81)</f>
        <v/>
      </c>
      <c r="B701">
        <f>IF($C701="","","C"&amp;TEXT(INT((ROW()-5)/9)+1,"000")&amp;"-2")</f>
        <v/>
      </c>
      <c r="C701">
        <f>IF(OR(Registro_Compras!$C$81="",Registro_Compras!$O$81=""),"",IF(Registro_Compras!$AB$81="ADMINISTRATIVO","94","95"))</f>
        <v/>
      </c>
      <c r="D701">
        <f>IF(OR(Registro_Compras!$C$81="",Registro_Compras!$O$81=""),"",IF(Registro_Compras!$AB$81="ADMINISTRATIVO","Gastos Administrativos","Gastos de Venta y Operacion"))</f>
        <v/>
      </c>
      <c r="E701" s="20">
        <f>IF($C701="","",IF(Registro_Compras!$F$81="NOTA DE CREDITO","",IF(Registro_Compras!$F$81="RHE",ROUND(Registro_Compras!$L$81*Registro_Compras!$N$81,2),ROUND(Registro_Compras!$J$81*Registro_Compras!$N$81,2))))</f>
        <v/>
      </c>
      <c r="F701" s="20">
        <f>IF($C701="","",IF(Registro_Compras!$F$81="NOTA DE CREDITO",ROUND(ABS(Registro_Compras!$J$81*Registro_Compras!$N$81),2),""))</f>
        <v/>
      </c>
      <c r="G701">
        <f>IF($C701="","","Por el destino del gasto")</f>
        <v/>
      </c>
      <c r="H701">
        <f>IF($C701="","",Registro_Compras!$C$81)</f>
        <v/>
      </c>
    </row>
    <row r="702">
      <c r="A702" s="25">
        <f>IF($C702="","",Registro_Compras!$B$81)</f>
        <v/>
      </c>
      <c r="B702">
        <f>IF($C702="","","C"&amp;TEXT(INT((ROW()-5)/9)+1,"000")&amp;"-2")</f>
        <v/>
      </c>
      <c r="C702">
        <f>IF(OR(Registro_Compras!$C$81="",Registro_Compras!$O$81=""),"","79/791")</f>
        <v/>
      </c>
      <c r="D702">
        <f>IF(OR(Registro_Compras!$C$81="",Registro_Compras!$O$81=""),"","Cargas Imputables a Cuentas de Costos y Gastos")</f>
        <v/>
      </c>
      <c r="E702" s="20">
        <f>IF($C702="","",IF(Registro_Compras!$F$81="NOTA DE CREDITO",ROUND(ABS(Registro_Compras!$J$81*Registro_Compras!$N$81),2),""))</f>
        <v/>
      </c>
      <c r="F702" s="20">
        <f>IF($C702="","",IF(Registro_Compras!$F$81="NOTA DE CREDITO","",IF(Registro_Compras!$F$81="RHE",ROUND(Registro_Compras!$L$81*Registro_Compras!$N$81,2),ROUND(Registro_Compras!$J$81*Registro_Compras!$N$81,2))))</f>
        <v/>
      </c>
      <c r="G702">
        <f>IF($C702="","","Por el destino del gasto")</f>
        <v/>
      </c>
      <c r="H702">
        <f>IF($C702="","",Registro_Compras!$C$81)</f>
        <v/>
      </c>
    </row>
    <row r="703">
      <c r="A703" s="25">
        <f>IF($C703="","",Registro_Compras!$X$81)</f>
        <v/>
      </c>
      <c r="B703">
        <f>IF($C703="","","C"&amp;TEXT(INT((ROW()-5)/9)+1,"000")&amp;"-3")</f>
        <v/>
      </c>
      <c r="C703">
        <f>IF(OR(Registro_Compras!$C$81="",Registro_Compras!$O$81="",Registro_Compras!$R$81&lt;&gt;"SI",Registro_Compras!$X$81=""),"","4212")</f>
        <v/>
      </c>
      <c r="D703">
        <f>IF(OR(Registro_Compras!$C$81="",Registro_Compras!$O$81=""),"","Cuentas por Pagar Comerciales - Terceros")</f>
        <v/>
      </c>
      <c r="E703" s="20">
        <f>IF($C703="","",Registro_Compras!$S$81)</f>
        <v/>
      </c>
      <c r="F703" s="20">
        <f>""</f>
        <v/>
      </c>
      <c r="G703">
        <f>IF($C703="","","Por el deposito de la detraccion en el Banco de la Nacion")</f>
        <v/>
      </c>
      <c r="H703">
        <f>IF($C703="","",Registro_Compras!$C$81)</f>
        <v/>
      </c>
    </row>
    <row r="704">
      <c r="A704" s="25">
        <f>IF($C704="","",Registro_Compras!$X$81)</f>
        <v/>
      </c>
      <c r="B704">
        <f>IF($C704="","","C"&amp;TEXT(INT((ROW()-5)/9)+1,"000")&amp;"-3")</f>
        <v/>
      </c>
      <c r="C704">
        <f>IF(OR(Registro_Compras!$C$81="",Registro_Compras!$O$81="",Registro_Compras!$R$81&lt;&gt;"SI",Registro_Compras!$X$81=""),"","10413")</f>
        <v/>
      </c>
      <c r="D704">
        <f>IF(OR(Registro_Compras!$C$81="",Registro_Compras!$O$81=""),"","Efectivo y Equivalentes - Cta. Cte. Operativa")</f>
        <v/>
      </c>
      <c r="E704" s="20">
        <f>""</f>
        <v/>
      </c>
      <c r="F704" s="20">
        <f>IF($C704="","",Registro_Compras!$S$81)</f>
        <v/>
      </c>
      <c r="G704">
        <f>IF($C704="","","Por el deposito de la detraccion en el Banco de la Nacion")</f>
        <v/>
      </c>
      <c r="H704">
        <f>IF($C704="","",Registro_Compras!$C$81)</f>
        <v/>
      </c>
    </row>
    <row r="705">
      <c r="A705" s="25">
        <f>IF($C705="","",Registro_Compras!$Y$81)</f>
        <v/>
      </c>
      <c r="B705">
        <f>IF($C705="","","C"&amp;TEXT(INT((ROW()-5)/9)+1,"000")&amp;"-4")</f>
        <v/>
      </c>
      <c r="C705">
        <f>IF(OR(Registro_Compras!$C$81="",Registro_Compras!$O$81="",Registro_Compras!$Y$81="",Registro_Compras!$F$81="NOTA DE CREDITO"),"","4212")</f>
        <v/>
      </c>
      <c r="D705">
        <f>IF(OR(Registro_Compras!$C$81="",Registro_Compras!$O$81=""),"","Cuentas por Pagar Comerciales - Terceros")</f>
        <v/>
      </c>
      <c r="E705" s="20">
        <f>IF($C705="","",IF(Registro_Compras!$F$81="RHE",(ROUND(Registro_Compras!$L$81*Registro_Compras!$N$81,2)-ROUND(Registro_Compras!$V$81*Registro_Compras!$N$81,2)),ROUND(Registro_Compras!$O$81-Registro_Compras!$S$81,2)))</f>
        <v/>
      </c>
      <c r="F705" s="20">
        <f>""</f>
        <v/>
      </c>
      <c r="G705">
        <f>IF($C705="","","Por la cancelacion del saldo al proveedor")</f>
        <v/>
      </c>
      <c r="H705">
        <f>IF($C705="","",Registro_Compras!$C$81)</f>
        <v/>
      </c>
    </row>
    <row r="706">
      <c r="A706" s="25">
        <f>IF($C706="","",Registro_Compras!$Y$81)</f>
        <v/>
      </c>
      <c r="B706">
        <f>IF($C706="","","C"&amp;TEXT(INT((ROW()-5)/9)+1,"000")&amp;"-4")</f>
        <v/>
      </c>
      <c r="C706">
        <f>IF(OR(Registro_Compras!$C$81="",Registro_Compras!$O$81="",Registro_Compras!$Y$81="",Registro_Compras!$F$81="NOTA DE CREDITO"),"","10413")</f>
        <v/>
      </c>
      <c r="D706">
        <f>IF(OR(Registro_Compras!$C$81="",Registro_Compras!$O$81=""),"","Efectivo y Equivalentes - Cta. Cte. Operativa")</f>
        <v/>
      </c>
      <c r="E706" s="20">
        <f>""</f>
        <v/>
      </c>
      <c r="F706" s="20">
        <f>IF($C706="","",IF(Registro_Compras!$F$81="RHE",(ROUND(Registro_Compras!$L$81*Registro_Compras!$N$81,2)-ROUND(Registro_Compras!$V$81*Registro_Compras!$N$81,2)),ROUND(Registro_Compras!$O$81-Registro_Compras!$S$81,2)))</f>
        <v/>
      </c>
      <c r="G706">
        <f>IF($C706="","","Por la cancelacion del saldo al proveedor")</f>
        <v/>
      </c>
      <c r="H706">
        <f>IF($C706="","",Registro_Compras!$C$81)</f>
        <v/>
      </c>
    </row>
    <row r="707">
      <c r="A707" s="25">
        <f>IF($C707="","",Registro_Compras!$B$82)</f>
        <v/>
      </c>
      <c r="B707">
        <f>IF($C707="","","C"&amp;TEXT(INT((ROW()-5)/9)+1,"000")&amp;"-1")</f>
        <v/>
      </c>
      <c r="C707">
        <f>IF(OR(Registro_Compras!$C$82="",Registro_Compras!$O$82=""),"",IF(Registro_Compras!$F$82="NOTA DE CREDITO","4212",IF(Registro_Compras!$M$82="","63",Registro_Compras!$M$82)))</f>
        <v/>
      </c>
      <c r="D707">
        <f>IF(OR(Registro_Compras!$C$82="",Registro_Compras!$O$82=""),"",IF(Registro_Compras!$F$82="NOTA DE CREDITO","Cuentas por Pagar Comerciales - Terceros (Emitidas)",IF(Registro_Compras!$F$82="RHE","Honorarios Profesionales - Servicios de Terceros","Gastos de Servicios Prestados por Terceros")))</f>
        <v/>
      </c>
      <c r="E707" s="20">
        <f>IF($C707="","",IF(Registro_Compras!$F$82="NOTA DE CREDITO",ABS(Registro_Compras!$O$82),IF(Registro_Compras!$F$82="RHE",ROUND(Registro_Compras!$L$82*Registro_Compras!$N$82,2),ROUND(Registro_Compras!$J$82*Registro_Compras!$N$82,2))))</f>
        <v/>
      </c>
      <c r="F707" s="20">
        <f>""</f>
        <v/>
      </c>
      <c r="G707">
        <f>IF($C707="","",IF(Registro_Compras!$F$82="NOTA DE CREDITO","Por la nota de credito "&amp;Registro_Compras!$C$82&amp;" de "&amp;Registro_Compras!$E$82&amp;" [PATRON POR CONFIRMAR CON CONTADOR]",IF(Registro_Compras!$F$82="RHE","Por el registro del recibo por honorarios "&amp;Registro_Compras!$C$82&amp;" de "&amp;Registro_Compras!$E$82&amp;" [PATRON POR CONFIRMAR CON CONTADOR]","Por el registro de la factura "&amp;Registro_Compras!$C$82&amp;" de "&amp;Registro_Compras!$E$82)))</f>
        <v/>
      </c>
      <c r="H707">
        <f>IF($C707="","",Registro_Compras!$C$82)</f>
        <v/>
      </c>
    </row>
    <row r="708">
      <c r="A708" s="25">
        <f>IF($C708="","",Registro_Compras!$B$82)</f>
        <v/>
      </c>
      <c r="B708">
        <f>IF($C708="","","C"&amp;TEXT(INT((ROW()-5)/9)+1,"000")&amp;"-1")</f>
        <v/>
      </c>
      <c r="C708">
        <f>IF(OR(Registro_Compras!$C$82="",Registro_Compras!$O$82=""),"",IF(Registro_Compras!$F$82="RHE",IF(Registro_Compras!$V$82=0,"","40172"),IF(Registro_Compras!$F$82="NOTA DE CREDITO",IF(Registro_Compras!$M$82="","63",Registro_Compras!$M$82),IF(Registro_Compras!$K$82=0,"","40111"))))</f>
        <v/>
      </c>
      <c r="D708">
        <f>IF(OR(Registro_Compras!$C$82="",Registro_Compras!$O$82=""),"",IF(Registro_Compras!$F$82="RHE","Retencion Renta 4ta Categoria por Pagar",IF(Registro_Compras!$F$82="NOTA DE CREDITO","Gastos de Servicios Prestados por Terceros","IGV - Cuenta Propia (Credito Fiscal)")))</f>
        <v/>
      </c>
      <c r="E708" s="20">
        <f>IF($C708="","",IF(Registro_Compras!$F$82="FACTURA",ROUND(Registro_Compras!$K$82*Registro_Compras!$N$82,2),""))</f>
        <v/>
      </c>
      <c r="F708" s="20">
        <f>IF($C708="","",IF(Registro_Compras!$F$82="RHE",ROUND(Registro_Compras!$V$82*Registro_Compras!$N$82,2),IF(Registro_Compras!$F$82="NOTA DE CREDITO",ROUND(ABS(Registro_Compras!$J$82*Registro_Compras!$N$82),2),"")))</f>
        <v/>
      </c>
      <c r="G708">
        <f>IF($C708="","",IF(Registro_Compras!$F$82="NOTA DE CREDITO","Por la nota de credito "&amp;Registro_Compras!$C$82&amp;" de "&amp;Registro_Compras!$E$82&amp;" [PATRON POR CONFIRMAR CON CONTADOR]",IF(Registro_Compras!$F$82="RHE","Por el registro del recibo por honorarios "&amp;Registro_Compras!$C$82&amp;" de "&amp;Registro_Compras!$E$82&amp;" [PATRON POR CONFIRMAR CON CONTADOR]","Por el registro de la factura "&amp;Registro_Compras!$C$82&amp;" de "&amp;Registro_Compras!$E$82)))</f>
        <v/>
      </c>
      <c r="H708">
        <f>IF($C708="","",Registro_Compras!$C$82)</f>
        <v/>
      </c>
    </row>
    <row r="709">
      <c r="A709" s="25">
        <f>IF($C709="","",Registro_Compras!$B$82)</f>
        <v/>
      </c>
      <c r="B709">
        <f>IF($C709="","","C"&amp;TEXT(INT((ROW()-5)/9)+1,"000")&amp;"-1")</f>
        <v/>
      </c>
      <c r="C709">
        <f>IF(OR(Registro_Compras!$C$82="",Registro_Compras!$O$82=""),"",IF(Registro_Compras!$F$82="NOTA DE CREDITO",IF(Registro_Compras!$K$82=0,"","40111"),"4212"))</f>
        <v/>
      </c>
      <c r="D709">
        <f>IF(OR(Registro_Compras!$C$82="",Registro_Compras!$O$82=""),"",IF(Registro_Compras!$F$82="NOTA DE CREDITO","IGV - Cuenta Propia (Credito Fiscal)","Cuentas por Pagar Comerciales - Terceros (Emitidas)"))</f>
        <v/>
      </c>
      <c r="E709" s="20">
        <f>""</f>
        <v/>
      </c>
      <c r="F709" s="20">
        <f>IF($C709="","",IF(Registro_Compras!$F$82="NOTA DE CREDITO",ROUND(ABS(Registro_Compras!$K$82*Registro_Compras!$N$82),2),IF(Registro_Compras!$F$82="RHE",(ROUND(Registro_Compras!$L$82*Registro_Compras!$N$82,2)-ROUND(Registro_Compras!$V$82*Registro_Compras!$N$82,2)),Registro_Compras!$O$82)))</f>
        <v/>
      </c>
      <c r="G709">
        <f>IF($C709="","",IF(Registro_Compras!$F$82="NOTA DE CREDITO","Por la nota de credito "&amp;Registro_Compras!$C$82&amp;" de "&amp;Registro_Compras!$E$82&amp;" [PATRON POR CONFIRMAR CON CONTADOR]",IF(Registro_Compras!$F$82="RHE","Por el registro del recibo por honorarios "&amp;Registro_Compras!$C$82&amp;" de "&amp;Registro_Compras!$E$82&amp;" [PATRON POR CONFIRMAR CON CONTADOR]","Por el registro de la factura "&amp;Registro_Compras!$C$82&amp;" de "&amp;Registro_Compras!$E$82)))</f>
        <v/>
      </c>
      <c r="H709">
        <f>IF($C709="","",Registro_Compras!$C$82)</f>
        <v/>
      </c>
    </row>
    <row r="710">
      <c r="A710" s="25">
        <f>IF($C710="","",Registro_Compras!$B$82)</f>
        <v/>
      </c>
      <c r="B710">
        <f>IF($C710="","","C"&amp;TEXT(INT((ROW()-5)/9)+1,"000")&amp;"-2")</f>
        <v/>
      </c>
      <c r="C710">
        <f>IF(OR(Registro_Compras!$C$82="",Registro_Compras!$O$82=""),"",IF(Registro_Compras!$AB$82="ADMINISTRATIVO","94","95"))</f>
        <v/>
      </c>
      <c r="D710">
        <f>IF(OR(Registro_Compras!$C$82="",Registro_Compras!$O$82=""),"",IF(Registro_Compras!$AB$82="ADMINISTRATIVO","Gastos Administrativos","Gastos de Venta y Operacion"))</f>
        <v/>
      </c>
      <c r="E710" s="20">
        <f>IF($C710="","",IF(Registro_Compras!$F$82="NOTA DE CREDITO","",IF(Registro_Compras!$F$82="RHE",ROUND(Registro_Compras!$L$82*Registro_Compras!$N$82,2),ROUND(Registro_Compras!$J$82*Registro_Compras!$N$82,2))))</f>
        <v/>
      </c>
      <c r="F710" s="20">
        <f>IF($C710="","",IF(Registro_Compras!$F$82="NOTA DE CREDITO",ROUND(ABS(Registro_Compras!$J$82*Registro_Compras!$N$82),2),""))</f>
        <v/>
      </c>
      <c r="G710">
        <f>IF($C710="","","Por el destino del gasto")</f>
        <v/>
      </c>
      <c r="H710">
        <f>IF($C710="","",Registro_Compras!$C$82)</f>
        <v/>
      </c>
    </row>
    <row r="711">
      <c r="A711" s="25">
        <f>IF($C711="","",Registro_Compras!$B$82)</f>
        <v/>
      </c>
      <c r="B711">
        <f>IF($C711="","","C"&amp;TEXT(INT((ROW()-5)/9)+1,"000")&amp;"-2")</f>
        <v/>
      </c>
      <c r="C711">
        <f>IF(OR(Registro_Compras!$C$82="",Registro_Compras!$O$82=""),"","79/791")</f>
        <v/>
      </c>
      <c r="D711">
        <f>IF(OR(Registro_Compras!$C$82="",Registro_Compras!$O$82=""),"","Cargas Imputables a Cuentas de Costos y Gastos")</f>
        <v/>
      </c>
      <c r="E711" s="20">
        <f>IF($C711="","",IF(Registro_Compras!$F$82="NOTA DE CREDITO",ROUND(ABS(Registro_Compras!$J$82*Registro_Compras!$N$82),2),""))</f>
        <v/>
      </c>
      <c r="F711" s="20">
        <f>IF($C711="","",IF(Registro_Compras!$F$82="NOTA DE CREDITO","",IF(Registro_Compras!$F$82="RHE",ROUND(Registro_Compras!$L$82*Registro_Compras!$N$82,2),ROUND(Registro_Compras!$J$82*Registro_Compras!$N$82,2))))</f>
        <v/>
      </c>
      <c r="G711">
        <f>IF($C711="","","Por el destino del gasto")</f>
        <v/>
      </c>
      <c r="H711">
        <f>IF($C711="","",Registro_Compras!$C$82)</f>
        <v/>
      </c>
    </row>
    <row r="712">
      <c r="A712" s="25">
        <f>IF($C712="","",Registro_Compras!$X$82)</f>
        <v/>
      </c>
      <c r="B712">
        <f>IF($C712="","","C"&amp;TEXT(INT((ROW()-5)/9)+1,"000")&amp;"-3")</f>
        <v/>
      </c>
      <c r="C712">
        <f>IF(OR(Registro_Compras!$C$82="",Registro_Compras!$O$82="",Registro_Compras!$R$82&lt;&gt;"SI",Registro_Compras!$X$82=""),"","4212")</f>
        <v/>
      </c>
      <c r="D712">
        <f>IF(OR(Registro_Compras!$C$82="",Registro_Compras!$O$82=""),"","Cuentas por Pagar Comerciales - Terceros")</f>
        <v/>
      </c>
      <c r="E712" s="20">
        <f>IF($C712="","",Registro_Compras!$S$82)</f>
        <v/>
      </c>
      <c r="F712" s="20">
        <f>""</f>
        <v/>
      </c>
      <c r="G712">
        <f>IF($C712="","","Por el deposito de la detraccion en el Banco de la Nacion")</f>
        <v/>
      </c>
      <c r="H712">
        <f>IF($C712="","",Registro_Compras!$C$82)</f>
        <v/>
      </c>
    </row>
    <row r="713">
      <c r="A713" s="25">
        <f>IF($C713="","",Registro_Compras!$X$82)</f>
        <v/>
      </c>
      <c r="B713">
        <f>IF($C713="","","C"&amp;TEXT(INT((ROW()-5)/9)+1,"000")&amp;"-3")</f>
        <v/>
      </c>
      <c r="C713">
        <f>IF(OR(Registro_Compras!$C$82="",Registro_Compras!$O$82="",Registro_Compras!$R$82&lt;&gt;"SI",Registro_Compras!$X$82=""),"","10413")</f>
        <v/>
      </c>
      <c r="D713">
        <f>IF(OR(Registro_Compras!$C$82="",Registro_Compras!$O$82=""),"","Efectivo y Equivalentes - Cta. Cte. Operativa")</f>
        <v/>
      </c>
      <c r="E713" s="20">
        <f>""</f>
        <v/>
      </c>
      <c r="F713" s="20">
        <f>IF($C713="","",Registro_Compras!$S$82)</f>
        <v/>
      </c>
      <c r="G713">
        <f>IF($C713="","","Por el deposito de la detraccion en el Banco de la Nacion")</f>
        <v/>
      </c>
      <c r="H713">
        <f>IF($C713="","",Registro_Compras!$C$82)</f>
        <v/>
      </c>
    </row>
    <row r="714">
      <c r="A714" s="25">
        <f>IF($C714="","",Registro_Compras!$Y$82)</f>
        <v/>
      </c>
      <c r="B714">
        <f>IF($C714="","","C"&amp;TEXT(INT((ROW()-5)/9)+1,"000")&amp;"-4")</f>
        <v/>
      </c>
      <c r="C714">
        <f>IF(OR(Registro_Compras!$C$82="",Registro_Compras!$O$82="",Registro_Compras!$Y$82="",Registro_Compras!$F$82="NOTA DE CREDITO"),"","4212")</f>
        <v/>
      </c>
      <c r="D714">
        <f>IF(OR(Registro_Compras!$C$82="",Registro_Compras!$O$82=""),"","Cuentas por Pagar Comerciales - Terceros")</f>
        <v/>
      </c>
      <c r="E714" s="20">
        <f>IF($C714="","",IF(Registro_Compras!$F$82="RHE",(ROUND(Registro_Compras!$L$82*Registro_Compras!$N$82,2)-ROUND(Registro_Compras!$V$82*Registro_Compras!$N$82,2)),ROUND(Registro_Compras!$O$82-Registro_Compras!$S$82,2)))</f>
        <v/>
      </c>
      <c r="F714" s="20">
        <f>""</f>
        <v/>
      </c>
      <c r="G714">
        <f>IF($C714="","","Por la cancelacion del saldo al proveedor")</f>
        <v/>
      </c>
      <c r="H714">
        <f>IF($C714="","",Registro_Compras!$C$82)</f>
        <v/>
      </c>
    </row>
    <row r="715">
      <c r="A715" s="25">
        <f>IF($C715="","",Registro_Compras!$Y$82)</f>
        <v/>
      </c>
      <c r="B715">
        <f>IF($C715="","","C"&amp;TEXT(INT((ROW()-5)/9)+1,"000")&amp;"-4")</f>
        <v/>
      </c>
      <c r="C715">
        <f>IF(OR(Registro_Compras!$C$82="",Registro_Compras!$O$82="",Registro_Compras!$Y$82="",Registro_Compras!$F$82="NOTA DE CREDITO"),"","10413")</f>
        <v/>
      </c>
      <c r="D715">
        <f>IF(OR(Registro_Compras!$C$82="",Registro_Compras!$O$82=""),"","Efectivo y Equivalentes - Cta. Cte. Operativa")</f>
        <v/>
      </c>
      <c r="E715" s="20">
        <f>""</f>
        <v/>
      </c>
      <c r="F715" s="20">
        <f>IF($C715="","",IF(Registro_Compras!$F$82="RHE",(ROUND(Registro_Compras!$L$82*Registro_Compras!$N$82,2)-ROUND(Registro_Compras!$V$82*Registro_Compras!$N$82,2)),ROUND(Registro_Compras!$O$82-Registro_Compras!$S$82,2)))</f>
        <v/>
      </c>
      <c r="G715">
        <f>IF($C715="","","Por la cancelacion del saldo al proveedor")</f>
        <v/>
      </c>
      <c r="H715">
        <f>IF($C715="","",Registro_Compras!$C$82)</f>
        <v/>
      </c>
    </row>
    <row r="716">
      <c r="A716" s="25">
        <f>IF($C716="","",Registro_Compras!$B$83)</f>
        <v/>
      </c>
      <c r="B716">
        <f>IF($C716="","","C"&amp;TEXT(INT((ROW()-5)/9)+1,"000")&amp;"-1")</f>
        <v/>
      </c>
      <c r="C716">
        <f>IF(OR(Registro_Compras!$C$83="",Registro_Compras!$O$83=""),"",IF(Registro_Compras!$F$83="NOTA DE CREDITO","4212",IF(Registro_Compras!$M$83="","63",Registro_Compras!$M$83)))</f>
        <v/>
      </c>
      <c r="D716">
        <f>IF(OR(Registro_Compras!$C$83="",Registro_Compras!$O$83=""),"",IF(Registro_Compras!$F$83="NOTA DE CREDITO","Cuentas por Pagar Comerciales - Terceros (Emitidas)",IF(Registro_Compras!$F$83="RHE","Honorarios Profesionales - Servicios de Terceros","Gastos de Servicios Prestados por Terceros")))</f>
        <v/>
      </c>
      <c r="E716" s="20">
        <f>IF($C716="","",IF(Registro_Compras!$F$83="NOTA DE CREDITO",ABS(Registro_Compras!$O$83),IF(Registro_Compras!$F$83="RHE",ROUND(Registro_Compras!$L$83*Registro_Compras!$N$83,2),ROUND(Registro_Compras!$J$83*Registro_Compras!$N$83,2))))</f>
        <v/>
      </c>
      <c r="F716" s="20">
        <f>""</f>
        <v/>
      </c>
      <c r="G716">
        <f>IF($C716="","",IF(Registro_Compras!$F$83="NOTA DE CREDITO","Por la nota de credito "&amp;Registro_Compras!$C$83&amp;" de "&amp;Registro_Compras!$E$83&amp;" [PATRON POR CONFIRMAR CON CONTADOR]",IF(Registro_Compras!$F$83="RHE","Por el registro del recibo por honorarios "&amp;Registro_Compras!$C$83&amp;" de "&amp;Registro_Compras!$E$83&amp;" [PATRON POR CONFIRMAR CON CONTADOR]","Por el registro de la factura "&amp;Registro_Compras!$C$83&amp;" de "&amp;Registro_Compras!$E$83)))</f>
        <v/>
      </c>
      <c r="H716">
        <f>IF($C716="","",Registro_Compras!$C$83)</f>
        <v/>
      </c>
    </row>
    <row r="717">
      <c r="A717" s="25">
        <f>IF($C717="","",Registro_Compras!$B$83)</f>
        <v/>
      </c>
      <c r="B717">
        <f>IF($C717="","","C"&amp;TEXT(INT((ROW()-5)/9)+1,"000")&amp;"-1")</f>
        <v/>
      </c>
      <c r="C717">
        <f>IF(OR(Registro_Compras!$C$83="",Registro_Compras!$O$83=""),"",IF(Registro_Compras!$F$83="RHE",IF(Registro_Compras!$V$83=0,"","40172"),IF(Registro_Compras!$F$83="NOTA DE CREDITO",IF(Registro_Compras!$M$83="","63",Registro_Compras!$M$83),IF(Registro_Compras!$K$83=0,"","40111"))))</f>
        <v/>
      </c>
      <c r="D717">
        <f>IF(OR(Registro_Compras!$C$83="",Registro_Compras!$O$83=""),"",IF(Registro_Compras!$F$83="RHE","Retencion Renta 4ta Categoria por Pagar",IF(Registro_Compras!$F$83="NOTA DE CREDITO","Gastos de Servicios Prestados por Terceros","IGV - Cuenta Propia (Credito Fiscal)")))</f>
        <v/>
      </c>
      <c r="E717" s="20">
        <f>IF($C717="","",IF(Registro_Compras!$F$83="FACTURA",ROUND(Registro_Compras!$K$83*Registro_Compras!$N$83,2),""))</f>
        <v/>
      </c>
      <c r="F717" s="20">
        <f>IF($C717="","",IF(Registro_Compras!$F$83="RHE",ROUND(Registro_Compras!$V$83*Registro_Compras!$N$83,2),IF(Registro_Compras!$F$83="NOTA DE CREDITO",ROUND(ABS(Registro_Compras!$J$83*Registro_Compras!$N$83),2),"")))</f>
        <v/>
      </c>
      <c r="G717">
        <f>IF($C717="","",IF(Registro_Compras!$F$83="NOTA DE CREDITO","Por la nota de credito "&amp;Registro_Compras!$C$83&amp;" de "&amp;Registro_Compras!$E$83&amp;" [PATRON POR CONFIRMAR CON CONTADOR]",IF(Registro_Compras!$F$83="RHE","Por el registro del recibo por honorarios "&amp;Registro_Compras!$C$83&amp;" de "&amp;Registro_Compras!$E$83&amp;" [PATRON POR CONFIRMAR CON CONTADOR]","Por el registro de la factura "&amp;Registro_Compras!$C$83&amp;" de "&amp;Registro_Compras!$E$83)))</f>
        <v/>
      </c>
      <c r="H717">
        <f>IF($C717="","",Registro_Compras!$C$83)</f>
        <v/>
      </c>
    </row>
    <row r="718">
      <c r="A718" s="25">
        <f>IF($C718="","",Registro_Compras!$B$83)</f>
        <v/>
      </c>
      <c r="B718">
        <f>IF($C718="","","C"&amp;TEXT(INT((ROW()-5)/9)+1,"000")&amp;"-1")</f>
        <v/>
      </c>
      <c r="C718">
        <f>IF(OR(Registro_Compras!$C$83="",Registro_Compras!$O$83=""),"",IF(Registro_Compras!$F$83="NOTA DE CREDITO",IF(Registro_Compras!$K$83=0,"","40111"),"4212"))</f>
        <v/>
      </c>
      <c r="D718">
        <f>IF(OR(Registro_Compras!$C$83="",Registro_Compras!$O$83=""),"",IF(Registro_Compras!$F$83="NOTA DE CREDITO","IGV - Cuenta Propia (Credito Fiscal)","Cuentas por Pagar Comerciales - Terceros (Emitidas)"))</f>
        <v/>
      </c>
      <c r="E718" s="20">
        <f>""</f>
        <v/>
      </c>
      <c r="F718" s="20">
        <f>IF($C718="","",IF(Registro_Compras!$F$83="NOTA DE CREDITO",ROUND(ABS(Registro_Compras!$K$83*Registro_Compras!$N$83),2),IF(Registro_Compras!$F$83="RHE",(ROUND(Registro_Compras!$L$83*Registro_Compras!$N$83,2)-ROUND(Registro_Compras!$V$83*Registro_Compras!$N$83,2)),Registro_Compras!$O$83)))</f>
        <v/>
      </c>
      <c r="G718">
        <f>IF($C718="","",IF(Registro_Compras!$F$83="NOTA DE CREDITO","Por la nota de credito "&amp;Registro_Compras!$C$83&amp;" de "&amp;Registro_Compras!$E$83&amp;" [PATRON POR CONFIRMAR CON CONTADOR]",IF(Registro_Compras!$F$83="RHE","Por el registro del recibo por honorarios "&amp;Registro_Compras!$C$83&amp;" de "&amp;Registro_Compras!$E$83&amp;" [PATRON POR CONFIRMAR CON CONTADOR]","Por el registro de la factura "&amp;Registro_Compras!$C$83&amp;" de "&amp;Registro_Compras!$E$83)))</f>
        <v/>
      </c>
      <c r="H718">
        <f>IF($C718="","",Registro_Compras!$C$83)</f>
        <v/>
      </c>
    </row>
    <row r="719">
      <c r="A719" s="25">
        <f>IF($C719="","",Registro_Compras!$B$83)</f>
        <v/>
      </c>
      <c r="B719">
        <f>IF($C719="","","C"&amp;TEXT(INT((ROW()-5)/9)+1,"000")&amp;"-2")</f>
        <v/>
      </c>
      <c r="C719">
        <f>IF(OR(Registro_Compras!$C$83="",Registro_Compras!$O$83=""),"",IF(Registro_Compras!$AB$83="ADMINISTRATIVO","94","95"))</f>
        <v/>
      </c>
      <c r="D719">
        <f>IF(OR(Registro_Compras!$C$83="",Registro_Compras!$O$83=""),"",IF(Registro_Compras!$AB$83="ADMINISTRATIVO","Gastos Administrativos","Gastos de Venta y Operacion"))</f>
        <v/>
      </c>
      <c r="E719" s="20">
        <f>IF($C719="","",IF(Registro_Compras!$F$83="NOTA DE CREDITO","",IF(Registro_Compras!$F$83="RHE",ROUND(Registro_Compras!$L$83*Registro_Compras!$N$83,2),ROUND(Registro_Compras!$J$83*Registro_Compras!$N$83,2))))</f>
        <v/>
      </c>
      <c r="F719" s="20">
        <f>IF($C719="","",IF(Registro_Compras!$F$83="NOTA DE CREDITO",ROUND(ABS(Registro_Compras!$J$83*Registro_Compras!$N$83),2),""))</f>
        <v/>
      </c>
      <c r="G719">
        <f>IF($C719="","","Por el destino del gasto")</f>
        <v/>
      </c>
      <c r="H719">
        <f>IF($C719="","",Registro_Compras!$C$83)</f>
        <v/>
      </c>
    </row>
    <row r="720">
      <c r="A720" s="25">
        <f>IF($C720="","",Registro_Compras!$B$83)</f>
        <v/>
      </c>
      <c r="B720">
        <f>IF($C720="","","C"&amp;TEXT(INT((ROW()-5)/9)+1,"000")&amp;"-2")</f>
        <v/>
      </c>
      <c r="C720">
        <f>IF(OR(Registro_Compras!$C$83="",Registro_Compras!$O$83=""),"","79/791")</f>
        <v/>
      </c>
      <c r="D720">
        <f>IF(OR(Registro_Compras!$C$83="",Registro_Compras!$O$83=""),"","Cargas Imputables a Cuentas de Costos y Gastos")</f>
        <v/>
      </c>
      <c r="E720" s="20">
        <f>IF($C720="","",IF(Registro_Compras!$F$83="NOTA DE CREDITO",ROUND(ABS(Registro_Compras!$J$83*Registro_Compras!$N$83),2),""))</f>
        <v/>
      </c>
      <c r="F720" s="20">
        <f>IF($C720="","",IF(Registro_Compras!$F$83="NOTA DE CREDITO","",IF(Registro_Compras!$F$83="RHE",ROUND(Registro_Compras!$L$83*Registro_Compras!$N$83,2),ROUND(Registro_Compras!$J$83*Registro_Compras!$N$83,2))))</f>
        <v/>
      </c>
      <c r="G720">
        <f>IF($C720="","","Por el destino del gasto")</f>
        <v/>
      </c>
      <c r="H720">
        <f>IF($C720="","",Registro_Compras!$C$83)</f>
        <v/>
      </c>
    </row>
    <row r="721">
      <c r="A721" s="25">
        <f>IF($C721="","",Registro_Compras!$X$83)</f>
        <v/>
      </c>
      <c r="B721">
        <f>IF($C721="","","C"&amp;TEXT(INT((ROW()-5)/9)+1,"000")&amp;"-3")</f>
        <v/>
      </c>
      <c r="C721">
        <f>IF(OR(Registro_Compras!$C$83="",Registro_Compras!$O$83="",Registro_Compras!$R$83&lt;&gt;"SI",Registro_Compras!$X$83=""),"","4212")</f>
        <v/>
      </c>
      <c r="D721">
        <f>IF(OR(Registro_Compras!$C$83="",Registro_Compras!$O$83=""),"","Cuentas por Pagar Comerciales - Terceros")</f>
        <v/>
      </c>
      <c r="E721" s="20">
        <f>IF($C721="","",Registro_Compras!$S$83)</f>
        <v/>
      </c>
      <c r="F721" s="20">
        <f>""</f>
        <v/>
      </c>
      <c r="G721">
        <f>IF($C721="","","Por el deposito de la detraccion en el Banco de la Nacion")</f>
        <v/>
      </c>
      <c r="H721">
        <f>IF($C721="","",Registro_Compras!$C$83)</f>
        <v/>
      </c>
    </row>
    <row r="722">
      <c r="A722" s="25">
        <f>IF($C722="","",Registro_Compras!$X$83)</f>
        <v/>
      </c>
      <c r="B722">
        <f>IF($C722="","","C"&amp;TEXT(INT((ROW()-5)/9)+1,"000")&amp;"-3")</f>
        <v/>
      </c>
      <c r="C722">
        <f>IF(OR(Registro_Compras!$C$83="",Registro_Compras!$O$83="",Registro_Compras!$R$83&lt;&gt;"SI",Registro_Compras!$X$83=""),"","10413")</f>
        <v/>
      </c>
      <c r="D722">
        <f>IF(OR(Registro_Compras!$C$83="",Registro_Compras!$O$83=""),"","Efectivo y Equivalentes - Cta. Cte. Operativa")</f>
        <v/>
      </c>
      <c r="E722" s="20">
        <f>""</f>
        <v/>
      </c>
      <c r="F722" s="20">
        <f>IF($C722="","",Registro_Compras!$S$83)</f>
        <v/>
      </c>
      <c r="G722">
        <f>IF($C722="","","Por el deposito de la detraccion en el Banco de la Nacion")</f>
        <v/>
      </c>
      <c r="H722">
        <f>IF($C722="","",Registro_Compras!$C$83)</f>
        <v/>
      </c>
    </row>
    <row r="723">
      <c r="A723" s="25">
        <f>IF($C723="","",Registro_Compras!$Y$83)</f>
        <v/>
      </c>
      <c r="B723">
        <f>IF($C723="","","C"&amp;TEXT(INT((ROW()-5)/9)+1,"000")&amp;"-4")</f>
        <v/>
      </c>
      <c r="C723">
        <f>IF(OR(Registro_Compras!$C$83="",Registro_Compras!$O$83="",Registro_Compras!$Y$83="",Registro_Compras!$F$83="NOTA DE CREDITO"),"","4212")</f>
        <v/>
      </c>
      <c r="D723">
        <f>IF(OR(Registro_Compras!$C$83="",Registro_Compras!$O$83=""),"","Cuentas por Pagar Comerciales - Terceros")</f>
        <v/>
      </c>
      <c r="E723" s="20">
        <f>IF($C723="","",IF(Registro_Compras!$F$83="RHE",(ROUND(Registro_Compras!$L$83*Registro_Compras!$N$83,2)-ROUND(Registro_Compras!$V$83*Registro_Compras!$N$83,2)),ROUND(Registro_Compras!$O$83-Registro_Compras!$S$83,2)))</f>
        <v/>
      </c>
      <c r="F723" s="20">
        <f>""</f>
        <v/>
      </c>
      <c r="G723">
        <f>IF($C723="","","Por la cancelacion del saldo al proveedor")</f>
        <v/>
      </c>
      <c r="H723">
        <f>IF($C723="","",Registro_Compras!$C$83)</f>
        <v/>
      </c>
    </row>
    <row r="724">
      <c r="A724" s="25">
        <f>IF($C724="","",Registro_Compras!$Y$83)</f>
        <v/>
      </c>
      <c r="B724">
        <f>IF($C724="","","C"&amp;TEXT(INT((ROW()-5)/9)+1,"000")&amp;"-4")</f>
        <v/>
      </c>
      <c r="C724">
        <f>IF(OR(Registro_Compras!$C$83="",Registro_Compras!$O$83="",Registro_Compras!$Y$83="",Registro_Compras!$F$83="NOTA DE CREDITO"),"","10413")</f>
        <v/>
      </c>
      <c r="D724">
        <f>IF(OR(Registro_Compras!$C$83="",Registro_Compras!$O$83=""),"","Efectivo y Equivalentes - Cta. Cte. Operativa")</f>
        <v/>
      </c>
      <c r="E724" s="20">
        <f>""</f>
        <v/>
      </c>
      <c r="F724" s="20">
        <f>IF($C724="","",IF(Registro_Compras!$F$83="RHE",(ROUND(Registro_Compras!$L$83*Registro_Compras!$N$83,2)-ROUND(Registro_Compras!$V$83*Registro_Compras!$N$83,2)),ROUND(Registro_Compras!$O$83-Registro_Compras!$S$83,2)))</f>
        <v/>
      </c>
      <c r="G724">
        <f>IF($C724="","","Por la cancelacion del saldo al proveedor")</f>
        <v/>
      </c>
      <c r="H724">
        <f>IF($C724="","",Registro_Compras!$C$83)</f>
        <v/>
      </c>
    </row>
    <row r="725">
      <c r="A725" s="25">
        <f>IF($C725="","",Registro_Compras!$B$84)</f>
        <v/>
      </c>
      <c r="B725">
        <f>IF($C725="","","C"&amp;TEXT(INT((ROW()-5)/9)+1,"000")&amp;"-1")</f>
        <v/>
      </c>
      <c r="C725">
        <f>IF(OR(Registro_Compras!$C$84="",Registro_Compras!$O$84=""),"",IF(Registro_Compras!$F$84="NOTA DE CREDITO","4212",IF(Registro_Compras!$M$84="","63",Registro_Compras!$M$84)))</f>
        <v/>
      </c>
      <c r="D725">
        <f>IF(OR(Registro_Compras!$C$84="",Registro_Compras!$O$84=""),"",IF(Registro_Compras!$F$84="NOTA DE CREDITO","Cuentas por Pagar Comerciales - Terceros (Emitidas)",IF(Registro_Compras!$F$84="RHE","Honorarios Profesionales - Servicios de Terceros","Gastos de Servicios Prestados por Terceros")))</f>
        <v/>
      </c>
      <c r="E725" s="20">
        <f>IF($C725="","",IF(Registro_Compras!$F$84="NOTA DE CREDITO",ABS(Registro_Compras!$O$84),IF(Registro_Compras!$F$84="RHE",ROUND(Registro_Compras!$L$84*Registro_Compras!$N$84,2),ROUND(Registro_Compras!$J$84*Registro_Compras!$N$84,2))))</f>
        <v/>
      </c>
      <c r="F725" s="20">
        <f>""</f>
        <v/>
      </c>
      <c r="G725">
        <f>IF($C725="","",IF(Registro_Compras!$F$84="NOTA DE CREDITO","Por la nota de credito "&amp;Registro_Compras!$C$84&amp;" de "&amp;Registro_Compras!$E$84&amp;" [PATRON POR CONFIRMAR CON CONTADOR]",IF(Registro_Compras!$F$84="RHE","Por el registro del recibo por honorarios "&amp;Registro_Compras!$C$84&amp;" de "&amp;Registro_Compras!$E$84&amp;" [PATRON POR CONFIRMAR CON CONTADOR]","Por el registro de la factura "&amp;Registro_Compras!$C$84&amp;" de "&amp;Registro_Compras!$E$84)))</f>
        <v/>
      </c>
      <c r="H725">
        <f>IF($C725="","",Registro_Compras!$C$84)</f>
        <v/>
      </c>
    </row>
    <row r="726">
      <c r="A726" s="25">
        <f>IF($C726="","",Registro_Compras!$B$84)</f>
        <v/>
      </c>
      <c r="B726">
        <f>IF($C726="","","C"&amp;TEXT(INT((ROW()-5)/9)+1,"000")&amp;"-1")</f>
        <v/>
      </c>
      <c r="C726">
        <f>IF(OR(Registro_Compras!$C$84="",Registro_Compras!$O$84=""),"",IF(Registro_Compras!$F$84="RHE",IF(Registro_Compras!$V$84=0,"","40172"),IF(Registro_Compras!$F$84="NOTA DE CREDITO",IF(Registro_Compras!$M$84="","63",Registro_Compras!$M$84),IF(Registro_Compras!$K$84=0,"","40111"))))</f>
        <v/>
      </c>
      <c r="D726">
        <f>IF(OR(Registro_Compras!$C$84="",Registro_Compras!$O$84=""),"",IF(Registro_Compras!$F$84="RHE","Retencion Renta 4ta Categoria por Pagar",IF(Registro_Compras!$F$84="NOTA DE CREDITO","Gastos de Servicios Prestados por Terceros","IGV - Cuenta Propia (Credito Fiscal)")))</f>
        <v/>
      </c>
      <c r="E726" s="20">
        <f>IF($C726="","",IF(Registro_Compras!$F$84="FACTURA",ROUND(Registro_Compras!$K$84*Registro_Compras!$N$84,2),""))</f>
        <v/>
      </c>
      <c r="F726" s="20">
        <f>IF($C726="","",IF(Registro_Compras!$F$84="RHE",ROUND(Registro_Compras!$V$84*Registro_Compras!$N$84,2),IF(Registro_Compras!$F$84="NOTA DE CREDITO",ROUND(ABS(Registro_Compras!$J$84*Registro_Compras!$N$84),2),"")))</f>
        <v/>
      </c>
      <c r="G726">
        <f>IF($C726="","",IF(Registro_Compras!$F$84="NOTA DE CREDITO","Por la nota de credito "&amp;Registro_Compras!$C$84&amp;" de "&amp;Registro_Compras!$E$84&amp;" [PATRON POR CONFIRMAR CON CONTADOR]",IF(Registro_Compras!$F$84="RHE","Por el registro del recibo por honorarios "&amp;Registro_Compras!$C$84&amp;" de "&amp;Registro_Compras!$E$84&amp;" [PATRON POR CONFIRMAR CON CONTADOR]","Por el registro de la factura "&amp;Registro_Compras!$C$84&amp;" de "&amp;Registro_Compras!$E$84)))</f>
        <v/>
      </c>
      <c r="H726">
        <f>IF($C726="","",Registro_Compras!$C$84)</f>
        <v/>
      </c>
    </row>
    <row r="727">
      <c r="A727" s="25">
        <f>IF($C727="","",Registro_Compras!$B$84)</f>
        <v/>
      </c>
      <c r="B727">
        <f>IF($C727="","","C"&amp;TEXT(INT((ROW()-5)/9)+1,"000")&amp;"-1")</f>
        <v/>
      </c>
      <c r="C727">
        <f>IF(OR(Registro_Compras!$C$84="",Registro_Compras!$O$84=""),"",IF(Registro_Compras!$F$84="NOTA DE CREDITO",IF(Registro_Compras!$K$84=0,"","40111"),"4212"))</f>
        <v/>
      </c>
      <c r="D727">
        <f>IF(OR(Registro_Compras!$C$84="",Registro_Compras!$O$84=""),"",IF(Registro_Compras!$F$84="NOTA DE CREDITO","IGV - Cuenta Propia (Credito Fiscal)","Cuentas por Pagar Comerciales - Terceros (Emitidas)"))</f>
        <v/>
      </c>
      <c r="E727" s="20">
        <f>""</f>
        <v/>
      </c>
      <c r="F727" s="20">
        <f>IF($C727="","",IF(Registro_Compras!$F$84="NOTA DE CREDITO",ROUND(ABS(Registro_Compras!$K$84*Registro_Compras!$N$84),2),IF(Registro_Compras!$F$84="RHE",(ROUND(Registro_Compras!$L$84*Registro_Compras!$N$84,2)-ROUND(Registro_Compras!$V$84*Registro_Compras!$N$84,2)),Registro_Compras!$O$84)))</f>
        <v/>
      </c>
      <c r="G727">
        <f>IF($C727="","",IF(Registro_Compras!$F$84="NOTA DE CREDITO","Por la nota de credito "&amp;Registro_Compras!$C$84&amp;" de "&amp;Registro_Compras!$E$84&amp;" [PATRON POR CONFIRMAR CON CONTADOR]",IF(Registro_Compras!$F$84="RHE","Por el registro del recibo por honorarios "&amp;Registro_Compras!$C$84&amp;" de "&amp;Registro_Compras!$E$84&amp;" [PATRON POR CONFIRMAR CON CONTADOR]","Por el registro de la factura "&amp;Registro_Compras!$C$84&amp;" de "&amp;Registro_Compras!$E$84)))</f>
        <v/>
      </c>
      <c r="H727">
        <f>IF($C727="","",Registro_Compras!$C$84)</f>
        <v/>
      </c>
    </row>
    <row r="728">
      <c r="A728" s="25">
        <f>IF($C728="","",Registro_Compras!$B$84)</f>
        <v/>
      </c>
      <c r="B728">
        <f>IF($C728="","","C"&amp;TEXT(INT((ROW()-5)/9)+1,"000")&amp;"-2")</f>
        <v/>
      </c>
      <c r="C728">
        <f>IF(OR(Registro_Compras!$C$84="",Registro_Compras!$O$84=""),"",IF(Registro_Compras!$AB$84="ADMINISTRATIVO","94","95"))</f>
        <v/>
      </c>
      <c r="D728">
        <f>IF(OR(Registro_Compras!$C$84="",Registro_Compras!$O$84=""),"",IF(Registro_Compras!$AB$84="ADMINISTRATIVO","Gastos Administrativos","Gastos de Venta y Operacion"))</f>
        <v/>
      </c>
      <c r="E728" s="20">
        <f>IF($C728="","",IF(Registro_Compras!$F$84="NOTA DE CREDITO","",IF(Registro_Compras!$F$84="RHE",ROUND(Registro_Compras!$L$84*Registro_Compras!$N$84,2),ROUND(Registro_Compras!$J$84*Registro_Compras!$N$84,2))))</f>
        <v/>
      </c>
      <c r="F728" s="20">
        <f>IF($C728="","",IF(Registro_Compras!$F$84="NOTA DE CREDITO",ROUND(ABS(Registro_Compras!$J$84*Registro_Compras!$N$84),2),""))</f>
        <v/>
      </c>
      <c r="G728">
        <f>IF($C728="","","Por el destino del gasto")</f>
        <v/>
      </c>
      <c r="H728">
        <f>IF($C728="","",Registro_Compras!$C$84)</f>
        <v/>
      </c>
    </row>
    <row r="729">
      <c r="A729" s="25">
        <f>IF($C729="","",Registro_Compras!$B$84)</f>
        <v/>
      </c>
      <c r="B729">
        <f>IF($C729="","","C"&amp;TEXT(INT((ROW()-5)/9)+1,"000")&amp;"-2")</f>
        <v/>
      </c>
      <c r="C729">
        <f>IF(OR(Registro_Compras!$C$84="",Registro_Compras!$O$84=""),"","79/791")</f>
        <v/>
      </c>
      <c r="D729">
        <f>IF(OR(Registro_Compras!$C$84="",Registro_Compras!$O$84=""),"","Cargas Imputables a Cuentas de Costos y Gastos")</f>
        <v/>
      </c>
      <c r="E729" s="20">
        <f>IF($C729="","",IF(Registro_Compras!$F$84="NOTA DE CREDITO",ROUND(ABS(Registro_Compras!$J$84*Registro_Compras!$N$84),2),""))</f>
        <v/>
      </c>
      <c r="F729" s="20">
        <f>IF($C729="","",IF(Registro_Compras!$F$84="NOTA DE CREDITO","",IF(Registro_Compras!$F$84="RHE",ROUND(Registro_Compras!$L$84*Registro_Compras!$N$84,2),ROUND(Registro_Compras!$J$84*Registro_Compras!$N$84,2))))</f>
        <v/>
      </c>
      <c r="G729">
        <f>IF($C729="","","Por el destino del gasto")</f>
        <v/>
      </c>
      <c r="H729">
        <f>IF($C729="","",Registro_Compras!$C$84)</f>
        <v/>
      </c>
    </row>
    <row r="730">
      <c r="A730" s="25">
        <f>IF($C730="","",Registro_Compras!$X$84)</f>
        <v/>
      </c>
      <c r="B730">
        <f>IF($C730="","","C"&amp;TEXT(INT((ROW()-5)/9)+1,"000")&amp;"-3")</f>
        <v/>
      </c>
      <c r="C730">
        <f>IF(OR(Registro_Compras!$C$84="",Registro_Compras!$O$84="",Registro_Compras!$R$84&lt;&gt;"SI",Registro_Compras!$X$84=""),"","4212")</f>
        <v/>
      </c>
      <c r="D730">
        <f>IF(OR(Registro_Compras!$C$84="",Registro_Compras!$O$84=""),"","Cuentas por Pagar Comerciales - Terceros")</f>
        <v/>
      </c>
      <c r="E730" s="20">
        <f>IF($C730="","",Registro_Compras!$S$84)</f>
        <v/>
      </c>
      <c r="F730" s="20">
        <f>""</f>
        <v/>
      </c>
      <c r="G730">
        <f>IF($C730="","","Por el deposito de la detraccion en el Banco de la Nacion")</f>
        <v/>
      </c>
      <c r="H730">
        <f>IF($C730="","",Registro_Compras!$C$84)</f>
        <v/>
      </c>
    </row>
    <row r="731">
      <c r="A731" s="25">
        <f>IF($C731="","",Registro_Compras!$X$84)</f>
        <v/>
      </c>
      <c r="B731">
        <f>IF($C731="","","C"&amp;TEXT(INT((ROW()-5)/9)+1,"000")&amp;"-3")</f>
        <v/>
      </c>
      <c r="C731">
        <f>IF(OR(Registro_Compras!$C$84="",Registro_Compras!$O$84="",Registro_Compras!$R$84&lt;&gt;"SI",Registro_Compras!$X$84=""),"","10413")</f>
        <v/>
      </c>
      <c r="D731">
        <f>IF(OR(Registro_Compras!$C$84="",Registro_Compras!$O$84=""),"","Efectivo y Equivalentes - Cta. Cte. Operativa")</f>
        <v/>
      </c>
      <c r="E731" s="20">
        <f>""</f>
        <v/>
      </c>
      <c r="F731" s="20">
        <f>IF($C731="","",Registro_Compras!$S$84)</f>
        <v/>
      </c>
      <c r="G731">
        <f>IF($C731="","","Por el deposito de la detraccion en el Banco de la Nacion")</f>
        <v/>
      </c>
      <c r="H731">
        <f>IF($C731="","",Registro_Compras!$C$84)</f>
        <v/>
      </c>
    </row>
    <row r="732">
      <c r="A732" s="25">
        <f>IF($C732="","",Registro_Compras!$Y$84)</f>
        <v/>
      </c>
      <c r="B732">
        <f>IF($C732="","","C"&amp;TEXT(INT((ROW()-5)/9)+1,"000")&amp;"-4")</f>
        <v/>
      </c>
      <c r="C732">
        <f>IF(OR(Registro_Compras!$C$84="",Registro_Compras!$O$84="",Registro_Compras!$Y$84="",Registro_Compras!$F$84="NOTA DE CREDITO"),"","4212")</f>
        <v/>
      </c>
      <c r="D732">
        <f>IF(OR(Registro_Compras!$C$84="",Registro_Compras!$O$84=""),"","Cuentas por Pagar Comerciales - Terceros")</f>
        <v/>
      </c>
      <c r="E732" s="20">
        <f>IF($C732="","",IF(Registro_Compras!$F$84="RHE",(ROUND(Registro_Compras!$L$84*Registro_Compras!$N$84,2)-ROUND(Registro_Compras!$V$84*Registro_Compras!$N$84,2)),ROUND(Registro_Compras!$O$84-Registro_Compras!$S$84,2)))</f>
        <v/>
      </c>
      <c r="F732" s="20">
        <f>""</f>
        <v/>
      </c>
      <c r="G732">
        <f>IF($C732="","","Por la cancelacion del saldo al proveedor")</f>
        <v/>
      </c>
      <c r="H732">
        <f>IF($C732="","",Registro_Compras!$C$84)</f>
        <v/>
      </c>
    </row>
    <row r="733">
      <c r="A733" s="25">
        <f>IF($C733="","",Registro_Compras!$Y$84)</f>
        <v/>
      </c>
      <c r="B733">
        <f>IF($C733="","","C"&amp;TEXT(INT((ROW()-5)/9)+1,"000")&amp;"-4")</f>
        <v/>
      </c>
      <c r="C733">
        <f>IF(OR(Registro_Compras!$C$84="",Registro_Compras!$O$84="",Registro_Compras!$Y$84="",Registro_Compras!$F$84="NOTA DE CREDITO"),"","10413")</f>
        <v/>
      </c>
      <c r="D733">
        <f>IF(OR(Registro_Compras!$C$84="",Registro_Compras!$O$84=""),"","Efectivo y Equivalentes - Cta. Cte. Operativa")</f>
        <v/>
      </c>
      <c r="E733" s="20">
        <f>""</f>
        <v/>
      </c>
      <c r="F733" s="20">
        <f>IF($C733="","",IF(Registro_Compras!$F$84="RHE",(ROUND(Registro_Compras!$L$84*Registro_Compras!$N$84,2)-ROUND(Registro_Compras!$V$84*Registro_Compras!$N$84,2)),ROUND(Registro_Compras!$O$84-Registro_Compras!$S$84,2)))</f>
        <v/>
      </c>
      <c r="G733">
        <f>IF($C733="","","Por la cancelacion del saldo al proveedor")</f>
        <v/>
      </c>
      <c r="H733">
        <f>IF($C733="","",Registro_Compras!$C$84)</f>
        <v/>
      </c>
    </row>
    <row r="734">
      <c r="A734" s="25">
        <f>IF($C734="","",Registro_Compras!$B$85)</f>
        <v/>
      </c>
      <c r="B734">
        <f>IF($C734="","","C"&amp;TEXT(INT((ROW()-5)/9)+1,"000")&amp;"-1")</f>
        <v/>
      </c>
      <c r="C734">
        <f>IF(OR(Registro_Compras!$C$85="",Registro_Compras!$O$85=""),"",IF(Registro_Compras!$F$85="NOTA DE CREDITO","4212",IF(Registro_Compras!$M$85="","63",Registro_Compras!$M$85)))</f>
        <v/>
      </c>
      <c r="D734">
        <f>IF(OR(Registro_Compras!$C$85="",Registro_Compras!$O$85=""),"",IF(Registro_Compras!$F$85="NOTA DE CREDITO","Cuentas por Pagar Comerciales - Terceros (Emitidas)",IF(Registro_Compras!$F$85="RHE","Honorarios Profesionales - Servicios de Terceros","Gastos de Servicios Prestados por Terceros")))</f>
        <v/>
      </c>
      <c r="E734" s="20">
        <f>IF($C734="","",IF(Registro_Compras!$F$85="NOTA DE CREDITO",ABS(Registro_Compras!$O$85),IF(Registro_Compras!$F$85="RHE",ROUND(Registro_Compras!$L$85*Registro_Compras!$N$85,2),ROUND(Registro_Compras!$J$85*Registro_Compras!$N$85,2))))</f>
        <v/>
      </c>
      <c r="F734" s="20">
        <f>""</f>
        <v/>
      </c>
      <c r="G734">
        <f>IF($C734="","",IF(Registro_Compras!$F$85="NOTA DE CREDITO","Por la nota de credito "&amp;Registro_Compras!$C$85&amp;" de "&amp;Registro_Compras!$E$85&amp;" [PATRON POR CONFIRMAR CON CONTADOR]",IF(Registro_Compras!$F$85="RHE","Por el registro del recibo por honorarios "&amp;Registro_Compras!$C$85&amp;" de "&amp;Registro_Compras!$E$85&amp;" [PATRON POR CONFIRMAR CON CONTADOR]","Por el registro de la factura "&amp;Registro_Compras!$C$85&amp;" de "&amp;Registro_Compras!$E$85)))</f>
        <v/>
      </c>
      <c r="H734">
        <f>IF($C734="","",Registro_Compras!$C$85)</f>
        <v/>
      </c>
    </row>
    <row r="735">
      <c r="A735" s="25">
        <f>IF($C735="","",Registro_Compras!$B$85)</f>
        <v/>
      </c>
      <c r="B735">
        <f>IF($C735="","","C"&amp;TEXT(INT((ROW()-5)/9)+1,"000")&amp;"-1")</f>
        <v/>
      </c>
      <c r="C735">
        <f>IF(OR(Registro_Compras!$C$85="",Registro_Compras!$O$85=""),"",IF(Registro_Compras!$F$85="RHE",IF(Registro_Compras!$V$85=0,"","40172"),IF(Registro_Compras!$F$85="NOTA DE CREDITO",IF(Registro_Compras!$M$85="","63",Registro_Compras!$M$85),IF(Registro_Compras!$K$85=0,"","40111"))))</f>
        <v/>
      </c>
      <c r="D735">
        <f>IF(OR(Registro_Compras!$C$85="",Registro_Compras!$O$85=""),"",IF(Registro_Compras!$F$85="RHE","Retencion Renta 4ta Categoria por Pagar",IF(Registro_Compras!$F$85="NOTA DE CREDITO","Gastos de Servicios Prestados por Terceros","IGV - Cuenta Propia (Credito Fiscal)")))</f>
        <v/>
      </c>
      <c r="E735" s="20">
        <f>IF($C735="","",IF(Registro_Compras!$F$85="FACTURA",ROUND(Registro_Compras!$K$85*Registro_Compras!$N$85,2),""))</f>
        <v/>
      </c>
      <c r="F735" s="20">
        <f>IF($C735="","",IF(Registro_Compras!$F$85="RHE",ROUND(Registro_Compras!$V$85*Registro_Compras!$N$85,2),IF(Registro_Compras!$F$85="NOTA DE CREDITO",ROUND(ABS(Registro_Compras!$J$85*Registro_Compras!$N$85),2),"")))</f>
        <v/>
      </c>
      <c r="G735">
        <f>IF($C735="","",IF(Registro_Compras!$F$85="NOTA DE CREDITO","Por la nota de credito "&amp;Registro_Compras!$C$85&amp;" de "&amp;Registro_Compras!$E$85&amp;" [PATRON POR CONFIRMAR CON CONTADOR]",IF(Registro_Compras!$F$85="RHE","Por el registro del recibo por honorarios "&amp;Registro_Compras!$C$85&amp;" de "&amp;Registro_Compras!$E$85&amp;" [PATRON POR CONFIRMAR CON CONTADOR]","Por el registro de la factura "&amp;Registro_Compras!$C$85&amp;" de "&amp;Registro_Compras!$E$85)))</f>
        <v/>
      </c>
      <c r="H735">
        <f>IF($C735="","",Registro_Compras!$C$85)</f>
        <v/>
      </c>
    </row>
    <row r="736">
      <c r="A736" s="25">
        <f>IF($C736="","",Registro_Compras!$B$85)</f>
        <v/>
      </c>
      <c r="B736">
        <f>IF($C736="","","C"&amp;TEXT(INT((ROW()-5)/9)+1,"000")&amp;"-1")</f>
        <v/>
      </c>
      <c r="C736">
        <f>IF(OR(Registro_Compras!$C$85="",Registro_Compras!$O$85=""),"",IF(Registro_Compras!$F$85="NOTA DE CREDITO",IF(Registro_Compras!$K$85=0,"","40111"),"4212"))</f>
        <v/>
      </c>
      <c r="D736">
        <f>IF(OR(Registro_Compras!$C$85="",Registro_Compras!$O$85=""),"",IF(Registro_Compras!$F$85="NOTA DE CREDITO","IGV - Cuenta Propia (Credito Fiscal)","Cuentas por Pagar Comerciales - Terceros (Emitidas)"))</f>
        <v/>
      </c>
      <c r="E736" s="20">
        <f>""</f>
        <v/>
      </c>
      <c r="F736" s="20">
        <f>IF($C736="","",IF(Registro_Compras!$F$85="NOTA DE CREDITO",ROUND(ABS(Registro_Compras!$K$85*Registro_Compras!$N$85),2),IF(Registro_Compras!$F$85="RHE",(ROUND(Registro_Compras!$L$85*Registro_Compras!$N$85,2)-ROUND(Registro_Compras!$V$85*Registro_Compras!$N$85,2)),Registro_Compras!$O$85)))</f>
        <v/>
      </c>
      <c r="G736">
        <f>IF($C736="","",IF(Registro_Compras!$F$85="NOTA DE CREDITO","Por la nota de credito "&amp;Registro_Compras!$C$85&amp;" de "&amp;Registro_Compras!$E$85&amp;" [PATRON POR CONFIRMAR CON CONTADOR]",IF(Registro_Compras!$F$85="RHE","Por el registro del recibo por honorarios "&amp;Registro_Compras!$C$85&amp;" de "&amp;Registro_Compras!$E$85&amp;" [PATRON POR CONFIRMAR CON CONTADOR]","Por el registro de la factura "&amp;Registro_Compras!$C$85&amp;" de "&amp;Registro_Compras!$E$85)))</f>
        <v/>
      </c>
      <c r="H736">
        <f>IF($C736="","",Registro_Compras!$C$85)</f>
        <v/>
      </c>
    </row>
    <row r="737">
      <c r="A737" s="25">
        <f>IF($C737="","",Registro_Compras!$B$85)</f>
        <v/>
      </c>
      <c r="B737">
        <f>IF($C737="","","C"&amp;TEXT(INT((ROW()-5)/9)+1,"000")&amp;"-2")</f>
        <v/>
      </c>
      <c r="C737">
        <f>IF(OR(Registro_Compras!$C$85="",Registro_Compras!$O$85=""),"",IF(Registro_Compras!$AB$85="ADMINISTRATIVO","94","95"))</f>
        <v/>
      </c>
      <c r="D737">
        <f>IF(OR(Registro_Compras!$C$85="",Registro_Compras!$O$85=""),"",IF(Registro_Compras!$AB$85="ADMINISTRATIVO","Gastos Administrativos","Gastos de Venta y Operacion"))</f>
        <v/>
      </c>
      <c r="E737" s="20">
        <f>IF($C737="","",IF(Registro_Compras!$F$85="NOTA DE CREDITO","",IF(Registro_Compras!$F$85="RHE",ROUND(Registro_Compras!$L$85*Registro_Compras!$N$85,2),ROUND(Registro_Compras!$J$85*Registro_Compras!$N$85,2))))</f>
        <v/>
      </c>
      <c r="F737" s="20">
        <f>IF($C737="","",IF(Registro_Compras!$F$85="NOTA DE CREDITO",ROUND(ABS(Registro_Compras!$J$85*Registro_Compras!$N$85),2),""))</f>
        <v/>
      </c>
      <c r="G737">
        <f>IF($C737="","","Por el destino del gasto")</f>
        <v/>
      </c>
      <c r="H737">
        <f>IF($C737="","",Registro_Compras!$C$85)</f>
        <v/>
      </c>
    </row>
    <row r="738">
      <c r="A738" s="25">
        <f>IF($C738="","",Registro_Compras!$B$85)</f>
        <v/>
      </c>
      <c r="B738">
        <f>IF($C738="","","C"&amp;TEXT(INT((ROW()-5)/9)+1,"000")&amp;"-2")</f>
        <v/>
      </c>
      <c r="C738">
        <f>IF(OR(Registro_Compras!$C$85="",Registro_Compras!$O$85=""),"","79/791")</f>
        <v/>
      </c>
      <c r="D738">
        <f>IF(OR(Registro_Compras!$C$85="",Registro_Compras!$O$85=""),"","Cargas Imputables a Cuentas de Costos y Gastos")</f>
        <v/>
      </c>
      <c r="E738" s="20">
        <f>IF($C738="","",IF(Registro_Compras!$F$85="NOTA DE CREDITO",ROUND(ABS(Registro_Compras!$J$85*Registro_Compras!$N$85),2),""))</f>
        <v/>
      </c>
      <c r="F738" s="20">
        <f>IF($C738="","",IF(Registro_Compras!$F$85="NOTA DE CREDITO","",IF(Registro_Compras!$F$85="RHE",ROUND(Registro_Compras!$L$85*Registro_Compras!$N$85,2),ROUND(Registro_Compras!$J$85*Registro_Compras!$N$85,2))))</f>
        <v/>
      </c>
      <c r="G738">
        <f>IF($C738="","","Por el destino del gasto")</f>
        <v/>
      </c>
      <c r="H738">
        <f>IF($C738="","",Registro_Compras!$C$85)</f>
        <v/>
      </c>
    </row>
    <row r="739">
      <c r="A739" s="25">
        <f>IF($C739="","",Registro_Compras!$X$85)</f>
        <v/>
      </c>
      <c r="B739">
        <f>IF($C739="","","C"&amp;TEXT(INT((ROW()-5)/9)+1,"000")&amp;"-3")</f>
        <v/>
      </c>
      <c r="C739">
        <f>IF(OR(Registro_Compras!$C$85="",Registro_Compras!$O$85="",Registro_Compras!$R$85&lt;&gt;"SI",Registro_Compras!$X$85=""),"","4212")</f>
        <v/>
      </c>
      <c r="D739">
        <f>IF(OR(Registro_Compras!$C$85="",Registro_Compras!$O$85=""),"","Cuentas por Pagar Comerciales - Terceros")</f>
        <v/>
      </c>
      <c r="E739" s="20">
        <f>IF($C739="","",Registro_Compras!$S$85)</f>
        <v/>
      </c>
      <c r="F739" s="20">
        <f>""</f>
        <v/>
      </c>
      <c r="G739">
        <f>IF($C739="","","Por el deposito de la detraccion en el Banco de la Nacion")</f>
        <v/>
      </c>
      <c r="H739">
        <f>IF($C739="","",Registro_Compras!$C$85)</f>
        <v/>
      </c>
    </row>
    <row r="740">
      <c r="A740" s="25">
        <f>IF($C740="","",Registro_Compras!$X$85)</f>
        <v/>
      </c>
      <c r="B740">
        <f>IF($C740="","","C"&amp;TEXT(INT((ROW()-5)/9)+1,"000")&amp;"-3")</f>
        <v/>
      </c>
      <c r="C740">
        <f>IF(OR(Registro_Compras!$C$85="",Registro_Compras!$O$85="",Registro_Compras!$R$85&lt;&gt;"SI",Registro_Compras!$X$85=""),"","10413")</f>
        <v/>
      </c>
      <c r="D740">
        <f>IF(OR(Registro_Compras!$C$85="",Registro_Compras!$O$85=""),"","Efectivo y Equivalentes - Cta. Cte. Operativa")</f>
        <v/>
      </c>
      <c r="E740" s="20">
        <f>""</f>
        <v/>
      </c>
      <c r="F740" s="20">
        <f>IF($C740="","",Registro_Compras!$S$85)</f>
        <v/>
      </c>
      <c r="G740">
        <f>IF($C740="","","Por el deposito de la detraccion en el Banco de la Nacion")</f>
        <v/>
      </c>
      <c r="H740">
        <f>IF($C740="","",Registro_Compras!$C$85)</f>
        <v/>
      </c>
    </row>
    <row r="741">
      <c r="A741" s="25">
        <f>IF($C741="","",Registro_Compras!$Y$85)</f>
        <v/>
      </c>
      <c r="B741">
        <f>IF($C741="","","C"&amp;TEXT(INT((ROW()-5)/9)+1,"000")&amp;"-4")</f>
        <v/>
      </c>
      <c r="C741">
        <f>IF(OR(Registro_Compras!$C$85="",Registro_Compras!$O$85="",Registro_Compras!$Y$85="",Registro_Compras!$F$85="NOTA DE CREDITO"),"","4212")</f>
        <v/>
      </c>
      <c r="D741">
        <f>IF(OR(Registro_Compras!$C$85="",Registro_Compras!$O$85=""),"","Cuentas por Pagar Comerciales - Terceros")</f>
        <v/>
      </c>
      <c r="E741" s="20">
        <f>IF($C741="","",IF(Registro_Compras!$F$85="RHE",(ROUND(Registro_Compras!$L$85*Registro_Compras!$N$85,2)-ROUND(Registro_Compras!$V$85*Registro_Compras!$N$85,2)),ROUND(Registro_Compras!$O$85-Registro_Compras!$S$85,2)))</f>
        <v/>
      </c>
      <c r="F741" s="20">
        <f>""</f>
        <v/>
      </c>
      <c r="G741">
        <f>IF($C741="","","Por la cancelacion del saldo al proveedor")</f>
        <v/>
      </c>
      <c r="H741">
        <f>IF($C741="","",Registro_Compras!$C$85)</f>
        <v/>
      </c>
    </row>
    <row r="742">
      <c r="A742" s="25">
        <f>IF($C742="","",Registro_Compras!$Y$85)</f>
        <v/>
      </c>
      <c r="B742">
        <f>IF($C742="","","C"&amp;TEXT(INT((ROW()-5)/9)+1,"000")&amp;"-4")</f>
        <v/>
      </c>
      <c r="C742">
        <f>IF(OR(Registro_Compras!$C$85="",Registro_Compras!$O$85="",Registro_Compras!$Y$85="",Registro_Compras!$F$85="NOTA DE CREDITO"),"","10413")</f>
        <v/>
      </c>
      <c r="D742">
        <f>IF(OR(Registro_Compras!$C$85="",Registro_Compras!$O$85=""),"","Efectivo y Equivalentes - Cta. Cte. Operativa")</f>
        <v/>
      </c>
      <c r="E742" s="20">
        <f>""</f>
        <v/>
      </c>
      <c r="F742" s="20">
        <f>IF($C742="","",IF(Registro_Compras!$F$85="RHE",(ROUND(Registro_Compras!$L$85*Registro_Compras!$N$85,2)-ROUND(Registro_Compras!$V$85*Registro_Compras!$N$85,2)),ROUND(Registro_Compras!$O$85-Registro_Compras!$S$85,2)))</f>
        <v/>
      </c>
      <c r="G742">
        <f>IF($C742="","","Por la cancelacion del saldo al proveedor")</f>
        <v/>
      </c>
      <c r="H742">
        <f>IF($C742="","",Registro_Compras!$C$85)</f>
        <v/>
      </c>
    </row>
    <row r="743">
      <c r="A743" s="25">
        <f>IF($C743="","",Registro_Compras!$B$86)</f>
        <v/>
      </c>
      <c r="B743">
        <f>IF($C743="","","C"&amp;TEXT(INT((ROW()-5)/9)+1,"000")&amp;"-1")</f>
        <v/>
      </c>
      <c r="C743">
        <f>IF(OR(Registro_Compras!$C$86="",Registro_Compras!$O$86=""),"",IF(Registro_Compras!$F$86="NOTA DE CREDITO","4212",IF(Registro_Compras!$M$86="","63",Registro_Compras!$M$86)))</f>
        <v/>
      </c>
      <c r="D743">
        <f>IF(OR(Registro_Compras!$C$86="",Registro_Compras!$O$86=""),"",IF(Registro_Compras!$F$86="NOTA DE CREDITO","Cuentas por Pagar Comerciales - Terceros (Emitidas)",IF(Registro_Compras!$F$86="RHE","Honorarios Profesionales - Servicios de Terceros","Gastos de Servicios Prestados por Terceros")))</f>
        <v/>
      </c>
      <c r="E743" s="20">
        <f>IF($C743="","",IF(Registro_Compras!$F$86="NOTA DE CREDITO",ABS(Registro_Compras!$O$86),IF(Registro_Compras!$F$86="RHE",ROUND(Registro_Compras!$L$86*Registro_Compras!$N$86,2),ROUND(Registro_Compras!$J$86*Registro_Compras!$N$86,2))))</f>
        <v/>
      </c>
      <c r="F743" s="20">
        <f>""</f>
        <v/>
      </c>
      <c r="G743">
        <f>IF($C743="","",IF(Registro_Compras!$F$86="NOTA DE CREDITO","Por la nota de credito "&amp;Registro_Compras!$C$86&amp;" de "&amp;Registro_Compras!$E$86&amp;" [PATRON POR CONFIRMAR CON CONTADOR]",IF(Registro_Compras!$F$86="RHE","Por el registro del recibo por honorarios "&amp;Registro_Compras!$C$86&amp;" de "&amp;Registro_Compras!$E$86&amp;" [PATRON POR CONFIRMAR CON CONTADOR]","Por el registro de la factura "&amp;Registro_Compras!$C$86&amp;" de "&amp;Registro_Compras!$E$86)))</f>
        <v/>
      </c>
      <c r="H743">
        <f>IF($C743="","",Registro_Compras!$C$86)</f>
        <v/>
      </c>
    </row>
    <row r="744">
      <c r="A744" s="25">
        <f>IF($C744="","",Registro_Compras!$B$86)</f>
        <v/>
      </c>
      <c r="B744">
        <f>IF($C744="","","C"&amp;TEXT(INT((ROW()-5)/9)+1,"000")&amp;"-1")</f>
        <v/>
      </c>
      <c r="C744">
        <f>IF(OR(Registro_Compras!$C$86="",Registro_Compras!$O$86=""),"",IF(Registro_Compras!$F$86="RHE",IF(Registro_Compras!$V$86=0,"","40172"),IF(Registro_Compras!$F$86="NOTA DE CREDITO",IF(Registro_Compras!$M$86="","63",Registro_Compras!$M$86),IF(Registro_Compras!$K$86=0,"","40111"))))</f>
        <v/>
      </c>
      <c r="D744">
        <f>IF(OR(Registro_Compras!$C$86="",Registro_Compras!$O$86=""),"",IF(Registro_Compras!$F$86="RHE","Retencion Renta 4ta Categoria por Pagar",IF(Registro_Compras!$F$86="NOTA DE CREDITO","Gastos de Servicios Prestados por Terceros","IGV - Cuenta Propia (Credito Fiscal)")))</f>
        <v/>
      </c>
      <c r="E744" s="20">
        <f>IF($C744="","",IF(Registro_Compras!$F$86="FACTURA",ROUND(Registro_Compras!$K$86*Registro_Compras!$N$86,2),""))</f>
        <v/>
      </c>
      <c r="F744" s="20">
        <f>IF($C744="","",IF(Registro_Compras!$F$86="RHE",ROUND(Registro_Compras!$V$86*Registro_Compras!$N$86,2),IF(Registro_Compras!$F$86="NOTA DE CREDITO",ROUND(ABS(Registro_Compras!$J$86*Registro_Compras!$N$86),2),"")))</f>
        <v/>
      </c>
      <c r="G744">
        <f>IF($C744="","",IF(Registro_Compras!$F$86="NOTA DE CREDITO","Por la nota de credito "&amp;Registro_Compras!$C$86&amp;" de "&amp;Registro_Compras!$E$86&amp;" [PATRON POR CONFIRMAR CON CONTADOR]",IF(Registro_Compras!$F$86="RHE","Por el registro del recibo por honorarios "&amp;Registro_Compras!$C$86&amp;" de "&amp;Registro_Compras!$E$86&amp;" [PATRON POR CONFIRMAR CON CONTADOR]","Por el registro de la factura "&amp;Registro_Compras!$C$86&amp;" de "&amp;Registro_Compras!$E$86)))</f>
        <v/>
      </c>
      <c r="H744">
        <f>IF($C744="","",Registro_Compras!$C$86)</f>
        <v/>
      </c>
    </row>
    <row r="745">
      <c r="A745" s="25">
        <f>IF($C745="","",Registro_Compras!$B$86)</f>
        <v/>
      </c>
      <c r="B745">
        <f>IF($C745="","","C"&amp;TEXT(INT((ROW()-5)/9)+1,"000")&amp;"-1")</f>
        <v/>
      </c>
      <c r="C745">
        <f>IF(OR(Registro_Compras!$C$86="",Registro_Compras!$O$86=""),"",IF(Registro_Compras!$F$86="NOTA DE CREDITO",IF(Registro_Compras!$K$86=0,"","40111"),"4212"))</f>
        <v/>
      </c>
      <c r="D745">
        <f>IF(OR(Registro_Compras!$C$86="",Registro_Compras!$O$86=""),"",IF(Registro_Compras!$F$86="NOTA DE CREDITO","IGV - Cuenta Propia (Credito Fiscal)","Cuentas por Pagar Comerciales - Terceros (Emitidas)"))</f>
        <v/>
      </c>
      <c r="E745" s="20">
        <f>""</f>
        <v/>
      </c>
      <c r="F745" s="20">
        <f>IF($C745="","",IF(Registro_Compras!$F$86="NOTA DE CREDITO",ROUND(ABS(Registro_Compras!$K$86*Registro_Compras!$N$86),2),IF(Registro_Compras!$F$86="RHE",(ROUND(Registro_Compras!$L$86*Registro_Compras!$N$86,2)-ROUND(Registro_Compras!$V$86*Registro_Compras!$N$86,2)),Registro_Compras!$O$86)))</f>
        <v/>
      </c>
      <c r="G745">
        <f>IF($C745="","",IF(Registro_Compras!$F$86="NOTA DE CREDITO","Por la nota de credito "&amp;Registro_Compras!$C$86&amp;" de "&amp;Registro_Compras!$E$86&amp;" [PATRON POR CONFIRMAR CON CONTADOR]",IF(Registro_Compras!$F$86="RHE","Por el registro del recibo por honorarios "&amp;Registro_Compras!$C$86&amp;" de "&amp;Registro_Compras!$E$86&amp;" [PATRON POR CONFIRMAR CON CONTADOR]","Por el registro de la factura "&amp;Registro_Compras!$C$86&amp;" de "&amp;Registro_Compras!$E$86)))</f>
        <v/>
      </c>
      <c r="H745">
        <f>IF($C745="","",Registro_Compras!$C$86)</f>
        <v/>
      </c>
    </row>
    <row r="746">
      <c r="A746" s="25">
        <f>IF($C746="","",Registro_Compras!$B$86)</f>
        <v/>
      </c>
      <c r="B746">
        <f>IF($C746="","","C"&amp;TEXT(INT((ROW()-5)/9)+1,"000")&amp;"-2")</f>
        <v/>
      </c>
      <c r="C746">
        <f>IF(OR(Registro_Compras!$C$86="",Registro_Compras!$O$86=""),"",IF(Registro_Compras!$AB$86="ADMINISTRATIVO","94","95"))</f>
        <v/>
      </c>
      <c r="D746">
        <f>IF(OR(Registro_Compras!$C$86="",Registro_Compras!$O$86=""),"",IF(Registro_Compras!$AB$86="ADMINISTRATIVO","Gastos Administrativos","Gastos de Venta y Operacion"))</f>
        <v/>
      </c>
      <c r="E746" s="20">
        <f>IF($C746="","",IF(Registro_Compras!$F$86="NOTA DE CREDITO","",IF(Registro_Compras!$F$86="RHE",ROUND(Registro_Compras!$L$86*Registro_Compras!$N$86,2),ROUND(Registro_Compras!$J$86*Registro_Compras!$N$86,2))))</f>
        <v/>
      </c>
      <c r="F746" s="20">
        <f>IF($C746="","",IF(Registro_Compras!$F$86="NOTA DE CREDITO",ROUND(ABS(Registro_Compras!$J$86*Registro_Compras!$N$86),2),""))</f>
        <v/>
      </c>
      <c r="G746">
        <f>IF($C746="","","Por el destino del gasto")</f>
        <v/>
      </c>
      <c r="H746">
        <f>IF($C746="","",Registro_Compras!$C$86)</f>
        <v/>
      </c>
    </row>
    <row r="747">
      <c r="A747" s="25">
        <f>IF($C747="","",Registro_Compras!$B$86)</f>
        <v/>
      </c>
      <c r="B747">
        <f>IF($C747="","","C"&amp;TEXT(INT((ROW()-5)/9)+1,"000")&amp;"-2")</f>
        <v/>
      </c>
      <c r="C747">
        <f>IF(OR(Registro_Compras!$C$86="",Registro_Compras!$O$86=""),"","79/791")</f>
        <v/>
      </c>
      <c r="D747">
        <f>IF(OR(Registro_Compras!$C$86="",Registro_Compras!$O$86=""),"","Cargas Imputables a Cuentas de Costos y Gastos")</f>
        <v/>
      </c>
      <c r="E747" s="20">
        <f>IF($C747="","",IF(Registro_Compras!$F$86="NOTA DE CREDITO",ROUND(ABS(Registro_Compras!$J$86*Registro_Compras!$N$86),2),""))</f>
        <v/>
      </c>
      <c r="F747" s="20">
        <f>IF($C747="","",IF(Registro_Compras!$F$86="NOTA DE CREDITO","",IF(Registro_Compras!$F$86="RHE",ROUND(Registro_Compras!$L$86*Registro_Compras!$N$86,2),ROUND(Registro_Compras!$J$86*Registro_Compras!$N$86,2))))</f>
        <v/>
      </c>
      <c r="G747">
        <f>IF($C747="","","Por el destino del gasto")</f>
        <v/>
      </c>
      <c r="H747">
        <f>IF($C747="","",Registro_Compras!$C$86)</f>
        <v/>
      </c>
    </row>
    <row r="748">
      <c r="A748" s="25">
        <f>IF($C748="","",Registro_Compras!$X$86)</f>
        <v/>
      </c>
      <c r="B748">
        <f>IF($C748="","","C"&amp;TEXT(INT((ROW()-5)/9)+1,"000")&amp;"-3")</f>
        <v/>
      </c>
      <c r="C748">
        <f>IF(OR(Registro_Compras!$C$86="",Registro_Compras!$O$86="",Registro_Compras!$R$86&lt;&gt;"SI",Registro_Compras!$X$86=""),"","4212")</f>
        <v/>
      </c>
      <c r="D748">
        <f>IF(OR(Registro_Compras!$C$86="",Registro_Compras!$O$86=""),"","Cuentas por Pagar Comerciales - Terceros")</f>
        <v/>
      </c>
      <c r="E748" s="20">
        <f>IF($C748="","",Registro_Compras!$S$86)</f>
        <v/>
      </c>
      <c r="F748" s="20">
        <f>""</f>
        <v/>
      </c>
      <c r="G748">
        <f>IF($C748="","","Por el deposito de la detraccion en el Banco de la Nacion")</f>
        <v/>
      </c>
      <c r="H748">
        <f>IF($C748="","",Registro_Compras!$C$86)</f>
        <v/>
      </c>
    </row>
    <row r="749">
      <c r="A749" s="25">
        <f>IF($C749="","",Registro_Compras!$X$86)</f>
        <v/>
      </c>
      <c r="B749">
        <f>IF($C749="","","C"&amp;TEXT(INT((ROW()-5)/9)+1,"000")&amp;"-3")</f>
        <v/>
      </c>
      <c r="C749">
        <f>IF(OR(Registro_Compras!$C$86="",Registro_Compras!$O$86="",Registro_Compras!$R$86&lt;&gt;"SI",Registro_Compras!$X$86=""),"","10413")</f>
        <v/>
      </c>
      <c r="D749">
        <f>IF(OR(Registro_Compras!$C$86="",Registro_Compras!$O$86=""),"","Efectivo y Equivalentes - Cta. Cte. Operativa")</f>
        <v/>
      </c>
      <c r="E749" s="20">
        <f>""</f>
        <v/>
      </c>
      <c r="F749" s="20">
        <f>IF($C749="","",Registro_Compras!$S$86)</f>
        <v/>
      </c>
      <c r="G749">
        <f>IF($C749="","","Por el deposito de la detraccion en el Banco de la Nacion")</f>
        <v/>
      </c>
      <c r="H749">
        <f>IF($C749="","",Registro_Compras!$C$86)</f>
        <v/>
      </c>
    </row>
    <row r="750">
      <c r="A750" s="25">
        <f>IF($C750="","",Registro_Compras!$Y$86)</f>
        <v/>
      </c>
      <c r="B750">
        <f>IF($C750="","","C"&amp;TEXT(INT((ROW()-5)/9)+1,"000")&amp;"-4")</f>
        <v/>
      </c>
      <c r="C750">
        <f>IF(OR(Registro_Compras!$C$86="",Registro_Compras!$O$86="",Registro_Compras!$Y$86="",Registro_Compras!$F$86="NOTA DE CREDITO"),"","4212")</f>
        <v/>
      </c>
      <c r="D750">
        <f>IF(OR(Registro_Compras!$C$86="",Registro_Compras!$O$86=""),"","Cuentas por Pagar Comerciales - Terceros")</f>
        <v/>
      </c>
      <c r="E750" s="20">
        <f>IF($C750="","",IF(Registro_Compras!$F$86="RHE",(ROUND(Registro_Compras!$L$86*Registro_Compras!$N$86,2)-ROUND(Registro_Compras!$V$86*Registro_Compras!$N$86,2)),ROUND(Registro_Compras!$O$86-Registro_Compras!$S$86,2)))</f>
        <v/>
      </c>
      <c r="F750" s="20">
        <f>""</f>
        <v/>
      </c>
      <c r="G750">
        <f>IF($C750="","","Por la cancelacion del saldo al proveedor")</f>
        <v/>
      </c>
      <c r="H750">
        <f>IF($C750="","",Registro_Compras!$C$86)</f>
        <v/>
      </c>
    </row>
    <row r="751">
      <c r="A751" s="25">
        <f>IF($C751="","",Registro_Compras!$Y$86)</f>
        <v/>
      </c>
      <c r="B751">
        <f>IF($C751="","","C"&amp;TEXT(INT((ROW()-5)/9)+1,"000")&amp;"-4")</f>
        <v/>
      </c>
      <c r="C751">
        <f>IF(OR(Registro_Compras!$C$86="",Registro_Compras!$O$86="",Registro_Compras!$Y$86="",Registro_Compras!$F$86="NOTA DE CREDITO"),"","10413")</f>
        <v/>
      </c>
      <c r="D751">
        <f>IF(OR(Registro_Compras!$C$86="",Registro_Compras!$O$86=""),"","Efectivo y Equivalentes - Cta. Cte. Operativa")</f>
        <v/>
      </c>
      <c r="E751" s="20">
        <f>""</f>
        <v/>
      </c>
      <c r="F751" s="20">
        <f>IF($C751="","",IF(Registro_Compras!$F$86="RHE",(ROUND(Registro_Compras!$L$86*Registro_Compras!$N$86,2)-ROUND(Registro_Compras!$V$86*Registro_Compras!$N$86,2)),ROUND(Registro_Compras!$O$86-Registro_Compras!$S$86,2)))</f>
        <v/>
      </c>
      <c r="G751">
        <f>IF($C751="","","Por la cancelacion del saldo al proveedor")</f>
        <v/>
      </c>
      <c r="H751">
        <f>IF($C751="","",Registro_Compras!$C$86)</f>
        <v/>
      </c>
    </row>
    <row r="752">
      <c r="A752" s="25">
        <f>IF($C752="","",Registro_Compras!$B$87)</f>
        <v/>
      </c>
      <c r="B752">
        <f>IF($C752="","","C"&amp;TEXT(INT((ROW()-5)/9)+1,"000")&amp;"-1")</f>
        <v/>
      </c>
      <c r="C752">
        <f>IF(OR(Registro_Compras!$C$87="",Registro_Compras!$O$87=""),"",IF(Registro_Compras!$F$87="NOTA DE CREDITO","4212",IF(Registro_Compras!$M$87="","63",Registro_Compras!$M$87)))</f>
        <v/>
      </c>
      <c r="D752">
        <f>IF(OR(Registro_Compras!$C$87="",Registro_Compras!$O$87=""),"",IF(Registro_Compras!$F$87="NOTA DE CREDITO","Cuentas por Pagar Comerciales - Terceros (Emitidas)",IF(Registro_Compras!$F$87="RHE","Honorarios Profesionales - Servicios de Terceros","Gastos de Servicios Prestados por Terceros")))</f>
        <v/>
      </c>
      <c r="E752" s="20">
        <f>IF($C752="","",IF(Registro_Compras!$F$87="NOTA DE CREDITO",ABS(Registro_Compras!$O$87),IF(Registro_Compras!$F$87="RHE",ROUND(Registro_Compras!$L$87*Registro_Compras!$N$87,2),ROUND(Registro_Compras!$J$87*Registro_Compras!$N$87,2))))</f>
        <v/>
      </c>
      <c r="F752" s="20">
        <f>""</f>
        <v/>
      </c>
      <c r="G752">
        <f>IF($C752="","",IF(Registro_Compras!$F$87="NOTA DE CREDITO","Por la nota de credito "&amp;Registro_Compras!$C$87&amp;" de "&amp;Registro_Compras!$E$87&amp;" [PATRON POR CONFIRMAR CON CONTADOR]",IF(Registro_Compras!$F$87="RHE","Por el registro del recibo por honorarios "&amp;Registro_Compras!$C$87&amp;" de "&amp;Registro_Compras!$E$87&amp;" [PATRON POR CONFIRMAR CON CONTADOR]","Por el registro de la factura "&amp;Registro_Compras!$C$87&amp;" de "&amp;Registro_Compras!$E$87)))</f>
        <v/>
      </c>
      <c r="H752">
        <f>IF($C752="","",Registro_Compras!$C$87)</f>
        <v/>
      </c>
    </row>
    <row r="753">
      <c r="A753" s="25">
        <f>IF($C753="","",Registro_Compras!$B$87)</f>
        <v/>
      </c>
      <c r="B753">
        <f>IF($C753="","","C"&amp;TEXT(INT((ROW()-5)/9)+1,"000")&amp;"-1")</f>
        <v/>
      </c>
      <c r="C753">
        <f>IF(OR(Registro_Compras!$C$87="",Registro_Compras!$O$87=""),"",IF(Registro_Compras!$F$87="RHE",IF(Registro_Compras!$V$87=0,"","40172"),IF(Registro_Compras!$F$87="NOTA DE CREDITO",IF(Registro_Compras!$M$87="","63",Registro_Compras!$M$87),IF(Registro_Compras!$K$87=0,"","40111"))))</f>
        <v/>
      </c>
      <c r="D753">
        <f>IF(OR(Registro_Compras!$C$87="",Registro_Compras!$O$87=""),"",IF(Registro_Compras!$F$87="RHE","Retencion Renta 4ta Categoria por Pagar",IF(Registro_Compras!$F$87="NOTA DE CREDITO","Gastos de Servicios Prestados por Terceros","IGV - Cuenta Propia (Credito Fiscal)")))</f>
        <v/>
      </c>
      <c r="E753" s="20">
        <f>IF($C753="","",IF(Registro_Compras!$F$87="FACTURA",ROUND(Registro_Compras!$K$87*Registro_Compras!$N$87,2),""))</f>
        <v/>
      </c>
      <c r="F753" s="20">
        <f>IF($C753="","",IF(Registro_Compras!$F$87="RHE",ROUND(Registro_Compras!$V$87*Registro_Compras!$N$87,2),IF(Registro_Compras!$F$87="NOTA DE CREDITO",ROUND(ABS(Registro_Compras!$J$87*Registro_Compras!$N$87),2),"")))</f>
        <v/>
      </c>
      <c r="G753">
        <f>IF($C753="","",IF(Registro_Compras!$F$87="NOTA DE CREDITO","Por la nota de credito "&amp;Registro_Compras!$C$87&amp;" de "&amp;Registro_Compras!$E$87&amp;" [PATRON POR CONFIRMAR CON CONTADOR]",IF(Registro_Compras!$F$87="RHE","Por el registro del recibo por honorarios "&amp;Registro_Compras!$C$87&amp;" de "&amp;Registro_Compras!$E$87&amp;" [PATRON POR CONFIRMAR CON CONTADOR]","Por el registro de la factura "&amp;Registro_Compras!$C$87&amp;" de "&amp;Registro_Compras!$E$87)))</f>
        <v/>
      </c>
      <c r="H753">
        <f>IF($C753="","",Registro_Compras!$C$87)</f>
        <v/>
      </c>
    </row>
    <row r="754">
      <c r="A754" s="25">
        <f>IF($C754="","",Registro_Compras!$B$87)</f>
        <v/>
      </c>
      <c r="B754">
        <f>IF($C754="","","C"&amp;TEXT(INT((ROW()-5)/9)+1,"000")&amp;"-1")</f>
        <v/>
      </c>
      <c r="C754">
        <f>IF(OR(Registro_Compras!$C$87="",Registro_Compras!$O$87=""),"",IF(Registro_Compras!$F$87="NOTA DE CREDITO",IF(Registro_Compras!$K$87=0,"","40111"),"4212"))</f>
        <v/>
      </c>
      <c r="D754">
        <f>IF(OR(Registro_Compras!$C$87="",Registro_Compras!$O$87=""),"",IF(Registro_Compras!$F$87="NOTA DE CREDITO","IGV - Cuenta Propia (Credito Fiscal)","Cuentas por Pagar Comerciales - Terceros (Emitidas)"))</f>
        <v/>
      </c>
      <c r="E754" s="20">
        <f>""</f>
        <v/>
      </c>
      <c r="F754" s="20">
        <f>IF($C754="","",IF(Registro_Compras!$F$87="NOTA DE CREDITO",ROUND(ABS(Registro_Compras!$K$87*Registro_Compras!$N$87),2),IF(Registro_Compras!$F$87="RHE",(ROUND(Registro_Compras!$L$87*Registro_Compras!$N$87,2)-ROUND(Registro_Compras!$V$87*Registro_Compras!$N$87,2)),Registro_Compras!$O$87)))</f>
        <v/>
      </c>
      <c r="G754">
        <f>IF($C754="","",IF(Registro_Compras!$F$87="NOTA DE CREDITO","Por la nota de credito "&amp;Registro_Compras!$C$87&amp;" de "&amp;Registro_Compras!$E$87&amp;" [PATRON POR CONFIRMAR CON CONTADOR]",IF(Registro_Compras!$F$87="RHE","Por el registro del recibo por honorarios "&amp;Registro_Compras!$C$87&amp;" de "&amp;Registro_Compras!$E$87&amp;" [PATRON POR CONFIRMAR CON CONTADOR]","Por el registro de la factura "&amp;Registro_Compras!$C$87&amp;" de "&amp;Registro_Compras!$E$87)))</f>
        <v/>
      </c>
      <c r="H754">
        <f>IF($C754="","",Registro_Compras!$C$87)</f>
        <v/>
      </c>
    </row>
    <row r="755">
      <c r="A755" s="25">
        <f>IF($C755="","",Registro_Compras!$B$87)</f>
        <v/>
      </c>
      <c r="B755">
        <f>IF($C755="","","C"&amp;TEXT(INT((ROW()-5)/9)+1,"000")&amp;"-2")</f>
        <v/>
      </c>
      <c r="C755">
        <f>IF(OR(Registro_Compras!$C$87="",Registro_Compras!$O$87=""),"",IF(Registro_Compras!$AB$87="ADMINISTRATIVO","94","95"))</f>
        <v/>
      </c>
      <c r="D755">
        <f>IF(OR(Registro_Compras!$C$87="",Registro_Compras!$O$87=""),"",IF(Registro_Compras!$AB$87="ADMINISTRATIVO","Gastos Administrativos","Gastos de Venta y Operacion"))</f>
        <v/>
      </c>
      <c r="E755" s="20">
        <f>IF($C755="","",IF(Registro_Compras!$F$87="NOTA DE CREDITO","",IF(Registro_Compras!$F$87="RHE",ROUND(Registro_Compras!$L$87*Registro_Compras!$N$87,2),ROUND(Registro_Compras!$J$87*Registro_Compras!$N$87,2))))</f>
        <v/>
      </c>
      <c r="F755" s="20">
        <f>IF($C755="","",IF(Registro_Compras!$F$87="NOTA DE CREDITO",ROUND(ABS(Registro_Compras!$J$87*Registro_Compras!$N$87),2),""))</f>
        <v/>
      </c>
      <c r="G755">
        <f>IF($C755="","","Por el destino del gasto")</f>
        <v/>
      </c>
      <c r="H755">
        <f>IF($C755="","",Registro_Compras!$C$87)</f>
        <v/>
      </c>
    </row>
    <row r="756">
      <c r="A756" s="25">
        <f>IF($C756="","",Registro_Compras!$B$87)</f>
        <v/>
      </c>
      <c r="B756">
        <f>IF($C756="","","C"&amp;TEXT(INT((ROW()-5)/9)+1,"000")&amp;"-2")</f>
        <v/>
      </c>
      <c r="C756">
        <f>IF(OR(Registro_Compras!$C$87="",Registro_Compras!$O$87=""),"","79/791")</f>
        <v/>
      </c>
      <c r="D756">
        <f>IF(OR(Registro_Compras!$C$87="",Registro_Compras!$O$87=""),"","Cargas Imputables a Cuentas de Costos y Gastos")</f>
        <v/>
      </c>
      <c r="E756" s="20">
        <f>IF($C756="","",IF(Registro_Compras!$F$87="NOTA DE CREDITO",ROUND(ABS(Registro_Compras!$J$87*Registro_Compras!$N$87),2),""))</f>
        <v/>
      </c>
      <c r="F756" s="20">
        <f>IF($C756="","",IF(Registro_Compras!$F$87="NOTA DE CREDITO","",IF(Registro_Compras!$F$87="RHE",ROUND(Registro_Compras!$L$87*Registro_Compras!$N$87,2),ROUND(Registro_Compras!$J$87*Registro_Compras!$N$87,2))))</f>
        <v/>
      </c>
      <c r="G756">
        <f>IF($C756="","","Por el destino del gasto")</f>
        <v/>
      </c>
      <c r="H756">
        <f>IF($C756="","",Registro_Compras!$C$87)</f>
        <v/>
      </c>
    </row>
    <row r="757">
      <c r="A757" s="25">
        <f>IF($C757="","",Registro_Compras!$X$87)</f>
        <v/>
      </c>
      <c r="B757">
        <f>IF($C757="","","C"&amp;TEXT(INT((ROW()-5)/9)+1,"000")&amp;"-3")</f>
        <v/>
      </c>
      <c r="C757">
        <f>IF(OR(Registro_Compras!$C$87="",Registro_Compras!$O$87="",Registro_Compras!$R$87&lt;&gt;"SI",Registro_Compras!$X$87=""),"","4212")</f>
        <v/>
      </c>
      <c r="D757">
        <f>IF(OR(Registro_Compras!$C$87="",Registro_Compras!$O$87=""),"","Cuentas por Pagar Comerciales - Terceros")</f>
        <v/>
      </c>
      <c r="E757" s="20">
        <f>IF($C757="","",Registro_Compras!$S$87)</f>
        <v/>
      </c>
      <c r="F757" s="20">
        <f>""</f>
        <v/>
      </c>
      <c r="G757">
        <f>IF($C757="","","Por el deposito de la detraccion en el Banco de la Nacion")</f>
        <v/>
      </c>
      <c r="H757">
        <f>IF($C757="","",Registro_Compras!$C$87)</f>
        <v/>
      </c>
    </row>
    <row r="758">
      <c r="A758" s="25">
        <f>IF($C758="","",Registro_Compras!$X$87)</f>
        <v/>
      </c>
      <c r="B758">
        <f>IF($C758="","","C"&amp;TEXT(INT((ROW()-5)/9)+1,"000")&amp;"-3")</f>
        <v/>
      </c>
      <c r="C758">
        <f>IF(OR(Registro_Compras!$C$87="",Registro_Compras!$O$87="",Registro_Compras!$R$87&lt;&gt;"SI",Registro_Compras!$X$87=""),"","10413")</f>
        <v/>
      </c>
      <c r="D758">
        <f>IF(OR(Registro_Compras!$C$87="",Registro_Compras!$O$87=""),"","Efectivo y Equivalentes - Cta. Cte. Operativa")</f>
        <v/>
      </c>
      <c r="E758" s="20">
        <f>""</f>
        <v/>
      </c>
      <c r="F758" s="20">
        <f>IF($C758="","",Registro_Compras!$S$87)</f>
        <v/>
      </c>
      <c r="G758">
        <f>IF($C758="","","Por el deposito de la detraccion en el Banco de la Nacion")</f>
        <v/>
      </c>
      <c r="H758">
        <f>IF($C758="","",Registro_Compras!$C$87)</f>
        <v/>
      </c>
    </row>
    <row r="759">
      <c r="A759" s="25">
        <f>IF($C759="","",Registro_Compras!$Y$87)</f>
        <v/>
      </c>
      <c r="B759">
        <f>IF($C759="","","C"&amp;TEXT(INT((ROW()-5)/9)+1,"000")&amp;"-4")</f>
        <v/>
      </c>
      <c r="C759">
        <f>IF(OR(Registro_Compras!$C$87="",Registro_Compras!$O$87="",Registro_Compras!$Y$87="",Registro_Compras!$F$87="NOTA DE CREDITO"),"","4212")</f>
        <v/>
      </c>
      <c r="D759">
        <f>IF(OR(Registro_Compras!$C$87="",Registro_Compras!$O$87=""),"","Cuentas por Pagar Comerciales - Terceros")</f>
        <v/>
      </c>
      <c r="E759" s="20">
        <f>IF($C759="","",IF(Registro_Compras!$F$87="RHE",(ROUND(Registro_Compras!$L$87*Registro_Compras!$N$87,2)-ROUND(Registro_Compras!$V$87*Registro_Compras!$N$87,2)),ROUND(Registro_Compras!$O$87-Registro_Compras!$S$87,2)))</f>
        <v/>
      </c>
      <c r="F759" s="20">
        <f>""</f>
        <v/>
      </c>
      <c r="G759">
        <f>IF($C759="","","Por la cancelacion del saldo al proveedor")</f>
        <v/>
      </c>
      <c r="H759">
        <f>IF($C759="","",Registro_Compras!$C$87)</f>
        <v/>
      </c>
    </row>
    <row r="760">
      <c r="A760" s="25">
        <f>IF($C760="","",Registro_Compras!$Y$87)</f>
        <v/>
      </c>
      <c r="B760">
        <f>IF($C760="","","C"&amp;TEXT(INT((ROW()-5)/9)+1,"000")&amp;"-4")</f>
        <v/>
      </c>
      <c r="C760">
        <f>IF(OR(Registro_Compras!$C$87="",Registro_Compras!$O$87="",Registro_Compras!$Y$87="",Registro_Compras!$F$87="NOTA DE CREDITO"),"","10413")</f>
        <v/>
      </c>
      <c r="D760">
        <f>IF(OR(Registro_Compras!$C$87="",Registro_Compras!$O$87=""),"","Efectivo y Equivalentes - Cta. Cte. Operativa")</f>
        <v/>
      </c>
      <c r="E760" s="20">
        <f>""</f>
        <v/>
      </c>
      <c r="F760" s="20">
        <f>IF($C760="","",IF(Registro_Compras!$F$87="RHE",(ROUND(Registro_Compras!$L$87*Registro_Compras!$N$87,2)-ROUND(Registro_Compras!$V$87*Registro_Compras!$N$87,2)),ROUND(Registro_Compras!$O$87-Registro_Compras!$S$87,2)))</f>
        <v/>
      </c>
      <c r="G760">
        <f>IF($C760="","","Por la cancelacion del saldo al proveedor")</f>
        <v/>
      </c>
      <c r="H760">
        <f>IF($C760="","",Registro_Compras!$C$87)</f>
        <v/>
      </c>
    </row>
    <row r="761">
      <c r="A761" s="25">
        <f>IF($C761="","",Registro_Compras!$B$88)</f>
        <v/>
      </c>
      <c r="B761">
        <f>IF($C761="","","C"&amp;TEXT(INT((ROW()-5)/9)+1,"000")&amp;"-1")</f>
        <v/>
      </c>
      <c r="C761">
        <f>IF(OR(Registro_Compras!$C$88="",Registro_Compras!$O$88=""),"",IF(Registro_Compras!$F$88="NOTA DE CREDITO","4212",IF(Registro_Compras!$M$88="","63",Registro_Compras!$M$88)))</f>
        <v/>
      </c>
      <c r="D761">
        <f>IF(OR(Registro_Compras!$C$88="",Registro_Compras!$O$88=""),"",IF(Registro_Compras!$F$88="NOTA DE CREDITO","Cuentas por Pagar Comerciales - Terceros (Emitidas)",IF(Registro_Compras!$F$88="RHE","Honorarios Profesionales - Servicios de Terceros","Gastos de Servicios Prestados por Terceros")))</f>
        <v/>
      </c>
      <c r="E761" s="20">
        <f>IF($C761="","",IF(Registro_Compras!$F$88="NOTA DE CREDITO",ABS(Registro_Compras!$O$88),IF(Registro_Compras!$F$88="RHE",ROUND(Registro_Compras!$L$88*Registro_Compras!$N$88,2),ROUND(Registro_Compras!$J$88*Registro_Compras!$N$88,2))))</f>
        <v/>
      </c>
      <c r="F761" s="20">
        <f>""</f>
        <v/>
      </c>
      <c r="G761">
        <f>IF($C761="","",IF(Registro_Compras!$F$88="NOTA DE CREDITO","Por la nota de credito "&amp;Registro_Compras!$C$88&amp;" de "&amp;Registro_Compras!$E$88&amp;" [PATRON POR CONFIRMAR CON CONTADOR]",IF(Registro_Compras!$F$88="RHE","Por el registro del recibo por honorarios "&amp;Registro_Compras!$C$88&amp;" de "&amp;Registro_Compras!$E$88&amp;" [PATRON POR CONFIRMAR CON CONTADOR]","Por el registro de la factura "&amp;Registro_Compras!$C$88&amp;" de "&amp;Registro_Compras!$E$88)))</f>
        <v/>
      </c>
      <c r="H761">
        <f>IF($C761="","",Registro_Compras!$C$88)</f>
        <v/>
      </c>
    </row>
    <row r="762">
      <c r="A762" s="25">
        <f>IF($C762="","",Registro_Compras!$B$88)</f>
        <v/>
      </c>
      <c r="B762">
        <f>IF($C762="","","C"&amp;TEXT(INT((ROW()-5)/9)+1,"000")&amp;"-1")</f>
        <v/>
      </c>
      <c r="C762">
        <f>IF(OR(Registro_Compras!$C$88="",Registro_Compras!$O$88=""),"",IF(Registro_Compras!$F$88="RHE",IF(Registro_Compras!$V$88=0,"","40172"),IF(Registro_Compras!$F$88="NOTA DE CREDITO",IF(Registro_Compras!$M$88="","63",Registro_Compras!$M$88),IF(Registro_Compras!$K$88=0,"","40111"))))</f>
        <v/>
      </c>
      <c r="D762">
        <f>IF(OR(Registro_Compras!$C$88="",Registro_Compras!$O$88=""),"",IF(Registro_Compras!$F$88="RHE","Retencion Renta 4ta Categoria por Pagar",IF(Registro_Compras!$F$88="NOTA DE CREDITO","Gastos de Servicios Prestados por Terceros","IGV - Cuenta Propia (Credito Fiscal)")))</f>
        <v/>
      </c>
      <c r="E762" s="20">
        <f>IF($C762="","",IF(Registro_Compras!$F$88="FACTURA",ROUND(Registro_Compras!$K$88*Registro_Compras!$N$88,2),""))</f>
        <v/>
      </c>
      <c r="F762" s="20">
        <f>IF($C762="","",IF(Registro_Compras!$F$88="RHE",ROUND(Registro_Compras!$V$88*Registro_Compras!$N$88,2),IF(Registro_Compras!$F$88="NOTA DE CREDITO",ROUND(ABS(Registro_Compras!$J$88*Registro_Compras!$N$88),2),"")))</f>
        <v/>
      </c>
      <c r="G762">
        <f>IF($C762="","",IF(Registro_Compras!$F$88="NOTA DE CREDITO","Por la nota de credito "&amp;Registro_Compras!$C$88&amp;" de "&amp;Registro_Compras!$E$88&amp;" [PATRON POR CONFIRMAR CON CONTADOR]",IF(Registro_Compras!$F$88="RHE","Por el registro del recibo por honorarios "&amp;Registro_Compras!$C$88&amp;" de "&amp;Registro_Compras!$E$88&amp;" [PATRON POR CONFIRMAR CON CONTADOR]","Por el registro de la factura "&amp;Registro_Compras!$C$88&amp;" de "&amp;Registro_Compras!$E$88)))</f>
        <v/>
      </c>
      <c r="H762">
        <f>IF($C762="","",Registro_Compras!$C$88)</f>
        <v/>
      </c>
    </row>
    <row r="763">
      <c r="A763" s="25">
        <f>IF($C763="","",Registro_Compras!$B$88)</f>
        <v/>
      </c>
      <c r="B763">
        <f>IF($C763="","","C"&amp;TEXT(INT((ROW()-5)/9)+1,"000")&amp;"-1")</f>
        <v/>
      </c>
      <c r="C763">
        <f>IF(OR(Registro_Compras!$C$88="",Registro_Compras!$O$88=""),"",IF(Registro_Compras!$F$88="NOTA DE CREDITO",IF(Registro_Compras!$K$88=0,"","40111"),"4212"))</f>
        <v/>
      </c>
      <c r="D763">
        <f>IF(OR(Registro_Compras!$C$88="",Registro_Compras!$O$88=""),"",IF(Registro_Compras!$F$88="NOTA DE CREDITO","IGV - Cuenta Propia (Credito Fiscal)","Cuentas por Pagar Comerciales - Terceros (Emitidas)"))</f>
        <v/>
      </c>
      <c r="E763" s="20">
        <f>""</f>
        <v/>
      </c>
      <c r="F763" s="20">
        <f>IF($C763="","",IF(Registro_Compras!$F$88="NOTA DE CREDITO",ROUND(ABS(Registro_Compras!$K$88*Registro_Compras!$N$88),2),IF(Registro_Compras!$F$88="RHE",(ROUND(Registro_Compras!$L$88*Registro_Compras!$N$88,2)-ROUND(Registro_Compras!$V$88*Registro_Compras!$N$88,2)),Registro_Compras!$O$88)))</f>
        <v/>
      </c>
      <c r="G763">
        <f>IF($C763="","",IF(Registro_Compras!$F$88="NOTA DE CREDITO","Por la nota de credito "&amp;Registro_Compras!$C$88&amp;" de "&amp;Registro_Compras!$E$88&amp;" [PATRON POR CONFIRMAR CON CONTADOR]",IF(Registro_Compras!$F$88="RHE","Por el registro del recibo por honorarios "&amp;Registro_Compras!$C$88&amp;" de "&amp;Registro_Compras!$E$88&amp;" [PATRON POR CONFIRMAR CON CONTADOR]","Por el registro de la factura "&amp;Registro_Compras!$C$88&amp;" de "&amp;Registro_Compras!$E$88)))</f>
        <v/>
      </c>
      <c r="H763">
        <f>IF($C763="","",Registro_Compras!$C$88)</f>
        <v/>
      </c>
    </row>
    <row r="764">
      <c r="A764" s="25">
        <f>IF($C764="","",Registro_Compras!$B$88)</f>
        <v/>
      </c>
      <c r="B764">
        <f>IF($C764="","","C"&amp;TEXT(INT((ROW()-5)/9)+1,"000")&amp;"-2")</f>
        <v/>
      </c>
      <c r="C764">
        <f>IF(OR(Registro_Compras!$C$88="",Registro_Compras!$O$88=""),"",IF(Registro_Compras!$AB$88="ADMINISTRATIVO","94","95"))</f>
        <v/>
      </c>
      <c r="D764">
        <f>IF(OR(Registro_Compras!$C$88="",Registro_Compras!$O$88=""),"",IF(Registro_Compras!$AB$88="ADMINISTRATIVO","Gastos Administrativos","Gastos de Venta y Operacion"))</f>
        <v/>
      </c>
      <c r="E764" s="20">
        <f>IF($C764="","",IF(Registro_Compras!$F$88="NOTA DE CREDITO","",IF(Registro_Compras!$F$88="RHE",ROUND(Registro_Compras!$L$88*Registro_Compras!$N$88,2),ROUND(Registro_Compras!$J$88*Registro_Compras!$N$88,2))))</f>
        <v/>
      </c>
      <c r="F764" s="20">
        <f>IF($C764="","",IF(Registro_Compras!$F$88="NOTA DE CREDITO",ROUND(ABS(Registro_Compras!$J$88*Registro_Compras!$N$88),2),""))</f>
        <v/>
      </c>
      <c r="G764">
        <f>IF($C764="","","Por el destino del gasto")</f>
        <v/>
      </c>
      <c r="H764">
        <f>IF($C764="","",Registro_Compras!$C$88)</f>
        <v/>
      </c>
    </row>
    <row r="765">
      <c r="A765" s="25">
        <f>IF($C765="","",Registro_Compras!$B$88)</f>
        <v/>
      </c>
      <c r="B765">
        <f>IF($C765="","","C"&amp;TEXT(INT((ROW()-5)/9)+1,"000")&amp;"-2")</f>
        <v/>
      </c>
      <c r="C765">
        <f>IF(OR(Registro_Compras!$C$88="",Registro_Compras!$O$88=""),"","79/791")</f>
        <v/>
      </c>
      <c r="D765">
        <f>IF(OR(Registro_Compras!$C$88="",Registro_Compras!$O$88=""),"","Cargas Imputables a Cuentas de Costos y Gastos")</f>
        <v/>
      </c>
      <c r="E765" s="20">
        <f>IF($C765="","",IF(Registro_Compras!$F$88="NOTA DE CREDITO",ROUND(ABS(Registro_Compras!$J$88*Registro_Compras!$N$88),2),""))</f>
        <v/>
      </c>
      <c r="F765" s="20">
        <f>IF($C765="","",IF(Registro_Compras!$F$88="NOTA DE CREDITO","",IF(Registro_Compras!$F$88="RHE",ROUND(Registro_Compras!$L$88*Registro_Compras!$N$88,2),ROUND(Registro_Compras!$J$88*Registro_Compras!$N$88,2))))</f>
        <v/>
      </c>
      <c r="G765">
        <f>IF($C765="","","Por el destino del gasto")</f>
        <v/>
      </c>
      <c r="H765">
        <f>IF($C765="","",Registro_Compras!$C$88)</f>
        <v/>
      </c>
    </row>
    <row r="766">
      <c r="A766" s="25">
        <f>IF($C766="","",Registro_Compras!$X$88)</f>
        <v/>
      </c>
      <c r="B766">
        <f>IF($C766="","","C"&amp;TEXT(INT((ROW()-5)/9)+1,"000")&amp;"-3")</f>
        <v/>
      </c>
      <c r="C766">
        <f>IF(OR(Registro_Compras!$C$88="",Registro_Compras!$O$88="",Registro_Compras!$R$88&lt;&gt;"SI",Registro_Compras!$X$88=""),"","4212")</f>
        <v/>
      </c>
      <c r="D766">
        <f>IF(OR(Registro_Compras!$C$88="",Registro_Compras!$O$88=""),"","Cuentas por Pagar Comerciales - Terceros")</f>
        <v/>
      </c>
      <c r="E766" s="20">
        <f>IF($C766="","",Registro_Compras!$S$88)</f>
        <v/>
      </c>
      <c r="F766" s="20">
        <f>""</f>
        <v/>
      </c>
      <c r="G766">
        <f>IF($C766="","","Por el deposito de la detraccion en el Banco de la Nacion")</f>
        <v/>
      </c>
      <c r="H766">
        <f>IF($C766="","",Registro_Compras!$C$88)</f>
        <v/>
      </c>
    </row>
    <row r="767">
      <c r="A767" s="25">
        <f>IF($C767="","",Registro_Compras!$X$88)</f>
        <v/>
      </c>
      <c r="B767">
        <f>IF($C767="","","C"&amp;TEXT(INT((ROW()-5)/9)+1,"000")&amp;"-3")</f>
        <v/>
      </c>
      <c r="C767">
        <f>IF(OR(Registro_Compras!$C$88="",Registro_Compras!$O$88="",Registro_Compras!$R$88&lt;&gt;"SI",Registro_Compras!$X$88=""),"","10413")</f>
        <v/>
      </c>
      <c r="D767">
        <f>IF(OR(Registro_Compras!$C$88="",Registro_Compras!$O$88=""),"","Efectivo y Equivalentes - Cta. Cte. Operativa")</f>
        <v/>
      </c>
      <c r="E767" s="20">
        <f>""</f>
        <v/>
      </c>
      <c r="F767" s="20">
        <f>IF($C767="","",Registro_Compras!$S$88)</f>
        <v/>
      </c>
      <c r="G767">
        <f>IF($C767="","","Por el deposito de la detraccion en el Banco de la Nacion")</f>
        <v/>
      </c>
      <c r="H767">
        <f>IF($C767="","",Registro_Compras!$C$88)</f>
        <v/>
      </c>
    </row>
    <row r="768">
      <c r="A768" s="25">
        <f>IF($C768="","",Registro_Compras!$Y$88)</f>
        <v/>
      </c>
      <c r="B768">
        <f>IF($C768="","","C"&amp;TEXT(INT((ROW()-5)/9)+1,"000")&amp;"-4")</f>
        <v/>
      </c>
      <c r="C768">
        <f>IF(OR(Registro_Compras!$C$88="",Registro_Compras!$O$88="",Registro_Compras!$Y$88="",Registro_Compras!$F$88="NOTA DE CREDITO"),"","4212")</f>
        <v/>
      </c>
      <c r="D768">
        <f>IF(OR(Registro_Compras!$C$88="",Registro_Compras!$O$88=""),"","Cuentas por Pagar Comerciales - Terceros")</f>
        <v/>
      </c>
      <c r="E768" s="20">
        <f>IF($C768="","",IF(Registro_Compras!$F$88="RHE",(ROUND(Registro_Compras!$L$88*Registro_Compras!$N$88,2)-ROUND(Registro_Compras!$V$88*Registro_Compras!$N$88,2)),ROUND(Registro_Compras!$O$88-Registro_Compras!$S$88,2)))</f>
        <v/>
      </c>
      <c r="F768" s="20">
        <f>""</f>
        <v/>
      </c>
      <c r="G768">
        <f>IF($C768="","","Por la cancelacion del saldo al proveedor")</f>
        <v/>
      </c>
      <c r="H768">
        <f>IF($C768="","",Registro_Compras!$C$88)</f>
        <v/>
      </c>
    </row>
    <row r="769">
      <c r="A769" s="25">
        <f>IF($C769="","",Registro_Compras!$Y$88)</f>
        <v/>
      </c>
      <c r="B769">
        <f>IF($C769="","","C"&amp;TEXT(INT((ROW()-5)/9)+1,"000")&amp;"-4")</f>
        <v/>
      </c>
      <c r="C769">
        <f>IF(OR(Registro_Compras!$C$88="",Registro_Compras!$O$88="",Registro_Compras!$Y$88="",Registro_Compras!$F$88="NOTA DE CREDITO"),"","10413")</f>
        <v/>
      </c>
      <c r="D769">
        <f>IF(OR(Registro_Compras!$C$88="",Registro_Compras!$O$88=""),"","Efectivo y Equivalentes - Cta. Cte. Operativa")</f>
        <v/>
      </c>
      <c r="E769" s="20">
        <f>""</f>
        <v/>
      </c>
      <c r="F769" s="20">
        <f>IF($C769="","",IF(Registro_Compras!$F$88="RHE",(ROUND(Registro_Compras!$L$88*Registro_Compras!$N$88,2)-ROUND(Registro_Compras!$V$88*Registro_Compras!$N$88,2)),ROUND(Registro_Compras!$O$88-Registro_Compras!$S$88,2)))</f>
        <v/>
      </c>
      <c r="G769">
        <f>IF($C769="","","Por la cancelacion del saldo al proveedor")</f>
        <v/>
      </c>
      <c r="H769">
        <f>IF($C769="","",Registro_Compras!$C$88)</f>
        <v/>
      </c>
    </row>
    <row r="770">
      <c r="A770" s="25">
        <f>IF($C770="","",Registro_Compras!$B$89)</f>
        <v/>
      </c>
      <c r="B770">
        <f>IF($C770="","","C"&amp;TEXT(INT((ROW()-5)/9)+1,"000")&amp;"-1")</f>
        <v/>
      </c>
      <c r="C770">
        <f>IF(OR(Registro_Compras!$C$89="",Registro_Compras!$O$89=""),"",IF(Registro_Compras!$F$89="NOTA DE CREDITO","4212",IF(Registro_Compras!$M$89="","63",Registro_Compras!$M$89)))</f>
        <v/>
      </c>
      <c r="D770">
        <f>IF(OR(Registro_Compras!$C$89="",Registro_Compras!$O$89=""),"",IF(Registro_Compras!$F$89="NOTA DE CREDITO","Cuentas por Pagar Comerciales - Terceros (Emitidas)",IF(Registro_Compras!$F$89="RHE","Honorarios Profesionales - Servicios de Terceros","Gastos de Servicios Prestados por Terceros")))</f>
        <v/>
      </c>
      <c r="E770" s="20">
        <f>IF($C770="","",IF(Registro_Compras!$F$89="NOTA DE CREDITO",ABS(Registro_Compras!$O$89),IF(Registro_Compras!$F$89="RHE",ROUND(Registro_Compras!$L$89*Registro_Compras!$N$89,2),ROUND(Registro_Compras!$J$89*Registro_Compras!$N$89,2))))</f>
        <v/>
      </c>
      <c r="F770" s="20">
        <f>""</f>
        <v/>
      </c>
      <c r="G770">
        <f>IF($C770="","",IF(Registro_Compras!$F$89="NOTA DE CREDITO","Por la nota de credito "&amp;Registro_Compras!$C$89&amp;" de "&amp;Registro_Compras!$E$89&amp;" [PATRON POR CONFIRMAR CON CONTADOR]",IF(Registro_Compras!$F$89="RHE","Por el registro del recibo por honorarios "&amp;Registro_Compras!$C$89&amp;" de "&amp;Registro_Compras!$E$89&amp;" [PATRON POR CONFIRMAR CON CONTADOR]","Por el registro de la factura "&amp;Registro_Compras!$C$89&amp;" de "&amp;Registro_Compras!$E$89)))</f>
        <v/>
      </c>
      <c r="H770">
        <f>IF($C770="","",Registro_Compras!$C$89)</f>
        <v/>
      </c>
    </row>
    <row r="771">
      <c r="A771" s="25">
        <f>IF($C771="","",Registro_Compras!$B$89)</f>
        <v/>
      </c>
      <c r="B771">
        <f>IF($C771="","","C"&amp;TEXT(INT((ROW()-5)/9)+1,"000")&amp;"-1")</f>
        <v/>
      </c>
      <c r="C771">
        <f>IF(OR(Registro_Compras!$C$89="",Registro_Compras!$O$89=""),"",IF(Registro_Compras!$F$89="RHE",IF(Registro_Compras!$V$89=0,"","40172"),IF(Registro_Compras!$F$89="NOTA DE CREDITO",IF(Registro_Compras!$M$89="","63",Registro_Compras!$M$89),IF(Registro_Compras!$K$89=0,"","40111"))))</f>
        <v/>
      </c>
      <c r="D771">
        <f>IF(OR(Registro_Compras!$C$89="",Registro_Compras!$O$89=""),"",IF(Registro_Compras!$F$89="RHE","Retencion Renta 4ta Categoria por Pagar",IF(Registro_Compras!$F$89="NOTA DE CREDITO","Gastos de Servicios Prestados por Terceros","IGV - Cuenta Propia (Credito Fiscal)")))</f>
        <v/>
      </c>
      <c r="E771" s="20">
        <f>IF($C771="","",IF(Registro_Compras!$F$89="FACTURA",ROUND(Registro_Compras!$K$89*Registro_Compras!$N$89,2),""))</f>
        <v/>
      </c>
      <c r="F771" s="20">
        <f>IF($C771="","",IF(Registro_Compras!$F$89="RHE",ROUND(Registro_Compras!$V$89*Registro_Compras!$N$89,2),IF(Registro_Compras!$F$89="NOTA DE CREDITO",ROUND(ABS(Registro_Compras!$J$89*Registro_Compras!$N$89),2),"")))</f>
        <v/>
      </c>
      <c r="G771">
        <f>IF($C771="","",IF(Registro_Compras!$F$89="NOTA DE CREDITO","Por la nota de credito "&amp;Registro_Compras!$C$89&amp;" de "&amp;Registro_Compras!$E$89&amp;" [PATRON POR CONFIRMAR CON CONTADOR]",IF(Registro_Compras!$F$89="RHE","Por el registro del recibo por honorarios "&amp;Registro_Compras!$C$89&amp;" de "&amp;Registro_Compras!$E$89&amp;" [PATRON POR CONFIRMAR CON CONTADOR]","Por el registro de la factura "&amp;Registro_Compras!$C$89&amp;" de "&amp;Registro_Compras!$E$89)))</f>
        <v/>
      </c>
      <c r="H771">
        <f>IF($C771="","",Registro_Compras!$C$89)</f>
        <v/>
      </c>
    </row>
    <row r="772">
      <c r="A772" s="25">
        <f>IF($C772="","",Registro_Compras!$B$89)</f>
        <v/>
      </c>
      <c r="B772">
        <f>IF($C772="","","C"&amp;TEXT(INT((ROW()-5)/9)+1,"000")&amp;"-1")</f>
        <v/>
      </c>
      <c r="C772">
        <f>IF(OR(Registro_Compras!$C$89="",Registro_Compras!$O$89=""),"",IF(Registro_Compras!$F$89="NOTA DE CREDITO",IF(Registro_Compras!$K$89=0,"","40111"),"4212"))</f>
        <v/>
      </c>
      <c r="D772">
        <f>IF(OR(Registro_Compras!$C$89="",Registro_Compras!$O$89=""),"",IF(Registro_Compras!$F$89="NOTA DE CREDITO","IGV - Cuenta Propia (Credito Fiscal)","Cuentas por Pagar Comerciales - Terceros (Emitidas)"))</f>
        <v/>
      </c>
      <c r="E772" s="20">
        <f>""</f>
        <v/>
      </c>
      <c r="F772" s="20">
        <f>IF($C772="","",IF(Registro_Compras!$F$89="NOTA DE CREDITO",ROUND(ABS(Registro_Compras!$K$89*Registro_Compras!$N$89),2),IF(Registro_Compras!$F$89="RHE",(ROUND(Registro_Compras!$L$89*Registro_Compras!$N$89,2)-ROUND(Registro_Compras!$V$89*Registro_Compras!$N$89,2)),Registro_Compras!$O$89)))</f>
        <v/>
      </c>
      <c r="G772">
        <f>IF($C772="","",IF(Registro_Compras!$F$89="NOTA DE CREDITO","Por la nota de credito "&amp;Registro_Compras!$C$89&amp;" de "&amp;Registro_Compras!$E$89&amp;" [PATRON POR CONFIRMAR CON CONTADOR]",IF(Registro_Compras!$F$89="RHE","Por el registro del recibo por honorarios "&amp;Registro_Compras!$C$89&amp;" de "&amp;Registro_Compras!$E$89&amp;" [PATRON POR CONFIRMAR CON CONTADOR]","Por el registro de la factura "&amp;Registro_Compras!$C$89&amp;" de "&amp;Registro_Compras!$E$89)))</f>
        <v/>
      </c>
      <c r="H772">
        <f>IF($C772="","",Registro_Compras!$C$89)</f>
        <v/>
      </c>
    </row>
    <row r="773">
      <c r="A773" s="25">
        <f>IF($C773="","",Registro_Compras!$B$89)</f>
        <v/>
      </c>
      <c r="B773">
        <f>IF($C773="","","C"&amp;TEXT(INT((ROW()-5)/9)+1,"000")&amp;"-2")</f>
        <v/>
      </c>
      <c r="C773">
        <f>IF(OR(Registro_Compras!$C$89="",Registro_Compras!$O$89=""),"",IF(Registro_Compras!$AB$89="ADMINISTRATIVO","94","95"))</f>
        <v/>
      </c>
      <c r="D773">
        <f>IF(OR(Registro_Compras!$C$89="",Registro_Compras!$O$89=""),"",IF(Registro_Compras!$AB$89="ADMINISTRATIVO","Gastos Administrativos","Gastos de Venta y Operacion"))</f>
        <v/>
      </c>
      <c r="E773" s="20">
        <f>IF($C773="","",IF(Registro_Compras!$F$89="NOTA DE CREDITO","",IF(Registro_Compras!$F$89="RHE",ROUND(Registro_Compras!$L$89*Registro_Compras!$N$89,2),ROUND(Registro_Compras!$J$89*Registro_Compras!$N$89,2))))</f>
        <v/>
      </c>
      <c r="F773" s="20">
        <f>IF($C773="","",IF(Registro_Compras!$F$89="NOTA DE CREDITO",ROUND(ABS(Registro_Compras!$J$89*Registro_Compras!$N$89),2),""))</f>
        <v/>
      </c>
      <c r="G773">
        <f>IF($C773="","","Por el destino del gasto")</f>
        <v/>
      </c>
      <c r="H773">
        <f>IF($C773="","",Registro_Compras!$C$89)</f>
        <v/>
      </c>
    </row>
    <row r="774">
      <c r="A774" s="25">
        <f>IF($C774="","",Registro_Compras!$B$89)</f>
        <v/>
      </c>
      <c r="B774">
        <f>IF($C774="","","C"&amp;TEXT(INT((ROW()-5)/9)+1,"000")&amp;"-2")</f>
        <v/>
      </c>
      <c r="C774">
        <f>IF(OR(Registro_Compras!$C$89="",Registro_Compras!$O$89=""),"","79/791")</f>
        <v/>
      </c>
      <c r="D774">
        <f>IF(OR(Registro_Compras!$C$89="",Registro_Compras!$O$89=""),"","Cargas Imputables a Cuentas de Costos y Gastos")</f>
        <v/>
      </c>
      <c r="E774" s="20">
        <f>IF($C774="","",IF(Registro_Compras!$F$89="NOTA DE CREDITO",ROUND(ABS(Registro_Compras!$J$89*Registro_Compras!$N$89),2),""))</f>
        <v/>
      </c>
      <c r="F774" s="20">
        <f>IF($C774="","",IF(Registro_Compras!$F$89="NOTA DE CREDITO","",IF(Registro_Compras!$F$89="RHE",ROUND(Registro_Compras!$L$89*Registro_Compras!$N$89,2),ROUND(Registro_Compras!$J$89*Registro_Compras!$N$89,2))))</f>
        <v/>
      </c>
      <c r="G774">
        <f>IF($C774="","","Por el destino del gasto")</f>
        <v/>
      </c>
      <c r="H774">
        <f>IF($C774="","",Registro_Compras!$C$89)</f>
        <v/>
      </c>
    </row>
    <row r="775">
      <c r="A775" s="25">
        <f>IF($C775="","",Registro_Compras!$X$89)</f>
        <v/>
      </c>
      <c r="B775">
        <f>IF($C775="","","C"&amp;TEXT(INT((ROW()-5)/9)+1,"000")&amp;"-3")</f>
        <v/>
      </c>
      <c r="C775">
        <f>IF(OR(Registro_Compras!$C$89="",Registro_Compras!$O$89="",Registro_Compras!$R$89&lt;&gt;"SI",Registro_Compras!$X$89=""),"","4212")</f>
        <v/>
      </c>
      <c r="D775">
        <f>IF(OR(Registro_Compras!$C$89="",Registro_Compras!$O$89=""),"","Cuentas por Pagar Comerciales - Terceros")</f>
        <v/>
      </c>
      <c r="E775" s="20">
        <f>IF($C775="","",Registro_Compras!$S$89)</f>
        <v/>
      </c>
      <c r="F775" s="20">
        <f>""</f>
        <v/>
      </c>
      <c r="G775">
        <f>IF($C775="","","Por el deposito de la detraccion en el Banco de la Nacion")</f>
        <v/>
      </c>
      <c r="H775">
        <f>IF($C775="","",Registro_Compras!$C$89)</f>
        <v/>
      </c>
    </row>
    <row r="776">
      <c r="A776" s="25">
        <f>IF($C776="","",Registro_Compras!$X$89)</f>
        <v/>
      </c>
      <c r="B776">
        <f>IF($C776="","","C"&amp;TEXT(INT((ROW()-5)/9)+1,"000")&amp;"-3")</f>
        <v/>
      </c>
      <c r="C776">
        <f>IF(OR(Registro_Compras!$C$89="",Registro_Compras!$O$89="",Registro_Compras!$R$89&lt;&gt;"SI",Registro_Compras!$X$89=""),"","10413")</f>
        <v/>
      </c>
      <c r="D776">
        <f>IF(OR(Registro_Compras!$C$89="",Registro_Compras!$O$89=""),"","Efectivo y Equivalentes - Cta. Cte. Operativa")</f>
        <v/>
      </c>
      <c r="E776" s="20">
        <f>""</f>
        <v/>
      </c>
      <c r="F776" s="20">
        <f>IF($C776="","",Registro_Compras!$S$89)</f>
        <v/>
      </c>
      <c r="G776">
        <f>IF($C776="","","Por el deposito de la detraccion en el Banco de la Nacion")</f>
        <v/>
      </c>
      <c r="H776">
        <f>IF($C776="","",Registro_Compras!$C$89)</f>
        <v/>
      </c>
    </row>
    <row r="777">
      <c r="A777" s="25">
        <f>IF($C777="","",Registro_Compras!$Y$89)</f>
        <v/>
      </c>
      <c r="B777">
        <f>IF($C777="","","C"&amp;TEXT(INT((ROW()-5)/9)+1,"000")&amp;"-4")</f>
        <v/>
      </c>
      <c r="C777">
        <f>IF(OR(Registro_Compras!$C$89="",Registro_Compras!$O$89="",Registro_Compras!$Y$89="",Registro_Compras!$F$89="NOTA DE CREDITO"),"","4212")</f>
        <v/>
      </c>
      <c r="D777">
        <f>IF(OR(Registro_Compras!$C$89="",Registro_Compras!$O$89=""),"","Cuentas por Pagar Comerciales - Terceros")</f>
        <v/>
      </c>
      <c r="E777" s="20">
        <f>IF($C777="","",IF(Registro_Compras!$F$89="RHE",(ROUND(Registro_Compras!$L$89*Registro_Compras!$N$89,2)-ROUND(Registro_Compras!$V$89*Registro_Compras!$N$89,2)),ROUND(Registro_Compras!$O$89-Registro_Compras!$S$89,2)))</f>
        <v/>
      </c>
      <c r="F777" s="20">
        <f>""</f>
        <v/>
      </c>
      <c r="G777">
        <f>IF($C777="","","Por la cancelacion del saldo al proveedor")</f>
        <v/>
      </c>
      <c r="H777">
        <f>IF($C777="","",Registro_Compras!$C$89)</f>
        <v/>
      </c>
    </row>
    <row r="778">
      <c r="A778" s="25">
        <f>IF($C778="","",Registro_Compras!$Y$89)</f>
        <v/>
      </c>
      <c r="B778">
        <f>IF($C778="","","C"&amp;TEXT(INT((ROW()-5)/9)+1,"000")&amp;"-4")</f>
        <v/>
      </c>
      <c r="C778">
        <f>IF(OR(Registro_Compras!$C$89="",Registro_Compras!$O$89="",Registro_Compras!$Y$89="",Registro_Compras!$F$89="NOTA DE CREDITO"),"","10413")</f>
        <v/>
      </c>
      <c r="D778">
        <f>IF(OR(Registro_Compras!$C$89="",Registro_Compras!$O$89=""),"","Efectivo y Equivalentes - Cta. Cte. Operativa")</f>
        <v/>
      </c>
      <c r="E778" s="20">
        <f>""</f>
        <v/>
      </c>
      <c r="F778" s="20">
        <f>IF($C778="","",IF(Registro_Compras!$F$89="RHE",(ROUND(Registro_Compras!$L$89*Registro_Compras!$N$89,2)-ROUND(Registro_Compras!$V$89*Registro_Compras!$N$89,2)),ROUND(Registro_Compras!$O$89-Registro_Compras!$S$89,2)))</f>
        <v/>
      </c>
      <c r="G778">
        <f>IF($C778="","","Por la cancelacion del saldo al proveedor")</f>
        <v/>
      </c>
      <c r="H778">
        <f>IF($C778="","",Registro_Compras!$C$89)</f>
        <v/>
      </c>
    </row>
    <row r="779">
      <c r="A779" s="25">
        <f>IF($C779="","",Registro_Compras!$B$90)</f>
        <v/>
      </c>
      <c r="B779">
        <f>IF($C779="","","C"&amp;TEXT(INT((ROW()-5)/9)+1,"000")&amp;"-1")</f>
        <v/>
      </c>
      <c r="C779">
        <f>IF(OR(Registro_Compras!$C$90="",Registro_Compras!$O$90=""),"",IF(Registro_Compras!$F$90="NOTA DE CREDITO","4212",IF(Registro_Compras!$M$90="","63",Registro_Compras!$M$90)))</f>
        <v/>
      </c>
      <c r="D779">
        <f>IF(OR(Registro_Compras!$C$90="",Registro_Compras!$O$90=""),"",IF(Registro_Compras!$F$90="NOTA DE CREDITO","Cuentas por Pagar Comerciales - Terceros (Emitidas)",IF(Registro_Compras!$F$90="RHE","Honorarios Profesionales - Servicios de Terceros","Gastos de Servicios Prestados por Terceros")))</f>
        <v/>
      </c>
      <c r="E779" s="20">
        <f>IF($C779="","",IF(Registro_Compras!$F$90="NOTA DE CREDITO",ABS(Registro_Compras!$O$90),IF(Registro_Compras!$F$90="RHE",ROUND(Registro_Compras!$L$90*Registro_Compras!$N$90,2),ROUND(Registro_Compras!$J$90*Registro_Compras!$N$90,2))))</f>
        <v/>
      </c>
      <c r="F779" s="20">
        <f>""</f>
        <v/>
      </c>
      <c r="G779">
        <f>IF($C779="","",IF(Registro_Compras!$F$90="NOTA DE CREDITO","Por la nota de credito "&amp;Registro_Compras!$C$90&amp;" de "&amp;Registro_Compras!$E$90&amp;" [PATRON POR CONFIRMAR CON CONTADOR]",IF(Registro_Compras!$F$90="RHE","Por el registro del recibo por honorarios "&amp;Registro_Compras!$C$90&amp;" de "&amp;Registro_Compras!$E$90&amp;" [PATRON POR CONFIRMAR CON CONTADOR]","Por el registro de la factura "&amp;Registro_Compras!$C$90&amp;" de "&amp;Registro_Compras!$E$90)))</f>
        <v/>
      </c>
      <c r="H779">
        <f>IF($C779="","",Registro_Compras!$C$90)</f>
        <v/>
      </c>
    </row>
    <row r="780">
      <c r="A780" s="25">
        <f>IF($C780="","",Registro_Compras!$B$90)</f>
        <v/>
      </c>
      <c r="B780">
        <f>IF($C780="","","C"&amp;TEXT(INT((ROW()-5)/9)+1,"000")&amp;"-1")</f>
        <v/>
      </c>
      <c r="C780">
        <f>IF(OR(Registro_Compras!$C$90="",Registro_Compras!$O$90=""),"",IF(Registro_Compras!$F$90="RHE",IF(Registro_Compras!$V$90=0,"","40172"),IF(Registro_Compras!$F$90="NOTA DE CREDITO",IF(Registro_Compras!$M$90="","63",Registro_Compras!$M$90),IF(Registro_Compras!$K$90=0,"","40111"))))</f>
        <v/>
      </c>
      <c r="D780">
        <f>IF(OR(Registro_Compras!$C$90="",Registro_Compras!$O$90=""),"",IF(Registro_Compras!$F$90="RHE","Retencion Renta 4ta Categoria por Pagar",IF(Registro_Compras!$F$90="NOTA DE CREDITO","Gastos de Servicios Prestados por Terceros","IGV - Cuenta Propia (Credito Fiscal)")))</f>
        <v/>
      </c>
      <c r="E780" s="20">
        <f>IF($C780="","",IF(Registro_Compras!$F$90="FACTURA",ROUND(Registro_Compras!$K$90*Registro_Compras!$N$90,2),""))</f>
        <v/>
      </c>
      <c r="F780" s="20">
        <f>IF($C780="","",IF(Registro_Compras!$F$90="RHE",ROUND(Registro_Compras!$V$90*Registro_Compras!$N$90,2),IF(Registro_Compras!$F$90="NOTA DE CREDITO",ROUND(ABS(Registro_Compras!$J$90*Registro_Compras!$N$90),2),"")))</f>
        <v/>
      </c>
      <c r="G780">
        <f>IF($C780="","",IF(Registro_Compras!$F$90="NOTA DE CREDITO","Por la nota de credito "&amp;Registro_Compras!$C$90&amp;" de "&amp;Registro_Compras!$E$90&amp;" [PATRON POR CONFIRMAR CON CONTADOR]",IF(Registro_Compras!$F$90="RHE","Por el registro del recibo por honorarios "&amp;Registro_Compras!$C$90&amp;" de "&amp;Registro_Compras!$E$90&amp;" [PATRON POR CONFIRMAR CON CONTADOR]","Por el registro de la factura "&amp;Registro_Compras!$C$90&amp;" de "&amp;Registro_Compras!$E$90)))</f>
        <v/>
      </c>
      <c r="H780">
        <f>IF($C780="","",Registro_Compras!$C$90)</f>
        <v/>
      </c>
    </row>
    <row r="781">
      <c r="A781" s="25">
        <f>IF($C781="","",Registro_Compras!$B$90)</f>
        <v/>
      </c>
      <c r="B781">
        <f>IF($C781="","","C"&amp;TEXT(INT((ROW()-5)/9)+1,"000")&amp;"-1")</f>
        <v/>
      </c>
      <c r="C781">
        <f>IF(OR(Registro_Compras!$C$90="",Registro_Compras!$O$90=""),"",IF(Registro_Compras!$F$90="NOTA DE CREDITO",IF(Registro_Compras!$K$90=0,"","40111"),"4212"))</f>
        <v/>
      </c>
      <c r="D781">
        <f>IF(OR(Registro_Compras!$C$90="",Registro_Compras!$O$90=""),"",IF(Registro_Compras!$F$90="NOTA DE CREDITO","IGV - Cuenta Propia (Credito Fiscal)","Cuentas por Pagar Comerciales - Terceros (Emitidas)"))</f>
        <v/>
      </c>
      <c r="E781" s="20">
        <f>""</f>
        <v/>
      </c>
      <c r="F781" s="20">
        <f>IF($C781="","",IF(Registro_Compras!$F$90="NOTA DE CREDITO",ROUND(ABS(Registro_Compras!$K$90*Registro_Compras!$N$90),2),IF(Registro_Compras!$F$90="RHE",(ROUND(Registro_Compras!$L$90*Registro_Compras!$N$90,2)-ROUND(Registro_Compras!$V$90*Registro_Compras!$N$90,2)),Registro_Compras!$O$90)))</f>
        <v/>
      </c>
      <c r="G781">
        <f>IF($C781="","",IF(Registro_Compras!$F$90="NOTA DE CREDITO","Por la nota de credito "&amp;Registro_Compras!$C$90&amp;" de "&amp;Registro_Compras!$E$90&amp;" [PATRON POR CONFIRMAR CON CONTADOR]",IF(Registro_Compras!$F$90="RHE","Por el registro del recibo por honorarios "&amp;Registro_Compras!$C$90&amp;" de "&amp;Registro_Compras!$E$90&amp;" [PATRON POR CONFIRMAR CON CONTADOR]","Por el registro de la factura "&amp;Registro_Compras!$C$90&amp;" de "&amp;Registro_Compras!$E$90)))</f>
        <v/>
      </c>
      <c r="H781">
        <f>IF($C781="","",Registro_Compras!$C$90)</f>
        <v/>
      </c>
    </row>
    <row r="782">
      <c r="A782" s="25">
        <f>IF($C782="","",Registro_Compras!$B$90)</f>
        <v/>
      </c>
      <c r="B782">
        <f>IF($C782="","","C"&amp;TEXT(INT((ROW()-5)/9)+1,"000")&amp;"-2")</f>
        <v/>
      </c>
      <c r="C782">
        <f>IF(OR(Registro_Compras!$C$90="",Registro_Compras!$O$90=""),"",IF(Registro_Compras!$AB$90="ADMINISTRATIVO","94","95"))</f>
        <v/>
      </c>
      <c r="D782">
        <f>IF(OR(Registro_Compras!$C$90="",Registro_Compras!$O$90=""),"",IF(Registro_Compras!$AB$90="ADMINISTRATIVO","Gastos Administrativos","Gastos de Venta y Operacion"))</f>
        <v/>
      </c>
      <c r="E782" s="20">
        <f>IF($C782="","",IF(Registro_Compras!$F$90="NOTA DE CREDITO","",IF(Registro_Compras!$F$90="RHE",ROUND(Registro_Compras!$L$90*Registro_Compras!$N$90,2),ROUND(Registro_Compras!$J$90*Registro_Compras!$N$90,2))))</f>
        <v/>
      </c>
      <c r="F782" s="20">
        <f>IF($C782="","",IF(Registro_Compras!$F$90="NOTA DE CREDITO",ROUND(ABS(Registro_Compras!$J$90*Registro_Compras!$N$90),2),""))</f>
        <v/>
      </c>
      <c r="G782">
        <f>IF($C782="","","Por el destino del gasto")</f>
        <v/>
      </c>
      <c r="H782">
        <f>IF($C782="","",Registro_Compras!$C$90)</f>
        <v/>
      </c>
    </row>
    <row r="783">
      <c r="A783" s="25">
        <f>IF($C783="","",Registro_Compras!$B$90)</f>
        <v/>
      </c>
      <c r="B783">
        <f>IF($C783="","","C"&amp;TEXT(INT((ROW()-5)/9)+1,"000")&amp;"-2")</f>
        <v/>
      </c>
      <c r="C783">
        <f>IF(OR(Registro_Compras!$C$90="",Registro_Compras!$O$90=""),"","79/791")</f>
        <v/>
      </c>
      <c r="D783">
        <f>IF(OR(Registro_Compras!$C$90="",Registro_Compras!$O$90=""),"","Cargas Imputables a Cuentas de Costos y Gastos")</f>
        <v/>
      </c>
      <c r="E783" s="20">
        <f>IF($C783="","",IF(Registro_Compras!$F$90="NOTA DE CREDITO",ROUND(ABS(Registro_Compras!$J$90*Registro_Compras!$N$90),2),""))</f>
        <v/>
      </c>
      <c r="F783" s="20">
        <f>IF($C783="","",IF(Registro_Compras!$F$90="NOTA DE CREDITO","",IF(Registro_Compras!$F$90="RHE",ROUND(Registro_Compras!$L$90*Registro_Compras!$N$90,2),ROUND(Registro_Compras!$J$90*Registro_Compras!$N$90,2))))</f>
        <v/>
      </c>
      <c r="G783">
        <f>IF($C783="","","Por el destino del gasto")</f>
        <v/>
      </c>
      <c r="H783">
        <f>IF($C783="","",Registro_Compras!$C$90)</f>
        <v/>
      </c>
    </row>
    <row r="784">
      <c r="A784" s="25">
        <f>IF($C784="","",Registro_Compras!$X$90)</f>
        <v/>
      </c>
      <c r="B784">
        <f>IF($C784="","","C"&amp;TEXT(INT((ROW()-5)/9)+1,"000")&amp;"-3")</f>
        <v/>
      </c>
      <c r="C784">
        <f>IF(OR(Registro_Compras!$C$90="",Registro_Compras!$O$90="",Registro_Compras!$R$90&lt;&gt;"SI",Registro_Compras!$X$90=""),"","4212")</f>
        <v/>
      </c>
      <c r="D784">
        <f>IF(OR(Registro_Compras!$C$90="",Registro_Compras!$O$90=""),"","Cuentas por Pagar Comerciales - Terceros")</f>
        <v/>
      </c>
      <c r="E784" s="20">
        <f>IF($C784="","",Registro_Compras!$S$90)</f>
        <v/>
      </c>
      <c r="F784" s="20">
        <f>""</f>
        <v/>
      </c>
      <c r="G784">
        <f>IF($C784="","","Por el deposito de la detraccion en el Banco de la Nacion")</f>
        <v/>
      </c>
      <c r="H784">
        <f>IF($C784="","",Registro_Compras!$C$90)</f>
        <v/>
      </c>
    </row>
    <row r="785">
      <c r="A785" s="25">
        <f>IF($C785="","",Registro_Compras!$X$90)</f>
        <v/>
      </c>
      <c r="B785">
        <f>IF($C785="","","C"&amp;TEXT(INT((ROW()-5)/9)+1,"000")&amp;"-3")</f>
        <v/>
      </c>
      <c r="C785">
        <f>IF(OR(Registro_Compras!$C$90="",Registro_Compras!$O$90="",Registro_Compras!$R$90&lt;&gt;"SI",Registro_Compras!$X$90=""),"","10413")</f>
        <v/>
      </c>
      <c r="D785">
        <f>IF(OR(Registro_Compras!$C$90="",Registro_Compras!$O$90=""),"","Efectivo y Equivalentes - Cta. Cte. Operativa")</f>
        <v/>
      </c>
      <c r="E785" s="20">
        <f>""</f>
        <v/>
      </c>
      <c r="F785" s="20">
        <f>IF($C785="","",Registro_Compras!$S$90)</f>
        <v/>
      </c>
      <c r="G785">
        <f>IF($C785="","","Por el deposito de la detraccion en el Banco de la Nacion")</f>
        <v/>
      </c>
      <c r="H785">
        <f>IF($C785="","",Registro_Compras!$C$90)</f>
        <v/>
      </c>
    </row>
    <row r="786">
      <c r="A786" s="25">
        <f>IF($C786="","",Registro_Compras!$Y$90)</f>
        <v/>
      </c>
      <c r="B786">
        <f>IF($C786="","","C"&amp;TEXT(INT((ROW()-5)/9)+1,"000")&amp;"-4")</f>
        <v/>
      </c>
      <c r="C786">
        <f>IF(OR(Registro_Compras!$C$90="",Registro_Compras!$O$90="",Registro_Compras!$Y$90="",Registro_Compras!$F$90="NOTA DE CREDITO"),"","4212")</f>
        <v/>
      </c>
      <c r="D786">
        <f>IF(OR(Registro_Compras!$C$90="",Registro_Compras!$O$90=""),"","Cuentas por Pagar Comerciales - Terceros")</f>
        <v/>
      </c>
      <c r="E786" s="20">
        <f>IF($C786="","",IF(Registro_Compras!$F$90="RHE",(ROUND(Registro_Compras!$L$90*Registro_Compras!$N$90,2)-ROUND(Registro_Compras!$V$90*Registro_Compras!$N$90,2)),ROUND(Registro_Compras!$O$90-Registro_Compras!$S$90,2)))</f>
        <v/>
      </c>
      <c r="F786" s="20">
        <f>""</f>
        <v/>
      </c>
      <c r="G786">
        <f>IF($C786="","","Por la cancelacion del saldo al proveedor")</f>
        <v/>
      </c>
      <c r="H786">
        <f>IF($C786="","",Registro_Compras!$C$90)</f>
        <v/>
      </c>
    </row>
    <row r="787">
      <c r="A787" s="25">
        <f>IF($C787="","",Registro_Compras!$Y$90)</f>
        <v/>
      </c>
      <c r="B787">
        <f>IF($C787="","","C"&amp;TEXT(INT((ROW()-5)/9)+1,"000")&amp;"-4")</f>
        <v/>
      </c>
      <c r="C787">
        <f>IF(OR(Registro_Compras!$C$90="",Registro_Compras!$O$90="",Registro_Compras!$Y$90="",Registro_Compras!$F$90="NOTA DE CREDITO"),"","10413")</f>
        <v/>
      </c>
      <c r="D787">
        <f>IF(OR(Registro_Compras!$C$90="",Registro_Compras!$O$90=""),"","Efectivo y Equivalentes - Cta. Cte. Operativa")</f>
        <v/>
      </c>
      <c r="E787" s="20">
        <f>""</f>
        <v/>
      </c>
      <c r="F787" s="20">
        <f>IF($C787="","",IF(Registro_Compras!$F$90="RHE",(ROUND(Registro_Compras!$L$90*Registro_Compras!$N$90,2)-ROUND(Registro_Compras!$V$90*Registro_Compras!$N$90,2)),ROUND(Registro_Compras!$O$90-Registro_Compras!$S$90,2)))</f>
        <v/>
      </c>
      <c r="G787">
        <f>IF($C787="","","Por la cancelacion del saldo al proveedor")</f>
        <v/>
      </c>
      <c r="H787">
        <f>IF($C787="","",Registro_Compras!$C$90)</f>
        <v/>
      </c>
    </row>
    <row r="788">
      <c r="A788" s="25">
        <f>IF($C788="","",Registro_Compras!$B$91)</f>
        <v/>
      </c>
      <c r="B788">
        <f>IF($C788="","","C"&amp;TEXT(INT((ROW()-5)/9)+1,"000")&amp;"-1")</f>
        <v/>
      </c>
      <c r="C788">
        <f>IF(OR(Registro_Compras!$C$91="",Registro_Compras!$O$91=""),"",IF(Registro_Compras!$F$91="NOTA DE CREDITO","4212",IF(Registro_Compras!$M$91="","63",Registro_Compras!$M$91)))</f>
        <v/>
      </c>
      <c r="D788">
        <f>IF(OR(Registro_Compras!$C$91="",Registro_Compras!$O$91=""),"",IF(Registro_Compras!$F$91="NOTA DE CREDITO","Cuentas por Pagar Comerciales - Terceros (Emitidas)",IF(Registro_Compras!$F$91="RHE","Honorarios Profesionales - Servicios de Terceros","Gastos de Servicios Prestados por Terceros")))</f>
        <v/>
      </c>
      <c r="E788" s="20">
        <f>IF($C788="","",IF(Registro_Compras!$F$91="NOTA DE CREDITO",ABS(Registro_Compras!$O$91),IF(Registro_Compras!$F$91="RHE",ROUND(Registro_Compras!$L$91*Registro_Compras!$N$91,2),ROUND(Registro_Compras!$J$91*Registro_Compras!$N$91,2))))</f>
        <v/>
      </c>
      <c r="F788" s="20">
        <f>""</f>
        <v/>
      </c>
      <c r="G788">
        <f>IF($C788="","",IF(Registro_Compras!$F$91="NOTA DE CREDITO","Por la nota de credito "&amp;Registro_Compras!$C$91&amp;" de "&amp;Registro_Compras!$E$91&amp;" [PATRON POR CONFIRMAR CON CONTADOR]",IF(Registro_Compras!$F$91="RHE","Por el registro del recibo por honorarios "&amp;Registro_Compras!$C$91&amp;" de "&amp;Registro_Compras!$E$91&amp;" [PATRON POR CONFIRMAR CON CONTADOR]","Por el registro de la factura "&amp;Registro_Compras!$C$91&amp;" de "&amp;Registro_Compras!$E$91)))</f>
        <v/>
      </c>
      <c r="H788">
        <f>IF($C788="","",Registro_Compras!$C$91)</f>
        <v/>
      </c>
    </row>
    <row r="789">
      <c r="A789" s="25">
        <f>IF($C789="","",Registro_Compras!$B$91)</f>
        <v/>
      </c>
      <c r="B789">
        <f>IF($C789="","","C"&amp;TEXT(INT((ROW()-5)/9)+1,"000")&amp;"-1")</f>
        <v/>
      </c>
      <c r="C789">
        <f>IF(OR(Registro_Compras!$C$91="",Registro_Compras!$O$91=""),"",IF(Registro_Compras!$F$91="RHE",IF(Registro_Compras!$V$91=0,"","40172"),IF(Registro_Compras!$F$91="NOTA DE CREDITO",IF(Registro_Compras!$M$91="","63",Registro_Compras!$M$91),IF(Registro_Compras!$K$91=0,"","40111"))))</f>
        <v/>
      </c>
      <c r="D789">
        <f>IF(OR(Registro_Compras!$C$91="",Registro_Compras!$O$91=""),"",IF(Registro_Compras!$F$91="RHE","Retencion Renta 4ta Categoria por Pagar",IF(Registro_Compras!$F$91="NOTA DE CREDITO","Gastos de Servicios Prestados por Terceros","IGV - Cuenta Propia (Credito Fiscal)")))</f>
        <v/>
      </c>
      <c r="E789" s="20">
        <f>IF($C789="","",IF(Registro_Compras!$F$91="FACTURA",ROUND(Registro_Compras!$K$91*Registro_Compras!$N$91,2),""))</f>
        <v/>
      </c>
      <c r="F789" s="20">
        <f>IF($C789="","",IF(Registro_Compras!$F$91="RHE",ROUND(Registro_Compras!$V$91*Registro_Compras!$N$91,2),IF(Registro_Compras!$F$91="NOTA DE CREDITO",ROUND(ABS(Registro_Compras!$J$91*Registro_Compras!$N$91),2),"")))</f>
        <v/>
      </c>
      <c r="G789">
        <f>IF($C789="","",IF(Registro_Compras!$F$91="NOTA DE CREDITO","Por la nota de credito "&amp;Registro_Compras!$C$91&amp;" de "&amp;Registro_Compras!$E$91&amp;" [PATRON POR CONFIRMAR CON CONTADOR]",IF(Registro_Compras!$F$91="RHE","Por el registro del recibo por honorarios "&amp;Registro_Compras!$C$91&amp;" de "&amp;Registro_Compras!$E$91&amp;" [PATRON POR CONFIRMAR CON CONTADOR]","Por el registro de la factura "&amp;Registro_Compras!$C$91&amp;" de "&amp;Registro_Compras!$E$91)))</f>
        <v/>
      </c>
      <c r="H789">
        <f>IF($C789="","",Registro_Compras!$C$91)</f>
        <v/>
      </c>
    </row>
    <row r="790">
      <c r="A790" s="25">
        <f>IF($C790="","",Registro_Compras!$B$91)</f>
        <v/>
      </c>
      <c r="B790">
        <f>IF($C790="","","C"&amp;TEXT(INT((ROW()-5)/9)+1,"000")&amp;"-1")</f>
        <v/>
      </c>
      <c r="C790">
        <f>IF(OR(Registro_Compras!$C$91="",Registro_Compras!$O$91=""),"",IF(Registro_Compras!$F$91="NOTA DE CREDITO",IF(Registro_Compras!$K$91=0,"","40111"),"4212"))</f>
        <v/>
      </c>
      <c r="D790">
        <f>IF(OR(Registro_Compras!$C$91="",Registro_Compras!$O$91=""),"",IF(Registro_Compras!$F$91="NOTA DE CREDITO","IGV - Cuenta Propia (Credito Fiscal)","Cuentas por Pagar Comerciales - Terceros (Emitidas)"))</f>
        <v/>
      </c>
      <c r="E790" s="20">
        <f>""</f>
        <v/>
      </c>
      <c r="F790" s="20">
        <f>IF($C790="","",IF(Registro_Compras!$F$91="NOTA DE CREDITO",ROUND(ABS(Registro_Compras!$K$91*Registro_Compras!$N$91),2),IF(Registro_Compras!$F$91="RHE",(ROUND(Registro_Compras!$L$91*Registro_Compras!$N$91,2)-ROUND(Registro_Compras!$V$91*Registro_Compras!$N$91,2)),Registro_Compras!$O$91)))</f>
        <v/>
      </c>
      <c r="G790">
        <f>IF($C790="","",IF(Registro_Compras!$F$91="NOTA DE CREDITO","Por la nota de credito "&amp;Registro_Compras!$C$91&amp;" de "&amp;Registro_Compras!$E$91&amp;" [PATRON POR CONFIRMAR CON CONTADOR]",IF(Registro_Compras!$F$91="RHE","Por el registro del recibo por honorarios "&amp;Registro_Compras!$C$91&amp;" de "&amp;Registro_Compras!$E$91&amp;" [PATRON POR CONFIRMAR CON CONTADOR]","Por el registro de la factura "&amp;Registro_Compras!$C$91&amp;" de "&amp;Registro_Compras!$E$91)))</f>
        <v/>
      </c>
      <c r="H790">
        <f>IF($C790="","",Registro_Compras!$C$91)</f>
        <v/>
      </c>
    </row>
    <row r="791">
      <c r="A791" s="25">
        <f>IF($C791="","",Registro_Compras!$B$91)</f>
        <v/>
      </c>
      <c r="B791">
        <f>IF($C791="","","C"&amp;TEXT(INT((ROW()-5)/9)+1,"000")&amp;"-2")</f>
        <v/>
      </c>
      <c r="C791">
        <f>IF(OR(Registro_Compras!$C$91="",Registro_Compras!$O$91=""),"",IF(Registro_Compras!$AB$91="ADMINISTRATIVO","94","95"))</f>
        <v/>
      </c>
      <c r="D791">
        <f>IF(OR(Registro_Compras!$C$91="",Registro_Compras!$O$91=""),"",IF(Registro_Compras!$AB$91="ADMINISTRATIVO","Gastos Administrativos","Gastos de Venta y Operacion"))</f>
        <v/>
      </c>
      <c r="E791" s="20">
        <f>IF($C791="","",IF(Registro_Compras!$F$91="NOTA DE CREDITO","",IF(Registro_Compras!$F$91="RHE",ROUND(Registro_Compras!$L$91*Registro_Compras!$N$91,2),ROUND(Registro_Compras!$J$91*Registro_Compras!$N$91,2))))</f>
        <v/>
      </c>
      <c r="F791" s="20">
        <f>IF($C791="","",IF(Registro_Compras!$F$91="NOTA DE CREDITO",ROUND(ABS(Registro_Compras!$J$91*Registro_Compras!$N$91),2),""))</f>
        <v/>
      </c>
      <c r="G791">
        <f>IF($C791="","","Por el destino del gasto")</f>
        <v/>
      </c>
      <c r="H791">
        <f>IF($C791="","",Registro_Compras!$C$91)</f>
        <v/>
      </c>
    </row>
    <row r="792">
      <c r="A792" s="25">
        <f>IF($C792="","",Registro_Compras!$B$91)</f>
        <v/>
      </c>
      <c r="B792">
        <f>IF($C792="","","C"&amp;TEXT(INT((ROW()-5)/9)+1,"000")&amp;"-2")</f>
        <v/>
      </c>
      <c r="C792">
        <f>IF(OR(Registro_Compras!$C$91="",Registro_Compras!$O$91=""),"","79/791")</f>
        <v/>
      </c>
      <c r="D792">
        <f>IF(OR(Registro_Compras!$C$91="",Registro_Compras!$O$91=""),"","Cargas Imputables a Cuentas de Costos y Gastos")</f>
        <v/>
      </c>
      <c r="E792" s="20">
        <f>IF($C792="","",IF(Registro_Compras!$F$91="NOTA DE CREDITO",ROUND(ABS(Registro_Compras!$J$91*Registro_Compras!$N$91),2),""))</f>
        <v/>
      </c>
      <c r="F792" s="20">
        <f>IF($C792="","",IF(Registro_Compras!$F$91="NOTA DE CREDITO","",IF(Registro_Compras!$F$91="RHE",ROUND(Registro_Compras!$L$91*Registro_Compras!$N$91,2),ROUND(Registro_Compras!$J$91*Registro_Compras!$N$91,2))))</f>
        <v/>
      </c>
      <c r="G792">
        <f>IF($C792="","","Por el destino del gasto")</f>
        <v/>
      </c>
      <c r="H792">
        <f>IF($C792="","",Registro_Compras!$C$91)</f>
        <v/>
      </c>
    </row>
    <row r="793">
      <c r="A793" s="25">
        <f>IF($C793="","",Registro_Compras!$X$91)</f>
        <v/>
      </c>
      <c r="B793">
        <f>IF($C793="","","C"&amp;TEXT(INT((ROW()-5)/9)+1,"000")&amp;"-3")</f>
        <v/>
      </c>
      <c r="C793">
        <f>IF(OR(Registro_Compras!$C$91="",Registro_Compras!$O$91="",Registro_Compras!$R$91&lt;&gt;"SI",Registro_Compras!$X$91=""),"","4212")</f>
        <v/>
      </c>
      <c r="D793">
        <f>IF(OR(Registro_Compras!$C$91="",Registro_Compras!$O$91=""),"","Cuentas por Pagar Comerciales - Terceros")</f>
        <v/>
      </c>
      <c r="E793" s="20">
        <f>IF($C793="","",Registro_Compras!$S$91)</f>
        <v/>
      </c>
      <c r="F793" s="20">
        <f>""</f>
        <v/>
      </c>
      <c r="G793">
        <f>IF($C793="","","Por el deposito de la detraccion en el Banco de la Nacion")</f>
        <v/>
      </c>
      <c r="H793">
        <f>IF($C793="","",Registro_Compras!$C$91)</f>
        <v/>
      </c>
    </row>
    <row r="794">
      <c r="A794" s="25">
        <f>IF($C794="","",Registro_Compras!$X$91)</f>
        <v/>
      </c>
      <c r="B794">
        <f>IF($C794="","","C"&amp;TEXT(INT((ROW()-5)/9)+1,"000")&amp;"-3")</f>
        <v/>
      </c>
      <c r="C794">
        <f>IF(OR(Registro_Compras!$C$91="",Registro_Compras!$O$91="",Registro_Compras!$R$91&lt;&gt;"SI",Registro_Compras!$X$91=""),"","10413")</f>
        <v/>
      </c>
      <c r="D794">
        <f>IF(OR(Registro_Compras!$C$91="",Registro_Compras!$O$91=""),"","Efectivo y Equivalentes - Cta. Cte. Operativa")</f>
        <v/>
      </c>
      <c r="E794" s="20">
        <f>""</f>
        <v/>
      </c>
      <c r="F794" s="20">
        <f>IF($C794="","",Registro_Compras!$S$91)</f>
        <v/>
      </c>
      <c r="G794">
        <f>IF($C794="","","Por el deposito de la detraccion en el Banco de la Nacion")</f>
        <v/>
      </c>
      <c r="H794">
        <f>IF($C794="","",Registro_Compras!$C$91)</f>
        <v/>
      </c>
    </row>
    <row r="795">
      <c r="A795" s="25">
        <f>IF($C795="","",Registro_Compras!$Y$91)</f>
        <v/>
      </c>
      <c r="B795">
        <f>IF($C795="","","C"&amp;TEXT(INT((ROW()-5)/9)+1,"000")&amp;"-4")</f>
        <v/>
      </c>
      <c r="C795">
        <f>IF(OR(Registro_Compras!$C$91="",Registro_Compras!$O$91="",Registro_Compras!$Y$91="",Registro_Compras!$F$91="NOTA DE CREDITO"),"","4212")</f>
        <v/>
      </c>
      <c r="D795">
        <f>IF(OR(Registro_Compras!$C$91="",Registro_Compras!$O$91=""),"","Cuentas por Pagar Comerciales - Terceros")</f>
        <v/>
      </c>
      <c r="E795" s="20">
        <f>IF($C795="","",IF(Registro_Compras!$F$91="RHE",(ROUND(Registro_Compras!$L$91*Registro_Compras!$N$91,2)-ROUND(Registro_Compras!$V$91*Registro_Compras!$N$91,2)),ROUND(Registro_Compras!$O$91-Registro_Compras!$S$91,2)))</f>
        <v/>
      </c>
      <c r="F795" s="20">
        <f>""</f>
        <v/>
      </c>
      <c r="G795">
        <f>IF($C795="","","Por la cancelacion del saldo al proveedor")</f>
        <v/>
      </c>
      <c r="H795">
        <f>IF($C795="","",Registro_Compras!$C$91)</f>
        <v/>
      </c>
    </row>
    <row r="796">
      <c r="A796" s="25">
        <f>IF($C796="","",Registro_Compras!$Y$91)</f>
        <v/>
      </c>
      <c r="B796">
        <f>IF($C796="","","C"&amp;TEXT(INT((ROW()-5)/9)+1,"000")&amp;"-4")</f>
        <v/>
      </c>
      <c r="C796">
        <f>IF(OR(Registro_Compras!$C$91="",Registro_Compras!$O$91="",Registro_Compras!$Y$91="",Registro_Compras!$F$91="NOTA DE CREDITO"),"","10413")</f>
        <v/>
      </c>
      <c r="D796">
        <f>IF(OR(Registro_Compras!$C$91="",Registro_Compras!$O$91=""),"","Efectivo y Equivalentes - Cta. Cte. Operativa")</f>
        <v/>
      </c>
      <c r="E796" s="20">
        <f>""</f>
        <v/>
      </c>
      <c r="F796" s="20">
        <f>IF($C796="","",IF(Registro_Compras!$F$91="RHE",(ROUND(Registro_Compras!$L$91*Registro_Compras!$N$91,2)-ROUND(Registro_Compras!$V$91*Registro_Compras!$N$91,2)),ROUND(Registro_Compras!$O$91-Registro_Compras!$S$91,2)))</f>
        <v/>
      </c>
      <c r="G796">
        <f>IF($C796="","","Por la cancelacion del saldo al proveedor")</f>
        <v/>
      </c>
      <c r="H796">
        <f>IF($C796="","",Registro_Compras!$C$91)</f>
        <v/>
      </c>
    </row>
    <row r="797">
      <c r="A797" s="25">
        <f>IF($C797="","",Registro_Compras!$B$92)</f>
        <v/>
      </c>
      <c r="B797">
        <f>IF($C797="","","C"&amp;TEXT(INT((ROW()-5)/9)+1,"000")&amp;"-1")</f>
        <v/>
      </c>
      <c r="C797">
        <f>IF(OR(Registro_Compras!$C$92="",Registro_Compras!$O$92=""),"",IF(Registro_Compras!$F$92="NOTA DE CREDITO","4212",IF(Registro_Compras!$M$92="","63",Registro_Compras!$M$92)))</f>
        <v/>
      </c>
      <c r="D797">
        <f>IF(OR(Registro_Compras!$C$92="",Registro_Compras!$O$92=""),"",IF(Registro_Compras!$F$92="NOTA DE CREDITO","Cuentas por Pagar Comerciales - Terceros (Emitidas)",IF(Registro_Compras!$F$92="RHE","Honorarios Profesionales - Servicios de Terceros","Gastos de Servicios Prestados por Terceros")))</f>
        <v/>
      </c>
      <c r="E797" s="20">
        <f>IF($C797="","",IF(Registro_Compras!$F$92="NOTA DE CREDITO",ABS(Registro_Compras!$O$92),IF(Registro_Compras!$F$92="RHE",ROUND(Registro_Compras!$L$92*Registro_Compras!$N$92,2),ROUND(Registro_Compras!$J$92*Registro_Compras!$N$92,2))))</f>
        <v/>
      </c>
      <c r="F797" s="20">
        <f>""</f>
        <v/>
      </c>
      <c r="G797">
        <f>IF($C797="","",IF(Registro_Compras!$F$92="NOTA DE CREDITO","Por la nota de credito "&amp;Registro_Compras!$C$92&amp;" de "&amp;Registro_Compras!$E$92&amp;" [PATRON POR CONFIRMAR CON CONTADOR]",IF(Registro_Compras!$F$92="RHE","Por el registro del recibo por honorarios "&amp;Registro_Compras!$C$92&amp;" de "&amp;Registro_Compras!$E$92&amp;" [PATRON POR CONFIRMAR CON CONTADOR]","Por el registro de la factura "&amp;Registro_Compras!$C$92&amp;" de "&amp;Registro_Compras!$E$92)))</f>
        <v/>
      </c>
      <c r="H797">
        <f>IF($C797="","",Registro_Compras!$C$92)</f>
        <v/>
      </c>
    </row>
    <row r="798">
      <c r="A798" s="25">
        <f>IF($C798="","",Registro_Compras!$B$92)</f>
        <v/>
      </c>
      <c r="B798">
        <f>IF($C798="","","C"&amp;TEXT(INT((ROW()-5)/9)+1,"000")&amp;"-1")</f>
        <v/>
      </c>
      <c r="C798">
        <f>IF(OR(Registro_Compras!$C$92="",Registro_Compras!$O$92=""),"",IF(Registro_Compras!$F$92="RHE",IF(Registro_Compras!$V$92=0,"","40172"),IF(Registro_Compras!$F$92="NOTA DE CREDITO",IF(Registro_Compras!$M$92="","63",Registro_Compras!$M$92),IF(Registro_Compras!$K$92=0,"","40111"))))</f>
        <v/>
      </c>
      <c r="D798">
        <f>IF(OR(Registro_Compras!$C$92="",Registro_Compras!$O$92=""),"",IF(Registro_Compras!$F$92="RHE","Retencion Renta 4ta Categoria por Pagar",IF(Registro_Compras!$F$92="NOTA DE CREDITO","Gastos de Servicios Prestados por Terceros","IGV - Cuenta Propia (Credito Fiscal)")))</f>
        <v/>
      </c>
      <c r="E798" s="20">
        <f>IF($C798="","",IF(Registro_Compras!$F$92="FACTURA",ROUND(Registro_Compras!$K$92*Registro_Compras!$N$92,2),""))</f>
        <v/>
      </c>
      <c r="F798" s="20">
        <f>IF($C798="","",IF(Registro_Compras!$F$92="RHE",ROUND(Registro_Compras!$V$92*Registro_Compras!$N$92,2),IF(Registro_Compras!$F$92="NOTA DE CREDITO",ROUND(ABS(Registro_Compras!$J$92*Registro_Compras!$N$92),2),"")))</f>
        <v/>
      </c>
      <c r="G798">
        <f>IF($C798="","",IF(Registro_Compras!$F$92="NOTA DE CREDITO","Por la nota de credito "&amp;Registro_Compras!$C$92&amp;" de "&amp;Registro_Compras!$E$92&amp;" [PATRON POR CONFIRMAR CON CONTADOR]",IF(Registro_Compras!$F$92="RHE","Por el registro del recibo por honorarios "&amp;Registro_Compras!$C$92&amp;" de "&amp;Registro_Compras!$E$92&amp;" [PATRON POR CONFIRMAR CON CONTADOR]","Por el registro de la factura "&amp;Registro_Compras!$C$92&amp;" de "&amp;Registro_Compras!$E$92)))</f>
        <v/>
      </c>
      <c r="H798">
        <f>IF($C798="","",Registro_Compras!$C$92)</f>
        <v/>
      </c>
    </row>
    <row r="799">
      <c r="A799" s="25">
        <f>IF($C799="","",Registro_Compras!$B$92)</f>
        <v/>
      </c>
      <c r="B799">
        <f>IF($C799="","","C"&amp;TEXT(INT((ROW()-5)/9)+1,"000")&amp;"-1")</f>
        <v/>
      </c>
      <c r="C799">
        <f>IF(OR(Registro_Compras!$C$92="",Registro_Compras!$O$92=""),"",IF(Registro_Compras!$F$92="NOTA DE CREDITO",IF(Registro_Compras!$K$92=0,"","40111"),"4212"))</f>
        <v/>
      </c>
      <c r="D799">
        <f>IF(OR(Registro_Compras!$C$92="",Registro_Compras!$O$92=""),"",IF(Registro_Compras!$F$92="NOTA DE CREDITO","IGV - Cuenta Propia (Credito Fiscal)","Cuentas por Pagar Comerciales - Terceros (Emitidas)"))</f>
        <v/>
      </c>
      <c r="E799" s="20">
        <f>""</f>
        <v/>
      </c>
      <c r="F799" s="20">
        <f>IF($C799="","",IF(Registro_Compras!$F$92="NOTA DE CREDITO",ROUND(ABS(Registro_Compras!$K$92*Registro_Compras!$N$92),2),IF(Registro_Compras!$F$92="RHE",(ROUND(Registro_Compras!$L$92*Registro_Compras!$N$92,2)-ROUND(Registro_Compras!$V$92*Registro_Compras!$N$92,2)),Registro_Compras!$O$92)))</f>
        <v/>
      </c>
      <c r="G799">
        <f>IF($C799="","",IF(Registro_Compras!$F$92="NOTA DE CREDITO","Por la nota de credito "&amp;Registro_Compras!$C$92&amp;" de "&amp;Registro_Compras!$E$92&amp;" [PATRON POR CONFIRMAR CON CONTADOR]",IF(Registro_Compras!$F$92="RHE","Por el registro del recibo por honorarios "&amp;Registro_Compras!$C$92&amp;" de "&amp;Registro_Compras!$E$92&amp;" [PATRON POR CONFIRMAR CON CONTADOR]","Por el registro de la factura "&amp;Registro_Compras!$C$92&amp;" de "&amp;Registro_Compras!$E$92)))</f>
        <v/>
      </c>
      <c r="H799">
        <f>IF($C799="","",Registro_Compras!$C$92)</f>
        <v/>
      </c>
    </row>
    <row r="800">
      <c r="A800" s="25">
        <f>IF($C800="","",Registro_Compras!$B$92)</f>
        <v/>
      </c>
      <c r="B800">
        <f>IF($C800="","","C"&amp;TEXT(INT((ROW()-5)/9)+1,"000")&amp;"-2")</f>
        <v/>
      </c>
      <c r="C800">
        <f>IF(OR(Registro_Compras!$C$92="",Registro_Compras!$O$92=""),"",IF(Registro_Compras!$AB$92="ADMINISTRATIVO","94","95"))</f>
        <v/>
      </c>
      <c r="D800">
        <f>IF(OR(Registro_Compras!$C$92="",Registro_Compras!$O$92=""),"",IF(Registro_Compras!$AB$92="ADMINISTRATIVO","Gastos Administrativos","Gastos de Venta y Operacion"))</f>
        <v/>
      </c>
      <c r="E800" s="20">
        <f>IF($C800="","",IF(Registro_Compras!$F$92="NOTA DE CREDITO","",IF(Registro_Compras!$F$92="RHE",ROUND(Registro_Compras!$L$92*Registro_Compras!$N$92,2),ROUND(Registro_Compras!$J$92*Registro_Compras!$N$92,2))))</f>
        <v/>
      </c>
      <c r="F800" s="20">
        <f>IF($C800="","",IF(Registro_Compras!$F$92="NOTA DE CREDITO",ROUND(ABS(Registro_Compras!$J$92*Registro_Compras!$N$92),2),""))</f>
        <v/>
      </c>
      <c r="G800">
        <f>IF($C800="","","Por el destino del gasto")</f>
        <v/>
      </c>
      <c r="H800">
        <f>IF($C800="","",Registro_Compras!$C$92)</f>
        <v/>
      </c>
    </row>
    <row r="801">
      <c r="A801" s="25">
        <f>IF($C801="","",Registro_Compras!$B$92)</f>
        <v/>
      </c>
      <c r="B801">
        <f>IF($C801="","","C"&amp;TEXT(INT((ROW()-5)/9)+1,"000")&amp;"-2")</f>
        <v/>
      </c>
      <c r="C801">
        <f>IF(OR(Registro_Compras!$C$92="",Registro_Compras!$O$92=""),"","79/791")</f>
        <v/>
      </c>
      <c r="D801">
        <f>IF(OR(Registro_Compras!$C$92="",Registro_Compras!$O$92=""),"","Cargas Imputables a Cuentas de Costos y Gastos")</f>
        <v/>
      </c>
      <c r="E801" s="20">
        <f>IF($C801="","",IF(Registro_Compras!$F$92="NOTA DE CREDITO",ROUND(ABS(Registro_Compras!$J$92*Registro_Compras!$N$92),2),""))</f>
        <v/>
      </c>
      <c r="F801" s="20">
        <f>IF($C801="","",IF(Registro_Compras!$F$92="NOTA DE CREDITO","",IF(Registro_Compras!$F$92="RHE",ROUND(Registro_Compras!$L$92*Registro_Compras!$N$92,2),ROUND(Registro_Compras!$J$92*Registro_Compras!$N$92,2))))</f>
        <v/>
      </c>
      <c r="G801">
        <f>IF($C801="","","Por el destino del gasto")</f>
        <v/>
      </c>
      <c r="H801">
        <f>IF($C801="","",Registro_Compras!$C$92)</f>
        <v/>
      </c>
    </row>
    <row r="802">
      <c r="A802" s="25">
        <f>IF($C802="","",Registro_Compras!$X$92)</f>
        <v/>
      </c>
      <c r="B802">
        <f>IF($C802="","","C"&amp;TEXT(INT((ROW()-5)/9)+1,"000")&amp;"-3")</f>
        <v/>
      </c>
      <c r="C802">
        <f>IF(OR(Registro_Compras!$C$92="",Registro_Compras!$O$92="",Registro_Compras!$R$92&lt;&gt;"SI",Registro_Compras!$X$92=""),"","4212")</f>
        <v/>
      </c>
      <c r="D802">
        <f>IF(OR(Registro_Compras!$C$92="",Registro_Compras!$O$92=""),"","Cuentas por Pagar Comerciales - Terceros")</f>
        <v/>
      </c>
      <c r="E802" s="20">
        <f>IF($C802="","",Registro_Compras!$S$92)</f>
        <v/>
      </c>
      <c r="F802" s="20">
        <f>""</f>
        <v/>
      </c>
      <c r="G802">
        <f>IF($C802="","","Por el deposito de la detraccion en el Banco de la Nacion")</f>
        <v/>
      </c>
      <c r="H802">
        <f>IF($C802="","",Registro_Compras!$C$92)</f>
        <v/>
      </c>
    </row>
    <row r="803">
      <c r="A803" s="25">
        <f>IF($C803="","",Registro_Compras!$X$92)</f>
        <v/>
      </c>
      <c r="B803">
        <f>IF($C803="","","C"&amp;TEXT(INT((ROW()-5)/9)+1,"000")&amp;"-3")</f>
        <v/>
      </c>
      <c r="C803">
        <f>IF(OR(Registro_Compras!$C$92="",Registro_Compras!$O$92="",Registro_Compras!$R$92&lt;&gt;"SI",Registro_Compras!$X$92=""),"","10413")</f>
        <v/>
      </c>
      <c r="D803">
        <f>IF(OR(Registro_Compras!$C$92="",Registro_Compras!$O$92=""),"","Efectivo y Equivalentes - Cta. Cte. Operativa")</f>
        <v/>
      </c>
      <c r="E803" s="20">
        <f>""</f>
        <v/>
      </c>
      <c r="F803" s="20">
        <f>IF($C803="","",Registro_Compras!$S$92)</f>
        <v/>
      </c>
      <c r="G803">
        <f>IF($C803="","","Por el deposito de la detraccion en el Banco de la Nacion")</f>
        <v/>
      </c>
      <c r="H803">
        <f>IF($C803="","",Registro_Compras!$C$92)</f>
        <v/>
      </c>
    </row>
    <row r="804">
      <c r="A804" s="25">
        <f>IF($C804="","",Registro_Compras!$Y$92)</f>
        <v/>
      </c>
      <c r="B804">
        <f>IF($C804="","","C"&amp;TEXT(INT((ROW()-5)/9)+1,"000")&amp;"-4")</f>
        <v/>
      </c>
      <c r="C804">
        <f>IF(OR(Registro_Compras!$C$92="",Registro_Compras!$O$92="",Registro_Compras!$Y$92="",Registro_Compras!$F$92="NOTA DE CREDITO"),"","4212")</f>
        <v/>
      </c>
      <c r="D804">
        <f>IF(OR(Registro_Compras!$C$92="",Registro_Compras!$O$92=""),"","Cuentas por Pagar Comerciales - Terceros")</f>
        <v/>
      </c>
      <c r="E804" s="20">
        <f>IF($C804="","",IF(Registro_Compras!$F$92="RHE",(ROUND(Registro_Compras!$L$92*Registro_Compras!$N$92,2)-ROUND(Registro_Compras!$V$92*Registro_Compras!$N$92,2)),ROUND(Registro_Compras!$O$92-Registro_Compras!$S$92,2)))</f>
        <v/>
      </c>
      <c r="F804" s="20">
        <f>""</f>
        <v/>
      </c>
      <c r="G804">
        <f>IF($C804="","","Por la cancelacion del saldo al proveedor")</f>
        <v/>
      </c>
      <c r="H804">
        <f>IF($C804="","",Registro_Compras!$C$92)</f>
        <v/>
      </c>
    </row>
    <row r="805">
      <c r="A805" s="25">
        <f>IF($C805="","",Registro_Compras!$Y$92)</f>
        <v/>
      </c>
      <c r="B805">
        <f>IF($C805="","","C"&amp;TEXT(INT((ROW()-5)/9)+1,"000")&amp;"-4")</f>
        <v/>
      </c>
      <c r="C805">
        <f>IF(OR(Registro_Compras!$C$92="",Registro_Compras!$O$92="",Registro_Compras!$Y$92="",Registro_Compras!$F$92="NOTA DE CREDITO"),"","10413")</f>
        <v/>
      </c>
      <c r="D805">
        <f>IF(OR(Registro_Compras!$C$92="",Registro_Compras!$O$92=""),"","Efectivo y Equivalentes - Cta. Cte. Operativa")</f>
        <v/>
      </c>
      <c r="E805" s="20">
        <f>""</f>
        <v/>
      </c>
      <c r="F805" s="20">
        <f>IF($C805="","",IF(Registro_Compras!$F$92="RHE",(ROUND(Registro_Compras!$L$92*Registro_Compras!$N$92,2)-ROUND(Registro_Compras!$V$92*Registro_Compras!$N$92,2)),ROUND(Registro_Compras!$O$92-Registro_Compras!$S$92,2)))</f>
        <v/>
      </c>
      <c r="G805">
        <f>IF($C805="","","Por la cancelacion del saldo al proveedor")</f>
        <v/>
      </c>
      <c r="H805">
        <f>IF($C805="","",Registro_Compras!$C$92)</f>
        <v/>
      </c>
    </row>
    <row r="806">
      <c r="A806" s="25">
        <f>IF($C806="","",Registro_Compras!$B$93)</f>
        <v/>
      </c>
      <c r="B806">
        <f>IF($C806="","","C"&amp;TEXT(INT((ROW()-5)/9)+1,"000")&amp;"-1")</f>
        <v/>
      </c>
      <c r="C806">
        <f>IF(OR(Registro_Compras!$C$93="",Registro_Compras!$O$93=""),"",IF(Registro_Compras!$F$93="NOTA DE CREDITO","4212",IF(Registro_Compras!$M$93="","63",Registro_Compras!$M$93)))</f>
        <v/>
      </c>
      <c r="D806">
        <f>IF(OR(Registro_Compras!$C$93="",Registro_Compras!$O$93=""),"",IF(Registro_Compras!$F$93="NOTA DE CREDITO","Cuentas por Pagar Comerciales - Terceros (Emitidas)",IF(Registro_Compras!$F$93="RHE","Honorarios Profesionales - Servicios de Terceros","Gastos de Servicios Prestados por Terceros")))</f>
        <v/>
      </c>
      <c r="E806" s="20">
        <f>IF($C806="","",IF(Registro_Compras!$F$93="NOTA DE CREDITO",ABS(Registro_Compras!$O$93),IF(Registro_Compras!$F$93="RHE",ROUND(Registro_Compras!$L$93*Registro_Compras!$N$93,2),ROUND(Registro_Compras!$J$93*Registro_Compras!$N$93,2))))</f>
        <v/>
      </c>
      <c r="F806" s="20">
        <f>""</f>
        <v/>
      </c>
      <c r="G806">
        <f>IF($C806="","",IF(Registro_Compras!$F$93="NOTA DE CREDITO","Por la nota de credito "&amp;Registro_Compras!$C$93&amp;" de "&amp;Registro_Compras!$E$93&amp;" [PATRON POR CONFIRMAR CON CONTADOR]",IF(Registro_Compras!$F$93="RHE","Por el registro del recibo por honorarios "&amp;Registro_Compras!$C$93&amp;" de "&amp;Registro_Compras!$E$93&amp;" [PATRON POR CONFIRMAR CON CONTADOR]","Por el registro de la factura "&amp;Registro_Compras!$C$93&amp;" de "&amp;Registro_Compras!$E$93)))</f>
        <v/>
      </c>
      <c r="H806">
        <f>IF($C806="","",Registro_Compras!$C$93)</f>
        <v/>
      </c>
    </row>
    <row r="807">
      <c r="A807" s="25">
        <f>IF($C807="","",Registro_Compras!$B$93)</f>
        <v/>
      </c>
      <c r="B807">
        <f>IF($C807="","","C"&amp;TEXT(INT((ROW()-5)/9)+1,"000")&amp;"-1")</f>
        <v/>
      </c>
      <c r="C807">
        <f>IF(OR(Registro_Compras!$C$93="",Registro_Compras!$O$93=""),"",IF(Registro_Compras!$F$93="RHE",IF(Registro_Compras!$V$93=0,"","40172"),IF(Registro_Compras!$F$93="NOTA DE CREDITO",IF(Registro_Compras!$M$93="","63",Registro_Compras!$M$93),IF(Registro_Compras!$K$93=0,"","40111"))))</f>
        <v/>
      </c>
      <c r="D807">
        <f>IF(OR(Registro_Compras!$C$93="",Registro_Compras!$O$93=""),"",IF(Registro_Compras!$F$93="RHE","Retencion Renta 4ta Categoria por Pagar",IF(Registro_Compras!$F$93="NOTA DE CREDITO","Gastos de Servicios Prestados por Terceros","IGV - Cuenta Propia (Credito Fiscal)")))</f>
        <v/>
      </c>
      <c r="E807" s="20">
        <f>IF($C807="","",IF(Registro_Compras!$F$93="FACTURA",ROUND(Registro_Compras!$K$93*Registro_Compras!$N$93,2),""))</f>
        <v/>
      </c>
      <c r="F807" s="20">
        <f>IF($C807="","",IF(Registro_Compras!$F$93="RHE",ROUND(Registro_Compras!$V$93*Registro_Compras!$N$93,2),IF(Registro_Compras!$F$93="NOTA DE CREDITO",ROUND(ABS(Registro_Compras!$J$93*Registro_Compras!$N$93),2),"")))</f>
        <v/>
      </c>
      <c r="G807">
        <f>IF($C807="","",IF(Registro_Compras!$F$93="NOTA DE CREDITO","Por la nota de credito "&amp;Registro_Compras!$C$93&amp;" de "&amp;Registro_Compras!$E$93&amp;" [PATRON POR CONFIRMAR CON CONTADOR]",IF(Registro_Compras!$F$93="RHE","Por el registro del recibo por honorarios "&amp;Registro_Compras!$C$93&amp;" de "&amp;Registro_Compras!$E$93&amp;" [PATRON POR CONFIRMAR CON CONTADOR]","Por el registro de la factura "&amp;Registro_Compras!$C$93&amp;" de "&amp;Registro_Compras!$E$93)))</f>
        <v/>
      </c>
      <c r="H807">
        <f>IF($C807="","",Registro_Compras!$C$93)</f>
        <v/>
      </c>
    </row>
    <row r="808">
      <c r="A808" s="25">
        <f>IF($C808="","",Registro_Compras!$B$93)</f>
        <v/>
      </c>
      <c r="B808">
        <f>IF($C808="","","C"&amp;TEXT(INT((ROW()-5)/9)+1,"000")&amp;"-1")</f>
        <v/>
      </c>
      <c r="C808">
        <f>IF(OR(Registro_Compras!$C$93="",Registro_Compras!$O$93=""),"",IF(Registro_Compras!$F$93="NOTA DE CREDITO",IF(Registro_Compras!$K$93=0,"","40111"),"4212"))</f>
        <v/>
      </c>
      <c r="D808">
        <f>IF(OR(Registro_Compras!$C$93="",Registro_Compras!$O$93=""),"",IF(Registro_Compras!$F$93="NOTA DE CREDITO","IGV - Cuenta Propia (Credito Fiscal)","Cuentas por Pagar Comerciales - Terceros (Emitidas)"))</f>
        <v/>
      </c>
      <c r="E808" s="20">
        <f>""</f>
        <v/>
      </c>
      <c r="F808" s="20">
        <f>IF($C808="","",IF(Registro_Compras!$F$93="NOTA DE CREDITO",ROUND(ABS(Registro_Compras!$K$93*Registro_Compras!$N$93),2),IF(Registro_Compras!$F$93="RHE",(ROUND(Registro_Compras!$L$93*Registro_Compras!$N$93,2)-ROUND(Registro_Compras!$V$93*Registro_Compras!$N$93,2)),Registro_Compras!$O$93)))</f>
        <v/>
      </c>
      <c r="G808">
        <f>IF($C808="","",IF(Registro_Compras!$F$93="NOTA DE CREDITO","Por la nota de credito "&amp;Registro_Compras!$C$93&amp;" de "&amp;Registro_Compras!$E$93&amp;" [PATRON POR CONFIRMAR CON CONTADOR]",IF(Registro_Compras!$F$93="RHE","Por el registro del recibo por honorarios "&amp;Registro_Compras!$C$93&amp;" de "&amp;Registro_Compras!$E$93&amp;" [PATRON POR CONFIRMAR CON CONTADOR]","Por el registro de la factura "&amp;Registro_Compras!$C$93&amp;" de "&amp;Registro_Compras!$E$93)))</f>
        <v/>
      </c>
      <c r="H808">
        <f>IF($C808="","",Registro_Compras!$C$93)</f>
        <v/>
      </c>
    </row>
    <row r="809">
      <c r="A809" s="25">
        <f>IF($C809="","",Registro_Compras!$B$93)</f>
        <v/>
      </c>
      <c r="B809">
        <f>IF($C809="","","C"&amp;TEXT(INT((ROW()-5)/9)+1,"000")&amp;"-2")</f>
        <v/>
      </c>
      <c r="C809">
        <f>IF(OR(Registro_Compras!$C$93="",Registro_Compras!$O$93=""),"",IF(Registro_Compras!$AB$93="ADMINISTRATIVO","94","95"))</f>
        <v/>
      </c>
      <c r="D809">
        <f>IF(OR(Registro_Compras!$C$93="",Registro_Compras!$O$93=""),"",IF(Registro_Compras!$AB$93="ADMINISTRATIVO","Gastos Administrativos","Gastos de Venta y Operacion"))</f>
        <v/>
      </c>
      <c r="E809" s="20">
        <f>IF($C809="","",IF(Registro_Compras!$F$93="NOTA DE CREDITO","",IF(Registro_Compras!$F$93="RHE",ROUND(Registro_Compras!$L$93*Registro_Compras!$N$93,2),ROUND(Registro_Compras!$J$93*Registro_Compras!$N$93,2))))</f>
        <v/>
      </c>
      <c r="F809" s="20">
        <f>IF($C809="","",IF(Registro_Compras!$F$93="NOTA DE CREDITO",ROUND(ABS(Registro_Compras!$J$93*Registro_Compras!$N$93),2),""))</f>
        <v/>
      </c>
      <c r="G809">
        <f>IF($C809="","","Por el destino del gasto")</f>
        <v/>
      </c>
      <c r="H809">
        <f>IF($C809="","",Registro_Compras!$C$93)</f>
        <v/>
      </c>
    </row>
    <row r="810">
      <c r="A810" s="25">
        <f>IF($C810="","",Registro_Compras!$B$93)</f>
        <v/>
      </c>
      <c r="B810">
        <f>IF($C810="","","C"&amp;TEXT(INT((ROW()-5)/9)+1,"000")&amp;"-2")</f>
        <v/>
      </c>
      <c r="C810">
        <f>IF(OR(Registro_Compras!$C$93="",Registro_Compras!$O$93=""),"","79/791")</f>
        <v/>
      </c>
      <c r="D810">
        <f>IF(OR(Registro_Compras!$C$93="",Registro_Compras!$O$93=""),"","Cargas Imputables a Cuentas de Costos y Gastos")</f>
        <v/>
      </c>
      <c r="E810" s="20">
        <f>IF($C810="","",IF(Registro_Compras!$F$93="NOTA DE CREDITO",ROUND(ABS(Registro_Compras!$J$93*Registro_Compras!$N$93),2),""))</f>
        <v/>
      </c>
      <c r="F810" s="20">
        <f>IF($C810="","",IF(Registro_Compras!$F$93="NOTA DE CREDITO","",IF(Registro_Compras!$F$93="RHE",ROUND(Registro_Compras!$L$93*Registro_Compras!$N$93,2),ROUND(Registro_Compras!$J$93*Registro_Compras!$N$93,2))))</f>
        <v/>
      </c>
      <c r="G810">
        <f>IF($C810="","","Por el destino del gasto")</f>
        <v/>
      </c>
      <c r="H810">
        <f>IF($C810="","",Registro_Compras!$C$93)</f>
        <v/>
      </c>
    </row>
    <row r="811">
      <c r="A811" s="25">
        <f>IF($C811="","",Registro_Compras!$X$93)</f>
        <v/>
      </c>
      <c r="B811">
        <f>IF($C811="","","C"&amp;TEXT(INT((ROW()-5)/9)+1,"000")&amp;"-3")</f>
        <v/>
      </c>
      <c r="C811">
        <f>IF(OR(Registro_Compras!$C$93="",Registro_Compras!$O$93="",Registro_Compras!$R$93&lt;&gt;"SI",Registro_Compras!$X$93=""),"","4212")</f>
        <v/>
      </c>
      <c r="D811">
        <f>IF(OR(Registro_Compras!$C$93="",Registro_Compras!$O$93=""),"","Cuentas por Pagar Comerciales - Terceros")</f>
        <v/>
      </c>
      <c r="E811" s="20">
        <f>IF($C811="","",Registro_Compras!$S$93)</f>
        <v/>
      </c>
      <c r="F811" s="20">
        <f>""</f>
        <v/>
      </c>
      <c r="G811">
        <f>IF($C811="","","Por el deposito de la detraccion en el Banco de la Nacion")</f>
        <v/>
      </c>
      <c r="H811">
        <f>IF($C811="","",Registro_Compras!$C$93)</f>
        <v/>
      </c>
    </row>
    <row r="812">
      <c r="A812" s="25">
        <f>IF($C812="","",Registro_Compras!$X$93)</f>
        <v/>
      </c>
      <c r="B812">
        <f>IF($C812="","","C"&amp;TEXT(INT((ROW()-5)/9)+1,"000")&amp;"-3")</f>
        <v/>
      </c>
      <c r="C812">
        <f>IF(OR(Registro_Compras!$C$93="",Registro_Compras!$O$93="",Registro_Compras!$R$93&lt;&gt;"SI",Registro_Compras!$X$93=""),"","10413")</f>
        <v/>
      </c>
      <c r="D812">
        <f>IF(OR(Registro_Compras!$C$93="",Registro_Compras!$O$93=""),"","Efectivo y Equivalentes - Cta. Cte. Operativa")</f>
        <v/>
      </c>
      <c r="E812" s="20">
        <f>""</f>
        <v/>
      </c>
      <c r="F812" s="20">
        <f>IF($C812="","",Registro_Compras!$S$93)</f>
        <v/>
      </c>
      <c r="G812">
        <f>IF($C812="","","Por el deposito de la detraccion en el Banco de la Nacion")</f>
        <v/>
      </c>
      <c r="H812">
        <f>IF($C812="","",Registro_Compras!$C$93)</f>
        <v/>
      </c>
    </row>
    <row r="813">
      <c r="A813" s="25">
        <f>IF($C813="","",Registro_Compras!$Y$93)</f>
        <v/>
      </c>
      <c r="B813">
        <f>IF($C813="","","C"&amp;TEXT(INT((ROW()-5)/9)+1,"000")&amp;"-4")</f>
        <v/>
      </c>
      <c r="C813">
        <f>IF(OR(Registro_Compras!$C$93="",Registro_Compras!$O$93="",Registro_Compras!$Y$93="",Registro_Compras!$F$93="NOTA DE CREDITO"),"","4212")</f>
        <v/>
      </c>
      <c r="D813">
        <f>IF(OR(Registro_Compras!$C$93="",Registro_Compras!$O$93=""),"","Cuentas por Pagar Comerciales - Terceros")</f>
        <v/>
      </c>
      <c r="E813" s="20">
        <f>IF($C813="","",IF(Registro_Compras!$F$93="RHE",(ROUND(Registro_Compras!$L$93*Registro_Compras!$N$93,2)-ROUND(Registro_Compras!$V$93*Registro_Compras!$N$93,2)),ROUND(Registro_Compras!$O$93-Registro_Compras!$S$93,2)))</f>
        <v/>
      </c>
      <c r="F813" s="20">
        <f>""</f>
        <v/>
      </c>
      <c r="G813">
        <f>IF($C813="","","Por la cancelacion del saldo al proveedor")</f>
        <v/>
      </c>
      <c r="H813">
        <f>IF($C813="","",Registro_Compras!$C$93)</f>
        <v/>
      </c>
    </row>
    <row r="814">
      <c r="A814" s="25">
        <f>IF($C814="","",Registro_Compras!$Y$93)</f>
        <v/>
      </c>
      <c r="B814">
        <f>IF($C814="","","C"&amp;TEXT(INT((ROW()-5)/9)+1,"000")&amp;"-4")</f>
        <v/>
      </c>
      <c r="C814">
        <f>IF(OR(Registro_Compras!$C$93="",Registro_Compras!$O$93="",Registro_Compras!$Y$93="",Registro_Compras!$F$93="NOTA DE CREDITO"),"","10413")</f>
        <v/>
      </c>
      <c r="D814">
        <f>IF(OR(Registro_Compras!$C$93="",Registro_Compras!$O$93=""),"","Efectivo y Equivalentes - Cta. Cte. Operativa")</f>
        <v/>
      </c>
      <c r="E814" s="20">
        <f>""</f>
        <v/>
      </c>
      <c r="F814" s="20">
        <f>IF($C814="","",IF(Registro_Compras!$F$93="RHE",(ROUND(Registro_Compras!$L$93*Registro_Compras!$N$93,2)-ROUND(Registro_Compras!$V$93*Registro_Compras!$N$93,2)),ROUND(Registro_Compras!$O$93-Registro_Compras!$S$93,2)))</f>
        <v/>
      </c>
      <c r="G814">
        <f>IF($C814="","","Por la cancelacion del saldo al proveedor")</f>
        <v/>
      </c>
      <c r="H814">
        <f>IF($C814="","",Registro_Compras!$C$93)</f>
        <v/>
      </c>
    </row>
    <row r="815">
      <c r="A815" s="25">
        <f>IF($C815="","",Registro_Compras!$B$94)</f>
        <v/>
      </c>
      <c r="B815">
        <f>IF($C815="","","C"&amp;TEXT(INT((ROW()-5)/9)+1,"000")&amp;"-1")</f>
        <v/>
      </c>
      <c r="C815">
        <f>IF(OR(Registro_Compras!$C$94="",Registro_Compras!$O$94=""),"",IF(Registro_Compras!$F$94="NOTA DE CREDITO","4212",IF(Registro_Compras!$M$94="","63",Registro_Compras!$M$94)))</f>
        <v/>
      </c>
      <c r="D815">
        <f>IF(OR(Registro_Compras!$C$94="",Registro_Compras!$O$94=""),"",IF(Registro_Compras!$F$94="NOTA DE CREDITO","Cuentas por Pagar Comerciales - Terceros (Emitidas)",IF(Registro_Compras!$F$94="RHE","Honorarios Profesionales - Servicios de Terceros","Gastos de Servicios Prestados por Terceros")))</f>
        <v/>
      </c>
      <c r="E815" s="20">
        <f>IF($C815="","",IF(Registro_Compras!$F$94="NOTA DE CREDITO",ABS(Registro_Compras!$O$94),IF(Registro_Compras!$F$94="RHE",ROUND(Registro_Compras!$L$94*Registro_Compras!$N$94,2),ROUND(Registro_Compras!$J$94*Registro_Compras!$N$94,2))))</f>
        <v/>
      </c>
      <c r="F815" s="20">
        <f>""</f>
        <v/>
      </c>
      <c r="G815">
        <f>IF($C815="","",IF(Registro_Compras!$F$94="NOTA DE CREDITO","Por la nota de credito "&amp;Registro_Compras!$C$94&amp;" de "&amp;Registro_Compras!$E$94&amp;" [PATRON POR CONFIRMAR CON CONTADOR]",IF(Registro_Compras!$F$94="RHE","Por el registro del recibo por honorarios "&amp;Registro_Compras!$C$94&amp;" de "&amp;Registro_Compras!$E$94&amp;" [PATRON POR CONFIRMAR CON CONTADOR]","Por el registro de la factura "&amp;Registro_Compras!$C$94&amp;" de "&amp;Registro_Compras!$E$94)))</f>
        <v/>
      </c>
      <c r="H815">
        <f>IF($C815="","",Registro_Compras!$C$94)</f>
        <v/>
      </c>
    </row>
    <row r="816">
      <c r="A816" s="25">
        <f>IF($C816="","",Registro_Compras!$B$94)</f>
        <v/>
      </c>
      <c r="B816">
        <f>IF($C816="","","C"&amp;TEXT(INT((ROW()-5)/9)+1,"000")&amp;"-1")</f>
        <v/>
      </c>
      <c r="C816">
        <f>IF(OR(Registro_Compras!$C$94="",Registro_Compras!$O$94=""),"",IF(Registro_Compras!$F$94="RHE",IF(Registro_Compras!$V$94=0,"","40172"),IF(Registro_Compras!$F$94="NOTA DE CREDITO",IF(Registro_Compras!$M$94="","63",Registro_Compras!$M$94),IF(Registro_Compras!$K$94=0,"","40111"))))</f>
        <v/>
      </c>
      <c r="D816">
        <f>IF(OR(Registro_Compras!$C$94="",Registro_Compras!$O$94=""),"",IF(Registro_Compras!$F$94="RHE","Retencion Renta 4ta Categoria por Pagar",IF(Registro_Compras!$F$94="NOTA DE CREDITO","Gastos de Servicios Prestados por Terceros","IGV - Cuenta Propia (Credito Fiscal)")))</f>
        <v/>
      </c>
      <c r="E816" s="20">
        <f>IF($C816="","",IF(Registro_Compras!$F$94="FACTURA",ROUND(Registro_Compras!$K$94*Registro_Compras!$N$94,2),""))</f>
        <v/>
      </c>
      <c r="F816" s="20">
        <f>IF($C816="","",IF(Registro_Compras!$F$94="RHE",ROUND(Registro_Compras!$V$94*Registro_Compras!$N$94,2),IF(Registro_Compras!$F$94="NOTA DE CREDITO",ROUND(ABS(Registro_Compras!$J$94*Registro_Compras!$N$94),2),"")))</f>
        <v/>
      </c>
      <c r="G816">
        <f>IF($C816="","",IF(Registro_Compras!$F$94="NOTA DE CREDITO","Por la nota de credito "&amp;Registro_Compras!$C$94&amp;" de "&amp;Registro_Compras!$E$94&amp;" [PATRON POR CONFIRMAR CON CONTADOR]",IF(Registro_Compras!$F$94="RHE","Por el registro del recibo por honorarios "&amp;Registro_Compras!$C$94&amp;" de "&amp;Registro_Compras!$E$94&amp;" [PATRON POR CONFIRMAR CON CONTADOR]","Por el registro de la factura "&amp;Registro_Compras!$C$94&amp;" de "&amp;Registro_Compras!$E$94)))</f>
        <v/>
      </c>
      <c r="H816">
        <f>IF($C816="","",Registro_Compras!$C$94)</f>
        <v/>
      </c>
    </row>
    <row r="817">
      <c r="A817" s="25">
        <f>IF($C817="","",Registro_Compras!$B$94)</f>
        <v/>
      </c>
      <c r="B817">
        <f>IF($C817="","","C"&amp;TEXT(INT((ROW()-5)/9)+1,"000")&amp;"-1")</f>
        <v/>
      </c>
      <c r="C817">
        <f>IF(OR(Registro_Compras!$C$94="",Registro_Compras!$O$94=""),"",IF(Registro_Compras!$F$94="NOTA DE CREDITO",IF(Registro_Compras!$K$94=0,"","40111"),"4212"))</f>
        <v/>
      </c>
      <c r="D817">
        <f>IF(OR(Registro_Compras!$C$94="",Registro_Compras!$O$94=""),"",IF(Registro_Compras!$F$94="NOTA DE CREDITO","IGV - Cuenta Propia (Credito Fiscal)","Cuentas por Pagar Comerciales - Terceros (Emitidas)"))</f>
        <v/>
      </c>
      <c r="E817" s="20">
        <f>""</f>
        <v/>
      </c>
      <c r="F817" s="20">
        <f>IF($C817="","",IF(Registro_Compras!$F$94="NOTA DE CREDITO",ROUND(ABS(Registro_Compras!$K$94*Registro_Compras!$N$94),2),IF(Registro_Compras!$F$94="RHE",(ROUND(Registro_Compras!$L$94*Registro_Compras!$N$94,2)-ROUND(Registro_Compras!$V$94*Registro_Compras!$N$94,2)),Registro_Compras!$O$94)))</f>
        <v/>
      </c>
      <c r="G817">
        <f>IF($C817="","",IF(Registro_Compras!$F$94="NOTA DE CREDITO","Por la nota de credito "&amp;Registro_Compras!$C$94&amp;" de "&amp;Registro_Compras!$E$94&amp;" [PATRON POR CONFIRMAR CON CONTADOR]",IF(Registro_Compras!$F$94="RHE","Por el registro del recibo por honorarios "&amp;Registro_Compras!$C$94&amp;" de "&amp;Registro_Compras!$E$94&amp;" [PATRON POR CONFIRMAR CON CONTADOR]","Por el registro de la factura "&amp;Registro_Compras!$C$94&amp;" de "&amp;Registro_Compras!$E$94)))</f>
        <v/>
      </c>
      <c r="H817">
        <f>IF($C817="","",Registro_Compras!$C$94)</f>
        <v/>
      </c>
    </row>
    <row r="818">
      <c r="A818" s="25">
        <f>IF($C818="","",Registro_Compras!$B$94)</f>
        <v/>
      </c>
      <c r="B818">
        <f>IF($C818="","","C"&amp;TEXT(INT((ROW()-5)/9)+1,"000")&amp;"-2")</f>
        <v/>
      </c>
      <c r="C818">
        <f>IF(OR(Registro_Compras!$C$94="",Registro_Compras!$O$94=""),"",IF(Registro_Compras!$AB$94="ADMINISTRATIVO","94","95"))</f>
        <v/>
      </c>
      <c r="D818">
        <f>IF(OR(Registro_Compras!$C$94="",Registro_Compras!$O$94=""),"",IF(Registro_Compras!$AB$94="ADMINISTRATIVO","Gastos Administrativos","Gastos de Venta y Operacion"))</f>
        <v/>
      </c>
      <c r="E818" s="20">
        <f>IF($C818="","",IF(Registro_Compras!$F$94="NOTA DE CREDITO","",IF(Registro_Compras!$F$94="RHE",ROUND(Registro_Compras!$L$94*Registro_Compras!$N$94,2),ROUND(Registro_Compras!$J$94*Registro_Compras!$N$94,2))))</f>
        <v/>
      </c>
      <c r="F818" s="20">
        <f>IF($C818="","",IF(Registro_Compras!$F$94="NOTA DE CREDITO",ROUND(ABS(Registro_Compras!$J$94*Registro_Compras!$N$94),2),""))</f>
        <v/>
      </c>
      <c r="G818">
        <f>IF($C818="","","Por el destino del gasto")</f>
        <v/>
      </c>
      <c r="H818">
        <f>IF($C818="","",Registro_Compras!$C$94)</f>
        <v/>
      </c>
    </row>
    <row r="819">
      <c r="A819" s="25">
        <f>IF($C819="","",Registro_Compras!$B$94)</f>
        <v/>
      </c>
      <c r="B819">
        <f>IF($C819="","","C"&amp;TEXT(INT((ROW()-5)/9)+1,"000")&amp;"-2")</f>
        <v/>
      </c>
      <c r="C819">
        <f>IF(OR(Registro_Compras!$C$94="",Registro_Compras!$O$94=""),"","79/791")</f>
        <v/>
      </c>
      <c r="D819">
        <f>IF(OR(Registro_Compras!$C$94="",Registro_Compras!$O$94=""),"","Cargas Imputables a Cuentas de Costos y Gastos")</f>
        <v/>
      </c>
      <c r="E819" s="20">
        <f>IF($C819="","",IF(Registro_Compras!$F$94="NOTA DE CREDITO",ROUND(ABS(Registro_Compras!$J$94*Registro_Compras!$N$94),2),""))</f>
        <v/>
      </c>
      <c r="F819" s="20">
        <f>IF($C819="","",IF(Registro_Compras!$F$94="NOTA DE CREDITO","",IF(Registro_Compras!$F$94="RHE",ROUND(Registro_Compras!$L$94*Registro_Compras!$N$94,2),ROUND(Registro_Compras!$J$94*Registro_Compras!$N$94,2))))</f>
        <v/>
      </c>
      <c r="G819">
        <f>IF($C819="","","Por el destino del gasto")</f>
        <v/>
      </c>
      <c r="H819">
        <f>IF($C819="","",Registro_Compras!$C$94)</f>
        <v/>
      </c>
    </row>
    <row r="820">
      <c r="A820" s="25">
        <f>IF($C820="","",Registro_Compras!$X$94)</f>
        <v/>
      </c>
      <c r="B820">
        <f>IF($C820="","","C"&amp;TEXT(INT((ROW()-5)/9)+1,"000")&amp;"-3")</f>
        <v/>
      </c>
      <c r="C820">
        <f>IF(OR(Registro_Compras!$C$94="",Registro_Compras!$O$94="",Registro_Compras!$R$94&lt;&gt;"SI",Registro_Compras!$X$94=""),"","4212")</f>
        <v/>
      </c>
      <c r="D820">
        <f>IF(OR(Registro_Compras!$C$94="",Registro_Compras!$O$94=""),"","Cuentas por Pagar Comerciales - Terceros")</f>
        <v/>
      </c>
      <c r="E820" s="20">
        <f>IF($C820="","",Registro_Compras!$S$94)</f>
        <v/>
      </c>
      <c r="F820" s="20">
        <f>""</f>
        <v/>
      </c>
      <c r="G820">
        <f>IF($C820="","","Por el deposito de la detraccion en el Banco de la Nacion")</f>
        <v/>
      </c>
      <c r="H820">
        <f>IF($C820="","",Registro_Compras!$C$94)</f>
        <v/>
      </c>
    </row>
    <row r="821">
      <c r="A821" s="25">
        <f>IF($C821="","",Registro_Compras!$X$94)</f>
        <v/>
      </c>
      <c r="B821">
        <f>IF($C821="","","C"&amp;TEXT(INT((ROW()-5)/9)+1,"000")&amp;"-3")</f>
        <v/>
      </c>
      <c r="C821">
        <f>IF(OR(Registro_Compras!$C$94="",Registro_Compras!$O$94="",Registro_Compras!$R$94&lt;&gt;"SI",Registro_Compras!$X$94=""),"","10413")</f>
        <v/>
      </c>
      <c r="D821">
        <f>IF(OR(Registro_Compras!$C$94="",Registro_Compras!$O$94=""),"","Efectivo y Equivalentes - Cta. Cte. Operativa")</f>
        <v/>
      </c>
      <c r="E821" s="20">
        <f>""</f>
        <v/>
      </c>
      <c r="F821" s="20">
        <f>IF($C821="","",Registro_Compras!$S$94)</f>
        <v/>
      </c>
      <c r="G821">
        <f>IF($C821="","","Por el deposito de la detraccion en el Banco de la Nacion")</f>
        <v/>
      </c>
      <c r="H821">
        <f>IF($C821="","",Registro_Compras!$C$94)</f>
        <v/>
      </c>
    </row>
    <row r="822">
      <c r="A822" s="25">
        <f>IF($C822="","",Registro_Compras!$Y$94)</f>
        <v/>
      </c>
      <c r="B822">
        <f>IF($C822="","","C"&amp;TEXT(INT((ROW()-5)/9)+1,"000")&amp;"-4")</f>
        <v/>
      </c>
      <c r="C822">
        <f>IF(OR(Registro_Compras!$C$94="",Registro_Compras!$O$94="",Registro_Compras!$Y$94="",Registro_Compras!$F$94="NOTA DE CREDITO"),"","4212")</f>
        <v/>
      </c>
      <c r="D822">
        <f>IF(OR(Registro_Compras!$C$94="",Registro_Compras!$O$94=""),"","Cuentas por Pagar Comerciales - Terceros")</f>
        <v/>
      </c>
      <c r="E822" s="20">
        <f>IF($C822="","",IF(Registro_Compras!$F$94="RHE",(ROUND(Registro_Compras!$L$94*Registro_Compras!$N$94,2)-ROUND(Registro_Compras!$V$94*Registro_Compras!$N$94,2)),ROUND(Registro_Compras!$O$94-Registro_Compras!$S$94,2)))</f>
        <v/>
      </c>
      <c r="F822" s="20">
        <f>""</f>
        <v/>
      </c>
      <c r="G822">
        <f>IF($C822="","","Por la cancelacion del saldo al proveedor")</f>
        <v/>
      </c>
      <c r="H822">
        <f>IF($C822="","",Registro_Compras!$C$94)</f>
        <v/>
      </c>
    </row>
    <row r="823">
      <c r="A823" s="25">
        <f>IF($C823="","",Registro_Compras!$Y$94)</f>
        <v/>
      </c>
      <c r="B823">
        <f>IF($C823="","","C"&amp;TEXT(INT((ROW()-5)/9)+1,"000")&amp;"-4")</f>
        <v/>
      </c>
      <c r="C823">
        <f>IF(OR(Registro_Compras!$C$94="",Registro_Compras!$O$94="",Registro_Compras!$Y$94="",Registro_Compras!$F$94="NOTA DE CREDITO"),"","10413")</f>
        <v/>
      </c>
      <c r="D823">
        <f>IF(OR(Registro_Compras!$C$94="",Registro_Compras!$O$94=""),"","Efectivo y Equivalentes - Cta. Cte. Operativa")</f>
        <v/>
      </c>
      <c r="E823" s="20">
        <f>""</f>
        <v/>
      </c>
      <c r="F823" s="20">
        <f>IF($C823="","",IF(Registro_Compras!$F$94="RHE",(ROUND(Registro_Compras!$L$94*Registro_Compras!$N$94,2)-ROUND(Registro_Compras!$V$94*Registro_Compras!$N$94,2)),ROUND(Registro_Compras!$O$94-Registro_Compras!$S$94,2)))</f>
        <v/>
      </c>
      <c r="G823">
        <f>IF($C823="","","Por la cancelacion del saldo al proveedor")</f>
        <v/>
      </c>
      <c r="H823">
        <f>IF($C823="","",Registro_Compras!$C$94)</f>
        <v/>
      </c>
    </row>
    <row r="824">
      <c r="A824" s="25">
        <f>IF($C824="","",Registro_Compras!$B$95)</f>
        <v/>
      </c>
      <c r="B824">
        <f>IF($C824="","","C"&amp;TEXT(INT((ROW()-5)/9)+1,"000")&amp;"-1")</f>
        <v/>
      </c>
      <c r="C824">
        <f>IF(OR(Registro_Compras!$C$95="",Registro_Compras!$O$95=""),"",IF(Registro_Compras!$F$95="NOTA DE CREDITO","4212",IF(Registro_Compras!$M$95="","63",Registro_Compras!$M$95)))</f>
        <v/>
      </c>
      <c r="D824">
        <f>IF(OR(Registro_Compras!$C$95="",Registro_Compras!$O$95=""),"",IF(Registro_Compras!$F$95="NOTA DE CREDITO","Cuentas por Pagar Comerciales - Terceros (Emitidas)",IF(Registro_Compras!$F$95="RHE","Honorarios Profesionales - Servicios de Terceros","Gastos de Servicios Prestados por Terceros")))</f>
        <v/>
      </c>
      <c r="E824" s="20">
        <f>IF($C824="","",IF(Registro_Compras!$F$95="NOTA DE CREDITO",ABS(Registro_Compras!$O$95),IF(Registro_Compras!$F$95="RHE",ROUND(Registro_Compras!$L$95*Registro_Compras!$N$95,2),ROUND(Registro_Compras!$J$95*Registro_Compras!$N$95,2))))</f>
        <v/>
      </c>
      <c r="F824" s="20">
        <f>""</f>
        <v/>
      </c>
      <c r="G824">
        <f>IF($C824="","",IF(Registro_Compras!$F$95="NOTA DE CREDITO","Por la nota de credito "&amp;Registro_Compras!$C$95&amp;" de "&amp;Registro_Compras!$E$95&amp;" [PATRON POR CONFIRMAR CON CONTADOR]",IF(Registro_Compras!$F$95="RHE","Por el registro del recibo por honorarios "&amp;Registro_Compras!$C$95&amp;" de "&amp;Registro_Compras!$E$95&amp;" [PATRON POR CONFIRMAR CON CONTADOR]","Por el registro de la factura "&amp;Registro_Compras!$C$95&amp;" de "&amp;Registro_Compras!$E$95)))</f>
        <v/>
      </c>
      <c r="H824">
        <f>IF($C824="","",Registro_Compras!$C$95)</f>
        <v/>
      </c>
    </row>
    <row r="825">
      <c r="A825" s="25">
        <f>IF($C825="","",Registro_Compras!$B$95)</f>
        <v/>
      </c>
      <c r="B825">
        <f>IF($C825="","","C"&amp;TEXT(INT((ROW()-5)/9)+1,"000")&amp;"-1")</f>
        <v/>
      </c>
      <c r="C825">
        <f>IF(OR(Registro_Compras!$C$95="",Registro_Compras!$O$95=""),"",IF(Registro_Compras!$F$95="RHE",IF(Registro_Compras!$V$95=0,"","40172"),IF(Registro_Compras!$F$95="NOTA DE CREDITO",IF(Registro_Compras!$M$95="","63",Registro_Compras!$M$95),IF(Registro_Compras!$K$95=0,"","40111"))))</f>
        <v/>
      </c>
      <c r="D825">
        <f>IF(OR(Registro_Compras!$C$95="",Registro_Compras!$O$95=""),"",IF(Registro_Compras!$F$95="RHE","Retencion Renta 4ta Categoria por Pagar",IF(Registro_Compras!$F$95="NOTA DE CREDITO","Gastos de Servicios Prestados por Terceros","IGV - Cuenta Propia (Credito Fiscal)")))</f>
        <v/>
      </c>
      <c r="E825" s="20">
        <f>IF($C825="","",IF(Registro_Compras!$F$95="FACTURA",ROUND(Registro_Compras!$K$95*Registro_Compras!$N$95,2),""))</f>
        <v/>
      </c>
      <c r="F825" s="20">
        <f>IF($C825="","",IF(Registro_Compras!$F$95="RHE",ROUND(Registro_Compras!$V$95*Registro_Compras!$N$95,2),IF(Registro_Compras!$F$95="NOTA DE CREDITO",ROUND(ABS(Registro_Compras!$J$95*Registro_Compras!$N$95),2),"")))</f>
        <v/>
      </c>
      <c r="G825">
        <f>IF($C825="","",IF(Registro_Compras!$F$95="NOTA DE CREDITO","Por la nota de credito "&amp;Registro_Compras!$C$95&amp;" de "&amp;Registro_Compras!$E$95&amp;" [PATRON POR CONFIRMAR CON CONTADOR]",IF(Registro_Compras!$F$95="RHE","Por el registro del recibo por honorarios "&amp;Registro_Compras!$C$95&amp;" de "&amp;Registro_Compras!$E$95&amp;" [PATRON POR CONFIRMAR CON CONTADOR]","Por el registro de la factura "&amp;Registro_Compras!$C$95&amp;" de "&amp;Registro_Compras!$E$95)))</f>
        <v/>
      </c>
      <c r="H825">
        <f>IF($C825="","",Registro_Compras!$C$95)</f>
        <v/>
      </c>
    </row>
    <row r="826">
      <c r="A826" s="25">
        <f>IF($C826="","",Registro_Compras!$B$95)</f>
        <v/>
      </c>
      <c r="B826">
        <f>IF($C826="","","C"&amp;TEXT(INT((ROW()-5)/9)+1,"000")&amp;"-1")</f>
        <v/>
      </c>
      <c r="C826">
        <f>IF(OR(Registro_Compras!$C$95="",Registro_Compras!$O$95=""),"",IF(Registro_Compras!$F$95="NOTA DE CREDITO",IF(Registro_Compras!$K$95=0,"","40111"),"4212"))</f>
        <v/>
      </c>
      <c r="D826">
        <f>IF(OR(Registro_Compras!$C$95="",Registro_Compras!$O$95=""),"",IF(Registro_Compras!$F$95="NOTA DE CREDITO","IGV - Cuenta Propia (Credito Fiscal)","Cuentas por Pagar Comerciales - Terceros (Emitidas)"))</f>
        <v/>
      </c>
      <c r="E826" s="20">
        <f>""</f>
        <v/>
      </c>
      <c r="F826" s="20">
        <f>IF($C826="","",IF(Registro_Compras!$F$95="NOTA DE CREDITO",ROUND(ABS(Registro_Compras!$K$95*Registro_Compras!$N$95),2),IF(Registro_Compras!$F$95="RHE",(ROUND(Registro_Compras!$L$95*Registro_Compras!$N$95,2)-ROUND(Registro_Compras!$V$95*Registro_Compras!$N$95,2)),Registro_Compras!$O$95)))</f>
        <v/>
      </c>
      <c r="G826">
        <f>IF($C826="","",IF(Registro_Compras!$F$95="NOTA DE CREDITO","Por la nota de credito "&amp;Registro_Compras!$C$95&amp;" de "&amp;Registro_Compras!$E$95&amp;" [PATRON POR CONFIRMAR CON CONTADOR]",IF(Registro_Compras!$F$95="RHE","Por el registro del recibo por honorarios "&amp;Registro_Compras!$C$95&amp;" de "&amp;Registro_Compras!$E$95&amp;" [PATRON POR CONFIRMAR CON CONTADOR]","Por el registro de la factura "&amp;Registro_Compras!$C$95&amp;" de "&amp;Registro_Compras!$E$95)))</f>
        <v/>
      </c>
      <c r="H826">
        <f>IF($C826="","",Registro_Compras!$C$95)</f>
        <v/>
      </c>
    </row>
    <row r="827">
      <c r="A827" s="25">
        <f>IF($C827="","",Registro_Compras!$B$95)</f>
        <v/>
      </c>
      <c r="B827">
        <f>IF($C827="","","C"&amp;TEXT(INT((ROW()-5)/9)+1,"000")&amp;"-2")</f>
        <v/>
      </c>
      <c r="C827">
        <f>IF(OR(Registro_Compras!$C$95="",Registro_Compras!$O$95=""),"",IF(Registro_Compras!$AB$95="ADMINISTRATIVO","94","95"))</f>
        <v/>
      </c>
      <c r="D827">
        <f>IF(OR(Registro_Compras!$C$95="",Registro_Compras!$O$95=""),"",IF(Registro_Compras!$AB$95="ADMINISTRATIVO","Gastos Administrativos","Gastos de Venta y Operacion"))</f>
        <v/>
      </c>
      <c r="E827" s="20">
        <f>IF($C827="","",IF(Registro_Compras!$F$95="NOTA DE CREDITO","",IF(Registro_Compras!$F$95="RHE",ROUND(Registro_Compras!$L$95*Registro_Compras!$N$95,2),ROUND(Registro_Compras!$J$95*Registro_Compras!$N$95,2))))</f>
        <v/>
      </c>
      <c r="F827" s="20">
        <f>IF($C827="","",IF(Registro_Compras!$F$95="NOTA DE CREDITO",ROUND(ABS(Registro_Compras!$J$95*Registro_Compras!$N$95),2),""))</f>
        <v/>
      </c>
      <c r="G827">
        <f>IF($C827="","","Por el destino del gasto")</f>
        <v/>
      </c>
      <c r="H827">
        <f>IF($C827="","",Registro_Compras!$C$95)</f>
        <v/>
      </c>
    </row>
    <row r="828">
      <c r="A828" s="25">
        <f>IF($C828="","",Registro_Compras!$B$95)</f>
        <v/>
      </c>
      <c r="B828">
        <f>IF($C828="","","C"&amp;TEXT(INT((ROW()-5)/9)+1,"000")&amp;"-2")</f>
        <v/>
      </c>
      <c r="C828">
        <f>IF(OR(Registro_Compras!$C$95="",Registro_Compras!$O$95=""),"","79/791")</f>
        <v/>
      </c>
      <c r="D828">
        <f>IF(OR(Registro_Compras!$C$95="",Registro_Compras!$O$95=""),"","Cargas Imputables a Cuentas de Costos y Gastos")</f>
        <v/>
      </c>
      <c r="E828" s="20">
        <f>IF($C828="","",IF(Registro_Compras!$F$95="NOTA DE CREDITO",ROUND(ABS(Registro_Compras!$J$95*Registro_Compras!$N$95),2),""))</f>
        <v/>
      </c>
      <c r="F828" s="20">
        <f>IF($C828="","",IF(Registro_Compras!$F$95="NOTA DE CREDITO","",IF(Registro_Compras!$F$95="RHE",ROUND(Registro_Compras!$L$95*Registro_Compras!$N$95,2),ROUND(Registro_Compras!$J$95*Registro_Compras!$N$95,2))))</f>
        <v/>
      </c>
      <c r="G828">
        <f>IF($C828="","","Por el destino del gasto")</f>
        <v/>
      </c>
      <c r="H828">
        <f>IF($C828="","",Registro_Compras!$C$95)</f>
        <v/>
      </c>
    </row>
    <row r="829">
      <c r="A829" s="25">
        <f>IF($C829="","",Registro_Compras!$X$95)</f>
        <v/>
      </c>
      <c r="B829">
        <f>IF($C829="","","C"&amp;TEXT(INT((ROW()-5)/9)+1,"000")&amp;"-3")</f>
        <v/>
      </c>
      <c r="C829">
        <f>IF(OR(Registro_Compras!$C$95="",Registro_Compras!$O$95="",Registro_Compras!$R$95&lt;&gt;"SI",Registro_Compras!$X$95=""),"","4212")</f>
        <v/>
      </c>
      <c r="D829">
        <f>IF(OR(Registro_Compras!$C$95="",Registro_Compras!$O$95=""),"","Cuentas por Pagar Comerciales - Terceros")</f>
        <v/>
      </c>
      <c r="E829" s="20">
        <f>IF($C829="","",Registro_Compras!$S$95)</f>
        <v/>
      </c>
      <c r="F829" s="20">
        <f>""</f>
        <v/>
      </c>
      <c r="G829">
        <f>IF($C829="","","Por el deposito de la detraccion en el Banco de la Nacion")</f>
        <v/>
      </c>
      <c r="H829">
        <f>IF($C829="","",Registro_Compras!$C$95)</f>
        <v/>
      </c>
    </row>
    <row r="830">
      <c r="A830" s="25">
        <f>IF($C830="","",Registro_Compras!$X$95)</f>
        <v/>
      </c>
      <c r="B830">
        <f>IF($C830="","","C"&amp;TEXT(INT((ROW()-5)/9)+1,"000")&amp;"-3")</f>
        <v/>
      </c>
      <c r="C830">
        <f>IF(OR(Registro_Compras!$C$95="",Registro_Compras!$O$95="",Registro_Compras!$R$95&lt;&gt;"SI",Registro_Compras!$X$95=""),"","10413")</f>
        <v/>
      </c>
      <c r="D830">
        <f>IF(OR(Registro_Compras!$C$95="",Registro_Compras!$O$95=""),"","Efectivo y Equivalentes - Cta. Cte. Operativa")</f>
        <v/>
      </c>
      <c r="E830" s="20">
        <f>""</f>
        <v/>
      </c>
      <c r="F830" s="20">
        <f>IF($C830="","",Registro_Compras!$S$95)</f>
        <v/>
      </c>
      <c r="G830">
        <f>IF($C830="","","Por el deposito de la detraccion en el Banco de la Nacion")</f>
        <v/>
      </c>
      <c r="H830">
        <f>IF($C830="","",Registro_Compras!$C$95)</f>
        <v/>
      </c>
    </row>
    <row r="831">
      <c r="A831" s="25">
        <f>IF($C831="","",Registro_Compras!$Y$95)</f>
        <v/>
      </c>
      <c r="B831">
        <f>IF($C831="","","C"&amp;TEXT(INT((ROW()-5)/9)+1,"000")&amp;"-4")</f>
        <v/>
      </c>
      <c r="C831">
        <f>IF(OR(Registro_Compras!$C$95="",Registro_Compras!$O$95="",Registro_Compras!$Y$95="",Registro_Compras!$F$95="NOTA DE CREDITO"),"","4212")</f>
        <v/>
      </c>
      <c r="D831">
        <f>IF(OR(Registro_Compras!$C$95="",Registro_Compras!$O$95=""),"","Cuentas por Pagar Comerciales - Terceros")</f>
        <v/>
      </c>
      <c r="E831" s="20">
        <f>IF($C831="","",IF(Registro_Compras!$F$95="RHE",(ROUND(Registro_Compras!$L$95*Registro_Compras!$N$95,2)-ROUND(Registro_Compras!$V$95*Registro_Compras!$N$95,2)),ROUND(Registro_Compras!$O$95-Registro_Compras!$S$95,2)))</f>
        <v/>
      </c>
      <c r="F831" s="20">
        <f>""</f>
        <v/>
      </c>
      <c r="G831">
        <f>IF($C831="","","Por la cancelacion del saldo al proveedor")</f>
        <v/>
      </c>
      <c r="H831">
        <f>IF($C831="","",Registro_Compras!$C$95)</f>
        <v/>
      </c>
    </row>
    <row r="832">
      <c r="A832" s="25">
        <f>IF($C832="","",Registro_Compras!$Y$95)</f>
        <v/>
      </c>
      <c r="B832">
        <f>IF($C832="","","C"&amp;TEXT(INT((ROW()-5)/9)+1,"000")&amp;"-4")</f>
        <v/>
      </c>
      <c r="C832">
        <f>IF(OR(Registro_Compras!$C$95="",Registro_Compras!$O$95="",Registro_Compras!$Y$95="",Registro_Compras!$F$95="NOTA DE CREDITO"),"","10413")</f>
        <v/>
      </c>
      <c r="D832">
        <f>IF(OR(Registro_Compras!$C$95="",Registro_Compras!$O$95=""),"","Efectivo y Equivalentes - Cta. Cte. Operativa")</f>
        <v/>
      </c>
      <c r="E832" s="20">
        <f>""</f>
        <v/>
      </c>
      <c r="F832" s="20">
        <f>IF($C832="","",IF(Registro_Compras!$F$95="RHE",(ROUND(Registro_Compras!$L$95*Registro_Compras!$N$95,2)-ROUND(Registro_Compras!$V$95*Registro_Compras!$N$95,2)),ROUND(Registro_Compras!$O$95-Registro_Compras!$S$95,2)))</f>
        <v/>
      </c>
      <c r="G832">
        <f>IF($C832="","","Por la cancelacion del saldo al proveedor")</f>
        <v/>
      </c>
      <c r="H832">
        <f>IF($C832="","",Registro_Compras!$C$95)</f>
        <v/>
      </c>
    </row>
    <row r="833">
      <c r="A833" s="25">
        <f>IF($C833="","",Registro_Compras!$B$96)</f>
        <v/>
      </c>
      <c r="B833">
        <f>IF($C833="","","C"&amp;TEXT(INT((ROW()-5)/9)+1,"000")&amp;"-1")</f>
        <v/>
      </c>
      <c r="C833">
        <f>IF(OR(Registro_Compras!$C$96="",Registro_Compras!$O$96=""),"",IF(Registro_Compras!$F$96="NOTA DE CREDITO","4212",IF(Registro_Compras!$M$96="","63",Registro_Compras!$M$96)))</f>
        <v/>
      </c>
      <c r="D833">
        <f>IF(OR(Registro_Compras!$C$96="",Registro_Compras!$O$96=""),"",IF(Registro_Compras!$F$96="NOTA DE CREDITO","Cuentas por Pagar Comerciales - Terceros (Emitidas)",IF(Registro_Compras!$F$96="RHE","Honorarios Profesionales - Servicios de Terceros","Gastos de Servicios Prestados por Terceros")))</f>
        <v/>
      </c>
      <c r="E833" s="20">
        <f>IF($C833="","",IF(Registro_Compras!$F$96="NOTA DE CREDITO",ABS(Registro_Compras!$O$96),IF(Registro_Compras!$F$96="RHE",ROUND(Registro_Compras!$L$96*Registro_Compras!$N$96,2),ROUND(Registro_Compras!$J$96*Registro_Compras!$N$96,2))))</f>
        <v/>
      </c>
      <c r="F833" s="20">
        <f>""</f>
        <v/>
      </c>
      <c r="G833">
        <f>IF($C833="","",IF(Registro_Compras!$F$96="NOTA DE CREDITO","Por la nota de credito "&amp;Registro_Compras!$C$96&amp;" de "&amp;Registro_Compras!$E$96&amp;" [PATRON POR CONFIRMAR CON CONTADOR]",IF(Registro_Compras!$F$96="RHE","Por el registro del recibo por honorarios "&amp;Registro_Compras!$C$96&amp;" de "&amp;Registro_Compras!$E$96&amp;" [PATRON POR CONFIRMAR CON CONTADOR]","Por el registro de la factura "&amp;Registro_Compras!$C$96&amp;" de "&amp;Registro_Compras!$E$96)))</f>
        <v/>
      </c>
      <c r="H833">
        <f>IF($C833="","",Registro_Compras!$C$96)</f>
        <v/>
      </c>
    </row>
    <row r="834">
      <c r="A834" s="25">
        <f>IF($C834="","",Registro_Compras!$B$96)</f>
        <v/>
      </c>
      <c r="B834">
        <f>IF($C834="","","C"&amp;TEXT(INT((ROW()-5)/9)+1,"000")&amp;"-1")</f>
        <v/>
      </c>
      <c r="C834">
        <f>IF(OR(Registro_Compras!$C$96="",Registro_Compras!$O$96=""),"",IF(Registro_Compras!$F$96="RHE",IF(Registro_Compras!$V$96=0,"","40172"),IF(Registro_Compras!$F$96="NOTA DE CREDITO",IF(Registro_Compras!$M$96="","63",Registro_Compras!$M$96),IF(Registro_Compras!$K$96=0,"","40111"))))</f>
        <v/>
      </c>
      <c r="D834">
        <f>IF(OR(Registro_Compras!$C$96="",Registro_Compras!$O$96=""),"",IF(Registro_Compras!$F$96="RHE","Retencion Renta 4ta Categoria por Pagar",IF(Registro_Compras!$F$96="NOTA DE CREDITO","Gastos de Servicios Prestados por Terceros","IGV - Cuenta Propia (Credito Fiscal)")))</f>
        <v/>
      </c>
      <c r="E834" s="20">
        <f>IF($C834="","",IF(Registro_Compras!$F$96="FACTURA",ROUND(Registro_Compras!$K$96*Registro_Compras!$N$96,2),""))</f>
        <v/>
      </c>
      <c r="F834" s="20">
        <f>IF($C834="","",IF(Registro_Compras!$F$96="RHE",ROUND(Registro_Compras!$V$96*Registro_Compras!$N$96,2),IF(Registro_Compras!$F$96="NOTA DE CREDITO",ROUND(ABS(Registro_Compras!$J$96*Registro_Compras!$N$96),2),"")))</f>
        <v/>
      </c>
      <c r="G834">
        <f>IF($C834="","",IF(Registro_Compras!$F$96="NOTA DE CREDITO","Por la nota de credito "&amp;Registro_Compras!$C$96&amp;" de "&amp;Registro_Compras!$E$96&amp;" [PATRON POR CONFIRMAR CON CONTADOR]",IF(Registro_Compras!$F$96="RHE","Por el registro del recibo por honorarios "&amp;Registro_Compras!$C$96&amp;" de "&amp;Registro_Compras!$E$96&amp;" [PATRON POR CONFIRMAR CON CONTADOR]","Por el registro de la factura "&amp;Registro_Compras!$C$96&amp;" de "&amp;Registro_Compras!$E$96)))</f>
        <v/>
      </c>
      <c r="H834">
        <f>IF($C834="","",Registro_Compras!$C$96)</f>
        <v/>
      </c>
    </row>
    <row r="835">
      <c r="A835" s="25">
        <f>IF($C835="","",Registro_Compras!$B$96)</f>
        <v/>
      </c>
      <c r="B835">
        <f>IF($C835="","","C"&amp;TEXT(INT((ROW()-5)/9)+1,"000")&amp;"-1")</f>
        <v/>
      </c>
      <c r="C835">
        <f>IF(OR(Registro_Compras!$C$96="",Registro_Compras!$O$96=""),"",IF(Registro_Compras!$F$96="NOTA DE CREDITO",IF(Registro_Compras!$K$96=0,"","40111"),"4212"))</f>
        <v/>
      </c>
      <c r="D835">
        <f>IF(OR(Registro_Compras!$C$96="",Registro_Compras!$O$96=""),"",IF(Registro_Compras!$F$96="NOTA DE CREDITO","IGV - Cuenta Propia (Credito Fiscal)","Cuentas por Pagar Comerciales - Terceros (Emitidas)"))</f>
        <v/>
      </c>
      <c r="E835" s="20">
        <f>""</f>
        <v/>
      </c>
      <c r="F835" s="20">
        <f>IF($C835="","",IF(Registro_Compras!$F$96="NOTA DE CREDITO",ROUND(ABS(Registro_Compras!$K$96*Registro_Compras!$N$96),2),IF(Registro_Compras!$F$96="RHE",(ROUND(Registro_Compras!$L$96*Registro_Compras!$N$96,2)-ROUND(Registro_Compras!$V$96*Registro_Compras!$N$96,2)),Registro_Compras!$O$96)))</f>
        <v/>
      </c>
      <c r="G835">
        <f>IF($C835="","",IF(Registro_Compras!$F$96="NOTA DE CREDITO","Por la nota de credito "&amp;Registro_Compras!$C$96&amp;" de "&amp;Registro_Compras!$E$96&amp;" [PATRON POR CONFIRMAR CON CONTADOR]",IF(Registro_Compras!$F$96="RHE","Por el registro del recibo por honorarios "&amp;Registro_Compras!$C$96&amp;" de "&amp;Registro_Compras!$E$96&amp;" [PATRON POR CONFIRMAR CON CONTADOR]","Por el registro de la factura "&amp;Registro_Compras!$C$96&amp;" de "&amp;Registro_Compras!$E$96)))</f>
        <v/>
      </c>
      <c r="H835">
        <f>IF($C835="","",Registro_Compras!$C$96)</f>
        <v/>
      </c>
    </row>
    <row r="836">
      <c r="A836" s="25">
        <f>IF($C836="","",Registro_Compras!$B$96)</f>
        <v/>
      </c>
      <c r="B836">
        <f>IF($C836="","","C"&amp;TEXT(INT((ROW()-5)/9)+1,"000")&amp;"-2")</f>
        <v/>
      </c>
      <c r="C836">
        <f>IF(OR(Registro_Compras!$C$96="",Registro_Compras!$O$96=""),"",IF(Registro_Compras!$AB$96="ADMINISTRATIVO","94","95"))</f>
        <v/>
      </c>
      <c r="D836">
        <f>IF(OR(Registro_Compras!$C$96="",Registro_Compras!$O$96=""),"",IF(Registro_Compras!$AB$96="ADMINISTRATIVO","Gastos Administrativos","Gastos de Venta y Operacion"))</f>
        <v/>
      </c>
      <c r="E836" s="20">
        <f>IF($C836="","",IF(Registro_Compras!$F$96="NOTA DE CREDITO","",IF(Registro_Compras!$F$96="RHE",ROUND(Registro_Compras!$L$96*Registro_Compras!$N$96,2),ROUND(Registro_Compras!$J$96*Registro_Compras!$N$96,2))))</f>
        <v/>
      </c>
      <c r="F836" s="20">
        <f>IF($C836="","",IF(Registro_Compras!$F$96="NOTA DE CREDITO",ROUND(ABS(Registro_Compras!$J$96*Registro_Compras!$N$96),2),""))</f>
        <v/>
      </c>
      <c r="G836">
        <f>IF($C836="","","Por el destino del gasto")</f>
        <v/>
      </c>
      <c r="H836">
        <f>IF($C836="","",Registro_Compras!$C$96)</f>
        <v/>
      </c>
    </row>
    <row r="837">
      <c r="A837" s="25">
        <f>IF($C837="","",Registro_Compras!$B$96)</f>
        <v/>
      </c>
      <c r="B837">
        <f>IF($C837="","","C"&amp;TEXT(INT((ROW()-5)/9)+1,"000")&amp;"-2")</f>
        <v/>
      </c>
      <c r="C837">
        <f>IF(OR(Registro_Compras!$C$96="",Registro_Compras!$O$96=""),"","79/791")</f>
        <v/>
      </c>
      <c r="D837">
        <f>IF(OR(Registro_Compras!$C$96="",Registro_Compras!$O$96=""),"","Cargas Imputables a Cuentas de Costos y Gastos")</f>
        <v/>
      </c>
      <c r="E837" s="20">
        <f>IF($C837="","",IF(Registro_Compras!$F$96="NOTA DE CREDITO",ROUND(ABS(Registro_Compras!$J$96*Registro_Compras!$N$96),2),""))</f>
        <v/>
      </c>
      <c r="F837" s="20">
        <f>IF($C837="","",IF(Registro_Compras!$F$96="NOTA DE CREDITO","",IF(Registro_Compras!$F$96="RHE",ROUND(Registro_Compras!$L$96*Registro_Compras!$N$96,2),ROUND(Registro_Compras!$J$96*Registro_Compras!$N$96,2))))</f>
        <v/>
      </c>
      <c r="G837">
        <f>IF($C837="","","Por el destino del gasto")</f>
        <v/>
      </c>
      <c r="H837">
        <f>IF($C837="","",Registro_Compras!$C$96)</f>
        <v/>
      </c>
    </row>
    <row r="838">
      <c r="A838" s="25">
        <f>IF($C838="","",Registro_Compras!$X$96)</f>
        <v/>
      </c>
      <c r="B838">
        <f>IF($C838="","","C"&amp;TEXT(INT((ROW()-5)/9)+1,"000")&amp;"-3")</f>
        <v/>
      </c>
      <c r="C838">
        <f>IF(OR(Registro_Compras!$C$96="",Registro_Compras!$O$96="",Registro_Compras!$R$96&lt;&gt;"SI",Registro_Compras!$X$96=""),"","4212")</f>
        <v/>
      </c>
      <c r="D838">
        <f>IF(OR(Registro_Compras!$C$96="",Registro_Compras!$O$96=""),"","Cuentas por Pagar Comerciales - Terceros")</f>
        <v/>
      </c>
      <c r="E838" s="20">
        <f>IF($C838="","",Registro_Compras!$S$96)</f>
        <v/>
      </c>
      <c r="F838" s="20">
        <f>""</f>
        <v/>
      </c>
      <c r="G838">
        <f>IF($C838="","","Por el deposito de la detraccion en el Banco de la Nacion")</f>
        <v/>
      </c>
      <c r="H838">
        <f>IF($C838="","",Registro_Compras!$C$96)</f>
        <v/>
      </c>
    </row>
    <row r="839">
      <c r="A839" s="25">
        <f>IF($C839="","",Registro_Compras!$X$96)</f>
        <v/>
      </c>
      <c r="B839">
        <f>IF($C839="","","C"&amp;TEXT(INT((ROW()-5)/9)+1,"000")&amp;"-3")</f>
        <v/>
      </c>
      <c r="C839">
        <f>IF(OR(Registro_Compras!$C$96="",Registro_Compras!$O$96="",Registro_Compras!$R$96&lt;&gt;"SI",Registro_Compras!$X$96=""),"","10413")</f>
        <v/>
      </c>
      <c r="D839">
        <f>IF(OR(Registro_Compras!$C$96="",Registro_Compras!$O$96=""),"","Efectivo y Equivalentes - Cta. Cte. Operativa")</f>
        <v/>
      </c>
      <c r="E839" s="20">
        <f>""</f>
        <v/>
      </c>
      <c r="F839" s="20">
        <f>IF($C839="","",Registro_Compras!$S$96)</f>
        <v/>
      </c>
      <c r="G839">
        <f>IF($C839="","","Por el deposito de la detraccion en el Banco de la Nacion")</f>
        <v/>
      </c>
      <c r="H839">
        <f>IF($C839="","",Registro_Compras!$C$96)</f>
        <v/>
      </c>
    </row>
    <row r="840">
      <c r="A840" s="25">
        <f>IF($C840="","",Registro_Compras!$Y$96)</f>
        <v/>
      </c>
      <c r="B840">
        <f>IF($C840="","","C"&amp;TEXT(INT((ROW()-5)/9)+1,"000")&amp;"-4")</f>
        <v/>
      </c>
      <c r="C840">
        <f>IF(OR(Registro_Compras!$C$96="",Registro_Compras!$O$96="",Registro_Compras!$Y$96="",Registro_Compras!$F$96="NOTA DE CREDITO"),"","4212")</f>
        <v/>
      </c>
      <c r="D840">
        <f>IF(OR(Registro_Compras!$C$96="",Registro_Compras!$O$96=""),"","Cuentas por Pagar Comerciales - Terceros")</f>
        <v/>
      </c>
      <c r="E840" s="20">
        <f>IF($C840="","",IF(Registro_Compras!$F$96="RHE",(ROUND(Registro_Compras!$L$96*Registro_Compras!$N$96,2)-ROUND(Registro_Compras!$V$96*Registro_Compras!$N$96,2)),ROUND(Registro_Compras!$O$96-Registro_Compras!$S$96,2)))</f>
        <v/>
      </c>
      <c r="F840" s="20">
        <f>""</f>
        <v/>
      </c>
      <c r="G840">
        <f>IF($C840="","","Por la cancelacion del saldo al proveedor")</f>
        <v/>
      </c>
      <c r="H840">
        <f>IF($C840="","",Registro_Compras!$C$96)</f>
        <v/>
      </c>
    </row>
    <row r="841">
      <c r="A841" s="25">
        <f>IF($C841="","",Registro_Compras!$Y$96)</f>
        <v/>
      </c>
      <c r="B841">
        <f>IF($C841="","","C"&amp;TEXT(INT((ROW()-5)/9)+1,"000")&amp;"-4")</f>
        <v/>
      </c>
      <c r="C841">
        <f>IF(OR(Registro_Compras!$C$96="",Registro_Compras!$O$96="",Registro_Compras!$Y$96="",Registro_Compras!$F$96="NOTA DE CREDITO"),"","10413")</f>
        <v/>
      </c>
      <c r="D841">
        <f>IF(OR(Registro_Compras!$C$96="",Registro_Compras!$O$96=""),"","Efectivo y Equivalentes - Cta. Cte. Operativa")</f>
        <v/>
      </c>
      <c r="E841" s="20">
        <f>""</f>
        <v/>
      </c>
      <c r="F841" s="20">
        <f>IF($C841="","",IF(Registro_Compras!$F$96="RHE",(ROUND(Registro_Compras!$L$96*Registro_Compras!$N$96,2)-ROUND(Registro_Compras!$V$96*Registro_Compras!$N$96,2)),ROUND(Registro_Compras!$O$96-Registro_Compras!$S$96,2)))</f>
        <v/>
      </c>
      <c r="G841">
        <f>IF($C841="","","Por la cancelacion del saldo al proveedor")</f>
        <v/>
      </c>
      <c r="H841">
        <f>IF($C841="","",Registro_Compras!$C$96)</f>
        <v/>
      </c>
    </row>
    <row r="842">
      <c r="A842" s="25">
        <f>IF($C842="","",Registro_Compras!$B$97)</f>
        <v/>
      </c>
      <c r="B842">
        <f>IF($C842="","","C"&amp;TEXT(INT((ROW()-5)/9)+1,"000")&amp;"-1")</f>
        <v/>
      </c>
      <c r="C842">
        <f>IF(OR(Registro_Compras!$C$97="",Registro_Compras!$O$97=""),"",IF(Registro_Compras!$F$97="NOTA DE CREDITO","4212",IF(Registro_Compras!$M$97="","63",Registro_Compras!$M$97)))</f>
        <v/>
      </c>
      <c r="D842">
        <f>IF(OR(Registro_Compras!$C$97="",Registro_Compras!$O$97=""),"",IF(Registro_Compras!$F$97="NOTA DE CREDITO","Cuentas por Pagar Comerciales - Terceros (Emitidas)",IF(Registro_Compras!$F$97="RHE","Honorarios Profesionales - Servicios de Terceros","Gastos de Servicios Prestados por Terceros")))</f>
        <v/>
      </c>
      <c r="E842" s="20">
        <f>IF($C842="","",IF(Registro_Compras!$F$97="NOTA DE CREDITO",ABS(Registro_Compras!$O$97),IF(Registro_Compras!$F$97="RHE",ROUND(Registro_Compras!$L$97*Registro_Compras!$N$97,2),ROUND(Registro_Compras!$J$97*Registro_Compras!$N$97,2))))</f>
        <v/>
      </c>
      <c r="F842" s="20">
        <f>""</f>
        <v/>
      </c>
      <c r="G842">
        <f>IF($C842="","",IF(Registro_Compras!$F$97="NOTA DE CREDITO","Por la nota de credito "&amp;Registro_Compras!$C$97&amp;" de "&amp;Registro_Compras!$E$97&amp;" [PATRON POR CONFIRMAR CON CONTADOR]",IF(Registro_Compras!$F$97="RHE","Por el registro del recibo por honorarios "&amp;Registro_Compras!$C$97&amp;" de "&amp;Registro_Compras!$E$97&amp;" [PATRON POR CONFIRMAR CON CONTADOR]","Por el registro de la factura "&amp;Registro_Compras!$C$97&amp;" de "&amp;Registro_Compras!$E$97)))</f>
        <v/>
      </c>
      <c r="H842">
        <f>IF($C842="","",Registro_Compras!$C$97)</f>
        <v/>
      </c>
    </row>
    <row r="843">
      <c r="A843" s="25">
        <f>IF($C843="","",Registro_Compras!$B$97)</f>
        <v/>
      </c>
      <c r="B843">
        <f>IF($C843="","","C"&amp;TEXT(INT((ROW()-5)/9)+1,"000")&amp;"-1")</f>
        <v/>
      </c>
      <c r="C843">
        <f>IF(OR(Registro_Compras!$C$97="",Registro_Compras!$O$97=""),"",IF(Registro_Compras!$F$97="RHE",IF(Registro_Compras!$V$97=0,"","40172"),IF(Registro_Compras!$F$97="NOTA DE CREDITO",IF(Registro_Compras!$M$97="","63",Registro_Compras!$M$97),IF(Registro_Compras!$K$97=0,"","40111"))))</f>
        <v/>
      </c>
      <c r="D843">
        <f>IF(OR(Registro_Compras!$C$97="",Registro_Compras!$O$97=""),"",IF(Registro_Compras!$F$97="RHE","Retencion Renta 4ta Categoria por Pagar",IF(Registro_Compras!$F$97="NOTA DE CREDITO","Gastos de Servicios Prestados por Terceros","IGV - Cuenta Propia (Credito Fiscal)")))</f>
        <v/>
      </c>
      <c r="E843" s="20">
        <f>IF($C843="","",IF(Registro_Compras!$F$97="FACTURA",ROUND(Registro_Compras!$K$97*Registro_Compras!$N$97,2),""))</f>
        <v/>
      </c>
      <c r="F843" s="20">
        <f>IF($C843="","",IF(Registro_Compras!$F$97="RHE",ROUND(Registro_Compras!$V$97*Registro_Compras!$N$97,2),IF(Registro_Compras!$F$97="NOTA DE CREDITO",ROUND(ABS(Registro_Compras!$J$97*Registro_Compras!$N$97),2),"")))</f>
        <v/>
      </c>
      <c r="G843">
        <f>IF($C843="","",IF(Registro_Compras!$F$97="NOTA DE CREDITO","Por la nota de credito "&amp;Registro_Compras!$C$97&amp;" de "&amp;Registro_Compras!$E$97&amp;" [PATRON POR CONFIRMAR CON CONTADOR]",IF(Registro_Compras!$F$97="RHE","Por el registro del recibo por honorarios "&amp;Registro_Compras!$C$97&amp;" de "&amp;Registro_Compras!$E$97&amp;" [PATRON POR CONFIRMAR CON CONTADOR]","Por el registro de la factura "&amp;Registro_Compras!$C$97&amp;" de "&amp;Registro_Compras!$E$97)))</f>
        <v/>
      </c>
      <c r="H843">
        <f>IF($C843="","",Registro_Compras!$C$97)</f>
        <v/>
      </c>
    </row>
    <row r="844">
      <c r="A844" s="25">
        <f>IF($C844="","",Registro_Compras!$B$97)</f>
        <v/>
      </c>
      <c r="B844">
        <f>IF($C844="","","C"&amp;TEXT(INT((ROW()-5)/9)+1,"000")&amp;"-1")</f>
        <v/>
      </c>
      <c r="C844">
        <f>IF(OR(Registro_Compras!$C$97="",Registro_Compras!$O$97=""),"",IF(Registro_Compras!$F$97="NOTA DE CREDITO",IF(Registro_Compras!$K$97=0,"","40111"),"4212"))</f>
        <v/>
      </c>
      <c r="D844">
        <f>IF(OR(Registro_Compras!$C$97="",Registro_Compras!$O$97=""),"",IF(Registro_Compras!$F$97="NOTA DE CREDITO","IGV - Cuenta Propia (Credito Fiscal)","Cuentas por Pagar Comerciales - Terceros (Emitidas)"))</f>
        <v/>
      </c>
      <c r="E844" s="20">
        <f>""</f>
        <v/>
      </c>
      <c r="F844" s="20">
        <f>IF($C844="","",IF(Registro_Compras!$F$97="NOTA DE CREDITO",ROUND(ABS(Registro_Compras!$K$97*Registro_Compras!$N$97),2),IF(Registro_Compras!$F$97="RHE",(ROUND(Registro_Compras!$L$97*Registro_Compras!$N$97,2)-ROUND(Registro_Compras!$V$97*Registro_Compras!$N$97,2)),Registro_Compras!$O$97)))</f>
        <v/>
      </c>
      <c r="G844">
        <f>IF($C844="","",IF(Registro_Compras!$F$97="NOTA DE CREDITO","Por la nota de credito "&amp;Registro_Compras!$C$97&amp;" de "&amp;Registro_Compras!$E$97&amp;" [PATRON POR CONFIRMAR CON CONTADOR]",IF(Registro_Compras!$F$97="RHE","Por el registro del recibo por honorarios "&amp;Registro_Compras!$C$97&amp;" de "&amp;Registro_Compras!$E$97&amp;" [PATRON POR CONFIRMAR CON CONTADOR]","Por el registro de la factura "&amp;Registro_Compras!$C$97&amp;" de "&amp;Registro_Compras!$E$97)))</f>
        <v/>
      </c>
      <c r="H844">
        <f>IF($C844="","",Registro_Compras!$C$97)</f>
        <v/>
      </c>
    </row>
    <row r="845">
      <c r="A845" s="25">
        <f>IF($C845="","",Registro_Compras!$B$97)</f>
        <v/>
      </c>
      <c r="B845">
        <f>IF($C845="","","C"&amp;TEXT(INT((ROW()-5)/9)+1,"000")&amp;"-2")</f>
        <v/>
      </c>
      <c r="C845">
        <f>IF(OR(Registro_Compras!$C$97="",Registro_Compras!$O$97=""),"",IF(Registro_Compras!$AB$97="ADMINISTRATIVO","94","95"))</f>
        <v/>
      </c>
      <c r="D845">
        <f>IF(OR(Registro_Compras!$C$97="",Registro_Compras!$O$97=""),"",IF(Registro_Compras!$AB$97="ADMINISTRATIVO","Gastos Administrativos","Gastos de Venta y Operacion"))</f>
        <v/>
      </c>
      <c r="E845" s="20">
        <f>IF($C845="","",IF(Registro_Compras!$F$97="NOTA DE CREDITO","",IF(Registro_Compras!$F$97="RHE",ROUND(Registro_Compras!$L$97*Registro_Compras!$N$97,2),ROUND(Registro_Compras!$J$97*Registro_Compras!$N$97,2))))</f>
        <v/>
      </c>
      <c r="F845" s="20">
        <f>IF($C845="","",IF(Registro_Compras!$F$97="NOTA DE CREDITO",ROUND(ABS(Registro_Compras!$J$97*Registro_Compras!$N$97),2),""))</f>
        <v/>
      </c>
      <c r="G845">
        <f>IF($C845="","","Por el destino del gasto")</f>
        <v/>
      </c>
      <c r="H845">
        <f>IF($C845="","",Registro_Compras!$C$97)</f>
        <v/>
      </c>
    </row>
    <row r="846">
      <c r="A846" s="25">
        <f>IF($C846="","",Registro_Compras!$B$97)</f>
        <v/>
      </c>
      <c r="B846">
        <f>IF($C846="","","C"&amp;TEXT(INT((ROW()-5)/9)+1,"000")&amp;"-2")</f>
        <v/>
      </c>
      <c r="C846">
        <f>IF(OR(Registro_Compras!$C$97="",Registro_Compras!$O$97=""),"","79/791")</f>
        <v/>
      </c>
      <c r="D846">
        <f>IF(OR(Registro_Compras!$C$97="",Registro_Compras!$O$97=""),"","Cargas Imputables a Cuentas de Costos y Gastos")</f>
        <v/>
      </c>
      <c r="E846" s="20">
        <f>IF($C846="","",IF(Registro_Compras!$F$97="NOTA DE CREDITO",ROUND(ABS(Registro_Compras!$J$97*Registro_Compras!$N$97),2),""))</f>
        <v/>
      </c>
      <c r="F846" s="20">
        <f>IF($C846="","",IF(Registro_Compras!$F$97="NOTA DE CREDITO","",IF(Registro_Compras!$F$97="RHE",ROUND(Registro_Compras!$L$97*Registro_Compras!$N$97,2),ROUND(Registro_Compras!$J$97*Registro_Compras!$N$97,2))))</f>
        <v/>
      </c>
      <c r="G846">
        <f>IF($C846="","","Por el destino del gasto")</f>
        <v/>
      </c>
      <c r="H846">
        <f>IF($C846="","",Registro_Compras!$C$97)</f>
        <v/>
      </c>
    </row>
    <row r="847">
      <c r="A847" s="25">
        <f>IF($C847="","",Registro_Compras!$X$97)</f>
        <v/>
      </c>
      <c r="B847">
        <f>IF($C847="","","C"&amp;TEXT(INT((ROW()-5)/9)+1,"000")&amp;"-3")</f>
        <v/>
      </c>
      <c r="C847">
        <f>IF(OR(Registro_Compras!$C$97="",Registro_Compras!$O$97="",Registro_Compras!$R$97&lt;&gt;"SI",Registro_Compras!$X$97=""),"","4212")</f>
        <v/>
      </c>
      <c r="D847">
        <f>IF(OR(Registro_Compras!$C$97="",Registro_Compras!$O$97=""),"","Cuentas por Pagar Comerciales - Terceros")</f>
        <v/>
      </c>
      <c r="E847" s="20">
        <f>IF($C847="","",Registro_Compras!$S$97)</f>
        <v/>
      </c>
      <c r="F847" s="20">
        <f>""</f>
        <v/>
      </c>
      <c r="G847">
        <f>IF($C847="","","Por el deposito de la detraccion en el Banco de la Nacion")</f>
        <v/>
      </c>
      <c r="H847">
        <f>IF($C847="","",Registro_Compras!$C$97)</f>
        <v/>
      </c>
    </row>
    <row r="848">
      <c r="A848" s="25">
        <f>IF($C848="","",Registro_Compras!$X$97)</f>
        <v/>
      </c>
      <c r="B848">
        <f>IF($C848="","","C"&amp;TEXT(INT((ROW()-5)/9)+1,"000")&amp;"-3")</f>
        <v/>
      </c>
      <c r="C848">
        <f>IF(OR(Registro_Compras!$C$97="",Registro_Compras!$O$97="",Registro_Compras!$R$97&lt;&gt;"SI",Registro_Compras!$X$97=""),"","10413")</f>
        <v/>
      </c>
      <c r="D848">
        <f>IF(OR(Registro_Compras!$C$97="",Registro_Compras!$O$97=""),"","Efectivo y Equivalentes - Cta. Cte. Operativa")</f>
        <v/>
      </c>
      <c r="E848" s="20">
        <f>""</f>
        <v/>
      </c>
      <c r="F848" s="20">
        <f>IF($C848="","",Registro_Compras!$S$97)</f>
        <v/>
      </c>
      <c r="G848">
        <f>IF($C848="","","Por el deposito de la detraccion en el Banco de la Nacion")</f>
        <v/>
      </c>
      <c r="H848">
        <f>IF($C848="","",Registro_Compras!$C$97)</f>
        <v/>
      </c>
    </row>
    <row r="849">
      <c r="A849" s="25">
        <f>IF($C849="","",Registro_Compras!$Y$97)</f>
        <v/>
      </c>
      <c r="B849">
        <f>IF($C849="","","C"&amp;TEXT(INT((ROW()-5)/9)+1,"000")&amp;"-4")</f>
        <v/>
      </c>
      <c r="C849">
        <f>IF(OR(Registro_Compras!$C$97="",Registro_Compras!$O$97="",Registro_Compras!$Y$97="",Registro_Compras!$F$97="NOTA DE CREDITO"),"","4212")</f>
        <v/>
      </c>
      <c r="D849">
        <f>IF(OR(Registro_Compras!$C$97="",Registro_Compras!$O$97=""),"","Cuentas por Pagar Comerciales - Terceros")</f>
        <v/>
      </c>
      <c r="E849" s="20">
        <f>IF($C849="","",IF(Registro_Compras!$F$97="RHE",(ROUND(Registro_Compras!$L$97*Registro_Compras!$N$97,2)-ROUND(Registro_Compras!$V$97*Registro_Compras!$N$97,2)),ROUND(Registro_Compras!$O$97-Registro_Compras!$S$97,2)))</f>
        <v/>
      </c>
      <c r="F849" s="20">
        <f>""</f>
        <v/>
      </c>
      <c r="G849">
        <f>IF($C849="","","Por la cancelacion del saldo al proveedor")</f>
        <v/>
      </c>
      <c r="H849">
        <f>IF($C849="","",Registro_Compras!$C$97)</f>
        <v/>
      </c>
    </row>
    <row r="850">
      <c r="A850" s="25">
        <f>IF($C850="","",Registro_Compras!$Y$97)</f>
        <v/>
      </c>
      <c r="B850">
        <f>IF($C850="","","C"&amp;TEXT(INT((ROW()-5)/9)+1,"000")&amp;"-4")</f>
        <v/>
      </c>
      <c r="C850">
        <f>IF(OR(Registro_Compras!$C$97="",Registro_Compras!$O$97="",Registro_Compras!$Y$97="",Registro_Compras!$F$97="NOTA DE CREDITO"),"","10413")</f>
        <v/>
      </c>
      <c r="D850">
        <f>IF(OR(Registro_Compras!$C$97="",Registro_Compras!$O$97=""),"","Efectivo y Equivalentes - Cta. Cte. Operativa")</f>
        <v/>
      </c>
      <c r="E850" s="20">
        <f>""</f>
        <v/>
      </c>
      <c r="F850" s="20">
        <f>IF($C850="","",IF(Registro_Compras!$F$97="RHE",(ROUND(Registro_Compras!$L$97*Registro_Compras!$N$97,2)-ROUND(Registro_Compras!$V$97*Registro_Compras!$N$97,2)),ROUND(Registro_Compras!$O$97-Registro_Compras!$S$97,2)))</f>
        <v/>
      </c>
      <c r="G850">
        <f>IF($C850="","","Por la cancelacion del saldo al proveedor")</f>
        <v/>
      </c>
      <c r="H850">
        <f>IF($C850="","",Registro_Compras!$C$97)</f>
        <v/>
      </c>
    </row>
    <row r="851">
      <c r="A851" s="25">
        <f>IF($C851="","",Registro_Compras!$B$98)</f>
        <v/>
      </c>
      <c r="B851">
        <f>IF($C851="","","C"&amp;TEXT(INT((ROW()-5)/9)+1,"000")&amp;"-1")</f>
        <v/>
      </c>
      <c r="C851">
        <f>IF(OR(Registro_Compras!$C$98="",Registro_Compras!$O$98=""),"",IF(Registro_Compras!$F$98="NOTA DE CREDITO","4212",IF(Registro_Compras!$M$98="","63",Registro_Compras!$M$98)))</f>
        <v/>
      </c>
      <c r="D851">
        <f>IF(OR(Registro_Compras!$C$98="",Registro_Compras!$O$98=""),"",IF(Registro_Compras!$F$98="NOTA DE CREDITO","Cuentas por Pagar Comerciales - Terceros (Emitidas)",IF(Registro_Compras!$F$98="RHE","Honorarios Profesionales - Servicios de Terceros","Gastos de Servicios Prestados por Terceros")))</f>
        <v/>
      </c>
      <c r="E851" s="20">
        <f>IF($C851="","",IF(Registro_Compras!$F$98="NOTA DE CREDITO",ABS(Registro_Compras!$O$98),IF(Registro_Compras!$F$98="RHE",ROUND(Registro_Compras!$L$98*Registro_Compras!$N$98,2),ROUND(Registro_Compras!$J$98*Registro_Compras!$N$98,2))))</f>
        <v/>
      </c>
      <c r="F851" s="20">
        <f>""</f>
        <v/>
      </c>
      <c r="G851">
        <f>IF($C851="","",IF(Registro_Compras!$F$98="NOTA DE CREDITO","Por la nota de credito "&amp;Registro_Compras!$C$98&amp;" de "&amp;Registro_Compras!$E$98&amp;" [PATRON POR CONFIRMAR CON CONTADOR]",IF(Registro_Compras!$F$98="RHE","Por el registro del recibo por honorarios "&amp;Registro_Compras!$C$98&amp;" de "&amp;Registro_Compras!$E$98&amp;" [PATRON POR CONFIRMAR CON CONTADOR]","Por el registro de la factura "&amp;Registro_Compras!$C$98&amp;" de "&amp;Registro_Compras!$E$98)))</f>
        <v/>
      </c>
      <c r="H851">
        <f>IF($C851="","",Registro_Compras!$C$98)</f>
        <v/>
      </c>
    </row>
    <row r="852">
      <c r="A852" s="25">
        <f>IF($C852="","",Registro_Compras!$B$98)</f>
        <v/>
      </c>
      <c r="B852">
        <f>IF($C852="","","C"&amp;TEXT(INT((ROW()-5)/9)+1,"000")&amp;"-1")</f>
        <v/>
      </c>
      <c r="C852">
        <f>IF(OR(Registro_Compras!$C$98="",Registro_Compras!$O$98=""),"",IF(Registro_Compras!$F$98="RHE",IF(Registro_Compras!$V$98=0,"","40172"),IF(Registro_Compras!$F$98="NOTA DE CREDITO",IF(Registro_Compras!$M$98="","63",Registro_Compras!$M$98),IF(Registro_Compras!$K$98=0,"","40111"))))</f>
        <v/>
      </c>
      <c r="D852">
        <f>IF(OR(Registro_Compras!$C$98="",Registro_Compras!$O$98=""),"",IF(Registro_Compras!$F$98="RHE","Retencion Renta 4ta Categoria por Pagar",IF(Registro_Compras!$F$98="NOTA DE CREDITO","Gastos de Servicios Prestados por Terceros","IGV - Cuenta Propia (Credito Fiscal)")))</f>
        <v/>
      </c>
      <c r="E852" s="20">
        <f>IF($C852="","",IF(Registro_Compras!$F$98="FACTURA",ROUND(Registro_Compras!$K$98*Registro_Compras!$N$98,2),""))</f>
        <v/>
      </c>
      <c r="F852" s="20">
        <f>IF($C852="","",IF(Registro_Compras!$F$98="RHE",ROUND(Registro_Compras!$V$98*Registro_Compras!$N$98,2),IF(Registro_Compras!$F$98="NOTA DE CREDITO",ROUND(ABS(Registro_Compras!$J$98*Registro_Compras!$N$98),2),"")))</f>
        <v/>
      </c>
      <c r="G852">
        <f>IF($C852="","",IF(Registro_Compras!$F$98="NOTA DE CREDITO","Por la nota de credito "&amp;Registro_Compras!$C$98&amp;" de "&amp;Registro_Compras!$E$98&amp;" [PATRON POR CONFIRMAR CON CONTADOR]",IF(Registro_Compras!$F$98="RHE","Por el registro del recibo por honorarios "&amp;Registro_Compras!$C$98&amp;" de "&amp;Registro_Compras!$E$98&amp;" [PATRON POR CONFIRMAR CON CONTADOR]","Por el registro de la factura "&amp;Registro_Compras!$C$98&amp;" de "&amp;Registro_Compras!$E$98)))</f>
        <v/>
      </c>
      <c r="H852">
        <f>IF($C852="","",Registro_Compras!$C$98)</f>
        <v/>
      </c>
    </row>
    <row r="853">
      <c r="A853" s="25">
        <f>IF($C853="","",Registro_Compras!$B$98)</f>
        <v/>
      </c>
      <c r="B853">
        <f>IF($C853="","","C"&amp;TEXT(INT((ROW()-5)/9)+1,"000")&amp;"-1")</f>
        <v/>
      </c>
      <c r="C853">
        <f>IF(OR(Registro_Compras!$C$98="",Registro_Compras!$O$98=""),"",IF(Registro_Compras!$F$98="NOTA DE CREDITO",IF(Registro_Compras!$K$98=0,"","40111"),"4212"))</f>
        <v/>
      </c>
      <c r="D853">
        <f>IF(OR(Registro_Compras!$C$98="",Registro_Compras!$O$98=""),"",IF(Registro_Compras!$F$98="NOTA DE CREDITO","IGV - Cuenta Propia (Credito Fiscal)","Cuentas por Pagar Comerciales - Terceros (Emitidas)"))</f>
        <v/>
      </c>
      <c r="E853" s="20">
        <f>""</f>
        <v/>
      </c>
      <c r="F853" s="20">
        <f>IF($C853="","",IF(Registro_Compras!$F$98="NOTA DE CREDITO",ROUND(ABS(Registro_Compras!$K$98*Registro_Compras!$N$98),2),IF(Registro_Compras!$F$98="RHE",(ROUND(Registro_Compras!$L$98*Registro_Compras!$N$98,2)-ROUND(Registro_Compras!$V$98*Registro_Compras!$N$98,2)),Registro_Compras!$O$98)))</f>
        <v/>
      </c>
      <c r="G853">
        <f>IF($C853="","",IF(Registro_Compras!$F$98="NOTA DE CREDITO","Por la nota de credito "&amp;Registro_Compras!$C$98&amp;" de "&amp;Registro_Compras!$E$98&amp;" [PATRON POR CONFIRMAR CON CONTADOR]",IF(Registro_Compras!$F$98="RHE","Por el registro del recibo por honorarios "&amp;Registro_Compras!$C$98&amp;" de "&amp;Registro_Compras!$E$98&amp;" [PATRON POR CONFIRMAR CON CONTADOR]","Por el registro de la factura "&amp;Registro_Compras!$C$98&amp;" de "&amp;Registro_Compras!$E$98)))</f>
        <v/>
      </c>
      <c r="H853">
        <f>IF($C853="","",Registro_Compras!$C$98)</f>
        <v/>
      </c>
    </row>
    <row r="854">
      <c r="A854" s="25">
        <f>IF($C854="","",Registro_Compras!$B$98)</f>
        <v/>
      </c>
      <c r="B854">
        <f>IF($C854="","","C"&amp;TEXT(INT((ROW()-5)/9)+1,"000")&amp;"-2")</f>
        <v/>
      </c>
      <c r="C854">
        <f>IF(OR(Registro_Compras!$C$98="",Registro_Compras!$O$98=""),"",IF(Registro_Compras!$AB$98="ADMINISTRATIVO","94","95"))</f>
        <v/>
      </c>
      <c r="D854">
        <f>IF(OR(Registro_Compras!$C$98="",Registro_Compras!$O$98=""),"",IF(Registro_Compras!$AB$98="ADMINISTRATIVO","Gastos Administrativos","Gastos de Venta y Operacion"))</f>
        <v/>
      </c>
      <c r="E854" s="20">
        <f>IF($C854="","",IF(Registro_Compras!$F$98="NOTA DE CREDITO","",IF(Registro_Compras!$F$98="RHE",ROUND(Registro_Compras!$L$98*Registro_Compras!$N$98,2),ROUND(Registro_Compras!$J$98*Registro_Compras!$N$98,2))))</f>
        <v/>
      </c>
      <c r="F854" s="20">
        <f>IF($C854="","",IF(Registro_Compras!$F$98="NOTA DE CREDITO",ROUND(ABS(Registro_Compras!$J$98*Registro_Compras!$N$98),2),""))</f>
        <v/>
      </c>
      <c r="G854">
        <f>IF($C854="","","Por el destino del gasto")</f>
        <v/>
      </c>
      <c r="H854">
        <f>IF($C854="","",Registro_Compras!$C$98)</f>
        <v/>
      </c>
    </row>
    <row r="855">
      <c r="A855" s="25">
        <f>IF($C855="","",Registro_Compras!$B$98)</f>
        <v/>
      </c>
      <c r="B855">
        <f>IF($C855="","","C"&amp;TEXT(INT((ROW()-5)/9)+1,"000")&amp;"-2")</f>
        <v/>
      </c>
      <c r="C855">
        <f>IF(OR(Registro_Compras!$C$98="",Registro_Compras!$O$98=""),"","79/791")</f>
        <v/>
      </c>
      <c r="D855">
        <f>IF(OR(Registro_Compras!$C$98="",Registro_Compras!$O$98=""),"","Cargas Imputables a Cuentas de Costos y Gastos")</f>
        <v/>
      </c>
      <c r="E855" s="20">
        <f>IF($C855="","",IF(Registro_Compras!$F$98="NOTA DE CREDITO",ROUND(ABS(Registro_Compras!$J$98*Registro_Compras!$N$98),2),""))</f>
        <v/>
      </c>
      <c r="F855" s="20">
        <f>IF($C855="","",IF(Registro_Compras!$F$98="NOTA DE CREDITO","",IF(Registro_Compras!$F$98="RHE",ROUND(Registro_Compras!$L$98*Registro_Compras!$N$98,2),ROUND(Registro_Compras!$J$98*Registro_Compras!$N$98,2))))</f>
        <v/>
      </c>
      <c r="G855">
        <f>IF($C855="","","Por el destino del gasto")</f>
        <v/>
      </c>
      <c r="H855">
        <f>IF($C855="","",Registro_Compras!$C$98)</f>
        <v/>
      </c>
    </row>
    <row r="856">
      <c r="A856" s="25">
        <f>IF($C856="","",Registro_Compras!$X$98)</f>
        <v/>
      </c>
      <c r="B856">
        <f>IF($C856="","","C"&amp;TEXT(INT((ROW()-5)/9)+1,"000")&amp;"-3")</f>
        <v/>
      </c>
      <c r="C856">
        <f>IF(OR(Registro_Compras!$C$98="",Registro_Compras!$O$98="",Registro_Compras!$R$98&lt;&gt;"SI",Registro_Compras!$X$98=""),"","4212")</f>
        <v/>
      </c>
      <c r="D856">
        <f>IF(OR(Registro_Compras!$C$98="",Registro_Compras!$O$98=""),"","Cuentas por Pagar Comerciales - Terceros")</f>
        <v/>
      </c>
      <c r="E856" s="20">
        <f>IF($C856="","",Registro_Compras!$S$98)</f>
        <v/>
      </c>
      <c r="F856" s="20">
        <f>""</f>
        <v/>
      </c>
      <c r="G856">
        <f>IF($C856="","","Por el deposito de la detraccion en el Banco de la Nacion")</f>
        <v/>
      </c>
      <c r="H856">
        <f>IF($C856="","",Registro_Compras!$C$98)</f>
        <v/>
      </c>
    </row>
    <row r="857">
      <c r="A857" s="25">
        <f>IF($C857="","",Registro_Compras!$X$98)</f>
        <v/>
      </c>
      <c r="B857">
        <f>IF($C857="","","C"&amp;TEXT(INT((ROW()-5)/9)+1,"000")&amp;"-3")</f>
        <v/>
      </c>
      <c r="C857">
        <f>IF(OR(Registro_Compras!$C$98="",Registro_Compras!$O$98="",Registro_Compras!$R$98&lt;&gt;"SI",Registro_Compras!$X$98=""),"","10413")</f>
        <v/>
      </c>
      <c r="D857">
        <f>IF(OR(Registro_Compras!$C$98="",Registro_Compras!$O$98=""),"","Efectivo y Equivalentes - Cta. Cte. Operativa")</f>
        <v/>
      </c>
      <c r="E857" s="20">
        <f>""</f>
        <v/>
      </c>
      <c r="F857" s="20">
        <f>IF($C857="","",Registro_Compras!$S$98)</f>
        <v/>
      </c>
      <c r="G857">
        <f>IF($C857="","","Por el deposito de la detraccion en el Banco de la Nacion")</f>
        <v/>
      </c>
      <c r="H857">
        <f>IF($C857="","",Registro_Compras!$C$98)</f>
        <v/>
      </c>
    </row>
    <row r="858">
      <c r="A858" s="25">
        <f>IF($C858="","",Registro_Compras!$Y$98)</f>
        <v/>
      </c>
      <c r="B858">
        <f>IF($C858="","","C"&amp;TEXT(INT((ROW()-5)/9)+1,"000")&amp;"-4")</f>
        <v/>
      </c>
      <c r="C858">
        <f>IF(OR(Registro_Compras!$C$98="",Registro_Compras!$O$98="",Registro_Compras!$Y$98="",Registro_Compras!$F$98="NOTA DE CREDITO"),"","4212")</f>
        <v/>
      </c>
      <c r="D858">
        <f>IF(OR(Registro_Compras!$C$98="",Registro_Compras!$O$98=""),"","Cuentas por Pagar Comerciales - Terceros")</f>
        <v/>
      </c>
      <c r="E858" s="20">
        <f>IF($C858="","",IF(Registro_Compras!$F$98="RHE",(ROUND(Registro_Compras!$L$98*Registro_Compras!$N$98,2)-ROUND(Registro_Compras!$V$98*Registro_Compras!$N$98,2)),ROUND(Registro_Compras!$O$98-Registro_Compras!$S$98,2)))</f>
        <v/>
      </c>
      <c r="F858" s="20">
        <f>""</f>
        <v/>
      </c>
      <c r="G858">
        <f>IF($C858="","","Por la cancelacion del saldo al proveedor")</f>
        <v/>
      </c>
      <c r="H858">
        <f>IF($C858="","",Registro_Compras!$C$98)</f>
        <v/>
      </c>
    </row>
    <row r="859">
      <c r="A859" s="25">
        <f>IF($C859="","",Registro_Compras!$Y$98)</f>
        <v/>
      </c>
      <c r="B859">
        <f>IF($C859="","","C"&amp;TEXT(INT((ROW()-5)/9)+1,"000")&amp;"-4")</f>
        <v/>
      </c>
      <c r="C859">
        <f>IF(OR(Registro_Compras!$C$98="",Registro_Compras!$O$98="",Registro_Compras!$Y$98="",Registro_Compras!$F$98="NOTA DE CREDITO"),"","10413")</f>
        <v/>
      </c>
      <c r="D859">
        <f>IF(OR(Registro_Compras!$C$98="",Registro_Compras!$O$98=""),"","Efectivo y Equivalentes - Cta. Cte. Operativa")</f>
        <v/>
      </c>
      <c r="E859" s="20">
        <f>""</f>
        <v/>
      </c>
      <c r="F859" s="20">
        <f>IF($C859="","",IF(Registro_Compras!$F$98="RHE",(ROUND(Registro_Compras!$L$98*Registro_Compras!$N$98,2)-ROUND(Registro_Compras!$V$98*Registro_Compras!$N$98,2)),ROUND(Registro_Compras!$O$98-Registro_Compras!$S$98,2)))</f>
        <v/>
      </c>
      <c r="G859">
        <f>IF($C859="","","Por la cancelacion del saldo al proveedor")</f>
        <v/>
      </c>
      <c r="H859">
        <f>IF($C859="","",Registro_Compras!$C$98)</f>
        <v/>
      </c>
    </row>
    <row r="860">
      <c r="A860" s="25">
        <f>IF($C860="","",Registro_Compras!$B$99)</f>
        <v/>
      </c>
      <c r="B860">
        <f>IF($C860="","","C"&amp;TEXT(INT((ROW()-5)/9)+1,"000")&amp;"-1")</f>
        <v/>
      </c>
      <c r="C860">
        <f>IF(OR(Registro_Compras!$C$99="",Registro_Compras!$O$99=""),"",IF(Registro_Compras!$F$99="NOTA DE CREDITO","4212",IF(Registro_Compras!$M$99="","63",Registro_Compras!$M$99)))</f>
        <v/>
      </c>
      <c r="D860">
        <f>IF(OR(Registro_Compras!$C$99="",Registro_Compras!$O$99=""),"",IF(Registro_Compras!$F$99="NOTA DE CREDITO","Cuentas por Pagar Comerciales - Terceros (Emitidas)",IF(Registro_Compras!$F$99="RHE","Honorarios Profesionales - Servicios de Terceros","Gastos de Servicios Prestados por Terceros")))</f>
        <v/>
      </c>
      <c r="E860" s="20">
        <f>IF($C860="","",IF(Registro_Compras!$F$99="NOTA DE CREDITO",ABS(Registro_Compras!$O$99),IF(Registro_Compras!$F$99="RHE",ROUND(Registro_Compras!$L$99*Registro_Compras!$N$99,2),ROUND(Registro_Compras!$J$99*Registro_Compras!$N$99,2))))</f>
        <v/>
      </c>
      <c r="F860" s="20">
        <f>""</f>
        <v/>
      </c>
      <c r="G860">
        <f>IF($C860="","",IF(Registro_Compras!$F$99="NOTA DE CREDITO","Por la nota de credito "&amp;Registro_Compras!$C$99&amp;" de "&amp;Registro_Compras!$E$99&amp;" [PATRON POR CONFIRMAR CON CONTADOR]",IF(Registro_Compras!$F$99="RHE","Por el registro del recibo por honorarios "&amp;Registro_Compras!$C$99&amp;" de "&amp;Registro_Compras!$E$99&amp;" [PATRON POR CONFIRMAR CON CONTADOR]","Por el registro de la factura "&amp;Registro_Compras!$C$99&amp;" de "&amp;Registro_Compras!$E$99)))</f>
        <v/>
      </c>
      <c r="H860">
        <f>IF($C860="","",Registro_Compras!$C$99)</f>
        <v/>
      </c>
    </row>
    <row r="861">
      <c r="A861" s="25">
        <f>IF($C861="","",Registro_Compras!$B$99)</f>
        <v/>
      </c>
      <c r="B861">
        <f>IF($C861="","","C"&amp;TEXT(INT((ROW()-5)/9)+1,"000")&amp;"-1")</f>
        <v/>
      </c>
      <c r="C861">
        <f>IF(OR(Registro_Compras!$C$99="",Registro_Compras!$O$99=""),"",IF(Registro_Compras!$F$99="RHE",IF(Registro_Compras!$V$99=0,"","40172"),IF(Registro_Compras!$F$99="NOTA DE CREDITO",IF(Registro_Compras!$M$99="","63",Registro_Compras!$M$99),IF(Registro_Compras!$K$99=0,"","40111"))))</f>
        <v/>
      </c>
      <c r="D861">
        <f>IF(OR(Registro_Compras!$C$99="",Registro_Compras!$O$99=""),"",IF(Registro_Compras!$F$99="RHE","Retencion Renta 4ta Categoria por Pagar",IF(Registro_Compras!$F$99="NOTA DE CREDITO","Gastos de Servicios Prestados por Terceros","IGV - Cuenta Propia (Credito Fiscal)")))</f>
        <v/>
      </c>
      <c r="E861" s="20">
        <f>IF($C861="","",IF(Registro_Compras!$F$99="FACTURA",ROUND(Registro_Compras!$K$99*Registro_Compras!$N$99,2),""))</f>
        <v/>
      </c>
      <c r="F861" s="20">
        <f>IF($C861="","",IF(Registro_Compras!$F$99="RHE",ROUND(Registro_Compras!$V$99*Registro_Compras!$N$99,2),IF(Registro_Compras!$F$99="NOTA DE CREDITO",ROUND(ABS(Registro_Compras!$J$99*Registro_Compras!$N$99),2),"")))</f>
        <v/>
      </c>
      <c r="G861">
        <f>IF($C861="","",IF(Registro_Compras!$F$99="NOTA DE CREDITO","Por la nota de credito "&amp;Registro_Compras!$C$99&amp;" de "&amp;Registro_Compras!$E$99&amp;" [PATRON POR CONFIRMAR CON CONTADOR]",IF(Registro_Compras!$F$99="RHE","Por el registro del recibo por honorarios "&amp;Registro_Compras!$C$99&amp;" de "&amp;Registro_Compras!$E$99&amp;" [PATRON POR CONFIRMAR CON CONTADOR]","Por el registro de la factura "&amp;Registro_Compras!$C$99&amp;" de "&amp;Registro_Compras!$E$99)))</f>
        <v/>
      </c>
      <c r="H861">
        <f>IF($C861="","",Registro_Compras!$C$99)</f>
        <v/>
      </c>
    </row>
    <row r="862">
      <c r="A862" s="25">
        <f>IF($C862="","",Registro_Compras!$B$99)</f>
        <v/>
      </c>
      <c r="B862">
        <f>IF($C862="","","C"&amp;TEXT(INT((ROW()-5)/9)+1,"000")&amp;"-1")</f>
        <v/>
      </c>
      <c r="C862">
        <f>IF(OR(Registro_Compras!$C$99="",Registro_Compras!$O$99=""),"",IF(Registro_Compras!$F$99="NOTA DE CREDITO",IF(Registro_Compras!$K$99=0,"","40111"),"4212"))</f>
        <v/>
      </c>
      <c r="D862">
        <f>IF(OR(Registro_Compras!$C$99="",Registro_Compras!$O$99=""),"",IF(Registro_Compras!$F$99="NOTA DE CREDITO","IGV - Cuenta Propia (Credito Fiscal)","Cuentas por Pagar Comerciales - Terceros (Emitidas)"))</f>
        <v/>
      </c>
      <c r="E862" s="20">
        <f>""</f>
        <v/>
      </c>
      <c r="F862" s="20">
        <f>IF($C862="","",IF(Registro_Compras!$F$99="NOTA DE CREDITO",ROUND(ABS(Registro_Compras!$K$99*Registro_Compras!$N$99),2),IF(Registro_Compras!$F$99="RHE",(ROUND(Registro_Compras!$L$99*Registro_Compras!$N$99,2)-ROUND(Registro_Compras!$V$99*Registro_Compras!$N$99,2)),Registro_Compras!$O$99)))</f>
        <v/>
      </c>
      <c r="G862">
        <f>IF($C862="","",IF(Registro_Compras!$F$99="NOTA DE CREDITO","Por la nota de credito "&amp;Registro_Compras!$C$99&amp;" de "&amp;Registro_Compras!$E$99&amp;" [PATRON POR CONFIRMAR CON CONTADOR]",IF(Registro_Compras!$F$99="RHE","Por el registro del recibo por honorarios "&amp;Registro_Compras!$C$99&amp;" de "&amp;Registro_Compras!$E$99&amp;" [PATRON POR CONFIRMAR CON CONTADOR]","Por el registro de la factura "&amp;Registro_Compras!$C$99&amp;" de "&amp;Registro_Compras!$E$99)))</f>
        <v/>
      </c>
      <c r="H862">
        <f>IF($C862="","",Registro_Compras!$C$99)</f>
        <v/>
      </c>
    </row>
    <row r="863">
      <c r="A863" s="25">
        <f>IF($C863="","",Registro_Compras!$B$99)</f>
        <v/>
      </c>
      <c r="B863">
        <f>IF($C863="","","C"&amp;TEXT(INT((ROW()-5)/9)+1,"000")&amp;"-2")</f>
        <v/>
      </c>
      <c r="C863">
        <f>IF(OR(Registro_Compras!$C$99="",Registro_Compras!$O$99=""),"",IF(Registro_Compras!$AB$99="ADMINISTRATIVO","94","95"))</f>
        <v/>
      </c>
      <c r="D863">
        <f>IF(OR(Registro_Compras!$C$99="",Registro_Compras!$O$99=""),"",IF(Registro_Compras!$AB$99="ADMINISTRATIVO","Gastos Administrativos","Gastos de Venta y Operacion"))</f>
        <v/>
      </c>
      <c r="E863" s="20">
        <f>IF($C863="","",IF(Registro_Compras!$F$99="NOTA DE CREDITO","",IF(Registro_Compras!$F$99="RHE",ROUND(Registro_Compras!$L$99*Registro_Compras!$N$99,2),ROUND(Registro_Compras!$J$99*Registro_Compras!$N$99,2))))</f>
        <v/>
      </c>
      <c r="F863" s="20">
        <f>IF($C863="","",IF(Registro_Compras!$F$99="NOTA DE CREDITO",ROUND(ABS(Registro_Compras!$J$99*Registro_Compras!$N$99),2),""))</f>
        <v/>
      </c>
      <c r="G863">
        <f>IF($C863="","","Por el destino del gasto")</f>
        <v/>
      </c>
      <c r="H863">
        <f>IF($C863="","",Registro_Compras!$C$99)</f>
        <v/>
      </c>
    </row>
    <row r="864">
      <c r="A864" s="25">
        <f>IF($C864="","",Registro_Compras!$B$99)</f>
        <v/>
      </c>
      <c r="B864">
        <f>IF($C864="","","C"&amp;TEXT(INT((ROW()-5)/9)+1,"000")&amp;"-2")</f>
        <v/>
      </c>
      <c r="C864">
        <f>IF(OR(Registro_Compras!$C$99="",Registro_Compras!$O$99=""),"","79/791")</f>
        <v/>
      </c>
      <c r="D864">
        <f>IF(OR(Registro_Compras!$C$99="",Registro_Compras!$O$99=""),"","Cargas Imputables a Cuentas de Costos y Gastos")</f>
        <v/>
      </c>
      <c r="E864" s="20">
        <f>IF($C864="","",IF(Registro_Compras!$F$99="NOTA DE CREDITO",ROUND(ABS(Registro_Compras!$J$99*Registro_Compras!$N$99),2),""))</f>
        <v/>
      </c>
      <c r="F864" s="20">
        <f>IF($C864="","",IF(Registro_Compras!$F$99="NOTA DE CREDITO","",IF(Registro_Compras!$F$99="RHE",ROUND(Registro_Compras!$L$99*Registro_Compras!$N$99,2),ROUND(Registro_Compras!$J$99*Registro_Compras!$N$99,2))))</f>
        <v/>
      </c>
      <c r="G864">
        <f>IF($C864="","","Por el destino del gasto")</f>
        <v/>
      </c>
      <c r="H864">
        <f>IF($C864="","",Registro_Compras!$C$99)</f>
        <v/>
      </c>
    </row>
    <row r="865">
      <c r="A865" s="25">
        <f>IF($C865="","",Registro_Compras!$X$99)</f>
        <v/>
      </c>
      <c r="B865">
        <f>IF($C865="","","C"&amp;TEXT(INT((ROW()-5)/9)+1,"000")&amp;"-3")</f>
        <v/>
      </c>
      <c r="C865">
        <f>IF(OR(Registro_Compras!$C$99="",Registro_Compras!$O$99="",Registro_Compras!$R$99&lt;&gt;"SI",Registro_Compras!$X$99=""),"","4212")</f>
        <v/>
      </c>
      <c r="D865">
        <f>IF(OR(Registro_Compras!$C$99="",Registro_Compras!$O$99=""),"","Cuentas por Pagar Comerciales - Terceros")</f>
        <v/>
      </c>
      <c r="E865" s="20">
        <f>IF($C865="","",Registro_Compras!$S$99)</f>
        <v/>
      </c>
      <c r="F865" s="20">
        <f>""</f>
        <v/>
      </c>
      <c r="G865">
        <f>IF($C865="","","Por el deposito de la detraccion en el Banco de la Nacion")</f>
        <v/>
      </c>
      <c r="H865">
        <f>IF($C865="","",Registro_Compras!$C$99)</f>
        <v/>
      </c>
    </row>
    <row r="866">
      <c r="A866" s="25">
        <f>IF($C866="","",Registro_Compras!$X$99)</f>
        <v/>
      </c>
      <c r="B866">
        <f>IF($C866="","","C"&amp;TEXT(INT((ROW()-5)/9)+1,"000")&amp;"-3")</f>
        <v/>
      </c>
      <c r="C866">
        <f>IF(OR(Registro_Compras!$C$99="",Registro_Compras!$O$99="",Registro_Compras!$R$99&lt;&gt;"SI",Registro_Compras!$X$99=""),"","10413")</f>
        <v/>
      </c>
      <c r="D866">
        <f>IF(OR(Registro_Compras!$C$99="",Registro_Compras!$O$99=""),"","Efectivo y Equivalentes - Cta. Cte. Operativa")</f>
        <v/>
      </c>
      <c r="E866" s="20">
        <f>""</f>
        <v/>
      </c>
      <c r="F866" s="20">
        <f>IF($C866="","",Registro_Compras!$S$99)</f>
        <v/>
      </c>
      <c r="G866">
        <f>IF($C866="","","Por el deposito de la detraccion en el Banco de la Nacion")</f>
        <v/>
      </c>
      <c r="H866">
        <f>IF($C866="","",Registro_Compras!$C$99)</f>
        <v/>
      </c>
    </row>
    <row r="867">
      <c r="A867" s="25">
        <f>IF($C867="","",Registro_Compras!$Y$99)</f>
        <v/>
      </c>
      <c r="B867">
        <f>IF($C867="","","C"&amp;TEXT(INT((ROW()-5)/9)+1,"000")&amp;"-4")</f>
        <v/>
      </c>
      <c r="C867">
        <f>IF(OR(Registro_Compras!$C$99="",Registro_Compras!$O$99="",Registro_Compras!$Y$99="",Registro_Compras!$F$99="NOTA DE CREDITO"),"","4212")</f>
        <v/>
      </c>
      <c r="D867">
        <f>IF(OR(Registro_Compras!$C$99="",Registro_Compras!$O$99=""),"","Cuentas por Pagar Comerciales - Terceros")</f>
        <v/>
      </c>
      <c r="E867" s="20">
        <f>IF($C867="","",IF(Registro_Compras!$F$99="RHE",(ROUND(Registro_Compras!$L$99*Registro_Compras!$N$99,2)-ROUND(Registro_Compras!$V$99*Registro_Compras!$N$99,2)),ROUND(Registro_Compras!$O$99-Registro_Compras!$S$99,2)))</f>
        <v/>
      </c>
      <c r="F867" s="20">
        <f>""</f>
        <v/>
      </c>
      <c r="G867">
        <f>IF($C867="","","Por la cancelacion del saldo al proveedor")</f>
        <v/>
      </c>
      <c r="H867">
        <f>IF($C867="","",Registro_Compras!$C$99)</f>
        <v/>
      </c>
    </row>
    <row r="868">
      <c r="A868" s="25">
        <f>IF($C868="","",Registro_Compras!$Y$99)</f>
        <v/>
      </c>
      <c r="B868">
        <f>IF($C868="","","C"&amp;TEXT(INT((ROW()-5)/9)+1,"000")&amp;"-4")</f>
        <v/>
      </c>
      <c r="C868">
        <f>IF(OR(Registro_Compras!$C$99="",Registro_Compras!$O$99="",Registro_Compras!$Y$99="",Registro_Compras!$F$99="NOTA DE CREDITO"),"","10413")</f>
        <v/>
      </c>
      <c r="D868">
        <f>IF(OR(Registro_Compras!$C$99="",Registro_Compras!$O$99=""),"","Efectivo y Equivalentes - Cta. Cte. Operativa")</f>
        <v/>
      </c>
      <c r="E868" s="20">
        <f>""</f>
        <v/>
      </c>
      <c r="F868" s="20">
        <f>IF($C868="","",IF(Registro_Compras!$F$99="RHE",(ROUND(Registro_Compras!$L$99*Registro_Compras!$N$99,2)-ROUND(Registro_Compras!$V$99*Registro_Compras!$N$99,2)),ROUND(Registro_Compras!$O$99-Registro_Compras!$S$99,2)))</f>
        <v/>
      </c>
      <c r="G868">
        <f>IF($C868="","","Por la cancelacion del saldo al proveedor")</f>
        <v/>
      </c>
      <c r="H868">
        <f>IF($C868="","",Registro_Compras!$C$99)</f>
        <v/>
      </c>
    </row>
    <row r="869">
      <c r="A869" s="25">
        <f>IF($C869="","",Registro_Compras!$B$100)</f>
        <v/>
      </c>
      <c r="B869">
        <f>IF($C869="","","C"&amp;TEXT(INT((ROW()-5)/9)+1,"000")&amp;"-1")</f>
        <v/>
      </c>
      <c r="C869">
        <f>IF(OR(Registro_Compras!$C$100="",Registro_Compras!$O$100=""),"",IF(Registro_Compras!$F$100="NOTA DE CREDITO","4212",IF(Registro_Compras!$M$100="","63",Registro_Compras!$M$100)))</f>
        <v/>
      </c>
      <c r="D869">
        <f>IF(OR(Registro_Compras!$C$100="",Registro_Compras!$O$100=""),"",IF(Registro_Compras!$F$100="NOTA DE CREDITO","Cuentas por Pagar Comerciales - Terceros (Emitidas)",IF(Registro_Compras!$F$100="RHE","Honorarios Profesionales - Servicios de Terceros","Gastos de Servicios Prestados por Terceros")))</f>
        <v/>
      </c>
      <c r="E869" s="20">
        <f>IF($C869="","",IF(Registro_Compras!$F$100="NOTA DE CREDITO",ABS(Registro_Compras!$O$100),IF(Registro_Compras!$F$100="RHE",ROUND(Registro_Compras!$L$100*Registro_Compras!$N$100,2),ROUND(Registro_Compras!$J$100*Registro_Compras!$N$100,2))))</f>
        <v/>
      </c>
      <c r="F869" s="20">
        <f>""</f>
        <v/>
      </c>
      <c r="G869">
        <f>IF($C869="","",IF(Registro_Compras!$F$100="NOTA DE CREDITO","Por la nota de credito "&amp;Registro_Compras!$C$100&amp;" de "&amp;Registro_Compras!$E$100&amp;" [PATRON POR CONFIRMAR CON CONTADOR]",IF(Registro_Compras!$F$100="RHE","Por el registro del recibo por honorarios "&amp;Registro_Compras!$C$100&amp;" de "&amp;Registro_Compras!$E$100&amp;" [PATRON POR CONFIRMAR CON CONTADOR]","Por el registro de la factura "&amp;Registro_Compras!$C$100&amp;" de "&amp;Registro_Compras!$E$100)))</f>
        <v/>
      </c>
      <c r="H869">
        <f>IF($C869="","",Registro_Compras!$C$100)</f>
        <v/>
      </c>
    </row>
    <row r="870">
      <c r="A870" s="25">
        <f>IF($C870="","",Registro_Compras!$B$100)</f>
        <v/>
      </c>
      <c r="B870">
        <f>IF($C870="","","C"&amp;TEXT(INT((ROW()-5)/9)+1,"000")&amp;"-1")</f>
        <v/>
      </c>
      <c r="C870">
        <f>IF(OR(Registro_Compras!$C$100="",Registro_Compras!$O$100=""),"",IF(Registro_Compras!$F$100="RHE",IF(Registro_Compras!$V$100=0,"","40172"),IF(Registro_Compras!$F$100="NOTA DE CREDITO",IF(Registro_Compras!$M$100="","63",Registro_Compras!$M$100),IF(Registro_Compras!$K$100=0,"","40111"))))</f>
        <v/>
      </c>
      <c r="D870">
        <f>IF(OR(Registro_Compras!$C$100="",Registro_Compras!$O$100=""),"",IF(Registro_Compras!$F$100="RHE","Retencion Renta 4ta Categoria por Pagar",IF(Registro_Compras!$F$100="NOTA DE CREDITO","Gastos de Servicios Prestados por Terceros","IGV - Cuenta Propia (Credito Fiscal)")))</f>
        <v/>
      </c>
      <c r="E870" s="20">
        <f>IF($C870="","",IF(Registro_Compras!$F$100="FACTURA",ROUND(Registro_Compras!$K$100*Registro_Compras!$N$100,2),""))</f>
        <v/>
      </c>
      <c r="F870" s="20">
        <f>IF($C870="","",IF(Registro_Compras!$F$100="RHE",ROUND(Registro_Compras!$V$100*Registro_Compras!$N$100,2),IF(Registro_Compras!$F$100="NOTA DE CREDITO",ROUND(ABS(Registro_Compras!$J$100*Registro_Compras!$N$100),2),"")))</f>
        <v/>
      </c>
      <c r="G870">
        <f>IF($C870="","",IF(Registro_Compras!$F$100="NOTA DE CREDITO","Por la nota de credito "&amp;Registro_Compras!$C$100&amp;" de "&amp;Registro_Compras!$E$100&amp;" [PATRON POR CONFIRMAR CON CONTADOR]",IF(Registro_Compras!$F$100="RHE","Por el registro del recibo por honorarios "&amp;Registro_Compras!$C$100&amp;" de "&amp;Registro_Compras!$E$100&amp;" [PATRON POR CONFIRMAR CON CONTADOR]","Por el registro de la factura "&amp;Registro_Compras!$C$100&amp;" de "&amp;Registro_Compras!$E$100)))</f>
        <v/>
      </c>
      <c r="H870">
        <f>IF($C870="","",Registro_Compras!$C$100)</f>
        <v/>
      </c>
    </row>
    <row r="871">
      <c r="A871" s="25">
        <f>IF($C871="","",Registro_Compras!$B$100)</f>
        <v/>
      </c>
      <c r="B871">
        <f>IF($C871="","","C"&amp;TEXT(INT((ROW()-5)/9)+1,"000")&amp;"-1")</f>
        <v/>
      </c>
      <c r="C871">
        <f>IF(OR(Registro_Compras!$C$100="",Registro_Compras!$O$100=""),"",IF(Registro_Compras!$F$100="NOTA DE CREDITO",IF(Registro_Compras!$K$100=0,"","40111"),"4212"))</f>
        <v/>
      </c>
      <c r="D871">
        <f>IF(OR(Registro_Compras!$C$100="",Registro_Compras!$O$100=""),"",IF(Registro_Compras!$F$100="NOTA DE CREDITO","IGV - Cuenta Propia (Credito Fiscal)","Cuentas por Pagar Comerciales - Terceros (Emitidas)"))</f>
        <v/>
      </c>
      <c r="E871" s="20">
        <f>""</f>
        <v/>
      </c>
      <c r="F871" s="20">
        <f>IF($C871="","",IF(Registro_Compras!$F$100="NOTA DE CREDITO",ROUND(ABS(Registro_Compras!$K$100*Registro_Compras!$N$100),2),IF(Registro_Compras!$F$100="RHE",(ROUND(Registro_Compras!$L$100*Registro_Compras!$N$100,2)-ROUND(Registro_Compras!$V$100*Registro_Compras!$N$100,2)),Registro_Compras!$O$100)))</f>
        <v/>
      </c>
      <c r="G871">
        <f>IF($C871="","",IF(Registro_Compras!$F$100="NOTA DE CREDITO","Por la nota de credito "&amp;Registro_Compras!$C$100&amp;" de "&amp;Registro_Compras!$E$100&amp;" [PATRON POR CONFIRMAR CON CONTADOR]",IF(Registro_Compras!$F$100="RHE","Por el registro del recibo por honorarios "&amp;Registro_Compras!$C$100&amp;" de "&amp;Registro_Compras!$E$100&amp;" [PATRON POR CONFIRMAR CON CONTADOR]","Por el registro de la factura "&amp;Registro_Compras!$C$100&amp;" de "&amp;Registro_Compras!$E$100)))</f>
        <v/>
      </c>
      <c r="H871">
        <f>IF($C871="","",Registro_Compras!$C$100)</f>
        <v/>
      </c>
    </row>
    <row r="872">
      <c r="A872" s="25">
        <f>IF($C872="","",Registro_Compras!$B$100)</f>
        <v/>
      </c>
      <c r="B872">
        <f>IF($C872="","","C"&amp;TEXT(INT((ROW()-5)/9)+1,"000")&amp;"-2")</f>
        <v/>
      </c>
      <c r="C872">
        <f>IF(OR(Registro_Compras!$C$100="",Registro_Compras!$O$100=""),"",IF(Registro_Compras!$AB$100="ADMINISTRATIVO","94","95"))</f>
        <v/>
      </c>
      <c r="D872">
        <f>IF(OR(Registro_Compras!$C$100="",Registro_Compras!$O$100=""),"",IF(Registro_Compras!$AB$100="ADMINISTRATIVO","Gastos Administrativos","Gastos de Venta y Operacion"))</f>
        <v/>
      </c>
      <c r="E872" s="20">
        <f>IF($C872="","",IF(Registro_Compras!$F$100="NOTA DE CREDITO","",IF(Registro_Compras!$F$100="RHE",ROUND(Registro_Compras!$L$100*Registro_Compras!$N$100,2),ROUND(Registro_Compras!$J$100*Registro_Compras!$N$100,2))))</f>
        <v/>
      </c>
      <c r="F872" s="20">
        <f>IF($C872="","",IF(Registro_Compras!$F$100="NOTA DE CREDITO",ROUND(ABS(Registro_Compras!$J$100*Registro_Compras!$N$100),2),""))</f>
        <v/>
      </c>
      <c r="G872">
        <f>IF($C872="","","Por el destino del gasto")</f>
        <v/>
      </c>
      <c r="H872">
        <f>IF($C872="","",Registro_Compras!$C$100)</f>
        <v/>
      </c>
    </row>
    <row r="873">
      <c r="A873" s="25">
        <f>IF($C873="","",Registro_Compras!$B$100)</f>
        <v/>
      </c>
      <c r="B873">
        <f>IF($C873="","","C"&amp;TEXT(INT((ROW()-5)/9)+1,"000")&amp;"-2")</f>
        <v/>
      </c>
      <c r="C873">
        <f>IF(OR(Registro_Compras!$C$100="",Registro_Compras!$O$100=""),"","79/791")</f>
        <v/>
      </c>
      <c r="D873">
        <f>IF(OR(Registro_Compras!$C$100="",Registro_Compras!$O$100=""),"","Cargas Imputables a Cuentas de Costos y Gastos")</f>
        <v/>
      </c>
      <c r="E873" s="20">
        <f>IF($C873="","",IF(Registro_Compras!$F$100="NOTA DE CREDITO",ROUND(ABS(Registro_Compras!$J$100*Registro_Compras!$N$100),2),""))</f>
        <v/>
      </c>
      <c r="F873" s="20">
        <f>IF($C873="","",IF(Registro_Compras!$F$100="NOTA DE CREDITO","",IF(Registro_Compras!$F$100="RHE",ROUND(Registro_Compras!$L$100*Registro_Compras!$N$100,2),ROUND(Registro_Compras!$J$100*Registro_Compras!$N$100,2))))</f>
        <v/>
      </c>
      <c r="G873">
        <f>IF($C873="","","Por el destino del gasto")</f>
        <v/>
      </c>
      <c r="H873">
        <f>IF($C873="","",Registro_Compras!$C$100)</f>
        <v/>
      </c>
    </row>
    <row r="874">
      <c r="A874" s="25">
        <f>IF($C874="","",Registro_Compras!$X$100)</f>
        <v/>
      </c>
      <c r="B874">
        <f>IF($C874="","","C"&amp;TEXT(INT((ROW()-5)/9)+1,"000")&amp;"-3")</f>
        <v/>
      </c>
      <c r="C874">
        <f>IF(OR(Registro_Compras!$C$100="",Registro_Compras!$O$100="",Registro_Compras!$R$100&lt;&gt;"SI",Registro_Compras!$X$100=""),"","4212")</f>
        <v/>
      </c>
      <c r="D874">
        <f>IF(OR(Registro_Compras!$C$100="",Registro_Compras!$O$100=""),"","Cuentas por Pagar Comerciales - Terceros")</f>
        <v/>
      </c>
      <c r="E874" s="20">
        <f>IF($C874="","",Registro_Compras!$S$100)</f>
        <v/>
      </c>
      <c r="F874" s="20">
        <f>""</f>
        <v/>
      </c>
      <c r="G874">
        <f>IF($C874="","","Por el deposito de la detraccion en el Banco de la Nacion")</f>
        <v/>
      </c>
      <c r="H874">
        <f>IF($C874="","",Registro_Compras!$C$100)</f>
        <v/>
      </c>
    </row>
    <row r="875">
      <c r="A875" s="25">
        <f>IF($C875="","",Registro_Compras!$X$100)</f>
        <v/>
      </c>
      <c r="B875">
        <f>IF($C875="","","C"&amp;TEXT(INT((ROW()-5)/9)+1,"000")&amp;"-3")</f>
        <v/>
      </c>
      <c r="C875">
        <f>IF(OR(Registro_Compras!$C$100="",Registro_Compras!$O$100="",Registro_Compras!$R$100&lt;&gt;"SI",Registro_Compras!$X$100=""),"","10413")</f>
        <v/>
      </c>
      <c r="D875">
        <f>IF(OR(Registro_Compras!$C$100="",Registro_Compras!$O$100=""),"","Efectivo y Equivalentes - Cta. Cte. Operativa")</f>
        <v/>
      </c>
      <c r="E875" s="20">
        <f>""</f>
        <v/>
      </c>
      <c r="F875" s="20">
        <f>IF($C875="","",Registro_Compras!$S$100)</f>
        <v/>
      </c>
      <c r="G875">
        <f>IF($C875="","","Por el deposito de la detraccion en el Banco de la Nacion")</f>
        <v/>
      </c>
      <c r="H875">
        <f>IF($C875="","",Registro_Compras!$C$100)</f>
        <v/>
      </c>
    </row>
    <row r="876">
      <c r="A876" s="25">
        <f>IF($C876="","",Registro_Compras!$Y$100)</f>
        <v/>
      </c>
      <c r="B876">
        <f>IF($C876="","","C"&amp;TEXT(INT((ROW()-5)/9)+1,"000")&amp;"-4")</f>
        <v/>
      </c>
      <c r="C876">
        <f>IF(OR(Registro_Compras!$C$100="",Registro_Compras!$O$100="",Registro_Compras!$Y$100="",Registro_Compras!$F$100="NOTA DE CREDITO"),"","4212")</f>
        <v/>
      </c>
      <c r="D876">
        <f>IF(OR(Registro_Compras!$C$100="",Registro_Compras!$O$100=""),"","Cuentas por Pagar Comerciales - Terceros")</f>
        <v/>
      </c>
      <c r="E876" s="20">
        <f>IF($C876="","",IF(Registro_Compras!$F$100="RHE",(ROUND(Registro_Compras!$L$100*Registro_Compras!$N$100,2)-ROUND(Registro_Compras!$V$100*Registro_Compras!$N$100,2)),ROUND(Registro_Compras!$O$100-Registro_Compras!$S$100,2)))</f>
        <v/>
      </c>
      <c r="F876" s="20">
        <f>""</f>
        <v/>
      </c>
      <c r="G876">
        <f>IF($C876="","","Por la cancelacion del saldo al proveedor")</f>
        <v/>
      </c>
      <c r="H876">
        <f>IF($C876="","",Registro_Compras!$C$100)</f>
        <v/>
      </c>
    </row>
    <row r="877">
      <c r="A877" s="25">
        <f>IF($C877="","",Registro_Compras!$Y$100)</f>
        <v/>
      </c>
      <c r="B877">
        <f>IF($C877="","","C"&amp;TEXT(INT((ROW()-5)/9)+1,"000")&amp;"-4")</f>
        <v/>
      </c>
      <c r="C877">
        <f>IF(OR(Registro_Compras!$C$100="",Registro_Compras!$O$100="",Registro_Compras!$Y$100="",Registro_Compras!$F$100="NOTA DE CREDITO"),"","10413")</f>
        <v/>
      </c>
      <c r="D877">
        <f>IF(OR(Registro_Compras!$C$100="",Registro_Compras!$O$100=""),"","Efectivo y Equivalentes - Cta. Cte. Operativa")</f>
        <v/>
      </c>
      <c r="E877" s="20">
        <f>""</f>
        <v/>
      </c>
      <c r="F877" s="20">
        <f>IF($C877="","",IF(Registro_Compras!$F$100="RHE",(ROUND(Registro_Compras!$L$100*Registro_Compras!$N$100,2)-ROUND(Registro_Compras!$V$100*Registro_Compras!$N$100,2)),ROUND(Registro_Compras!$O$100-Registro_Compras!$S$100,2)))</f>
        <v/>
      </c>
      <c r="G877">
        <f>IF($C877="","","Por la cancelacion del saldo al proveedor")</f>
        <v/>
      </c>
      <c r="H877">
        <f>IF($C877="","",Registro_Compras!$C$100)</f>
        <v/>
      </c>
    </row>
    <row r="878">
      <c r="A878" s="25">
        <f>IF($C878="","",Registro_Compras!$B$101)</f>
        <v/>
      </c>
      <c r="B878">
        <f>IF($C878="","","C"&amp;TEXT(INT((ROW()-5)/9)+1,"000")&amp;"-1")</f>
        <v/>
      </c>
      <c r="C878">
        <f>IF(OR(Registro_Compras!$C$101="",Registro_Compras!$O$101=""),"",IF(Registro_Compras!$F$101="NOTA DE CREDITO","4212",IF(Registro_Compras!$M$101="","63",Registro_Compras!$M$101)))</f>
        <v/>
      </c>
      <c r="D878">
        <f>IF(OR(Registro_Compras!$C$101="",Registro_Compras!$O$101=""),"",IF(Registro_Compras!$F$101="NOTA DE CREDITO","Cuentas por Pagar Comerciales - Terceros (Emitidas)",IF(Registro_Compras!$F$101="RHE","Honorarios Profesionales - Servicios de Terceros","Gastos de Servicios Prestados por Terceros")))</f>
        <v/>
      </c>
      <c r="E878" s="20">
        <f>IF($C878="","",IF(Registro_Compras!$F$101="NOTA DE CREDITO",ABS(Registro_Compras!$O$101),IF(Registro_Compras!$F$101="RHE",ROUND(Registro_Compras!$L$101*Registro_Compras!$N$101,2),ROUND(Registro_Compras!$J$101*Registro_Compras!$N$101,2))))</f>
        <v/>
      </c>
      <c r="F878" s="20">
        <f>""</f>
        <v/>
      </c>
      <c r="G878">
        <f>IF($C878="","",IF(Registro_Compras!$F$101="NOTA DE CREDITO","Por la nota de credito "&amp;Registro_Compras!$C$101&amp;" de "&amp;Registro_Compras!$E$101&amp;" [PATRON POR CONFIRMAR CON CONTADOR]",IF(Registro_Compras!$F$101="RHE","Por el registro del recibo por honorarios "&amp;Registro_Compras!$C$101&amp;" de "&amp;Registro_Compras!$E$101&amp;" [PATRON POR CONFIRMAR CON CONTADOR]","Por el registro de la factura "&amp;Registro_Compras!$C$101&amp;" de "&amp;Registro_Compras!$E$101)))</f>
        <v/>
      </c>
      <c r="H878">
        <f>IF($C878="","",Registro_Compras!$C$101)</f>
        <v/>
      </c>
    </row>
    <row r="879">
      <c r="A879" s="25">
        <f>IF($C879="","",Registro_Compras!$B$101)</f>
        <v/>
      </c>
      <c r="B879">
        <f>IF($C879="","","C"&amp;TEXT(INT((ROW()-5)/9)+1,"000")&amp;"-1")</f>
        <v/>
      </c>
      <c r="C879">
        <f>IF(OR(Registro_Compras!$C$101="",Registro_Compras!$O$101=""),"",IF(Registro_Compras!$F$101="RHE",IF(Registro_Compras!$V$101=0,"","40172"),IF(Registro_Compras!$F$101="NOTA DE CREDITO",IF(Registro_Compras!$M$101="","63",Registro_Compras!$M$101),IF(Registro_Compras!$K$101=0,"","40111"))))</f>
        <v/>
      </c>
      <c r="D879">
        <f>IF(OR(Registro_Compras!$C$101="",Registro_Compras!$O$101=""),"",IF(Registro_Compras!$F$101="RHE","Retencion Renta 4ta Categoria por Pagar",IF(Registro_Compras!$F$101="NOTA DE CREDITO","Gastos de Servicios Prestados por Terceros","IGV - Cuenta Propia (Credito Fiscal)")))</f>
        <v/>
      </c>
      <c r="E879" s="20">
        <f>IF($C879="","",IF(Registro_Compras!$F$101="FACTURA",ROUND(Registro_Compras!$K$101*Registro_Compras!$N$101,2),""))</f>
        <v/>
      </c>
      <c r="F879" s="20">
        <f>IF($C879="","",IF(Registro_Compras!$F$101="RHE",ROUND(Registro_Compras!$V$101*Registro_Compras!$N$101,2),IF(Registro_Compras!$F$101="NOTA DE CREDITO",ROUND(ABS(Registro_Compras!$J$101*Registro_Compras!$N$101),2),"")))</f>
        <v/>
      </c>
      <c r="G879">
        <f>IF($C879="","",IF(Registro_Compras!$F$101="NOTA DE CREDITO","Por la nota de credito "&amp;Registro_Compras!$C$101&amp;" de "&amp;Registro_Compras!$E$101&amp;" [PATRON POR CONFIRMAR CON CONTADOR]",IF(Registro_Compras!$F$101="RHE","Por el registro del recibo por honorarios "&amp;Registro_Compras!$C$101&amp;" de "&amp;Registro_Compras!$E$101&amp;" [PATRON POR CONFIRMAR CON CONTADOR]","Por el registro de la factura "&amp;Registro_Compras!$C$101&amp;" de "&amp;Registro_Compras!$E$101)))</f>
        <v/>
      </c>
      <c r="H879">
        <f>IF($C879="","",Registro_Compras!$C$101)</f>
        <v/>
      </c>
    </row>
    <row r="880">
      <c r="A880" s="25">
        <f>IF($C880="","",Registro_Compras!$B$101)</f>
        <v/>
      </c>
      <c r="B880">
        <f>IF($C880="","","C"&amp;TEXT(INT((ROW()-5)/9)+1,"000")&amp;"-1")</f>
        <v/>
      </c>
      <c r="C880">
        <f>IF(OR(Registro_Compras!$C$101="",Registro_Compras!$O$101=""),"",IF(Registro_Compras!$F$101="NOTA DE CREDITO",IF(Registro_Compras!$K$101=0,"","40111"),"4212"))</f>
        <v/>
      </c>
      <c r="D880">
        <f>IF(OR(Registro_Compras!$C$101="",Registro_Compras!$O$101=""),"",IF(Registro_Compras!$F$101="NOTA DE CREDITO","IGV - Cuenta Propia (Credito Fiscal)","Cuentas por Pagar Comerciales - Terceros (Emitidas)"))</f>
        <v/>
      </c>
      <c r="E880" s="20">
        <f>""</f>
        <v/>
      </c>
      <c r="F880" s="20">
        <f>IF($C880="","",IF(Registro_Compras!$F$101="NOTA DE CREDITO",ROUND(ABS(Registro_Compras!$K$101*Registro_Compras!$N$101),2),IF(Registro_Compras!$F$101="RHE",(ROUND(Registro_Compras!$L$101*Registro_Compras!$N$101,2)-ROUND(Registro_Compras!$V$101*Registro_Compras!$N$101,2)),Registro_Compras!$O$101)))</f>
        <v/>
      </c>
      <c r="G880">
        <f>IF($C880="","",IF(Registro_Compras!$F$101="NOTA DE CREDITO","Por la nota de credito "&amp;Registro_Compras!$C$101&amp;" de "&amp;Registro_Compras!$E$101&amp;" [PATRON POR CONFIRMAR CON CONTADOR]",IF(Registro_Compras!$F$101="RHE","Por el registro del recibo por honorarios "&amp;Registro_Compras!$C$101&amp;" de "&amp;Registro_Compras!$E$101&amp;" [PATRON POR CONFIRMAR CON CONTADOR]","Por el registro de la factura "&amp;Registro_Compras!$C$101&amp;" de "&amp;Registro_Compras!$E$101)))</f>
        <v/>
      </c>
      <c r="H880">
        <f>IF($C880="","",Registro_Compras!$C$101)</f>
        <v/>
      </c>
    </row>
    <row r="881">
      <c r="A881" s="25">
        <f>IF($C881="","",Registro_Compras!$B$101)</f>
        <v/>
      </c>
      <c r="B881">
        <f>IF($C881="","","C"&amp;TEXT(INT((ROW()-5)/9)+1,"000")&amp;"-2")</f>
        <v/>
      </c>
      <c r="C881">
        <f>IF(OR(Registro_Compras!$C$101="",Registro_Compras!$O$101=""),"",IF(Registro_Compras!$AB$101="ADMINISTRATIVO","94","95"))</f>
        <v/>
      </c>
      <c r="D881">
        <f>IF(OR(Registro_Compras!$C$101="",Registro_Compras!$O$101=""),"",IF(Registro_Compras!$AB$101="ADMINISTRATIVO","Gastos Administrativos","Gastos de Venta y Operacion"))</f>
        <v/>
      </c>
      <c r="E881" s="20">
        <f>IF($C881="","",IF(Registro_Compras!$F$101="NOTA DE CREDITO","",IF(Registro_Compras!$F$101="RHE",ROUND(Registro_Compras!$L$101*Registro_Compras!$N$101,2),ROUND(Registro_Compras!$J$101*Registro_Compras!$N$101,2))))</f>
        <v/>
      </c>
      <c r="F881" s="20">
        <f>IF($C881="","",IF(Registro_Compras!$F$101="NOTA DE CREDITO",ROUND(ABS(Registro_Compras!$J$101*Registro_Compras!$N$101),2),""))</f>
        <v/>
      </c>
      <c r="G881">
        <f>IF($C881="","","Por el destino del gasto")</f>
        <v/>
      </c>
      <c r="H881">
        <f>IF($C881="","",Registro_Compras!$C$101)</f>
        <v/>
      </c>
    </row>
    <row r="882">
      <c r="A882" s="25">
        <f>IF($C882="","",Registro_Compras!$B$101)</f>
        <v/>
      </c>
      <c r="B882">
        <f>IF($C882="","","C"&amp;TEXT(INT((ROW()-5)/9)+1,"000")&amp;"-2")</f>
        <v/>
      </c>
      <c r="C882">
        <f>IF(OR(Registro_Compras!$C$101="",Registro_Compras!$O$101=""),"","79/791")</f>
        <v/>
      </c>
      <c r="D882">
        <f>IF(OR(Registro_Compras!$C$101="",Registro_Compras!$O$101=""),"","Cargas Imputables a Cuentas de Costos y Gastos")</f>
        <v/>
      </c>
      <c r="E882" s="20">
        <f>IF($C882="","",IF(Registro_Compras!$F$101="NOTA DE CREDITO",ROUND(ABS(Registro_Compras!$J$101*Registro_Compras!$N$101),2),""))</f>
        <v/>
      </c>
      <c r="F882" s="20">
        <f>IF($C882="","",IF(Registro_Compras!$F$101="NOTA DE CREDITO","",IF(Registro_Compras!$F$101="RHE",ROUND(Registro_Compras!$L$101*Registro_Compras!$N$101,2),ROUND(Registro_Compras!$J$101*Registro_Compras!$N$101,2))))</f>
        <v/>
      </c>
      <c r="G882">
        <f>IF($C882="","","Por el destino del gasto")</f>
        <v/>
      </c>
      <c r="H882">
        <f>IF($C882="","",Registro_Compras!$C$101)</f>
        <v/>
      </c>
    </row>
    <row r="883">
      <c r="A883" s="25">
        <f>IF($C883="","",Registro_Compras!$X$101)</f>
        <v/>
      </c>
      <c r="B883">
        <f>IF($C883="","","C"&amp;TEXT(INT((ROW()-5)/9)+1,"000")&amp;"-3")</f>
        <v/>
      </c>
      <c r="C883">
        <f>IF(OR(Registro_Compras!$C$101="",Registro_Compras!$O$101="",Registro_Compras!$R$101&lt;&gt;"SI",Registro_Compras!$X$101=""),"","4212")</f>
        <v/>
      </c>
      <c r="D883">
        <f>IF(OR(Registro_Compras!$C$101="",Registro_Compras!$O$101=""),"","Cuentas por Pagar Comerciales - Terceros")</f>
        <v/>
      </c>
      <c r="E883" s="20">
        <f>IF($C883="","",Registro_Compras!$S$101)</f>
        <v/>
      </c>
      <c r="F883" s="20">
        <f>""</f>
        <v/>
      </c>
      <c r="G883">
        <f>IF($C883="","","Por el deposito de la detraccion en el Banco de la Nacion")</f>
        <v/>
      </c>
      <c r="H883">
        <f>IF($C883="","",Registro_Compras!$C$101)</f>
        <v/>
      </c>
    </row>
    <row r="884">
      <c r="A884" s="25">
        <f>IF($C884="","",Registro_Compras!$X$101)</f>
        <v/>
      </c>
      <c r="B884">
        <f>IF($C884="","","C"&amp;TEXT(INT((ROW()-5)/9)+1,"000")&amp;"-3")</f>
        <v/>
      </c>
      <c r="C884">
        <f>IF(OR(Registro_Compras!$C$101="",Registro_Compras!$O$101="",Registro_Compras!$R$101&lt;&gt;"SI",Registro_Compras!$X$101=""),"","10413")</f>
        <v/>
      </c>
      <c r="D884">
        <f>IF(OR(Registro_Compras!$C$101="",Registro_Compras!$O$101=""),"","Efectivo y Equivalentes - Cta. Cte. Operativa")</f>
        <v/>
      </c>
      <c r="E884" s="20">
        <f>""</f>
        <v/>
      </c>
      <c r="F884" s="20">
        <f>IF($C884="","",Registro_Compras!$S$101)</f>
        <v/>
      </c>
      <c r="G884">
        <f>IF($C884="","","Por el deposito de la detraccion en el Banco de la Nacion")</f>
        <v/>
      </c>
      <c r="H884">
        <f>IF($C884="","",Registro_Compras!$C$101)</f>
        <v/>
      </c>
    </row>
    <row r="885">
      <c r="A885" s="25">
        <f>IF($C885="","",Registro_Compras!$Y$101)</f>
        <v/>
      </c>
      <c r="B885">
        <f>IF($C885="","","C"&amp;TEXT(INT((ROW()-5)/9)+1,"000")&amp;"-4")</f>
        <v/>
      </c>
      <c r="C885">
        <f>IF(OR(Registro_Compras!$C$101="",Registro_Compras!$O$101="",Registro_Compras!$Y$101="",Registro_Compras!$F$101="NOTA DE CREDITO"),"","4212")</f>
        <v/>
      </c>
      <c r="D885">
        <f>IF(OR(Registro_Compras!$C$101="",Registro_Compras!$O$101=""),"","Cuentas por Pagar Comerciales - Terceros")</f>
        <v/>
      </c>
      <c r="E885" s="20">
        <f>IF($C885="","",IF(Registro_Compras!$F$101="RHE",(ROUND(Registro_Compras!$L$101*Registro_Compras!$N$101,2)-ROUND(Registro_Compras!$V$101*Registro_Compras!$N$101,2)),ROUND(Registro_Compras!$O$101-Registro_Compras!$S$101,2)))</f>
        <v/>
      </c>
      <c r="F885" s="20">
        <f>""</f>
        <v/>
      </c>
      <c r="G885">
        <f>IF($C885="","","Por la cancelacion del saldo al proveedor")</f>
        <v/>
      </c>
      <c r="H885">
        <f>IF($C885="","",Registro_Compras!$C$101)</f>
        <v/>
      </c>
    </row>
    <row r="886">
      <c r="A886" s="25">
        <f>IF($C886="","",Registro_Compras!$Y$101)</f>
        <v/>
      </c>
      <c r="B886">
        <f>IF($C886="","","C"&amp;TEXT(INT((ROW()-5)/9)+1,"000")&amp;"-4")</f>
        <v/>
      </c>
      <c r="C886">
        <f>IF(OR(Registro_Compras!$C$101="",Registro_Compras!$O$101="",Registro_Compras!$Y$101="",Registro_Compras!$F$101="NOTA DE CREDITO"),"","10413")</f>
        <v/>
      </c>
      <c r="D886">
        <f>IF(OR(Registro_Compras!$C$101="",Registro_Compras!$O$101=""),"","Efectivo y Equivalentes - Cta. Cte. Operativa")</f>
        <v/>
      </c>
      <c r="E886" s="20">
        <f>""</f>
        <v/>
      </c>
      <c r="F886" s="20">
        <f>IF($C886="","",IF(Registro_Compras!$F$101="RHE",(ROUND(Registro_Compras!$L$101*Registro_Compras!$N$101,2)-ROUND(Registro_Compras!$V$101*Registro_Compras!$N$101,2)),ROUND(Registro_Compras!$O$101-Registro_Compras!$S$101,2)))</f>
        <v/>
      </c>
      <c r="G886">
        <f>IF($C886="","","Por la cancelacion del saldo al proveedor")</f>
        <v/>
      </c>
      <c r="H886">
        <f>IF($C886="","",Registro_Compras!$C$101)</f>
        <v/>
      </c>
    </row>
    <row r="887">
      <c r="A887" s="25">
        <f>IF($C887="","",Registro_Compras!$B$102)</f>
        <v/>
      </c>
      <c r="B887">
        <f>IF($C887="","","C"&amp;TEXT(INT((ROW()-5)/9)+1,"000")&amp;"-1")</f>
        <v/>
      </c>
      <c r="C887">
        <f>IF(OR(Registro_Compras!$C$102="",Registro_Compras!$O$102=""),"",IF(Registro_Compras!$F$102="NOTA DE CREDITO","4212",IF(Registro_Compras!$M$102="","63",Registro_Compras!$M$102)))</f>
        <v/>
      </c>
      <c r="D887">
        <f>IF(OR(Registro_Compras!$C$102="",Registro_Compras!$O$102=""),"",IF(Registro_Compras!$F$102="NOTA DE CREDITO","Cuentas por Pagar Comerciales - Terceros (Emitidas)",IF(Registro_Compras!$F$102="RHE","Honorarios Profesionales - Servicios de Terceros","Gastos de Servicios Prestados por Terceros")))</f>
        <v/>
      </c>
      <c r="E887" s="20">
        <f>IF($C887="","",IF(Registro_Compras!$F$102="NOTA DE CREDITO",ABS(Registro_Compras!$O$102),IF(Registro_Compras!$F$102="RHE",ROUND(Registro_Compras!$L$102*Registro_Compras!$N$102,2),ROUND(Registro_Compras!$J$102*Registro_Compras!$N$102,2))))</f>
        <v/>
      </c>
      <c r="F887" s="20">
        <f>""</f>
        <v/>
      </c>
      <c r="G887">
        <f>IF($C887="","",IF(Registro_Compras!$F$102="NOTA DE CREDITO","Por la nota de credito "&amp;Registro_Compras!$C$102&amp;" de "&amp;Registro_Compras!$E$102&amp;" [PATRON POR CONFIRMAR CON CONTADOR]",IF(Registro_Compras!$F$102="RHE","Por el registro del recibo por honorarios "&amp;Registro_Compras!$C$102&amp;" de "&amp;Registro_Compras!$E$102&amp;" [PATRON POR CONFIRMAR CON CONTADOR]","Por el registro de la factura "&amp;Registro_Compras!$C$102&amp;" de "&amp;Registro_Compras!$E$102)))</f>
        <v/>
      </c>
      <c r="H887">
        <f>IF($C887="","",Registro_Compras!$C$102)</f>
        <v/>
      </c>
    </row>
    <row r="888">
      <c r="A888" s="25">
        <f>IF($C888="","",Registro_Compras!$B$102)</f>
        <v/>
      </c>
      <c r="B888">
        <f>IF($C888="","","C"&amp;TEXT(INT((ROW()-5)/9)+1,"000")&amp;"-1")</f>
        <v/>
      </c>
      <c r="C888">
        <f>IF(OR(Registro_Compras!$C$102="",Registro_Compras!$O$102=""),"",IF(Registro_Compras!$F$102="RHE",IF(Registro_Compras!$V$102=0,"","40172"),IF(Registro_Compras!$F$102="NOTA DE CREDITO",IF(Registro_Compras!$M$102="","63",Registro_Compras!$M$102),IF(Registro_Compras!$K$102=0,"","40111"))))</f>
        <v/>
      </c>
      <c r="D888">
        <f>IF(OR(Registro_Compras!$C$102="",Registro_Compras!$O$102=""),"",IF(Registro_Compras!$F$102="RHE","Retencion Renta 4ta Categoria por Pagar",IF(Registro_Compras!$F$102="NOTA DE CREDITO","Gastos de Servicios Prestados por Terceros","IGV - Cuenta Propia (Credito Fiscal)")))</f>
        <v/>
      </c>
      <c r="E888" s="20">
        <f>IF($C888="","",IF(Registro_Compras!$F$102="FACTURA",ROUND(Registro_Compras!$K$102*Registro_Compras!$N$102,2),""))</f>
        <v/>
      </c>
      <c r="F888" s="20">
        <f>IF($C888="","",IF(Registro_Compras!$F$102="RHE",ROUND(Registro_Compras!$V$102*Registro_Compras!$N$102,2),IF(Registro_Compras!$F$102="NOTA DE CREDITO",ROUND(ABS(Registro_Compras!$J$102*Registro_Compras!$N$102),2),"")))</f>
        <v/>
      </c>
      <c r="G888">
        <f>IF($C888="","",IF(Registro_Compras!$F$102="NOTA DE CREDITO","Por la nota de credito "&amp;Registro_Compras!$C$102&amp;" de "&amp;Registro_Compras!$E$102&amp;" [PATRON POR CONFIRMAR CON CONTADOR]",IF(Registro_Compras!$F$102="RHE","Por el registro del recibo por honorarios "&amp;Registro_Compras!$C$102&amp;" de "&amp;Registro_Compras!$E$102&amp;" [PATRON POR CONFIRMAR CON CONTADOR]","Por el registro de la factura "&amp;Registro_Compras!$C$102&amp;" de "&amp;Registro_Compras!$E$102)))</f>
        <v/>
      </c>
      <c r="H888">
        <f>IF($C888="","",Registro_Compras!$C$102)</f>
        <v/>
      </c>
    </row>
    <row r="889">
      <c r="A889" s="25">
        <f>IF($C889="","",Registro_Compras!$B$102)</f>
        <v/>
      </c>
      <c r="B889">
        <f>IF($C889="","","C"&amp;TEXT(INT((ROW()-5)/9)+1,"000")&amp;"-1")</f>
        <v/>
      </c>
      <c r="C889">
        <f>IF(OR(Registro_Compras!$C$102="",Registro_Compras!$O$102=""),"",IF(Registro_Compras!$F$102="NOTA DE CREDITO",IF(Registro_Compras!$K$102=0,"","40111"),"4212"))</f>
        <v/>
      </c>
      <c r="D889">
        <f>IF(OR(Registro_Compras!$C$102="",Registro_Compras!$O$102=""),"",IF(Registro_Compras!$F$102="NOTA DE CREDITO","IGV - Cuenta Propia (Credito Fiscal)","Cuentas por Pagar Comerciales - Terceros (Emitidas)"))</f>
        <v/>
      </c>
      <c r="E889" s="20">
        <f>""</f>
        <v/>
      </c>
      <c r="F889" s="20">
        <f>IF($C889="","",IF(Registro_Compras!$F$102="NOTA DE CREDITO",ROUND(ABS(Registro_Compras!$K$102*Registro_Compras!$N$102),2),IF(Registro_Compras!$F$102="RHE",(ROUND(Registro_Compras!$L$102*Registro_Compras!$N$102,2)-ROUND(Registro_Compras!$V$102*Registro_Compras!$N$102,2)),Registro_Compras!$O$102)))</f>
        <v/>
      </c>
      <c r="G889">
        <f>IF($C889="","",IF(Registro_Compras!$F$102="NOTA DE CREDITO","Por la nota de credito "&amp;Registro_Compras!$C$102&amp;" de "&amp;Registro_Compras!$E$102&amp;" [PATRON POR CONFIRMAR CON CONTADOR]",IF(Registro_Compras!$F$102="RHE","Por el registro del recibo por honorarios "&amp;Registro_Compras!$C$102&amp;" de "&amp;Registro_Compras!$E$102&amp;" [PATRON POR CONFIRMAR CON CONTADOR]","Por el registro de la factura "&amp;Registro_Compras!$C$102&amp;" de "&amp;Registro_Compras!$E$102)))</f>
        <v/>
      </c>
      <c r="H889">
        <f>IF($C889="","",Registro_Compras!$C$102)</f>
        <v/>
      </c>
    </row>
    <row r="890">
      <c r="A890" s="25">
        <f>IF($C890="","",Registro_Compras!$B$102)</f>
        <v/>
      </c>
      <c r="B890">
        <f>IF($C890="","","C"&amp;TEXT(INT((ROW()-5)/9)+1,"000")&amp;"-2")</f>
        <v/>
      </c>
      <c r="C890">
        <f>IF(OR(Registro_Compras!$C$102="",Registro_Compras!$O$102=""),"",IF(Registro_Compras!$AB$102="ADMINISTRATIVO","94","95"))</f>
        <v/>
      </c>
      <c r="D890">
        <f>IF(OR(Registro_Compras!$C$102="",Registro_Compras!$O$102=""),"",IF(Registro_Compras!$AB$102="ADMINISTRATIVO","Gastos Administrativos","Gastos de Venta y Operacion"))</f>
        <v/>
      </c>
      <c r="E890" s="20">
        <f>IF($C890="","",IF(Registro_Compras!$F$102="NOTA DE CREDITO","",IF(Registro_Compras!$F$102="RHE",ROUND(Registro_Compras!$L$102*Registro_Compras!$N$102,2),ROUND(Registro_Compras!$J$102*Registro_Compras!$N$102,2))))</f>
        <v/>
      </c>
      <c r="F890" s="20">
        <f>IF($C890="","",IF(Registro_Compras!$F$102="NOTA DE CREDITO",ROUND(ABS(Registro_Compras!$J$102*Registro_Compras!$N$102),2),""))</f>
        <v/>
      </c>
      <c r="G890">
        <f>IF($C890="","","Por el destino del gasto")</f>
        <v/>
      </c>
      <c r="H890">
        <f>IF($C890="","",Registro_Compras!$C$102)</f>
        <v/>
      </c>
    </row>
    <row r="891">
      <c r="A891" s="25">
        <f>IF($C891="","",Registro_Compras!$B$102)</f>
        <v/>
      </c>
      <c r="B891">
        <f>IF($C891="","","C"&amp;TEXT(INT((ROW()-5)/9)+1,"000")&amp;"-2")</f>
        <v/>
      </c>
      <c r="C891">
        <f>IF(OR(Registro_Compras!$C$102="",Registro_Compras!$O$102=""),"","79/791")</f>
        <v/>
      </c>
      <c r="D891">
        <f>IF(OR(Registro_Compras!$C$102="",Registro_Compras!$O$102=""),"","Cargas Imputables a Cuentas de Costos y Gastos")</f>
        <v/>
      </c>
      <c r="E891" s="20">
        <f>IF($C891="","",IF(Registro_Compras!$F$102="NOTA DE CREDITO",ROUND(ABS(Registro_Compras!$J$102*Registro_Compras!$N$102),2),""))</f>
        <v/>
      </c>
      <c r="F891" s="20">
        <f>IF($C891="","",IF(Registro_Compras!$F$102="NOTA DE CREDITO","",IF(Registro_Compras!$F$102="RHE",ROUND(Registro_Compras!$L$102*Registro_Compras!$N$102,2),ROUND(Registro_Compras!$J$102*Registro_Compras!$N$102,2))))</f>
        <v/>
      </c>
      <c r="G891">
        <f>IF($C891="","","Por el destino del gasto")</f>
        <v/>
      </c>
      <c r="H891">
        <f>IF($C891="","",Registro_Compras!$C$102)</f>
        <v/>
      </c>
    </row>
    <row r="892">
      <c r="A892" s="25">
        <f>IF($C892="","",Registro_Compras!$X$102)</f>
        <v/>
      </c>
      <c r="B892">
        <f>IF($C892="","","C"&amp;TEXT(INT((ROW()-5)/9)+1,"000")&amp;"-3")</f>
        <v/>
      </c>
      <c r="C892">
        <f>IF(OR(Registro_Compras!$C$102="",Registro_Compras!$O$102="",Registro_Compras!$R$102&lt;&gt;"SI",Registro_Compras!$X$102=""),"","4212")</f>
        <v/>
      </c>
      <c r="D892">
        <f>IF(OR(Registro_Compras!$C$102="",Registro_Compras!$O$102=""),"","Cuentas por Pagar Comerciales - Terceros")</f>
        <v/>
      </c>
      <c r="E892" s="20">
        <f>IF($C892="","",Registro_Compras!$S$102)</f>
        <v/>
      </c>
      <c r="F892" s="20">
        <f>""</f>
        <v/>
      </c>
      <c r="G892">
        <f>IF($C892="","","Por el deposito de la detraccion en el Banco de la Nacion")</f>
        <v/>
      </c>
      <c r="H892">
        <f>IF($C892="","",Registro_Compras!$C$102)</f>
        <v/>
      </c>
    </row>
    <row r="893">
      <c r="A893" s="25">
        <f>IF($C893="","",Registro_Compras!$X$102)</f>
        <v/>
      </c>
      <c r="B893">
        <f>IF($C893="","","C"&amp;TEXT(INT((ROW()-5)/9)+1,"000")&amp;"-3")</f>
        <v/>
      </c>
      <c r="C893">
        <f>IF(OR(Registro_Compras!$C$102="",Registro_Compras!$O$102="",Registro_Compras!$R$102&lt;&gt;"SI",Registro_Compras!$X$102=""),"","10413")</f>
        <v/>
      </c>
      <c r="D893">
        <f>IF(OR(Registro_Compras!$C$102="",Registro_Compras!$O$102=""),"","Efectivo y Equivalentes - Cta. Cte. Operativa")</f>
        <v/>
      </c>
      <c r="E893" s="20">
        <f>""</f>
        <v/>
      </c>
      <c r="F893" s="20">
        <f>IF($C893="","",Registro_Compras!$S$102)</f>
        <v/>
      </c>
      <c r="G893">
        <f>IF($C893="","","Por el deposito de la detraccion en el Banco de la Nacion")</f>
        <v/>
      </c>
      <c r="H893">
        <f>IF($C893="","",Registro_Compras!$C$102)</f>
        <v/>
      </c>
    </row>
    <row r="894">
      <c r="A894" s="25">
        <f>IF($C894="","",Registro_Compras!$Y$102)</f>
        <v/>
      </c>
      <c r="B894">
        <f>IF($C894="","","C"&amp;TEXT(INT((ROW()-5)/9)+1,"000")&amp;"-4")</f>
        <v/>
      </c>
      <c r="C894">
        <f>IF(OR(Registro_Compras!$C$102="",Registro_Compras!$O$102="",Registro_Compras!$Y$102="",Registro_Compras!$F$102="NOTA DE CREDITO"),"","4212")</f>
        <v/>
      </c>
      <c r="D894">
        <f>IF(OR(Registro_Compras!$C$102="",Registro_Compras!$O$102=""),"","Cuentas por Pagar Comerciales - Terceros")</f>
        <v/>
      </c>
      <c r="E894" s="20">
        <f>IF($C894="","",IF(Registro_Compras!$F$102="RHE",(ROUND(Registro_Compras!$L$102*Registro_Compras!$N$102,2)-ROUND(Registro_Compras!$V$102*Registro_Compras!$N$102,2)),ROUND(Registro_Compras!$O$102-Registro_Compras!$S$102,2)))</f>
        <v/>
      </c>
      <c r="F894" s="20">
        <f>""</f>
        <v/>
      </c>
      <c r="G894">
        <f>IF($C894="","","Por la cancelacion del saldo al proveedor")</f>
        <v/>
      </c>
      <c r="H894">
        <f>IF($C894="","",Registro_Compras!$C$102)</f>
        <v/>
      </c>
    </row>
    <row r="895">
      <c r="A895" s="25">
        <f>IF($C895="","",Registro_Compras!$Y$102)</f>
        <v/>
      </c>
      <c r="B895">
        <f>IF($C895="","","C"&amp;TEXT(INT((ROW()-5)/9)+1,"000")&amp;"-4")</f>
        <v/>
      </c>
      <c r="C895">
        <f>IF(OR(Registro_Compras!$C$102="",Registro_Compras!$O$102="",Registro_Compras!$Y$102="",Registro_Compras!$F$102="NOTA DE CREDITO"),"","10413")</f>
        <v/>
      </c>
      <c r="D895">
        <f>IF(OR(Registro_Compras!$C$102="",Registro_Compras!$O$102=""),"","Efectivo y Equivalentes - Cta. Cte. Operativa")</f>
        <v/>
      </c>
      <c r="E895" s="20">
        <f>""</f>
        <v/>
      </c>
      <c r="F895" s="20">
        <f>IF($C895="","",IF(Registro_Compras!$F$102="RHE",(ROUND(Registro_Compras!$L$102*Registro_Compras!$N$102,2)-ROUND(Registro_Compras!$V$102*Registro_Compras!$N$102,2)),ROUND(Registro_Compras!$O$102-Registro_Compras!$S$102,2)))</f>
        <v/>
      </c>
      <c r="G895">
        <f>IF($C895="","","Por la cancelacion del saldo al proveedor")</f>
        <v/>
      </c>
      <c r="H895">
        <f>IF($C895="","",Registro_Compras!$C$102)</f>
        <v/>
      </c>
    </row>
    <row r="896">
      <c r="A896" s="25">
        <f>IF($C896="","",Registro_Compras!$B$103)</f>
        <v/>
      </c>
      <c r="B896">
        <f>IF($C896="","","C"&amp;TEXT(INT((ROW()-5)/9)+1,"000")&amp;"-1")</f>
        <v/>
      </c>
      <c r="C896">
        <f>IF(OR(Registro_Compras!$C$103="",Registro_Compras!$O$103=""),"",IF(Registro_Compras!$F$103="NOTA DE CREDITO","4212",IF(Registro_Compras!$M$103="","63",Registro_Compras!$M$103)))</f>
        <v/>
      </c>
      <c r="D896">
        <f>IF(OR(Registro_Compras!$C$103="",Registro_Compras!$O$103=""),"",IF(Registro_Compras!$F$103="NOTA DE CREDITO","Cuentas por Pagar Comerciales - Terceros (Emitidas)",IF(Registro_Compras!$F$103="RHE","Honorarios Profesionales - Servicios de Terceros","Gastos de Servicios Prestados por Terceros")))</f>
        <v/>
      </c>
      <c r="E896" s="20">
        <f>IF($C896="","",IF(Registro_Compras!$F$103="NOTA DE CREDITO",ABS(Registro_Compras!$O$103),IF(Registro_Compras!$F$103="RHE",ROUND(Registro_Compras!$L$103*Registro_Compras!$N$103,2),ROUND(Registro_Compras!$J$103*Registro_Compras!$N$103,2))))</f>
        <v/>
      </c>
      <c r="F896" s="20">
        <f>""</f>
        <v/>
      </c>
      <c r="G896">
        <f>IF($C896="","",IF(Registro_Compras!$F$103="NOTA DE CREDITO","Por la nota de credito "&amp;Registro_Compras!$C$103&amp;" de "&amp;Registro_Compras!$E$103&amp;" [PATRON POR CONFIRMAR CON CONTADOR]",IF(Registro_Compras!$F$103="RHE","Por el registro del recibo por honorarios "&amp;Registro_Compras!$C$103&amp;" de "&amp;Registro_Compras!$E$103&amp;" [PATRON POR CONFIRMAR CON CONTADOR]","Por el registro de la factura "&amp;Registro_Compras!$C$103&amp;" de "&amp;Registro_Compras!$E$103)))</f>
        <v/>
      </c>
      <c r="H896">
        <f>IF($C896="","",Registro_Compras!$C$103)</f>
        <v/>
      </c>
    </row>
    <row r="897">
      <c r="A897" s="25">
        <f>IF($C897="","",Registro_Compras!$B$103)</f>
        <v/>
      </c>
      <c r="B897">
        <f>IF($C897="","","C"&amp;TEXT(INT((ROW()-5)/9)+1,"000")&amp;"-1")</f>
        <v/>
      </c>
      <c r="C897">
        <f>IF(OR(Registro_Compras!$C$103="",Registro_Compras!$O$103=""),"",IF(Registro_Compras!$F$103="RHE",IF(Registro_Compras!$V$103=0,"","40172"),IF(Registro_Compras!$F$103="NOTA DE CREDITO",IF(Registro_Compras!$M$103="","63",Registro_Compras!$M$103),IF(Registro_Compras!$K$103=0,"","40111"))))</f>
        <v/>
      </c>
      <c r="D897">
        <f>IF(OR(Registro_Compras!$C$103="",Registro_Compras!$O$103=""),"",IF(Registro_Compras!$F$103="RHE","Retencion Renta 4ta Categoria por Pagar",IF(Registro_Compras!$F$103="NOTA DE CREDITO","Gastos de Servicios Prestados por Terceros","IGV - Cuenta Propia (Credito Fiscal)")))</f>
        <v/>
      </c>
      <c r="E897" s="20">
        <f>IF($C897="","",IF(Registro_Compras!$F$103="FACTURA",ROUND(Registro_Compras!$K$103*Registro_Compras!$N$103,2),""))</f>
        <v/>
      </c>
      <c r="F897" s="20">
        <f>IF($C897="","",IF(Registro_Compras!$F$103="RHE",ROUND(Registro_Compras!$V$103*Registro_Compras!$N$103,2),IF(Registro_Compras!$F$103="NOTA DE CREDITO",ROUND(ABS(Registro_Compras!$J$103*Registro_Compras!$N$103),2),"")))</f>
        <v/>
      </c>
      <c r="G897">
        <f>IF($C897="","",IF(Registro_Compras!$F$103="NOTA DE CREDITO","Por la nota de credito "&amp;Registro_Compras!$C$103&amp;" de "&amp;Registro_Compras!$E$103&amp;" [PATRON POR CONFIRMAR CON CONTADOR]",IF(Registro_Compras!$F$103="RHE","Por el registro del recibo por honorarios "&amp;Registro_Compras!$C$103&amp;" de "&amp;Registro_Compras!$E$103&amp;" [PATRON POR CONFIRMAR CON CONTADOR]","Por el registro de la factura "&amp;Registro_Compras!$C$103&amp;" de "&amp;Registro_Compras!$E$103)))</f>
        <v/>
      </c>
      <c r="H897">
        <f>IF($C897="","",Registro_Compras!$C$103)</f>
        <v/>
      </c>
    </row>
    <row r="898">
      <c r="A898" s="25">
        <f>IF($C898="","",Registro_Compras!$B$103)</f>
        <v/>
      </c>
      <c r="B898">
        <f>IF($C898="","","C"&amp;TEXT(INT((ROW()-5)/9)+1,"000")&amp;"-1")</f>
        <v/>
      </c>
      <c r="C898">
        <f>IF(OR(Registro_Compras!$C$103="",Registro_Compras!$O$103=""),"",IF(Registro_Compras!$F$103="NOTA DE CREDITO",IF(Registro_Compras!$K$103=0,"","40111"),"4212"))</f>
        <v/>
      </c>
      <c r="D898">
        <f>IF(OR(Registro_Compras!$C$103="",Registro_Compras!$O$103=""),"",IF(Registro_Compras!$F$103="NOTA DE CREDITO","IGV - Cuenta Propia (Credito Fiscal)","Cuentas por Pagar Comerciales - Terceros (Emitidas)"))</f>
        <v/>
      </c>
      <c r="E898" s="20">
        <f>""</f>
        <v/>
      </c>
      <c r="F898" s="20">
        <f>IF($C898="","",IF(Registro_Compras!$F$103="NOTA DE CREDITO",ROUND(ABS(Registro_Compras!$K$103*Registro_Compras!$N$103),2),IF(Registro_Compras!$F$103="RHE",(ROUND(Registro_Compras!$L$103*Registro_Compras!$N$103,2)-ROUND(Registro_Compras!$V$103*Registro_Compras!$N$103,2)),Registro_Compras!$O$103)))</f>
        <v/>
      </c>
      <c r="G898">
        <f>IF($C898="","",IF(Registro_Compras!$F$103="NOTA DE CREDITO","Por la nota de credito "&amp;Registro_Compras!$C$103&amp;" de "&amp;Registro_Compras!$E$103&amp;" [PATRON POR CONFIRMAR CON CONTADOR]",IF(Registro_Compras!$F$103="RHE","Por el registro del recibo por honorarios "&amp;Registro_Compras!$C$103&amp;" de "&amp;Registro_Compras!$E$103&amp;" [PATRON POR CONFIRMAR CON CONTADOR]","Por el registro de la factura "&amp;Registro_Compras!$C$103&amp;" de "&amp;Registro_Compras!$E$103)))</f>
        <v/>
      </c>
      <c r="H898">
        <f>IF($C898="","",Registro_Compras!$C$103)</f>
        <v/>
      </c>
    </row>
    <row r="899">
      <c r="A899" s="25">
        <f>IF($C899="","",Registro_Compras!$B$103)</f>
        <v/>
      </c>
      <c r="B899">
        <f>IF($C899="","","C"&amp;TEXT(INT((ROW()-5)/9)+1,"000")&amp;"-2")</f>
        <v/>
      </c>
      <c r="C899">
        <f>IF(OR(Registro_Compras!$C$103="",Registro_Compras!$O$103=""),"",IF(Registro_Compras!$AB$103="ADMINISTRATIVO","94","95"))</f>
        <v/>
      </c>
      <c r="D899">
        <f>IF(OR(Registro_Compras!$C$103="",Registro_Compras!$O$103=""),"",IF(Registro_Compras!$AB$103="ADMINISTRATIVO","Gastos Administrativos","Gastos de Venta y Operacion"))</f>
        <v/>
      </c>
      <c r="E899" s="20">
        <f>IF($C899="","",IF(Registro_Compras!$F$103="NOTA DE CREDITO","",IF(Registro_Compras!$F$103="RHE",ROUND(Registro_Compras!$L$103*Registro_Compras!$N$103,2),ROUND(Registro_Compras!$J$103*Registro_Compras!$N$103,2))))</f>
        <v/>
      </c>
      <c r="F899" s="20">
        <f>IF($C899="","",IF(Registro_Compras!$F$103="NOTA DE CREDITO",ROUND(ABS(Registro_Compras!$J$103*Registro_Compras!$N$103),2),""))</f>
        <v/>
      </c>
      <c r="G899">
        <f>IF($C899="","","Por el destino del gasto")</f>
        <v/>
      </c>
      <c r="H899">
        <f>IF($C899="","",Registro_Compras!$C$103)</f>
        <v/>
      </c>
    </row>
    <row r="900">
      <c r="A900" s="25">
        <f>IF($C900="","",Registro_Compras!$B$103)</f>
        <v/>
      </c>
      <c r="B900">
        <f>IF($C900="","","C"&amp;TEXT(INT((ROW()-5)/9)+1,"000")&amp;"-2")</f>
        <v/>
      </c>
      <c r="C900">
        <f>IF(OR(Registro_Compras!$C$103="",Registro_Compras!$O$103=""),"","79/791")</f>
        <v/>
      </c>
      <c r="D900">
        <f>IF(OR(Registro_Compras!$C$103="",Registro_Compras!$O$103=""),"","Cargas Imputables a Cuentas de Costos y Gastos")</f>
        <v/>
      </c>
      <c r="E900" s="20">
        <f>IF($C900="","",IF(Registro_Compras!$F$103="NOTA DE CREDITO",ROUND(ABS(Registro_Compras!$J$103*Registro_Compras!$N$103),2),""))</f>
        <v/>
      </c>
      <c r="F900" s="20">
        <f>IF($C900="","",IF(Registro_Compras!$F$103="NOTA DE CREDITO","",IF(Registro_Compras!$F$103="RHE",ROUND(Registro_Compras!$L$103*Registro_Compras!$N$103,2),ROUND(Registro_Compras!$J$103*Registro_Compras!$N$103,2))))</f>
        <v/>
      </c>
      <c r="G900">
        <f>IF($C900="","","Por el destino del gasto")</f>
        <v/>
      </c>
      <c r="H900">
        <f>IF($C900="","",Registro_Compras!$C$103)</f>
        <v/>
      </c>
    </row>
    <row r="901">
      <c r="A901" s="25">
        <f>IF($C901="","",Registro_Compras!$X$103)</f>
        <v/>
      </c>
      <c r="B901">
        <f>IF($C901="","","C"&amp;TEXT(INT((ROW()-5)/9)+1,"000")&amp;"-3")</f>
        <v/>
      </c>
      <c r="C901">
        <f>IF(OR(Registro_Compras!$C$103="",Registro_Compras!$O$103="",Registro_Compras!$R$103&lt;&gt;"SI",Registro_Compras!$X$103=""),"","4212")</f>
        <v/>
      </c>
      <c r="D901">
        <f>IF(OR(Registro_Compras!$C$103="",Registro_Compras!$O$103=""),"","Cuentas por Pagar Comerciales - Terceros")</f>
        <v/>
      </c>
      <c r="E901" s="20">
        <f>IF($C901="","",Registro_Compras!$S$103)</f>
        <v/>
      </c>
      <c r="F901" s="20">
        <f>""</f>
        <v/>
      </c>
      <c r="G901">
        <f>IF($C901="","","Por el deposito de la detraccion en el Banco de la Nacion")</f>
        <v/>
      </c>
      <c r="H901">
        <f>IF($C901="","",Registro_Compras!$C$103)</f>
        <v/>
      </c>
    </row>
    <row r="902">
      <c r="A902" s="25">
        <f>IF($C902="","",Registro_Compras!$X$103)</f>
        <v/>
      </c>
      <c r="B902">
        <f>IF($C902="","","C"&amp;TEXT(INT((ROW()-5)/9)+1,"000")&amp;"-3")</f>
        <v/>
      </c>
      <c r="C902">
        <f>IF(OR(Registro_Compras!$C$103="",Registro_Compras!$O$103="",Registro_Compras!$R$103&lt;&gt;"SI",Registro_Compras!$X$103=""),"","10413")</f>
        <v/>
      </c>
      <c r="D902">
        <f>IF(OR(Registro_Compras!$C$103="",Registro_Compras!$O$103=""),"","Efectivo y Equivalentes - Cta. Cte. Operativa")</f>
        <v/>
      </c>
      <c r="E902" s="20">
        <f>""</f>
        <v/>
      </c>
      <c r="F902" s="20">
        <f>IF($C902="","",Registro_Compras!$S$103)</f>
        <v/>
      </c>
      <c r="G902">
        <f>IF($C902="","","Por el deposito de la detraccion en el Banco de la Nacion")</f>
        <v/>
      </c>
      <c r="H902">
        <f>IF($C902="","",Registro_Compras!$C$103)</f>
        <v/>
      </c>
    </row>
    <row r="903">
      <c r="A903" s="25">
        <f>IF($C903="","",Registro_Compras!$Y$103)</f>
        <v/>
      </c>
      <c r="B903">
        <f>IF($C903="","","C"&amp;TEXT(INT((ROW()-5)/9)+1,"000")&amp;"-4")</f>
        <v/>
      </c>
      <c r="C903">
        <f>IF(OR(Registro_Compras!$C$103="",Registro_Compras!$O$103="",Registro_Compras!$Y$103="",Registro_Compras!$F$103="NOTA DE CREDITO"),"","4212")</f>
        <v/>
      </c>
      <c r="D903">
        <f>IF(OR(Registro_Compras!$C$103="",Registro_Compras!$O$103=""),"","Cuentas por Pagar Comerciales - Terceros")</f>
        <v/>
      </c>
      <c r="E903" s="20">
        <f>IF($C903="","",IF(Registro_Compras!$F$103="RHE",(ROUND(Registro_Compras!$L$103*Registro_Compras!$N$103,2)-ROUND(Registro_Compras!$V$103*Registro_Compras!$N$103,2)),ROUND(Registro_Compras!$O$103-Registro_Compras!$S$103,2)))</f>
        <v/>
      </c>
      <c r="F903" s="20">
        <f>""</f>
        <v/>
      </c>
      <c r="G903">
        <f>IF($C903="","","Por la cancelacion del saldo al proveedor")</f>
        <v/>
      </c>
      <c r="H903">
        <f>IF($C903="","",Registro_Compras!$C$103)</f>
        <v/>
      </c>
    </row>
    <row r="904">
      <c r="A904" s="25">
        <f>IF($C904="","",Registro_Compras!$Y$103)</f>
        <v/>
      </c>
      <c r="B904">
        <f>IF($C904="","","C"&amp;TEXT(INT((ROW()-5)/9)+1,"000")&amp;"-4")</f>
        <v/>
      </c>
      <c r="C904">
        <f>IF(OR(Registro_Compras!$C$103="",Registro_Compras!$O$103="",Registro_Compras!$Y$103="",Registro_Compras!$F$103="NOTA DE CREDITO"),"","10413")</f>
        <v/>
      </c>
      <c r="D904">
        <f>IF(OR(Registro_Compras!$C$103="",Registro_Compras!$O$103=""),"","Efectivo y Equivalentes - Cta. Cte. Operativa")</f>
        <v/>
      </c>
      <c r="E904" s="20">
        <f>""</f>
        <v/>
      </c>
      <c r="F904" s="20">
        <f>IF($C904="","",IF(Registro_Compras!$F$103="RHE",(ROUND(Registro_Compras!$L$103*Registro_Compras!$N$103,2)-ROUND(Registro_Compras!$V$103*Registro_Compras!$N$103,2)),ROUND(Registro_Compras!$O$103-Registro_Compras!$S$103,2)))</f>
        <v/>
      </c>
      <c r="G904">
        <f>IF($C904="","","Por la cancelacion del saldo al proveedor")</f>
        <v/>
      </c>
      <c r="H904">
        <f>IF($C904="","",Registro_Compras!$C$103)</f>
        <v/>
      </c>
    </row>
    <row r="905">
      <c r="A905" s="25">
        <f>IF($C905="","",Registro_Compras!$B$104)</f>
        <v/>
      </c>
      <c r="B905">
        <f>IF($C905="","","C"&amp;TEXT(INT((ROW()-5)/9)+1,"000")&amp;"-1")</f>
        <v/>
      </c>
      <c r="C905">
        <f>IF(OR(Registro_Compras!$C$104="",Registro_Compras!$O$104=""),"",IF(Registro_Compras!$F$104="NOTA DE CREDITO","4212",IF(Registro_Compras!$M$104="","63",Registro_Compras!$M$104)))</f>
        <v/>
      </c>
      <c r="D905">
        <f>IF(OR(Registro_Compras!$C$104="",Registro_Compras!$O$104=""),"",IF(Registro_Compras!$F$104="NOTA DE CREDITO","Cuentas por Pagar Comerciales - Terceros (Emitidas)",IF(Registro_Compras!$F$104="RHE","Honorarios Profesionales - Servicios de Terceros","Gastos de Servicios Prestados por Terceros")))</f>
        <v/>
      </c>
      <c r="E905" s="20">
        <f>IF($C905="","",IF(Registro_Compras!$F$104="NOTA DE CREDITO",ABS(Registro_Compras!$O$104),IF(Registro_Compras!$F$104="RHE",ROUND(Registro_Compras!$L$104*Registro_Compras!$N$104,2),ROUND(Registro_Compras!$J$104*Registro_Compras!$N$104,2))))</f>
        <v/>
      </c>
      <c r="F905" s="20">
        <f>""</f>
        <v/>
      </c>
      <c r="G905">
        <f>IF($C905="","",IF(Registro_Compras!$F$104="NOTA DE CREDITO","Por la nota de credito "&amp;Registro_Compras!$C$104&amp;" de "&amp;Registro_Compras!$E$104&amp;" [PATRON POR CONFIRMAR CON CONTADOR]",IF(Registro_Compras!$F$104="RHE","Por el registro del recibo por honorarios "&amp;Registro_Compras!$C$104&amp;" de "&amp;Registro_Compras!$E$104&amp;" [PATRON POR CONFIRMAR CON CONTADOR]","Por el registro de la factura "&amp;Registro_Compras!$C$104&amp;" de "&amp;Registro_Compras!$E$104)))</f>
        <v/>
      </c>
      <c r="H905">
        <f>IF($C905="","",Registro_Compras!$C$104)</f>
        <v/>
      </c>
    </row>
    <row r="906">
      <c r="A906" s="25">
        <f>IF($C906="","",Registro_Compras!$B$104)</f>
        <v/>
      </c>
      <c r="B906">
        <f>IF($C906="","","C"&amp;TEXT(INT((ROW()-5)/9)+1,"000")&amp;"-1")</f>
        <v/>
      </c>
      <c r="C906">
        <f>IF(OR(Registro_Compras!$C$104="",Registro_Compras!$O$104=""),"",IF(Registro_Compras!$F$104="RHE",IF(Registro_Compras!$V$104=0,"","40172"),IF(Registro_Compras!$F$104="NOTA DE CREDITO",IF(Registro_Compras!$M$104="","63",Registro_Compras!$M$104),IF(Registro_Compras!$K$104=0,"","40111"))))</f>
        <v/>
      </c>
      <c r="D906">
        <f>IF(OR(Registro_Compras!$C$104="",Registro_Compras!$O$104=""),"",IF(Registro_Compras!$F$104="RHE","Retencion Renta 4ta Categoria por Pagar",IF(Registro_Compras!$F$104="NOTA DE CREDITO","Gastos de Servicios Prestados por Terceros","IGV - Cuenta Propia (Credito Fiscal)")))</f>
        <v/>
      </c>
      <c r="E906" s="20">
        <f>IF($C906="","",IF(Registro_Compras!$F$104="FACTURA",ROUND(Registro_Compras!$K$104*Registro_Compras!$N$104,2),""))</f>
        <v/>
      </c>
      <c r="F906" s="20">
        <f>IF($C906="","",IF(Registro_Compras!$F$104="RHE",ROUND(Registro_Compras!$V$104*Registro_Compras!$N$104,2),IF(Registro_Compras!$F$104="NOTA DE CREDITO",ROUND(ABS(Registro_Compras!$J$104*Registro_Compras!$N$104),2),"")))</f>
        <v/>
      </c>
      <c r="G906">
        <f>IF($C906="","",IF(Registro_Compras!$F$104="NOTA DE CREDITO","Por la nota de credito "&amp;Registro_Compras!$C$104&amp;" de "&amp;Registro_Compras!$E$104&amp;" [PATRON POR CONFIRMAR CON CONTADOR]",IF(Registro_Compras!$F$104="RHE","Por el registro del recibo por honorarios "&amp;Registro_Compras!$C$104&amp;" de "&amp;Registro_Compras!$E$104&amp;" [PATRON POR CONFIRMAR CON CONTADOR]","Por el registro de la factura "&amp;Registro_Compras!$C$104&amp;" de "&amp;Registro_Compras!$E$104)))</f>
        <v/>
      </c>
      <c r="H906">
        <f>IF($C906="","",Registro_Compras!$C$104)</f>
        <v/>
      </c>
    </row>
    <row r="907">
      <c r="A907" s="25">
        <f>IF($C907="","",Registro_Compras!$B$104)</f>
        <v/>
      </c>
      <c r="B907">
        <f>IF($C907="","","C"&amp;TEXT(INT((ROW()-5)/9)+1,"000")&amp;"-1")</f>
        <v/>
      </c>
      <c r="C907">
        <f>IF(OR(Registro_Compras!$C$104="",Registro_Compras!$O$104=""),"",IF(Registro_Compras!$F$104="NOTA DE CREDITO",IF(Registro_Compras!$K$104=0,"","40111"),"4212"))</f>
        <v/>
      </c>
      <c r="D907">
        <f>IF(OR(Registro_Compras!$C$104="",Registro_Compras!$O$104=""),"",IF(Registro_Compras!$F$104="NOTA DE CREDITO","IGV - Cuenta Propia (Credito Fiscal)","Cuentas por Pagar Comerciales - Terceros (Emitidas)"))</f>
        <v/>
      </c>
      <c r="E907" s="20">
        <f>""</f>
        <v/>
      </c>
      <c r="F907" s="20">
        <f>IF($C907="","",IF(Registro_Compras!$F$104="NOTA DE CREDITO",ROUND(ABS(Registro_Compras!$K$104*Registro_Compras!$N$104),2),IF(Registro_Compras!$F$104="RHE",(ROUND(Registro_Compras!$L$104*Registro_Compras!$N$104,2)-ROUND(Registro_Compras!$V$104*Registro_Compras!$N$104,2)),Registro_Compras!$O$104)))</f>
        <v/>
      </c>
      <c r="G907">
        <f>IF($C907="","",IF(Registro_Compras!$F$104="NOTA DE CREDITO","Por la nota de credito "&amp;Registro_Compras!$C$104&amp;" de "&amp;Registro_Compras!$E$104&amp;" [PATRON POR CONFIRMAR CON CONTADOR]",IF(Registro_Compras!$F$104="RHE","Por el registro del recibo por honorarios "&amp;Registro_Compras!$C$104&amp;" de "&amp;Registro_Compras!$E$104&amp;" [PATRON POR CONFIRMAR CON CONTADOR]","Por el registro de la factura "&amp;Registro_Compras!$C$104&amp;" de "&amp;Registro_Compras!$E$104)))</f>
        <v/>
      </c>
      <c r="H907">
        <f>IF($C907="","",Registro_Compras!$C$104)</f>
        <v/>
      </c>
    </row>
    <row r="908">
      <c r="A908" s="25">
        <f>IF($C908="","",Registro_Compras!$B$104)</f>
        <v/>
      </c>
      <c r="B908">
        <f>IF($C908="","","C"&amp;TEXT(INT((ROW()-5)/9)+1,"000")&amp;"-2")</f>
        <v/>
      </c>
      <c r="C908">
        <f>IF(OR(Registro_Compras!$C$104="",Registro_Compras!$O$104=""),"",IF(Registro_Compras!$AB$104="ADMINISTRATIVO","94","95"))</f>
        <v/>
      </c>
      <c r="D908">
        <f>IF(OR(Registro_Compras!$C$104="",Registro_Compras!$O$104=""),"",IF(Registro_Compras!$AB$104="ADMINISTRATIVO","Gastos Administrativos","Gastos de Venta y Operacion"))</f>
        <v/>
      </c>
      <c r="E908" s="20">
        <f>IF($C908="","",IF(Registro_Compras!$F$104="NOTA DE CREDITO","",IF(Registro_Compras!$F$104="RHE",ROUND(Registro_Compras!$L$104*Registro_Compras!$N$104,2),ROUND(Registro_Compras!$J$104*Registro_Compras!$N$104,2))))</f>
        <v/>
      </c>
      <c r="F908" s="20">
        <f>IF($C908="","",IF(Registro_Compras!$F$104="NOTA DE CREDITO",ROUND(ABS(Registro_Compras!$J$104*Registro_Compras!$N$104),2),""))</f>
        <v/>
      </c>
      <c r="G908">
        <f>IF($C908="","","Por el destino del gasto")</f>
        <v/>
      </c>
      <c r="H908">
        <f>IF($C908="","",Registro_Compras!$C$104)</f>
        <v/>
      </c>
    </row>
    <row r="909">
      <c r="A909" s="25">
        <f>IF($C909="","",Registro_Compras!$B$104)</f>
        <v/>
      </c>
      <c r="B909">
        <f>IF($C909="","","C"&amp;TEXT(INT((ROW()-5)/9)+1,"000")&amp;"-2")</f>
        <v/>
      </c>
      <c r="C909">
        <f>IF(OR(Registro_Compras!$C$104="",Registro_Compras!$O$104=""),"","79/791")</f>
        <v/>
      </c>
      <c r="D909">
        <f>IF(OR(Registro_Compras!$C$104="",Registro_Compras!$O$104=""),"","Cargas Imputables a Cuentas de Costos y Gastos")</f>
        <v/>
      </c>
      <c r="E909" s="20">
        <f>IF($C909="","",IF(Registro_Compras!$F$104="NOTA DE CREDITO",ROUND(ABS(Registro_Compras!$J$104*Registro_Compras!$N$104),2),""))</f>
        <v/>
      </c>
      <c r="F909" s="20">
        <f>IF($C909="","",IF(Registro_Compras!$F$104="NOTA DE CREDITO","",IF(Registro_Compras!$F$104="RHE",ROUND(Registro_Compras!$L$104*Registro_Compras!$N$104,2),ROUND(Registro_Compras!$J$104*Registro_Compras!$N$104,2))))</f>
        <v/>
      </c>
      <c r="G909">
        <f>IF($C909="","","Por el destino del gasto")</f>
        <v/>
      </c>
      <c r="H909">
        <f>IF($C909="","",Registro_Compras!$C$104)</f>
        <v/>
      </c>
    </row>
    <row r="910">
      <c r="A910" s="25">
        <f>IF($C910="","",Registro_Compras!$X$104)</f>
        <v/>
      </c>
      <c r="B910">
        <f>IF($C910="","","C"&amp;TEXT(INT((ROW()-5)/9)+1,"000")&amp;"-3")</f>
        <v/>
      </c>
      <c r="C910">
        <f>IF(OR(Registro_Compras!$C$104="",Registro_Compras!$O$104="",Registro_Compras!$R$104&lt;&gt;"SI",Registro_Compras!$X$104=""),"","4212")</f>
        <v/>
      </c>
      <c r="D910">
        <f>IF(OR(Registro_Compras!$C$104="",Registro_Compras!$O$104=""),"","Cuentas por Pagar Comerciales - Terceros")</f>
        <v/>
      </c>
      <c r="E910" s="20">
        <f>IF($C910="","",Registro_Compras!$S$104)</f>
        <v/>
      </c>
      <c r="F910" s="20">
        <f>""</f>
        <v/>
      </c>
      <c r="G910">
        <f>IF($C910="","","Por el deposito de la detraccion en el Banco de la Nacion")</f>
        <v/>
      </c>
      <c r="H910">
        <f>IF($C910="","",Registro_Compras!$C$104)</f>
        <v/>
      </c>
    </row>
    <row r="911">
      <c r="A911" s="25">
        <f>IF($C911="","",Registro_Compras!$X$104)</f>
        <v/>
      </c>
      <c r="B911">
        <f>IF($C911="","","C"&amp;TEXT(INT((ROW()-5)/9)+1,"000")&amp;"-3")</f>
        <v/>
      </c>
      <c r="C911">
        <f>IF(OR(Registro_Compras!$C$104="",Registro_Compras!$O$104="",Registro_Compras!$R$104&lt;&gt;"SI",Registro_Compras!$X$104=""),"","10413")</f>
        <v/>
      </c>
      <c r="D911">
        <f>IF(OR(Registro_Compras!$C$104="",Registro_Compras!$O$104=""),"","Efectivo y Equivalentes - Cta. Cte. Operativa")</f>
        <v/>
      </c>
      <c r="E911" s="20">
        <f>""</f>
        <v/>
      </c>
      <c r="F911" s="20">
        <f>IF($C911="","",Registro_Compras!$S$104)</f>
        <v/>
      </c>
      <c r="G911">
        <f>IF($C911="","","Por el deposito de la detraccion en el Banco de la Nacion")</f>
        <v/>
      </c>
      <c r="H911">
        <f>IF($C911="","",Registro_Compras!$C$104)</f>
        <v/>
      </c>
    </row>
    <row r="912">
      <c r="A912" s="25">
        <f>IF($C912="","",Registro_Compras!$Y$104)</f>
        <v/>
      </c>
      <c r="B912">
        <f>IF($C912="","","C"&amp;TEXT(INT((ROW()-5)/9)+1,"000")&amp;"-4")</f>
        <v/>
      </c>
      <c r="C912">
        <f>IF(OR(Registro_Compras!$C$104="",Registro_Compras!$O$104="",Registro_Compras!$Y$104="",Registro_Compras!$F$104="NOTA DE CREDITO"),"","4212")</f>
        <v/>
      </c>
      <c r="D912">
        <f>IF(OR(Registro_Compras!$C$104="",Registro_Compras!$O$104=""),"","Cuentas por Pagar Comerciales - Terceros")</f>
        <v/>
      </c>
      <c r="E912" s="20">
        <f>IF($C912="","",IF(Registro_Compras!$F$104="RHE",(ROUND(Registro_Compras!$L$104*Registro_Compras!$N$104,2)-ROUND(Registro_Compras!$V$104*Registro_Compras!$N$104,2)),ROUND(Registro_Compras!$O$104-Registro_Compras!$S$104,2)))</f>
        <v/>
      </c>
      <c r="F912" s="20">
        <f>""</f>
        <v/>
      </c>
      <c r="G912">
        <f>IF($C912="","","Por la cancelacion del saldo al proveedor")</f>
        <v/>
      </c>
      <c r="H912">
        <f>IF($C912="","",Registro_Compras!$C$104)</f>
        <v/>
      </c>
    </row>
    <row r="913">
      <c r="A913" s="25">
        <f>IF($C913="","",Registro_Compras!$Y$104)</f>
        <v/>
      </c>
      <c r="B913">
        <f>IF($C913="","","C"&amp;TEXT(INT((ROW()-5)/9)+1,"000")&amp;"-4")</f>
        <v/>
      </c>
      <c r="C913">
        <f>IF(OR(Registro_Compras!$C$104="",Registro_Compras!$O$104="",Registro_Compras!$Y$104="",Registro_Compras!$F$104="NOTA DE CREDITO"),"","10413")</f>
        <v/>
      </c>
      <c r="D913">
        <f>IF(OR(Registro_Compras!$C$104="",Registro_Compras!$O$104=""),"","Efectivo y Equivalentes - Cta. Cte. Operativa")</f>
        <v/>
      </c>
      <c r="E913" s="20">
        <f>""</f>
        <v/>
      </c>
      <c r="F913" s="20">
        <f>IF($C913="","",IF(Registro_Compras!$F$104="RHE",(ROUND(Registro_Compras!$L$104*Registro_Compras!$N$104,2)-ROUND(Registro_Compras!$V$104*Registro_Compras!$N$104,2)),ROUND(Registro_Compras!$O$104-Registro_Compras!$S$104,2)))</f>
        <v/>
      </c>
      <c r="G913">
        <f>IF($C913="","","Por la cancelacion del saldo al proveedor")</f>
        <v/>
      </c>
      <c r="H913">
        <f>IF($C913="","",Registro_Compras!$C$104)</f>
        <v/>
      </c>
    </row>
    <row r="914">
      <c r="A914" s="25">
        <f>IF($C914="","",Registro_Compras!$B$105)</f>
        <v/>
      </c>
      <c r="B914">
        <f>IF($C914="","","C"&amp;TEXT(INT((ROW()-5)/9)+1,"000")&amp;"-1")</f>
        <v/>
      </c>
      <c r="C914">
        <f>IF(OR(Registro_Compras!$C$105="",Registro_Compras!$O$105=""),"",IF(Registro_Compras!$F$105="NOTA DE CREDITO","4212",IF(Registro_Compras!$M$105="","63",Registro_Compras!$M$105)))</f>
        <v/>
      </c>
      <c r="D914">
        <f>IF(OR(Registro_Compras!$C$105="",Registro_Compras!$O$105=""),"",IF(Registro_Compras!$F$105="NOTA DE CREDITO","Cuentas por Pagar Comerciales - Terceros (Emitidas)",IF(Registro_Compras!$F$105="RHE","Honorarios Profesionales - Servicios de Terceros","Gastos de Servicios Prestados por Terceros")))</f>
        <v/>
      </c>
      <c r="E914" s="20">
        <f>IF($C914="","",IF(Registro_Compras!$F$105="NOTA DE CREDITO",ABS(Registro_Compras!$O$105),IF(Registro_Compras!$F$105="RHE",ROUND(Registro_Compras!$L$105*Registro_Compras!$N$105,2),ROUND(Registro_Compras!$J$105*Registro_Compras!$N$105,2))))</f>
        <v/>
      </c>
      <c r="F914" s="20">
        <f>""</f>
        <v/>
      </c>
      <c r="G914">
        <f>IF($C914="","",IF(Registro_Compras!$F$105="NOTA DE CREDITO","Por la nota de credito "&amp;Registro_Compras!$C$105&amp;" de "&amp;Registro_Compras!$E$105&amp;" [PATRON POR CONFIRMAR CON CONTADOR]",IF(Registro_Compras!$F$105="RHE","Por el registro del recibo por honorarios "&amp;Registro_Compras!$C$105&amp;" de "&amp;Registro_Compras!$E$105&amp;" [PATRON POR CONFIRMAR CON CONTADOR]","Por el registro de la factura "&amp;Registro_Compras!$C$105&amp;" de "&amp;Registro_Compras!$E$105)))</f>
        <v/>
      </c>
      <c r="H914">
        <f>IF($C914="","",Registro_Compras!$C$105)</f>
        <v/>
      </c>
    </row>
    <row r="915">
      <c r="A915" s="25">
        <f>IF($C915="","",Registro_Compras!$B$105)</f>
        <v/>
      </c>
      <c r="B915">
        <f>IF($C915="","","C"&amp;TEXT(INT((ROW()-5)/9)+1,"000")&amp;"-1")</f>
        <v/>
      </c>
      <c r="C915">
        <f>IF(OR(Registro_Compras!$C$105="",Registro_Compras!$O$105=""),"",IF(Registro_Compras!$F$105="RHE",IF(Registro_Compras!$V$105=0,"","40172"),IF(Registro_Compras!$F$105="NOTA DE CREDITO",IF(Registro_Compras!$M$105="","63",Registro_Compras!$M$105),IF(Registro_Compras!$K$105=0,"","40111"))))</f>
        <v/>
      </c>
      <c r="D915">
        <f>IF(OR(Registro_Compras!$C$105="",Registro_Compras!$O$105=""),"",IF(Registro_Compras!$F$105="RHE","Retencion Renta 4ta Categoria por Pagar",IF(Registro_Compras!$F$105="NOTA DE CREDITO","Gastos de Servicios Prestados por Terceros","IGV - Cuenta Propia (Credito Fiscal)")))</f>
        <v/>
      </c>
      <c r="E915" s="20">
        <f>IF($C915="","",IF(Registro_Compras!$F$105="FACTURA",ROUND(Registro_Compras!$K$105*Registro_Compras!$N$105,2),""))</f>
        <v/>
      </c>
      <c r="F915" s="20">
        <f>IF($C915="","",IF(Registro_Compras!$F$105="RHE",ROUND(Registro_Compras!$V$105*Registro_Compras!$N$105,2),IF(Registro_Compras!$F$105="NOTA DE CREDITO",ROUND(ABS(Registro_Compras!$J$105*Registro_Compras!$N$105),2),"")))</f>
        <v/>
      </c>
      <c r="G915">
        <f>IF($C915="","",IF(Registro_Compras!$F$105="NOTA DE CREDITO","Por la nota de credito "&amp;Registro_Compras!$C$105&amp;" de "&amp;Registro_Compras!$E$105&amp;" [PATRON POR CONFIRMAR CON CONTADOR]",IF(Registro_Compras!$F$105="RHE","Por el registro del recibo por honorarios "&amp;Registro_Compras!$C$105&amp;" de "&amp;Registro_Compras!$E$105&amp;" [PATRON POR CONFIRMAR CON CONTADOR]","Por el registro de la factura "&amp;Registro_Compras!$C$105&amp;" de "&amp;Registro_Compras!$E$105)))</f>
        <v/>
      </c>
      <c r="H915">
        <f>IF($C915="","",Registro_Compras!$C$105)</f>
        <v/>
      </c>
    </row>
    <row r="916">
      <c r="A916" s="25">
        <f>IF($C916="","",Registro_Compras!$B$105)</f>
        <v/>
      </c>
      <c r="B916">
        <f>IF($C916="","","C"&amp;TEXT(INT((ROW()-5)/9)+1,"000")&amp;"-1")</f>
        <v/>
      </c>
      <c r="C916">
        <f>IF(OR(Registro_Compras!$C$105="",Registro_Compras!$O$105=""),"",IF(Registro_Compras!$F$105="NOTA DE CREDITO",IF(Registro_Compras!$K$105=0,"","40111"),"4212"))</f>
        <v/>
      </c>
      <c r="D916">
        <f>IF(OR(Registro_Compras!$C$105="",Registro_Compras!$O$105=""),"",IF(Registro_Compras!$F$105="NOTA DE CREDITO","IGV - Cuenta Propia (Credito Fiscal)","Cuentas por Pagar Comerciales - Terceros (Emitidas)"))</f>
        <v/>
      </c>
      <c r="E916" s="20">
        <f>""</f>
        <v/>
      </c>
      <c r="F916" s="20">
        <f>IF($C916="","",IF(Registro_Compras!$F$105="NOTA DE CREDITO",ROUND(ABS(Registro_Compras!$K$105*Registro_Compras!$N$105),2),IF(Registro_Compras!$F$105="RHE",(ROUND(Registro_Compras!$L$105*Registro_Compras!$N$105,2)-ROUND(Registro_Compras!$V$105*Registro_Compras!$N$105,2)),Registro_Compras!$O$105)))</f>
        <v/>
      </c>
      <c r="G916">
        <f>IF($C916="","",IF(Registro_Compras!$F$105="NOTA DE CREDITO","Por la nota de credito "&amp;Registro_Compras!$C$105&amp;" de "&amp;Registro_Compras!$E$105&amp;" [PATRON POR CONFIRMAR CON CONTADOR]",IF(Registro_Compras!$F$105="RHE","Por el registro del recibo por honorarios "&amp;Registro_Compras!$C$105&amp;" de "&amp;Registro_Compras!$E$105&amp;" [PATRON POR CONFIRMAR CON CONTADOR]","Por el registro de la factura "&amp;Registro_Compras!$C$105&amp;" de "&amp;Registro_Compras!$E$105)))</f>
        <v/>
      </c>
      <c r="H916">
        <f>IF($C916="","",Registro_Compras!$C$105)</f>
        <v/>
      </c>
    </row>
    <row r="917">
      <c r="A917" s="25">
        <f>IF($C917="","",Registro_Compras!$B$105)</f>
        <v/>
      </c>
      <c r="B917">
        <f>IF($C917="","","C"&amp;TEXT(INT((ROW()-5)/9)+1,"000")&amp;"-2")</f>
        <v/>
      </c>
      <c r="C917">
        <f>IF(OR(Registro_Compras!$C$105="",Registro_Compras!$O$105=""),"",IF(Registro_Compras!$AB$105="ADMINISTRATIVO","94","95"))</f>
        <v/>
      </c>
      <c r="D917">
        <f>IF(OR(Registro_Compras!$C$105="",Registro_Compras!$O$105=""),"",IF(Registro_Compras!$AB$105="ADMINISTRATIVO","Gastos Administrativos","Gastos de Venta y Operacion"))</f>
        <v/>
      </c>
      <c r="E917" s="20">
        <f>IF($C917="","",IF(Registro_Compras!$F$105="NOTA DE CREDITO","",IF(Registro_Compras!$F$105="RHE",ROUND(Registro_Compras!$L$105*Registro_Compras!$N$105,2),ROUND(Registro_Compras!$J$105*Registro_Compras!$N$105,2))))</f>
        <v/>
      </c>
      <c r="F917" s="20">
        <f>IF($C917="","",IF(Registro_Compras!$F$105="NOTA DE CREDITO",ROUND(ABS(Registro_Compras!$J$105*Registro_Compras!$N$105),2),""))</f>
        <v/>
      </c>
      <c r="G917">
        <f>IF($C917="","","Por el destino del gasto")</f>
        <v/>
      </c>
      <c r="H917">
        <f>IF($C917="","",Registro_Compras!$C$105)</f>
        <v/>
      </c>
    </row>
    <row r="918">
      <c r="A918" s="25">
        <f>IF($C918="","",Registro_Compras!$B$105)</f>
        <v/>
      </c>
      <c r="B918">
        <f>IF($C918="","","C"&amp;TEXT(INT((ROW()-5)/9)+1,"000")&amp;"-2")</f>
        <v/>
      </c>
      <c r="C918">
        <f>IF(OR(Registro_Compras!$C$105="",Registro_Compras!$O$105=""),"","79/791")</f>
        <v/>
      </c>
      <c r="D918">
        <f>IF(OR(Registro_Compras!$C$105="",Registro_Compras!$O$105=""),"","Cargas Imputables a Cuentas de Costos y Gastos")</f>
        <v/>
      </c>
      <c r="E918" s="20">
        <f>IF($C918="","",IF(Registro_Compras!$F$105="NOTA DE CREDITO",ROUND(ABS(Registro_Compras!$J$105*Registro_Compras!$N$105),2),""))</f>
        <v/>
      </c>
      <c r="F918" s="20">
        <f>IF($C918="","",IF(Registro_Compras!$F$105="NOTA DE CREDITO","",IF(Registro_Compras!$F$105="RHE",ROUND(Registro_Compras!$L$105*Registro_Compras!$N$105,2),ROUND(Registro_Compras!$J$105*Registro_Compras!$N$105,2))))</f>
        <v/>
      </c>
      <c r="G918">
        <f>IF($C918="","","Por el destino del gasto")</f>
        <v/>
      </c>
      <c r="H918">
        <f>IF($C918="","",Registro_Compras!$C$105)</f>
        <v/>
      </c>
    </row>
    <row r="919">
      <c r="A919" s="25">
        <f>IF($C919="","",Registro_Compras!$X$105)</f>
        <v/>
      </c>
      <c r="B919">
        <f>IF($C919="","","C"&amp;TEXT(INT((ROW()-5)/9)+1,"000")&amp;"-3")</f>
        <v/>
      </c>
      <c r="C919">
        <f>IF(OR(Registro_Compras!$C$105="",Registro_Compras!$O$105="",Registro_Compras!$R$105&lt;&gt;"SI",Registro_Compras!$X$105=""),"","4212")</f>
        <v/>
      </c>
      <c r="D919">
        <f>IF(OR(Registro_Compras!$C$105="",Registro_Compras!$O$105=""),"","Cuentas por Pagar Comerciales - Terceros")</f>
        <v/>
      </c>
      <c r="E919" s="20">
        <f>IF($C919="","",Registro_Compras!$S$105)</f>
        <v/>
      </c>
      <c r="F919" s="20">
        <f>""</f>
        <v/>
      </c>
      <c r="G919">
        <f>IF($C919="","","Por el deposito de la detraccion en el Banco de la Nacion")</f>
        <v/>
      </c>
      <c r="H919">
        <f>IF($C919="","",Registro_Compras!$C$105)</f>
        <v/>
      </c>
    </row>
    <row r="920">
      <c r="A920" s="25">
        <f>IF($C920="","",Registro_Compras!$X$105)</f>
        <v/>
      </c>
      <c r="B920">
        <f>IF($C920="","","C"&amp;TEXT(INT((ROW()-5)/9)+1,"000")&amp;"-3")</f>
        <v/>
      </c>
      <c r="C920">
        <f>IF(OR(Registro_Compras!$C$105="",Registro_Compras!$O$105="",Registro_Compras!$R$105&lt;&gt;"SI",Registro_Compras!$X$105=""),"","10413")</f>
        <v/>
      </c>
      <c r="D920">
        <f>IF(OR(Registro_Compras!$C$105="",Registro_Compras!$O$105=""),"","Efectivo y Equivalentes - Cta. Cte. Operativa")</f>
        <v/>
      </c>
      <c r="E920" s="20">
        <f>""</f>
        <v/>
      </c>
      <c r="F920" s="20">
        <f>IF($C920="","",Registro_Compras!$S$105)</f>
        <v/>
      </c>
      <c r="G920">
        <f>IF($C920="","","Por el deposito de la detraccion en el Banco de la Nacion")</f>
        <v/>
      </c>
      <c r="H920">
        <f>IF($C920="","",Registro_Compras!$C$105)</f>
        <v/>
      </c>
    </row>
    <row r="921">
      <c r="A921" s="25">
        <f>IF($C921="","",Registro_Compras!$Y$105)</f>
        <v/>
      </c>
      <c r="B921">
        <f>IF($C921="","","C"&amp;TEXT(INT((ROW()-5)/9)+1,"000")&amp;"-4")</f>
        <v/>
      </c>
      <c r="C921">
        <f>IF(OR(Registro_Compras!$C$105="",Registro_Compras!$O$105="",Registro_Compras!$Y$105="",Registro_Compras!$F$105="NOTA DE CREDITO"),"","4212")</f>
        <v/>
      </c>
      <c r="D921">
        <f>IF(OR(Registro_Compras!$C$105="",Registro_Compras!$O$105=""),"","Cuentas por Pagar Comerciales - Terceros")</f>
        <v/>
      </c>
      <c r="E921" s="20">
        <f>IF($C921="","",IF(Registro_Compras!$F$105="RHE",(ROUND(Registro_Compras!$L$105*Registro_Compras!$N$105,2)-ROUND(Registro_Compras!$V$105*Registro_Compras!$N$105,2)),ROUND(Registro_Compras!$O$105-Registro_Compras!$S$105,2)))</f>
        <v/>
      </c>
      <c r="F921" s="20">
        <f>""</f>
        <v/>
      </c>
      <c r="G921">
        <f>IF($C921="","","Por la cancelacion del saldo al proveedor")</f>
        <v/>
      </c>
      <c r="H921">
        <f>IF($C921="","",Registro_Compras!$C$105)</f>
        <v/>
      </c>
    </row>
    <row r="922">
      <c r="A922" s="25">
        <f>IF($C922="","",Registro_Compras!$Y$105)</f>
        <v/>
      </c>
      <c r="B922">
        <f>IF($C922="","","C"&amp;TEXT(INT((ROW()-5)/9)+1,"000")&amp;"-4")</f>
        <v/>
      </c>
      <c r="C922">
        <f>IF(OR(Registro_Compras!$C$105="",Registro_Compras!$O$105="",Registro_Compras!$Y$105="",Registro_Compras!$F$105="NOTA DE CREDITO"),"","10413")</f>
        <v/>
      </c>
      <c r="D922">
        <f>IF(OR(Registro_Compras!$C$105="",Registro_Compras!$O$105=""),"","Efectivo y Equivalentes - Cta. Cte. Operativa")</f>
        <v/>
      </c>
      <c r="E922" s="20">
        <f>""</f>
        <v/>
      </c>
      <c r="F922" s="20">
        <f>IF($C922="","",IF(Registro_Compras!$F$105="RHE",(ROUND(Registro_Compras!$L$105*Registro_Compras!$N$105,2)-ROUND(Registro_Compras!$V$105*Registro_Compras!$N$105,2)),ROUND(Registro_Compras!$O$105-Registro_Compras!$S$105,2)))</f>
        <v/>
      </c>
      <c r="G922">
        <f>IF($C922="","","Por la cancelacion del saldo al proveedor")</f>
        <v/>
      </c>
      <c r="H922">
        <f>IF($C922="","",Registro_Compras!$C$105)</f>
        <v/>
      </c>
    </row>
    <row r="923">
      <c r="A923" s="25">
        <f>IF($C923="","",Registro_Compras!$B$106)</f>
        <v/>
      </c>
      <c r="B923">
        <f>IF($C923="","","C"&amp;TEXT(INT((ROW()-5)/9)+1,"000")&amp;"-1")</f>
        <v/>
      </c>
      <c r="C923">
        <f>IF(OR(Registro_Compras!$C$106="",Registro_Compras!$O$106=""),"",IF(Registro_Compras!$F$106="NOTA DE CREDITO","4212",IF(Registro_Compras!$M$106="","63",Registro_Compras!$M$106)))</f>
        <v/>
      </c>
      <c r="D923">
        <f>IF(OR(Registro_Compras!$C$106="",Registro_Compras!$O$106=""),"",IF(Registro_Compras!$F$106="NOTA DE CREDITO","Cuentas por Pagar Comerciales - Terceros (Emitidas)",IF(Registro_Compras!$F$106="RHE","Honorarios Profesionales - Servicios de Terceros","Gastos de Servicios Prestados por Terceros")))</f>
        <v/>
      </c>
      <c r="E923" s="20">
        <f>IF($C923="","",IF(Registro_Compras!$F$106="NOTA DE CREDITO",ABS(Registro_Compras!$O$106),IF(Registro_Compras!$F$106="RHE",ROUND(Registro_Compras!$L$106*Registro_Compras!$N$106,2),ROUND(Registro_Compras!$J$106*Registro_Compras!$N$106,2))))</f>
        <v/>
      </c>
      <c r="F923" s="20">
        <f>""</f>
        <v/>
      </c>
      <c r="G923">
        <f>IF($C923="","",IF(Registro_Compras!$F$106="NOTA DE CREDITO","Por la nota de credito "&amp;Registro_Compras!$C$106&amp;" de "&amp;Registro_Compras!$E$106&amp;" [PATRON POR CONFIRMAR CON CONTADOR]",IF(Registro_Compras!$F$106="RHE","Por el registro del recibo por honorarios "&amp;Registro_Compras!$C$106&amp;" de "&amp;Registro_Compras!$E$106&amp;" [PATRON POR CONFIRMAR CON CONTADOR]","Por el registro de la factura "&amp;Registro_Compras!$C$106&amp;" de "&amp;Registro_Compras!$E$106)))</f>
        <v/>
      </c>
      <c r="H923">
        <f>IF($C923="","",Registro_Compras!$C$106)</f>
        <v/>
      </c>
    </row>
    <row r="924">
      <c r="A924" s="25">
        <f>IF($C924="","",Registro_Compras!$B$106)</f>
        <v/>
      </c>
      <c r="B924">
        <f>IF($C924="","","C"&amp;TEXT(INT((ROW()-5)/9)+1,"000")&amp;"-1")</f>
        <v/>
      </c>
      <c r="C924">
        <f>IF(OR(Registro_Compras!$C$106="",Registro_Compras!$O$106=""),"",IF(Registro_Compras!$F$106="RHE",IF(Registro_Compras!$V$106=0,"","40172"),IF(Registro_Compras!$F$106="NOTA DE CREDITO",IF(Registro_Compras!$M$106="","63",Registro_Compras!$M$106),IF(Registro_Compras!$K$106=0,"","40111"))))</f>
        <v/>
      </c>
      <c r="D924">
        <f>IF(OR(Registro_Compras!$C$106="",Registro_Compras!$O$106=""),"",IF(Registro_Compras!$F$106="RHE","Retencion Renta 4ta Categoria por Pagar",IF(Registro_Compras!$F$106="NOTA DE CREDITO","Gastos de Servicios Prestados por Terceros","IGV - Cuenta Propia (Credito Fiscal)")))</f>
        <v/>
      </c>
      <c r="E924" s="20">
        <f>IF($C924="","",IF(Registro_Compras!$F$106="FACTURA",ROUND(Registro_Compras!$K$106*Registro_Compras!$N$106,2),""))</f>
        <v/>
      </c>
      <c r="F924" s="20">
        <f>IF($C924="","",IF(Registro_Compras!$F$106="RHE",ROUND(Registro_Compras!$V$106*Registro_Compras!$N$106,2),IF(Registro_Compras!$F$106="NOTA DE CREDITO",ROUND(ABS(Registro_Compras!$J$106*Registro_Compras!$N$106),2),"")))</f>
        <v/>
      </c>
      <c r="G924">
        <f>IF($C924="","",IF(Registro_Compras!$F$106="NOTA DE CREDITO","Por la nota de credito "&amp;Registro_Compras!$C$106&amp;" de "&amp;Registro_Compras!$E$106&amp;" [PATRON POR CONFIRMAR CON CONTADOR]",IF(Registro_Compras!$F$106="RHE","Por el registro del recibo por honorarios "&amp;Registro_Compras!$C$106&amp;" de "&amp;Registro_Compras!$E$106&amp;" [PATRON POR CONFIRMAR CON CONTADOR]","Por el registro de la factura "&amp;Registro_Compras!$C$106&amp;" de "&amp;Registro_Compras!$E$106)))</f>
        <v/>
      </c>
      <c r="H924">
        <f>IF($C924="","",Registro_Compras!$C$106)</f>
        <v/>
      </c>
    </row>
    <row r="925">
      <c r="A925" s="25">
        <f>IF($C925="","",Registro_Compras!$B$106)</f>
        <v/>
      </c>
      <c r="B925">
        <f>IF($C925="","","C"&amp;TEXT(INT((ROW()-5)/9)+1,"000")&amp;"-1")</f>
        <v/>
      </c>
      <c r="C925">
        <f>IF(OR(Registro_Compras!$C$106="",Registro_Compras!$O$106=""),"",IF(Registro_Compras!$F$106="NOTA DE CREDITO",IF(Registro_Compras!$K$106=0,"","40111"),"4212"))</f>
        <v/>
      </c>
      <c r="D925">
        <f>IF(OR(Registro_Compras!$C$106="",Registro_Compras!$O$106=""),"",IF(Registro_Compras!$F$106="NOTA DE CREDITO","IGV - Cuenta Propia (Credito Fiscal)","Cuentas por Pagar Comerciales - Terceros (Emitidas)"))</f>
        <v/>
      </c>
      <c r="E925" s="20">
        <f>""</f>
        <v/>
      </c>
      <c r="F925" s="20">
        <f>IF($C925="","",IF(Registro_Compras!$F$106="NOTA DE CREDITO",ROUND(ABS(Registro_Compras!$K$106*Registro_Compras!$N$106),2),IF(Registro_Compras!$F$106="RHE",(ROUND(Registro_Compras!$L$106*Registro_Compras!$N$106,2)-ROUND(Registro_Compras!$V$106*Registro_Compras!$N$106,2)),Registro_Compras!$O$106)))</f>
        <v/>
      </c>
      <c r="G925">
        <f>IF($C925="","",IF(Registro_Compras!$F$106="NOTA DE CREDITO","Por la nota de credito "&amp;Registro_Compras!$C$106&amp;" de "&amp;Registro_Compras!$E$106&amp;" [PATRON POR CONFIRMAR CON CONTADOR]",IF(Registro_Compras!$F$106="RHE","Por el registro del recibo por honorarios "&amp;Registro_Compras!$C$106&amp;" de "&amp;Registro_Compras!$E$106&amp;" [PATRON POR CONFIRMAR CON CONTADOR]","Por el registro de la factura "&amp;Registro_Compras!$C$106&amp;" de "&amp;Registro_Compras!$E$106)))</f>
        <v/>
      </c>
      <c r="H925">
        <f>IF($C925="","",Registro_Compras!$C$106)</f>
        <v/>
      </c>
    </row>
    <row r="926">
      <c r="A926" s="25">
        <f>IF($C926="","",Registro_Compras!$B$106)</f>
        <v/>
      </c>
      <c r="B926">
        <f>IF($C926="","","C"&amp;TEXT(INT((ROW()-5)/9)+1,"000")&amp;"-2")</f>
        <v/>
      </c>
      <c r="C926">
        <f>IF(OR(Registro_Compras!$C$106="",Registro_Compras!$O$106=""),"",IF(Registro_Compras!$AB$106="ADMINISTRATIVO","94","95"))</f>
        <v/>
      </c>
      <c r="D926">
        <f>IF(OR(Registro_Compras!$C$106="",Registro_Compras!$O$106=""),"",IF(Registro_Compras!$AB$106="ADMINISTRATIVO","Gastos Administrativos","Gastos de Venta y Operacion"))</f>
        <v/>
      </c>
      <c r="E926" s="20">
        <f>IF($C926="","",IF(Registro_Compras!$F$106="NOTA DE CREDITO","",IF(Registro_Compras!$F$106="RHE",ROUND(Registro_Compras!$L$106*Registro_Compras!$N$106,2),ROUND(Registro_Compras!$J$106*Registro_Compras!$N$106,2))))</f>
        <v/>
      </c>
      <c r="F926" s="20">
        <f>IF($C926="","",IF(Registro_Compras!$F$106="NOTA DE CREDITO",ROUND(ABS(Registro_Compras!$J$106*Registro_Compras!$N$106),2),""))</f>
        <v/>
      </c>
      <c r="G926">
        <f>IF($C926="","","Por el destino del gasto")</f>
        <v/>
      </c>
      <c r="H926">
        <f>IF($C926="","",Registro_Compras!$C$106)</f>
        <v/>
      </c>
    </row>
    <row r="927">
      <c r="A927" s="25">
        <f>IF($C927="","",Registro_Compras!$B$106)</f>
        <v/>
      </c>
      <c r="B927">
        <f>IF($C927="","","C"&amp;TEXT(INT((ROW()-5)/9)+1,"000")&amp;"-2")</f>
        <v/>
      </c>
      <c r="C927">
        <f>IF(OR(Registro_Compras!$C$106="",Registro_Compras!$O$106=""),"","79/791")</f>
        <v/>
      </c>
      <c r="D927">
        <f>IF(OR(Registro_Compras!$C$106="",Registro_Compras!$O$106=""),"","Cargas Imputables a Cuentas de Costos y Gastos")</f>
        <v/>
      </c>
      <c r="E927" s="20">
        <f>IF($C927="","",IF(Registro_Compras!$F$106="NOTA DE CREDITO",ROUND(ABS(Registro_Compras!$J$106*Registro_Compras!$N$106),2),""))</f>
        <v/>
      </c>
      <c r="F927" s="20">
        <f>IF($C927="","",IF(Registro_Compras!$F$106="NOTA DE CREDITO","",IF(Registro_Compras!$F$106="RHE",ROUND(Registro_Compras!$L$106*Registro_Compras!$N$106,2),ROUND(Registro_Compras!$J$106*Registro_Compras!$N$106,2))))</f>
        <v/>
      </c>
      <c r="G927">
        <f>IF($C927="","","Por el destino del gasto")</f>
        <v/>
      </c>
      <c r="H927">
        <f>IF($C927="","",Registro_Compras!$C$106)</f>
        <v/>
      </c>
    </row>
    <row r="928">
      <c r="A928" s="25">
        <f>IF($C928="","",Registro_Compras!$X$106)</f>
        <v/>
      </c>
      <c r="B928">
        <f>IF($C928="","","C"&amp;TEXT(INT((ROW()-5)/9)+1,"000")&amp;"-3")</f>
        <v/>
      </c>
      <c r="C928">
        <f>IF(OR(Registro_Compras!$C$106="",Registro_Compras!$O$106="",Registro_Compras!$R$106&lt;&gt;"SI",Registro_Compras!$X$106=""),"","4212")</f>
        <v/>
      </c>
      <c r="D928">
        <f>IF(OR(Registro_Compras!$C$106="",Registro_Compras!$O$106=""),"","Cuentas por Pagar Comerciales - Terceros")</f>
        <v/>
      </c>
      <c r="E928" s="20">
        <f>IF($C928="","",Registro_Compras!$S$106)</f>
        <v/>
      </c>
      <c r="F928" s="20">
        <f>""</f>
        <v/>
      </c>
      <c r="G928">
        <f>IF($C928="","","Por el deposito de la detraccion en el Banco de la Nacion")</f>
        <v/>
      </c>
      <c r="H928">
        <f>IF($C928="","",Registro_Compras!$C$106)</f>
        <v/>
      </c>
    </row>
    <row r="929">
      <c r="A929" s="25">
        <f>IF($C929="","",Registro_Compras!$X$106)</f>
        <v/>
      </c>
      <c r="B929">
        <f>IF($C929="","","C"&amp;TEXT(INT((ROW()-5)/9)+1,"000")&amp;"-3")</f>
        <v/>
      </c>
      <c r="C929">
        <f>IF(OR(Registro_Compras!$C$106="",Registro_Compras!$O$106="",Registro_Compras!$R$106&lt;&gt;"SI",Registro_Compras!$X$106=""),"","10413")</f>
        <v/>
      </c>
      <c r="D929">
        <f>IF(OR(Registro_Compras!$C$106="",Registro_Compras!$O$106=""),"","Efectivo y Equivalentes - Cta. Cte. Operativa")</f>
        <v/>
      </c>
      <c r="E929" s="20">
        <f>""</f>
        <v/>
      </c>
      <c r="F929" s="20">
        <f>IF($C929="","",Registro_Compras!$S$106)</f>
        <v/>
      </c>
      <c r="G929">
        <f>IF($C929="","","Por el deposito de la detraccion en el Banco de la Nacion")</f>
        <v/>
      </c>
      <c r="H929">
        <f>IF($C929="","",Registro_Compras!$C$106)</f>
        <v/>
      </c>
    </row>
    <row r="930">
      <c r="A930" s="25">
        <f>IF($C930="","",Registro_Compras!$Y$106)</f>
        <v/>
      </c>
      <c r="B930">
        <f>IF($C930="","","C"&amp;TEXT(INT((ROW()-5)/9)+1,"000")&amp;"-4")</f>
        <v/>
      </c>
      <c r="C930">
        <f>IF(OR(Registro_Compras!$C$106="",Registro_Compras!$O$106="",Registro_Compras!$Y$106="",Registro_Compras!$F$106="NOTA DE CREDITO"),"","4212")</f>
        <v/>
      </c>
      <c r="D930">
        <f>IF(OR(Registro_Compras!$C$106="",Registro_Compras!$O$106=""),"","Cuentas por Pagar Comerciales - Terceros")</f>
        <v/>
      </c>
      <c r="E930" s="20">
        <f>IF($C930="","",IF(Registro_Compras!$F$106="RHE",(ROUND(Registro_Compras!$L$106*Registro_Compras!$N$106,2)-ROUND(Registro_Compras!$V$106*Registro_Compras!$N$106,2)),ROUND(Registro_Compras!$O$106-Registro_Compras!$S$106,2)))</f>
        <v/>
      </c>
      <c r="F930" s="20">
        <f>""</f>
        <v/>
      </c>
      <c r="G930">
        <f>IF($C930="","","Por la cancelacion del saldo al proveedor")</f>
        <v/>
      </c>
      <c r="H930">
        <f>IF($C930="","",Registro_Compras!$C$106)</f>
        <v/>
      </c>
    </row>
    <row r="931">
      <c r="A931" s="25">
        <f>IF($C931="","",Registro_Compras!$Y$106)</f>
        <v/>
      </c>
      <c r="B931">
        <f>IF($C931="","","C"&amp;TEXT(INT((ROW()-5)/9)+1,"000")&amp;"-4")</f>
        <v/>
      </c>
      <c r="C931">
        <f>IF(OR(Registro_Compras!$C$106="",Registro_Compras!$O$106="",Registro_Compras!$Y$106="",Registro_Compras!$F$106="NOTA DE CREDITO"),"","10413")</f>
        <v/>
      </c>
      <c r="D931">
        <f>IF(OR(Registro_Compras!$C$106="",Registro_Compras!$O$106=""),"","Efectivo y Equivalentes - Cta. Cte. Operativa")</f>
        <v/>
      </c>
      <c r="E931" s="20">
        <f>""</f>
        <v/>
      </c>
      <c r="F931" s="20">
        <f>IF($C931="","",IF(Registro_Compras!$F$106="RHE",(ROUND(Registro_Compras!$L$106*Registro_Compras!$N$106,2)-ROUND(Registro_Compras!$V$106*Registro_Compras!$N$106,2)),ROUND(Registro_Compras!$O$106-Registro_Compras!$S$106,2)))</f>
        <v/>
      </c>
      <c r="G931">
        <f>IF($C931="","","Por la cancelacion del saldo al proveedor")</f>
        <v/>
      </c>
      <c r="H931">
        <f>IF($C931="","",Registro_Compras!$C$106)</f>
        <v/>
      </c>
    </row>
    <row r="932">
      <c r="A932" s="25">
        <f>IF($C932="","",Registro_Compras!$B$107)</f>
        <v/>
      </c>
      <c r="B932">
        <f>IF($C932="","","C"&amp;TEXT(INT((ROW()-5)/9)+1,"000")&amp;"-1")</f>
        <v/>
      </c>
      <c r="C932">
        <f>IF(OR(Registro_Compras!$C$107="",Registro_Compras!$O$107=""),"",IF(Registro_Compras!$F$107="NOTA DE CREDITO","4212",IF(Registro_Compras!$M$107="","63",Registro_Compras!$M$107)))</f>
        <v/>
      </c>
      <c r="D932">
        <f>IF(OR(Registro_Compras!$C$107="",Registro_Compras!$O$107=""),"",IF(Registro_Compras!$F$107="NOTA DE CREDITO","Cuentas por Pagar Comerciales - Terceros (Emitidas)",IF(Registro_Compras!$F$107="RHE","Honorarios Profesionales - Servicios de Terceros","Gastos de Servicios Prestados por Terceros")))</f>
        <v/>
      </c>
      <c r="E932" s="20">
        <f>IF($C932="","",IF(Registro_Compras!$F$107="NOTA DE CREDITO",ABS(Registro_Compras!$O$107),IF(Registro_Compras!$F$107="RHE",ROUND(Registro_Compras!$L$107*Registro_Compras!$N$107,2),ROUND(Registro_Compras!$J$107*Registro_Compras!$N$107,2))))</f>
        <v/>
      </c>
      <c r="F932" s="20">
        <f>""</f>
        <v/>
      </c>
      <c r="G932">
        <f>IF($C932="","",IF(Registro_Compras!$F$107="NOTA DE CREDITO","Por la nota de credito "&amp;Registro_Compras!$C$107&amp;" de "&amp;Registro_Compras!$E$107&amp;" [PATRON POR CONFIRMAR CON CONTADOR]",IF(Registro_Compras!$F$107="RHE","Por el registro del recibo por honorarios "&amp;Registro_Compras!$C$107&amp;" de "&amp;Registro_Compras!$E$107&amp;" [PATRON POR CONFIRMAR CON CONTADOR]","Por el registro de la factura "&amp;Registro_Compras!$C$107&amp;" de "&amp;Registro_Compras!$E$107)))</f>
        <v/>
      </c>
      <c r="H932">
        <f>IF($C932="","",Registro_Compras!$C$107)</f>
        <v/>
      </c>
    </row>
    <row r="933">
      <c r="A933" s="25">
        <f>IF($C933="","",Registro_Compras!$B$107)</f>
        <v/>
      </c>
      <c r="B933">
        <f>IF($C933="","","C"&amp;TEXT(INT((ROW()-5)/9)+1,"000")&amp;"-1")</f>
        <v/>
      </c>
      <c r="C933">
        <f>IF(OR(Registro_Compras!$C$107="",Registro_Compras!$O$107=""),"",IF(Registro_Compras!$F$107="RHE",IF(Registro_Compras!$V$107=0,"","40172"),IF(Registro_Compras!$F$107="NOTA DE CREDITO",IF(Registro_Compras!$M$107="","63",Registro_Compras!$M$107),IF(Registro_Compras!$K$107=0,"","40111"))))</f>
        <v/>
      </c>
      <c r="D933">
        <f>IF(OR(Registro_Compras!$C$107="",Registro_Compras!$O$107=""),"",IF(Registro_Compras!$F$107="RHE","Retencion Renta 4ta Categoria por Pagar",IF(Registro_Compras!$F$107="NOTA DE CREDITO","Gastos de Servicios Prestados por Terceros","IGV - Cuenta Propia (Credito Fiscal)")))</f>
        <v/>
      </c>
      <c r="E933" s="20">
        <f>IF($C933="","",IF(Registro_Compras!$F$107="FACTURA",ROUND(Registro_Compras!$K$107*Registro_Compras!$N$107,2),""))</f>
        <v/>
      </c>
      <c r="F933" s="20">
        <f>IF($C933="","",IF(Registro_Compras!$F$107="RHE",ROUND(Registro_Compras!$V$107*Registro_Compras!$N$107,2),IF(Registro_Compras!$F$107="NOTA DE CREDITO",ROUND(ABS(Registro_Compras!$J$107*Registro_Compras!$N$107),2),"")))</f>
        <v/>
      </c>
      <c r="G933">
        <f>IF($C933="","",IF(Registro_Compras!$F$107="NOTA DE CREDITO","Por la nota de credito "&amp;Registro_Compras!$C$107&amp;" de "&amp;Registro_Compras!$E$107&amp;" [PATRON POR CONFIRMAR CON CONTADOR]",IF(Registro_Compras!$F$107="RHE","Por el registro del recibo por honorarios "&amp;Registro_Compras!$C$107&amp;" de "&amp;Registro_Compras!$E$107&amp;" [PATRON POR CONFIRMAR CON CONTADOR]","Por el registro de la factura "&amp;Registro_Compras!$C$107&amp;" de "&amp;Registro_Compras!$E$107)))</f>
        <v/>
      </c>
      <c r="H933">
        <f>IF($C933="","",Registro_Compras!$C$107)</f>
        <v/>
      </c>
    </row>
    <row r="934">
      <c r="A934" s="25">
        <f>IF($C934="","",Registro_Compras!$B$107)</f>
        <v/>
      </c>
      <c r="B934">
        <f>IF($C934="","","C"&amp;TEXT(INT((ROW()-5)/9)+1,"000")&amp;"-1")</f>
        <v/>
      </c>
      <c r="C934">
        <f>IF(OR(Registro_Compras!$C$107="",Registro_Compras!$O$107=""),"",IF(Registro_Compras!$F$107="NOTA DE CREDITO",IF(Registro_Compras!$K$107=0,"","40111"),"4212"))</f>
        <v/>
      </c>
      <c r="D934">
        <f>IF(OR(Registro_Compras!$C$107="",Registro_Compras!$O$107=""),"",IF(Registro_Compras!$F$107="NOTA DE CREDITO","IGV - Cuenta Propia (Credito Fiscal)","Cuentas por Pagar Comerciales - Terceros (Emitidas)"))</f>
        <v/>
      </c>
      <c r="E934" s="20">
        <f>""</f>
        <v/>
      </c>
      <c r="F934" s="20">
        <f>IF($C934="","",IF(Registro_Compras!$F$107="NOTA DE CREDITO",ROUND(ABS(Registro_Compras!$K$107*Registro_Compras!$N$107),2),IF(Registro_Compras!$F$107="RHE",(ROUND(Registro_Compras!$L$107*Registro_Compras!$N$107,2)-ROUND(Registro_Compras!$V$107*Registro_Compras!$N$107,2)),Registro_Compras!$O$107)))</f>
        <v/>
      </c>
      <c r="G934">
        <f>IF($C934="","",IF(Registro_Compras!$F$107="NOTA DE CREDITO","Por la nota de credito "&amp;Registro_Compras!$C$107&amp;" de "&amp;Registro_Compras!$E$107&amp;" [PATRON POR CONFIRMAR CON CONTADOR]",IF(Registro_Compras!$F$107="RHE","Por el registro del recibo por honorarios "&amp;Registro_Compras!$C$107&amp;" de "&amp;Registro_Compras!$E$107&amp;" [PATRON POR CONFIRMAR CON CONTADOR]","Por el registro de la factura "&amp;Registro_Compras!$C$107&amp;" de "&amp;Registro_Compras!$E$107)))</f>
        <v/>
      </c>
      <c r="H934">
        <f>IF($C934="","",Registro_Compras!$C$107)</f>
        <v/>
      </c>
    </row>
    <row r="935">
      <c r="A935" s="25">
        <f>IF($C935="","",Registro_Compras!$B$107)</f>
        <v/>
      </c>
      <c r="B935">
        <f>IF($C935="","","C"&amp;TEXT(INT((ROW()-5)/9)+1,"000")&amp;"-2")</f>
        <v/>
      </c>
      <c r="C935">
        <f>IF(OR(Registro_Compras!$C$107="",Registro_Compras!$O$107=""),"",IF(Registro_Compras!$AB$107="ADMINISTRATIVO","94","95"))</f>
        <v/>
      </c>
      <c r="D935">
        <f>IF(OR(Registro_Compras!$C$107="",Registro_Compras!$O$107=""),"",IF(Registro_Compras!$AB$107="ADMINISTRATIVO","Gastos Administrativos","Gastos de Venta y Operacion"))</f>
        <v/>
      </c>
      <c r="E935" s="20">
        <f>IF($C935="","",IF(Registro_Compras!$F$107="NOTA DE CREDITO","",IF(Registro_Compras!$F$107="RHE",ROUND(Registro_Compras!$L$107*Registro_Compras!$N$107,2),ROUND(Registro_Compras!$J$107*Registro_Compras!$N$107,2))))</f>
        <v/>
      </c>
      <c r="F935" s="20">
        <f>IF($C935="","",IF(Registro_Compras!$F$107="NOTA DE CREDITO",ROUND(ABS(Registro_Compras!$J$107*Registro_Compras!$N$107),2),""))</f>
        <v/>
      </c>
      <c r="G935">
        <f>IF($C935="","","Por el destino del gasto")</f>
        <v/>
      </c>
      <c r="H935">
        <f>IF($C935="","",Registro_Compras!$C$107)</f>
        <v/>
      </c>
    </row>
    <row r="936">
      <c r="A936" s="25">
        <f>IF($C936="","",Registro_Compras!$B$107)</f>
        <v/>
      </c>
      <c r="B936">
        <f>IF($C936="","","C"&amp;TEXT(INT((ROW()-5)/9)+1,"000")&amp;"-2")</f>
        <v/>
      </c>
      <c r="C936">
        <f>IF(OR(Registro_Compras!$C$107="",Registro_Compras!$O$107=""),"","79/791")</f>
        <v/>
      </c>
      <c r="D936">
        <f>IF(OR(Registro_Compras!$C$107="",Registro_Compras!$O$107=""),"","Cargas Imputables a Cuentas de Costos y Gastos")</f>
        <v/>
      </c>
      <c r="E936" s="20">
        <f>IF($C936="","",IF(Registro_Compras!$F$107="NOTA DE CREDITO",ROUND(ABS(Registro_Compras!$J$107*Registro_Compras!$N$107),2),""))</f>
        <v/>
      </c>
      <c r="F936" s="20">
        <f>IF($C936="","",IF(Registro_Compras!$F$107="NOTA DE CREDITO","",IF(Registro_Compras!$F$107="RHE",ROUND(Registro_Compras!$L$107*Registro_Compras!$N$107,2),ROUND(Registro_Compras!$J$107*Registro_Compras!$N$107,2))))</f>
        <v/>
      </c>
      <c r="G936">
        <f>IF($C936="","","Por el destino del gasto")</f>
        <v/>
      </c>
      <c r="H936">
        <f>IF($C936="","",Registro_Compras!$C$107)</f>
        <v/>
      </c>
    </row>
    <row r="937">
      <c r="A937" s="25">
        <f>IF($C937="","",Registro_Compras!$X$107)</f>
        <v/>
      </c>
      <c r="B937">
        <f>IF($C937="","","C"&amp;TEXT(INT((ROW()-5)/9)+1,"000")&amp;"-3")</f>
        <v/>
      </c>
      <c r="C937">
        <f>IF(OR(Registro_Compras!$C$107="",Registro_Compras!$O$107="",Registro_Compras!$R$107&lt;&gt;"SI",Registro_Compras!$X$107=""),"","4212")</f>
        <v/>
      </c>
      <c r="D937">
        <f>IF(OR(Registro_Compras!$C$107="",Registro_Compras!$O$107=""),"","Cuentas por Pagar Comerciales - Terceros")</f>
        <v/>
      </c>
      <c r="E937" s="20">
        <f>IF($C937="","",Registro_Compras!$S$107)</f>
        <v/>
      </c>
      <c r="F937" s="20">
        <f>""</f>
        <v/>
      </c>
      <c r="G937">
        <f>IF($C937="","","Por el deposito de la detraccion en el Banco de la Nacion")</f>
        <v/>
      </c>
      <c r="H937">
        <f>IF($C937="","",Registro_Compras!$C$107)</f>
        <v/>
      </c>
    </row>
    <row r="938">
      <c r="A938" s="25">
        <f>IF($C938="","",Registro_Compras!$X$107)</f>
        <v/>
      </c>
      <c r="B938">
        <f>IF($C938="","","C"&amp;TEXT(INT((ROW()-5)/9)+1,"000")&amp;"-3")</f>
        <v/>
      </c>
      <c r="C938">
        <f>IF(OR(Registro_Compras!$C$107="",Registro_Compras!$O$107="",Registro_Compras!$R$107&lt;&gt;"SI",Registro_Compras!$X$107=""),"","10413")</f>
        <v/>
      </c>
      <c r="D938">
        <f>IF(OR(Registro_Compras!$C$107="",Registro_Compras!$O$107=""),"","Efectivo y Equivalentes - Cta. Cte. Operativa")</f>
        <v/>
      </c>
      <c r="E938" s="20">
        <f>""</f>
        <v/>
      </c>
      <c r="F938" s="20">
        <f>IF($C938="","",Registro_Compras!$S$107)</f>
        <v/>
      </c>
      <c r="G938">
        <f>IF($C938="","","Por el deposito de la detraccion en el Banco de la Nacion")</f>
        <v/>
      </c>
      <c r="H938">
        <f>IF($C938="","",Registro_Compras!$C$107)</f>
        <v/>
      </c>
    </row>
    <row r="939">
      <c r="A939" s="25">
        <f>IF($C939="","",Registro_Compras!$Y$107)</f>
        <v/>
      </c>
      <c r="B939">
        <f>IF($C939="","","C"&amp;TEXT(INT((ROW()-5)/9)+1,"000")&amp;"-4")</f>
        <v/>
      </c>
      <c r="C939">
        <f>IF(OR(Registro_Compras!$C$107="",Registro_Compras!$O$107="",Registro_Compras!$Y$107="",Registro_Compras!$F$107="NOTA DE CREDITO"),"","4212")</f>
        <v/>
      </c>
      <c r="D939">
        <f>IF(OR(Registro_Compras!$C$107="",Registro_Compras!$O$107=""),"","Cuentas por Pagar Comerciales - Terceros")</f>
        <v/>
      </c>
      <c r="E939" s="20">
        <f>IF($C939="","",IF(Registro_Compras!$F$107="RHE",(ROUND(Registro_Compras!$L$107*Registro_Compras!$N$107,2)-ROUND(Registro_Compras!$V$107*Registro_Compras!$N$107,2)),ROUND(Registro_Compras!$O$107-Registro_Compras!$S$107,2)))</f>
        <v/>
      </c>
      <c r="F939" s="20">
        <f>""</f>
        <v/>
      </c>
      <c r="G939">
        <f>IF($C939="","","Por la cancelacion del saldo al proveedor")</f>
        <v/>
      </c>
      <c r="H939">
        <f>IF($C939="","",Registro_Compras!$C$107)</f>
        <v/>
      </c>
    </row>
    <row r="940">
      <c r="A940" s="25">
        <f>IF($C940="","",Registro_Compras!$Y$107)</f>
        <v/>
      </c>
      <c r="B940">
        <f>IF($C940="","","C"&amp;TEXT(INT((ROW()-5)/9)+1,"000")&amp;"-4")</f>
        <v/>
      </c>
      <c r="C940">
        <f>IF(OR(Registro_Compras!$C$107="",Registro_Compras!$O$107="",Registro_Compras!$Y$107="",Registro_Compras!$F$107="NOTA DE CREDITO"),"","10413")</f>
        <v/>
      </c>
      <c r="D940">
        <f>IF(OR(Registro_Compras!$C$107="",Registro_Compras!$O$107=""),"","Efectivo y Equivalentes - Cta. Cte. Operativa")</f>
        <v/>
      </c>
      <c r="E940" s="20">
        <f>""</f>
        <v/>
      </c>
      <c r="F940" s="20">
        <f>IF($C940="","",IF(Registro_Compras!$F$107="RHE",(ROUND(Registro_Compras!$L$107*Registro_Compras!$N$107,2)-ROUND(Registro_Compras!$V$107*Registro_Compras!$N$107,2)),ROUND(Registro_Compras!$O$107-Registro_Compras!$S$107,2)))</f>
        <v/>
      </c>
      <c r="G940">
        <f>IF($C940="","","Por la cancelacion del saldo al proveedor")</f>
        <v/>
      </c>
      <c r="H940">
        <f>IF($C940="","",Registro_Compras!$C$107)</f>
        <v/>
      </c>
    </row>
    <row r="941">
      <c r="A941" s="25">
        <f>IF($C941="","",Registro_Compras!$B$108)</f>
        <v/>
      </c>
      <c r="B941">
        <f>IF($C941="","","C"&amp;TEXT(INT((ROW()-5)/9)+1,"000")&amp;"-1")</f>
        <v/>
      </c>
      <c r="C941">
        <f>IF(OR(Registro_Compras!$C$108="",Registro_Compras!$O$108=""),"",IF(Registro_Compras!$F$108="NOTA DE CREDITO","4212",IF(Registro_Compras!$M$108="","63",Registro_Compras!$M$108)))</f>
        <v/>
      </c>
      <c r="D941">
        <f>IF(OR(Registro_Compras!$C$108="",Registro_Compras!$O$108=""),"",IF(Registro_Compras!$F$108="NOTA DE CREDITO","Cuentas por Pagar Comerciales - Terceros (Emitidas)",IF(Registro_Compras!$F$108="RHE","Honorarios Profesionales - Servicios de Terceros","Gastos de Servicios Prestados por Terceros")))</f>
        <v/>
      </c>
      <c r="E941" s="20">
        <f>IF($C941="","",IF(Registro_Compras!$F$108="NOTA DE CREDITO",ABS(Registro_Compras!$O$108),IF(Registro_Compras!$F$108="RHE",ROUND(Registro_Compras!$L$108*Registro_Compras!$N$108,2),ROUND(Registro_Compras!$J$108*Registro_Compras!$N$108,2))))</f>
        <v/>
      </c>
      <c r="F941" s="20">
        <f>""</f>
        <v/>
      </c>
      <c r="G941">
        <f>IF($C941="","",IF(Registro_Compras!$F$108="NOTA DE CREDITO","Por la nota de credito "&amp;Registro_Compras!$C$108&amp;" de "&amp;Registro_Compras!$E$108&amp;" [PATRON POR CONFIRMAR CON CONTADOR]",IF(Registro_Compras!$F$108="RHE","Por el registro del recibo por honorarios "&amp;Registro_Compras!$C$108&amp;" de "&amp;Registro_Compras!$E$108&amp;" [PATRON POR CONFIRMAR CON CONTADOR]","Por el registro de la factura "&amp;Registro_Compras!$C$108&amp;" de "&amp;Registro_Compras!$E$108)))</f>
        <v/>
      </c>
      <c r="H941">
        <f>IF($C941="","",Registro_Compras!$C$108)</f>
        <v/>
      </c>
    </row>
    <row r="942">
      <c r="A942" s="25">
        <f>IF($C942="","",Registro_Compras!$B$108)</f>
        <v/>
      </c>
      <c r="B942">
        <f>IF($C942="","","C"&amp;TEXT(INT((ROW()-5)/9)+1,"000")&amp;"-1")</f>
        <v/>
      </c>
      <c r="C942">
        <f>IF(OR(Registro_Compras!$C$108="",Registro_Compras!$O$108=""),"",IF(Registro_Compras!$F$108="RHE",IF(Registro_Compras!$V$108=0,"","40172"),IF(Registro_Compras!$F$108="NOTA DE CREDITO",IF(Registro_Compras!$M$108="","63",Registro_Compras!$M$108),IF(Registro_Compras!$K$108=0,"","40111"))))</f>
        <v/>
      </c>
      <c r="D942">
        <f>IF(OR(Registro_Compras!$C$108="",Registro_Compras!$O$108=""),"",IF(Registro_Compras!$F$108="RHE","Retencion Renta 4ta Categoria por Pagar",IF(Registro_Compras!$F$108="NOTA DE CREDITO","Gastos de Servicios Prestados por Terceros","IGV - Cuenta Propia (Credito Fiscal)")))</f>
        <v/>
      </c>
      <c r="E942" s="20">
        <f>IF($C942="","",IF(Registro_Compras!$F$108="FACTURA",ROUND(Registro_Compras!$K$108*Registro_Compras!$N$108,2),""))</f>
        <v/>
      </c>
      <c r="F942" s="20">
        <f>IF($C942="","",IF(Registro_Compras!$F$108="RHE",ROUND(Registro_Compras!$V$108*Registro_Compras!$N$108,2),IF(Registro_Compras!$F$108="NOTA DE CREDITO",ROUND(ABS(Registro_Compras!$J$108*Registro_Compras!$N$108),2),"")))</f>
        <v/>
      </c>
      <c r="G942">
        <f>IF($C942="","",IF(Registro_Compras!$F$108="NOTA DE CREDITO","Por la nota de credito "&amp;Registro_Compras!$C$108&amp;" de "&amp;Registro_Compras!$E$108&amp;" [PATRON POR CONFIRMAR CON CONTADOR]",IF(Registro_Compras!$F$108="RHE","Por el registro del recibo por honorarios "&amp;Registro_Compras!$C$108&amp;" de "&amp;Registro_Compras!$E$108&amp;" [PATRON POR CONFIRMAR CON CONTADOR]","Por el registro de la factura "&amp;Registro_Compras!$C$108&amp;" de "&amp;Registro_Compras!$E$108)))</f>
        <v/>
      </c>
      <c r="H942">
        <f>IF($C942="","",Registro_Compras!$C$108)</f>
        <v/>
      </c>
    </row>
    <row r="943">
      <c r="A943" s="25">
        <f>IF($C943="","",Registro_Compras!$B$108)</f>
        <v/>
      </c>
      <c r="B943">
        <f>IF($C943="","","C"&amp;TEXT(INT((ROW()-5)/9)+1,"000")&amp;"-1")</f>
        <v/>
      </c>
      <c r="C943">
        <f>IF(OR(Registro_Compras!$C$108="",Registro_Compras!$O$108=""),"",IF(Registro_Compras!$F$108="NOTA DE CREDITO",IF(Registro_Compras!$K$108=0,"","40111"),"4212"))</f>
        <v/>
      </c>
      <c r="D943">
        <f>IF(OR(Registro_Compras!$C$108="",Registro_Compras!$O$108=""),"",IF(Registro_Compras!$F$108="NOTA DE CREDITO","IGV - Cuenta Propia (Credito Fiscal)","Cuentas por Pagar Comerciales - Terceros (Emitidas)"))</f>
        <v/>
      </c>
      <c r="E943" s="20">
        <f>""</f>
        <v/>
      </c>
      <c r="F943" s="20">
        <f>IF($C943="","",IF(Registro_Compras!$F$108="NOTA DE CREDITO",ROUND(ABS(Registro_Compras!$K$108*Registro_Compras!$N$108),2),IF(Registro_Compras!$F$108="RHE",(ROUND(Registro_Compras!$L$108*Registro_Compras!$N$108,2)-ROUND(Registro_Compras!$V$108*Registro_Compras!$N$108,2)),Registro_Compras!$O$108)))</f>
        <v/>
      </c>
      <c r="G943">
        <f>IF($C943="","",IF(Registro_Compras!$F$108="NOTA DE CREDITO","Por la nota de credito "&amp;Registro_Compras!$C$108&amp;" de "&amp;Registro_Compras!$E$108&amp;" [PATRON POR CONFIRMAR CON CONTADOR]",IF(Registro_Compras!$F$108="RHE","Por el registro del recibo por honorarios "&amp;Registro_Compras!$C$108&amp;" de "&amp;Registro_Compras!$E$108&amp;" [PATRON POR CONFIRMAR CON CONTADOR]","Por el registro de la factura "&amp;Registro_Compras!$C$108&amp;" de "&amp;Registro_Compras!$E$108)))</f>
        <v/>
      </c>
      <c r="H943">
        <f>IF($C943="","",Registro_Compras!$C$108)</f>
        <v/>
      </c>
    </row>
    <row r="944">
      <c r="A944" s="25">
        <f>IF($C944="","",Registro_Compras!$B$108)</f>
        <v/>
      </c>
      <c r="B944">
        <f>IF($C944="","","C"&amp;TEXT(INT((ROW()-5)/9)+1,"000")&amp;"-2")</f>
        <v/>
      </c>
      <c r="C944">
        <f>IF(OR(Registro_Compras!$C$108="",Registro_Compras!$O$108=""),"",IF(Registro_Compras!$AB$108="ADMINISTRATIVO","94","95"))</f>
        <v/>
      </c>
      <c r="D944">
        <f>IF(OR(Registro_Compras!$C$108="",Registro_Compras!$O$108=""),"",IF(Registro_Compras!$AB$108="ADMINISTRATIVO","Gastos Administrativos","Gastos de Venta y Operacion"))</f>
        <v/>
      </c>
      <c r="E944" s="20">
        <f>IF($C944="","",IF(Registro_Compras!$F$108="NOTA DE CREDITO","",IF(Registro_Compras!$F$108="RHE",ROUND(Registro_Compras!$L$108*Registro_Compras!$N$108,2),ROUND(Registro_Compras!$J$108*Registro_Compras!$N$108,2))))</f>
        <v/>
      </c>
      <c r="F944" s="20">
        <f>IF($C944="","",IF(Registro_Compras!$F$108="NOTA DE CREDITO",ROUND(ABS(Registro_Compras!$J$108*Registro_Compras!$N$108),2),""))</f>
        <v/>
      </c>
      <c r="G944">
        <f>IF($C944="","","Por el destino del gasto")</f>
        <v/>
      </c>
      <c r="H944">
        <f>IF($C944="","",Registro_Compras!$C$108)</f>
        <v/>
      </c>
    </row>
    <row r="945">
      <c r="A945" s="25">
        <f>IF($C945="","",Registro_Compras!$B$108)</f>
        <v/>
      </c>
      <c r="B945">
        <f>IF($C945="","","C"&amp;TEXT(INT((ROW()-5)/9)+1,"000")&amp;"-2")</f>
        <v/>
      </c>
      <c r="C945">
        <f>IF(OR(Registro_Compras!$C$108="",Registro_Compras!$O$108=""),"","79/791")</f>
        <v/>
      </c>
      <c r="D945">
        <f>IF(OR(Registro_Compras!$C$108="",Registro_Compras!$O$108=""),"","Cargas Imputables a Cuentas de Costos y Gastos")</f>
        <v/>
      </c>
      <c r="E945" s="20">
        <f>IF($C945="","",IF(Registro_Compras!$F$108="NOTA DE CREDITO",ROUND(ABS(Registro_Compras!$J$108*Registro_Compras!$N$108),2),""))</f>
        <v/>
      </c>
      <c r="F945" s="20">
        <f>IF($C945="","",IF(Registro_Compras!$F$108="NOTA DE CREDITO","",IF(Registro_Compras!$F$108="RHE",ROUND(Registro_Compras!$L$108*Registro_Compras!$N$108,2),ROUND(Registro_Compras!$J$108*Registro_Compras!$N$108,2))))</f>
        <v/>
      </c>
      <c r="G945">
        <f>IF($C945="","","Por el destino del gasto")</f>
        <v/>
      </c>
      <c r="H945">
        <f>IF($C945="","",Registro_Compras!$C$108)</f>
        <v/>
      </c>
    </row>
    <row r="946">
      <c r="A946" s="25">
        <f>IF($C946="","",Registro_Compras!$X$108)</f>
        <v/>
      </c>
      <c r="B946">
        <f>IF($C946="","","C"&amp;TEXT(INT((ROW()-5)/9)+1,"000")&amp;"-3")</f>
        <v/>
      </c>
      <c r="C946">
        <f>IF(OR(Registro_Compras!$C$108="",Registro_Compras!$O$108="",Registro_Compras!$R$108&lt;&gt;"SI",Registro_Compras!$X$108=""),"","4212")</f>
        <v/>
      </c>
      <c r="D946">
        <f>IF(OR(Registro_Compras!$C$108="",Registro_Compras!$O$108=""),"","Cuentas por Pagar Comerciales - Terceros")</f>
        <v/>
      </c>
      <c r="E946" s="20">
        <f>IF($C946="","",Registro_Compras!$S$108)</f>
        <v/>
      </c>
      <c r="F946" s="20">
        <f>""</f>
        <v/>
      </c>
      <c r="G946">
        <f>IF($C946="","","Por el deposito de la detraccion en el Banco de la Nacion")</f>
        <v/>
      </c>
      <c r="H946">
        <f>IF($C946="","",Registro_Compras!$C$108)</f>
        <v/>
      </c>
    </row>
    <row r="947">
      <c r="A947" s="25">
        <f>IF($C947="","",Registro_Compras!$X$108)</f>
        <v/>
      </c>
      <c r="B947">
        <f>IF($C947="","","C"&amp;TEXT(INT((ROW()-5)/9)+1,"000")&amp;"-3")</f>
        <v/>
      </c>
      <c r="C947">
        <f>IF(OR(Registro_Compras!$C$108="",Registro_Compras!$O$108="",Registro_Compras!$R$108&lt;&gt;"SI",Registro_Compras!$X$108=""),"","10413")</f>
        <v/>
      </c>
      <c r="D947">
        <f>IF(OR(Registro_Compras!$C$108="",Registro_Compras!$O$108=""),"","Efectivo y Equivalentes - Cta. Cte. Operativa")</f>
        <v/>
      </c>
      <c r="E947" s="20">
        <f>""</f>
        <v/>
      </c>
      <c r="F947" s="20">
        <f>IF($C947="","",Registro_Compras!$S$108)</f>
        <v/>
      </c>
      <c r="G947">
        <f>IF($C947="","","Por el deposito de la detraccion en el Banco de la Nacion")</f>
        <v/>
      </c>
      <c r="H947">
        <f>IF($C947="","",Registro_Compras!$C$108)</f>
        <v/>
      </c>
    </row>
    <row r="948">
      <c r="A948" s="25">
        <f>IF($C948="","",Registro_Compras!$Y$108)</f>
        <v/>
      </c>
      <c r="B948">
        <f>IF($C948="","","C"&amp;TEXT(INT((ROW()-5)/9)+1,"000")&amp;"-4")</f>
        <v/>
      </c>
      <c r="C948">
        <f>IF(OR(Registro_Compras!$C$108="",Registro_Compras!$O$108="",Registro_Compras!$Y$108="",Registro_Compras!$F$108="NOTA DE CREDITO"),"","4212")</f>
        <v/>
      </c>
      <c r="D948">
        <f>IF(OR(Registro_Compras!$C$108="",Registro_Compras!$O$108=""),"","Cuentas por Pagar Comerciales - Terceros")</f>
        <v/>
      </c>
      <c r="E948" s="20">
        <f>IF($C948="","",IF(Registro_Compras!$F$108="RHE",(ROUND(Registro_Compras!$L$108*Registro_Compras!$N$108,2)-ROUND(Registro_Compras!$V$108*Registro_Compras!$N$108,2)),ROUND(Registro_Compras!$O$108-Registro_Compras!$S$108,2)))</f>
        <v/>
      </c>
      <c r="F948" s="20">
        <f>""</f>
        <v/>
      </c>
      <c r="G948">
        <f>IF($C948="","","Por la cancelacion del saldo al proveedor")</f>
        <v/>
      </c>
      <c r="H948">
        <f>IF($C948="","",Registro_Compras!$C$108)</f>
        <v/>
      </c>
    </row>
    <row r="949">
      <c r="A949" s="25">
        <f>IF($C949="","",Registro_Compras!$Y$108)</f>
        <v/>
      </c>
      <c r="B949">
        <f>IF($C949="","","C"&amp;TEXT(INT((ROW()-5)/9)+1,"000")&amp;"-4")</f>
        <v/>
      </c>
      <c r="C949">
        <f>IF(OR(Registro_Compras!$C$108="",Registro_Compras!$O$108="",Registro_Compras!$Y$108="",Registro_Compras!$F$108="NOTA DE CREDITO"),"","10413")</f>
        <v/>
      </c>
      <c r="D949">
        <f>IF(OR(Registro_Compras!$C$108="",Registro_Compras!$O$108=""),"","Efectivo y Equivalentes - Cta. Cte. Operativa")</f>
        <v/>
      </c>
      <c r="E949" s="20">
        <f>""</f>
        <v/>
      </c>
      <c r="F949" s="20">
        <f>IF($C949="","",IF(Registro_Compras!$F$108="RHE",(ROUND(Registro_Compras!$L$108*Registro_Compras!$N$108,2)-ROUND(Registro_Compras!$V$108*Registro_Compras!$N$108,2)),ROUND(Registro_Compras!$O$108-Registro_Compras!$S$108,2)))</f>
        <v/>
      </c>
      <c r="G949">
        <f>IF($C949="","","Por la cancelacion del saldo al proveedor")</f>
        <v/>
      </c>
      <c r="H949">
        <f>IF($C949="","",Registro_Compras!$C$108)</f>
        <v/>
      </c>
    </row>
    <row r="950">
      <c r="A950" s="25">
        <f>IF($C950="","",Registro_Compras!$B$109)</f>
        <v/>
      </c>
      <c r="B950">
        <f>IF($C950="","","C"&amp;TEXT(INT((ROW()-5)/9)+1,"000")&amp;"-1")</f>
        <v/>
      </c>
      <c r="C950">
        <f>IF(OR(Registro_Compras!$C$109="",Registro_Compras!$O$109=""),"",IF(Registro_Compras!$F$109="NOTA DE CREDITO","4212",IF(Registro_Compras!$M$109="","63",Registro_Compras!$M$109)))</f>
        <v/>
      </c>
      <c r="D950">
        <f>IF(OR(Registro_Compras!$C$109="",Registro_Compras!$O$109=""),"",IF(Registro_Compras!$F$109="NOTA DE CREDITO","Cuentas por Pagar Comerciales - Terceros (Emitidas)",IF(Registro_Compras!$F$109="RHE","Honorarios Profesionales - Servicios de Terceros","Gastos de Servicios Prestados por Terceros")))</f>
        <v/>
      </c>
      <c r="E950" s="20">
        <f>IF($C950="","",IF(Registro_Compras!$F$109="NOTA DE CREDITO",ABS(Registro_Compras!$O$109),IF(Registro_Compras!$F$109="RHE",ROUND(Registro_Compras!$L$109*Registro_Compras!$N$109,2),ROUND(Registro_Compras!$J$109*Registro_Compras!$N$109,2))))</f>
        <v/>
      </c>
      <c r="F950" s="20">
        <f>""</f>
        <v/>
      </c>
      <c r="G950">
        <f>IF($C950="","",IF(Registro_Compras!$F$109="NOTA DE CREDITO","Por la nota de credito "&amp;Registro_Compras!$C$109&amp;" de "&amp;Registro_Compras!$E$109&amp;" [PATRON POR CONFIRMAR CON CONTADOR]",IF(Registro_Compras!$F$109="RHE","Por el registro del recibo por honorarios "&amp;Registro_Compras!$C$109&amp;" de "&amp;Registro_Compras!$E$109&amp;" [PATRON POR CONFIRMAR CON CONTADOR]","Por el registro de la factura "&amp;Registro_Compras!$C$109&amp;" de "&amp;Registro_Compras!$E$109)))</f>
        <v/>
      </c>
      <c r="H950">
        <f>IF($C950="","",Registro_Compras!$C$109)</f>
        <v/>
      </c>
    </row>
    <row r="951">
      <c r="A951" s="25">
        <f>IF($C951="","",Registro_Compras!$B$109)</f>
        <v/>
      </c>
      <c r="B951">
        <f>IF($C951="","","C"&amp;TEXT(INT((ROW()-5)/9)+1,"000")&amp;"-1")</f>
        <v/>
      </c>
      <c r="C951">
        <f>IF(OR(Registro_Compras!$C$109="",Registro_Compras!$O$109=""),"",IF(Registro_Compras!$F$109="RHE",IF(Registro_Compras!$V$109=0,"","40172"),IF(Registro_Compras!$F$109="NOTA DE CREDITO",IF(Registro_Compras!$M$109="","63",Registro_Compras!$M$109),IF(Registro_Compras!$K$109=0,"","40111"))))</f>
        <v/>
      </c>
      <c r="D951">
        <f>IF(OR(Registro_Compras!$C$109="",Registro_Compras!$O$109=""),"",IF(Registro_Compras!$F$109="RHE","Retencion Renta 4ta Categoria por Pagar",IF(Registro_Compras!$F$109="NOTA DE CREDITO","Gastos de Servicios Prestados por Terceros","IGV - Cuenta Propia (Credito Fiscal)")))</f>
        <v/>
      </c>
      <c r="E951" s="20">
        <f>IF($C951="","",IF(Registro_Compras!$F$109="FACTURA",ROUND(Registro_Compras!$K$109*Registro_Compras!$N$109,2),""))</f>
        <v/>
      </c>
      <c r="F951" s="20">
        <f>IF($C951="","",IF(Registro_Compras!$F$109="RHE",ROUND(Registro_Compras!$V$109*Registro_Compras!$N$109,2),IF(Registro_Compras!$F$109="NOTA DE CREDITO",ROUND(ABS(Registro_Compras!$J$109*Registro_Compras!$N$109),2),"")))</f>
        <v/>
      </c>
      <c r="G951">
        <f>IF($C951="","",IF(Registro_Compras!$F$109="NOTA DE CREDITO","Por la nota de credito "&amp;Registro_Compras!$C$109&amp;" de "&amp;Registro_Compras!$E$109&amp;" [PATRON POR CONFIRMAR CON CONTADOR]",IF(Registro_Compras!$F$109="RHE","Por el registro del recibo por honorarios "&amp;Registro_Compras!$C$109&amp;" de "&amp;Registro_Compras!$E$109&amp;" [PATRON POR CONFIRMAR CON CONTADOR]","Por el registro de la factura "&amp;Registro_Compras!$C$109&amp;" de "&amp;Registro_Compras!$E$109)))</f>
        <v/>
      </c>
      <c r="H951">
        <f>IF($C951="","",Registro_Compras!$C$109)</f>
        <v/>
      </c>
    </row>
    <row r="952">
      <c r="A952" s="25">
        <f>IF($C952="","",Registro_Compras!$B$109)</f>
        <v/>
      </c>
      <c r="B952">
        <f>IF($C952="","","C"&amp;TEXT(INT((ROW()-5)/9)+1,"000")&amp;"-1")</f>
        <v/>
      </c>
      <c r="C952">
        <f>IF(OR(Registro_Compras!$C$109="",Registro_Compras!$O$109=""),"",IF(Registro_Compras!$F$109="NOTA DE CREDITO",IF(Registro_Compras!$K$109=0,"","40111"),"4212"))</f>
        <v/>
      </c>
      <c r="D952">
        <f>IF(OR(Registro_Compras!$C$109="",Registro_Compras!$O$109=""),"",IF(Registro_Compras!$F$109="NOTA DE CREDITO","IGV - Cuenta Propia (Credito Fiscal)","Cuentas por Pagar Comerciales - Terceros (Emitidas)"))</f>
        <v/>
      </c>
      <c r="E952" s="20">
        <f>""</f>
        <v/>
      </c>
      <c r="F952" s="20">
        <f>IF($C952="","",IF(Registro_Compras!$F$109="NOTA DE CREDITO",ROUND(ABS(Registro_Compras!$K$109*Registro_Compras!$N$109),2),IF(Registro_Compras!$F$109="RHE",(ROUND(Registro_Compras!$L$109*Registro_Compras!$N$109,2)-ROUND(Registro_Compras!$V$109*Registro_Compras!$N$109,2)),Registro_Compras!$O$109)))</f>
        <v/>
      </c>
      <c r="G952">
        <f>IF($C952="","",IF(Registro_Compras!$F$109="NOTA DE CREDITO","Por la nota de credito "&amp;Registro_Compras!$C$109&amp;" de "&amp;Registro_Compras!$E$109&amp;" [PATRON POR CONFIRMAR CON CONTADOR]",IF(Registro_Compras!$F$109="RHE","Por el registro del recibo por honorarios "&amp;Registro_Compras!$C$109&amp;" de "&amp;Registro_Compras!$E$109&amp;" [PATRON POR CONFIRMAR CON CONTADOR]","Por el registro de la factura "&amp;Registro_Compras!$C$109&amp;" de "&amp;Registro_Compras!$E$109)))</f>
        <v/>
      </c>
      <c r="H952">
        <f>IF($C952="","",Registro_Compras!$C$109)</f>
        <v/>
      </c>
    </row>
    <row r="953">
      <c r="A953" s="25">
        <f>IF($C953="","",Registro_Compras!$B$109)</f>
        <v/>
      </c>
      <c r="B953">
        <f>IF($C953="","","C"&amp;TEXT(INT((ROW()-5)/9)+1,"000")&amp;"-2")</f>
        <v/>
      </c>
      <c r="C953">
        <f>IF(OR(Registro_Compras!$C$109="",Registro_Compras!$O$109=""),"",IF(Registro_Compras!$AB$109="ADMINISTRATIVO","94","95"))</f>
        <v/>
      </c>
      <c r="D953">
        <f>IF(OR(Registro_Compras!$C$109="",Registro_Compras!$O$109=""),"",IF(Registro_Compras!$AB$109="ADMINISTRATIVO","Gastos Administrativos","Gastos de Venta y Operacion"))</f>
        <v/>
      </c>
      <c r="E953" s="20">
        <f>IF($C953="","",IF(Registro_Compras!$F$109="NOTA DE CREDITO","",IF(Registro_Compras!$F$109="RHE",ROUND(Registro_Compras!$L$109*Registro_Compras!$N$109,2),ROUND(Registro_Compras!$J$109*Registro_Compras!$N$109,2))))</f>
        <v/>
      </c>
      <c r="F953" s="20">
        <f>IF($C953="","",IF(Registro_Compras!$F$109="NOTA DE CREDITO",ROUND(ABS(Registro_Compras!$J$109*Registro_Compras!$N$109),2),""))</f>
        <v/>
      </c>
      <c r="G953">
        <f>IF($C953="","","Por el destino del gasto")</f>
        <v/>
      </c>
      <c r="H953">
        <f>IF($C953="","",Registro_Compras!$C$109)</f>
        <v/>
      </c>
    </row>
    <row r="954">
      <c r="A954" s="25">
        <f>IF($C954="","",Registro_Compras!$B$109)</f>
        <v/>
      </c>
      <c r="B954">
        <f>IF($C954="","","C"&amp;TEXT(INT((ROW()-5)/9)+1,"000")&amp;"-2")</f>
        <v/>
      </c>
      <c r="C954">
        <f>IF(OR(Registro_Compras!$C$109="",Registro_Compras!$O$109=""),"","79/791")</f>
        <v/>
      </c>
      <c r="D954">
        <f>IF(OR(Registro_Compras!$C$109="",Registro_Compras!$O$109=""),"","Cargas Imputables a Cuentas de Costos y Gastos")</f>
        <v/>
      </c>
      <c r="E954" s="20">
        <f>IF($C954="","",IF(Registro_Compras!$F$109="NOTA DE CREDITO",ROUND(ABS(Registro_Compras!$J$109*Registro_Compras!$N$109),2),""))</f>
        <v/>
      </c>
      <c r="F954" s="20">
        <f>IF($C954="","",IF(Registro_Compras!$F$109="NOTA DE CREDITO","",IF(Registro_Compras!$F$109="RHE",ROUND(Registro_Compras!$L$109*Registro_Compras!$N$109,2),ROUND(Registro_Compras!$J$109*Registro_Compras!$N$109,2))))</f>
        <v/>
      </c>
      <c r="G954">
        <f>IF($C954="","","Por el destino del gasto")</f>
        <v/>
      </c>
      <c r="H954">
        <f>IF($C954="","",Registro_Compras!$C$109)</f>
        <v/>
      </c>
    </row>
    <row r="955">
      <c r="A955" s="25">
        <f>IF($C955="","",Registro_Compras!$X$109)</f>
        <v/>
      </c>
      <c r="B955">
        <f>IF($C955="","","C"&amp;TEXT(INT((ROW()-5)/9)+1,"000")&amp;"-3")</f>
        <v/>
      </c>
      <c r="C955">
        <f>IF(OR(Registro_Compras!$C$109="",Registro_Compras!$O$109="",Registro_Compras!$R$109&lt;&gt;"SI",Registro_Compras!$X$109=""),"","4212")</f>
        <v/>
      </c>
      <c r="D955">
        <f>IF(OR(Registro_Compras!$C$109="",Registro_Compras!$O$109=""),"","Cuentas por Pagar Comerciales - Terceros")</f>
        <v/>
      </c>
      <c r="E955" s="20">
        <f>IF($C955="","",Registro_Compras!$S$109)</f>
        <v/>
      </c>
      <c r="F955" s="20">
        <f>""</f>
        <v/>
      </c>
      <c r="G955">
        <f>IF($C955="","","Por el deposito de la detraccion en el Banco de la Nacion")</f>
        <v/>
      </c>
      <c r="H955">
        <f>IF($C955="","",Registro_Compras!$C$109)</f>
        <v/>
      </c>
    </row>
    <row r="956">
      <c r="A956" s="25">
        <f>IF($C956="","",Registro_Compras!$X$109)</f>
        <v/>
      </c>
      <c r="B956">
        <f>IF($C956="","","C"&amp;TEXT(INT((ROW()-5)/9)+1,"000")&amp;"-3")</f>
        <v/>
      </c>
      <c r="C956">
        <f>IF(OR(Registro_Compras!$C$109="",Registro_Compras!$O$109="",Registro_Compras!$R$109&lt;&gt;"SI",Registro_Compras!$X$109=""),"","10413")</f>
        <v/>
      </c>
      <c r="D956">
        <f>IF(OR(Registro_Compras!$C$109="",Registro_Compras!$O$109=""),"","Efectivo y Equivalentes - Cta. Cte. Operativa")</f>
        <v/>
      </c>
      <c r="E956" s="20">
        <f>""</f>
        <v/>
      </c>
      <c r="F956" s="20">
        <f>IF($C956="","",Registro_Compras!$S$109)</f>
        <v/>
      </c>
      <c r="G956">
        <f>IF($C956="","","Por el deposito de la detraccion en el Banco de la Nacion")</f>
        <v/>
      </c>
      <c r="H956">
        <f>IF($C956="","",Registro_Compras!$C$109)</f>
        <v/>
      </c>
    </row>
    <row r="957">
      <c r="A957" s="25">
        <f>IF($C957="","",Registro_Compras!$Y$109)</f>
        <v/>
      </c>
      <c r="B957">
        <f>IF($C957="","","C"&amp;TEXT(INT((ROW()-5)/9)+1,"000")&amp;"-4")</f>
        <v/>
      </c>
      <c r="C957">
        <f>IF(OR(Registro_Compras!$C$109="",Registro_Compras!$O$109="",Registro_Compras!$Y$109="",Registro_Compras!$F$109="NOTA DE CREDITO"),"","4212")</f>
        <v/>
      </c>
      <c r="D957">
        <f>IF(OR(Registro_Compras!$C$109="",Registro_Compras!$O$109=""),"","Cuentas por Pagar Comerciales - Terceros")</f>
        <v/>
      </c>
      <c r="E957" s="20">
        <f>IF($C957="","",IF(Registro_Compras!$F$109="RHE",(ROUND(Registro_Compras!$L$109*Registro_Compras!$N$109,2)-ROUND(Registro_Compras!$V$109*Registro_Compras!$N$109,2)),ROUND(Registro_Compras!$O$109-Registro_Compras!$S$109,2)))</f>
        <v/>
      </c>
      <c r="F957" s="20">
        <f>""</f>
        <v/>
      </c>
      <c r="G957">
        <f>IF($C957="","","Por la cancelacion del saldo al proveedor")</f>
        <v/>
      </c>
      <c r="H957">
        <f>IF($C957="","",Registro_Compras!$C$109)</f>
        <v/>
      </c>
    </row>
    <row r="958">
      <c r="A958" s="25">
        <f>IF($C958="","",Registro_Compras!$Y$109)</f>
        <v/>
      </c>
      <c r="B958">
        <f>IF($C958="","","C"&amp;TEXT(INT((ROW()-5)/9)+1,"000")&amp;"-4")</f>
        <v/>
      </c>
      <c r="C958">
        <f>IF(OR(Registro_Compras!$C$109="",Registro_Compras!$O$109="",Registro_Compras!$Y$109="",Registro_Compras!$F$109="NOTA DE CREDITO"),"","10413")</f>
        <v/>
      </c>
      <c r="D958">
        <f>IF(OR(Registro_Compras!$C$109="",Registro_Compras!$O$109=""),"","Efectivo y Equivalentes - Cta. Cte. Operativa")</f>
        <v/>
      </c>
      <c r="E958" s="20">
        <f>""</f>
        <v/>
      </c>
      <c r="F958" s="20">
        <f>IF($C958="","",IF(Registro_Compras!$F$109="RHE",(ROUND(Registro_Compras!$L$109*Registro_Compras!$N$109,2)-ROUND(Registro_Compras!$V$109*Registro_Compras!$N$109,2)),ROUND(Registro_Compras!$O$109-Registro_Compras!$S$109,2)))</f>
        <v/>
      </c>
      <c r="G958">
        <f>IF($C958="","","Por la cancelacion del saldo al proveedor")</f>
        <v/>
      </c>
      <c r="H958">
        <f>IF($C958="","",Registro_Compras!$C$109)</f>
        <v/>
      </c>
    </row>
    <row r="959">
      <c r="A959" s="25">
        <f>IF($C959="","",Registro_Compras!$B$110)</f>
        <v/>
      </c>
      <c r="B959">
        <f>IF($C959="","","C"&amp;TEXT(INT((ROW()-5)/9)+1,"000")&amp;"-1")</f>
        <v/>
      </c>
      <c r="C959">
        <f>IF(OR(Registro_Compras!$C$110="",Registro_Compras!$O$110=""),"",IF(Registro_Compras!$F$110="NOTA DE CREDITO","4212",IF(Registro_Compras!$M$110="","63",Registro_Compras!$M$110)))</f>
        <v/>
      </c>
      <c r="D959">
        <f>IF(OR(Registro_Compras!$C$110="",Registro_Compras!$O$110=""),"",IF(Registro_Compras!$F$110="NOTA DE CREDITO","Cuentas por Pagar Comerciales - Terceros (Emitidas)",IF(Registro_Compras!$F$110="RHE","Honorarios Profesionales - Servicios de Terceros","Gastos de Servicios Prestados por Terceros")))</f>
        <v/>
      </c>
      <c r="E959" s="20">
        <f>IF($C959="","",IF(Registro_Compras!$F$110="NOTA DE CREDITO",ABS(Registro_Compras!$O$110),IF(Registro_Compras!$F$110="RHE",ROUND(Registro_Compras!$L$110*Registro_Compras!$N$110,2),ROUND(Registro_Compras!$J$110*Registro_Compras!$N$110,2))))</f>
        <v/>
      </c>
      <c r="F959" s="20">
        <f>""</f>
        <v/>
      </c>
      <c r="G959">
        <f>IF($C959="","",IF(Registro_Compras!$F$110="NOTA DE CREDITO","Por la nota de credito "&amp;Registro_Compras!$C$110&amp;" de "&amp;Registro_Compras!$E$110&amp;" [PATRON POR CONFIRMAR CON CONTADOR]",IF(Registro_Compras!$F$110="RHE","Por el registro del recibo por honorarios "&amp;Registro_Compras!$C$110&amp;" de "&amp;Registro_Compras!$E$110&amp;" [PATRON POR CONFIRMAR CON CONTADOR]","Por el registro de la factura "&amp;Registro_Compras!$C$110&amp;" de "&amp;Registro_Compras!$E$110)))</f>
        <v/>
      </c>
      <c r="H959">
        <f>IF($C959="","",Registro_Compras!$C$110)</f>
        <v/>
      </c>
    </row>
    <row r="960">
      <c r="A960" s="25">
        <f>IF($C960="","",Registro_Compras!$B$110)</f>
        <v/>
      </c>
      <c r="B960">
        <f>IF($C960="","","C"&amp;TEXT(INT((ROW()-5)/9)+1,"000")&amp;"-1")</f>
        <v/>
      </c>
      <c r="C960">
        <f>IF(OR(Registro_Compras!$C$110="",Registro_Compras!$O$110=""),"",IF(Registro_Compras!$F$110="RHE",IF(Registro_Compras!$V$110=0,"","40172"),IF(Registro_Compras!$F$110="NOTA DE CREDITO",IF(Registro_Compras!$M$110="","63",Registro_Compras!$M$110),IF(Registro_Compras!$K$110=0,"","40111"))))</f>
        <v/>
      </c>
      <c r="D960">
        <f>IF(OR(Registro_Compras!$C$110="",Registro_Compras!$O$110=""),"",IF(Registro_Compras!$F$110="RHE","Retencion Renta 4ta Categoria por Pagar",IF(Registro_Compras!$F$110="NOTA DE CREDITO","Gastos de Servicios Prestados por Terceros","IGV - Cuenta Propia (Credito Fiscal)")))</f>
        <v/>
      </c>
      <c r="E960" s="20">
        <f>IF($C960="","",IF(Registro_Compras!$F$110="FACTURA",ROUND(Registro_Compras!$K$110*Registro_Compras!$N$110,2),""))</f>
        <v/>
      </c>
      <c r="F960" s="20">
        <f>IF($C960="","",IF(Registro_Compras!$F$110="RHE",ROUND(Registro_Compras!$V$110*Registro_Compras!$N$110,2),IF(Registro_Compras!$F$110="NOTA DE CREDITO",ROUND(ABS(Registro_Compras!$J$110*Registro_Compras!$N$110),2),"")))</f>
        <v/>
      </c>
      <c r="G960">
        <f>IF($C960="","",IF(Registro_Compras!$F$110="NOTA DE CREDITO","Por la nota de credito "&amp;Registro_Compras!$C$110&amp;" de "&amp;Registro_Compras!$E$110&amp;" [PATRON POR CONFIRMAR CON CONTADOR]",IF(Registro_Compras!$F$110="RHE","Por el registro del recibo por honorarios "&amp;Registro_Compras!$C$110&amp;" de "&amp;Registro_Compras!$E$110&amp;" [PATRON POR CONFIRMAR CON CONTADOR]","Por el registro de la factura "&amp;Registro_Compras!$C$110&amp;" de "&amp;Registro_Compras!$E$110)))</f>
        <v/>
      </c>
      <c r="H960">
        <f>IF($C960="","",Registro_Compras!$C$110)</f>
        <v/>
      </c>
    </row>
    <row r="961">
      <c r="A961" s="25">
        <f>IF($C961="","",Registro_Compras!$B$110)</f>
        <v/>
      </c>
      <c r="B961">
        <f>IF($C961="","","C"&amp;TEXT(INT((ROW()-5)/9)+1,"000")&amp;"-1")</f>
        <v/>
      </c>
      <c r="C961">
        <f>IF(OR(Registro_Compras!$C$110="",Registro_Compras!$O$110=""),"",IF(Registro_Compras!$F$110="NOTA DE CREDITO",IF(Registro_Compras!$K$110=0,"","40111"),"4212"))</f>
        <v/>
      </c>
      <c r="D961">
        <f>IF(OR(Registro_Compras!$C$110="",Registro_Compras!$O$110=""),"",IF(Registro_Compras!$F$110="NOTA DE CREDITO","IGV - Cuenta Propia (Credito Fiscal)","Cuentas por Pagar Comerciales - Terceros (Emitidas)"))</f>
        <v/>
      </c>
      <c r="E961" s="20">
        <f>""</f>
        <v/>
      </c>
      <c r="F961" s="20">
        <f>IF($C961="","",IF(Registro_Compras!$F$110="NOTA DE CREDITO",ROUND(ABS(Registro_Compras!$K$110*Registro_Compras!$N$110),2),IF(Registro_Compras!$F$110="RHE",(ROUND(Registro_Compras!$L$110*Registro_Compras!$N$110,2)-ROUND(Registro_Compras!$V$110*Registro_Compras!$N$110,2)),Registro_Compras!$O$110)))</f>
        <v/>
      </c>
      <c r="G961">
        <f>IF($C961="","",IF(Registro_Compras!$F$110="NOTA DE CREDITO","Por la nota de credito "&amp;Registro_Compras!$C$110&amp;" de "&amp;Registro_Compras!$E$110&amp;" [PATRON POR CONFIRMAR CON CONTADOR]",IF(Registro_Compras!$F$110="RHE","Por el registro del recibo por honorarios "&amp;Registro_Compras!$C$110&amp;" de "&amp;Registro_Compras!$E$110&amp;" [PATRON POR CONFIRMAR CON CONTADOR]","Por el registro de la factura "&amp;Registro_Compras!$C$110&amp;" de "&amp;Registro_Compras!$E$110)))</f>
        <v/>
      </c>
      <c r="H961">
        <f>IF($C961="","",Registro_Compras!$C$110)</f>
        <v/>
      </c>
    </row>
    <row r="962">
      <c r="A962" s="25">
        <f>IF($C962="","",Registro_Compras!$B$110)</f>
        <v/>
      </c>
      <c r="B962">
        <f>IF($C962="","","C"&amp;TEXT(INT((ROW()-5)/9)+1,"000")&amp;"-2")</f>
        <v/>
      </c>
      <c r="C962">
        <f>IF(OR(Registro_Compras!$C$110="",Registro_Compras!$O$110=""),"",IF(Registro_Compras!$AB$110="ADMINISTRATIVO","94","95"))</f>
        <v/>
      </c>
      <c r="D962">
        <f>IF(OR(Registro_Compras!$C$110="",Registro_Compras!$O$110=""),"",IF(Registro_Compras!$AB$110="ADMINISTRATIVO","Gastos Administrativos","Gastos de Venta y Operacion"))</f>
        <v/>
      </c>
      <c r="E962" s="20">
        <f>IF($C962="","",IF(Registro_Compras!$F$110="NOTA DE CREDITO","",IF(Registro_Compras!$F$110="RHE",ROUND(Registro_Compras!$L$110*Registro_Compras!$N$110,2),ROUND(Registro_Compras!$J$110*Registro_Compras!$N$110,2))))</f>
        <v/>
      </c>
      <c r="F962" s="20">
        <f>IF($C962="","",IF(Registro_Compras!$F$110="NOTA DE CREDITO",ROUND(ABS(Registro_Compras!$J$110*Registro_Compras!$N$110),2),""))</f>
        <v/>
      </c>
      <c r="G962">
        <f>IF($C962="","","Por el destino del gasto")</f>
        <v/>
      </c>
      <c r="H962">
        <f>IF($C962="","",Registro_Compras!$C$110)</f>
        <v/>
      </c>
    </row>
    <row r="963">
      <c r="A963" s="25">
        <f>IF($C963="","",Registro_Compras!$B$110)</f>
        <v/>
      </c>
      <c r="B963">
        <f>IF($C963="","","C"&amp;TEXT(INT((ROW()-5)/9)+1,"000")&amp;"-2")</f>
        <v/>
      </c>
      <c r="C963">
        <f>IF(OR(Registro_Compras!$C$110="",Registro_Compras!$O$110=""),"","79/791")</f>
        <v/>
      </c>
      <c r="D963">
        <f>IF(OR(Registro_Compras!$C$110="",Registro_Compras!$O$110=""),"","Cargas Imputables a Cuentas de Costos y Gastos")</f>
        <v/>
      </c>
      <c r="E963" s="20">
        <f>IF($C963="","",IF(Registro_Compras!$F$110="NOTA DE CREDITO",ROUND(ABS(Registro_Compras!$J$110*Registro_Compras!$N$110),2),""))</f>
        <v/>
      </c>
      <c r="F963" s="20">
        <f>IF($C963="","",IF(Registro_Compras!$F$110="NOTA DE CREDITO","",IF(Registro_Compras!$F$110="RHE",ROUND(Registro_Compras!$L$110*Registro_Compras!$N$110,2),ROUND(Registro_Compras!$J$110*Registro_Compras!$N$110,2))))</f>
        <v/>
      </c>
      <c r="G963">
        <f>IF($C963="","","Por el destino del gasto")</f>
        <v/>
      </c>
      <c r="H963">
        <f>IF($C963="","",Registro_Compras!$C$110)</f>
        <v/>
      </c>
    </row>
    <row r="964">
      <c r="A964" s="25">
        <f>IF($C964="","",Registro_Compras!$X$110)</f>
        <v/>
      </c>
      <c r="B964">
        <f>IF($C964="","","C"&amp;TEXT(INT((ROW()-5)/9)+1,"000")&amp;"-3")</f>
        <v/>
      </c>
      <c r="C964">
        <f>IF(OR(Registro_Compras!$C$110="",Registro_Compras!$O$110="",Registro_Compras!$R$110&lt;&gt;"SI",Registro_Compras!$X$110=""),"","4212")</f>
        <v/>
      </c>
      <c r="D964">
        <f>IF(OR(Registro_Compras!$C$110="",Registro_Compras!$O$110=""),"","Cuentas por Pagar Comerciales - Terceros")</f>
        <v/>
      </c>
      <c r="E964" s="20">
        <f>IF($C964="","",Registro_Compras!$S$110)</f>
        <v/>
      </c>
      <c r="F964" s="20">
        <f>""</f>
        <v/>
      </c>
      <c r="G964">
        <f>IF($C964="","","Por el deposito de la detraccion en el Banco de la Nacion")</f>
        <v/>
      </c>
      <c r="H964">
        <f>IF($C964="","",Registro_Compras!$C$110)</f>
        <v/>
      </c>
    </row>
    <row r="965">
      <c r="A965" s="25">
        <f>IF($C965="","",Registro_Compras!$X$110)</f>
        <v/>
      </c>
      <c r="B965">
        <f>IF($C965="","","C"&amp;TEXT(INT((ROW()-5)/9)+1,"000")&amp;"-3")</f>
        <v/>
      </c>
      <c r="C965">
        <f>IF(OR(Registro_Compras!$C$110="",Registro_Compras!$O$110="",Registro_Compras!$R$110&lt;&gt;"SI",Registro_Compras!$X$110=""),"","10413")</f>
        <v/>
      </c>
      <c r="D965">
        <f>IF(OR(Registro_Compras!$C$110="",Registro_Compras!$O$110=""),"","Efectivo y Equivalentes - Cta. Cte. Operativa")</f>
        <v/>
      </c>
      <c r="E965" s="20">
        <f>""</f>
        <v/>
      </c>
      <c r="F965" s="20">
        <f>IF($C965="","",Registro_Compras!$S$110)</f>
        <v/>
      </c>
      <c r="G965">
        <f>IF($C965="","","Por el deposito de la detraccion en el Banco de la Nacion")</f>
        <v/>
      </c>
      <c r="H965">
        <f>IF($C965="","",Registro_Compras!$C$110)</f>
        <v/>
      </c>
    </row>
    <row r="966">
      <c r="A966" s="25">
        <f>IF($C966="","",Registro_Compras!$Y$110)</f>
        <v/>
      </c>
      <c r="B966">
        <f>IF($C966="","","C"&amp;TEXT(INT((ROW()-5)/9)+1,"000")&amp;"-4")</f>
        <v/>
      </c>
      <c r="C966">
        <f>IF(OR(Registro_Compras!$C$110="",Registro_Compras!$O$110="",Registro_Compras!$Y$110="",Registro_Compras!$F$110="NOTA DE CREDITO"),"","4212")</f>
        <v/>
      </c>
      <c r="D966">
        <f>IF(OR(Registro_Compras!$C$110="",Registro_Compras!$O$110=""),"","Cuentas por Pagar Comerciales - Terceros")</f>
        <v/>
      </c>
      <c r="E966" s="20">
        <f>IF($C966="","",IF(Registro_Compras!$F$110="RHE",(ROUND(Registro_Compras!$L$110*Registro_Compras!$N$110,2)-ROUND(Registro_Compras!$V$110*Registro_Compras!$N$110,2)),ROUND(Registro_Compras!$O$110-Registro_Compras!$S$110,2)))</f>
        <v/>
      </c>
      <c r="F966" s="20">
        <f>""</f>
        <v/>
      </c>
      <c r="G966">
        <f>IF($C966="","","Por la cancelacion del saldo al proveedor")</f>
        <v/>
      </c>
      <c r="H966">
        <f>IF($C966="","",Registro_Compras!$C$110)</f>
        <v/>
      </c>
    </row>
    <row r="967">
      <c r="A967" s="25">
        <f>IF($C967="","",Registro_Compras!$Y$110)</f>
        <v/>
      </c>
      <c r="B967">
        <f>IF($C967="","","C"&amp;TEXT(INT((ROW()-5)/9)+1,"000")&amp;"-4")</f>
        <v/>
      </c>
      <c r="C967">
        <f>IF(OR(Registro_Compras!$C$110="",Registro_Compras!$O$110="",Registro_Compras!$Y$110="",Registro_Compras!$F$110="NOTA DE CREDITO"),"","10413")</f>
        <v/>
      </c>
      <c r="D967">
        <f>IF(OR(Registro_Compras!$C$110="",Registro_Compras!$O$110=""),"","Efectivo y Equivalentes - Cta. Cte. Operativa")</f>
        <v/>
      </c>
      <c r="E967" s="20">
        <f>""</f>
        <v/>
      </c>
      <c r="F967" s="20">
        <f>IF($C967="","",IF(Registro_Compras!$F$110="RHE",(ROUND(Registro_Compras!$L$110*Registro_Compras!$N$110,2)-ROUND(Registro_Compras!$V$110*Registro_Compras!$N$110,2)),ROUND(Registro_Compras!$O$110-Registro_Compras!$S$110,2)))</f>
        <v/>
      </c>
      <c r="G967">
        <f>IF($C967="","","Por la cancelacion del saldo al proveedor")</f>
        <v/>
      </c>
      <c r="H967">
        <f>IF($C967="","",Registro_Compras!$C$110)</f>
        <v/>
      </c>
    </row>
    <row r="968">
      <c r="A968" s="25">
        <f>IF($C968="","",Registro_Compras!$B$111)</f>
        <v/>
      </c>
      <c r="B968">
        <f>IF($C968="","","C"&amp;TEXT(INT((ROW()-5)/9)+1,"000")&amp;"-1")</f>
        <v/>
      </c>
      <c r="C968">
        <f>IF(OR(Registro_Compras!$C$111="",Registro_Compras!$O$111=""),"",IF(Registro_Compras!$F$111="NOTA DE CREDITO","4212",IF(Registro_Compras!$M$111="","63",Registro_Compras!$M$111)))</f>
        <v/>
      </c>
      <c r="D968">
        <f>IF(OR(Registro_Compras!$C$111="",Registro_Compras!$O$111=""),"",IF(Registro_Compras!$F$111="NOTA DE CREDITO","Cuentas por Pagar Comerciales - Terceros (Emitidas)",IF(Registro_Compras!$F$111="RHE","Honorarios Profesionales - Servicios de Terceros","Gastos de Servicios Prestados por Terceros")))</f>
        <v/>
      </c>
      <c r="E968" s="20">
        <f>IF($C968="","",IF(Registro_Compras!$F$111="NOTA DE CREDITO",ABS(Registro_Compras!$O$111),IF(Registro_Compras!$F$111="RHE",ROUND(Registro_Compras!$L$111*Registro_Compras!$N$111,2),ROUND(Registro_Compras!$J$111*Registro_Compras!$N$111,2))))</f>
        <v/>
      </c>
      <c r="F968" s="20">
        <f>""</f>
        <v/>
      </c>
      <c r="G968">
        <f>IF($C968="","",IF(Registro_Compras!$F$111="NOTA DE CREDITO","Por la nota de credito "&amp;Registro_Compras!$C$111&amp;" de "&amp;Registro_Compras!$E$111&amp;" [PATRON POR CONFIRMAR CON CONTADOR]",IF(Registro_Compras!$F$111="RHE","Por el registro del recibo por honorarios "&amp;Registro_Compras!$C$111&amp;" de "&amp;Registro_Compras!$E$111&amp;" [PATRON POR CONFIRMAR CON CONTADOR]","Por el registro de la factura "&amp;Registro_Compras!$C$111&amp;" de "&amp;Registro_Compras!$E$111)))</f>
        <v/>
      </c>
      <c r="H968">
        <f>IF($C968="","",Registro_Compras!$C$111)</f>
        <v/>
      </c>
    </row>
    <row r="969">
      <c r="A969" s="25">
        <f>IF($C969="","",Registro_Compras!$B$111)</f>
        <v/>
      </c>
      <c r="B969">
        <f>IF($C969="","","C"&amp;TEXT(INT((ROW()-5)/9)+1,"000")&amp;"-1")</f>
        <v/>
      </c>
      <c r="C969">
        <f>IF(OR(Registro_Compras!$C$111="",Registro_Compras!$O$111=""),"",IF(Registro_Compras!$F$111="RHE",IF(Registro_Compras!$V$111=0,"","40172"),IF(Registro_Compras!$F$111="NOTA DE CREDITO",IF(Registro_Compras!$M$111="","63",Registro_Compras!$M$111),IF(Registro_Compras!$K$111=0,"","40111"))))</f>
        <v/>
      </c>
      <c r="D969">
        <f>IF(OR(Registro_Compras!$C$111="",Registro_Compras!$O$111=""),"",IF(Registro_Compras!$F$111="RHE","Retencion Renta 4ta Categoria por Pagar",IF(Registro_Compras!$F$111="NOTA DE CREDITO","Gastos de Servicios Prestados por Terceros","IGV - Cuenta Propia (Credito Fiscal)")))</f>
        <v/>
      </c>
      <c r="E969" s="20">
        <f>IF($C969="","",IF(Registro_Compras!$F$111="FACTURA",ROUND(Registro_Compras!$K$111*Registro_Compras!$N$111,2),""))</f>
        <v/>
      </c>
      <c r="F969" s="20">
        <f>IF($C969="","",IF(Registro_Compras!$F$111="RHE",ROUND(Registro_Compras!$V$111*Registro_Compras!$N$111,2),IF(Registro_Compras!$F$111="NOTA DE CREDITO",ROUND(ABS(Registro_Compras!$J$111*Registro_Compras!$N$111),2),"")))</f>
        <v/>
      </c>
      <c r="G969">
        <f>IF($C969="","",IF(Registro_Compras!$F$111="NOTA DE CREDITO","Por la nota de credito "&amp;Registro_Compras!$C$111&amp;" de "&amp;Registro_Compras!$E$111&amp;" [PATRON POR CONFIRMAR CON CONTADOR]",IF(Registro_Compras!$F$111="RHE","Por el registro del recibo por honorarios "&amp;Registro_Compras!$C$111&amp;" de "&amp;Registro_Compras!$E$111&amp;" [PATRON POR CONFIRMAR CON CONTADOR]","Por el registro de la factura "&amp;Registro_Compras!$C$111&amp;" de "&amp;Registro_Compras!$E$111)))</f>
        <v/>
      </c>
      <c r="H969">
        <f>IF($C969="","",Registro_Compras!$C$111)</f>
        <v/>
      </c>
    </row>
    <row r="970">
      <c r="A970" s="25">
        <f>IF($C970="","",Registro_Compras!$B$111)</f>
        <v/>
      </c>
      <c r="B970">
        <f>IF($C970="","","C"&amp;TEXT(INT((ROW()-5)/9)+1,"000")&amp;"-1")</f>
        <v/>
      </c>
      <c r="C970">
        <f>IF(OR(Registro_Compras!$C$111="",Registro_Compras!$O$111=""),"",IF(Registro_Compras!$F$111="NOTA DE CREDITO",IF(Registro_Compras!$K$111=0,"","40111"),"4212"))</f>
        <v/>
      </c>
      <c r="D970">
        <f>IF(OR(Registro_Compras!$C$111="",Registro_Compras!$O$111=""),"",IF(Registro_Compras!$F$111="NOTA DE CREDITO","IGV - Cuenta Propia (Credito Fiscal)","Cuentas por Pagar Comerciales - Terceros (Emitidas)"))</f>
        <v/>
      </c>
      <c r="E970" s="20">
        <f>""</f>
        <v/>
      </c>
      <c r="F970" s="20">
        <f>IF($C970="","",IF(Registro_Compras!$F$111="NOTA DE CREDITO",ROUND(ABS(Registro_Compras!$K$111*Registro_Compras!$N$111),2),IF(Registro_Compras!$F$111="RHE",(ROUND(Registro_Compras!$L$111*Registro_Compras!$N$111,2)-ROUND(Registro_Compras!$V$111*Registro_Compras!$N$111,2)),Registro_Compras!$O$111)))</f>
        <v/>
      </c>
      <c r="G970">
        <f>IF($C970="","",IF(Registro_Compras!$F$111="NOTA DE CREDITO","Por la nota de credito "&amp;Registro_Compras!$C$111&amp;" de "&amp;Registro_Compras!$E$111&amp;" [PATRON POR CONFIRMAR CON CONTADOR]",IF(Registro_Compras!$F$111="RHE","Por el registro del recibo por honorarios "&amp;Registro_Compras!$C$111&amp;" de "&amp;Registro_Compras!$E$111&amp;" [PATRON POR CONFIRMAR CON CONTADOR]","Por el registro de la factura "&amp;Registro_Compras!$C$111&amp;" de "&amp;Registro_Compras!$E$111)))</f>
        <v/>
      </c>
      <c r="H970">
        <f>IF($C970="","",Registro_Compras!$C$111)</f>
        <v/>
      </c>
    </row>
    <row r="971">
      <c r="A971" s="25">
        <f>IF($C971="","",Registro_Compras!$B$111)</f>
        <v/>
      </c>
      <c r="B971">
        <f>IF($C971="","","C"&amp;TEXT(INT((ROW()-5)/9)+1,"000")&amp;"-2")</f>
        <v/>
      </c>
      <c r="C971">
        <f>IF(OR(Registro_Compras!$C$111="",Registro_Compras!$O$111=""),"",IF(Registro_Compras!$AB$111="ADMINISTRATIVO","94","95"))</f>
        <v/>
      </c>
      <c r="D971">
        <f>IF(OR(Registro_Compras!$C$111="",Registro_Compras!$O$111=""),"",IF(Registro_Compras!$AB$111="ADMINISTRATIVO","Gastos Administrativos","Gastos de Venta y Operacion"))</f>
        <v/>
      </c>
      <c r="E971" s="20">
        <f>IF($C971="","",IF(Registro_Compras!$F$111="NOTA DE CREDITO","",IF(Registro_Compras!$F$111="RHE",ROUND(Registro_Compras!$L$111*Registro_Compras!$N$111,2),ROUND(Registro_Compras!$J$111*Registro_Compras!$N$111,2))))</f>
        <v/>
      </c>
      <c r="F971" s="20">
        <f>IF($C971="","",IF(Registro_Compras!$F$111="NOTA DE CREDITO",ROUND(ABS(Registro_Compras!$J$111*Registro_Compras!$N$111),2),""))</f>
        <v/>
      </c>
      <c r="G971">
        <f>IF($C971="","","Por el destino del gasto")</f>
        <v/>
      </c>
      <c r="H971">
        <f>IF($C971="","",Registro_Compras!$C$111)</f>
        <v/>
      </c>
    </row>
    <row r="972">
      <c r="A972" s="25">
        <f>IF($C972="","",Registro_Compras!$B$111)</f>
        <v/>
      </c>
      <c r="B972">
        <f>IF($C972="","","C"&amp;TEXT(INT((ROW()-5)/9)+1,"000")&amp;"-2")</f>
        <v/>
      </c>
      <c r="C972">
        <f>IF(OR(Registro_Compras!$C$111="",Registro_Compras!$O$111=""),"","79/791")</f>
        <v/>
      </c>
      <c r="D972">
        <f>IF(OR(Registro_Compras!$C$111="",Registro_Compras!$O$111=""),"","Cargas Imputables a Cuentas de Costos y Gastos")</f>
        <v/>
      </c>
      <c r="E972" s="20">
        <f>IF($C972="","",IF(Registro_Compras!$F$111="NOTA DE CREDITO",ROUND(ABS(Registro_Compras!$J$111*Registro_Compras!$N$111),2),""))</f>
        <v/>
      </c>
      <c r="F972" s="20">
        <f>IF($C972="","",IF(Registro_Compras!$F$111="NOTA DE CREDITO","",IF(Registro_Compras!$F$111="RHE",ROUND(Registro_Compras!$L$111*Registro_Compras!$N$111,2),ROUND(Registro_Compras!$J$111*Registro_Compras!$N$111,2))))</f>
        <v/>
      </c>
      <c r="G972">
        <f>IF($C972="","","Por el destino del gasto")</f>
        <v/>
      </c>
      <c r="H972">
        <f>IF($C972="","",Registro_Compras!$C$111)</f>
        <v/>
      </c>
    </row>
    <row r="973">
      <c r="A973" s="25">
        <f>IF($C973="","",Registro_Compras!$X$111)</f>
        <v/>
      </c>
      <c r="B973">
        <f>IF($C973="","","C"&amp;TEXT(INT((ROW()-5)/9)+1,"000")&amp;"-3")</f>
        <v/>
      </c>
      <c r="C973">
        <f>IF(OR(Registro_Compras!$C$111="",Registro_Compras!$O$111="",Registro_Compras!$R$111&lt;&gt;"SI",Registro_Compras!$X$111=""),"","4212")</f>
        <v/>
      </c>
      <c r="D973">
        <f>IF(OR(Registro_Compras!$C$111="",Registro_Compras!$O$111=""),"","Cuentas por Pagar Comerciales - Terceros")</f>
        <v/>
      </c>
      <c r="E973" s="20">
        <f>IF($C973="","",Registro_Compras!$S$111)</f>
        <v/>
      </c>
      <c r="F973" s="20">
        <f>""</f>
        <v/>
      </c>
      <c r="G973">
        <f>IF($C973="","","Por el deposito de la detraccion en el Banco de la Nacion")</f>
        <v/>
      </c>
      <c r="H973">
        <f>IF($C973="","",Registro_Compras!$C$111)</f>
        <v/>
      </c>
    </row>
    <row r="974">
      <c r="A974" s="25">
        <f>IF($C974="","",Registro_Compras!$X$111)</f>
        <v/>
      </c>
      <c r="B974">
        <f>IF($C974="","","C"&amp;TEXT(INT((ROW()-5)/9)+1,"000")&amp;"-3")</f>
        <v/>
      </c>
      <c r="C974">
        <f>IF(OR(Registro_Compras!$C$111="",Registro_Compras!$O$111="",Registro_Compras!$R$111&lt;&gt;"SI",Registro_Compras!$X$111=""),"","10413")</f>
        <v/>
      </c>
      <c r="D974">
        <f>IF(OR(Registro_Compras!$C$111="",Registro_Compras!$O$111=""),"","Efectivo y Equivalentes - Cta. Cte. Operativa")</f>
        <v/>
      </c>
      <c r="E974" s="20">
        <f>""</f>
        <v/>
      </c>
      <c r="F974" s="20">
        <f>IF($C974="","",Registro_Compras!$S$111)</f>
        <v/>
      </c>
      <c r="G974">
        <f>IF($C974="","","Por el deposito de la detraccion en el Banco de la Nacion")</f>
        <v/>
      </c>
      <c r="H974">
        <f>IF($C974="","",Registro_Compras!$C$111)</f>
        <v/>
      </c>
    </row>
    <row r="975">
      <c r="A975" s="25">
        <f>IF($C975="","",Registro_Compras!$Y$111)</f>
        <v/>
      </c>
      <c r="B975">
        <f>IF($C975="","","C"&amp;TEXT(INT((ROW()-5)/9)+1,"000")&amp;"-4")</f>
        <v/>
      </c>
      <c r="C975">
        <f>IF(OR(Registro_Compras!$C$111="",Registro_Compras!$O$111="",Registro_Compras!$Y$111="",Registro_Compras!$F$111="NOTA DE CREDITO"),"","4212")</f>
        <v/>
      </c>
      <c r="D975">
        <f>IF(OR(Registro_Compras!$C$111="",Registro_Compras!$O$111=""),"","Cuentas por Pagar Comerciales - Terceros")</f>
        <v/>
      </c>
      <c r="E975" s="20">
        <f>IF($C975="","",IF(Registro_Compras!$F$111="RHE",(ROUND(Registro_Compras!$L$111*Registro_Compras!$N$111,2)-ROUND(Registro_Compras!$V$111*Registro_Compras!$N$111,2)),ROUND(Registro_Compras!$O$111-Registro_Compras!$S$111,2)))</f>
        <v/>
      </c>
      <c r="F975" s="20">
        <f>""</f>
        <v/>
      </c>
      <c r="G975">
        <f>IF($C975="","","Por la cancelacion del saldo al proveedor")</f>
        <v/>
      </c>
      <c r="H975">
        <f>IF($C975="","",Registro_Compras!$C$111)</f>
        <v/>
      </c>
    </row>
    <row r="976">
      <c r="A976" s="25">
        <f>IF($C976="","",Registro_Compras!$Y$111)</f>
        <v/>
      </c>
      <c r="B976">
        <f>IF($C976="","","C"&amp;TEXT(INT((ROW()-5)/9)+1,"000")&amp;"-4")</f>
        <v/>
      </c>
      <c r="C976">
        <f>IF(OR(Registro_Compras!$C$111="",Registro_Compras!$O$111="",Registro_Compras!$Y$111="",Registro_Compras!$F$111="NOTA DE CREDITO"),"","10413")</f>
        <v/>
      </c>
      <c r="D976">
        <f>IF(OR(Registro_Compras!$C$111="",Registro_Compras!$O$111=""),"","Efectivo y Equivalentes - Cta. Cte. Operativa")</f>
        <v/>
      </c>
      <c r="E976" s="20">
        <f>""</f>
        <v/>
      </c>
      <c r="F976" s="20">
        <f>IF($C976="","",IF(Registro_Compras!$F$111="RHE",(ROUND(Registro_Compras!$L$111*Registro_Compras!$N$111,2)-ROUND(Registro_Compras!$V$111*Registro_Compras!$N$111,2)),ROUND(Registro_Compras!$O$111-Registro_Compras!$S$111,2)))</f>
        <v/>
      </c>
      <c r="G976">
        <f>IF($C976="","","Por la cancelacion del saldo al proveedor")</f>
        <v/>
      </c>
      <c r="H976">
        <f>IF($C976="","",Registro_Compras!$C$111)</f>
        <v/>
      </c>
    </row>
    <row r="977">
      <c r="A977" s="25">
        <f>IF($C977="","",Registro_Compras!$B$112)</f>
        <v/>
      </c>
      <c r="B977">
        <f>IF($C977="","","C"&amp;TEXT(INT((ROW()-5)/9)+1,"000")&amp;"-1")</f>
        <v/>
      </c>
      <c r="C977">
        <f>IF(OR(Registro_Compras!$C$112="",Registro_Compras!$O$112=""),"",IF(Registro_Compras!$F$112="NOTA DE CREDITO","4212",IF(Registro_Compras!$M$112="","63",Registro_Compras!$M$112)))</f>
        <v/>
      </c>
      <c r="D977">
        <f>IF(OR(Registro_Compras!$C$112="",Registro_Compras!$O$112=""),"",IF(Registro_Compras!$F$112="NOTA DE CREDITO","Cuentas por Pagar Comerciales - Terceros (Emitidas)",IF(Registro_Compras!$F$112="RHE","Honorarios Profesionales - Servicios de Terceros","Gastos de Servicios Prestados por Terceros")))</f>
        <v/>
      </c>
      <c r="E977" s="20">
        <f>IF($C977="","",IF(Registro_Compras!$F$112="NOTA DE CREDITO",ABS(Registro_Compras!$O$112),IF(Registro_Compras!$F$112="RHE",ROUND(Registro_Compras!$L$112*Registro_Compras!$N$112,2),ROUND(Registro_Compras!$J$112*Registro_Compras!$N$112,2))))</f>
        <v/>
      </c>
      <c r="F977" s="20">
        <f>""</f>
        <v/>
      </c>
      <c r="G977">
        <f>IF($C977="","",IF(Registro_Compras!$F$112="NOTA DE CREDITO","Por la nota de credito "&amp;Registro_Compras!$C$112&amp;" de "&amp;Registro_Compras!$E$112&amp;" [PATRON POR CONFIRMAR CON CONTADOR]",IF(Registro_Compras!$F$112="RHE","Por el registro del recibo por honorarios "&amp;Registro_Compras!$C$112&amp;" de "&amp;Registro_Compras!$E$112&amp;" [PATRON POR CONFIRMAR CON CONTADOR]","Por el registro de la factura "&amp;Registro_Compras!$C$112&amp;" de "&amp;Registro_Compras!$E$112)))</f>
        <v/>
      </c>
      <c r="H977">
        <f>IF($C977="","",Registro_Compras!$C$112)</f>
        <v/>
      </c>
    </row>
    <row r="978">
      <c r="A978" s="25">
        <f>IF($C978="","",Registro_Compras!$B$112)</f>
        <v/>
      </c>
      <c r="B978">
        <f>IF($C978="","","C"&amp;TEXT(INT((ROW()-5)/9)+1,"000")&amp;"-1")</f>
        <v/>
      </c>
      <c r="C978">
        <f>IF(OR(Registro_Compras!$C$112="",Registro_Compras!$O$112=""),"",IF(Registro_Compras!$F$112="RHE",IF(Registro_Compras!$V$112=0,"","40172"),IF(Registro_Compras!$F$112="NOTA DE CREDITO",IF(Registro_Compras!$M$112="","63",Registro_Compras!$M$112),IF(Registro_Compras!$K$112=0,"","40111"))))</f>
        <v/>
      </c>
      <c r="D978">
        <f>IF(OR(Registro_Compras!$C$112="",Registro_Compras!$O$112=""),"",IF(Registro_Compras!$F$112="RHE","Retencion Renta 4ta Categoria por Pagar",IF(Registro_Compras!$F$112="NOTA DE CREDITO","Gastos de Servicios Prestados por Terceros","IGV - Cuenta Propia (Credito Fiscal)")))</f>
        <v/>
      </c>
      <c r="E978" s="20">
        <f>IF($C978="","",IF(Registro_Compras!$F$112="FACTURA",ROUND(Registro_Compras!$K$112*Registro_Compras!$N$112,2),""))</f>
        <v/>
      </c>
      <c r="F978" s="20">
        <f>IF($C978="","",IF(Registro_Compras!$F$112="RHE",ROUND(Registro_Compras!$V$112*Registro_Compras!$N$112,2),IF(Registro_Compras!$F$112="NOTA DE CREDITO",ROUND(ABS(Registro_Compras!$J$112*Registro_Compras!$N$112),2),"")))</f>
        <v/>
      </c>
      <c r="G978">
        <f>IF($C978="","",IF(Registro_Compras!$F$112="NOTA DE CREDITO","Por la nota de credito "&amp;Registro_Compras!$C$112&amp;" de "&amp;Registro_Compras!$E$112&amp;" [PATRON POR CONFIRMAR CON CONTADOR]",IF(Registro_Compras!$F$112="RHE","Por el registro del recibo por honorarios "&amp;Registro_Compras!$C$112&amp;" de "&amp;Registro_Compras!$E$112&amp;" [PATRON POR CONFIRMAR CON CONTADOR]","Por el registro de la factura "&amp;Registro_Compras!$C$112&amp;" de "&amp;Registro_Compras!$E$112)))</f>
        <v/>
      </c>
      <c r="H978">
        <f>IF($C978="","",Registro_Compras!$C$112)</f>
        <v/>
      </c>
    </row>
    <row r="979">
      <c r="A979" s="25">
        <f>IF($C979="","",Registro_Compras!$B$112)</f>
        <v/>
      </c>
      <c r="B979">
        <f>IF($C979="","","C"&amp;TEXT(INT((ROW()-5)/9)+1,"000")&amp;"-1")</f>
        <v/>
      </c>
      <c r="C979">
        <f>IF(OR(Registro_Compras!$C$112="",Registro_Compras!$O$112=""),"",IF(Registro_Compras!$F$112="NOTA DE CREDITO",IF(Registro_Compras!$K$112=0,"","40111"),"4212"))</f>
        <v/>
      </c>
      <c r="D979">
        <f>IF(OR(Registro_Compras!$C$112="",Registro_Compras!$O$112=""),"",IF(Registro_Compras!$F$112="NOTA DE CREDITO","IGV - Cuenta Propia (Credito Fiscal)","Cuentas por Pagar Comerciales - Terceros (Emitidas)"))</f>
        <v/>
      </c>
      <c r="E979" s="20">
        <f>""</f>
        <v/>
      </c>
      <c r="F979" s="20">
        <f>IF($C979="","",IF(Registro_Compras!$F$112="NOTA DE CREDITO",ROUND(ABS(Registro_Compras!$K$112*Registro_Compras!$N$112),2),IF(Registro_Compras!$F$112="RHE",(ROUND(Registro_Compras!$L$112*Registro_Compras!$N$112,2)-ROUND(Registro_Compras!$V$112*Registro_Compras!$N$112,2)),Registro_Compras!$O$112)))</f>
        <v/>
      </c>
      <c r="G979">
        <f>IF($C979="","",IF(Registro_Compras!$F$112="NOTA DE CREDITO","Por la nota de credito "&amp;Registro_Compras!$C$112&amp;" de "&amp;Registro_Compras!$E$112&amp;" [PATRON POR CONFIRMAR CON CONTADOR]",IF(Registro_Compras!$F$112="RHE","Por el registro del recibo por honorarios "&amp;Registro_Compras!$C$112&amp;" de "&amp;Registro_Compras!$E$112&amp;" [PATRON POR CONFIRMAR CON CONTADOR]","Por el registro de la factura "&amp;Registro_Compras!$C$112&amp;" de "&amp;Registro_Compras!$E$112)))</f>
        <v/>
      </c>
      <c r="H979">
        <f>IF($C979="","",Registro_Compras!$C$112)</f>
        <v/>
      </c>
    </row>
    <row r="980">
      <c r="A980" s="25">
        <f>IF($C980="","",Registro_Compras!$B$112)</f>
        <v/>
      </c>
      <c r="B980">
        <f>IF($C980="","","C"&amp;TEXT(INT((ROW()-5)/9)+1,"000")&amp;"-2")</f>
        <v/>
      </c>
      <c r="C980">
        <f>IF(OR(Registro_Compras!$C$112="",Registro_Compras!$O$112=""),"",IF(Registro_Compras!$AB$112="ADMINISTRATIVO","94","95"))</f>
        <v/>
      </c>
      <c r="D980">
        <f>IF(OR(Registro_Compras!$C$112="",Registro_Compras!$O$112=""),"",IF(Registro_Compras!$AB$112="ADMINISTRATIVO","Gastos Administrativos","Gastos de Venta y Operacion"))</f>
        <v/>
      </c>
      <c r="E980" s="20">
        <f>IF($C980="","",IF(Registro_Compras!$F$112="NOTA DE CREDITO","",IF(Registro_Compras!$F$112="RHE",ROUND(Registro_Compras!$L$112*Registro_Compras!$N$112,2),ROUND(Registro_Compras!$J$112*Registro_Compras!$N$112,2))))</f>
        <v/>
      </c>
      <c r="F980" s="20">
        <f>IF($C980="","",IF(Registro_Compras!$F$112="NOTA DE CREDITO",ROUND(ABS(Registro_Compras!$J$112*Registro_Compras!$N$112),2),""))</f>
        <v/>
      </c>
      <c r="G980">
        <f>IF($C980="","","Por el destino del gasto")</f>
        <v/>
      </c>
      <c r="H980">
        <f>IF($C980="","",Registro_Compras!$C$112)</f>
        <v/>
      </c>
    </row>
    <row r="981">
      <c r="A981" s="25">
        <f>IF($C981="","",Registro_Compras!$B$112)</f>
        <v/>
      </c>
      <c r="B981">
        <f>IF($C981="","","C"&amp;TEXT(INT((ROW()-5)/9)+1,"000")&amp;"-2")</f>
        <v/>
      </c>
      <c r="C981">
        <f>IF(OR(Registro_Compras!$C$112="",Registro_Compras!$O$112=""),"","79/791")</f>
        <v/>
      </c>
      <c r="D981">
        <f>IF(OR(Registro_Compras!$C$112="",Registro_Compras!$O$112=""),"","Cargas Imputables a Cuentas de Costos y Gastos")</f>
        <v/>
      </c>
      <c r="E981" s="20">
        <f>IF($C981="","",IF(Registro_Compras!$F$112="NOTA DE CREDITO",ROUND(ABS(Registro_Compras!$J$112*Registro_Compras!$N$112),2),""))</f>
        <v/>
      </c>
      <c r="F981" s="20">
        <f>IF($C981="","",IF(Registro_Compras!$F$112="NOTA DE CREDITO","",IF(Registro_Compras!$F$112="RHE",ROUND(Registro_Compras!$L$112*Registro_Compras!$N$112,2),ROUND(Registro_Compras!$J$112*Registro_Compras!$N$112,2))))</f>
        <v/>
      </c>
      <c r="G981">
        <f>IF($C981="","","Por el destino del gasto")</f>
        <v/>
      </c>
      <c r="H981">
        <f>IF($C981="","",Registro_Compras!$C$112)</f>
        <v/>
      </c>
    </row>
    <row r="982">
      <c r="A982" s="25">
        <f>IF($C982="","",Registro_Compras!$X$112)</f>
        <v/>
      </c>
      <c r="B982">
        <f>IF($C982="","","C"&amp;TEXT(INT((ROW()-5)/9)+1,"000")&amp;"-3")</f>
        <v/>
      </c>
      <c r="C982">
        <f>IF(OR(Registro_Compras!$C$112="",Registro_Compras!$O$112="",Registro_Compras!$R$112&lt;&gt;"SI",Registro_Compras!$X$112=""),"","4212")</f>
        <v/>
      </c>
      <c r="D982">
        <f>IF(OR(Registro_Compras!$C$112="",Registro_Compras!$O$112=""),"","Cuentas por Pagar Comerciales - Terceros")</f>
        <v/>
      </c>
      <c r="E982" s="20">
        <f>IF($C982="","",Registro_Compras!$S$112)</f>
        <v/>
      </c>
      <c r="F982" s="20">
        <f>""</f>
        <v/>
      </c>
      <c r="G982">
        <f>IF($C982="","","Por el deposito de la detraccion en el Banco de la Nacion")</f>
        <v/>
      </c>
      <c r="H982">
        <f>IF($C982="","",Registro_Compras!$C$112)</f>
        <v/>
      </c>
    </row>
    <row r="983">
      <c r="A983" s="25">
        <f>IF($C983="","",Registro_Compras!$X$112)</f>
        <v/>
      </c>
      <c r="B983">
        <f>IF($C983="","","C"&amp;TEXT(INT((ROW()-5)/9)+1,"000")&amp;"-3")</f>
        <v/>
      </c>
      <c r="C983">
        <f>IF(OR(Registro_Compras!$C$112="",Registro_Compras!$O$112="",Registro_Compras!$R$112&lt;&gt;"SI",Registro_Compras!$X$112=""),"","10413")</f>
        <v/>
      </c>
      <c r="D983">
        <f>IF(OR(Registro_Compras!$C$112="",Registro_Compras!$O$112=""),"","Efectivo y Equivalentes - Cta. Cte. Operativa")</f>
        <v/>
      </c>
      <c r="E983" s="20">
        <f>""</f>
        <v/>
      </c>
      <c r="F983" s="20">
        <f>IF($C983="","",Registro_Compras!$S$112)</f>
        <v/>
      </c>
      <c r="G983">
        <f>IF($C983="","","Por el deposito de la detraccion en el Banco de la Nacion")</f>
        <v/>
      </c>
      <c r="H983">
        <f>IF($C983="","",Registro_Compras!$C$112)</f>
        <v/>
      </c>
    </row>
    <row r="984">
      <c r="A984" s="25">
        <f>IF($C984="","",Registro_Compras!$Y$112)</f>
        <v/>
      </c>
      <c r="B984">
        <f>IF($C984="","","C"&amp;TEXT(INT((ROW()-5)/9)+1,"000")&amp;"-4")</f>
        <v/>
      </c>
      <c r="C984">
        <f>IF(OR(Registro_Compras!$C$112="",Registro_Compras!$O$112="",Registro_Compras!$Y$112="",Registro_Compras!$F$112="NOTA DE CREDITO"),"","4212")</f>
        <v/>
      </c>
      <c r="D984">
        <f>IF(OR(Registro_Compras!$C$112="",Registro_Compras!$O$112=""),"","Cuentas por Pagar Comerciales - Terceros")</f>
        <v/>
      </c>
      <c r="E984" s="20">
        <f>IF($C984="","",IF(Registro_Compras!$F$112="RHE",(ROUND(Registro_Compras!$L$112*Registro_Compras!$N$112,2)-ROUND(Registro_Compras!$V$112*Registro_Compras!$N$112,2)),ROUND(Registro_Compras!$O$112-Registro_Compras!$S$112,2)))</f>
        <v/>
      </c>
      <c r="F984" s="20">
        <f>""</f>
        <v/>
      </c>
      <c r="G984">
        <f>IF($C984="","","Por la cancelacion del saldo al proveedor")</f>
        <v/>
      </c>
      <c r="H984">
        <f>IF($C984="","",Registro_Compras!$C$112)</f>
        <v/>
      </c>
    </row>
    <row r="985">
      <c r="A985" s="25">
        <f>IF($C985="","",Registro_Compras!$Y$112)</f>
        <v/>
      </c>
      <c r="B985">
        <f>IF($C985="","","C"&amp;TEXT(INT((ROW()-5)/9)+1,"000")&amp;"-4")</f>
        <v/>
      </c>
      <c r="C985">
        <f>IF(OR(Registro_Compras!$C$112="",Registro_Compras!$O$112="",Registro_Compras!$Y$112="",Registro_Compras!$F$112="NOTA DE CREDITO"),"","10413")</f>
        <v/>
      </c>
      <c r="D985">
        <f>IF(OR(Registro_Compras!$C$112="",Registro_Compras!$O$112=""),"","Efectivo y Equivalentes - Cta. Cte. Operativa")</f>
        <v/>
      </c>
      <c r="E985" s="20">
        <f>""</f>
        <v/>
      </c>
      <c r="F985" s="20">
        <f>IF($C985="","",IF(Registro_Compras!$F$112="RHE",(ROUND(Registro_Compras!$L$112*Registro_Compras!$N$112,2)-ROUND(Registro_Compras!$V$112*Registro_Compras!$N$112,2)),ROUND(Registro_Compras!$O$112-Registro_Compras!$S$112,2)))</f>
        <v/>
      </c>
      <c r="G985">
        <f>IF($C985="","","Por la cancelacion del saldo al proveedor")</f>
        <v/>
      </c>
      <c r="H985">
        <f>IF($C985="","",Registro_Compras!$C$112)</f>
        <v/>
      </c>
    </row>
    <row r="986">
      <c r="A986" s="25">
        <f>IF($C986="","",Registro_Compras!$B$113)</f>
        <v/>
      </c>
      <c r="B986">
        <f>IF($C986="","","C"&amp;TEXT(INT((ROW()-5)/9)+1,"000")&amp;"-1")</f>
        <v/>
      </c>
      <c r="C986">
        <f>IF(OR(Registro_Compras!$C$113="",Registro_Compras!$O$113=""),"",IF(Registro_Compras!$F$113="NOTA DE CREDITO","4212",IF(Registro_Compras!$M$113="","63",Registro_Compras!$M$113)))</f>
        <v/>
      </c>
      <c r="D986">
        <f>IF(OR(Registro_Compras!$C$113="",Registro_Compras!$O$113=""),"",IF(Registro_Compras!$F$113="NOTA DE CREDITO","Cuentas por Pagar Comerciales - Terceros (Emitidas)",IF(Registro_Compras!$F$113="RHE","Honorarios Profesionales - Servicios de Terceros","Gastos de Servicios Prestados por Terceros")))</f>
        <v/>
      </c>
      <c r="E986" s="20">
        <f>IF($C986="","",IF(Registro_Compras!$F$113="NOTA DE CREDITO",ABS(Registro_Compras!$O$113),IF(Registro_Compras!$F$113="RHE",ROUND(Registro_Compras!$L$113*Registro_Compras!$N$113,2),ROUND(Registro_Compras!$J$113*Registro_Compras!$N$113,2))))</f>
        <v/>
      </c>
      <c r="F986" s="20">
        <f>""</f>
        <v/>
      </c>
      <c r="G986">
        <f>IF($C986="","",IF(Registro_Compras!$F$113="NOTA DE CREDITO","Por la nota de credito "&amp;Registro_Compras!$C$113&amp;" de "&amp;Registro_Compras!$E$113&amp;" [PATRON POR CONFIRMAR CON CONTADOR]",IF(Registro_Compras!$F$113="RHE","Por el registro del recibo por honorarios "&amp;Registro_Compras!$C$113&amp;" de "&amp;Registro_Compras!$E$113&amp;" [PATRON POR CONFIRMAR CON CONTADOR]","Por el registro de la factura "&amp;Registro_Compras!$C$113&amp;" de "&amp;Registro_Compras!$E$113)))</f>
        <v/>
      </c>
      <c r="H986">
        <f>IF($C986="","",Registro_Compras!$C$113)</f>
        <v/>
      </c>
    </row>
    <row r="987">
      <c r="A987" s="25">
        <f>IF($C987="","",Registro_Compras!$B$113)</f>
        <v/>
      </c>
      <c r="B987">
        <f>IF($C987="","","C"&amp;TEXT(INT((ROW()-5)/9)+1,"000")&amp;"-1")</f>
        <v/>
      </c>
      <c r="C987">
        <f>IF(OR(Registro_Compras!$C$113="",Registro_Compras!$O$113=""),"",IF(Registro_Compras!$F$113="RHE",IF(Registro_Compras!$V$113=0,"","40172"),IF(Registro_Compras!$F$113="NOTA DE CREDITO",IF(Registro_Compras!$M$113="","63",Registro_Compras!$M$113),IF(Registro_Compras!$K$113=0,"","40111"))))</f>
        <v/>
      </c>
      <c r="D987">
        <f>IF(OR(Registro_Compras!$C$113="",Registro_Compras!$O$113=""),"",IF(Registro_Compras!$F$113="RHE","Retencion Renta 4ta Categoria por Pagar",IF(Registro_Compras!$F$113="NOTA DE CREDITO","Gastos de Servicios Prestados por Terceros","IGV - Cuenta Propia (Credito Fiscal)")))</f>
        <v/>
      </c>
      <c r="E987" s="20">
        <f>IF($C987="","",IF(Registro_Compras!$F$113="FACTURA",ROUND(Registro_Compras!$K$113*Registro_Compras!$N$113,2),""))</f>
        <v/>
      </c>
      <c r="F987" s="20">
        <f>IF($C987="","",IF(Registro_Compras!$F$113="RHE",ROUND(Registro_Compras!$V$113*Registro_Compras!$N$113,2),IF(Registro_Compras!$F$113="NOTA DE CREDITO",ROUND(ABS(Registro_Compras!$J$113*Registro_Compras!$N$113),2),"")))</f>
        <v/>
      </c>
      <c r="G987">
        <f>IF($C987="","",IF(Registro_Compras!$F$113="NOTA DE CREDITO","Por la nota de credito "&amp;Registro_Compras!$C$113&amp;" de "&amp;Registro_Compras!$E$113&amp;" [PATRON POR CONFIRMAR CON CONTADOR]",IF(Registro_Compras!$F$113="RHE","Por el registro del recibo por honorarios "&amp;Registro_Compras!$C$113&amp;" de "&amp;Registro_Compras!$E$113&amp;" [PATRON POR CONFIRMAR CON CONTADOR]","Por el registro de la factura "&amp;Registro_Compras!$C$113&amp;" de "&amp;Registro_Compras!$E$113)))</f>
        <v/>
      </c>
      <c r="H987">
        <f>IF($C987="","",Registro_Compras!$C$113)</f>
        <v/>
      </c>
    </row>
    <row r="988">
      <c r="A988" s="25">
        <f>IF($C988="","",Registro_Compras!$B$113)</f>
        <v/>
      </c>
      <c r="B988">
        <f>IF($C988="","","C"&amp;TEXT(INT((ROW()-5)/9)+1,"000")&amp;"-1")</f>
        <v/>
      </c>
      <c r="C988">
        <f>IF(OR(Registro_Compras!$C$113="",Registro_Compras!$O$113=""),"",IF(Registro_Compras!$F$113="NOTA DE CREDITO",IF(Registro_Compras!$K$113=0,"","40111"),"4212"))</f>
        <v/>
      </c>
      <c r="D988">
        <f>IF(OR(Registro_Compras!$C$113="",Registro_Compras!$O$113=""),"",IF(Registro_Compras!$F$113="NOTA DE CREDITO","IGV - Cuenta Propia (Credito Fiscal)","Cuentas por Pagar Comerciales - Terceros (Emitidas)"))</f>
        <v/>
      </c>
      <c r="E988" s="20">
        <f>""</f>
        <v/>
      </c>
      <c r="F988" s="20">
        <f>IF($C988="","",IF(Registro_Compras!$F$113="NOTA DE CREDITO",ROUND(ABS(Registro_Compras!$K$113*Registro_Compras!$N$113),2),IF(Registro_Compras!$F$113="RHE",(ROUND(Registro_Compras!$L$113*Registro_Compras!$N$113,2)-ROUND(Registro_Compras!$V$113*Registro_Compras!$N$113,2)),Registro_Compras!$O$113)))</f>
        <v/>
      </c>
      <c r="G988">
        <f>IF($C988="","",IF(Registro_Compras!$F$113="NOTA DE CREDITO","Por la nota de credito "&amp;Registro_Compras!$C$113&amp;" de "&amp;Registro_Compras!$E$113&amp;" [PATRON POR CONFIRMAR CON CONTADOR]",IF(Registro_Compras!$F$113="RHE","Por el registro del recibo por honorarios "&amp;Registro_Compras!$C$113&amp;" de "&amp;Registro_Compras!$E$113&amp;" [PATRON POR CONFIRMAR CON CONTADOR]","Por el registro de la factura "&amp;Registro_Compras!$C$113&amp;" de "&amp;Registro_Compras!$E$113)))</f>
        <v/>
      </c>
      <c r="H988">
        <f>IF($C988="","",Registro_Compras!$C$113)</f>
        <v/>
      </c>
    </row>
    <row r="989">
      <c r="A989" s="25">
        <f>IF($C989="","",Registro_Compras!$B$113)</f>
        <v/>
      </c>
      <c r="B989">
        <f>IF($C989="","","C"&amp;TEXT(INT((ROW()-5)/9)+1,"000")&amp;"-2")</f>
        <v/>
      </c>
      <c r="C989">
        <f>IF(OR(Registro_Compras!$C$113="",Registro_Compras!$O$113=""),"",IF(Registro_Compras!$AB$113="ADMINISTRATIVO","94","95"))</f>
        <v/>
      </c>
      <c r="D989">
        <f>IF(OR(Registro_Compras!$C$113="",Registro_Compras!$O$113=""),"",IF(Registro_Compras!$AB$113="ADMINISTRATIVO","Gastos Administrativos","Gastos de Venta y Operacion"))</f>
        <v/>
      </c>
      <c r="E989" s="20">
        <f>IF($C989="","",IF(Registro_Compras!$F$113="NOTA DE CREDITO","",IF(Registro_Compras!$F$113="RHE",ROUND(Registro_Compras!$L$113*Registro_Compras!$N$113,2),ROUND(Registro_Compras!$J$113*Registro_Compras!$N$113,2))))</f>
        <v/>
      </c>
      <c r="F989" s="20">
        <f>IF($C989="","",IF(Registro_Compras!$F$113="NOTA DE CREDITO",ROUND(ABS(Registro_Compras!$J$113*Registro_Compras!$N$113),2),""))</f>
        <v/>
      </c>
      <c r="G989">
        <f>IF($C989="","","Por el destino del gasto")</f>
        <v/>
      </c>
      <c r="H989">
        <f>IF($C989="","",Registro_Compras!$C$113)</f>
        <v/>
      </c>
    </row>
    <row r="990">
      <c r="A990" s="25">
        <f>IF($C990="","",Registro_Compras!$B$113)</f>
        <v/>
      </c>
      <c r="B990">
        <f>IF($C990="","","C"&amp;TEXT(INT((ROW()-5)/9)+1,"000")&amp;"-2")</f>
        <v/>
      </c>
      <c r="C990">
        <f>IF(OR(Registro_Compras!$C$113="",Registro_Compras!$O$113=""),"","79/791")</f>
        <v/>
      </c>
      <c r="D990">
        <f>IF(OR(Registro_Compras!$C$113="",Registro_Compras!$O$113=""),"","Cargas Imputables a Cuentas de Costos y Gastos")</f>
        <v/>
      </c>
      <c r="E990" s="20">
        <f>IF($C990="","",IF(Registro_Compras!$F$113="NOTA DE CREDITO",ROUND(ABS(Registro_Compras!$J$113*Registro_Compras!$N$113),2),""))</f>
        <v/>
      </c>
      <c r="F990" s="20">
        <f>IF($C990="","",IF(Registro_Compras!$F$113="NOTA DE CREDITO","",IF(Registro_Compras!$F$113="RHE",ROUND(Registro_Compras!$L$113*Registro_Compras!$N$113,2),ROUND(Registro_Compras!$J$113*Registro_Compras!$N$113,2))))</f>
        <v/>
      </c>
      <c r="G990">
        <f>IF($C990="","","Por el destino del gasto")</f>
        <v/>
      </c>
      <c r="H990">
        <f>IF($C990="","",Registro_Compras!$C$113)</f>
        <v/>
      </c>
    </row>
    <row r="991">
      <c r="A991" s="25">
        <f>IF($C991="","",Registro_Compras!$X$113)</f>
        <v/>
      </c>
      <c r="B991">
        <f>IF($C991="","","C"&amp;TEXT(INT((ROW()-5)/9)+1,"000")&amp;"-3")</f>
        <v/>
      </c>
      <c r="C991">
        <f>IF(OR(Registro_Compras!$C$113="",Registro_Compras!$O$113="",Registro_Compras!$R$113&lt;&gt;"SI",Registro_Compras!$X$113=""),"","4212")</f>
        <v/>
      </c>
      <c r="D991">
        <f>IF(OR(Registro_Compras!$C$113="",Registro_Compras!$O$113=""),"","Cuentas por Pagar Comerciales - Terceros")</f>
        <v/>
      </c>
      <c r="E991" s="20">
        <f>IF($C991="","",Registro_Compras!$S$113)</f>
        <v/>
      </c>
      <c r="F991" s="20">
        <f>""</f>
        <v/>
      </c>
      <c r="G991">
        <f>IF($C991="","","Por el deposito de la detraccion en el Banco de la Nacion")</f>
        <v/>
      </c>
      <c r="H991">
        <f>IF($C991="","",Registro_Compras!$C$113)</f>
        <v/>
      </c>
    </row>
    <row r="992">
      <c r="A992" s="25">
        <f>IF($C992="","",Registro_Compras!$X$113)</f>
        <v/>
      </c>
      <c r="B992">
        <f>IF($C992="","","C"&amp;TEXT(INT((ROW()-5)/9)+1,"000")&amp;"-3")</f>
        <v/>
      </c>
      <c r="C992">
        <f>IF(OR(Registro_Compras!$C$113="",Registro_Compras!$O$113="",Registro_Compras!$R$113&lt;&gt;"SI",Registro_Compras!$X$113=""),"","10413")</f>
        <v/>
      </c>
      <c r="D992">
        <f>IF(OR(Registro_Compras!$C$113="",Registro_Compras!$O$113=""),"","Efectivo y Equivalentes - Cta. Cte. Operativa")</f>
        <v/>
      </c>
      <c r="E992" s="20">
        <f>""</f>
        <v/>
      </c>
      <c r="F992" s="20">
        <f>IF($C992="","",Registro_Compras!$S$113)</f>
        <v/>
      </c>
      <c r="G992">
        <f>IF($C992="","","Por el deposito de la detraccion en el Banco de la Nacion")</f>
        <v/>
      </c>
      <c r="H992">
        <f>IF($C992="","",Registro_Compras!$C$113)</f>
        <v/>
      </c>
    </row>
    <row r="993">
      <c r="A993" s="25">
        <f>IF($C993="","",Registro_Compras!$Y$113)</f>
        <v/>
      </c>
      <c r="B993">
        <f>IF($C993="","","C"&amp;TEXT(INT((ROW()-5)/9)+1,"000")&amp;"-4")</f>
        <v/>
      </c>
      <c r="C993">
        <f>IF(OR(Registro_Compras!$C$113="",Registro_Compras!$O$113="",Registro_Compras!$Y$113="",Registro_Compras!$F$113="NOTA DE CREDITO"),"","4212")</f>
        <v/>
      </c>
      <c r="D993">
        <f>IF(OR(Registro_Compras!$C$113="",Registro_Compras!$O$113=""),"","Cuentas por Pagar Comerciales - Terceros")</f>
        <v/>
      </c>
      <c r="E993" s="20">
        <f>IF($C993="","",IF(Registro_Compras!$F$113="RHE",(ROUND(Registro_Compras!$L$113*Registro_Compras!$N$113,2)-ROUND(Registro_Compras!$V$113*Registro_Compras!$N$113,2)),ROUND(Registro_Compras!$O$113-Registro_Compras!$S$113,2)))</f>
        <v/>
      </c>
      <c r="F993" s="20">
        <f>""</f>
        <v/>
      </c>
      <c r="G993">
        <f>IF($C993="","","Por la cancelacion del saldo al proveedor")</f>
        <v/>
      </c>
      <c r="H993">
        <f>IF($C993="","",Registro_Compras!$C$113)</f>
        <v/>
      </c>
    </row>
    <row r="994">
      <c r="A994" s="25">
        <f>IF($C994="","",Registro_Compras!$Y$113)</f>
        <v/>
      </c>
      <c r="B994">
        <f>IF($C994="","","C"&amp;TEXT(INT((ROW()-5)/9)+1,"000")&amp;"-4")</f>
        <v/>
      </c>
      <c r="C994">
        <f>IF(OR(Registro_Compras!$C$113="",Registro_Compras!$O$113="",Registro_Compras!$Y$113="",Registro_Compras!$F$113="NOTA DE CREDITO"),"","10413")</f>
        <v/>
      </c>
      <c r="D994">
        <f>IF(OR(Registro_Compras!$C$113="",Registro_Compras!$O$113=""),"","Efectivo y Equivalentes - Cta. Cte. Operativa")</f>
        <v/>
      </c>
      <c r="E994" s="20">
        <f>""</f>
        <v/>
      </c>
      <c r="F994" s="20">
        <f>IF($C994="","",IF(Registro_Compras!$F$113="RHE",(ROUND(Registro_Compras!$L$113*Registro_Compras!$N$113,2)-ROUND(Registro_Compras!$V$113*Registro_Compras!$N$113,2)),ROUND(Registro_Compras!$O$113-Registro_Compras!$S$113,2)))</f>
        <v/>
      </c>
      <c r="G994">
        <f>IF($C994="","","Por la cancelacion del saldo al proveedor")</f>
        <v/>
      </c>
      <c r="H994">
        <f>IF($C994="","",Registro_Compras!$C$113)</f>
        <v/>
      </c>
    </row>
    <row r="995">
      <c r="A995" s="25">
        <f>IF($C995="","",Registro_Compras!$B$114)</f>
        <v/>
      </c>
      <c r="B995">
        <f>IF($C995="","","C"&amp;TEXT(INT((ROW()-5)/9)+1,"000")&amp;"-1")</f>
        <v/>
      </c>
      <c r="C995">
        <f>IF(OR(Registro_Compras!$C$114="",Registro_Compras!$O$114=""),"",IF(Registro_Compras!$F$114="NOTA DE CREDITO","4212",IF(Registro_Compras!$M$114="","63",Registro_Compras!$M$114)))</f>
        <v/>
      </c>
      <c r="D995">
        <f>IF(OR(Registro_Compras!$C$114="",Registro_Compras!$O$114=""),"",IF(Registro_Compras!$F$114="NOTA DE CREDITO","Cuentas por Pagar Comerciales - Terceros (Emitidas)",IF(Registro_Compras!$F$114="RHE","Honorarios Profesionales - Servicios de Terceros","Gastos de Servicios Prestados por Terceros")))</f>
        <v/>
      </c>
      <c r="E995" s="20">
        <f>IF($C995="","",IF(Registro_Compras!$F$114="NOTA DE CREDITO",ABS(Registro_Compras!$O$114),IF(Registro_Compras!$F$114="RHE",ROUND(Registro_Compras!$L$114*Registro_Compras!$N$114,2),ROUND(Registro_Compras!$J$114*Registro_Compras!$N$114,2))))</f>
        <v/>
      </c>
      <c r="F995" s="20">
        <f>""</f>
        <v/>
      </c>
      <c r="G995">
        <f>IF($C995="","",IF(Registro_Compras!$F$114="NOTA DE CREDITO","Por la nota de credito "&amp;Registro_Compras!$C$114&amp;" de "&amp;Registro_Compras!$E$114&amp;" [PATRON POR CONFIRMAR CON CONTADOR]",IF(Registro_Compras!$F$114="RHE","Por el registro del recibo por honorarios "&amp;Registro_Compras!$C$114&amp;" de "&amp;Registro_Compras!$E$114&amp;" [PATRON POR CONFIRMAR CON CONTADOR]","Por el registro de la factura "&amp;Registro_Compras!$C$114&amp;" de "&amp;Registro_Compras!$E$114)))</f>
        <v/>
      </c>
      <c r="H995">
        <f>IF($C995="","",Registro_Compras!$C$114)</f>
        <v/>
      </c>
    </row>
    <row r="996">
      <c r="A996" s="25">
        <f>IF($C996="","",Registro_Compras!$B$114)</f>
        <v/>
      </c>
      <c r="B996">
        <f>IF($C996="","","C"&amp;TEXT(INT((ROW()-5)/9)+1,"000")&amp;"-1")</f>
        <v/>
      </c>
      <c r="C996">
        <f>IF(OR(Registro_Compras!$C$114="",Registro_Compras!$O$114=""),"",IF(Registro_Compras!$F$114="RHE",IF(Registro_Compras!$V$114=0,"","40172"),IF(Registro_Compras!$F$114="NOTA DE CREDITO",IF(Registro_Compras!$M$114="","63",Registro_Compras!$M$114),IF(Registro_Compras!$K$114=0,"","40111"))))</f>
        <v/>
      </c>
      <c r="D996">
        <f>IF(OR(Registro_Compras!$C$114="",Registro_Compras!$O$114=""),"",IF(Registro_Compras!$F$114="RHE","Retencion Renta 4ta Categoria por Pagar",IF(Registro_Compras!$F$114="NOTA DE CREDITO","Gastos de Servicios Prestados por Terceros","IGV - Cuenta Propia (Credito Fiscal)")))</f>
        <v/>
      </c>
      <c r="E996" s="20">
        <f>IF($C996="","",IF(Registro_Compras!$F$114="FACTURA",ROUND(Registro_Compras!$K$114*Registro_Compras!$N$114,2),""))</f>
        <v/>
      </c>
      <c r="F996" s="20">
        <f>IF($C996="","",IF(Registro_Compras!$F$114="RHE",ROUND(Registro_Compras!$V$114*Registro_Compras!$N$114,2),IF(Registro_Compras!$F$114="NOTA DE CREDITO",ROUND(ABS(Registro_Compras!$J$114*Registro_Compras!$N$114),2),"")))</f>
        <v/>
      </c>
      <c r="G996">
        <f>IF($C996="","",IF(Registro_Compras!$F$114="NOTA DE CREDITO","Por la nota de credito "&amp;Registro_Compras!$C$114&amp;" de "&amp;Registro_Compras!$E$114&amp;" [PATRON POR CONFIRMAR CON CONTADOR]",IF(Registro_Compras!$F$114="RHE","Por el registro del recibo por honorarios "&amp;Registro_Compras!$C$114&amp;" de "&amp;Registro_Compras!$E$114&amp;" [PATRON POR CONFIRMAR CON CONTADOR]","Por el registro de la factura "&amp;Registro_Compras!$C$114&amp;" de "&amp;Registro_Compras!$E$114)))</f>
        <v/>
      </c>
      <c r="H996">
        <f>IF($C996="","",Registro_Compras!$C$114)</f>
        <v/>
      </c>
    </row>
    <row r="997">
      <c r="A997" s="25">
        <f>IF($C997="","",Registro_Compras!$B$114)</f>
        <v/>
      </c>
      <c r="B997">
        <f>IF($C997="","","C"&amp;TEXT(INT((ROW()-5)/9)+1,"000")&amp;"-1")</f>
        <v/>
      </c>
      <c r="C997">
        <f>IF(OR(Registro_Compras!$C$114="",Registro_Compras!$O$114=""),"",IF(Registro_Compras!$F$114="NOTA DE CREDITO",IF(Registro_Compras!$K$114=0,"","40111"),"4212"))</f>
        <v/>
      </c>
      <c r="D997">
        <f>IF(OR(Registro_Compras!$C$114="",Registro_Compras!$O$114=""),"",IF(Registro_Compras!$F$114="NOTA DE CREDITO","IGV - Cuenta Propia (Credito Fiscal)","Cuentas por Pagar Comerciales - Terceros (Emitidas)"))</f>
        <v/>
      </c>
      <c r="E997" s="20">
        <f>""</f>
        <v/>
      </c>
      <c r="F997" s="20">
        <f>IF($C997="","",IF(Registro_Compras!$F$114="NOTA DE CREDITO",ROUND(ABS(Registro_Compras!$K$114*Registro_Compras!$N$114),2),IF(Registro_Compras!$F$114="RHE",(ROUND(Registro_Compras!$L$114*Registro_Compras!$N$114,2)-ROUND(Registro_Compras!$V$114*Registro_Compras!$N$114,2)),Registro_Compras!$O$114)))</f>
        <v/>
      </c>
      <c r="G997">
        <f>IF($C997="","",IF(Registro_Compras!$F$114="NOTA DE CREDITO","Por la nota de credito "&amp;Registro_Compras!$C$114&amp;" de "&amp;Registro_Compras!$E$114&amp;" [PATRON POR CONFIRMAR CON CONTADOR]",IF(Registro_Compras!$F$114="RHE","Por el registro del recibo por honorarios "&amp;Registro_Compras!$C$114&amp;" de "&amp;Registro_Compras!$E$114&amp;" [PATRON POR CONFIRMAR CON CONTADOR]","Por el registro de la factura "&amp;Registro_Compras!$C$114&amp;" de "&amp;Registro_Compras!$E$114)))</f>
        <v/>
      </c>
      <c r="H997">
        <f>IF($C997="","",Registro_Compras!$C$114)</f>
        <v/>
      </c>
    </row>
    <row r="998">
      <c r="A998" s="25">
        <f>IF($C998="","",Registro_Compras!$B$114)</f>
        <v/>
      </c>
      <c r="B998">
        <f>IF($C998="","","C"&amp;TEXT(INT((ROW()-5)/9)+1,"000")&amp;"-2")</f>
        <v/>
      </c>
      <c r="C998">
        <f>IF(OR(Registro_Compras!$C$114="",Registro_Compras!$O$114=""),"",IF(Registro_Compras!$AB$114="ADMINISTRATIVO","94","95"))</f>
        <v/>
      </c>
      <c r="D998">
        <f>IF(OR(Registro_Compras!$C$114="",Registro_Compras!$O$114=""),"",IF(Registro_Compras!$AB$114="ADMINISTRATIVO","Gastos Administrativos","Gastos de Venta y Operacion"))</f>
        <v/>
      </c>
      <c r="E998" s="20">
        <f>IF($C998="","",IF(Registro_Compras!$F$114="NOTA DE CREDITO","",IF(Registro_Compras!$F$114="RHE",ROUND(Registro_Compras!$L$114*Registro_Compras!$N$114,2),ROUND(Registro_Compras!$J$114*Registro_Compras!$N$114,2))))</f>
        <v/>
      </c>
      <c r="F998" s="20">
        <f>IF($C998="","",IF(Registro_Compras!$F$114="NOTA DE CREDITO",ROUND(ABS(Registro_Compras!$J$114*Registro_Compras!$N$114),2),""))</f>
        <v/>
      </c>
      <c r="G998">
        <f>IF($C998="","","Por el destino del gasto")</f>
        <v/>
      </c>
      <c r="H998">
        <f>IF($C998="","",Registro_Compras!$C$114)</f>
        <v/>
      </c>
    </row>
    <row r="999">
      <c r="A999" s="25">
        <f>IF($C999="","",Registro_Compras!$B$114)</f>
        <v/>
      </c>
      <c r="B999">
        <f>IF($C999="","","C"&amp;TEXT(INT((ROW()-5)/9)+1,"000")&amp;"-2")</f>
        <v/>
      </c>
      <c r="C999">
        <f>IF(OR(Registro_Compras!$C$114="",Registro_Compras!$O$114=""),"","79/791")</f>
        <v/>
      </c>
      <c r="D999">
        <f>IF(OR(Registro_Compras!$C$114="",Registro_Compras!$O$114=""),"","Cargas Imputables a Cuentas de Costos y Gastos")</f>
        <v/>
      </c>
      <c r="E999" s="20">
        <f>IF($C999="","",IF(Registro_Compras!$F$114="NOTA DE CREDITO",ROUND(ABS(Registro_Compras!$J$114*Registro_Compras!$N$114),2),""))</f>
        <v/>
      </c>
      <c r="F999" s="20">
        <f>IF($C999="","",IF(Registro_Compras!$F$114="NOTA DE CREDITO","",IF(Registro_Compras!$F$114="RHE",ROUND(Registro_Compras!$L$114*Registro_Compras!$N$114,2),ROUND(Registro_Compras!$J$114*Registro_Compras!$N$114,2))))</f>
        <v/>
      </c>
      <c r="G999">
        <f>IF($C999="","","Por el destino del gasto")</f>
        <v/>
      </c>
      <c r="H999">
        <f>IF($C999="","",Registro_Compras!$C$114)</f>
        <v/>
      </c>
    </row>
    <row r="1000">
      <c r="A1000" s="25">
        <f>IF($C1000="","",Registro_Compras!$X$114)</f>
        <v/>
      </c>
      <c r="B1000">
        <f>IF($C1000="","","C"&amp;TEXT(INT((ROW()-5)/9)+1,"000")&amp;"-3")</f>
        <v/>
      </c>
      <c r="C1000">
        <f>IF(OR(Registro_Compras!$C$114="",Registro_Compras!$O$114="",Registro_Compras!$R$114&lt;&gt;"SI",Registro_Compras!$X$114=""),"","4212")</f>
        <v/>
      </c>
      <c r="D1000">
        <f>IF(OR(Registro_Compras!$C$114="",Registro_Compras!$O$114=""),"","Cuentas por Pagar Comerciales - Terceros")</f>
        <v/>
      </c>
      <c r="E1000" s="20">
        <f>IF($C1000="","",Registro_Compras!$S$114)</f>
        <v/>
      </c>
      <c r="F1000" s="20">
        <f>""</f>
        <v/>
      </c>
      <c r="G1000">
        <f>IF($C1000="","","Por el deposito de la detraccion en el Banco de la Nacion")</f>
        <v/>
      </c>
      <c r="H1000">
        <f>IF($C1000="","",Registro_Compras!$C$114)</f>
        <v/>
      </c>
    </row>
    <row r="1001">
      <c r="A1001" s="25">
        <f>IF($C1001="","",Registro_Compras!$X$114)</f>
        <v/>
      </c>
      <c r="B1001">
        <f>IF($C1001="","","C"&amp;TEXT(INT((ROW()-5)/9)+1,"000")&amp;"-3")</f>
        <v/>
      </c>
      <c r="C1001">
        <f>IF(OR(Registro_Compras!$C$114="",Registro_Compras!$O$114="",Registro_Compras!$R$114&lt;&gt;"SI",Registro_Compras!$X$114=""),"","10413")</f>
        <v/>
      </c>
      <c r="D1001">
        <f>IF(OR(Registro_Compras!$C$114="",Registro_Compras!$O$114=""),"","Efectivo y Equivalentes - Cta. Cte. Operativa")</f>
        <v/>
      </c>
      <c r="E1001" s="20">
        <f>""</f>
        <v/>
      </c>
      <c r="F1001" s="20">
        <f>IF($C1001="","",Registro_Compras!$S$114)</f>
        <v/>
      </c>
      <c r="G1001">
        <f>IF($C1001="","","Por el deposito de la detraccion en el Banco de la Nacion")</f>
        <v/>
      </c>
      <c r="H1001">
        <f>IF($C1001="","",Registro_Compras!$C$114)</f>
        <v/>
      </c>
    </row>
    <row r="1002">
      <c r="A1002" s="25">
        <f>IF($C1002="","",Registro_Compras!$Y$114)</f>
        <v/>
      </c>
      <c r="B1002">
        <f>IF($C1002="","","C"&amp;TEXT(INT((ROW()-5)/9)+1,"000")&amp;"-4")</f>
        <v/>
      </c>
      <c r="C1002">
        <f>IF(OR(Registro_Compras!$C$114="",Registro_Compras!$O$114="",Registro_Compras!$Y$114="",Registro_Compras!$F$114="NOTA DE CREDITO"),"","4212")</f>
        <v/>
      </c>
      <c r="D1002">
        <f>IF(OR(Registro_Compras!$C$114="",Registro_Compras!$O$114=""),"","Cuentas por Pagar Comerciales - Terceros")</f>
        <v/>
      </c>
      <c r="E1002" s="20">
        <f>IF($C1002="","",IF(Registro_Compras!$F$114="RHE",(ROUND(Registro_Compras!$L$114*Registro_Compras!$N$114,2)-ROUND(Registro_Compras!$V$114*Registro_Compras!$N$114,2)),ROUND(Registro_Compras!$O$114-Registro_Compras!$S$114,2)))</f>
        <v/>
      </c>
      <c r="F1002" s="20">
        <f>""</f>
        <v/>
      </c>
      <c r="G1002">
        <f>IF($C1002="","","Por la cancelacion del saldo al proveedor")</f>
        <v/>
      </c>
      <c r="H1002">
        <f>IF($C1002="","",Registro_Compras!$C$114)</f>
        <v/>
      </c>
    </row>
    <row r="1003">
      <c r="A1003" s="25">
        <f>IF($C1003="","",Registro_Compras!$Y$114)</f>
        <v/>
      </c>
      <c r="B1003">
        <f>IF($C1003="","","C"&amp;TEXT(INT((ROW()-5)/9)+1,"000")&amp;"-4")</f>
        <v/>
      </c>
      <c r="C1003">
        <f>IF(OR(Registro_Compras!$C$114="",Registro_Compras!$O$114="",Registro_Compras!$Y$114="",Registro_Compras!$F$114="NOTA DE CREDITO"),"","10413")</f>
        <v/>
      </c>
      <c r="D1003">
        <f>IF(OR(Registro_Compras!$C$114="",Registro_Compras!$O$114=""),"","Efectivo y Equivalentes - Cta. Cte. Operativa")</f>
        <v/>
      </c>
      <c r="E1003" s="20">
        <f>""</f>
        <v/>
      </c>
      <c r="F1003" s="20">
        <f>IF($C1003="","",IF(Registro_Compras!$F$114="RHE",(ROUND(Registro_Compras!$L$114*Registro_Compras!$N$114,2)-ROUND(Registro_Compras!$V$114*Registro_Compras!$N$114,2)),ROUND(Registro_Compras!$O$114-Registro_Compras!$S$114,2)))</f>
        <v/>
      </c>
      <c r="G1003">
        <f>IF($C1003="","","Por la cancelacion del saldo al proveedor")</f>
        <v/>
      </c>
      <c r="H1003">
        <f>IF($C1003="","",Registro_Compras!$C$114)</f>
        <v/>
      </c>
    </row>
    <row r="1004">
      <c r="A1004" s="25">
        <f>IF($C1004="","",Registro_Compras!$B$115)</f>
        <v/>
      </c>
      <c r="B1004">
        <f>IF($C1004="","","C"&amp;TEXT(INT((ROW()-5)/9)+1,"000")&amp;"-1")</f>
        <v/>
      </c>
      <c r="C1004">
        <f>IF(OR(Registro_Compras!$C$115="",Registro_Compras!$O$115=""),"",IF(Registro_Compras!$F$115="NOTA DE CREDITO","4212",IF(Registro_Compras!$M$115="","63",Registro_Compras!$M$115)))</f>
        <v/>
      </c>
      <c r="D1004">
        <f>IF(OR(Registro_Compras!$C$115="",Registro_Compras!$O$115=""),"",IF(Registro_Compras!$F$115="NOTA DE CREDITO","Cuentas por Pagar Comerciales - Terceros (Emitidas)",IF(Registro_Compras!$F$115="RHE","Honorarios Profesionales - Servicios de Terceros","Gastos de Servicios Prestados por Terceros")))</f>
        <v/>
      </c>
      <c r="E1004" s="20">
        <f>IF($C1004="","",IF(Registro_Compras!$F$115="NOTA DE CREDITO",ABS(Registro_Compras!$O$115),IF(Registro_Compras!$F$115="RHE",ROUND(Registro_Compras!$L$115*Registro_Compras!$N$115,2),ROUND(Registro_Compras!$J$115*Registro_Compras!$N$115,2))))</f>
        <v/>
      </c>
      <c r="F1004" s="20">
        <f>""</f>
        <v/>
      </c>
      <c r="G1004">
        <f>IF($C1004="","",IF(Registro_Compras!$F$115="NOTA DE CREDITO","Por la nota de credito "&amp;Registro_Compras!$C$115&amp;" de "&amp;Registro_Compras!$E$115&amp;" [PATRON POR CONFIRMAR CON CONTADOR]",IF(Registro_Compras!$F$115="RHE","Por el registro del recibo por honorarios "&amp;Registro_Compras!$C$115&amp;" de "&amp;Registro_Compras!$E$115&amp;" [PATRON POR CONFIRMAR CON CONTADOR]","Por el registro de la factura "&amp;Registro_Compras!$C$115&amp;" de "&amp;Registro_Compras!$E$115)))</f>
        <v/>
      </c>
      <c r="H1004">
        <f>IF($C1004="","",Registro_Compras!$C$115)</f>
        <v/>
      </c>
    </row>
    <row r="1005">
      <c r="A1005" s="25">
        <f>IF($C1005="","",Registro_Compras!$B$115)</f>
        <v/>
      </c>
      <c r="B1005">
        <f>IF($C1005="","","C"&amp;TEXT(INT((ROW()-5)/9)+1,"000")&amp;"-1")</f>
        <v/>
      </c>
      <c r="C1005">
        <f>IF(OR(Registro_Compras!$C$115="",Registro_Compras!$O$115=""),"",IF(Registro_Compras!$F$115="RHE",IF(Registro_Compras!$V$115=0,"","40172"),IF(Registro_Compras!$F$115="NOTA DE CREDITO",IF(Registro_Compras!$M$115="","63",Registro_Compras!$M$115),IF(Registro_Compras!$K$115=0,"","40111"))))</f>
        <v/>
      </c>
      <c r="D1005">
        <f>IF(OR(Registro_Compras!$C$115="",Registro_Compras!$O$115=""),"",IF(Registro_Compras!$F$115="RHE","Retencion Renta 4ta Categoria por Pagar",IF(Registro_Compras!$F$115="NOTA DE CREDITO","Gastos de Servicios Prestados por Terceros","IGV - Cuenta Propia (Credito Fiscal)")))</f>
        <v/>
      </c>
      <c r="E1005" s="20">
        <f>IF($C1005="","",IF(Registro_Compras!$F$115="FACTURA",ROUND(Registro_Compras!$K$115*Registro_Compras!$N$115,2),""))</f>
        <v/>
      </c>
      <c r="F1005" s="20">
        <f>IF($C1005="","",IF(Registro_Compras!$F$115="RHE",ROUND(Registro_Compras!$V$115*Registro_Compras!$N$115,2),IF(Registro_Compras!$F$115="NOTA DE CREDITO",ROUND(ABS(Registro_Compras!$J$115*Registro_Compras!$N$115),2),"")))</f>
        <v/>
      </c>
      <c r="G1005">
        <f>IF($C1005="","",IF(Registro_Compras!$F$115="NOTA DE CREDITO","Por la nota de credito "&amp;Registro_Compras!$C$115&amp;" de "&amp;Registro_Compras!$E$115&amp;" [PATRON POR CONFIRMAR CON CONTADOR]",IF(Registro_Compras!$F$115="RHE","Por el registro del recibo por honorarios "&amp;Registro_Compras!$C$115&amp;" de "&amp;Registro_Compras!$E$115&amp;" [PATRON POR CONFIRMAR CON CONTADOR]","Por el registro de la factura "&amp;Registro_Compras!$C$115&amp;" de "&amp;Registro_Compras!$E$115)))</f>
        <v/>
      </c>
      <c r="H1005">
        <f>IF($C1005="","",Registro_Compras!$C$115)</f>
        <v/>
      </c>
    </row>
    <row r="1006">
      <c r="A1006" s="25">
        <f>IF($C1006="","",Registro_Compras!$B$115)</f>
        <v/>
      </c>
      <c r="B1006">
        <f>IF($C1006="","","C"&amp;TEXT(INT((ROW()-5)/9)+1,"000")&amp;"-1")</f>
        <v/>
      </c>
      <c r="C1006">
        <f>IF(OR(Registro_Compras!$C$115="",Registro_Compras!$O$115=""),"",IF(Registro_Compras!$F$115="NOTA DE CREDITO",IF(Registro_Compras!$K$115=0,"","40111"),"4212"))</f>
        <v/>
      </c>
      <c r="D1006">
        <f>IF(OR(Registro_Compras!$C$115="",Registro_Compras!$O$115=""),"",IF(Registro_Compras!$F$115="NOTA DE CREDITO","IGV - Cuenta Propia (Credito Fiscal)","Cuentas por Pagar Comerciales - Terceros (Emitidas)"))</f>
        <v/>
      </c>
      <c r="E1006" s="20">
        <f>""</f>
        <v/>
      </c>
      <c r="F1006" s="20">
        <f>IF($C1006="","",IF(Registro_Compras!$F$115="NOTA DE CREDITO",ROUND(ABS(Registro_Compras!$K$115*Registro_Compras!$N$115),2),IF(Registro_Compras!$F$115="RHE",(ROUND(Registro_Compras!$L$115*Registro_Compras!$N$115,2)-ROUND(Registro_Compras!$V$115*Registro_Compras!$N$115,2)),Registro_Compras!$O$115)))</f>
        <v/>
      </c>
      <c r="G1006">
        <f>IF($C1006="","",IF(Registro_Compras!$F$115="NOTA DE CREDITO","Por la nota de credito "&amp;Registro_Compras!$C$115&amp;" de "&amp;Registro_Compras!$E$115&amp;" [PATRON POR CONFIRMAR CON CONTADOR]",IF(Registro_Compras!$F$115="RHE","Por el registro del recibo por honorarios "&amp;Registro_Compras!$C$115&amp;" de "&amp;Registro_Compras!$E$115&amp;" [PATRON POR CONFIRMAR CON CONTADOR]","Por el registro de la factura "&amp;Registro_Compras!$C$115&amp;" de "&amp;Registro_Compras!$E$115)))</f>
        <v/>
      </c>
      <c r="H1006">
        <f>IF($C1006="","",Registro_Compras!$C$115)</f>
        <v/>
      </c>
    </row>
    <row r="1007">
      <c r="A1007" s="25">
        <f>IF($C1007="","",Registro_Compras!$B$115)</f>
        <v/>
      </c>
      <c r="B1007">
        <f>IF($C1007="","","C"&amp;TEXT(INT((ROW()-5)/9)+1,"000")&amp;"-2")</f>
        <v/>
      </c>
      <c r="C1007">
        <f>IF(OR(Registro_Compras!$C$115="",Registro_Compras!$O$115=""),"",IF(Registro_Compras!$AB$115="ADMINISTRATIVO","94","95"))</f>
        <v/>
      </c>
      <c r="D1007">
        <f>IF(OR(Registro_Compras!$C$115="",Registro_Compras!$O$115=""),"",IF(Registro_Compras!$AB$115="ADMINISTRATIVO","Gastos Administrativos","Gastos de Venta y Operacion"))</f>
        <v/>
      </c>
      <c r="E1007" s="20">
        <f>IF($C1007="","",IF(Registro_Compras!$F$115="NOTA DE CREDITO","",IF(Registro_Compras!$F$115="RHE",ROUND(Registro_Compras!$L$115*Registro_Compras!$N$115,2),ROUND(Registro_Compras!$J$115*Registro_Compras!$N$115,2))))</f>
        <v/>
      </c>
      <c r="F1007" s="20">
        <f>IF($C1007="","",IF(Registro_Compras!$F$115="NOTA DE CREDITO",ROUND(ABS(Registro_Compras!$J$115*Registro_Compras!$N$115),2),""))</f>
        <v/>
      </c>
      <c r="G1007">
        <f>IF($C1007="","","Por el destino del gasto")</f>
        <v/>
      </c>
      <c r="H1007">
        <f>IF($C1007="","",Registro_Compras!$C$115)</f>
        <v/>
      </c>
    </row>
    <row r="1008">
      <c r="A1008" s="25">
        <f>IF($C1008="","",Registro_Compras!$B$115)</f>
        <v/>
      </c>
      <c r="B1008">
        <f>IF($C1008="","","C"&amp;TEXT(INT((ROW()-5)/9)+1,"000")&amp;"-2")</f>
        <v/>
      </c>
      <c r="C1008">
        <f>IF(OR(Registro_Compras!$C$115="",Registro_Compras!$O$115=""),"","79/791")</f>
        <v/>
      </c>
      <c r="D1008">
        <f>IF(OR(Registro_Compras!$C$115="",Registro_Compras!$O$115=""),"","Cargas Imputables a Cuentas de Costos y Gastos")</f>
        <v/>
      </c>
      <c r="E1008" s="20">
        <f>IF($C1008="","",IF(Registro_Compras!$F$115="NOTA DE CREDITO",ROUND(ABS(Registro_Compras!$J$115*Registro_Compras!$N$115),2),""))</f>
        <v/>
      </c>
      <c r="F1008" s="20">
        <f>IF($C1008="","",IF(Registro_Compras!$F$115="NOTA DE CREDITO","",IF(Registro_Compras!$F$115="RHE",ROUND(Registro_Compras!$L$115*Registro_Compras!$N$115,2),ROUND(Registro_Compras!$J$115*Registro_Compras!$N$115,2))))</f>
        <v/>
      </c>
      <c r="G1008">
        <f>IF($C1008="","","Por el destino del gasto")</f>
        <v/>
      </c>
      <c r="H1008">
        <f>IF($C1008="","",Registro_Compras!$C$115)</f>
        <v/>
      </c>
    </row>
    <row r="1009">
      <c r="A1009" s="25">
        <f>IF($C1009="","",Registro_Compras!$X$115)</f>
        <v/>
      </c>
      <c r="B1009">
        <f>IF($C1009="","","C"&amp;TEXT(INT((ROW()-5)/9)+1,"000")&amp;"-3")</f>
        <v/>
      </c>
      <c r="C1009">
        <f>IF(OR(Registro_Compras!$C$115="",Registro_Compras!$O$115="",Registro_Compras!$R$115&lt;&gt;"SI",Registro_Compras!$X$115=""),"","4212")</f>
        <v/>
      </c>
      <c r="D1009">
        <f>IF(OR(Registro_Compras!$C$115="",Registro_Compras!$O$115=""),"","Cuentas por Pagar Comerciales - Terceros")</f>
        <v/>
      </c>
      <c r="E1009" s="20">
        <f>IF($C1009="","",Registro_Compras!$S$115)</f>
        <v/>
      </c>
      <c r="F1009" s="20">
        <f>""</f>
        <v/>
      </c>
      <c r="G1009">
        <f>IF($C1009="","","Por el deposito de la detraccion en el Banco de la Nacion")</f>
        <v/>
      </c>
      <c r="H1009">
        <f>IF($C1009="","",Registro_Compras!$C$115)</f>
        <v/>
      </c>
    </row>
    <row r="1010">
      <c r="A1010" s="25">
        <f>IF($C1010="","",Registro_Compras!$X$115)</f>
        <v/>
      </c>
      <c r="B1010">
        <f>IF($C1010="","","C"&amp;TEXT(INT((ROW()-5)/9)+1,"000")&amp;"-3")</f>
        <v/>
      </c>
      <c r="C1010">
        <f>IF(OR(Registro_Compras!$C$115="",Registro_Compras!$O$115="",Registro_Compras!$R$115&lt;&gt;"SI",Registro_Compras!$X$115=""),"","10413")</f>
        <v/>
      </c>
      <c r="D1010">
        <f>IF(OR(Registro_Compras!$C$115="",Registro_Compras!$O$115=""),"","Efectivo y Equivalentes - Cta. Cte. Operativa")</f>
        <v/>
      </c>
      <c r="E1010" s="20">
        <f>""</f>
        <v/>
      </c>
      <c r="F1010" s="20">
        <f>IF($C1010="","",Registro_Compras!$S$115)</f>
        <v/>
      </c>
      <c r="G1010">
        <f>IF($C1010="","","Por el deposito de la detraccion en el Banco de la Nacion")</f>
        <v/>
      </c>
      <c r="H1010">
        <f>IF($C1010="","",Registro_Compras!$C$115)</f>
        <v/>
      </c>
    </row>
    <row r="1011">
      <c r="A1011" s="25">
        <f>IF($C1011="","",Registro_Compras!$Y$115)</f>
        <v/>
      </c>
      <c r="B1011">
        <f>IF($C1011="","","C"&amp;TEXT(INT((ROW()-5)/9)+1,"000")&amp;"-4")</f>
        <v/>
      </c>
      <c r="C1011">
        <f>IF(OR(Registro_Compras!$C$115="",Registro_Compras!$O$115="",Registro_Compras!$Y$115="",Registro_Compras!$F$115="NOTA DE CREDITO"),"","4212")</f>
        <v/>
      </c>
      <c r="D1011">
        <f>IF(OR(Registro_Compras!$C$115="",Registro_Compras!$O$115=""),"","Cuentas por Pagar Comerciales - Terceros")</f>
        <v/>
      </c>
      <c r="E1011" s="20">
        <f>IF($C1011="","",IF(Registro_Compras!$F$115="RHE",(ROUND(Registro_Compras!$L$115*Registro_Compras!$N$115,2)-ROUND(Registro_Compras!$V$115*Registro_Compras!$N$115,2)),ROUND(Registro_Compras!$O$115-Registro_Compras!$S$115,2)))</f>
        <v/>
      </c>
      <c r="F1011" s="20">
        <f>""</f>
        <v/>
      </c>
      <c r="G1011">
        <f>IF($C1011="","","Por la cancelacion del saldo al proveedor")</f>
        <v/>
      </c>
      <c r="H1011">
        <f>IF($C1011="","",Registro_Compras!$C$115)</f>
        <v/>
      </c>
    </row>
    <row r="1012">
      <c r="A1012" s="25">
        <f>IF($C1012="","",Registro_Compras!$Y$115)</f>
        <v/>
      </c>
      <c r="B1012">
        <f>IF($C1012="","","C"&amp;TEXT(INT((ROW()-5)/9)+1,"000")&amp;"-4")</f>
        <v/>
      </c>
      <c r="C1012">
        <f>IF(OR(Registro_Compras!$C$115="",Registro_Compras!$O$115="",Registro_Compras!$Y$115="",Registro_Compras!$F$115="NOTA DE CREDITO"),"","10413")</f>
        <v/>
      </c>
      <c r="D1012">
        <f>IF(OR(Registro_Compras!$C$115="",Registro_Compras!$O$115=""),"","Efectivo y Equivalentes - Cta. Cte. Operativa")</f>
        <v/>
      </c>
      <c r="E1012" s="20">
        <f>""</f>
        <v/>
      </c>
      <c r="F1012" s="20">
        <f>IF($C1012="","",IF(Registro_Compras!$F$115="RHE",(ROUND(Registro_Compras!$L$115*Registro_Compras!$N$115,2)-ROUND(Registro_Compras!$V$115*Registro_Compras!$N$115,2)),ROUND(Registro_Compras!$O$115-Registro_Compras!$S$115,2)))</f>
        <v/>
      </c>
      <c r="G1012">
        <f>IF($C1012="","","Por la cancelacion del saldo al proveedor")</f>
        <v/>
      </c>
      <c r="H1012">
        <f>IF($C1012="","",Registro_Compras!$C$115)</f>
        <v/>
      </c>
    </row>
    <row r="1013">
      <c r="A1013" s="25">
        <f>IF($C1013="","",Registro_Compras!$B$116)</f>
        <v/>
      </c>
      <c r="B1013">
        <f>IF($C1013="","","C"&amp;TEXT(INT((ROW()-5)/9)+1,"000")&amp;"-1")</f>
        <v/>
      </c>
      <c r="C1013">
        <f>IF(OR(Registro_Compras!$C$116="",Registro_Compras!$O$116=""),"",IF(Registro_Compras!$F$116="NOTA DE CREDITO","4212",IF(Registro_Compras!$M$116="","63",Registro_Compras!$M$116)))</f>
        <v/>
      </c>
      <c r="D1013">
        <f>IF(OR(Registro_Compras!$C$116="",Registro_Compras!$O$116=""),"",IF(Registro_Compras!$F$116="NOTA DE CREDITO","Cuentas por Pagar Comerciales - Terceros (Emitidas)",IF(Registro_Compras!$F$116="RHE","Honorarios Profesionales - Servicios de Terceros","Gastos de Servicios Prestados por Terceros")))</f>
        <v/>
      </c>
      <c r="E1013" s="20">
        <f>IF($C1013="","",IF(Registro_Compras!$F$116="NOTA DE CREDITO",ABS(Registro_Compras!$O$116),IF(Registro_Compras!$F$116="RHE",ROUND(Registro_Compras!$L$116*Registro_Compras!$N$116,2),ROUND(Registro_Compras!$J$116*Registro_Compras!$N$116,2))))</f>
        <v/>
      </c>
      <c r="F1013" s="20">
        <f>""</f>
        <v/>
      </c>
      <c r="G1013">
        <f>IF($C1013="","",IF(Registro_Compras!$F$116="NOTA DE CREDITO","Por la nota de credito "&amp;Registro_Compras!$C$116&amp;" de "&amp;Registro_Compras!$E$116&amp;" [PATRON POR CONFIRMAR CON CONTADOR]",IF(Registro_Compras!$F$116="RHE","Por el registro del recibo por honorarios "&amp;Registro_Compras!$C$116&amp;" de "&amp;Registro_Compras!$E$116&amp;" [PATRON POR CONFIRMAR CON CONTADOR]","Por el registro de la factura "&amp;Registro_Compras!$C$116&amp;" de "&amp;Registro_Compras!$E$116)))</f>
        <v/>
      </c>
      <c r="H1013">
        <f>IF($C1013="","",Registro_Compras!$C$116)</f>
        <v/>
      </c>
    </row>
    <row r="1014">
      <c r="A1014" s="25">
        <f>IF($C1014="","",Registro_Compras!$B$116)</f>
        <v/>
      </c>
      <c r="B1014">
        <f>IF($C1014="","","C"&amp;TEXT(INT((ROW()-5)/9)+1,"000")&amp;"-1")</f>
        <v/>
      </c>
      <c r="C1014">
        <f>IF(OR(Registro_Compras!$C$116="",Registro_Compras!$O$116=""),"",IF(Registro_Compras!$F$116="RHE",IF(Registro_Compras!$V$116=0,"","40172"),IF(Registro_Compras!$F$116="NOTA DE CREDITO",IF(Registro_Compras!$M$116="","63",Registro_Compras!$M$116),IF(Registro_Compras!$K$116=0,"","40111"))))</f>
        <v/>
      </c>
      <c r="D1014">
        <f>IF(OR(Registro_Compras!$C$116="",Registro_Compras!$O$116=""),"",IF(Registro_Compras!$F$116="RHE","Retencion Renta 4ta Categoria por Pagar",IF(Registro_Compras!$F$116="NOTA DE CREDITO","Gastos de Servicios Prestados por Terceros","IGV - Cuenta Propia (Credito Fiscal)")))</f>
        <v/>
      </c>
      <c r="E1014" s="20">
        <f>IF($C1014="","",IF(Registro_Compras!$F$116="FACTURA",ROUND(Registro_Compras!$K$116*Registro_Compras!$N$116,2),""))</f>
        <v/>
      </c>
      <c r="F1014" s="20">
        <f>IF($C1014="","",IF(Registro_Compras!$F$116="RHE",ROUND(Registro_Compras!$V$116*Registro_Compras!$N$116,2),IF(Registro_Compras!$F$116="NOTA DE CREDITO",ROUND(ABS(Registro_Compras!$J$116*Registro_Compras!$N$116),2),"")))</f>
        <v/>
      </c>
      <c r="G1014">
        <f>IF($C1014="","",IF(Registro_Compras!$F$116="NOTA DE CREDITO","Por la nota de credito "&amp;Registro_Compras!$C$116&amp;" de "&amp;Registro_Compras!$E$116&amp;" [PATRON POR CONFIRMAR CON CONTADOR]",IF(Registro_Compras!$F$116="RHE","Por el registro del recibo por honorarios "&amp;Registro_Compras!$C$116&amp;" de "&amp;Registro_Compras!$E$116&amp;" [PATRON POR CONFIRMAR CON CONTADOR]","Por el registro de la factura "&amp;Registro_Compras!$C$116&amp;" de "&amp;Registro_Compras!$E$116)))</f>
        <v/>
      </c>
      <c r="H1014">
        <f>IF($C1014="","",Registro_Compras!$C$116)</f>
        <v/>
      </c>
    </row>
    <row r="1015">
      <c r="A1015" s="25">
        <f>IF($C1015="","",Registro_Compras!$B$116)</f>
        <v/>
      </c>
      <c r="B1015">
        <f>IF($C1015="","","C"&amp;TEXT(INT((ROW()-5)/9)+1,"000")&amp;"-1")</f>
        <v/>
      </c>
      <c r="C1015">
        <f>IF(OR(Registro_Compras!$C$116="",Registro_Compras!$O$116=""),"",IF(Registro_Compras!$F$116="NOTA DE CREDITO",IF(Registro_Compras!$K$116=0,"","40111"),"4212"))</f>
        <v/>
      </c>
      <c r="D1015">
        <f>IF(OR(Registro_Compras!$C$116="",Registro_Compras!$O$116=""),"",IF(Registro_Compras!$F$116="NOTA DE CREDITO","IGV - Cuenta Propia (Credito Fiscal)","Cuentas por Pagar Comerciales - Terceros (Emitidas)"))</f>
        <v/>
      </c>
      <c r="E1015" s="20">
        <f>""</f>
        <v/>
      </c>
      <c r="F1015" s="20">
        <f>IF($C1015="","",IF(Registro_Compras!$F$116="NOTA DE CREDITO",ROUND(ABS(Registro_Compras!$K$116*Registro_Compras!$N$116),2),IF(Registro_Compras!$F$116="RHE",(ROUND(Registro_Compras!$L$116*Registro_Compras!$N$116,2)-ROUND(Registro_Compras!$V$116*Registro_Compras!$N$116,2)),Registro_Compras!$O$116)))</f>
        <v/>
      </c>
      <c r="G1015">
        <f>IF($C1015="","",IF(Registro_Compras!$F$116="NOTA DE CREDITO","Por la nota de credito "&amp;Registro_Compras!$C$116&amp;" de "&amp;Registro_Compras!$E$116&amp;" [PATRON POR CONFIRMAR CON CONTADOR]",IF(Registro_Compras!$F$116="RHE","Por el registro del recibo por honorarios "&amp;Registro_Compras!$C$116&amp;" de "&amp;Registro_Compras!$E$116&amp;" [PATRON POR CONFIRMAR CON CONTADOR]","Por el registro de la factura "&amp;Registro_Compras!$C$116&amp;" de "&amp;Registro_Compras!$E$116)))</f>
        <v/>
      </c>
      <c r="H1015">
        <f>IF($C1015="","",Registro_Compras!$C$116)</f>
        <v/>
      </c>
    </row>
    <row r="1016">
      <c r="A1016" s="25">
        <f>IF($C1016="","",Registro_Compras!$B$116)</f>
        <v/>
      </c>
      <c r="B1016">
        <f>IF($C1016="","","C"&amp;TEXT(INT((ROW()-5)/9)+1,"000")&amp;"-2")</f>
        <v/>
      </c>
      <c r="C1016">
        <f>IF(OR(Registro_Compras!$C$116="",Registro_Compras!$O$116=""),"",IF(Registro_Compras!$AB$116="ADMINISTRATIVO","94","95"))</f>
        <v/>
      </c>
      <c r="D1016">
        <f>IF(OR(Registro_Compras!$C$116="",Registro_Compras!$O$116=""),"",IF(Registro_Compras!$AB$116="ADMINISTRATIVO","Gastos Administrativos","Gastos de Venta y Operacion"))</f>
        <v/>
      </c>
      <c r="E1016" s="20">
        <f>IF($C1016="","",IF(Registro_Compras!$F$116="NOTA DE CREDITO","",IF(Registro_Compras!$F$116="RHE",ROUND(Registro_Compras!$L$116*Registro_Compras!$N$116,2),ROUND(Registro_Compras!$J$116*Registro_Compras!$N$116,2))))</f>
        <v/>
      </c>
      <c r="F1016" s="20">
        <f>IF($C1016="","",IF(Registro_Compras!$F$116="NOTA DE CREDITO",ROUND(ABS(Registro_Compras!$J$116*Registro_Compras!$N$116),2),""))</f>
        <v/>
      </c>
      <c r="G1016">
        <f>IF($C1016="","","Por el destino del gasto")</f>
        <v/>
      </c>
      <c r="H1016">
        <f>IF($C1016="","",Registro_Compras!$C$116)</f>
        <v/>
      </c>
    </row>
    <row r="1017">
      <c r="A1017" s="25">
        <f>IF($C1017="","",Registro_Compras!$B$116)</f>
        <v/>
      </c>
      <c r="B1017">
        <f>IF($C1017="","","C"&amp;TEXT(INT((ROW()-5)/9)+1,"000")&amp;"-2")</f>
        <v/>
      </c>
      <c r="C1017">
        <f>IF(OR(Registro_Compras!$C$116="",Registro_Compras!$O$116=""),"","79/791")</f>
        <v/>
      </c>
      <c r="D1017">
        <f>IF(OR(Registro_Compras!$C$116="",Registro_Compras!$O$116=""),"","Cargas Imputables a Cuentas de Costos y Gastos")</f>
        <v/>
      </c>
      <c r="E1017" s="20">
        <f>IF($C1017="","",IF(Registro_Compras!$F$116="NOTA DE CREDITO",ROUND(ABS(Registro_Compras!$J$116*Registro_Compras!$N$116),2),""))</f>
        <v/>
      </c>
      <c r="F1017" s="20">
        <f>IF($C1017="","",IF(Registro_Compras!$F$116="NOTA DE CREDITO","",IF(Registro_Compras!$F$116="RHE",ROUND(Registro_Compras!$L$116*Registro_Compras!$N$116,2),ROUND(Registro_Compras!$J$116*Registro_Compras!$N$116,2))))</f>
        <v/>
      </c>
      <c r="G1017">
        <f>IF($C1017="","","Por el destino del gasto")</f>
        <v/>
      </c>
      <c r="H1017">
        <f>IF($C1017="","",Registro_Compras!$C$116)</f>
        <v/>
      </c>
    </row>
    <row r="1018">
      <c r="A1018" s="25">
        <f>IF($C1018="","",Registro_Compras!$X$116)</f>
        <v/>
      </c>
      <c r="B1018">
        <f>IF($C1018="","","C"&amp;TEXT(INT((ROW()-5)/9)+1,"000")&amp;"-3")</f>
        <v/>
      </c>
      <c r="C1018">
        <f>IF(OR(Registro_Compras!$C$116="",Registro_Compras!$O$116="",Registro_Compras!$R$116&lt;&gt;"SI",Registro_Compras!$X$116=""),"","4212")</f>
        <v/>
      </c>
      <c r="D1018">
        <f>IF(OR(Registro_Compras!$C$116="",Registro_Compras!$O$116=""),"","Cuentas por Pagar Comerciales - Terceros")</f>
        <v/>
      </c>
      <c r="E1018" s="20">
        <f>IF($C1018="","",Registro_Compras!$S$116)</f>
        <v/>
      </c>
      <c r="F1018" s="20">
        <f>""</f>
        <v/>
      </c>
      <c r="G1018">
        <f>IF($C1018="","","Por el deposito de la detraccion en el Banco de la Nacion")</f>
        <v/>
      </c>
      <c r="H1018">
        <f>IF($C1018="","",Registro_Compras!$C$116)</f>
        <v/>
      </c>
    </row>
    <row r="1019">
      <c r="A1019" s="25">
        <f>IF($C1019="","",Registro_Compras!$X$116)</f>
        <v/>
      </c>
      <c r="B1019">
        <f>IF($C1019="","","C"&amp;TEXT(INT((ROW()-5)/9)+1,"000")&amp;"-3")</f>
        <v/>
      </c>
      <c r="C1019">
        <f>IF(OR(Registro_Compras!$C$116="",Registro_Compras!$O$116="",Registro_Compras!$R$116&lt;&gt;"SI",Registro_Compras!$X$116=""),"","10413")</f>
        <v/>
      </c>
      <c r="D1019">
        <f>IF(OR(Registro_Compras!$C$116="",Registro_Compras!$O$116=""),"","Efectivo y Equivalentes - Cta. Cte. Operativa")</f>
        <v/>
      </c>
      <c r="E1019" s="20">
        <f>""</f>
        <v/>
      </c>
      <c r="F1019" s="20">
        <f>IF($C1019="","",Registro_Compras!$S$116)</f>
        <v/>
      </c>
      <c r="G1019">
        <f>IF($C1019="","","Por el deposito de la detraccion en el Banco de la Nacion")</f>
        <v/>
      </c>
      <c r="H1019">
        <f>IF($C1019="","",Registro_Compras!$C$116)</f>
        <v/>
      </c>
    </row>
    <row r="1020">
      <c r="A1020" s="25">
        <f>IF($C1020="","",Registro_Compras!$Y$116)</f>
        <v/>
      </c>
      <c r="B1020">
        <f>IF($C1020="","","C"&amp;TEXT(INT((ROW()-5)/9)+1,"000")&amp;"-4")</f>
        <v/>
      </c>
      <c r="C1020">
        <f>IF(OR(Registro_Compras!$C$116="",Registro_Compras!$O$116="",Registro_Compras!$Y$116="",Registro_Compras!$F$116="NOTA DE CREDITO"),"","4212")</f>
        <v/>
      </c>
      <c r="D1020">
        <f>IF(OR(Registro_Compras!$C$116="",Registro_Compras!$O$116=""),"","Cuentas por Pagar Comerciales - Terceros")</f>
        <v/>
      </c>
      <c r="E1020" s="20">
        <f>IF($C1020="","",IF(Registro_Compras!$F$116="RHE",(ROUND(Registro_Compras!$L$116*Registro_Compras!$N$116,2)-ROUND(Registro_Compras!$V$116*Registro_Compras!$N$116,2)),ROUND(Registro_Compras!$O$116-Registro_Compras!$S$116,2)))</f>
        <v/>
      </c>
      <c r="F1020" s="20">
        <f>""</f>
        <v/>
      </c>
      <c r="G1020">
        <f>IF($C1020="","","Por la cancelacion del saldo al proveedor")</f>
        <v/>
      </c>
      <c r="H1020">
        <f>IF($C1020="","",Registro_Compras!$C$116)</f>
        <v/>
      </c>
    </row>
    <row r="1021">
      <c r="A1021" s="25">
        <f>IF($C1021="","",Registro_Compras!$Y$116)</f>
        <v/>
      </c>
      <c r="B1021">
        <f>IF($C1021="","","C"&amp;TEXT(INT((ROW()-5)/9)+1,"000")&amp;"-4")</f>
        <v/>
      </c>
      <c r="C1021">
        <f>IF(OR(Registro_Compras!$C$116="",Registro_Compras!$O$116="",Registro_Compras!$Y$116="",Registro_Compras!$F$116="NOTA DE CREDITO"),"","10413")</f>
        <v/>
      </c>
      <c r="D1021">
        <f>IF(OR(Registro_Compras!$C$116="",Registro_Compras!$O$116=""),"","Efectivo y Equivalentes - Cta. Cte. Operativa")</f>
        <v/>
      </c>
      <c r="E1021" s="20">
        <f>""</f>
        <v/>
      </c>
      <c r="F1021" s="20">
        <f>IF($C1021="","",IF(Registro_Compras!$F$116="RHE",(ROUND(Registro_Compras!$L$116*Registro_Compras!$N$116,2)-ROUND(Registro_Compras!$V$116*Registro_Compras!$N$116,2)),ROUND(Registro_Compras!$O$116-Registro_Compras!$S$116,2)))</f>
        <v/>
      </c>
      <c r="G1021">
        <f>IF($C1021="","","Por la cancelacion del saldo al proveedor")</f>
        <v/>
      </c>
      <c r="H1021">
        <f>IF($C1021="","",Registro_Compras!$C$116)</f>
        <v/>
      </c>
    </row>
    <row r="1022">
      <c r="A1022" s="25">
        <f>IF($C1022="","",Registro_Compras!$B$117)</f>
        <v/>
      </c>
      <c r="B1022">
        <f>IF($C1022="","","C"&amp;TEXT(INT((ROW()-5)/9)+1,"000")&amp;"-1")</f>
        <v/>
      </c>
      <c r="C1022">
        <f>IF(OR(Registro_Compras!$C$117="",Registro_Compras!$O$117=""),"",IF(Registro_Compras!$F$117="NOTA DE CREDITO","4212",IF(Registro_Compras!$M$117="","63",Registro_Compras!$M$117)))</f>
        <v/>
      </c>
      <c r="D1022">
        <f>IF(OR(Registro_Compras!$C$117="",Registro_Compras!$O$117=""),"",IF(Registro_Compras!$F$117="NOTA DE CREDITO","Cuentas por Pagar Comerciales - Terceros (Emitidas)",IF(Registro_Compras!$F$117="RHE","Honorarios Profesionales - Servicios de Terceros","Gastos de Servicios Prestados por Terceros")))</f>
        <v/>
      </c>
      <c r="E1022" s="20">
        <f>IF($C1022="","",IF(Registro_Compras!$F$117="NOTA DE CREDITO",ABS(Registro_Compras!$O$117),IF(Registro_Compras!$F$117="RHE",ROUND(Registro_Compras!$L$117*Registro_Compras!$N$117,2),ROUND(Registro_Compras!$J$117*Registro_Compras!$N$117,2))))</f>
        <v/>
      </c>
      <c r="F1022" s="20">
        <f>""</f>
        <v/>
      </c>
      <c r="G1022">
        <f>IF($C1022="","",IF(Registro_Compras!$F$117="NOTA DE CREDITO","Por la nota de credito "&amp;Registro_Compras!$C$117&amp;" de "&amp;Registro_Compras!$E$117&amp;" [PATRON POR CONFIRMAR CON CONTADOR]",IF(Registro_Compras!$F$117="RHE","Por el registro del recibo por honorarios "&amp;Registro_Compras!$C$117&amp;" de "&amp;Registro_Compras!$E$117&amp;" [PATRON POR CONFIRMAR CON CONTADOR]","Por el registro de la factura "&amp;Registro_Compras!$C$117&amp;" de "&amp;Registro_Compras!$E$117)))</f>
        <v/>
      </c>
      <c r="H1022">
        <f>IF($C1022="","",Registro_Compras!$C$117)</f>
        <v/>
      </c>
    </row>
    <row r="1023">
      <c r="A1023" s="25">
        <f>IF($C1023="","",Registro_Compras!$B$117)</f>
        <v/>
      </c>
      <c r="B1023">
        <f>IF($C1023="","","C"&amp;TEXT(INT((ROW()-5)/9)+1,"000")&amp;"-1")</f>
        <v/>
      </c>
      <c r="C1023">
        <f>IF(OR(Registro_Compras!$C$117="",Registro_Compras!$O$117=""),"",IF(Registro_Compras!$F$117="RHE",IF(Registro_Compras!$V$117=0,"","40172"),IF(Registro_Compras!$F$117="NOTA DE CREDITO",IF(Registro_Compras!$M$117="","63",Registro_Compras!$M$117),IF(Registro_Compras!$K$117=0,"","40111"))))</f>
        <v/>
      </c>
      <c r="D1023">
        <f>IF(OR(Registro_Compras!$C$117="",Registro_Compras!$O$117=""),"",IF(Registro_Compras!$F$117="RHE","Retencion Renta 4ta Categoria por Pagar",IF(Registro_Compras!$F$117="NOTA DE CREDITO","Gastos de Servicios Prestados por Terceros","IGV - Cuenta Propia (Credito Fiscal)")))</f>
        <v/>
      </c>
      <c r="E1023" s="20">
        <f>IF($C1023="","",IF(Registro_Compras!$F$117="FACTURA",ROUND(Registro_Compras!$K$117*Registro_Compras!$N$117,2),""))</f>
        <v/>
      </c>
      <c r="F1023" s="20">
        <f>IF($C1023="","",IF(Registro_Compras!$F$117="RHE",ROUND(Registro_Compras!$V$117*Registro_Compras!$N$117,2),IF(Registro_Compras!$F$117="NOTA DE CREDITO",ROUND(ABS(Registro_Compras!$J$117*Registro_Compras!$N$117),2),"")))</f>
        <v/>
      </c>
      <c r="G1023">
        <f>IF($C1023="","",IF(Registro_Compras!$F$117="NOTA DE CREDITO","Por la nota de credito "&amp;Registro_Compras!$C$117&amp;" de "&amp;Registro_Compras!$E$117&amp;" [PATRON POR CONFIRMAR CON CONTADOR]",IF(Registro_Compras!$F$117="RHE","Por el registro del recibo por honorarios "&amp;Registro_Compras!$C$117&amp;" de "&amp;Registro_Compras!$E$117&amp;" [PATRON POR CONFIRMAR CON CONTADOR]","Por el registro de la factura "&amp;Registro_Compras!$C$117&amp;" de "&amp;Registro_Compras!$E$117)))</f>
        <v/>
      </c>
      <c r="H1023">
        <f>IF($C1023="","",Registro_Compras!$C$117)</f>
        <v/>
      </c>
    </row>
    <row r="1024">
      <c r="A1024" s="25">
        <f>IF($C1024="","",Registro_Compras!$B$117)</f>
        <v/>
      </c>
      <c r="B1024">
        <f>IF($C1024="","","C"&amp;TEXT(INT((ROW()-5)/9)+1,"000")&amp;"-1")</f>
        <v/>
      </c>
      <c r="C1024">
        <f>IF(OR(Registro_Compras!$C$117="",Registro_Compras!$O$117=""),"",IF(Registro_Compras!$F$117="NOTA DE CREDITO",IF(Registro_Compras!$K$117=0,"","40111"),"4212"))</f>
        <v/>
      </c>
      <c r="D1024">
        <f>IF(OR(Registro_Compras!$C$117="",Registro_Compras!$O$117=""),"",IF(Registro_Compras!$F$117="NOTA DE CREDITO","IGV - Cuenta Propia (Credito Fiscal)","Cuentas por Pagar Comerciales - Terceros (Emitidas)"))</f>
        <v/>
      </c>
      <c r="E1024" s="20">
        <f>""</f>
        <v/>
      </c>
      <c r="F1024" s="20">
        <f>IF($C1024="","",IF(Registro_Compras!$F$117="NOTA DE CREDITO",ROUND(ABS(Registro_Compras!$K$117*Registro_Compras!$N$117),2),IF(Registro_Compras!$F$117="RHE",(ROUND(Registro_Compras!$L$117*Registro_Compras!$N$117,2)-ROUND(Registro_Compras!$V$117*Registro_Compras!$N$117,2)),Registro_Compras!$O$117)))</f>
        <v/>
      </c>
      <c r="G1024">
        <f>IF($C1024="","",IF(Registro_Compras!$F$117="NOTA DE CREDITO","Por la nota de credito "&amp;Registro_Compras!$C$117&amp;" de "&amp;Registro_Compras!$E$117&amp;" [PATRON POR CONFIRMAR CON CONTADOR]",IF(Registro_Compras!$F$117="RHE","Por el registro del recibo por honorarios "&amp;Registro_Compras!$C$117&amp;" de "&amp;Registro_Compras!$E$117&amp;" [PATRON POR CONFIRMAR CON CONTADOR]","Por el registro de la factura "&amp;Registro_Compras!$C$117&amp;" de "&amp;Registro_Compras!$E$117)))</f>
        <v/>
      </c>
      <c r="H1024">
        <f>IF($C1024="","",Registro_Compras!$C$117)</f>
        <v/>
      </c>
    </row>
    <row r="1025">
      <c r="A1025" s="25">
        <f>IF($C1025="","",Registro_Compras!$B$117)</f>
        <v/>
      </c>
      <c r="B1025">
        <f>IF($C1025="","","C"&amp;TEXT(INT((ROW()-5)/9)+1,"000")&amp;"-2")</f>
        <v/>
      </c>
      <c r="C1025">
        <f>IF(OR(Registro_Compras!$C$117="",Registro_Compras!$O$117=""),"",IF(Registro_Compras!$AB$117="ADMINISTRATIVO","94","95"))</f>
        <v/>
      </c>
      <c r="D1025">
        <f>IF(OR(Registro_Compras!$C$117="",Registro_Compras!$O$117=""),"",IF(Registro_Compras!$AB$117="ADMINISTRATIVO","Gastos Administrativos","Gastos de Venta y Operacion"))</f>
        <v/>
      </c>
      <c r="E1025" s="20">
        <f>IF($C1025="","",IF(Registro_Compras!$F$117="NOTA DE CREDITO","",IF(Registro_Compras!$F$117="RHE",ROUND(Registro_Compras!$L$117*Registro_Compras!$N$117,2),ROUND(Registro_Compras!$J$117*Registro_Compras!$N$117,2))))</f>
        <v/>
      </c>
      <c r="F1025" s="20">
        <f>IF($C1025="","",IF(Registro_Compras!$F$117="NOTA DE CREDITO",ROUND(ABS(Registro_Compras!$J$117*Registro_Compras!$N$117),2),""))</f>
        <v/>
      </c>
      <c r="G1025">
        <f>IF($C1025="","","Por el destino del gasto")</f>
        <v/>
      </c>
      <c r="H1025">
        <f>IF($C1025="","",Registro_Compras!$C$117)</f>
        <v/>
      </c>
    </row>
    <row r="1026">
      <c r="A1026" s="25">
        <f>IF($C1026="","",Registro_Compras!$B$117)</f>
        <v/>
      </c>
      <c r="B1026">
        <f>IF($C1026="","","C"&amp;TEXT(INT((ROW()-5)/9)+1,"000")&amp;"-2")</f>
        <v/>
      </c>
      <c r="C1026">
        <f>IF(OR(Registro_Compras!$C$117="",Registro_Compras!$O$117=""),"","79/791")</f>
        <v/>
      </c>
      <c r="D1026">
        <f>IF(OR(Registro_Compras!$C$117="",Registro_Compras!$O$117=""),"","Cargas Imputables a Cuentas de Costos y Gastos")</f>
        <v/>
      </c>
      <c r="E1026" s="20">
        <f>IF($C1026="","",IF(Registro_Compras!$F$117="NOTA DE CREDITO",ROUND(ABS(Registro_Compras!$J$117*Registro_Compras!$N$117),2),""))</f>
        <v/>
      </c>
      <c r="F1026" s="20">
        <f>IF($C1026="","",IF(Registro_Compras!$F$117="NOTA DE CREDITO","",IF(Registro_Compras!$F$117="RHE",ROUND(Registro_Compras!$L$117*Registro_Compras!$N$117,2),ROUND(Registro_Compras!$J$117*Registro_Compras!$N$117,2))))</f>
        <v/>
      </c>
      <c r="G1026">
        <f>IF($C1026="","","Por el destino del gasto")</f>
        <v/>
      </c>
      <c r="H1026">
        <f>IF($C1026="","",Registro_Compras!$C$117)</f>
        <v/>
      </c>
    </row>
    <row r="1027">
      <c r="A1027" s="25">
        <f>IF($C1027="","",Registro_Compras!$X$117)</f>
        <v/>
      </c>
      <c r="B1027">
        <f>IF($C1027="","","C"&amp;TEXT(INT((ROW()-5)/9)+1,"000")&amp;"-3")</f>
        <v/>
      </c>
      <c r="C1027">
        <f>IF(OR(Registro_Compras!$C$117="",Registro_Compras!$O$117="",Registro_Compras!$R$117&lt;&gt;"SI",Registro_Compras!$X$117=""),"","4212")</f>
        <v/>
      </c>
      <c r="D1027">
        <f>IF(OR(Registro_Compras!$C$117="",Registro_Compras!$O$117=""),"","Cuentas por Pagar Comerciales - Terceros")</f>
        <v/>
      </c>
      <c r="E1027" s="20">
        <f>IF($C1027="","",Registro_Compras!$S$117)</f>
        <v/>
      </c>
      <c r="F1027" s="20">
        <f>""</f>
        <v/>
      </c>
      <c r="G1027">
        <f>IF($C1027="","","Por el deposito de la detraccion en el Banco de la Nacion")</f>
        <v/>
      </c>
      <c r="H1027">
        <f>IF($C1027="","",Registro_Compras!$C$117)</f>
        <v/>
      </c>
    </row>
    <row r="1028">
      <c r="A1028" s="25">
        <f>IF($C1028="","",Registro_Compras!$X$117)</f>
        <v/>
      </c>
      <c r="B1028">
        <f>IF($C1028="","","C"&amp;TEXT(INT((ROW()-5)/9)+1,"000")&amp;"-3")</f>
        <v/>
      </c>
      <c r="C1028">
        <f>IF(OR(Registro_Compras!$C$117="",Registro_Compras!$O$117="",Registro_Compras!$R$117&lt;&gt;"SI",Registro_Compras!$X$117=""),"","10413")</f>
        <v/>
      </c>
      <c r="D1028">
        <f>IF(OR(Registro_Compras!$C$117="",Registro_Compras!$O$117=""),"","Efectivo y Equivalentes - Cta. Cte. Operativa")</f>
        <v/>
      </c>
      <c r="E1028" s="20">
        <f>""</f>
        <v/>
      </c>
      <c r="F1028" s="20">
        <f>IF($C1028="","",Registro_Compras!$S$117)</f>
        <v/>
      </c>
      <c r="G1028">
        <f>IF($C1028="","","Por el deposito de la detraccion en el Banco de la Nacion")</f>
        <v/>
      </c>
      <c r="H1028">
        <f>IF($C1028="","",Registro_Compras!$C$117)</f>
        <v/>
      </c>
    </row>
    <row r="1029">
      <c r="A1029" s="25">
        <f>IF($C1029="","",Registro_Compras!$Y$117)</f>
        <v/>
      </c>
      <c r="B1029">
        <f>IF($C1029="","","C"&amp;TEXT(INT((ROW()-5)/9)+1,"000")&amp;"-4")</f>
        <v/>
      </c>
      <c r="C1029">
        <f>IF(OR(Registro_Compras!$C$117="",Registro_Compras!$O$117="",Registro_Compras!$Y$117="",Registro_Compras!$F$117="NOTA DE CREDITO"),"","4212")</f>
        <v/>
      </c>
      <c r="D1029">
        <f>IF(OR(Registro_Compras!$C$117="",Registro_Compras!$O$117=""),"","Cuentas por Pagar Comerciales - Terceros")</f>
        <v/>
      </c>
      <c r="E1029" s="20">
        <f>IF($C1029="","",IF(Registro_Compras!$F$117="RHE",(ROUND(Registro_Compras!$L$117*Registro_Compras!$N$117,2)-ROUND(Registro_Compras!$V$117*Registro_Compras!$N$117,2)),ROUND(Registro_Compras!$O$117-Registro_Compras!$S$117,2)))</f>
        <v/>
      </c>
      <c r="F1029" s="20">
        <f>""</f>
        <v/>
      </c>
      <c r="G1029">
        <f>IF($C1029="","","Por la cancelacion del saldo al proveedor")</f>
        <v/>
      </c>
      <c r="H1029">
        <f>IF($C1029="","",Registro_Compras!$C$117)</f>
        <v/>
      </c>
    </row>
    <row r="1030">
      <c r="A1030" s="25">
        <f>IF($C1030="","",Registro_Compras!$Y$117)</f>
        <v/>
      </c>
      <c r="B1030">
        <f>IF($C1030="","","C"&amp;TEXT(INT((ROW()-5)/9)+1,"000")&amp;"-4")</f>
        <v/>
      </c>
      <c r="C1030">
        <f>IF(OR(Registro_Compras!$C$117="",Registro_Compras!$O$117="",Registro_Compras!$Y$117="",Registro_Compras!$F$117="NOTA DE CREDITO"),"","10413")</f>
        <v/>
      </c>
      <c r="D1030">
        <f>IF(OR(Registro_Compras!$C$117="",Registro_Compras!$O$117=""),"","Efectivo y Equivalentes - Cta. Cte. Operativa")</f>
        <v/>
      </c>
      <c r="E1030" s="20">
        <f>""</f>
        <v/>
      </c>
      <c r="F1030" s="20">
        <f>IF($C1030="","",IF(Registro_Compras!$F$117="RHE",(ROUND(Registro_Compras!$L$117*Registro_Compras!$N$117,2)-ROUND(Registro_Compras!$V$117*Registro_Compras!$N$117,2)),ROUND(Registro_Compras!$O$117-Registro_Compras!$S$117,2)))</f>
        <v/>
      </c>
      <c r="G1030">
        <f>IF($C1030="","","Por la cancelacion del saldo al proveedor")</f>
        <v/>
      </c>
      <c r="H1030">
        <f>IF($C1030="","",Registro_Compras!$C$117)</f>
        <v/>
      </c>
    </row>
    <row r="1031">
      <c r="A1031" s="25">
        <f>IF($C1031="","",Registro_Compras!$B$118)</f>
        <v/>
      </c>
      <c r="B1031">
        <f>IF($C1031="","","C"&amp;TEXT(INT((ROW()-5)/9)+1,"000")&amp;"-1")</f>
        <v/>
      </c>
      <c r="C1031">
        <f>IF(OR(Registro_Compras!$C$118="",Registro_Compras!$O$118=""),"",IF(Registro_Compras!$F$118="NOTA DE CREDITO","4212",IF(Registro_Compras!$M$118="","63",Registro_Compras!$M$118)))</f>
        <v/>
      </c>
      <c r="D1031">
        <f>IF(OR(Registro_Compras!$C$118="",Registro_Compras!$O$118=""),"",IF(Registro_Compras!$F$118="NOTA DE CREDITO","Cuentas por Pagar Comerciales - Terceros (Emitidas)",IF(Registro_Compras!$F$118="RHE","Honorarios Profesionales - Servicios de Terceros","Gastos de Servicios Prestados por Terceros")))</f>
        <v/>
      </c>
      <c r="E1031" s="20">
        <f>IF($C1031="","",IF(Registro_Compras!$F$118="NOTA DE CREDITO",ABS(Registro_Compras!$O$118),IF(Registro_Compras!$F$118="RHE",ROUND(Registro_Compras!$L$118*Registro_Compras!$N$118,2),ROUND(Registro_Compras!$J$118*Registro_Compras!$N$118,2))))</f>
        <v/>
      </c>
      <c r="F1031" s="20">
        <f>""</f>
        <v/>
      </c>
      <c r="G1031">
        <f>IF($C1031="","",IF(Registro_Compras!$F$118="NOTA DE CREDITO","Por la nota de credito "&amp;Registro_Compras!$C$118&amp;" de "&amp;Registro_Compras!$E$118&amp;" [PATRON POR CONFIRMAR CON CONTADOR]",IF(Registro_Compras!$F$118="RHE","Por el registro del recibo por honorarios "&amp;Registro_Compras!$C$118&amp;" de "&amp;Registro_Compras!$E$118&amp;" [PATRON POR CONFIRMAR CON CONTADOR]","Por el registro de la factura "&amp;Registro_Compras!$C$118&amp;" de "&amp;Registro_Compras!$E$118)))</f>
        <v/>
      </c>
      <c r="H1031">
        <f>IF($C1031="","",Registro_Compras!$C$118)</f>
        <v/>
      </c>
    </row>
    <row r="1032">
      <c r="A1032" s="25">
        <f>IF($C1032="","",Registro_Compras!$B$118)</f>
        <v/>
      </c>
      <c r="B1032">
        <f>IF($C1032="","","C"&amp;TEXT(INT((ROW()-5)/9)+1,"000")&amp;"-1")</f>
        <v/>
      </c>
      <c r="C1032">
        <f>IF(OR(Registro_Compras!$C$118="",Registro_Compras!$O$118=""),"",IF(Registro_Compras!$F$118="RHE",IF(Registro_Compras!$V$118=0,"","40172"),IF(Registro_Compras!$F$118="NOTA DE CREDITO",IF(Registro_Compras!$M$118="","63",Registro_Compras!$M$118),IF(Registro_Compras!$K$118=0,"","40111"))))</f>
        <v/>
      </c>
      <c r="D1032">
        <f>IF(OR(Registro_Compras!$C$118="",Registro_Compras!$O$118=""),"",IF(Registro_Compras!$F$118="RHE","Retencion Renta 4ta Categoria por Pagar",IF(Registro_Compras!$F$118="NOTA DE CREDITO","Gastos de Servicios Prestados por Terceros","IGV - Cuenta Propia (Credito Fiscal)")))</f>
        <v/>
      </c>
      <c r="E1032" s="20">
        <f>IF($C1032="","",IF(Registro_Compras!$F$118="FACTURA",ROUND(Registro_Compras!$K$118*Registro_Compras!$N$118,2),""))</f>
        <v/>
      </c>
      <c r="F1032" s="20">
        <f>IF($C1032="","",IF(Registro_Compras!$F$118="RHE",ROUND(Registro_Compras!$V$118*Registro_Compras!$N$118,2),IF(Registro_Compras!$F$118="NOTA DE CREDITO",ROUND(ABS(Registro_Compras!$J$118*Registro_Compras!$N$118),2),"")))</f>
        <v/>
      </c>
      <c r="G1032">
        <f>IF($C1032="","",IF(Registro_Compras!$F$118="NOTA DE CREDITO","Por la nota de credito "&amp;Registro_Compras!$C$118&amp;" de "&amp;Registro_Compras!$E$118&amp;" [PATRON POR CONFIRMAR CON CONTADOR]",IF(Registro_Compras!$F$118="RHE","Por el registro del recibo por honorarios "&amp;Registro_Compras!$C$118&amp;" de "&amp;Registro_Compras!$E$118&amp;" [PATRON POR CONFIRMAR CON CONTADOR]","Por el registro de la factura "&amp;Registro_Compras!$C$118&amp;" de "&amp;Registro_Compras!$E$118)))</f>
        <v/>
      </c>
      <c r="H1032">
        <f>IF($C1032="","",Registro_Compras!$C$118)</f>
        <v/>
      </c>
    </row>
    <row r="1033">
      <c r="A1033" s="25">
        <f>IF($C1033="","",Registro_Compras!$B$118)</f>
        <v/>
      </c>
      <c r="B1033">
        <f>IF($C1033="","","C"&amp;TEXT(INT((ROW()-5)/9)+1,"000")&amp;"-1")</f>
        <v/>
      </c>
      <c r="C1033">
        <f>IF(OR(Registro_Compras!$C$118="",Registro_Compras!$O$118=""),"",IF(Registro_Compras!$F$118="NOTA DE CREDITO",IF(Registro_Compras!$K$118=0,"","40111"),"4212"))</f>
        <v/>
      </c>
      <c r="D1033">
        <f>IF(OR(Registro_Compras!$C$118="",Registro_Compras!$O$118=""),"",IF(Registro_Compras!$F$118="NOTA DE CREDITO","IGV - Cuenta Propia (Credito Fiscal)","Cuentas por Pagar Comerciales - Terceros (Emitidas)"))</f>
        <v/>
      </c>
      <c r="E1033" s="20">
        <f>""</f>
        <v/>
      </c>
      <c r="F1033" s="20">
        <f>IF($C1033="","",IF(Registro_Compras!$F$118="NOTA DE CREDITO",ROUND(ABS(Registro_Compras!$K$118*Registro_Compras!$N$118),2),IF(Registro_Compras!$F$118="RHE",(ROUND(Registro_Compras!$L$118*Registro_Compras!$N$118,2)-ROUND(Registro_Compras!$V$118*Registro_Compras!$N$118,2)),Registro_Compras!$O$118)))</f>
        <v/>
      </c>
      <c r="G1033">
        <f>IF($C1033="","",IF(Registro_Compras!$F$118="NOTA DE CREDITO","Por la nota de credito "&amp;Registro_Compras!$C$118&amp;" de "&amp;Registro_Compras!$E$118&amp;" [PATRON POR CONFIRMAR CON CONTADOR]",IF(Registro_Compras!$F$118="RHE","Por el registro del recibo por honorarios "&amp;Registro_Compras!$C$118&amp;" de "&amp;Registro_Compras!$E$118&amp;" [PATRON POR CONFIRMAR CON CONTADOR]","Por el registro de la factura "&amp;Registro_Compras!$C$118&amp;" de "&amp;Registro_Compras!$E$118)))</f>
        <v/>
      </c>
      <c r="H1033">
        <f>IF($C1033="","",Registro_Compras!$C$118)</f>
        <v/>
      </c>
    </row>
    <row r="1034">
      <c r="A1034" s="25">
        <f>IF($C1034="","",Registro_Compras!$B$118)</f>
        <v/>
      </c>
      <c r="B1034">
        <f>IF($C1034="","","C"&amp;TEXT(INT((ROW()-5)/9)+1,"000")&amp;"-2")</f>
        <v/>
      </c>
      <c r="C1034">
        <f>IF(OR(Registro_Compras!$C$118="",Registro_Compras!$O$118=""),"",IF(Registro_Compras!$AB$118="ADMINISTRATIVO","94","95"))</f>
        <v/>
      </c>
      <c r="D1034">
        <f>IF(OR(Registro_Compras!$C$118="",Registro_Compras!$O$118=""),"",IF(Registro_Compras!$AB$118="ADMINISTRATIVO","Gastos Administrativos","Gastos de Venta y Operacion"))</f>
        <v/>
      </c>
      <c r="E1034" s="20">
        <f>IF($C1034="","",IF(Registro_Compras!$F$118="NOTA DE CREDITO","",IF(Registro_Compras!$F$118="RHE",ROUND(Registro_Compras!$L$118*Registro_Compras!$N$118,2),ROUND(Registro_Compras!$J$118*Registro_Compras!$N$118,2))))</f>
        <v/>
      </c>
      <c r="F1034" s="20">
        <f>IF($C1034="","",IF(Registro_Compras!$F$118="NOTA DE CREDITO",ROUND(ABS(Registro_Compras!$J$118*Registro_Compras!$N$118),2),""))</f>
        <v/>
      </c>
      <c r="G1034">
        <f>IF($C1034="","","Por el destino del gasto")</f>
        <v/>
      </c>
      <c r="H1034">
        <f>IF($C1034="","",Registro_Compras!$C$118)</f>
        <v/>
      </c>
    </row>
    <row r="1035">
      <c r="A1035" s="25">
        <f>IF($C1035="","",Registro_Compras!$B$118)</f>
        <v/>
      </c>
      <c r="B1035">
        <f>IF($C1035="","","C"&amp;TEXT(INT((ROW()-5)/9)+1,"000")&amp;"-2")</f>
        <v/>
      </c>
      <c r="C1035">
        <f>IF(OR(Registro_Compras!$C$118="",Registro_Compras!$O$118=""),"","79/791")</f>
        <v/>
      </c>
      <c r="D1035">
        <f>IF(OR(Registro_Compras!$C$118="",Registro_Compras!$O$118=""),"","Cargas Imputables a Cuentas de Costos y Gastos")</f>
        <v/>
      </c>
      <c r="E1035" s="20">
        <f>IF($C1035="","",IF(Registro_Compras!$F$118="NOTA DE CREDITO",ROUND(ABS(Registro_Compras!$J$118*Registro_Compras!$N$118),2),""))</f>
        <v/>
      </c>
      <c r="F1035" s="20">
        <f>IF($C1035="","",IF(Registro_Compras!$F$118="NOTA DE CREDITO","",IF(Registro_Compras!$F$118="RHE",ROUND(Registro_Compras!$L$118*Registro_Compras!$N$118,2),ROUND(Registro_Compras!$J$118*Registro_Compras!$N$118,2))))</f>
        <v/>
      </c>
      <c r="G1035">
        <f>IF($C1035="","","Por el destino del gasto")</f>
        <v/>
      </c>
      <c r="H1035">
        <f>IF($C1035="","",Registro_Compras!$C$118)</f>
        <v/>
      </c>
    </row>
    <row r="1036">
      <c r="A1036" s="25">
        <f>IF($C1036="","",Registro_Compras!$X$118)</f>
        <v/>
      </c>
      <c r="B1036">
        <f>IF($C1036="","","C"&amp;TEXT(INT((ROW()-5)/9)+1,"000")&amp;"-3")</f>
        <v/>
      </c>
      <c r="C1036">
        <f>IF(OR(Registro_Compras!$C$118="",Registro_Compras!$O$118="",Registro_Compras!$R$118&lt;&gt;"SI",Registro_Compras!$X$118=""),"","4212")</f>
        <v/>
      </c>
      <c r="D1036">
        <f>IF(OR(Registro_Compras!$C$118="",Registro_Compras!$O$118=""),"","Cuentas por Pagar Comerciales - Terceros")</f>
        <v/>
      </c>
      <c r="E1036" s="20">
        <f>IF($C1036="","",Registro_Compras!$S$118)</f>
        <v/>
      </c>
      <c r="F1036" s="20">
        <f>""</f>
        <v/>
      </c>
      <c r="G1036">
        <f>IF($C1036="","","Por el deposito de la detraccion en el Banco de la Nacion")</f>
        <v/>
      </c>
      <c r="H1036">
        <f>IF($C1036="","",Registro_Compras!$C$118)</f>
        <v/>
      </c>
    </row>
    <row r="1037">
      <c r="A1037" s="25">
        <f>IF($C1037="","",Registro_Compras!$X$118)</f>
        <v/>
      </c>
      <c r="B1037">
        <f>IF($C1037="","","C"&amp;TEXT(INT((ROW()-5)/9)+1,"000")&amp;"-3")</f>
        <v/>
      </c>
      <c r="C1037">
        <f>IF(OR(Registro_Compras!$C$118="",Registro_Compras!$O$118="",Registro_Compras!$R$118&lt;&gt;"SI",Registro_Compras!$X$118=""),"","10413")</f>
        <v/>
      </c>
      <c r="D1037">
        <f>IF(OR(Registro_Compras!$C$118="",Registro_Compras!$O$118=""),"","Efectivo y Equivalentes - Cta. Cte. Operativa")</f>
        <v/>
      </c>
      <c r="E1037" s="20">
        <f>""</f>
        <v/>
      </c>
      <c r="F1037" s="20">
        <f>IF($C1037="","",Registro_Compras!$S$118)</f>
        <v/>
      </c>
      <c r="G1037">
        <f>IF($C1037="","","Por el deposito de la detraccion en el Banco de la Nacion")</f>
        <v/>
      </c>
      <c r="H1037">
        <f>IF($C1037="","",Registro_Compras!$C$118)</f>
        <v/>
      </c>
    </row>
    <row r="1038">
      <c r="A1038" s="25">
        <f>IF($C1038="","",Registro_Compras!$Y$118)</f>
        <v/>
      </c>
      <c r="B1038">
        <f>IF($C1038="","","C"&amp;TEXT(INT((ROW()-5)/9)+1,"000")&amp;"-4")</f>
        <v/>
      </c>
      <c r="C1038">
        <f>IF(OR(Registro_Compras!$C$118="",Registro_Compras!$O$118="",Registro_Compras!$Y$118="",Registro_Compras!$F$118="NOTA DE CREDITO"),"","4212")</f>
        <v/>
      </c>
      <c r="D1038">
        <f>IF(OR(Registro_Compras!$C$118="",Registro_Compras!$O$118=""),"","Cuentas por Pagar Comerciales - Terceros")</f>
        <v/>
      </c>
      <c r="E1038" s="20">
        <f>IF($C1038="","",IF(Registro_Compras!$F$118="RHE",(ROUND(Registro_Compras!$L$118*Registro_Compras!$N$118,2)-ROUND(Registro_Compras!$V$118*Registro_Compras!$N$118,2)),ROUND(Registro_Compras!$O$118-Registro_Compras!$S$118,2)))</f>
        <v/>
      </c>
      <c r="F1038" s="20">
        <f>""</f>
        <v/>
      </c>
      <c r="G1038">
        <f>IF($C1038="","","Por la cancelacion del saldo al proveedor")</f>
        <v/>
      </c>
      <c r="H1038">
        <f>IF($C1038="","",Registro_Compras!$C$118)</f>
        <v/>
      </c>
    </row>
    <row r="1039">
      <c r="A1039" s="25">
        <f>IF($C1039="","",Registro_Compras!$Y$118)</f>
        <v/>
      </c>
      <c r="B1039">
        <f>IF($C1039="","","C"&amp;TEXT(INT((ROW()-5)/9)+1,"000")&amp;"-4")</f>
        <v/>
      </c>
      <c r="C1039">
        <f>IF(OR(Registro_Compras!$C$118="",Registro_Compras!$O$118="",Registro_Compras!$Y$118="",Registro_Compras!$F$118="NOTA DE CREDITO"),"","10413")</f>
        <v/>
      </c>
      <c r="D1039">
        <f>IF(OR(Registro_Compras!$C$118="",Registro_Compras!$O$118=""),"","Efectivo y Equivalentes - Cta. Cte. Operativa")</f>
        <v/>
      </c>
      <c r="E1039" s="20">
        <f>""</f>
        <v/>
      </c>
      <c r="F1039" s="20">
        <f>IF($C1039="","",IF(Registro_Compras!$F$118="RHE",(ROUND(Registro_Compras!$L$118*Registro_Compras!$N$118,2)-ROUND(Registro_Compras!$V$118*Registro_Compras!$N$118,2)),ROUND(Registro_Compras!$O$118-Registro_Compras!$S$118,2)))</f>
        <v/>
      </c>
      <c r="G1039">
        <f>IF($C1039="","","Por la cancelacion del saldo al proveedor")</f>
        <v/>
      </c>
      <c r="H1039">
        <f>IF($C1039="","",Registro_Compras!$C$118)</f>
        <v/>
      </c>
    </row>
    <row r="1040">
      <c r="A1040" s="25">
        <f>IF($C1040="","",Registro_Compras!$B$119)</f>
        <v/>
      </c>
      <c r="B1040">
        <f>IF($C1040="","","C"&amp;TEXT(INT((ROW()-5)/9)+1,"000")&amp;"-1")</f>
        <v/>
      </c>
      <c r="C1040">
        <f>IF(OR(Registro_Compras!$C$119="",Registro_Compras!$O$119=""),"",IF(Registro_Compras!$F$119="NOTA DE CREDITO","4212",IF(Registro_Compras!$M$119="","63",Registro_Compras!$M$119)))</f>
        <v/>
      </c>
      <c r="D1040">
        <f>IF(OR(Registro_Compras!$C$119="",Registro_Compras!$O$119=""),"",IF(Registro_Compras!$F$119="NOTA DE CREDITO","Cuentas por Pagar Comerciales - Terceros (Emitidas)",IF(Registro_Compras!$F$119="RHE","Honorarios Profesionales - Servicios de Terceros","Gastos de Servicios Prestados por Terceros")))</f>
        <v/>
      </c>
      <c r="E1040" s="20">
        <f>IF($C1040="","",IF(Registro_Compras!$F$119="NOTA DE CREDITO",ABS(Registro_Compras!$O$119),IF(Registro_Compras!$F$119="RHE",ROUND(Registro_Compras!$L$119*Registro_Compras!$N$119,2),ROUND(Registro_Compras!$J$119*Registro_Compras!$N$119,2))))</f>
        <v/>
      </c>
      <c r="F1040" s="20">
        <f>""</f>
        <v/>
      </c>
      <c r="G1040">
        <f>IF($C1040="","",IF(Registro_Compras!$F$119="NOTA DE CREDITO","Por la nota de credito "&amp;Registro_Compras!$C$119&amp;" de "&amp;Registro_Compras!$E$119&amp;" [PATRON POR CONFIRMAR CON CONTADOR]",IF(Registro_Compras!$F$119="RHE","Por el registro del recibo por honorarios "&amp;Registro_Compras!$C$119&amp;" de "&amp;Registro_Compras!$E$119&amp;" [PATRON POR CONFIRMAR CON CONTADOR]","Por el registro de la factura "&amp;Registro_Compras!$C$119&amp;" de "&amp;Registro_Compras!$E$119)))</f>
        <v/>
      </c>
      <c r="H1040">
        <f>IF($C1040="","",Registro_Compras!$C$119)</f>
        <v/>
      </c>
    </row>
    <row r="1041">
      <c r="A1041" s="25">
        <f>IF($C1041="","",Registro_Compras!$B$119)</f>
        <v/>
      </c>
      <c r="B1041">
        <f>IF($C1041="","","C"&amp;TEXT(INT((ROW()-5)/9)+1,"000")&amp;"-1")</f>
        <v/>
      </c>
      <c r="C1041">
        <f>IF(OR(Registro_Compras!$C$119="",Registro_Compras!$O$119=""),"",IF(Registro_Compras!$F$119="RHE",IF(Registro_Compras!$V$119=0,"","40172"),IF(Registro_Compras!$F$119="NOTA DE CREDITO",IF(Registro_Compras!$M$119="","63",Registro_Compras!$M$119),IF(Registro_Compras!$K$119=0,"","40111"))))</f>
        <v/>
      </c>
      <c r="D1041">
        <f>IF(OR(Registro_Compras!$C$119="",Registro_Compras!$O$119=""),"",IF(Registro_Compras!$F$119="RHE","Retencion Renta 4ta Categoria por Pagar",IF(Registro_Compras!$F$119="NOTA DE CREDITO","Gastos de Servicios Prestados por Terceros","IGV - Cuenta Propia (Credito Fiscal)")))</f>
        <v/>
      </c>
      <c r="E1041" s="20">
        <f>IF($C1041="","",IF(Registro_Compras!$F$119="FACTURA",ROUND(Registro_Compras!$K$119*Registro_Compras!$N$119,2),""))</f>
        <v/>
      </c>
      <c r="F1041" s="20">
        <f>IF($C1041="","",IF(Registro_Compras!$F$119="RHE",ROUND(Registro_Compras!$V$119*Registro_Compras!$N$119,2),IF(Registro_Compras!$F$119="NOTA DE CREDITO",ROUND(ABS(Registro_Compras!$J$119*Registro_Compras!$N$119),2),"")))</f>
        <v/>
      </c>
      <c r="G1041">
        <f>IF($C1041="","",IF(Registro_Compras!$F$119="NOTA DE CREDITO","Por la nota de credito "&amp;Registro_Compras!$C$119&amp;" de "&amp;Registro_Compras!$E$119&amp;" [PATRON POR CONFIRMAR CON CONTADOR]",IF(Registro_Compras!$F$119="RHE","Por el registro del recibo por honorarios "&amp;Registro_Compras!$C$119&amp;" de "&amp;Registro_Compras!$E$119&amp;" [PATRON POR CONFIRMAR CON CONTADOR]","Por el registro de la factura "&amp;Registro_Compras!$C$119&amp;" de "&amp;Registro_Compras!$E$119)))</f>
        <v/>
      </c>
      <c r="H1041">
        <f>IF($C1041="","",Registro_Compras!$C$119)</f>
        <v/>
      </c>
    </row>
    <row r="1042">
      <c r="A1042" s="25">
        <f>IF($C1042="","",Registro_Compras!$B$119)</f>
        <v/>
      </c>
      <c r="B1042">
        <f>IF($C1042="","","C"&amp;TEXT(INT((ROW()-5)/9)+1,"000")&amp;"-1")</f>
        <v/>
      </c>
      <c r="C1042">
        <f>IF(OR(Registro_Compras!$C$119="",Registro_Compras!$O$119=""),"",IF(Registro_Compras!$F$119="NOTA DE CREDITO",IF(Registro_Compras!$K$119=0,"","40111"),"4212"))</f>
        <v/>
      </c>
      <c r="D1042">
        <f>IF(OR(Registro_Compras!$C$119="",Registro_Compras!$O$119=""),"",IF(Registro_Compras!$F$119="NOTA DE CREDITO","IGV - Cuenta Propia (Credito Fiscal)","Cuentas por Pagar Comerciales - Terceros (Emitidas)"))</f>
        <v/>
      </c>
      <c r="E1042" s="20">
        <f>""</f>
        <v/>
      </c>
      <c r="F1042" s="20">
        <f>IF($C1042="","",IF(Registro_Compras!$F$119="NOTA DE CREDITO",ROUND(ABS(Registro_Compras!$K$119*Registro_Compras!$N$119),2),IF(Registro_Compras!$F$119="RHE",(ROUND(Registro_Compras!$L$119*Registro_Compras!$N$119,2)-ROUND(Registro_Compras!$V$119*Registro_Compras!$N$119,2)),Registro_Compras!$O$119)))</f>
        <v/>
      </c>
      <c r="G1042">
        <f>IF($C1042="","",IF(Registro_Compras!$F$119="NOTA DE CREDITO","Por la nota de credito "&amp;Registro_Compras!$C$119&amp;" de "&amp;Registro_Compras!$E$119&amp;" [PATRON POR CONFIRMAR CON CONTADOR]",IF(Registro_Compras!$F$119="RHE","Por el registro del recibo por honorarios "&amp;Registro_Compras!$C$119&amp;" de "&amp;Registro_Compras!$E$119&amp;" [PATRON POR CONFIRMAR CON CONTADOR]","Por el registro de la factura "&amp;Registro_Compras!$C$119&amp;" de "&amp;Registro_Compras!$E$119)))</f>
        <v/>
      </c>
      <c r="H1042">
        <f>IF($C1042="","",Registro_Compras!$C$119)</f>
        <v/>
      </c>
    </row>
    <row r="1043">
      <c r="A1043" s="25">
        <f>IF($C1043="","",Registro_Compras!$B$119)</f>
        <v/>
      </c>
      <c r="B1043">
        <f>IF($C1043="","","C"&amp;TEXT(INT((ROW()-5)/9)+1,"000")&amp;"-2")</f>
        <v/>
      </c>
      <c r="C1043">
        <f>IF(OR(Registro_Compras!$C$119="",Registro_Compras!$O$119=""),"",IF(Registro_Compras!$AB$119="ADMINISTRATIVO","94","95"))</f>
        <v/>
      </c>
      <c r="D1043">
        <f>IF(OR(Registro_Compras!$C$119="",Registro_Compras!$O$119=""),"",IF(Registro_Compras!$AB$119="ADMINISTRATIVO","Gastos Administrativos","Gastos de Venta y Operacion"))</f>
        <v/>
      </c>
      <c r="E1043" s="20">
        <f>IF($C1043="","",IF(Registro_Compras!$F$119="NOTA DE CREDITO","",IF(Registro_Compras!$F$119="RHE",ROUND(Registro_Compras!$L$119*Registro_Compras!$N$119,2),ROUND(Registro_Compras!$J$119*Registro_Compras!$N$119,2))))</f>
        <v/>
      </c>
      <c r="F1043" s="20">
        <f>IF($C1043="","",IF(Registro_Compras!$F$119="NOTA DE CREDITO",ROUND(ABS(Registro_Compras!$J$119*Registro_Compras!$N$119),2),""))</f>
        <v/>
      </c>
      <c r="G1043">
        <f>IF($C1043="","","Por el destino del gasto")</f>
        <v/>
      </c>
      <c r="H1043">
        <f>IF($C1043="","",Registro_Compras!$C$119)</f>
        <v/>
      </c>
    </row>
    <row r="1044">
      <c r="A1044" s="25">
        <f>IF($C1044="","",Registro_Compras!$B$119)</f>
        <v/>
      </c>
      <c r="B1044">
        <f>IF($C1044="","","C"&amp;TEXT(INT((ROW()-5)/9)+1,"000")&amp;"-2")</f>
        <v/>
      </c>
      <c r="C1044">
        <f>IF(OR(Registro_Compras!$C$119="",Registro_Compras!$O$119=""),"","79/791")</f>
        <v/>
      </c>
      <c r="D1044">
        <f>IF(OR(Registro_Compras!$C$119="",Registro_Compras!$O$119=""),"","Cargas Imputables a Cuentas de Costos y Gastos")</f>
        <v/>
      </c>
      <c r="E1044" s="20">
        <f>IF($C1044="","",IF(Registro_Compras!$F$119="NOTA DE CREDITO",ROUND(ABS(Registro_Compras!$J$119*Registro_Compras!$N$119),2),""))</f>
        <v/>
      </c>
      <c r="F1044" s="20">
        <f>IF($C1044="","",IF(Registro_Compras!$F$119="NOTA DE CREDITO","",IF(Registro_Compras!$F$119="RHE",ROUND(Registro_Compras!$L$119*Registro_Compras!$N$119,2),ROUND(Registro_Compras!$J$119*Registro_Compras!$N$119,2))))</f>
        <v/>
      </c>
      <c r="G1044">
        <f>IF($C1044="","","Por el destino del gasto")</f>
        <v/>
      </c>
      <c r="H1044">
        <f>IF($C1044="","",Registro_Compras!$C$119)</f>
        <v/>
      </c>
    </row>
    <row r="1045">
      <c r="A1045" s="25">
        <f>IF($C1045="","",Registro_Compras!$X$119)</f>
        <v/>
      </c>
      <c r="B1045">
        <f>IF($C1045="","","C"&amp;TEXT(INT((ROW()-5)/9)+1,"000")&amp;"-3")</f>
        <v/>
      </c>
      <c r="C1045">
        <f>IF(OR(Registro_Compras!$C$119="",Registro_Compras!$O$119="",Registro_Compras!$R$119&lt;&gt;"SI",Registro_Compras!$X$119=""),"","4212")</f>
        <v/>
      </c>
      <c r="D1045">
        <f>IF(OR(Registro_Compras!$C$119="",Registro_Compras!$O$119=""),"","Cuentas por Pagar Comerciales - Terceros")</f>
        <v/>
      </c>
      <c r="E1045" s="20">
        <f>IF($C1045="","",Registro_Compras!$S$119)</f>
        <v/>
      </c>
      <c r="F1045" s="20">
        <f>""</f>
        <v/>
      </c>
      <c r="G1045">
        <f>IF($C1045="","","Por el deposito de la detraccion en el Banco de la Nacion")</f>
        <v/>
      </c>
      <c r="H1045">
        <f>IF($C1045="","",Registro_Compras!$C$119)</f>
        <v/>
      </c>
    </row>
    <row r="1046">
      <c r="A1046" s="25">
        <f>IF($C1046="","",Registro_Compras!$X$119)</f>
        <v/>
      </c>
      <c r="B1046">
        <f>IF($C1046="","","C"&amp;TEXT(INT((ROW()-5)/9)+1,"000")&amp;"-3")</f>
        <v/>
      </c>
      <c r="C1046">
        <f>IF(OR(Registro_Compras!$C$119="",Registro_Compras!$O$119="",Registro_Compras!$R$119&lt;&gt;"SI",Registro_Compras!$X$119=""),"","10413")</f>
        <v/>
      </c>
      <c r="D1046">
        <f>IF(OR(Registro_Compras!$C$119="",Registro_Compras!$O$119=""),"","Efectivo y Equivalentes - Cta. Cte. Operativa")</f>
        <v/>
      </c>
      <c r="E1046" s="20">
        <f>""</f>
        <v/>
      </c>
      <c r="F1046" s="20">
        <f>IF($C1046="","",Registro_Compras!$S$119)</f>
        <v/>
      </c>
      <c r="G1046">
        <f>IF($C1046="","","Por el deposito de la detraccion en el Banco de la Nacion")</f>
        <v/>
      </c>
      <c r="H1046">
        <f>IF($C1046="","",Registro_Compras!$C$119)</f>
        <v/>
      </c>
    </row>
    <row r="1047">
      <c r="A1047" s="25">
        <f>IF($C1047="","",Registro_Compras!$Y$119)</f>
        <v/>
      </c>
      <c r="B1047">
        <f>IF($C1047="","","C"&amp;TEXT(INT((ROW()-5)/9)+1,"000")&amp;"-4")</f>
        <v/>
      </c>
      <c r="C1047">
        <f>IF(OR(Registro_Compras!$C$119="",Registro_Compras!$O$119="",Registro_Compras!$Y$119="",Registro_Compras!$F$119="NOTA DE CREDITO"),"","4212")</f>
        <v/>
      </c>
      <c r="D1047">
        <f>IF(OR(Registro_Compras!$C$119="",Registro_Compras!$O$119=""),"","Cuentas por Pagar Comerciales - Terceros")</f>
        <v/>
      </c>
      <c r="E1047" s="20">
        <f>IF($C1047="","",IF(Registro_Compras!$F$119="RHE",(ROUND(Registro_Compras!$L$119*Registro_Compras!$N$119,2)-ROUND(Registro_Compras!$V$119*Registro_Compras!$N$119,2)),ROUND(Registro_Compras!$O$119-Registro_Compras!$S$119,2)))</f>
        <v/>
      </c>
      <c r="F1047" s="20">
        <f>""</f>
        <v/>
      </c>
      <c r="G1047">
        <f>IF($C1047="","","Por la cancelacion del saldo al proveedor")</f>
        <v/>
      </c>
      <c r="H1047">
        <f>IF($C1047="","",Registro_Compras!$C$119)</f>
        <v/>
      </c>
    </row>
    <row r="1048">
      <c r="A1048" s="25">
        <f>IF($C1048="","",Registro_Compras!$Y$119)</f>
        <v/>
      </c>
      <c r="B1048">
        <f>IF($C1048="","","C"&amp;TEXT(INT((ROW()-5)/9)+1,"000")&amp;"-4")</f>
        <v/>
      </c>
      <c r="C1048">
        <f>IF(OR(Registro_Compras!$C$119="",Registro_Compras!$O$119="",Registro_Compras!$Y$119="",Registro_Compras!$F$119="NOTA DE CREDITO"),"","10413")</f>
        <v/>
      </c>
      <c r="D1048">
        <f>IF(OR(Registro_Compras!$C$119="",Registro_Compras!$O$119=""),"","Efectivo y Equivalentes - Cta. Cte. Operativa")</f>
        <v/>
      </c>
      <c r="E1048" s="20">
        <f>""</f>
        <v/>
      </c>
      <c r="F1048" s="20">
        <f>IF($C1048="","",IF(Registro_Compras!$F$119="RHE",(ROUND(Registro_Compras!$L$119*Registro_Compras!$N$119,2)-ROUND(Registro_Compras!$V$119*Registro_Compras!$N$119,2)),ROUND(Registro_Compras!$O$119-Registro_Compras!$S$119,2)))</f>
        <v/>
      </c>
      <c r="G1048">
        <f>IF($C1048="","","Por la cancelacion del saldo al proveedor")</f>
        <v/>
      </c>
      <c r="H1048">
        <f>IF($C1048="","",Registro_Compras!$C$119)</f>
        <v/>
      </c>
    </row>
    <row r="1049">
      <c r="A1049" s="25">
        <f>IF($C1049="","",Registro_Compras!$B$120)</f>
        <v/>
      </c>
      <c r="B1049">
        <f>IF($C1049="","","C"&amp;TEXT(INT((ROW()-5)/9)+1,"000")&amp;"-1")</f>
        <v/>
      </c>
      <c r="C1049">
        <f>IF(OR(Registro_Compras!$C$120="",Registro_Compras!$O$120=""),"",IF(Registro_Compras!$F$120="NOTA DE CREDITO","4212",IF(Registro_Compras!$M$120="","63",Registro_Compras!$M$120)))</f>
        <v/>
      </c>
      <c r="D1049">
        <f>IF(OR(Registro_Compras!$C$120="",Registro_Compras!$O$120=""),"",IF(Registro_Compras!$F$120="NOTA DE CREDITO","Cuentas por Pagar Comerciales - Terceros (Emitidas)",IF(Registro_Compras!$F$120="RHE","Honorarios Profesionales - Servicios de Terceros","Gastos de Servicios Prestados por Terceros")))</f>
        <v/>
      </c>
      <c r="E1049" s="20">
        <f>IF($C1049="","",IF(Registro_Compras!$F$120="NOTA DE CREDITO",ABS(Registro_Compras!$O$120),IF(Registro_Compras!$F$120="RHE",ROUND(Registro_Compras!$L$120*Registro_Compras!$N$120,2),ROUND(Registro_Compras!$J$120*Registro_Compras!$N$120,2))))</f>
        <v/>
      </c>
      <c r="F1049" s="20">
        <f>""</f>
        <v/>
      </c>
      <c r="G1049">
        <f>IF($C1049="","",IF(Registro_Compras!$F$120="NOTA DE CREDITO","Por la nota de credito "&amp;Registro_Compras!$C$120&amp;" de "&amp;Registro_Compras!$E$120&amp;" [PATRON POR CONFIRMAR CON CONTADOR]",IF(Registro_Compras!$F$120="RHE","Por el registro del recibo por honorarios "&amp;Registro_Compras!$C$120&amp;" de "&amp;Registro_Compras!$E$120&amp;" [PATRON POR CONFIRMAR CON CONTADOR]","Por el registro de la factura "&amp;Registro_Compras!$C$120&amp;" de "&amp;Registro_Compras!$E$120)))</f>
        <v/>
      </c>
      <c r="H1049">
        <f>IF($C1049="","",Registro_Compras!$C$120)</f>
        <v/>
      </c>
    </row>
    <row r="1050">
      <c r="A1050" s="25">
        <f>IF($C1050="","",Registro_Compras!$B$120)</f>
        <v/>
      </c>
      <c r="B1050">
        <f>IF($C1050="","","C"&amp;TEXT(INT((ROW()-5)/9)+1,"000")&amp;"-1")</f>
        <v/>
      </c>
      <c r="C1050">
        <f>IF(OR(Registro_Compras!$C$120="",Registro_Compras!$O$120=""),"",IF(Registro_Compras!$F$120="RHE",IF(Registro_Compras!$V$120=0,"","40172"),IF(Registro_Compras!$F$120="NOTA DE CREDITO",IF(Registro_Compras!$M$120="","63",Registro_Compras!$M$120),IF(Registro_Compras!$K$120=0,"","40111"))))</f>
        <v/>
      </c>
      <c r="D1050">
        <f>IF(OR(Registro_Compras!$C$120="",Registro_Compras!$O$120=""),"",IF(Registro_Compras!$F$120="RHE","Retencion Renta 4ta Categoria por Pagar",IF(Registro_Compras!$F$120="NOTA DE CREDITO","Gastos de Servicios Prestados por Terceros","IGV - Cuenta Propia (Credito Fiscal)")))</f>
        <v/>
      </c>
      <c r="E1050" s="20">
        <f>IF($C1050="","",IF(Registro_Compras!$F$120="FACTURA",ROUND(Registro_Compras!$K$120*Registro_Compras!$N$120,2),""))</f>
        <v/>
      </c>
      <c r="F1050" s="20">
        <f>IF($C1050="","",IF(Registro_Compras!$F$120="RHE",ROUND(Registro_Compras!$V$120*Registro_Compras!$N$120,2),IF(Registro_Compras!$F$120="NOTA DE CREDITO",ROUND(ABS(Registro_Compras!$J$120*Registro_Compras!$N$120),2),"")))</f>
        <v/>
      </c>
      <c r="G1050">
        <f>IF($C1050="","",IF(Registro_Compras!$F$120="NOTA DE CREDITO","Por la nota de credito "&amp;Registro_Compras!$C$120&amp;" de "&amp;Registro_Compras!$E$120&amp;" [PATRON POR CONFIRMAR CON CONTADOR]",IF(Registro_Compras!$F$120="RHE","Por el registro del recibo por honorarios "&amp;Registro_Compras!$C$120&amp;" de "&amp;Registro_Compras!$E$120&amp;" [PATRON POR CONFIRMAR CON CONTADOR]","Por el registro de la factura "&amp;Registro_Compras!$C$120&amp;" de "&amp;Registro_Compras!$E$120)))</f>
        <v/>
      </c>
      <c r="H1050">
        <f>IF($C1050="","",Registro_Compras!$C$120)</f>
        <v/>
      </c>
    </row>
    <row r="1051">
      <c r="A1051" s="25">
        <f>IF($C1051="","",Registro_Compras!$B$120)</f>
        <v/>
      </c>
      <c r="B1051">
        <f>IF($C1051="","","C"&amp;TEXT(INT((ROW()-5)/9)+1,"000")&amp;"-1")</f>
        <v/>
      </c>
      <c r="C1051">
        <f>IF(OR(Registro_Compras!$C$120="",Registro_Compras!$O$120=""),"",IF(Registro_Compras!$F$120="NOTA DE CREDITO",IF(Registro_Compras!$K$120=0,"","40111"),"4212"))</f>
        <v/>
      </c>
      <c r="D1051">
        <f>IF(OR(Registro_Compras!$C$120="",Registro_Compras!$O$120=""),"",IF(Registro_Compras!$F$120="NOTA DE CREDITO","IGV - Cuenta Propia (Credito Fiscal)","Cuentas por Pagar Comerciales - Terceros (Emitidas)"))</f>
        <v/>
      </c>
      <c r="E1051" s="20">
        <f>""</f>
        <v/>
      </c>
      <c r="F1051" s="20">
        <f>IF($C1051="","",IF(Registro_Compras!$F$120="NOTA DE CREDITO",ROUND(ABS(Registro_Compras!$K$120*Registro_Compras!$N$120),2),IF(Registro_Compras!$F$120="RHE",(ROUND(Registro_Compras!$L$120*Registro_Compras!$N$120,2)-ROUND(Registro_Compras!$V$120*Registro_Compras!$N$120,2)),Registro_Compras!$O$120)))</f>
        <v/>
      </c>
      <c r="G1051">
        <f>IF($C1051="","",IF(Registro_Compras!$F$120="NOTA DE CREDITO","Por la nota de credito "&amp;Registro_Compras!$C$120&amp;" de "&amp;Registro_Compras!$E$120&amp;" [PATRON POR CONFIRMAR CON CONTADOR]",IF(Registro_Compras!$F$120="RHE","Por el registro del recibo por honorarios "&amp;Registro_Compras!$C$120&amp;" de "&amp;Registro_Compras!$E$120&amp;" [PATRON POR CONFIRMAR CON CONTADOR]","Por el registro de la factura "&amp;Registro_Compras!$C$120&amp;" de "&amp;Registro_Compras!$E$120)))</f>
        <v/>
      </c>
      <c r="H1051">
        <f>IF($C1051="","",Registro_Compras!$C$120)</f>
        <v/>
      </c>
    </row>
    <row r="1052">
      <c r="A1052" s="25">
        <f>IF($C1052="","",Registro_Compras!$B$120)</f>
        <v/>
      </c>
      <c r="B1052">
        <f>IF($C1052="","","C"&amp;TEXT(INT((ROW()-5)/9)+1,"000")&amp;"-2")</f>
        <v/>
      </c>
      <c r="C1052">
        <f>IF(OR(Registro_Compras!$C$120="",Registro_Compras!$O$120=""),"",IF(Registro_Compras!$AB$120="ADMINISTRATIVO","94","95"))</f>
        <v/>
      </c>
      <c r="D1052">
        <f>IF(OR(Registro_Compras!$C$120="",Registro_Compras!$O$120=""),"",IF(Registro_Compras!$AB$120="ADMINISTRATIVO","Gastos Administrativos","Gastos de Venta y Operacion"))</f>
        <v/>
      </c>
      <c r="E1052" s="20">
        <f>IF($C1052="","",IF(Registro_Compras!$F$120="NOTA DE CREDITO","",IF(Registro_Compras!$F$120="RHE",ROUND(Registro_Compras!$L$120*Registro_Compras!$N$120,2),ROUND(Registro_Compras!$J$120*Registro_Compras!$N$120,2))))</f>
        <v/>
      </c>
      <c r="F1052" s="20">
        <f>IF($C1052="","",IF(Registro_Compras!$F$120="NOTA DE CREDITO",ROUND(ABS(Registro_Compras!$J$120*Registro_Compras!$N$120),2),""))</f>
        <v/>
      </c>
      <c r="G1052">
        <f>IF($C1052="","","Por el destino del gasto")</f>
        <v/>
      </c>
      <c r="H1052">
        <f>IF($C1052="","",Registro_Compras!$C$120)</f>
        <v/>
      </c>
    </row>
    <row r="1053">
      <c r="A1053" s="25">
        <f>IF($C1053="","",Registro_Compras!$B$120)</f>
        <v/>
      </c>
      <c r="B1053">
        <f>IF($C1053="","","C"&amp;TEXT(INT((ROW()-5)/9)+1,"000")&amp;"-2")</f>
        <v/>
      </c>
      <c r="C1053">
        <f>IF(OR(Registro_Compras!$C$120="",Registro_Compras!$O$120=""),"","79/791")</f>
        <v/>
      </c>
      <c r="D1053">
        <f>IF(OR(Registro_Compras!$C$120="",Registro_Compras!$O$120=""),"","Cargas Imputables a Cuentas de Costos y Gastos")</f>
        <v/>
      </c>
      <c r="E1053" s="20">
        <f>IF($C1053="","",IF(Registro_Compras!$F$120="NOTA DE CREDITO",ROUND(ABS(Registro_Compras!$J$120*Registro_Compras!$N$120),2),""))</f>
        <v/>
      </c>
      <c r="F1053" s="20">
        <f>IF($C1053="","",IF(Registro_Compras!$F$120="NOTA DE CREDITO","",IF(Registro_Compras!$F$120="RHE",ROUND(Registro_Compras!$L$120*Registro_Compras!$N$120,2),ROUND(Registro_Compras!$J$120*Registro_Compras!$N$120,2))))</f>
        <v/>
      </c>
      <c r="G1053">
        <f>IF($C1053="","","Por el destino del gasto")</f>
        <v/>
      </c>
      <c r="H1053">
        <f>IF($C1053="","",Registro_Compras!$C$120)</f>
        <v/>
      </c>
    </row>
    <row r="1054">
      <c r="A1054" s="25">
        <f>IF($C1054="","",Registro_Compras!$X$120)</f>
        <v/>
      </c>
      <c r="B1054">
        <f>IF($C1054="","","C"&amp;TEXT(INT((ROW()-5)/9)+1,"000")&amp;"-3")</f>
        <v/>
      </c>
      <c r="C1054">
        <f>IF(OR(Registro_Compras!$C$120="",Registro_Compras!$O$120="",Registro_Compras!$R$120&lt;&gt;"SI",Registro_Compras!$X$120=""),"","4212")</f>
        <v/>
      </c>
      <c r="D1054">
        <f>IF(OR(Registro_Compras!$C$120="",Registro_Compras!$O$120=""),"","Cuentas por Pagar Comerciales - Terceros")</f>
        <v/>
      </c>
      <c r="E1054" s="20">
        <f>IF($C1054="","",Registro_Compras!$S$120)</f>
        <v/>
      </c>
      <c r="F1054" s="20">
        <f>""</f>
        <v/>
      </c>
      <c r="G1054">
        <f>IF($C1054="","","Por el deposito de la detraccion en el Banco de la Nacion")</f>
        <v/>
      </c>
      <c r="H1054">
        <f>IF($C1054="","",Registro_Compras!$C$120)</f>
        <v/>
      </c>
    </row>
    <row r="1055">
      <c r="A1055" s="25">
        <f>IF($C1055="","",Registro_Compras!$X$120)</f>
        <v/>
      </c>
      <c r="B1055">
        <f>IF($C1055="","","C"&amp;TEXT(INT((ROW()-5)/9)+1,"000")&amp;"-3")</f>
        <v/>
      </c>
      <c r="C1055">
        <f>IF(OR(Registro_Compras!$C$120="",Registro_Compras!$O$120="",Registro_Compras!$R$120&lt;&gt;"SI",Registro_Compras!$X$120=""),"","10413")</f>
        <v/>
      </c>
      <c r="D1055">
        <f>IF(OR(Registro_Compras!$C$120="",Registro_Compras!$O$120=""),"","Efectivo y Equivalentes - Cta. Cte. Operativa")</f>
        <v/>
      </c>
      <c r="E1055" s="20">
        <f>""</f>
        <v/>
      </c>
      <c r="F1055" s="20">
        <f>IF($C1055="","",Registro_Compras!$S$120)</f>
        <v/>
      </c>
      <c r="G1055">
        <f>IF($C1055="","","Por el deposito de la detraccion en el Banco de la Nacion")</f>
        <v/>
      </c>
      <c r="H1055">
        <f>IF($C1055="","",Registro_Compras!$C$120)</f>
        <v/>
      </c>
    </row>
    <row r="1056">
      <c r="A1056" s="25">
        <f>IF($C1056="","",Registro_Compras!$Y$120)</f>
        <v/>
      </c>
      <c r="B1056">
        <f>IF($C1056="","","C"&amp;TEXT(INT((ROW()-5)/9)+1,"000")&amp;"-4")</f>
        <v/>
      </c>
      <c r="C1056">
        <f>IF(OR(Registro_Compras!$C$120="",Registro_Compras!$O$120="",Registro_Compras!$Y$120="",Registro_Compras!$F$120="NOTA DE CREDITO"),"","4212")</f>
        <v/>
      </c>
      <c r="D1056">
        <f>IF(OR(Registro_Compras!$C$120="",Registro_Compras!$O$120=""),"","Cuentas por Pagar Comerciales - Terceros")</f>
        <v/>
      </c>
      <c r="E1056" s="20">
        <f>IF($C1056="","",IF(Registro_Compras!$F$120="RHE",(ROUND(Registro_Compras!$L$120*Registro_Compras!$N$120,2)-ROUND(Registro_Compras!$V$120*Registro_Compras!$N$120,2)),ROUND(Registro_Compras!$O$120-Registro_Compras!$S$120,2)))</f>
        <v/>
      </c>
      <c r="F1056" s="20">
        <f>""</f>
        <v/>
      </c>
      <c r="G1056">
        <f>IF($C1056="","","Por la cancelacion del saldo al proveedor")</f>
        <v/>
      </c>
      <c r="H1056">
        <f>IF($C1056="","",Registro_Compras!$C$120)</f>
        <v/>
      </c>
    </row>
    <row r="1057">
      <c r="A1057" s="25">
        <f>IF($C1057="","",Registro_Compras!$Y$120)</f>
        <v/>
      </c>
      <c r="B1057">
        <f>IF($C1057="","","C"&amp;TEXT(INT((ROW()-5)/9)+1,"000")&amp;"-4")</f>
        <v/>
      </c>
      <c r="C1057">
        <f>IF(OR(Registro_Compras!$C$120="",Registro_Compras!$O$120="",Registro_Compras!$Y$120="",Registro_Compras!$F$120="NOTA DE CREDITO"),"","10413")</f>
        <v/>
      </c>
      <c r="D1057">
        <f>IF(OR(Registro_Compras!$C$120="",Registro_Compras!$O$120=""),"","Efectivo y Equivalentes - Cta. Cte. Operativa")</f>
        <v/>
      </c>
      <c r="E1057" s="20">
        <f>""</f>
        <v/>
      </c>
      <c r="F1057" s="20">
        <f>IF($C1057="","",IF(Registro_Compras!$F$120="RHE",(ROUND(Registro_Compras!$L$120*Registro_Compras!$N$120,2)-ROUND(Registro_Compras!$V$120*Registro_Compras!$N$120,2)),ROUND(Registro_Compras!$O$120-Registro_Compras!$S$120,2)))</f>
        <v/>
      </c>
      <c r="G1057">
        <f>IF($C1057="","","Por la cancelacion del saldo al proveedor")</f>
        <v/>
      </c>
      <c r="H1057">
        <f>IF($C1057="","",Registro_Compras!$C$120)</f>
        <v/>
      </c>
    </row>
    <row r="1058">
      <c r="A1058" s="25">
        <f>IF($C1058="","",Registro_Compras!$B$121)</f>
        <v/>
      </c>
      <c r="B1058">
        <f>IF($C1058="","","C"&amp;TEXT(INT((ROW()-5)/9)+1,"000")&amp;"-1")</f>
        <v/>
      </c>
      <c r="C1058">
        <f>IF(OR(Registro_Compras!$C$121="",Registro_Compras!$O$121=""),"",IF(Registro_Compras!$F$121="NOTA DE CREDITO","4212",IF(Registro_Compras!$M$121="","63",Registro_Compras!$M$121)))</f>
        <v/>
      </c>
      <c r="D1058">
        <f>IF(OR(Registro_Compras!$C$121="",Registro_Compras!$O$121=""),"",IF(Registro_Compras!$F$121="NOTA DE CREDITO","Cuentas por Pagar Comerciales - Terceros (Emitidas)",IF(Registro_Compras!$F$121="RHE","Honorarios Profesionales - Servicios de Terceros","Gastos de Servicios Prestados por Terceros")))</f>
        <v/>
      </c>
      <c r="E1058" s="20">
        <f>IF($C1058="","",IF(Registro_Compras!$F$121="NOTA DE CREDITO",ABS(Registro_Compras!$O$121),IF(Registro_Compras!$F$121="RHE",ROUND(Registro_Compras!$L$121*Registro_Compras!$N$121,2),ROUND(Registro_Compras!$J$121*Registro_Compras!$N$121,2))))</f>
        <v/>
      </c>
      <c r="F1058" s="20">
        <f>""</f>
        <v/>
      </c>
      <c r="G1058">
        <f>IF($C1058="","",IF(Registro_Compras!$F$121="NOTA DE CREDITO","Por la nota de credito "&amp;Registro_Compras!$C$121&amp;" de "&amp;Registro_Compras!$E$121&amp;" [PATRON POR CONFIRMAR CON CONTADOR]",IF(Registro_Compras!$F$121="RHE","Por el registro del recibo por honorarios "&amp;Registro_Compras!$C$121&amp;" de "&amp;Registro_Compras!$E$121&amp;" [PATRON POR CONFIRMAR CON CONTADOR]","Por el registro de la factura "&amp;Registro_Compras!$C$121&amp;" de "&amp;Registro_Compras!$E$121)))</f>
        <v/>
      </c>
      <c r="H1058">
        <f>IF($C1058="","",Registro_Compras!$C$121)</f>
        <v/>
      </c>
    </row>
    <row r="1059">
      <c r="A1059" s="25">
        <f>IF($C1059="","",Registro_Compras!$B$121)</f>
        <v/>
      </c>
      <c r="B1059">
        <f>IF($C1059="","","C"&amp;TEXT(INT((ROW()-5)/9)+1,"000")&amp;"-1")</f>
        <v/>
      </c>
      <c r="C1059">
        <f>IF(OR(Registro_Compras!$C$121="",Registro_Compras!$O$121=""),"",IF(Registro_Compras!$F$121="RHE",IF(Registro_Compras!$V$121=0,"","40172"),IF(Registro_Compras!$F$121="NOTA DE CREDITO",IF(Registro_Compras!$M$121="","63",Registro_Compras!$M$121),IF(Registro_Compras!$K$121=0,"","40111"))))</f>
        <v/>
      </c>
      <c r="D1059">
        <f>IF(OR(Registro_Compras!$C$121="",Registro_Compras!$O$121=""),"",IF(Registro_Compras!$F$121="RHE","Retencion Renta 4ta Categoria por Pagar",IF(Registro_Compras!$F$121="NOTA DE CREDITO","Gastos de Servicios Prestados por Terceros","IGV - Cuenta Propia (Credito Fiscal)")))</f>
        <v/>
      </c>
      <c r="E1059" s="20">
        <f>IF($C1059="","",IF(Registro_Compras!$F$121="FACTURA",ROUND(Registro_Compras!$K$121*Registro_Compras!$N$121,2),""))</f>
        <v/>
      </c>
      <c r="F1059" s="20">
        <f>IF($C1059="","",IF(Registro_Compras!$F$121="RHE",ROUND(Registro_Compras!$V$121*Registro_Compras!$N$121,2),IF(Registro_Compras!$F$121="NOTA DE CREDITO",ROUND(ABS(Registro_Compras!$J$121*Registro_Compras!$N$121),2),"")))</f>
        <v/>
      </c>
      <c r="G1059">
        <f>IF($C1059="","",IF(Registro_Compras!$F$121="NOTA DE CREDITO","Por la nota de credito "&amp;Registro_Compras!$C$121&amp;" de "&amp;Registro_Compras!$E$121&amp;" [PATRON POR CONFIRMAR CON CONTADOR]",IF(Registro_Compras!$F$121="RHE","Por el registro del recibo por honorarios "&amp;Registro_Compras!$C$121&amp;" de "&amp;Registro_Compras!$E$121&amp;" [PATRON POR CONFIRMAR CON CONTADOR]","Por el registro de la factura "&amp;Registro_Compras!$C$121&amp;" de "&amp;Registro_Compras!$E$121)))</f>
        <v/>
      </c>
      <c r="H1059">
        <f>IF($C1059="","",Registro_Compras!$C$121)</f>
        <v/>
      </c>
    </row>
    <row r="1060">
      <c r="A1060" s="25">
        <f>IF($C1060="","",Registro_Compras!$B$121)</f>
        <v/>
      </c>
      <c r="B1060">
        <f>IF($C1060="","","C"&amp;TEXT(INT((ROW()-5)/9)+1,"000")&amp;"-1")</f>
        <v/>
      </c>
      <c r="C1060">
        <f>IF(OR(Registro_Compras!$C$121="",Registro_Compras!$O$121=""),"",IF(Registro_Compras!$F$121="NOTA DE CREDITO",IF(Registro_Compras!$K$121=0,"","40111"),"4212"))</f>
        <v/>
      </c>
      <c r="D1060">
        <f>IF(OR(Registro_Compras!$C$121="",Registro_Compras!$O$121=""),"",IF(Registro_Compras!$F$121="NOTA DE CREDITO","IGV - Cuenta Propia (Credito Fiscal)","Cuentas por Pagar Comerciales - Terceros (Emitidas)"))</f>
        <v/>
      </c>
      <c r="E1060" s="20">
        <f>""</f>
        <v/>
      </c>
      <c r="F1060" s="20">
        <f>IF($C1060="","",IF(Registro_Compras!$F$121="NOTA DE CREDITO",ROUND(ABS(Registro_Compras!$K$121*Registro_Compras!$N$121),2),IF(Registro_Compras!$F$121="RHE",(ROUND(Registro_Compras!$L$121*Registro_Compras!$N$121,2)-ROUND(Registro_Compras!$V$121*Registro_Compras!$N$121,2)),Registro_Compras!$O$121)))</f>
        <v/>
      </c>
      <c r="G1060">
        <f>IF($C1060="","",IF(Registro_Compras!$F$121="NOTA DE CREDITO","Por la nota de credito "&amp;Registro_Compras!$C$121&amp;" de "&amp;Registro_Compras!$E$121&amp;" [PATRON POR CONFIRMAR CON CONTADOR]",IF(Registro_Compras!$F$121="RHE","Por el registro del recibo por honorarios "&amp;Registro_Compras!$C$121&amp;" de "&amp;Registro_Compras!$E$121&amp;" [PATRON POR CONFIRMAR CON CONTADOR]","Por el registro de la factura "&amp;Registro_Compras!$C$121&amp;" de "&amp;Registro_Compras!$E$121)))</f>
        <v/>
      </c>
      <c r="H1060">
        <f>IF($C1060="","",Registro_Compras!$C$121)</f>
        <v/>
      </c>
    </row>
    <row r="1061">
      <c r="A1061" s="25">
        <f>IF($C1061="","",Registro_Compras!$B$121)</f>
        <v/>
      </c>
      <c r="B1061">
        <f>IF($C1061="","","C"&amp;TEXT(INT((ROW()-5)/9)+1,"000")&amp;"-2")</f>
        <v/>
      </c>
      <c r="C1061">
        <f>IF(OR(Registro_Compras!$C$121="",Registro_Compras!$O$121=""),"",IF(Registro_Compras!$AB$121="ADMINISTRATIVO","94","95"))</f>
        <v/>
      </c>
      <c r="D1061">
        <f>IF(OR(Registro_Compras!$C$121="",Registro_Compras!$O$121=""),"",IF(Registro_Compras!$AB$121="ADMINISTRATIVO","Gastos Administrativos","Gastos de Venta y Operacion"))</f>
        <v/>
      </c>
      <c r="E1061" s="20">
        <f>IF($C1061="","",IF(Registro_Compras!$F$121="NOTA DE CREDITO","",IF(Registro_Compras!$F$121="RHE",ROUND(Registro_Compras!$L$121*Registro_Compras!$N$121,2),ROUND(Registro_Compras!$J$121*Registro_Compras!$N$121,2))))</f>
        <v/>
      </c>
      <c r="F1061" s="20">
        <f>IF($C1061="","",IF(Registro_Compras!$F$121="NOTA DE CREDITO",ROUND(ABS(Registro_Compras!$J$121*Registro_Compras!$N$121),2),""))</f>
        <v/>
      </c>
      <c r="G1061">
        <f>IF($C1061="","","Por el destino del gasto")</f>
        <v/>
      </c>
      <c r="H1061">
        <f>IF($C1061="","",Registro_Compras!$C$121)</f>
        <v/>
      </c>
    </row>
    <row r="1062">
      <c r="A1062" s="25">
        <f>IF($C1062="","",Registro_Compras!$B$121)</f>
        <v/>
      </c>
      <c r="B1062">
        <f>IF($C1062="","","C"&amp;TEXT(INT((ROW()-5)/9)+1,"000")&amp;"-2")</f>
        <v/>
      </c>
      <c r="C1062">
        <f>IF(OR(Registro_Compras!$C$121="",Registro_Compras!$O$121=""),"","79/791")</f>
        <v/>
      </c>
      <c r="D1062">
        <f>IF(OR(Registro_Compras!$C$121="",Registro_Compras!$O$121=""),"","Cargas Imputables a Cuentas de Costos y Gastos")</f>
        <v/>
      </c>
      <c r="E1062" s="20">
        <f>IF($C1062="","",IF(Registro_Compras!$F$121="NOTA DE CREDITO",ROUND(ABS(Registro_Compras!$J$121*Registro_Compras!$N$121),2),""))</f>
        <v/>
      </c>
      <c r="F1062" s="20">
        <f>IF($C1062="","",IF(Registro_Compras!$F$121="NOTA DE CREDITO","",IF(Registro_Compras!$F$121="RHE",ROUND(Registro_Compras!$L$121*Registro_Compras!$N$121,2),ROUND(Registro_Compras!$J$121*Registro_Compras!$N$121,2))))</f>
        <v/>
      </c>
      <c r="G1062">
        <f>IF($C1062="","","Por el destino del gasto")</f>
        <v/>
      </c>
      <c r="H1062">
        <f>IF($C1062="","",Registro_Compras!$C$121)</f>
        <v/>
      </c>
    </row>
    <row r="1063">
      <c r="A1063" s="25">
        <f>IF($C1063="","",Registro_Compras!$X$121)</f>
        <v/>
      </c>
      <c r="B1063">
        <f>IF($C1063="","","C"&amp;TEXT(INT((ROW()-5)/9)+1,"000")&amp;"-3")</f>
        <v/>
      </c>
      <c r="C1063">
        <f>IF(OR(Registro_Compras!$C$121="",Registro_Compras!$O$121="",Registro_Compras!$R$121&lt;&gt;"SI",Registro_Compras!$X$121=""),"","4212")</f>
        <v/>
      </c>
      <c r="D1063">
        <f>IF(OR(Registro_Compras!$C$121="",Registro_Compras!$O$121=""),"","Cuentas por Pagar Comerciales - Terceros")</f>
        <v/>
      </c>
      <c r="E1063" s="20">
        <f>IF($C1063="","",Registro_Compras!$S$121)</f>
        <v/>
      </c>
      <c r="F1063" s="20">
        <f>""</f>
        <v/>
      </c>
      <c r="G1063">
        <f>IF($C1063="","","Por el deposito de la detraccion en el Banco de la Nacion")</f>
        <v/>
      </c>
      <c r="H1063">
        <f>IF($C1063="","",Registro_Compras!$C$121)</f>
        <v/>
      </c>
    </row>
    <row r="1064">
      <c r="A1064" s="25">
        <f>IF($C1064="","",Registro_Compras!$X$121)</f>
        <v/>
      </c>
      <c r="B1064">
        <f>IF($C1064="","","C"&amp;TEXT(INT((ROW()-5)/9)+1,"000")&amp;"-3")</f>
        <v/>
      </c>
      <c r="C1064">
        <f>IF(OR(Registro_Compras!$C$121="",Registro_Compras!$O$121="",Registro_Compras!$R$121&lt;&gt;"SI",Registro_Compras!$X$121=""),"","10413")</f>
        <v/>
      </c>
      <c r="D1064">
        <f>IF(OR(Registro_Compras!$C$121="",Registro_Compras!$O$121=""),"","Efectivo y Equivalentes - Cta. Cte. Operativa")</f>
        <v/>
      </c>
      <c r="E1064" s="20">
        <f>""</f>
        <v/>
      </c>
      <c r="F1064" s="20">
        <f>IF($C1064="","",Registro_Compras!$S$121)</f>
        <v/>
      </c>
      <c r="G1064">
        <f>IF($C1064="","","Por el deposito de la detraccion en el Banco de la Nacion")</f>
        <v/>
      </c>
      <c r="H1064">
        <f>IF($C1064="","",Registro_Compras!$C$121)</f>
        <v/>
      </c>
    </row>
    <row r="1065">
      <c r="A1065" s="25">
        <f>IF($C1065="","",Registro_Compras!$Y$121)</f>
        <v/>
      </c>
      <c r="B1065">
        <f>IF($C1065="","","C"&amp;TEXT(INT((ROW()-5)/9)+1,"000")&amp;"-4")</f>
        <v/>
      </c>
      <c r="C1065">
        <f>IF(OR(Registro_Compras!$C$121="",Registro_Compras!$O$121="",Registro_Compras!$Y$121="",Registro_Compras!$F$121="NOTA DE CREDITO"),"","4212")</f>
        <v/>
      </c>
      <c r="D1065">
        <f>IF(OR(Registro_Compras!$C$121="",Registro_Compras!$O$121=""),"","Cuentas por Pagar Comerciales - Terceros")</f>
        <v/>
      </c>
      <c r="E1065" s="20">
        <f>IF($C1065="","",IF(Registro_Compras!$F$121="RHE",(ROUND(Registro_Compras!$L$121*Registro_Compras!$N$121,2)-ROUND(Registro_Compras!$V$121*Registro_Compras!$N$121,2)),ROUND(Registro_Compras!$O$121-Registro_Compras!$S$121,2)))</f>
        <v/>
      </c>
      <c r="F1065" s="20">
        <f>""</f>
        <v/>
      </c>
      <c r="G1065">
        <f>IF($C1065="","","Por la cancelacion del saldo al proveedor")</f>
        <v/>
      </c>
      <c r="H1065">
        <f>IF($C1065="","",Registro_Compras!$C$121)</f>
        <v/>
      </c>
    </row>
    <row r="1066">
      <c r="A1066" s="25">
        <f>IF($C1066="","",Registro_Compras!$Y$121)</f>
        <v/>
      </c>
      <c r="B1066">
        <f>IF($C1066="","","C"&amp;TEXT(INT((ROW()-5)/9)+1,"000")&amp;"-4")</f>
        <v/>
      </c>
      <c r="C1066">
        <f>IF(OR(Registro_Compras!$C$121="",Registro_Compras!$O$121="",Registro_Compras!$Y$121="",Registro_Compras!$F$121="NOTA DE CREDITO"),"","10413")</f>
        <v/>
      </c>
      <c r="D1066">
        <f>IF(OR(Registro_Compras!$C$121="",Registro_Compras!$O$121=""),"","Efectivo y Equivalentes - Cta. Cte. Operativa")</f>
        <v/>
      </c>
      <c r="E1066" s="20">
        <f>""</f>
        <v/>
      </c>
      <c r="F1066" s="20">
        <f>IF($C1066="","",IF(Registro_Compras!$F$121="RHE",(ROUND(Registro_Compras!$L$121*Registro_Compras!$N$121,2)-ROUND(Registro_Compras!$V$121*Registro_Compras!$N$121,2)),ROUND(Registro_Compras!$O$121-Registro_Compras!$S$121,2)))</f>
        <v/>
      </c>
      <c r="G1066">
        <f>IF($C1066="","","Por la cancelacion del saldo al proveedor")</f>
        <v/>
      </c>
      <c r="H1066">
        <f>IF($C1066="","",Registro_Compras!$C$121)</f>
        <v/>
      </c>
    </row>
    <row r="1067">
      <c r="A1067" s="25">
        <f>IF($C1067="","",Registro_Compras!$B$122)</f>
        <v/>
      </c>
      <c r="B1067">
        <f>IF($C1067="","","C"&amp;TEXT(INT((ROW()-5)/9)+1,"000")&amp;"-1")</f>
        <v/>
      </c>
      <c r="C1067">
        <f>IF(OR(Registro_Compras!$C$122="",Registro_Compras!$O$122=""),"",IF(Registro_Compras!$F$122="NOTA DE CREDITO","4212",IF(Registro_Compras!$M$122="","63",Registro_Compras!$M$122)))</f>
        <v/>
      </c>
      <c r="D1067">
        <f>IF(OR(Registro_Compras!$C$122="",Registro_Compras!$O$122=""),"",IF(Registro_Compras!$F$122="NOTA DE CREDITO","Cuentas por Pagar Comerciales - Terceros (Emitidas)",IF(Registro_Compras!$F$122="RHE","Honorarios Profesionales - Servicios de Terceros","Gastos de Servicios Prestados por Terceros")))</f>
        <v/>
      </c>
      <c r="E1067" s="20">
        <f>IF($C1067="","",IF(Registro_Compras!$F$122="NOTA DE CREDITO",ABS(Registro_Compras!$O$122),IF(Registro_Compras!$F$122="RHE",ROUND(Registro_Compras!$L$122*Registro_Compras!$N$122,2),ROUND(Registro_Compras!$J$122*Registro_Compras!$N$122,2))))</f>
        <v/>
      </c>
      <c r="F1067" s="20">
        <f>""</f>
        <v/>
      </c>
      <c r="G1067">
        <f>IF($C1067="","",IF(Registro_Compras!$F$122="NOTA DE CREDITO","Por la nota de credito "&amp;Registro_Compras!$C$122&amp;" de "&amp;Registro_Compras!$E$122&amp;" [PATRON POR CONFIRMAR CON CONTADOR]",IF(Registro_Compras!$F$122="RHE","Por el registro del recibo por honorarios "&amp;Registro_Compras!$C$122&amp;" de "&amp;Registro_Compras!$E$122&amp;" [PATRON POR CONFIRMAR CON CONTADOR]","Por el registro de la factura "&amp;Registro_Compras!$C$122&amp;" de "&amp;Registro_Compras!$E$122)))</f>
        <v/>
      </c>
      <c r="H1067">
        <f>IF($C1067="","",Registro_Compras!$C$122)</f>
        <v/>
      </c>
    </row>
    <row r="1068">
      <c r="A1068" s="25">
        <f>IF($C1068="","",Registro_Compras!$B$122)</f>
        <v/>
      </c>
      <c r="B1068">
        <f>IF($C1068="","","C"&amp;TEXT(INT((ROW()-5)/9)+1,"000")&amp;"-1")</f>
        <v/>
      </c>
      <c r="C1068">
        <f>IF(OR(Registro_Compras!$C$122="",Registro_Compras!$O$122=""),"",IF(Registro_Compras!$F$122="RHE",IF(Registro_Compras!$V$122=0,"","40172"),IF(Registro_Compras!$F$122="NOTA DE CREDITO",IF(Registro_Compras!$M$122="","63",Registro_Compras!$M$122),IF(Registro_Compras!$K$122=0,"","40111"))))</f>
        <v/>
      </c>
      <c r="D1068">
        <f>IF(OR(Registro_Compras!$C$122="",Registro_Compras!$O$122=""),"",IF(Registro_Compras!$F$122="RHE","Retencion Renta 4ta Categoria por Pagar",IF(Registro_Compras!$F$122="NOTA DE CREDITO","Gastos de Servicios Prestados por Terceros","IGV - Cuenta Propia (Credito Fiscal)")))</f>
        <v/>
      </c>
      <c r="E1068" s="20">
        <f>IF($C1068="","",IF(Registro_Compras!$F$122="FACTURA",ROUND(Registro_Compras!$K$122*Registro_Compras!$N$122,2),""))</f>
        <v/>
      </c>
      <c r="F1068" s="20">
        <f>IF($C1068="","",IF(Registro_Compras!$F$122="RHE",ROUND(Registro_Compras!$V$122*Registro_Compras!$N$122,2),IF(Registro_Compras!$F$122="NOTA DE CREDITO",ROUND(ABS(Registro_Compras!$J$122*Registro_Compras!$N$122),2),"")))</f>
        <v/>
      </c>
      <c r="G1068">
        <f>IF($C1068="","",IF(Registro_Compras!$F$122="NOTA DE CREDITO","Por la nota de credito "&amp;Registro_Compras!$C$122&amp;" de "&amp;Registro_Compras!$E$122&amp;" [PATRON POR CONFIRMAR CON CONTADOR]",IF(Registro_Compras!$F$122="RHE","Por el registro del recibo por honorarios "&amp;Registro_Compras!$C$122&amp;" de "&amp;Registro_Compras!$E$122&amp;" [PATRON POR CONFIRMAR CON CONTADOR]","Por el registro de la factura "&amp;Registro_Compras!$C$122&amp;" de "&amp;Registro_Compras!$E$122)))</f>
        <v/>
      </c>
      <c r="H1068">
        <f>IF($C1068="","",Registro_Compras!$C$122)</f>
        <v/>
      </c>
    </row>
    <row r="1069">
      <c r="A1069" s="25">
        <f>IF($C1069="","",Registro_Compras!$B$122)</f>
        <v/>
      </c>
      <c r="B1069">
        <f>IF($C1069="","","C"&amp;TEXT(INT((ROW()-5)/9)+1,"000")&amp;"-1")</f>
        <v/>
      </c>
      <c r="C1069">
        <f>IF(OR(Registro_Compras!$C$122="",Registro_Compras!$O$122=""),"",IF(Registro_Compras!$F$122="NOTA DE CREDITO",IF(Registro_Compras!$K$122=0,"","40111"),"4212"))</f>
        <v/>
      </c>
      <c r="D1069">
        <f>IF(OR(Registro_Compras!$C$122="",Registro_Compras!$O$122=""),"",IF(Registro_Compras!$F$122="NOTA DE CREDITO","IGV - Cuenta Propia (Credito Fiscal)","Cuentas por Pagar Comerciales - Terceros (Emitidas)"))</f>
        <v/>
      </c>
      <c r="E1069" s="20">
        <f>""</f>
        <v/>
      </c>
      <c r="F1069" s="20">
        <f>IF($C1069="","",IF(Registro_Compras!$F$122="NOTA DE CREDITO",ROUND(ABS(Registro_Compras!$K$122*Registro_Compras!$N$122),2),IF(Registro_Compras!$F$122="RHE",(ROUND(Registro_Compras!$L$122*Registro_Compras!$N$122,2)-ROUND(Registro_Compras!$V$122*Registro_Compras!$N$122,2)),Registro_Compras!$O$122)))</f>
        <v/>
      </c>
      <c r="G1069">
        <f>IF($C1069="","",IF(Registro_Compras!$F$122="NOTA DE CREDITO","Por la nota de credito "&amp;Registro_Compras!$C$122&amp;" de "&amp;Registro_Compras!$E$122&amp;" [PATRON POR CONFIRMAR CON CONTADOR]",IF(Registro_Compras!$F$122="RHE","Por el registro del recibo por honorarios "&amp;Registro_Compras!$C$122&amp;" de "&amp;Registro_Compras!$E$122&amp;" [PATRON POR CONFIRMAR CON CONTADOR]","Por el registro de la factura "&amp;Registro_Compras!$C$122&amp;" de "&amp;Registro_Compras!$E$122)))</f>
        <v/>
      </c>
      <c r="H1069">
        <f>IF($C1069="","",Registro_Compras!$C$122)</f>
        <v/>
      </c>
    </row>
    <row r="1070">
      <c r="A1070" s="25">
        <f>IF($C1070="","",Registro_Compras!$B$122)</f>
        <v/>
      </c>
      <c r="B1070">
        <f>IF($C1070="","","C"&amp;TEXT(INT((ROW()-5)/9)+1,"000")&amp;"-2")</f>
        <v/>
      </c>
      <c r="C1070">
        <f>IF(OR(Registro_Compras!$C$122="",Registro_Compras!$O$122=""),"",IF(Registro_Compras!$AB$122="ADMINISTRATIVO","94","95"))</f>
        <v/>
      </c>
      <c r="D1070">
        <f>IF(OR(Registro_Compras!$C$122="",Registro_Compras!$O$122=""),"",IF(Registro_Compras!$AB$122="ADMINISTRATIVO","Gastos Administrativos","Gastos de Venta y Operacion"))</f>
        <v/>
      </c>
      <c r="E1070" s="20">
        <f>IF($C1070="","",IF(Registro_Compras!$F$122="NOTA DE CREDITO","",IF(Registro_Compras!$F$122="RHE",ROUND(Registro_Compras!$L$122*Registro_Compras!$N$122,2),ROUND(Registro_Compras!$J$122*Registro_Compras!$N$122,2))))</f>
        <v/>
      </c>
      <c r="F1070" s="20">
        <f>IF($C1070="","",IF(Registro_Compras!$F$122="NOTA DE CREDITO",ROUND(ABS(Registro_Compras!$J$122*Registro_Compras!$N$122),2),""))</f>
        <v/>
      </c>
      <c r="G1070">
        <f>IF($C1070="","","Por el destino del gasto")</f>
        <v/>
      </c>
      <c r="H1070">
        <f>IF($C1070="","",Registro_Compras!$C$122)</f>
        <v/>
      </c>
    </row>
    <row r="1071">
      <c r="A1071" s="25">
        <f>IF($C1071="","",Registro_Compras!$B$122)</f>
        <v/>
      </c>
      <c r="B1071">
        <f>IF($C1071="","","C"&amp;TEXT(INT((ROW()-5)/9)+1,"000")&amp;"-2")</f>
        <v/>
      </c>
      <c r="C1071">
        <f>IF(OR(Registro_Compras!$C$122="",Registro_Compras!$O$122=""),"","79/791")</f>
        <v/>
      </c>
      <c r="D1071">
        <f>IF(OR(Registro_Compras!$C$122="",Registro_Compras!$O$122=""),"","Cargas Imputables a Cuentas de Costos y Gastos")</f>
        <v/>
      </c>
      <c r="E1071" s="20">
        <f>IF($C1071="","",IF(Registro_Compras!$F$122="NOTA DE CREDITO",ROUND(ABS(Registro_Compras!$J$122*Registro_Compras!$N$122),2),""))</f>
        <v/>
      </c>
      <c r="F1071" s="20">
        <f>IF($C1071="","",IF(Registro_Compras!$F$122="NOTA DE CREDITO","",IF(Registro_Compras!$F$122="RHE",ROUND(Registro_Compras!$L$122*Registro_Compras!$N$122,2),ROUND(Registro_Compras!$J$122*Registro_Compras!$N$122,2))))</f>
        <v/>
      </c>
      <c r="G1071">
        <f>IF($C1071="","","Por el destino del gasto")</f>
        <v/>
      </c>
      <c r="H1071">
        <f>IF($C1071="","",Registro_Compras!$C$122)</f>
        <v/>
      </c>
    </row>
    <row r="1072">
      <c r="A1072" s="25">
        <f>IF($C1072="","",Registro_Compras!$X$122)</f>
        <v/>
      </c>
      <c r="B1072">
        <f>IF($C1072="","","C"&amp;TEXT(INT((ROW()-5)/9)+1,"000")&amp;"-3")</f>
        <v/>
      </c>
      <c r="C1072">
        <f>IF(OR(Registro_Compras!$C$122="",Registro_Compras!$O$122="",Registro_Compras!$R$122&lt;&gt;"SI",Registro_Compras!$X$122=""),"","4212")</f>
        <v/>
      </c>
      <c r="D1072">
        <f>IF(OR(Registro_Compras!$C$122="",Registro_Compras!$O$122=""),"","Cuentas por Pagar Comerciales - Terceros")</f>
        <v/>
      </c>
      <c r="E1072" s="20">
        <f>IF($C1072="","",Registro_Compras!$S$122)</f>
        <v/>
      </c>
      <c r="F1072" s="20">
        <f>""</f>
        <v/>
      </c>
      <c r="G1072">
        <f>IF($C1072="","","Por el deposito de la detraccion en el Banco de la Nacion")</f>
        <v/>
      </c>
      <c r="H1072">
        <f>IF($C1072="","",Registro_Compras!$C$122)</f>
        <v/>
      </c>
    </row>
    <row r="1073">
      <c r="A1073" s="25">
        <f>IF($C1073="","",Registro_Compras!$X$122)</f>
        <v/>
      </c>
      <c r="B1073">
        <f>IF($C1073="","","C"&amp;TEXT(INT((ROW()-5)/9)+1,"000")&amp;"-3")</f>
        <v/>
      </c>
      <c r="C1073">
        <f>IF(OR(Registro_Compras!$C$122="",Registro_Compras!$O$122="",Registro_Compras!$R$122&lt;&gt;"SI",Registro_Compras!$X$122=""),"","10413")</f>
        <v/>
      </c>
      <c r="D1073">
        <f>IF(OR(Registro_Compras!$C$122="",Registro_Compras!$O$122=""),"","Efectivo y Equivalentes - Cta. Cte. Operativa")</f>
        <v/>
      </c>
      <c r="E1073" s="20">
        <f>""</f>
        <v/>
      </c>
      <c r="F1073" s="20">
        <f>IF($C1073="","",Registro_Compras!$S$122)</f>
        <v/>
      </c>
      <c r="G1073">
        <f>IF($C1073="","","Por el deposito de la detraccion en el Banco de la Nacion")</f>
        <v/>
      </c>
      <c r="H1073">
        <f>IF($C1073="","",Registro_Compras!$C$122)</f>
        <v/>
      </c>
    </row>
    <row r="1074">
      <c r="A1074" s="25">
        <f>IF($C1074="","",Registro_Compras!$Y$122)</f>
        <v/>
      </c>
      <c r="B1074">
        <f>IF($C1074="","","C"&amp;TEXT(INT((ROW()-5)/9)+1,"000")&amp;"-4")</f>
        <v/>
      </c>
      <c r="C1074">
        <f>IF(OR(Registro_Compras!$C$122="",Registro_Compras!$O$122="",Registro_Compras!$Y$122="",Registro_Compras!$F$122="NOTA DE CREDITO"),"","4212")</f>
        <v/>
      </c>
      <c r="D1074">
        <f>IF(OR(Registro_Compras!$C$122="",Registro_Compras!$O$122=""),"","Cuentas por Pagar Comerciales - Terceros")</f>
        <v/>
      </c>
      <c r="E1074" s="20">
        <f>IF($C1074="","",IF(Registro_Compras!$F$122="RHE",(ROUND(Registro_Compras!$L$122*Registro_Compras!$N$122,2)-ROUND(Registro_Compras!$V$122*Registro_Compras!$N$122,2)),ROUND(Registro_Compras!$O$122-Registro_Compras!$S$122,2)))</f>
        <v/>
      </c>
      <c r="F1074" s="20">
        <f>""</f>
        <v/>
      </c>
      <c r="G1074">
        <f>IF($C1074="","","Por la cancelacion del saldo al proveedor")</f>
        <v/>
      </c>
      <c r="H1074">
        <f>IF($C1074="","",Registro_Compras!$C$122)</f>
        <v/>
      </c>
    </row>
    <row r="1075">
      <c r="A1075" s="25">
        <f>IF($C1075="","",Registro_Compras!$Y$122)</f>
        <v/>
      </c>
      <c r="B1075">
        <f>IF($C1075="","","C"&amp;TEXT(INT((ROW()-5)/9)+1,"000")&amp;"-4")</f>
        <v/>
      </c>
      <c r="C1075">
        <f>IF(OR(Registro_Compras!$C$122="",Registro_Compras!$O$122="",Registro_Compras!$Y$122="",Registro_Compras!$F$122="NOTA DE CREDITO"),"","10413")</f>
        <v/>
      </c>
      <c r="D1075">
        <f>IF(OR(Registro_Compras!$C$122="",Registro_Compras!$O$122=""),"","Efectivo y Equivalentes - Cta. Cte. Operativa")</f>
        <v/>
      </c>
      <c r="E1075" s="20">
        <f>""</f>
        <v/>
      </c>
      <c r="F1075" s="20">
        <f>IF($C1075="","",IF(Registro_Compras!$F$122="RHE",(ROUND(Registro_Compras!$L$122*Registro_Compras!$N$122,2)-ROUND(Registro_Compras!$V$122*Registro_Compras!$N$122,2)),ROUND(Registro_Compras!$O$122-Registro_Compras!$S$122,2)))</f>
        <v/>
      </c>
      <c r="G1075">
        <f>IF($C1075="","","Por la cancelacion del saldo al proveedor")</f>
        <v/>
      </c>
      <c r="H1075">
        <f>IF($C1075="","",Registro_Compras!$C$122)</f>
        <v/>
      </c>
    </row>
    <row r="1076">
      <c r="A1076" s="25">
        <f>IF($C1076="","",Registro_Compras!$B$123)</f>
        <v/>
      </c>
      <c r="B1076">
        <f>IF($C1076="","","C"&amp;TEXT(INT((ROW()-5)/9)+1,"000")&amp;"-1")</f>
        <v/>
      </c>
      <c r="C1076">
        <f>IF(OR(Registro_Compras!$C$123="",Registro_Compras!$O$123=""),"",IF(Registro_Compras!$F$123="NOTA DE CREDITO","4212",IF(Registro_Compras!$M$123="","63",Registro_Compras!$M$123)))</f>
        <v/>
      </c>
      <c r="D1076">
        <f>IF(OR(Registro_Compras!$C$123="",Registro_Compras!$O$123=""),"",IF(Registro_Compras!$F$123="NOTA DE CREDITO","Cuentas por Pagar Comerciales - Terceros (Emitidas)",IF(Registro_Compras!$F$123="RHE","Honorarios Profesionales - Servicios de Terceros","Gastos de Servicios Prestados por Terceros")))</f>
        <v/>
      </c>
      <c r="E1076" s="20">
        <f>IF($C1076="","",IF(Registro_Compras!$F$123="NOTA DE CREDITO",ABS(Registro_Compras!$O$123),IF(Registro_Compras!$F$123="RHE",ROUND(Registro_Compras!$L$123*Registro_Compras!$N$123,2),ROUND(Registro_Compras!$J$123*Registro_Compras!$N$123,2))))</f>
        <v/>
      </c>
      <c r="F1076" s="20">
        <f>""</f>
        <v/>
      </c>
      <c r="G1076">
        <f>IF($C1076="","",IF(Registro_Compras!$F$123="NOTA DE CREDITO","Por la nota de credito "&amp;Registro_Compras!$C$123&amp;" de "&amp;Registro_Compras!$E$123&amp;" [PATRON POR CONFIRMAR CON CONTADOR]",IF(Registro_Compras!$F$123="RHE","Por el registro del recibo por honorarios "&amp;Registro_Compras!$C$123&amp;" de "&amp;Registro_Compras!$E$123&amp;" [PATRON POR CONFIRMAR CON CONTADOR]","Por el registro de la factura "&amp;Registro_Compras!$C$123&amp;" de "&amp;Registro_Compras!$E$123)))</f>
        <v/>
      </c>
      <c r="H1076">
        <f>IF($C1076="","",Registro_Compras!$C$123)</f>
        <v/>
      </c>
    </row>
    <row r="1077">
      <c r="A1077" s="25">
        <f>IF($C1077="","",Registro_Compras!$B$123)</f>
        <v/>
      </c>
      <c r="B1077">
        <f>IF($C1077="","","C"&amp;TEXT(INT((ROW()-5)/9)+1,"000")&amp;"-1")</f>
        <v/>
      </c>
      <c r="C1077">
        <f>IF(OR(Registro_Compras!$C$123="",Registro_Compras!$O$123=""),"",IF(Registro_Compras!$F$123="RHE",IF(Registro_Compras!$V$123=0,"","40172"),IF(Registro_Compras!$F$123="NOTA DE CREDITO",IF(Registro_Compras!$M$123="","63",Registro_Compras!$M$123),IF(Registro_Compras!$K$123=0,"","40111"))))</f>
        <v/>
      </c>
      <c r="D1077">
        <f>IF(OR(Registro_Compras!$C$123="",Registro_Compras!$O$123=""),"",IF(Registro_Compras!$F$123="RHE","Retencion Renta 4ta Categoria por Pagar",IF(Registro_Compras!$F$123="NOTA DE CREDITO","Gastos de Servicios Prestados por Terceros","IGV - Cuenta Propia (Credito Fiscal)")))</f>
        <v/>
      </c>
      <c r="E1077" s="20">
        <f>IF($C1077="","",IF(Registro_Compras!$F$123="FACTURA",ROUND(Registro_Compras!$K$123*Registro_Compras!$N$123,2),""))</f>
        <v/>
      </c>
      <c r="F1077" s="20">
        <f>IF($C1077="","",IF(Registro_Compras!$F$123="RHE",ROUND(Registro_Compras!$V$123*Registro_Compras!$N$123,2),IF(Registro_Compras!$F$123="NOTA DE CREDITO",ROUND(ABS(Registro_Compras!$J$123*Registro_Compras!$N$123),2),"")))</f>
        <v/>
      </c>
      <c r="G1077">
        <f>IF($C1077="","",IF(Registro_Compras!$F$123="NOTA DE CREDITO","Por la nota de credito "&amp;Registro_Compras!$C$123&amp;" de "&amp;Registro_Compras!$E$123&amp;" [PATRON POR CONFIRMAR CON CONTADOR]",IF(Registro_Compras!$F$123="RHE","Por el registro del recibo por honorarios "&amp;Registro_Compras!$C$123&amp;" de "&amp;Registro_Compras!$E$123&amp;" [PATRON POR CONFIRMAR CON CONTADOR]","Por el registro de la factura "&amp;Registro_Compras!$C$123&amp;" de "&amp;Registro_Compras!$E$123)))</f>
        <v/>
      </c>
      <c r="H1077">
        <f>IF($C1077="","",Registro_Compras!$C$123)</f>
        <v/>
      </c>
    </row>
    <row r="1078">
      <c r="A1078" s="25">
        <f>IF($C1078="","",Registro_Compras!$B$123)</f>
        <v/>
      </c>
      <c r="B1078">
        <f>IF($C1078="","","C"&amp;TEXT(INT((ROW()-5)/9)+1,"000")&amp;"-1")</f>
        <v/>
      </c>
      <c r="C1078">
        <f>IF(OR(Registro_Compras!$C$123="",Registro_Compras!$O$123=""),"",IF(Registro_Compras!$F$123="NOTA DE CREDITO",IF(Registro_Compras!$K$123=0,"","40111"),"4212"))</f>
        <v/>
      </c>
      <c r="D1078">
        <f>IF(OR(Registro_Compras!$C$123="",Registro_Compras!$O$123=""),"",IF(Registro_Compras!$F$123="NOTA DE CREDITO","IGV - Cuenta Propia (Credito Fiscal)","Cuentas por Pagar Comerciales - Terceros (Emitidas)"))</f>
        <v/>
      </c>
      <c r="E1078" s="20">
        <f>""</f>
        <v/>
      </c>
      <c r="F1078" s="20">
        <f>IF($C1078="","",IF(Registro_Compras!$F$123="NOTA DE CREDITO",ROUND(ABS(Registro_Compras!$K$123*Registro_Compras!$N$123),2),IF(Registro_Compras!$F$123="RHE",(ROUND(Registro_Compras!$L$123*Registro_Compras!$N$123,2)-ROUND(Registro_Compras!$V$123*Registro_Compras!$N$123,2)),Registro_Compras!$O$123)))</f>
        <v/>
      </c>
      <c r="G1078">
        <f>IF($C1078="","",IF(Registro_Compras!$F$123="NOTA DE CREDITO","Por la nota de credito "&amp;Registro_Compras!$C$123&amp;" de "&amp;Registro_Compras!$E$123&amp;" [PATRON POR CONFIRMAR CON CONTADOR]",IF(Registro_Compras!$F$123="RHE","Por el registro del recibo por honorarios "&amp;Registro_Compras!$C$123&amp;" de "&amp;Registro_Compras!$E$123&amp;" [PATRON POR CONFIRMAR CON CONTADOR]","Por el registro de la factura "&amp;Registro_Compras!$C$123&amp;" de "&amp;Registro_Compras!$E$123)))</f>
        <v/>
      </c>
      <c r="H1078">
        <f>IF($C1078="","",Registro_Compras!$C$123)</f>
        <v/>
      </c>
    </row>
    <row r="1079">
      <c r="A1079" s="25">
        <f>IF($C1079="","",Registro_Compras!$B$123)</f>
        <v/>
      </c>
      <c r="B1079">
        <f>IF($C1079="","","C"&amp;TEXT(INT((ROW()-5)/9)+1,"000")&amp;"-2")</f>
        <v/>
      </c>
      <c r="C1079">
        <f>IF(OR(Registro_Compras!$C$123="",Registro_Compras!$O$123=""),"",IF(Registro_Compras!$AB$123="ADMINISTRATIVO","94","95"))</f>
        <v/>
      </c>
      <c r="D1079">
        <f>IF(OR(Registro_Compras!$C$123="",Registro_Compras!$O$123=""),"",IF(Registro_Compras!$AB$123="ADMINISTRATIVO","Gastos Administrativos","Gastos de Venta y Operacion"))</f>
        <v/>
      </c>
      <c r="E1079" s="20">
        <f>IF($C1079="","",IF(Registro_Compras!$F$123="NOTA DE CREDITO","",IF(Registro_Compras!$F$123="RHE",ROUND(Registro_Compras!$L$123*Registro_Compras!$N$123,2),ROUND(Registro_Compras!$J$123*Registro_Compras!$N$123,2))))</f>
        <v/>
      </c>
      <c r="F1079" s="20">
        <f>IF($C1079="","",IF(Registro_Compras!$F$123="NOTA DE CREDITO",ROUND(ABS(Registro_Compras!$J$123*Registro_Compras!$N$123),2),""))</f>
        <v/>
      </c>
      <c r="G1079">
        <f>IF($C1079="","","Por el destino del gasto")</f>
        <v/>
      </c>
      <c r="H1079">
        <f>IF($C1079="","",Registro_Compras!$C$123)</f>
        <v/>
      </c>
    </row>
    <row r="1080">
      <c r="A1080" s="25">
        <f>IF($C1080="","",Registro_Compras!$B$123)</f>
        <v/>
      </c>
      <c r="B1080">
        <f>IF($C1080="","","C"&amp;TEXT(INT((ROW()-5)/9)+1,"000")&amp;"-2")</f>
        <v/>
      </c>
      <c r="C1080">
        <f>IF(OR(Registro_Compras!$C$123="",Registro_Compras!$O$123=""),"","79/791")</f>
        <v/>
      </c>
      <c r="D1080">
        <f>IF(OR(Registro_Compras!$C$123="",Registro_Compras!$O$123=""),"","Cargas Imputables a Cuentas de Costos y Gastos")</f>
        <v/>
      </c>
      <c r="E1080" s="20">
        <f>IF($C1080="","",IF(Registro_Compras!$F$123="NOTA DE CREDITO",ROUND(ABS(Registro_Compras!$J$123*Registro_Compras!$N$123),2),""))</f>
        <v/>
      </c>
      <c r="F1080" s="20">
        <f>IF($C1080="","",IF(Registro_Compras!$F$123="NOTA DE CREDITO","",IF(Registro_Compras!$F$123="RHE",ROUND(Registro_Compras!$L$123*Registro_Compras!$N$123,2),ROUND(Registro_Compras!$J$123*Registro_Compras!$N$123,2))))</f>
        <v/>
      </c>
      <c r="G1080">
        <f>IF($C1080="","","Por el destino del gasto")</f>
        <v/>
      </c>
      <c r="H1080">
        <f>IF($C1080="","",Registro_Compras!$C$123)</f>
        <v/>
      </c>
    </row>
    <row r="1081">
      <c r="A1081" s="25">
        <f>IF($C1081="","",Registro_Compras!$X$123)</f>
        <v/>
      </c>
      <c r="B1081">
        <f>IF($C1081="","","C"&amp;TEXT(INT((ROW()-5)/9)+1,"000")&amp;"-3")</f>
        <v/>
      </c>
      <c r="C1081">
        <f>IF(OR(Registro_Compras!$C$123="",Registro_Compras!$O$123="",Registro_Compras!$R$123&lt;&gt;"SI",Registro_Compras!$X$123=""),"","4212")</f>
        <v/>
      </c>
      <c r="D1081">
        <f>IF(OR(Registro_Compras!$C$123="",Registro_Compras!$O$123=""),"","Cuentas por Pagar Comerciales - Terceros")</f>
        <v/>
      </c>
      <c r="E1081" s="20">
        <f>IF($C1081="","",Registro_Compras!$S$123)</f>
        <v/>
      </c>
      <c r="F1081" s="20">
        <f>""</f>
        <v/>
      </c>
      <c r="G1081">
        <f>IF($C1081="","","Por el deposito de la detraccion en el Banco de la Nacion")</f>
        <v/>
      </c>
      <c r="H1081">
        <f>IF($C1081="","",Registro_Compras!$C$123)</f>
        <v/>
      </c>
    </row>
    <row r="1082">
      <c r="A1082" s="25">
        <f>IF($C1082="","",Registro_Compras!$X$123)</f>
        <v/>
      </c>
      <c r="B1082">
        <f>IF($C1082="","","C"&amp;TEXT(INT((ROW()-5)/9)+1,"000")&amp;"-3")</f>
        <v/>
      </c>
      <c r="C1082">
        <f>IF(OR(Registro_Compras!$C$123="",Registro_Compras!$O$123="",Registro_Compras!$R$123&lt;&gt;"SI",Registro_Compras!$X$123=""),"","10413")</f>
        <v/>
      </c>
      <c r="D1082">
        <f>IF(OR(Registro_Compras!$C$123="",Registro_Compras!$O$123=""),"","Efectivo y Equivalentes - Cta. Cte. Operativa")</f>
        <v/>
      </c>
      <c r="E1082" s="20">
        <f>""</f>
        <v/>
      </c>
      <c r="F1082" s="20">
        <f>IF($C1082="","",Registro_Compras!$S$123)</f>
        <v/>
      </c>
      <c r="G1082">
        <f>IF($C1082="","","Por el deposito de la detraccion en el Banco de la Nacion")</f>
        <v/>
      </c>
      <c r="H1082">
        <f>IF($C1082="","",Registro_Compras!$C$123)</f>
        <v/>
      </c>
    </row>
    <row r="1083">
      <c r="A1083" s="25">
        <f>IF($C1083="","",Registro_Compras!$Y$123)</f>
        <v/>
      </c>
      <c r="B1083">
        <f>IF($C1083="","","C"&amp;TEXT(INT((ROW()-5)/9)+1,"000")&amp;"-4")</f>
        <v/>
      </c>
      <c r="C1083">
        <f>IF(OR(Registro_Compras!$C$123="",Registro_Compras!$O$123="",Registro_Compras!$Y$123="",Registro_Compras!$F$123="NOTA DE CREDITO"),"","4212")</f>
        <v/>
      </c>
      <c r="D1083">
        <f>IF(OR(Registro_Compras!$C$123="",Registro_Compras!$O$123=""),"","Cuentas por Pagar Comerciales - Terceros")</f>
        <v/>
      </c>
      <c r="E1083" s="20">
        <f>IF($C1083="","",IF(Registro_Compras!$F$123="RHE",(ROUND(Registro_Compras!$L$123*Registro_Compras!$N$123,2)-ROUND(Registro_Compras!$V$123*Registro_Compras!$N$123,2)),ROUND(Registro_Compras!$O$123-Registro_Compras!$S$123,2)))</f>
        <v/>
      </c>
      <c r="F1083" s="20">
        <f>""</f>
        <v/>
      </c>
      <c r="G1083">
        <f>IF($C1083="","","Por la cancelacion del saldo al proveedor")</f>
        <v/>
      </c>
      <c r="H1083">
        <f>IF($C1083="","",Registro_Compras!$C$123)</f>
        <v/>
      </c>
    </row>
    <row r="1084">
      <c r="A1084" s="25">
        <f>IF($C1084="","",Registro_Compras!$Y$123)</f>
        <v/>
      </c>
      <c r="B1084">
        <f>IF($C1084="","","C"&amp;TEXT(INT((ROW()-5)/9)+1,"000")&amp;"-4")</f>
        <v/>
      </c>
      <c r="C1084">
        <f>IF(OR(Registro_Compras!$C$123="",Registro_Compras!$O$123="",Registro_Compras!$Y$123="",Registro_Compras!$F$123="NOTA DE CREDITO"),"","10413")</f>
        <v/>
      </c>
      <c r="D1084">
        <f>IF(OR(Registro_Compras!$C$123="",Registro_Compras!$O$123=""),"","Efectivo y Equivalentes - Cta. Cte. Operativa")</f>
        <v/>
      </c>
      <c r="E1084" s="20">
        <f>""</f>
        <v/>
      </c>
      <c r="F1084" s="20">
        <f>IF($C1084="","",IF(Registro_Compras!$F$123="RHE",(ROUND(Registro_Compras!$L$123*Registro_Compras!$N$123,2)-ROUND(Registro_Compras!$V$123*Registro_Compras!$N$123,2)),ROUND(Registro_Compras!$O$123-Registro_Compras!$S$123,2)))</f>
        <v/>
      </c>
      <c r="G1084">
        <f>IF($C1084="","","Por la cancelacion del saldo al proveedor")</f>
        <v/>
      </c>
      <c r="H1084">
        <f>IF($C1084="","",Registro_Compras!$C$123)</f>
        <v/>
      </c>
    </row>
    <row r="1085">
      <c r="A1085" s="25">
        <f>IF($C1085="","",Registro_Compras!$B$124)</f>
        <v/>
      </c>
      <c r="B1085">
        <f>IF($C1085="","","C"&amp;TEXT(INT((ROW()-5)/9)+1,"000")&amp;"-1")</f>
        <v/>
      </c>
      <c r="C1085">
        <f>IF(OR(Registro_Compras!$C$124="",Registro_Compras!$O$124=""),"",IF(Registro_Compras!$F$124="NOTA DE CREDITO","4212",IF(Registro_Compras!$M$124="","63",Registro_Compras!$M$124)))</f>
        <v/>
      </c>
      <c r="D1085">
        <f>IF(OR(Registro_Compras!$C$124="",Registro_Compras!$O$124=""),"",IF(Registro_Compras!$F$124="NOTA DE CREDITO","Cuentas por Pagar Comerciales - Terceros (Emitidas)",IF(Registro_Compras!$F$124="RHE","Honorarios Profesionales - Servicios de Terceros","Gastos de Servicios Prestados por Terceros")))</f>
        <v/>
      </c>
      <c r="E1085" s="20">
        <f>IF($C1085="","",IF(Registro_Compras!$F$124="NOTA DE CREDITO",ABS(Registro_Compras!$O$124),IF(Registro_Compras!$F$124="RHE",ROUND(Registro_Compras!$L$124*Registro_Compras!$N$124,2),ROUND(Registro_Compras!$J$124*Registro_Compras!$N$124,2))))</f>
        <v/>
      </c>
      <c r="F1085" s="20">
        <f>""</f>
        <v/>
      </c>
      <c r="G1085">
        <f>IF($C1085="","",IF(Registro_Compras!$F$124="NOTA DE CREDITO","Por la nota de credito "&amp;Registro_Compras!$C$124&amp;" de "&amp;Registro_Compras!$E$124&amp;" [PATRON POR CONFIRMAR CON CONTADOR]",IF(Registro_Compras!$F$124="RHE","Por el registro del recibo por honorarios "&amp;Registro_Compras!$C$124&amp;" de "&amp;Registro_Compras!$E$124&amp;" [PATRON POR CONFIRMAR CON CONTADOR]","Por el registro de la factura "&amp;Registro_Compras!$C$124&amp;" de "&amp;Registro_Compras!$E$124)))</f>
        <v/>
      </c>
      <c r="H1085">
        <f>IF($C1085="","",Registro_Compras!$C$124)</f>
        <v/>
      </c>
    </row>
    <row r="1086">
      <c r="A1086" s="25">
        <f>IF($C1086="","",Registro_Compras!$B$124)</f>
        <v/>
      </c>
      <c r="B1086">
        <f>IF($C1086="","","C"&amp;TEXT(INT((ROW()-5)/9)+1,"000")&amp;"-1")</f>
        <v/>
      </c>
      <c r="C1086">
        <f>IF(OR(Registro_Compras!$C$124="",Registro_Compras!$O$124=""),"",IF(Registro_Compras!$F$124="RHE",IF(Registro_Compras!$V$124=0,"","40172"),IF(Registro_Compras!$F$124="NOTA DE CREDITO",IF(Registro_Compras!$M$124="","63",Registro_Compras!$M$124),IF(Registro_Compras!$K$124=0,"","40111"))))</f>
        <v/>
      </c>
      <c r="D1086">
        <f>IF(OR(Registro_Compras!$C$124="",Registro_Compras!$O$124=""),"",IF(Registro_Compras!$F$124="RHE","Retencion Renta 4ta Categoria por Pagar",IF(Registro_Compras!$F$124="NOTA DE CREDITO","Gastos de Servicios Prestados por Terceros","IGV - Cuenta Propia (Credito Fiscal)")))</f>
        <v/>
      </c>
      <c r="E1086" s="20">
        <f>IF($C1086="","",IF(Registro_Compras!$F$124="FACTURA",ROUND(Registro_Compras!$K$124*Registro_Compras!$N$124,2),""))</f>
        <v/>
      </c>
      <c r="F1086" s="20">
        <f>IF($C1086="","",IF(Registro_Compras!$F$124="RHE",ROUND(Registro_Compras!$V$124*Registro_Compras!$N$124,2),IF(Registro_Compras!$F$124="NOTA DE CREDITO",ROUND(ABS(Registro_Compras!$J$124*Registro_Compras!$N$124),2),"")))</f>
        <v/>
      </c>
      <c r="G1086">
        <f>IF($C1086="","",IF(Registro_Compras!$F$124="NOTA DE CREDITO","Por la nota de credito "&amp;Registro_Compras!$C$124&amp;" de "&amp;Registro_Compras!$E$124&amp;" [PATRON POR CONFIRMAR CON CONTADOR]",IF(Registro_Compras!$F$124="RHE","Por el registro del recibo por honorarios "&amp;Registro_Compras!$C$124&amp;" de "&amp;Registro_Compras!$E$124&amp;" [PATRON POR CONFIRMAR CON CONTADOR]","Por el registro de la factura "&amp;Registro_Compras!$C$124&amp;" de "&amp;Registro_Compras!$E$124)))</f>
        <v/>
      </c>
      <c r="H1086">
        <f>IF($C1086="","",Registro_Compras!$C$124)</f>
        <v/>
      </c>
    </row>
    <row r="1087">
      <c r="A1087" s="25">
        <f>IF($C1087="","",Registro_Compras!$B$124)</f>
        <v/>
      </c>
      <c r="B1087">
        <f>IF($C1087="","","C"&amp;TEXT(INT((ROW()-5)/9)+1,"000")&amp;"-1")</f>
        <v/>
      </c>
      <c r="C1087">
        <f>IF(OR(Registro_Compras!$C$124="",Registro_Compras!$O$124=""),"",IF(Registro_Compras!$F$124="NOTA DE CREDITO",IF(Registro_Compras!$K$124=0,"","40111"),"4212"))</f>
        <v/>
      </c>
      <c r="D1087">
        <f>IF(OR(Registro_Compras!$C$124="",Registro_Compras!$O$124=""),"",IF(Registro_Compras!$F$124="NOTA DE CREDITO","IGV - Cuenta Propia (Credito Fiscal)","Cuentas por Pagar Comerciales - Terceros (Emitidas)"))</f>
        <v/>
      </c>
      <c r="E1087" s="20">
        <f>""</f>
        <v/>
      </c>
      <c r="F1087" s="20">
        <f>IF($C1087="","",IF(Registro_Compras!$F$124="NOTA DE CREDITO",ROUND(ABS(Registro_Compras!$K$124*Registro_Compras!$N$124),2),IF(Registro_Compras!$F$124="RHE",(ROUND(Registro_Compras!$L$124*Registro_Compras!$N$124,2)-ROUND(Registro_Compras!$V$124*Registro_Compras!$N$124,2)),Registro_Compras!$O$124)))</f>
        <v/>
      </c>
      <c r="G1087">
        <f>IF($C1087="","",IF(Registro_Compras!$F$124="NOTA DE CREDITO","Por la nota de credito "&amp;Registro_Compras!$C$124&amp;" de "&amp;Registro_Compras!$E$124&amp;" [PATRON POR CONFIRMAR CON CONTADOR]",IF(Registro_Compras!$F$124="RHE","Por el registro del recibo por honorarios "&amp;Registro_Compras!$C$124&amp;" de "&amp;Registro_Compras!$E$124&amp;" [PATRON POR CONFIRMAR CON CONTADOR]","Por el registro de la factura "&amp;Registro_Compras!$C$124&amp;" de "&amp;Registro_Compras!$E$124)))</f>
        <v/>
      </c>
      <c r="H1087">
        <f>IF($C1087="","",Registro_Compras!$C$124)</f>
        <v/>
      </c>
    </row>
    <row r="1088">
      <c r="A1088" s="25">
        <f>IF($C1088="","",Registro_Compras!$B$124)</f>
        <v/>
      </c>
      <c r="B1088">
        <f>IF($C1088="","","C"&amp;TEXT(INT((ROW()-5)/9)+1,"000")&amp;"-2")</f>
        <v/>
      </c>
      <c r="C1088">
        <f>IF(OR(Registro_Compras!$C$124="",Registro_Compras!$O$124=""),"",IF(Registro_Compras!$AB$124="ADMINISTRATIVO","94","95"))</f>
        <v/>
      </c>
      <c r="D1088">
        <f>IF(OR(Registro_Compras!$C$124="",Registro_Compras!$O$124=""),"",IF(Registro_Compras!$AB$124="ADMINISTRATIVO","Gastos Administrativos","Gastos de Venta y Operacion"))</f>
        <v/>
      </c>
      <c r="E1088" s="20">
        <f>IF($C1088="","",IF(Registro_Compras!$F$124="NOTA DE CREDITO","",IF(Registro_Compras!$F$124="RHE",ROUND(Registro_Compras!$L$124*Registro_Compras!$N$124,2),ROUND(Registro_Compras!$J$124*Registro_Compras!$N$124,2))))</f>
        <v/>
      </c>
      <c r="F1088" s="20">
        <f>IF($C1088="","",IF(Registro_Compras!$F$124="NOTA DE CREDITO",ROUND(ABS(Registro_Compras!$J$124*Registro_Compras!$N$124),2),""))</f>
        <v/>
      </c>
      <c r="G1088">
        <f>IF($C1088="","","Por el destino del gasto")</f>
        <v/>
      </c>
      <c r="H1088">
        <f>IF($C1088="","",Registro_Compras!$C$124)</f>
        <v/>
      </c>
    </row>
    <row r="1089">
      <c r="A1089" s="25">
        <f>IF($C1089="","",Registro_Compras!$B$124)</f>
        <v/>
      </c>
      <c r="B1089">
        <f>IF($C1089="","","C"&amp;TEXT(INT((ROW()-5)/9)+1,"000")&amp;"-2")</f>
        <v/>
      </c>
      <c r="C1089">
        <f>IF(OR(Registro_Compras!$C$124="",Registro_Compras!$O$124=""),"","79/791")</f>
        <v/>
      </c>
      <c r="D1089">
        <f>IF(OR(Registro_Compras!$C$124="",Registro_Compras!$O$124=""),"","Cargas Imputables a Cuentas de Costos y Gastos")</f>
        <v/>
      </c>
      <c r="E1089" s="20">
        <f>IF($C1089="","",IF(Registro_Compras!$F$124="NOTA DE CREDITO",ROUND(ABS(Registro_Compras!$J$124*Registro_Compras!$N$124),2),""))</f>
        <v/>
      </c>
      <c r="F1089" s="20">
        <f>IF($C1089="","",IF(Registro_Compras!$F$124="NOTA DE CREDITO","",IF(Registro_Compras!$F$124="RHE",ROUND(Registro_Compras!$L$124*Registro_Compras!$N$124,2),ROUND(Registro_Compras!$J$124*Registro_Compras!$N$124,2))))</f>
        <v/>
      </c>
      <c r="G1089">
        <f>IF($C1089="","","Por el destino del gasto")</f>
        <v/>
      </c>
      <c r="H1089">
        <f>IF($C1089="","",Registro_Compras!$C$124)</f>
        <v/>
      </c>
    </row>
    <row r="1090">
      <c r="A1090" s="25">
        <f>IF($C1090="","",Registro_Compras!$X$124)</f>
        <v/>
      </c>
      <c r="B1090">
        <f>IF($C1090="","","C"&amp;TEXT(INT((ROW()-5)/9)+1,"000")&amp;"-3")</f>
        <v/>
      </c>
      <c r="C1090">
        <f>IF(OR(Registro_Compras!$C$124="",Registro_Compras!$O$124="",Registro_Compras!$R$124&lt;&gt;"SI",Registro_Compras!$X$124=""),"","4212")</f>
        <v/>
      </c>
      <c r="D1090">
        <f>IF(OR(Registro_Compras!$C$124="",Registro_Compras!$O$124=""),"","Cuentas por Pagar Comerciales - Terceros")</f>
        <v/>
      </c>
      <c r="E1090" s="20">
        <f>IF($C1090="","",Registro_Compras!$S$124)</f>
        <v/>
      </c>
      <c r="F1090" s="20">
        <f>""</f>
        <v/>
      </c>
      <c r="G1090">
        <f>IF($C1090="","","Por el deposito de la detraccion en el Banco de la Nacion")</f>
        <v/>
      </c>
      <c r="H1090">
        <f>IF($C1090="","",Registro_Compras!$C$124)</f>
        <v/>
      </c>
    </row>
    <row r="1091">
      <c r="A1091" s="25">
        <f>IF($C1091="","",Registro_Compras!$X$124)</f>
        <v/>
      </c>
      <c r="B1091">
        <f>IF($C1091="","","C"&amp;TEXT(INT((ROW()-5)/9)+1,"000")&amp;"-3")</f>
        <v/>
      </c>
      <c r="C1091">
        <f>IF(OR(Registro_Compras!$C$124="",Registro_Compras!$O$124="",Registro_Compras!$R$124&lt;&gt;"SI",Registro_Compras!$X$124=""),"","10413")</f>
        <v/>
      </c>
      <c r="D1091">
        <f>IF(OR(Registro_Compras!$C$124="",Registro_Compras!$O$124=""),"","Efectivo y Equivalentes - Cta. Cte. Operativa")</f>
        <v/>
      </c>
      <c r="E1091" s="20">
        <f>""</f>
        <v/>
      </c>
      <c r="F1091" s="20">
        <f>IF($C1091="","",Registro_Compras!$S$124)</f>
        <v/>
      </c>
      <c r="G1091">
        <f>IF($C1091="","","Por el deposito de la detraccion en el Banco de la Nacion")</f>
        <v/>
      </c>
      <c r="H1091">
        <f>IF($C1091="","",Registro_Compras!$C$124)</f>
        <v/>
      </c>
    </row>
    <row r="1092">
      <c r="A1092" s="25">
        <f>IF($C1092="","",Registro_Compras!$Y$124)</f>
        <v/>
      </c>
      <c r="B1092">
        <f>IF($C1092="","","C"&amp;TEXT(INT((ROW()-5)/9)+1,"000")&amp;"-4")</f>
        <v/>
      </c>
      <c r="C1092">
        <f>IF(OR(Registro_Compras!$C$124="",Registro_Compras!$O$124="",Registro_Compras!$Y$124="",Registro_Compras!$F$124="NOTA DE CREDITO"),"","4212")</f>
        <v/>
      </c>
      <c r="D1092">
        <f>IF(OR(Registro_Compras!$C$124="",Registro_Compras!$O$124=""),"","Cuentas por Pagar Comerciales - Terceros")</f>
        <v/>
      </c>
      <c r="E1092" s="20">
        <f>IF($C1092="","",IF(Registro_Compras!$F$124="RHE",(ROUND(Registro_Compras!$L$124*Registro_Compras!$N$124,2)-ROUND(Registro_Compras!$V$124*Registro_Compras!$N$124,2)),ROUND(Registro_Compras!$O$124-Registro_Compras!$S$124,2)))</f>
        <v/>
      </c>
      <c r="F1092" s="20">
        <f>""</f>
        <v/>
      </c>
      <c r="G1092">
        <f>IF($C1092="","","Por la cancelacion del saldo al proveedor")</f>
        <v/>
      </c>
      <c r="H1092">
        <f>IF($C1092="","",Registro_Compras!$C$124)</f>
        <v/>
      </c>
    </row>
    <row r="1093">
      <c r="A1093" s="25">
        <f>IF($C1093="","",Registro_Compras!$Y$124)</f>
        <v/>
      </c>
      <c r="B1093">
        <f>IF($C1093="","","C"&amp;TEXT(INT((ROW()-5)/9)+1,"000")&amp;"-4")</f>
        <v/>
      </c>
      <c r="C1093">
        <f>IF(OR(Registro_Compras!$C$124="",Registro_Compras!$O$124="",Registro_Compras!$Y$124="",Registro_Compras!$F$124="NOTA DE CREDITO"),"","10413")</f>
        <v/>
      </c>
      <c r="D1093">
        <f>IF(OR(Registro_Compras!$C$124="",Registro_Compras!$O$124=""),"","Efectivo y Equivalentes - Cta. Cte. Operativa")</f>
        <v/>
      </c>
      <c r="E1093" s="20">
        <f>""</f>
        <v/>
      </c>
      <c r="F1093" s="20">
        <f>IF($C1093="","",IF(Registro_Compras!$F$124="RHE",(ROUND(Registro_Compras!$L$124*Registro_Compras!$N$124,2)-ROUND(Registro_Compras!$V$124*Registro_Compras!$N$124,2)),ROUND(Registro_Compras!$O$124-Registro_Compras!$S$124,2)))</f>
        <v/>
      </c>
      <c r="G1093">
        <f>IF($C1093="","","Por la cancelacion del saldo al proveedor")</f>
        <v/>
      </c>
      <c r="H1093">
        <f>IF($C1093="","",Registro_Compras!$C$124)</f>
        <v/>
      </c>
    </row>
    <row r="1094">
      <c r="A1094" s="25">
        <f>IF($C1094="","",Registro_Compras!$B$125)</f>
        <v/>
      </c>
      <c r="B1094">
        <f>IF($C1094="","","C"&amp;TEXT(INT((ROW()-5)/9)+1,"000")&amp;"-1")</f>
        <v/>
      </c>
      <c r="C1094">
        <f>IF(OR(Registro_Compras!$C$125="",Registro_Compras!$O$125=""),"",IF(Registro_Compras!$F$125="NOTA DE CREDITO","4212",IF(Registro_Compras!$M$125="","63",Registro_Compras!$M$125)))</f>
        <v/>
      </c>
      <c r="D1094">
        <f>IF(OR(Registro_Compras!$C$125="",Registro_Compras!$O$125=""),"",IF(Registro_Compras!$F$125="NOTA DE CREDITO","Cuentas por Pagar Comerciales - Terceros (Emitidas)",IF(Registro_Compras!$F$125="RHE","Honorarios Profesionales - Servicios de Terceros","Gastos de Servicios Prestados por Terceros")))</f>
        <v/>
      </c>
      <c r="E1094" s="20">
        <f>IF($C1094="","",IF(Registro_Compras!$F$125="NOTA DE CREDITO",ABS(Registro_Compras!$O$125),IF(Registro_Compras!$F$125="RHE",ROUND(Registro_Compras!$L$125*Registro_Compras!$N$125,2),ROUND(Registro_Compras!$J$125*Registro_Compras!$N$125,2))))</f>
        <v/>
      </c>
      <c r="F1094" s="20">
        <f>""</f>
        <v/>
      </c>
      <c r="G1094">
        <f>IF($C1094="","",IF(Registro_Compras!$F$125="NOTA DE CREDITO","Por la nota de credito "&amp;Registro_Compras!$C$125&amp;" de "&amp;Registro_Compras!$E$125&amp;" [PATRON POR CONFIRMAR CON CONTADOR]",IF(Registro_Compras!$F$125="RHE","Por el registro del recibo por honorarios "&amp;Registro_Compras!$C$125&amp;" de "&amp;Registro_Compras!$E$125&amp;" [PATRON POR CONFIRMAR CON CONTADOR]","Por el registro de la factura "&amp;Registro_Compras!$C$125&amp;" de "&amp;Registro_Compras!$E$125)))</f>
        <v/>
      </c>
      <c r="H1094">
        <f>IF($C1094="","",Registro_Compras!$C$125)</f>
        <v/>
      </c>
    </row>
    <row r="1095">
      <c r="A1095" s="25">
        <f>IF($C1095="","",Registro_Compras!$B$125)</f>
        <v/>
      </c>
      <c r="B1095">
        <f>IF($C1095="","","C"&amp;TEXT(INT((ROW()-5)/9)+1,"000")&amp;"-1")</f>
        <v/>
      </c>
      <c r="C1095">
        <f>IF(OR(Registro_Compras!$C$125="",Registro_Compras!$O$125=""),"",IF(Registro_Compras!$F$125="RHE",IF(Registro_Compras!$V$125=0,"","40172"),IF(Registro_Compras!$F$125="NOTA DE CREDITO",IF(Registro_Compras!$M$125="","63",Registro_Compras!$M$125),IF(Registro_Compras!$K$125=0,"","40111"))))</f>
        <v/>
      </c>
      <c r="D1095">
        <f>IF(OR(Registro_Compras!$C$125="",Registro_Compras!$O$125=""),"",IF(Registro_Compras!$F$125="RHE","Retencion Renta 4ta Categoria por Pagar",IF(Registro_Compras!$F$125="NOTA DE CREDITO","Gastos de Servicios Prestados por Terceros","IGV - Cuenta Propia (Credito Fiscal)")))</f>
        <v/>
      </c>
      <c r="E1095" s="20">
        <f>IF($C1095="","",IF(Registro_Compras!$F$125="FACTURA",ROUND(Registro_Compras!$K$125*Registro_Compras!$N$125,2),""))</f>
        <v/>
      </c>
      <c r="F1095" s="20">
        <f>IF($C1095="","",IF(Registro_Compras!$F$125="RHE",ROUND(Registro_Compras!$V$125*Registro_Compras!$N$125,2),IF(Registro_Compras!$F$125="NOTA DE CREDITO",ROUND(ABS(Registro_Compras!$J$125*Registro_Compras!$N$125),2),"")))</f>
        <v/>
      </c>
      <c r="G1095">
        <f>IF($C1095="","",IF(Registro_Compras!$F$125="NOTA DE CREDITO","Por la nota de credito "&amp;Registro_Compras!$C$125&amp;" de "&amp;Registro_Compras!$E$125&amp;" [PATRON POR CONFIRMAR CON CONTADOR]",IF(Registro_Compras!$F$125="RHE","Por el registro del recibo por honorarios "&amp;Registro_Compras!$C$125&amp;" de "&amp;Registro_Compras!$E$125&amp;" [PATRON POR CONFIRMAR CON CONTADOR]","Por el registro de la factura "&amp;Registro_Compras!$C$125&amp;" de "&amp;Registro_Compras!$E$125)))</f>
        <v/>
      </c>
      <c r="H1095">
        <f>IF($C1095="","",Registro_Compras!$C$125)</f>
        <v/>
      </c>
    </row>
    <row r="1096">
      <c r="A1096" s="25">
        <f>IF($C1096="","",Registro_Compras!$B$125)</f>
        <v/>
      </c>
      <c r="B1096">
        <f>IF($C1096="","","C"&amp;TEXT(INT((ROW()-5)/9)+1,"000")&amp;"-1")</f>
        <v/>
      </c>
      <c r="C1096">
        <f>IF(OR(Registro_Compras!$C$125="",Registro_Compras!$O$125=""),"",IF(Registro_Compras!$F$125="NOTA DE CREDITO",IF(Registro_Compras!$K$125=0,"","40111"),"4212"))</f>
        <v/>
      </c>
      <c r="D1096">
        <f>IF(OR(Registro_Compras!$C$125="",Registro_Compras!$O$125=""),"",IF(Registro_Compras!$F$125="NOTA DE CREDITO","IGV - Cuenta Propia (Credito Fiscal)","Cuentas por Pagar Comerciales - Terceros (Emitidas)"))</f>
        <v/>
      </c>
      <c r="E1096" s="20">
        <f>""</f>
        <v/>
      </c>
      <c r="F1096" s="20">
        <f>IF($C1096="","",IF(Registro_Compras!$F$125="NOTA DE CREDITO",ROUND(ABS(Registro_Compras!$K$125*Registro_Compras!$N$125),2),IF(Registro_Compras!$F$125="RHE",(ROUND(Registro_Compras!$L$125*Registro_Compras!$N$125,2)-ROUND(Registro_Compras!$V$125*Registro_Compras!$N$125,2)),Registro_Compras!$O$125)))</f>
        <v/>
      </c>
      <c r="G1096">
        <f>IF($C1096="","",IF(Registro_Compras!$F$125="NOTA DE CREDITO","Por la nota de credito "&amp;Registro_Compras!$C$125&amp;" de "&amp;Registro_Compras!$E$125&amp;" [PATRON POR CONFIRMAR CON CONTADOR]",IF(Registro_Compras!$F$125="RHE","Por el registro del recibo por honorarios "&amp;Registro_Compras!$C$125&amp;" de "&amp;Registro_Compras!$E$125&amp;" [PATRON POR CONFIRMAR CON CONTADOR]","Por el registro de la factura "&amp;Registro_Compras!$C$125&amp;" de "&amp;Registro_Compras!$E$125)))</f>
        <v/>
      </c>
      <c r="H1096">
        <f>IF($C1096="","",Registro_Compras!$C$125)</f>
        <v/>
      </c>
    </row>
    <row r="1097">
      <c r="A1097" s="25">
        <f>IF($C1097="","",Registro_Compras!$B$125)</f>
        <v/>
      </c>
      <c r="B1097">
        <f>IF($C1097="","","C"&amp;TEXT(INT((ROW()-5)/9)+1,"000")&amp;"-2")</f>
        <v/>
      </c>
      <c r="C1097">
        <f>IF(OR(Registro_Compras!$C$125="",Registro_Compras!$O$125=""),"",IF(Registro_Compras!$AB$125="ADMINISTRATIVO","94","95"))</f>
        <v/>
      </c>
      <c r="D1097">
        <f>IF(OR(Registro_Compras!$C$125="",Registro_Compras!$O$125=""),"",IF(Registro_Compras!$AB$125="ADMINISTRATIVO","Gastos Administrativos","Gastos de Venta y Operacion"))</f>
        <v/>
      </c>
      <c r="E1097" s="20">
        <f>IF($C1097="","",IF(Registro_Compras!$F$125="NOTA DE CREDITO","",IF(Registro_Compras!$F$125="RHE",ROUND(Registro_Compras!$L$125*Registro_Compras!$N$125,2),ROUND(Registro_Compras!$J$125*Registro_Compras!$N$125,2))))</f>
        <v/>
      </c>
      <c r="F1097" s="20">
        <f>IF($C1097="","",IF(Registro_Compras!$F$125="NOTA DE CREDITO",ROUND(ABS(Registro_Compras!$J$125*Registro_Compras!$N$125),2),""))</f>
        <v/>
      </c>
      <c r="G1097">
        <f>IF($C1097="","","Por el destino del gasto")</f>
        <v/>
      </c>
      <c r="H1097">
        <f>IF($C1097="","",Registro_Compras!$C$125)</f>
        <v/>
      </c>
    </row>
    <row r="1098">
      <c r="A1098" s="25">
        <f>IF($C1098="","",Registro_Compras!$B$125)</f>
        <v/>
      </c>
      <c r="B1098">
        <f>IF($C1098="","","C"&amp;TEXT(INT((ROW()-5)/9)+1,"000")&amp;"-2")</f>
        <v/>
      </c>
      <c r="C1098">
        <f>IF(OR(Registro_Compras!$C$125="",Registro_Compras!$O$125=""),"","79/791")</f>
        <v/>
      </c>
      <c r="D1098">
        <f>IF(OR(Registro_Compras!$C$125="",Registro_Compras!$O$125=""),"","Cargas Imputables a Cuentas de Costos y Gastos")</f>
        <v/>
      </c>
      <c r="E1098" s="20">
        <f>IF($C1098="","",IF(Registro_Compras!$F$125="NOTA DE CREDITO",ROUND(ABS(Registro_Compras!$J$125*Registro_Compras!$N$125),2),""))</f>
        <v/>
      </c>
      <c r="F1098" s="20">
        <f>IF($C1098="","",IF(Registro_Compras!$F$125="NOTA DE CREDITO","",IF(Registro_Compras!$F$125="RHE",ROUND(Registro_Compras!$L$125*Registro_Compras!$N$125,2),ROUND(Registro_Compras!$J$125*Registro_Compras!$N$125,2))))</f>
        <v/>
      </c>
      <c r="G1098">
        <f>IF($C1098="","","Por el destino del gasto")</f>
        <v/>
      </c>
      <c r="H1098">
        <f>IF($C1098="","",Registro_Compras!$C$125)</f>
        <v/>
      </c>
    </row>
    <row r="1099">
      <c r="A1099" s="25">
        <f>IF($C1099="","",Registro_Compras!$X$125)</f>
        <v/>
      </c>
      <c r="B1099">
        <f>IF($C1099="","","C"&amp;TEXT(INT((ROW()-5)/9)+1,"000")&amp;"-3")</f>
        <v/>
      </c>
      <c r="C1099">
        <f>IF(OR(Registro_Compras!$C$125="",Registro_Compras!$O$125="",Registro_Compras!$R$125&lt;&gt;"SI",Registro_Compras!$X$125=""),"","4212")</f>
        <v/>
      </c>
      <c r="D1099">
        <f>IF(OR(Registro_Compras!$C$125="",Registro_Compras!$O$125=""),"","Cuentas por Pagar Comerciales - Terceros")</f>
        <v/>
      </c>
      <c r="E1099" s="20">
        <f>IF($C1099="","",Registro_Compras!$S$125)</f>
        <v/>
      </c>
      <c r="F1099" s="20">
        <f>""</f>
        <v/>
      </c>
      <c r="G1099">
        <f>IF($C1099="","","Por el deposito de la detraccion en el Banco de la Nacion")</f>
        <v/>
      </c>
      <c r="H1099">
        <f>IF($C1099="","",Registro_Compras!$C$125)</f>
        <v/>
      </c>
    </row>
    <row r="1100">
      <c r="A1100" s="25">
        <f>IF($C1100="","",Registro_Compras!$X$125)</f>
        <v/>
      </c>
      <c r="B1100">
        <f>IF($C1100="","","C"&amp;TEXT(INT((ROW()-5)/9)+1,"000")&amp;"-3")</f>
        <v/>
      </c>
      <c r="C1100">
        <f>IF(OR(Registro_Compras!$C$125="",Registro_Compras!$O$125="",Registro_Compras!$R$125&lt;&gt;"SI",Registro_Compras!$X$125=""),"","10413")</f>
        <v/>
      </c>
      <c r="D1100">
        <f>IF(OR(Registro_Compras!$C$125="",Registro_Compras!$O$125=""),"","Efectivo y Equivalentes - Cta. Cte. Operativa")</f>
        <v/>
      </c>
      <c r="E1100" s="20">
        <f>""</f>
        <v/>
      </c>
      <c r="F1100" s="20">
        <f>IF($C1100="","",Registro_Compras!$S$125)</f>
        <v/>
      </c>
      <c r="G1100">
        <f>IF($C1100="","","Por el deposito de la detraccion en el Banco de la Nacion")</f>
        <v/>
      </c>
      <c r="H1100">
        <f>IF($C1100="","",Registro_Compras!$C$125)</f>
        <v/>
      </c>
    </row>
    <row r="1101">
      <c r="A1101" s="25">
        <f>IF($C1101="","",Registro_Compras!$Y$125)</f>
        <v/>
      </c>
      <c r="B1101">
        <f>IF($C1101="","","C"&amp;TEXT(INT((ROW()-5)/9)+1,"000")&amp;"-4")</f>
        <v/>
      </c>
      <c r="C1101">
        <f>IF(OR(Registro_Compras!$C$125="",Registro_Compras!$O$125="",Registro_Compras!$Y$125="",Registro_Compras!$F$125="NOTA DE CREDITO"),"","4212")</f>
        <v/>
      </c>
      <c r="D1101">
        <f>IF(OR(Registro_Compras!$C$125="",Registro_Compras!$O$125=""),"","Cuentas por Pagar Comerciales - Terceros")</f>
        <v/>
      </c>
      <c r="E1101" s="20">
        <f>IF($C1101="","",IF(Registro_Compras!$F$125="RHE",(ROUND(Registro_Compras!$L$125*Registro_Compras!$N$125,2)-ROUND(Registro_Compras!$V$125*Registro_Compras!$N$125,2)),ROUND(Registro_Compras!$O$125-Registro_Compras!$S$125,2)))</f>
        <v/>
      </c>
      <c r="F1101" s="20">
        <f>""</f>
        <v/>
      </c>
      <c r="G1101">
        <f>IF($C1101="","","Por la cancelacion del saldo al proveedor")</f>
        <v/>
      </c>
      <c r="H1101">
        <f>IF($C1101="","",Registro_Compras!$C$125)</f>
        <v/>
      </c>
    </row>
    <row r="1102">
      <c r="A1102" s="25">
        <f>IF($C1102="","",Registro_Compras!$Y$125)</f>
        <v/>
      </c>
      <c r="B1102">
        <f>IF($C1102="","","C"&amp;TEXT(INT((ROW()-5)/9)+1,"000")&amp;"-4")</f>
        <v/>
      </c>
      <c r="C1102">
        <f>IF(OR(Registro_Compras!$C$125="",Registro_Compras!$O$125="",Registro_Compras!$Y$125="",Registro_Compras!$F$125="NOTA DE CREDITO"),"","10413")</f>
        <v/>
      </c>
      <c r="D1102">
        <f>IF(OR(Registro_Compras!$C$125="",Registro_Compras!$O$125=""),"","Efectivo y Equivalentes - Cta. Cte. Operativa")</f>
        <v/>
      </c>
      <c r="E1102" s="20">
        <f>""</f>
        <v/>
      </c>
      <c r="F1102" s="20">
        <f>IF($C1102="","",IF(Registro_Compras!$F$125="RHE",(ROUND(Registro_Compras!$L$125*Registro_Compras!$N$125,2)-ROUND(Registro_Compras!$V$125*Registro_Compras!$N$125,2)),ROUND(Registro_Compras!$O$125-Registro_Compras!$S$125,2)))</f>
        <v/>
      </c>
      <c r="G1102">
        <f>IF($C1102="","","Por la cancelacion del saldo al proveedor")</f>
        <v/>
      </c>
      <c r="H1102">
        <f>IF($C1102="","",Registro_Compras!$C$125)</f>
        <v/>
      </c>
    </row>
    <row r="1103">
      <c r="A1103" s="25">
        <f>IF($C1103="","",Registro_Compras!$B$126)</f>
        <v/>
      </c>
      <c r="B1103">
        <f>IF($C1103="","","C"&amp;TEXT(INT((ROW()-5)/9)+1,"000")&amp;"-1")</f>
        <v/>
      </c>
      <c r="C1103">
        <f>IF(OR(Registro_Compras!$C$126="",Registro_Compras!$O$126=""),"",IF(Registro_Compras!$F$126="NOTA DE CREDITO","4212",IF(Registro_Compras!$M$126="","63",Registro_Compras!$M$126)))</f>
        <v/>
      </c>
      <c r="D1103">
        <f>IF(OR(Registro_Compras!$C$126="",Registro_Compras!$O$126=""),"",IF(Registro_Compras!$F$126="NOTA DE CREDITO","Cuentas por Pagar Comerciales - Terceros (Emitidas)",IF(Registro_Compras!$F$126="RHE","Honorarios Profesionales - Servicios de Terceros","Gastos de Servicios Prestados por Terceros")))</f>
        <v/>
      </c>
      <c r="E1103" s="20">
        <f>IF($C1103="","",IF(Registro_Compras!$F$126="NOTA DE CREDITO",ABS(Registro_Compras!$O$126),IF(Registro_Compras!$F$126="RHE",ROUND(Registro_Compras!$L$126*Registro_Compras!$N$126,2),ROUND(Registro_Compras!$J$126*Registro_Compras!$N$126,2))))</f>
        <v/>
      </c>
      <c r="F1103" s="20">
        <f>""</f>
        <v/>
      </c>
      <c r="G1103">
        <f>IF($C1103="","",IF(Registro_Compras!$F$126="NOTA DE CREDITO","Por la nota de credito "&amp;Registro_Compras!$C$126&amp;" de "&amp;Registro_Compras!$E$126&amp;" [PATRON POR CONFIRMAR CON CONTADOR]",IF(Registro_Compras!$F$126="RHE","Por el registro del recibo por honorarios "&amp;Registro_Compras!$C$126&amp;" de "&amp;Registro_Compras!$E$126&amp;" [PATRON POR CONFIRMAR CON CONTADOR]","Por el registro de la factura "&amp;Registro_Compras!$C$126&amp;" de "&amp;Registro_Compras!$E$126)))</f>
        <v/>
      </c>
      <c r="H1103">
        <f>IF($C1103="","",Registro_Compras!$C$126)</f>
        <v/>
      </c>
    </row>
    <row r="1104">
      <c r="A1104" s="25">
        <f>IF($C1104="","",Registro_Compras!$B$126)</f>
        <v/>
      </c>
      <c r="B1104">
        <f>IF($C1104="","","C"&amp;TEXT(INT((ROW()-5)/9)+1,"000")&amp;"-1")</f>
        <v/>
      </c>
      <c r="C1104">
        <f>IF(OR(Registro_Compras!$C$126="",Registro_Compras!$O$126=""),"",IF(Registro_Compras!$F$126="RHE",IF(Registro_Compras!$V$126=0,"","40172"),IF(Registro_Compras!$F$126="NOTA DE CREDITO",IF(Registro_Compras!$M$126="","63",Registro_Compras!$M$126),IF(Registro_Compras!$K$126=0,"","40111"))))</f>
        <v/>
      </c>
      <c r="D1104">
        <f>IF(OR(Registro_Compras!$C$126="",Registro_Compras!$O$126=""),"",IF(Registro_Compras!$F$126="RHE","Retencion Renta 4ta Categoria por Pagar",IF(Registro_Compras!$F$126="NOTA DE CREDITO","Gastos de Servicios Prestados por Terceros","IGV - Cuenta Propia (Credito Fiscal)")))</f>
        <v/>
      </c>
      <c r="E1104" s="20">
        <f>IF($C1104="","",IF(Registro_Compras!$F$126="FACTURA",ROUND(Registro_Compras!$K$126*Registro_Compras!$N$126,2),""))</f>
        <v/>
      </c>
      <c r="F1104" s="20">
        <f>IF($C1104="","",IF(Registro_Compras!$F$126="RHE",ROUND(Registro_Compras!$V$126*Registro_Compras!$N$126,2),IF(Registro_Compras!$F$126="NOTA DE CREDITO",ROUND(ABS(Registro_Compras!$J$126*Registro_Compras!$N$126),2),"")))</f>
        <v/>
      </c>
      <c r="G1104">
        <f>IF($C1104="","",IF(Registro_Compras!$F$126="NOTA DE CREDITO","Por la nota de credito "&amp;Registro_Compras!$C$126&amp;" de "&amp;Registro_Compras!$E$126&amp;" [PATRON POR CONFIRMAR CON CONTADOR]",IF(Registro_Compras!$F$126="RHE","Por el registro del recibo por honorarios "&amp;Registro_Compras!$C$126&amp;" de "&amp;Registro_Compras!$E$126&amp;" [PATRON POR CONFIRMAR CON CONTADOR]","Por el registro de la factura "&amp;Registro_Compras!$C$126&amp;" de "&amp;Registro_Compras!$E$126)))</f>
        <v/>
      </c>
      <c r="H1104">
        <f>IF($C1104="","",Registro_Compras!$C$126)</f>
        <v/>
      </c>
    </row>
    <row r="1105">
      <c r="A1105" s="25">
        <f>IF($C1105="","",Registro_Compras!$B$126)</f>
        <v/>
      </c>
      <c r="B1105">
        <f>IF($C1105="","","C"&amp;TEXT(INT((ROW()-5)/9)+1,"000")&amp;"-1")</f>
        <v/>
      </c>
      <c r="C1105">
        <f>IF(OR(Registro_Compras!$C$126="",Registro_Compras!$O$126=""),"",IF(Registro_Compras!$F$126="NOTA DE CREDITO",IF(Registro_Compras!$K$126=0,"","40111"),"4212"))</f>
        <v/>
      </c>
      <c r="D1105">
        <f>IF(OR(Registro_Compras!$C$126="",Registro_Compras!$O$126=""),"",IF(Registro_Compras!$F$126="NOTA DE CREDITO","IGV - Cuenta Propia (Credito Fiscal)","Cuentas por Pagar Comerciales - Terceros (Emitidas)"))</f>
        <v/>
      </c>
      <c r="E1105" s="20">
        <f>""</f>
        <v/>
      </c>
      <c r="F1105" s="20">
        <f>IF($C1105="","",IF(Registro_Compras!$F$126="NOTA DE CREDITO",ROUND(ABS(Registro_Compras!$K$126*Registro_Compras!$N$126),2),IF(Registro_Compras!$F$126="RHE",(ROUND(Registro_Compras!$L$126*Registro_Compras!$N$126,2)-ROUND(Registro_Compras!$V$126*Registro_Compras!$N$126,2)),Registro_Compras!$O$126)))</f>
        <v/>
      </c>
      <c r="G1105">
        <f>IF($C1105="","",IF(Registro_Compras!$F$126="NOTA DE CREDITO","Por la nota de credito "&amp;Registro_Compras!$C$126&amp;" de "&amp;Registro_Compras!$E$126&amp;" [PATRON POR CONFIRMAR CON CONTADOR]",IF(Registro_Compras!$F$126="RHE","Por el registro del recibo por honorarios "&amp;Registro_Compras!$C$126&amp;" de "&amp;Registro_Compras!$E$126&amp;" [PATRON POR CONFIRMAR CON CONTADOR]","Por el registro de la factura "&amp;Registro_Compras!$C$126&amp;" de "&amp;Registro_Compras!$E$126)))</f>
        <v/>
      </c>
      <c r="H1105">
        <f>IF($C1105="","",Registro_Compras!$C$126)</f>
        <v/>
      </c>
    </row>
    <row r="1106">
      <c r="A1106" s="25">
        <f>IF($C1106="","",Registro_Compras!$B$126)</f>
        <v/>
      </c>
      <c r="B1106">
        <f>IF($C1106="","","C"&amp;TEXT(INT((ROW()-5)/9)+1,"000")&amp;"-2")</f>
        <v/>
      </c>
      <c r="C1106">
        <f>IF(OR(Registro_Compras!$C$126="",Registro_Compras!$O$126=""),"",IF(Registro_Compras!$AB$126="ADMINISTRATIVO","94","95"))</f>
        <v/>
      </c>
      <c r="D1106">
        <f>IF(OR(Registro_Compras!$C$126="",Registro_Compras!$O$126=""),"",IF(Registro_Compras!$AB$126="ADMINISTRATIVO","Gastos Administrativos","Gastos de Venta y Operacion"))</f>
        <v/>
      </c>
      <c r="E1106" s="20">
        <f>IF($C1106="","",IF(Registro_Compras!$F$126="NOTA DE CREDITO","",IF(Registro_Compras!$F$126="RHE",ROUND(Registro_Compras!$L$126*Registro_Compras!$N$126,2),ROUND(Registro_Compras!$J$126*Registro_Compras!$N$126,2))))</f>
        <v/>
      </c>
      <c r="F1106" s="20">
        <f>IF($C1106="","",IF(Registro_Compras!$F$126="NOTA DE CREDITO",ROUND(ABS(Registro_Compras!$J$126*Registro_Compras!$N$126),2),""))</f>
        <v/>
      </c>
      <c r="G1106">
        <f>IF($C1106="","","Por el destino del gasto")</f>
        <v/>
      </c>
      <c r="H1106">
        <f>IF($C1106="","",Registro_Compras!$C$126)</f>
        <v/>
      </c>
    </row>
    <row r="1107">
      <c r="A1107" s="25">
        <f>IF($C1107="","",Registro_Compras!$B$126)</f>
        <v/>
      </c>
      <c r="B1107">
        <f>IF($C1107="","","C"&amp;TEXT(INT((ROW()-5)/9)+1,"000")&amp;"-2")</f>
        <v/>
      </c>
      <c r="C1107">
        <f>IF(OR(Registro_Compras!$C$126="",Registro_Compras!$O$126=""),"","79/791")</f>
        <v/>
      </c>
      <c r="D1107">
        <f>IF(OR(Registro_Compras!$C$126="",Registro_Compras!$O$126=""),"","Cargas Imputables a Cuentas de Costos y Gastos")</f>
        <v/>
      </c>
      <c r="E1107" s="20">
        <f>IF($C1107="","",IF(Registro_Compras!$F$126="NOTA DE CREDITO",ROUND(ABS(Registro_Compras!$J$126*Registro_Compras!$N$126),2),""))</f>
        <v/>
      </c>
      <c r="F1107" s="20">
        <f>IF($C1107="","",IF(Registro_Compras!$F$126="NOTA DE CREDITO","",IF(Registro_Compras!$F$126="RHE",ROUND(Registro_Compras!$L$126*Registro_Compras!$N$126,2),ROUND(Registro_Compras!$J$126*Registro_Compras!$N$126,2))))</f>
        <v/>
      </c>
      <c r="G1107">
        <f>IF($C1107="","","Por el destino del gasto")</f>
        <v/>
      </c>
      <c r="H1107">
        <f>IF($C1107="","",Registro_Compras!$C$126)</f>
        <v/>
      </c>
    </row>
    <row r="1108">
      <c r="A1108" s="25">
        <f>IF($C1108="","",Registro_Compras!$X$126)</f>
        <v/>
      </c>
      <c r="B1108">
        <f>IF($C1108="","","C"&amp;TEXT(INT((ROW()-5)/9)+1,"000")&amp;"-3")</f>
        <v/>
      </c>
      <c r="C1108">
        <f>IF(OR(Registro_Compras!$C$126="",Registro_Compras!$O$126="",Registro_Compras!$R$126&lt;&gt;"SI",Registro_Compras!$X$126=""),"","4212")</f>
        <v/>
      </c>
      <c r="D1108">
        <f>IF(OR(Registro_Compras!$C$126="",Registro_Compras!$O$126=""),"","Cuentas por Pagar Comerciales - Terceros")</f>
        <v/>
      </c>
      <c r="E1108" s="20">
        <f>IF($C1108="","",Registro_Compras!$S$126)</f>
        <v/>
      </c>
      <c r="F1108" s="20">
        <f>""</f>
        <v/>
      </c>
      <c r="G1108">
        <f>IF($C1108="","","Por el deposito de la detraccion en el Banco de la Nacion")</f>
        <v/>
      </c>
      <c r="H1108">
        <f>IF($C1108="","",Registro_Compras!$C$126)</f>
        <v/>
      </c>
    </row>
    <row r="1109">
      <c r="A1109" s="25">
        <f>IF($C1109="","",Registro_Compras!$X$126)</f>
        <v/>
      </c>
      <c r="B1109">
        <f>IF($C1109="","","C"&amp;TEXT(INT((ROW()-5)/9)+1,"000")&amp;"-3")</f>
        <v/>
      </c>
      <c r="C1109">
        <f>IF(OR(Registro_Compras!$C$126="",Registro_Compras!$O$126="",Registro_Compras!$R$126&lt;&gt;"SI",Registro_Compras!$X$126=""),"","10413")</f>
        <v/>
      </c>
      <c r="D1109">
        <f>IF(OR(Registro_Compras!$C$126="",Registro_Compras!$O$126=""),"","Efectivo y Equivalentes - Cta. Cte. Operativa")</f>
        <v/>
      </c>
      <c r="E1109" s="20">
        <f>""</f>
        <v/>
      </c>
      <c r="F1109" s="20">
        <f>IF($C1109="","",Registro_Compras!$S$126)</f>
        <v/>
      </c>
      <c r="G1109">
        <f>IF($C1109="","","Por el deposito de la detraccion en el Banco de la Nacion")</f>
        <v/>
      </c>
      <c r="H1109">
        <f>IF($C1109="","",Registro_Compras!$C$126)</f>
        <v/>
      </c>
    </row>
    <row r="1110">
      <c r="A1110" s="25">
        <f>IF($C1110="","",Registro_Compras!$Y$126)</f>
        <v/>
      </c>
      <c r="B1110">
        <f>IF($C1110="","","C"&amp;TEXT(INT((ROW()-5)/9)+1,"000")&amp;"-4")</f>
        <v/>
      </c>
      <c r="C1110">
        <f>IF(OR(Registro_Compras!$C$126="",Registro_Compras!$O$126="",Registro_Compras!$Y$126="",Registro_Compras!$F$126="NOTA DE CREDITO"),"","4212")</f>
        <v/>
      </c>
      <c r="D1110">
        <f>IF(OR(Registro_Compras!$C$126="",Registro_Compras!$O$126=""),"","Cuentas por Pagar Comerciales - Terceros")</f>
        <v/>
      </c>
      <c r="E1110" s="20">
        <f>IF($C1110="","",IF(Registro_Compras!$F$126="RHE",(ROUND(Registro_Compras!$L$126*Registro_Compras!$N$126,2)-ROUND(Registro_Compras!$V$126*Registro_Compras!$N$126,2)),ROUND(Registro_Compras!$O$126-Registro_Compras!$S$126,2)))</f>
        <v/>
      </c>
      <c r="F1110" s="20">
        <f>""</f>
        <v/>
      </c>
      <c r="G1110">
        <f>IF($C1110="","","Por la cancelacion del saldo al proveedor")</f>
        <v/>
      </c>
      <c r="H1110">
        <f>IF($C1110="","",Registro_Compras!$C$126)</f>
        <v/>
      </c>
    </row>
    <row r="1111">
      <c r="A1111" s="25">
        <f>IF($C1111="","",Registro_Compras!$Y$126)</f>
        <v/>
      </c>
      <c r="B1111">
        <f>IF($C1111="","","C"&amp;TEXT(INT((ROW()-5)/9)+1,"000")&amp;"-4")</f>
        <v/>
      </c>
      <c r="C1111">
        <f>IF(OR(Registro_Compras!$C$126="",Registro_Compras!$O$126="",Registro_Compras!$Y$126="",Registro_Compras!$F$126="NOTA DE CREDITO"),"","10413")</f>
        <v/>
      </c>
      <c r="D1111">
        <f>IF(OR(Registro_Compras!$C$126="",Registro_Compras!$O$126=""),"","Efectivo y Equivalentes - Cta. Cte. Operativa")</f>
        <v/>
      </c>
      <c r="E1111" s="20">
        <f>""</f>
        <v/>
      </c>
      <c r="F1111" s="20">
        <f>IF($C1111="","",IF(Registro_Compras!$F$126="RHE",(ROUND(Registro_Compras!$L$126*Registro_Compras!$N$126,2)-ROUND(Registro_Compras!$V$126*Registro_Compras!$N$126,2)),ROUND(Registro_Compras!$O$126-Registro_Compras!$S$126,2)))</f>
        <v/>
      </c>
      <c r="G1111">
        <f>IF($C1111="","","Por la cancelacion del saldo al proveedor")</f>
        <v/>
      </c>
      <c r="H1111">
        <f>IF($C1111="","",Registro_Compras!$C$126)</f>
        <v/>
      </c>
    </row>
    <row r="1112">
      <c r="A1112" s="25">
        <f>IF($C1112="","",Registro_Compras!$B$127)</f>
        <v/>
      </c>
      <c r="B1112">
        <f>IF($C1112="","","C"&amp;TEXT(INT((ROW()-5)/9)+1,"000")&amp;"-1")</f>
        <v/>
      </c>
      <c r="C1112">
        <f>IF(OR(Registro_Compras!$C$127="",Registro_Compras!$O$127=""),"",IF(Registro_Compras!$F$127="NOTA DE CREDITO","4212",IF(Registro_Compras!$M$127="","63",Registro_Compras!$M$127)))</f>
        <v/>
      </c>
      <c r="D1112">
        <f>IF(OR(Registro_Compras!$C$127="",Registro_Compras!$O$127=""),"",IF(Registro_Compras!$F$127="NOTA DE CREDITO","Cuentas por Pagar Comerciales - Terceros (Emitidas)",IF(Registro_Compras!$F$127="RHE","Honorarios Profesionales - Servicios de Terceros","Gastos de Servicios Prestados por Terceros")))</f>
        <v/>
      </c>
      <c r="E1112" s="20">
        <f>IF($C1112="","",IF(Registro_Compras!$F$127="NOTA DE CREDITO",ABS(Registro_Compras!$O$127),IF(Registro_Compras!$F$127="RHE",ROUND(Registro_Compras!$L$127*Registro_Compras!$N$127,2),ROUND(Registro_Compras!$J$127*Registro_Compras!$N$127,2))))</f>
        <v/>
      </c>
      <c r="F1112" s="20">
        <f>""</f>
        <v/>
      </c>
      <c r="G1112">
        <f>IF($C1112="","",IF(Registro_Compras!$F$127="NOTA DE CREDITO","Por la nota de credito "&amp;Registro_Compras!$C$127&amp;" de "&amp;Registro_Compras!$E$127&amp;" [PATRON POR CONFIRMAR CON CONTADOR]",IF(Registro_Compras!$F$127="RHE","Por el registro del recibo por honorarios "&amp;Registro_Compras!$C$127&amp;" de "&amp;Registro_Compras!$E$127&amp;" [PATRON POR CONFIRMAR CON CONTADOR]","Por el registro de la factura "&amp;Registro_Compras!$C$127&amp;" de "&amp;Registro_Compras!$E$127)))</f>
        <v/>
      </c>
      <c r="H1112">
        <f>IF($C1112="","",Registro_Compras!$C$127)</f>
        <v/>
      </c>
    </row>
    <row r="1113">
      <c r="A1113" s="25">
        <f>IF($C1113="","",Registro_Compras!$B$127)</f>
        <v/>
      </c>
      <c r="B1113">
        <f>IF($C1113="","","C"&amp;TEXT(INT((ROW()-5)/9)+1,"000")&amp;"-1")</f>
        <v/>
      </c>
      <c r="C1113">
        <f>IF(OR(Registro_Compras!$C$127="",Registro_Compras!$O$127=""),"",IF(Registro_Compras!$F$127="RHE",IF(Registro_Compras!$V$127=0,"","40172"),IF(Registro_Compras!$F$127="NOTA DE CREDITO",IF(Registro_Compras!$M$127="","63",Registro_Compras!$M$127),IF(Registro_Compras!$K$127=0,"","40111"))))</f>
        <v/>
      </c>
      <c r="D1113">
        <f>IF(OR(Registro_Compras!$C$127="",Registro_Compras!$O$127=""),"",IF(Registro_Compras!$F$127="RHE","Retencion Renta 4ta Categoria por Pagar",IF(Registro_Compras!$F$127="NOTA DE CREDITO","Gastos de Servicios Prestados por Terceros","IGV - Cuenta Propia (Credito Fiscal)")))</f>
        <v/>
      </c>
      <c r="E1113" s="20">
        <f>IF($C1113="","",IF(Registro_Compras!$F$127="FACTURA",ROUND(Registro_Compras!$K$127*Registro_Compras!$N$127,2),""))</f>
        <v/>
      </c>
      <c r="F1113" s="20">
        <f>IF($C1113="","",IF(Registro_Compras!$F$127="RHE",ROUND(Registro_Compras!$V$127*Registro_Compras!$N$127,2),IF(Registro_Compras!$F$127="NOTA DE CREDITO",ROUND(ABS(Registro_Compras!$J$127*Registro_Compras!$N$127),2),"")))</f>
        <v/>
      </c>
      <c r="G1113">
        <f>IF($C1113="","",IF(Registro_Compras!$F$127="NOTA DE CREDITO","Por la nota de credito "&amp;Registro_Compras!$C$127&amp;" de "&amp;Registro_Compras!$E$127&amp;" [PATRON POR CONFIRMAR CON CONTADOR]",IF(Registro_Compras!$F$127="RHE","Por el registro del recibo por honorarios "&amp;Registro_Compras!$C$127&amp;" de "&amp;Registro_Compras!$E$127&amp;" [PATRON POR CONFIRMAR CON CONTADOR]","Por el registro de la factura "&amp;Registro_Compras!$C$127&amp;" de "&amp;Registro_Compras!$E$127)))</f>
        <v/>
      </c>
      <c r="H1113">
        <f>IF($C1113="","",Registro_Compras!$C$127)</f>
        <v/>
      </c>
    </row>
    <row r="1114">
      <c r="A1114" s="25">
        <f>IF($C1114="","",Registro_Compras!$B$127)</f>
        <v/>
      </c>
      <c r="B1114">
        <f>IF($C1114="","","C"&amp;TEXT(INT((ROW()-5)/9)+1,"000")&amp;"-1")</f>
        <v/>
      </c>
      <c r="C1114">
        <f>IF(OR(Registro_Compras!$C$127="",Registro_Compras!$O$127=""),"",IF(Registro_Compras!$F$127="NOTA DE CREDITO",IF(Registro_Compras!$K$127=0,"","40111"),"4212"))</f>
        <v/>
      </c>
      <c r="D1114">
        <f>IF(OR(Registro_Compras!$C$127="",Registro_Compras!$O$127=""),"",IF(Registro_Compras!$F$127="NOTA DE CREDITO","IGV - Cuenta Propia (Credito Fiscal)","Cuentas por Pagar Comerciales - Terceros (Emitidas)"))</f>
        <v/>
      </c>
      <c r="E1114" s="20">
        <f>""</f>
        <v/>
      </c>
      <c r="F1114" s="20">
        <f>IF($C1114="","",IF(Registro_Compras!$F$127="NOTA DE CREDITO",ROUND(ABS(Registro_Compras!$K$127*Registro_Compras!$N$127),2),IF(Registro_Compras!$F$127="RHE",(ROUND(Registro_Compras!$L$127*Registro_Compras!$N$127,2)-ROUND(Registro_Compras!$V$127*Registro_Compras!$N$127,2)),Registro_Compras!$O$127)))</f>
        <v/>
      </c>
      <c r="G1114">
        <f>IF($C1114="","",IF(Registro_Compras!$F$127="NOTA DE CREDITO","Por la nota de credito "&amp;Registro_Compras!$C$127&amp;" de "&amp;Registro_Compras!$E$127&amp;" [PATRON POR CONFIRMAR CON CONTADOR]",IF(Registro_Compras!$F$127="RHE","Por el registro del recibo por honorarios "&amp;Registro_Compras!$C$127&amp;" de "&amp;Registro_Compras!$E$127&amp;" [PATRON POR CONFIRMAR CON CONTADOR]","Por el registro de la factura "&amp;Registro_Compras!$C$127&amp;" de "&amp;Registro_Compras!$E$127)))</f>
        <v/>
      </c>
      <c r="H1114">
        <f>IF($C1114="","",Registro_Compras!$C$127)</f>
        <v/>
      </c>
    </row>
    <row r="1115">
      <c r="A1115" s="25">
        <f>IF($C1115="","",Registro_Compras!$B$127)</f>
        <v/>
      </c>
      <c r="B1115">
        <f>IF($C1115="","","C"&amp;TEXT(INT((ROW()-5)/9)+1,"000")&amp;"-2")</f>
        <v/>
      </c>
      <c r="C1115">
        <f>IF(OR(Registro_Compras!$C$127="",Registro_Compras!$O$127=""),"",IF(Registro_Compras!$AB$127="ADMINISTRATIVO","94","95"))</f>
        <v/>
      </c>
      <c r="D1115">
        <f>IF(OR(Registro_Compras!$C$127="",Registro_Compras!$O$127=""),"",IF(Registro_Compras!$AB$127="ADMINISTRATIVO","Gastos Administrativos","Gastos de Venta y Operacion"))</f>
        <v/>
      </c>
      <c r="E1115" s="20">
        <f>IF($C1115="","",IF(Registro_Compras!$F$127="NOTA DE CREDITO","",IF(Registro_Compras!$F$127="RHE",ROUND(Registro_Compras!$L$127*Registro_Compras!$N$127,2),ROUND(Registro_Compras!$J$127*Registro_Compras!$N$127,2))))</f>
        <v/>
      </c>
      <c r="F1115" s="20">
        <f>IF($C1115="","",IF(Registro_Compras!$F$127="NOTA DE CREDITO",ROUND(ABS(Registro_Compras!$J$127*Registro_Compras!$N$127),2),""))</f>
        <v/>
      </c>
      <c r="G1115">
        <f>IF($C1115="","","Por el destino del gasto")</f>
        <v/>
      </c>
      <c r="H1115">
        <f>IF($C1115="","",Registro_Compras!$C$127)</f>
        <v/>
      </c>
    </row>
    <row r="1116">
      <c r="A1116" s="25">
        <f>IF($C1116="","",Registro_Compras!$B$127)</f>
        <v/>
      </c>
      <c r="B1116">
        <f>IF($C1116="","","C"&amp;TEXT(INT((ROW()-5)/9)+1,"000")&amp;"-2")</f>
        <v/>
      </c>
      <c r="C1116">
        <f>IF(OR(Registro_Compras!$C$127="",Registro_Compras!$O$127=""),"","79/791")</f>
        <v/>
      </c>
      <c r="D1116">
        <f>IF(OR(Registro_Compras!$C$127="",Registro_Compras!$O$127=""),"","Cargas Imputables a Cuentas de Costos y Gastos")</f>
        <v/>
      </c>
      <c r="E1116" s="20">
        <f>IF($C1116="","",IF(Registro_Compras!$F$127="NOTA DE CREDITO",ROUND(ABS(Registro_Compras!$J$127*Registro_Compras!$N$127),2),""))</f>
        <v/>
      </c>
      <c r="F1116" s="20">
        <f>IF($C1116="","",IF(Registro_Compras!$F$127="NOTA DE CREDITO","",IF(Registro_Compras!$F$127="RHE",ROUND(Registro_Compras!$L$127*Registro_Compras!$N$127,2),ROUND(Registro_Compras!$J$127*Registro_Compras!$N$127,2))))</f>
        <v/>
      </c>
      <c r="G1116">
        <f>IF($C1116="","","Por el destino del gasto")</f>
        <v/>
      </c>
      <c r="H1116">
        <f>IF($C1116="","",Registro_Compras!$C$127)</f>
        <v/>
      </c>
    </row>
    <row r="1117">
      <c r="A1117" s="25">
        <f>IF($C1117="","",Registro_Compras!$X$127)</f>
        <v/>
      </c>
      <c r="B1117">
        <f>IF($C1117="","","C"&amp;TEXT(INT((ROW()-5)/9)+1,"000")&amp;"-3")</f>
        <v/>
      </c>
      <c r="C1117">
        <f>IF(OR(Registro_Compras!$C$127="",Registro_Compras!$O$127="",Registro_Compras!$R$127&lt;&gt;"SI",Registro_Compras!$X$127=""),"","4212")</f>
        <v/>
      </c>
      <c r="D1117">
        <f>IF(OR(Registro_Compras!$C$127="",Registro_Compras!$O$127=""),"","Cuentas por Pagar Comerciales - Terceros")</f>
        <v/>
      </c>
      <c r="E1117" s="20">
        <f>IF($C1117="","",Registro_Compras!$S$127)</f>
        <v/>
      </c>
      <c r="F1117" s="20">
        <f>""</f>
        <v/>
      </c>
      <c r="G1117">
        <f>IF($C1117="","","Por el deposito de la detraccion en el Banco de la Nacion")</f>
        <v/>
      </c>
      <c r="H1117">
        <f>IF($C1117="","",Registro_Compras!$C$127)</f>
        <v/>
      </c>
    </row>
    <row r="1118">
      <c r="A1118" s="25">
        <f>IF($C1118="","",Registro_Compras!$X$127)</f>
        <v/>
      </c>
      <c r="B1118">
        <f>IF($C1118="","","C"&amp;TEXT(INT((ROW()-5)/9)+1,"000")&amp;"-3")</f>
        <v/>
      </c>
      <c r="C1118">
        <f>IF(OR(Registro_Compras!$C$127="",Registro_Compras!$O$127="",Registro_Compras!$R$127&lt;&gt;"SI",Registro_Compras!$X$127=""),"","10413")</f>
        <v/>
      </c>
      <c r="D1118">
        <f>IF(OR(Registro_Compras!$C$127="",Registro_Compras!$O$127=""),"","Efectivo y Equivalentes - Cta. Cte. Operativa")</f>
        <v/>
      </c>
      <c r="E1118" s="20">
        <f>""</f>
        <v/>
      </c>
      <c r="F1118" s="20">
        <f>IF($C1118="","",Registro_Compras!$S$127)</f>
        <v/>
      </c>
      <c r="G1118">
        <f>IF($C1118="","","Por el deposito de la detraccion en el Banco de la Nacion")</f>
        <v/>
      </c>
      <c r="H1118">
        <f>IF($C1118="","",Registro_Compras!$C$127)</f>
        <v/>
      </c>
    </row>
    <row r="1119">
      <c r="A1119" s="25">
        <f>IF($C1119="","",Registro_Compras!$Y$127)</f>
        <v/>
      </c>
      <c r="B1119">
        <f>IF($C1119="","","C"&amp;TEXT(INT((ROW()-5)/9)+1,"000")&amp;"-4")</f>
        <v/>
      </c>
      <c r="C1119">
        <f>IF(OR(Registro_Compras!$C$127="",Registro_Compras!$O$127="",Registro_Compras!$Y$127="",Registro_Compras!$F$127="NOTA DE CREDITO"),"","4212")</f>
        <v/>
      </c>
      <c r="D1119">
        <f>IF(OR(Registro_Compras!$C$127="",Registro_Compras!$O$127=""),"","Cuentas por Pagar Comerciales - Terceros")</f>
        <v/>
      </c>
      <c r="E1119" s="20">
        <f>IF($C1119="","",IF(Registro_Compras!$F$127="RHE",(ROUND(Registro_Compras!$L$127*Registro_Compras!$N$127,2)-ROUND(Registro_Compras!$V$127*Registro_Compras!$N$127,2)),ROUND(Registro_Compras!$O$127-Registro_Compras!$S$127,2)))</f>
        <v/>
      </c>
      <c r="F1119" s="20">
        <f>""</f>
        <v/>
      </c>
      <c r="G1119">
        <f>IF($C1119="","","Por la cancelacion del saldo al proveedor")</f>
        <v/>
      </c>
      <c r="H1119">
        <f>IF($C1119="","",Registro_Compras!$C$127)</f>
        <v/>
      </c>
    </row>
    <row r="1120">
      <c r="A1120" s="25">
        <f>IF($C1120="","",Registro_Compras!$Y$127)</f>
        <v/>
      </c>
      <c r="B1120">
        <f>IF($C1120="","","C"&amp;TEXT(INT((ROW()-5)/9)+1,"000")&amp;"-4")</f>
        <v/>
      </c>
      <c r="C1120">
        <f>IF(OR(Registro_Compras!$C$127="",Registro_Compras!$O$127="",Registro_Compras!$Y$127="",Registro_Compras!$F$127="NOTA DE CREDITO"),"","10413")</f>
        <v/>
      </c>
      <c r="D1120">
        <f>IF(OR(Registro_Compras!$C$127="",Registro_Compras!$O$127=""),"","Efectivo y Equivalentes - Cta. Cte. Operativa")</f>
        <v/>
      </c>
      <c r="E1120" s="20">
        <f>""</f>
        <v/>
      </c>
      <c r="F1120" s="20">
        <f>IF($C1120="","",IF(Registro_Compras!$F$127="RHE",(ROUND(Registro_Compras!$L$127*Registro_Compras!$N$127,2)-ROUND(Registro_Compras!$V$127*Registro_Compras!$N$127,2)),ROUND(Registro_Compras!$O$127-Registro_Compras!$S$127,2)))</f>
        <v/>
      </c>
      <c r="G1120">
        <f>IF($C1120="","","Por la cancelacion del saldo al proveedor")</f>
        <v/>
      </c>
      <c r="H1120">
        <f>IF($C1120="","",Registro_Compras!$C$127)</f>
        <v/>
      </c>
    </row>
    <row r="1121">
      <c r="A1121" s="25">
        <f>IF($C1121="","",Registro_Compras!$B$128)</f>
        <v/>
      </c>
      <c r="B1121">
        <f>IF($C1121="","","C"&amp;TEXT(INT((ROW()-5)/9)+1,"000")&amp;"-1")</f>
        <v/>
      </c>
      <c r="C1121">
        <f>IF(OR(Registro_Compras!$C$128="",Registro_Compras!$O$128=""),"",IF(Registro_Compras!$F$128="NOTA DE CREDITO","4212",IF(Registro_Compras!$M$128="","63",Registro_Compras!$M$128)))</f>
        <v/>
      </c>
      <c r="D1121">
        <f>IF(OR(Registro_Compras!$C$128="",Registro_Compras!$O$128=""),"",IF(Registro_Compras!$F$128="NOTA DE CREDITO","Cuentas por Pagar Comerciales - Terceros (Emitidas)",IF(Registro_Compras!$F$128="RHE","Honorarios Profesionales - Servicios de Terceros","Gastos de Servicios Prestados por Terceros")))</f>
        <v/>
      </c>
      <c r="E1121" s="20">
        <f>IF($C1121="","",IF(Registro_Compras!$F$128="NOTA DE CREDITO",ABS(Registro_Compras!$O$128),IF(Registro_Compras!$F$128="RHE",ROUND(Registro_Compras!$L$128*Registro_Compras!$N$128,2),ROUND(Registro_Compras!$J$128*Registro_Compras!$N$128,2))))</f>
        <v/>
      </c>
      <c r="F1121" s="20">
        <f>""</f>
        <v/>
      </c>
      <c r="G1121">
        <f>IF($C1121="","",IF(Registro_Compras!$F$128="NOTA DE CREDITO","Por la nota de credito "&amp;Registro_Compras!$C$128&amp;" de "&amp;Registro_Compras!$E$128&amp;" [PATRON POR CONFIRMAR CON CONTADOR]",IF(Registro_Compras!$F$128="RHE","Por el registro del recibo por honorarios "&amp;Registro_Compras!$C$128&amp;" de "&amp;Registro_Compras!$E$128&amp;" [PATRON POR CONFIRMAR CON CONTADOR]","Por el registro de la factura "&amp;Registro_Compras!$C$128&amp;" de "&amp;Registro_Compras!$E$128)))</f>
        <v/>
      </c>
      <c r="H1121">
        <f>IF($C1121="","",Registro_Compras!$C$128)</f>
        <v/>
      </c>
    </row>
    <row r="1122">
      <c r="A1122" s="25">
        <f>IF($C1122="","",Registro_Compras!$B$128)</f>
        <v/>
      </c>
      <c r="B1122">
        <f>IF($C1122="","","C"&amp;TEXT(INT((ROW()-5)/9)+1,"000")&amp;"-1")</f>
        <v/>
      </c>
      <c r="C1122">
        <f>IF(OR(Registro_Compras!$C$128="",Registro_Compras!$O$128=""),"",IF(Registro_Compras!$F$128="RHE",IF(Registro_Compras!$V$128=0,"","40172"),IF(Registro_Compras!$F$128="NOTA DE CREDITO",IF(Registro_Compras!$M$128="","63",Registro_Compras!$M$128),IF(Registro_Compras!$K$128=0,"","40111"))))</f>
        <v/>
      </c>
      <c r="D1122">
        <f>IF(OR(Registro_Compras!$C$128="",Registro_Compras!$O$128=""),"",IF(Registro_Compras!$F$128="RHE","Retencion Renta 4ta Categoria por Pagar",IF(Registro_Compras!$F$128="NOTA DE CREDITO","Gastos de Servicios Prestados por Terceros","IGV - Cuenta Propia (Credito Fiscal)")))</f>
        <v/>
      </c>
      <c r="E1122" s="20">
        <f>IF($C1122="","",IF(Registro_Compras!$F$128="FACTURA",ROUND(Registro_Compras!$K$128*Registro_Compras!$N$128,2),""))</f>
        <v/>
      </c>
      <c r="F1122" s="20">
        <f>IF($C1122="","",IF(Registro_Compras!$F$128="RHE",ROUND(Registro_Compras!$V$128*Registro_Compras!$N$128,2),IF(Registro_Compras!$F$128="NOTA DE CREDITO",ROUND(ABS(Registro_Compras!$J$128*Registro_Compras!$N$128),2),"")))</f>
        <v/>
      </c>
      <c r="G1122">
        <f>IF($C1122="","",IF(Registro_Compras!$F$128="NOTA DE CREDITO","Por la nota de credito "&amp;Registro_Compras!$C$128&amp;" de "&amp;Registro_Compras!$E$128&amp;" [PATRON POR CONFIRMAR CON CONTADOR]",IF(Registro_Compras!$F$128="RHE","Por el registro del recibo por honorarios "&amp;Registro_Compras!$C$128&amp;" de "&amp;Registro_Compras!$E$128&amp;" [PATRON POR CONFIRMAR CON CONTADOR]","Por el registro de la factura "&amp;Registro_Compras!$C$128&amp;" de "&amp;Registro_Compras!$E$128)))</f>
        <v/>
      </c>
      <c r="H1122">
        <f>IF($C1122="","",Registro_Compras!$C$128)</f>
        <v/>
      </c>
    </row>
    <row r="1123">
      <c r="A1123" s="25">
        <f>IF($C1123="","",Registro_Compras!$B$128)</f>
        <v/>
      </c>
      <c r="B1123">
        <f>IF($C1123="","","C"&amp;TEXT(INT((ROW()-5)/9)+1,"000")&amp;"-1")</f>
        <v/>
      </c>
      <c r="C1123">
        <f>IF(OR(Registro_Compras!$C$128="",Registro_Compras!$O$128=""),"",IF(Registro_Compras!$F$128="NOTA DE CREDITO",IF(Registro_Compras!$K$128=0,"","40111"),"4212"))</f>
        <v/>
      </c>
      <c r="D1123">
        <f>IF(OR(Registro_Compras!$C$128="",Registro_Compras!$O$128=""),"",IF(Registro_Compras!$F$128="NOTA DE CREDITO","IGV - Cuenta Propia (Credito Fiscal)","Cuentas por Pagar Comerciales - Terceros (Emitidas)"))</f>
        <v/>
      </c>
      <c r="E1123" s="20">
        <f>""</f>
        <v/>
      </c>
      <c r="F1123" s="20">
        <f>IF($C1123="","",IF(Registro_Compras!$F$128="NOTA DE CREDITO",ROUND(ABS(Registro_Compras!$K$128*Registro_Compras!$N$128),2),IF(Registro_Compras!$F$128="RHE",(ROUND(Registro_Compras!$L$128*Registro_Compras!$N$128,2)-ROUND(Registro_Compras!$V$128*Registro_Compras!$N$128,2)),Registro_Compras!$O$128)))</f>
        <v/>
      </c>
      <c r="G1123">
        <f>IF($C1123="","",IF(Registro_Compras!$F$128="NOTA DE CREDITO","Por la nota de credito "&amp;Registro_Compras!$C$128&amp;" de "&amp;Registro_Compras!$E$128&amp;" [PATRON POR CONFIRMAR CON CONTADOR]",IF(Registro_Compras!$F$128="RHE","Por el registro del recibo por honorarios "&amp;Registro_Compras!$C$128&amp;" de "&amp;Registro_Compras!$E$128&amp;" [PATRON POR CONFIRMAR CON CONTADOR]","Por el registro de la factura "&amp;Registro_Compras!$C$128&amp;" de "&amp;Registro_Compras!$E$128)))</f>
        <v/>
      </c>
      <c r="H1123">
        <f>IF($C1123="","",Registro_Compras!$C$128)</f>
        <v/>
      </c>
    </row>
    <row r="1124">
      <c r="A1124" s="25">
        <f>IF($C1124="","",Registro_Compras!$B$128)</f>
        <v/>
      </c>
      <c r="B1124">
        <f>IF($C1124="","","C"&amp;TEXT(INT((ROW()-5)/9)+1,"000")&amp;"-2")</f>
        <v/>
      </c>
      <c r="C1124">
        <f>IF(OR(Registro_Compras!$C$128="",Registro_Compras!$O$128=""),"",IF(Registro_Compras!$AB$128="ADMINISTRATIVO","94","95"))</f>
        <v/>
      </c>
      <c r="D1124">
        <f>IF(OR(Registro_Compras!$C$128="",Registro_Compras!$O$128=""),"",IF(Registro_Compras!$AB$128="ADMINISTRATIVO","Gastos Administrativos","Gastos de Venta y Operacion"))</f>
        <v/>
      </c>
      <c r="E1124" s="20">
        <f>IF($C1124="","",IF(Registro_Compras!$F$128="NOTA DE CREDITO","",IF(Registro_Compras!$F$128="RHE",ROUND(Registro_Compras!$L$128*Registro_Compras!$N$128,2),ROUND(Registro_Compras!$J$128*Registro_Compras!$N$128,2))))</f>
        <v/>
      </c>
      <c r="F1124" s="20">
        <f>IF($C1124="","",IF(Registro_Compras!$F$128="NOTA DE CREDITO",ROUND(ABS(Registro_Compras!$J$128*Registro_Compras!$N$128),2),""))</f>
        <v/>
      </c>
      <c r="G1124">
        <f>IF($C1124="","","Por el destino del gasto")</f>
        <v/>
      </c>
      <c r="H1124">
        <f>IF($C1124="","",Registro_Compras!$C$128)</f>
        <v/>
      </c>
    </row>
    <row r="1125">
      <c r="A1125" s="25">
        <f>IF($C1125="","",Registro_Compras!$B$128)</f>
        <v/>
      </c>
      <c r="B1125">
        <f>IF($C1125="","","C"&amp;TEXT(INT((ROW()-5)/9)+1,"000")&amp;"-2")</f>
        <v/>
      </c>
      <c r="C1125">
        <f>IF(OR(Registro_Compras!$C$128="",Registro_Compras!$O$128=""),"","79/791")</f>
        <v/>
      </c>
      <c r="D1125">
        <f>IF(OR(Registro_Compras!$C$128="",Registro_Compras!$O$128=""),"","Cargas Imputables a Cuentas de Costos y Gastos")</f>
        <v/>
      </c>
      <c r="E1125" s="20">
        <f>IF($C1125="","",IF(Registro_Compras!$F$128="NOTA DE CREDITO",ROUND(ABS(Registro_Compras!$J$128*Registro_Compras!$N$128),2),""))</f>
        <v/>
      </c>
      <c r="F1125" s="20">
        <f>IF($C1125="","",IF(Registro_Compras!$F$128="NOTA DE CREDITO","",IF(Registro_Compras!$F$128="RHE",ROUND(Registro_Compras!$L$128*Registro_Compras!$N$128,2),ROUND(Registro_Compras!$J$128*Registro_Compras!$N$128,2))))</f>
        <v/>
      </c>
      <c r="G1125">
        <f>IF($C1125="","","Por el destino del gasto")</f>
        <v/>
      </c>
      <c r="H1125">
        <f>IF($C1125="","",Registro_Compras!$C$128)</f>
        <v/>
      </c>
    </row>
    <row r="1126">
      <c r="A1126" s="25">
        <f>IF($C1126="","",Registro_Compras!$X$128)</f>
        <v/>
      </c>
      <c r="B1126">
        <f>IF($C1126="","","C"&amp;TEXT(INT((ROW()-5)/9)+1,"000")&amp;"-3")</f>
        <v/>
      </c>
      <c r="C1126">
        <f>IF(OR(Registro_Compras!$C$128="",Registro_Compras!$O$128="",Registro_Compras!$R$128&lt;&gt;"SI",Registro_Compras!$X$128=""),"","4212")</f>
        <v/>
      </c>
      <c r="D1126">
        <f>IF(OR(Registro_Compras!$C$128="",Registro_Compras!$O$128=""),"","Cuentas por Pagar Comerciales - Terceros")</f>
        <v/>
      </c>
      <c r="E1126" s="20">
        <f>IF($C1126="","",Registro_Compras!$S$128)</f>
        <v/>
      </c>
      <c r="F1126" s="20">
        <f>""</f>
        <v/>
      </c>
      <c r="G1126">
        <f>IF($C1126="","","Por el deposito de la detraccion en el Banco de la Nacion")</f>
        <v/>
      </c>
      <c r="H1126">
        <f>IF($C1126="","",Registro_Compras!$C$128)</f>
        <v/>
      </c>
    </row>
    <row r="1127">
      <c r="A1127" s="25">
        <f>IF($C1127="","",Registro_Compras!$X$128)</f>
        <v/>
      </c>
      <c r="B1127">
        <f>IF($C1127="","","C"&amp;TEXT(INT((ROW()-5)/9)+1,"000")&amp;"-3")</f>
        <v/>
      </c>
      <c r="C1127">
        <f>IF(OR(Registro_Compras!$C$128="",Registro_Compras!$O$128="",Registro_Compras!$R$128&lt;&gt;"SI",Registro_Compras!$X$128=""),"","10413")</f>
        <v/>
      </c>
      <c r="D1127">
        <f>IF(OR(Registro_Compras!$C$128="",Registro_Compras!$O$128=""),"","Efectivo y Equivalentes - Cta. Cte. Operativa")</f>
        <v/>
      </c>
      <c r="E1127" s="20">
        <f>""</f>
        <v/>
      </c>
      <c r="F1127" s="20">
        <f>IF($C1127="","",Registro_Compras!$S$128)</f>
        <v/>
      </c>
      <c r="G1127">
        <f>IF($C1127="","","Por el deposito de la detraccion en el Banco de la Nacion")</f>
        <v/>
      </c>
      <c r="H1127">
        <f>IF($C1127="","",Registro_Compras!$C$128)</f>
        <v/>
      </c>
    </row>
    <row r="1128">
      <c r="A1128" s="25">
        <f>IF($C1128="","",Registro_Compras!$Y$128)</f>
        <v/>
      </c>
      <c r="B1128">
        <f>IF($C1128="","","C"&amp;TEXT(INT((ROW()-5)/9)+1,"000")&amp;"-4")</f>
        <v/>
      </c>
      <c r="C1128">
        <f>IF(OR(Registro_Compras!$C$128="",Registro_Compras!$O$128="",Registro_Compras!$Y$128="",Registro_Compras!$F$128="NOTA DE CREDITO"),"","4212")</f>
        <v/>
      </c>
      <c r="D1128">
        <f>IF(OR(Registro_Compras!$C$128="",Registro_Compras!$O$128=""),"","Cuentas por Pagar Comerciales - Terceros")</f>
        <v/>
      </c>
      <c r="E1128" s="20">
        <f>IF($C1128="","",IF(Registro_Compras!$F$128="RHE",(ROUND(Registro_Compras!$L$128*Registro_Compras!$N$128,2)-ROUND(Registro_Compras!$V$128*Registro_Compras!$N$128,2)),ROUND(Registro_Compras!$O$128-Registro_Compras!$S$128,2)))</f>
        <v/>
      </c>
      <c r="F1128" s="20">
        <f>""</f>
        <v/>
      </c>
      <c r="G1128">
        <f>IF($C1128="","","Por la cancelacion del saldo al proveedor")</f>
        <v/>
      </c>
      <c r="H1128">
        <f>IF($C1128="","",Registro_Compras!$C$128)</f>
        <v/>
      </c>
    </row>
    <row r="1129">
      <c r="A1129" s="25">
        <f>IF($C1129="","",Registro_Compras!$Y$128)</f>
        <v/>
      </c>
      <c r="B1129">
        <f>IF($C1129="","","C"&amp;TEXT(INT((ROW()-5)/9)+1,"000")&amp;"-4")</f>
        <v/>
      </c>
      <c r="C1129">
        <f>IF(OR(Registro_Compras!$C$128="",Registro_Compras!$O$128="",Registro_Compras!$Y$128="",Registro_Compras!$F$128="NOTA DE CREDITO"),"","10413")</f>
        <v/>
      </c>
      <c r="D1129">
        <f>IF(OR(Registro_Compras!$C$128="",Registro_Compras!$O$128=""),"","Efectivo y Equivalentes - Cta. Cte. Operativa")</f>
        <v/>
      </c>
      <c r="E1129" s="20">
        <f>""</f>
        <v/>
      </c>
      <c r="F1129" s="20">
        <f>IF($C1129="","",IF(Registro_Compras!$F$128="RHE",(ROUND(Registro_Compras!$L$128*Registro_Compras!$N$128,2)-ROUND(Registro_Compras!$V$128*Registro_Compras!$N$128,2)),ROUND(Registro_Compras!$O$128-Registro_Compras!$S$128,2)))</f>
        <v/>
      </c>
      <c r="G1129">
        <f>IF($C1129="","","Por la cancelacion del saldo al proveedor")</f>
        <v/>
      </c>
      <c r="H1129">
        <f>IF($C1129="","",Registro_Compras!$C$128)</f>
        <v/>
      </c>
    </row>
    <row r="1130">
      <c r="A1130" s="25">
        <f>IF($C1130="","",Registro_Compras!$B$129)</f>
        <v/>
      </c>
      <c r="B1130">
        <f>IF($C1130="","","C"&amp;TEXT(INT((ROW()-5)/9)+1,"000")&amp;"-1")</f>
        <v/>
      </c>
      <c r="C1130">
        <f>IF(OR(Registro_Compras!$C$129="",Registro_Compras!$O$129=""),"",IF(Registro_Compras!$F$129="NOTA DE CREDITO","4212",IF(Registro_Compras!$M$129="","63",Registro_Compras!$M$129)))</f>
        <v/>
      </c>
      <c r="D1130">
        <f>IF(OR(Registro_Compras!$C$129="",Registro_Compras!$O$129=""),"",IF(Registro_Compras!$F$129="NOTA DE CREDITO","Cuentas por Pagar Comerciales - Terceros (Emitidas)",IF(Registro_Compras!$F$129="RHE","Honorarios Profesionales - Servicios de Terceros","Gastos de Servicios Prestados por Terceros")))</f>
        <v/>
      </c>
      <c r="E1130" s="20">
        <f>IF($C1130="","",IF(Registro_Compras!$F$129="NOTA DE CREDITO",ABS(Registro_Compras!$O$129),IF(Registro_Compras!$F$129="RHE",ROUND(Registro_Compras!$L$129*Registro_Compras!$N$129,2),ROUND(Registro_Compras!$J$129*Registro_Compras!$N$129,2))))</f>
        <v/>
      </c>
      <c r="F1130" s="20">
        <f>""</f>
        <v/>
      </c>
      <c r="G1130">
        <f>IF($C1130="","",IF(Registro_Compras!$F$129="NOTA DE CREDITO","Por la nota de credito "&amp;Registro_Compras!$C$129&amp;" de "&amp;Registro_Compras!$E$129&amp;" [PATRON POR CONFIRMAR CON CONTADOR]",IF(Registro_Compras!$F$129="RHE","Por el registro del recibo por honorarios "&amp;Registro_Compras!$C$129&amp;" de "&amp;Registro_Compras!$E$129&amp;" [PATRON POR CONFIRMAR CON CONTADOR]","Por el registro de la factura "&amp;Registro_Compras!$C$129&amp;" de "&amp;Registro_Compras!$E$129)))</f>
        <v/>
      </c>
      <c r="H1130">
        <f>IF($C1130="","",Registro_Compras!$C$129)</f>
        <v/>
      </c>
    </row>
    <row r="1131">
      <c r="A1131" s="25">
        <f>IF($C1131="","",Registro_Compras!$B$129)</f>
        <v/>
      </c>
      <c r="B1131">
        <f>IF($C1131="","","C"&amp;TEXT(INT((ROW()-5)/9)+1,"000")&amp;"-1")</f>
        <v/>
      </c>
      <c r="C1131">
        <f>IF(OR(Registro_Compras!$C$129="",Registro_Compras!$O$129=""),"",IF(Registro_Compras!$F$129="RHE",IF(Registro_Compras!$V$129=0,"","40172"),IF(Registro_Compras!$F$129="NOTA DE CREDITO",IF(Registro_Compras!$M$129="","63",Registro_Compras!$M$129),IF(Registro_Compras!$K$129=0,"","40111"))))</f>
        <v/>
      </c>
      <c r="D1131">
        <f>IF(OR(Registro_Compras!$C$129="",Registro_Compras!$O$129=""),"",IF(Registro_Compras!$F$129="RHE","Retencion Renta 4ta Categoria por Pagar",IF(Registro_Compras!$F$129="NOTA DE CREDITO","Gastos de Servicios Prestados por Terceros","IGV - Cuenta Propia (Credito Fiscal)")))</f>
        <v/>
      </c>
      <c r="E1131" s="20">
        <f>IF($C1131="","",IF(Registro_Compras!$F$129="FACTURA",ROUND(Registro_Compras!$K$129*Registro_Compras!$N$129,2),""))</f>
        <v/>
      </c>
      <c r="F1131" s="20">
        <f>IF($C1131="","",IF(Registro_Compras!$F$129="RHE",ROUND(Registro_Compras!$V$129*Registro_Compras!$N$129,2),IF(Registro_Compras!$F$129="NOTA DE CREDITO",ROUND(ABS(Registro_Compras!$J$129*Registro_Compras!$N$129),2),"")))</f>
        <v/>
      </c>
      <c r="G1131">
        <f>IF($C1131="","",IF(Registro_Compras!$F$129="NOTA DE CREDITO","Por la nota de credito "&amp;Registro_Compras!$C$129&amp;" de "&amp;Registro_Compras!$E$129&amp;" [PATRON POR CONFIRMAR CON CONTADOR]",IF(Registro_Compras!$F$129="RHE","Por el registro del recibo por honorarios "&amp;Registro_Compras!$C$129&amp;" de "&amp;Registro_Compras!$E$129&amp;" [PATRON POR CONFIRMAR CON CONTADOR]","Por el registro de la factura "&amp;Registro_Compras!$C$129&amp;" de "&amp;Registro_Compras!$E$129)))</f>
        <v/>
      </c>
      <c r="H1131">
        <f>IF($C1131="","",Registro_Compras!$C$129)</f>
        <v/>
      </c>
    </row>
    <row r="1132">
      <c r="A1132" s="25">
        <f>IF($C1132="","",Registro_Compras!$B$129)</f>
        <v/>
      </c>
      <c r="B1132">
        <f>IF($C1132="","","C"&amp;TEXT(INT((ROW()-5)/9)+1,"000")&amp;"-1")</f>
        <v/>
      </c>
      <c r="C1132">
        <f>IF(OR(Registro_Compras!$C$129="",Registro_Compras!$O$129=""),"",IF(Registro_Compras!$F$129="NOTA DE CREDITO",IF(Registro_Compras!$K$129=0,"","40111"),"4212"))</f>
        <v/>
      </c>
      <c r="D1132">
        <f>IF(OR(Registro_Compras!$C$129="",Registro_Compras!$O$129=""),"",IF(Registro_Compras!$F$129="NOTA DE CREDITO","IGV - Cuenta Propia (Credito Fiscal)","Cuentas por Pagar Comerciales - Terceros (Emitidas)"))</f>
        <v/>
      </c>
      <c r="E1132" s="20">
        <f>""</f>
        <v/>
      </c>
      <c r="F1132" s="20">
        <f>IF($C1132="","",IF(Registro_Compras!$F$129="NOTA DE CREDITO",ROUND(ABS(Registro_Compras!$K$129*Registro_Compras!$N$129),2),IF(Registro_Compras!$F$129="RHE",(ROUND(Registro_Compras!$L$129*Registro_Compras!$N$129,2)-ROUND(Registro_Compras!$V$129*Registro_Compras!$N$129,2)),Registro_Compras!$O$129)))</f>
        <v/>
      </c>
      <c r="G1132">
        <f>IF($C1132="","",IF(Registro_Compras!$F$129="NOTA DE CREDITO","Por la nota de credito "&amp;Registro_Compras!$C$129&amp;" de "&amp;Registro_Compras!$E$129&amp;" [PATRON POR CONFIRMAR CON CONTADOR]",IF(Registro_Compras!$F$129="RHE","Por el registro del recibo por honorarios "&amp;Registro_Compras!$C$129&amp;" de "&amp;Registro_Compras!$E$129&amp;" [PATRON POR CONFIRMAR CON CONTADOR]","Por el registro de la factura "&amp;Registro_Compras!$C$129&amp;" de "&amp;Registro_Compras!$E$129)))</f>
        <v/>
      </c>
      <c r="H1132">
        <f>IF($C1132="","",Registro_Compras!$C$129)</f>
        <v/>
      </c>
    </row>
    <row r="1133">
      <c r="A1133" s="25">
        <f>IF($C1133="","",Registro_Compras!$B$129)</f>
        <v/>
      </c>
      <c r="B1133">
        <f>IF($C1133="","","C"&amp;TEXT(INT((ROW()-5)/9)+1,"000")&amp;"-2")</f>
        <v/>
      </c>
      <c r="C1133">
        <f>IF(OR(Registro_Compras!$C$129="",Registro_Compras!$O$129=""),"",IF(Registro_Compras!$AB$129="ADMINISTRATIVO","94","95"))</f>
        <v/>
      </c>
      <c r="D1133">
        <f>IF(OR(Registro_Compras!$C$129="",Registro_Compras!$O$129=""),"",IF(Registro_Compras!$AB$129="ADMINISTRATIVO","Gastos Administrativos","Gastos de Venta y Operacion"))</f>
        <v/>
      </c>
      <c r="E1133" s="20">
        <f>IF($C1133="","",IF(Registro_Compras!$F$129="NOTA DE CREDITO","",IF(Registro_Compras!$F$129="RHE",ROUND(Registro_Compras!$L$129*Registro_Compras!$N$129,2),ROUND(Registro_Compras!$J$129*Registro_Compras!$N$129,2))))</f>
        <v/>
      </c>
      <c r="F1133" s="20">
        <f>IF($C1133="","",IF(Registro_Compras!$F$129="NOTA DE CREDITO",ROUND(ABS(Registro_Compras!$J$129*Registro_Compras!$N$129),2),""))</f>
        <v/>
      </c>
      <c r="G1133">
        <f>IF($C1133="","","Por el destino del gasto")</f>
        <v/>
      </c>
      <c r="H1133">
        <f>IF($C1133="","",Registro_Compras!$C$129)</f>
        <v/>
      </c>
    </row>
    <row r="1134">
      <c r="A1134" s="25">
        <f>IF($C1134="","",Registro_Compras!$B$129)</f>
        <v/>
      </c>
      <c r="B1134">
        <f>IF($C1134="","","C"&amp;TEXT(INT((ROW()-5)/9)+1,"000")&amp;"-2")</f>
        <v/>
      </c>
      <c r="C1134">
        <f>IF(OR(Registro_Compras!$C$129="",Registro_Compras!$O$129=""),"","79/791")</f>
        <v/>
      </c>
      <c r="D1134">
        <f>IF(OR(Registro_Compras!$C$129="",Registro_Compras!$O$129=""),"","Cargas Imputables a Cuentas de Costos y Gastos")</f>
        <v/>
      </c>
      <c r="E1134" s="20">
        <f>IF($C1134="","",IF(Registro_Compras!$F$129="NOTA DE CREDITO",ROUND(ABS(Registro_Compras!$J$129*Registro_Compras!$N$129),2),""))</f>
        <v/>
      </c>
      <c r="F1134" s="20">
        <f>IF($C1134="","",IF(Registro_Compras!$F$129="NOTA DE CREDITO","",IF(Registro_Compras!$F$129="RHE",ROUND(Registro_Compras!$L$129*Registro_Compras!$N$129,2),ROUND(Registro_Compras!$J$129*Registro_Compras!$N$129,2))))</f>
        <v/>
      </c>
      <c r="G1134">
        <f>IF($C1134="","","Por el destino del gasto")</f>
        <v/>
      </c>
      <c r="H1134">
        <f>IF($C1134="","",Registro_Compras!$C$129)</f>
        <v/>
      </c>
    </row>
    <row r="1135">
      <c r="A1135" s="25">
        <f>IF($C1135="","",Registro_Compras!$X$129)</f>
        <v/>
      </c>
      <c r="B1135">
        <f>IF($C1135="","","C"&amp;TEXT(INT((ROW()-5)/9)+1,"000")&amp;"-3")</f>
        <v/>
      </c>
      <c r="C1135">
        <f>IF(OR(Registro_Compras!$C$129="",Registro_Compras!$O$129="",Registro_Compras!$R$129&lt;&gt;"SI",Registro_Compras!$X$129=""),"","4212")</f>
        <v/>
      </c>
      <c r="D1135">
        <f>IF(OR(Registro_Compras!$C$129="",Registro_Compras!$O$129=""),"","Cuentas por Pagar Comerciales - Terceros")</f>
        <v/>
      </c>
      <c r="E1135" s="20">
        <f>IF($C1135="","",Registro_Compras!$S$129)</f>
        <v/>
      </c>
      <c r="F1135" s="20">
        <f>""</f>
        <v/>
      </c>
      <c r="G1135">
        <f>IF($C1135="","","Por el deposito de la detraccion en el Banco de la Nacion")</f>
        <v/>
      </c>
      <c r="H1135">
        <f>IF($C1135="","",Registro_Compras!$C$129)</f>
        <v/>
      </c>
    </row>
    <row r="1136">
      <c r="A1136" s="25">
        <f>IF($C1136="","",Registro_Compras!$X$129)</f>
        <v/>
      </c>
      <c r="B1136">
        <f>IF($C1136="","","C"&amp;TEXT(INT((ROW()-5)/9)+1,"000")&amp;"-3")</f>
        <v/>
      </c>
      <c r="C1136">
        <f>IF(OR(Registro_Compras!$C$129="",Registro_Compras!$O$129="",Registro_Compras!$R$129&lt;&gt;"SI",Registro_Compras!$X$129=""),"","10413")</f>
        <v/>
      </c>
      <c r="D1136">
        <f>IF(OR(Registro_Compras!$C$129="",Registro_Compras!$O$129=""),"","Efectivo y Equivalentes - Cta. Cte. Operativa")</f>
        <v/>
      </c>
      <c r="E1136" s="20">
        <f>""</f>
        <v/>
      </c>
      <c r="F1136" s="20">
        <f>IF($C1136="","",Registro_Compras!$S$129)</f>
        <v/>
      </c>
      <c r="G1136">
        <f>IF($C1136="","","Por el deposito de la detraccion en el Banco de la Nacion")</f>
        <v/>
      </c>
      <c r="H1136">
        <f>IF($C1136="","",Registro_Compras!$C$129)</f>
        <v/>
      </c>
    </row>
    <row r="1137">
      <c r="A1137" s="25">
        <f>IF($C1137="","",Registro_Compras!$Y$129)</f>
        <v/>
      </c>
      <c r="B1137">
        <f>IF($C1137="","","C"&amp;TEXT(INT((ROW()-5)/9)+1,"000")&amp;"-4")</f>
        <v/>
      </c>
      <c r="C1137">
        <f>IF(OR(Registro_Compras!$C$129="",Registro_Compras!$O$129="",Registro_Compras!$Y$129="",Registro_Compras!$F$129="NOTA DE CREDITO"),"","4212")</f>
        <v/>
      </c>
      <c r="D1137">
        <f>IF(OR(Registro_Compras!$C$129="",Registro_Compras!$O$129=""),"","Cuentas por Pagar Comerciales - Terceros")</f>
        <v/>
      </c>
      <c r="E1137" s="20">
        <f>IF($C1137="","",IF(Registro_Compras!$F$129="RHE",(ROUND(Registro_Compras!$L$129*Registro_Compras!$N$129,2)-ROUND(Registro_Compras!$V$129*Registro_Compras!$N$129,2)),ROUND(Registro_Compras!$O$129-Registro_Compras!$S$129,2)))</f>
        <v/>
      </c>
      <c r="F1137" s="20">
        <f>""</f>
        <v/>
      </c>
      <c r="G1137">
        <f>IF($C1137="","","Por la cancelacion del saldo al proveedor")</f>
        <v/>
      </c>
      <c r="H1137">
        <f>IF($C1137="","",Registro_Compras!$C$129)</f>
        <v/>
      </c>
    </row>
    <row r="1138">
      <c r="A1138" s="25">
        <f>IF($C1138="","",Registro_Compras!$Y$129)</f>
        <v/>
      </c>
      <c r="B1138">
        <f>IF($C1138="","","C"&amp;TEXT(INT((ROW()-5)/9)+1,"000")&amp;"-4")</f>
        <v/>
      </c>
      <c r="C1138">
        <f>IF(OR(Registro_Compras!$C$129="",Registro_Compras!$O$129="",Registro_Compras!$Y$129="",Registro_Compras!$F$129="NOTA DE CREDITO"),"","10413")</f>
        <v/>
      </c>
      <c r="D1138">
        <f>IF(OR(Registro_Compras!$C$129="",Registro_Compras!$O$129=""),"","Efectivo y Equivalentes - Cta. Cte. Operativa")</f>
        <v/>
      </c>
      <c r="E1138" s="20">
        <f>""</f>
        <v/>
      </c>
      <c r="F1138" s="20">
        <f>IF($C1138="","",IF(Registro_Compras!$F$129="RHE",(ROUND(Registro_Compras!$L$129*Registro_Compras!$N$129,2)-ROUND(Registro_Compras!$V$129*Registro_Compras!$N$129,2)),ROUND(Registro_Compras!$O$129-Registro_Compras!$S$129,2)))</f>
        <v/>
      </c>
      <c r="G1138">
        <f>IF($C1138="","","Por la cancelacion del saldo al proveedor")</f>
        <v/>
      </c>
      <c r="H1138">
        <f>IF($C1138="","",Registro_Compras!$C$129)</f>
        <v/>
      </c>
    </row>
    <row r="1139">
      <c r="A1139" s="25">
        <f>IF($C1139="","",Registro_Compras!$B$130)</f>
        <v/>
      </c>
      <c r="B1139">
        <f>IF($C1139="","","C"&amp;TEXT(INT((ROW()-5)/9)+1,"000")&amp;"-1")</f>
        <v/>
      </c>
      <c r="C1139">
        <f>IF(OR(Registro_Compras!$C$130="",Registro_Compras!$O$130=""),"",IF(Registro_Compras!$F$130="NOTA DE CREDITO","4212",IF(Registro_Compras!$M$130="","63",Registro_Compras!$M$130)))</f>
        <v/>
      </c>
      <c r="D1139">
        <f>IF(OR(Registro_Compras!$C$130="",Registro_Compras!$O$130=""),"",IF(Registro_Compras!$F$130="NOTA DE CREDITO","Cuentas por Pagar Comerciales - Terceros (Emitidas)",IF(Registro_Compras!$F$130="RHE","Honorarios Profesionales - Servicios de Terceros","Gastos de Servicios Prestados por Terceros")))</f>
        <v/>
      </c>
      <c r="E1139" s="20">
        <f>IF($C1139="","",IF(Registro_Compras!$F$130="NOTA DE CREDITO",ABS(Registro_Compras!$O$130),IF(Registro_Compras!$F$130="RHE",ROUND(Registro_Compras!$L$130*Registro_Compras!$N$130,2),ROUND(Registro_Compras!$J$130*Registro_Compras!$N$130,2))))</f>
        <v/>
      </c>
      <c r="F1139" s="20">
        <f>""</f>
        <v/>
      </c>
      <c r="G1139">
        <f>IF($C1139="","",IF(Registro_Compras!$F$130="NOTA DE CREDITO","Por la nota de credito "&amp;Registro_Compras!$C$130&amp;" de "&amp;Registro_Compras!$E$130&amp;" [PATRON POR CONFIRMAR CON CONTADOR]",IF(Registro_Compras!$F$130="RHE","Por el registro del recibo por honorarios "&amp;Registro_Compras!$C$130&amp;" de "&amp;Registro_Compras!$E$130&amp;" [PATRON POR CONFIRMAR CON CONTADOR]","Por el registro de la factura "&amp;Registro_Compras!$C$130&amp;" de "&amp;Registro_Compras!$E$130)))</f>
        <v/>
      </c>
      <c r="H1139">
        <f>IF($C1139="","",Registro_Compras!$C$130)</f>
        <v/>
      </c>
    </row>
    <row r="1140">
      <c r="A1140" s="25">
        <f>IF($C1140="","",Registro_Compras!$B$130)</f>
        <v/>
      </c>
      <c r="B1140">
        <f>IF($C1140="","","C"&amp;TEXT(INT((ROW()-5)/9)+1,"000")&amp;"-1")</f>
        <v/>
      </c>
      <c r="C1140">
        <f>IF(OR(Registro_Compras!$C$130="",Registro_Compras!$O$130=""),"",IF(Registro_Compras!$F$130="RHE",IF(Registro_Compras!$V$130=0,"","40172"),IF(Registro_Compras!$F$130="NOTA DE CREDITO",IF(Registro_Compras!$M$130="","63",Registro_Compras!$M$130),IF(Registro_Compras!$K$130=0,"","40111"))))</f>
        <v/>
      </c>
      <c r="D1140">
        <f>IF(OR(Registro_Compras!$C$130="",Registro_Compras!$O$130=""),"",IF(Registro_Compras!$F$130="RHE","Retencion Renta 4ta Categoria por Pagar",IF(Registro_Compras!$F$130="NOTA DE CREDITO","Gastos de Servicios Prestados por Terceros","IGV - Cuenta Propia (Credito Fiscal)")))</f>
        <v/>
      </c>
      <c r="E1140" s="20">
        <f>IF($C1140="","",IF(Registro_Compras!$F$130="FACTURA",ROUND(Registro_Compras!$K$130*Registro_Compras!$N$130,2),""))</f>
        <v/>
      </c>
      <c r="F1140" s="20">
        <f>IF($C1140="","",IF(Registro_Compras!$F$130="RHE",ROUND(Registro_Compras!$V$130*Registro_Compras!$N$130,2),IF(Registro_Compras!$F$130="NOTA DE CREDITO",ROUND(ABS(Registro_Compras!$J$130*Registro_Compras!$N$130),2),"")))</f>
        <v/>
      </c>
      <c r="G1140">
        <f>IF($C1140="","",IF(Registro_Compras!$F$130="NOTA DE CREDITO","Por la nota de credito "&amp;Registro_Compras!$C$130&amp;" de "&amp;Registro_Compras!$E$130&amp;" [PATRON POR CONFIRMAR CON CONTADOR]",IF(Registro_Compras!$F$130="RHE","Por el registro del recibo por honorarios "&amp;Registro_Compras!$C$130&amp;" de "&amp;Registro_Compras!$E$130&amp;" [PATRON POR CONFIRMAR CON CONTADOR]","Por el registro de la factura "&amp;Registro_Compras!$C$130&amp;" de "&amp;Registro_Compras!$E$130)))</f>
        <v/>
      </c>
      <c r="H1140">
        <f>IF($C1140="","",Registro_Compras!$C$130)</f>
        <v/>
      </c>
    </row>
    <row r="1141">
      <c r="A1141" s="25">
        <f>IF($C1141="","",Registro_Compras!$B$130)</f>
        <v/>
      </c>
      <c r="B1141">
        <f>IF($C1141="","","C"&amp;TEXT(INT((ROW()-5)/9)+1,"000")&amp;"-1")</f>
        <v/>
      </c>
      <c r="C1141">
        <f>IF(OR(Registro_Compras!$C$130="",Registro_Compras!$O$130=""),"",IF(Registro_Compras!$F$130="NOTA DE CREDITO",IF(Registro_Compras!$K$130=0,"","40111"),"4212"))</f>
        <v/>
      </c>
      <c r="D1141">
        <f>IF(OR(Registro_Compras!$C$130="",Registro_Compras!$O$130=""),"",IF(Registro_Compras!$F$130="NOTA DE CREDITO","IGV - Cuenta Propia (Credito Fiscal)","Cuentas por Pagar Comerciales - Terceros (Emitidas)"))</f>
        <v/>
      </c>
      <c r="E1141" s="20">
        <f>""</f>
        <v/>
      </c>
      <c r="F1141" s="20">
        <f>IF($C1141="","",IF(Registro_Compras!$F$130="NOTA DE CREDITO",ROUND(ABS(Registro_Compras!$K$130*Registro_Compras!$N$130),2),IF(Registro_Compras!$F$130="RHE",(ROUND(Registro_Compras!$L$130*Registro_Compras!$N$130,2)-ROUND(Registro_Compras!$V$130*Registro_Compras!$N$130,2)),Registro_Compras!$O$130)))</f>
        <v/>
      </c>
      <c r="G1141">
        <f>IF($C1141="","",IF(Registro_Compras!$F$130="NOTA DE CREDITO","Por la nota de credito "&amp;Registro_Compras!$C$130&amp;" de "&amp;Registro_Compras!$E$130&amp;" [PATRON POR CONFIRMAR CON CONTADOR]",IF(Registro_Compras!$F$130="RHE","Por el registro del recibo por honorarios "&amp;Registro_Compras!$C$130&amp;" de "&amp;Registro_Compras!$E$130&amp;" [PATRON POR CONFIRMAR CON CONTADOR]","Por el registro de la factura "&amp;Registro_Compras!$C$130&amp;" de "&amp;Registro_Compras!$E$130)))</f>
        <v/>
      </c>
      <c r="H1141">
        <f>IF($C1141="","",Registro_Compras!$C$130)</f>
        <v/>
      </c>
    </row>
    <row r="1142">
      <c r="A1142" s="25">
        <f>IF($C1142="","",Registro_Compras!$B$130)</f>
        <v/>
      </c>
      <c r="B1142">
        <f>IF($C1142="","","C"&amp;TEXT(INT((ROW()-5)/9)+1,"000")&amp;"-2")</f>
        <v/>
      </c>
      <c r="C1142">
        <f>IF(OR(Registro_Compras!$C$130="",Registro_Compras!$O$130=""),"",IF(Registro_Compras!$AB$130="ADMINISTRATIVO","94","95"))</f>
        <v/>
      </c>
      <c r="D1142">
        <f>IF(OR(Registro_Compras!$C$130="",Registro_Compras!$O$130=""),"",IF(Registro_Compras!$AB$130="ADMINISTRATIVO","Gastos Administrativos","Gastos de Venta y Operacion"))</f>
        <v/>
      </c>
      <c r="E1142" s="20">
        <f>IF($C1142="","",IF(Registro_Compras!$F$130="NOTA DE CREDITO","",IF(Registro_Compras!$F$130="RHE",ROUND(Registro_Compras!$L$130*Registro_Compras!$N$130,2),ROUND(Registro_Compras!$J$130*Registro_Compras!$N$130,2))))</f>
        <v/>
      </c>
      <c r="F1142" s="20">
        <f>IF($C1142="","",IF(Registro_Compras!$F$130="NOTA DE CREDITO",ROUND(ABS(Registro_Compras!$J$130*Registro_Compras!$N$130),2),""))</f>
        <v/>
      </c>
      <c r="G1142">
        <f>IF($C1142="","","Por el destino del gasto")</f>
        <v/>
      </c>
      <c r="H1142">
        <f>IF($C1142="","",Registro_Compras!$C$130)</f>
        <v/>
      </c>
    </row>
    <row r="1143">
      <c r="A1143" s="25">
        <f>IF($C1143="","",Registro_Compras!$B$130)</f>
        <v/>
      </c>
      <c r="B1143">
        <f>IF($C1143="","","C"&amp;TEXT(INT((ROW()-5)/9)+1,"000")&amp;"-2")</f>
        <v/>
      </c>
      <c r="C1143">
        <f>IF(OR(Registro_Compras!$C$130="",Registro_Compras!$O$130=""),"","79/791")</f>
        <v/>
      </c>
      <c r="D1143">
        <f>IF(OR(Registro_Compras!$C$130="",Registro_Compras!$O$130=""),"","Cargas Imputables a Cuentas de Costos y Gastos")</f>
        <v/>
      </c>
      <c r="E1143" s="20">
        <f>IF($C1143="","",IF(Registro_Compras!$F$130="NOTA DE CREDITO",ROUND(ABS(Registro_Compras!$J$130*Registro_Compras!$N$130),2),""))</f>
        <v/>
      </c>
      <c r="F1143" s="20">
        <f>IF($C1143="","",IF(Registro_Compras!$F$130="NOTA DE CREDITO","",IF(Registro_Compras!$F$130="RHE",ROUND(Registro_Compras!$L$130*Registro_Compras!$N$130,2),ROUND(Registro_Compras!$J$130*Registro_Compras!$N$130,2))))</f>
        <v/>
      </c>
      <c r="G1143">
        <f>IF($C1143="","","Por el destino del gasto")</f>
        <v/>
      </c>
      <c r="H1143">
        <f>IF($C1143="","",Registro_Compras!$C$130)</f>
        <v/>
      </c>
    </row>
    <row r="1144">
      <c r="A1144" s="25">
        <f>IF($C1144="","",Registro_Compras!$X$130)</f>
        <v/>
      </c>
      <c r="B1144">
        <f>IF($C1144="","","C"&amp;TEXT(INT((ROW()-5)/9)+1,"000")&amp;"-3")</f>
        <v/>
      </c>
      <c r="C1144">
        <f>IF(OR(Registro_Compras!$C$130="",Registro_Compras!$O$130="",Registro_Compras!$R$130&lt;&gt;"SI",Registro_Compras!$X$130=""),"","4212")</f>
        <v/>
      </c>
      <c r="D1144">
        <f>IF(OR(Registro_Compras!$C$130="",Registro_Compras!$O$130=""),"","Cuentas por Pagar Comerciales - Terceros")</f>
        <v/>
      </c>
      <c r="E1144" s="20">
        <f>IF($C1144="","",Registro_Compras!$S$130)</f>
        <v/>
      </c>
      <c r="F1144" s="20">
        <f>""</f>
        <v/>
      </c>
      <c r="G1144">
        <f>IF($C1144="","","Por el deposito de la detraccion en el Banco de la Nacion")</f>
        <v/>
      </c>
      <c r="H1144">
        <f>IF($C1144="","",Registro_Compras!$C$130)</f>
        <v/>
      </c>
    </row>
    <row r="1145">
      <c r="A1145" s="25">
        <f>IF($C1145="","",Registro_Compras!$X$130)</f>
        <v/>
      </c>
      <c r="B1145">
        <f>IF($C1145="","","C"&amp;TEXT(INT((ROW()-5)/9)+1,"000")&amp;"-3")</f>
        <v/>
      </c>
      <c r="C1145">
        <f>IF(OR(Registro_Compras!$C$130="",Registro_Compras!$O$130="",Registro_Compras!$R$130&lt;&gt;"SI",Registro_Compras!$X$130=""),"","10413")</f>
        <v/>
      </c>
      <c r="D1145">
        <f>IF(OR(Registro_Compras!$C$130="",Registro_Compras!$O$130=""),"","Efectivo y Equivalentes - Cta. Cte. Operativa")</f>
        <v/>
      </c>
      <c r="E1145" s="20">
        <f>""</f>
        <v/>
      </c>
      <c r="F1145" s="20">
        <f>IF($C1145="","",Registro_Compras!$S$130)</f>
        <v/>
      </c>
      <c r="G1145">
        <f>IF($C1145="","","Por el deposito de la detraccion en el Banco de la Nacion")</f>
        <v/>
      </c>
      <c r="H1145">
        <f>IF($C1145="","",Registro_Compras!$C$130)</f>
        <v/>
      </c>
    </row>
    <row r="1146">
      <c r="A1146" s="25">
        <f>IF($C1146="","",Registro_Compras!$Y$130)</f>
        <v/>
      </c>
      <c r="B1146">
        <f>IF($C1146="","","C"&amp;TEXT(INT((ROW()-5)/9)+1,"000")&amp;"-4")</f>
        <v/>
      </c>
      <c r="C1146">
        <f>IF(OR(Registro_Compras!$C$130="",Registro_Compras!$O$130="",Registro_Compras!$Y$130="",Registro_Compras!$F$130="NOTA DE CREDITO"),"","4212")</f>
        <v/>
      </c>
      <c r="D1146">
        <f>IF(OR(Registro_Compras!$C$130="",Registro_Compras!$O$130=""),"","Cuentas por Pagar Comerciales - Terceros")</f>
        <v/>
      </c>
      <c r="E1146" s="20">
        <f>IF($C1146="","",IF(Registro_Compras!$F$130="RHE",(ROUND(Registro_Compras!$L$130*Registro_Compras!$N$130,2)-ROUND(Registro_Compras!$V$130*Registro_Compras!$N$130,2)),ROUND(Registro_Compras!$O$130-Registro_Compras!$S$130,2)))</f>
        <v/>
      </c>
      <c r="F1146" s="20">
        <f>""</f>
        <v/>
      </c>
      <c r="G1146">
        <f>IF($C1146="","","Por la cancelacion del saldo al proveedor")</f>
        <v/>
      </c>
      <c r="H1146">
        <f>IF($C1146="","",Registro_Compras!$C$130)</f>
        <v/>
      </c>
    </row>
    <row r="1147">
      <c r="A1147" s="25">
        <f>IF($C1147="","",Registro_Compras!$Y$130)</f>
        <v/>
      </c>
      <c r="B1147">
        <f>IF($C1147="","","C"&amp;TEXT(INT((ROW()-5)/9)+1,"000")&amp;"-4")</f>
        <v/>
      </c>
      <c r="C1147">
        <f>IF(OR(Registro_Compras!$C$130="",Registro_Compras!$O$130="",Registro_Compras!$Y$130="",Registro_Compras!$F$130="NOTA DE CREDITO"),"","10413")</f>
        <v/>
      </c>
      <c r="D1147">
        <f>IF(OR(Registro_Compras!$C$130="",Registro_Compras!$O$130=""),"","Efectivo y Equivalentes - Cta. Cte. Operativa")</f>
        <v/>
      </c>
      <c r="E1147" s="20">
        <f>""</f>
        <v/>
      </c>
      <c r="F1147" s="20">
        <f>IF($C1147="","",IF(Registro_Compras!$F$130="RHE",(ROUND(Registro_Compras!$L$130*Registro_Compras!$N$130,2)-ROUND(Registro_Compras!$V$130*Registro_Compras!$N$130,2)),ROUND(Registro_Compras!$O$130-Registro_Compras!$S$130,2)))</f>
        <v/>
      </c>
      <c r="G1147">
        <f>IF($C1147="","","Por la cancelacion del saldo al proveedor")</f>
        <v/>
      </c>
      <c r="H1147">
        <f>IF($C1147="","",Registro_Compras!$C$130)</f>
        <v/>
      </c>
    </row>
    <row r="1148">
      <c r="A1148" s="25">
        <f>IF($C1148="","",Registro_Compras!$B$131)</f>
        <v/>
      </c>
      <c r="B1148">
        <f>IF($C1148="","","C"&amp;TEXT(INT((ROW()-5)/9)+1,"000")&amp;"-1")</f>
        <v/>
      </c>
      <c r="C1148">
        <f>IF(OR(Registro_Compras!$C$131="",Registro_Compras!$O$131=""),"",IF(Registro_Compras!$F$131="NOTA DE CREDITO","4212",IF(Registro_Compras!$M$131="","63",Registro_Compras!$M$131)))</f>
        <v/>
      </c>
      <c r="D1148">
        <f>IF(OR(Registro_Compras!$C$131="",Registro_Compras!$O$131=""),"",IF(Registro_Compras!$F$131="NOTA DE CREDITO","Cuentas por Pagar Comerciales - Terceros (Emitidas)",IF(Registro_Compras!$F$131="RHE","Honorarios Profesionales - Servicios de Terceros","Gastos de Servicios Prestados por Terceros")))</f>
        <v/>
      </c>
      <c r="E1148" s="20">
        <f>IF($C1148="","",IF(Registro_Compras!$F$131="NOTA DE CREDITO",ABS(Registro_Compras!$O$131),IF(Registro_Compras!$F$131="RHE",ROUND(Registro_Compras!$L$131*Registro_Compras!$N$131,2),ROUND(Registro_Compras!$J$131*Registro_Compras!$N$131,2))))</f>
        <v/>
      </c>
      <c r="F1148" s="20">
        <f>""</f>
        <v/>
      </c>
      <c r="G1148">
        <f>IF($C1148="","",IF(Registro_Compras!$F$131="NOTA DE CREDITO","Por la nota de credito "&amp;Registro_Compras!$C$131&amp;" de "&amp;Registro_Compras!$E$131&amp;" [PATRON POR CONFIRMAR CON CONTADOR]",IF(Registro_Compras!$F$131="RHE","Por el registro del recibo por honorarios "&amp;Registro_Compras!$C$131&amp;" de "&amp;Registro_Compras!$E$131&amp;" [PATRON POR CONFIRMAR CON CONTADOR]","Por el registro de la factura "&amp;Registro_Compras!$C$131&amp;" de "&amp;Registro_Compras!$E$131)))</f>
        <v/>
      </c>
      <c r="H1148">
        <f>IF($C1148="","",Registro_Compras!$C$131)</f>
        <v/>
      </c>
    </row>
    <row r="1149">
      <c r="A1149" s="25">
        <f>IF($C1149="","",Registro_Compras!$B$131)</f>
        <v/>
      </c>
      <c r="B1149">
        <f>IF($C1149="","","C"&amp;TEXT(INT((ROW()-5)/9)+1,"000")&amp;"-1")</f>
        <v/>
      </c>
      <c r="C1149">
        <f>IF(OR(Registro_Compras!$C$131="",Registro_Compras!$O$131=""),"",IF(Registro_Compras!$F$131="RHE",IF(Registro_Compras!$V$131=0,"","40172"),IF(Registro_Compras!$F$131="NOTA DE CREDITO",IF(Registro_Compras!$M$131="","63",Registro_Compras!$M$131),IF(Registro_Compras!$K$131=0,"","40111"))))</f>
        <v/>
      </c>
      <c r="D1149">
        <f>IF(OR(Registro_Compras!$C$131="",Registro_Compras!$O$131=""),"",IF(Registro_Compras!$F$131="RHE","Retencion Renta 4ta Categoria por Pagar",IF(Registro_Compras!$F$131="NOTA DE CREDITO","Gastos de Servicios Prestados por Terceros","IGV - Cuenta Propia (Credito Fiscal)")))</f>
        <v/>
      </c>
      <c r="E1149" s="20">
        <f>IF($C1149="","",IF(Registro_Compras!$F$131="FACTURA",ROUND(Registro_Compras!$K$131*Registro_Compras!$N$131,2),""))</f>
        <v/>
      </c>
      <c r="F1149" s="20">
        <f>IF($C1149="","",IF(Registro_Compras!$F$131="RHE",ROUND(Registro_Compras!$V$131*Registro_Compras!$N$131,2),IF(Registro_Compras!$F$131="NOTA DE CREDITO",ROUND(ABS(Registro_Compras!$J$131*Registro_Compras!$N$131),2),"")))</f>
        <v/>
      </c>
      <c r="G1149">
        <f>IF($C1149="","",IF(Registro_Compras!$F$131="NOTA DE CREDITO","Por la nota de credito "&amp;Registro_Compras!$C$131&amp;" de "&amp;Registro_Compras!$E$131&amp;" [PATRON POR CONFIRMAR CON CONTADOR]",IF(Registro_Compras!$F$131="RHE","Por el registro del recibo por honorarios "&amp;Registro_Compras!$C$131&amp;" de "&amp;Registro_Compras!$E$131&amp;" [PATRON POR CONFIRMAR CON CONTADOR]","Por el registro de la factura "&amp;Registro_Compras!$C$131&amp;" de "&amp;Registro_Compras!$E$131)))</f>
        <v/>
      </c>
      <c r="H1149">
        <f>IF($C1149="","",Registro_Compras!$C$131)</f>
        <v/>
      </c>
    </row>
    <row r="1150">
      <c r="A1150" s="25">
        <f>IF($C1150="","",Registro_Compras!$B$131)</f>
        <v/>
      </c>
      <c r="B1150">
        <f>IF($C1150="","","C"&amp;TEXT(INT((ROW()-5)/9)+1,"000")&amp;"-1")</f>
        <v/>
      </c>
      <c r="C1150">
        <f>IF(OR(Registro_Compras!$C$131="",Registro_Compras!$O$131=""),"",IF(Registro_Compras!$F$131="NOTA DE CREDITO",IF(Registro_Compras!$K$131=0,"","40111"),"4212"))</f>
        <v/>
      </c>
      <c r="D1150">
        <f>IF(OR(Registro_Compras!$C$131="",Registro_Compras!$O$131=""),"",IF(Registro_Compras!$F$131="NOTA DE CREDITO","IGV - Cuenta Propia (Credito Fiscal)","Cuentas por Pagar Comerciales - Terceros (Emitidas)"))</f>
        <v/>
      </c>
      <c r="E1150" s="20">
        <f>""</f>
        <v/>
      </c>
      <c r="F1150" s="20">
        <f>IF($C1150="","",IF(Registro_Compras!$F$131="NOTA DE CREDITO",ROUND(ABS(Registro_Compras!$K$131*Registro_Compras!$N$131),2),IF(Registro_Compras!$F$131="RHE",(ROUND(Registro_Compras!$L$131*Registro_Compras!$N$131,2)-ROUND(Registro_Compras!$V$131*Registro_Compras!$N$131,2)),Registro_Compras!$O$131)))</f>
        <v/>
      </c>
      <c r="G1150">
        <f>IF($C1150="","",IF(Registro_Compras!$F$131="NOTA DE CREDITO","Por la nota de credito "&amp;Registro_Compras!$C$131&amp;" de "&amp;Registro_Compras!$E$131&amp;" [PATRON POR CONFIRMAR CON CONTADOR]",IF(Registro_Compras!$F$131="RHE","Por el registro del recibo por honorarios "&amp;Registro_Compras!$C$131&amp;" de "&amp;Registro_Compras!$E$131&amp;" [PATRON POR CONFIRMAR CON CONTADOR]","Por el registro de la factura "&amp;Registro_Compras!$C$131&amp;" de "&amp;Registro_Compras!$E$131)))</f>
        <v/>
      </c>
      <c r="H1150">
        <f>IF($C1150="","",Registro_Compras!$C$131)</f>
        <v/>
      </c>
    </row>
    <row r="1151">
      <c r="A1151" s="25">
        <f>IF($C1151="","",Registro_Compras!$B$131)</f>
        <v/>
      </c>
      <c r="B1151">
        <f>IF($C1151="","","C"&amp;TEXT(INT((ROW()-5)/9)+1,"000")&amp;"-2")</f>
        <v/>
      </c>
      <c r="C1151">
        <f>IF(OR(Registro_Compras!$C$131="",Registro_Compras!$O$131=""),"",IF(Registro_Compras!$AB$131="ADMINISTRATIVO","94","95"))</f>
        <v/>
      </c>
      <c r="D1151">
        <f>IF(OR(Registro_Compras!$C$131="",Registro_Compras!$O$131=""),"",IF(Registro_Compras!$AB$131="ADMINISTRATIVO","Gastos Administrativos","Gastos de Venta y Operacion"))</f>
        <v/>
      </c>
      <c r="E1151" s="20">
        <f>IF($C1151="","",IF(Registro_Compras!$F$131="NOTA DE CREDITO","",IF(Registro_Compras!$F$131="RHE",ROUND(Registro_Compras!$L$131*Registro_Compras!$N$131,2),ROUND(Registro_Compras!$J$131*Registro_Compras!$N$131,2))))</f>
        <v/>
      </c>
      <c r="F1151" s="20">
        <f>IF($C1151="","",IF(Registro_Compras!$F$131="NOTA DE CREDITO",ROUND(ABS(Registro_Compras!$J$131*Registro_Compras!$N$131),2),""))</f>
        <v/>
      </c>
      <c r="G1151">
        <f>IF($C1151="","","Por el destino del gasto")</f>
        <v/>
      </c>
      <c r="H1151">
        <f>IF($C1151="","",Registro_Compras!$C$131)</f>
        <v/>
      </c>
    </row>
    <row r="1152">
      <c r="A1152" s="25">
        <f>IF($C1152="","",Registro_Compras!$B$131)</f>
        <v/>
      </c>
      <c r="B1152">
        <f>IF($C1152="","","C"&amp;TEXT(INT((ROW()-5)/9)+1,"000")&amp;"-2")</f>
        <v/>
      </c>
      <c r="C1152">
        <f>IF(OR(Registro_Compras!$C$131="",Registro_Compras!$O$131=""),"","79/791")</f>
        <v/>
      </c>
      <c r="D1152">
        <f>IF(OR(Registro_Compras!$C$131="",Registro_Compras!$O$131=""),"","Cargas Imputables a Cuentas de Costos y Gastos")</f>
        <v/>
      </c>
      <c r="E1152" s="20">
        <f>IF($C1152="","",IF(Registro_Compras!$F$131="NOTA DE CREDITO",ROUND(ABS(Registro_Compras!$J$131*Registro_Compras!$N$131),2),""))</f>
        <v/>
      </c>
      <c r="F1152" s="20">
        <f>IF($C1152="","",IF(Registro_Compras!$F$131="NOTA DE CREDITO","",IF(Registro_Compras!$F$131="RHE",ROUND(Registro_Compras!$L$131*Registro_Compras!$N$131,2),ROUND(Registro_Compras!$J$131*Registro_Compras!$N$131,2))))</f>
        <v/>
      </c>
      <c r="G1152">
        <f>IF($C1152="","","Por el destino del gasto")</f>
        <v/>
      </c>
      <c r="H1152">
        <f>IF($C1152="","",Registro_Compras!$C$131)</f>
        <v/>
      </c>
    </row>
    <row r="1153">
      <c r="A1153" s="25">
        <f>IF($C1153="","",Registro_Compras!$X$131)</f>
        <v/>
      </c>
      <c r="B1153">
        <f>IF($C1153="","","C"&amp;TEXT(INT((ROW()-5)/9)+1,"000")&amp;"-3")</f>
        <v/>
      </c>
      <c r="C1153">
        <f>IF(OR(Registro_Compras!$C$131="",Registro_Compras!$O$131="",Registro_Compras!$R$131&lt;&gt;"SI",Registro_Compras!$X$131=""),"","4212")</f>
        <v/>
      </c>
      <c r="D1153">
        <f>IF(OR(Registro_Compras!$C$131="",Registro_Compras!$O$131=""),"","Cuentas por Pagar Comerciales - Terceros")</f>
        <v/>
      </c>
      <c r="E1153" s="20">
        <f>IF($C1153="","",Registro_Compras!$S$131)</f>
        <v/>
      </c>
      <c r="F1153" s="20">
        <f>""</f>
        <v/>
      </c>
      <c r="G1153">
        <f>IF($C1153="","","Por el deposito de la detraccion en el Banco de la Nacion")</f>
        <v/>
      </c>
      <c r="H1153">
        <f>IF($C1153="","",Registro_Compras!$C$131)</f>
        <v/>
      </c>
    </row>
    <row r="1154">
      <c r="A1154" s="25">
        <f>IF($C1154="","",Registro_Compras!$X$131)</f>
        <v/>
      </c>
      <c r="B1154">
        <f>IF($C1154="","","C"&amp;TEXT(INT((ROW()-5)/9)+1,"000")&amp;"-3")</f>
        <v/>
      </c>
      <c r="C1154">
        <f>IF(OR(Registro_Compras!$C$131="",Registro_Compras!$O$131="",Registro_Compras!$R$131&lt;&gt;"SI",Registro_Compras!$X$131=""),"","10413")</f>
        <v/>
      </c>
      <c r="D1154">
        <f>IF(OR(Registro_Compras!$C$131="",Registro_Compras!$O$131=""),"","Efectivo y Equivalentes - Cta. Cte. Operativa")</f>
        <v/>
      </c>
      <c r="E1154" s="20">
        <f>""</f>
        <v/>
      </c>
      <c r="F1154" s="20">
        <f>IF($C1154="","",Registro_Compras!$S$131)</f>
        <v/>
      </c>
      <c r="G1154">
        <f>IF($C1154="","","Por el deposito de la detraccion en el Banco de la Nacion")</f>
        <v/>
      </c>
      <c r="H1154">
        <f>IF($C1154="","",Registro_Compras!$C$131)</f>
        <v/>
      </c>
    </row>
    <row r="1155">
      <c r="A1155" s="25">
        <f>IF($C1155="","",Registro_Compras!$Y$131)</f>
        <v/>
      </c>
      <c r="B1155">
        <f>IF($C1155="","","C"&amp;TEXT(INT((ROW()-5)/9)+1,"000")&amp;"-4")</f>
        <v/>
      </c>
      <c r="C1155">
        <f>IF(OR(Registro_Compras!$C$131="",Registro_Compras!$O$131="",Registro_Compras!$Y$131="",Registro_Compras!$F$131="NOTA DE CREDITO"),"","4212")</f>
        <v/>
      </c>
      <c r="D1155">
        <f>IF(OR(Registro_Compras!$C$131="",Registro_Compras!$O$131=""),"","Cuentas por Pagar Comerciales - Terceros")</f>
        <v/>
      </c>
      <c r="E1155" s="20">
        <f>IF($C1155="","",IF(Registro_Compras!$F$131="RHE",(ROUND(Registro_Compras!$L$131*Registro_Compras!$N$131,2)-ROUND(Registro_Compras!$V$131*Registro_Compras!$N$131,2)),ROUND(Registro_Compras!$O$131-Registro_Compras!$S$131,2)))</f>
        <v/>
      </c>
      <c r="F1155" s="20">
        <f>""</f>
        <v/>
      </c>
      <c r="G1155">
        <f>IF($C1155="","","Por la cancelacion del saldo al proveedor")</f>
        <v/>
      </c>
      <c r="H1155">
        <f>IF($C1155="","",Registro_Compras!$C$131)</f>
        <v/>
      </c>
    </row>
    <row r="1156">
      <c r="A1156" s="25">
        <f>IF($C1156="","",Registro_Compras!$Y$131)</f>
        <v/>
      </c>
      <c r="B1156">
        <f>IF($C1156="","","C"&amp;TEXT(INT((ROW()-5)/9)+1,"000")&amp;"-4")</f>
        <v/>
      </c>
      <c r="C1156">
        <f>IF(OR(Registro_Compras!$C$131="",Registro_Compras!$O$131="",Registro_Compras!$Y$131="",Registro_Compras!$F$131="NOTA DE CREDITO"),"","10413")</f>
        <v/>
      </c>
      <c r="D1156">
        <f>IF(OR(Registro_Compras!$C$131="",Registro_Compras!$O$131=""),"","Efectivo y Equivalentes - Cta. Cte. Operativa")</f>
        <v/>
      </c>
      <c r="E1156" s="20">
        <f>""</f>
        <v/>
      </c>
      <c r="F1156" s="20">
        <f>IF($C1156="","",IF(Registro_Compras!$F$131="RHE",(ROUND(Registro_Compras!$L$131*Registro_Compras!$N$131,2)-ROUND(Registro_Compras!$V$131*Registro_Compras!$N$131,2)),ROUND(Registro_Compras!$O$131-Registro_Compras!$S$131,2)))</f>
        <v/>
      </c>
      <c r="G1156">
        <f>IF($C1156="","","Por la cancelacion del saldo al proveedor")</f>
        <v/>
      </c>
      <c r="H1156">
        <f>IF($C1156="","",Registro_Compras!$C$131)</f>
        <v/>
      </c>
    </row>
    <row r="1157">
      <c r="A1157" s="25">
        <f>IF($C1157="","",Registro_Compras!$B$132)</f>
        <v/>
      </c>
      <c r="B1157">
        <f>IF($C1157="","","C"&amp;TEXT(INT((ROW()-5)/9)+1,"000")&amp;"-1")</f>
        <v/>
      </c>
      <c r="C1157">
        <f>IF(OR(Registro_Compras!$C$132="",Registro_Compras!$O$132=""),"",IF(Registro_Compras!$F$132="NOTA DE CREDITO","4212",IF(Registro_Compras!$M$132="","63",Registro_Compras!$M$132)))</f>
        <v/>
      </c>
      <c r="D1157">
        <f>IF(OR(Registro_Compras!$C$132="",Registro_Compras!$O$132=""),"",IF(Registro_Compras!$F$132="NOTA DE CREDITO","Cuentas por Pagar Comerciales - Terceros (Emitidas)",IF(Registro_Compras!$F$132="RHE","Honorarios Profesionales - Servicios de Terceros","Gastos de Servicios Prestados por Terceros")))</f>
        <v/>
      </c>
      <c r="E1157" s="20">
        <f>IF($C1157="","",IF(Registro_Compras!$F$132="NOTA DE CREDITO",ABS(Registro_Compras!$O$132),IF(Registro_Compras!$F$132="RHE",ROUND(Registro_Compras!$L$132*Registro_Compras!$N$132,2),ROUND(Registro_Compras!$J$132*Registro_Compras!$N$132,2))))</f>
        <v/>
      </c>
      <c r="F1157" s="20">
        <f>""</f>
        <v/>
      </c>
      <c r="G1157">
        <f>IF($C1157="","",IF(Registro_Compras!$F$132="NOTA DE CREDITO","Por la nota de credito "&amp;Registro_Compras!$C$132&amp;" de "&amp;Registro_Compras!$E$132&amp;" [PATRON POR CONFIRMAR CON CONTADOR]",IF(Registro_Compras!$F$132="RHE","Por el registro del recibo por honorarios "&amp;Registro_Compras!$C$132&amp;" de "&amp;Registro_Compras!$E$132&amp;" [PATRON POR CONFIRMAR CON CONTADOR]","Por el registro de la factura "&amp;Registro_Compras!$C$132&amp;" de "&amp;Registro_Compras!$E$132)))</f>
        <v/>
      </c>
      <c r="H1157">
        <f>IF($C1157="","",Registro_Compras!$C$132)</f>
        <v/>
      </c>
    </row>
    <row r="1158">
      <c r="A1158" s="25">
        <f>IF($C1158="","",Registro_Compras!$B$132)</f>
        <v/>
      </c>
      <c r="B1158">
        <f>IF($C1158="","","C"&amp;TEXT(INT((ROW()-5)/9)+1,"000")&amp;"-1")</f>
        <v/>
      </c>
      <c r="C1158">
        <f>IF(OR(Registro_Compras!$C$132="",Registro_Compras!$O$132=""),"",IF(Registro_Compras!$F$132="RHE",IF(Registro_Compras!$V$132=0,"","40172"),IF(Registro_Compras!$F$132="NOTA DE CREDITO",IF(Registro_Compras!$M$132="","63",Registro_Compras!$M$132),IF(Registro_Compras!$K$132=0,"","40111"))))</f>
        <v/>
      </c>
      <c r="D1158">
        <f>IF(OR(Registro_Compras!$C$132="",Registro_Compras!$O$132=""),"",IF(Registro_Compras!$F$132="RHE","Retencion Renta 4ta Categoria por Pagar",IF(Registro_Compras!$F$132="NOTA DE CREDITO","Gastos de Servicios Prestados por Terceros","IGV - Cuenta Propia (Credito Fiscal)")))</f>
        <v/>
      </c>
      <c r="E1158" s="20">
        <f>IF($C1158="","",IF(Registro_Compras!$F$132="FACTURA",ROUND(Registro_Compras!$K$132*Registro_Compras!$N$132,2),""))</f>
        <v/>
      </c>
      <c r="F1158" s="20">
        <f>IF($C1158="","",IF(Registro_Compras!$F$132="RHE",ROUND(Registro_Compras!$V$132*Registro_Compras!$N$132,2),IF(Registro_Compras!$F$132="NOTA DE CREDITO",ROUND(ABS(Registro_Compras!$J$132*Registro_Compras!$N$132),2),"")))</f>
        <v/>
      </c>
      <c r="G1158">
        <f>IF($C1158="","",IF(Registro_Compras!$F$132="NOTA DE CREDITO","Por la nota de credito "&amp;Registro_Compras!$C$132&amp;" de "&amp;Registro_Compras!$E$132&amp;" [PATRON POR CONFIRMAR CON CONTADOR]",IF(Registro_Compras!$F$132="RHE","Por el registro del recibo por honorarios "&amp;Registro_Compras!$C$132&amp;" de "&amp;Registro_Compras!$E$132&amp;" [PATRON POR CONFIRMAR CON CONTADOR]","Por el registro de la factura "&amp;Registro_Compras!$C$132&amp;" de "&amp;Registro_Compras!$E$132)))</f>
        <v/>
      </c>
      <c r="H1158">
        <f>IF($C1158="","",Registro_Compras!$C$132)</f>
        <v/>
      </c>
    </row>
    <row r="1159">
      <c r="A1159" s="25">
        <f>IF($C1159="","",Registro_Compras!$B$132)</f>
        <v/>
      </c>
      <c r="B1159">
        <f>IF($C1159="","","C"&amp;TEXT(INT((ROW()-5)/9)+1,"000")&amp;"-1")</f>
        <v/>
      </c>
      <c r="C1159">
        <f>IF(OR(Registro_Compras!$C$132="",Registro_Compras!$O$132=""),"",IF(Registro_Compras!$F$132="NOTA DE CREDITO",IF(Registro_Compras!$K$132=0,"","40111"),"4212"))</f>
        <v/>
      </c>
      <c r="D1159">
        <f>IF(OR(Registro_Compras!$C$132="",Registro_Compras!$O$132=""),"",IF(Registro_Compras!$F$132="NOTA DE CREDITO","IGV - Cuenta Propia (Credito Fiscal)","Cuentas por Pagar Comerciales - Terceros (Emitidas)"))</f>
        <v/>
      </c>
      <c r="E1159" s="20">
        <f>""</f>
        <v/>
      </c>
      <c r="F1159" s="20">
        <f>IF($C1159="","",IF(Registro_Compras!$F$132="NOTA DE CREDITO",ROUND(ABS(Registro_Compras!$K$132*Registro_Compras!$N$132),2),IF(Registro_Compras!$F$132="RHE",(ROUND(Registro_Compras!$L$132*Registro_Compras!$N$132,2)-ROUND(Registro_Compras!$V$132*Registro_Compras!$N$132,2)),Registro_Compras!$O$132)))</f>
        <v/>
      </c>
      <c r="G1159">
        <f>IF($C1159="","",IF(Registro_Compras!$F$132="NOTA DE CREDITO","Por la nota de credito "&amp;Registro_Compras!$C$132&amp;" de "&amp;Registro_Compras!$E$132&amp;" [PATRON POR CONFIRMAR CON CONTADOR]",IF(Registro_Compras!$F$132="RHE","Por el registro del recibo por honorarios "&amp;Registro_Compras!$C$132&amp;" de "&amp;Registro_Compras!$E$132&amp;" [PATRON POR CONFIRMAR CON CONTADOR]","Por el registro de la factura "&amp;Registro_Compras!$C$132&amp;" de "&amp;Registro_Compras!$E$132)))</f>
        <v/>
      </c>
      <c r="H1159">
        <f>IF($C1159="","",Registro_Compras!$C$132)</f>
        <v/>
      </c>
    </row>
    <row r="1160">
      <c r="A1160" s="25">
        <f>IF($C1160="","",Registro_Compras!$B$132)</f>
        <v/>
      </c>
      <c r="B1160">
        <f>IF($C1160="","","C"&amp;TEXT(INT((ROW()-5)/9)+1,"000")&amp;"-2")</f>
        <v/>
      </c>
      <c r="C1160">
        <f>IF(OR(Registro_Compras!$C$132="",Registro_Compras!$O$132=""),"",IF(Registro_Compras!$AB$132="ADMINISTRATIVO","94","95"))</f>
        <v/>
      </c>
      <c r="D1160">
        <f>IF(OR(Registro_Compras!$C$132="",Registro_Compras!$O$132=""),"",IF(Registro_Compras!$AB$132="ADMINISTRATIVO","Gastos Administrativos","Gastos de Venta y Operacion"))</f>
        <v/>
      </c>
      <c r="E1160" s="20">
        <f>IF($C1160="","",IF(Registro_Compras!$F$132="NOTA DE CREDITO","",IF(Registro_Compras!$F$132="RHE",ROUND(Registro_Compras!$L$132*Registro_Compras!$N$132,2),ROUND(Registro_Compras!$J$132*Registro_Compras!$N$132,2))))</f>
        <v/>
      </c>
      <c r="F1160" s="20">
        <f>IF($C1160="","",IF(Registro_Compras!$F$132="NOTA DE CREDITO",ROUND(ABS(Registro_Compras!$J$132*Registro_Compras!$N$132),2),""))</f>
        <v/>
      </c>
      <c r="G1160">
        <f>IF($C1160="","","Por el destino del gasto")</f>
        <v/>
      </c>
      <c r="H1160">
        <f>IF($C1160="","",Registro_Compras!$C$132)</f>
        <v/>
      </c>
    </row>
    <row r="1161">
      <c r="A1161" s="25">
        <f>IF($C1161="","",Registro_Compras!$B$132)</f>
        <v/>
      </c>
      <c r="B1161">
        <f>IF($C1161="","","C"&amp;TEXT(INT((ROW()-5)/9)+1,"000")&amp;"-2")</f>
        <v/>
      </c>
      <c r="C1161">
        <f>IF(OR(Registro_Compras!$C$132="",Registro_Compras!$O$132=""),"","79/791")</f>
        <v/>
      </c>
      <c r="D1161">
        <f>IF(OR(Registro_Compras!$C$132="",Registro_Compras!$O$132=""),"","Cargas Imputables a Cuentas de Costos y Gastos")</f>
        <v/>
      </c>
      <c r="E1161" s="20">
        <f>IF($C1161="","",IF(Registro_Compras!$F$132="NOTA DE CREDITO",ROUND(ABS(Registro_Compras!$J$132*Registro_Compras!$N$132),2),""))</f>
        <v/>
      </c>
      <c r="F1161" s="20">
        <f>IF($C1161="","",IF(Registro_Compras!$F$132="NOTA DE CREDITO","",IF(Registro_Compras!$F$132="RHE",ROUND(Registro_Compras!$L$132*Registro_Compras!$N$132,2),ROUND(Registro_Compras!$J$132*Registro_Compras!$N$132,2))))</f>
        <v/>
      </c>
      <c r="G1161">
        <f>IF($C1161="","","Por el destino del gasto")</f>
        <v/>
      </c>
      <c r="H1161">
        <f>IF($C1161="","",Registro_Compras!$C$132)</f>
        <v/>
      </c>
    </row>
    <row r="1162">
      <c r="A1162" s="25">
        <f>IF($C1162="","",Registro_Compras!$X$132)</f>
        <v/>
      </c>
      <c r="B1162">
        <f>IF($C1162="","","C"&amp;TEXT(INT((ROW()-5)/9)+1,"000")&amp;"-3")</f>
        <v/>
      </c>
      <c r="C1162">
        <f>IF(OR(Registro_Compras!$C$132="",Registro_Compras!$O$132="",Registro_Compras!$R$132&lt;&gt;"SI",Registro_Compras!$X$132=""),"","4212")</f>
        <v/>
      </c>
      <c r="D1162">
        <f>IF(OR(Registro_Compras!$C$132="",Registro_Compras!$O$132=""),"","Cuentas por Pagar Comerciales - Terceros")</f>
        <v/>
      </c>
      <c r="E1162" s="20">
        <f>IF($C1162="","",Registro_Compras!$S$132)</f>
        <v/>
      </c>
      <c r="F1162" s="20">
        <f>""</f>
        <v/>
      </c>
      <c r="G1162">
        <f>IF($C1162="","","Por el deposito de la detraccion en el Banco de la Nacion")</f>
        <v/>
      </c>
      <c r="H1162">
        <f>IF($C1162="","",Registro_Compras!$C$132)</f>
        <v/>
      </c>
    </row>
    <row r="1163">
      <c r="A1163" s="25">
        <f>IF($C1163="","",Registro_Compras!$X$132)</f>
        <v/>
      </c>
      <c r="B1163">
        <f>IF($C1163="","","C"&amp;TEXT(INT((ROW()-5)/9)+1,"000")&amp;"-3")</f>
        <v/>
      </c>
      <c r="C1163">
        <f>IF(OR(Registro_Compras!$C$132="",Registro_Compras!$O$132="",Registro_Compras!$R$132&lt;&gt;"SI",Registro_Compras!$X$132=""),"","10413")</f>
        <v/>
      </c>
      <c r="D1163">
        <f>IF(OR(Registro_Compras!$C$132="",Registro_Compras!$O$132=""),"","Efectivo y Equivalentes - Cta. Cte. Operativa")</f>
        <v/>
      </c>
      <c r="E1163" s="20">
        <f>""</f>
        <v/>
      </c>
      <c r="F1163" s="20">
        <f>IF($C1163="","",Registro_Compras!$S$132)</f>
        <v/>
      </c>
      <c r="G1163">
        <f>IF($C1163="","","Por el deposito de la detraccion en el Banco de la Nacion")</f>
        <v/>
      </c>
      <c r="H1163">
        <f>IF($C1163="","",Registro_Compras!$C$132)</f>
        <v/>
      </c>
    </row>
    <row r="1164">
      <c r="A1164" s="25">
        <f>IF($C1164="","",Registro_Compras!$Y$132)</f>
        <v/>
      </c>
      <c r="B1164">
        <f>IF($C1164="","","C"&amp;TEXT(INT((ROW()-5)/9)+1,"000")&amp;"-4")</f>
        <v/>
      </c>
      <c r="C1164">
        <f>IF(OR(Registro_Compras!$C$132="",Registro_Compras!$O$132="",Registro_Compras!$Y$132="",Registro_Compras!$F$132="NOTA DE CREDITO"),"","4212")</f>
        <v/>
      </c>
      <c r="D1164">
        <f>IF(OR(Registro_Compras!$C$132="",Registro_Compras!$O$132=""),"","Cuentas por Pagar Comerciales - Terceros")</f>
        <v/>
      </c>
      <c r="E1164" s="20">
        <f>IF($C1164="","",IF(Registro_Compras!$F$132="RHE",(ROUND(Registro_Compras!$L$132*Registro_Compras!$N$132,2)-ROUND(Registro_Compras!$V$132*Registro_Compras!$N$132,2)),ROUND(Registro_Compras!$O$132-Registro_Compras!$S$132,2)))</f>
        <v/>
      </c>
      <c r="F1164" s="20">
        <f>""</f>
        <v/>
      </c>
      <c r="G1164">
        <f>IF($C1164="","","Por la cancelacion del saldo al proveedor")</f>
        <v/>
      </c>
      <c r="H1164">
        <f>IF($C1164="","",Registro_Compras!$C$132)</f>
        <v/>
      </c>
    </row>
    <row r="1165">
      <c r="A1165" s="25">
        <f>IF($C1165="","",Registro_Compras!$Y$132)</f>
        <v/>
      </c>
      <c r="B1165">
        <f>IF($C1165="","","C"&amp;TEXT(INT((ROW()-5)/9)+1,"000")&amp;"-4")</f>
        <v/>
      </c>
      <c r="C1165">
        <f>IF(OR(Registro_Compras!$C$132="",Registro_Compras!$O$132="",Registro_Compras!$Y$132="",Registro_Compras!$F$132="NOTA DE CREDITO"),"","10413")</f>
        <v/>
      </c>
      <c r="D1165">
        <f>IF(OR(Registro_Compras!$C$132="",Registro_Compras!$O$132=""),"","Efectivo y Equivalentes - Cta. Cte. Operativa")</f>
        <v/>
      </c>
      <c r="E1165" s="20">
        <f>""</f>
        <v/>
      </c>
      <c r="F1165" s="20">
        <f>IF($C1165="","",IF(Registro_Compras!$F$132="RHE",(ROUND(Registro_Compras!$L$132*Registro_Compras!$N$132,2)-ROUND(Registro_Compras!$V$132*Registro_Compras!$N$132,2)),ROUND(Registro_Compras!$O$132-Registro_Compras!$S$132,2)))</f>
        <v/>
      </c>
      <c r="G1165">
        <f>IF($C1165="","","Por la cancelacion del saldo al proveedor")</f>
        <v/>
      </c>
      <c r="H1165">
        <f>IF($C1165="","",Registro_Compras!$C$132)</f>
        <v/>
      </c>
    </row>
    <row r="1166">
      <c r="A1166" s="25">
        <f>IF($C1166="","",Registro_Compras!$B$133)</f>
        <v/>
      </c>
      <c r="B1166">
        <f>IF($C1166="","","C"&amp;TEXT(INT((ROW()-5)/9)+1,"000")&amp;"-1")</f>
        <v/>
      </c>
      <c r="C1166">
        <f>IF(OR(Registro_Compras!$C$133="",Registro_Compras!$O$133=""),"",IF(Registro_Compras!$F$133="NOTA DE CREDITO","4212",IF(Registro_Compras!$M$133="","63",Registro_Compras!$M$133)))</f>
        <v/>
      </c>
      <c r="D1166">
        <f>IF(OR(Registro_Compras!$C$133="",Registro_Compras!$O$133=""),"",IF(Registro_Compras!$F$133="NOTA DE CREDITO","Cuentas por Pagar Comerciales - Terceros (Emitidas)",IF(Registro_Compras!$F$133="RHE","Honorarios Profesionales - Servicios de Terceros","Gastos de Servicios Prestados por Terceros")))</f>
        <v/>
      </c>
      <c r="E1166" s="20">
        <f>IF($C1166="","",IF(Registro_Compras!$F$133="NOTA DE CREDITO",ABS(Registro_Compras!$O$133),IF(Registro_Compras!$F$133="RHE",ROUND(Registro_Compras!$L$133*Registro_Compras!$N$133,2),ROUND(Registro_Compras!$J$133*Registro_Compras!$N$133,2))))</f>
        <v/>
      </c>
      <c r="F1166" s="20">
        <f>""</f>
        <v/>
      </c>
      <c r="G1166">
        <f>IF($C1166="","",IF(Registro_Compras!$F$133="NOTA DE CREDITO","Por la nota de credito "&amp;Registro_Compras!$C$133&amp;" de "&amp;Registro_Compras!$E$133&amp;" [PATRON POR CONFIRMAR CON CONTADOR]",IF(Registro_Compras!$F$133="RHE","Por el registro del recibo por honorarios "&amp;Registro_Compras!$C$133&amp;" de "&amp;Registro_Compras!$E$133&amp;" [PATRON POR CONFIRMAR CON CONTADOR]","Por el registro de la factura "&amp;Registro_Compras!$C$133&amp;" de "&amp;Registro_Compras!$E$133)))</f>
        <v/>
      </c>
      <c r="H1166">
        <f>IF($C1166="","",Registro_Compras!$C$133)</f>
        <v/>
      </c>
    </row>
    <row r="1167">
      <c r="A1167" s="25">
        <f>IF($C1167="","",Registro_Compras!$B$133)</f>
        <v/>
      </c>
      <c r="B1167">
        <f>IF($C1167="","","C"&amp;TEXT(INT((ROW()-5)/9)+1,"000")&amp;"-1")</f>
        <v/>
      </c>
      <c r="C1167">
        <f>IF(OR(Registro_Compras!$C$133="",Registro_Compras!$O$133=""),"",IF(Registro_Compras!$F$133="RHE",IF(Registro_Compras!$V$133=0,"","40172"),IF(Registro_Compras!$F$133="NOTA DE CREDITO",IF(Registro_Compras!$M$133="","63",Registro_Compras!$M$133),IF(Registro_Compras!$K$133=0,"","40111"))))</f>
        <v/>
      </c>
      <c r="D1167">
        <f>IF(OR(Registro_Compras!$C$133="",Registro_Compras!$O$133=""),"",IF(Registro_Compras!$F$133="RHE","Retencion Renta 4ta Categoria por Pagar",IF(Registro_Compras!$F$133="NOTA DE CREDITO","Gastos de Servicios Prestados por Terceros","IGV - Cuenta Propia (Credito Fiscal)")))</f>
        <v/>
      </c>
      <c r="E1167" s="20">
        <f>IF($C1167="","",IF(Registro_Compras!$F$133="FACTURA",ROUND(Registro_Compras!$K$133*Registro_Compras!$N$133,2),""))</f>
        <v/>
      </c>
      <c r="F1167" s="20">
        <f>IF($C1167="","",IF(Registro_Compras!$F$133="RHE",ROUND(Registro_Compras!$V$133*Registro_Compras!$N$133,2),IF(Registro_Compras!$F$133="NOTA DE CREDITO",ROUND(ABS(Registro_Compras!$J$133*Registro_Compras!$N$133),2),"")))</f>
        <v/>
      </c>
      <c r="G1167">
        <f>IF($C1167="","",IF(Registro_Compras!$F$133="NOTA DE CREDITO","Por la nota de credito "&amp;Registro_Compras!$C$133&amp;" de "&amp;Registro_Compras!$E$133&amp;" [PATRON POR CONFIRMAR CON CONTADOR]",IF(Registro_Compras!$F$133="RHE","Por el registro del recibo por honorarios "&amp;Registro_Compras!$C$133&amp;" de "&amp;Registro_Compras!$E$133&amp;" [PATRON POR CONFIRMAR CON CONTADOR]","Por el registro de la factura "&amp;Registro_Compras!$C$133&amp;" de "&amp;Registro_Compras!$E$133)))</f>
        <v/>
      </c>
      <c r="H1167">
        <f>IF($C1167="","",Registro_Compras!$C$133)</f>
        <v/>
      </c>
    </row>
    <row r="1168">
      <c r="A1168" s="25">
        <f>IF($C1168="","",Registro_Compras!$B$133)</f>
        <v/>
      </c>
      <c r="B1168">
        <f>IF($C1168="","","C"&amp;TEXT(INT((ROW()-5)/9)+1,"000")&amp;"-1")</f>
        <v/>
      </c>
      <c r="C1168">
        <f>IF(OR(Registro_Compras!$C$133="",Registro_Compras!$O$133=""),"",IF(Registro_Compras!$F$133="NOTA DE CREDITO",IF(Registro_Compras!$K$133=0,"","40111"),"4212"))</f>
        <v/>
      </c>
      <c r="D1168">
        <f>IF(OR(Registro_Compras!$C$133="",Registro_Compras!$O$133=""),"",IF(Registro_Compras!$F$133="NOTA DE CREDITO","IGV - Cuenta Propia (Credito Fiscal)","Cuentas por Pagar Comerciales - Terceros (Emitidas)"))</f>
        <v/>
      </c>
      <c r="E1168" s="20">
        <f>""</f>
        <v/>
      </c>
      <c r="F1168" s="20">
        <f>IF($C1168="","",IF(Registro_Compras!$F$133="NOTA DE CREDITO",ROUND(ABS(Registro_Compras!$K$133*Registro_Compras!$N$133),2),IF(Registro_Compras!$F$133="RHE",(ROUND(Registro_Compras!$L$133*Registro_Compras!$N$133,2)-ROUND(Registro_Compras!$V$133*Registro_Compras!$N$133,2)),Registro_Compras!$O$133)))</f>
        <v/>
      </c>
      <c r="G1168">
        <f>IF($C1168="","",IF(Registro_Compras!$F$133="NOTA DE CREDITO","Por la nota de credito "&amp;Registro_Compras!$C$133&amp;" de "&amp;Registro_Compras!$E$133&amp;" [PATRON POR CONFIRMAR CON CONTADOR]",IF(Registro_Compras!$F$133="RHE","Por el registro del recibo por honorarios "&amp;Registro_Compras!$C$133&amp;" de "&amp;Registro_Compras!$E$133&amp;" [PATRON POR CONFIRMAR CON CONTADOR]","Por el registro de la factura "&amp;Registro_Compras!$C$133&amp;" de "&amp;Registro_Compras!$E$133)))</f>
        <v/>
      </c>
      <c r="H1168">
        <f>IF($C1168="","",Registro_Compras!$C$133)</f>
        <v/>
      </c>
    </row>
    <row r="1169">
      <c r="A1169" s="25">
        <f>IF($C1169="","",Registro_Compras!$B$133)</f>
        <v/>
      </c>
      <c r="B1169">
        <f>IF($C1169="","","C"&amp;TEXT(INT((ROW()-5)/9)+1,"000")&amp;"-2")</f>
        <v/>
      </c>
      <c r="C1169">
        <f>IF(OR(Registro_Compras!$C$133="",Registro_Compras!$O$133=""),"",IF(Registro_Compras!$AB$133="ADMINISTRATIVO","94","95"))</f>
        <v/>
      </c>
      <c r="D1169">
        <f>IF(OR(Registro_Compras!$C$133="",Registro_Compras!$O$133=""),"",IF(Registro_Compras!$AB$133="ADMINISTRATIVO","Gastos Administrativos","Gastos de Venta y Operacion"))</f>
        <v/>
      </c>
      <c r="E1169" s="20">
        <f>IF($C1169="","",IF(Registro_Compras!$F$133="NOTA DE CREDITO","",IF(Registro_Compras!$F$133="RHE",ROUND(Registro_Compras!$L$133*Registro_Compras!$N$133,2),ROUND(Registro_Compras!$J$133*Registro_Compras!$N$133,2))))</f>
        <v/>
      </c>
      <c r="F1169" s="20">
        <f>IF($C1169="","",IF(Registro_Compras!$F$133="NOTA DE CREDITO",ROUND(ABS(Registro_Compras!$J$133*Registro_Compras!$N$133),2),""))</f>
        <v/>
      </c>
      <c r="G1169">
        <f>IF($C1169="","","Por el destino del gasto")</f>
        <v/>
      </c>
      <c r="H1169">
        <f>IF($C1169="","",Registro_Compras!$C$133)</f>
        <v/>
      </c>
    </row>
    <row r="1170">
      <c r="A1170" s="25">
        <f>IF($C1170="","",Registro_Compras!$B$133)</f>
        <v/>
      </c>
      <c r="B1170">
        <f>IF($C1170="","","C"&amp;TEXT(INT((ROW()-5)/9)+1,"000")&amp;"-2")</f>
        <v/>
      </c>
      <c r="C1170">
        <f>IF(OR(Registro_Compras!$C$133="",Registro_Compras!$O$133=""),"","79/791")</f>
        <v/>
      </c>
      <c r="D1170">
        <f>IF(OR(Registro_Compras!$C$133="",Registro_Compras!$O$133=""),"","Cargas Imputables a Cuentas de Costos y Gastos")</f>
        <v/>
      </c>
      <c r="E1170" s="20">
        <f>IF($C1170="","",IF(Registro_Compras!$F$133="NOTA DE CREDITO",ROUND(ABS(Registro_Compras!$J$133*Registro_Compras!$N$133),2),""))</f>
        <v/>
      </c>
      <c r="F1170" s="20">
        <f>IF($C1170="","",IF(Registro_Compras!$F$133="NOTA DE CREDITO","",IF(Registro_Compras!$F$133="RHE",ROUND(Registro_Compras!$L$133*Registro_Compras!$N$133,2),ROUND(Registro_Compras!$J$133*Registro_Compras!$N$133,2))))</f>
        <v/>
      </c>
      <c r="G1170">
        <f>IF($C1170="","","Por el destino del gasto")</f>
        <v/>
      </c>
      <c r="H1170">
        <f>IF($C1170="","",Registro_Compras!$C$133)</f>
        <v/>
      </c>
    </row>
    <row r="1171">
      <c r="A1171" s="25">
        <f>IF($C1171="","",Registro_Compras!$X$133)</f>
        <v/>
      </c>
      <c r="B1171">
        <f>IF($C1171="","","C"&amp;TEXT(INT((ROW()-5)/9)+1,"000")&amp;"-3")</f>
        <v/>
      </c>
      <c r="C1171">
        <f>IF(OR(Registro_Compras!$C$133="",Registro_Compras!$O$133="",Registro_Compras!$R$133&lt;&gt;"SI",Registro_Compras!$X$133=""),"","4212")</f>
        <v/>
      </c>
      <c r="D1171">
        <f>IF(OR(Registro_Compras!$C$133="",Registro_Compras!$O$133=""),"","Cuentas por Pagar Comerciales - Terceros")</f>
        <v/>
      </c>
      <c r="E1171" s="20">
        <f>IF($C1171="","",Registro_Compras!$S$133)</f>
        <v/>
      </c>
      <c r="F1171" s="20">
        <f>""</f>
        <v/>
      </c>
      <c r="G1171">
        <f>IF($C1171="","","Por el deposito de la detraccion en el Banco de la Nacion")</f>
        <v/>
      </c>
      <c r="H1171">
        <f>IF($C1171="","",Registro_Compras!$C$133)</f>
        <v/>
      </c>
    </row>
    <row r="1172">
      <c r="A1172" s="25">
        <f>IF($C1172="","",Registro_Compras!$X$133)</f>
        <v/>
      </c>
      <c r="B1172">
        <f>IF($C1172="","","C"&amp;TEXT(INT((ROW()-5)/9)+1,"000")&amp;"-3")</f>
        <v/>
      </c>
      <c r="C1172">
        <f>IF(OR(Registro_Compras!$C$133="",Registro_Compras!$O$133="",Registro_Compras!$R$133&lt;&gt;"SI",Registro_Compras!$X$133=""),"","10413")</f>
        <v/>
      </c>
      <c r="D1172">
        <f>IF(OR(Registro_Compras!$C$133="",Registro_Compras!$O$133=""),"","Efectivo y Equivalentes - Cta. Cte. Operativa")</f>
        <v/>
      </c>
      <c r="E1172" s="20">
        <f>""</f>
        <v/>
      </c>
      <c r="F1172" s="20">
        <f>IF($C1172="","",Registro_Compras!$S$133)</f>
        <v/>
      </c>
      <c r="G1172">
        <f>IF($C1172="","","Por el deposito de la detraccion en el Banco de la Nacion")</f>
        <v/>
      </c>
      <c r="H1172">
        <f>IF($C1172="","",Registro_Compras!$C$133)</f>
        <v/>
      </c>
    </row>
    <row r="1173">
      <c r="A1173" s="25">
        <f>IF($C1173="","",Registro_Compras!$Y$133)</f>
        <v/>
      </c>
      <c r="B1173">
        <f>IF($C1173="","","C"&amp;TEXT(INT((ROW()-5)/9)+1,"000")&amp;"-4")</f>
        <v/>
      </c>
      <c r="C1173">
        <f>IF(OR(Registro_Compras!$C$133="",Registro_Compras!$O$133="",Registro_Compras!$Y$133="",Registro_Compras!$F$133="NOTA DE CREDITO"),"","4212")</f>
        <v/>
      </c>
      <c r="D1173">
        <f>IF(OR(Registro_Compras!$C$133="",Registro_Compras!$O$133=""),"","Cuentas por Pagar Comerciales - Terceros")</f>
        <v/>
      </c>
      <c r="E1173" s="20">
        <f>IF($C1173="","",IF(Registro_Compras!$F$133="RHE",(ROUND(Registro_Compras!$L$133*Registro_Compras!$N$133,2)-ROUND(Registro_Compras!$V$133*Registro_Compras!$N$133,2)),ROUND(Registro_Compras!$O$133-Registro_Compras!$S$133,2)))</f>
        <v/>
      </c>
      <c r="F1173" s="20">
        <f>""</f>
        <v/>
      </c>
      <c r="G1173">
        <f>IF($C1173="","","Por la cancelacion del saldo al proveedor")</f>
        <v/>
      </c>
      <c r="H1173">
        <f>IF($C1173="","",Registro_Compras!$C$133)</f>
        <v/>
      </c>
    </row>
    <row r="1174">
      <c r="A1174" s="25">
        <f>IF($C1174="","",Registro_Compras!$Y$133)</f>
        <v/>
      </c>
      <c r="B1174">
        <f>IF($C1174="","","C"&amp;TEXT(INT((ROW()-5)/9)+1,"000")&amp;"-4")</f>
        <v/>
      </c>
      <c r="C1174">
        <f>IF(OR(Registro_Compras!$C$133="",Registro_Compras!$O$133="",Registro_Compras!$Y$133="",Registro_Compras!$F$133="NOTA DE CREDITO"),"","10413")</f>
        <v/>
      </c>
      <c r="D1174">
        <f>IF(OR(Registro_Compras!$C$133="",Registro_Compras!$O$133=""),"","Efectivo y Equivalentes - Cta. Cte. Operativa")</f>
        <v/>
      </c>
      <c r="E1174" s="20">
        <f>""</f>
        <v/>
      </c>
      <c r="F1174" s="20">
        <f>IF($C1174="","",IF(Registro_Compras!$F$133="RHE",(ROUND(Registro_Compras!$L$133*Registro_Compras!$N$133,2)-ROUND(Registro_Compras!$V$133*Registro_Compras!$N$133,2)),ROUND(Registro_Compras!$O$133-Registro_Compras!$S$133,2)))</f>
        <v/>
      </c>
      <c r="G1174">
        <f>IF($C1174="","","Por la cancelacion del saldo al proveedor")</f>
        <v/>
      </c>
      <c r="H1174">
        <f>IF($C1174="","",Registro_Compras!$C$133)</f>
        <v/>
      </c>
    </row>
    <row r="1175">
      <c r="A1175" s="25">
        <f>IF($C1175="","",Registro_Compras!$B$134)</f>
        <v/>
      </c>
      <c r="B1175">
        <f>IF($C1175="","","C"&amp;TEXT(INT((ROW()-5)/9)+1,"000")&amp;"-1")</f>
        <v/>
      </c>
      <c r="C1175">
        <f>IF(OR(Registro_Compras!$C$134="",Registro_Compras!$O$134=""),"",IF(Registro_Compras!$F$134="NOTA DE CREDITO","4212",IF(Registro_Compras!$M$134="","63",Registro_Compras!$M$134)))</f>
        <v/>
      </c>
      <c r="D1175">
        <f>IF(OR(Registro_Compras!$C$134="",Registro_Compras!$O$134=""),"",IF(Registro_Compras!$F$134="NOTA DE CREDITO","Cuentas por Pagar Comerciales - Terceros (Emitidas)",IF(Registro_Compras!$F$134="RHE","Honorarios Profesionales - Servicios de Terceros","Gastos de Servicios Prestados por Terceros")))</f>
        <v/>
      </c>
      <c r="E1175" s="20">
        <f>IF($C1175="","",IF(Registro_Compras!$F$134="NOTA DE CREDITO",ABS(Registro_Compras!$O$134),IF(Registro_Compras!$F$134="RHE",ROUND(Registro_Compras!$L$134*Registro_Compras!$N$134,2),ROUND(Registro_Compras!$J$134*Registro_Compras!$N$134,2))))</f>
        <v/>
      </c>
      <c r="F1175" s="20">
        <f>""</f>
        <v/>
      </c>
      <c r="G1175">
        <f>IF($C1175="","",IF(Registro_Compras!$F$134="NOTA DE CREDITO","Por la nota de credito "&amp;Registro_Compras!$C$134&amp;" de "&amp;Registro_Compras!$E$134&amp;" [PATRON POR CONFIRMAR CON CONTADOR]",IF(Registro_Compras!$F$134="RHE","Por el registro del recibo por honorarios "&amp;Registro_Compras!$C$134&amp;" de "&amp;Registro_Compras!$E$134&amp;" [PATRON POR CONFIRMAR CON CONTADOR]","Por el registro de la factura "&amp;Registro_Compras!$C$134&amp;" de "&amp;Registro_Compras!$E$134)))</f>
        <v/>
      </c>
      <c r="H1175">
        <f>IF($C1175="","",Registro_Compras!$C$134)</f>
        <v/>
      </c>
    </row>
    <row r="1176">
      <c r="A1176" s="25">
        <f>IF($C1176="","",Registro_Compras!$B$134)</f>
        <v/>
      </c>
      <c r="B1176">
        <f>IF($C1176="","","C"&amp;TEXT(INT((ROW()-5)/9)+1,"000")&amp;"-1")</f>
        <v/>
      </c>
      <c r="C1176">
        <f>IF(OR(Registro_Compras!$C$134="",Registro_Compras!$O$134=""),"",IF(Registro_Compras!$F$134="RHE",IF(Registro_Compras!$V$134=0,"","40172"),IF(Registro_Compras!$F$134="NOTA DE CREDITO",IF(Registro_Compras!$M$134="","63",Registro_Compras!$M$134),IF(Registro_Compras!$K$134=0,"","40111"))))</f>
        <v/>
      </c>
      <c r="D1176">
        <f>IF(OR(Registro_Compras!$C$134="",Registro_Compras!$O$134=""),"",IF(Registro_Compras!$F$134="RHE","Retencion Renta 4ta Categoria por Pagar",IF(Registro_Compras!$F$134="NOTA DE CREDITO","Gastos de Servicios Prestados por Terceros","IGV - Cuenta Propia (Credito Fiscal)")))</f>
        <v/>
      </c>
      <c r="E1176" s="20">
        <f>IF($C1176="","",IF(Registro_Compras!$F$134="FACTURA",ROUND(Registro_Compras!$K$134*Registro_Compras!$N$134,2),""))</f>
        <v/>
      </c>
      <c r="F1176" s="20">
        <f>IF($C1176="","",IF(Registro_Compras!$F$134="RHE",ROUND(Registro_Compras!$V$134*Registro_Compras!$N$134,2),IF(Registro_Compras!$F$134="NOTA DE CREDITO",ROUND(ABS(Registro_Compras!$J$134*Registro_Compras!$N$134),2),"")))</f>
        <v/>
      </c>
      <c r="G1176">
        <f>IF($C1176="","",IF(Registro_Compras!$F$134="NOTA DE CREDITO","Por la nota de credito "&amp;Registro_Compras!$C$134&amp;" de "&amp;Registro_Compras!$E$134&amp;" [PATRON POR CONFIRMAR CON CONTADOR]",IF(Registro_Compras!$F$134="RHE","Por el registro del recibo por honorarios "&amp;Registro_Compras!$C$134&amp;" de "&amp;Registro_Compras!$E$134&amp;" [PATRON POR CONFIRMAR CON CONTADOR]","Por el registro de la factura "&amp;Registro_Compras!$C$134&amp;" de "&amp;Registro_Compras!$E$134)))</f>
        <v/>
      </c>
      <c r="H1176">
        <f>IF($C1176="","",Registro_Compras!$C$134)</f>
        <v/>
      </c>
    </row>
    <row r="1177">
      <c r="A1177" s="25">
        <f>IF($C1177="","",Registro_Compras!$B$134)</f>
        <v/>
      </c>
      <c r="B1177">
        <f>IF($C1177="","","C"&amp;TEXT(INT((ROW()-5)/9)+1,"000")&amp;"-1")</f>
        <v/>
      </c>
      <c r="C1177">
        <f>IF(OR(Registro_Compras!$C$134="",Registro_Compras!$O$134=""),"",IF(Registro_Compras!$F$134="NOTA DE CREDITO",IF(Registro_Compras!$K$134=0,"","40111"),"4212"))</f>
        <v/>
      </c>
      <c r="D1177">
        <f>IF(OR(Registro_Compras!$C$134="",Registro_Compras!$O$134=""),"",IF(Registro_Compras!$F$134="NOTA DE CREDITO","IGV - Cuenta Propia (Credito Fiscal)","Cuentas por Pagar Comerciales - Terceros (Emitidas)"))</f>
        <v/>
      </c>
      <c r="E1177" s="20">
        <f>""</f>
        <v/>
      </c>
      <c r="F1177" s="20">
        <f>IF($C1177="","",IF(Registro_Compras!$F$134="NOTA DE CREDITO",ROUND(ABS(Registro_Compras!$K$134*Registro_Compras!$N$134),2),IF(Registro_Compras!$F$134="RHE",(ROUND(Registro_Compras!$L$134*Registro_Compras!$N$134,2)-ROUND(Registro_Compras!$V$134*Registro_Compras!$N$134,2)),Registro_Compras!$O$134)))</f>
        <v/>
      </c>
      <c r="G1177">
        <f>IF($C1177="","",IF(Registro_Compras!$F$134="NOTA DE CREDITO","Por la nota de credito "&amp;Registro_Compras!$C$134&amp;" de "&amp;Registro_Compras!$E$134&amp;" [PATRON POR CONFIRMAR CON CONTADOR]",IF(Registro_Compras!$F$134="RHE","Por el registro del recibo por honorarios "&amp;Registro_Compras!$C$134&amp;" de "&amp;Registro_Compras!$E$134&amp;" [PATRON POR CONFIRMAR CON CONTADOR]","Por el registro de la factura "&amp;Registro_Compras!$C$134&amp;" de "&amp;Registro_Compras!$E$134)))</f>
        <v/>
      </c>
      <c r="H1177">
        <f>IF($C1177="","",Registro_Compras!$C$134)</f>
        <v/>
      </c>
    </row>
    <row r="1178">
      <c r="A1178" s="25">
        <f>IF($C1178="","",Registro_Compras!$B$134)</f>
        <v/>
      </c>
      <c r="B1178">
        <f>IF($C1178="","","C"&amp;TEXT(INT((ROW()-5)/9)+1,"000")&amp;"-2")</f>
        <v/>
      </c>
      <c r="C1178">
        <f>IF(OR(Registro_Compras!$C$134="",Registro_Compras!$O$134=""),"",IF(Registro_Compras!$AB$134="ADMINISTRATIVO","94","95"))</f>
        <v/>
      </c>
      <c r="D1178">
        <f>IF(OR(Registro_Compras!$C$134="",Registro_Compras!$O$134=""),"",IF(Registro_Compras!$AB$134="ADMINISTRATIVO","Gastos Administrativos","Gastos de Venta y Operacion"))</f>
        <v/>
      </c>
      <c r="E1178" s="20">
        <f>IF($C1178="","",IF(Registro_Compras!$F$134="NOTA DE CREDITO","",IF(Registro_Compras!$F$134="RHE",ROUND(Registro_Compras!$L$134*Registro_Compras!$N$134,2),ROUND(Registro_Compras!$J$134*Registro_Compras!$N$134,2))))</f>
        <v/>
      </c>
      <c r="F1178" s="20">
        <f>IF($C1178="","",IF(Registro_Compras!$F$134="NOTA DE CREDITO",ROUND(ABS(Registro_Compras!$J$134*Registro_Compras!$N$134),2),""))</f>
        <v/>
      </c>
      <c r="G1178">
        <f>IF($C1178="","","Por el destino del gasto")</f>
        <v/>
      </c>
      <c r="H1178">
        <f>IF($C1178="","",Registro_Compras!$C$134)</f>
        <v/>
      </c>
    </row>
    <row r="1179">
      <c r="A1179" s="25">
        <f>IF($C1179="","",Registro_Compras!$B$134)</f>
        <v/>
      </c>
      <c r="B1179">
        <f>IF($C1179="","","C"&amp;TEXT(INT((ROW()-5)/9)+1,"000")&amp;"-2")</f>
        <v/>
      </c>
      <c r="C1179">
        <f>IF(OR(Registro_Compras!$C$134="",Registro_Compras!$O$134=""),"","79/791")</f>
        <v/>
      </c>
      <c r="D1179">
        <f>IF(OR(Registro_Compras!$C$134="",Registro_Compras!$O$134=""),"","Cargas Imputables a Cuentas de Costos y Gastos")</f>
        <v/>
      </c>
      <c r="E1179" s="20">
        <f>IF($C1179="","",IF(Registro_Compras!$F$134="NOTA DE CREDITO",ROUND(ABS(Registro_Compras!$J$134*Registro_Compras!$N$134),2),""))</f>
        <v/>
      </c>
      <c r="F1179" s="20">
        <f>IF($C1179="","",IF(Registro_Compras!$F$134="NOTA DE CREDITO","",IF(Registro_Compras!$F$134="RHE",ROUND(Registro_Compras!$L$134*Registro_Compras!$N$134,2),ROUND(Registro_Compras!$J$134*Registro_Compras!$N$134,2))))</f>
        <v/>
      </c>
      <c r="G1179">
        <f>IF($C1179="","","Por el destino del gasto")</f>
        <v/>
      </c>
      <c r="H1179">
        <f>IF($C1179="","",Registro_Compras!$C$134)</f>
        <v/>
      </c>
    </row>
    <row r="1180">
      <c r="A1180" s="25">
        <f>IF($C1180="","",Registro_Compras!$X$134)</f>
        <v/>
      </c>
      <c r="B1180">
        <f>IF($C1180="","","C"&amp;TEXT(INT((ROW()-5)/9)+1,"000")&amp;"-3")</f>
        <v/>
      </c>
      <c r="C1180">
        <f>IF(OR(Registro_Compras!$C$134="",Registro_Compras!$O$134="",Registro_Compras!$R$134&lt;&gt;"SI",Registro_Compras!$X$134=""),"","4212")</f>
        <v/>
      </c>
      <c r="D1180">
        <f>IF(OR(Registro_Compras!$C$134="",Registro_Compras!$O$134=""),"","Cuentas por Pagar Comerciales - Terceros")</f>
        <v/>
      </c>
      <c r="E1180" s="20">
        <f>IF($C1180="","",Registro_Compras!$S$134)</f>
        <v/>
      </c>
      <c r="F1180" s="20">
        <f>""</f>
        <v/>
      </c>
      <c r="G1180">
        <f>IF($C1180="","","Por el deposito de la detraccion en el Banco de la Nacion")</f>
        <v/>
      </c>
      <c r="H1180">
        <f>IF($C1180="","",Registro_Compras!$C$134)</f>
        <v/>
      </c>
    </row>
    <row r="1181">
      <c r="A1181" s="25">
        <f>IF($C1181="","",Registro_Compras!$X$134)</f>
        <v/>
      </c>
      <c r="B1181">
        <f>IF($C1181="","","C"&amp;TEXT(INT((ROW()-5)/9)+1,"000")&amp;"-3")</f>
        <v/>
      </c>
      <c r="C1181">
        <f>IF(OR(Registro_Compras!$C$134="",Registro_Compras!$O$134="",Registro_Compras!$R$134&lt;&gt;"SI",Registro_Compras!$X$134=""),"","10413")</f>
        <v/>
      </c>
      <c r="D1181">
        <f>IF(OR(Registro_Compras!$C$134="",Registro_Compras!$O$134=""),"","Efectivo y Equivalentes - Cta. Cte. Operativa")</f>
        <v/>
      </c>
      <c r="E1181" s="20">
        <f>""</f>
        <v/>
      </c>
      <c r="F1181" s="20">
        <f>IF($C1181="","",Registro_Compras!$S$134)</f>
        <v/>
      </c>
      <c r="G1181">
        <f>IF($C1181="","","Por el deposito de la detraccion en el Banco de la Nacion")</f>
        <v/>
      </c>
      <c r="H1181">
        <f>IF($C1181="","",Registro_Compras!$C$134)</f>
        <v/>
      </c>
    </row>
    <row r="1182">
      <c r="A1182" s="25">
        <f>IF($C1182="","",Registro_Compras!$Y$134)</f>
        <v/>
      </c>
      <c r="B1182">
        <f>IF($C1182="","","C"&amp;TEXT(INT((ROW()-5)/9)+1,"000")&amp;"-4")</f>
        <v/>
      </c>
      <c r="C1182">
        <f>IF(OR(Registro_Compras!$C$134="",Registro_Compras!$O$134="",Registro_Compras!$Y$134="",Registro_Compras!$F$134="NOTA DE CREDITO"),"","4212")</f>
        <v/>
      </c>
      <c r="D1182">
        <f>IF(OR(Registro_Compras!$C$134="",Registro_Compras!$O$134=""),"","Cuentas por Pagar Comerciales - Terceros")</f>
        <v/>
      </c>
      <c r="E1182" s="20">
        <f>IF($C1182="","",IF(Registro_Compras!$F$134="RHE",(ROUND(Registro_Compras!$L$134*Registro_Compras!$N$134,2)-ROUND(Registro_Compras!$V$134*Registro_Compras!$N$134,2)),ROUND(Registro_Compras!$O$134-Registro_Compras!$S$134,2)))</f>
        <v/>
      </c>
      <c r="F1182" s="20">
        <f>""</f>
        <v/>
      </c>
      <c r="G1182">
        <f>IF($C1182="","","Por la cancelacion del saldo al proveedor")</f>
        <v/>
      </c>
      <c r="H1182">
        <f>IF($C1182="","",Registro_Compras!$C$134)</f>
        <v/>
      </c>
    </row>
    <row r="1183">
      <c r="A1183" s="25">
        <f>IF($C1183="","",Registro_Compras!$Y$134)</f>
        <v/>
      </c>
      <c r="B1183">
        <f>IF($C1183="","","C"&amp;TEXT(INT((ROW()-5)/9)+1,"000")&amp;"-4")</f>
        <v/>
      </c>
      <c r="C1183">
        <f>IF(OR(Registro_Compras!$C$134="",Registro_Compras!$O$134="",Registro_Compras!$Y$134="",Registro_Compras!$F$134="NOTA DE CREDITO"),"","10413")</f>
        <v/>
      </c>
      <c r="D1183">
        <f>IF(OR(Registro_Compras!$C$134="",Registro_Compras!$O$134=""),"","Efectivo y Equivalentes - Cta. Cte. Operativa")</f>
        <v/>
      </c>
      <c r="E1183" s="20">
        <f>""</f>
        <v/>
      </c>
      <c r="F1183" s="20">
        <f>IF($C1183="","",IF(Registro_Compras!$F$134="RHE",(ROUND(Registro_Compras!$L$134*Registro_Compras!$N$134,2)-ROUND(Registro_Compras!$V$134*Registro_Compras!$N$134,2)),ROUND(Registro_Compras!$O$134-Registro_Compras!$S$134,2)))</f>
        <v/>
      </c>
      <c r="G1183">
        <f>IF($C1183="","","Por la cancelacion del saldo al proveedor")</f>
        <v/>
      </c>
      <c r="H1183">
        <f>IF($C1183="","",Registro_Compras!$C$134)</f>
        <v/>
      </c>
    </row>
    <row r="1184">
      <c r="A1184" s="25">
        <f>IF($C1184="","",Registro_Compras!$B$135)</f>
        <v/>
      </c>
      <c r="B1184">
        <f>IF($C1184="","","C"&amp;TEXT(INT((ROW()-5)/9)+1,"000")&amp;"-1")</f>
        <v/>
      </c>
      <c r="C1184">
        <f>IF(OR(Registro_Compras!$C$135="",Registro_Compras!$O$135=""),"",IF(Registro_Compras!$F$135="NOTA DE CREDITO","4212",IF(Registro_Compras!$M$135="","63",Registro_Compras!$M$135)))</f>
        <v/>
      </c>
      <c r="D1184">
        <f>IF(OR(Registro_Compras!$C$135="",Registro_Compras!$O$135=""),"",IF(Registro_Compras!$F$135="NOTA DE CREDITO","Cuentas por Pagar Comerciales - Terceros (Emitidas)",IF(Registro_Compras!$F$135="RHE","Honorarios Profesionales - Servicios de Terceros","Gastos de Servicios Prestados por Terceros")))</f>
        <v/>
      </c>
      <c r="E1184" s="20">
        <f>IF($C1184="","",IF(Registro_Compras!$F$135="NOTA DE CREDITO",ABS(Registro_Compras!$O$135),IF(Registro_Compras!$F$135="RHE",ROUND(Registro_Compras!$L$135*Registro_Compras!$N$135,2),ROUND(Registro_Compras!$J$135*Registro_Compras!$N$135,2))))</f>
        <v/>
      </c>
      <c r="F1184" s="20">
        <f>""</f>
        <v/>
      </c>
      <c r="G1184">
        <f>IF($C1184="","",IF(Registro_Compras!$F$135="NOTA DE CREDITO","Por la nota de credito "&amp;Registro_Compras!$C$135&amp;" de "&amp;Registro_Compras!$E$135&amp;" [PATRON POR CONFIRMAR CON CONTADOR]",IF(Registro_Compras!$F$135="RHE","Por el registro del recibo por honorarios "&amp;Registro_Compras!$C$135&amp;" de "&amp;Registro_Compras!$E$135&amp;" [PATRON POR CONFIRMAR CON CONTADOR]","Por el registro de la factura "&amp;Registro_Compras!$C$135&amp;" de "&amp;Registro_Compras!$E$135)))</f>
        <v/>
      </c>
      <c r="H1184">
        <f>IF($C1184="","",Registro_Compras!$C$135)</f>
        <v/>
      </c>
    </row>
    <row r="1185">
      <c r="A1185" s="25">
        <f>IF($C1185="","",Registro_Compras!$B$135)</f>
        <v/>
      </c>
      <c r="B1185">
        <f>IF($C1185="","","C"&amp;TEXT(INT((ROW()-5)/9)+1,"000")&amp;"-1")</f>
        <v/>
      </c>
      <c r="C1185">
        <f>IF(OR(Registro_Compras!$C$135="",Registro_Compras!$O$135=""),"",IF(Registro_Compras!$F$135="RHE",IF(Registro_Compras!$V$135=0,"","40172"),IF(Registro_Compras!$F$135="NOTA DE CREDITO",IF(Registro_Compras!$M$135="","63",Registro_Compras!$M$135),IF(Registro_Compras!$K$135=0,"","40111"))))</f>
        <v/>
      </c>
      <c r="D1185">
        <f>IF(OR(Registro_Compras!$C$135="",Registro_Compras!$O$135=""),"",IF(Registro_Compras!$F$135="RHE","Retencion Renta 4ta Categoria por Pagar",IF(Registro_Compras!$F$135="NOTA DE CREDITO","Gastos de Servicios Prestados por Terceros","IGV - Cuenta Propia (Credito Fiscal)")))</f>
        <v/>
      </c>
      <c r="E1185" s="20">
        <f>IF($C1185="","",IF(Registro_Compras!$F$135="FACTURA",ROUND(Registro_Compras!$K$135*Registro_Compras!$N$135,2),""))</f>
        <v/>
      </c>
      <c r="F1185" s="20">
        <f>IF($C1185="","",IF(Registro_Compras!$F$135="RHE",ROUND(Registro_Compras!$V$135*Registro_Compras!$N$135,2),IF(Registro_Compras!$F$135="NOTA DE CREDITO",ROUND(ABS(Registro_Compras!$J$135*Registro_Compras!$N$135),2),"")))</f>
        <v/>
      </c>
      <c r="G1185">
        <f>IF($C1185="","",IF(Registro_Compras!$F$135="NOTA DE CREDITO","Por la nota de credito "&amp;Registro_Compras!$C$135&amp;" de "&amp;Registro_Compras!$E$135&amp;" [PATRON POR CONFIRMAR CON CONTADOR]",IF(Registro_Compras!$F$135="RHE","Por el registro del recibo por honorarios "&amp;Registro_Compras!$C$135&amp;" de "&amp;Registro_Compras!$E$135&amp;" [PATRON POR CONFIRMAR CON CONTADOR]","Por el registro de la factura "&amp;Registro_Compras!$C$135&amp;" de "&amp;Registro_Compras!$E$135)))</f>
        <v/>
      </c>
      <c r="H1185">
        <f>IF($C1185="","",Registro_Compras!$C$135)</f>
        <v/>
      </c>
    </row>
    <row r="1186">
      <c r="A1186" s="25">
        <f>IF($C1186="","",Registro_Compras!$B$135)</f>
        <v/>
      </c>
      <c r="B1186">
        <f>IF($C1186="","","C"&amp;TEXT(INT((ROW()-5)/9)+1,"000")&amp;"-1")</f>
        <v/>
      </c>
      <c r="C1186">
        <f>IF(OR(Registro_Compras!$C$135="",Registro_Compras!$O$135=""),"",IF(Registro_Compras!$F$135="NOTA DE CREDITO",IF(Registro_Compras!$K$135=0,"","40111"),"4212"))</f>
        <v/>
      </c>
      <c r="D1186">
        <f>IF(OR(Registro_Compras!$C$135="",Registro_Compras!$O$135=""),"",IF(Registro_Compras!$F$135="NOTA DE CREDITO","IGV - Cuenta Propia (Credito Fiscal)","Cuentas por Pagar Comerciales - Terceros (Emitidas)"))</f>
        <v/>
      </c>
      <c r="E1186" s="20">
        <f>""</f>
        <v/>
      </c>
      <c r="F1186" s="20">
        <f>IF($C1186="","",IF(Registro_Compras!$F$135="NOTA DE CREDITO",ROUND(ABS(Registro_Compras!$K$135*Registro_Compras!$N$135),2),IF(Registro_Compras!$F$135="RHE",(ROUND(Registro_Compras!$L$135*Registro_Compras!$N$135,2)-ROUND(Registro_Compras!$V$135*Registro_Compras!$N$135,2)),Registro_Compras!$O$135)))</f>
        <v/>
      </c>
      <c r="G1186">
        <f>IF($C1186="","",IF(Registro_Compras!$F$135="NOTA DE CREDITO","Por la nota de credito "&amp;Registro_Compras!$C$135&amp;" de "&amp;Registro_Compras!$E$135&amp;" [PATRON POR CONFIRMAR CON CONTADOR]",IF(Registro_Compras!$F$135="RHE","Por el registro del recibo por honorarios "&amp;Registro_Compras!$C$135&amp;" de "&amp;Registro_Compras!$E$135&amp;" [PATRON POR CONFIRMAR CON CONTADOR]","Por el registro de la factura "&amp;Registro_Compras!$C$135&amp;" de "&amp;Registro_Compras!$E$135)))</f>
        <v/>
      </c>
      <c r="H1186">
        <f>IF($C1186="","",Registro_Compras!$C$135)</f>
        <v/>
      </c>
    </row>
    <row r="1187">
      <c r="A1187" s="25">
        <f>IF($C1187="","",Registro_Compras!$B$135)</f>
        <v/>
      </c>
      <c r="B1187">
        <f>IF($C1187="","","C"&amp;TEXT(INT((ROW()-5)/9)+1,"000")&amp;"-2")</f>
        <v/>
      </c>
      <c r="C1187">
        <f>IF(OR(Registro_Compras!$C$135="",Registro_Compras!$O$135=""),"",IF(Registro_Compras!$AB$135="ADMINISTRATIVO","94","95"))</f>
        <v/>
      </c>
      <c r="D1187">
        <f>IF(OR(Registro_Compras!$C$135="",Registro_Compras!$O$135=""),"",IF(Registro_Compras!$AB$135="ADMINISTRATIVO","Gastos Administrativos","Gastos de Venta y Operacion"))</f>
        <v/>
      </c>
      <c r="E1187" s="20">
        <f>IF($C1187="","",IF(Registro_Compras!$F$135="NOTA DE CREDITO","",IF(Registro_Compras!$F$135="RHE",ROUND(Registro_Compras!$L$135*Registro_Compras!$N$135,2),ROUND(Registro_Compras!$J$135*Registro_Compras!$N$135,2))))</f>
        <v/>
      </c>
      <c r="F1187" s="20">
        <f>IF($C1187="","",IF(Registro_Compras!$F$135="NOTA DE CREDITO",ROUND(ABS(Registro_Compras!$J$135*Registro_Compras!$N$135),2),""))</f>
        <v/>
      </c>
      <c r="G1187">
        <f>IF($C1187="","","Por el destino del gasto")</f>
        <v/>
      </c>
      <c r="H1187">
        <f>IF($C1187="","",Registro_Compras!$C$135)</f>
        <v/>
      </c>
    </row>
    <row r="1188">
      <c r="A1188" s="25">
        <f>IF($C1188="","",Registro_Compras!$B$135)</f>
        <v/>
      </c>
      <c r="B1188">
        <f>IF($C1188="","","C"&amp;TEXT(INT((ROW()-5)/9)+1,"000")&amp;"-2")</f>
        <v/>
      </c>
      <c r="C1188">
        <f>IF(OR(Registro_Compras!$C$135="",Registro_Compras!$O$135=""),"","79/791")</f>
        <v/>
      </c>
      <c r="D1188">
        <f>IF(OR(Registro_Compras!$C$135="",Registro_Compras!$O$135=""),"","Cargas Imputables a Cuentas de Costos y Gastos")</f>
        <v/>
      </c>
      <c r="E1188" s="20">
        <f>IF($C1188="","",IF(Registro_Compras!$F$135="NOTA DE CREDITO",ROUND(ABS(Registro_Compras!$J$135*Registro_Compras!$N$135),2),""))</f>
        <v/>
      </c>
      <c r="F1188" s="20">
        <f>IF($C1188="","",IF(Registro_Compras!$F$135="NOTA DE CREDITO","",IF(Registro_Compras!$F$135="RHE",ROUND(Registro_Compras!$L$135*Registro_Compras!$N$135,2),ROUND(Registro_Compras!$J$135*Registro_Compras!$N$135,2))))</f>
        <v/>
      </c>
      <c r="G1188">
        <f>IF($C1188="","","Por el destino del gasto")</f>
        <v/>
      </c>
      <c r="H1188">
        <f>IF($C1188="","",Registro_Compras!$C$135)</f>
        <v/>
      </c>
    </row>
    <row r="1189">
      <c r="A1189" s="25">
        <f>IF($C1189="","",Registro_Compras!$X$135)</f>
        <v/>
      </c>
      <c r="B1189">
        <f>IF($C1189="","","C"&amp;TEXT(INT((ROW()-5)/9)+1,"000")&amp;"-3")</f>
        <v/>
      </c>
      <c r="C1189">
        <f>IF(OR(Registro_Compras!$C$135="",Registro_Compras!$O$135="",Registro_Compras!$R$135&lt;&gt;"SI",Registro_Compras!$X$135=""),"","4212")</f>
        <v/>
      </c>
      <c r="D1189">
        <f>IF(OR(Registro_Compras!$C$135="",Registro_Compras!$O$135=""),"","Cuentas por Pagar Comerciales - Terceros")</f>
        <v/>
      </c>
      <c r="E1189" s="20">
        <f>IF($C1189="","",Registro_Compras!$S$135)</f>
        <v/>
      </c>
      <c r="F1189" s="20">
        <f>""</f>
        <v/>
      </c>
      <c r="G1189">
        <f>IF($C1189="","","Por el deposito de la detraccion en el Banco de la Nacion")</f>
        <v/>
      </c>
      <c r="H1189">
        <f>IF($C1189="","",Registro_Compras!$C$135)</f>
        <v/>
      </c>
    </row>
    <row r="1190">
      <c r="A1190" s="25">
        <f>IF($C1190="","",Registro_Compras!$X$135)</f>
        <v/>
      </c>
      <c r="B1190">
        <f>IF($C1190="","","C"&amp;TEXT(INT((ROW()-5)/9)+1,"000")&amp;"-3")</f>
        <v/>
      </c>
      <c r="C1190">
        <f>IF(OR(Registro_Compras!$C$135="",Registro_Compras!$O$135="",Registro_Compras!$R$135&lt;&gt;"SI",Registro_Compras!$X$135=""),"","10413")</f>
        <v/>
      </c>
      <c r="D1190">
        <f>IF(OR(Registro_Compras!$C$135="",Registro_Compras!$O$135=""),"","Efectivo y Equivalentes - Cta. Cte. Operativa")</f>
        <v/>
      </c>
      <c r="E1190" s="20">
        <f>""</f>
        <v/>
      </c>
      <c r="F1190" s="20">
        <f>IF($C1190="","",Registro_Compras!$S$135)</f>
        <v/>
      </c>
      <c r="G1190">
        <f>IF($C1190="","","Por el deposito de la detraccion en el Banco de la Nacion")</f>
        <v/>
      </c>
      <c r="H1190">
        <f>IF($C1190="","",Registro_Compras!$C$135)</f>
        <v/>
      </c>
    </row>
    <row r="1191">
      <c r="A1191" s="25">
        <f>IF($C1191="","",Registro_Compras!$Y$135)</f>
        <v/>
      </c>
      <c r="B1191">
        <f>IF($C1191="","","C"&amp;TEXT(INT((ROW()-5)/9)+1,"000")&amp;"-4")</f>
        <v/>
      </c>
      <c r="C1191">
        <f>IF(OR(Registro_Compras!$C$135="",Registro_Compras!$O$135="",Registro_Compras!$Y$135="",Registro_Compras!$F$135="NOTA DE CREDITO"),"","4212")</f>
        <v/>
      </c>
      <c r="D1191">
        <f>IF(OR(Registro_Compras!$C$135="",Registro_Compras!$O$135=""),"","Cuentas por Pagar Comerciales - Terceros")</f>
        <v/>
      </c>
      <c r="E1191" s="20">
        <f>IF($C1191="","",IF(Registro_Compras!$F$135="RHE",(ROUND(Registro_Compras!$L$135*Registro_Compras!$N$135,2)-ROUND(Registro_Compras!$V$135*Registro_Compras!$N$135,2)),ROUND(Registro_Compras!$O$135-Registro_Compras!$S$135,2)))</f>
        <v/>
      </c>
      <c r="F1191" s="20">
        <f>""</f>
        <v/>
      </c>
      <c r="G1191">
        <f>IF($C1191="","","Por la cancelacion del saldo al proveedor")</f>
        <v/>
      </c>
      <c r="H1191">
        <f>IF($C1191="","",Registro_Compras!$C$135)</f>
        <v/>
      </c>
    </row>
    <row r="1192">
      <c r="A1192" s="25">
        <f>IF($C1192="","",Registro_Compras!$Y$135)</f>
        <v/>
      </c>
      <c r="B1192">
        <f>IF($C1192="","","C"&amp;TEXT(INT((ROW()-5)/9)+1,"000")&amp;"-4")</f>
        <v/>
      </c>
      <c r="C1192">
        <f>IF(OR(Registro_Compras!$C$135="",Registro_Compras!$O$135="",Registro_Compras!$Y$135="",Registro_Compras!$F$135="NOTA DE CREDITO"),"","10413")</f>
        <v/>
      </c>
      <c r="D1192">
        <f>IF(OR(Registro_Compras!$C$135="",Registro_Compras!$O$135=""),"","Efectivo y Equivalentes - Cta. Cte. Operativa")</f>
        <v/>
      </c>
      <c r="E1192" s="20">
        <f>""</f>
        <v/>
      </c>
      <c r="F1192" s="20">
        <f>IF($C1192="","",IF(Registro_Compras!$F$135="RHE",(ROUND(Registro_Compras!$L$135*Registro_Compras!$N$135,2)-ROUND(Registro_Compras!$V$135*Registro_Compras!$N$135,2)),ROUND(Registro_Compras!$O$135-Registro_Compras!$S$135,2)))</f>
        <v/>
      </c>
      <c r="G1192">
        <f>IF($C1192="","","Por la cancelacion del saldo al proveedor")</f>
        <v/>
      </c>
      <c r="H1192">
        <f>IF($C1192="","",Registro_Compras!$C$135)</f>
        <v/>
      </c>
    </row>
    <row r="1193">
      <c r="A1193" s="25">
        <f>IF($C1193="","",Registro_Compras!$B$136)</f>
        <v/>
      </c>
      <c r="B1193">
        <f>IF($C1193="","","C"&amp;TEXT(INT((ROW()-5)/9)+1,"000")&amp;"-1")</f>
        <v/>
      </c>
      <c r="C1193">
        <f>IF(OR(Registro_Compras!$C$136="",Registro_Compras!$O$136=""),"",IF(Registro_Compras!$F$136="NOTA DE CREDITO","4212",IF(Registro_Compras!$M$136="","63",Registro_Compras!$M$136)))</f>
        <v/>
      </c>
      <c r="D1193">
        <f>IF(OR(Registro_Compras!$C$136="",Registro_Compras!$O$136=""),"",IF(Registro_Compras!$F$136="NOTA DE CREDITO","Cuentas por Pagar Comerciales - Terceros (Emitidas)",IF(Registro_Compras!$F$136="RHE","Honorarios Profesionales - Servicios de Terceros","Gastos de Servicios Prestados por Terceros")))</f>
        <v/>
      </c>
      <c r="E1193" s="20">
        <f>IF($C1193="","",IF(Registro_Compras!$F$136="NOTA DE CREDITO",ABS(Registro_Compras!$O$136),IF(Registro_Compras!$F$136="RHE",ROUND(Registro_Compras!$L$136*Registro_Compras!$N$136,2),ROUND(Registro_Compras!$J$136*Registro_Compras!$N$136,2))))</f>
        <v/>
      </c>
      <c r="F1193" s="20">
        <f>""</f>
        <v/>
      </c>
      <c r="G1193">
        <f>IF($C1193="","",IF(Registro_Compras!$F$136="NOTA DE CREDITO","Por la nota de credito "&amp;Registro_Compras!$C$136&amp;" de "&amp;Registro_Compras!$E$136&amp;" [PATRON POR CONFIRMAR CON CONTADOR]",IF(Registro_Compras!$F$136="RHE","Por el registro del recibo por honorarios "&amp;Registro_Compras!$C$136&amp;" de "&amp;Registro_Compras!$E$136&amp;" [PATRON POR CONFIRMAR CON CONTADOR]","Por el registro de la factura "&amp;Registro_Compras!$C$136&amp;" de "&amp;Registro_Compras!$E$136)))</f>
        <v/>
      </c>
      <c r="H1193">
        <f>IF($C1193="","",Registro_Compras!$C$136)</f>
        <v/>
      </c>
    </row>
    <row r="1194">
      <c r="A1194" s="25">
        <f>IF($C1194="","",Registro_Compras!$B$136)</f>
        <v/>
      </c>
      <c r="B1194">
        <f>IF($C1194="","","C"&amp;TEXT(INT((ROW()-5)/9)+1,"000")&amp;"-1")</f>
        <v/>
      </c>
      <c r="C1194">
        <f>IF(OR(Registro_Compras!$C$136="",Registro_Compras!$O$136=""),"",IF(Registro_Compras!$F$136="RHE",IF(Registro_Compras!$V$136=0,"","40172"),IF(Registro_Compras!$F$136="NOTA DE CREDITO",IF(Registro_Compras!$M$136="","63",Registro_Compras!$M$136),IF(Registro_Compras!$K$136=0,"","40111"))))</f>
        <v/>
      </c>
      <c r="D1194">
        <f>IF(OR(Registro_Compras!$C$136="",Registro_Compras!$O$136=""),"",IF(Registro_Compras!$F$136="RHE","Retencion Renta 4ta Categoria por Pagar",IF(Registro_Compras!$F$136="NOTA DE CREDITO","Gastos de Servicios Prestados por Terceros","IGV - Cuenta Propia (Credito Fiscal)")))</f>
        <v/>
      </c>
      <c r="E1194" s="20">
        <f>IF($C1194="","",IF(Registro_Compras!$F$136="FACTURA",ROUND(Registro_Compras!$K$136*Registro_Compras!$N$136,2),""))</f>
        <v/>
      </c>
      <c r="F1194" s="20">
        <f>IF($C1194="","",IF(Registro_Compras!$F$136="RHE",ROUND(Registro_Compras!$V$136*Registro_Compras!$N$136,2),IF(Registro_Compras!$F$136="NOTA DE CREDITO",ROUND(ABS(Registro_Compras!$J$136*Registro_Compras!$N$136),2),"")))</f>
        <v/>
      </c>
      <c r="G1194">
        <f>IF($C1194="","",IF(Registro_Compras!$F$136="NOTA DE CREDITO","Por la nota de credito "&amp;Registro_Compras!$C$136&amp;" de "&amp;Registro_Compras!$E$136&amp;" [PATRON POR CONFIRMAR CON CONTADOR]",IF(Registro_Compras!$F$136="RHE","Por el registro del recibo por honorarios "&amp;Registro_Compras!$C$136&amp;" de "&amp;Registro_Compras!$E$136&amp;" [PATRON POR CONFIRMAR CON CONTADOR]","Por el registro de la factura "&amp;Registro_Compras!$C$136&amp;" de "&amp;Registro_Compras!$E$136)))</f>
        <v/>
      </c>
      <c r="H1194">
        <f>IF($C1194="","",Registro_Compras!$C$136)</f>
        <v/>
      </c>
    </row>
    <row r="1195">
      <c r="A1195" s="25">
        <f>IF($C1195="","",Registro_Compras!$B$136)</f>
        <v/>
      </c>
      <c r="B1195">
        <f>IF($C1195="","","C"&amp;TEXT(INT((ROW()-5)/9)+1,"000")&amp;"-1")</f>
        <v/>
      </c>
      <c r="C1195">
        <f>IF(OR(Registro_Compras!$C$136="",Registro_Compras!$O$136=""),"",IF(Registro_Compras!$F$136="NOTA DE CREDITO",IF(Registro_Compras!$K$136=0,"","40111"),"4212"))</f>
        <v/>
      </c>
      <c r="D1195">
        <f>IF(OR(Registro_Compras!$C$136="",Registro_Compras!$O$136=""),"",IF(Registro_Compras!$F$136="NOTA DE CREDITO","IGV - Cuenta Propia (Credito Fiscal)","Cuentas por Pagar Comerciales - Terceros (Emitidas)"))</f>
        <v/>
      </c>
      <c r="E1195" s="20">
        <f>""</f>
        <v/>
      </c>
      <c r="F1195" s="20">
        <f>IF($C1195="","",IF(Registro_Compras!$F$136="NOTA DE CREDITO",ROUND(ABS(Registro_Compras!$K$136*Registro_Compras!$N$136),2),IF(Registro_Compras!$F$136="RHE",(ROUND(Registro_Compras!$L$136*Registro_Compras!$N$136,2)-ROUND(Registro_Compras!$V$136*Registro_Compras!$N$136,2)),Registro_Compras!$O$136)))</f>
        <v/>
      </c>
      <c r="G1195">
        <f>IF($C1195="","",IF(Registro_Compras!$F$136="NOTA DE CREDITO","Por la nota de credito "&amp;Registro_Compras!$C$136&amp;" de "&amp;Registro_Compras!$E$136&amp;" [PATRON POR CONFIRMAR CON CONTADOR]",IF(Registro_Compras!$F$136="RHE","Por el registro del recibo por honorarios "&amp;Registro_Compras!$C$136&amp;" de "&amp;Registro_Compras!$E$136&amp;" [PATRON POR CONFIRMAR CON CONTADOR]","Por el registro de la factura "&amp;Registro_Compras!$C$136&amp;" de "&amp;Registro_Compras!$E$136)))</f>
        <v/>
      </c>
      <c r="H1195">
        <f>IF($C1195="","",Registro_Compras!$C$136)</f>
        <v/>
      </c>
    </row>
    <row r="1196">
      <c r="A1196" s="25">
        <f>IF($C1196="","",Registro_Compras!$B$136)</f>
        <v/>
      </c>
      <c r="B1196">
        <f>IF($C1196="","","C"&amp;TEXT(INT((ROW()-5)/9)+1,"000")&amp;"-2")</f>
        <v/>
      </c>
      <c r="C1196">
        <f>IF(OR(Registro_Compras!$C$136="",Registro_Compras!$O$136=""),"",IF(Registro_Compras!$AB$136="ADMINISTRATIVO","94","95"))</f>
        <v/>
      </c>
      <c r="D1196">
        <f>IF(OR(Registro_Compras!$C$136="",Registro_Compras!$O$136=""),"",IF(Registro_Compras!$AB$136="ADMINISTRATIVO","Gastos Administrativos","Gastos de Venta y Operacion"))</f>
        <v/>
      </c>
      <c r="E1196" s="20">
        <f>IF($C1196="","",IF(Registro_Compras!$F$136="NOTA DE CREDITO","",IF(Registro_Compras!$F$136="RHE",ROUND(Registro_Compras!$L$136*Registro_Compras!$N$136,2),ROUND(Registro_Compras!$J$136*Registro_Compras!$N$136,2))))</f>
        <v/>
      </c>
      <c r="F1196" s="20">
        <f>IF($C1196="","",IF(Registro_Compras!$F$136="NOTA DE CREDITO",ROUND(ABS(Registro_Compras!$J$136*Registro_Compras!$N$136),2),""))</f>
        <v/>
      </c>
      <c r="G1196">
        <f>IF($C1196="","","Por el destino del gasto")</f>
        <v/>
      </c>
      <c r="H1196">
        <f>IF($C1196="","",Registro_Compras!$C$136)</f>
        <v/>
      </c>
    </row>
    <row r="1197">
      <c r="A1197" s="25">
        <f>IF($C1197="","",Registro_Compras!$B$136)</f>
        <v/>
      </c>
      <c r="B1197">
        <f>IF($C1197="","","C"&amp;TEXT(INT((ROW()-5)/9)+1,"000")&amp;"-2")</f>
        <v/>
      </c>
      <c r="C1197">
        <f>IF(OR(Registro_Compras!$C$136="",Registro_Compras!$O$136=""),"","79/791")</f>
        <v/>
      </c>
      <c r="D1197">
        <f>IF(OR(Registro_Compras!$C$136="",Registro_Compras!$O$136=""),"","Cargas Imputables a Cuentas de Costos y Gastos")</f>
        <v/>
      </c>
      <c r="E1197" s="20">
        <f>IF($C1197="","",IF(Registro_Compras!$F$136="NOTA DE CREDITO",ROUND(ABS(Registro_Compras!$J$136*Registro_Compras!$N$136),2),""))</f>
        <v/>
      </c>
      <c r="F1197" s="20">
        <f>IF($C1197="","",IF(Registro_Compras!$F$136="NOTA DE CREDITO","",IF(Registro_Compras!$F$136="RHE",ROUND(Registro_Compras!$L$136*Registro_Compras!$N$136,2),ROUND(Registro_Compras!$J$136*Registro_Compras!$N$136,2))))</f>
        <v/>
      </c>
      <c r="G1197">
        <f>IF($C1197="","","Por el destino del gasto")</f>
        <v/>
      </c>
      <c r="H1197">
        <f>IF($C1197="","",Registro_Compras!$C$136)</f>
        <v/>
      </c>
    </row>
    <row r="1198">
      <c r="A1198" s="25">
        <f>IF($C1198="","",Registro_Compras!$X$136)</f>
        <v/>
      </c>
      <c r="B1198">
        <f>IF($C1198="","","C"&amp;TEXT(INT((ROW()-5)/9)+1,"000")&amp;"-3")</f>
        <v/>
      </c>
      <c r="C1198">
        <f>IF(OR(Registro_Compras!$C$136="",Registro_Compras!$O$136="",Registro_Compras!$R$136&lt;&gt;"SI",Registro_Compras!$X$136=""),"","4212")</f>
        <v/>
      </c>
      <c r="D1198">
        <f>IF(OR(Registro_Compras!$C$136="",Registro_Compras!$O$136=""),"","Cuentas por Pagar Comerciales - Terceros")</f>
        <v/>
      </c>
      <c r="E1198" s="20">
        <f>IF($C1198="","",Registro_Compras!$S$136)</f>
        <v/>
      </c>
      <c r="F1198" s="20">
        <f>""</f>
        <v/>
      </c>
      <c r="G1198">
        <f>IF($C1198="","","Por el deposito de la detraccion en el Banco de la Nacion")</f>
        <v/>
      </c>
      <c r="H1198">
        <f>IF($C1198="","",Registro_Compras!$C$136)</f>
        <v/>
      </c>
    </row>
    <row r="1199">
      <c r="A1199" s="25">
        <f>IF($C1199="","",Registro_Compras!$X$136)</f>
        <v/>
      </c>
      <c r="B1199">
        <f>IF($C1199="","","C"&amp;TEXT(INT((ROW()-5)/9)+1,"000")&amp;"-3")</f>
        <v/>
      </c>
      <c r="C1199">
        <f>IF(OR(Registro_Compras!$C$136="",Registro_Compras!$O$136="",Registro_Compras!$R$136&lt;&gt;"SI",Registro_Compras!$X$136=""),"","10413")</f>
        <v/>
      </c>
      <c r="D1199">
        <f>IF(OR(Registro_Compras!$C$136="",Registro_Compras!$O$136=""),"","Efectivo y Equivalentes - Cta. Cte. Operativa")</f>
        <v/>
      </c>
      <c r="E1199" s="20">
        <f>""</f>
        <v/>
      </c>
      <c r="F1199" s="20">
        <f>IF($C1199="","",Registro_Compras!$S$136)</f>
        <v/>
      </c>
      <c r="G1199">
        <f>IF($C1199="","","Por el deposito de la detraccion en el Banco de la Nacion")</f>
        <v/>
      </c>
      <c r="H1199">
        <f>IF($C1199="","",Registro_Compras!$C$136)</f>
        <v/>
      </c>
    </row>
    <row r="1200">
      <c r="A1200" s="25">
        <f>IF($C1200="","",Registro_Compras!$Y$136)</f>
        <v/>
      </c>
      <c r="B1200">
        <f>IF($C1200="","","C"&amp;TEXT(INT((ROW()-5)/9)+1,"000")&amp;"-4")</f>
        <v/>
      </c>
      <c r="C1200">
        <f>IF(OR(Registro_Compras!$C$136="",Registro_Compras!$O$136="",Registro_Compras!$Y$136="",Registro_Compras!$F$136="NOTA DE CREDITO"),"","4212")</f>
        <v/>
      </c>
      <c r="D1200">
        <f>IF(OR(Registro_Compras!$C$136="",Registro_Compras!$O$136=""),"","Cuentas por Pagar Comerciales - Terceros")</f>
        <v/>
      </c>
      <c r="E1200" s="20">
        <f>IF($C1200="","",IF(Registro_Compras!$F$136="RHE",(ROUND(Registro_Compras!$L$136*Registro_Compras!$N$136,2)-ROUND(Registro_Compras!$V$136*Registro_Compras!$N$136,2)),ROUND(Registro_Compras!$O$136-Registro_Compras!$S$136,2)))</f>
        <v/>
      </c>
      <c r="F1200" s="20">
        <f>""</f>
        <v/>
      </c>
      <c r="G1200">
        <f>IF($C1200="","","Por la cancelacion del saldo al proveedor")</f>
        <v/>
      </c>
      <c r="H1200">
        <f>IF($C1200="","",Registro_Compras!$C$136)</f>
        <v/>
      </c>
    </row>
    <row r="1201">
      <c r="A1201" s="25">
        <f>IF($C1201="","",Registro_Compras!$Y$136)</f>
        <v/>
      </c>
      <c r="B1201">
        <f>IF($C1201="","","C"&amp;TEXT(INT((ROW()-5)/9)+1,"000")&amp;"-4")</f>
        <v/>
      </c>
      <c r="C1201">
        <f>IF(OR(Registro_Compras!$C$136="",Registro_Compras!$O$136="",Registro_Compras!$Y$136="",Registro_Compras!$F$136="NOTA DE CREDITO"),"","10413")</f>
        <v/>
      </c>
      <c r="D1201">
        <f>IF(OR(Registro_Compras!$C$136="",Registro_Compras!$O$136=""),"","Efectivo y Equivalentes - Cta. Cte. Operativa")</f>
        <v/>
      </c>
      <c r="E1201" s="20">
        <f>""</f>
        <v/>
      </c>
      <c r="F1201" s="20">
        <f>IF($C1201="","",IF(Registro_Compras!$F$136="RHE",(ROUND(Registro_Compras!$L$136*Registro_Compras!$N$136,2)-ROUND(Registro_Compras!$V$136*Registro_Compras!$N$136,2)),ROUND(Registro_Compras!$O$136-Registro_Compras!$S$136,2)))</f>
        <v/>
      </c>
      <c r="G1201">
        <f>IF($C1201="","","Por la cancelacion del saldo al proveedor")</f>
        <v/>
      </c>
      <c r="H1201">
        <f>IF($C1201="","",Registro_Compras!$C$136)</f>
        <v/>
      </c>
    </row>
    <row r="1202">
      <c r="A1202" s="25">
        <f>IF($C1202="","",Registro_Compras!$B$137)</f>
        <v/>
      </c>
      <c r="B1202">
        <f>IF($C1202="","","C"&amp;TEXT(INT((ROW()-5)/9)+1,"000")&amp;"-1")</f>
        <v/>
      </c>
      <c r="C1202">
        <f>IF(OR(Registro_Compras!$C$137="",Registro_Compras!$O$137=""),"",IF(Registro_Compras!$F$137="NOTA DE CREDITO","4212",IF(Registro_Compras!$M$137="","63",Registro_Compras!$M$137)))</f>
        <v/>
      </c>
      <c r="D1202">
        <f>IF(OR(Registro_Compras!$C$137="",Registro_Compras!$O$137=""),"",IF(Registro_Compras!$F$137="NOTA DE CREDITO","Cuentas por Pagar Comerciales - Terceros (Emitidas)",IF(Registro_Compras!$F$137="RHE","Honorarios Profesionales - Servicios de Terceros","Gastos de Servicios Prestados por Terceros")))</f>
        <v/>
      </c>
      <c r="E1202" s="20">
        <f>IF($C1202="","",IF(Registro_Compras!$F$137="NOTA DE CREDITO",ABS(Registro_Compras!$O$137),IF(Registro_Compras!$F$137="RHE",ROUND(Registro_Compras!$L$137*Registro_Compras!$N$137,2),ROUND(Registro_Compras!$J$137*Registro_Compras!$N$137,2))))</f>
        <v/>
      </c>
      <c r="F1202" s="20">
        <f>""</f>
        <v/>
      </c>
      <c r="G1202">
        <f>IF($C1202="","",IF(Registro_Compras!$F$137="NOTA DE CREDITO","Por la nota de credito "&amp;Registro_Compras!$C$137&amp;" de "&amp;Registro_Compras!$E$137&amp;" [PATRON POR CONFIRMAR CON CONTADOR]",IF(Registro_Compras!$F$137="RHE","Por el registro del recibo por honorarios "&amp;Registro_Compras!$C$137&amp;" de "&amp;Registro_Compras!$E$137&amp;" [PATRON POR CONFIRMAR CON CONTADOR]","Por el registro de la factura "&amp;Registro_Compras!$C$137&amp;" de "&amp;Registro_Compras!$E$137)))</f>
        <v/>
      </c>
      <c r="H1202">
        <f>IF($C1202="","",Registro_Compras!$C$137)</f>
        <v/>
      </c>
    </row>
    <row r="1203">
      <c r="A1203" s="25">
        <f>IF($C1203="","",Registro_Compras!$B$137)</f>
        <v/>
      </c>
      <c r="B1203">
        <f>IF($C1203="","","C"&amp;TEXT(INT((ROW()-5)/9)+1,"000")&amp;"-1")</f>
        <v/>
      </c>
      <c r="C1203">
        <f>IF(OR(Registro_Compras!$C$137="",Registro_Compras!$O$137=""),"",IF(Registro_Compras!$F$137="RHE",IF(Registro_Compras!$V$137=0,"","40172"),IF(Registro_Compras!$F$137="NOTA DE CREDITO",IF(Registro_Compras!$M$137="","63",Registro_Compras!$M$137),IF(Registro_Compras!$K$137=0,"","40111"))))</f>
        <v/>
      </c>
      <c r="D1203">
        <f>IF(OR(Registro_Compras!$C$137="",Registro_Compras!$O$137=""),"",IF(Registro_Compras!$F$137="RHE","Retencion Renta 4ta Categoria por Pagar",IF(Registro_Compras!$F$137="NOTA DE CREDITO","Gastos de Servicios Prestados por Terceros","IGV - Cuenta Propia (Credito Fiscal)")))</f>
        <v/>
      </c>
      <c r="E1203" s="20">
        <f>IF($C1203="","",IF(Registro_Compras!$F$137="FACTURA",ROUND(Registro_Compras!$K$137*Registro_Compras!$N$137,2),""))</f>
        <v/>
      </c>
      <c r="F1203" s="20">
        <f>IF($C1203="","",IF(Registro_Compras!$F$137="RHE",ROUND(Registro_Compras!$V$137*Registro_Compras!$N$137,2),IF(Registro_Compras!$F$137="NOTA DE CREDITO",ROUND(ABS(Registro_Compras!$J$137*Registro_Compras!$N$137),2),"")))</f>
        <v/>
      </c>
      <c r="G1203">
        <f>IF($C1203="","",IF(Registro_Compras!$F$137="NOTA DE CREDITO","Por la nota de credito "&amp;Registro_Compras!$C$137&amp;" de "&amp;Registro_Compras!$E$137&amp;" [PATRON POR CONFIRMAR CON CONTADOR]",IF(Registro_Compras!$F$137="RHE","Por el registro del recibo por honorarios "&amp;Registro_Compras!$C$137&amp;" de "&amp;Registro_Compras!$E$137&amp;" [PATRON POR CONFIRMAR CON CONTADOR]","Por el registro de la factura "&amp;Registro_Compras!$C$137&amp;" de "&amp;Registro_Compras!$E$137)))</f>
        <v/>
      </c>
      <c r="H1203">
        <f>IF($C1203="","",Registro_Compras!$C$137)</f>
        <v/>
      </c>
    </row>
    <row r="1204">
      <c r="A1204" s="25">
        <f>IF($C1204="","",Registro_Compras!$B$137)</f>
        <v/>
      </c>
      <c r="B1204">
        <f>IF($C1204="","","C"&amp;TEXT(INT((ROW()-5)/9)+1,"000")&amp;"-1")</f>
        <v/>
      </c>
      <c r="C1204">
        <f>IF(OR(Registro_Compras!$C$137="",Registro_Compras!$O$137=""),"",IF(Registro_Compras!$F$137="NOTA DE CREDITO",IF(Registro_Compras!$K$137=0,"","40111"),"4212"))</f>
        <v/>
      </c>
      <c r="D1204">
        <f>IF(OR(Registro_Compras!$C$137="",Registro_Compras!$O$137=""),"",IF(Registro_Compras!$F$137="NOTA DE CREDITO","IGV - Cuenta Propia (Credito Fiscal)","Cuentas por Pagar Comerciales - Terceros (Emitidas)"))</f>
        <v/>
      </c>
      <c r="E1204" s="20">
        <f>""</f>
        <v/>
      </c>
      <c r="F1204" s="20">
        <f>IF($C1204="","",IF(Registro_Compras!$F$137="NOTA DE CREDITO",ROUND(ABS(Registro_Compras!$K$137*Registro_Compras!$N$137),2),IF(Registro_Compras!$F$137="RHE",(ROUND(Registro_Compras!$L$137*Registro_Compras!$N$137,2)-ROUND(Registro_Compras!$V$137*Registro_Compras!$N$137,2)),Registro_Compras!$O$137)))</f>
        <v/>
      </c>
      <c r="G1204">
        <f>IF($C1204="","",IF(Registro_Compras!$F$137="NOTA DE CREDITO","Por la nota de credito "&amp;Registro_Compras!$C$137&amp;" de "&amp;Registro_Compras!$E$137&amp;" [PATRON POR CONFIRMAR CON CONTADOR]",IF(Registro_Compras!$F$137="RHE","Por el registro del recibo por honorarios "&amp;Registro_Compras!$C$137&amp;" de "&amp;Registro_Compras!$E$137&amp;" [PATRON POR CONFIRMAR CON CONTADOR]","Por el registro de la factura "&amp;Registro_Compras!$C$137&amp;" de "&amp;Registro_Compras!$E$137)))</f>
        <v/>
      </c>
      <c r="H1204">
        <f>IF($C1204="","",Registro_Compras!$C$137)</f>
        <v/>
      </c>
    </row>
    <row r="1205">
      <c r="A1205" s="25">
        <f>IF($C1205="","",Registro_Compras!$B$137)</f>
        <v/>
      </c>
      <c r="B1205">
        <f>IF($C1205="","","C"&amp;TEXT(INT((ROW()-5)/9)+1,"000")&amp;"-2")</f>
        <v/>
      </c>
      <c r="C1205">
        <f>IF(OR(Registro_Compras!$C$137="",Registro_Compras!$O$137=""),"",IF(Registro_Compras!$AB$137="ADMINISTRATIVO","94","95"))</f>
        <v/>
      </c>
      <c r="D1205">
        <f>IF(OR(Registro_Compras!$C$137="",Registro_Compras!$O$137=""),"",IF(Registro_Compras!$AB$137="ADMINISTRATIVO","Gastos Administrativos","Gastos de Venta y Operacion"))</f>
        <v/>
      </c>
      <c r="E1205" s="20">
        <f>IF($C1205="","",IF(Registro_Compras!$F$137="NOTA DE CREDITO","",IF(Registro_Compras!$F$137="RHE",ROUND(Registro_Compras!$L$137*Registro_Compras!$N$137,2),ROUND(Registro_Compras!$J$137*Registro_Compras!$N$137,2))))</f>
        <v/>
      </c>
      <c r="F1205" s="20">
        <f>IF($C1205="","",IF(Registro_Compras!$F$137="NOTA DE CREDITO",ROUND(ABS(Registro_Compras!$J$137*Registro_Compras!$N$137),2),""))</f>
        <v/>
      </c>
      <c r="G1205">
        <f>IF($C1205="","","Por el destino del gasto")</f>
        <v/>
      </c>
      <c r="H1205">
        <f>IF($C1205="","",Registro_Compras!$C$137)</f>
        <v/>
      </c>
    </row>
    <row r="1206">
      <c r="A1206" s="25">
        <f>IF($C1206="","",Registro_Compras!$B$137)</f>
        <v/>
      </c>
      <c r="B1206">
        <f>IF($C1206="","","C"&amp;TEXT(INT((ROW()-5)/9)+1,"000")&amp;"-2")</f>
        <v/>
      </c>
      <c r="C1206">
        <f>IF(OR(Registro_Compras!$C$137="",Registro_Compras!$O$137=""),"","79/791")</f>
        <v/>
      </c>
      <c r="D1206">
        <f>IF(OR(Registro_Compras!$C$137="",Registro_Compras!$O$137=""),"","Cargas Imputables a Cuentas de Costos y Gastos")</f>
        <v/>
      </c>
      <c r="E1206" s="20">
        <f>IF($C1206="","",IF(Registro_Compras!$F$137="NOTA DE CREDITO",ROUND(ABS(Registro_Compras!$J$137*Registro_Compras!$N$137),2),""))</f>
        <v/>
      </c>
      <c r="F1206" s="20">
        <f>IF($C1206="","",IF(Registro_Compras!$F$137="NOTA DE CREDITO","",IF(Registro_Compras!$F$137="RHE",ROUND(Registro_Compras!$L$137*Registro_Compras!$N$137,2),ROUND(Registro_Compras!$J$137*Registro_Compras!$N$137,2))))</f>
        <v/>
      </c>
      <c r="G1206">
        <f>IF($C1206="","","Por el destino del gasto")</f>
        <v/>
      </c>
      <c r="H1206">
        <f>IF($C1206="","",Registro_Compras!$C$137)</f>
        <v/>
      </c>
    </row>
    <row r="1207">
      <c r="A1207" s="25">
        <f>IF($C1207="","",Registro_Compras!$X$137)</f>
        <v/>
      </c>
      <c r="B1207">
        <f>IF($C1207="","","C"&amp;TEXT(INT((ROW()-5)/9)+1,"000")&amp;"-3")</f>
        <v/>
      </c>
      <c r="C1207">
        <f>IF(OR(Registro_Compras!$C$137="",Registro_Compras!$O$137="",Registro_Compras!$R$137&lt;&gt;"SI",Registro_Compras!$X$137=""),"","4212")</f>
        <v/>
      </c>
      <c r="D1207">
        <f>IF(OR(Registro_Compras!$C$137="",Registro_Compras!$O$137=""),"","Cuentas por Pagar Comerciales - Terceros")</f>
        <v/>
      </c>
      <c r="E1207" s="20">
        <f>IF($C1207="","",Registro_Compras!$S$137)</f>
        <v/>
      </c>
      <c r="F1207" s="20">
        <f>""</f>
        <v/>
      </c>
      <c r="G1207">
        <f>IF($C1207="","","Por el deposito de la detraccion en el Banco de la Nacion")</f>
        <v/>
      </c>
      <c r="H1207">
        <f>IF($C1207="","",Registro_Compras!$C$137)</f>
        <v/>
      </c>
    </row>
    <row r="1208">
      <c r="A1208" s="25">
        <f>IF($C1208="","",Registro_Compras!$X$137)</f>
        <v/>
      </c>
      <c r="B1208">
        <f>IF($C1208="","","C"&amp;TEXT(INT((ROW()-5)/9)+1,"000")&amp;"-3")</f>
        <v/>
      </c>
      <c r="C1208">
        <f>IF(OR(Registro_Compras!$C$137="",Registro_Compras!$O$137="",Registro_Compras!$R$137&lt;&gt;"SI",Registro_Compras!$X$137=""),"","10413")</f>
        <v/>
      </c>
      <c r="D1208">
        <f>IF(OR(Registro_Compras!$C$137="",Registro_Compras!$O$137=""),"","Efectivo y Equivalentes - Cta. Cte. Operativa")</f>
        <v/>
      </c>
      <c r="E1208" s="20">
        <f>""</f>
        <v/>
      </c>
      <c r="F1208" s="20">
        <f>IF($C1208="","",Registro_Compras!$S$137)</f>
        <v/>
      </c>
      <c r="G1208">
        <f>IF($C1208="","","Por el deposito de la detraccion en el Banco de la Nacion")</f>
        <v/>
      </c>
      <c r="H1208">
        <f>IF($C1208="","",Registro_Compras!$C$137)</f>
        <v/>
      </c>
    </row>
    <row r="1209">
      <c r="A1209" s="25">
        <f>IF($C1209="","",Registro_Compras!$Y$137)</f>
        <v/>
      </c>
      <c r="B1209">
        <f>IF($C1209="","","C"&amp;TEXT(INT((ROW()-5)/9)+1,"000")&amp;"-4")</f>
        <v/>
      </c>
      <c r="C1209">
        <f>IF(OR(Registro_Compras!$C$137="",Registro_Compras!$O$137="",Registro_Compras!$Y$137="",Registro_Compras!$F$137="NOTA DE CREDITO"),"","4212")</f>
        <v/>
      </c>
      <c r="D1209">
        <f>IF(OR(Registro_Compras!$C$137="",Registro_Compras!$O$137=""),"","Cuentas por Pagar Comerciales - Terceros")</f>
        <v/>
      </c>
      <c r="E1209" s="20">
        <f>IF($C1209="","",IF(Registro_Compras!$F$137="RHE",(ROUND(Registro_Compras!$L$137*Registro_Compras!$N$137,2)-ROUND(Registro_Compras!$V$137*Registro_Compras!$N$137,2)),ROUND(Registro_Compras!$O$137-Registro_Compras!$S$137,2)))</f>
        <v/>
      </c>
      <c r="F1209" s="20">
        <f>""</f>
        <v/>
      </c>
      <c r="G1209">
        <f>IF($C1209="","","Por la cancelacion del saldo al proveedor")</f>
        <v/>
      </c>
      <c r="H1209">
        <f>IF($C1209="","",Registro_Compras!$C$137)</f>
        <v/>
      </c>
    </row>
    <row r="1210">
      <c r="A1210" s="25">
        <f>IF($C1210="","",Registro_Compras!$Y$137)</f>
        <v/>
      </c>
      <c r="B1210">
        <f>IF($C1210="","","C"&amp;TEXT(INT((ROW()-5)/9)+1,"000")&amp;"-4")</f>
        <v/>
      </c>
      <c r="C1210">
        <f>IF(OR(Registro_Compras!$C$137="",Registro_Compras!$O$137="",Registro_Compras!$Y$137="",Registro_Compras!$F$137="NOTA DE CREDITO"),"","10413")</f>
        <v/>
      </c>
      <c r="D1210">
        <f>IF(OR(Registro_Compras!$C$137="",Registro_Compras!$O$137=""),"","Efectivo y Equivalentes - Cta. Cte. Operativa")</f>
        <v/>
      </c>
      <c r="E1210" s="20">
        <f>""</f>
        <v/>
      </c>
      <c r="F1210" s="20">
        <f>IF($C1210="","",IF(Registro_Compras!$F$137="RHE",(ROUND(Registro_Compras!$L$137*Registro_Compras!$N$137,2)-ROUND(Registro_Compras!$V$137*Registro_Compras!$N$137,2)),ROUND(Registro_Compras!$O$137-Registro_Compras!$S$137,2)))</f>
        <v/>
      </c>
      <c r="G1210">
        <f>IF($C1210="","","Por la cancelacion del saldo al proveedor")</f>
        <v/>
      </c>
      <c r="H1210">
        <f>IF($C1210="","",Registro_Compras!$C$137)</f>
        <v/>
      </c>
    </row>
    <row r="1211">
      <c r="A1211" s="25">
        <f>IF($C1211="","",Registro_Compras!$B$138)</f>
        <v/>
      </c>
      <c r="B1211">
        <f>IF($C1211="","","C"&amp;TEXT(INT((ROW()-5)/9)+1,"000")&amp;"-1")</f>
        <v/>
      </c>
      <c r="C1211">
        <f>IF(OR(Registro_Compras!$C$138="",Registro_Compras!$O$138=""),"",IF(Registro_Compras!$F$138="NOTA DE CREDITO","4212",IF(Registro_Compras!$M$138="","63",Registro_Compras!$M$138)))</f>
        <v/>
      </c>
      <c r="D1211">
        <f>IF(OR(Registro_Compras!$C$138="",Registro_Compras!$O$138=""),"",IF(Registro_Compras!$F$138="NOTA DE CREDITO","Cuentas por Pagar Comerciales - Terceros (Emitidas)",IF(Registro_Compras!$F$138="RHE","Honorarios Profesionales - Servicios de Terceros","Gastos de Servicios Prestados por Terceros")))</f>
        <v/>
      </c>
      <c r="E1211" s="20">
        <f>IF($C1211="","",IF(Registro_Compras!$F$138="NOTA DE CREDITO",ABS(Registro_Compras!$O$138),IF(Registro_Compras!$F$138="RHE",ROUND(Registro_Compras!$L$138*Registro_Compras!$N$138,2),ROUND(Registro_Compras!$J$138*Registro_Compras!$N$138,2))))</f>
        <v/>
      </c>
      <c r="F1211" s="20">
        <f>""</f>
        <v/>
      </c>
      <c r="G1211">
        <f>IF($C1211="","",IF(Registro_Compras!$F$138="NOTA DE CREDITO","Por la nota de credito "&amp;Registro_Compras!$C$138&amp;" de "&amp;Registro_Compras!$E$138&amp;" [PATRON POR CONFIRMAR CON CONTADOR]",IF(Registro_Compras!$F$138="RHE","Por el registro del recibo por honorarios "&amp;Registro_Compras!$C$138&amp;" de "&amp;Registro_Compras!$E$138&amp;" [PATRON POR CONFIRMAR CON CONTADOR]","Por el registro de la factura "&amp;Registro_Compras!$C$138&amp;" de "&amp;Registro_Compras!$E$138)))</f>
        <v/>
      </c>
      <c r="H1211">
        <f>IF($C1211="","",Registro_Compras!$C$138)</f>
        <v/>
      </c>
    </row>
    <row r="1212">
      <c r="A1212" s="25">
        <f>IF($C1212="","",Registro_Compras!$B$138)</f>
        <v/>
      </c>
      <c r="B1212">
        <f>IF($C1212="","","C"&amp;TEXT(INT((ROW()-5)/9)+1,"000")&amp;"-1")</f>
        <v/>
      </c>
      <c r="C1212">
        <f>IF(OR(Registro_Compras!$C$138="",Registro_Compras!$O$138=""),"",IF(Registro_Compras!$F$138="RHE",IF(Registro_Compras!$V$138=0,"","40172"),IF(Registro_Compras!$F$138="NOTA DE CREDITO",IF(Registro_Compras!$M$138="","63",Registro_Compras!$M$138),IF(Registro_Compras!$K$138=0,"","40111"))))</f>
        <v/>
      </c>
      <c r="D1212">
        <f>IF(OR(Registro_Compras!$C$138="",Registro_Compras!$O$138=""),"",IF(Registro_Compras!$F$138="RHE","Retencion Renta 4ta Categoria por Pagar",IF(Registro_Compras!$F$138="NOTA DE CREDITO","Gastos de Servicios Prestados por Terceros","IGV - Cuenta Propia (Credito Fiscal)")))</f>
        <v/>
      </c>
      <c r="E1212" s="20">
        <f>IF($C1212="","",IF(Registro_Compras!$F$138="FACTURA",ROUND(Registro_Compras!$K$138*Registro_Compras!$N$138,2),""))</f>
        <v/>
      </c>
      <c r="F1212" s="20">
        <f>IF($C1212="","",IF(Registro_Compras!$F$138="RHE",ROUND(Registro_Compras!$V$138*Registro_Compras!$N$138,2),IF(Registro_Compras!$F$138="NOTA DE CREDITO",ROUND(ABS(Registro_Compras!$J$138*Registro_Compras!$N$138),2),"")))</f>
        <v/>
      </c>
      <c r="G1212">
        <f>IF($C1212="","",IF(Registro_Compras!$F$138="NOTA DE CREDITO","Por la nota de credito "&amp;Registro_Compras!$C$138&amp;" de "&amp;Registro_Compras!$E$138&amp;" [PATRON POR CONFIRMAR CON CONTADOR]",IF(Registro_Compras!$F$138="RHE","Por el registro del recibo por honorarios "&amp;Registro_Compras!$C$138&amp;" de "&amp;Registro_Compras!$E$138&amp;" [PATRON POR CONFIRMAR CON CONTADOR]","Por el registro de la factura "&amp;Registro_Compras!$C$138&amp;" de "&amp;Registro_Compras!$E$138)))</f>
        <v/>
      </c>
      <c r="H1212">
        <f>IF($C1212="","",Registro_Compras!$C$138)</f>
        <v/>
      </c>
    </row>
    <row r="1213">
      <c r="A1213" s="25">
        <f>IF($C1213="","",Registro_Compras!$B$138)</f>
        <v/>
      </c>
      <c r="B1213">
        <f>IF($C1213="","","C"&amp;TEXT(INT((ROW()-5)/9)+1,"000")&amp;"-1")</f>
        <v/>
      </c>
      <c r="C1213">
        <f>IF(OR(Registro_Compras!$C$138="",Registro_Compras!$O$138=""),"",IF(Registro_Compras!$F$138="NOTA DE CREDITO",IF(Registro_Compras!$K$138=0,"","40111"),"4212"))</f>
        <v/>
      </c>
      <c r="D1213">
        <f>IF(OR(Registro_Compras!$C$138="",Registro_Compras!$O$138=""),"",IF(Registro_Compras!$F$138="NOTA DE CREDITO","IGV - Cuenta Propia (Credito Fiscal)","Cuentas por Pagar Comerciales - Terceros (Emitidas)"))</f>
        <v/>
      </c>
      <c r="E1213" s="20">
        <f>""</f>
        <v/>
      </c>
      <c r="F1213" s="20">
        <f>IF($C1213="","",IF(Registro_Compras!$F$138="NOTA DE CREDITO",ROUND(ABS(Registro_Compras!$K$138*Registro_Compras!$N$138),2),IF(Registro_Compras!$F$138="RHE",(ROUND(Registro_Compras!$L$138*Registro_Compras!$N$138,2)-ROUND(Registro_Compras!$V$138*Registro_Compras!$N$138,2)),Registro_Compras!$O$138)))</f>
        <v/>
      </c>
      <c r="G1213">
        <f>IF($C1213="","",IF(Registro_Compras!$F$138="NOTA DE CREDITO","Por la nota de credito "&amp;Registro_Compras!$C$138&amp;" de "&amp;Registro_Compras!$E$138&amp;" [PATRON POR CONFIRMAR CON CONTADOR]",IF(Registro_Compras!$F$138="RHE","Por el registro del recibo por honorarios "&amp;Registro_Compras!$C$138&amp;" de "&amp;Registro_Compras!$E$138&amp;" [PATRON POR CONFIRMAR CON CONTADOR]","Por el registro de la factura "&amp;Registro_Compras!$C$138&amp;" de "&amp;Registro_Compras!$E$138)))</f>
        <v/>
      </c>
      <c r="H1213">
        <f>IF($C1213="","",Registro_Compras!$C$138)</f>
        <v/>
      </c>
    </row>
    <row r="1214">
      <c r="A1214" s="25">
        <f>IF($C1214="","",Registro_Compras!$B$138)</f>
        <v/>
      </c>
      <c r="B1214">
        <f>IF($C1214="","","C"&amp;TEXT(INT((ROW()-5)/9)+1,"000")&amp;"-2")</f>
        <v/>
      </c>
      <c r="C1214">
        <f>IF(OR(Registro_Compras!$C$138="",Registro_Compras!$O$138=""),"",IF(Registro_Compras!$AB$138="ADMINISTRATIVO","94","95"))</f>
        <v/>
      </c>
      <c r="D1214">
        <f>IF(OR(Registro_Compras!$C$138="",Registro_Compras!$O$138=""),"",IF(Registro_Compras!$AB$138="ADMINISTRATIVO","Gastos Administrativos","Gastos de Venta y Operacion"))</f>
        <v/>
      </c>
      <c r="E1214" s="20">
        <f>IF($C1214="","",IF(Registro_Compras!$F$138="NOTA DE CREDITO","",IF(Registro_Compras!$F$138="RHE",ROUND(Registro_Compras!$L$138*Registro_Compras!$N$138,2),ROUND(Registro_Compras!$J$138*Registro_Compras!$N$138,2))))</f>
        <v/>
      </c>
      <c r="F1214" s="20">
        <f>IF($C1214="","",IF(Registro_Compras!$F$138="NOTA DE CREDITO",ROUND(ABS(Registro_Compras!$J$138*Registro_Compras!$N$138),2),""))</f>
        <v/>
      </c>
      <c r="G1214">
        <f>IF($C1214="","","Por el destino del gasto")</f>
        <v/>
      </c>
      <c r="H1214">
        <f>IF($C1214="","",Registro_Compras!$C$138)</f>
        <v/>
      </c>
    </row>
    <row r="1215">
      <c r="A1215" s="25">
        <f>IF($C1215="","",Registro_Compras!$B$138)</f>
        <v/>
      </c>
      <c r="B1215">
        <f>IF($C1215="","","C"&amp;TEXT(INT((ROW()-5)/9)+1,"000")&amp;"-2")</f>
        <v/>
      </c>
      <c r="C1215">
        <f>IF(OR(Registro_Compras!$C$138="",Registro_Compras!$O$138=""),"","79/791")</f>
        <v/>
      </c>
      <c r="D1215">
        <f>IF(OR(Registro_Compras!$C$138="",Registro_Compras!$O$138=""),"","Cargas Imputables a Cuentas de Costos y Gastos")</f>
        <v/>
      </c>
      <c r="E1215" s="20">
        <f>IF($C1215="","",IF(Registro_Compras!$F$138="NOTA DE CREDITO",ROUND(ABS(Registro_Compras!$J$138*Registro_Compras!$N$138),2),""))</f>
        <v/>
      </c>
      <c r="F1215" s="20">
        <f>IF($C1215="","",IF(Registro_Compras!$F$138="NOTA DE CREDITO","",IF(Registro_Compras!$F$138="RHE",ROUND(Registro_Compras!$L$138*Registro_Compras!$N$138,2),ROUND(Registro_Compras!$J$138*Registro_Compras!$N$138,2))))</f>
        <v/>
      </c>
      <c r="G1215">
        <f>IF($C1215="","","Por el destino del gasto")</f>
        <v/>
      </c>
      <c r="H1215">
        <f>IF($C1215="","",Registro_Compras!$C$138)</f>
        <v/>
      </c>
    </row>
    <row r="1216">
      <c r="A1216" s="25">
        <f>IF($C1216="","",Registro_Compras!$X$138)</f>
        <v/>
      </c>
      <c r="B1216">
        <f>IF($C1216="","","C"&amp;TEXT(INT((ROW()-5)/9)+1,"000")&amp;"-3")</f>
        <v/>
      </c>
      <c r="C1216">
        <f>IF(OR(Registro_Compras!$C$138="",Registro_Compras!$O$138="",Registro_Compras!$R$138&lt;&gt;"SI",Registro_Compras!$X$138=""),"","4212")</f>
        <v/>
      </c>
      <c r="D1216">
        <f>IF(OR(Registro_Compras!$C$138="",Registro_Compras!$O$138=""),"","Cuentas por Pagar Comerciales - Terceros")</f>
        <v/>
      </c>
      <c r="E1216" s="20">
        <f>IF($C1216="","",Registro_Compras!$S$138)</f>
        <v/>
      </c>
      <c r="F1216" s="20">
        <f>""</f>
        <v/>
      </c>
      <c r="G1216">
        <f>IF($C1216="","","Por el deposito de la detraccion en el Banco de la Nacion")</f>
        <v/>
      </c>
      <c r="H1216">
        <f>IF($C1216="","",Registro_Compras!$C$138)</f>
        <v/>
      </c>
    </row>
    <row r="1217">
      <c r="A1217" s="25">
        <f>IF($C1217="","",Registro_Compras!$X$138)</f>
        <v/>
      </c>
      <c r="B1217">
        <f>IF($C1217="","","C"&amp;TEXT(INT((ROW()-5)/9)+1,"000")&amp;"-3")</f>
        <v/>
      </c>
      <c r="C1217">
        <f>IF(OR(Registro_Compras!$C$138="",Registro_Compras!$O$138="",Registro_Compras!$R$138&lt;&gt;"SI",Registro_Compras!$X$138=""),"","10413")</f>
        <v/>
      </c>
      <c r="D1217">
        <f>IF(OR(Registro_Compras!$C$138="",Registro_Compras!$O$138=""),"","Efectivo y Equivalentes - Cta. Cte. Operativa")</f>
        <v/>
      </c>
      <c r="E1217" s="20">
        <f>""</f>
        <v/>
      </c>
      <c r="F1217" s="20">
        <f>IF($C1217="","",Registro_Compras!$S$138)</f>
        <v/>
      </c>
      <c r="G1217">
        <f>IF($C1217="","","Por el deposito de la detraccion en el Banco de la Nacion")</f>
        <v/>
      </c>
      <c r="H1217">
        <f>IF($C1217="","",Registro_Compras!$C$138)</f>
        <v/>
      </c>
    </row>
    <row r="1218">
      <c r="A1218" s="25">
        <f>IF($C1218="","",Registro_Compras!$Y$138)</f>
        <v/>
      </c>
      <c r="B1218">
        <f>IF($C1218="","","C"&amp;TEXT(INT((ROW()-5)/9)+1,"000")&amp;"-4")</f>
        <v/>
      </c>
      <c r="C1218">
        <f>IF(OR(Registro_Compras!$C$138="",Registro_Compras!$O$138="",Registro_Compras!$Y$138="",Registro_Compras!$F$138="NOTA DE CREDITO"),"","4212")</f>
        <v/>
      </c>
      <c r="D1218">
        <f>IF(OR(Registro_Compras!$C$138="",Registro_Compras!$O$138=""),"","Cuentas por Pagar Comerciales - Terceros")</f>
        <v/>
      </c>
      <c r="E1218" s="20">
        <f>IF($C1218="","",IF(Registro_Compras!$F$138="RHE",(ROUND(Registro_Compras!$L$138*Registro_Compras!$N$138,2)-ROUND(Registro_Compras!$V$138*Registro_Compras!$N$138,2)),ROUND(Registro_Compras!$O$138-Registro_Compras!$S$138,2)))</f>
        <v/>
      </c>
      <c r="F1218" s="20">
        <f>""</f>
        <v/>
      </c>
      <c r="G1218">
        <f>IF($C1218="","","Por la cancelacion del saldo al proveedor")</f>
        <v/>
      </c>
      <c r="H1218">
        <f>IF($C1218="","",Registro_Compras!$C$138)</f>
        <v/>
      </c>
    </row>
    <row r="1219">
      <c r="A1219" s="25">
        <f>IF($C1219="","",Registro_Compras!$Y$138)</f>
        <v/>
      </c>
      <c r="B1219">
        <f>IF($C1219="","","C"&amp;TEXT(INT((ROW()-5)/9)+1,"000")&amp;"-4")</f>
        <v/>
      </c>
      <c r="C1219">
        <f>IF(OR(Registro_Compras!$C$138="",Registro_Compras!$O$138="",Registro_Compras!$Y$138="",Registro_Compras!$F$138="NOTA DE CREDITO"),"","10413")</f>
        <v/>
      </c>
      <c r="D1219">
        <f>IF(OR(Registro_Compras!$C$138="",Registro_Compras!$O$138=""),"","Efectivo y Equivalentes - Cta. Cte. Operativa")</f>
        <v/>
      </c>
      <c r="E1219" s="20">
        <f>""</f>
        <v/>
      </c>
      <c r="F1219" s="20">
        <f>IF($C1219="","",IF(Registro_Compras!$F$138="RHE",(ROUND(Registro_Compras!$L$138*Registro_Compras!$N$138,2)-ROUND(Registro_Compras!$V$138*Registro_Compras!$N$138,2)),ROUND(Registro_Compras!$O$138-Registro_Compras!$S$138,2)))</f>
        <v/>
      </c>
      <c r="G1219">
        <f>IF($C1219="","","Por la cancelacion del saldo al proveedor")</f>
        <v/>
      </c>
      <c r="H1219">
        <f>IF($C1219="","",Registro_Compras!$C$138)</f>
        <v/>
      </c>
    </row>
    <row r="1220">
      <c r="A1220" s="25">
        <f>IF($C1220="","",Registro_Compras!$B$139)</f>
        <v/>
      </c>
      <c r="B1220">
        <f>IF($C1220="","","C"&amp;TEXT(INT((ROW()-5)/9)+1,"000")&amp;"-1")</f>
        <v/>
      </c>
      <c r="C1220">
        <f>IF(OR(Registro_Compras!$C$139="",Registro_Compras!$O$139=""),"",IF(Registro_Compras!$F$139="NOTA DE CREDITO","4212",IF(Registro_Compras!$M$139="","63",Registro_Compras!$M$139)))</f>
        <v/>
      </c>
      <c r="D1220">
        <f>IF(OR(Registro_Compras!$C$139="",Registro_Compras!$O$139=""),"",IF(Registro_Compras!$F$139="NOTA DE CREDITO","Cuentas por Pagar Comerciales - Terceros (Emitidas)",IF(Registro_Compras!$F$139="RHE","Honorarios Profesionales - Servicios de Terceros","Gastos de Servicios Prestados por Terceros")))</f>
        <v/>
      </c>
      <c r="E1220" s="20">
        <f>IF($C1220="","",IF(Registro_Compras!$F$139="NOTA DE CREDITO",ABS(Registro_Compras!$O$139),IF(Registro_Compras!$F$139="RHE",ROUND(Registro_Compras!$L$139*Registro_Compras!$N$139,2),ROUND(Registro_Compras!$J$139*Registro_Compras!$N$139,2))))</f>
        <v/>
      </c>
      <c r="F1220" s="20">
        <f>""</f>
        <v/>
      </c>
      <c r="G1220">
        <f>IF($C1220="","",IF(Registro_Compras!$F$139="NOTA DE CREDITO","Por la nota de credito "&amp;Registro_Compras!$C$139&amp;" de "&amp;Registro_Compras!$E$139&amp;" [PATRON POR CONFIRMAR CON CONTADOR]",IF(Registro_Compras!$F$139="RHE","Por el registro del recibo por honorarios "&amp;Registro_Compras!$C$139&amp;" de "&amp;Registro_Compras!$E$139&amp;" [PATRON POR CONFIRMAR CON CONTADOR]","Por el registro de la factura "&amp;Registro_Compras!$C$139&amp;" de "&amp;Registro_Compras!$E$139)))</f>
        <v/>
      </c>
      <c r="H1220">
        <f>IF($C1220="","",Registro_Compras!$C$139)</f>
        <v/>
      </c>
    </row>
    <row r="1221">
      <c r="A1221" s="25">
        <f>IF($C1221="","",Registro_Compras!$B$139)</f>
        <v/>
      </c>
      <c r="B1221">
        <f>IF($C1221="","","C"&amp;TEXT(INT((ROW()-5)/9)+1,"000")&amp;"-1")</f>
        <v/>
      </c>
      <c r="C1221">
        <f>IF(OR(Registro_Compras!$C$139="",Registro_Compras!$O$139=""),"",IF(Registro_Compras!$F$139="RHE",IF(Registro_Compras!$V$139=0,"","40172"),IF(Registro_Compras!$F$139="NOTA DE CREDITO",IF(Registro_Compras!$M$139="","63",Registro_Compras!$M$139),IF(Registro_Compras!$K$139=0,"","40111"))))</f>
        <v/>
      </c>
      <c r="D1221">
        <f>IF(OR(Registro_Compras!$C$139="",Registro_Compras!$O$139=""),"",IF(Registro_Compras!$F$139="RHE","Retencion Renta 4ta Categoria por Pagar",IF(Registro_Compras!$F$139="NOTA DE CREDITO","Gastos de Servicios Prestados por Terceros","IGV - Cuenta Propia (Credito Fiscal)")))</f>
        <v/>
      </c>
      <c r="E1221" s="20">
        <f>IF($C1221="","",IF(Registro_Compras!$F$139="FACTURA",ROUND(Registro_Compras!$K$139*Registro_Compras!$N$139,2),""))</f>
        <v/>
      </c>
      <c r="F1221" s="20">
        <f>IF($C1221="","",IF(Registro_Compras!$F$139="RHE",ROUND(Registro_Compras!$V$139*Registro_Compras!$N$139,2),IF(Registro_Compras!$F$139="NOTA DE CREDITO",ROUND(ABS(Registro_Compras!$J$139*Registro_Compras!$N$139),2),"")))</f>
        <v/>
      </c>
      <c r="G1221">
        <f>IF($C1221="","",IF(Registro_Compras!$F$139="NOTA DE CREDITO","Por la nota de credito "&amp;Registro_Compras!$C$139&amp;" de "&amp;Registro_Compras!$E$139&amp;" [PATRON POR CONFIRMAR CON CONTADOR]",IF(Registro_Compras!$F$139="RHE","Por el registro del recibo por honorarios "&amp;Registro_Compras!$C$139&amp;" de "&amp;Registro_Compras!$E$139&amp;" [PATRON POR CONFIRMAR CON CONTADOR]","Por el registro de la factura "&amp;Registro_Compras!$C$139&amp;" de "&amp;Registro_Compras!$E$139)))</f>
        <v/>
      </c>
      <c r="H1221">
        <f>IF($C1221="","",Registro_Compras!$C$139)</f>
        <v/>
      </c>
    </row>
    <row r="1222">
      <c r="A1222" s="25">
        <f>IF($C1222="","",Registro_Compras!$B$139)</f>
        <v/>
      </c>
      <c r="B1222">
        <f>IF($C1222="","","C"&amp;TEXT(INT((ROW()-5)/9)+1,"000")&amp;"-1")</f>
        <v/>
      </c>
      <c r="C1222">
        <f>IF(OR(Registro_Compras!$C$139="",Registro_Compras!$O$139=""),"",IF(Registro_Compras!$F$139="NOTA DE CREDITO",IF(Registro_Compras!$K$139=0,"","40111"),"4212"))</f>
        <v/>
      </c>
      <c r="D1222">
        <f>IF(OR(Registro_Compras!$C$139="",Registro_Compras!$O$139=""),"",IF(Registro_Compras!$F$139="NOTA DE CREDITO","IGV - Cuenta Propia (Credito Fiscal)","Cuentas por Pagar Comerciales - Terceros (Emitidas)"))</f>
        <v/>
      </c>
      <c r="E1222" s="20">
        <f>""</f>
        <v/>
      </c>
      <c r="F1222" s="20">
        <f>IF($C1222="","",IF(Registro_Compras!$F$139="NOTA DE CREDITO",ROUND(ABS(Registro_Compras!$K$139*Registro_Compras!$N$139),2),IF(Registro_Compras!$F$139="RHE",(ROUND(Registro_Compras!$L$139*Registro_Compras!$N$139,2)-ROUND(Registro_Compras!$V$139*Registro_Compras!$N$139,2)),Registro_Compras!$O$139)))</f>
        <v/>
      </c>
      <c r="G1222">
        <f>IF($C1222="","",IF(Registro_Compras!$F$139="NOTA DE CREDITO","Por la nota de credito "&amp;Registro_Compras!$C$139&amp;" de "&amp;Registro_Compras!$E$139&amp;" [PATRON POR CONFIRMAR CON CONTADOR]",IF(Registro_Compras!$F$139="RHE","Por el registro del recibo por honorarios "&amp;Registro_Compras!$C$139&amp;" de "&amp;Registro_Compras!$E$139&amp;" [PATRON POR CONFIRMAR CON CONTADOR]","Por el registro de la factura "&amp;Registro_Compras!$C$139&amp;" de "&amp;Registro_Compras!$E$139)))</f>
        <v/>
      </c>
      <c r="H1222">
        <f>IF($C1222="","",Registro_Compras!$C$139)</f>
        <v/>
      </c>
    </row>
    <row r="1223">
      <c r="A1223" s="25">
        <f>IF($C1223="","",Registro_Compras!$B$139)</f>
        <v/>
      </c>
      <c r="B1223">
        <f>IF($C1223="","","C"&amp;TEXT(INT((ROW()-5)/9)+1,"000")&amp;"-2")</f>
        <v/>
      </c>
      <c r="C1223">
        <f>IF(OR(Registro_Compras!$C$139="",Registro_Compras!$O$139=""),"",IF(Registro_Compras!$AB$139="ADMINISTRATIVO","94","95"))</f>
        <v/>
      </c>
      <c r="D1223">
        <f>IF(OR(Registro_Compras!$C$139="",Registro_Compras!$O$139=""),"",IF(Registro_Compras!$AB$139="ADMINISTRATIVO","Gastos Administrativos","Gastos de Venta y Operacion"))</f>
        <v/>
      </c>
      <c r="E1223" s="20">
        <f>IF($C1223="","",IF(Registro_Compras!$F$139="NOTA DE CREDITO","",IF(Registro_Compras!$F$139="RHE",ROUND(Registro_Compras!$L$139*Registro_Compras!$N$139,2),ROUND(Registro_Compras!$J$139*Registro_Compras!$N$139,2))))</f>
        <v/>
      </c>
      <c r="F1223" s="20">
        <f>IF($C1223="","",IF(Registro_Compras!$F$139="NOTA DE CREDITO",ROUND(ABS(Registro_Compras!$J$139*Registro_Compras!$N$139),2),""))</f>
        <v/>
      </c>
      <c r="G1223">
        <f>IF($C1223="","","Por el destino del gasto")</f>
        <v/>
      </c>
      <c r="H1223">
        <f>IF($C1223="","",Registro_Compras!$C$139)</f>
        <v/>
      </c>
    </row>
    <row r="1224">
      <c r="A1224" s="25">
        <f>IF($C1224="","",Registro_Compras!$B$139)</f>
        <v/>
      </c>
      <c r="B1224">
        <f>IF($C1224="","","C"&amp;TEXT(INT((ROW()-5)/9)+1,"000")&amp;"-2")</f>
        <v/>
      </c>
      <c r="C1224">
        <f>IF(OR(Registro_Compras!$C$139="",Registro_Compras!$O$139=""),"","79/791")</f>
        <v/>
      </c>
      <c r="D1224">
        <f>IF(OR(Registro_Compras!$C$139="",Registro_Compras!$O$139=""),"","Cargas Imputables a Cuentas de Costos y Gastos")</f>
        <v/>
      </c>
      <c r="E1224" s="20">
        <f>IF($C1224="","",IF(Registro_Compras!$F$139="NOTA DE CREDITO",ROUND(ABS(Registro_Compras!$J$139*Registro_Compras!$N$139),2),""))</f>
        <v/>
      </c>
      <c r="F1224" s="20">
        <f>IF($C1224="","",IF(Registro_Compras!$F$139="NOTA DE CREDITO","",IF(Registro_Compras!$F$139="RHE",ROUND(Registro_Compras!$L$139*Registro_Compras!$N$139,2),ROUND(Registro_Compras!$J$139*Registro_Compras!$N$139,2))))</f>
        <v/>
      </c>
      <c r="G1224">
        <f>IF($C1224="","","Por el destino del gasto")</f>
        <v/>
      </c>
      <c r="H1224">
        <f>IF($C1224="","",Registro_Compras!$C$139)</f>
        <v/>
      </c>
    </row>
    <row r="1225">
      <c r="A1225" s="25">
        <f>IF($C1225="","",Registro_Compras!$X$139)</f>
        <v/>
      </c>
      <c r="B1225">
        <f>IF($C1225="","","C"&amp;TEXT(INT((ROW()-5)/9)+1,"000")&amp;"-3")</f>
        <v/>
      </c>
      <c r="C1225">
        <f>IF(OR(Registro_Compras!$C$139="",Registro_Compras!$O$139="",Registro_Compras!$R$139&lt;&gt;"SI",Registro_Compras!$X$139=""),"","4212")</f>
        <v/>
      </c>
      <c r="D1225">
        <f>IF(OR(Registro_Compras!$C$139="",Registro_Compras!$O$139=""),"","Cuentas por Pagar Comerciales - Terceros")</f>
        <v/>
      </c>
      <c r="E1225" s="20">
        <f>IF($C1225="","",Registro_Compras!$S$139)</f>
        <v/>
      </c>
      <c r="F1225" s="20">
        <f>""</f>
        <v/>
      </c>
      <c r="G1225">
        <f>IF($C1225="","","Por el deposito de la detraccion en el Banco de la Nacion")</f>
        <v/>
      </c>
      <c r="H1225">
        <f>IF($C1225="","",Registro_Compras!$C$139)</f>
        <v/>
      </c>
    </row>
    <row r="1226">
      <c r="A1226" s="25">
        <f>IF($C1226="","",Registro_Compras!$X$139)</f>
        <v/>
      </c>
      <c r="B1226">
        <f>IF($C1226="","","C"&amp;TEXT(INT((ROW()-5)/9)+1,"000")&amp;"-3")</f>
        <v/>
      </c>
      <c r="C1226">
        <f>IF(OR(Registro_Compras!$C$139="",Registro_Compras!$O$139="",Registro_Compras!$R$139&lt;&gt;"SI",Registro_Compras!$X$139=""),"","10413")</f>
        <v/>
      </c>
      <c r="D1226">
        <f>IF(OR(Registro_Compras!$C$139="",Registro_Compras!$O$139=""),"","Efectivo y Equivalentes - Cta. Cte. Operativa")</f>
        <v/>
      </c>
      <c r="E1226" s="20">
        <f>""</f>
        <v/>
      </c>
      <c r="F1226" s="20">
        <f>IF($C1226="","",Registro_Compras!$S$139)</f>
        <v/>
      </c>
      <c r="G1226">
        <f>IF($C1226="","","Por el deposito de la detraccion en el Banco de la Nacion")</f>
        <v/>
      </c>
      <c r="H1226">
        <f>IF($C1226="","",Registro_Compras!$C$139)</f>
        <v/>
      </c>
    </row>
    <row r="1227">
      <c r="A1227" s="25">
        <f>IF($C1227="","",Registro_Compras!$Y$139)</f>
        <v/>
      </c>
      <c r="B1227">
        <f>IF($C1227="","","C"&amp;TEXT(INT((ROW()-5)/9)+1,"000")&amp;"-4")</f>
        <v/>
      </c>
      <c r="C1227">
        <f>IF(OR(Registro_Compras!$C$139="",Registro_Compras!$O$139="",Registro_Compras!$Y$139="",Registro_Compras!$F$139="NOTA DE CREDITO"),"","4212")</f>
        <v/>
      </c>
      <c r="D1227">
        <f>IF(OR(Registro_Compras!$C$139="",Registro_Compras!$O$139=""),"","Cuentas por Pagar Comerciales - Terceros")</f>
        <v/>
      </c>
      <c r="E1227" s="20">
        <f>IF($C1227="","",IF(Registro_Compras!$F$139="RHE",(ROUND(Registro_Compras!$L$139*Registro_Compras!$N$139,2)-ROUND(Registro_Compras!$V$139*Registro_Compras!$N$139,2)),ROUND(Registro_Compras!$O$139-Registro_Compras!$S$139,2)))</f>
        <v/>
      </c>
      <c r="F1227" s="20">
        <f>""</f>
        <v/>
      </c>
      <c r="G1227">
        <f>IF($C1227="","","Por la cancelacion del saldo al proveedor")</f>
        <v/>
      </c>
      <c r="H1227">
        <f>IF($C1227="","",Registro_Compras!$C$139)</f>
        <v/>
      </c>
    </row>
    <row r="1228">
      <c r="A1228" s="25">
        <f>IF($C1228="","",Registro_Compras!$Y$139)</f>
        <v/>
      </c>
      <c r="B1228">
        <f>IF($C1228="","","C"&amp;TEXT(INT((ROW()-5)/9)+1,"000")&amp;"-4")</f>
        <v/>
      </c>
      <c r="C1228">
        <f>IF(OR(Registro_Compras!$C$139="",Registro_Compras!$O$139="",Registro_Compras!$Y$139="",Registro_Compras!$F$139="NOTA DE CREDITO"),"","10413")</f>
        <v/>
      </c>
      <c r="D1228">
        <f>IF(OR(Registro_Compras!$C$139="",Registro_Compras!$O$139=""),"","Efectivo y Equivalentes - Cta. Cte. Operativa")</f>
        <v/>
      </c>
      <c r="E1228" s="20">
        <f>""</f>
        <v/>
      </c>
      <c r="F1228" s="20">
        <f>IF($C1228="","",IF(Registro_Compras!$F$139="RHE",(ROUND(Registro_Compras!$L$139*Registro_Compras!$N$139,2)-ROUND(Registro_Compras!$V$139*Registro_Compras!$N$139,2)),ROUND(Registro_Compras!$O$139-Registro_Compras!$S$139,2)))</f>
        <v/>
      </c>
      <c r="G1228">
        <f>IF($C1228="","","Por la cancelacion del saldo al proveedor")</f>
        <v/>
      </c>
      <c r="H1228">
        <f>IF($C1228="","",Registro_Compras!$C$139)</f>
        <v/>
      </c>
    </row>
    <row r="1229">
      <c r="A1229" s="25">
        <f>IF($C1229="","",Registro_Compras!$B$140)</f>
        <v/>
      </c>
      <c r="B1229">
        <f>IF($C1229="","","C"&amp;TEXT(INT((ROW()-5)/9)+1,"000")&amp;"-1")</f>
        <v/>
      </c>
      <c r="C1229">
        <f>IF(OR(Registro_Compras!$C$140="",Registro_Compras!$O$140=""),"",IF(Registro_Compras!$F$140="NOTA DE CREDITO","4212",IF(Registro_Compras!$M$140="","63",Registro_Compras!$M$140)))</f>
        <v/>
      </c>
      <c r="D1229">
        <f>IF(OR(Registro_Compras!$C$140="",Registro_Compras!$O$140=""),"",IF(Registro_Compras!$F$140="NOTA DE CREDITO","Cuentas por Pagar Comerciales - Terceros (Emitidas)",IF(Registro_Compras!$F$140="RHE","Honorarios Profesionales - Servicios de Terceros","Gastos de Servicios Prestados por Terceros")))</f>
        <v/>
      </c>
      <c r="E1229" s="20">
        <f>IF($C1229="","",IF(Registro_Compras!$F$140="NOTA DE CREDITO",ABS(Registro_Compras!$O$140),IF(Registro_Compras!$F$140="RHE",ROUND(Registro_Compras!$L$140*Registro_Compras!$N$140,2),ROUND(Registro_Compras!$J$140*Registro_Compras!$N$140,2))))</f>
        <v/>
      </c>
      <c r="F1229" s="20">
        <f>""</f>
        <v/>
      </c>
      <c r="G1229">
        <f>IF($C1229="","",IF(Registro_Compras!$F$140="NOTA DE CREDITO","Por la nota de credito "&amp;Registro_Compras!$C$140&amp;" de "&amp;Registro_Compras!$E$140&amp;" [PATRON POR CONFIRMAR CON CONTADOR]",IF(Registro_Compras!$F$140="RHE","Por el registro del recibo por honorarios "&amp;Registro_Compras!$C$140&amp;" de "&amp;Registro_Compras!$E$140&amp;" [PATRON POR CONFIRMAR CON CONTADOR]","Por el registro de la factura "&amp;Registro_Compras!$C$140&amp;" de "&amp;Registro_Compras!$E$140)))</f>
        <v/>
      </c>
      <c r="H1229">
        <f>IF($C1229="","",Registro_Compras!$C$140)</f>
        <v/>
      </c>
    </row>
    <row r="1230">
      <c r="A1230" s="25">
        <f>IF($C1230="","",Registro_Compras!$B$140)</f>
        <v/>
      </c>
      <c r="B1230">
        <f>IF($C1230="","","C"&amp;TEXT(INT((ROW()-5)/9)+1,"000")&amp;"-1")</f>
        <v/>
      </c>
      <c r="C1230">
        <f>IF(OR(Registro_Compras!$C$140="",Registro_Compras!$O$140=""),"",IF(Registro_Compras!$F$140="RHE",IF(Registro_Compras!$V$140=0,"","40172"),IF(Registro_Compras!$F$140="NOTA DE CREDITO",IF(Registro_Compras!$M$140="","63",Registro_Compras!$M$140),IF(Registro_Compras!$K$140=0,"","40111"))))</f>
        <v/>
      </c>
      <c r="D1230">
        <f>IF(OR(Registro_Compras!$C$140="",Registro_Compras!$O$140=""),"",IF(Registro_Compras!$F$140="RHE","Retencion Renta 4ta Categoria por Pagar",IF(Registro_Compras!$F$140="NOTA DE CREDITO","Gastos de Servicios Prestados por Terceros","IGV - Cuenta Propia (Credito Fiscal)")))</f>
        <v/>
      </c>
      <c r="E1230" s="20">
        <f>IF($C1230="","",IF(Registro_Compras!$F$140="FACTURA",ROUND(Registro_Compras!$K$140*Registro_Compras!$N$140,2),""))</f>
        <v/>
      </c>
      <c r="F1230" s="20">
        <f>IF($C1230="","",IF(Registro_Compras!$F$140="RHE",ROUND(Registro_Compras!$V$140*Registro_Compras!$N$140,2),IF(Registro_Compras!$F$140="NOTA DE CREDITO",ROUND(ABS(Registro_Compras!$J$140*Registro_Compras!$N$140),2),"")))</f>
        <v/>
      </c>
      <c r="G1230">
        <f>IF($C1230="","",IF(Registro_Compras!$F$140="NOTA DE CREDITO","Por la nota de credito "&amp;Registro_Compras!$C$140&amp;" de "&amp;Registro_Compras!$E$140&amp;" [PATRON POR CONFIRMAR CON CONTADOR]",IF(Registro_Compras!$F$140="RHE","Por el registro del recibo por honorarios "&amp;Registro_Compras!$C$140&amp;" de "&amp;Registro_Compras!$E$140&amp;" [PATRON POR CONFIRMAR CON CONTADOR]","Por el registro de la factura "&amp;Registro_Compras!$C$140&amp;" de "&amp;Registro_Compras!$E$140)))</f>
        <v/>
      </c>
      <c r="H1230">
        <f>IF($C1230="","",Registro_Compras!$C$140)</f>
        <v/>
      </c>
    </row>
    <row r="1231">
      <c r="A1231" s="25">
        <f>IF($C1231="","",Registro_Compras!$B$140)</f>
        <v/>
      </c>
      <c r="B1231">
        <f>IF($C1231="","","C"&amp;TEXT(INT((ROW()-5)/9)+1,"000")&amp;"-1")</f>
        <v/>
      </c>
      <c r="C1231">
        <f>IF(OR(Registro_Compras!$C$140="",Registro_Compras!$O$140=""),"",IF(Registro_Compras!$F$140="NOTA DE CREDITO",IF(Registro_Compras!$K$140=0,"","40111"),"4212"))</f>
        <v/>
      </c>
      <c r="D1231">
        <f>IF(OR(Registro_Compras!$C$140="",Registro_Compras!$O$140=""),"",IF(Registro_Compras!$F$140="NOTA DE CREDITO","IGV - Cuenta Propia (Credito Fiscal)","Cuentas por Pagar Comerciales - Terceros (Emitidas)"))</f>
        <v/>
      </c>
      <c r="E1231" s="20">
        <f>""</f>
        <v/>
      </c>
      <c r="F1231" s="20">
        <f>IF($C1231="","",IF(Registro_Compras!$F$140="NOTA DE CREDITO",ROUND(ABS(Registro_Compras!$K$140*Registro_Compras!$N$140),2),IF(Registro_Compras!$F$140="RHE",(ROUND(Registro_Compras!$L$140*Registro_Compras!$N$140,2)-ROUND(Registro_Compras!$V$140*Registro_Compras!$N$140,2)),Registro_Compras!$O$140)))</f>
        <v/>
      </c>
      <c r="G1231">
        <f>IF($C1231="","",IF(Registro_Compras!$F$140="NOTA DE CREDITO","Por la nota de credito "&amp;Registro_Compras!$C$140&amp;" de "&amp;Registro_Compras!$E$140&amp;" [PATRON POR CONFIRMAR CON CONTADOR]",IF(Registro_Compras!$F$140="RHE","Por el registro del recibo por honorarios "&amp;Registro_Compras!$C$140&amp;" de "&amp;Registro_Compras!$E$140&amp;" [PATRON POR CONFIRMAR CON CONTADOR]","Por el registro de la factura "&amp;Registro_Compras!$C$140&amp;" de "&amp;Registro_Compras!$E$140)))</f>
        <v/>
      </c>
      <c r="H1231">
        <f>IF($C1231="","",Registro_Compras!$C$140)</f>
        <v/>
      </c>
    </row>
    <row r="1232">
      <c r="A1232" s="25">
        <f>IF($C1232="","",Registro_Compras!$B$140)</f>
        <v/>
      </c>
      <c r="B1232">
        <f>IF($C1232="","","C"&amp;TEXT(INT((ROW()-5)/9)+1,"000")&amp;"-2")</f>
        <v/>
      </c>
      <c r="C1232">
        <f>IF(OR(Registro_Compras!$C$140="",Registro_Compras!$O$140=""),"",IF(Registro_Compras!$AB$140="ADMINISTRATIVO","94","95"))</f>
        <v/>
      </c>
      <c r="D1232">
        <f>IF(OR(Registro_Compras!$C$140="",Registro_Compras!$O$140=""),"",IF(Registro_Compras!$AB$140="ADMINISTRATIVO","Gastos Administrativos","Gastos de Venta y Operacion"))</f>
        <v/>
      </c>
      <c r="E1232" s="20">
        <f>IF($C1232="","",IF(Registro_Compras!$F$140="NOTA DE CREDITO","",IF(Registro_Compras!$F$140="RHE",ROUND(Registro_Compras!$L$140*Registro_Compras!$N$140,2),ROUND(Registro_Compras!$J$140*Registro_Compras!$N$140,2))))</f>
        <v/>
      </c>
      <c r="F1232" s="20">
        <f>IF($C1232="","",IF(Registro_Compras!$F$140="NOTA DE CREDITO",ROUND(ABS(Registro_Compras!$J$140*Registro_Compras!$N$140),2),""))</f>
        <v/>
      </c>
      <c r="G1232">
        <f>IF($C1232="","","Por el destino del gasto")</f>
        <v/>
      </c>
      <c r="H1232">
        <f>IF($C1232="","",Registro_Compras!$C$140)</f>
        <v/>
      </c>
    </row>
    <row r="1233">
      <c r="A1233" s="25">
        <f>IF($C1233="","",Registro_Compras!$B$140)</f>
        <v/>
      </c>
      <c r="B1233">
        <f>IF($C1233="","","C"&amp;TEXT(INT((ROW()-5)/9)+1,"000")&amp;"-2")</f>
        <v/>
      </c>
      <c r="C1233">
        <f>IF(OR(Registro_Compras!$C$140="",Registro_Compras!$O$140=""),"","79/791")</f>
        <v/>
      </c>
      <c r="D1233">
        <f>IF(OR(Registro_Compras!$C$140="",Registro_Compras!$O$140=""),"","Cargas Imputables a Cuentas de Costos y Gastos")</f>
        <v/>
      </c>
      <c r="E1233" s="20">
        <f>IF($C1233="","",IF(Registro_Compras!$F$140="NOTA DE CREDITO",ROUND(ABS(Registro_Compras!$J$140*Registro_Compras!$N$140),2),""))</f>
        <v/>
      </c>
      <c r="F1233" s="20">
        <f>IF($C1233="","",IF(Registro_Compras!$F$140="NOTA DE CREDITO","",IF(Registro_Compras!$F$140="RHE",ROUND(Registro_Compras!$L$140*Registro_Compras!$N$140,2),ROUND(Registro_Compras!$J$140*Registro_Compras!$N$140,2))))</f>
        <v/>
      </c>
      <c r="G1233">
        <f>IF($C1233="","","Por el destino del gasto")</f>
        <v/>
      </c>
      <c r="H1233">
        <f>IF($C1233="","",Registro_Compras!$C$140)</f>
        <v/>
      </c>
    </row>
    <row r="1234">
      <c r="A1234" s="25">
        <f>IF($C1234="","",Registro_Compras!$X$140)</f>
        <v/>
      </c>
      <c r="B1234">
        <f>IF($C1234="","","C"&amp;TEXT(INT((ROW()-5)/9)+1,"000")&amp;"-3")</f>
        <v/>
      </c>
      <c r="C1234">
        <f>IF(OR(Registro_Compras!$C$140="",Registro_Compras!$O$140="",Registro_Compras!$R$140&lt;&gt;"SI",Registro_Compras!$X$140=""),"","4212")</f>
        <v/>
      </c>
      <c r="D1234">
        <f>IF(OR(Registro_Compras!$C$140="",Registro_Compras!$O$140=""),"","Cuentas por Pagar Comerciales - Terceros")</f>
        <v/>
      </c>
      <c r="E1234" s="20">
        <f>IF($C1234="","",Registro_Compras!$S$140)</f>
        <v/>
      </c>
      <c r="F1234" s="20">
        <f>""</f>
        <v/>
      </c>
      <c r="G1234">
        <f>IF($C1234="","","Por el deposito de la detraccion en el Banco de la Nacion")</f>
        <v/>
      </c>
      <c r="H1234">
        <f>IF($C1234="","",Registro_Compras!$C$140)</f>
        <v/>
      </c>
    </row>
    <row r="1235">
      <c r="A1235" s="25">
        <f>IF($C1235="","",Registro_Compras!$X$140)</f>
        <v/>
      </c>
      <c r="B1235">
        <f>IF($C1235="","","C"&amp;TEXT(INT((ROW()-5)/9)+1,"000")&amp;"-3")</f>
        <v/>
      </c>
      <c r="C1235">
        <f>IF(OR(Registro_Compras!$C$140="",Registro_Compras!$O$140="",Registro_Compras!$R$140&lt;&gt;"SI",Registro_Compras!$X$140=""),"","10413")</f>
        <v/>
      </c>
      <c r="D1235">
        <f>IF(OR(Registro_Compras!$C$140="",Registro_Compras!$O$140=""),"","Efectivo y Equivalentes - Cta. Cte. Operativa")</f>
        <v/>
      </c>
      <c r="E1235" s="20">
        <f>""</f>
        <v/>
      </c>
      <c r="F1235" s="20">
        <f>IF($C1235="","",Registro_Compras!$S$140)</f>
        <v/>
      </c>
      <c r="G1235">
        <f>IF($C1235="","","Por el deposito de la detraccion en el Banco de la Nacion")</f>
        <v/>
      </c>
      <c r="H1235">
        <f>IF($C1235="","",Registro_Compras!$C$140)</f>
        <v/>
      </c>
    </row>
    <row r="1236">
      <c r="A1236" s="25">
        <f>IF($C1236="","",Registro_Compras!$Y$140)</f>
        <v/>
      </c>
      <c r="B1236">
        <f>IF($C1236="","","C"&amp;TEXT(INT((ROW()-5)/9)+1,"000")&amp;"-4")</f>
        <v/>
      </c>
      <c r="C1236">
        <f>IF(OR(Registro_Compras!$C$140="",Registro_Compras!$O$140="",Registro_Compras!$Y$140="",Registro_Compras!$F$140="NOTA DE CREDITO"),"","4212")</f>
        <v/>
      </c>
      <c r="D1236">
        <f>IF(OR(Registro_Compras!$C$140="",Registro_Compras!$O$140=""),"","Cuentas por Pagar Comerciales - Terceros")</f>
        <v/>
      </c>
      <c r="E1236" s="20">
        <f>IF($C1236="","",IF(Registro_Compras!$F$140="RHE",(ROUND(Registro_Compras!$L$140*Registro_Compras!$N$140,2)-ROUND(Registro_Compras!$V$140*Registro_Compras!$N$140,2)),ROUND(Registro_Compras!$O$140-Registro_Compras!$S$140,2)))</f>
        <v/>
      </c>
      <c r="F1236" s="20">
        <f>""</f>
        <v/>
      </c>
      <c r="G1236">
        <f>IF($C1236="","","Por la cancelacion del saldo al proveedor")</f>
        <v/>
      </c>
      <c r="H1236">
        <f>IF($C1236="","",Registro_Compras!$C$140)</f>
        <v/>
      </c>
    </row>
    <row r="1237">
      <c r="A1237" s="25">
        <f>IF($C1237="","",Registro_Compras!$Y$140)</f>
        <v/>
      </c>
      <c r="B1237">
        <f>IF($C1237="","","C"&amp;TEXT(INT((ROW()-5)/9)+1,"000")&amp;"-4")</f>
        <v/>
      </c>
      <c r="C1237">
        <f>IF(OR(Registro_Compras!$C$140="",Registro_Compras!$O$140="",Registro_Compras!$Y$140="",Registro_Compras!$F$140="NOTA DE CREDITO"),"","10413")</f>
        <v/>
      </c>
      <c r="D1237">
        <f>IF(OR(Registro_Compras!$C$140="",Registro_Compras!$O$140=""),"","Efectivo y Equivalentes - Cta. Cte. Operativa")</f>
        <v/>
      </c>
      <c r="E1237" s="20">
        <f>""</f>
        <v/>
      </c>
      <c r="F1237" s="20">
        <f>IF($C1237="","",IF(Registro_Compras!$F$140="RHE",(ROUND(Registro_Compras!$L$140*Registro_Compras!$N$140,2)-ROUND(Registro_Compras!$V$140*Registro_Compras!$N$140,2)),ROUND(Registro_Compras!$O$140-Registro_Compras!$S$140,2)))</f>
        <v/>
      </c>
      <c r="G1237">
        <f>IF($C1237="","","Por la cancelacion del saldo al proveedor")</f>
        <v/>
      </c>
      <c r="H1237">
        <f>IF($C1237="","",Registro_Compras!$C$140)</f>
        <v/>
      </c>
    </row>
    <row r="1238">
      <c r="A1238" s="25">
        <f>IF($C1238="","",Registro_Compras!$B$141)</f>
        <v/>
      </c>
      <c r="B1238">
        <f>IF($C1238="","","C"&amp;TEXT(INT((ROW()-5)/9)+1,"000")&amp;"-1")</f>
        <v/>
      </c>
      <c r="C1238">
        <f>IF(OR(Registro_Compras!$C$141="",Registro_Compras!$O$141=""),"",IF(Registro_Compras!$F$141="NOTA DE CREDITO","4212",IF(Registro_Compras!$M$141="","63",Registro_Compras!$M$141)))</f>
        <v/>
      </c>
      <c r="D1238">
        <f>IF(OR(Registro_Compras!$C$141="",Registro_Compras!$O$141=""),"",IF(Registro_Compras!$F$141="NOTA DE CREDITO","Cuentas por Pagar Comerciales - Terceros (Emitidas)",IF(Registro_Compras!$F$141="RHE","Honorarios Profesionales - Servicios de Terceros","Gastos de Servicios Prestados por Terceros")))</f>
        <v/>
      </c>
      <c r="E1238" s="20">
        <f>IF($C1238="","",IF(Registro_Compras!$F$141="NOTA DE CREDITO",ABS(Registro_Compras!$O$141),IF(Registro_Compras!$F$141="RHE",ROUND(Registro_Compras!$L$141*Registro_Compras!$N$141,2),ROUND(Registro_Compras!$J$141*Registro_Compras!$N$141,2))))</f>
        <v/>
      </c>
      <c r="F1238" s="20">
        <f>""</f>
        <v/>
      </c>
      <c r="G1238">
        <f>IF($C1238="","",IF(Registro_Compras!$F$141="NOTA DE CREDITO","Por la nota de credito "&amp;Registro_Compras!$C$141&amp;" de "&amp;Registro_Compras!$E$141&amp;" [PATRON POR CONFIRMAR CON CONTADOR]",IF(Registro_Compras!$F$141="RHE","Por el registro del recibo por honorarios "&amp;Registro_Compras!$C$141&amp;" de "&amp;Registro_Compras!$E$141&amp;" [PATRON POR CONFIRMAR CON CONTADOR]","Por el registro de la factura "&amp;Registro_Compras!$C$141&amp;" de "&amp;Registro_Compras!$E$141)))</f>
        <v/>
      </c>
      <c r="H1238">
        <f>IF($C1238="","",Registro_Compras!$C$141)</f>
        <v/>
      </c>
    </row>
    <row r="1239">
      <c r="A1239" s="25">
        <f>IF($C1239="","",Registro_Compras!$B$141)</f>
        <v/>
      </c>
      <c r="B1239">
        <f>IF($C1239="","","C"&amp;TEXT(INT((ROW()-5)/9)+1,"000")&amp;"-1")</f>
        <v/>
      </c>
      <c r="C1239">
        <f>IF(OR(Registro_Compras!$C$141="",Registro_Compras!$O$141=""),"",IF(Registro_Compras!$F$141="RHE",IF(Registro_Compras!$V$141=0,"","40172"),IF(Registro_Compras!$F$141="NOTA DE CREDITO",IF(Registro_Compras!$M$141="","63",Registro_Compras!$M$141),IF(Registro_Compras!$K$141=0,"","40111"))))</f>
        <v/>
      </c>
      <c r="D1239">
        <f>IF(OR(Registro_Compras!$C$141="",Registro_Compras!$O$141=""),"",IF(Registro_Compras!$F$141="RHE","Retencion Renta 4ta Categoria por Pagar",IF(Registro_Compras!$F$141="NOTA DE CREDITO","Gastos de Servicios Prestados por Terceros","IGV - Cuenta Propia (Credito Fiscal)")))</f>
        <v/>
      </c>
      <c r="E1239" s="20">
        <f>IF($C1239="","",IF(Registro_Compras!$F$141="FACTURA",ROUND(Registro_Compras!$K$141*Registro_Compras!$N$141,2),""))</f>
        <v/>
      </c>
      <c r="F1239" s="20">
        <f>IF($C1239="","",IF(Registro_Compras!$F$141="RHE",ROUND(Registro_Compras!$V$141*Registro_Compras!$N$141,2),IF(Registro_Compras!$F$141="NOTA DE CREDITO",ROUND(ABS(Registro_Compras!$J$141*Registro_Compras!$N$141),2),"")))</f>
        <v/>
      </c>
      <c r="G1239">
        <f>IF($C1239="","",IF(Registro_Compras!$F$141="NOTA DE CREDITO","Por la nota de credito "&amp;Registro_Compras!$C$141&amp;" de "&amp;Registro_Compras!$E$141&amp;" [PATRON POR CONFIRMAR CON CONTADOR]",IF(Registro_Compras!$F$141="RHE","Por el registro del recibo por honorarios "&amp;Registro_Compras!$C$141&amp;" de "&amp;Registro_Compras!$E$141&amp;" [PATRON POR CONFIRMAR CON CONTADOR]","Por el registro de la factura "&amp;Registro_Compras!$C$141&amp;" de "&amp;Registro_Compras!$E$141)))</f>
        <v/>
      </c>
      <c r="H1239">
        <f>IF($C1239="","",Registro_Compras!$C$141)</f>
        <v/>
      </c>
    </row>
    <row r="1240">
      <c r="A1240" s="25">
        <f>IF($C1240="","",Registro_Compras!$B$141)</f>
        <v/>
      </c>
      <c r="B1240">
        <f>IF($C1240="","","C"&amp;TEXT(INT((ROW()-5)/9)+1,"000")&amp;"-1")</f>
        <v/>
      </c>
      <c r="C1240">
        <f>IF(OR(Registro_Compras!$C$141="",Registro_Compras!$O$141=""),"",IF(Registro_Compras!$F$141="NOTA DE CREDITO",IF(Registro_Compras!$K$141=0,"","40111"),"4212"))</f>
        <v/>
      </c>
      <c r="D1240">
        <f>IF(OR(Registro_Compras!$C$141="",Registro_Compras!$O$141=""),"",IF(Registro_Compras!$F$141="NOTA DE CREDITO","IGV - Cuenta Propia (Credito Fiscal)","Cuentas por Pagar Comerciales - Terceros (Emitidas)"))</f>
        <v/>
      </c>
      <c r="E1240" s="20">
        <f>""</f>
        <v/>
      </c>
      <c r="F1240" s="20">
        <f>IF($C1240="","",IF(Registro_Compras!$F$141="NOTA DE CREDITO",ROUND(ABS(Registro_Compras!$K$141*Registro_Compras!$N$141),2),IF(Registro_Compras!$F$141="RHE",(ROUND(Registro_Compras!$L$141*Registro_Compras!$N$141,2)-ROUND(Registro_Compras!$V$141*Registro_Compras!$N$141,2)),Registro_Compras!$O$141)))</f>
        <v/>
      </c>
      <c r="G1240">
        <f>IF($C1240="","",IF(Registro_Compras!$F$141="NOTA DE CREDITO","Por la nota de credito "&amp;Registro_Compras!$C$141&amp;" de "&amp;Registro_Compras!$E$141&amp;" [PATRON POR CONFIRMAR CON CONTADOR]",IF(Registro_Compras!$F$141="RHE","Por el registro del recibo por honorarios "&amp;Registro_Compras!$C$141&amp;" de "&amp;Registro_Compras!$E$141&amp;" [PATRON POR CONFIRMAR CON CONTADOR]","Por el registro de la factura "&amp;Registro_Compras!$C$141&amp;" de "&amp;Registro_Compras!$E$141)))</f>
        <v/>
      </c>
      <c r="H1240">
        <f>IF($C1240="","",Registro_Compras!$C$141)</f>
        <v/>
      </c>
    </row>
    <row r="1241">
      <c r="A1241" s="25">
        <f>IF($C1241="","",Registro_Compras!$B$141)</f>
        <v/>
      </c>
      <c r="B1241">
        <f>IF($C1241="","","C"&amp;TEXT(INT((ROW()-5)/9)+1,"000")&amp;"-2")</f>
        <v/>
      </c>
      <c r="C1241">
        <f>IF(OR(Registro_Compras!$C$141="",Registro_Compras!$O$141=""),"",IF(Registro_Compras!$AB$141="ADMINISTRATIVO","94","95"))</f>
        <v/>
      </c>
      <c r="D1241">
        <f>IF(OR(Registro_Compras!$C$141="",Registro_Compras!$O$141=""),"",IF(Registro_Compras!$AB$141="ADMINISTRATIVO","Gastos Administrativos","Gastos de Venta y Operacion"))</f>
        <v/>
      </c>
      <c r="E1241" s="20">
        <f>IF($C1241="","",IF(Registro_Compras!$F$141="NOTA DE CREDITO","",IF(Registro_Compras!$F$141="RHE",ROUND(Registro_Compras!$L$141*Registro_Compras!$N$141,2),ROUND(Registro_Compras!$J$141*Registro_Compras!$N$141,2))))</f>
        <v/>
      </c>
      <c r="F1241" s="20">
        <f>IF($C1241="","",IF(Registro_Compras!$F$141="NOTA DE CREDITO",ROUND(ABS(Registro_Compras!$J$141*Registro_Compras!$N$141),2),""))</f>
        <v/>
      </c>
      <c r="G1241">
        <f>IF($C1241="","","Por el destino del gasto")</f>
        <v/>
      </c>
      <c r="H1241">
        <f>IF($C1241="","",Registro_Compras!$C$141)</f>
        <v/>
      </c>
    </row>
    <row r="1242">
      <c r="A1242" s="25">
        <f>IF($C1242="","",Registro_Compras!$B$141)</f>
        <v/>
      </c>
      <c r="B1242">
        <f>IF($C1242="","","C"&amp;TEXT(INT((ROW()-5)/9)+1,"000")&amp;"-2")</f>
        <v/>
      </c>
      <c r="C1242">
        <f>IF(OR(Registro_Compras!$C$141="",Registro_Compras!$O$141=""),"","79/791")</f>
        <v/>
      </c>
      <c r="D1242">
        <f>IF(OR(Registro_Compras!$C$141="",Registro_Compras!$O$141=""),"","Cargas Imputables a Cuentas de Costos y Gastos")</f>
        <v/>
      </c>
      <c r="E1242" s="20">
        <f>IF($C1242="","",IF(Registro_Compras!$F$141="NOTA DE CREDITO",ROUND(ABS(Registro_Compras!$J$141*Registro_Compras!$N$141),2),""))</f>
        <v/>
      </c>
      <c r="F1242" s="20">
        <f>IF($C1242="","",IF(Registro_Compras!$F$141="NOTA DE CREDITO","",IF(Registro_Compras!$F$141="RHE",ROUND(Registro_Compras!$L$141*Registro_Compras!$N$141,2),ROUND(Registro_Compras!$J$141*Registro_Compras!$N$141,2))))</f>
        <v/>
      </c>
      <c r="G1242">
        <f>IF($C1242="","","Por el destino del gasto")</f>
        <v/>
      </c>
      <c r="H1242">
        <f>IF($C1242="","",Registro_Compras!$C$141)</f>
        <v/>
      </c>
    </row>
    <row r="1243">
      <c r="A1243" s="25">
        <f>IF($C1243="","",Registro_Compras!$X$141)</f>
        <v/>
      </c>
      <c r="B1243">
        <f>IF($C1243="","","C"&amp;TEXT(INT((ROW()-5)/9)+1,"000")&amp;"-3")</f>
        <v/>
      </c>
      <c r="C1243">
        <f>IF(OR(Registro_Compras!$C$141="",Registro_Compras!$O$141="",Registro_Compras!$R$141&lt;&gt;"SI",Registro_Compras!$X$141=""),"","4212")</f>
        <v/>
      </c>
      <c r="D1243">
        <f>IF(OR(Registro_Compras!$C$141="",Registro_Compras!$O$141=""),"","Cuentas por Pagar Comerciales - Terceros")</f>
        <v/>
      </c>
      <c r="E1243" s="20">
        <f>IF($C1243="","",Registro_Compras!$S$141)</f>
        <v/>
      </c>
      <c r="F1243" s="20">
        <f>""</f>
        <v/>
      </c>
      <c r="G1243">
        <f>IF($C1243="","","Por el deposito de la detraccion en el Banco de la Nacion")</f>
        <v/>
      </c>
      <c r="H1243">
        <f>IF($C1243="","",Registro_Compras!$C$141)</f>
        <v/>
      </c>
    </row>
    <row r="1244">
      <c r="A1244" s="25">
        <f>IF($C1244="","",Registro_Compras!$X$141)</f>
        <v/>
      </c>
      <c r="B1244">
        <f>IF($C1244="","","C"&amp;TEXT(INT((ROW()-5)/9)+1,"000")&amp;"-3")</f>
        <v/>
      </c>
      <c r="C1244">
        <f>IF(OR(Registro_Compras!$C$141="",Registro_Compras!$O$141="",Registro_Compras!$R$141&lt;&gt;"SI",Registro_Compras!$X$141=""),"","10413")</f>
        <v/>
      </c>
      <c r="D1244">
        <f>IF(OR(Registro_Compras!$C$141="",Registro_Compras!$O$141=""),"","Efectivo y Equivalentes - Cta. Cte. Operativa")</f>
        <v/>
      </c>
      <c r="E1244" s="20">
        <f>""</f>
        <v/>
      </c>
      <c r="F1244" s="20">
        <f>IF($C1244="","",Registro_Compras!$S$141)</f>
        <v/>
      </c>
      <c r="G1244">
        <f>IF($C1244="","","Por el deposito de la detraccion en el Banco de la Nacion")</f>
        <v/>
      </c>
      <c r="H1244">
        <f>IF($C1244="","",Registro_Compras!$C$141)</f>
        <v/>
      </c>
    </row>
    <row r="1245">
      <c r="A1245" s="25">
        <f>IF($C1245="","",Registro_Compras!$Y$141)</f>
        <v/>
      </c>
      <c r="B1245">
        <f>IF($C1245="","","C"&amp;TEXT(INT((ROW()-5)/9)+1,"000")&amp;"-4")</f>
        <v/>
      </c>
      <c r="C1245">
        <f>IF(OR(Registro_Compras!$C$141="",Registro_Compras!$O$141="",Registro_Compras!$Y$141="",Registro_Compras!$F$141="NOTA DE CREDITO"),"","4212")</f>
        <v/>
      </c>
      <c r="D1245">
        <f>IF(OR(Registro_Compras!$C$141="",Registro_Compras!$O$141=""),"","Cuentas por Pagar Comerciales - Terceros")</f>
        <v/>
      </c>
      <c r="E1245" s="20">
        <f>IF($C1245="","",IF(Registro_Compras!$F$141="RHE",(ROUND(Registro_Compras!$L$141*Registro_Compras!$N$141,2)-ROUND(Registro_Compras!$V$141*Registro_Compras!$N$141,2)),ROUND(Registro_Compras!$O$141-Registro_Compras!$S$141,2)))</f>
        <v/>
      </c>
      <c r="F1245" s="20">
        <f>""</f>
        <v/>
      </c>
      <c r="G1245">
        <f>IF($C1245="","","Por la cancelacion del saldo al proveedor")</f>
        <v/>
      </c>
      <c r="H1245">
        <f>IF($C1245="","",Registro_Compras!$C$141)</f>
        <v/>
      </c>
    </row>
    <row r="1246">
      <c r="A1246" s="25">
        <f>IF($C1246="","",Registro_Compras!$Y$141)</f>
        <v/>
      </c>
      <c r="B1246">
        <f>IF($C1246="","","C"&amp;TEXT(INT((ROW()-5)/9)+1,"000")&amp;"-4")</f>
        <v/>
      </c>
      <c r="C1246">
        <f>IF(OR(Registro_Compras!$C$141="",Registro_Compras!$O$141="",Registro_Compras!$Y$141="",Registro_Compras!$F$141="NOTA DE CREDITO"),"","10413")</f>
        <v/>
      </c>
      <c r="D1246">
        <f>IF(OR(Registro_Compras!$C$141="",Registro_Compras!$O$141=""),"","Efectivo y Equivalentes - Cta. Cte. Operativa")</f>
        <v/>
      </c>
      <c r="E1246" s="20">
        <f>""</f>
        <v/>
      </c>
      <c r="F1246" s="20">
        <f>IF($C1246="","",IF(Registro_Compras!$F$141="RHE",(ROUND(Registro_Compras!$L$141*Registro_Compras!$N$141,2)-ROUND(Registro_Compras!$V$141*Registro_Compras!$N$141,2)),ROUND(Registro_Compras!$O$141-Registro_Compras!$S$141,2)))</f>
        <v/>
      </c>
      <c r="G1246">
        <f>IF($C1246="","","Por la cancelacion del saldo al proveedor")</f>
        <v/>
      </c>
      <c r="H1246">
        <f>IF($C1246="","",Registro_Compras!$C$141)</f>
        <v/>
      </c>
    </row>
    <row r="1247">
      <c r="A1247" s="25">
        <f>IF($C1247="","",Registro_Compras!$B$142)</f>
        <v/>
      </c>
      <c r="B1247">
        <f>IF($C1247="","","C"&amp;TEXT(INT((ROW()-5)/9)+1,"000")&amp;"-1")</f>
        <v/>
      </c>
      <c r="C1247">
        <f>IF(OR(Registro_Compras!$C$142="",Registro_Compras!$O$142=""),"",IF(Registro_Compras!$F$142="NOTA DE CREDITO","4212",IF(Registro_Compras!$M$142="","63",Registro_Compras!$M$142)))</f>
        <v/>
      </c>
      <c r="D1247">
        <f>IF(OR(Registro_Compras!$C$142="",Registro_Compras!$O$142=""),"",IF(Registro_Compras!$F$142="NOTA DE CREDITO","Cuentas por Pagar Comerciales - Terceros (Emitidas)",IF(Registro_Compras!$F$142="RHE","Honorarios Profesionales - Servicios de Terceros","Gastos de Servicios Prestados por Terceros")))</f>
        <v/>
      </c>
      <c r="E1247" s="20">
        <f>IF($C1247="","",IF(Registro_Compras!$F$142="NOTA DE CREDITO",ABS(Registro_Compras!$O$142),IF(Registro_Compras!$F$142="RHE",ROUND(Registro_Compras!$L$142*Registro_Compras!$N$142,2),ROUND(Registro_Compras!$J$142*Registro_Compras!$N$142,2))))</f>
        <v/>
      </c>
      <c r="F1247" s="20">
        <f>""</f>
        <v/>
      </c>
      <c r="G1247">
        <f>IF($C1247="","",IF(Registro_Compras!$F$142="NOTA DE CREDITO","Por la nota de credito "&amp;Registro_Compras!$C$142&amp;" de "&amp;Registro_Compras!$E$142&amp;" [PATRON POR CONFIRMAR CON CONTADOR]",IF(Registro_Compras!$F$142="RHE","Por el registro del recibo por honorarios "&amp;Registro_Compras!$C$142&amp;" de "&amp;Registro_Compras!$E$142&amp;" [PATRON POR CONFIRMAR CON CONTADOR]","Por el registro de la factura "&amp;Registro_Compras!$C$142&amp;" de "&amp;Registro_Compras!$E$142)))</f>
        <v/>
      </c>
      <c r="H1247">
        <f>IF($C1247="","",Registro_Compras!$C$142)</f>
        <v/>
      </c>
    </row>
    <row r="1248">
      <c r="A1248" s="25">
        <f>IF($C1248="","",Registro_Compras!$B$142)</f>
        <v/>
      </c>
      <c r="B1248">
        <f>IF($C1248="","","C"&amp;TEXT(INT((ROW()-5)/9)+1,"000")&amp;"-1")</f>
        <v/>
      </c>
      <c r="C1248">
        <f>IF(OR(Registro_Compras!$C$142="",Registro_Compras!$O$142=""),"",IF(Registro_Compras!$F$142="RHE",IF(Registro_Compras!$V$142=0,"","40172"),IF(Registro_Compras!$F$142="NOTA DE CREDITO",IF(Registro_Compras!$M$142="","63",Registro_Compras!$M$142),IF(Registro_Compras!$K$142=0,"","40111"))))</f>
        <v/>
      </c>
      <c r="D1248">
        <f>IF(OR(Registro_Compras!$C$142="",Registro_Compras!$O$142=""),"",IF(Registro_Compras!$F$142="RHE","Retencion Renta 4ta Categoria por Pagar",IF(Registro_Compras!$F$142="NOTA DE CREDITO","Gastos de Servicios Prestados por Terceros","IGV - Cuenta Propia (Credito Fiscal)")))</f>
        <v/>
      </c>
      <c r="E1248" s="20">
        <f>IF($C1248="","",IF(Registro_Compras!$F$142="FACTURA",ROUND(Registro_Compras!$K$142*Registro_Compras!$N$142,2),""))</f>
        <v/>
      </c>
      <c r="F1248" s="20">
        <f>IF($C1248="","",IF(Registro_Compras!$F$142="RHE",ROUND(Registro_Compras!$V$142*Registro_Compras!$N$142,2),IF(Registro_Compras!$F$142="NOTA DE CREDITO",ROUND(ABS(Registro_Compras!$J$142*Registro_Compras!$N$142),2),"")))</f>
        <v/>
      </c>
      <c r="G1248">
        <f>IF($C1248="","",IF(Registro_Compras!$F$142="NOTA DE CREDITO","Por la nota de credito "&amp;Registro_Compras!$C$142&amp;" de "&amp;Registro_Compras!$E$142&amp;" [PATRON POR CONFIRMAR CON CONTADOR]",IF(Registro_Compras!$F$142="RHE","Por el registro del recibo por honorarios "&amp;Registro_Compras!$C$142&amp;" de "&amp;Registro_Compras!$E$142&amp;" [PATRON POR CONFIRMAR CON CONTADOR]","Por el registro de la factura "&amp;Registro_Compras!$C$142&amp;" de "&amp;Registro_Compras!$E$142)))</f>
        <v/>
      </c>
      <c r="H1248">
        <f>IF($C1248="","",Registro_Compras!$C$142)</f>
        <v/>
      </c>
    </row>
    <row r="1249">
      <c r="A1249" s="25">
        <f>IF($C1249="","",Registro_Compras!$B$142)</f>
        <v/>
      </c>
      <c r="B1249">
        <f>IF($C1249="","","C"&amp;TEXT(INT((ROW()-5)/9)+1,"000")&amp;"-1")</f>
        <v/>
      </c>
      <c r="C1249">
        <f>IF(OR(Registro_Compras!$C$142="",Registro_Compras!$O$142=""),"",IF(Registro_Compras!$F$142="NOTA DE CREDITO",IF(Registro_Compras!$K$142=0,"","40111"),"4212"))</f>
        <v/>
      </c>
      <c r="D1249">
        <f>IF(OR(Registro_Compras!$C$142="",Registro_Compras!$O$142=""),"",IF(Registro_Compras!$F$142="NOTA DE CREDITO","IGV - Cuenta Propia (Credito Fiscal)","Cuentas por Pagar Comerciales - Terceros (Emitidas)"))</f>
        <v/>
      </c>
      <c r="E1249" s="20">
        <f>""</f>
        <v/>
      </c>
      <c r="F1249" s="20">
        <f>IF($C1249="","",IF(Registro_Compras!$F$142="NOTA DE CREDITO",ROUND(ABS(Registro_Compras!$K$142*Registro_Compras!$N$142),2),IF(Registro_Compras!$F$142="RHE",(ROUND(Registro_Compras!$L$142*Registro_Compras!$N$142,2)-ROUND(Registro_Compras!$V$142*Registro_Compras!$N$142,2)),Registro_Compras!$O$142)))</f>
        <v/>
      </c>
      <c r="G1249">
        <f>IF($C1249="","",IF(Registro_Compras!$F$142="NOTA DE CREDITO","Por la nota de credito "&amp;Registro_Compras!$C$142&amp;" de "&amp;Registro_Compras!$E$142&amp;" [PATRON POR CONFIRMAR CON CONTADOR]",IF(Registro_Compras!$F$142="RHE","Por el registro del recibo por honorarios "&amp;Registro_Compras!$C$142&amp;" de "&amp;Registro_Compras!$E$142&amp;" [PATRON POR CONFIRMAR CON CONTADOR]","Por el registro de la factura "&amp;Registro_Compras!$C$142&amp;" de "&amp;Registro_Compras!$E$142)))</f>
        <v/>
      </c>
      <c r="H1249">
        <f>IF($C1249="","",Registro_Compras!$C$142)</f>
        <v/>
      </c>
    </row>
    <row r="1250">
      <c r="A1250" s="25">
        <f>IF($C1250="","",Registro_Compras!$B$142)</f>
        <v/>
      </c>
      <c r="B1250">
        <f>IF($C1250="","","C"&amp;TEXT(INT((ROW()-5)/9)+1,"000")&amp;"-2")</f>
        <v/>
      </c>
      <c r="C1250">
        <f>IF(OR(Registro_Compras!$C$142="",Registro_Compras!$O$142=""),"",IF(Registro_Compras!$AB$142="ADMINISTRATIVO","94","95"))</f>
        <v/>
      </c>
      <c r="D1250">
        <f>IF(OR(Registro_Compras!$C$142="",Registro_Compras!$O$142=""),"",IF(Registro_Compras!$AB$142="ADMINISTRATIVO","Gastos Administrativos","Gastos de Venta y Operacion"))</f>
        <v/>
      </c>
      <c r="E1250" s="20">
        <f>IF($C1250="","",IF(Registro_Compras!$F$142="NOTA DE CREDITO","",IF(Registro_Compras!$F$142="RHE",ROUND(Registro_Compras!$L$142*Registro_Compras!$N$142,2),ROUND(Registro_Compras!$J$142*Registro_Compras!$N$142,2))))</f>
        <v/>
      </c>
      <c r="F1250" s="20">
        <f>IF($C1250="","",IF(Registro_Compras!$F$142="NOTA DE CREDITO",ROUND(ABS(Registro_Compras!$J$142*Registro_Compras!$N$142),2),""))</f>
        <v/>
      </c>
      <c r="G1250">
        <f>IF($C1250="","","Por el destino del gasto")</f>
        <v/>
      </c>
      <c r="H1250">
        <f>IF($C1250="","",Registro_Compras!$C$142)</f>
        <v/>
      </c>
    </row>
    <row r="1251">
      <c r="A1251" s="25">
        <f>IF($C1251="","",Registro_Compras!$B$142)</f>
        <v/>
      </c>
      <c r="B1251">
        <f>IF($C1251="","","C"&amp;TEXT(INT((ROW()-5)/9)+1,"000")&amp;"-2")</f>
        <v/>
      </c>
      <c r="C1251">
        <f>IF(OR(Registro_Compras!$C$142="",Registro_Compras!$O$142=""),"","79/791")</f>
        <v/>
      </c>
      <c r="D1251">
        <f>IF(OR(Registro_Compras!$C$142="",Registro_Compras!$O$142=""),"","Cargas Imputables a Cuentas de Costos y Gastos")</f>
        <v/>
      </c>
      <c r="E1251" s="20">
        <f>IF($C1251="","",IF(Registro_Compras!$F$142="NOTA DE CREDITO",ROUND(ABS(Registro_Compras!$J$142*Registro_Compras!$N$142),2),""))</f>
        <v/>
      </c>
      <c r="F1251" s="20">
        <f>IF($C1251="","",IF(Registro_Compras!$F$142="NOTA DE CREDITO","",IF(Registro_Compras!$F$142="RHE",ROUND(Registro_Compras!$L$142*Registro_Compras!$N$142,2),ROUND(Registro_Compras!$J$142*Registro_Compras!$N$142,2))))</f>
        <v/>
      </c>
      <c r="G1251">
        <f>IF($C1251="","","Por el destino del gasto")</f>
        <v/>
      </c>
      <c r="H1251">
        <f>IF($C1251="","",Registro_Compras!$C$142)</f>
        <v/>
      </c>
    </row>
    <row r="1252">
      <c r="A1252" s="25">
        <f>IF($C1252="","",Registro_Compras!$X$142)</f>
        <v/>
      </c>
      <c r="B1252">
        <f>IF($C1252="","","C"&amp;TEXT(INT((ROW()-5)/9)+1,"000")&amp;"-3")</f>
        <v/>
      </c>
      <c r="C1252">
        <f>IF(OR(Registro_Compras!$C$142="",Registro_Compras!$O$142="",Registro_Compras!$R$142&lt;&gt;"SI",Registro_Compras!$X$142=""),"","4212")</f>
        <v/>
      </c>
      <c r="D1252">
        <f>IF(OR(Registro_Compras!$C$142="",Registro_Compras!$O$142=""),"","Cuentas por Pagar Comerciales - Terceros")</f>
        <v/>
      </c>
      <c r="E1252" s="20">
        <f>IF($C1252="","",Registro_Compras!$S$142)</f>
        <v/>
      </c>
      <c r="F1252" s="20">
        <f>""</f>
        <v/>
      </c>
      <c r="G1252">
        <f>IF($C1252="","","Por el deposito de la detraccion en el Banco de la Nacion")</f>
        <v/>
      </c>
      <c r="H1252">
        <f>IF($C1252="","",Registro_Compras!$C$142)</f>
        <v/>
      </c>
    </row>
    <row r="1253">
      <c r="A1253" s="25">
        <f>IF($C1253="","",Registro_Compras!$X$142)</f>
        <v/>
      </c>
      <c r="B1253">
        <f>IF($C1253="","","C"&amp;TEXT(INT((ROW()-5)/9)+1,"000")&amp;"-3")</f>
        <v/>
      </c>
      <c r="C1253">
        <f>IF(OR(Registro_Compras!$C$142="",Registro_Compras!$O$142="",Registro_Compras!$R$142&lt;&gt;"SI",Registro_Compras!$X$142=""),"","10413")</f>
        <v/>
      </c>
      <c r="D1253">
        <f>IF(OR(Registro_Compras!$C$142="",Registro_Compras!$O$142=""),"","Efectivo y Equivalentes - Cta. Cte. Operativa")</f>
        <v/>
      </c>
      <c r="E1253" s="20">
        <f>""</f>
        <v/>
      </c>
      <c r="F1253" s="20">
        <f>IF($C1253="","",Registro_Compras!$S$142)</f>
        <v/>
      </c>
      <c r="G1253">
        <f>IF($C1253="","","Por el deposito de la detraccion en el Banco de la Nacion")</f>
        <v/>
      </c>
      <c r="H1253">
        <f>IF($C1253="","",Registro_Compras!$C$142)</f>
        <v/>
      </c>
    </row>
    <row r="1254">
      <c r="A1254" s="25">
        <f>IF($C1254="","",Registro_Compras!$Y$142)</f>
        <v/>
      </c>
      <c r="B1254">
        <f>IF($C1254="","","C"&amp;TEXT(INT((ROW()-5)/9)+1,"000")&amp;"-4")</f>
        <v/>
      </c>
      <c r="C1254">
        <f>IF(OR(Registro_Compras!$C$142="",Registro_Compras!$O$142="",Registro_Compras!$Y$142="",Registro_Compras!$F$142="NOTA DE CREDITO"),"","4212")</f>
        <v/>
      </c>
      <c r="D1254">
        <f>IF(OR(Registro_Compras!$C$142="",Registro_Compras!$O$142=""),"","Cuentas por Pagar Comerciales - Terceros")</f>
        <v/>
      </c>
      <c r="E1254" s="20">
        <f>IF($C1254="","",IF(Registro_Compras!$F$142="RHE",(ROUND(Registro_Compras!$L$142*Registro_Compras!$N$142,2)-ROUND(Registro_Compras!$V$142*Registro_Compras!$N$142,2)),ROUND(Registro_Compras!$O$142-Registro_Compras!$S$142,2)))</f>
        <v/>
      </c>
      <c r="F1254" s="20">
        <f>""</f>
        <v/>
      </c>
      <c r="G1254">
        <f>IF($C1254="","","Por la cancelacion del saldo al proveedor")</f>
        <v/>
      </c>
      <c r="H1254">
        <f>IF($C1254="","",Registro_Compras!$C$142)</f>
        <v/>
      </c>
    </row>
    <row r="1255">
      <c r="A1255" s="25">
        <f>IF($C1255="","",Registro_Compras!$Y$142)</f>
        <v/>
      </c>
      <c r="B1255">
        <f>IF($C1255="","","C"&amp;TEXT(INT((ROW()-5)/9)+1,"000")&amp;"-4")</f>
        <v/>
      </c>
      <c r="C1255">
        <f>IF(OR(Registro_Compras!$C$142="",Registro_Compras!$O$142="",Registro_Compras!$Y$142="",Registro_Compras!$F$142="NOTA DE CREDITO"),"","10413")</f>
        <v/>
      </c>
      <c r="D1255">
        <f>IF(OR(Registro_Compras!$C$142="",Registro_Compras!$O$142=""),"","Efectivo y Equivalentes - Cta. Cte. Operativa")</f>
        <v/>
      </c>
      <c r="E1255" s="20">
        <f>""</f>
        <v/>
      </c>
      <c r="F1255" s="20">
        <f>IF($C1255="","",IF(Registro_Compras!$F$142="RHE",(ROUND(Registro_Compras!$L$142*Registro_Compras!$N$142,2)-ROUND(Registro_Compras!$V$142*Registro_Compras!$N$142,2)),ROUND(Registro_Compras!$O$142-Registro_Compras!$S$142,2)))</f>
        <v/>
      </c>
      <c r="G1255">
        <f>IF($C1255="","","Por la cancelacion del saldo al proveedor")</f>
        <v/>
      </c>
      <c r="H1255">
        <f>IF($C1255="","",Registro_Compras!$C$142)</f>
        <v/>
      </c>
    </row>
    <row r="1256">
      <c r="A1256" s="25">
        <f>IF($C1256="","",Registro_Compras!$B$143)</f>
        <v/>
      </c>
      <c r="B1256">
        <f>IF($C1256="","","C"&amp;TEXT(INT((ROW()-5)/9)+1,"000")&amp;"-1")</f>
        <v/>
      </c>
      <c r="C1256">
        <f>IF(OR(Registro_Compras!$C$143="",Registro_Compras!$O$143=""),"",IF(Registro_Compras!$F$143="NOTA DE CREDITO","4212",IF(Registro_Compras!$M$143="","63",Registro_Compras!$M$143)))</f>
        <v/>
      </c>
      <c r="D1256">
        <f>IF(OR(Registro_Compras!$C$143="",Registro_Compras!$O$143=""),"",IF(Registro_Compras!$F$143="NOTA DE CREDITO","Cuentas por Pagar Comerciales - Terceros (Emitidas)",IF(Registro_Compras!$F$143="RHE","Honorarios Profesionales - Servicios de Terceros","Gastos de Servicios Prestados por Terceros")))</f>
        <v/>
      </c>
      <c r="E1256" s="20">
        <f>IF($C1256="","",IF(Registro_Compras!$F$143="NOTA DE CREDITO",ABS(Registro_Compras!$O$143),IF(Registro_Compras!$F$143="RHE",ROUND(Registro_Compras!$L$143*Registro_Compras!$N$143,2),ROUND(Registro_Compras!$J$143*Registro_Compras!$N$143,2))))</f>
        <v/>
      </c>
      <c r="F1256" s="20">
        <f>""</f>
        <v/>
      </c>
      <c r="G1256">
        <f>IF($C1256="","",IF(Registro_Compras!$F$143="NOTA DE CREDITO","Por la nota de credito "&amp;Registro_Compras!$C$143&amp;" de "&amp;Registro_Compras!$E$143&amp;" [PATRON POR CONFIRMAR CON CONTADOR]",IF(Registro_Compras!$F$143="RHE","Por el registro del recibo por honorarios "&amp;Registro_Compras!$C$143&amp;" de "&amp;Registro_Compras!$E$143&amp;" [PATRON POR CONFIRMAR CON CONTADOR]","Por el registro de la factura "&amp;Registro_Compras!$C$143&amp;" de "&amp;Registro_Compras!$E$143)))</f>
        <v/>
      </c>
      <c r="H1256">
        <f>IF($C1256="","",Registro_Compras!$C$143)</f>
        <v/>
      </c>
    </row>
    <row r="1257">
      <c r="A1257" s="25">
        <f>IF($C1257="","",Registro_Compras!$B$143)</f>
        <v/>
      </c>
      <c r="B1257">
        <f>IF($C1257="","","C"&amp;TEXT(INT((ROW()-5)/9)+1,"000")&amp;"-1")</f>
        <v/>
      </c>
      <c r="C1257">
        <f>IF(OR(Registro_Compras!$C$143="",Registro_Compras!$O$143=""),"",IF(Registro_Compras!$F$143="RHE",IF(Registro_Compras!$V$143=0,"","40172"),IF(Registro_Compras!$F$143="NOTA DE CREDITO",IF(Registro_Compras!$M$143="","63",Registro_Compras!$M$143),IF(Registro_Compras!$K$143=0,"","40111"))))</f>
        <v/>
      </c>
      <c r="D1257">
        <f>IF(OR(Registro_Compras!$C$143="",Registro_Compras!$O$143=""),"",IF(Registro_Compras!$F$143="RHE","Retencion Renta 4ta Categoria por Pagar",IF(Registro_Compras!$F$143="NOTA DE CREDITO","Gastos de Servicios Prestados por Terceros","IGV - Cuenta Propia (Credito Fiscal)")))</f>
        <v/>
      </c>
      <c r="E1257" s="20">
        <f>IF($C1257="","",IF(Registro_Compras!$F$143="FACTURA",ROUND(Registro_Compras!$K$143*Registro_Compras!$N$143,2),""))</f>
        <v/>
      </c>
      <c r="F1257" s="20">
        <f>IF($C1257="","",IF(Registro_Compras!$F$143="RHE",ROUND(Registro_Compras!$V$143*Registro_Compras!$N$143,2),IF(Registro_Compras!$F$143="NOTA DE CREDITO",ROUND(ABS(Registro_Compras!$J$143*Registro_Compras!$N$143),2),"")))</f>
        <v/>
      </c>
      <c r="G1257">
        <f>IF($C1257="","",IF(Registro_Compras!$F$143="NOTA DE CREDITO","Por la nota de credito "&amp;Registro_Compras!$C$143&amp;" de "&amp;Registro_Compras!$E$143&amp;" [PATRON POR CONFIRMAR CON CONTADOR]",IF(Registro_Compras!$F$143="RHE","Por el registro del recibo por honorarios "&amp;Registro_Compras!$C$143&amp;" de "&amp;Registro_Compras!$E$143&amp;" [PATRON POR CONFIRMAR CON CONTADOR]","Por el registro de la factura "&amp;Registro_Compras!$C$143&amp;" de "&amp;Registro_Compras!$E$143)))</f>
        <v/>
      </c>
      <c r="H1257">
        <f>IF($C1257="","",Registro_Compras!$C$143)</f>
        <v/>
      </c>
    </row>
    <row r="1258">
      <c r="A1258" s="25">
        <f>IF($C1258="","",Registro_Compras!$B$143)</f>
        <v/>
      </c>
      <c r="B1258">
        <f>IF($C1258="","","C"&amp;TEXT(INT((ROW()-5)/9)+1,"000")&amp;"-1")</f>
        <v/>
      </c>
      <c r="C1258">
        <f>IF(OR(Registro_Compras!$C$143="",Registro_Compras!$O$143=""),"",IF(Registro_Compras!$F$143="NOTA DE CREDITO",IF(Registro_Compras!$K$143=0,"","40111"),"4212"))</f>
        <v/>
      </c>
      <c r="D1258">
        <f>IF(OR(Registro_Compras!$C$143="",Registro_Compras!$O$143=""),"",IF(Registro_Compras!$F$143="NOTA DE CREDITO","IGV - Cuenta Propia (Credito Fiscal)","Cuentas por Pagar Comerciales - Terceros (Emitidas)"))</f>
        <v/>
      </c>
      <c r="E1258" s="20">
        <f>""</f>
        <v/>
      </c>
      <c r="F1258" s="20">
        <f>IF($C1258="","",IF(Registro_Compras!$F$143="NOTA DE CREDITO",ROUND(ABS(Registro_Compras!$K$143*Registro_Compras!$N$143),2),IF(Registro_Compras!$F$143="RHE",(ROUND(Registro_Compras!$L$143*Registro_Compras!$N$143,2)-ROUND(Registro_Compras!$V$143*Registro_Compras!$N$143,2)),Registro_Compras!$O$143)))</f>
        <v/>
      </c>
      <c r="G1258">
        <f>IF($C1258="","",IF(Registro_Compras!$F$143="NOTA DE CREDITO","Por la nota de credito "&amp;Registro_Compras!$C$143&amp;" de "&amp;Registro_Compras!$E$143&amp;" [PATRON POR CONFIRMAR CON CONTADOR]",IF(Registro_Compras!$F$143="RHE","Por el registro del recibo por honorarios "&amp;Registro_Compras!$C$143&amp;" de "&amp;Registro_Compras!$E$143&amp;" [PATRON POR CONFIRMAR CON CONTADOR]","Por el registro de la factura "&amp;Registro_Compras!$C$143&amp;" de "&amp;Registro_Compras!$E$143)))</f>
        <v/>
      </c>
      <c r="H1258">
        <f>IF($C1258="","",Registro_Compras!$C$143)</f>
        <v/>
      </c>
    </row>
    <row r="1259">
      <c r="A1259" s="25">
        <f>IF($C1259="","",Registro_Compras!$B$143)</f>
        <v/>
      </c>
      <c r="B1259">
        <f>IF($C1259="","","C"&amp;TEXT(INT((ROW()-5)/9)+1,"000")&amp;"-2")</f>
        <v/>
      </c>
      <c r="C1259">
        <f>IF(OR(Registro_Compras!$C$143="",Registro_Compras!$O$143=""),"",IF(Registro_Compras!$AB$143="ADMINISTRATIVO","94","95"))</f>
        <v/>
      </c>
      <c r="D1259">
        <f>IF(OR(Registro_Compras!$C$143="",Registro_Compras!$O$143=""),"",IF(Registro_Compras!$AB$143="ADMINISTRATIVO","Gastos Administrativos","Gastos de Venta y Operacion"))</f>
        <v/>
      </c>
      <c r="E1259" s="20">
        <f>IF($C1259="","",IF(Registro_Compras!$F$143="NOTA DE CREDITO","",IF(Registro_Compras!$F$143="RHE",ROUND(Registro_Compras!$L$143*Registro_Compras!$N$143,2),ROUND(Registro_Compras!$J$143*Registro_Compras!$N$143,2))))</f>
        <v/>
      </c>
      <c r="F1259" s="20">
        <f>IF($C1259="","",IF(Registro_Compras!$F$143="NOTA DE CREDITO",ROUND(ABS(Registro_Compras!$J$143*Registro_Compras!$N$143),2),""))</f>
        <v/>
      </c>
      <c r="G1259">
        <f>IF($C1259="","","Por el destino del gasto")</f>
        <v/>
      </c>
      <c r="H1259">
        <f>IF($C1259="","",Registro_Compras!$C$143)</f>
        <v/>
      </c>
    </row>
    <row r="1260">
      <c r="A1260" s="25">
        <f>IF($C1260="","",Registro_Compras!$B$143)</f>
        <v/>
      </c>
      <c r="B1260">
        <f>IF($C1260="","","C"&amp;TEXT(INT((ROW()-5)/9)+1,"000")&amp;"-2")</f>
        <v/>
      </c>
      <c r="C1260">
        <f>IF(OR(Registro_Compras!$C$143="",Registro_Compras!$O$143=""),"","79/791")</f>
        <v/>
      </c>
      <c r="D1260">
        <f>IF(OR(Registro_Compras!$C$143="",Registro_Compras!$O$143=""),"","Cargas Imputables a Cuentas de Costos y Gastos")</f>
        <v/>
      </c>
      <c r="E1260" s="20">
        <f>IF($C1260="","",IF(Registro_Compras!$F$143="NOTA DE CREDITO",ROUND(ABS(Registro_Compras!$J$143*Registro_Compras!$N$143),2),""))</f>
        <v/>
      </c>
      <c r="F1260" s="20">
        <f>IF($C1260="","",IF(Registro_Compras!$F$143="NOTA DE CREDITO","",IF(Registro_Compras!$F$143="RHE",ROUND(Registro_Compras!$L$143*Registro_Compras!$N$143,2),ROUND(Registro_Compras!$J$143*Registro_Compras!$N$143,2))))</f>
        <v/>
      </c>
      <c r="G1260">
        <f>IF($C1260="","","Por el destino del gasto")</f>
        <v/>
      </c>
      <c r="H1260">
        <f>IF($C1260="","",Registro_Compras!$C$143)</f>
        <v/>
      </c>
    </row>
    <row r="1261">
      <c r="A1261" s="25">
        <f>IF($C1261="","",Registro_Compras!$X$143)</f>
        <v/>
      </c>
      <c r="B1261">
        <f>IF($C1261="","","C"&amp;TEXT(INT((ROW()-5)/9)+1,"000")&amp;"-3")</f>
        <v/>
      </c>
      <c r="C1261">
        <f>IF(OR(Registro_Compras!$C$143="",Registro_Compras!$O$143="",Registro_Compras!$R$143&lt;&gt;"SI",Registro_Compras!$X$143=""),"","4212")</f>
        <v/>
      </c>
      <c r="D1261">
        <f>IF(OR(Registro_Compras!$C$143="",Registro_Compras!$O$143=""),"","Cuentas por Pagar Comerciales - Terceros")</f>
        <v/>
      </c>
      <c r="E1261" s="20">
        <f>IF($C1261="","",Registro_Compras!$S$143)</f>
        <v/>
      </c>
      <c r="F1261" s="20">
        <f>""</f>
        <v/>
      </c>
      <c r="G1261">
        <f>IF($C1261="","","Por el deposito de la detraccion en el Banco de la Nacion")</f>
        <v/>
      </c>
      <c r="H1261">
        <f>IF($C1261="","",Registro_Compras!$C$143)</f>
        <v/>
      </c>
    </row>
    <row r="1262">
      <c r="A1262" s="25">
        <f>IF($C1262="","",Registro_Compras!$X$143)</f>
        <v/>
      </c>
      <c r="B1262">
        <f>IF($C1262="","","C"&amp;TEXT(INT((ROW()-5)/9)+1,"000")&amp;"-3")</f>
        <v/>
      </c>
      <c r="C1262">
        <f>IF(OR(Registro_Compras!$C$143="",Registro_Compras!$O$143="",Registro_Compras!$R$143&lt;&gt;"SI",Registro_Compras!$X$143=""),"","10413")</f>
        <v/>
      </c>
      <c r="D1262">
        <f>IF(OR(Registro_Compras!$C$143="",Registro_Compras!$O$143=""),"","Efectivo y Equivalentes - Cta. Cte. Operativa")</f>
        <v/>
      </c>
      <c r="E1262" s="20">
        <f>""</f>
        <v/>
      </c>
      <c r="F1262" s="20">
        <f>IF($C1262="","",Registro_Compras!$S$143)</f>
        <v/>
      </c>
      <c r="G1262">
        <f>IF($C1262="","","Por el deposito de la detraccion en el Banco de la Nacion")</f>
        <v/>
      </c>
      <c r="H1262">
        <f>IF($C1262="","",Registro_Compras!$C$143)</f>
        <v/>
      </c>
    </row>
    <row r="1263">
      <c r="A1263" s="25">
        <f>IF($C1263="","",Registro_Compras!$Y$143)</f>
        <v/>
      </c>
      <c r="B1263">
        <f>IF($C1263="","","C"&amp;TEXT(INT((ROW()-5)/9)+1,"000")&amp;"-4")</f>
        <v/>
      </c>
      <c r="C1263">
        <f>IF(OR(Registro_Compras!$C$143="",Registro_Compras!$O$143="",Registro_Compras!$Y$143="",Registro_Compras!$F$143="NOTA DE CREDITO"),"","4212")</f>
        <v/>
      </c>
      <c r="D1263">
        <f>IF(OR(Registro_Compras!$C$143="",Registro_Compras!$O$143=""),"","Cuentas por Pagar Comerciales - Terceros")</f>
        <v/>
      </c>
      <c r="E1263" s="20">
        <f>IF($C1263="","",IF(Registro_Compras!$F$143="RHE",(ROUND(Registro_Compras!$L$143*Registro_Compras!$N$143,2)-ROUND(Registro_Compras!$V$143*Registro_Compras!$N$143,2)),ROUND(Registro_Compras!$O$143-Registro_Compras!$S$143,2)))</f>
        <v/>
      </c>
      <c r="F1263" s="20">
        <f>""</f>
        <v/>
      </c>
      <c r="G1263">
        <f>IF($C1263="","","Por la cancelacion del saldo al proveedor")</f>
        <v/>
      </c>
      <c r="H1263">
        <f>IF($C1263="","",Registro_Compras!$C$143)</f>
        <v/>
      </c>
    </row>
    <row r="1264">
      <c r="A1264" s="25">
        <f>IF($C1264="","",Registro_Compras!$Y$143)</f>
        <v/>
      </c>
      <c r="B1264">
        <f>IF($C1264="","","C"&amp;TEXT(INT((ROW()-5)/9)+1,"000")&amp;"-4")</f>
        <v/>
      </c>
      <c r="C1264">
        <f>IF(OR(Registro_Compras!$C$143="",Registro_Compras!$O$143="",Registro_Compras!$Y$143="",Registro_Compras!$F$143="NOTA DE CREDITO"),"","10413")</f>
        <v/>
      </c>
      <c r="D1264">
        <f>IF(OR(Registro_Compras!$C$143="",Registro_Compras!$O$143=""),"","Efectivo y Equivalentes - Cta. Cte. Operativa")</f>
        <v/>
      </c>
      <c r="E1264" s="20">
        <f>""</f>
        <v/>
      </c>
      <c r="F1264" s="20">
        <f>IF($C1264="","",IF(Registro_Compras!$F$143="RHE",(ROUND(Registro_Compras!$L$143*Registro_Compras!$N$143,2)-ROUND(Registro_Compras!$V$143*Registro_Compras!$N$143,2)),ROUND(Registro_Compras!$O$143-Registro_Compras!$S$143,2)))</f>
        <v/>
      </c>
      <c r="G1264">
        <f>IF($C1264="","","Por la cancelacion del saldo al proveedor")</f>
        <v/>
      </c>
      <c r="H1264">
        <f>IF($C1264="","",Registro_Compras!$C$143)</f>
        <v/>
      </c>
    </row>
    <row r="1265">
      <c r="A1265" s="25">
        <f>IF($C1265="","",Registro_Compras!$B$144)</f>
        <v/>
      </c>
      <c r="B1265">
        <f>IF($C1265="","","C"&amp;TEXT(INT((ROW()-5)/9)+1,"000")&amp;"-1")</f>
        <v/>
      </c>
      <c r="C1265">
        <f>IF(OR(Registro_Compras!$C$144="",Registro_Compras!$O$144=""),"",IF(Registro_Compras!$F$144="NOTA DE CREDITO","4212",IF(Registro_Compras!$M$144="","63",Registro_Compras!$M$144)))</f>
        <v/>
      </c>
      <c r="D1265">
        <f>IF(OR(Registro_Compras!$C$144="",Registro_Compras!$O$144=""),"",IF(Registro_Compras!$F$144="NOTA DE CREDITO","Cuentas por Pagar Comerciales - Terceros (Emitidas)",IF(Registro_Compras!$F$144="RHE","Honorarios Profesionales - Servicios de Terceros","Gastos de Servicios Prestados por Terceros")))</f>
        <v/>
      </c>
      <c r="E1265" s="20">
        <f>IF($C1265="","",IF(Registro_Compras!$F$144="NOTA DE CREDITO",ABS(Registro_Compras!$O$144),IF(Registro_Compras!$F$144="RHE",ROUND(Registro_Compras!$L$144*Registro_Compras!$N$144,2),ROUND(Registro_Compras!$J$144*Registro_Compras!$N$144,2))))</f>
        <v/>
      </c>
      <c r="F1265" s="20">
        <f>""</f>
        <v/>
      </c>
      <c r="G1265">
        <f>IF($C1265="","",IF(Registro_Compras!$F$144="NOTA DE CREDITO","Por la nota de credito "&amp;Registro_Compras!$C$144&amp;" de "&amp;Registro_Compras!$E$144&amp;" [PATRON POR CONFIRMAR CON CONTADOR]",IF(Registro_Compras!$F$144="RHE","Por el registro del recibo por honorarios "&amp;Registro_Compras!$C$144&amp;" de "&amp;Registro_Compras!$E$144&amp;" [PATRON POR CONFIRMAR CON CONTADOR]","Por el registro de la factura "&amp;Registro_Compras!$C$144&amp;" de "&amp;Registro_Compras!$E$144)))</f>
        <v/>
      </c>
      <c r="H1265">
        <f>IF($C1265="","",Registro_Compras!$C$144)</f>
        <v/>
      </c>
    </row>
    <row r="1266">
      <c r="A1266" s="25">
        <f>IF($C1266="","",Registro_Compras!$B$144)</f>
        <v/>
      </c>
      <c r="B1266">
        <f>IF($C1266="","","C"&amp;TEXT(INT((ROW()-5)/9)+1,"000")&amp;"-1")</f>
        <v/>
      </c>
      <c r="C1266">
        <f>IF(OR(Registro_Compras!$C$144="",Registro_Compras!$O$144=""),"",IF(Registro_Compras!$F$144="RHE",IF(Registro_Compras!$V$144=0,"","40172"),IF(Registro_Compras!$F$144="NOTA DE CREDITO",IF(Registro_Compras!$M$144="","63",Registro_Compras!$M$144),IF(Registro_Compras!$K$144=0,"","40111"))))</f>
        <v/>
      </c>
      <c r="D1266">
        <f>IF(OR(Registro_Compras!$C$144="",Registro_Compras!$O$144=""),"",IF(Registro_Compras!$F$144="RHE","Retencion Renta 4ta Categoria por Pagar",IF(Registro_Compras!$F$144="NOTA DE CREDITO","Gastos de Servicios Prestados por Terceros","IGV - Cuenta Propia (Credito Fiscal)")))</f>
        <v/>
      </c>
      <c r="E1266" s="20">
        <f>IF($C1266="","",IF(Registro_Compras!$F$144="FACTURA",ROUND(Registro_Compras!$K$144*Registro_Compras!$N$144,2),""))</f>
        <v/>
      </c>
      <c r="F1266" s="20">
        <f>IF($C1266="","",IF(Registro_Compras!$F$144="RHE",ROUND(Registro_Compras!$V$144*Registro_Compras!$N$144,2),IF(Registro_Compras!$F$144="NOTA DE CREDITO",ROUND(ABS(Registro_Compras!$J$144*Registro_Compras!$N$144),2),"")))</f>
        <v/>
      </c>
      <c r="G1266">
        <f>IF($C1266="","",IF(Registro_Compras!$F$144="NOTA DE CREDITO","Por la nota de credito "&amp;Registro_Compras!$C$144&amp;" de "&amp;Registro_Compras!$E$144&amp;" [PATRON POR CONFIRMAR CON CONTADOR]",IF(Registro_Compras!$F$144="RHE","Por el registro del recibo por honorarios "&amp;Registro_Compras!$C$144&amp;" de "&amp;Registro_Compras!$E$144&amp;" [PATRON POR CONFIRMAR CON CONTADOR]","Por el registro de la factura "&amp;Registro_Compras!$C$144&amp;" de "&amp;Registro_Compras!$E$144)))</f>
        <v/>
      </c>
      <c r="H1266">
        <f>IF($C1266="","",Registro_Compras!$C$144)</f>
        <v/>
      </c>
    </row>
    <row r="1267">
      <c r="A1267" s="25">
        <f>IF($C1267="","",Registro_Compras!$B$144)</f>
        <v/>
      </c>
      <c r="B1267">
        <f>IF($C1267="","","C"&amp;TEXT(INT((ROW()-5)/9)+1,"000")&amp;"-1")</f>
        <v/>
      </c>
      <c r="C1267">
        <f>IF(OR(Registro_Compras!$C$144="",Registro_Compras!$O$144=""),"",IF(Registro_Compras!$F$144="NOTA DE CREDITO",IF(Registro_Compras!$K$144=0,"","40111"),"4212"))</f>
        <v/>
      </c>
      <c r="D1267">
        <f>IF(OR(Registro_Compras!$C$144="",Registro_Compras!$O$144=""),"",IF(Registro_Compras!$F$144="NOTA DE CREDITO","IGV - Cuenta Propia (Credito Fiscal)","Cuentas por Pagar Comerciales - Terceros (Emitidas)"))</f>
        <v/>
      </c>
      <c r="E1267" s="20">
        <f>""</f>
        <v/>
      </c>
      <c r="F1267" s="20">
        <f>IF($C1267="","",IF(Registro_Compras!$F$144="NOTA DE CREDITO",ROUND(ABS(Registro_Compras!$K$144*Registro_Compras!$N$144),2),IF(Registro_Compras!$F$144="RHE",(ROUND(Registro_Compras!$L$144*Registro_Compras!$N$144,2)-ROUND(Registro_Compras!$V$144*Registro_Compras!$N$144,2)),Registro_Compras!$O$144)))</f>
        <v/>
      </c>
      <c r="G1267">
        <f>IF($C1267="","",IF(Registro_Compras!$F$144="NOTA DE CREDITO","Por la nota de credito "&amp;Registro_Compras!$C$144&amp;" de "&amp;Registro_Compras!$E$144&amp;" [PATRON POR CONFIRMAR CON CONTADOR]",IF(Registro_Compras!$F$144="RHE","Por el registro del recibo por honorarios "&amp;Registro_Compras!$C$144&amp;" de "&amp;Registro_Compras!$E$144&amp;" [PATRON POR CONFIRMAR CON CONTADOR]","Por el registro de la factura "&amp;Registro_Compras!$C$144&amp;" de "&amp;Registro_Compras!$E$144)))</f>
        <v/>
      </c>
      <c r="H1267">
        <f>IF($C1267="","",Registro_Compras!$C$144)</f>
        <v/>
      </c>
    </row>
    <row r="1268">
      <c r="A1268" s="25">
        <f>IF($C1268="","",Registro_Compras!$B$144)</f>
        <v/>
      </c>
      <c r="B1268">
        <f>IF($C1268="","","C"&amp;TEXT(INT((ROW()-5)/9)+1,"000")&amp;"-2")</f>
        <v/>
      </c>
      <c r="C1268">
        <f>IF(OR(Registro_Compras!$C$144="",Registro_Compras!$O$144=""),"",IF(Registro_Compras!$AB$144="ADMINISTRATIVO","94","95"))</f>
        <v/>
      </c>
      <c r="D1268">
        <f>IF(OR(Registro_Compras!$C$144="",Registro_Compras!$O$144=""),"",IF(Registro_Compras!$AB$144="ADMINISTRATIVO","Gastos Administrativos","Gastos de Venta y Operacion"))</f>
        <v/>
      </c>
      <c r="E1268" s="20">
        <f>IF($C1268="","",IF(Registro_Compras!$F$144="NOTA DE CREDITO","",IF(Registro_Compras!$F$144="RHE",ROUND(Registro_Compras!$L$144*Registro_Compras!$N$144,2),ROUND(Registro_Compras!$J$144*Registro_Compras!$N$144,2))))</f>
        <v/>
      </c>
      <c r="F1268" s="20">
        <f>IF($C1268="","",IF(Registro_Compras!$F$144="NOTA DE CREDITO",ROUND(ABS(Registro_Compras!$J$144*Registro_Compras!$N$144),2),""))</f>
        <v/>
      </c>
      <c r="G1268">
        <f>IF($C1268="","","Por el destino del gasto")</f>
        <v/>
      </c>
      <c r="H1268">
        <f>IF($C1268="","",Registro_Compras!$C$144)</f>
        <v/>
      </c>
    </row>
    <row r="1269">
      <c r="A1269" s="25">
        <f>IF($C1269="","",Registro_Compras!$B$144)</f>
        <v/>
      </c>
      <c r="B1269">
        <f>IF($C1269="","","C"&amp;TEXT(INT((ROW()-5)/9)+1,"000")&amp;"-2")</f>
        <v/>
      </c>
      <c r="C1269">
        <f>IF(OR(Registro_Compras!$C$144="",Registro_Compras!$O$144=""),"","79/791")</f>
        <v/>
      </c>
      <c r="D1269">
        <f>IF(OR(Registro_Compras!$C$144="",Registro_Compras!$O$144=""),"","Cargas Imputables a Cuentas de Costos y Gastos")</f>
        <v/>
      </c>
      <c r="E1269" s="20">
        <f>IF($C1269="","",IF(Registro_Compras!$F$144="NOTA DE CREDITO",ROUND(ABS(Registro_Compras!$J$144*Registro_Compras!$N$144),2),""))</f>
        <v/>
      </c>
      <c r="F1269" s="20">
        <f>IF($C1269="","",IF(Registro_Compras!$F$144="NOTA DE CREDITO","",IF(Registro_Compras!$F$144="RHE",ROUND(Registro_Compras!$L$144*Registro_Compras!$N$144,2),ROUND(Registro_Compras!$J$144*Registro_Compras!$N$144,2))))</f>
        <v/>
      </c>
      <c r="G1269">
        <f>IF($C1269="","","Por el destino del gasto")</f>
        <v/>
      </c>
      <c r="H1269">
        <f>IF($C1269="","",Registro_Compras!$C$144)</f>
        <v/>
      </c>
    </row>
    <row r="1270">
      <c r="A1270" s="25">
        <f>IF($C1270="","",Registro_Compras!$X$144)</f>
        <v/>
      </c>
      <c r="B1270">
        <f>IF($C1270="","","C"&amp;TEXT(INT((ROW()-5)/9)+1,"000")&amp;"-3")</f>
        <v/>
      </c>
      <c r="C1270">
        <f>IF(OR(Registro_Compras!$C$144="",Registro_Compras!$O$144="",Registro_Compras!$R$144&lt;&gt;"SI",Registro_Compras!$X$144=""),"","4212")</f>
        <v/>
      </c>
      <c r="D1270">
        <f>IF(OR(Registro_Compras!$C$144="",Registro_Compras!$O$144=""),"","Cuentas por Pagar Comerciales - Terceros")</f>
        <v/>
      </c>
      <c r="E1270" s="20">
        <f>IF($C1270="","",Registro_Compras!$S$144)</f>
        <v/>
      </c>
      <c r="F1270" s="20">
        <f>""</f>
        <v/>
      </c>
      <c r="G1270">
        <f>IF($C1270="","","Por el deposito de la detraccion en el Banco de la Nacion")</f>
        <v/>
      </c>
      <c r="H1270">
        <f>IF($C1270="","",Registro_Compras!$C$144)</f>
        <v/>
      </c>
    </row>
    <row r="1271">
      <c r="A1271" s="25">
        <f>IF($C1271="","",Registro_Compras!$X$144)</f>
        <v/>
      </c>
      <c r="B1271">
        <f>IF($C1271="","","C"&amp;TEXT(INT((ROW()-5)/9)+1,"000")&amp;"-3")</f>
        <v/>
      </c>
      <c r="C1271">
        <f>IF(OR(Registro_Compras!$C$144="",Registro_Compras!$O$144="",Registro_Compras!$R$144&lt;&gt;"SI",Registro_Compras!$X$144=""),"","10413")</f>
        <v/>
      </c>
      <c r="D1271">
        <f>IF(OR(Registro_Compras!$C$144="",Registro_Compras!$O$144=""),"","Efectivo y Equivalentes - Cta. Cte. Operativa")</f>
        <v/>
      </c>
      <c r="E1271" s="20">
        <f>""</f>
        <v/>
      </c>
      <c r="F1271" s="20">
        <f>IF($C1271="","",Registro_Compras!$S$144)</f>
        <v/>
      </c>
      <c r="G1271">
        <f>IF($C1271="","","Por el deposito de la detraccion en el Banco de la Nacion")</f>
        <v/>
      </c>
      <c r="H1271">
        <f>IF($C1271="","",Registro_Compras!$C$144)</f>
        <v/>
      </c>
    </row>
    <row r="1272">
      <c r="A1272" s="25">
        <f>IF($C1272="","",Registro_Compras!$Y$144)</f>
        <v/>
      </c>
      <c r="B1272">
        <f>IF($C1272="","","C"&amp;TEXT(INT((ROW()-5)/9)+1,"000")&amp;"-4")</f>
        <v/>
      </c>
      <c r="C1272">
        <f>IF(OR(Registro_Compras!$C$144="",Registro_Compras!$O$144="",Registro_Compras!$Y$144="",Registro_Compras!$F$144="NOTA DE CREDITO"),"","4212")</f>
        <v/>
      </c>
      <c r="D1272">
        <f>IF(OR(Registro_Compras!$C$144="",Registro_Compras!$O$144=""),"","Cuentas por Pagar Comerciales - Terceros")</f>
        <v/>
      </c>
      <c r="E1272" s="20">
        <f>IF($C1272="","",IF(Registro_Compras!$F$144="RHE",(ROUND(Registro_Compras!$L$144*Registro_Compras!$N$144,2)-ROUND(Registro_Compras!$V$144*Registro_Compras!$N$144,2)),ROUND(Registro_Compras!$O$144-Registro_Compras!$S$144,2)))</f>
        <v/>
      </c>
      <c r="F1272" s="20">
        <f>""</f>
        <v/>
      </c>
      <c r="G1272">
        <f>IF($C1272="","","Por la cancelacion del saldo al proveedor")</f>
        <v/>
      </c>
      <c r="H1272">
        <f>IF($C1272="","",Registro_Compras!$C$144)</f>
        <v/>
      </c>
    </row>
    <row r="1273">
      <c r="A1273" s="25">
        <f>IF($C1273="","",Registro_Compras!$Y$144)</f>
        <v/>
      </c>
      <c r="B1273">
        <f>IF($C1273="","","C"&amp;TEXT(INT((ROW()-5)/9)+1,"000")&amp;"-4")</f>
        <v/>
      </c>
      <c r="C1273">
        <f>IF(OR(Registro_Compras!$C$144="",Registro_Compras!$O$144="",Registro_Compras!$Y$144="",Registro_Compras!$F$144="NOTA DE CREDITO"),"","10413")</f>
        <v/>
      </c>
      <c r="D1273">
        <f>IF(OR(Registro_Compras!$C$144="",Registro_Compras!$O$144=""),"","Efectivo y Equivalentes - Cta. Cte. Operativa")</f>
        <v/>
      </c>
      <c r="E1273" s="20">
        <f>""</f>
        <v/>
      </c>
      <c r="F1273" s="20">
        <f>IF($C1273="","",IF(Registro_Compras!$F$144="RHE",(ROUND(Registro_Compras!$L$144*Registro_Compras!$N$144,2)-ROUND(Registro_Compras!$V$144*Registro_Compras!$N$144,2)),ROUND(Registro_Compras!$O$144-Registro_Compras!$S$144,2)))</f>
        <v/>
      </c>
      <c r="G1273">
        <f>IF($C1273="","","Por la cancelacion del saldo al proveedor")</f>
        <v/>
      </c>
      <c r="H1273">
        <f>IF($C1273="","",Registro_Compras!$C$144)</f>
        <v/>
      </c>
    </row>
    <row r="1274">
      <c r="A1274" s="25">
        <f>IF($C1274="","",Registro_Compras!$B$145)</f>
        <v/>
      </c>
      <c r="B1274">
        <f>IF($C1274="","","C"&amp;TEXT(INT((ROW()-5)/9)+1,"000")&amp;"-1")</f>
        <v/>
      </c>
      <c r="C1274">
        <f>IF(OR(Registro_Compras!$C$145="",Registro_Compras!$O$145=""),"",IF(Registro_Compras!$F$145="NOTA DE CREDITO","4212",IF(Registro_Compras!$M$145="","63",Registro_Compras!$M$145)))</f>
        <v/>
      </c>
      <c r="D1274">
        <f>IF(OR(Registro_Compras!$C$145="",Registro_Compras!$O$145=""),"",IF(Registro_Compras!$F$145="NOTA DE CREDITO","Cuentas por Pagar Comerciales - Terceros (Emitidas)",IF(Registro_Compras!$F$145="RHE","Honorarios Profesionales - Servicios de Terceros","Gastos de Servicios Prestados por Terceros")))</f>
        <v/>
      </c>
      <c r="E1274" s="20">
        <f>IF($C1274="","",IF(Registro_Compras!$F$145="NOTA DE CREDITO",ABS(Registro_Compras!$O$145),IF(Registro_Compras!$F$145="RHE",ROUND(Registro_Compras!$L$145*Registro_Compras!$N$145,2),ROUND(Registro_Compras!$J$145*Registro_Compras!$N$145,2))))</f>
        <v/>
      </c>
      <c r="F1274" s="20">
        <f>""</f>
        <v/>
      </c>
      <c r="G1274">
        <f>IF($C1274="","",IF(Registro_Compras!$F$145="NOTA DE CREDITO","Por la nota de credito "&amp;Registro_Compras!$C$145&amp;" de "&amp;Registro_Compras!$E$145&amp;" [PATRON POR CONFIRMAR CON CONTADOR]",IF(Registro_Compras!$F$145="RHE","Por el registro del recibo por honorarios "&amp;Registro_Compras!$C$145&amp;" de "&amp;Registro_Compras!$E$145&amp;" [PATRON POR CONFIRMAR CON CONTADOR]","Por el registro de la factura "&amp;Registro_Compras!$C$145&amp;" de "&amp;Registro_Compras!$E$145)))</f>
        <v/>
      </c>
      <c r="H1274">
        <f>IF($C1274="","",Registro_Compras!$C$145)</f>
        <v/>
      </c>
    </row>
    <row r="1275">
      <c r="A1275" s="25">
        <f>IF($C1275="","",Registro_Compras!$B$145)</f>
        <v/>
      </c>
      <c r="B1275">
        <f>IF($C1275="","","C"&amp;TEXT(INT((ROW()-5)/9)+1,"000")&amp;"-1")</f>
        <v/>
      </c>
      <c r="C1275">
        <f>IF(OR(Registro_Compras!$C$145="",Registro_Compras!$O$145=""),"",IF(Registro_Compras!$F$145="RHE",IF(Registro_Compras!$V$145=0,"","40172"),IF(Registro_Compras!$F$145="NOTA DE CREDITO",IF(Registro_Compras!$M$145="","63",Registro_Compras!$M$145),IF(Registro_Compras!$K$145=0,"","40111"))))</f>
        <v/>
      </c>
      <c r="D1275">
        <f>IF(OR(Registro_Compras!$C$145="",Registro_Compras!$O$145=""),"",IF(Registro_Compras!$F$145="RHE","Retencion Renta 4ta Categoria por Pagar",IF(Registro_Compras!$F$145="NOTA DE CREDITO","Gastos de Servicios Prestados por Terceros","IGV - Cuenta Propia (Credito Fiscal)")))</f>
        <v/>
      </c>
      <c r="E1275" s="20">
        <f>IF($C1275="","",IF(Registro_Compras!$F$145="FACTURA",ROUND(Registro_Compras!$K$145*Registro_Compras!$N$145,2),""))</f>
        <v/>
      </c>
      <c r="F1275" s="20">
        <f>IF($C1275="","",IF(Registro_Compras!$F$145="RHE",ROUND(Registro_Compras!$V$145*Registro_Compras!$N$145,2),IF(Registro_Compras!$F$145="NOTA DE CREDITO",ROUND(ABS(Registro_Compras!$J$145*Registro_Compras!$N$145),2),"")))</f>
        <v/>
      </c>
      <c r="G1275">
        <f>IF($C1275="","",IF(Registro_Compras!$F$145="NOTA DE CREDITO","Por la nota de credito "&amp;Registro_Compras!$C$145&amp;" de "&amp;Registro_Compras!$E$145&amp;" [PATRON POR CONFIRMAR CON CONTADOR]",IF(Registro_Compras!$F$145="RHE","Por el registro del recibo por honorarios "&amp;Registro_Compras!$C$145&amp;" de "&amp;Registro_Compras!$E$145&amp;" [PATRON POR CONFIRMAR CON CONTADOR]","Por el registro de la factura "&amp;Registro_Compras!$C$145&amp;" de "&amp;Registro_Compras!$E$145)))</f>
        <v/>
      </c>
      <c r="H1275">
        <f>IF($C1275="","",Registro_Compras!$C$145)</f>
        <v/>
      </c>
    </row>
    <row r="1276">
      <c r="A1276" s="25">
        <f>IF($C1276="","",Registro_Compras!$B$145)</f>
        <v/>
      </c>
      <c r="B1276">
        <f>IF($C1276="","","C"&amp;TEXT(INT((ROW()-5)/9)+1,"000")&amp;"-1")</f>
        <v/>
      </c>
      <c r="C1276">
        <f>IF(OR(Registro_Compras!$C$145="",Registro_Compras!$O$145=""),"",IF(Registro_Compras!$F$145="NOTA DE CREDITO",IF(Registro_Compras!$K$145=0,"","40111"),"4212"))</f>
        <v/>
      </c>
      <c r="D1276">
        <f>IF(OR(Registro_Compras!$C$145="",Registro_Compras!$O$145=""),"",IF(Registro_Compras!$F$145="NOTA DE CREDITO","IGV - Cuenta Propia (Credito Fiscal)","Cuentas por Pagar Comerciales - Terceros (Emitidas)"))</f>
        <v/>
      </c>
      <c r="E1276" s="20">
        <f>""</f>
        <v/>
      </c>
      <c r="F1276" s="20">
        <f>IF($C1276="","",IF(Registro_Compras!$F$145="NOTA DE CREDITO",ROUND(ABS(Registro_Compras!$K$145*Registro_Compras!$N$145),2),IF(Registro_Compras!$F$145="RHE",(ROUND(Registro_Compras!$L$145*Registro_Compras!$N$145,2)-ROUND(Registro_Compras!$V$145*Registro_Compras!$N$145,2)),Registro_Compras!$O$145)))</f>
        <v/>
      </c>
      <c r="G1276">
        <f>IF($C1276="","",IF(Registro_Compras!$F$145="NOTA DE CREDITO","Por la nota de credito "&amp;Registro_Compras!$C$145&amp;" de "&amp;Registro_Compras!$E$145&amp;" [PATRON POR CONFIRMAR CON CONTADOR]",IF(Registro_Compras!$F$145="RHE","Por el registro del recibo por honorarios "&amp;Registro_Compras!$C$145&amp;" de "&amp;Registro_Compras!$E$145&amp;" [PATRON POR CONFIRMAR CON CONTADOR]","Por el registro de la factura "&amp;Registro_Compras!$C$145&amp;" de "&amp;Registro_Compras!$E$145)))</f>
        <v/>
      </c>
      <c r="H1276">
        <f>IF($C1276="","",Registro_Compras!$C$145)</f>
        <v/>
      </c>
    </row>
    <row r="1277">
      <c r="A1277" s="25">
        <f>IF($C1277="","",Registro_Compras!$B$145)</f>
        <v/>
      </c>
      <c r="B1277">
        <f>IF($C1277="","","C"&amp;TEXT(INT((ROW()-5)/9)+1,"000")&amp;"-2")</f>
        <v/>
      </c>
      <c r="C1277">
        <f>IF(OR(Registro_Compras!$C$145="",Registro_Compras!$O$145=""),"",IF(Registro_Compras!$AB$145="ADMINISTRATIVO","94","95"))</f>
        <v/>
      </c>
      <c r="D1277">
        <f>IF(OR(Registro_Compras!$C$145="",Registro_Compras!$O$145=""),"",IF(Registro_Compras!$AB$145="ADMINISTRATIVO","Gastos Administrativos","Gastos de Venta y Operacion"))</f>
        <v/>
      </c>
      <c r="E1277" s="20">
        <f>IF($C1277="","",IF(Registro_Compras!$F$145="NOTA DE CREDITO","",IF(Registro_Compras!$F$145="RHE",ROUND(Registro_Compras!$L$145*Registro_Compras!$N$145,2),ROUND(Registro_Compras!$J$145*Registro_Compras!$N$145,2))))</f>
        <v/>
      </c>
      <c r="F1277" s="20">
        <f>IF($C1277="","",IF(Registro_Compras!$F$145="NOTA DE CREDITO",ROUND(ABS(Registro_Compras!$J$145*Registro_Compras!$N$145),2),""))</f>
        <v/>
      </c>
      <c r="G1277">
        <f>IF($C1277="","","Por el destino del gasto")</f>
        <v/>
      </c>
      <c r="H1277">
        <f>IF($C1277="","",Registro_Compras!$C$145)</f>
        <v/>
      </c>
    </row>
    <row r="1278">
      <c r="A1278" s="25">
        <f>IF($C1278="","",Registro_Compras!$B$145)</f>
        <v/>
      </c>
      <c r="B1278">
        <f>IF($C1278="","","C"&amp;TEXT(INT((ROW()-5)/9)+1,"000")&amp;"-2")</f>
        <v/>
      </c>
      <c r="C1278">
        <f>IF(OR(Registro_Compras!$C$145="",Registro_Compras!$O$145=""),"","79/791")</f>
        <v/>
      </c>
      <c r="D1278">
        <f>IF(OR(Registro_Compras!$C$145="",Registro_Compras!$O$145=""),"","Cargas Imputables a Cuentas de Costos y Gastos")</f>
        <v/>
      </c>
      <c r="E1278" s="20">
        <f>IF($C1278="","",IF(Registro_Compras!$F$145="NOTA DE CREDITO",ROUND(ABS(Registro_Compras!$J$145*Registro_Compras!$N$145),2),""))</f>
        <v/>
      </c>
      <c r="F1278" s="20">
        <f>IF($C1278="","",IF(Registro_Compras!$F$145="NOTA DE CREDITO","",IF(Registro_Compras!$F$145="RHE",ROUND(Registro_Compras!$L$145*Registro_Compras!$N$145,2),ROUND(Registro_Compras!$J$145*Registro_Compras!$N$145,2))))</f>
        <v/>
      </c>
      <c r="G1278">
        <f>IF($C1278="","","Por el destino del gasto")</f>
        <v/>
      </c>
      <c r="H1278">
        <f>IF($C1278="","",Registro_Compras!$C$145)</f>
        <v/>
      </c>
    </row>
    <row r="1279">
      <c r="A1279" s="25">
        <f>IF($C1279="","",Registro_Compras!$X$145)</f>
        <v/>
      </c>
      <c r="B1279">
        <f>IF($C1279="","","C"&amp;TEXT(INT((ROW()-5)/9)+1,"000")&amp;"-3")</f>
        <v/>
      </c>
      <c r="C1279">
        <f>IF(OR(Registro_Compras!$C$145="",Registro_Compras!$O$145="",Registro_Compras!$R$145&lt;&gt;"SI",Registro_Compras!$X$145=""),"","4212")</f>
        <v/>
      </c>
      <c r="D1279">
        <f>IF(OR(Registro_Compras!$C$145="",Registro_Compras!$O$145=""),"","Cuentas por Pagar Comerciales - Terceros")</f>
        <v/>
      </c>
      <c r="E1279" s="20">
        <f>IF($C1279="","",Registro_Compras!$S$145)</f>
        <v/>
      </c>
      <c r="F1279" s="20">
        <f>""</f>
        <v/>
      </c>
      <c r="G1279">
        <f>IF($C1279="","","Por el deposito de la detraccion en el Banco de la Nacion")</f>
        <v/>
      </c>
      <c r="H1279">
        <f>IF($C1279="","",Registro_Compras!$C$145)</f>
        <v/>
      </c>
    </row>
    <row r="1280">
      <c r="A1280" s="25">
        <f>IF($C1280="","",Registro_Compras!$X$145)</f>
        <v/>
      </c>
      <c r="B1280">
        <f>IF($C1280="","","C"&amp;TEXT(INT((ROW()-5)/9)+1,"000")&amp;"-3")</f>
        <v/>
      </c>
      <c r="C1280">
        <f>IF(OR(Registro_Compras!$C$145="",Registro_Compras!$O$145="",Registro_Compras!$R$145&lt;&gt;"SI",Registro_Compras!$X$145=""),"","10413")</f>
        <v/>
      </c>
      <c r="D1280">
        <f>IF(OR(Registro_Compras!$C$145="",Registro_Compras!$O$145=""),"","Efectivo y Equivalentes - Cta. Cte. Operativa")</f>
        <v/>
      </c>
      <c r="E1280" s="20">
        <f>""</f>
        <v/>
      </c>
      <c r="F1280" s="20">
        <f>IF($C1280="","",Registro_Compras!$S$145)</f>
        <v/>
      </c>
      <c r="G1280">
        <f>IF($C1280="","","Por el deposito de la detraccion en el Banco de la Nacion")</f>
        <v/>
      </c>
      <c r="H1280">
        <f>IF($C1280="","",Registro_Compras!$C$145)</f>
        <v/>
      </c>
    </row>
    <row r="1281">
      <c r="A1281" s="25">
        <f>IF($C1281="","",Registro_Compras!$Y$145)</f>
        <v/>
      </c>
      <c r="B1281">
        <f>IF($C1281="","","C"&amp;TEXT(INT((ROW()-5)/9)+1,"000")&amp;"-4")</f>
        <v/>
      </c>
      <c r="C1281">
        <f>IF(OR(Registro_Compras!$C$145="",Registro_Compras!$O$145="",Registro_Compras!$Y$145="",Registro_Compras!$F$145="NOTA DE CREDITO"),"","4212")</f>
        <v/>
      </c>
      <c r="D1281">
        <f>IF(OR(Registro_Compras!$C$145="",Registro_Compras!$O$145=""),"","Cuentas por Pagar Comerciales - Terceros")</f>
        <v/>
      </c>
      <c r="E1281" s="20">
        <f>IF($C1281="","",IF(Registro_Compras!$F$145="RHE",(ROUND(Registro_Compras!$L$145*Registro_Compras!$N$145,2)-ROUND(Registro_Compras!$V$145*Registro_Compras!$N$145,2)),ROUND(Registro_Compras!$O$145-Registro_Compras!$S$145,2)))</f>
        <v/>
      </c>
      <c r="F1281" s="20">
        <f>""</f>
        <v/>
      </c>
      <c r="G1281">
        <f>IF($C1281="","","Por la cancelacion del saldo al proveedor")</f>
        <v/>
      </c>
      <c r="H1281">
        <f>IF($C1281="","",Registro_Compras!$C$145)</f>
        <v/>
      </c>
    </row>
    <row r="1282">
      <c r="A1282" s="25">
        <f>IF($C1282="","",Registro_Compras!$Y$145)</f>
        <v/>
      </c>
      <c r="B1282">
        <f>IF($C1282="","","C"&amp;TEXT(INT((ROW()-5)/9)+1,"000")&amp;"-4")</f>
        <v/>
      </c>
      <c r="C1282">
        <f>IF(OR(Registro_Compras!$C$145="",Registro_Compras!$O$145="",Registro_Compras!$Y$145="",Registro_Compras!$F$145="NOTA DE CREDITO"),"","10413")</f>
        <v/>
      </c>
      <c r="D1282">
        <f>IF(OR(Registro_Compras!$C$145="",Registro_Compras!$O$145=""),"","Efectivo y Equivalentes - Cta. Cte. Operativa")</f>
        <v/>
      </c>
      <c r="E1282" s="20">
        <f>""</f>
        <v/>
      </c>
      <c r="F1282" s="20">
        <f>IF($C1282="","",IF(Registro_Compras!$F$145="RHE",(ROUND(Registro_Compras!$L$145*Registro_Compras!$N$145,2)-ROUND(Registro_Compras!$V$145*Registro_Compras!$N$145,2)),ROUND(Registro_Compras!$O$145-Registro_Compras!$S$145,2)))</f>
        <v/>
      </c>
      <c r="G1282">
        <f>IF($C1282="","","Por la cancelacion del saldo al proveedor")</f>
        <v/>
      </c>
      <c r="H1282">
        <f>IF($C1282="","",Registro_Compras!$C$145)</f>
        <v/>
      </c>
    </row>
    <row r="1283">
      <c r="A1283" s="25">
        <f>IF($C1283="","",Registro_Compras!$B$146)</f>
        <v/>
      </c>
      <c r="B1283">
        <f>IF($C1283="","","C"&amp;TEXT(INT((ROW()-5)/9)+1,"000")&amp;"-1")</f>
        <v/>
      </c>
      <c r="C1283">
        <f>IF(OR(Registro_Compras!$C$146="",Registro_Compras!$O$146=""),"",IF(Registro_Compras!$F$146="NOTA DE CREDITO","4212",IF(Registro_Compras!$M$146="","63",Registro_Compras!$M$146)))</f>
        <v/>
      </c>
      <c r="D1283">
        <f>IF(OR(Registro_Compras!$C$146="",Registro_Compras!$O$146=""),"",IF(Registro_Compras!$F$146="NOTA DE CREDITO","Cuentas por Pagar Comerciales - Terceros (Emitidas)",IF(Registro_Compras!$F$146="RHE","Honorarios Profesionales - Servicios de Terceros","Gastos de Servicios Prestados por Terceros")))</f>
        <v/>
      </c>
      <c r="E1283" s="20">
        <f>IF($C1283="","",IF(Registro_Compras!$F$146="NOTA DE CREDITO",ABS(Registro_Compras!$O$146),IF(Registro_Compras!$F$146="RHE",ROUND(Registro_Compras!$L$146*Registro_Compras!$N$146,2),ROUND(Registro_Compras!$J$146*Registro_Compras!$N$146,2))))</f>
        <v/>
      </c>
      <c r="F1283" s="20">
        <f>""</f>
        <v/>
      </c>
      <c r="G1283">
        <f>IF($C1283="","",IF(Registro_Compras!$F$146="NOTA DE CREDITO","Por la nota de credito "&amp;Registro_Compras!$C$146&amp;" de "&amp;Registro_Compras!$E$146&amp;" [PATRON POR CONFIRMAR CON CONTADOR]",IF(Registro_Compras!$F$146="RHE","Por el registro del recibo por honorarios "&amp;Registro_Compras!$C$146&amp;" de "&amp;Registro_Compras!$E$146&amp;" [PATRON POR CONFIRMAR CON CONTADOR]","Por el registro de la factura "&amp;Registro_Compras!$C$146&amp;" de "&amp;Registro_Compras!$E$146)))</f>
        <v/>
      </c>
      <c r="H1283">
        <f>IF($C1283="","",Registro_Compras!$C$146)</f>
        <v/>
      </c>
    </row>
    <row r="1284">
      <c r="A1284" s="25">
        <f>IF($C1284="","",Registro_Compras!$B$146)</f>
        <v/>
      </c>
      <c r="B1284">
        <f>IF($C1284="","","C"&amp;TEXT(INT((ROW()-5)/9)+1,"000")&amp;"-1")</f>
        <v/>
      </c>
      <c r="C1284">
        <f>IF(OR(Registro_Compras!$C$146="",Registro_Compras!$O$146=""),"",IF(Registro_Compras!$F$146="RHE",IF(Registro_Compras!$V$146=0,"","40172"),IF(Registro_Compras!$F$146="NOTA DE CREDITO",IF(Registro_Compras!$M$146="","63",Registro_Compras!$M$146),IF(Registro_Compras!$K$146=0,"","40111"))))</f>
        <v/>
      </c>
      <c r="D1284">
        <f>IF(OR(Registro_Compras!$C$146="",Registro_Compras!$O$146=""),"",IF(Registro_Compras!$F$146="RHE","Retencion Renta 4ta Categoria por Pagar",IF(Registro_Compras!$F$146="NOTA DE CREDITO","Gastos de Servicios Prestados por Terceros","IGV - Cuenta Propia (Credito Fiscal)")))</f>
        <v/>
      </c>
      <c r="E1284" s="20">
        <f>IF($C1284="","",IF(Registro_Compras!$F$146="FACTURA",ROUND(Registro_Compras!$K$146*Registro_Compras!$N$146,2),""))</f>
        <v/>
      </c>
      <c r="F1284" s="20">
        <f>IF($C1284="","",IF(Registro_Compras!$F$146="RHE",ROUND(Registro_Compras!$V$146*Registro_Compras!$N$146,2),IF(Registro_Compras!$F$146="NOTA DE CREDITO",ROUND(ABS(Registro_Compras!$J$146*Registro_Compras!$N$146),2),"")))</f>
        <v/>
      </c>
      <c r="G1284">
        <f>IF($C1284="","",IF(Registro_Compras!$F$146="NOTA DE CREDITO","Por la nota de credito "&amp;Registro_Compras!$C$146&amp;" de "&amp;Registro_Compras!$E$146&amp;" [PATRON POR CONFIRMAR CON CONTADOR]",IF(Registro_Compras!$F$146="RHE","Por el registro del recibo por honorarios "&amp;Registro_Compras!$C$146&amp;" de "&amp;Registro_Compras!$E$146&amp;" [PATRON POR CONFIRMAR CON CONTADOR]","Por el registro de la factura "&amp;Registro_Compras!$C$146&amp;" de "&amp;Registro_Compras!$E$146)))</f>
        <v/>
      </c>
      <c r="H1284">
        <f>IF($C1284="","",Registro_Compras!$C$146)</f>
        <v/>
      </c>
    </row>
    <row r="1285">
      <c r="A1285" s="25">
        <f>IF($C1285="","",Registro_Compras!$B$146)</f>
        <v/>
      </c>
      <c r="B1285">
        <f>IF($C1285="","","C"&amp;TEXT(INT((ROW()-5)/9)+1,"000")&amp;"-1")</f>
        <v/>
      </c>
      <c r="C1285">
        <f>IF(OR(Registro_Compras!$C$146="",Registro_Compras!$O$146=""),"",IF(Registro_Compras!$F$146="NOTA DE CREDITO",IF(Registro_Compras!$K$146=0,"","40111"),"4212"))</f>
        <v/>
      </c>
      <c r="D1285">
        <f>IF(OR(Registro_Compras!$C$146="",Registro_Compras!$O$146=""),"",IF(Registro_Compras!$F$146="NOTA DE CREDITO","IGV - Cuenta Propia (Credito Fiscal)","Cuentas por Pagar Comerciales - Terceros (Emitidas)"))</f>
        <v/>
      </c>
      <c r="E1285" s="20">
        <f>""</f>
        <v/>
      </c>
      <c r="F1285" s="20">
        <f>IF($C1285="","",IF(Registro_Compras!$F$146="NOTA DE CREDITO",ROUND(ABS(Registro_Compras!$K$146*Registro_Compras!$N$146),2),IF(Registro_Compras!$F$146="RHE",(ROUND(Registro_Compras!$L$146*Registro_Compras!$N$146,2)-ROUND(Registro_Compras!$V$146*Registro_Compras!$N$146,2)),Registro_Compras!$O$146)))</f>
        <v/>
      </c>
      <c r="G1285">
        <f>IF($C1285="","",IF(Registro_Compras!$F$146="NOTA DE CREDITO","Por la nota de credito "&amp;Registro_Compras!$C$146&amp;" de "&amp;Registro_Compras!$E$146&amp;" [PATRON POR CONFIRMAR CON CONTADOR]",IF(Registro_Compras!$F$146="RHE","Por el registro del recibo por honorarios "&amp;Registro_Compras!$C$146&amp;" de "&amp;Registro_Compras!$E$146&amp;" [PATRON POR CONFIRMAR CON CONTADOR]","Por el registro de la factura "&amp;Registro_Compras!$C$146&amp;" de "&amp;Registro_Compras!$E$146)))</f>
        <v/>
      </c>
      <c r="H1285">
        <f>IF($C1285="","",Registro_Compras!$C$146)</f>
        <v/>
      </c>
    </row>
    <row r="1286">
      <c r="A1286" s="25">
        <f>IF($C1286="","",Registro_Compras!$B$146)</f>
        <v/>
      </c>
      <c r="B1286">
        <f>IF($C1286="","","C"&amp;TEXT(INT((ROW()-5)/9)+1,"000")&amp;"-2")</f>
        <v/>
      </c>
      <c r="C1286">
        <f>IF(OR(Registro_Compras!$C$146="",Registro_Compras!$O$146=""),"",IF(Registro_Compras!$AB$146="ADMINISTRATIVO","94","95"))</f>
        <v/>
      </c>
      <c r="D1286">
        <f>IF(OR(Registro_Compras!$C$146="",Registro_Compras!$O$146=""),"",IF(Registro_Compras!$AB$146="ADMINISTRATIVO","Gastos Administrativos","Gastos de Venta y Operacion"))</f>
        <v/>
      </c>
      <c r="E1286" s="20">
        <f>IF($C1286="","",IF(Registro_Compras!$F$146="NOTA DE CREDITO","",IF(Registro_Compras!$F$146="RHE",ROUND(Registro_Compras!$L$146*Registro_Compras!$N$146,2),ROUND(Registro_Compras!$J$146*Registro_Compras!$N$146,2))))</f>
        <v/>
      </c>
      <c r="F1286" s="20">
        <f>IF($C1286="","",IF(Registro_Compras!$F$146="NOTA DE CREDITO",ROUND(ABS(Registro_Compras!$J$146*Registro_Compras!$N$146),2),""))</f>
        <v/>
      </c>
      <c r="G1286">
        <f>IF($C1286="","","Por el destino del gasto")</f>
        <v/>
      </c>
      <c r="H1286">
        <f>IF($C1286="","",Registro_Compras!$C$146)</f>
        <v/>
      </c>
    </row>
    <row r="1287">
      <c r="A1287" s="25">
        <f>IF($C1287="","",Registro_Compras!$B$146)</f>
        <v/>
      </c>
      <c r="B1287">
        <f>IF($C1287="","","C"&amp;TEXT(INT((ROW()-5)/9)+1,"000")&amp;"-2")</f>
        <v/>
      </c>
      <c r="C1287">
        <f>IF(OR(Registro_Compras!$C$146="",Registro_Compras!$O$146=""),"","79/791")</f>
        <v/>
      </c>
      <c r="D1287">
        <f>IF(OR(Registro_Compras!$C$146="",Registro_Compras!$O$146=""),"","Cargas Imputables a Cuentas de Costos y Gastos")</f>
        <v/>
      </c>
      <c r="E1287" s="20">
        <f>IF($C1287="","",IF(Registro_Compras!$F$146="NOTA DE CREDITO",ROUND(ABS(Registro_Compras!$J$146*Registro_Compras!$N$146),2),""))</f>
        <v/>
      </c>
      <c r="F1287" s="20">
        <f>IF($C1287="","",IF(Registro_Compras!$F$146="NOTA DE CREDITO","",IF(Registro_Compras!$F$146="RHE",ROUND(Registro_Compras!$L$146*Registro_Compras!$N$146,2),ROUND(Registro_Compras!$J$146*Registro_Compras!$N$146,2))))</f>
        <v/>
      </c>
      <c r="G1287">
        <f>IF($C1287="","","Por el destino del gasto")</f>
        <v/>
      </c>
      <c r="H1287">
        <f>IF($C1287="","",Registro_Compras!$C$146)</f>
        <v/>
      </c>
    </row>
    <row r="1288">
      <c r="A1288" s="25">
        <f>IF($C1288="","",Registro_Compras!$X$146)</f>
        <v/>
      </c>
      <c r="B1288">
        <f>IF($C1288="","","C"&amp;TEXT(INT((ROW()-5)/9)+1,"000")&amp;"-3")</f>
        <v/>
      </c>
      <c r="C1288">
        <f>IF(OR(Registro_Compras!$C$146="",Registro_Compras!$O$146="",Registro_Compras!$R$146&lt;&gt;"SI",Registro_Compras!$X$146=""),"","4212")</f>
        <v/>
      </c>
      <c r="D1288">
        <f>IF(OR(Registro_Compras!$C$146="",Registro_Compras!$O$146=""),"","Cuentas por Pagar Comerciales - Terceros")</f>
        <v/>
      </c>
      <c r="E1288" s="20">
        <f>IF($C1288="","",Registro_Compras!$S$146)</f>
        <v/>
      </c>
      <c r="F1288" s="20">
        <f>""</f>
        <v/>
      </c>
      <c r="G1288">
        <f>IF($C1288="","","Por el deposito de la detraccion en el Banco de la Nacion")</f>
        <v/>
      </c>
      <c r="H1288">
        <f>IF($C1288="","",Registro_Compras!$C$146)</f>
        <v/>
      </c>
    </row>
    <row r="1289">
      <c r="A1289" s="25">
        <f>IF($C1289="","",Registro_Compras!$X$146)</f>
        <v/>
      </c>
      <c r="B1289">
        <f>IF($C1289="","","C"&amp;TEXT(INT((ROW()-5)/9)+1,"000")&amp;"-3")</f>
        <v/>
      </c>
      <c r="C1289">
        <f>IF(OR(Registro_Compras!$C$146="",Registro_Compras!$O$146="",Registro_Compras!$R$146&lt;&gt;"SI",Registro_Compras!$X$146=""),"","10413")</f>
        <v/>
      </c>
      <c r="D1289">
        <f>IF(OR(Registro_Compras!$C$146="",Registro_Compras!$O$146=""),"","Efectivo y Equivalentes - Cta. Cte. Operativa")</f>
        <v/>
      </c>
      <c r="E1289" s="20">
        <f>""</f>
        <v/>
      </c>
      <c r="F1289" s="20">
        <f>IF($C1289="","",Registro_Compras!$S$146)</f>
        <v/>
      </c>
      <c r="G1289">
        <f>IF($C1289="","","Por el deposito de la detraccion en el Banco de la Nacion")</f>
        <v/>
      </c>
      <c r="H1289">
        <f>IF($C1289="","",Registro_Compras!$C$146)</f>
        <v/>
      </c>
    </row>
    <row r="1290">
      <c r="A1290" s="25">
        <f>IF($C1290="","",Registro_Compras!$Y$146)</f>
        <v/>
      </c>
      <c r="B1290">
        <f>IF($C1290="","","C"&amp;TEXT(INT((ROW()-5)/9)+1,"000")&amp;"-4")</f>
        <v/>
      </c>
      <c r="C1290">
        <f>IF(OR(Registro_Compras!$C$146="",Registro_Compras!$O$146="",Registro_Compras!$Y$146="",Registro_Compras!$F$146="NOTA DE CREDITO"),"","4212")</f>
        <v/>
      </c>
      <c r="D1290">
        <f>IF(OR(Registro_Compras!$C$146="",Registro_Compras!$O$146=""),"","Cuentas por Pagar Comerciales - Terceros")</f>
        <v/>
      </c>
      <c r="E1290" s="20">
        <f>IF($C1290="","",IF(Registro_Compras!$F$146="RHE",(ROUND(Registro_Compras!$L$146*Registro_Compras!$N$146,2)-ROUND(Registro_Compras!$V$146*Registro_Compras!$N$146,2)),ROUND(Registro_Compras!$O$146-Registro_Compras!$S$146,2)))</f>
        <v/>
      </c>
      <c r="F1290" s="20">
        <f>""</f>
        <v/>
      </c>
      <c r="G1290">
        <f>IF($C1290="","","Por la cancelacion del saldo al proveedor")</f>
        <v/>
      </c>
      <c r="H1290">
        <f>IF($C1290="","",Registro_Compras!$C$146)</f>
        <v/>
      </c>
    </row>
    <row r="1291">
      <c r="A1291" s="25">
        <f>IF($C1291="","",Registro_Compras!$Y$146)</f>
        <v/>
      </c>
      <c r="B1291">
        <f>IF($C1291="","","C"&amp;TEXT(INT((ROW()-5)/9)+1,"000")&amp;"-4")</f>
        <v/>
      </c>
      <c r="C1291">
        <f>IF(OR(Registro_Compras!$C$146="",Registro_Compras!$O$146="",Registro_Compras!$Y$146="",Registro_Compras!$F$146="NOTA DE CREDITO"),"","10413")</f>
        <v/>
      </c>
      <c r="D1291">
        <f>IF(OR(Registro_Compras!$C$146="",Registro_Compras!$O$146=""),"","Efectivo y Equivalentes - Cta. Cte. Operativa")</f>
        <v/>
      </c>
      <c r="E1291" s="20">
        <f>""</f>
        <v/>
      </c>
      <c r="F1291" s="20">
        <f>IF($C1291="","",IF(Registro_Compras!$F$146="RHE",(ROUND(Registro_Compras!$L$146*Registro_Compras!$N$146,2)-ROUND(Registro_Compras!$V$146*Registro_Compras!$N$146,2)),ROUND(Registro_Compras!$O$146-Registro_Compras!$S$146,2)))</f>
        <v/>
      </c>
      <c r="G1291">
        <f>IF($C1291="","","Por la cancelacion del saldo al proveedor")</f>
        <v/>
      </c>
      <c r="H1291">
        <f>IF($C1291="","",Registro_Compras!$C$146)</f>
        <v/>
      </c>
    </row>
    <row r="1292">
      <c r="A1292" s="25">
        <f>IF($C1292="","",Registro_Compras!$B$147)</f>
        <v/>
      </c>
      <c r="B1292">
        <f>IF($C1292="","","C"&amp;TEXT(INT((ROW()-5)/9)+1,"000")&amp;"-1")</f>
        <v/>
      </c>
      <c r="C1292">
        <f>IF(OR(Registro_Compras!$C$147="",Registro_Compras!$O$147=""),"",IF(Registro_Compras!$F$147="NOTA DE CREDITO","4212",IF(Registro_Compras!$M$147="","63",Registro_Compras!$M$147)))</f>
        <v/>
      </c>
      <c r="D1292">
        <f>IF(OR(Registro_Compras!$C$147="",Registro_Compras!$O$147=""),"",IF(Registro_Compras!$F$147="NOTA DE CREDITO","Cuentas por Pagar Comerciales - Terceros (Emitidas)",IF(Registro_Compras!$F$147="RHE","Honorarios Profesionales - Servicios de Terceros","Gastos de Servicios Prestados por Terceros")))</f>
        <v/>
      </c>
      <c r="E1292" s="20">
        <f>IF($C1292="","",IF(Registro_Compras!$F$147="NOTA DE CREDITO",ABS(Registro_Compras!$O$147),IF(Registro_Compras!$F$147="RHE",ROUND(Registro_Compras!$L$147*Registro_Compras!$N$147,2),ROUND(Registro_Compras!$J$147*Registro_Compras!$N$147,2))))</f>
        <v/>
      </c>
      <c r="F1292" s="20">
        <f>""</f>
        <v/>
      </c>
      <c r="G1292">
        <f>IF($C1292="","",IF(Registro_Compras!$F$147="NOTA DE CREDITO","Por la nota de credito "&amp;Registro_Compras!$C$147&amp;" de "&amp;Registro_Compras!$E$147&amp;" [PATRON POR CONFIRMAR CON CONTADOR]",IF(Registro_Compras!$F$147="RHE","Por el registro del recibo por honorarios "&amp;Registro_Compras!$C$147&amp;" de "&amp;Registro_Compras!$E$147&amp;" [PATRON POR CONFIRMAR CON CONTADOR]","Por el registro de la factura "&amp;Registro_Compras!$C$147&amp;" de "&amp;Registro_Compras!$E$147)))</f>
        <v/>
      </c>
      <c r="H1292">
        <f>IF($C1292="","",Registro_Compras!$C$147)</f>
        <v/>
      </c>
    </row>
    <row r="1293">
      <c r="A1293" s="25">
        <f>IF($C1293="","",Registro_Compras!$B$147)</f>
        <v/>
      </c>
      <c r="B1293">
        <f>IF($C1293="","","C"&amp;TEXT(INT((ROW()-5)/9)+1,"000")&amp;"-1")</f>
        <v/>
      </c>
      <c r="C1293">
        <f>IF(OR(Registro_Compras!$C$147="",Registro_Compras!$O$147=""),"",IF(Registro_Compras!$F$147="RHE",IF(Registro_Compras!$V$147=0,"","40172"),IF(Registro_Compras!$F$147="NOTA DE CREDITO",IF(Registro_Compras!$M$147="","63",Registro_Compras!$M$147),IF(Registro_Compras!$K$147=0,"","40111"))))</f>
        <v/>
      </c>
      <c r="D1293">
        <f>IF(OR(Registro_Compras!$C$147="",Registro_Compras!$O$147=""),"",IF(Registro_Compras!$F$147="RHE","Retencion Renta 4ta Categoria por Pagar",IF(Registro_Compras!$F$147="NOTA DE CREDITO","Gastos de Servicios Prestados por Terceros","IGV - Cuenta Propia (Credito Fiscal)")))</f>
        <v/>
      </c>
      <c r="E1293" s="20">
        <f>IF($C1293="","",IF(Registro_Compras!$F$147="FACTURA",ROUND(Registro_Compras!$K$147*Registro_Compras!$N$147,2),""))</f>
        <v/>
      </c>
      <c r="F1293" s="20">
        <f>IF($C1293="","",IF(Registro_Compras!$F$147="RHE",ROUND(Registro_Compras!$V$147*Registro_Compras!$N$147,2),IF(Registro_Compras!$F$147="NOTA DE CREDITO",ROUND(ABS(Registro_Compras!$J$147*Registro_Compras!$N$147),2),"")))</f>
        <v/>
      </c>
      <c r="G1293">
        <f>IF($C1293="","",IF(Registro_Compras!$F$147="NOTA DE CREDITO","Por la nota de credito "&amp;Registro_Compras!$C$147&amp;" de "&amp;Registro_Compras!$E$147&amp;" [PATRON POR CONFIRMAR CON CONTADOR]",IF(Registro_Compras!$F$147="RHE","Por el registro del recibo por honorarios "&amp;Registro_Compras!$C$147&amp;" de "&amp;Registro_Compras!$E$147&amp;" [PATRON POR CONFIRMAR CON CONTADOR]","Por el registro de la factura "&amp;Registro_Compras!$C$147&amp;" de "&amp;Registro_Compras!$E$147)))</f>
        <v/>
      </c>
      <c r="H1293">
        <f>IF($C1293="","",Registro_Compras!$C$147)</f>
        <v/>
      </c>
    </row>
    <row r="1294">
      <c r="A1294" s="25">
        <f>IF($C1294="","",Registro_Compras!$B$147)</f>
        <v/>
      </c>
      <c r="B1294">
        <f>IF($C1294="","","C"&amp;TEXT(INT((ROW()-5)/9)+1,"000")&amp;"-1")</f>
        <v/>
      </c>
      <c r="C1294">
        <f>IF(OR(Registro_Compras!$C$147="",Registro_Compras!$O$147=""),"",IF(Registro_Compras!$F$147="NOTA DE CREDITO",IF(Registro_Compras!$K$147=0,"","40111"),"4212"))</f>
        <v/>
      </c>
      <c r="D1294">
        <f>IF(OR(Registro_Compras!$C$147="",Registro_Compras!$O$147=""),"",IF(Registro_Compras!$F$147="NOTA DE CREDITO","IGV - Cuenta Propia (Credito Fiscal)","Cuentas por Pagar Comerciales - Terceros (Emitidas)"))</f>
        <v/>
      </c>
      <c r="E1294" s="20">
        <f>""</f>
        <v/>
      </c>
      <c r="F1294" s="20">
        <f>IF($C1294="","",IF(Registro_Compras!$F$147="NOTA DE CREDITO",ROUND(ABS(Registro_Compras!$K$147*Registro_Compras!$N$147),2),IF(Registro_Compras!$F$147="RHE",(ROUND(Registro_Compras!$L$147*Registro_Compras!$N$147,2)-ROUND(Registro_Compras!$V$147*Registro_Compras!$N$147,2)),Registro_Compras!$O$147)))</f>
        <v/>
      </c>
      <c r="G1294">
        <f>IF($C1294="","",IF(Registro_Compras!$F$147="NOTA DE CREDITO","Por la nota de credito "&amp;Registro_Compras!$C$147&amp;" de "&amp;Registro_Compras!$E$147&amp;" [PATRON POR CONFIRMAR CON CONTADOR]",IF(Registro_Compras!$F$147="RHE","Por el registro del recibo por honorarios "&amp;Registro_Compras!$C$147&amp;" de "&amp;Registro_Compras!$E$147&amp;" [PATRON POR CONFIRMAR CON CONTADOR]","Por el registro de la factura "&amp;Registro_Compras!$C$147&amp;" de "&amp;Registro_Compras!$E$147)))</f>
        <v/>
      </c>
      <c r="H1294">
        <f>IF($C1294="","",Registro_Compras!$C$147)</f>
        <v/>
      </c>
    </row>
    <row r="1295">
      <c r="A1295" s="25">
        <f>IF($C1295="","",Registro_Compras!$B$147)</f>
        <v/>
      </c>
      <c r="B1295">
        <f>IF($C1295="","","C"&amp;TEXT(INT((ROW()-5)/9)+1,"000")&amp;"-2")</f>
        <v/>
      </c>
      <c r="C1295">
        <f>IF(OR(Registro_Compras!$C$147="",Registro_Compras!$O$147=""),"",IF(Registro_Compras!$AB$147="ADMINISTRATIVO","94","95"))</f>
        <v/>
      </c>
      <c r="D1295">
        <f>IF(OR(Registro_Compras!$C$147="",Registro_Compras!$O$147=""),"",IF(Registro_Compras!$AB$147="ADMINISTRATIVO","Gastos Administrativos","Gastos de Venta y Operacion"))</f>
        <v/>
      </c>
      <c r="E1295" s="20">
        <f>IF($C1295="","",IF(Registro_Compras!$F$147="NOTA DE CREDITO","",IF(Registro_Compras!$F$147="RHE",ROUND(Registro_Compras!$L$147*Registro_Compras!$N$147,2),ROUND(Registro_Compras!$J$147*Registro_Compras!$N$147,2))))</f>
        <v/>
      </c>
      <c r="F1295" s="20">
        <f>IF($C1295="","",IF(Registro_Compras!$F$147="NOTA DE CREDITO",ROUND(ABS(Registro_Compras!$J$147*Registro_Compras!$N$147),2),""))</f>
        <v/>
      </c>
      <c r="G1295">
        <f>IF($C1295="","","Por el destino del gasto")</f>
        <v/>
      </c>
      <c r="H1295">
        <f>IF($C1295="","",Registro_Compras!$C$147)</f>
        <v/>
      </c>
    </row>
    <row r="1296">
      <c r="A1296" s="25">
        <f>IF($C1296="","",Registro_Compras!$B$147)</f>
        <v/>
      </c>
      <c r="B1296">
        <f>IF($C1296="","","C"&amp;TEXT(INT((ROW()-5)/9)+1,"000")&amp;"-2")</f>
        <v/>
      </c>
      <c r="C1296">
        <f>IF(OR(Registro_Compras!$C$147="",Registro_Compras!$O$147=""),"","79/791")</f>
        <v/>
      </c>
      <c r="D1296">
        <f>IF(OR(Registro_Compras!$C$147="",Registro_Compras!$O$147=""),"","Cargas Imputables a Cuentas de Costos y Gastos")</f>
        <v/>
      </c>
      <c r="E1296" s="20">
        <f>IF($C1296="","",IF(Registro_Compras!$F$147="NOTA DE CREDITO",ROUND(ABS(Registro_Compras!$J$147*Registro_Compras!$N$147),2),""))</f>
        <v/>
      </c>
      <c r="F1296" s="20">
        <f>IF($C1296="","",IF(Registro_Compras!$F$147="NOTA DE CREDITO","",IF(Registro_Compras!$F$147="RHE",ROUND(Registro_Compras!$L$147*Registro_Compras!$N$147,2),ROUND(Registro_Compras!$J$147*Registro_Compras!$N$147,2))))</f>
        <v/>
      </c>
      <c r="G1296">
        <f>IF($C1296="","","Por el destino del gasto")</f>
        <v/>
      </c>
      <c r="H1296">
        <f>IF($C1296="","",Registro_Compras!$C$147)</f>
        <v/>
      </c>
    </row>
    <row r="1297">
      <c r="A1297" s="25">
        <f>IF($C1297="","",Registro_Compras!$X$147)</f>
        <v/>
      </c>
      <c r="B1297">
        <f>IF($C1297="","","C"&amp;TEXT(INT((ROW()-5)/9)+1,"000")&amp;"-3")</f>
        <v/>
      </c>
      <c r="C1297">
        <f>IF(OR(Registro_Compras!$C$147="",Registro_Compras!$O$147="",Registro_Compras!$R$147&lt;&gt;"SI",Registro_Compras!$X$147=""),"","4212")</f>
        <v/>
      </c>
      <c r="D1297">
        <f>IF(OR(Registro_Compras!$C$147="",Registro_Compras!$O$147=""),"","Cuentas por Pagar Comerciales - Terceros")</f>
        <v/>
      </c>
      <c r="E1297" s="20">
        <f>IF($C1297="","",Registro_Compras!$S$147)</f>
        <v/>
      </c>
      <c r="F1297" s="20">
        <f>""</f>
        <v/>
      </c>
      <c r="G1297">
        <f>IF($C1297="","","Por el deposito de la detraccion en el Banco de la Nacion")</f>
        <v/>
      </c>
      <c r="H1297">
        <f>IF($C1297="","",Registro_Compras!$C$147)</f>
        <v/>
      </c>
    </row>
    <row r="1298">
      <c r="A1298" s="25">
        <f>IF($C1298="","",Registro_Compras!$X$147)</f>
        <v/>
      </c>
      <c r="B1298">
        <f>IF($C1298="","","C"&amp;TEXT(INT((ROW()-5)/9)+1,"000")&amp;"-3")</f>
        <v/>
      </c>
      <c r="C1298">
        <f>IF(OR(Registro_Compras!$C$147="",Registro_Compras!$O$147="",Registro_Compras!$R$147&lt;&gt;"SI",Registro_Compras!$X$147=""),"","10413")</f>
        <v/>
      </c>
      <c r="D1298">
        <f>IF(OR(Registro_Compras!$C$147="",Registro_Compras!$O$147=""),"","Efectivo y Equivalentes - Cta. Cte. Operativa")</f>
        <v/>
      </c>
      <c r="E1298" s="20">
        <f>""</f>
        <v/>
      </c>
      <c r="F1298" s="20">
        <f>IF($C1298="","",Registro_Compras!$S$147)</f>
        <v/>
      </c>
      <c r="G1298">
        <f>IF($C1298="","","Por el deposito de la detraccion en el Banco de la Nacion")</f>
        <v/>
      </c>
      <c r="H1298">
        <f>IF($C1298="","",Registro_Compras!$C$147)</f>
        <v/>
      </c>
    </row>
    <row r="1299">
      <c r="A1299" s="25">
        <f>IF($C1299="","",Registro_Compras!$Y$147)</f>
        <v/>
      </c>
      <c r="B1299">
        <f>IF($C1299="","","C"&amp;TEXT(INT((ROW()-5)/9)+1,"000")&amp;"-4")</f>
        <v/>
      </c>
      <c r="C1299">
        <f>IF(OR(Registro_Compras!$C$147="",Registro_Compras!$O$147="",Registro_Compras!$Y$147="",Registro_Compras!$F$147="NOTA DE CREDITO"),"","4212")</f>
        <v/>
      </c>
      <c r="D1299">
        <f>IF(OR(Registro_Compras!$C$147="",Registro_Compras!$O$147=""),"","Cuentas por Pagar Comerciales - Terceros")</f>
        <v/>
      </c>
      <c r="E1299" s="20">
        <f>IF($C1299="","",IF(Registro_Compras!$F$147="RHE",(ROUND(Registro_Compras!$L$147*Registro_Compras!$N$147,2)-ROUND(Registro_Compras!$V$147*Registro_Compras!$N$147,2)),ROUND(Registro_Compras!$O$147-Registro_Compras!$S$147,2)))</f>
        <v/>
      </c>
      <c r="F1299" s="20">
        <f>""</f>
        <v/>
      </c>
      <c r="G1299">
        <f>IF($C1299="","","Por la cancelacion del saldo al proveedor")</f>
        <v/>
      </c>
      <c r="H1299">
        <f>IF($C1299="","",Registro_Compras!$C$147)</f>
        <v/>
      </c>
    </row>
    <row r="1300">
      <c r="A1300" s="25">
        <f>IF($C1300="","",Registro_Compras!$Y$147)</f>
        <v/>
      </c>
      <c r="B1300">
        <f>IF($C1300="","","C"&amp;TEXT(INT((ROW()-5)/9)+1,"000")&amp;"-4")</f>
        <v/>
      </c>
      <c r="C1300">
        <f>IF(OR(Registro_Compras!$C$147="",Registro_Compras!$O$147="",Registro_Compras!$Y$147="",Registro_Compras!$F$147="NOTA DE CREDITO"),"","10413")</f>
        <v/>
      </c>
      <c r="D1300">
        <f>IF(OR(Registro_Compras!$C$147="",Registro_Compras!$O$147=""),"","Efectivo y Equivalentes - Cta. Cte. Operativa")</f>
        <v/>
      </c>
      <c r="E1300" s="20">
        <f>""</f>
        <v/>
      </c>
      <c r="F1300" s="20">
        <f>IF($C1300="","",IF(Registro_Compras!$F$147="RHE",(ROUND(Registro_Compras!$L$147*Registro_Compras!$N$147,2)-ROUND(Registro_Compras!$V$147*Registro_Compras!$N$147,2)),ROUND(Registro_Compras!$O$147-Registro_Compras!$S$147,2)))</f>
        <v/>
      </c>
      <c r="G1300">
        <f>IF($C1300="","","Por la cancelacion del saldo al proveedor")</f>
        <v/>
      </c>
      <c r="H1300">
        <f>IF($C1300="","",Registro_Compras!$C$147)</f>
        <v/>
      </c>
    </row>
    <row r="1301">
      <c r="A1301" s="25">
        <f>IF($C1301="","",Registro_Compras!$B$148)</f>
        <v/>
      </c>
      <c r="B1301">
        <f>IF($C1301="","","C"&amp;TEXT(INT((ROW()-5)/9)+1,"000")&amp;"-1")</f>
        <v/>
      </c>
      <c r="C1301">
        <f>IF(OR(Registro_Compras!$C$148="",Registro_Compras!$O$148=""),"",IF(Registro_Compras!$F$148="NOTA DE CREDITO","4212",IF(Registro_Compras!$M$148="","63",Registro_Compras!$M$148)))</f>
        <v/>
      </c>
      <c r="D1301">
        <f>IF(OR(Registro_Compras!$C$148="",Registro_Compras!$O$148=""),"",IF(Registro_Compras!$F$148="NOTA DE CREDITO","Cuentas por Pagar Comerciales - Terceros (Emitidas)",IF(Registro_Compras!$F$148="RHE","Honorarios Profesionales - Servicios de Terceros","Gastos de Servicios Prestados por Terceros")))</f>
        <v/>
      </c>
      <c r="E1301" s="20">
        <f>IF($C1301="","",IF(Registro_Compras!$F$148="NOTA DE CREDITO",ABS(Registro_Compras!$O$148),IF(Registro_Compras!$F$148="RHE",ROUND(Registro_Compras!$L$148*Registro_Compras!$N$148,2),ROUND(Registro_Compras!$J$148*Registro_Compras!$N$148,2))))</f>
        <v/>
      </c>
      <c r="F1301" s="20">
        <f>""</f>
        <v/>
      </c>
      <c r="G1301">
        <f>IF($C1301="","",IF(Registro_Compras!$F$148="NOTA DE CREDITO","Por la nota de credito "&amp;Registro_Compras!$C$148&amp;" de "&amp;Registro_Compras!$E$148&amp;" [PATRON POR CONFIRMAR CON CONTADOR]",IF(Registro_Compras!$F$148="RHE","Por el registro del recibo por honorarios "&amp;Registro_Compras!$C$148&amp;" de "&amp;Registro_Compras!$E$148&amp;" [PATRON POR CONFIRMAR CON CONTADOR]","Por el registro de la factura "&amp;Registro_Compras!$C$148&amp;" de "&amp;Registro_Compras!$E$148)))</f>
        <v/>
      </c>
      <c r="H1301">
        <f>IF($C1301="","",Registro_Compras!$C$148)</f>
        <v/>
      </c>
    </row>
    <row r="1302">
      <c r="A1302" s="25">
        <f>IF($C1302="","",Registro_Compras!$B$148)</f>
        <v/>
      </c>
      <c r="B1302">
        <f>IF($C1302="","","C"&amp;TEXT(INT((ROW()-5)/9)+1,"000")&amp;"-1")</f>
        <v/>
      </c>
      <c r="C1302">
        <f>IF(OR(Registro_Compras!$C$148="",Registro_Compras!$O$148=""),"",IF(Registro_Compras!$F$148="RHE",IF(Registro_Compras!$V$148=0,"","40172"),IF(Registro_Compras!$F$148="NOTA DE CREDITO",IF(Registro_Compras!$M$148="","63",Registro_Compras!$M$148),IF(Registro_Compras!$K$148=0,"","40111"))))</f>
        <v/>
      </c>
      <c r="D1302">
        <f>IF(OR(Registro_Compras!$C$148="",Registro_Compras!$O$148=""),"",IF(Registro_Compras!$F$148="RHE","Retencion Renta 4ta Categoria por Pagar",IF(Registro_Compras!$F$148="NOTA DE CREDITO","Gastos de Servicios Prestados por Terceros","IGV - Cuenta Propia (Credito Fiscal)")))</f>
        <v/>
      </c>
      <c r="E1302" s="20">
        <f>IF($C1302="","",IF(Registro_Compras!$F$148="FACTURA",ROUND(Registro_Compras!$K$148*Registro_Compras!$N$148,2),""))</f>
        <v/>
      </c>
      <c r="F1302" s="20">
        <f>IF($C1302="","",IF(Registro_Compras!$F$148="RHE",ROUND(Registro_Compras!$V$148*Registro_Compras!$N$148,2),IF(Registro_Compras!$F$148="NOTA DE CREDITO",ROUND(ABS(Registro_Compras!$J$148*Registro_Compras!$N$148),2),"")))</f>
        <v/>
      </c>
      <c r="G1302">
        <f>IF($C1302="","",IF(Registro_Compras!$F$148="NOTA DE CREDITO","Por la nota de credito "&amp;Registro_Compras!$C$148&amp;" de "&amp;Registro_Compras!$E$148&amp;" [PATRON POR CONFIRMAR CON CONTADOR]",IF(Registro_Compras!$F$148="RHE","Por el registro del recibo por honorarios "&amp;Registro_Compras!$C$148&amp;" de "&amp;Registro_Compras!$E$148&amp;" [PATRON POR CONFIRMAR CON CONTADOR]","Por el registro de la factura "&amp;Registro_Compras!$C$148&amp;" de "&amp;Registro_Compras!$E$148)))</f>
        <v/>
      </c>
      <c r="H1302">
        <f>IF($C1302="","",Registro_Compras!$C$148)</f>
        <v/>
      </c>
    </row>
    <row r="1303">
      <c r="A1303" s="25">
        <f>IF($C1303="","",Registro_Compras!$B$148)</f>
        <v/>
      </c>
      <c r="B1303">
        <f>IF($C1303="","","C"&amp;TEXT(INT((ROW()-5)/9)+1,"000")&amp;"-1")</f>
        <v/>
      </c>
      <c r="C1303">
        <f>IF(OR(Registro_Compras!$C$148="",Registro_Compras!$O$148=""),"",IF(Registro_Compras!$F$148="NOTA DE CREDITO",IF(Registro_Compras!$K$148=0,"","40111"),"4212"))</f>
        <v/>
      </c>
      <c r="D1303">
        <f>IF(OR(Registro_Compras!$C$148="",Registro_Compras!$O$148=""),"",IF(Registro_Compras!$F$148="NOTA DE CREDITO","IGV - Cuenta Propia (Credito Fiscal)","Cuentas por Pagar Comerciales - Terceros (Emitidas)"))</f>
        <v/>
      </c>
      <c r="E1303" s="20">
        <f>""</f>
        <v/>
      </c>
      <c r="F1303" s="20">
        <f>IF($C1303="","",IF(Registro_Compras!$F$148="NOTA DE CREDITO",ROUND(ABS(Registro_Compras!$K$148*Registro_Compras!$N$148),2),IF(Registro_Compras!$F$148="RHE",(ROUND(Registro_Compras!$L$148*Registro_Compras!$N$148,2)-ROUND(Registro_Compras!$V$148*Registro_Compras!$N$148,2)),Registro_Compras!$O$148)))</f>
        <v/>
      </c>
      <c r="G1303">
        <f>IF($C1303="","",IF(Registro_Compras!$F$148="NOTA DE CREDITO","Por la nota de credito "&amp;Registro_Compras!$C$148&amp;" de "&amp;Registro_Compras!$E$148&amp;" [PATRON POR CONFIRMAR CON CONTADOR]",IF(Registro_Compras!$F$148="RHE","Por el registro del recibo por honorarios "&amp;Registro_Compras!$C$148&amp;" de "&amp;Registro_Compras!$E$148&amp;" [PATRON POR CONFIRMAR CON CONTADOR]","Por el registro de la factura "&amp;Registro_Compras!$C$148&amp;" de "&amp;Registro_Compras!$E$148)))</f>
        <v/>
      </c>
      <c r="H1303">
        <f>IF($C1303="","",Registro_Compras!$C$148)</f>
        <v/>
      </c>
    </row>
    <row r="1304">
      <c r="A1304" s="25">
        <f>IF($C1304="","",Registro_Compras!$B$148)</f>
        <v/>
      </c>
      <c r="B1304">
        <f>IF($C1304="","","C"&amp;TEXT(INT((ROW()-5)/9)+1,"000")&amp;"-2")</f>
        <v/>
      </c>
      <c r="C1304">
        <f>IF(OR(Registro_Compras!$C$148="",Registro_Compras!$O$148=""),"",IF(Registro_Compras!$AB$148="ADMINISTRATIVO","94","95"))</f>
        <v/>
      </c>
      <c r="D1304">
        <f>IF(OR(Registro_Compras!$C$148="",Registro_Compras!$O$148=""),"",IF(Registro_Compras!$AB$148="ADMINISTRATIVO","Gastos Administrativos","Gastos de Venta y Operacion"))</f>
        <v/>
      </c>
      <c r="E1304" s="20">
        <f>IF($C1304="","",IF(Registro_Compras!$F$148="NOTA DE CREDITO","",IF(Registro_Compras!$F$148="RHE",ROUND(Registro_Compras!$L$148*Registro_Compras!$N$148,2),ROUND(Registro_Compras!$J$148*Registro_Compras!$N$148,2))))</f>
        <v/>
      </c>
      <c r="F1304" s="20">
        <f>IF($C1304="","",IF(Registro_Compras!$F$148="NOTA DE CREDITO",ROUND(ABS(Registro_Compras!$J$148*Registro_Compras!$N$148),2),""))</f>
        <v/>
      </c>
      <c r="G1304">
        <f>IF($C1304="","","Por el destino del gasto")</f>
        <v/>
      </c>
      <c r="H1304">
        <f>IF($C1304="","",Registro_Compras!$C$148)</f>
        <v/>
      </c>
    </row>
    <row r="1305">
      <c r="A1305" s="25">
        <f>IF($C1305="","",Registro_Compras!$B$148)</f>
        <v/>
      </c>
      <c r="B1305">
        <f>IF($C1305="","","C"&amp;TEXT(INT((ROW()-5)/9)+1,"000")&amp;"-2")</f>
        <v/>
      </c>
      <c r="C1305">
        <f>IF(OR(Registro_Compras!$C$148="",Registro_Compras!$O$148=""),"","79/791")</f>
        <v/>
      </c>
      <c r="D1305">
        <f>IF(OR(Registro_Compras!$C$148="",Registro_Compras!$O$148=""),"","Cargas Imputables a Cuentas de Costos y Gastos")</f>
        <v/>
      </c>
      <c r="E1305" s="20">
        <f>IF($C1305="","",IF(Registro_Compras!$F$148="NOTA DE CREDITO",ROUND(ABS(Registro_Compras!$J$148*Registro_Compras!$N$148),2),""))</f>
        <v/>
      </c>
      <c r="F1305" s="20">
        <f>IF($C1305="","",IF(Registro_Compras!$F$148="NOTA DE CREDITO","",IF(Registro_Compras!$F$148="RHE",ROUND(Registro_Compras!$L$148*Registro_Compras!$N$148,2),ROUND(Registro_Compras!$J$148*Registro_Compras!$N$148,2))))</f>
        <v/>
      </c>
      <c r="G1305">
        <f>IF($C1305="","","Por el destino del gasto")</f>
        <v/>
      </c>
      <c r="H1305">
        <f>IF($C1305="","",Registro_Compras!$C$148)</f>
        <v/>
      </c>
    </row>
    <row r="1306">
      <c r="A1306" s="25">
        <f>IF($C1306="","",Registro_Compras!$X$148)</f>
        <v/>
      </c>
      <c r="B1306">
        <f>IF($C1306="","","C"&amp;TEXT(INT((ROW()-5)/9)+1,"000")&amp;"-3")</f>
        <v/>
      </c>
      <c r="C1306">
        <f>IF(OR(Registro_Compras!$C$148="",Registro_Compras!$O$148="",Registro_Compras!$R$148&lt;&gt;"SI",Registro_Compras!$X$148=""),"","4212")</f>
        <v/>
      </c>
      <c r="D1306">
        <f>IF(OR(Registro_Compras!$C$148="",Registro_Compras!$O$148=""),"","Cuentas por Pagar Comerciales - Terceros")</f>
        <v/>
      </c>
      <c r="E1306" s="20">
        <f>IF($C1306="","",Registro_Compras!$S$148)</f>
        <v/>
      </c>
      <c r="F1306" s="20">
        <f>""</f>
        <v/>
      </c>
      <c r="G1306">
        <f>IF($C1306="","","Por el deposito de la detraccion en el Banco de la Nacion")</f>
        <v/>
      </c>
      <c r="H1306">
        <f>IF($C1306="","",Registro_Compras!$C$148)</f>
        <v/>
      </c>
    </row>
    <row r="1307">
      <c r="A1307" s="25">
        <f>IF($C1307="","",Registro_Compras!$X$148)</f>
        <v/>
      </c>
      <c r="B1307">
        <f>IF($C1307="","","C"&amp;TEXT(INT((ROW()-5)/9)+1,"000")&amp;"-3")</f>
        <v/>
      </c>
      <c r="C1307">
        <f>IF(OR(Registro_Compras!$C$148="",Registro_Compras!$O$148="",Registro_Compras!$R$148&lt;&gt;"SI",Registro_Compras!$X$148=""),"","10413")</f>
        <v/>
      </c>
      <c r="D1307">
        <f>IF(OR(Registro_Compras!$C$148="",Registro_Compras!$O$148=""),"","Efectivo y Equivalentes - Cta. Cte. Operativa")</f>
        <v/>
      </c>
      <c r="E1307" s="20">
        <f>""</f>
        <v/>
      </c>
      <c r="F1307" s="20">
        <f>IF($C1307="","",Registro_Compras!$S$148)</f>
        <v/>
      </c>
      <c r="G1307">
        <f>IF($C1307="","","Por el deposito de la detraccion en el Banco de la Nacion")</f>
        <v/>
      </c>
      <c r="H1307">
        <f>IF($C1307="","",Registro_Compras!$C$148)</f>
        <v/>
      </c>
    </row>
    <row r="1308">
      <c r="A1308" s="25">
        <f>IF($C1308="","",Registro_Compras!$Y$148)</f>
        <v/>
      </c>
      <c r="B1308">
        <f>IF($C1308="","","C"&amp;TEXT(INT((ROW()-5)/9)+1,"000")&amp;"-4")</f>
        <v/>
      </c>
      <c r="C1308">
        <f>IF(OR(Registro_Compras!$C$148="",Registro_Compras!$O$148="",Registro_Compras!$Y$148="",Registro_Compras!$F$148="NOTA DE CREDITO"),"","4212")</f>
        <v/>
      </c>
      <c r="D1308">
        <f>IF(OR(Registro_Compras!$C$148="",Registro_Compras!$O$148=""),"","Cuentas por Pagar Comerciales - Terceros")</f>
        <v/>
      </c>
      <c r="E1308" s="20">
        <f>IF($C1308="","",IF(Registro_Compras!$F$148="RHE",(ROUND(Registro_Compras!$L$148*Registro_Compras!$N$148,2)-ROUND(Registro_Compras!$V$148*Registro_Compras!$N$148,2)),ROUND(Registro_Compras!$O$148-Registro_Compras!$S$148,2)))</f>
        <v/>
      </c>
      <c r="F1308" s="20">
        <f>""</f>
        <v/>
      </c>
      <c r="G1308">
        <f>IF($C1308="","","Por la cancelacion del saldo al proveedor")</f>
        <v/>
      </c>
      <c r="H1308">
        <f>IF($C1308="","",Registro_Compras!$C$148)</f>
        <v/>
      </c>
    </row>
    <row r="1309">
      <c r="A1309" s="25">
        <f>IF($C1309="","",Registro_Compras!$Y$148)</f>
        <v/>
      </c>
      <c r="B1309">
        <f>IF($C1309="","","C"&amp;TEXT(INT((ROW()-5)/9)+1,"000")&amp;"-4")</f>
        <v/>
      </c>
      <c r="C1309">
        <f>IF(OR(Registro_Compras!$C$148="",Registro_Compras!$O$148="",Registro_Compras!$Y$148="",Registro_Compras!$F$148="NOTA DE CREDITO"),"","10413")</f>
        <v/>
      </c>
      <c r="D1309">
        <f>IF(OR(Registro_Compras!$C$148="",Registro_Compras!$O$148=""),"","Efectivo y Equivalentes - Cta. Cte. Operativa")</f>
        <v/>
      </c>
      <c r="E1309" s="20">
        <f>""</f>
        <v/>
      </c>
      <c r="F1309" s="20">
        <f>IF($C1309="","",IF(Registro_Compras!$F$148="RHE",(ROUND(Registro_Compras!$L$148*Registro_Compras!$N$148,2)-ROUND(Registro_Compras!$V$148*Registro_Compras!$N$148,2)),ROUND(Registro_Compras!$O$148-Registro_Compras!$S$148,2)))</f>
        <v/>
      </c>
      <c r="G1309">
        <f>IF($C1309="","","Por la cancelacion del saldo al proveedor")</f>
        <v/>
      </c>
      <c r="H1309">
        <f>IF($C1309="","",Registro_Compras!$C$148)</f>
        <v/>
      </c>
    </row>
    <row r="1310">
      <c r="A1310" s="25">
        <f>IF($C1310="","",Registro_Compras!$B$149)</f>
        <v/>
      </c>
      <c r="B1310">
        <f>IF($C1310="","","C"&amp;TEXT(INT((ROW()-5)/9)+1,"000")&amp;"-1")</f>
        <v/>
      </c>
      <c r="C1310">
        <f>IF(OR(Registro_Compras!$C$149="",Registro_Compras!$O$149=""),"",IF(Registro_Compras!$F$149="NOTA DE CREDITO","4212",IF(Registro_Compras!$M$149="","63",Registro_Compras!$M$149)))</f>
        <v/>
      </c>
      <c r="D1310">
        <f>IF(OR(Registro_Compras!$C$149="",Registro_Compras!$O$149=""),"",IF(Registro_Compras!$F$149="NOTA DE CREDITO","Cuentas por Pagar Comerciales - Terceros (Emitidas)",IF(Registro_Compras!$F$149="RHE","Honorarios Profesionales - Servicios de Terceros","Gastos de Servicios Prestados por Terceros")))</f>
        <v/>
      </c>
      <c r="E1310" s="20">
        <f>IF($C1310="","",IF(Registro_Compras!$F$149="NOTA DE CREDITO",ABS(Registro_Compras!$O$149),IF(Registro_Compras!$F$149="RHE",ROUND(Registro_Compras!$L$149*Registro_Compras!$N$149,2),ROUND(Registro_Compras!$J$149*Registro_Compras!$N$149,2))))</f>
        <v/>
      </c>
      <c r="F1310" s="20">
        <f>""</f>
        <v/>
      </c>
      <c r="G1310">
        <f>IF($C1310="","",IF(Registro_Compras!$F$149="NOTA DE CREDITO","Por la nota de credito "&amp;Registro_Compras!$C$149&amp;" de "&amp;Registro_Compras!$E$149&amp;" [PATRON POR CONFIRMAR CON CONTADOR]",IF(Registro_Compras!$F$149="RHE","Por el registro del recibo por honorarios "&amp;Registro_Compras!$C$149&amp;" de "&amp;Registro_Compras!$E$149&amp;" [PATRON POR CONFIRMAR CON CONTADOR]","Por el registro de la factura "&amp;Registro_Compras!$C$149&amp;" de "&amp;Registro_Compras!$E$149)))</f>
        <v/>
      </c>
      <c r="H1310">
        <f>IF($C1310="","",Registro_Compras!$C$149)</f>
        <v/>
      </c>
    </row>
    <row r="1311">
      <c r="A1311" s="25">
        <f>IF($C1311="","",Registro_Compras!$B$149)</f>
        <v/>
      </c>
      <c r="B1311">
        <f>IF($C1311="","","C"&amp;TEXT(INT((ROW()-5)/9)+1,"000")&amp;"-1")</f>
        <v/>
      </c>
      <c r="C1311">
        <f>IF(OR(Registro_Compras!$C$149="",Registro_Compras!$O$149=""),"",IF(Registro_Compras!$F$149="RHE",IF(Registro_Compras!$V$149=0,"","40172"),IF(Registro_Compras!$F$149="NOTA DE CREDITO",IF(Registro_Compras!$M$149="","63",Registro_Compras!$M$149),IF(Registro_Compras!$K$149=0,"","40111"))))</f>
        <v/>
      </c>
      <c r="D1311">
        <f>IF(OR(Registro_Compras!$C$149="",Registro_Compras!$O$149=""),"",IF(Registro_Compras!$F$149="RHE","Retencion Renta 4ta Categoria por Pagar",IF(Registro_Compras!$F$149="NOTA DE CREDITO","Gastos de Servicios Prestados por Terceros","IGV - Cuenta Propia (Credito Fiscal)")))</f>
        <v/>
      </c>
      <c r="E1311" s="20">
        <f>IF($C1311="","",IF(Registro_Compras!$F$149="FACTURA",ROUND(Registro_Compras!$K$149*Registro_Compras!$N$149,2),""))</f>
        <v/>
      </c>
      <c r="F1311" s="20">
        <f>IF($C1311="","",IF(Registro_Compras!$F$149="RHE",ROUND(Registro_Compras!$V$149*Registro_Compras!$N$149,2),IF(Registro_Compras!$F$149="NOTA DE CREDITO",ROUND(ABS(Registro_Compras!$J$149*Registro_Compras!$N$149),2),"")))</f>
        <v/>
      </c>
      <c r="G1311">
        <f>IF($C1311="","",IF(Registro_Compras!$F$149="NOTA DE CREDITO","Por la nota de credito "&amp;Registro_Compras!$C$149&amp;" de "&amp;Registro_Compras!$E$149&amp;" [PATRON POR CONFIRMAR CON CONTADOR]",IF(Registro_Compras!$F$149="RHE","Por el registro del recibo por honorarios "&amp;Registro_Compras!$C$149&amp;" de "&amp;Registro_Compras!$E$149&amp;" [PATRON POR CONFIRMAR CON CONTADOR]","Por el registro de la factura "&amp;Registro_Compras!$C$149&amp;" de "&amp;Registro_Compras!$E$149)))</f>
        <v/>
      </c>
      <c r="H1311">
        <f>IF($C1311="","",Registro_Compras!$C$149)</f>
        <v/>
      </c>
    </row>
    <row r="1312">
      <c r="A1312" s="25">
        <f>IF($C1312="","",Registro_Compras!$B$149)</f>
        <v/>
      </c>
      <c r="B1312">
        <f>IF($C1312="","","C"&amp;TEXT(INT((ROW()-5)/9)+1,"000")&amp;"-1")</f>
        <v/>
      </c>
      <c r="C1312">
        <f>IF(OR(Registro_Compras!$C$149="",Registro_Compras!$O$149=""),"",IF(Registro_Compras!$F$149="NOTA DE CREDITO",IF(Registro_Compras!$K$149=0,"","40111"),"4212"))</f>
        <v/>
      </c>
      <c r="D1312">
        <f>IF(OR(Registro_Compras!$C$149="",Registro_Compras!$O$149=""),"",IF(Registro_Compras!$F$149="NOTA DE CREDITO","IGV - Cuenta Propia (Credito Fiscal)","Cuentas por Pagar Comerciales - Terceros (Emitidas)"))</f>
        <v/>
      </c>
      <c r="E1312" s="20">
        <f>""</f>
        <v/>
      </c>
      <c r="F1312" s="20">
        <f>IF($C1312="","",IF(Registro_Compras!$F$149="NOTA DE CREDITO",ROUND(ABS(Registro_Compras!$K$149*Registro_Compras!$N$149),2),IF(Registro_Compras!$F$149="RHE",(ROUND(Registro_Compras!$L$149*Registro_Compras!$N$149,2)-ROUND(Registro_Compras!$V$149*Registro_Compras!$N$149,2)),Registro_Compras!$O$149)))</f>
        <v/>
      </c>
      <c r="G1312">
        <f>IF($C1312="","",IF(Registro_Compras!$F$149="NOTA DE CREDITO","Por la nota de credito "&amp;Registro_Compras!$C$149&amp;" de "&amp;Registro_Compras!$E$149&amp;" [PATRON POR CONFIRMAR CON CONTADOR]",IF(Registro_Compras!$F$149="RHE","Por el registro del recibo por honorarios "&amp;Registro_Compras!$C$149&amp;" de "&amp;Registro_Compras!$E$149&amp;" [PATRON POR CONFIRMAR CON CONTADOR]","Por el registro de la factura "&amp;Registro_Compras!$C$149&amp;" de "&amp;Registro_Compras!$E$149)))</f>
        <v/>
      </c>
      <c r="H1312">
        <f>IF($C1312="","",Registro_Compras!$C$149)</f>
        <v/>
      </c>
    </row>
    <row r="1313">
      <c r="A1313" s="25">
        <f>IF($C1313="","",Registro_Compras!$B$149)</f>
        <v/>
      </c>
      <c r="B1313">
        <f>IF($C1313="","","C"&amp;TEXT(INT((ROW()-5)/9)+1,"000")&amp;"-2")</f>
        <v/>
      </c>
      <c r="C1313">
        <f>IF(OR(Registro_Compras!$C$149="",Registro_Compras!$O$149=""),"",IF(Registro_Compras!$AB$149="ADMINISTRATIVO","94","95"))</f>
        <v/>
      </c>
      <c r="D1313">
        <f>IF(OR(Registro_Compras!$C$149="",Registro_Compras!$O$149=""),"",IF(Registro_Compras!$AB$149="ADMINISTRATIVO","Gastos Administrativos","Gastos de Venta y Operacion"))</f>
        <v/>
      </c>
      <c r="E1313" s="20">
        <f>IF($C1313="","",IF(Registro_Compras!$F$149="NOTA DE CREDITO","",IF(Registro_Compras!$F$149="RHE",ROUND(Registro_Compras!$L$149*Registro_Compras!$N$149,2),ROUND(Registro_Compras!$J$149*Registro_Compras!$N$149,2))))</f>
        <v/>
      </c>
      <c r="F1313" s="20">
        <f>IF($C1313="","",IF(Registro_Compras!$F$149="NOTA DE CREDITO",ROUND(ABS(Registro_Compras!$J$149*Registro_Compras!$N$149),2),""))</f>
        <v/>
      </c>
      <c r="G1313">
        <f>IF($C1313="","","Por el destino del gasto")</f>
        <v/>
      </c>
      <c r="H1313">
        <f>IF($C1313="","",Registro_Compras!$C$149)</f>
        <v/>
      </c>
    </row>
    <row r="1314">
      <c r="A1314" s="25">
        <f>IF($C1314="","",Registro_Compras!$B$149)</f>
        <v/>
      </c>
      <c r="B1314">
        <f>IF($C1314="","","C"&amp;TEXT(INT((ROW()-5)/9)+1,"000")&amp;"-2")</f>
        <v/>
      </c>
      <c r="C1314">
        <f>IF(OR(Registro_Compras!$C$149="",Registro_Compras!$O$149=""),"","79/791")</f>
        <v/>
      </c>
      <c r="D1314">
        <f>IF(OR(Registro_Compras!$C$149="",Registro_Compras!$O$149=""),"","Cargas Imputables a Cuentas de Costos y Gastos")</f>
        <v/>
      </c>
      <c r="E1314" s="20">
        <f>IF($C1314="","",IF(Registro_Compras!$F$149="NOTA DE CREDITO",ROUND(ABS(Registro_Compras!$J$149*Registro_Compras!$N$149),2),""))</f>
        <v/>
      </c>
      <c r="F1314" s="20">
        <f>IF($C1314="","",IF(Registro_Compras!$F$149="NOTA DE CREDITO","",IF(Registro_Compras!$F$149="RHE",ROUND(Registro_Compras!$L$149*Registro_Compras!$N$149,2),ROUND(Registro_Compras!$J$149*Registro_Compras!$N$149,2))))</f>
        <v/>
      </c>
      <c r="G1314">
        <f>IF($C1314="","","Por el destino del gasto")</f>
        <v/>
      </c>
      <c r="H1314">
        <f>IF($C1314="","",Registro_Compras!$C$149)</f>
        <v/>
      </c>
    </row>
    <row r="1315">
      <c r="A1315" s="25">
        <f>IF($C1315="","",Registro_Compras!$X$149)</f>
        <v/>
      </c>
      <c r="B1315">
        <f>IF($C1315="","","C"&amp;TEXT(INT((ROW()-5)/9)+1,"000")&amp;"-3")</f>
        <v/>
      </c>
      <c r="C1315">
        <f>IF(OR(Registro_Compras!$C$149="",Registro_Compras!$O$149="",Registro_Compras!$R$149&lt;&gt;"SI",Registro_Compras!$X$149=""),"","4212")</f>
        <v/>
      </c>
      <c r="D1315">
        <f>IF(OR(Registro_Compras!$C$149="",Registro_Compras!$O$149=""),"","Cuentas por Pagar Comerciales - Terceros")</f>
        <v/>
      </c>
      <c r="E1315" s="20">
        <f>IF($C1315="","",Registro_Compras!$S$149)</f>
        <v/>
      </c>
      <c r="F1315" s="20">
        <f>""</f>
        <v/>
      </c>
      <c r="G1315">
        <f>IF($C1315="","","Por el deposito de la detraccion en el Banco de la Nacion")</f>
        <v/>
      </c>
      <c r="H1315">
        <f>IF($C1315="","",Registro_Compras!$C$149)</f>
        <v/>
      </c>
    </row>
    <row r="1316">
      <c r="A1316" s="25">
        <f>IF($C1316="","",Registro_Compras!$X$149)</f>
        <v/>
      </c>
      <c r="B1316">
        <f>IF($C1316="","","C"&amp;TEXT(INT((ROW()-5)/9)+1,"000")&amp;"-3")</f>
        <v/>
      </c>
      <c r="C1316">
        <f>IF(OR(Registro_Compras!$C$149="",Registro_Compras!$O$149="",Registro_Compras!$R$149&lt;&gt;"SI",Registro_Compras!$X$149=""),"","10413")</f>
        <v/>
      </c>
      <c r="D1316">
        <f>IF(OR(Registro_Compras!$C$149="",Registro_Compras!$O$149=""),"","Efectivo y Equivalentes - Cta. Cte. Operativa")</f>
        <v/>
      </c>
      <c r="E1316" s="20">
        <f>""</f>
        <v/>
      </c>
      <c r="F1316" s="20">
        <f>IF($C1316="","",Registro_Compras!$S$149)</f>
        <v/>
      </c>
      <c r="G1316">
        <f>IF($C1316="","","Por el deposito de la detraccion en el Banco de la Nacion")</f>
        <v/>
      </c>
      <c r="H1316">
        <f>IF($C1316="","",Registro_Compras!$C$149)</f>
        <v/>
      </c>
    </row>
    <row r="1317">
      <c r="A1317" s="25">
        <f>IF($C1317="","",Registro_Compras!$Y$149)</f>
        <v/>
      </c>
      <c r="B1317">
        <f>IF($C1317="","","C"&amp;TEXT(INT((ROW()-5)/9)+1,"000")&amp;"-4")</f>
        <v/>
      </c>
      <c r="C1317">
        <f>IF(OR(Registro_Compras!$C$149="",Registro_Compras!$O$149="",Registro_Compras!$Y$149="",Registro_Compras!$F$149="NOTA DE CREDITO"),"","4212")</f>
        <v/>
      </c>
      <c r="D1317">
        <f>IF(OR(Registro_Compras!$C$149="",Registro_Compras!$O$149=""),"","Cuentas por Pagar Comerciales - Terceros")</f>
        <v/>
      </c>
      <c r="E1317" s="20">
        <f>IF($C1317="","",IF(Registro_Compras!$F$149="RHE",(ROUND(Registro_Compras!$L$149*Registro_Compras!$N$149,2)-ROUND(Registro_Compras!$V$149*Registro_Compras!$N$149,2)),ROUND(Registro_Compras!$O$149-Registro_Compras!$S$149,2)))</f>
        <v/>
      </c>
      <c r="F1317" s="20">
        <f>""</f>
        <v/>
      </c>
      <c r="G1317">
        <f>IF($C1317="","","Por la cancelacion del saldo al proveedor")</f>
        <v/>
      </c>
      <c r="H1317">
        <f>IF($C1317="","",Registro_Compras!$C$149)</f>
        <v/>
      </c>
    </row>
    <row r="1318">
      <c r="A1318" s="25">
        <f>IF($C1318="","",Registro_Compras!$Y$149)</f>
        <v/>
      </c>
      <c r="B1318">
        <f>IF($C1318="","","C"&amp;TEXT(INT((ROW()-5)/9)+1,"000")&amp;"-4")</f>
        <v/>
      </c>
      <c r="C1318">
        <f>IF(OR(Registro_Compras!$C$149="",Registro_Compras!$O$149="",Registro_Compras!$Y$149="",Registro_Compras!$F$149="NOTA DE CREDITO"),"","10413")</f>
        <v/>
      </c>
      <c r="D1318">
        <f>IF(OR(Registro_Compras!$C$149="",Registro_Compras!$O$149=""),"","Efectivo y Equivalentes - Cta. Cte. Operativa")</f>
        <v/>
      </c>
      <c r="E1318" s="20">
        <f>""</f>
        <v/>
      </c>
      <c r="F1318" s="20">
        <f>IF($C1318="","",IF(Registro_Compras!$F$149="RHE",(ROUND(Registro_Compras!$L$149*Registro_Compras!$N$149,2)-ROUND(Registro_Compras!$V$149*Registro_Compras!$N$149,2)),ROUND(Registro_Compras!$O$149-Registro_Compras!$S$149,2)))</f>
        <v/>
      </c>
      <c r="G1318">
        <f>IF($C1318="","","Por la cancelacion del saldo al proveedor")</f>
        <v/>
      </c>
      <c r="H1318">
        <f>IF($C1318="","",Registro_Compras!$C$149)</f>
        <v/>
      </c>
    </row>
    <row r="1319">
      <c r="A1319" s="25">
        <f>IF($C1319="","",Registro_Compras!$B$150)</f>
        <v/>
      </c>
      <c r="B1319">
        <f>IF($C1319="","","C"&amp;TEXT(INT((ROW()-5)/9)+1,"000")&amp;"-1")</f>
        <v/>
      </c>
      <c r="C1319">
        <f>IF(OR(Registro_Compras!$C$150="",Registro_Compras!$O$150=""),"",IF(Registro_Compras!$F$150="NOTA DE CREDITO","4212",IF(Registro_Compras!$M$150="","63",Registro_Compras!$M$150)))</f>
        <v/>
      </c>
      <c r="D1319">
        <f>IF(OR(Registro_Compras!$C$150="",Registro_Compras!$O$150=""),"",IF(Registro_Compras!$F$150="NOTA DE CREDITO","Cuentas por Pagar Comerciales - Terceros (Emitidas)",IF(Registro_Compras!$F$150="RHE","Honorarios Profesionales - Servicios de Terceros","Gastos de Servicios Prestados por Terceros")))</f>
        <v/>
      </c>
      <c r="E1319" s="20">
        <f>IF($C1319="","",IF(Registro_Compras!$F$150="NOTA DE CREDITO",ABS(Registro_Compras!$O$150),IF(Registro_Compras!$F$150="RHE",ROUND(Registro_Compras!$L$150*Registro_Compras!$N$150,2),ROUND(Registro_Compras!$J$150*Registro_Compras!$N$150,2))))</f>
        <v/>
      </c>
      <c r="F1319" s="20">
        <f>""</f>
        <v/>
      </c>
      <c r="G1319">
        <f>IF($C1319="","",IF(Registro_Compras!$F$150="NOTA DE CREDITO","Por la nota de credito "&amp;Registro_Compras!$C$150&amp;" de "&amp;Registro_Compras!$E$150&amp;" [PATRON POR CONFIRMAR CON CONTADOR]",IF(Registro_Compras!$F$150="RHE","Por el registro del recibo por honorarios "&amp;Registro_Compras!$C$150&amp;" de "&amp;Registro_Compras!$E$150&amp;" [PATRON POR CONFIRMAR CON CONTADOR]","Por el registro de la factura "&amp;Registro_Compras!$C$150&amp;" de "&amp;Registro_Compras!$E$150)))</f>
        <v/>
      </c>
      <c r="H1319">
        <f>IF($C1319="","",Registro_Compras!$C$150)</f>
        <v/>
      </c>
    </row>
    <row r="1320">
      <c r="A1320" s="25">
        <f>IF($C1320="","",Registro_Compras!$B$150)</f>
        <v/>
      </c>
      <c r="B1320">
        <f>IF($C1320="","","C"&amp;TEXT(INT((ROW()-5)/9)+1,"000")&amp;"-1")</f>
        <v/>
      </c>
      <c r="C1320">
        <f>IF(OR(Registro_Compras!$C$150="",Registro_Compras!$O$150=""),"",IF(Registro_Compras!$F$150="RHE",IF(Registro_Compras!$V$150=0,"","40172"),IF(Registro_Compras!$F$150="NOTA DE CREDITO",IF(Registro_Compras!$M$150="","63",Registro_Compras!$M$150),IF(Registro_Compras!$K$150=0,"","40111"))))</f>
        <v/>
      </c>
      <c r="D1320">
        <f>IF(OR(Registro_Compras!$C$150="",Registro_Compras!$O$150=""),"",IF(Registro_Compras!$F$150="RHE","Retencion Renta 4ta Categoria por Pagar",IF(Registro_Compras!$F$150="NOTA DE CREDITO","Gastos de Servicios Prestados por Terceros","IGV - Cuenta Propia (Credito Fiscal)")))</f>
        <v/>
      </c>
      <c r="E1320" s="20">
        <f>IF($C1320="","",IF(Registro_Compras!$F$150="FACTURA",ROUND(Registro_Compras!$K$150*Registro_Compras!$N$150,2),""))</f>
        <v/>
      </c>
      <c r="F1320" s="20">
        <f>IF($C1320="","",IF(Registro_Compras!$F$150="RHE",ROUND(Registro_Compras!$V$150*Registro_Compras!$N$150,2),IF(Registro_Compras!$F$150="NOTA DE CREDITO",ROUND(ABS(Registro_Compras!$J$150*Registro_Compras!$N$150),2),"")))</f>
        <v/>
      </c>
      <c r="G1320">
        <f>IF($C1320="","",IF(Registro_Compras!$F$150="NOTA DE CREDITO","Por la nota de credito "&amp;Registro_Compras!$C$150&amp;" de "&amp;Registro_Compras!$E$150&amp;" [PATRON POR CONFIRMAR CON CONTADOR]",IF(Registro_Compras!$F$150="RHE","Por el registro del recibo por honorarios "&amp;Registro_Compras!$C$150&amp;" de "&amp;Registro_Compras!$E$150&amp;" [PATRON POR CONFIRMAR CON CONTADOR]","Por el registro de la factura "&amp;Registro_Compras!$C$150&amp;" de "&amp;Registro_Compras!$E$150)))</f>
        <v/>
      </c>
      <c r="H1320">
        <f>IF($C1320="","",Registro_Compras!$C$150)</f>
        <v/>
      </c>
    </row>
    <row r="1321">
      <c r="A1321" s="25">
        <f>IF($C1321="","",Registro_Compras!$B$150)</f>
        <v/>
      </c>
      <c r="B1321">
        <f>IF($C1321="","","C"&amp;TEXT(INT((ROW()-5)/9)+1,"000")&amp;"-1")</f>
        <v/>
      </c>
      <c r="C1321">
        <f>IF(OR(Registro_Compras!$C$150="",Registro_Compras!$O$150=""),"",IF(Registro_Compras!$F$150="NOTA DE CREDITO",IF(Registro_Compras!$K$150=0,"","40111"),"4212"))</f>
        <v/>
      </c>
      <c r="D1321">
        <f>IF(OR(Registro_Compras!$C$150="",Registro_Compras!$O$150=""),"",IF(Registro_Compras!$F$150="NOTA DE CREDITO","IGV - Cuenta Propia (Credito Fiscal)","Cuentas por Pagar Comerciales - Terceros (Emitidas)"))</f>
        <v/>
      </c>
      <c r="E1321" s="20">
        <f>""</f>
        <v/>
      </c>
      <c r="F1321" s="20">
        <f>IF($C1321="","",IF(Registro_Compras!$F$150="NOTA DE CREDITO",ROUND(ABS(Registro_Compras!$K$150*Registro_Compras!$N$150),2),IF(Registro_Compras!$F$150="RHE",(ROUND(Registro_Compras!$L$150*Registro_Compras!$N$150,2)-ROUND(Registro_Compras!$V$150*Registro_Compras!$N$150,2)),Registro_Compras!$O$150)))</f>
        <v/>
      </c>
      <c r="G1321">
        <f>IF($C1321="","",IF(Registro_Compras!$F$150="NOTA DE CREDITO","Por la nota de credito "&amp;Registro_Compras!$C$150&amp;" de "&amp;Registro_Compras!$E$150&amp;" [PATRON POR CONFIRMAR CON CONTADOR]",IF(Registro_Compras!$F$150="RHE","Por el registro del recibo por honorarios "&amp;Registro_Compras!$C$150&amp;" de "&amp;Registro_Compras!$E$150&amp;" [PATRON POR CONFIRMAR CON CONTADOR]","Por el registro de la factura "&amp;Registro_Compras!$C$150&amp;" de "&amp;Registro_Compras!$E$150)))</f>
        <v/>
      </c>
      <c r="H1321">
        <f>IF($C1321="","",Registro_Compras!$C$150)</f>
        <v/>
      </c>
    </row>
    <row r="1322">
      <c r="A1322" s="25">
        <f>IF($C1322="","",Registro_Compras!$B$150)</f>
        <v/>
      </c>
      <c r="B1322">
        <f>IF($C1322="","","C"&amp;TEXT(INT((ROW()-5)/9)+1,"000")&amp;"-2")</f>
        <v/>
      </c>
      <c r="C1322">
        <f>IF(OR(Registro_Compras!$C$150="",Registro_Compras!$O$150=""),"",IF(Registro_Compras!$AB$150="ADMINISTRATIVO","94","95"))</f>
        <v/>
      </c>
      <c r="D1322">
        <f>IF(OR(Registro_Compras!$C$150="",Registro_Compras!$O$150=""),"",IF(Registro_Compras!$AB$150="ADMINISTRATIVO","Gastos Administrativos","Gastos de Venta y Operacion"))</f>
        <v/>
      </c>
      <c r="E1322" s="20">
        <f>IF($C1322="","",IF(Registro_Compras!$F$150="NOTA DE CREDITO","",IF(Registro_Compras!$F$150="RHE",ROUND(Registro_Compras!$L$150*Registro_Compras!$N$150,2),ROUND(Registro_Compras!$J$150*Registro_Compras!$N$150,2))))</f>
        <v/>
      </c>
      <c r="F1322" s="20">
        <f>IF($C1322="","",IF(Registro_Compras!$F$150="NOTA DE CREDITO",ROUND(ABS(Registro_Compras!$J$150*Registro_Compras!$N$150),2),""))</f>
        <v/>
      </c>
      <c r="G1322">
        <f>IF($C1322="","","Por el destino del gasto")</f>
        <v/>
      </c>
      <c r="H1322">
        <f>IF($C1322="","",Registro_Compras!$C$150)</f>
        <v/>
      </c>
    </row>
    <row r="1323">
      <c r="A1323" s="25">
        <f>IF($C1323="","",Registro_Compras!$B$150)</f>
        <v/>
      </c>
      <c r="B1323">
        <f>IF($C1323="","","C"&amp;TEXT(INT((ROW()-5)/9)+1,"000")&amp;"-2")</f>
        <v/>
      </c>
      <c r="C1323">
        <f>IF(OR(Registro_Compras!$C$150="",Registro_Compras!$O$150=""),"","79/791")</f>
        <v/>
      </c>
      <c r="D1323">
        <f>IF(OR(Registro_Compras!$C$150="",Registro_Compras!$O$150=""),"","Cargas Imputables a Cuentas de Costos y Gastos")</f>
        <v/>
      </c>
      <c r="E1323" s="20">
        <f>IF($C1323="","",IF(Registro_Compras!$F$150="NOTA DE CREDITO",ROUND(ABS(Registro_Compras!$J$150*Registro_Compras!$N$150),2),""))</f>
        <v/>
      </c>
      <c r="F1323" s="20">
        <f>IF($C1323="","",IF(Registro_Compras!$F$150="NOTA DE CREDITO","",IF(Registro_Compras!$F$150="RHE",ROUND(Registro_Compras!$L$150*Registro_Compras!$N$150,2),ROUND(Registro_Compras!$J$150*Registro_Compras!$N$150,2))))</f>
        <v/>
      </c>
      <c r="G1323">
        <f>IF($C1323="","","Por el destino del gasto")</f>
        <v/>
      </c>
      <c r="H1323">
        <f>IF($C1323="","",Registro_Compras!$C$150)</f>
        <v/>
      </c>
    </row>
    <row r="1324">
      <c r="A1324" s="25">
        <f>IF($C1324="","",Registro_Compras!$X$150)</f>
        <v/>
      </c>
      <c r="B1324">
        <f>IF($C1324="","","C"&amp;TEXT(INT((ROW()-5)/9)+1,"000")&amp;"-3")</f>
        <v/>
      </c>
      <c r="C1324">
        <f>IF(OR(Registro_Compras!$C$150="",Registro_Compras!$O$150="",Registro_Compras!$R$150&lt;&gt;"SI",Registro_Compras!$X$150=""),"","4212")</f>
        <v/>
      </c>
      <c r="D1324">
        <f>IF(OR(Registro_Compras!$C$150="",Registro_Compras!$O$150=""),"","Cuentas por Pagar Comerciales - Terceros")</f>
        <v/>
      </c>
      <c r="E1324" s="20">
        <f>IF($C1324="","",Registro_Compras!$S$150)</f>
        <v/>
      </c>
      <c r="F1324" s="20">
        <f>""</f>
        <v/>
      </c>
      <c r="G1324">
        <f>IF($C1324="","","Por el deposito de la detraccion en el Banco de la Nacion")</f>
        <v/>
      </c>
      <c r="H1324">
        <f>IF($C1324="","",Registro_Compras!$C$150)</f>
        <v/>
      </c>
    </row>
    <row r="1325">
      <c r="A1325" s="25">
        <f>IF($C1325="","",Registro_Compras!$X$150)</f>
        <v/>
      </c>
      <c r="B1325">
        <f>IF($C1325="","","C"&amp;TEXT(INT((ROW()-5)/9)+1,"000")&amp;"-3")</f>
        <v/>
      </c>
      <c r="C1325">
        <f>IF(OR(Registro_Compras!$C$150="",Registro_Compras!$O$150="",Registro_Compras!$R$150&lt;&gt;"SI",Registro_Compras!$X$150=""),"","10413")</f>
        <v/>
      </c>
      <c r="D1325">
        <f>IF(OR(Registro_Compras!$C$150="",Registro_Compras!$O$150=""),"","Efectivo y Equivalentes - Cta. Cte. Operativa")</f>
        <v/>
      </c>
      <c r="E1325" s="20">
        <f>""</f>
        <v/>
      </c>
      <c r="F1325" s="20">
        <f>IF($C1325="","",Registro_Compras!$S$150)</f>
        <v/>
      </c>
      <c r="G1325">
        <f>IF($C1325="","","Por el deposito de la detraccion en el Banco de la Nacion")</f>
        <v/>
      </c>
      <c r="H1325">
        <f>IF($C1325="","",Registro_Compras!$C$150)</f>
        <v/>
      </c>
    </row>
    <row r="1326">
      <c r="A1326" s="25">
        <f>IF($C1326="","",Registro_Compras!$Y$150)</f>
        <v/>
      </c>
      <c r="B1326">
        <f>IF($C1326="","","C"&amp;TEXT(INT((ROW()-5)/9)+1,"000")&amp;"-4")</f>
        <v/>
      </c>
      <c r="C1326">
        <f>IF(OR(Registro_Compras!$C$150="",Registro_Compras!$O$150="",Registro_Compras!$Y$150="",Registro_Compras!$F$150="NOTA DE CREDITO"),"","4212")</f>
        <v/>
      </c>
      <c r="D1326">
        <f>IF(OR(Registro_Compras!$C$150="",Registro_Compras!$O$150=""),"","Cuentas por Pagar Comerciales - Terceros")</f>
        <v/>
      </c>
      <c r="E1326" s="20">
        <f>IF($C1326="","",IF(Registro_Compras!$F$150="RHE",(ROUND(Registro_Compras!$L$150*Registro_Compras!$N$150,2)-ROUND(Registro_Compras!$V$150*Registro_Compras!$N$150,2)),ROUND(Registro_Compras!$O$150-Registro_Compras!$S$150,2)))</f>
        <v/>
      </c>
      <c r="F1326" s="20">
        <f>""</f>
        <v/>
      </c>
      <c r="G1326">
        <f>IF($C1326="","","Por la cancelacion del saldo al proveedor")</f>
        <v/>
      </c>
      <c r="H1326">
        <f>IF($C1326="","",Registro_Compras!$C$150)</f>
        <v/>
      </c>
    </row>
    <row r="1327">
      <c r="A1327" s="25">
        <f>IF($C1327="","",Registro_Compras!$Y$150)</f>
        <v/>
      </c>
      <c r="B1327">
        <f>IF($C1327="","","C"&amp;TEXT(INT((ROW()-5)/9)+1,"000")&amp;"-4")</f>
        <v/>
      </c>
      <c r="C1327">
        <f>IF(OR(Registro_Compras!$C$150="",Registro_Compras!$O$150="",Registro_Compras!$Y$150="",Registro_Compras!$F$150="NOTA DE CREDITO"),"","10413")</f>
        <v/>
      </c>
      <c r="D1327">
        <f>IF(OR(Registro_Compras!$C$150="",Registro_Compras!$O$150=""),"","Efectivo y Equivalentes - Cta. Cte. Operativa")</f>
        <v/>
      </c>
      <c r="E1327" s="20">
        <f>""</f>
        <v/>
      </c>
      <c r="F1327" s="20">
        <f>IF($C1327="","",IF(Registro_Compras!$F$150="RHE",(ROUND(Registro_Compras!$L$150*Registro_Compras!$N$150,2)-ROUND(Registro_Compras!$V$150*Registro_Compras!$N$150,2)),ROUND(Registro_Compras!$O$150-Registro_Compras!$S$150,2)))</f>
        <v/>
      </c>
      <c r="G1327">
        <f>IF($C1327="","","Por la cancelacion del saldo al proveedor")</f>
        <v/>
      </c>
      <c r="H1327">
        <f>IF($C1327="","",Registro_Compras!$C$150)</f>
        <v/>
      </c>
    </row>
    <row r="1328">
      <c r="A1328" s="25">
        <f>IF($C1328="","",Registro_Compras!$B$151)</f>
        <v/>
      </c>
      <c r="B1328">
        <f>IF($C1328="","","C"&amp;TEXT(INT((ROW()-5)/9)+1,"000")&amp;"-1")</f>
        <v/>
      </c>
      <c r="C1328">
        <f>IF(OR(Registro_Compras!$C$151="",Registro_Compras!$O$151=""),"",IF(Registro_Compras!$F$151="NOTA DE CREDITO","4212",IF(Registro_Compras!$M$151="","63",Registro_Compras!$M$151)))</f>
        <v/>
      </c>
      <c r="D1328">
        <f>IF(OR(Registro_Compras!$C$151="",Registro_Compras!$O$151=""),"",IF(Registro_Compras!$F$151="NOTA DE CREDITO","Cuentas por Pagar Comerciales - Terceros (Emitidas)",IF(Registro_Compras!$F$151="RHE","Honorarios Profesionales - Servicios de Terceros","Gastos de Servicios Prestados por Terceros")))</f>
        <v/>
      </c>
      <c r="E1328" s="20">
        <f>IF($C1328="","",IF(Registro_Compras!$F$151="NOTA DE CREDITO",ABS(Registro_Compras!$O$151),IF(Registro_Compras!$F$151="RHE",ROUND(Registro_Compras!$L$151*Registro_Compras!$N$151,2),ROUND(Registro_Compras!$J$151*Registro_Compras!$N$151,2))))</f>
        <v/>
      </c>
      <c r="F1328" s="20">
        <f>""</f>
        <v/>
      </c>
      <c r="G1328">
        <f>IF($C1328="","",IF(Registro_Compras!$F$151="NOTA DE CREDITO","Por la nota de credito "&amp;Registro_Compras!$C$151&amp;" de "&amp;Registro_Compras!$E$151&amp;" [PATRON POR CONFIRMAR CON CONTADOR]",IF(Registro_Compras!$F$151="RHE","Por el registro del recibo por honorarios "&amp;Registro_Compras!$C$151&amp;" de "&amp;Registro_Compras!$E$151&amp;" [PATRON POR CONFIRMAR CON CONTADOR]","Por el registro de la factura "&amp;Registro_Compras!$C$151&amp;" de "&amp;Registro_Compras!$E$151)))</f>
        <v/>
      </c>
      <c r="H1328">
        <f>IF($C1328="","",Registro_Compras!$C$151)</f>
        <v/>
      </c>
    </row>
    <row r="1329">
      <c r="A1329" s="25">
        <f>IF($C1329="","",Registro_Compras!$B$151)</f>
        <v/>
      </c>
      <c r="B1329">
        <f>IF($C1329="","","C"&amp;TEXT(INT((ROW()-5)/9)+1,"000")&amp;"-1")</f>
        <v/>
      </c>
      <c r="C1329">
        <f>IF(OR(Registro_Compras!$C$151="",Registro_Compras!$O$151=""),"",IF(Registro_Compras!$F$151="RHE",IF(Registro_Compras!$V$151=0,"","40172"),IF(Registro_Compras!$F$151="NOTA DE CREDITO",IF(Registro_Compras!$M$151="","63",Registro_Compras!$M$151),IF(Registro_Compras!$K$151=0,"","40111"))))</f>
        <v/>
      </c>
      <c r="D1329">
        <f>IF(OR(Registro_Compras!$C$151="",Registro_Compras!$O$151=""),"",IF(Registro_Compras!$F$151="RHE","Retencion Renta 4ta Categoria por Pagar",IF(Registro_Compras!$F$151="NOTA DE CREDITO","Gastos de Servicios Prestados por Terceros","IGV - Cuenta Propia (Credito Fiscal)")))</f>
        <v/>
      </c>
      <c r="E1329" s="20">
        <f>IF($C1329="","",IF(Registro_Compras!$F$151="FACTURA",ROUND(Registro_Compras!$K$151*Registro_Compras!$N$151,2),""))</f>
        <v/>
      </c>
      <c r="F1329" s="20">
        <f>IF($C1329="","",IF(Registro_Compras!$F$151="RHE",ROUND(Registro_Compras!$V$151*Registro_Compras!$N$151,2),IF(Registro_Compras!$F$151="NOTA DE CREDITO",ROUND(ABS(Registro_Compras!$J$151*Registro_Compras!$N$151),2),"")))</f>
        <v/>
      </c>
      <c r="G1329">
        <f>IF($C1329="","",IF(Registro_Compras!$F$151="NOTA DE CREDITO","Por la nota de credito "&amp;Registro_Compras!$C$151&amp;" de "&amp;Registro_Compras!$E$151&amp;" [PATRON POR CONFIRMAR CON CONTADOR]",IF(Registro_Compras!$F$151="RHE","Por el registro del recibo por honorarios "&amp;Registro_Compras!$C$151&amp;" de "&amp;Registro_Compras!$E$151&amp;" [PATRON POR CONFIRMAR CON CONTADOR]","Por el registro de la factura "&amp;Registro_Compras!$C$151&amp;" de "&amp;Registro_Compras!$E$151)))</f>
        <v/>
      </c>
      <c r="H1329">
        <f>IF($C1329="","",Registro_Compras!$C$151)</f>
        <v/>
      </c>
    </row>
    <row r="1330">
      <c r="A1330" s="25">
        <f>IF($C1330="","",Registro_Compras!$B$151)</f>
        <v/>
      </c>
      <c r="B1330">
        <f>IF($C1330="","","C"&amp;TEXT(INT((ROW()-5)/9)+1,"000")&amp;"-1")</f>
        <v/>
      </c>
      <c r="C1330">
        <f>IF(OR(Registro_Compras!$C$151="",Registro_Compras!$O$151=""),"",IF(Registro_Compras!$F$151="NOTA DE CREDITO",IF(Registro_Compras!$K$151=0,"","40111"),"4212"))</f>
        <v/>
      </c>
      <c r="D1330">
        <f>IF(OR(Registro_Compras!$C$151="",Registro_Compras!$O$151=""),"",IF(Registro_Compras!$F$151="NOTA DE CREDITO","IGV - Cuenta Propia (Credito Fiscal)","Cuentas por Pagar Comerciales - Terceros (Emitidas)"))</f>
        <v/>
      </c>
      <c r="E1330" s="20">
        <f>""</f>
        <v/>
      </c>
      <c r="F1330" s="20">
        <f>IF($C1330="","",IF(Registro_Compras!$F$151="NOTA DE CREDITO",ROUND(ABS(Registro_Compras!$K$151*Registro_Compras!$N$151),2),IF(Registro_Compras!$F$151="RHE",(ROUND(Registro_Compras!$L$151*Registro_Compras!$N$151,2)-ROUND(Registro_Compras!$V$151*Registro_Compras!$N$151,2)),Registro_Compras!$O$151)))</f>
        <v/>
      </c>
      <c r="G1330">
        <f>IF($C1330="","",IF(Registro_Compras!$F$151="NOTA DE CREDITO","Por la nota de credito "&amp;Registro_Compras!$C$151&amp;" de "&amp;Registro_Compras!$E$151&amp;" [PATRON POR CONFIRMAR CON CONTADOR]",IF(Registro_Compras!$F$151="RHE","Por el registro del recibo por honorarios "&amp;Registro_Compras!$C$151&amp;" de "&amp;Registro_Compras!$E$151&amp;" [PATRON POR CONFIRMAR CON CONTADOR]","Por el registro de la factura "&amp;Registro_Compras!$C$151&amp;" de "&amp;Registro_Compras!$E$151)))</f>
        <v/>
      </c>
      <c r="H1330">
        <f>IF($C1330="","",Registro_Compras!$C$151)</f>
        <v/>
      </c>
    </row>
    <row r="1331">
      <c r="A1331" s="25">
        <f>IF($C1331="","",Registro_Compras!$B$151)</f>
        <v/>
      </c>
      <c r="B1331">
        <f>IF($C1331="","","C"&amp;TEXT(INT((ROW()-5)/9)+1,"000")&amp;"-2")</f>
        <v/>
      </c>
      <c r="C1331">
        <f>IF(OR(Registro_Compras!$C$151="",Registro_Compras!$O$151=""),"",IF(Registro_Compras!$AB$151="ADMINISTRATIVO","94","95"))</f>
        <v/>
      </c>
      <c r="D1331">
        <f>IF(OR(Registro_Compras!$C$151="",Registro_Compras!$O$151=""),"",IF(Registro_Compras!$AB$151="ADMINISTRATIVO","Gastos Administrativos","Gastos de Venta y Operacion"))</f>
        <v/>
      </c>
      <c r="E1331" s="20">
        <f>IF($C1331="","",IF(Registro_Compras!$F$151="NOTA DE CREDITO","",IF(Registro_Compras!$F$151="RHE",ROUND(Registro_Compras!$L$151*Registro_Compras!$N$151,2),ROUND(Registro_Compras!$J$151*Registro_Compras!$N$151,2))))</f>
        <v/>
      </c>
      <c r="F1331" s="20">
        <f>IF($C1331="","",IF(Registro_Compras!$F$151="NOTA DE CREDITO",ROUND(ABS(Registro_Compras!$J$151*Registro_Compras!$N$151),2),""))</f>
        <v/>
      </c>
      <c r="G1331">
        <f>IF($C1331="","","Por el destino del gasto")</f>
        <v/>
      </c>
      <c r="H1331">
        <f>IF($C1331="","",Registro_Compras!$C$151)</f>
        <v/>
      </c>
    </row>
    <row r="1332">
      <c r="A1332" s="25">
        <f>IF($C1332="","",Registro_Compras!$B$151)</f>
        <v/>
      </c>
      <c r="B1332">
        <f>IF($C1332="","","C"&amp;TEXT(INT((ROW()-5)/9)+1,"000")&amp;"-2")</f>
        <v/>
      </c>
      <c r="C1332">
        <f>IF(OR(Registro_Compras!$C$151="",Registro_Compras!$O$151=""),"","79/791")</f>
        <v/>
      </c>
      <c r="D1332">
        <f>IF(OR(Registro_Compras!$C$151="",Registro_Compras!$O$151=""),"","Cargas Imputables a Cuentas de Costos y Gastos")</f>
        <v/>
      </c>
      <c r="E1332" s="20">
        <f>IF($C1332="","",IF(Registro_Compras!$F$151="NOTA DE CREDITO",ROUND(ABS(Registro_Compras!$J$151*Registro_Compras!$N$151),2),""))</f>
        <v/>
      </c>
      <c r="F1332" s="20">
        <f>IF($C1332="","",IF(Registro_Compras!$F$151="NOTA DE CREDITO","",IF(Registro_Compras!$F$151="RHE",ROUND(Registro_Compras!$L$151*Registro_Compras!$N$151,2),ROUND(Registro_Compras!$J$151*Registro_Compras!$N$151,2))))</f>
        <v/>
      </c>
      <c r="G1332">
        <f>IF($C1332="","","Por el destino del gasto")</f>
        <v/>
      </c>
      <c r="H1332">
        <f>IF($C1332="","",Registro_Compras!$C$151)</f>
        <v/>
      </c>
    </row>
    <row r="1333">
      <c r="A1333" s="25">
        <f>IF($C1333="","",Registro_Compras!$X$151)</f>
        <v/>
      </c>
      <c r="B1333">
        <f>IF($C1333="","","C"&amp;TEXT(INT((ROW()-5)/9)+1,"000")&amp;"-3")</f>
        <v/>
      </c>
      <c r="C1333">
        <f>IF(OR(Registro_Compras!$C$151="",Registro_Compras!$O$151="",Registro_Compras!$R$151&lt;&gt;"SI",Registro_Compras!$X$151=""),"","4212")</f>
        <v/>
      </c>
      <c r="D1333">
        <f>IF(OR(Registro_Compras!$C$151="",Registro_Compras!$O$151=""),"","Cuentas por Pagar Comerciales - Terceros")</f>
        <v/>
      </c>
      <c r="E1333" s="20">
        <f>IF($C1333="","",Registro_Compras!$S$151)</f>
        <v/>
      </c>
      <c r="F1333" s="20">
        <f>""</f>
        <v/>
      </c>
      <c r="G1333">
        <f>IF($C1333="","","Por el deposito de la detraccion en el Banco de la Nacion")</f>
        <v/>
      </c>
      <c r="H1333">
        <f>IF($C1333="","",Registro_Compras!$C$151)</f>
        <v/>
      </c>
    </row>
    <row r="1334">
      <c r="A1334" s="25">
        <f>IF($C1334="","",Registro_Compras!$X$151)</f>
        <v/>
      </c>
      <c r="B1334">
        <f>IF($C1334="","","C"&amp;TEXT(INT((ROW()-5)/9)+1,"000")&amp;"-3")</f>
        <v/>
      </c>
      <c r="C1334">
        <f>IF(OR(Registro_Compras!$C$151="",Registro_Compras!$O$151="",Registro_Compras!$R$151&lt;&gt;"SI",Registro_Compras!$X$151=""),"","10413")</f>
        <v/>
      </c>
      <c r="D1334">
        <f>IF(OR(Registro_Compras!$C$151="",Registro_Compras!$O$151=""),"","Efectivo y Equivalentes - Cta. Cte. Operativa")</f>
        <v/>
      </c>
      <c r="E1334" s="20">
        <f>""</f>
        <v/>
      </c>
      <c r="F1334" s="20">
        <f>IF($C1334="","",Registro_Compras!$S$151)</f>
        <v/>
      </c>
      <c r="G1334">
        <f>IF($C1334="","","Por el deposito de la detraccion en el Banco de la Nacion")</f>
        <v/>
      </c>
      <c r="H1334">
        <f>IF($C1334="","",Registro_Compras!$C$151)</f>
        <v/>
      </c>
    </row>
    <row r="1335">
      <c r="A1335" s="25">
        <f>IF($C1335="","",Registro_Compras!$Y$151)</f>
        <v/>
      </c>
      <c r="B1335">
        <f>IF($C1335="","","C"&amp;TEXT(INT((ROW()-5)/9)+1,"000")&amp;"-4")</f>
        <v/>
      </c>
      <c r="C1335">
        <f>IF(OR(Registro_Compras!$C$151="",Registro_Compras!$O$151="",Registro_Compras!$Y$151="",Registro_Compras!$F$151="NOTA DE CREDITO"),"","4212")</f>
        <v/>
      </c>
      <c r="D1335">
        <f>IF(OR(Registro_Compras!$C$151="",Registro_Compras!$O$151=""),"","Cuentas por Pagar Comerciales - Terceros")</f>
        <v/>
      </c>
      <c r="E1335" s="20">
        <f>IF($C1335="","",IF(Registro_Compras!$F$151="RHE",(ROUND(Registro_Compras!$L$151*Registro_Compras!$N$151,2)-ROUND(Registro_Compras!$V$151*Registro_Compras!$N$151,2)),ROUND(Registro_Compras!$O$151-Registro_Compras!$S$151,2)))</f>
        <v/>
      </c>
      <c r="F1335" s="20">
        <f>""</f>
        <v/>
      </c>
      <c r="G1335">
        <f>IF($C1335="","","Por la cancelacion del saldo al proveedor")</f>
        <v/>
      </c>
      <c r="H1335">
        <f>IF($C1335="","",Registro_Compras!$C$151)</f>
        <v/>
      </c>
    </row>
    <row r="1336">
      <c r="A1336" s="25">
        <f>IF($C1336="","",Registro_Compras!$Y$151)</f>
        <v/>
      </c>
      <c r="B1336">
        <f>IF($C1336="","","C"&amp;TEXT(INT((ROW()-5)/9)+1,"000")&amp;"-4")</f>
        <v/>
      </c>
      <c r="C1336">
        <f>IF(OR(Registro_Compras!$C$151="",Registro_Compras!$O$151="",Registro_Compras!$Y$151="",Registro_Compras!$F$151="NOTA DE CREDITO"),"","10413")</f>
        <v/>
      </c>
      <c r="D1336">
        <f>IF(OR(Registro_Compras!$C$151="",Registro_Compras!$O$151=""),"","Efectivo y Equivalentes - Cta. Cte. Operativa")</f>
        <v/>
      </c>
      <c r="E1336" s="20">
        <f>""</f>
        <v/>
      </c>
      <c r="F1336" s="20">
        <f>IF($C1336="","",IF(Registro_Compras!$F$151="RHE",(ROUND(Registro_Compras!$L$151*Registro_Compras!$N$151,2)-ROUND(Registro_Compras!$V$151*Registro_Compras!$N$151,2)),ROUND(Registro_Compras!$O$151-Registro_Compras!$S$151,2)))</f>
        <v/>
      </c>
      <c r="G1336">
        <f>IF($C1336="","","Por la cancelacion del saldo al proveedor")</f>
        <v/>
      </c>
      <c r="H1336">
        <f>IF($C1336="","",Registro_Compras!$C$151)</f>
        <v/>
      </c>
    </row>
    <row r="1337">
      <c r="A1337" s="25">
        <f>IF($C1337="","",Registro_Compras!$B$152)</f>
        <v/>
      </c>
      <c r="B1337">
        <f>IF($C1337="","","C"&amp;TEXT(INT((ROW()-5)/9)+1,"000")&amp;"-1")</f>
        <v/>
      </c>
      <c r="C1337">
        <f>IF(OR(Registro_Compras!$C$152="",Registro_Compras!$O$152=""),"",IF(Registro_Compras!$F$152="NOTA DE CREDITO","4212",IF(Registro_Compras!$M$152="","63",Registro_Compras!$M$152)))</f>
        <v/>
      </c>
      <c r="D1337">
        <f>IF(OR(Registro_Compras!$C$152="",Registro_Compras!$O$152=""),"",IF(Registro_Compras!$F$152="NOTA DE CREDITO","Cuentas por Pagar Comerciales - Terceros (Emitidas)",IF(Registro_Compras!$F$152="RHE","Honorarios Profesionales - Servicios de Terceros","Gastos de Servicios Prestados por Terceros")))</f>
        <v/>
      </c>
      <c r="E1337" s="20">
        <f>IF($C1337="","",IF(Registro_Compras!$F$152="NOTA DE CREDITO",ABS(Registro_Compras!$O$152),IF(Registro_Compras!$F$152="RHE",ROUND(Registro_Compras!$L$152*Registro_Compras!$N$152,2),ROUND(Registro_Compras!$J$152*Registro_Compras!$N$152,2))))</f>
        <v/>
      </c>
      <c r="F1337" s="20">
        <f>""</f>
        <v/>
      </c>
      <c r="G1337">
        <f>IF($C1337="","",IF(Registro_Compras!$F$152="NOTA DE CREDITO","Por la nota de credito "&amp;Registro_Compras!$C$152&amp;" de "&amp;Registro_Compras!$E$152&amp;" [PATRON POR CONFIRMAR CON CONTADOR]",IF(Registro_Compras!$F$152="RHE","Por el registro del recibo por honorarios "&amp;Registro_Compras!$C$152&amp;" de "&amp;Registro_Compras!$E$152&amp;" [PATRON POR CONFIRMAR CON CONTADOR]","Por el registro de la factura "&amp;Registro_Compras!$C$152&amp;" de "&amp;Registro_Compras!$E$152)))</f>
        <v/>
      </c>
      <c r="H1337">
        <f>IF($C1337="","",Registro_Compras!$C$152)</f>
        <v/>
      </c>
    </row>
    <row r="1338">
      <c r="A1338" s="25">
        <f>IF($C1338="","",Registro_Compras!$B$152)</f>
        <v/>
      </c>
      <c r="B1338">
        <f>IF($C1338="","","C"&amp;TEXT(INT((ROW()-5)/9)+1,"000")&amp;"-1")</f>
        <v/>
      </c>
      <c r="C1338">
        <f>IF(OR(Registro_Compras!$C$152="",Registro_Compras!$O$152=""),"",IF(Registro_Compras!$F$152="RHE",IF(Registro_Compras!$V$152=0,"","40172"),IF(Registro_Compras!$F$152="NOTA DE CREDITO",IF(Registro_Compras!$M$152="","63",Registro_Compras!$M$152),IF(Registro_Compras!$K$152=0,"","40111"))))</f>
        <v/>
      </c>
      <c r="D1338">
        <f>IF(OR(Registro_Compras!$C$152="",Registro_Compras!$O$152=""),"",IF(Registro_Compras!$F$152="RHE","Retencion Renta 4ta Categoria por Pagar",IF(Registro_Compras!$F$152="NOTA DE CREDITO","Gastos de Servicios Prestados por Terceros","IGV - Cuenta Propia (Credito Fiscal)")))</f>
        <v/>
      </c>
      <c r="E1338" s="20">
        <f>IF($C1338="","",IF(Registro_Compras!$F$152="FACTURA",ROUND(Registro_Compras!$K$152*Registro_Compras!$N$152,2),""))</f>
        <v/>
      </c>
      <c r="F1338" s="20">
        <f>IF($C1338="","",IF(Registro_Compras!$F$152="RHE",ROUND(Registro_Compras!$V$152*Registro_Compras!$N$152,2),IF(Registro_Compras!$F$152="NOTA DE CREDITO",ROUND(ABS(Registro_Compras!$J$152*Registro_Compras!$N$152),2),"")))</f>
        <v/>
      </c>
      <c r="G1338">
        <f>IF($C1338="","",IF(Registro_Compras!$F$152="NOTA DE CREDITO","Por la nota de credito "&amp;Registro_Compras!$C$152&amp;" de "&amp;Registro_Compras!$E$152&amp;" [PATRON POR CONFIRMAR CON CONTADOR]",IF(Registro_Compras!$F$152="RHE","Por el registro del recibo por honorarios "&amp;Registro_Compras!$C$152&amp;" de "&amp;Registro_Compras!$E$152&amp;" [PATRON POR CONFIRMAR CON CONTADOR]","Por el registro de la factura "&amp;Registro_Compras!$C$152&amp;" de "&amp;Registro_Compras!$E$152)))</f>
        <v/>
      </c>
      <c r="H1338">
        <f>IF($C1338="","",Registro_Compras!$C$152)</f>
        <v/>
      </c>
    </row>
    <row r="1339">
      <c r="A1339" s="25">
        <f>IF($C1339="","",Registro_Compras!$B$152)</f>
        <v/>
      </c>
      <c r="B1339">
        <f>IF($C1339="","","C"&amp;TEXT(INT((ROW()-5)/9)+1,"000")&amp;"-1")</f>
        <v/>
      </c>
      <c r="C1339">
        <f>IF(OR(Registro_Compras!$C$152="",Registro_Compras!$O$152=""),"",IF(Registro_Compras!$F$152="NOTA DE CREDITO",IF(Registro_Compras!$K$152=0,"","40111"),"4212"))</f>
        <v/>
      </c>
      <c r="D1339">
        <f>IF(OR(Registro_Compras!$C$152="",Registro_Compras!$O$152=""),"",IF(Registro_Compras!$F$152="NOTA DE CREDITO","IGV - Cuenta Propia (Credito Fiscal)","Cuentas por Pagar Comerciales - Terceros (Emitidas)"))</f>
        <v/>
      </c>
      <c r="E1339" s="20">
        <f>""</f>
        <v/>
      </c>
      <c r="F1339" s="20">
        <f>IF($C1339="","",IF(Registro_Compras!$F$152="NOTA DE CREDITO",ROUND(ABS(Registro_Compras!$K$152*Registro_Compras!$N$152),2),IF(Registro_Compras!$F$152="RHE",(ROUND(Registro_Compras!$L$152*Registro_Compras!$N$152,2)-ROUND(Registro_Compras!$V$152*Registro_Compras!$N$152,2)),Registro_Compras!$O$152)))</f>
        <v/>
      </c>
      <c r="G1339">
        <f>IF($C1339="","",IF(Registro_Compras!$F$152="NOTA DE CREDITO","Por la nota de credito "&amp;Registro_Compras!$C$152&amp;" de "&amp;Registro_Compras!$E$152&amp;" [PATRON POR CONFIRMAR CON CONTADOR]",IF(Registro_Compras!$F$152="RHE","Por el registro del recibo por honorarios "&amp;Registro_Compras!$C$152&amp;" de "&amp;Registro_Compras!$E$152&amp;" [PATRON POR CONFIRMAR CON CONTADOR]","Por el registro de la factura "&amp;Registro_Compras!$C$152&amp;" de "&amp;Registro_Compras!$E$152)))</f>
        <v/>
      </c>
      <c r="H1339">
        <f>IF($C1339="","",Registro_Compras!$C$152)</f>
        <v/>
      </c>
    </row>
    <row r="1340">
      <c r="A1340" s="25">
        <f>IF($C1340="","",Registro_Compras!$B$152)</f>
        <v/>
      </c>
      <c r="B1340">
        <f>IF($C1340="","","C"&amp;TEXT(INT((ROW()-5)/9)+1,"000")&amp;"-2")</f>
        <v/>
      </c>
      <c r="C1340">
        <f>IF(OR(Registro_Compras!$C$152="",Registro_Compras!$O$152=""),"",IF(Registro_Compras!$AB$152="ADMINISTRATIVO","94","95"))</f>
        <v/>
      </c>
      <c r="D1340">
        <f>IF(OR(Registro_Compras!$C$152="",Registro_Compras!$O$152=""),"",IF(Registro_Compras!$AB$152="ADMINISTRATIVO","Gastos Administrativos","Gastos de Venta y Operacion"))</f>
        <v/>
      </c>
      <c r="E1340" s="20">
        <f>IF($C1340="","",IF(Registro_Compras!$F$152="NOTA DE CREDITO","",IF(Registro_Compras!$F$152="RHE",ROUND(Registro_Compras!$L$152*Registro_Compras!$N$152,2),ROUND(Registro_Compras!$J$152*Registro_Compras!$N$152,2))))</f>
        <v/>
      </c>
      <c r="F1340" s="20">
        <f>IF($C1340="","",IF(Registro_Compras!$F$152="NOTA DE CREDITO",ROUND(ABS(Registro_Compras!$J$152*Registro_Compras!$N$152),2),""))</f>
        <v/>
      </c>
      <c r="G1340">
        <f>IF($C1340="","","Por el destino del gasto")</f>
        <v/>
      </c>
      <c r="H1340">
        <f>IF($C1340="","",Registro_Compras!$C$152)</f>
        <v/>
      </c>
    </row>
    <row r="1341">
      <c r="A1341" s="25">
        <f>IF($C1341="","",Registro_Compras!$B$152)</f>
        <v/>
      </c>
      <c r="B1341">
        <f>IF($C1341="","","C"&amp;TEXT(INT((ROW()-5)/9)+1,"000")&amp;"-2")</f>
        <v/>
      </c>
      <c r="C1341">
        <f>IF(OR(Registro_Compras!$C$152="",Registro_Compras!$O$152=""),"","79/791")</f>
        <v/>
      </c>
      <c r="D1341">
        <f>IF(OR(Registro_Compras!$C$152="",Registro_Compras!$O$152=""),"","Cargas Imputables a Cuentas de Costos y Gastos")</f>
        <v/>
      </c>
      <c r="E1341" s="20">
        <f>IF($C1341="","",IF(Registro_Compras!$F$152="NOTA DE CREDITO",ROUND(ABS(Registro_Compras!$J$152*Registro_Compras!$N$152),2),""))</f>
        <v/>
      </c>
      <c r="F1341" s="20">
        <f>IF($C1341="","",IF(Registro_Compras!$F$152="NOTA DE CREDITO","",IF(Registro_Compras!$F$152="RHE",ROUND(Registro_Compras!$L$152*Registro_Compras!$N$152,2),ROUND(Registro_Compras!$J$152*Registro_Compras!$N$152,2))))</f>
        <v/>
      </c>
      <c r="G1341">
        <f>IF($C1341="","","Por el destino del gasto")</f>
        <v/>
      </c>
      <c r="H1341">
        <f>IF($C1341="","",Registro_Compras!$C$152)</f>
        <v/>
      </c>
    </row>
    <row r="1342">
      <c r="A1342" s="25">
        <f>IF($C1342="","",Registro_Compras!$X$152)</f>
        <v/>
      </c>
      <c r="B1342">
        <f>IF($C1342="","","C"&amp;TEXT(INT((ROW()-5)/9)+1,"000")&amp;"-3")</f>
        <v/>
      </c>
      <c r="C1342">
        <f>IF(OR(Registro_Compras!$C$152="",Registro_Compras!$O$152="",Registro_Compras!$R$152&lt;&gt;"SI",Registro_Compras!$X$152=""),"","4212")</f>
        <v/>
      </c>
      <c r="D1342">
        <f>IF(OR(Registro_Compras!$C$152="",Registro_Compras!$O$152=""),"","Cuentas por Pagar Comerciales - Terceros")</f>
        <v/>
      </c>
      <c r="E1342" s="20">
        <f>IF($C1342="","",Registro_Compras!$S$152)</f>
        <v/>
      </c>
      <c r="F1342" s="20">
        <f>""</f>
        <v/>
      </c>
      <c r="G1342">
        <f>IF($C1342="","","Por el deposito de la detraccion en el Banco de la Nacion")</f>
        <v/>
      </c>
      <c r="H1342">
        <f>IF($C1342="","",Registro_Compras!$C$152)</f>
        <v/>
      </c>
    </row>
    <row r="1343">
      <c r="A1343" s="25">
        <f>IF($C1343="","",Registro_Compras!$X$152)</f>
        <v/>
      </c>
      <c r="B1343">
        <f>IF($C1343="","","C"&amp;TEXT(INT((ROW()-5)/9)+1,"000")&amp;"-3")</f>
        <v/>
      </c>
      <c r="C1343">
        <f>IF(OR(Registro_Compras!$C$152="",Registro_Compras!$O$152="",Registro_Compras!$R$152&lt;&gt;"SI",Registro_Compras!$X$152=""),"","10413")</f>
        <v/>
      </c>
      <c r="D1343">
        <f>IF(OR(Registro_Compras!$C$152="",Registro_Compras!$O$152=""),"","Efectivo y Equivalentes - Cta. Cte. Operativa")</f>
        <v/>
      </c>
      <c r="E1343" s="20">
        <f>""</f>
        <v/>
      </c>
      <c r="F1343" s="20">
        <f>IF($C1343="","",Registro_Compras!$S$152)</f>
        <v/>
      </c>
      <c r="G1343">
        <f>IF($C1343="","","Por el deposito de la detraccion en el Banco de la Nacion")</f>
        <v/>
      </c>
      <c r="H1343">
        <f>IF($C1343="","",Registro_Compras!$C$152)</f>
        <v/>
      </c>
    </row>
    <row r="1344">
      <c r="A1344" s="25">
        <f>IF($C1344="","",Registro_Compras!$Y$152)</f>
        <v/>
      </c>
      <c r="B1344">
        <f>IF($C1344="","","C"&amp;TEXT(INT((ROW()-5)/9)+1,"000")&amp;"-4")</f>
        <v/>
      </c>
      <c r="C1344">
        <f>IF(OR(Registro_Compras!$C$152="",Registro_Compras!$O$152="",Registro_Compras!$Y$152="",Registro_Compras!$F$152="NOTA DE CREDITO"),"","4212")</f>
        <v/>
      </c>
      <c r="D1344">
        <f>IF(OR(Registro_Compras!$C$152="",Registro_Compras!$O$152=""),"","Cuentas por Pagar Comerciales - Terceros")</f>
        <v/>
      </c>
      <c r="E1344" s="20">
        <f>IF($C1344="","",IF(Registro_Compras!$F$152="RHE",(ROUND(Registro_Compras!$L$152*Registro_Compras!$N$152,2)-ROUND(Registro_Compras!$V$152*Registro_Compras!$N$152,2)),ROUND(Registro_Compras!$O$152-Registro_Compras!$S$152,2)))</f>
        <v/>
      </c>
      <c r="F1344" s="20">
        <f>""</f>
        <v/>
      </c>
      <c r="G1344">
        <f>IF($C1344="","","Por la cancelacion del saldo al proveedor")</f>
        <v/>
      </c>
      <c r="H1344">
        <f>IF($C1344="","",Registro_Compras!$C$152)</f>
        <v/>
      </c>
    </row>
    <row r="1345">
      <c r="A1345" s="25">
        <f>IF($C1345="","",Registro_Compras!$Y$152)</f>
        <v/>
      </c>
      <c r="B1345">
        <f>IF($C1345="","","C"&amp;TEXT(INT((ROW()-5)/9)+1,"000")&amp;"-4")</f>
        <v/>
      </c>
      <c r="C1345">
        <f>IF(OR(Registro_Compras!$C$152="",Registro_Compras!$O$152="",Registro_Compras!$Y$152="",Registro_Compras!$F$152="NOTA DE CREDITO"),"","10413")</f>
        <v/>
      </c>
      <c r="D1345">
        <f>IF(OR(Registro_Compras!$C$152="",Registro_Compras!$O$152=""),"","Efectivo y Equivalentes - Cta. Cte. Operativa")</f>
        <v/>
      </c>
      <c r="E1345" s="20">
        <f>""</f>
        <v/>
      </c>
      <c r="F1345" s="20">
        <f>IF($C1345="","",IF(Registro_Compras!$F$152="RHE",(ROUND(Registro_Compras!$L$152*Registro_Compras!$N$152,2)-ROUND(Registro_Compras!$V$152*Registro_Compras!$N$152,2)),ROUND(Registro_Compras!$O$152-Registro_Compras!$S$152,2)))</f>
        <v/>
      </c>
      <c r="G1345">
        <f>IF($C1345="","","Por la cancelacion del saldo al proveedor")</f>
        <v/>
      </c>
      <c r="H1345">
        <f>IF($C1345="","",Registro_Compras!$C$152)</f>
        <v/>
      </c>
    </row>
    <row r="1346">
      <c r="A1346" s="25">
        <f>IF($C1346="","",Registro_Compras!$B$153)</f>
        <v/>
      </c>
      <c r="B1346">
        <f>IF($C1346="","","C"&amp;TEXT(INT((ROW()-5)/9)+1,"000")&amp;"-1")</f>
        <v/>
      </c>
      <c r="C1346">
        <f>IF(OR(Registro_Compras!$C$153="",Registro_Compras!$O$153=""),"",IF(Registro_Compras!$F$153="NOTA DE CREDITO","4212",IF(Registro_Compras!$M$153="","63",Registro_Compras!$M$153)))</f>
        <v/>
      </c>
      <c r="D1346">
        <f>IF(OR(Registro_Compras!$C$153="",Registro_Compras!$O$153=""),"",IF(Registro_Compras!$F$153="NOTA DE CREDITO","Cuentas por Pagar Comerciales - Terceros (Emitidas)",IF(Registro_Compras!$F$153="RHE","Honorarios Profesionales - Servicios de Terceros","Gastos de Servicios Prestados por Terceros")))</f>
        <v/>
      </c>
      <c r="E1346" s="20">
        <f>IF($C1346="","",IF(Registro_Compras!$F$153="NOTA DE CREDITO",ABS(Registro_Compras!$O$153),IF(Registro_Compras!$F$153="RHE",ROUND(Registro_Compras!$L$153*Registro_Compras!$N$153,2),ROUND(Registro_Compras!$J$153*Registro_Compras!$N$153,2))))</f>
        <v/>
      </c>
      <c r="F1346" s="20">
        <f>""</f>
        <v/>
      </c>
      <c r="G1346">
        <f>IF($C1346="","",IF(Registro_Compras!$F$153="NOTA DE CREDITO","Por la nota de credito "&amp;Registro_Compras!$C$153&amp;" de "&amp;Registro_Compras!$E$153&amp;" [PATRON POR CONFIRMAR CON CONTADOR]",IF(Registro_Compras!$F$153="RHE","Por el registro del recibo por honorarios "&amp;Registro_Compras!$C$153&amp;" de "&amp;Registro_Compras!$E$153&amp;" [PATRON POR CONFIRMAR CON CONTADOR]","Por el registro de la factura "&amp;Registro_Compras!$C$153&amp;" de "&amp;Registro_Compras!$E$153)))</f>
        <v/>
      </c>
      <c r="H1346">
        <f>IF($C1346="","",Registro_Compras!$C$153)</f>
        <v/>
      </c>
    </row>
    <row r="1347">
      <c r="A1347" s="25">
        <f>IF($C1347="","",Registro_Compras!$B$153)</f>
        <v/>
      </c>
      <c r="B1347">
        <f>IF($C1347="","","C"&amp;TEXT(INT((ROW()-5)/9)+1,"000")&amp;"-1")</f>
        <v/>
      </c>
      <c r="C1347">
        <f>IF(OR(Registro_Compras!$C$153="",Registro_Compras!$O$153=""),"",IF(Registro_Compras!$F$153="RHE",IF(Registro_Compras!$V$153=0,"","40172"),IF(Registro_Compras!$F$153="NOTA DE CREDITO",IF(Registro_Compras!$M$153="","63",Registro_Compras!$M$153),IF(Registro_Compras!$K$153=0,"","40111"))))</f>
        <v/>
      </c>
      <c r="D1347">
        <f>IF(OR(Registro_Compras!$C$153="",Registro_Compras!$O$153=""),"",IF(Registro_Compras!$F$153="RHE","Retencion Renta 4ta Categoria por Pagar",IF(Registro_Compras!$F$153="NOTA DE CREDITO","Gastos de Servicios Prestados por Terceros","IGV - Cuenta Propia (Credito Fiscal)")))</f>
        <v/>
      </c>
      <c r="E1347" s="20">
        <f>IF($C1347="","",IF(Registro_Compras!$F$153="FACTURA",ROUND(Registro_Compras!$K$153*Registro_Compras!$N$153,2),""))</f>
        <v/>
      </c>
      <c r="F1347" s="20">
        <f>IF($C1347="","",IF(Registro_Compras!$F$153="RHE",ROUND(Registro_Compras!$V$153*Registro_Compras!$N$153,2),IF(Registro_Compras!$F$153="NOTA DE CREDITO",ROUND(ABS(Registro_Compras!$J$153*Registro_Compras!$N$153),2),"")))</f>
        <v/>
      </c>
      <c r="G1347">
        <f>IF($C1347="","",IF(Registro_Compras!$F$153="NOTA DE CREDITO","Por la nota de credito "&amp;Registro_Compras!$C$153&amp;" de "&amp;Registro_Compras!$E$153&amp;" [PATRON POR CONFIRMAR CON CONTADOR]",IF(Registro_Compras!$F$153="RHE","Por el registro del recibo por honorarios "&amp;Registro_Compras!$C$153&amp;" de "&amp;Registro_Compras!$E$153&amp;" [PATRON POR CONFIRMAR CON CONTADOR]","Por el registro de la factura "&amp;Registro_Compras!$C$153&amp;" de "&amp;Registro_Compras!$E$153)))</f>
        <v/>
      </c>
      <c r="H1347">
        <f>IF($C1347="","",Registro_Compras!$C$153)</f>
        <v/>
      </c>
    </row>
    <row r="1348">
      <c r="A1348" s="25">
        <f>IF($C1348="","",Registro_Compras!$B$153)</f>
        <v/>
      </c>
      <c r="B1348">
        <f>IF($C1348="","","C"&amp;TEXT(INT((ROW()-5)/9)+1,"000")&amp;"-1")</f>
        <v/>
      </c>
      <c r="C1348">
        <f>IF(OR(Registro_Compras!$C$153="",Registro_Compras!$O$153=""),"",IF(Registro_Compras!$F$153="NOTA DE CREDITO",IF(Registro_Compras!$K$153=0,"","40111"),"4212"))</f>
        <v/>
      </c>
      <c r="D1348">
        <f>IF(OR(Registro_Compras!$C$153="",Registro_Compras!$O$153=""),"",IF(Registro_Compras!$F$153="NOTA DE CREDITO","IGV - Cuenta Propia (Credito Fiscal)","Cuentas por Pagar Comerciales - Terceros (Emitidas)"))</f>
        <v/>
      </c>
      <c r="E1348" s="20">
        <f>""</f>
        <v/>
      </c>
      <c r="F1348" s="20">
        <f>IF($C1348="","",IF(Registro_Compras!$F$153="NOTA DE CREDITO",ROUND(ABS(Registro_Compras!$K$153*Registro_Compras!$N$153),2),IF(Registro_Compras!$F$153="RHE",(ROUND(Registro_Compras!$L$153*Registro_Compras!$N$153,2)-ROUND(Registro_Compras!$V$153*Registro_Compras!$N$153,2)),Registro_Compras!$O$153)))</f>
        <v/>
      </c>
      <c r="G1348">
        <f>IF($C1348="","",IF(Registro_Compras!$F$153="NOTA DE CREDITO","Por la nota de credito "&amp;Registro_Compras!$C$153&amp;" de "&amp;Registro_Compras!$E$153&amp;" [PATRON POR CONFIRMAR CON CONTADOR]",IF(Registro_Compras!$F$153="RHE","Por el registro del recibo por honorarios "&amp;Registro_Compras!$C$153&amp;" de "&amp;Registro_Compras!$E$153&amp;" [PATRON POR CONFIRMAR CON CONTADOR]","Por el registro de la factura "&amp;Registro_Compras!$C$153&amp;" de "&amp;Registro_Compras!$E$153)))</f>
        <v/>
      </c>
      <c r="H1348">
        <f>IF($C1348="","",Registro_Compras!$C$153)</f>
        <v/>
      </c>
    </row>
    <row r="1349">
      <c r="A1349" s="25">
        <f>IF($C1349="","",Registro_Compras!$B$153)</f>
        <v/>
      </c>
      <c r="B1349">
        <f>IF($C1349="","","C"&amp;TEXT(INT((ROW()-5)/9)+1,"000")&amp;"-2")</f>
        <v/>
      </c>
      <c r="C1349">
        <f>IF(OR(Registro_Compras!$C$153="",Registro_Compras!$O$153=""),"",IF(Registro_Compras!$AB$153="ADMINISTRATIVO","94","95"))</f>
        <v/>
      </c>
      <c r="D1349">
        <f>IF(OR(Registro_Compras!$C$153="",Registro_Compras!$O$153=""),"",IF(Registro_Compras!$AB$153="ADMINISTRATIVO","Gastos Administrativos","Gastos de Venta y Operacion"))</f>
        <v/>
      </c>
      <c r="E1349" s="20">
        <f>IF($C1349="","",IF(Registro_Compras!$F$153="NOTA DE CREDITO","",IF(Registro_Compras!$F$153="RHE",ROUND(Registro_Compras!$L$153*Registro_Compras!$N$153,2),ROUND(Registro_Compras!$J$153*Registro_Compras!$N$153,2))))</f>
        <v/>
      </c>
      <c r="F1349" s="20">
        <f>IF($C1349="","",IF(Registro_Compras!$F$153="NOTA DE CREDITO",ROUND(ABS(Registro_Compras!$J$153*Registro_Compras!$N$153),2),""))</f>
        <v/>
      </c>
      <c r="G1349">
        <f>IF($C1349="","","Por el destino del gasto")</f>
        <v/>
      </c>
      <c r="H1349">
        <f>IF($C1349="","",Registro_Compras!$C$153)</f>
        <v/>
      </c>
    </row>
    <row r="1350">
      <c r="A1350" s="25">
        <f>IF($C1350="","",Registro_Compras!$B$153)</f>
        <v/>
      </c>
      <c r="B1350">
        <f>IF($C1350="","","C"&amp;TEXT(INT((ROW()-5)/9)+1,"000")&amp;"-2")</f>
        <v/>
      </c>
      <c r="C1350">
        <f>IF(OR(Registro_Compras!$C$153="",Registro_Compras!$O$153=""),"","79/791")</f>
        <v/>
      </c>
      <c r="D1350">
        <f>IF(OR(Registro_Compras!$C$153="",Registro_Compras!$O$153=""),"","Cargas Imputables a Cuentas de Costos y Gastos")</f>
        <v/>
      </c>
      <c r="E1350" s="20">
        <f>IF($C1350="","",IF(Registro_Compras!$F$153="NOTA DE CREDITO",ROUND(ABS(Registro_Compras!$J$153*Registro_Compras!$N$153),2),""))</f>
        <v/>
      </c>
      <c r="F1350" s="20">
        <f>IF($C1350="","",IF(Registro_Compras!$F$153="NOTA DE CREDITO","",IF(Registro_Compras!$F$153="RHE",ROUND(Registro_Compras!$L$153*Registro_Compras!$N$153,2),ROUND(Registro_Compras!$J$153*Registro_Compras!$N$153,2))))</f>
        <v/>
      </c>
      <c r="G1350">
        <f>IF($C1350="","","Por el destino del gasto")</f>
        <v/>
      </c>
      <c r="H1350">
        <f>IF($C1350="","",Registro_Compras!$C$153)</f>
        <v/>
      </c>
    </row>
    <row r="1351">
      <c r="A1351" s="25">
        <f>IF($C1351="","",Registro_Compras!$X$153)</f>
        <v/>
      </c>
      <c r="B1351">
        <f>IF($C1351="","","C"&amp;TEXT(INT((ROW()-5)/9)+1,"000")&amp;"-3")</f>
        <v/>
      </c>
      <c r="C1351">
        <f>IF(OR(Registro_Compras!$C$153="",Registro_Compras!$O$153="",Registro_Compras!$R$153&lt;&gt;"SI",Registro_Compras!$X$153=""),"","4212")</f>
        <v/>
      </c>
      <c r="D1351">
        <f>IF(OR(Registro_Compras!$C$153="",Registro_Compras!$O$153=""),"","Cuentas por Pagar Comerciales - Terceros")</f>
        <v/>
      </c>
      <c r="E1351" s="20">
        <f>IF($C1351="","",Registro_Compras!$S$153)</f>
        <v/>
      </c>
      <c r="F1351" s="20">
        <f>""</f>
        <v/>
      </c>
      <c r="G1351">
        <f>IF($C1351="","","Por el deposito de la detraccion en el Banco de la Nacion")</f>
        <v/>
      </c>
      <c r="H1351">
        <f>IF($C1351="","",Registro_Compras!$C$153)</f>
        <v/>
      </c>
    </row>
    <row r="1352">
      <c r="A1352" s="25">
        <f>IF($C1352="","",Registro_Compras!$X$153)</f>
        <v/>
      </c>
      <c r="B1352">
        <f>IF($C1352="","","C"&amp;TEXT(INT((ROW()-5)/9)+1,"000")&amp;"-3")</f>
        <v/>
      </c>
      <c r="C1352">
        <f>IF(OR(Registro_Compras!$C$153="",Registro_Compras!$O$153="",Registro_Compras!$R$153&lt;&gt;"SI",Registro_Compras!$X$153=""),"","10413")</f>
        <v/>
      </c>
      <c r="D1352">
        <f>IF(OR(Registro_Compras!$C$153="",Registro_Compras!$O$153=""),"","Efectivo y Equivalentes - Cta. Cte. Operativa")</f>
        <v/>
      </c>
      <c r="E1352" s="20">
        <f>""</f>
        <v/>
      </c>
      <c r="F1352" s="20">
        <f>IF($C1352="","",Registro_Compras!$S$153)</f>
        <v/>
      </c>
      <c r="G1352">
        <f>IF($C1352="","","Por el deposito de la detraccion en el Banco de la Nacion")</f>
        <v/>
      </c>
      <c r="H1352">
        <f>IF($C1352="","",Registro_Compras!$C$153)</f>
        <v/>
      </c>
    </row>
    <row r="1353">
      <c r="A1353" s="25">
        <f>IF($C1353="","",Registro_Compras!$Y$153)</f>
        <v/>
      </c>
      <c r="B1353">
        <f>IF($C1353="","","C"&amp;TEXT(INT((ROW()-5)/9)+1,"000")&amp;"-4")</f>
        <v/>
      </c>
      <c r="C1353">
        <f>IF(OR(Registro_Compras!$C$153="",Registro_Compras!$O$153="",Registro_Compras!$Y$153="",Registro_Compras!$F$153="NOTA DE CREDITO"),"","4212")</f>
        <v/>
      </c>
      <c r="D1353">
        <f>IF(OR(Registro_Compras!$C$153="",Registro_Compras!$O$153=""),"","Cuentas por Pagar Comerciales - Terceros")</f>
        <v/>
      </c>
      <c r="E1353" s="20">
        <f>IF($C1353="","",IF(Registro_Compras!$F$153="RHE",(ROUND(Registro_Compras!$L$153*Registro_Compras!$N$153,2)-ROUND(Registro_Compras!$V$153*Registro_Compras!$N$153,2)),ROUND(Registro_Compras!$O$153-Registro_Compras!$S$153,2)))</f>
        <v/>
      </c>
      <c r="F1353" s="20">
        <f>""</f>
        <v/>
      </c>
      <c r="G1353">
        <f>IF($C1353="","","Por la cancelacion del saldo al proveedor")</f>
        <v/>
      </c>
      <c r="H1353">
        <f>IF($C1353="","",Registro_Compras!$C$153)</f>
        <v/>
      </c>
    </row>
    <row r="1354">
      <c r="A1354" s="25">
        <f>IF($C1354="","",Registro_Compras!$Y$153)</f>
        <v/>
      </c>
      <c r="B1354">
        <f>IF($C1354="","","C"&amp;TEXT(INT((ROW()-5)/9)+1,"000")&amp;"-4")</f>
        <v/>
      </c>
      <c r="C1354">
        <f>IF(OR(Registro_Compras!$C$153="",Registro_Compras!$O$153="",Registro_Compras!$Y$153="",Registro_Compras!$F$153="NOTA DE CREDITO"),"","10413")</f>
        <v/>
      </c>
      <c r="D1354">
        <f>IF(OR(Registro_Compras!$C$153="",Registro_Compras!$O$153=""),"","Efectivo y Equivalentes - Cta. Cte. Operativa")</f>
        <v/>
      </c>
      <c r="E1354" s="20">
        <f>""</f>
        <v/>
      </c>
      <c r="F1354" s="20">
        <f>IF($C1354="","",IF(Registro_Compras!$F$153="RHE",(ROUND(Registro_Compras!$L$153*Registro_Compras!$N$153,2)-ROUND(Registro_Compras!$V$153*Registro_Compras!$N$153,2)),ROUND(Registro_Compras!$O$153-Registro_Compras!$S$153,2)))</f>
        <v/>
      </c>
      <c r="G1354">
        <f>IF($C1354="","","Por la cancelacion del saldo al proveedor")</f>
        <v/>
      </c>
      <c r="H1354">
        <f>IF($C1354="","",Registro_Compras!$C$153)</f>
        <v/>
      </c>
    </row>
    <row r="1355">
      <c r="A1355" s="25">
        <f>IF($C1355="","",Registro_Compras!$B$154)</f>
        <v/>
      </c>
      <c r="B1355">
        <f>IF($C1355="","","C"&amp;TEXT(INT((ROW()-5)/9)+1,"000")&amp;"-1")</f>
        <v/>
      </c>
      <c r="C1355">
        <f>IF(OR(Registro_Compras!$C$154="",Registro_Compras!$O$154=""),"",IF(Registro_Compras!$F$154="NOTA DE CREDITO","4212",IF(Registro_Compras!$M$154="","63",Registro_Compras!$M$154)))</f>
        <v/>
      </c>
      <c r="D1355">
        <f>IF(OR(Registro_Compras!$C$154="",Registro_Compras!$O$154=""),"",IF(Registro_Compras!$F$154="NOTA DE CREDITO","Cuentas por Pagar Comerciales - Terceros (Emitidas)",IF(Registro_Compras!$F$154="RHE","Honorarios Profesionales - Servicios de Terceros","Gastos de Servicios Prestados por Terceros")))</f>
        <v/>
      </c>
      <c r="E1355" s="20">
        <f>IF($C1355="","",IF(Registro_Compras!$F$154="NOTA DE CREDITO",ABS(Registro_Compras!$O$154),IF(Registro_Compras!$F$154="RHE",ROUND(Registro_Compras!$L$154*Registro_Compras!$N$154,2),ROUND(Registro_Compras!$J$154*Registro_Compras!$N$154,2))))</f>
        <v/>
      </c>
      <c r="F1355" s="20">
        <f>""</f>
        <v/>
      </c>
      <c r="G1355">
        <f>IF($C1355="","",IF(Registro_Compras!$F$154="NOTA DE CREDITO","Por la nota de credito "&amp;Registro_Compras!$C$154&amp;" de "&amp;Registro_Compras!$E$154&amp;" [PATRON POR CONFIRMAR CON CONTADOR]",IF(Registro_Compras!$F$154="RHE","Por el registro del recibo por honorarios "&amp;Registro_Compras!$C$154&amp;" de "&amp;Registro_Compras!$E$154&amp;" [PATRON POR CONFIRMAR CON CONTADOR]","Por el registro de la factura "&amp;Registro_Compras!$C$154&amp;" de "&amp;Registro_Compras!$E$154)))</f>
        <v/>
      </c>
      <c r="H1355">
        <f>IF($C1355="","",Registro_Compras!$C$154)</f>
        <v/>
      </c>
    </row>
    <row r="1356">
      <c r="A1356" s="25">
        <f>IF($C1356="","",Registro_Compras!$B$154)</f>
        <v/>
      </c>
      <c r="B1356">
        <f>IF($C1356="","","C"&amp;TEXT(INT((ROW()-5)/9)+1,"000")&amp;"-1")</f>
        <v/>
      </c>
      <c r="C1356">
        <f>IF(OR(Registro_Compras!$C$154="",Registro_Compras!$O$154=""),"",IF(Registro_Compras!$F$154="RHE",IF(Registro_Compras!$V$154=0,"","40172"),IF(Registro_Compras!$F$154="NOTA DE CREDITO",IF(Registro_Compras!$M$154="","63",Registro_Compras!$M$154),IF(Registro_Compras!$K$154=0,"","40111"))))</f>
        <v/>
      </c>
      <c r="D1356">
        <f>IF(OR(Registro_Compras!$C$154="",Registro_Compras!$O$154=""),"",IF(Registro_Compras!$F$154="RHE","Retencion Renta 4ta Categoria por Pagar",IF(Registro_Compras!$F$154="NOTA DE CREDITO","Gastos de Servicios Prestados por Terceros","IGV - Cuenta Propia (Credito Fiscal)")))</f>
        <v/>
      </c>
      <c r="E1356" s="20">
        <f>IF($C1356="","",IF(Registro_Compras!$F$154="FACTURA",ROUND(Registro_Compras!$K$154*Registro_Compras!$N$154,2),""))</f>
        <v/>
      </c>
      <c r="F1356" s="20">
        <f>IF($C1356="","",IF(Registro_Compras!$F$154="RHE",ROUND(Registro_Compras!$V$154*Registro_Compras!$N$154,2),IF(Registro_Compras!$F$154="NOTA DE CREDITO",ROUND(ABS(Registro_Compras!$J$154*Registro_Compras!$N$154),2),"")))</f>
        <v/>
      </c>
      <c r="G1356">
        <f>IF($C1356="","",IF(Registro_Compras!$F$154="NOTA DE CREDITO","Por la nota de credito "&amp;Registro_Compras!$C$154&amp;" de "&amp;Registro_Compras!$E$154&amp;" [PATRON POR CONFIRMAR CON CONTADOR]",IF(Registro_Compras!$F$154="RHE","Por el registro del recibo por honorarios "&amp;Registro_Compras!$C$154&amp;" de "&amp;Registro_Compras!$E$154&amp;" [PATRON POR CONFIRMAR CON CONTADOR]","Por el registro de la factura "&amp;Registro_Compras!$C$154&amp;" de "&amp;Registro_Compras!$E$154)))</f>
        <v/>
      </c>
      <c r="H1356">
        <f>IF($C1356="","",Registro_Compras!$C$154)</f>
        <v/>
      </c>
    </row>
    <row r="1357">
      <c r="A1357" s="25">
        <f>IF($C1357="","",Registro_Compras!$B$154)</f>
        <v/>
      </c>
      <c r="B1357">
        <f>IF($C1357="","","C"&amp;TEXT(INT((ROW()-5)/9)+1,"000")&amp;"-1")</f>
        <v/>
      </c>
      <c r="C1357">
        <f>IF(OR(Registro_Compras!$C$154="",Registro_Compras!$O$154=""),"",IF(Registro_Compras!$F$154="NOTA DE CREDITO",IF(Registro_Compras!$K$154=0,"","40111"),"4212"))</f>
        <v/>
      </c>
      <c r="D1357">
        <f>IF(OR(Registro_Compras!$C$154="",Registro_Compras!$O$154=""),"",IF(Registro_Compras!$F$154="NOTA DE CREDITO","IGV - Cuenta Propia (Credito Fiscal)","Cuentas por Pagar Comerciales - Terceros (Emitidas)"))</f>
        <v/>
      </c>
      <c r="E1357" s="20">
        <f>""</f>
        <v/>
      </c>
      <c r="F1357" s="20">
        <f>IF($C1357="","",IF(Registro_Compras!$F$154="NOTA DE CREDITO",ROUND(ABS(Registro_Compras!$K$154*Registro_Compras!$N$154),2),IF(Registro_Compras!$F$154="RHE",(ROUND(Registro_Compras!$L$154*Registro_Compras!$N$154,2)-ROUND(Registro_Compras!$V$154*Registro_Compras!$N$154,2)),Registro_Compras!$O$154)))</f>
        <v/>
      </c>
      <c r="G1357">
        <f>IF($C1357="","",IF(Registro_Compras!$F$154="NOTA DE CREDITO","Por la nota de credito "&amp;Registro_Compras!$C$154&amp;" de "&amp;Registro_Compras!$E$154&amp;" [PATRON POR CONFIRMAR CON CONTADOR]",IF(Registro_Compras!$F$154="RHE","Por el registro del recibo por honorarios "&amp;Registro_Compras!$C$154&amp;" de "&amp;Registro_Compras!$E$154&amp;" [PATRON POR CONFIRMAR CON CONTADOR]","Por el registro de la factura "&amp;Registro_Compras!$C$154&amp;" de "&amp;Registro_Compras!$E$154)))</f>
        <v/>
      </c>
      <c r="H1357">
        <f>IF($C1357="","",Registro_Compras!$C$154)</f>
        <v/>
      </c>
    </row>
    <row r="1358">
      <c r="A1358" s="25">
        <f>IF($C1358="","",Registro_Compras!$B$154)</f>
        <v/>
      </c>
      <c r="B1358">
        <f>IF($C1358="","","C"&amp;TEXT(INT((ROW()-5)/9)+1,"000")&amp;"-2")</f>
        <v/>
      </c>
      <c r="C1358">
        <f>IF(OR(Registro_Compras!$C$154="",Registro_Compras!$O$154=""),"",IF(Registro_Compras!$AB$154="ADMINISTRATIVO","94","95"))</f>
        <v/>
      </c>
      <c r="D1358">
        <f>IF(OR(Registro_Compras!$C$154="",Registro_Compras!$O$154=""),"",IF(Registro_Compras!$AB$154="ADMINISTRATIVO","Gastos Administrativos","Gastos de Venta y Operacion"))</f>
        <v/>
      </c>
      <c r="E1358" s="20">
        <f>IF($C1358="","",IF(Registro_Compras!$F$154="NOTA DE CREDITO","",IF(Registro_Compras!$F$154="RHE",ROUND(Registro_Compras!$L$154*Registro_Compras!$N$154,2),ROUND(Registro_Compras!$J$154*Registro_Compras!$N$154,2))))</f>
        <v/>
      </c>
      <c r="F1358" s="20">
        <f>IF($C1358="","",IF(Registro_Compras!$F$154="NOTA DE CREDITO",ROUND(ABS(Registro_Compras!$J$154*Registro_Compras!$N$154),2),""))</f>
        <v/>
      </c>
      <c r="G1358">
        <f>IF($C1358="","","Por el destino del gasto")</f>
        <v/>
      </c>
      <c r="H1358">
        <f>IF($C1358="","",Registro_Compras!$C$154)</f>
        <v/>
      </c>
    </row>
    <row r="1359">
      <c r="A1359" s="25">
        <f>IF($C1359="","",Registro_Compras!$B$154)</f>
        <v/>
      </c>
      <c r="B1359">
        <f>IF($C1359="","","C"&amp;TEXT(INT((ROW()-5)/9)+1,"000")&amp;"-2")</f>
        <v/>
      </c>
      <c r="C1359">
        <f>IF(OR(Registro_Compras!$C$154="",Registro_Compras!$O$154=""),"","79/791")</f>
        <v/>
      </c>
      <c r="D1359">
        <f>IF(OR(Registro_Compras!$C$154="",Registro_Compras!$O$154=""),"","Cargas Imputables a Cuentas de Costos y Gastos")</f>
        <v/>
      </c>
      <c r="E1359" s="20">
        <f>IF($C1359="","",IF(Registro_Compras!$F$154="NOTA DE CREDITO",ROUND(ABS(Registro_Compras!$J$154*Registro_Compras!$N$154),2),""))</f>
        <v/>
      </c>
      <c r="F1359" s="20">
        <f>IF($C1359="","",IF(Registro_Compras!$F$154="NOTA DE CREDITO","",IF(Registro_Compras!$F$154="RHE",ROUND(Registro_Compras!$L$154*Registro_Compras!$N$154,2),ROUND(Registro_Compras!$J$154*Registro_Compras!$N$154,2))))</f>
        <v/>
      </c>
      <c r="G1359">
        <f>IF($C1359="","","Por el destino del gasto")</f>
        <v/>
      </c>
      <c r="H1359">
        <f>IF($C1359="","",Registro_Compras!$C$154)</f>
        <v/>
      </c>
    </row>
    <row r="1360">
      <c r="A1360" s="25">
        <f>IF($C1360="","",Registro_Compras!$X$154)</f>
        <v/>
      </c>
      <c r="B1360">
        <f>IF($C1360="","","C"&amp;TEXT(INT((ROW()-5)/9)+1,"000")&amp;"-3")</f>
        <v/>
      </c>
      <c r="C1360">
        <f>IF(OR(Registro_Compras!$C$154="",Registro_Compras!$O$154="",Registro_Compras!$R$154&lt;&gt;"SI",Registro_Compras!$X$154=""),"","4212")</f>
        <v/>
      </c>
      <c r="D1360">
        <f>IF(OR(Registro_Compras!$C$154="",Registro_Compras!$O$154=""),"","Cuentas por Pagar Comerciales - Terceros")</f>
        <v/>
      </c>
      <c r="E1360" s="20">
        <f>IF($C1360="","",Registro_Compras!$S$154)</f>
        <v/>
      </c>
      <c r="F1360" s="20">
        <f>""</f>
        <v/>
      </c>
      <c r="G1360">
        <f>IF($C1360="","","Por el deposito de la detraccion en el Banco de la Nacion")</f>
        <v/>
      </c>
      <c r="H1360">
        <f>IF($C1360="","",Registro_Compras!$C$154)</f>
        <v/>
      </c>
    </row>
    <row r="1361">
      <c r="A1361" s="25">
        <f>IF($C1361="","",Registro_Compras!$X$154)</f>
        <v/>
      </c>
      <c r="B1361">
        <f>IF($C1361="","","C"&amp;TEXT(INT((ROW()-5)/9)+1,"000")&amp;"-3")</f>
        <v/>
      </c>
      <c r="C1361">
        <f>IF(OR(Registro_Compras!$C$154="",Registro_Compras!$O$154="",Registro_Compras!$R$154&lt;&gt;"SI",Registro_Compras!$X$154=""),"","10413")</f>
        <v/>
      </c>
      <c r="D1361">
        <f>IF(OR(Registro_Compras!$C$154="",Registro_Compras!$O$154=""),"","Efectivo y Equivalentes - Cta. Cte. Operativa")</f>
        <v/>
      </c>
      <c r="E1361" s="20">
        <f>""</f>
        <v/>
      </c>
      <c r="F1361" s="20">
        <f>IF($C1361="","",Registro_Compras!$S$154)</f>
        <v/>
      </c>
      <c r="G1361">
        <f>IF($C1361="","","Por el deposito de la detraccion en el Banco de la Nacion")</f>
        <v/>
      </c>
      <c r="H1361">
        <f>IF($C1361="","",Registro_Compras!$C$154)</f>
        <v/>
      </c>
    </row>
    <row r="1362">
      <c r="A1362" s="25">
        <f>IF($C1362="","",Registro_Compras!$Y$154)</f>
        <v/>
      </c>
      <c r="B1362">
        <f>IF($C1362="","","C"&amp;TEXT(INT((ROW()-5)/9)+1,"000")&amp;"-4")</f>
        <v/>
      </c>
      <c r="C1362">
        <f>IF(OR(Registro_Compras!$C$154="",Registro_Compras!$O$154="",Registro_Compras!$Y$154="",Registro_Compras!$F$154="NOTA DE CREDITO"),"","4212")</f>
        <v/>
      </c>
      <c r="D1362">
        <f>IF(OR(Registro_Compras!$C$154="",Registro_Compras!$O$154=""),"","Cuentas por Pagar Comerciales - Terceros")</f>
        <v/>
      </c>
      <c r="E1362" s="20">
        <f>IF($C1362="","",IF(Registro_Compras!$F$154="RHE",(ROUND(Registro_Compras!$L$154*Registro_Compras!$N$154,2)-ROUND(Registro_Compras!$V$154*Registro_Compras!$N$154,2)),ROUND(Registro_Compras!$O$154-Registro_Compras!$S$154,2)))</f>
        <v/>
      </c>
      <c r="F1362" s="20">
        <f>""</f>
        <v/>
      </c>
      <c r="G1362">
        <f>IF($C1362="","","Por la cancelacion del saldo al proveedor")</f>
        <v/>
      </c>
      <c r="H1362">
        <f>IF($C1362="","",Registro_Compras!$C$154)</f>
        <v/>
      </c>
    </row>
    <row r="1363">
      <c r="A1363" s="25">
        <f>IF($C1363="","",Registro_Compras!$Y$154)</f>
        <v/>
      </c>
      <c r="B1363">
        <f>IF($C1363="","","C"&amp;TEXT(INT((ROW()-5)/9)+1,"000")&amp;"-4")</f>
        <v/>
      </c>
      <c r="C1363">
        <f>IF(OR(Registro_Compras!$C$154="",Registro_Compras!$O$154="",Registro_Compras!$Y$154="",Registro_Compras!$F$154="NOTA DE CREDITO"),"","10413")</f>
        <v/>
      </c>
      <c r="D1363">
        <f>IF(OR(Registro_Compras!$C$154="",Registro_Compras!$O$154=""),"","Efectivo y Equivalentes - Cta. Cte. Operativa")</f>
        <v/>
      </c>
      <c r="E1363" s="20">
        <f>""</f>
        <v/>
      </c>
      <c r="F1363" s="20">
        <f>IF($C1363="","",IF(Registro_Compras!$F$154="RHE",(ROUND(Registro_Compras!$L$154*Registro_Compras!$N$154,2)-ROUND(Registro_Compras!$V$154*Registro_Compras!$N$154,2)),ROUND(Registro_Compras!$O$154-Registro_Compras!$S$154,2)))</f>
        <v/>
      </c>
      <c r="G1363">
        <f>IF($C1363="","","Por la cancelacion del saldo al proveedor")</f>
        <v/>
      </c>
      <c r="H1363">
        <f>IF($C1363="","",Registro_Compras!$C$154)</f>
        <v/>
      </c>
    </row>
    <row r="1364">
      <c r="A1364" s="25">
        <f>IF($C1364="","",Registro_Compras!$B$155)</f>
        <v/>
      </c>
      <c r="B1364">
        <f>IF($C1364="","","C"&amp;TEXT(INT((ROW()-5)/9)+1,"000")&amp;"-1")</f>
        <v/>
      </c>
      <c r="C1364">
        <f>IF(OR(Registro_Compras!$C$155="",Registro_Compras!$O$155=""),"",IF(Registro_Compras!$F$155="NOTA DE CREDITO","4212",IF(Registro_Compras!$M$155="","63",Registro_Compras!$M$155)))</f>
        <v/>
      </c>
      <c r="D1364">
        <f>IF(OR(Registro_Compras!$C$155="",Registro_Compras!$O$155=""),"",IF(Registro_Compras!$F$155="NOTA DE CREDITO","Cuentas por Pagar Comerciales - Terceros (Emitidas)",IF(Registro_Compras!$F$155="RHE","Honorarios Profesionales - Servicios de Terceros","Gastos de Servicios Prestados por Terceros")))</f>
        <v/>
      </c>
      <c r="E1364" s="20">
        <f>IF($C1364="","",IF(Registro_Compras!$F$155="NOTA DE CREDITO",ABS(Registro_Compras!$O$155),IF(Registro_Compras!$F$155="RHE",ROUND(Registro_Compras!$L$155*Registro_Compras!$N$155,2),ROUND(Registro_Compras!$J$155*Registro_Compras!$N$155,2))))</f>
        <v/>
      </c>
      <c r="F1364" s="20">
        <f>""</f>
        <v/>
      </c>
      <c r="G1364">
        <f>IF($C1364="","",IF(Registro_Compras!$F$155="NOTA DE CREDITO","Por la nota de credito "&amp;Registro_Compras!$C$155&amp;" de "&amp;Registro_Compras!$E$155&amp;" [PATRON POR CONFIRMAR CON CONTADOR]",IF(Registro_Compras!$F$155="RHE","Por el registro del recibo por honorarios "&amp;Registro_Compras!$C$155&amp;" de "&amp;Registro_Compras!$E$155&amp;" [PATRON POR CONFIRMAR CON CONTADOR]","Por el registro de la factura "&amp;Registro_Compras!$C$155&amp;" de "&amp;Registro_Compras!$E$155)))</f>
        <v/>
      </c>
      <c r="H1364">
        <f>IF($C1364="","",Registro_Compras!$C$155)</f>
        <v/>
      </c>
    </row>
    <row r="1365">
      <c r="A1365" s="25">
        <f>IF($C1365="","",Registro_Compras!$B$155)</f>
        <v/>
      </c>
      <c r="B1365">
        <f>IF($C1365="","","C"&amp;TEXT(INT((ROW()-5)/9)+1,"000")&amp;"-1")</f>
        <v/>
      </c>
      <c r="C1365">
        <f>IF(OR(Registro_Compras!$C$155="",Registro_Compras!$O$155=""),"",IF(Registro_Compras!$F$155="RHE",IF(Registro_Compras!$V$155=0,"","40172"),IF(Registro_Compras!$F$155="NOTA DE CREDITO",IF(Registro_Compras!$M$155="","63",Registro_Compras!$M$155),IF(Registro_Compras!$K$155=0,"","40111"))))</f>
        <v/>
      </c>
      <c r="D1365">
        <f>IF(OR(Registro_Compras!$C$155="",Registro_Compras!$O$155=""),"",IF(Registro_Compras!$F$155="RHE","Retencion Renta 4ta Categoria por Pagar",IF(Registro_Compras!$F$155="NOTA DE CREDITO","Gastos de Servicios Prestados por Terceros","IGV - Cuenta Propia (Credito Fiscal)")))</f>
        <v/>
      </c>
      <c r="E1365" s="20">
        <f>IF($C1365="","",IF(Registro_Compras!$F$155="FACTURA",ROUND(Registro_Compras!$K$155*Registro_Compras!$N$155,2),""))</f>
        <v/>
      </c>
      <c r="F1365" s="20">
        <f>IF($C1365="","",IF(Registro_Compras!$F$155="RHE",ROUND(Registro_Compras!$V$155*Registro_Compras!$N$155,2),IF(Registro_Compras!$F$155="NOTA DE CREDITO",ROUND(ABS(Registro_Compras!$J$155*Registro_Compras!$N$155),2),"")))</f>
        <v/>
      </c>
      <c r="G1365">
        <f>IF($C1365="","",IF(Registro_Compras!$F$155="NOTA DE CREDITO","Por la nota de credito "&amp;Registro_Compras!$C$155&amp;" de "&amp;Registro_Compras!$E$155&amp;" [PATRON POR CONFIRMAR CON CONTADOR]",IF(Registro_Compras!$F$155="RHE","Por el registro del recibo por honorarios "&amp;Registro_Compras!$C$155&amp;" de "&amp;Registro_Compras!$E$155&amp;" [PATRON POR CONFIRMAR CON CONTADOR]","Por el registro de la factura "&amp;Registro_Compras!$C$155&amp;" de "&amp;Registro_Compras!$E$155)))</f>
        <v/>
      </c>
      <c r="H1365">
        <f>IF($C1365="","",Registro_Compras!$C$155)</f>
        <v/>
      </c>
    </row>
    <row r="1366">
      <c r="A1366" s="25">
        <f>IF($C1366="","",Registro_Compras!$B$155)</f>
        <v/>
      </c>
      <c r="B1366">
        <f>IF($C1366="","","C"&amp;TEXT(INT((ROW()-5)/9)+1,"000")&amp;"-1")</f>
        <v/>
      </c>
      <c r="C1366">
        <f>IF(OR(Registro_Compras!$C$155="",Registro_Compras!$O$155=""),"",IF(Registro_Compras!$F$155="NOTA DE CREDITO",IF(Registro_Compras!$K$155=0,"","40111"),"4212"))</f>
        <v/>
      </c>
      <c r="D1366">
        <f>IF(OR(Registro_Compras!$C$155="",Registro_Compras!$O$155=""),"",IF(Registro_Compras!$F$155="NOTA DE CREDITO","IGV - Cuenta Propia (Credito Fiscal)","Cuentas por Pagar Comerciales - Terceros (Emitidas)"))</f>
        <v/>
      </c>
      <c r="E1366" s="20">
        <f>""</f>
        <v/>
      </c>
      <c r="F1366" s="20">
        <f>IF($C1366="","",IF(Registro_Compras!$F$155="NOTA DE CREDITO",ROUND(ABS(Registro_Compras!$K$155*Registro_Compras!$N$155),2),IF(Registro_Compras!$F$155="RHE",(ROUND(Registro_Compras!$L$155*Registro_Compras!$N$155,2)-ROUND(Registro_Compras!$V$155*Registro_Compras!$N$155,2)),Registro_Compras!$O$155)))</f>
        <v/>
      </c>
      <c r="G1366">
        <f>IF($C1366="","",IF(Registro_Compras!$F$155="NOTA DE CREDITO","Por la nota de credito "&amp;Registro_Compras!$C$155&amp;" de "&amp;Registro_Compras!$E$155&amp;" [PATRON POR CONFIRMAR CON CONTADOR]",IF(Registro_Compras!$F$155="RHE","Por el registro del recibo por honorarios "&amp;Registro_Compras!$C$155&amp;" de "&amp;Registro_Compras!$E$155&amp;" [PATRON POR CONFIRMAR CON CONTADOR]","Por el registro de la factura "&amp;Registro_Compras!$C$155&amp;" de "&amp;Registro_Compras!$E$155)))</f>
        <v/>
      </c>
      <c r="H1366">
        <f>IF($C1366="","",Registro_Compras!$C$155)</f>
        <v/>
      </c>
    </row>
    <row r="1367">
      <c r="A1367" s="25">
        <f>IF($C1367="","",Registro_Compras!$B$155)</f>
        <v/>
      </c>
      <c r="B1367">
        <f>IF($C1367="","","C"&amp;TEXT(INT((ROW()-5)/9)+1,"000")&amp;"-2")</f>
        <v/>
      </c>
      <c r="C1367">
        <f>IF(OR(Registro_Compras!$C$155="",Registro_Compras!$O$155=""),"",IF(Registro_Compras!$AB$155="ADMINISTRATIVO","94","95"))</f>
        <v/>
      </c>
      <c r="D1367">
        <f>IF(OR(Registro_Compras!$C$155="",Registro_Compras!$O$155=""),"",IF(Registro_Compras!$AB$155="ADMINISTRATIVO","Gastos Administrativos","Gastos de Venta y Operacion"))</f>
        <v/>
      </c>
      <c r="E1367" s="20">
        <f>IF($C1367="","",IF(Registro_Compras!$F$155="NOTA DE CREDITO","",IF(Registro_Compras!$F$155="RHE",ROUND(Registro_Compras!$L$155*Registro_Compras!$N$155,2),ROUND(Registro_Compras!$J$155*Registro_Compras!$N$155,2))))</f>
        <v/>
      </c>
      <c r="F1367" s="20">
        <f>IF($C1367="","",IF(Registro_Compras!$F$155="NOTA DE CREDITO",ROUND(ABS(Registro_Compras!$J$155*Registro_Compras!$N$155),2),""))</f>
        <v/>
      </c>
      <c r="G1367">
        <f>IF($C1367="","","Por el destino del gasto")</f>
        <v/>
      </c>
      <c r="H1367">
        <f>IF($C1367="","",Registro_Compras!$C$155)</f>
        <v/>
      </c>
    </row>
    <row r="1368">
      <c r="A1368" s="25">
        <f>IF($C1368="","",Registro_Compras!$B$155)</f>
        <v/>
      </c>
      <c r="B1368">
        <f>IF($C1368="","","C"&amp;TEXT(INT((ROW()-5)/9)+1,"000")&amp;"-2")</f>
        <v/>
      </c>
      <c r="C1368">
        <f>IF(OR(Registro_Compras!$C$155="",Registro_Compras!$O$155=""),"","79/791")</f>
        <v/>
      </c>
      <c r="D1368">
        <f>IF(OR(Registro_Compras!$C$155="",Registro_Compras!$O$155=""),"","Cargas Imputables a Cuentas de Costos y Gastos")</f>
        <v/>
      </c>
      <c r="E1368" s="20">
        <f>IF($C1368="","",IF(Registro_Compras!$F$155="NOTA DE CREDITO",ROUND(ABS(Registro_Compras!$J$155*Registro_Compras!$N$155),2),""))</f>
        <v/>
      </c>
      <c r="F1368" s="20">
        <f>IF($C1368="","",IF(Registro_Compras!$F$155="NOTA DE CREDITO","",IF(Registro_Compras!$F$155="RHE",ROUND(Registro_Compras!$L$155*Registro_Compras!$N$155,2),ROUND(Registro_Compras!$J$155*Registro_Compras!$N$155,2))))</f>
        <v/>
      </c>
      <c r="G1368">
        <f>IF($C1368="","","Por el destino del gasto")</f>
        <v/>
      </c>
      <c r="H1368">
        <f>IF($C1368="","",Registro_Compras!$C$155)</f>
        <v/>
      </c>
    </row>
    <row r="1369">
      <c r="A1369" s="25">
        <f>IF($C1369="","",Registro_Compras!$X$155)</f>
        <v/>
      </c>
      <c r="B1369">
        <f>IF($C1369="","","C"&amp;TEXT(INT((ROW()-5)/9)+1,"000")&amp;"-3")</f>
        <v/>
      </c>
      <c r="C1369">
        <f>IF(OR(Registro_Compras!$C$155="",Registro_Compras!$O$155="",Registro_Compras!$R$155&lt;&gt;"SI",Registro_Compras!$X$155=""),"","4212")</f>
        <v/>
      </c>
      <c r="D1369">
        <f>IF(OR(Registro_Compras!$C$155="",Registro_Compras!$O$155=""),"","Cuentas por Pagar Comerciales - Terceros")</f>
        <v/>
      </c>
      <c r="E1369" s="20">
        <f>IF($C1369="","",Registro_Compras!$S$155)</f>
        <v/>
      </c>
      <c r="F1369" s="20">
        <f>""</f>
        <v/>
      </c>
      <c r="G1369">
        <f>IF($C1369="","","Por el deposito de la detraccion en el Banco de la Nacion")</f>
        <v/>
      </c>
      <c r="H1369">
        <f>IF($C1369="","",Registro_Compras!$C$155)</f>
        <v/>
      </c>
    </row>
    <row r="1370">
      <c r="A1370" s="25">
        <f>IF($C1370="","",Registro_Compras!$X$155)</f>
        <v/>
      </c>
      <c r="B1370">
        <f>IF($C1370="","","C"&amp;TEXT(INT((ROW()-5)/9)+1,"000")&amp;"-3")</f>
        <v/>
      </c>
      <c r="C1370">
        <f>IF(OR(Registro_Compras!$C$155="",Registro_Compras!$O$155="",Registro_Compras!$R$155&lt;&gt;"SI",Registro_Compras!$X$155=""),"","10413")</f>
        <v/>
      </c>
      <c r="D1370">
        <f>IF(OR(Registro_Compras!$C$155="",Registro_Compras!$O$155=""),"","Efectivo y Equivalentes - Cta. Cte. Operativa")</f>
        <v/>
      </c>
      <c r="E1370" s="20">
        <f>""</f>
        <v/>
      </c>
      <c r="F1370" s="20">
        <f>IF($C1370="","",Registro_Compras!$S$155)</f>
        <v/>
      </c>
      <c r="G1370">
        <f>IF($C1370="","","Por el deposito de la detraccion en el Banco de la Nacion")</f>
        <v/>
      </c>
      <c r="H1370">
        <f>IF($C1370="","",Registro_Compras!$C$155)</f>
        <v/>
      </c>
    </row>
    <row r="1371">
      <c r="A1371" s="25">
        <f>IF($C1371="","",Registro_Compras!$Y$155)</f>
        <v/>
      </c>
      <c r="B1371">
        <f>IF($C1371="","","C"&amp;TEXT(INT((ROW()-5)/9)+1,"000")&amp;"-4")</f>
        <v/>
      </c>
      <c r="C1371">
        <f>IF(OR(Registro_Compras!$C$155="",Registro_Compras!$O$155="",Registro_Compras!$Y$155="",Registro_Compras!$F$155="NOTA DE CREDITO"),"","4212")</f>
        <v/>
      </c>
      <c r="D1371">
        <f>IF(OR(Registro_Compras!$C$155="",Registro_Compras!$O$155=""),"","Cuentas por Pagar Comerciales - Terceros")</f>
        <v/>
      </c>
      <c r="E1371" s="20">
        <f>IF($C1371="","",IF(Registro_Compras!$F$155="RHE",(ROUND(Registro_Compras!$L$155*Registro_Compras!$N$155,2)-ROUND(Registro_Compras!$V$155*Registro_Compras!$N$155,2)),ROUND(Registro_Compras!$O$155-Registro_Compras!$S$155,2)))</f>
        <v/>
      </c>
      <c r="F1371" s="20">
        <f>""</f>
        <v/>
      </c>
      <c r="G1371">
        <f>IF($C1371="","","Por la cancelacion del saldo al proveedor")</f>
        <v/>
      </c>
      <c r="H1371">
        <f>IF($C1371="","",Registro_Compras!$C$155)</f>
        <v/>
      </c>
    </row>
    <row r="1372">
      <c r="A1372" s="25">
        <f>IF($C1372="","",Registro_Compras!$Y$155)</f>
        <v/>
      </c>
      <c r="B1372">
        <f>IF($C1372="","","C"&amp;TEXT(INT((ROW()-5)/9)+1,"000")&amp;"-4")</f>
        <v/>
      </c>
      <c r="C1372">
        <f>IF(OR(Registro_Compras!$C$155="",Registro_Compras!$O$155="",Registro_Compras!$Y$155="",Registro_Compras!$F$155="NOTA DE CREDITO"),"","10413")</f>
        <v/>
      </c>
      <c r="D1372">
        <f>IF(OR(Registro_Compras!$C$155="",Registro_Compras!$O$155=""),"","Efectivo y Equivalentes - Cta. Cte. Operativa")</f>
        <v/>
      </c>
      <c r="E1372" s="20">
        <f>""</f>
        <v/>
      </c>
      <c r="F1372" s="20">
        <f>IF($C1372="","",IF(Registro_Compras!$F$155="RHE",(ROUND(Registro_Compras!$L$155*Registro_Compras!$N$155,2)-ROUND(Registro_Compras!$V$155*Registro_Compras!$N$155,2)),ROUND(Registro_Compras!$O$155-Registro_Compras!$S$155,2)))</f>
        <v/>
      </c>
      <c r="G1372">
        <f>IF($C1372="","","Por la cancelacion del saldo al proveedor")</f>
        <v/>
      </c>
      <c r="H1372">
        <f>IF($C1372="","",Registro_Compras!$C$155)</f>
        <v/>
      </c>
    </row>
    <row r="1373">
      <c r="A1373" s="25">
        <f>IF($C1373="","",Registro_Compras!$B$156)</f>
        <v/>
      </c>
      <c r="B1373">
        <f>IF($C1373="","","C"&amp;TEXT(INT((ROW()-5)/9)+1,"000")&amp;"-1")</f>
        <v/>
      </c>
      <c r="C1373">
        <f>IF(OR(Registro_Compras!$C$156="",Registro_Compras!$O$156=""),"",IF(Registro_Compras!$F$156="NOTA DE CREDITO","4212",IF(Registro_Compras!$M$156="","63",Registro_Compras!$M$156)))</f>
        <v/>
      </c>
      <c r="D1373">
        <f>IF(OR(Registro_Compras!$C$156="",Registro_Compras!$O$156=""),"",IF(Registro_Compras!$F$156="NOTA DE CREDITO","Cuentas por Pagar Comerciales - Terceros (Emitidas)",IF(Registro_Compras!$F$156="RHE","Honorarios Profesionales - Servicios de Terceros","Gastos de Servicios Prestados por Terceros")))</f>
        <v/>
      </c>
      <c r="E1373" s="20">
        <f>IF($C1373="","",IF(Registro_Compras!$F$156="NOTA DE CREDITO",ABS(Registro_Compras!$O$156),IF(Registro_Compras!$F$156="RHE",ROUND(Registro_Compras!$L$156*Registro_Compras!$N$156,2),ROUND(Registro_Compras!$J$156*Registro_Compras!$N$156,2))))</f>
        <v/>
      </c>
      <c r="F1373" s="20">
        <f>""</f>
        <v/>
      </c>
      <c r="G1373">
        <f>IF($C1373="","",IF(Registro_Compras!$F$156="NOTA DE CREDITO","Por la nota de credito "&amp;Registro_Compras!$C$156&amp;" de "&amp;Registro_Compras!$E$156&amp;" [PATRON POR CONFIRMAR CON CONTADOR]",IF(Registro_Compras!$F$156="RHE","Por el registro del recibo por honorarios "&amp;Registro_Compras!$C$156&amp;" de "&amp;Registro_Compras!$E$156&amp;" [PATRON POR CONFIRMAR CON CONTADOR]","Por el registro de la factura "&amp;Registro_Compras!$C$156&amp;" de "&amp;Registro_Compras!$E$156)))</f>
        <v/>
      </c>
      <c r="H1373">
        <f>IF($C1373="","",Registro_Compras!$C$156)</f>
        <v/>
      </c>
    </row>
    <row r="1374">
      <c r="A1374" s="25">
        <f>IF($C1374="","",Registro_Compras!$B$156)</f>
        <v/>
      </c>
      <c r="B1374">
        <f>IF($C1374="","","C"&amp;TEXT(INT((ROW()-5)/9)+1,"000")&amp;"-1")</f>
        <v/>
      </c>
      <c r="C1374">
        <f>IF(OR(Registro_Compras!$C$156="",Registro_Compras!$O$156=""),"",IF(Registro_Compras!$F$156="RHE",IF(Registro_Compras!$V$156=0,"","40172"),IF(Registro_Compras!$F$156="NOTA DE CREDITO",IF(Registro_Compras!$M$156="","63",Registro_Compras!$M$156),IF(Registro_Compras!$K$156=0,"","40111"))))</f>
        <v/>
      </c>
      <c r="D1374">
        <f>IF(OR(Registro_Compras!$C$156="",Registro_Compras!$O$156=""),"",IF(Registro_Compras!$F$156="RHE","Retencion Renta 4ta Categoria por Pagar",IF(Registro_Compras!$F$156="NOTA DE CREDITO","Gastos de Servicios Prestados por Terceros","IGV - Cuenta Propia (Credito Fiscal)")))</f>
        <v/>
      </c>
      <c r="E1374" s="20">
        <f>IF($C1374="","",IF(Registro_Compras!$F$156="FACTURA",ROUND(Registro_Compras!$K$156*Registro_Compras!$N$156,2),""))</f>
        <v/>
      </c>
      <c r="F1374" s="20">
        <f>IF($C1374="","",IF(Registro_Compras!$F$156="RHE",ROUND(Registro_Compras!$V$156*Registro_Compras!$N$156,2),IF(Registro_Compras!$F$156="NOTA DE CREDITO",ROUND(ABS(Registro_Compras!$J$156*Registro_Compras!$N$156),2),"")))</f>
        <v/>
      </c>
      <c r="G1374">
        <f>IF($C1374="","",IF(Registro_Compras!$F$156="NOTA DE CREDITO","Por la nota de credito "&amp;Registro_Compras!$C$156&amp;" de "&amp;Registro_Compras!$E$156&amp;" [PATRON POR CONFIRMAR CON CONTADOR]",IF(Registro_Compras!$F$156="RHE","Por el registro del recibo por honorarios "&amp;Registro_Compras!$C$156&amp;" de "&amp;Registro_Compras!$E$156&amp;" [PATRON POR CONFIRMAR CON CONTADOR]","Por el registro de la factura "&amp;Registro_Compras!$C$156&amp;" de "&amp;Registro_Compras!$E$156)))</f>
        <v/>
      </c>
      <c r="H1374">
        <f>IF($C1374="","",Registro_Compras!$C$156)</f>
        <v/>
      </c>
    </row>
    <row r="1375">
      <c r="A1375" s="25">
        <f>IF($C1375="","",Registro_Compras!$B$156)</f>
        <v/>
      </c>
      <c r="B1375">
        <f>IF($C1375="","","C"&amp;TEXT(INT((ROW()-5)/9)+1,"000")&amp;"-1")</f>
        <v/>
      </c>
      <c r="C1375">
        <f>IF(OR(Registro_Compras!$C$156="",Registro_Compras!$O$156=""),"",IF(Registro_Compras!$F$156="NOTA DE CREDITO",IF(Registro_Compras!$K$156=0,"","40111"),"4212"))</f>
        <v/>
      </c>
      <c r="D1375">
        <f>IF(OR(Registro_Compras!$C$156="",Registro_Compras!$O$156=""),"",IF(Registro_Compras!$F$156="NOTA DE CREDITO","IGV - Cuenta Propia (Credito Fiscal)","Cuentas por Pagar Comerciales - Terceros (Emitidas)"))</f>
        <v/>
      </c>
      <c r="E1375" s="20">
        <f>""</f>
        <v/>
      </c>
      <c r="F1375" s="20">
        <f>IF($C1375="","",IF(Registro_Compras!$F$156="NOTA DE CREDITO",ROUND(ABS(Registro_Compras!$K$156*Registro_Compras!$N$156),2),IF(Registro_Compras!$F$156="RHE",(ROUND(Registro_Compras!$L$156*Registro_Compras!$N$156,2)-ROUND(Registro_Compras!$V$156*Registro_Compras!$N$156,2)),Registro_Compras!$O$156)))</f>
        <v/>
      </c>
      <c r="G1375">
        <f>IF($C1375="","",IF(Registro_Compras!$F$156="NOTA DE CREDITO","Por la nota de credito "&amp;Registro_Compras!$C$156&amp;" de "&amp;Registro_Compras!$E$156&amp;" [PATRON POR CONFIRMAR CON CONTADOR]",IF(Registro_Compras!$F$156="RHE","Por el registro del recibo por honorarios "&amp;Registro_Compras!$C$156&amp;" de "&amp;Registro_Compras!$E$156&amp;" [PATRON POR CONFIRMAR CON CONTADOR]","Por el registro de la factura "&amp;Registro_Compras!$C$156&amp;" de "&amp;Registro_Compras!$E$156)))</f>
        <v/>
      </c>
      <c r="H1375">
        <f>IF($C1375="","",Registro_Compras!$C$156)</f>
        <v/>
      </c>
    </row>
    <row r="1376">
      <c r="A1376" s="25">
        <f>IF($C1376="","",Registro_Compras!$B$156)</f>
        <v/>
      </c>
      <c r="B1376">
        <f>IF($C1376="","","C"&amp;TEXT(INT((ROW()-5)/9)+1,"000")&amp;"-2")</f>
        <v/>
      </c>
      <c r="C1376">
        <f>IF(OR(Registro_Compras!$C$156="",Registro_Compras!$O$156=""),"",IF(Registro_Compras!$AB$156="ADMINISTRATIVO","94","95"))</f>
        <v/>
      </c>
      <c r="D1376">
        <f>IF(OR(Registro_Compras!$C$156="",Registro_Compras!$O$156=""),"",IF(Registro_Compras!$AB$156="ADMINISTRATIVO","Gastos Administrativos","Gastos de Venta y Operacion"))</f>
        <v/>
      </c>
      <c r="E1376" s="20">
        <f>IF($C1376="","",IF(Registro_Compras!$F$156="NOTA DE CREDITO","",IF(Registro_Compras!$F$156="RHE",ROUND(Registro_Compras!$L$156*Registro_Compras!$N$156,2),ROUND(Registro_Compras!$J$156*Registro_Compras!$N$156,2))))</f>
        <v/>
      </c>
      <c r="F1376" s="20">
        <f>IF($C1376="","",IF(Registro_Compras!$F$156="NOTA DE CREDITO",ROUND(ABS(Registro_Compras!$J$156*Registro_Compras!$N$156),2),""))</f>
        <v/>
      </c>
      <c r="G1376">
        <f>IF($C1376="","","Por el destino del gasto")</f>
        <v/>
      </c>
      <c r="H1376">
        <f>IF($C1376="","",Registro_Compras!$C$156)</f>
        <v/>
      </c>
    </row>
    <row r="1377">
      <c r="A1377" s="25">
        <f>IF($C1377="","",Registro_Compras!$B$156)</f>
        <v/>
      </c>
      <c r="B1377">
        <f>IF($C1377="","","C"&amp;TEXT(INT((ROW()-5)/9)+1,"000")&amp;"-2")</f>
        <v/>
      </c>
      <c r="C1377">
        <f>IF(OR(Registro_Compras!$C$156="",Registro_Compras!$O$156=""),"","79/791")</f>
        <v/>
      </c>
      <c r="D1377">
        <f>IF(OR(Registro_Compras!$C$156="",Registro_Compras!$O$156=""),"","Cargas Imputables a Cuentas de Costos y Gastos")</f>
        <v/>
      </c>
      <c r="E1377" s="20">
        <f>IF($C1377="","",IF(Registro_Compras!$F$156="NOTA DE CREDITO",ROUND(ABS(Registro_Compras!$J$156*Registro_Compras!$N$156),2),""))</f>
        <v/>
      </c>
      <c r="F1377" s="20">
        <f>IF($C1377="","",IF(Registro_Compras!$F$156="NOTA DE CREDITO","",IF(Registro_Compras!$F$156="RHE",ROUND(Registro_Compras!$L$156*Registro_Compras!$N$156,2),ROUND(Registro_Compras!$J$156*Registro_Compras!$N$156,2))))</f>
        <v/>
      </c>
      <c r="G1377">
        <f>IF($C1377="","","Por el destino del gasto")</f>
        <v/>
      </c>
      <c r="H1377">
        <f>IF($C1377="","",Registro_Compras!$C$156)</f>
        <v/>
      </c>
    </row>
    <row r="1378">
      <c r="A1378" s="25">
        <f>IF($C1378="","",Registro_Compras!$X$156)</f>
        <v/>
      </c>
      <c r="B1378">
        <f>IF($C1378="","","C"&amp;TEXT(INT((ROW()-5)/9)+1,"000")&amp;"-3")</f>
        <v/>
      </c>
      <c r="C1378">
        <f>IF(OR(Registro_Compras!$C$156="",Registro_Compras!$O$156="",Registro_Compras!$R$156&lt;&gt;"SI",Registro_Compras!$X$156=""),"","4212")</f>
        <v/>
      </c>
      <c r="D1378">
        <f>IF(OR(Registro_Compras!$C$156="",Registro_Compras!$O$156=""),"","Cuentas por Pagar Comerciales - Terceros")</f>
        <v/>
      </c>
      <c r="E1378" s="20">
        <f>IF($C1378="","",Registro_Compras!$S$156)</f>
        <v/>
      </c>
      <c r="F1378" s="20">
        <f>""</f>
        <v/>
      </c>
      <c r="G1378">
        <f>IF($C1378="","","Por el deposito de la detraccion en el Banco de la Nacion")</f>
        <v/>
      </c>
      <c r="H1378">
        <f>IF($C1378="","",Registro_Compras!$C$156)</f>
        <v/>
      </c>
    </row>
    <row r="1379">
      <c r="A1379" s="25">
        <f>IF($C1379="","",Registro_Compras!$X$156)</f>
        <v/>
      </c>
      <c r="B1379">
        <f>IF($C1379="","","C"&amp;TEXT(INT((ROW()-5)/9)+1,"000")&amp;"-3")</f>
        <v/>
      </c>
      <c r="C1379">
        <f>IF(OR(Registro_Compras!$C$156="",Registro_Compras!$O$156="",Registro_Compras!$R$156&lt;&gt;"SI",Registro_Compras!$X$156=""),"","10413")</f>
        <v/>
      </c>
      <c r="D1379">
        <f>IF(OR(Registro_Compras!$C$156="",Registro_Compras!$O$156=""),"","Efectivo y Equivalentes - Cta. Cte. Operativa")</f>
        <v/>
      </c>
      <c r="E1379" s="20">
        <f>""</f>
        <v/>
      </c>
      <c r="F1379" s="20">
        <f>IF($C1379="","",Registro_Compras!$S$156)</f>
        <v/>
      </c>
      <c r="G1379">
        <f>IF($C1379="","","Por el deposito de la detraccion en el Banco de la Nacion")</f>
        <v/>
      </c>
      <c r="H1379">
        <f>IF($C1379="","",Registro_Compras!$C$156)</f>
        <v/>
      </c>
    </row>
    <row r="1380">
      <c r="A1380" s="25">
        <f>IF($C1380="","",Registro_Compras!$Y$156)</f>
        <v/>
      </c>
      <c r="B1380">
        <f>IF($C1380="","","C"&amp;TEXT(INT((ROW()-5)/9)+1,"000")&amp;"-4")</f>
        <v/>
      </c>
      <c r="C1380">
        <f>IF(OR(Registro_Compras!$C$156="",Registro_Compras!$O$156="",Registro_Compras!$Y$156="",Registro_Compras!$F$156="NOTA DE CREDITO"),"","4212")</f>
        <v/>
      </c>
      <c r="D1380">
        <f>IF(OR(Registro_Compras!$C$156="",Registro_Compras!$O$156=""),"","Cuentas por Pagar Comerciales - Terceros")</f>
        <v/>
      </c>
      <c r="E1380" s="20">
        <f>IF($C1380="","",IF(Registro_Compras!$F$156="RHE",(ROUND(Registro_Compras!$L$156*Registro_Compras!$N$156,2)-ROUND(Registro_Compras!$V$156*Registro_Compras!$N$156,2)),ROUND(Registro_Compras!$O$156-Registro_Compras!$S$156,2)))</f>
        <v/>
      </c>
      <c r="F1380" s="20">
        <f>""</f>
        <v/>
      </c>
      <c r="G1380">
        <f>IF($C1380="","","Por la cancelacion del saldo al proveedor")</f>
        <v/>
      </c>
      <c r="H1380">
        <f>IF($C1380="","",Registro_Compras!$C$156)</f>
        <v/>
      </c>
    </row>
    <row r="1381">
      <c r="A1381" s="25">
        <f>IF($C1381="","",Registro_Compras!$Y$156)</f>
        <v/>
      </c>
      <c r="B1381">
        <f>IF($C1381="","","C"&amp;TEXT(INT((ROW()-5)/9)+1,"000")&amp;"-4")</f>
        <v/>
      </c>
      <c r="C1381">
        <f>IF(OR(Registro_Compras!$C$156="",Registro_Compras!$O$156="",Registro_Compras!$Y$156="",Registro_Compras!$F$156="NOTA DE CREDITO"),"","10413")</f>
        <v/>
      </c>
      <c r="D1381">
        <f>IF(OR(Registro_Compras!$C$156="",Registro_Compras!$O$156=""),"","Efectivo y Equivalentes - Cta. Cte. Operativa")</f>
        <v/>
      </c>
      <c r="E1381" s="20">
        <f>""</f>
        <v/>
      </c>
      <c r="F1381" s="20">
        <f>IF($C1381="","",IF(Registro_Compras!$F$156="RHE",(ROUND(Registro_Compras!$L$156*Registro_Compras!$N$156,2)-ROUND(Registro_Compras!$V$156*Registro_Compras!$N$156,2)),ROUND(Registro_Compras!$O$156-Registro_Compras!$S$156,2)))</f>
        <v/>
      </c>
      <c r="G1381">
        <f>IF($C1381="","","Por la cancelacion del saldo al proveedor")</f>
        <v/>
      </c>
      <c r="H1381">
        <f>IF($C1381="","",Registro_Compras!$C$156)</f>
        <v/>
      </c>
    </row>
    <row r="1382">
      <c r="A1382" s="25">
        <f>IF($C1382="","",Registro_Compras!$B$157)</f>
        <v/>
      </c>
      <c r="B1382">
        <f>IF($C1382="","","C"&amp;TEXT(INT((ROW()-5)/9)+1,"000")&amp;"-1")</f>
        <v/>
      </c>
      <c r="C1382">
        <f>IF(OR(Registro_Compras!$C$157="",Registro_Compras!$O$157=""),"",IF(Registro_Compras!$F$157="NOTA DE CREDITO","4212",IF(Registro_Compras!$M$157="","63",Registro_Compras!$M$157)))</f>
        <v/>
      </c>
      <c r="D1382">
        <f>IF(OR(Registro_Compras!$C$157="",Registro_Compras!$O$157=""),"",IF(Registro_Compras!$F$157="NOTA DE CREDITO","Cuentas por Pagar Comerciales - Terceros (Emitidas)",IF(Registro_Compras!$F$157="RHE","Honorarios Profesionales - Servicios de Terceros","Gastos de Servicios Prestados por Terceros")))</f>
        <v/>
      </c>
      <c r="E1382" s="20">
        <f>IF($C1382="","",IF(Registro_Compras!$F$157="NOTA DE CREDITO",ABS(Registro_Compras!$O$157),IF(Registro_Compras!$F$157="RHE",ROUND(Registro_Compras!$L$157*Registro_Compras!$N$157,2),ROUND(Registro_Compras!$J$157*Registro_Compras!$N$157,2))))</f>
        <v/>
      </c>
      <c r="F1382" s="20">
        <f>""</f>
        <v/>
      </c>
      <c r="G1382">
        <f>IF($C1382="","",IF(Registro_Compras!$F$157="NOTA DE CREDITO","Por la nota de credito "&amp;Registro_Compras!$C$157&amp;" de "&amp;Registro_Compras!$E$157&amp;" [PATRON POR CONFIRMAR CON CONTADOR]",IF(Registro_Compras!$F$157="RHE","Por el registro del recibo por honorarios "&amp;Registro_Compras!$C$157&amp;" de "&amp;Registro_Compras!$E$157&amp;" [PATRON POR CONFIRMAR CON CONTADOR]","Por el registro de la factura "&amp;Registro_Compras!$C$157&amp;" de "&amp;Registro_Compras!$E$157)))</f>
        <v/>
      </c>
      <c r="H1382">
        <f>IF($C1382="","",Registro_Compras!$C$157)</f>
        <v/>
      </c>
    </row>
    <row r="1383">
      <c r="A1383" s="25">
        <f>IF($C1383="","",Registro_Compras!$B$157)</f>
        <v/>
      </c>
      <c r="B1383">
        <f>IF($C1383="","","C"&amp;TEXT(INT((ROW()-5)/9)+1,"000")&amp;"-1")</f>
        <v/>
      </c>
      <c r="C1383">
        <f>IF(OR(Registro_Compras!$C$157="",Registro_Compras!$O$157=""),"",IF(Registro_Compras!$F$157="RHE",IF(Registro_Compras!$V$157=0,"","40172"),IF(Registro_Compras!$F$157="NOTA DE CREDITO",IF(Registro_Compras!$M$157="","63",Registro_Compras!$M$157),IF(Registro_Compras!$K$157=0,"","40111"))))</f>
        <v/>
      </c>
      <c r="D1383">
        <f>IF(OR(Registro_Compras!$C$157="",Registro_Compras!$O$157=""),"",IF(Registro_Compras!$F$157="RHE","Retencion Renta 4ta Categoria por Pagar",IF(Registro_Compras!$F$157="NOTA DE CREDITO","Gastos de Servicios Prestados por Terceros","IGV - Cuenta Propia (Credito Fiscal)")))</f>
        <v/>
      </c>
      <c r="E1383" s="20">
        <f>IF($C1383="","",IF(Registro_Compras!$F$157="FACTURA",ROUND(Registro_Compras!$K$157*Registro_Compras!$N$157,2),""))</f>
        <v/>
      </c>
      <c r="F1383" s="20">
        <f>IF($C1383="","",IF(Registro_Compras!$F$157="RHE",ROUND(Registro_Compras!$V$157*Registro_Compras!$N$157,2),IF(Registro_Compras!$F$157="NOTA DE CREDITO",ROUND(ABS(Registro_Compras!$J$157*Registro_Compras!$N$157),2),"")))</f>
        <v/>
      </c>
      <c r="G1383">
        <f>IF($C1383="","",IF(Registro_Compras!$F$157="NOTA DE CREDITO","Por la nota de credito "&amp;Registro_Compras!$C$157&amp;" de "&amp;Registro_Compras!$E$157&amp;" [PATRON POR CONFIRMAR CON CONTADOR]",IF(Registro_Compras!$F$157="RHE","Por el registro del recibo por honorarios "&amp;Registro_Compras!$C$157&amp;" de "&amp;Registro_Compras!$E$157&amp;" [PATRON POR CONFIRMAR CON CONTADOR]","Por el registro de la factura "&amp;Registro_Compras!$C$157&amp;" de "&amp;Registro_Compras!$E$157)))</f>
        <v/>
      </c>
      <c r="H1383">
        <f>IF($C1383="","",Registro_Compras!$C$157)</f>
        <v/>
      </c>
    </row>
    <row r="1384">
      <c r="A1384" s="25">
        <f>IF($C1384="","",Registro_Compras!$B$157)</f>
        <v/>
      </c>
      <c r="B1384">
        <f>IF($C1384="","","C"&amp;TEXT(INT((ROW()-5)/9)+1,"000")&amp;"-1")</f>
        <v/>
      </c>
      <c r="C1384">
        <f>IF(OR(Registro_Compras!$C$157="",Registro_Compras!$O$157=""),"",IF(Registro_Compras!$F$157="NOTA DE CREDITO",IF(Registro_Compras!$K$157=0,"","40111"),"4212"))</f>
        <v/>
      </c>
      <c r="D1384">
        <f>IF(OR(Registro_Compras!$C$157="",Registro_Compras!$O$157=""),"",IF(Registro_Compras!$F$157="NOTA DE CREDITO","IGV - Cuenta Propia (Credito Fiscal)","Cuentas por Pagar Comerciales - Terceros (Emitidas)"))</f>
        <v/>
      </c>
      <c r="E1384" s="20">
        <f>""</f>
        <v/>
      </c>
      <c r="F1384" s="20">
        <f>IF($C1384="","",IF(Registro_Compras!$F$157="NOTA DE CREDITO",ROUND(ABS(Registro_Compras!$K$157*Registro_Compras!$N$157),2),IF(Registro_Compras!$F$157="RHE",(ROUND(Registro_Compras!$L$157*Registro_Compras!$N$157,2)-ROUND(Registro_Compras!$V$157*Registro_Compras!$N$157,2)),Registro_Compras!$O$157)))</f>
        <v/>
      </c>
      <c r="G1384">
        <f>IF($C1384="","",IF(Registro_Compras!$F$157="NOTA DE CREDITO","Por la nota de credito "&amp;Registro_Compras!$C$157&amp;" de "&amp;Registro_Compras!$E$157&amp;" [PATRON POR CONFIRMAR CON CONTADOR]",IF(Registro_Compras!$F$157="RHE","Por el registro del recibo por honorarios "&amp;Registro_Compras!$C$157&amp;" de "&amp;Registro_Compras!$E$157&amp;" [PATRON POR CONFIRMAR CON CONTADOR]","Por el registro de la factura "&amp;Registro_Compras!$C$157&amp;" de "&amp;Registro_Compras!$E$157)))</f>
        <v/>
      </c>
      <c r="H1384">
        <f>IF($C1384="","",Registro_Compras!$C$157)</f>
        <v/>
      </c>
    </row>
    <row r="1385">
      <c r="A1385" s="25">
        <f>IF($C1385="","",Registro_Compras!$B$157)</f>
        <v/>
      </c>
      <c r="B1385">
        <f>IF($C1385="","","C"&amp;TEXT(INT((ROW()-5)/9)+1,"000")&amp;"-2")</f>
        <v/>
      </c>
      <c r="C1385">
        <f>IF(OR(Registro_Compras!$C$157="",Registro_Compras!$O$157=""),"",IF(Registro_Compras!$AB$157="ADMINISTRATIVO","94","95"))</f>
        <v/>
      </c>
      <c r="D1385">
        <f>IF(OR(Registro_Compras!$C$157="",Registro_Compras!$O$157=""),"",IF(Registro_Compras!$AB$157="ADMINISTRATIVO","Gastos Administrativos","Gastos de Venta y Operacion"))</f>
        <v/>
      </c>
      <c r="E1385" s="20">
        <f>IF($C1385="","",IF(Registro_Compras!$F$157="NOTA DE CREDITO","",IF(Registro_Compras!$F$157="RHE",ROUND(Registro_Compras!$L$157*Registro_Compras!$N$157,2),ROUND(Registro_Compras!$J$157*Registro_Compras!$N$157,2))))</f>
        <v/>
      </c>
      <c r="F1385" s="20">
        <f>IF($C1385="","",IF(Registro_Compras!$F$157="NOTA DE CREDITO",ROUND(ABS(Registro_Compras!$J$157*Registro_Compras!$N$157),2),""))</f>
        <v/>
      </c>
      <c r="G1385">
        <f>IF($C1385="","","Por el destino del gasto")</f>
        <v/>
      </c>
      <c r="H1385">
        <f>IF($C1385="","",Registro_Compras!$C$157)</f>
        <v/>
      </c>
    </row>
    <row r="1386">
      <c r="A1386" s="25">
        <f>IF($C1386="","",Registro_Compras!$B$157)</f>
        <v/>
      </c>
      <c r="B1386">
        <f>IF($C1386="","","C"&amp;TEXT(INT((ROW()-5)/9)+1,"000")&amp;"-2")</f>
        <v/>
      </c>
      <c r="C1386">
        <f>IF(OR(Registro_Compras!$C$157="",Registro_Compras!$O$157=""),"","79/791")</f>
        <v/>
      </c>
      <c r="D1386">
        <f>IF(OR(Registro_Compras!$C$157="",Registro_Compras!$O$157=""),"","Cargas Imputables a Cuentas de Costos y Gastos")</f>
        <v/>
      </c>
      <c r="E1386" s="20">
        <f>IF($C1386="","",IF(Registro_Compras!$F$157="NOTA DE CREDITO",ROUND(ABS(Registro_Compras!$J$157*Registro_Compras!$N$157),2),""))</f>
        <v/>
      </c>
      <c r="F1386" s="20">
        <f>IF($C1386="","",IF(Registro_Compras!$F$157="NOTA DE CREDITO","",IF(Registro_Compras!$F$157="RHE",ROUND(Registro_Compras!$L$157*Registro_Compras!$N$157,2),ROUND(Registro_Compras!$J$157*Registro_Compras!$N$157,2))))</f>
        <v/>
      </c>
      <c r="G1386">
        <f>IF($C1386="","","Por el destino del gasto")</f>
        <v/>
      </c>
      <c r="H1386">
        <f>IF($C1386="","",Registro_Compras!$C$157)</f>
        <v/>
      </c>
    </row>
    <row r="1387">
      <c r="A1387" s="25">
        <f>IF($C1387="","",Registro_Compras!$X$157)</f>
        <v/>
      </c>
      <c r="B1387">
        <f>IF($C1387="","","C"&amp;TEXT(INT((ROW()-5)/9)+1,"000")&amp;"-3")</f>
        <v/>
      </c>
      <c r="C1387">
        <f>IF(OR(Registro_Compras!$C$157="",Registro_Compras!$O$157="",Registro_Compras!$R$157&lt;&gt;"SI",Registro_Compras!$X$157=""),"","4212")</f>
        <v/>
      </c>
      <c r="D1387">
        <f>IF(OR(Registro_Compras!$C$157="",Registro_Compras!$O$157=""),"","Cuentas por Pagar Comerciales - Terceros")</f>
        <v/>
      </c>
      <c r="E1387" s="20">
        <f>IF($C1387="","",Registro_Compras!$S$157)</f>
        <v/>
      </c>
      <c r="F1387" s="20">
        <f>""</f>
        <v/>
      </c>
      <c r="G1387">
        <f>IF($C1387="","","Por el deposito de la detraccion en el Banco de la Nacion")</f>
        <v/>
      </c>
      <c r="H1387">
        <f>IF($C1387="","",Registro_Compras!$C$157)</f>
        <v/>
      </c>
    </row>
    <row r="1388">
      <c r="A1388" s="25">
        <f>IF($C1388="","",Registro_Compras!$X$157)</f>
        <v/>
      </c>
      <c r="B1388">
        <f>IF($C1388="","","C"&amp;TEXT(INT((ROW()-5)/9)+1,"000")&amp;"-3")</f>
        <v/>
      </c>
      <c r="C1388">
        <f>IF(OR(Registro_Compras!$C$157="",Registro_Compras!$O$157="",Registro_Compras!$R$157&lt;&gt;"SI",Registro_Compras!$X$157=""),"","10413")</f>
        <v/>
      </c>
      <c r="D1388">
        <f>IF(OR(Registro_Compras!$C$157="",Registro_Compras!$O$157=""),"","Efectivo y Equivalentes - Cta. Cte. Operativa")</f>
        <v/>
      </c>
      <c r="E1388" s="20">
        <f>""</f>
        <v/>
      </c>
      <c r="F1388" s="20">
        <f>IF($C1388="","",Registro_Compras!$S$157)</f>
        <v/>
      </c>
      <c r="G1388">
        <f>IF($C1388="","","Por el deposito de la detraccion en el Banco de la Nacion")</f>
        <v/>
      </c>
      <c r="H1388">
        <f>IF($C1388="","",Registro_Compras!$C$157)</f>
        <v/>
      </c>
    </row>
    <row r="1389">
      <c r="A1389" s="25">
        <f>IF($C1389="","",Registro_Compras!$Y$157)</f>
        <v/>
      </c>
      <c r="B1389">
        <f>IF($C1389="","","C"&amp;TEXT(INT((ROW()-5)/9)+1,"000")&amp;"-4")</f>
        <v/>
      </c>
      <c r="C1389">
        <f>IF(OR(Registro_Compras!$C$157="",Registro_Compras!$O$157="",Registro_Compras!$Y$157="",Registro_Compras!$F$157="NOTA DE CREDITO"),"","4212")</f>
        <v/>
      </c>
      <c r="D1389">
        <f>IF(OR(Registro_Compras!$C$157="",Registro_Compras!$O$157=""),"","Cuentas por Pagar Comerciales - Terceros")</f>
        <v/>
      </c>
      <c r="E1389" s="20">
        <f>IF($C1389="","",IF(Registro_Compras!$F$157="RHE",(ROUND(Registro_Compras!$L$157*Registro_Compras!$N$157,2)-ROUND(Registro_Compras!$V$157*Registro_Compras!$N$157,2)),ROUND(Registro_Compras!$O$157-Registro_Compras!$S$157,2)))</f>
        <v/>
      </c>
      <c r="F1389" s="20">
        <f>""</f>
        <v/>
      </c>
      <c r="G1389">
        <f>IF($C1389="","","Por la cancelacion del saldo al proveedor")</f>
        <v/>
      </c>
      <c r="H1389">
        <f>IF($C1389="","",Registro_Compras!$C$157)</f>
        <v/>
      </c>
    </row>
    <row r="1390">
      <c r="A1390" s="25">
        <f>IF($C1390="","",Registro_Compras!$Y$157)</f>
        <v/>
      </c>
      <c r="B1390">
        <f>IF($C1390="","","C"&amp;TEXT(INT((ROW()-5)/9)+1,"000")&amp;"-4")</f>
        <v/>
      </c>
      <c r="C1390">
        <f>IF(OR(Registro_Compras!$C$157="",Registro_Compras!$O$157="",Registro_Compras!$Y$157="",Registro_Compras!$F$157="NOTA DE CREDITO"),"","10413")</f>
        <v/>
      </c>
      <c r="D1390">
        <f>IF(OR(Registro_Compras!$C$157="",Registro_Compras!$O$157=""),"","Efectivo y Equivalentes - Cta. Cte. Operativa")</f>
        <v/>
      </c>
      <c r="E1390" s="20">
        <f>""</f>
        <v/>
      </c>
      <c r="F1390" s="20">
        <f>IF($C1390="","",IF(Registro_Compras!$F$157="RHE",(ROUND(Registro_Compras!$L$157*Registro_Compras!$N$157,2)-ROUND(Registro_Compras!$V$157*Registro_Compras!$N$157,2)),ROUND(Registro_Compras!$O$157-Registro_Compras!$S$157,2)))</f>
        <v/>
      </c>
      <c r="G1390">
        <f>IF($C1390="","","Por la cancelacion del saldo al proveedor")</f>
        <v/>
      </c>
      <c r="H1390">
        <f>IF($C1390="","",Registro_Compras!$C$157)</f>
        <v/>
      </c>
    </row>
    <row r="1391">
      <c r="A1391" s="25">
        <f>IF($C1391="","",Registro_Compras!$B$158)</f>
        <v/>
      </c>
      <c r="B1391">
        <f>IF($C1391="","","C"&amp;TEXT(INT((ROW()-5)/9)+1,"000")&amp;"-1")</f>
        <v/>
      </c>
      <c r="C1391">
        <f>IF(OR(Registro_Compras!$C$158="",Registro_Compras!$O$158=""),"",IF(Registro_Compras!$F$158="NOTA DE CREDITO","4212",IF(Registro_Compras!$M$158="","63",Registro_Compras!$M$158)))</f>
        <v/>
      </c>
      <c r="D1391">
        <f>IF(OR(Registro_Compras!$C$158="",Registro_Compras!$O$158=""),"",IF(Registro_Compras!$F$158="NOTA DE CREDITO","Cuentas por Pagar Comerciales - Terceros (Emitidas)",IF(Registro_Compras!$F$158="RHE","Honorarios Profesionales - Servicios de Terceros","Gastos de Servicios Prestados por Terceros")))</f>
        <v/>
      </c>
      <c r="E1391" s="20">
        <f>IF($C1391="","",IF(Registro_Compras!$F$158="NOTA DE CREDITO",ABS(Registro_Compras!$O$158),IF(Registro_Compras!$F$158="RHE",ROUND(Registro_Compras!$L$158*Registro_Compras!$N$158,2),ROUND(Registro_Compras!$J$158*Registro_Compras!$N$158,2))))</f>
        <v/>
      </c>
      <c r="F1391" s="20">
        <f>""</f>
        <v/>
      </c>
      <c r="G1391">
        <f>IF($C1391="","",IF(Registro_Compras!$F$158="NOTA DE CREDITO","Por la nota de credito "&amp;Registro_Compras!$C$158&amp;" de "&amp;Registro_Compras!$E$158&amp;" [PATRON POR CONFIRMAR CON CONTADOR]",IF(Registro_Compras!$F$158="RHE","Por el registro del recibo por honorarios "&amp;Registro_Compras!$C$158&amp;" de "&amp;Registro_Compras!$E$158&amp;" [PATRON POR CONFIRMAR CON CONTADOR]","Por el registro de la factura "&amp;Registro_Compras!$C$158&amp;" de "&amp;Registro_Compras!$E$158)))</f>
        <v/>
      </c>
      <c r="H1391">
        <f>IF($C1391="","",Registro_Compras!$C$158)</f>
        <v/>
      </c>
    </row>
    <row r="1392">
      <c r="A1392" s="25">
        <f>IF($C1392="","",Registro_Compras!$B$158)</f>
        <v/>
      </c>
      <c r="B1392">
        <f>IF($C1392="","","C"&amp;TEXT(INT((ROW()-5)/9)+1,"000")&amp;"-1")</f>
        <v/>
      </c>
      <c r="C1392">
        <f>IF(OR(Registro_Compras!$C$158="",Registro_Compras!$O$158=""),"",IF(Registro_Compras!$F$158="RHE",IF(Registro_Compras!$V$158=0,"","40172"),IF(Registro_Compras!$F$158="NOTA DE CREDITO",IF(Registro_Compras!$M$158="","63",Registro_Compras!$M$158),IF(Registro_Compras!$K$158=0,"","40111"))))</f>
        <v/>
      </c>
      <c r="D1392">
        <f>IF(OR(Registro_Compras!$C$158="",Registro_Compras!$O$158=""),"",IF(Registro_Compras!$F$158="RHE","Retencion Renta 4ta Categoria por Pagar",IF(Registro_Compras!$F$158="NOTA DE CREDITO","Gastos de Servicios Prestados por Terceros","IGV - Cuenta Propia (Credito Fiscal)")))</f>
        <v/>
      </c>
      <c r="E1392" s="20">
        <f>IF($C1392="","",IF(Registro_Compras!$F$158="FACTURA",ROUND(Registro_Compras!$K$158*Registro_Compras!$N$158,2),""))</f>
        <v/>
      </c>
      <c r="F1392" s="20">
        <f>IF($C1392="","",IF(Registro_Compras!$F$158="RHE",ROUND(Registro_Compras!$V$158*Registro_Compras!$N$158,2),IF(Registro_Compras!$F$158="NOTA DE CREDITO",ROUND(ABS(Registro_Compras!$J$158*Registro_Compras!$N$158),2),"")))</f>
        <v/>
      </c>
      <c r="G1392">
        <f>IF($C1392="","",IF(Registro_Compras!$F$158="NOTA DE CREDITO","Por la nota de credito "&amp;Registro_Compras!$C$158&amp;" de "&amp;Registro_Compras!$E$158&amp;" [PATRON POR CONFIRMAR CON CONTADOR]",IF(Registro_Compras!$F$158="RHE","Por el registro del recibo por honorarios "&amp;Registro_Compras!$C$158&amp;" de "&amp;Registro_Compras!$E$158&amp;" [PATRON POR CONFIRMAR CON CONTADOR]","Por el registro de la factura "&amp;Registro_Compras!$C$158&amp;" de "&amp;Registro_Compras!$E$158)))</f>
        <v/>
      </c>
      <c r="H1392">
        <f>IF($C1392="","",Registro_Compras!$C$158)</f>
        <v/>
      </c>
    </row>
    <row r="1393">
      <c r="A1393" s="25">
        <f>IF($C1393="","",Registro_Compras!$B$158)</f>
        <v/>
      </c>
      <c r="B1393">
        <f>IF($C1393="","","C"&amp;TEXT(INT((ROW()-5)/9)+1,"000")&amp;"-1")</f>
        <v/>
      </c>
      <c r="C1393">
        <f>IF(OR(Registro_Compras!$C$158="",Registro_Compras!$O$158=""),"",IF(Registro_Compras!$F$158="NOTA DE CREDITO",IF(Registro_Compras!$K$158=0,"","40111"),"4212"))</f>
        <v/>
      </c>
      <c r="D1393">
        <f>IF(OR(Registro_Compras!$C$158="",Registro_Compras!$O$158=""),"",IF(Registro_Compras!$F$158="NOTA DE CREDITO","IGV - Cuenta Propia (Credito Fiscal)","Cuentas por Pagar Comerciales - Terceros (Emitidas)"))</f>
        <v/>
      </c>
      <c r="E1393" s="20">
        <f>""</f>
        <v/>
      </c>
      <c r="F1393" s="20">
        <f>IF($C1393="","",IF(Registro_Compras!$F$158="NOTA DE CREDITO",ROUND(ABS(Registro_Compras!$K$158*Registro_Compras!$N$158),2),IF(Registro_Compras!$F$158="RHE",(ROUND(Registro_Compras!$L$158*Registro_Compras!$N$158,2)-ROUND(Registro_Compras!$V$158*Registro_Compras!$N$158,2)),Registro_Compras!$O$158)))</f>
        <v/>
      </c>
      <c r="G1393">
        <f>IF($C1393="","",IF(Registro_Compras!$F$158="NOTA DE CREDITO","Por la nota de credito "&amp;Registro_Compras!$C$158&amp;" de "&amp;Registro_Compras!$E$158&amp;" [PATRON POR CONFIRMAR CON CONTADOR]",IF(Registro_Compras!$F$158="RHE","Por el registro del recibo por honorarios "&amp;Registro_Compras!$C$158&amp;" de "&amp;Registro_Compras!$E$158&amp;" [PATRON POR CONFIRMAR CON CONTADOR]","Por el registro de la factura "&amp;Registro_Compras!$C$158&amp;" de "&amp;Registro_Compras!$E$158)))</f>
        <v/>
      </c>
      <c r="H1393">
        <f>IF($C1393="","",Registro_Compras!$C$158)</f>
        <v/>
      </c>
    </row>
    <row r="1394">
      <c r="A1394" s="25">
        <f>IF($C1394="","",Registro_Compras!$B$158)</f>
        <v/>
      </c>
      <c r="B1394">
        <f>IF($C1394="","","C"&amp;TEXT(INT((ROW()-5)/9)+1,"000")&amp;"-2")</f>
        <v/>
      </c>
      <c r="C1394">
        <f>IF(OR(Registro_Compras!$C$158="",Registro_Compras!$O$158=""),"",IF(Registro_Compras!$AB$158="ADMINISTRATIVO","94","95"))</f>
        <v/>
      </c>
      <c r="D1394">
        <f>IF(OR(Registro_Compras!$C$158="",Registro_Compras!$O$158=""),"",IF(Registro_Compras!$AB$158="ADMINISTRATIVO","Gastos Administrativos","Gastos de Venta y Operacion"))</f>
        <v/>
      </c>
      <c r="E1394" s="20">
        <f>IF($C1394="","",IF(Registro_Compras!$F$158="NOTA DE CREDITO","",IF(Registro_Compras!$F$158="RHE",ROUND(Registro_Compras!$L$158*Registro_Compras!$N$158,2),ROUND(Registro_Compras!$J$158*Registro_Compras!$N$158,2))))</f>
        <v/>
      </c>
      <c r="F1394" s="20">
        <f>IF($C1394="","",IF(Registro_Compras!$F$158="NOTA DE CREDITO",ROUND(ABS(Registro_Compras!$J$158*Registro_Compras!$N$158),2),""))</f>
        <v/>
      </c>
      <c r="G1394">
        <f>IF($C1394="","","Por el destino del gasto")</f>
        <v/>
      </c>
      <c r="H1394">
        <f>IF($C1394="","",Registro_Compras!$C$158)</f>
        <v/>
      </c>
    </row>
    <row r="1395">
      <c r="A1395" s="25">
        <f>IF($C1395="","",Registro_Compras!$B$158)</f>
        <v/>
      </c>
      <c r="B1395">
        <f>IF($C1395="","","C"&amp;TEXT(INT((ROW()-5)/9)+1,"000")&amp;"-2")</f>
        <v/>
      </c>
      <c r="C1395">
        <f>IF(OR(Registro_Compras!$C$158="",Registro_Compras!$O$158=""),"","79/791")</f>
        <v/>
      </c>
      <c r="D1395">
        <f>IF(OR(Registro_Compras!$C$158="",Registro_Compras!$O$158=""),"","Cargas Imputables a Cuentas de Costos y Gastos")</f>
        <v/>
      </c>
      <c r="E1395" s="20">
        <f>IF($C1395="","",IF(Registro_Compras!$F$158="NOTA DE CREDITO",ROUND(ABS(Registro_Compras!$J$158*Registro_Compras!$N$158),2),""))</f>
        <v/>
      </c>
      <c r="F1395" s="20">
        <f>IF($C1395="","",IF(Registro_Compras!$F$158="NOTA DE CREDITO","",IF(Registro_Compras!$F$158="RHE",ROUND(Registro_Compras!$L$158*Registro_Compras!$N$158,2),ROUND(Registro_Compras!$J$158*Registro_Compras!$N$158,2))))</f>
        <v/>
      </c>
      <c r="G1395">
        <f>IF($C1395="","","Por el destino del gasto")</f>
        <v/>
      </c>
      <c r="H1395">
        <f>IF($C1395="","",Registro_Compras!$C$158)</f>
        <v/>
      </c>
    </row>
    <row r="1396">
      <c r="A1396" s="25">
        <f>IF($C1396="","",Registro_Compras!$X$158)</f>
        <v/>
      </c>
      <c r="B1396">
        <f>IF($C1396="","","C"&amp;TEXT(INT((ROW()-5)/9)+1,"000")&amp;"-3")</f>
        <v/>
      </c>
      <c r="C1396">
        <f>IF(OR(Registro_Compras!$C$158="",Registro_Compras!$O$158="",Registro_Compras!$R$158&lt;&gt;"SI",Registro_Compras!$X$158=""),"","4212")</f>
        <v/>
      </c>
      <c r="D1396">
        <f>IF(OR(Registro_Compras!$C$158="",Registro_Compras!$O$158=""),"","Cuentas por Pagar Comerciales - Terceros")</f>
        <v/>
      </c>
      <c r="E1396" s="20">
        <f>IF($C1396="","",Registro_Compras!$S$158)</f>
        <v/>
      </c>
      <c r="F1396" s="20">
        <f>""</f>
        <v/>
      </c>
      <c r="G1396">
        <f>IF($C1396="","","Por el deposito de la detraccion en el Banco de la Nacion")</f>
        <v/>
      </c>
      <c r="H1396">
        <f>IF($C1396="","",Registro_Compras!$C$158)</f>
        <v/>
      </c>
    </row>
    <row r="1397">
      <c r="A1397" s="25">
        <f>IF($C1397="","",Registro_Compras!$X$158)</f>
        <v/>
      </c>
      <c r="B1397">
        <f>IF($C1397="","","C"&amp;TEXT(INT((ROW()-5)/9)+1,"000")&amp;"-3")</f>
        <v/>
      </c>
      <c r="C1397">
        <f>IF(OR(Registro_Compras!$C$158="",Registro_Compras!$O$158="",Registro_Compras!$R$158&lt;&gt;"SI",Registro_Compras!$X$158=""),"","10413")</f>
        <v/>
      </c>
      <c r="D1397">
        <f>IF(OR(Registro_Compras!$C$158="",Registro_Compras!$O$158=""),"","Efectivo y Equivalentes - Cta. Cte. Operativa")</f>
        <v/>
      </c>
      <c r="E1397" s="20">
        <f>""</f>
        <v/>
      </c>
      <c r="F1397" s="20">
        <f>IF($C1397="","",Registro_Compras!$S$158)</f>
        <v/>
      </c>
      <c r="G1397">
        <f>IF($C1397="","","Por el deposito de la detraccion en el Banco de la Nacion")</f>
        <v/>
      </c>
      <c r="H1397">
        <f>IF($C1397="","",Registro_Compras!$C$158)</f>
        <v/>
      </c>
    </row>
    <row r="1398">
      <c r="A1398" s="25">
        <f>IF($C1398="","",Registro_Compras!$Y$158)</f>
        <v/>
      </c>
      <c r="B1398">
        <f>IF($C1398="","","C"&amp;TEXT(INT((ROW()-5)/9)+1,"000")&amp;"-4")</f>
        <v/>
      </c>
      <c r="C1398">
        <f>IF(OR(Registro_Compras!$C$158="",Registro_Compras!$O$158="",Registro_Compras!$Y$158="",Registro_Compras!$F$158="NOTA DE CREDITO"),"","4212")</f>
        <v/>
      </c>
      <c r="D1398">
        <f>IF(OR(Registro_Compras!$C$158="",Registro_Compras!$O$158=""),"","Cuentas por Pagar Comerciales - Terceros")</f>
        <v/>
      </c>
      <c r="E1398" s="20">
        <f>IF($C1398="","",IF(Registro_Compras!$F$158="RHE",(ROUND(Registro_Compras!$L$158*Registro_Compras!$N$158,2)-ROUND(Registro_Compras!$V$158*Registro_Compras!$N$158,2)),ROUND(Registro_Compras!$O$158-Registro_Compras!$S$158,2)))</f>
        <v/>
      </c>
      <c r="F1398" s="20">
        <f>""</f>
        <v/>
      </c>
      <c r="G1398">
        <f>IF($C1398="","","Por la cancelacion del saldo al proveedor")</f>
        <v/>
      </c>
      <c r="H1398">
        <f>IF($C1398="","",Registro_Compras!$C$158)</f>
        <v/>
      </c>
    </row>
    <row r="1399">
      <c r="A1399" s="25">
        <f>IF($C1399="","",Registro_Compras!$Y$158)</f>
        <v/>
      </c>
      <c r="B1399">
        <f>IF($C1399="","","C"&amp;TEXT(INT((ROW()-5)/9)+1,"000")&amp;"-4")</f>
        <v/>
      </c>
      <c r="C1399">
        <f>IF(OR(Registro_Compras!$C$158="",Registro_Compras!$O$158="",Registro_Compras!$Y$158="",Registro_Compras!$F$158="NOTA DE CREDITO"),"","10413")</f>
        <v/>
      </c>
      <c r="D1399">
        <f>IF(OR(Registro_Compras!$C$158="",Registro_Compras!$O$158=""),"","Efectivo y Equivalentes - Cta. Cte. Operativa")</f>
        <v/>
      </c>
      <c r="E1399" s="20">
        <f>""</f>
        <v/>
      </c>
      <c r="F1399" s="20">
        <f>IF($C1399="","",IF(Registro_Compras!$F$158="RHE",(ROUND(Registro_Compras!$L$158*Registro_Compras!$N$158,2)-ROUND(Registro_Compras!$V$158*Registro_Compras!$N$158,2)),ROUND(Registro_Compras!$O$158-Registro_Compras!$S$158,2)))</f>
        <v/>
      </c>
      <c r="G1399">
        <f>IF($C1399="","","Por la cancelacion del saldo al proveedor")</f>
        <v/>
      </c>
      <c r="H1399">
        <f>IF($C1399="","",Registro_Compras!$C$158)</f>
        <v/>
      </c>
    </row>
    <row r="1400">
      <c r="A1400" s="25">
        <f>IF($C1400="","",Registro_Compras!$B$159)</f>
        <v/>
      </c>
      <c r="B1400">
        <f>IF($C1400="","","C"&amp;TEXT(INT((ROW()-5)/9)+1,"000")&amp;"-1")</f>
        <v/>
      </c>
      <c r="C1400">
        <f>IF(OR(Registro_Compras!$C$159="",Registro_Compras!$O$159=""),"",IF(Registro_Compras!$F$159="NOTA DE CREDITO","4212",IF(Registro_Compras!$M$159="","63",Registro_Compras!$M$159)))</f>
        <v/>
      </c>
      <c r="D1400">
        <f>IF(OR(Registro_Compras!$C$159="",Registro_Compras!$O$159=""),"",IF(Registro_Compras!$F$159="NOTA DE CREDITO","Cuentas por Pagar Comerciales - Terceros (Emitidas)",IF(Registro_Compras!$F$159="RHE","Honorarios Profesionales - Servicios de Terceros","Gastos de Servicios Prestados por Terceros")))</f>
        <v/>
      </c>
      <c r="E1400" s="20">
        <f>IF($C1400="","",IF(Registro_Compras!$F$159="NOTA DE CREDITO",ABS(Registro_Compras!$O$159),IF(Registro_Compras!$F$159="RHE",ROUND(Registro_Compras!$L$159*Registro_Compras!$N$159,2),ROUND(Registro_Compras!$J$159*Registro_Compras!$N$159,2))))</f>
        <v/>
      </c>
      <c r="F1400" s="20">
        <f>""</f>
        <v/>
      </c>
      <c r="G1400">
        <f>IF($C1400="","",IF(Registro_Compras!$F$159="NOTA DE CREDITO","Por la nota de credito "&amp;Registro_Compras!$C$159&amp;" de "&amp;Registro_Compras!$E$159&amp;" [PATRON POR CONFIRMAR CON CONTADOR]",IF(Registro_Compras!$F$159="RHE","Por el registro del recibo por honorarios "&amp;Registro_Compras!$C$159&amp;" de "&amp;Registro_Compras!$E$159&amp;" [PATRON POR CONFIRMAR CON CONTADOR]","Por el registro de la factura "&amp;Registro_Compras!$C$159&amp;" de "&amp;Registro_Compras!$E$159)))</f>
        <v/>
      </c>
      <c r="H1400">
        <f>IF($C1400="","",Registro_Compras!$C$159)</f>
        <v/>
      </c>
    </row>
    <row r="1401">
      <c r="A1401" s="25">
        <f>IF($C1401="","",Registro_Compras!$B$159)</f>
        <v/>
      </c>
      <c r="B1401">
        <f>IF($C1401="","","C"&amp;TEXT(INT((ROW()-5)/9)+1,"000")&amp;"-1")</f>
        <v/>
      </c>
      <c r="C1401">
        <f>IF(OR(Registro_Compras!$C$159="",Registro_Compras!$O$159=""),"",IF(Registro_Compras!$F$159="RHE",IF(Registro_Compras!$V$159=0,"","40172"),IF(Registro_Compras!$F$159="NOTA DE CREDITO",IF(Registro_Compras!$M$159="","63",Registro_Compras!$M$159),IF(Registro_Compras!$K$159=0,"","40111"))))</f>
        <v/>
      </c>
      <c r="D1401">
        <f>IF(OR(Registro_Compras!$C$159="",Registro_Compras!$O$159=""),"",IF(Registro_Compras!$F$159="RHE","Retencion Renta 4ta Categoria por Pagar",IF(Registro_Compras!$F$159="NOTA DE CREDITO","Gastos de Servicios Prestados por Terceros","IGV - Cuenta Propia (Credito Fiscal)")))</f>
        <v/>
      </c>
      <c r="E1401" s="20">
        <f>IF($C1401="","",IF(Registro_Compras!$F$159="FACTURA",ROUND(Registro_Compras!$K$159*Registro_Compras!$N$159,2),""))</f>
        <v/>
      </c>
      <c r="F1401" s="20">
        <f>IF($C1401="","",IF(Registro_Compras!$F$159="RHE",ROUND(Registro_Compras!$V$159*Registro_Compras!$N$159,2),IF(Registro_Compras!$F$159="NOTA DE CREDITO",ROUND(ABS(Registro_Compras!$J$159*Registro_Compras!$N$159),2),"")))</f>
        <v/>
      </c>
      <c r="G1401">
        <f>IF($C1401="","",IF(Registro_Compras!$F$159="NOTA DE CREDITO","Por la nota de credito "&amp;Registro_Compras!$C$159&amp;" de "&amp;Registro_Compras!$E$159&amp;" [PATRON POR CONFIRMAR CON CONTADOR]",IF(Registro_Compras!$F$159="RHE","Por el registro del recibo por honorarios "&amp;Registro_Compras!$C$159&amp;" de "&amp;Registro_Compras!$E$159&amp;" [PATRON POR CONFIRMAR CON CONTADOR]","Por el registro de la factura "&amp;Registro_Compras!$C$159&amp;" de "&amp;Registro_Compras!$E$159)))</f>
        <v/>
      </c>
      <c r="H1401">
        <f>IF($C1401="","",Registro_Compras!$C$159)</f>
        <v/>
      </c>
    </row>
    <row r="1402">
      <c r="A1402" s="25">
        <f>IF($C1402="","",Registro_Compras!$B$159)</f>
        <v/>
      </c>
      <c r="B1402">
        <f>IF($C1402="","","C"&amp;TEXT(INT((ROW()-5)/9)+1,"000")&amp;"-1")</f>
        <v/>
      </c>
      <c r="C1402">
        <f>IF(OR(Registro_Compras!$C$159="",Registro_Compras!$O$159=""),"",IF(Registro_Compras!$F$159="NOTA DE CREDITO",IF(Registro_Compras!$K$159=0,"","40111"),"4212"))</f>
        <v/>
      </c>
      <c r="D1402">
        <f>IF(OR(Registro_Compras!$C$159="",Registro_Compras!$O$159=""),"",IF(Registro_Compras!$F$159="NOTA DE CREDITO","IGV - Cuenta Propia (Credito Fiscal)","Cuentas por Pagar Comerciales - Terceros (Emitidas)"))</f>
        <v/>
      </c>
      <c r="E1402" s="20">
        <f>""</f>
        <v/>
      </c>
      <c r="F1402" s="20">
        <f>IF($C1402="","",IF(Registro_Compras!$F$159="NOTA DE CREDITO",ROUND(ABS(Registro_Compras!$K$159*Registro_Compras!$N$159),2),IF(Registro_Compras!$F$159="RHE",(ROUND(Registro_Compras!$L$159*Registro_Compras!$N$159,2)-ROUND(Registro_Compras!$V$159*Registro_Compras!$N$159,2)),Registro_Compras!$O$159)))</f>
        <v/>
      </c>
      <c r="G1402">
        <f>IF($C1402="","",IF(Registro_Compras!$F$159="NOTA DE CREDITO","Por la nota de credito "&amp;Registro_Compras!$C$159&amp;" de "&amp;Registro_Compras!$E$159&amp;" [PATRON POR CONFIRMAR CON CONTADOR]",IF(Registro_Compras!$F$159="RHE","Por el registro del recibo por honorarios "&amp;Registro_Compras!$C$159&amp;" de "&amp;Registro_Compras!$E$159&amp;" [PATRON POR CONFIRMAR CON CONTADOR]","Por el registro de la factura "&amp;Registro_Compras!$C$159&amp;" de "&amp;Registro_Compras!$E$159)))</f>
        <v/>
      </c>
      <c r="H1402">
        <f>IF($C1402="","",Registro_Compras!$C$159)</f>
        <v/>
      </c>
    </row>
    <row r="1403">
      <c r="A1403" s="25">
        <f>IF($C1403="","",Registro_Compras!$B$159)</f>
        <v/>
      </c>
      <c r="B1403">
        <f>IF($C1403="","","C"&amp;TEXT(INT((ROW()-5)/9)+1,"000")&amp;"-2")</f>
        <v/>
      </c>
      <c r="C1403">
        <f>IF(OR(Registro_Compras!$C$159="",Registro_Compras!$O$159=""),"",IF(Registro_Compras!$AB$159="ADMINISTRATIVO","94","95"))</f>
        <v/>
      </c>
      <c r="D1403">
        <f>IF(OR(Registro_Compras!$C$159="",Registro_Compras!$O$159=""),"",IF(Registro_Compras!$AB$159="ADMINISTRATIVO","Gastos Administrativos","Gastos de Venta y Operacion"))</f>
        <v/>
      </c>
      <c r="E1403" s="20">
        <f>IF($C1403="","",IF(Registro_Compras!$F$159="NOTA DE CREDITO","",IF(Registro_Compras!$F$159="RHE",ROUND(Registro_Compras!$L$159*Registro_Compras!$N$159,2),ROUND(Registro_Compras!$J$159*Registro_Compras!$N$159,2))))</f>
        <v/>
      </c>
      <c r="F1403" s="20">
        <f>IF($C1403="","",IF(Registro_Compras!$F$159="NOTA DE CREDITO",ROUND(ABS(Registro_Compras!$J$159*Registro_Compras!$N$159),2),""))</f>
        <v/>
      </c>
      <c r="G1403">
        <f>IF($C1403="","","Por el destino del gasto")</f>
        <v/>
      </c>
      <c r="H1403">
        <f>IF($C1403="","",Registro_Compras!$C$159)</f>
        <v/>
      </c>
    </row>
    <row r="1404">
      <c r="A1404" s="25">
        <f>IF($C1404="","",Registro_Compras!$B$159)</f>
        <v/>
      </c>
      <c r="B1404">
        <f>IF($C1404="","","C"&amp;TEXT(INT((ROW()-5)/9)+1,"000")&amp;"-2")</f>
        <v/>
      </c>
      <c r="C1404">
        <f>IF(OR(Registro_Compras!$C$159="",Registro_Compras!$O$159=""),"","79/791")</f>
        <v/>
      </c>
      <c r="D1404">
        <f>IF(OR(Registro_Compras!$C$159="",Registro_Compras!$O$159=""),"","Cargas Imputables a Cuentas de Costos y Gastos")</f>
        <v/>
      </c>
      <c r="E1404" s="20">
        <f>IF($C1404="","",IF(Registro_Compras!$F$159="NOTA DE CREDITO",ROUND(ABS(Registro_Compras!$J$159*Registro_Compras!$N$159),2),""))</f>
        <v/>
      </c>
      <c r="F1404" s="20">
        <f>IF($C1404="","",IF(Registro_Compras!$F$159="NOTA DE CREDITO","",IF(Registro_Compras!$F$159="RHE",ROUND(Registro_Compras!$L$159*Registro_Compras!$N$159,2),ROUND(Registro_Compras!$J$159*Registro_Compras!$N$159,2))))</f>
        <v/>
      </c>
      <c r="G1404">
        <f>IF($C1404="","","Por el destino del gasto")</f>
        <v/>
      </c>
      <c r="H1404">
        <f>IF($C1404="","",Registro_Compras!$C$159)</f>
        <v/>
      </c>
    </row>
    <row r="1405">
      <c r="A1405" s="25">
        <f>IF($C1405="","",Registro_Compras!$X$159)</f>
        <v/>
      </c>
      <c r="B1405">
        <f>IF($C1405="","","C"&amp;TEXT(INT((ROW()-5)/9)+1,"000")&amp;"-3")</f>
        <v/>
      </c>
      <c r="C1405">
        <f>IF(OR(Registro_Compras!$C$159="",Registro_Compras!$O$159="",Registro_Compras!$R$159&lt;&gt;"SI",Registro_Compras!$X$159=""),"","4212")</f>
        <v/>
      </c>
      <c r="D1405">
        <f>IF(OR(Registro_Compras!$C$159="",Registro_Compras!$O$159=""),"","Cuentas por Pagar Comerciales - Terceros")</f>
        <v/>
      </c>
      <c r="E1405" s="20">
        <f>IF($C1405="","",Registro_Compras!$S$159)</f>
        <v/>
      </c>
      <c r="F1405" s="20">
        <f>""</f>
        <v/>
      </c>
      <c r="G1405">
        <f>IF($C1405="","","Por el deposito de la detraccion en el Banco de la Nacion")</f>
        <v/>
      </c>
      <c r="H1405">
        <f>IF($C1405="","",Registro_Compras!$C$159)</f>
        <v/>
      </c>
    </row>
    <row r="1406">
      <c r="A1406" s="25">
        <f>IF($C1406="","",Registro_Compras!$X$159)</f>
        <v/>
      </c>
      <c r="B1406">
        <f>IF($C1406="","","C"&amp;TEXT(INT((ROW()-5)/9)+1,"000")&amp;"-3")</f>
        <v/>
      </c>
      <c r="C1406">
        <f>IF(OR(Registro_Compras!$C$159="",Registro_Compras!$O$159="",Registro_Compras!$R$159&lt;&gt;"SI",Registro_Compras!$X$159=""),"","10413")</f>
        <v/>
      </c>
      <c r="D1406">
        <f>IF(OR(Registro_Compras!$C$159="",Registro_Compras!$O$159=""),"","Efectivo y Equivalentes - Cta. Cte. Operativa")</f>
        <v/>
      </c>
      <c r="E1406" s="20">
        <f>""</f>
        <v/>
      </c>
      <c r="F1406" s="20">
        <f>IF($C1406="","",Registro_Compras!$S$159)</f>
        <v/>
      </c>
      <c r="G1406">
        <f>IF($C1406="","","Por el deposito de la detraccion en el Banco de la Nacion")</f>
        <v/>
      </c>
      <c r="H1406">
        <f>IF($C1406="","",Registro_Compras!$C$159)</f>
        <v/>
      </c>
    </row>
    <row r="1407">
      <c r="A1407" s="25">
        <f>IF($C1407="","",Registro_Compras!$Y$159)</f>
        <v/>
      </c>
      <c r="B1407">
        <f>IF($C1407="","","C"&amp;TEXT(INT((ROW()-5)/9)+1,"000")&amp;"-4")</f>
        <v/>
      </c>
      <c r="C1407">
        <f>IF(OR(Registro_Compras!$C$159="",Registro_Compras!$O$159="",Registro_Compras!$Y$159="",Registro_Compras!$F$159="NOTA DE CREDITO"),"","4212")</f>
        <v/>
      </c>
      <c r="D1407">
        <f>IF(OR(Registro_Compras!$C$159="",Registro_Compras!$O$159=""),"","Cuentas por Pagar Comerciales - Terceros")</f>
        <v/>
      </c>
      <c r="E1407" s="20">
        <f>IF($C1407="","",IF(Registro_Compras!$F$159="RHE",(ROUND(Registro_Compras!$L$159*Registro_Compras!$N$159,2)-ROUND(Registro_Compras!$V$159*Registro_Compras!$N$159,2)),ROUND(Registro_Compras!$O$159-Registro_Compras!$S$159,2)))</f>
        <v/>
      </c>
      <c r="F1407" s="20">
        <f>""</f>
        <v/>
      </c>
      <c r="G1407">
        <f>IF($C1407="","","Por la cancelacion del saldo al proveedor")</f>
        <v/>
      </c>
      <c r="H1407">
        <f>IF($C1407="","",Registro_Compras!$C$159)</f>
        <v/>
      </c>
    </row>
    <row r="1408">
      <c r="A1408" s="25">
        <f>IF($C1408="","",Registro_Compras!$Y$159)</f>
        <v/>
      </c>
      <c r="B1408">
        <f>IF($C1408="","","C"&amp;TEXT(INT((ROW()-5)/9)+1,"000")&amp;"-4")</f>
        <v/>
      </c>
      <c r="C1408">
        <f>IF(OR(Registro_Compras!$C$159="",Registro_Compras!$O$159="",Registro_Compras!$Y$159="",Registro_Compras!$F$159="NOTA DE CREDITO"),"","10413")</f>
        <v/>
      </c>
      <c r="D1408">
        <f>IF(OR(Registro_Compras!$C$159="",Registro_Compras!$O$159=""),"","Efectivo y Equivalentes - Cta. Cte. Operativa")</f>
        <v/>
      </c>
      <c r="E1408" s="20">
        <f>""</f>
        <v/>
      </c>
      <c r="F1408" s="20">
        <f>IF($C1408="","",IF(Registro_Compras!$F$159="RHE",(ROUND(Registro_Compras!$L$159*Registro_Compras!$N$159,2)-ROUND(Registro_Compras!$V$159*Registro_Compras!$N$159,2)),ROUND(Registro_Compras!$O$159-Registro_Compras!$S$159,2)))</f>
        <v/>
      </c>
      <c r="G1408">
        <f>IF($C1408="","","Por la cancelacion del saldo al proveedor")</f>
        <v/>
      </c>
      <c r="H1408">
        <f>IF($C1408="","",Registro_Compras!$C$159)</f>
        <v/>
      </c>
    </row>
    <row r="1409">
      <c r="A1409" s="25">
        <f>IF($C1409="","",Registro_Compras!$B$160)</f>
        <v/>
      </c>
      <c r="B1409">
        <f>IF($C1409="","","C"&amp;TEXT(INT((ROW()-5)/9)+1,"000")&amp;"-1")</f>
        <v/>
      </c>
      <c r="C1409">
        <f>IF(OR(Registro_Compras!$C$160="",Registro_Compras!$O$160=""),"",IF(Registro_Compras!$F$160="NOTA DE CREDITO","4212",IF(Registro_Compras!$M$160="","63",Registro_Compras!$M$160)))</f>
        <v/>
      </c>
      <c r="D1409">
        <f>IF(OR(Registro_Compras!$C$160="",Registro_Compras!$O$160=""),"",IF(Registro_Compras!$F$160="NOTA DE CREDITO","Cuentas por Pagar Comerciales - Terceros (Emitidas)",IF(Registro_Compras!$F$160="RHE","Honorarios Profesionales - Servicios de Terceros","Gastos de Servicios Prestados por Terceros")))</f>
        <v/>
      </c>
      <c r="E1409" s="20">
        <f>IF($C1409="","",IF(Registro_Compras!$F$160="NOTA DE CREDITO",ABS(Registro_Compras!$O$160),IF(Registro_Compras!$F$160="RHE",ROUND(Registro_Compras!$L$160*Registro_Compras!$N$160,2),ROUND(Registro_Compras!$J$160*Registro_Compras!$N$160,2))))</f>
        <v/>
      </c>
      <c r="F1409" s="20">
        <f>""</f>
        <v/>
      </c>
      <c r="G1409">
        <f>IF($C1409="","",IF(Registro_Compras!$F$160="NOTA DE CREDITO","Por la nota de credito "&amp;Registro_Compras!$C$160&amp;" de "&amp;Registro_Compras!$E$160&amp;" [PATRON POR CONFIRMAR CON CONTADOR]",IF(Registro_Compras!$F$160="RHE","Por el registro del recibo por honorarios "&amp;Registro_Compras!$C$160&amp;" de "&amp;Registro_Compras!$E$160&amp;" [PATRON POR CONFIRMAR CON CONTADOR]","Por el registro de la factura "&amp;Registro_Compras!$C$160&amp;" de "&amp;Registro_Compras!$E$160)))</f>
        <v/>
      </c>
      <c r="H1409">
        <f>IF($C1409="","",Registro_Compras!$C$160)</f>
        <v/>
      </c>
    </row>
    <row r="1410">
      <c r="A1410" s="25">
        <f>IF($C1410="","",Registro_Compras!$B$160)</f>
        <v/>
      </c>
      <c r="B1410">
        <f>IF($C1410="","","C"&amp;TEXT(INT((ROW()-5)/9)+1,"000")&amp;"-1")</f>
        <v/>
      </c>
      <c r="C1410">
        <f>IF(OR(Registro_Compras!$C$160="",Registro_Compras!$O$160=""),"",IF(Registro_Compras!$F$160="RHE",IF(Registro_Compras!$V$160=0,"","40172"),IF(Registro_Compras!$F$160="NOTA DE CREDITO",IF(Registro_Compras!$M$160="","63",Registro_Compras!$M$160),IF(Registro_Compras!$K$160=0,"","40111"))))</f>
        <v/>
      </c>
      <c r="D1410">
        <f>IF(OR(Registro_Compras!$C$160="",Registro_Compras!$O$160=""),"",IF(Registro_Compras!$F$160="RHE","Retencion Renta 4ta Categoria por Pagar",IF(Registro_Compras!$F$160="NOTA DE CREDITO","Gastos de Servicios Prestados por Terceros","IGV - Cuenta Propia (Credito Fiscal)")))</f>
        <v/>
      </c>
      <c r="E1410" s="20">
        <f>IF($C1410="","",IF(Registro_Compras!$F$160="FACTURA",ROUND(Registro_Compras!$K$160*Registro_Compras!$N$160,2),""))</f>
        <v/>
      </c>
      <c r="F1410" s="20">
        <f>IF($C1410="","",IF(Registro_Compras!$F$160="RHE",ROUND(Registro_Compras!$V$160*Registro_Compras!$N$160,2),IF(Registro_Compras!$F$160="NOTA DE CREDITO",ROUND(ABS(Registro_Compras!$J$160*Registro_Compras!$N$160),2),"")))</f>
        <v/>
      </c>
      <c r="G1410">
        <f>IF($C1410="","",IF(Registro_Compras!$F$160="NOTA DE CREDITO","Por la nota de credito "&amp;Registro_Compras!$C$160&amp;" de "&amp;Registro_Compras!$E$160&amp;" [PATRON POR CONFIRMAR CON CONTADOR]",IF(Registro_Compras!$F$160="RHE","Por el registro del recibo por honorarios "&amp;Registro_Compras!$C$160&amp;" de "&amp;Registro_Compras!$E$160&amp;" [PATRON POR CONFIRMAR CON CONTADOR]","Por el registro de la factura "&amp;Registro_Compras!$C$160&amp;" de "&amp;Registro_Compras!$E$160)))</f>
        <v/>
      </c>
      <c r="H1410">
        <f>IF($C1410="","",Registro_Compras!$C$160)</f>
        <v/>
      </c>
    </row>
    <row r="1411">
      <c r="A1411" s="25">
        <f>IF($C1411="","",Registro_Compras!$B$160)</f>
        <v/>
      </c>
      <c r="B1411">
        <f>IF($C1411="","","C"&amp;TEXT(INT((ROW()-5)/9)+1,"000")&amp;"-1")</f>
        <v/>
      </c>
      <c r="C1411">
        <f>IF(OR(Registro_Compras!$C$160="",Registro_Compras!$O$160=""),"",IF(Registro_Compras!$F$160="NOTA DE CREDITO",IF(Registro_Compras!$K$160=0,"","40111"),"4212"))</f>
        <v/>
      </c>
      <c r="D1411">
        <f>IF(OR(Registro_Compras!$C$160="",Registro_Compras!$O$160=""),"",IF(Registro_Compras!$F$160="NOTA DE CREDITO","IGV - Cuenta Propia (Credito Fiscal)","Cuentas por Pagar Comerciales - Terceros (Emitidas)"))</f>
        <v/>
      </c>
      <c r="E1411" s="20">
        <f>""</f>
        <v/>
      </c>
      <c r="F1411" s="20">
        <f>IF($C1411="","",IF(Registro_Compras!$F$160="NOTA DE CREDITO",ROUND(ABS(Registro_Compras!$K$160*Registro_Compras!$N$160),2),IF(Registro_Compras!$F$160="RHE",(ROUND(Registro_Compras!$L$160*Registro_Compras!$N$160,2)-ROUND(Registro_Compras!$V$160*Registro_Compras!$N$160,2)),Registro_Compras!$O$160)))</f>
        <v/>
      </c>
      <c r="G1411">
        <f>IF($C1411="","",IF(Registro_Compras!$F$160="NOTA DE CREDITO","Por la nota de credito "&amp;Registro_Compras!$C$160&amp;" de "&amp;Registro_Compras!$E$160&amp;" [PATRON POR CONFIRMAR CON CONTADOR]",IF(Registro_Compras!$F$160="RHE","Por el registro del recibo por honorarios "&amp;Registro_Compras!$C$160&amp;" de "&amp;Registro_Compras!$E$160&amp;" [PATRON POR CONFIRMAR CON CONTADOR]","Por el registro de la factura "&amp;Registro_Compras!$C$160&amp;" de "&amp;Registro_Compras!$E$160)))</f>
        <v/>
      </c>
      <c r="H1411">
        <f>IF($C1411="","",Registro_Compras!$C$160)</f>
        <v/>
      </c>
    </row>
    <row r="1412">
      <c r="A1412" s="25">
        <f>IF($C1412="","",Registro_Compras!$B$160)</f>
        <v/>
      </c>
      <c r="B1412">
        <f>IF($C1412="","","C"&amp;TEXT(INT((ROW()-5)/9)+1,"000")&amp;"-2")</f>
        <v/>
      </c>
      <c r="C1412">
        <f>IF(OR(Registro_Compras!$C$160="",Registro_Compras!$O$160=""),"",IF(Registro_Compras!$AB$160="ADMINISTRATIVO","94","95"))</f>
        <v/>
      </c>
      <c r="D1412">
        <f>IF(OR(Registro_Compras!$C$160="",Registro_Compras!$O$160=""),"",IF(Registro_Compras!$AB$160="ADMINISTRATIVO","Gastos Administrativos","Gastos de Venta y Operacion"))</f>
        <v/>
      </c>
      <c r="E1412" s="20">
        <f>IF($C1412="","",IF(Registro_Compras!$F$160="NOTA DE CREDITO","",IF(Registro_Compras!$F$160="RHE",ROUND(Registro_Compras!$L$160*Registro_Compras!$N$160,2),ROUND(Registro_Compras!$J$160*Registro_Compras!$N$160,2))))</f>
        <v/>
      </c>
      <c r="F1412" s="20">
        <f>IF($C1412="","",IF(Registro_Compras!$F$160="NOTA DE CREDITO",ROUND(ABS(Registro_Compras!$J$160*Registro_Compras!$N$160),2),""))</f>
        <v/>
      </c>
      <c r="G1412">
        <f>IF($C1412="","","Por el destino del gasto")</f>
        <v/>
      </c>
      <c r="H1412">
        <f>IF($C1412="","",Registro_Compras!$C$160)</f>
        <v/>
      </c>
    </row>
    <row r="1413">
      <c r="A1413" s="25">
        <f>IF($C1413="","",Registro_Compras!$B$160)</f>
        <v/>
      </c>
      <c r="B1413">
        <f>IF($C1413="","","C"&amp;TEXT(INT((ROW()-5)/9)+1,"000")&amp;"-2")</f>
        <v/>
      </c>
      <c r="C1413">
        <f>IF(OR(Registro_Compras!$C$160="",Registro_Compras!$O$160=""),"","79/791")</f>
        <v/>
      </c>
      <c r="D1413">
        <f>IF(OR(Registro_Compras!$C$160="",Registro_Compras!$O$160=""),"","Cargas Imputables a Cuentas de Costos y Gastos")</f>
        <v/>
      </c>
      <c r="E1413" s="20">
        <f>IF($C1413="","",IF(Registro_Compras!$F$160="NOTA DE CREDITO",ROUND(ABS(Registro_Compras!$J$160*Registro_Compras!$N$160),2),""))</f>
        <v/>
      </c>
      <c r="F1413" s="20">
        <f>IF($C1413="","",IF(Registro_Compras!$F$160="NOTA DE CREDITO","",IF(Registro_Compras!$F$160="RHE",ROUND(Registro_Compras!$L$160*Registro_Compras!$N$160,2),ROUND(Registro_Compras!$J$160*Registro_Compras!$N$160,2))))</f>
        <v/>
      </c>
      <c r="G1413">
        <f>IF($C1413="","","Por el destino del gasto")</f>
        <v/>
      </c>
      <c r="H1413">
        <f>IF($C1413="","",Registro_Compras!$C$160)</f>
        <v/>
      </c>
    </row>
    <row r="1414">
      <c r="A1414" s="25">
        <f>IF($C1414="","",Registro_Compras!$X$160)</f>
        <v/>
      </c>
      <c r="B1414">
        <f>IF($C1414="","","C"&amp;TEXT(INT((ROW()-5)/9)+1,"000")&amp;"-3")</f>
        <v/>
      </c>
      <c r="C1414">
        <f>IF(OR(Registro_Compras!$C$160="",Registro_Compras!$O$160="",Registro_Compras!$R$160&lt;&gt;"SI",Registro_Compras!$X$160=""),"","4212")</f>
        <v/>
      </c>
      <c r="D1414">
        <f>IF(OR(Registro_Compras!$C$160="",Registro_Compras!$O$160=""),"","Cuentas por Pagar Comerciales - Terceros")</f>
        <v/>
      </c>
      <c r="E1414" s="20">
        <f>IF($C1414="","",Registro_Compras!$S$160)</f>
        <v/>
      </c>
      <c r="F1414" s="20">
        <f>""</f>
        <v/>
      </c>
      <c r="G1414">
        <f>IF($C1414="","","Por el deposito de la detraccion en el Banco de la Nacion")</f>
        <v/>
      </c>
      <c r="H1414">
        <f>IF($C1414="","",Registro_Compras!$C$160)</f>
        <v/>
      </c>
    </row>
    <row r="1415">
      <c r="A1415" s="25">
        <f>IF($C1415="","",Registro_Compras!$X$160)</f>
        <v/>
      </c>
      <c r="B1415">
        <f>IF($C1415="","","C"&amp;TEXT(INT((ROW()-5)/9)+1,"000")&amp;"-3")</f>
        <v/>
      </c>
      <c r="C1415">
        <f>IF(OR(Registro_Compras!$C$160="",Registro_Compras!$O$160="",Registro_Compras!$R$160&lt;&gt;"SI",Registro_Compras!$X$160=""),"","10413")</f>
        <v/>
      </c>
      <c r="D1415">
        <f>IF(OR(Registro_Compras!$C$160="",Registro_Compras!$O$160=""),"","Efectivo y Equivalentes - Cta. Cte. Operativa")</f>
        <v/>
      </c>
      <c r="E1415" s="20">
        <f>""</f>
        <v/>
      </c>
      <c r="F1415" s="20">
        <f>IF($C1415="","",Registro_Compras!$S$160)</f>
        <v/>
      </c>
      <c r="G1415">
        <f>IF($C1415="","","Por el deposito de la detraccion en el Banco de la Nacion")</f>
        <v/>
      </c>
      <c r="H1415">
        <f>IF($C1415="","",Registro_Compras!$C$160)</f>
        <v/>
      </c>
    </row>
    <row r="1416">
      <c r="A1416" s="25">
        <f>IF($C1416="","",Registro_Compras!$Y$160)</f>
        <v/>
      </c>
      <c r="B1416">
        <f>IF($C1416="","","C"&amp;TEXT(INT((ROW()-5)/9)+1,"000")&amp;"-4")</f>
        <v/>
      </c>
      <c r="C1416">
        <f>IF(OR(Registro_Compras!$C$160="",Registro_Compras!$O$160="",Registro_Compras!$Y$160="",Registro_Compras!$F$160="NOTA DE CREDITO"),"","4212")</f>
        <v/>
      </c>
      <c r="D1416">
        <f>IF(OR(Registro_Compras!$C$160="",Registro_Compras!$O$160=""),"","Cuentas por Pagar Comerciales - Terceros")</f>
        <v/>
      </c>
      <c r="E1416" s="20">
        <f>IF($C1416="","",IF(Registro_Compras!$F$160="RHE",(ROUND(Registro_Compras!$L$160*Registro_Compras!$N$160,2)-ROUND(Registro_Compras!$V$160*Registro_Compras!$N$160,2)),ROUND(Registro_Compras!$O$160-Registro_Compras!$S$160,2)))</f>
        <v/>
      </c>
      <c r="F1416" s="20">
        <f>""</f>
        <v/>
      </c>
      <c r="G1416">
        <f>IF($C1416="","","Por la cancelacion del saldo al proveedor")</f>
        <v/>
      </c>
      <c r="H1416">
        <f>IF($C1416="","",Registro_Compras!$C$160)</f>
        <v/>
      </c>
    </row>
    <row r="1417">
      <c r="A1417" s="25">
        <f>IF($C1417="","",Registro_Compras!$Y$160)</f>
        <v/>
      </c>
      <c r="B1417">
        <f>IF($C1417="","","C"&amp;TEXT(INT((ROW()-5)/9)+1,"000")&amp;"-4")</f>
        <v/>
      </c>
      <c r="C1417">
        <f>IF(OR(Registro_Compras!$C$160="",Registro_Compras!$O$160="",Registro_Compras!$Y$160="",Registro_Compras!$F$160="NOTA DE CREDITO"),"","10413")</f>
        <v/>
      </c>
      <c r="D1417">
        <f>IF(OR(Registro_Compras!$C$160="",Registro_Compras!$O$160=""),"","Efectivo y Equivalentes - Cta. Cte. Operativa")</f>
        <v/>
      </c>
      <c r="E1417" s="20">
        <f>""</f>
        <v/>
      </c>
      <c r="F1417" s="20">
        <f>IF($C1417="","",IF(Registro_Compras!$F$160="RHE",(ROUND(Registro_Compras!$L$160*Registro_Compras!$N$160,2)-ROUND(Registro_Compras!$V$160*Registro_Compras!$N$160,2)),ROUND(Registro_Compras!$O$160-Registro_Compras!$S$160,2)))</f>
        <v/>
      </c>
      <c r="G1417">
        <f>IF($C1417="","","Por la cancelacion del saldo al proveedor")</f>
        <v/>
      </c>
      <c r="H1417">
        <f>IF($C1417="","",Registro_Compras!$C$160)</f>
        <v/>
      </c>
    </row>
    <row r="1418">
      <c r="A1418" s="25">
        <f>IF($C1418="","",Registro_Compras!$B$161)</f>
        <v/>
      </c>
      <c r="B1418">
        <f>IF($C1418="","","C"&amp;TEXT(INT((ROW()-5)/9)+1,"000")&amp;"-1")</f>
        <v/>
      </c>
      <c r="C1418">
        <f>IF(OR(Registro_Compras!$C$161="",Registro_Compras!$O$161=""),"",IF(Registro_Compras!$F$161="NOTA DE CREDITO","4212",IF(Registro_Compras!$M$161="","63",Registro_Compras!$M$161)))</f>
        <v/>
      </c>
      <c r="D1418">
        <f>IF(OR(Registro_Compras!$C$161="",Registro_Compras!$O$161=""),"",IF(Registro_Compras!$F$161="NOTA DE CREDITO","Cuentas por Pagar Comerciales - Terceros (Emitidas)",IF(Registro_Compras!$F$161="RHE","Honorarios Profesionales - Servicios de Terceros","Gastos de Servicios Prestados por Terceros")))</f>
        <v/>
      </c>
      <c r="E1418" s="20">
        <f>IF($C1418="","",IF(Registro_Compras!$F$161="NOTA DE CREDITO",ABS(Registro_Compras!$O$161),IF(Registro_Compras!$F$161="RHE",ROUND(Registro_Compras!$L$161*Registro_Compras!$N$161,2),ROUND(Registro_Compras!$J$161*Registro_Compras!$N$161,2))))</f>
        <v/>
      </c>
      <c r="F1418" s="20">
        <f>""</f>
        <v/>
      </c>
      <c r="G1418">
        <f>IF($C1418="","",IF(Registro_Compras!$F$161="NOTA DE CREDITO","Por la nota de credito "&amp;Registro_Compras!$C$161&amp;" de "&amp;Registro_Compras!$E$161&amp;" [PATRON POR CONFIRMAR CON CONTADOR]",IF(Registro_Compras!$F$161="RHE","Por el registro del recibo por honorarios "&amp;Registro_Compras!$C$161&amp;" de "&amp;Registro_Compras!$E$161&amp;" [PATRON POR CONFIRMAR CON CONTADOR]","Por el registro de la factura "&amp;Registro_Compras!$C$161&amp;" de "&amp;Registro_Compras!$E$161)))</f>
        <v/>
      </c>
      <c r="H1418">
        <f>IF($C1418="","",Registro_Compras!$C$161)</f>
        <v/>
      </c>
    </row>
    <row r="1419">
      <c r="A1419" s="25">
        <f>IF($C1419="","",Registro_Compras!$B$161)</f>
        <v/>
      </c>
      <c r="B1419">
        <f>IF($C1419="","","C"&amp;TEXT(INT((ROW()-5)/9)+1,"000")&amp;"-1")</f>
        <v/>
      </c>
      <c r="C1419">
        <f>IF(OR(Registro_Compras!$C$161="",Registro_Compras!$O$161=""),"",IF(Registro_Compras!$F$161="RHE",IF(Registro_Compras!$V$161=0,"","40172"),IF(Registro_Compras!$F$161="NOTA DE CREDITO",IF(Registro_Compras!$M$161="","63",Registro_Compras!$M$161),IF(Registro_Compras!$K$161=0,"","40111"))))</f>
        <v/>
      </c>
      <c r="D1419">
        <f>IF(OR(Registro_Compras!$C$161="",Registro_Compras!$O$161=""),"",IF(Registro_Compras!$F$161="RHE","Retencion Renta 4ta Categoria por Pagar",IF(Registro_Compras!$F$161="NOTA DE CREDITO","Gastos de Servicios Prestados por Terceros","IGV - Cuenta Propia (Credito Fiscal)")))</f>
        <v/>
      </c>
      <c r="E1419" s="20">
        <f>IF($C1419="","",IF(Registro_Compras!$F$161="FACTURA",ROUND(Registro_Compras!$K$161*Registro_Compras!$N$161,2),""))</f>
        <v/>
      </c>
      <c r="F1419" s="20">
        <f>IF($C1419="","",IF(Registro_Compras!$F$161="RHE",ROUND(Registro_Compras!$V$161*Registro_Compras!$N$161,2),IF(Registro_Compras!$F$161="NOTA DE CREDITO",ROUND(ABS(Registro_Compras!$J$161*Registro_Compras!$N$161),2),"")))</f>
        <v/>
      </c>
      <c r="G1419">
        <f>IF($C1419="","",IF(Registro_Compras!$F$161="NOTA DE CREDITO","Por la nota de credito "&amp;Registro_Compras!$C$161&amp;" de "&amp;Registro_Compras!$E$161&amp;" [PATRON POR CONFIRMAR CON CONTADOR]",IF(Registro_Compras!$F$161="RHE","Por el registro del recibo por honorarios "&amp;Registro_Compras!$C$161&amp;" de "&amp;Registro_Compras!$E$161&amp;" [PATRON POR CONFIRMAR CON CONTADOR]","Por el registro de la factura "&amp;Registro_Compras!$C$161&amp;" de "&amp;Registro_Compras!$E$161)))</f>
        <v/>
      </c>
      <c r="H1419">
        <f>IF($C1419="","",Registro_Compras!$C$161)</f>
        <v/>
      </c>
    </row>
    <row r="1420">
      <c r="A1420" s="25">
        <f>IF($C1420="","",Registro_Compras!$B$161)</f>
        <v/>
      </c>
      <c r="B1420">
        <f>IF($C1420="","","C"&amp;TEXT(INT((ROW()-5)/9)+1,"000")&amp;"-1")</f>
        <v/>
      </c>
      <c r="C1420">
        <f>IF(OR(Registro_Compras!$C$161="",Registro_Compras!$O$161=""),"",IF(Registro_Compras!$F$161="NOTA DE CREDITO",IF(Registro_Compras!$K$161=0,"","40111"),"4212"))</f>
        <v/>
      </c>
      <c r="D1420">
        <f>IF(OR(Registro_Compras!$C$161="",Registro_Compras!$O$161=""),"",IF(Registro_Compras!$F$161="NOTA DE CREDITO","IGV - Cuenta Propia (Credito Fiscal)","Cuentas por Pagar Comerciales - Terceros (Emitidas)"))</f>
        <v/>
      </c>
      <c r="E1420" s="20">
        <f>""</f>
        <v/>
      </c>
      <c r="F1420" s="20">
        <f>IF($C1420="","",IF(Registro_Compras!$F$161="NOTA DE CREDITO",ROUND(ABS(Registro_Compras!$K$161*Registro_Compras!$N$161),2),IF(Registro_Compras!$F$161="RHE",(ROUND(Registro_Compras!$L$161*Registro_Compras!$N$161,2)-ROUND(Registro_Compras!$V$161*Registro_Compras!$N$161,2)),Registro_Compras!$O$161)))</f>
        <v/>
      </c>
      <c r="G1420">
        <f>IF($C1420="","",IF(Registro_Compras!$F$161="NOTA DE CREDITO","Por la nota de credito "&amp;Registro_Compras!$C$161&amp;" de "&amp;Registro_Compras!$E$161&amp;" [PATRON POR CONFIRMAR CON CONTADOR]",IF(Registro_Compras!$F$161="RHE","Por el registro del recibo por honorarios "&amp;Registro_Compras!$C$161&amp;" de "&amp;Registro_Compras!$E$161&amp;" [PATRON POR CONFIRMAR CON CONTADOR]","Por el registro de la factura "&amp;Registro_Compras!$C$161&amp;" de "&amp;Registro_Compras!$E$161)))</f>
        <v/>
      </c>
      <c r="H1420">
        <f>IF($C1420="","",Registro_Compras!$C$161)</f>
        <v/>
      </c>
    </row>
    <row r="1421">
      <c r="A1421" s="25">
        <f>IF($C1421="","",Registro_Compras!$B$161)</f>
        <v/>
      </c>
      <c r="B1421">
        <f>IF($C1421="","","C"&amp;TEXT(INT((ROW()-5)/9)+1,"000")&amp;"-2")</f>
        <v/>
      </c>
      <c r="C1421">
        <f>IF(OR(Registro_Compras!$C$161="",Registro_Compras!$O$161=""),"",IF(Registro_Compras!$AB$161="ADMINISTRATIVO","94","95"))</f>
        <v/>
      </c>
      <c r="D1421">
        <f>IF(OR(Registro_Compras!$C$161="",Registro_Compras!$O$161=""),"",IF(Registro_Compras!$AB$161="ADMINISTRATIVO","Gastos Administrativos","Gastos de Venta y Operacion"))</f>
        <v/>
      </c>
      <c r="E1421" s="20">
        <f>IF($C1421="","",IF(Registro_Compras!$F$161="NOTA DE CREDITO","",IF(Registro_Compras!$F$161="RHE",ROUND(Registro_Compras!$L$161*Registro_Compras!$N$161,2),ROUND(Registro_Compras!$J$161*Registro_Compras!$N$161,2))))</f>
        <v/>
      </c>
      <c r="F1421" s="20">
        <f>IF($C1421="","",IF(Registro_Compras!$F$161="NOTA DE CREDITO",ROUND(ABS(Registro_Compras!$J$161*Registro_Compras!$N$161),2),""))</f>
        <v/>
      </c>
      <c r="G1421">
        <f>IF($C1421="","","Por el destino del gasto")</f>
        <v/>
      </c>
      <c r="H1421">
        <f>IF($C1421="","",Registro_Compras!$C$161)</f>
        <v/>
      </c>
    </row>
    <row r="1422">
      <c r="A1422" s="25">
        <f>IF($C1422="","",Registro_Compras!$B$161)</f>
        <v/>
      </c>
      <c r="B1422">
        <f>IF($C1422="","","C"&amp;TEXT(INT((ROW()-5)/9)+1,"000")&amp;"-2")</f>
        <v/>
      </c>
      <c r="C1422">
        <f>IF(OR(Registro_Compras!$C$161="",Registro_Compras!$O$161=""),"","79/791")</f>
        <v/>
      </c>
      <c r="D1422">
        <f>IF(OR(Registro_Compras!$C$161="",Registro_Compras!$O$161=""),"","Cargas Imputables a Cuentas de Costos y Gastos")</f>
        <v/>
      </c>
      <c r="E1422" s="20">
        <f>IF($C1422="","",IF(Registro_Compras!$F$161="NOTA DE CREDITO",ROUND(ABS(Registro_Compras!$J$161*Registro_Compras!$N$161),2),""))</f>
        <v/>
      </c>
      <c r="F1422" s="20">
        <f>IF($C1422="","",IF(Registro_Compras!$F$161="NOTA DE CREDITO","",IF(Registro_Compras!$F$161="RHE",ROUND(Registro_Compras!$L$161*Registro_Compras!$N$161,2),ROUND(Registro_Compras!$J$161*Registro_Compras!$N$161,2))))</f>
        <v/>
      </c>
      <c r="G1422">
        <f>IF($C1422="","","Por el destino del gasto")</f>
        <v/>
      </c>
      <c r="H1422">
        <f>IF($C1422="","",Registro_Compras!$C$161)</f>
        <v/>
      </c>
    </row>
    <row r="1423">
      <c r="A1423" s="25">
        <f>IF($C1423="","",Registro_Compras!$X$161)</f>
        <v/>
      </c>
      <c r="B1423">
        <f>IF($C1423="","","C"&amp;TEXT(INT((ROW()-5)/9)+1,"000")&amp;"-3")</f>
        <v/>
      </c>
      <c r="C1423">
        <f>IF(OR(Registro_Compras!$C$161="",Registro_Compras!$O$161="",Registro_Compras!$R$161&lt;&gt;"SI",Registro_Compras!$X$161=""),"","4212")</f>
        <v/>
      </c>
      <c r="D1423">
        <f>IF(OR(Registro_Compras!$C$161="",Registro_Compras!$O$161=""),"","Cuentas por Pagar Comerciales - Terceros")</f>
        <v/>
      </c>
      <c r="E1423" s="20">
        <f>IF($C1423="","",Registro_Compras!$S$161)</f>
        <v/>
      </c>
      <c r="F1423" s="20">
        <f>""</f>
        <v/>
      </c>
      <c r="G1423">
        <f>IF($C1423="","","Por el deposito de la detraccion en el Banco de la Nacion")</f>
        <v/>
      </c>
      <c r="H1423">
        <f>IF($C1423="","",Registro_Compras!$C$161)</f>
        <v/>
      </c>
    </row>
    <row r="1424">
      <c r="A1424" s="25">
        <f>IF($C1424="","",Registro_Compras!$X$161)</f>
        <v/>
      </c>
      <c r="B1424">
        <f>IF($C1424="","","C"&amp;TEXT(INT((ROW()-5)/9)+1,"000")&amp;"-3")</f>
        <v/>
      </c>
      <c r="C1424">
        <f>IF(OR(Registro_Compras!$C$161="",Registro_Compras!$O$161="",Registro_Compras!$R$161&lt;&gt;"SI",Registro_Compras!$X$161=""),"","10413")</f>
        <v/>
      </c>
      <c r="D1424">
        <f>IF(OR(Registro_Compras!$C$161="",Registro_Compras!$O$161=""),"","Efectivo y Equivalentes - Cta. Cte. Operativa")</f>
        <v/>
      </c>
      <c r="E1424" s="20">
        <f>""</f>
        <v/>
      </c>
      <c r="F1424" s="20">
        <f>IF($C1424="","",Registro_Compras!$S$161)</f>
        <v/>
      </c>
      <c r="G1424">
        <f>IF($C1424="","","Por el deposito de la detraccion en el Banco de la Nacion")</f>
        <v/>
      </c>
      <c r="H1424">
        <f>IF($C1424="","",Registro_Compras!$C$161)</f>
        <v/>
      </c>
    </row>
    <row r="1425">
      <c r="A1425" s="25">
        <f>IF($C1425="","",Registro_Compras!$Y$161)</f>
        <v/>
      </c>
      <c r="B1425">
        <f>IF($C1425="","","C"&amp;TEXT(INT((ROW()-5)/9)+1,"000")&amp;"-4")</f>
        <v/>
      </c>
      <c r="C1425">
        <f>IF(OR(Registro_Compras!$C$161="",Registro_Compras!$O$161="",Registro_Compras!$Y$161="",Registro_Compras!$F$161="NOTA DE CREDITO"),"","4212")</f>
        <v/>
      </c>
      <c r="D1425">
        <f>IF(OR(Registro_Compras!$C$161="",Registro_Compras!$O$161=""),"","Cuentas por Pagar Comerciales - Terceros")</f>
        <v/>
      </c>
      <c r="E1425" s="20">
        <f>IF($C1425="","",IF(Registro_Compras!$F$161="RHE",(ROUND(Registro_Compras!$L$161*Registro_Compras!$N$161,2)-ROUND(Registro_Compras!$V$161*Registro_Compras!$N$161,2)),ROUND(Registro_Compras!$O$161-Registro_Compras!$S$161,2)))</f>
        <v/>
      </c>
      <c r="F1425" s="20">
        <f>""</f>
        <v/>
      </c>
      <c r="G1425">
        <f>IF($C1425="","","Por la cancelacion del saldo al proveedor")</f>
        <v/>
      </c>
      <c r="H1425">
        <f>IF($C1425="","",Registro_Compras!$C$161)</f>
        <v/>
      </c>
    </row>
    <row r="1426">
      <c r="A1426" s="25">
        <f>IF($C1426="","",Registro_Compras!$Y$161)</f>
        <v/>
      </c>
      <c r="B1426">
        <f>IF($C1426="","","C"&amp;TEXT(INT((ROW()-5)/9)+1,"000")&amp;"-4")</f>
        <v/>
      </c>
      <c r="C1426">
        <f>IF(OR(Registro_Compras!$C$161="",Registro_Compras!$O$161="",Registro_Compras!$Y$161="",Registro_Compras!$F$161="NOTA DE CREDITO"),"","10413")</f>
        <v/>
      </c>
      <c r="D1426">
        <f>IF(OR(Registro_Compras!$C$161="",Registro_Compras!$O$161=""),"","Efectivo y Equivalentes - Cta. Cte. Operativa")</f>
        <v/>
      </c>
      <c r="E1426" s="20">
        <f>""</f>
        <v/>
      </c>
      <c r="F1426" s="20">
        <f>IF($C1426="","",IF(Registro_Compras!$F$161="RHE",(ROUND(Registro_Compras!$L$161*Registro_Compras!$N$161,2)-ROUND(Registro_Compras!$V$161*Registro_Compras!$N$161,2)),ROUND(Registro_Compras!$O$161-Registro_Compras!$S$161,2)))</f>
        <v/>
      </c>
      <c r="G1426">
        <f>IF($C1426="","","Por la cancelacion del saldo al proveedor")</f>
        <v/>
      </c>
      <c r="H1426">
        <f>IF($C1426="","",Registro_Compras!$C$161)</f>
        <v/>
      </c>
    </row>
    <row r="1427">
      <c r="A1427" s="25">
        <f>IF($C1427="","",Registro_Compras!$B$162)</f>
        <v/>
      </c>
      <c r="B1427">
        <f>IF($C1427="","","C"&amp;TEXT(INT((ROW()-5)/9)+1,"000")&amp;"-1")</f>
        <v/>
      </c>
      <c r="C1427">
        <f>IF(OR(Registro_Compras!$C$162="",Registro_Compras!$O$162=""),"",IF(Registro_Compras!$F$162="NOTA DE CREDITO","4212",IF(Registro_Compras!$M$162="","63",Registro_Compras!$M$162)))</f>
        <v/>
      </c>
      <c r="D1427">
        <f>IF(OR(Registro_Compras!$C$162="",Registro_Compras!$O$162=""),"",IF(Registro_Compras!$F$162="NOTA DE CREDITO","Cuentas por Pagar Comerciales - Terceros (Emitidas)",IF(Registro_Compras!$F$162="RHE","Honorarios Profesionales - Servicios de Terceros","Gastos de Servicios Prestados por Terceros")))</f>
        <v/>
      </c>
      <c r="E1427" s="20">
        <f>IF($C1427="","",IF(Registro_Compras!$F$162="NOTA DE CREDITO",ABS(Registro_Compras!$O$162),IF(Registro_Compras!$F$162="RHE",ROUND(Registro_Compras!$L$162*Registro_Compras!$N$162,2),ROUND(Registro_Compras!$J$162*Registro_Compras!$N$162,2))))</f>
        <v/>
      </c>
      <c r="F1427" s="20">
        <f>""</f>
        <v/>
      </c>
      <c r="G1427">
        <f>IF($C1427="","",IF(Registro_Compras!$F$162="NOTA DE CREDITO","Por la nota de credito "&amp;Registro_Compras!$C$162&amp;" de "&amp;Registro_Compras!$E$162&amp;" [PATRON POR CONFIRMAR CON CONTADOR]",IF(Registro_Compras!$F$162="RHE","Por el registro del recibo por honorarios "&amp;Registro_Compras!$C$162&amp;" de "&amp;Registro_Compras!$E$162&amp;" [PATRON POR CONFIRMAR CON CONTADOR]","Por el registro de la factura "&amp;Registro_Compras!$C$162&amp;" de "&amp;Registro_Compras!$E$162)))</f>
        <v/>
      </c>
      <c r="H1427">
        <f>IF($C1427="","",Registro_Compras!$C$162)</f>
        <v/>
      </c>
    </row>
    <row r="1428">
      <c r="A1428" s="25">
        <f>IF($C1428="","",Registro_Compras!$B$162)</f>
        <v/>
      </c>
      <c r="B1428">
        <f>IF($C1428="","","C"&amp;TEXT(INT((ROW()-5)/9)+1,"000")&amp;"-1")</f>
        <v/>
      </c>
      <c r="C1428">
        <f>IF(OR(Registro_Compras!$C$162="",Registro_Compras!$O$162=""),"",IF(Registro_Compras!$F$162="RHE",IF(Registro_Compras!$V$162=0,"","40172"),IF(Registro_Compras!$F$162="NOTA DE CREDITO",IF(Registro_Compras!$M$162="","63",Registro_Compras!$M$162),IF(Registro_Compras!$K$162=0,"","40111"))))</f>
        <v/>
      </c>
      <c r="D1428">
        <f>IF(OR(Registro_Compras!$C$162="",Registro_Compras!$O$162=""),"",IF(Registro_Compras!$F$162="RHE","Retencion Renta 4ta Categoria por Pagar",IF(Registro_Compras!$F$162="NOTA DE CREDITO","Gastos de Servicios Prestados por Terceros","IGV - Cuenta Propia (Credito Fiscal)")))</f>
        <v/>
      </c>
      <c r="E1428" s="20">
        <f>IF($C1428="","",IF(Registro_Compras!$F$162="FACTURA",ROUND(Registro_Compras!$K$162*Registro_Compras!$N$162,2),""))</f>
        <v/>
      </c>
      <c r="F1428" s="20">
        <f>IF($C1428="","",IF(Registro_Compras!$F$162="RHE",ROUND(Registro_Compras!$V$162*Registro_Compras!$N$162,2),IF(Registro_Compras!$F$162="NOTA DE CREDITO",ROUND(ABS(Registro_Compras!$J$162*Registro_Compras!$N$162),2),"")))</f>
        <v/>
      </c>
      <c r="G1428">
        <f>IF($C1428="","",IF(Registro_Compras!$F$162="NOTA DE CREDITO","Por la nota de credito "&amp;Registro_Compras!$C$162&amp;" de "&amp;Registro_Compras!$E$162&amp;" [PATRON POR CONFIRMAR CON CONTADOR]",IF(Registro_Compras!$F$162="RHE","Por el registro del recibo por honorarios "&amp;Registro_Compras!$C$162&amp;" de "&amp;Registro_Compras!$E$162&amp;" [PATRON POR CONFIRMAR CON CONTADOR]","Por el registro de la factura "&amp;Registro_Compras!$C$162&amp;" de "&amp;Registro_Compras!$E$162)))</f>
        <v/>
      </c>
      <c r="H1428">
        <f>IF($C1428="","",Registro_Compras!$C$162)</f>
        <v/>
      </c>
    </row>
    <row r="1429">
      <c r="A1429" s="25">
        <f>IF($C1429="","",Registro_Compras!$B$162)</f>
        <v/>
      </c>
      <c r="B1429">
        <f>IF($C1429="","","C"&amp;TEXT(INT((ROW()-5)/9)+1,"000")&amp;"-1")</f>
        <v/>
      </c>
      <c r="C1429">
        <f>IF(OR(Registro_Compras!$C$162="",Registro_Compras!$O$162=""),"",IF(Registro_Compras!$F$162="NOTA DE CREDITO",IF(Registro_Compras!$K$162=0,"","40111"),"4212"))</f>
        <v/>
      </c>
      <c r="D1429">
        <f>IF(OR(Registro_Compras!$C$162="",Registro_Compras!$O$162=""),"",IF(Registro_Compras!$F$162="NOTA DE CREDITO","IGV - Cuenta Propia (Credito Fiscal)","Cuentas por Pagar Comerciales - Terceros (Emitidas)"))</f>
        <v/>
      </c>
      <c r="E1429" s="20">
        <f>""</f>
        <v/>
      </c>
      <c r="F1429" s="20">
        <f>IF($C1429="","",IF(Registro_Compras!$F$162="NOTA DE CREDITO",ROUND(ABS(Registro_Compras!$K$162*Registro_Compras!$N$162),2),IF(Registro_Compras!$F$162="RHE",(ROUND(Registro_Compras!$L$162*Registro_Compras!$N$162,2)-ROUND(Registro_Compras!$V$162*Registro_Compras!$N$162,2)),Registro_Compras!$O$162)))</f>
        <v/>
      </c>
      <c r="G1429">
        <f>IF($C1429="","",IF(Registro_Compras!$F$162="NOTA DE CREDITO","Por la nota de credito "&amp;Registro_Compras!$C$162&amp;" de "&amp;Registro_Compras!$E$162&amp;" [PATRON POR CONFIRMAR CON CONTADOR]",IF(Registro_Compras!$F$162="RHE","Por el registro del recibo por honorarios "&amp;Registro_Compras!$C$162&amp;" de "&amp;Registro_Compras!$E$162&amp;" [PATRON POR CONFIRMAR CON CONTADOR]","Por el registro de la factura "&amp;Registro_Compras!$C$162&amp;" de "&amp;Registro_Compras!$E$162)))</f>
        <v/>
      </c>
      <c r="H1429">
        <f>IF($C1429="","",Registro_Compras!$C$162)</f>
        <v/>
      </c>
    </row>
    <row r="1430">
      <c r="A1430" s="25">
        <f>IF($C1430="","",Registro_Compras!$B$162)</f>
        <v/>
      </c>
      <c r="B1430">
        <f>IF($C1430="","","C"&amp;TEXT(INT((ROW()-5)/9)+1,"000")&amp;"-2")</f>
        <v/>
      </c>
      <c r="C1430">
        <f>IF(OR(Registro_Compras!$C$162="",Registro_Compras!$O$162=""),"",IF(Registro_Compras!$AB$162="ADMINISTRATIVO","94","95"))</f>
        <v/>
      </c>
      <c r="D1430">
        <f>IF(OR(Registro_Compras!$C$162="",Registro_Compras!$O$162=""),"",IF(Registro_Compras!$AB$162="ADMINISTRATIVO","Gastos Administrativos","Gastos de Venta y Operacion"))</f>
        <v/>
      </c>
      <c r="E1430" s="20">
        <f>IF($C1430="","",IF(Registro_Compras!$F$162="NOTA DE CREDITO","",IF(Registro_Compras!$F$162="RHE",ROUND(Registro_Compras!$L$162*Registro_Compras!$N$162,2),ROUND(Registro_Compras!$J$162*Registro_Compras!$N$162,2))))</f>
        <v/>
      </c>
      <c r="F1430" s="20">
        <f>IF($C1430="","",IF(Registro_Compras!$F$162="NOTA DE CREDITO",ROUND(ABS(Registro_Compras!$J$162*Registro_Compras!$N$162),2),""))</f>
        <v/>
      </c>
      <c r="G1430">
        <f>IF($C1430="","","Por el destino del gasto")</f>
        <v/>
      </c>
      <c r="H1430">
        <f>IF($C1430="","",Registro_Compras!$C$162)</f>
        <v/>
      </c>
    </row>
    <row r="1431">
      <c r="A1431" s="25">
        <f>IF($C1431="","",Registro_Compras!$B$162)</f>
        <v/>
      </c>
      <c r="B1431">
        <f>IF($C1431="","","C"&amp;TEXT(INT((ROW()-5)/9)+1,"000")&amp;"-2")</f>
        <v/>
      </c>
      <c r="C1431">
        <f>IF(OR(Registro_Compras!$C$162="",Registro_Compras!$O$162=""),"","79/791")</f>
        <v/>
      </c>
      <c r="D1431">
        <f>IF(OR(Registro_Compras!$C$162="",Registro_Compras!$O$162=""),"","Cargas Imputables a Cuentas de Costos y Gastos")</f>
        <v/>
      </c>
      <c r="E1431" s="20">
        <f>IF($C1431="","",IF(Registro_Compras!$F$162="NOTA DE CREDITO",ROUND(ABS(Registro_Compras!$J$162*Registro_Compras!$N$162),2),""))</f>
        <v/>
      </c>
      <c r="F1431" s="20">
        <f>IF($C1431="","",IF(Registro_Compras!$F$162="NOTA DE CREDITO","",IF(Registro_Compras!$F$162="RHE",ROUND(Registro_Compras!$L$162*Registro_Compras!$N$162,2),ROUND(Registro_Compras!$J$162*Registro_Compras!$N$162,2))))</f>
        <v/>
      </c>
      <c r="G1431">
        <f>IF($C1431="","","Por el destino del gasto")</f>
        <v/>
      </c>
      <c r="H1431">
        <f>IF($C1431="","",Registro_Compras!$C$162)</f>
        <v/>
      </c>
    </row>
    <row r="1432">
      <c r="A1432" s="25">
        <f>IF($C1432="","",Registro_Compras!$X$162)</f>
        <v/>
      </c>
      <c r="B1432">
        <f>IF($C1432="","","C"&amp;TEXT(INT((ROW()-5)/9)+1,"000")&amp;"-3")</f>
        <v/>
      </c>
      <c r="C1432">
        <f>IF(OR(Registro_Compras!$C$162="",Registro_Compras!$O$162="",Registro_Compras!$R$162&lt;&gt;"SI",Registro_Compras!$X$162=""),"","4212")</f>
        <v/>
      </c>
      <c r="D1432">
        <f>IF(OR(Registro_Compras!$C$162="",Registro_Compras!$O$162=""),"","Cuentas por Pagar Comerciales - Terceros")</f>
        <v/>
      </c>
      <c r="E1432" s="20">
        <f>IF($C1432="","",Registro_Compras!$S$162)</f>
        <v/>
      </c>
      <c r="F1432" s="20">
        <f>""</f>
        <v/>
      </c>
      <c r="G1432">
        <f>IF($C1432="","","Por el deposito de la detraccion en el Banco de la Nacion")</f>
        <v/>
      </c>
      <c r="H1432">
        <f>IF($C1432="","",Registro_Compras!$C$162)</f>
        <v/>
      </c>
    </row>
    <row r="1433">
      <c r="A1433" s="25">
        <f>IF($C1433="","",Registro_Compras!$X$162)</f>
        <v/>
      </c>
      <c r="B1433">
        <f>IF($C1433="","","C"&amp;TEXT(INT((ROW()-5)/9)+1,"000")&amp;"-3")</f>
        <v/>
      </c>
      <c r="C1433">
        <f>IF(OR(Registro_Compras!$C$162="",Registro_Compras!$O$162="",Registro_Compras!$R$162&lt;&gt;"SI",Registro_Compras!$X$162=""),"","10413")</f>
        <v/>
      </c>
      <c r="D1433">
        <f>IF(OR(Registro_Compras!$C$162="",Registro_Compras!$O$162=""),"","Efectivo y Equivalentes - Cta. Cte. Operativa")</f>
        <v/>
      </c>
      <c r="E1433" s="20">
        <f>""</f>
        <v/>
      </c>
      <c r="F1433" s="20">
        <f>IF($C1433="","",Registro_Compras!$S$162)</f>
        <v/>
      </c>
      <c r="G1433">
        <f>IF($C1433="","","Por el deposito de la detraccion en el Banco de la Nacion")</f>
        <v/>
      </c>
      <c r="H1433">
        <f>IF($C1433="","",Registro_Compras!$C$162)</f>
        <v/>
      </c>
    </row>
    <row r="1434">
      <c r="A1434" s="25">
        <f>IF($C1434="","",Registro_Compras!$Y$162)</f>
        <v/>
      </c>
      <c r="B1434">
        <f>IF($C1434="","","C"&amp;TEXT(INT((ROW()-5)/9)+1,"000")&amp;"-4")</f>
        <v/>
      </c>
      <c r="C1434">
        <f>IF(OR(Registro_Compras!$C$162="",Registro_Compras!$O$162="",Registro_Compras!$Y$162="",Registro_Compras!$F$162="NOTA DE CREDITO"),"","4212")</f>
        <v/>
      </c>
      <c r="D1434">
        <f>IF(OR(Registro_Compras!$C$162="",Registro_Compras!$O$162=""),"","Cuentas por Pagar Comerciales - Terceros")</f>
        <v/>
      </c>
      <c r="E1434" s="20">
        <f>IF($C1434="","",IF(Registro_Compras!$F$162="RHE",(ROUND(Registro_Compras!$L$162*Registro_Compras!$N$162,2)-ROUND(Registro_Compras!$V$162*Registro_Compras!$N$162,2)),ROUND(Registro_Compras!$O$162-Registro_Compras!$S$162,2)))</f>
        <v/>
      </c>
      <c r="F1434" s="20">
        <f>""</f>
        <v/>
      </c>
      <c r="G1434">
        <f>IF($C1434="","","Por la cancelacion del saldo al proveedor")</f>
        <v/>
      </c>
      <c r="H1434">
        <f>IF($C1434="","",Registro_Compras!$C$162)</f>
        <v/>
      </c>
    </row>
    <row r="1435">
      <c r="A1435" s="25">
        <f>IF($C1435="","",Registro_Compras!$Y$162)</f>
        <v/>
      </c>
      <c r="B1435">
        <f>IF($C1435="","","C"&amp;TEXT(INT((ROW()-5)/9)+1,"000")&amp;"-4")</f>
        <v/>
      </c>
      <c r="C1435">
        <f>IF(OR(Registro_Compras!$C$162="",Registro_Compras!$O$162="",Registro_Compras!$Y$162="",Registro_Compras!$F$162="NOTA DE CREDITO"),"","10413")</f>
        <v/>
      </c>
      <c r="D1435">
        <f>IF(OR(Registro_Compras!$C$162="",Registro_Compras!$O$162=""),"","Efectivo y Equivalentes - Cta. Cte. Operativa")</f>
        <v/>
      </c>
      <c r="E1435" s="20">
        <f>""</f>
        <v/>
      </c>
      <c r="F1435" s="20">
        <f>IF($C1435="","",IF(Registro_Compras!$F$162="RHE",(ROUND(Registro_Compras!$L$162*Registro_Compras!$N$162,2)-ROUND(Registro_Compras!$V$162*Registro_Compras!$N$162,2)),ROUND(Registro_Compras!$O$162-Registro_Compras!$S$162,2)))</f>
        <v/>
      </c>
      <c r="G1435">
        <f>IF($C1435="","","Por la cancelacion del saldo al proveedor")</f>
        <v/>
      </c>
      <c r="H1435">
        <f>IF($C1435="","",Registro_Compras!$C$162)</f>
        <v/>
      </c>
    </row>
    <row r="1436">
      <c r="A1436" s="25">
        <f>IF($C1436="","",Registro_Compras!$B$163)</f>
        <v/>
      </c>
      <c r="B1436">
        <f>IF($C1436="","","C"&amp;TEXT(INT((ROW()-5)/9)+1,"000")&amp;"-1")</f>
        <v/>
      </c>
      <c r="C1436">
        <f>IF(OR(Registro_Compras!$C$163="",Registro_Compras!$O$163=""),"",IF(Registro_Compras!$F$163="NOTA DE CREDITO","4212",IF(Registro_Compras!$M$163="","63",Registro_Compras!$M$163)))</f>
        <v/>
      </c>
      <c r="D1436">
        <f>IF(OR(Registro_Compras!$C$163="",Registro_Compras!$O$163=""),"",IF(Registro_Compras!$F$163="NOTA DE CREDITO","Cuentas por Pagar Comerciales - Terceros (Emitidas)",IF(Registro_Compras!$F$163="RHE","Honorarios Profesionales - Servicios de Terceros","Gastos de Servicios Prestados por Terceros")))</f>
        <v/>
      </c>
      <c r="E1436" s="20">
        <f>IF($C1436="","",IF(Registro_Compras!$F$163="NOTA DE CREDITO",ABS(Registro_Compras!$O$163),IF(Registro_Compras!$F$163="RHE",ROUND(Registro_Compras!$L$163*Registro_Compras!$N$163,2),ROUND(Registro_Compras!$J$163*Registro_Compras!$N$163,2))))</f>
        <v/>
      </c>
      <c r="F1436" s="20">
        <f>""</f>
        <v/>
      </c>
      <c r="G1436">
        <f>IF($C1436="","",IF(Registro_Compras!$F$163="NOTA DE CREDITO","Por la nota de credito "&amp;Registro_Compras!$C$163&amp;" de "&amp;Registro_Compras!$E$163&amp;" [PATRON POR CONFIRMAR CON CONTADOR]",IF(Registro_Compras!$F$163="RHE","Por el registro del recibo por honorarios "&amp;Registro_Compras!$C$163&amp;" de "&amp;Registro_Compras!$E$163&amp;" [PATRON POR CONFIRMAR CON CONTADOR]","Por el registro de la factura "&amp;Registro_Compras!$C$163&amp;" de "&amp;Registro_Compras!$E$163)))</f>
        <v/>
      </c>
      <c r="H1436">
        <f>IF($C1436="","",Registro_Compras!$C$163)</f>
        <v/>
      </c>
    </row>
    <row r="1437">
      <c r="A1437" s="25">
        <f>IF($C1437="","",Registro_Compras!$B$163)</f>
        <v/>
      </c>
      <c r="B1437">
        <f>IF($C1437="","","C"&amp;TEXT(INT((ROW()-5)/9)+1,"000")&amp;"-1")</f>
        <v/>
      </c>
      <c r="C1437">
        <f>IF(OR(Registro_Compras!$C$163="",Registro_Compras!$O$163=""),"",IF(Registro_Compras!$F$163="RHE",IF(Registro_Compras!$V$163=0,"","40172"),IF(Registro_Compras!$F$163="NOTA DE CREDITO",IF(Registro_Compras!$M$163="","63",Registro_Compras!$M$163),IF(Registro_Compras!$K$163=0,"","40111"))))</f>
        <v/>
      </c>
      <c r="D1437">
        <f>IF(OR(Registro_Compras!$C$163="",Registro_Compras!$O$163=""),"",IF(Registro_Compras!$F$163="RHE","Retencion Renta 4ta Categoria por Pagar",IF(Registro_Compras!$F$163="NOTA DE CREDITO","Gastos de Servicios Prestados por Terceros","IGV - Cuenta Propia (Credito Fiscal)")))</f>
        <v/>
      </c>
      <c r="E1437" s="20">
        <f>IF($C1437="","",IF(Registro_Compras!$F$163="FACTURA",ROUND(Registro_Compras!$K$163*Registro_Compras!$N$163,2),""))</f>
        <v/>
      </c>
      <c r="F1437" s="20">
        <f>IF($C1437="","",IF(Registro_Compras!$F$163="RHE",ROUND(Registro_Compras!$V$163*Registro_Compras!$N$163,2),IF(Registro_Compras!$F$163="NOTA DE CREDITO",ROUND(ABS(Registro_Compras!$J$163*Registro_Compras!$N$163),2),"")))</f>
        <v/>
      </c>
      <c r="G1437">
        <f>IF($C1437="","",IF(Registro_Compras!$F$163="NOTA DE CREDITO","Por la nota de credito "&amp;Registro_Compras!$C$163&amp;" de "&amp;Registro_Compras!$E$163&amp;" [PATRON POR CONFIRMAR CON CONTADOR]",IF(Registro_Compras!$F$163="RHE","Por el registro del recibo por honorarios "&amp;Registro_Compras!$C$163&amp;" de "&amp;Registro_Compras!$E$163&amp;" [PATRON POR CONFIRMAR CON CONTADOR]","Por el registro de la factura "&amp;Registro_Compras!$C$163&amp;" de "&amp;Registro_Compras!$E$163)))</f>
        <v/>
      </c>
      <c r="H1437">
        <f>IF($C1437="","",Registro_Compras!$C$163)</f>
        <v/>
      </c>
    </row>
    <row r="1438">
      <c r="A1438" s="25">
        <f>IF($C1438="","",Registro_Compras!$B$163)</f>
        <v/>
      </c>
      <c r="B1438">
        <f>IF($C1438="","","C"&amp;TEXT(INT((ROW()-5)/9)+1,"000")&amp;"-1")</f>
        <v/>
      </c>
      <c r="C1438">
        <f>IF(OR(Registro_Compras!$C$163="",Registro_Compras!$O$163=""),"",IF(Registro_Compras!$F$163="NOTA DE CREDITO",IF(Registro_Compras!$K$163=0,"","40111"),"4212"))</f>
        <v/>
      </c>
      <c r="D1438">
        <f>IF(OR(Registro_Compras!$C$163="",Registro_Compras!$O$163=""),"",IF(Registro_Compras!$F$163="NOTA DE CREDITO","IGV - Cuenta Propia (Credito Fiscal)","Cuentas por Pagar Comerciales - Terceros (Emitidas)"))</f>
        <v/>
      </c>
      <c r="E1438" s="20">
        <f>""</f>
        <v/>
      </c>
      <c r="F1438" s="20">
        <f>IF($C1438="","",IF(Registro_Compras!$F$163="NOTA DE CREDITO",ROUND(ABS(Registro_Compras!$K$163*Registro_Compras!$N$163),2),IF(Registro_Compras!$F$163="RHE",(ROUND(Registro_Compras!$L$163*Registro_Compras!$N$163,2)-ROUND(Registro_Compras!$V$163*Registro_Compras!$N$163,2)),Registro_Compras!$O$163)))</f>
        <v/>
      </c>
      <c r="G1438">
        <f>IF($C1438="","",IF(Registro_Compras!$F$163="NOTA DE CREDITO","Por la nota de credito "&amp;Registro_Compras!$C$163&amp;" de "&amp;Registro_Compras!$E$163&amp;" [PATRON POR CONFIRMAR CON CONTADOR]",IF(Registro_Compras!$F$163="RHE","Por el registro del recibo por honorarios "&amp;Registro_Compras!$C$163&amp;" de "&amp;Registro_Compras!$E$163&amp;" [PATRON POR CONFIRMAR CON CONTADOR]","Por el registro de la factura "&amp;Registro_Compras!$C$163&amp;" de "&amp;Registro_Compras!$E$163)))</f>
        <v/>
      </c>
      <c r="H1438">
        <f>IF($C1438="","",Registro_Compras!$C$163)</f>
        <v/>
      </c>
    </row>
    <row r="1439">
      <c r="A1439" s="25">
        <f>IF($C1439="","",Registro_Compras!$B$163)</f>
        <v/>
      </c>
      <c r="B1439">
        <f>IF($C1439="","","C"&amp;TEXT(INT((ROW()-5)/9)+1,"000")&amp;"-2")</f>
        <v/>
      </c>
      <c r="C1439">
        <f>IF(OR(Registro_Compras!$C$163="",Registro_Compras!$O$163=""),"",IF(Registro_Compras!$AB$163="ADMINISTRATIVO","94","95"))</f>
        <v/>
      </c>
      <c r="D1439">
        <f>IF(OR(Registro_Compras!$C$163="",Registro_Compras!$O$163=""),"",IF(Registro_Compras!$AB$163="ADMINISTRATIVO","Gastos Administrativos","Gastos de Venta y Operacion"))</f>
        <v/>
      </c>
      <c r="E1439" s="20">
        <f>IF($C1439="","",IF(Registro_Compras!$F$163="NOTA DE CREDITO","",IF(Registro_Compras!$F$163="RHE",ROUND(Registro_Compras!$L$163*Registro_Compras!$N$163,2),ROUND(Registro_Compras!$J$163*Registro_Compras!$N$163,2))))</f>
        <v/>
      </c>
      <c r="F1439" s="20">
        <f>IF($C1439="","",IF(Registro_Compras!$F$163="NOTA DE CREDITO",ROUND(ABS(Registro_Compras!$J$163*Registro_Compras!$N$163),2),""))</f>
        <v/>
      </c>
      <c r="G1439">
        <f>IF($C1439="","","Por el destino del gasto")</f>
        <v/>
      </c>
      <c r="H1439">
        <f>IF($C1439="","",Registro_Compras!$C$163)</f>
        <v/>
      </c>
    </row>
    <row r="1440">
      <c r="A1440" s="25">
        <f>IF($C1440="","",Registro_Compras!$B$163)</f>
        <v/>
      </c>
      <c r="B1440">
        <f>IF($C1440="","","C"&amp;TEXT(INT((ROW()-5)/9)+1,"000")&amp;"-2")</f>
        <v/>
      </c>
      <c r="C1440">
        <f>IF(OR(Registro_Compras!$C$163="",Registro_Compras!$O$163=""),"","79/791")</f>
        <v/>
      </c>
      <c r="D1440">
        <f>IF(OR(Registro_Compras!$C$163="",Registro_Compras!$O$163=""),"","Cargas Imputables a Cuentas de Costos y Gastos")</f>
        <v/>
      </c>
      <c r="E1440" s="20">
        <f>IF($C1440="","",IF(Registro_Compras!$F$163="NOTA DE CREDITO",ROUND(ABS(Registro_Compras!$J$163*Registro_Compras!$N$163),2),""))</f>
        <v/>
      </c>
      <c r="F1440" s="20">
        <f>IF($C1440="","",IF(Registro_Compras!$F$163="NOTA DE CREDITO","",IF(Registro_Compras!$F$163="RHE",ROUND(Registro_Compras!$L$163*Registro_Compras!$N$163,2),ROUND(Registro_Compras!$J$163*Registro_Compras!$N$163,2))))</f>
        <v/>
      </c>
      <c r="G1440">
        <f>IF($C1440="","","Por el destino del gasto")</f>
        <v/>
      </c>
      <c r="H1440">
        <f>IF($C1440="","",Registro_Compras!$C$163)</f>
        <v/>
      </c>
    </row>
    <row r="1441">
      <c r="A1441" s="25">
        <f>IF($C1441="","",Registro_Compras!$X$163)</f>
        <v/>
      </c>
      <c r="B1441">
        <f>IF($C1441="","","C"&amp;TEXT(INT((ROW()-5)/9)+1,"000")&amp;"-3")</f>
        <v/>
      </c>
      <c r="C1441">
        <f>IF(OR(Registro_Compras!$C$163="",Registro_Compras!$O$163="",Registro_Compras!$R$163&lt;&gt;"SI",Registro_Compras!$X$163=""),"","4212")</f>
        <v/>
      </c>
      <c r="D1441">
        <f>IF(OR(Registro_Compras!$C$163="",Registro_Compras!$O$163=""),"","Cuentas por Pagar Comerciales - Terceros")</f>
        <v/>
      </c>
      <c r="E1441" s="20">
        <f>IF($C1441="","",Registro_Compras!$S$163)</f>
        <v/>
      </c>
      <c r="F1441" s="20">
        <f>""</f>
        <v/>
      </c>
      <c r="G1441">
        <f>IF($C1441="","","Por el deposito de la detraccion en el Banco de la Nacion")</f>
        <v/>
      </c>
      <c r="H1441">
        <f>IF($C1441="","",Registro_Compras!$C$163)</f>
        <v/>
      </c>
    </row>
    <row r="1442">
      <c r="A1442" s="25">
        <f>IF($C1442="","",Registro_Compras!$X$163)</f>
        <v/>
      </c>
      <c r="B1442">
        <f>IF($C1442="","","C"&amp;TEXT(INT((ROW()-5)/9)+1,"000")&amp;"-3")</f>
        <v/>
      </c>
      <c r="C1442">
        <f>IF(OR(Registro_Compras!$C$163="",Registro_Compras!$O$163="",Registro_Compras!$R$163&lt;&gt;"SI",Registro_Compras!$X$163=""),"","10413")</f>
        <v/>
      </c>
      <c r="D1442">
        <f>IF(OR(Registro_Compras!$C$163="",Registro_Compras!$O$163=""),"","Efectivo y Equivalentes - Cta. Cte. Operativa")</f>
        <v/>
      </c>
      <c r="E1442" s="20">
        <f>""</f>
        <v/>
      </c>
      <c r="F1442" s="20">
        <f>IF($C1442="","",Registro_Compras!$S$163)</f>
        <v/>
      </c>
      <c r="G1442">
        <f>IF($C1442="","","Por el deposito de la detraccion en el Banco de la Nacion")</f>
        <v/>
      </c>
      <c r="H1442">
        <f>IF($C1442="","",Registro_Compras!$C$163)</f>
        <v/>
      </c>
    </row>
    <row r="1443">
      <c r="A1443" s="25">
        <f>IF($C1443="","",Registro_Compras!$Y$163)</f>
        <v/>
      </c>
      <c r="B1443">
        <f>IF($C1443="","","C"&amp;TEXT(INT((ROW()-5)/9)+1,"000")&amp;"-4")</f>
        <v/>
      </c>
      <c r="C1443">
        <f>IF(OR(Registro_Compras!$C$163="",Registro_Compras!$O$163="",Registro_Compras!$Y$163="",Registro_Compras!$F$163="NOTA DE CREDITO"),"","4212")</f>
        <v/>
      </c>
      <c r="D1443">
        <f>IF(OR(Registro_Compras!$C$163="",Registro_Compras!$O$163=""),"","Cuentas por Pagar Comerciales - Terceros")</f>
        <v/>
      </c>
      <c r="E1443" s="20">
        <f>IF($C1443="","",IF(Registro_Compras!$F$163="RHE",(ROUND(Registro_Compras!$L$163*Registro_Compras!$N$163,2)-ROUND(Registro_Compras!$V$163*Registro_Compras!$N$163,2)),ROUND(Registro_Compras!$O$163-Registro_Compras!$S$163,2)))</f>
        <v/>
      </c>
      <c r="F1443" s="20">
        <f>""</f>
        <v/>
      </c>
      <c r="G1443">
        <f>IF($C1443="","","Por la cancelacion del saldo al proveedor")</f>
        <v/>
      </c>
      <c r="H1443">
        <f>IF($C1443="","",Registro_Compras!$C$163)</f>
        <v/>
      </c>
    </row>
    <row r="1444">
      <c r="A1444" s="25">
        <f>IF($C1444="","",Registro_Compras!$Y$163)</f>
        <v/>
      </c>
      <c r="B1444">
        <f>IF($C1444="","","C"&amp;TEXT(INT((ROW()-5)/9)+1,"000")&amp;"-4")</f>
        <v/>
      </c>
      <c r="C1444">
        <f>IF(OR(Registro_Compras!$C$163="",Registro_Compras!$O$163="",Registro_Compras!$Y$163="",Registro_Compras!$F$163="NOTA DE CREDITO"),"","10413")</f>
        <v/>
      </c>
      <c r="D1444">
        <f>IF(OR(Registro_Compras!$C$163="",Registro_Compras!$O$163=""),"","Efectivo y Equivalentes - Cta. Cte. Operativa")</f>
        <v/>
      </c>
      <c r="E1444" s="20">
        <f>""</f>
        <v/>
      </c>
      <c r="F1444" s="20">
        <f>IF($C1444="","",IF(Registro_Compras!$F$163="RHE",(ROUND(Registro_Compras!$L$163*Registro_Compras!$N$163,2)-ROUND(Registro_Compras!$V$163*Registro_Compras!$N$163,2)),ROUND(Registro_Compras!$O$163-Registro_Compras!$S$163,2)))</f>
        <v/>
      </c>
      <c r="G1444">
        <f>IF($C1444="","","Por la cancelacion del saldo al proveedor")</f>
        <v/>
      </c>
      <c r="H1444">
        <f>IF($C1444="","",Registro_Compras!$C$163)</f>
        <v/>
      </c>
    </row>
    <row r="1445">
      <c r="A1445" s="25">
        <f>IF($C1445="","",Registro_Compras!$B$164)</f>
        <v/>
      </c>
      <c r="B1445">
        <f>IF($C1445="","","C"&amp;TEXT(INT((ROW()-5)/9)+1,"000")&amp;"-1")</f>
        <v/>
      </c>
      <c r="C1445">
        <f>IF(OR(Registro_Compras!$C$164="",Registro_Compras!$O$164=""),"",IF(Registro_Compras!$F$164="NOTA DE CREDITO","4212",IF(Registro_Compras!$M$164="","63",Registro_Compras!$M$164)))</f>
        <v/>
      </c>
      <c r="D1445">
        <f>IF(OR(Registro_Compras!$C$164="",Registro_Compras!$O$164=""),"",IF(Registro_Compras!$F$164="NOTA DE CREDITO","Cuentas por Pagar Comerciales - Terceros (Emitidas)",IF(Registro_Compras!$F$164="RHE","Honorarios Profesionales - Servicios de Terceros","Gastos de Servicios Prestados por Terceros")))</f>
        <v/>
      </c>
      <c r="E1445" s="20">
        <f>IF($C1445="","",IF(Registro_Compras!$F$164="NOTA DE CREDITO",ABS(Registro_Compras!$O$164),IF(Registro_Compras!$F$164="RHE",ROUND(Registro_Compras!$L$164*Registro_Compras!$N$164,2),ROUND(Registro_Compras!$J$164*Registro_Compras!$N$164,2))))</f>
        <v/>
      </c>
      <c r="F1445" s="20">
        <f>""</f>
        <v/>
      </c>
      <c r="G1445">
        <f>IF($C1445="","",IF(Registro_Compras!$F$164="NOTA DE CREDITO","Por la nota de credito "&amp;Registro_Compras!$C$164&amp;" de "&amp;Registro_Compras!$E$164&amp;" [PATRON POR CONFIRMAR CON CONTADOR]",IF(Registro_Compras!$F$164="RHE","Por el registro del recibo por honorarios "&amp;Registro_Compras!$C$164&amp;" de "&amp;Registro_Compras!$E$164&amp;" [PATRON POR CONFIRMAR CON CONTADOR]","Por el registro de la factura "&amp;Registro_Compras!$C$164&amp;" de "&amp;Registro_Compras!$E$164)))</f>
        <v/>
      </c>
      <c r="H1445">
        <f>IF($C1445="","",Registro_Compras!$C$164)</f>
        <v/>
      </c>
    </row>
    <row r="1446">
      <c r="A1446" s="25">
        <f>IF($C1446="","",Registro_Compras!$B$164)</f>
        <v/>
      </c>
      <c r="B1446">
        <f>IF($C1446="","","C"&amp;TEXT(INT((ROW()-5)/9)+1,"000")&amp;"-1")</f>
        <v/>
      </c>
      <c r="C1446">
        <f>IF(OR(Registro_Compras!$C$164="",Registro_Compras!$O$164=""),"",IF(Registro_Compras!$F$164="RHE",IF(Registro_Compras!$V$164=0,"","40172"),IF(Registro_Compras!$F$164="NOTA DE CREDITO",IF(Registro_Compras!$M$164="","63",Registro_Compras!$M$164),IF(Registro_Compras!$K$164=0,"","40111"))))</f>
        <v/>
      </c>
      <c r="D1446">
        <f>IF(OR(Registro_Compras!$C$164="",Registro_Compras!$O$164=""),"",IF(Registro_Compras!$F$164="RHE","Retencion Renta 4ta Categoria por Pagar",IF(Registro_Compras!$F$164="NOTA DE CREDITO","Gastos de Servicios Prestados por Terceros","IGV - Cuenta Propia (Credito Fiscal)")))</f>
        <v/>
      </c>
      <c r="E1446" s="20">
        <f>IF($C1446="","",IF(Registro_Compras!$F$164="FACTURA",ROUND(Registro_Compras!$K$164*Registro_Compras!$N$164,2),""))</f>
        <v/>
      </c>
      <c r="F1446" s="20">
        <f>IF($C1446="","",IF(Registro_Compras!$F$164="RHE",ROUND(Registro_Compras!$V$164*Registro_Compras!$N$164,2),IF(Registro_Compras!$F$164="NOTA DE CREDITO",ROUND(ABS(Registro_Compras!$J$164*Registro_Compras!$N$164),2),"")))</f>
        <v/>
      </c>
      <c r="G1446">
        <f>IF($C1446="","",IF(Registro_Compras!$F$164="NOTA DE CREDITO","Por la nota de credito "&amp;Registro_Compras!$C$164&amp;" de "&amp;Registro_Compras!$E$164&amp;" [PATRON POR CONFIRMAR CON CONTADOR]",IF(Registro_Compras!$F$164="RHE","Por el registro del recibo por honorarios "&amp;Registro_Compras!$C$164&amp;" de "&amp;Registro_Compras!$E$164&amp;" [PATRON POR CONFIRMAR CON CONTADOR]","Por el registro de la factura "&amp;Registro_Compras!$C$164&amp;" de "&amp;Registro_Compras!$E$164)))</f>
        <v/>
      </c>
      <c r="H1446">
        <f>IF($C1446="","",Registro_Compras!$C$164)</f>
        <v/>
      </c>
    </row>
    <row r="1447">
      <c r="A1447" s="25">
        <f>IF($C1447="","",Registro_Compras!$B$164)</f>
        <v/>
      </c>
      <c r="B1447">
        <f>IF($C1447="","","C"&amp;TEXT(INT((ROW()-5)/9)+1,"000")&amp;"-1")</f>
        <v/>
      </c>
      <c r="C1447">
        <f>IF(OR(Registro_Compras!$C$164="",Registro_Compras!$O$164=""),"",IF(Registro_Compras!$F$164="NOTA DE CREDITO",IF(Registro_Compras!$K$164=0,"","40111"),"4212"))</f>
        <v/>
      </c>
      <c r="D1447">
        <f>IF(OR(Registro_Compras!$C$164="",Registro_Compras!$O$164=""),"",IF(Registro_Compras!$F$164="NOTA DE CREDITO","IGV - Cuenta Propia (Credito Fiscal)","Cuentas por Pagar Comerciales - Terceros (Emitidas)"))</f>
        <v/>
      </c>
      <c r="E1447" s="20">
        <f>""</f>
        <v/>
      </c>
      <c r="F1447" s="20">
        <f>IF($C1447="","",IF(Registro_Compras!$F$164="NOTA DE CREDITO",ROUND(ABS(Registro_Compras!$K$164*Registro_Compras!$N$164),2),IF(Registro_Compras!$F$164="RHE",(ROUND(Registro_Compras!$L$164*Registro_Compras!$N$164,2)-ROUND(Registro_Compras!$V$164*Registro_Compras!$N$164,2)),Registro_Compras!$O$164)))</f>
        <v/>
      </c>
      <c r="G1447">
        <f>IF($C1447="","",IF(Registro_Compras!$F$164="NOTA DE CREDITO","Por la nota de credito "&amp;Registro_Compras!$C$164&amp;" de "&amp;Registro_Compras!$E$164&amp;" [PATRON POR CONFIRMAR CON CONTADOR]",IF(Registro_Compras!$F$164="RHE","Por el registro del recibo por honorarios "&amp;Registro_Compras!$C$164&amp;" de "&amp;Registro_Compras!$E$164&amp;" [PATRON POR CONFIRMAR CON CONTADOR]","Por el registro de la factura "&amp;Registro_Compras!$C$164&amp;" de "&amp;Registro_Compras!$E$164)))</f>
        <v/>
      </c>
      <c r="H1447">
        <f>IF($C1447="","",Registro_Compras!$C$164)</f>
        <v/>
      </c>
    </row>
    <row r="1448">
      <c r="A1448" s="25">
        <f>IF($C1448="","",Registro_Compras!$B$164)</f>
        <v/>
      </c>
      <c r="B1448">
        <f>IF($C1448="","","C"&amp;TEXT(INT((ROW()-5)/9)+1,"000")&amp;"-2")</f>
        <v/>
      </c>
      <c r="C1448">
        <f>IF(OR(Registro_Compras!$C$164="",Registro_Compras!$O$164=""),"",IF(Registro_Compras!$AB$164="ADMINISTRATIVO","94","95"))</f>
        <v/>
      </c>
      <c r="D1448">
        <f>IF(OR(Registro_Compras!$C$164="",Registro_Compras!$O$164=""),"",IF(Registro_Compras!$AB$164="ADMINISTRATIVO","Gastos Administrativos","Gastos de Venta y Operacion"))</f>
        <v/>
      </c>
      <c r="E1448" s="20">
        <f>IF($C1448="","",IF(Registro_Compras!$F$164="NOTA DE CREDITO","",IF(Registro_Compras!$F$164="RHE",ROUND(Registro_Compras!$L$164*Registro_Compras!$N$164,2),ROUND(Registro_Compras!$J$164*Registro_Compras!$N$164,2))))</f>
        <v/>
      </c>
      <c r="F1448" s="20">
        <f>IF($C1448="","",IF(Registro_Compras!$F$164="NOTA DE CREDITO",ROUND(ABS(Registro_Compras!$J$164*Registro_Compras!$N$164),2),""))</f>
        <v/>
      </c>
      <c r="G1448">
        <f>IF($C1448="","","Por el destino del gasto")</f>
        <v/>
      </c>
      <c r="H1448">
        <f>IF($C1448="","",Registro_Compras!$C$164)</f>
        <v/>
      </c>
    </row>
    <row r="1449">
      <c r="A1449" s="25">
        <f>IF($C1449="","",Registro_Compras!$B$164)</f>
        <v/>
      </c>
      <c r="B1449">
        <f>IF($C1449="","","C"&amp;TEXT(INT((ROW()-5)/9)+1,"000")&amp;"-2")</f>
        <v/>
      </c>
      <c r="C1449">
        <f>IF(OR(Registro_Compras!$C$164="",Registro_Compras!$O$164=""),"","79/791")</f>
        <v/>
      </c>
      <c r="D1449">
        <f>IF(OR(Registro_Compras!$C$164="",Registro_Compras!$O$164=""),"","Cargas Imputables a Cuentas de Costos y Gastos")</f>
        <v/>
      </c>
      <c r="E1449" s="20">
        <f>IF($C1449="","",IF(Registro_Compras!$F$164="NOTA DE CREDITO",ROUND(ABS(Registro_Compras!$J$164*Registro_Compras!$N$164),2),""))</f>
        <v/>
      </c>
      <c r="F1449" s="20">
        <f>IF($C1449="","",IF(Registro_Compras!$F$164="NOTA DE CREDITO","",IF(Registro_Compras!$F$164="RHE",ROUND(Registro_Compras!$L$164*Registro_Compras!$N$164,2),ROUND(Registro_Compras!$J$164*Registro_Compras!$N$164,2))))</f>
        <v/>
      </c>
      <c r="G1449">
        <f>IF($C1449="","","Por el destino del gasto")</f>
        <v/>
      </c>
      <c r="H1449">
        <f>IF($C1449="","",Registro_Compras!$C$164)</f>
        <v/>
      </c>
    </row>
    <row r="1450">
      <c r="A1450" s="25">
        <f>IF($C1450="","",Registro_Compras!$X$164)</f>
        <v/>
      </c>
      <c r="B1450">
        <f>IF($C1450="","","C"&amp;TEXT(INT((ROW()-5)/9)+1,"000")&amp;"-3")</f>
        <v/>
      </c>
      <c r="C1450">
        <f>IF(OR(Registro_Compras!$C$164="",Registro_Compras!$O$164="",Registro_Compras!$R$164&lt;&gt;"SI",Registro_Compras!$X$164=""),"","4212")</f>
        <v/>
      </c>
      <c r="D1450">
        <f>IF(OR(Registro_Compras!$C$164="",Registro_Compras!$O$164=""),"","Cuentas por Pagar Comerciales - Terceros")</f>
        <v/>
      </c>
      <c r="E1450" s="20">
        <f>IF($C1450="","",Registro_Compras!$S$164)</f>
        <v/>
      </c>
      <c r="F1450" s="20">
        <f>""</f>
        <v/>
      </c>
      <c r="G1450">
        <f>IF($C1450="","","Por el deposito de la detraccion en el Banco de la Nacion")</f>
        <v/>
      </c>
      <c r="H1450">
        <f>IF($C1450="","",Registro_Compras!$C$164)</f>
        <v/>
      </c>
    </row>
    <row r="1451">
      <c r="A1451" s="25">
        <f>IF($C1451="","",Registro_Compras!$X$164)</f>
        <v/>
      </c>
      <c r="B1451">
        <f>IF($C1451="","","C"&amp;TEXT(INT((ROW()-5)/9)+1,"000")&amp;"-3")</f>
        <v/>
      </c>
      <c r="C1451">
        <f>IF(OR(Registro_Compras!$C$164="",Registro_Compras!$O$164="",Registro_Compras!$R$164&lt;&gt;"SI",Registro_Compras!$X$164=""),"","10413")</f>
        <v/>
      </c>
      <c r="D1451">
        <f>IF(OR(Registro_Compras!$C$164="",Registro_Compras!$O$164=""),"","Efectivo y Equivalentes - Cta. Cte. Operativa")</f>
        <v/>
      </c>
      <c r="E1451" s="20">
        <f>""</f>
        <v/>
      </c>
      <c r="F1451" s="20">
        <f>IF($C1451="","",Registro_Compras!$S$164)</f>
        <v/>
      </c>
      <c r="G1451">
        <f>IF($C1451="","","Por el deposito de la detraccion en el Banco de la Nacion")</f>
        <v/>
      </c>
      <c r="H1451">
        <f>IF($C1451="","",Registro_Compras!$C$164)</f>
        <v/>
      </c>
    </row>
    <row r="1452">
      <c r="A1452" s="25">
        <f>IF($C1452="","",Registro_Compras!$Y$164)</f>
        <v/>
      </c>
      <c r="B1452">
        <f>IF($C1452="","","C"&amp;TEXT(INT((ROW()-5)/9)+1,"000")&amp;"-4")</f>
        <v/>
      </c>
      <c r="C1452">
        <f>IF(OR(Registro_Compras!$C$164="",Registro_Compras!$O$164="",Registro_Compras!$Y$164="",Registro_Compras!$F$164="NOTA DE CREDITO"),"","4212")</f>
        <v/>
      </c>
      <c r="D1452">
        <f>IF(OR(Registro_Compras!$C$164="",Registro_Compras!$O$164=""),"","Cuentas por Pagar Comerciales - Terceros")</f>
        <v/>
      </c>
      <c r="E1452" s="20">
        <f>IF($C1452="","",IF(Registro_Compras!$F$164="RHE",(ROUND(Registro_Compras!$L$164*Registro_Compras!$N$164,2)-ROUND(Registro_Compras!$V$164*Registro_Compras!$N$164,2)),ROUND(Registro_Compras!$O$164-Registro_Compras!$S$164,2)))</f>
        <v/>
      </c>
      <c r="F1452" s="20">
        <f>""</f>
        <v/>
      </c>
      <c r="G1452">
        <f>IF($C1452="","","Por la cancelacion del saldo al proveedor")</f>
        <v/>
      </c>
      <c r="H1452">
        <f>IF($C1452="","",Registro_Compras!$C$164)</f>
        <v/>
      </c>
    </row>
    <row r="1453">
      <c r="A1453" s="25">
        <f>IF($C1453="","",Registro_Compras!$Y$164)</f>
        <v/>
      </c>
      <c r="B1453">
        <f>IF($C1453="","","C"&amp;TEXT(INT((ROW()-5)/9)+1,"000")&amp;"-4")</f>
        <v/>
      </c>
      <c r="C1453">
        <f>IF(OR(Registro_Compras!$C$164="",Registro_Compras!$O$164="",Registro_Compras!$Y$164="",Registro_Compras!$F$164="NOTA DE CREDITO"),"","10413")</f>
        <v/>
      </c>
      <c r="D1453">
        <f>IF(OR(Registro_Compras!$C$164="",Registro_Compras!$O$164=""),"","Efectivo y Equivalentes - Cta. Cte. Operativa")</f>
        <v/>
      </c>
      <c r="E1453" s="20">
        <f>""</f>
        <v/>
      </c>
      <c r="F1453" s="20">
        <f>IF($C1453="","",IF(Registro_Compras!$F$164="RHE",(ROUND(Registro_Compras!$L$164*Registro_Compras!$N$164,2)-ROUND(Registro_Compras!$V$164*Registro_Compras!$N$164,2)),ROUND(Registro_Compras!$O$164-Registro_Compras!$S$164,2)))</f>
        <v/>
      </c>
      <c r="G1453">
        <f>IF($C1453="","","Por la cancelacion del saldo al proveedor")</f>
        <v/>
      </c>
      <c r="H1453">
        <f>IF($C1453="","",Registro_Compras!$C$164)</f>
        <v/>
      </c>
    </row>
    <row r="1454">
      <c r="A1454" s="25">
        <f>IF($C1454="","",Registro_Compras!$B$165)</f>
        <v/>
      </c>
      <c r="B1454">
        <f>IF($C1454="","","C"&amp;TEXT(INT((ROW()-5)/9)+1,"000")&amp;"-1")</f>
        <v/>
      </c>
      <c r="C1454">
        <f>IF(OR(Registro_Compras!$C$165="",Registro_Compras!$O$165=""),"",IF(Registro_Compras!$F$165="NOTA DE CREDITO","4212",IF(Registro_Compras!$M$165="","63",Registro_Compras!$M$165)))</f>
        <v/>
      </c>
      <c r="D1454">
        <f>IF(OR(Registro_Compras!$C$165="",Registro_Compras!$O$165=""),"",IF(Registro_Compras!$F$165="NOTA DE CREDITO","Cuentas por Pagar Comerciales - Terceros (Emitidas)",IF(Registro_Compras!$F$165="RHE","Honorarios Profesionales - Servicios de Terceros","Gastos de Servicios Prestados por Terceros")))</f>
        <v/>
      </c>
      <c r="E1454" s="20">
        <f>IF($C1454="","",IF(Registro_Compras!$F$165="NOTA DE CREDITO",ABS(Registro_Compras!$O$165),IF(Registro_Compras!$F$165="RHE",ROUND(Registro_Compras!$L$165*Registro_Compras!$N$165,2),ROUND(Registro_Compras!$J$165*Registro_Compras!$N$165,2))))</f>
        <v/>
      </c>
      <c r="F1454" s="20">
        <f>""</f>
        <v/>
      </c>
      <c r="G1454">
        <f>IF($C1454="","",IF(Registro_Compras!$F$165="NOTA DE CREDITO","Por la nota de credito "&amp;Registro_Compras!$C$165&amp;" de "&amp;Registro_Compras!$E$165&amp;" [PATRON POR CONFIRMAR CON CONTADOR]",IF(Registro_Compras!$F$165="RHE","Por el registro del recibo por honorarios "&amp;Registro_Compras!$C$165&amp;" de "&amp;Registro_Compras!$E$165&amp;" [PATRON POR CONFIRMAR CON CONTADOR]","Por el registro de la factura "&amp;Registro_Compras!$C$165&amp;" de "&amp;Registro_Compras!$E$165)))</f>
        <v/>
      </c>
      <c r="H1454">
        <f>IF($C1454="","",Registro_Compras!$C$165)</f>
        <v/>
      </c>
    </row>
    <row r="1455">
      <c r="A1455" s="25">
        <f>IF($C1455="","",Registro_Compras!$B$165)</f>
        <v/>
      </c>
      <c r="B1455">
        <f>IF($C1455="","","C"&amp;TEXT(INT((ROW()-5)/9)+1,"000")&amp;"-1")</f>
        <v/>
      </c>
      <c r="C1455">
        <f>IF(OR(Registro_Compras!$C$165="",Registro_Compras!$O$165=""),"",IF(Registro_Compras!$F$165="RHE",IF(Registro_Compras!$V$165=0,"","40172"),IF(Registro_Compras!$F$165="NOTA DE CREDITO",IF(Registro_Compras!$M$165="","63",Registro_Compras!$M$165),IF(Registro_Compras!$K$165=0,"","40111"))))</f>
        <v/>
      </c>
      <c r="D1455">
        <f>IF(OR(Registro_Compras!$C$165="",Registro_Compras!$O$165=""),"",IF(Registro_Compras!$F$165="RHE","Retencion Renta 4ta Categoria por Pagar",IF(Registro_Compras!$F$165="NOTA DE CREDITO","Gastos de Servicios Prestados por Terceros","IGV - Cuenta Propia (Credito Fiscal)")))</f>
        <v/>
      </c>
      <c r="E1455" s="20">
        <f>IF($C1455="","",IF(Registro_Compras!$F$165="FACTURA",ROUND(Registro_Compras!$K$165*Registro_Compras!$N$165,2),""))</f>
        <v/>
      </c>
      <c r="F1455" s="20">
        <f>IF($C1455="","",IF(Registro_Compras!$F$165="RHE",ROUND(Registro_Compras!$V$165*Registro_Compras!$N$165,2),IF(Registro_Compras!$F$165="NOTA DE CREDITO",ROUND(ABS(Registro_Compras!$J$165*Registro_Compras!$N$165),2),"")))</f>
        <v/>
      </c>
      <c r="G1455">
        <f>IF($C1455="","",IF(Registro_Compras!$F$165="NOTA DE CREDITO","Por la nota de credito "&amp;Registro_Compras!$C$165&amp;" de "&amp;Registro_Compras!$E$165&amp;" [PATRON POR CONFIRMAR CON CONTADOR]",IF(Registro_Compras!$F$165="RHE","Por el registro del recibo por honorarios "&amp;Registro_Compras!$C$165&amp;" de "&amp;Registro_Compras!$E$165&amp;" [PATRON POR CONFIRMAR CON CONTADOR]","Por el registro de la factura "&amp;Registro_Compras!$C$165&amp;" de "&amp;Registro_Compras!$E$165)))</f>
        <v/>
      </c>
      <c r="H1455">
        <f>IF($C1455="","",Registro_Compras!$C$165)</f>
        <v/>
      </c>
    </row>
    <row r="1456">
      <c r="A1456" s="25">
        <f>IF($C1456="","",Registro_Compras!$B$165)</f>
        <v/>
      </c>
      <c r="B1456">
        <f>IF($C1456="","","C"&amp;TEXT(INT((ROW()-5)/9)+1,"000")&amp;"-1")</f>
        <v/>
      </c>
      <c r="C1456">
        <f>IF(OR(Registro_Compras!$C$165="",Registro_Compras!$O$165=""),"",IF(Registro_Compras!$F$165="NOTA DE CREDITO",IF(Registro_Compras!$K$165=0,"","40111"),"4212"))</f>
        <v/>
      </c>
      <c r="D1456">
        <f>IF(OR(Registro_Compras!$C$165="",Registro_Compras!$O$165=""),"",IF(Registro_Compras!$F$165="NOTA DE CREDITO","IGV - Cuenta Propia (Credito Fiscal)","Cuentas por Pagar Comerciales - Terceros (Emitidas)"))</f>
        <v/>
      </c>
      <c r="E1456" s="20">
        <f>""</f>
        <v/>
      </c>
      <c r="F1456" s="20">
        <f>IF($C1456="","",IF(Registro_Compras!$F$165="NOTA DE CREDITO",ROUND(ABS(Registro_Compras!$K$165*Registro_Compras!$N$165),2),IF(Registro_Compras!$F$165="RHE",(ROUND(Registro_Compras!$L$165*Registro_Compras!$N$165,2)-ROUND(Registro_Compras!$V$165*Registro_Compras!$N$165,2)),Registro_Compras!$O$165)))</f>
        <v/>
      </c>
      <c r="G1456">
        <f>IF($C1456="","",IF(Registro_Compras!$F$165="NOTA DE CREDITO","Por la nota de credito "&amp;Registro_Compras!$C$165&amp;" de "&amp;Registro_Compras!$E$165&amp;" [PATRON POR CONFIRMAR CON CONTADOR]",IF(Registro_Compras!$F$165="RHE","Por el registro del recibo por honorarios "&amp;Registro_Compras!$C$165&amp;" de "&amp;Registro_Compras!$E$165&amp;" [PATRON POR CONFIRMAR CON CONTADOR]","Por el registro de la factura "&amp;Registro_Compras!$C$165&amp;" de "&amp;Registro_Compras!$E$165)))</f>
        <v/>
      </c>
      <c r="H1456">
        <f>IF($C1456="","",Registro_Compras!$C$165)</f>
        <v/>
      </c>
    </row>
    <row r="1457">
      <c r="A1457" s="25">
        <f>IF($C1457="","",Registro_Compras!$B$165)</f>
        <v/>
      </c>
      <c r="B1457">
        <f>IF($C1457="","","C"&amp;TEXT(INT((ROW()-5)/9)+1,"000")&amp;"-2")</f>
        <v/>
      </c>
      <c r="C1457">
        <f>IF(OR(Registro_Compras!$C$165="",Registro_Compras!$O$165=""),"",IF(Registro_Compras!$AB$165="ADMINISTRATIVO","94","95"))</f>
        <v/>
      </c>
      <c r="D1457">
        <f>IF(OR(Registro_Compras!$C$165="",Registro_Compras!$O$165=""),"",IF(Registro_Compras!$AB$165="ADMINISTRATIVO","Gastos Administrativos","Gastos de Venta y Operacion"))</f>
        <v/>
      </c>
      <c r="E1457" s="20">
        <f>IF($C1457="","",IF(Registro_Compras!$F$165="NOTA DE CREDITO","",IF(Registro_Compras!$F$165="RHE",ROUND(Registro_Compras!$L$165*Registro_Compras!$N$165,2),ROUND(Registro_Compras!$J$165*Registro_Compras!$N$165,2))))</f>
        <v/>
      </c>
      <c r="F1457" s="20">
        <f>IF($C1457="","",IF(Registro_Compras!$F$165="NOTA DE CREDITO",ROUND(ABS(Registro_Compras!$J$165*Registro_Compras!$N$165),2),""))</f>
        <v/>
      </c>
      <c r="G1457">
        <f>IF($C1457="","","Por el destino del gasto")</f>
        <v/>
      </c>
      <c r="H1457">
        <f>IF($C1457="","",Registro_Compras!$C$165)</f>
        <v/>
      </c>
    </row>
    <row r="1458">
      <c r="A1458" s="25">
        <f>IF($C1458="","",Registro_Compras!$B$165)</f>
        <v/>
      </c>
      <c r="B1458">
        <f>IF($C1458="","","C"&amp;TEXT(INT((ROW()-5)/9)+1,"000")&amp;"-2")</f>
        <v/>
      </c>
      <c r="C1458">
        <f>IF(OR(Registro_Compras!$C$165="",Registro_Compras!$O$165=""),"","79/791")</f>
        <v/>
      </c>
      <c r="D1458">
        <f>IF(OR(Registro_Compras!$C$165="",Registro_Compras!$O$165=""),"","Cargas Imputables a Cuentas de Costos y Gastos")</f>
        <v/>
      </c>
      <c r="E1458" s="20">
        <f>IF($C1458="","",IF(Registro_Compras!$F$165="NOTA DE CREDITO",ROUND(ABS(Registro_Compras!$J$165*Registro_Compras!$N$165),2),""))</f>
        <v/>
      </c>
      <c r="F1458" s="20">
        <f>IF($C1458="","",IF(Registro_Compras!$F$165="NOTA DE CREDITO","",IF(Registro_Compras!$F$165="RHE",ROUND(Registro_Compras!$L$165*Registro_Compras!$N$165,2),ROUND(Registro_Compras!$J$165*Registro_Compras!$N$165,2))))</f>
        <v/>
      </c>
      <c r="G1458">
        <f>IF($C1458="","","Por el destino del gasto")</f>
        <v/>
      </c>
      <c r="H1458">
        <f>IF($C1458="","",Registro_Compras!$C$165)</f>
        <v/>
      </c>
    </row>
    <row r="1459">
      <c r="A1459" s="25">
        <f>IF($C1459="","",Registro_Compras!$X$165)</f>
        <v/>
      </c>
      <c r="B1459">
        <f>IF($C1459="","","C"&amp;TEXT(INT((ROW()-5)/9)+1,"000")&amp;"-3")</f>
        <v/>
      </c>
      <c r="C1459">
        <f>IF(OR(Registro_Compras!$C$165="",Registro_Compras!$O$165="",Registro_Compras!$R$165&lt;&gt;"SI",Registro_Compras!$X$165=""),"","4212")</f>
        <v/>
      </c>
      <c r="D1459">
        <f>IF(OR(Registro_Compras!$C$165="",Registro_Compras!$O$165=""),"","Cuentas por Pagar Comerciales - Terceros")</f>
        <v/>
      </c>
      <c r="E1459" s="20">
        <f>IF($C1459="","",Registro_Compras!$S$165)</f>
        <v/>
      </c>
      <c r="F1459" s="20">
        <f>""</f>
        <v/>
      </c>
      <c r="G1459">
        <f>IF($C1459="","","Por el deposito de la detraccion en el Banco de la Nacion")</f>
        <v/>
      </c>
      <c r="H1459">
        <f>IF($C1459="","",Registro_Compras!$C$165)</f>
        <v/>
      </c>
    </row>
    <row r="1460">
      <c r="A1460" s="25">
        <f>IF($C1460="","",Registro_Compras!$X$165)</f>
        <v/>
      </c>
      <c r="B1460">
        <f>IF($C1460="","","C"&amp;TEXT(INT((ROW()-5)/9)+1,"000")&amp;"-3")</f>
        <v/>
      </c>
      <c r="C1460">
        <f>IF(OR(Registro_Compras!$C$165="",Registro_Compras!$O$165="",Registro_Compras!$R$165&lt;&gt;"SI",Registro_Compras!$X$165=""),"","10413")</f>
        <v/>
      </c>
      <c r="D1460">
        <f>IF(OR(Registro_Compras!$C$165="",Registro_Compras!$O$165=""),"","Efectivo y Equivalentes - Cta. Cte. Operativa")</f>
        <v/>
      </c>
      <c r="E1460" s="20">
        <f>""</f>
        <v/>
      </c>
      <c r="F1460" s="20">
        <f>IF($C1460="","",Registro_Compras!$S$165)</f>
        <v/>
      </c>
      <c r="G1460">
        <f>IF($C1460="","","Por el deposito de la detraccion en el Banco de la Nacion")</f>
        <v/>
      </c>
      <c r="H1460">
        <f>IF($C1460="","",Registro_Compras!$C$165)</f>
        <v/>
      </c>
    </row>
    <row r="1461">
      <c r="A1461" s="25">
        <f>IF($C1461="","",Registro_Compras!$Y$165)</f>
        <v/>
      </c>
      <c r="B1461">
        <f>IF($C1461="","","C"&amp;TEXT(INT((ROW()-5)/9)+1,"000")&amp;"-4")</f>
        <v/>
      </c>
      <c r="C1461">
        <f>IF(OR(Registro_Compras!$C$165="",Registro_Compras!$O$165="",Registro_Compras!$Y$165="",Registro_Compras!$F$165="NOTA DE CREDITO"),"","4212")</f>
        <v/>
      </c>
      <c r="D1461">
        <f>IF(OR(Registro_Compras!$C$165="",Registro_Compras!$O$165=""),"","Cuentas por Pagar Comerciales - Terceros")</f>
        <v/>
      </c>
      <c r="E1461" s="20">
        <f>IF($C1461="","",IF(Registro_Compras!$F$165="RHE",(ROUND(Registro_Compras!$L$165*Registro_Compras!$N$165,2)-ROUND(Registro_Compras!$V$165*Registro_Compras!$N$165,2)),ROUND(Registro_Compras!$O$165-Registro_Compras!$S$165,2)))</f>
        <v/>
      </c>
      <c r="F1461" s="20">
        <f>""</f>
        <v/>
      </c>
      <c r="G1461">
        <f>IF($C1461="","","Por la cancelacion del saldo al proveedor")</f>
        <v/>
      </c>
      <c r="H1461">
        <f>IF($C1461="","",Registro_Compras!$C$165)</f>
        <v/>
      </c>
    </row>
    <row r="1462">
      <c r="A1462" s="25">
        <f>IF($C1462="","",Registro_Compras!$Y$165)</f>
        <v/>
      </c>
      <c r="B1462">
        <f>IF($C1462="","","C"&amp;TEXT(INT((ROW()-5)/9)+1,"000")&amp;"-4")</f>
        <v/>
      </c>
      <c r="C1462">
        <f>IF(OR(Registro_Compras!$C$165="",Registro_Compras!$O$165="",Registro_Compras!$Y$165="",Registro_Compras!$F$165="NOTA DE CREDITO"),"","10413")</f>
        <v/>
      </c>
      <c r="D1462">
        <f>IF(OR(Registro_Compras!$C$165="",Registro_Compras!$O$165=""),"","Efectivo y Equivalentes - Cta. Cte. Operativa")</f>
        <v/>
      </c>
      <c r="E1462" s="20">
        <f>""</f>
        <v/>
      </c>
      <c r="F1462" s="20">
        <f>IF($C1462="","",IF(Registro_Compras!$F$165="RHE",(ROUND(Registro_Compras!$L$165*Registro_Compras!$N$165,2)-ROUND(Registro_Compras!$V$165*Registro_Compras!$N$165,2)),ROUND(Registro_Compras!$O$165-Registro_Compras!$S$165,2)))</f>
        <v/>
      </c>
      <c r="G1462">
        <f>IF($C1462="","","Por la cancelacion del saldo al proveedor")</f>
        <v/>
      </c>
      <c r="H1462">
        <f>IF($C1462="","",Registro_Compras!$C$165)</f>
        <v/>
      </c>
    </row>
    <row r="1463">
      <c r="A1463" s="25">
        <f>IF($C1463="","",Registro_Compras!$B$166)</f>
        <v/>
      </c>
      <c r="B1463">
        <f>IF($C1463="","","C"&amp;TEXT(INT((ROW()-5)/9)+1,"000")&amp;"-1")</f>
        <v/>
      </c>
      <c r="C1463">
        <f>IF(OR(Registro_Compras!$C$166="",Registro_Compras!$O$166=""),"",IF(Registro_Compras!$F$166="NOTA DE CREDITO","4212",IF(Registro_Compras!$M$166="","63",Registro_Compras!$M$166)))</f>
        <v/>
      </c>
      <c r="D1463">
        <f>IF(OR(Registro_Compras!$C$166="",Registro_Compras!$O$166=""),"",IF(Registro_Compras!$F$166="NOTA DE CREDITO","Cuentas por Pagar Comerciales - Terceros (Emitidas)",IF(Registro_Compras!$F$166="RHE","Honorarios Profesionales - Servicios de Terceros","Gastos de Servicios Prestados por Terceros")))</f>
        <v/>
      </c>
      <c r="E1463" s="20">
        <f>IF($C1463="","",IF(Registro_Compras!$F$166="NOTA DE CREDITO",ABS(Registro_Compras!$O$166),IF(Registro_Compras!$F$166="RHE",ROUND(Registro_Compras!$L$166*Registro_Compras!$N$166,2),ROUND(Registro_Compras!$J$166*Registro_Compras!$N$166,2))))</f>
        <v/>
      </c>
      <c r="F1463" s="20">
        <f>""</f>
        <v/>
      </c>
      <c r="G1463">
        <f>IF($C1463="","",IF(Registro_Compras!$F$166="NOTA DE CREDITO","Por la nota de credito "&amp;Registro_Compras!$C$166&amp;" de "&amp;Registro_Compras!$E$166&amp;" [PATRON POR CONFIRMAR CON CONTADOR]",IF(Registro_Compras!$F$166="RHE","Por el registro del recibo por honorarios "&amp;Registro_Compras!$C$166&amp;" de "&amp;Registro_Compras!$E$166&amp;" [PATRON POR CONFIRMAR CON CONTADOR]","Por el registro de la factura "&amp;Registro_Compras!$C$166&amp;" de "&amp;Registro_Compras!$E$166)))</f>
        <v/>
      </c>
      <c r="H1463">
        <f>IF($C1463="","",Registro_Compras!$C$166)</f>
        <v/>
      </c>
    </row>
    <row r="1464">
      <c r="A1464" s="25">
        <f>IF($C1464="","",Registro_Compras!$B$166)</f>
        <v/>
      </c>
      <c r="B1464">
        <f>IF($C1464="","","C"&amp;TEXT(INT((ROW()-5)/9)+1,"000")&amp;"-1")</f>
        <v/>
      </c>
      <c r="C1464">
        <f>IF(OR(Registro_Compras!$C$166="",Registro_Compras!$O$166=""),"",IF(Registro_Compras!$F$166="RHE",IF(Registro_Compras!$V$166=0,"","40172"),IF(Registro_Compras!$F$166="NOTA DE CREDITO",IF(Registro_Compras!$M$166="","63",Registro_Compras!$M$166),IF(Registro_Compras!$K$166=0,"","40111"))))</f>
        <v/>
      </c>
      <c r="D1464">
        <f>IF(OR(Registro_Compras!$C$166="",Registro_Compras!$O$166=""),"",IF(Registro_Compras!$F$166="RHE","Retencion Renta 4ta Categoria por Pagar",IF(Registro_Compras!$F$166="NOTA DE CREDITO","Gastos de Servicios Prestados por Terceros","IGV - Cuenta Propia (Credito Fiscal)")))</f>
        <v/>
      </c>
      <c r="E1464" s="20">
        <f>IF($C1464="","",IF(Registro_Compras!$F$166="FACTURA",ROUND(Registro_Compras!$K$166*Registro_Compras!$N$166,2),""))</f>
        <v/>
      </c>
      <c r="F1464" s="20">
        <f>IF($C1464="","",IF(Registro_Compras!$F$166="RHE",ROUND(Registro_Compras!$V$166*Registro_Compras!$N$166,2),IF(Registro_Compras!$F$166="NOTA DE CREDITO",ROUND(ABS(Registro_Compras!$J$166*Registro_Compras!$N$166),2),"")))</f>
        <v/>
      </c>
      <c r="G1464">
        <f>IF($C1464="","",IF(Registro_Compras!$F$166="NOTA DE CREDITO","Por la nota de credito "&amp;Registro_Compras!$C$166&amp;" de "&amp;Registro_Compras!$E$166&amp;" [PATRON POR CONFIRMAR CON CONTADOR]",IF(Registro_Compras!$F$166="RHE","Por el registro del recibo por honorarios "&amp;Registro_Compras!$C$166&amp;" de "&amp;Registro_Compras!$E$166&amp;" [PATRON POR CONFIRMAR CON CONTADOR]","Por el registro de la factura "&amp;Registro_Compras!$C$166&amp;" de "&amp;Registro_Compras!$E$166)))</f>
        <v/>
      </c>
      <c r="H1464">
        <f>IF($C1464="","",Registro_Compras!$C$166)</f>
        <v/>
      </c>
    </row>
    <row r="1465">
      <c r="A1465" s="25">
        <f>IF($C1465="","",Registro_Compras!$B$166)</f>
        <v/>
      </c>
      <c r="B1465">
        <f>IF($C1465="","","C"&amp;TEXT(INT((ROW()-5)/9)+1,"000")&amp;"-1")</f>
        <v/>
      </c>
      <c r="C1465">
        <f>IF(OR(Registro_Compras!$C$166="",Registro_Compras!$O$166=""),"",IF(Registro_Compras!$F$166="NOTA DE CREDITO",IF(Registro_Compras!$K$166=0,"","40111"),"4212"))</f>
        <v/>
      </c>
      <c r="D1465">
        <f>IF(OR(Registro_Compras!$C$166="",Registro_Compras!$O$166=""),"",IF(Registro_Compras!$F$166="NOTA DE CREDITO","IGV - Cuenta Propia (Credito Fiscal)","Cuentas por Pagar Comerciales - Terceros (Emitidas)"))</f>
        <v/>
      </c>
      <c r="E1465" s="20">
        <f>""</f>
        <v/>
      </c>
      <c r="F1465" s="20">
        <f>IF($C1465="","",IF(Registro_Compras!$F$166="NOTA DE CREDITO",ROUND(ABS(Registro_Compras!$K$166*Registro_Compras!$N$166),2),IF(Registro_Compras!$F$166="RHE",(ROUND(Registro_Compras!$L$166*Registro_Compras!$N$166,2)-ROUND(Registro_Compras!$V$166*Registro_Compras!$N$166,2)),Registro_Compras!$O$166)))</f>
        <v/>
      </c>
      <c r="G1465">
        <f>IF($C1465="","",IF(Registro_Compras!$F$166="NOTA DE CREDITO","Por la nota de credito "&amp;Registro_Compras!$C$166&amp;" de "&amp;Registro_Compras!$E$166&amp;" [PATRON POR CONFIRMAR CON CONTADOR]",IF(Registro_Compras!$F$166="RHE","Por el registro del recibo por honorarios "&amp;Registro_Compras!$C$166&amp;" de "&amp;Registro_Compras!$E$166&amp;" [PATRON POR CONFIRMAR CON CONTADOR]","Por el registro de la factura "&amp;Registro_Compras!$C$166&amp;" de "&amp;Registro_Compras!$E$166)))</f>
        <v/>
      </c>
      <c r="H1465">
        <f>IF($C1465="","",Registro_Compras!$C$166)</f>
        <v/>
      </c>
    </row>
    <row r="1466">
      <c r="A1466" s="25">
        <f>IF($C1466="","",Registro_Compras!$B$166)</f>
        <v/>
      </c>
      <c r="B1466">
        <f>IF($C1466="","","C"&amp;TEXT(INT((ROW()-5)/9)+1,"000")&amp;"-2")</f>
        <v/>
      </c>
      <c r="C1466">
        <f>IF(OR(Registro_Compras!$C$166="",Registro_Compras!$O$166=""),"",IF(Registro_Compras!$AB$166="ADMINISTRATIVO","94","95"))</f>
        <v/>
      </c>
      <c r="D1466">
        <f>IF(OR(Registro_Compras!$C$166="",Registro_Compras!$O$166=""),"",IF(Registro_Compras!$AB$166="ADMINISTRATIVO","Gastos Administrativos","Gastos de Venta y Operacion"))</f>
        <v/>
      </c>
      <c r="E1466" s="20">
        <f>IF($C1466="","",IF(Registro_Compras!$F$166="NOTA DE CREDITO","",IF(Registro_Compras!$F$166="RHE",ROUND(Registro_Compras!$L$166*Registro_Compras!$N$166,2),ROUND(Registro_Compras!$J$166*Registro_Compras!$N$166,2))))</f>
        <v/>
      </c>
      <c r="F1466" s="20">
        <f>IF($C1466="","",IF(Registro_Compras!$F$166="NOTA DE CREDITO",ROUND(ABS(Registro_Compras!$J$166*Registro_Compras!$N$166),2),""))</f>
        <v/>
      </c>
      <c r="G1466">
        <f>IF($C1466="","","Por el destino del gasto")</f>
        <v/>
      </c>
      <c r="H1466">
        <f>IF($C1466="","",Registro_Compras!$C$166)</f>
        <v/>
      </c>
    </row>
    <row r="1467">
      <c r="A1467" s="25">
        <f>IF($C1467="","",Registro_Compras!$B$166)</f>
        <v/>
      </c>
      <c r="B1467">
        <f>IF($C1467="","","C"&amp;TEXT(INT((ROW()-5)/9)+1,"000")&amp;"-2")</f>
        <v/>
      </c>
      <c r="C1467">
        <f>IF(OR(Registro_Compras!$C$166="",Registro_Compras!$O$166=""),"","79/791")</f>
        <v/>
      </c>
      <c r="D1467">
        <f>IF(OR(Registro_Compras!$C$166="",Registro_Compras!$O$166=""),"","Cargas Imputables a Cuentas de Costos y Gastos")</f>
        <v/>
      </c>
      <c r="E1467" s="20">
        <f>IF($C1467="","",IF(Registro_Compras!$F$166="NOTA DE CREDITO",ROUND(ABS(Registro_Compras!$J$166*Registro_Compras!$N$166),2),""))</f>
        <v/>
      </c>
      <c r="F1467" s="20">
        <f>IF($C1467="","",IF(Registro_Compras!$F$166="NOTA DE CREDITO","",IF(Registro_Compras!$F$166="RHE",ROUND(Registro_Compras!$L$166*Registro_Compras!$N$166,2),ROUND(Registro_Compras!$J$166*Registro_Compras!$N$166,2))))</f>
        <v/>
      </c>
      <c r="G1467">
        <f>IF($C1467="","","Por el destino del gasto")</f>
        <v/>
      </c>
      <c r="H1467">
        <f>IF($C1467="","",Registro_Compras!$C$166)</f>
        <v/>
      </c>
    </row>
    <row r="1468">
      <c r="A1468" s="25">
        <f>IF($C1468="","",Registro_Compras!$X$166)</f>
        <v/>
      </c>
      <c r="B1468">
        <f>IF($C1468="","","C"&amp;TEXT(INT((ROW()-5)/9)+1,"000")&amp;"-3")</f>
        <v/>
      </c>
      <c r="C1468">
        <f>IF(OR(Registro_Compras!$C$166="",Registro_Compras!$O$166="",Registro_Compras!$R$166&lt;&gt;"SI",Registro_Compras!$X$166=""),"","4212")</f>
        <v/>
      </c>
      <c r="D1468">
        <f>IF(OR(Registro_Compras!$C$166="",Registro_Compras!$O$166=""),"","Cuentas por Pagar Comerciales - Terceros")</f>
        <v/>
      </c>
      <c r="E1468" s="20">
        <f>IF($C1468="","",Registro_Compras!$S$166)</f>
        <v/>
      </c>
      <c r="F1468" s="20">
        <f>""</f>
        <v/>
      </c>
      <c r="G1468">
        <f>IF($C1468="","","Por el deposito de la detraccion en el Banco de la Nacion")</f>
        <v/>
      </c>
      <c r="H1468">
        <f>IF($C1468="","",Registro_Compras!$C$166)</f>
        <v/>
      </c>
    </row>
    <row r="1469">
      <c r="A1469" s="25">
        <f>IF($C1469="","",Registro_Compras!$X$166)</f>
        <v/>
      </c>
      <c r="B1469">
        <f>IF($C1469="","","C"&amp;TEXT(INT((ROW()-5)/9)+1,"000")&amp;"-3")</f>
        <v/>
      </c>
      <c r="C1469">
        <f>IF(OR(Registro_Compras!$C$166="",Registro_Compras!$O$166="",Registro_Compras!$R$166&lt;&gt;"SI",Registro_Compras!$X$166=""),"","10413")</f>
        <v/>
      </c>
      <c r="D1469">
        <f>IF(OR(Registro_Compras!$C$166="",Registro_Compras!$O$166=""),"","Efectivo y Equivalentes - Cta. Cte. Operativa")</f>
        <v/>
      </c>
      <c r="E1469" s="20">
        <f>""</f>
        <v/>
      </c>
      <c r="F1469" s="20">
        <f>IF($C1469="","",Registro_Compras!$S$166)</f>
        <v/>
      </c>
      <c r="G1469">
        <f>IF($C1469="","","Por el deposito de la detraccion en el Banco de la Nacion")</f>
        <v/>
      </c>
      <c r="H1469">
        <f>IF($C1469="","",Registro_Compras!$C$166)</f>
        <v/>
      </c>
    </row>
    <row r="1470">
      <c r="A1470" s="25">
        <f>IF($C1470="","",Registro_Compras!$Y$166)</f>
        <v/>
      </c>
      <c r="B1470">
        <f>IF($C1470="","","C"&amp;TEXT(INT((ROW()-5)/9)+1,"000")&amp;"-4")</f>
        <v/>
      </c>
      <c r="C1470">
        <f>IF(OR(Registro_Compras!$C$166="",Registro_Compras!$O$166="",Registro_Compras!$Y$166="",Registro_Compras!$F$166="NOTA DE CREDITO"),"","4212")</f>
        <v/>
      </c>
      <c r="D1470">
        <f>IF(OR(Registro_Compras!$C$166="",Registro_Compras!$O$166=""),"","Cuentas por Pagar Comerciales - Terceros")</f>
        <v/>
      </c>
      <c r="E1470" s="20">
        <f>IF($C1470="","",IF(Registro_Compras!$F$166="RHE",(ROUND(Registro_Compras!$L$166*Registro_Compras!$N$166,2)-ROUND(Registro_Compras!$V$166*Registro_Compras!$N$166,2)),ROUND(Registro_Compras!$O$166-Registro_Compras!$S$166,2)))</f>
        <v/>
      </c>
      <c r="F1470" s="20">
        <f>""</f>
        <v/>
      </c>
      <c r="G1470">
        <f>IF($C1470="","","Por la cancelacion del saldo al proveedor")</f>
        <v/>
      </c>
      <c r="H1470">
        <f>IF($C1470="","",Registro_Compras!$C$166)</f>
        <v/>
      </c>
    </row>
    <row r="1471">
      <c r="A1471" s="25">
        <f>IF($C1471="","",Registro_Compras!$Y$166)</f>
        <v/>
      </c>
      <c r="B1471">
        <f>IF($C1471="","","C"&amp;TEXT(INT((ROW()-5)/9)+1,"000")&amp;"-4")</f>
        <v/>
      </c>
      <c r="C1471">
        <f>IF(OR(Registro_Compras!$C$166="",Registro_Compras!$O$166="",Registro_Compras!$Y$166="",Registro_Compras!$F$166="NOTA DE CREDITO"),"","10413")</f>
        <v/>
      </c>
      <c r="D1471">
        <f>IF(OR(Registro_Compras!$C$166="",Registro_Compras!$O$166=""),"","Efectivo y Equivalentes - Cta. Cte. Operativa")</f>
        <v/>
      </c>
      <c r="E1471" s="20">
        <f>""</f>
        <v/>
      </c>
      <c r="F1471" s="20">
        <f>IF($C1471="","",IF(Registro_Compras!$F$166="RHE",(ROUND(Registro_Compras!$L$166*Registro_Compras!$N$166,2)-ROUND(Registro_Compras!$V$166*Registro_Compras!$N$166,2)),ROUND(Registro_Compras!$O$166-Registro_Compras!$S$166,2)))</f>
        <v/>
      </c>
      <c r="G1471">
        <f>IF($C1471="","","Por la cancelacion del saldo al proveedor")</f>
        <v/>
      </c>
      <c r="H1471">
        <f>IF($C1471="","",Registro_Compras!$C$166)</f>
        <v/>
      </c>
    </row>
    <row r="1472">
      <c r="A1472" s="25">
        <f>IF($C1472="","",Registro_Compras!$B$167)</f>
        <v/>
      </c>
      <c r="B1472">
        <f>IF($C1472="","","C"&amp;TEXT(INT((ROW()-5)/9)+1,"000")&amp;"-1")</f>
        <v/>
      </c>
      <c r="C1472">
        <f>IF(OR(Registro_Compras!$C$167="",Registro_Compras!$O$167=""),"",IF(Registro_Compras!$F$167="NOTA DE CREDITO","4212",IF(Registro_Compras!$M$167="","63",Registro_Compras!$M$167)))</f>
        <v/>
      </c>
      <c r="D1472">
        <f>IF(OR(Registro_Compras!$C$167="",Registro_Compras!$O$167=""),"",IF(Registro_Compras!$F$167="NOTA DE CREDITO","Cuentas por Pagar Comerciales - Terceros (Emitidas)",IF(Registro_Compras!$F$167="RHE","Honorarios Profesionales - Servicios de Terceros","Gastos de Servicios Prestados por Terceros")))</f>
        <v/>
      </c>
      <c r="E1472" s="20">
        <f>IF($C1472="","",IF(Registro_Compras!$F$167="NOTA DE CREDITO",ABS(Registro_Compras!$O$167),IF(Registro_Compras!$F$167="RHE",ROUND(Registro_Compras!$L$167*Registro_Compras!$N$167,2),ROUND(Registro_Compras!$J$167*Registro_Compras!$N$167,2))))</f>
        <v/>
      </c>
      <c r="F1472" s="20">
        <f>""</f>
        <v/>
      </c>
      <c r="G1472">
        <f>IF($C1472="","",IF(Registro_Compras!$F$167="NOTA DE CREDITO","Por la nota de credito "&amp;Registro_Compras!$C$167&amp;" de "&amp;Registro_Compras!$E$167&amp;" [PATRON POR CONFIRMAR CON CONTADOR]",IF(Registro_Compras!$F$167="RHE","Por el registro del recibo por honorarios "&amp;Registro_Compras!$C$167&amp;" de "&amp;Registro_Compras!$E$167&amp;" [PATRON POR CONFIRMAR CON CONTADOR]","Por el registro de la factura "&amp;Registro_Compras!$C$167&amp;" de "&amp;Registro_Compras!$E$167)))</f>
        <v/>
      </c>
      <c r="H1472">
        <f>IF($C1472="","",Registro_Compras!$C$167)</f>
        <v/>
      </c>
    </row>
    <row r="1473">
      <c r="A1473" s="25">
        <f>IF($C1473="","",Registro_Compras!$B$167)</f>
        <v/>
      </c>
      <c r="B1473">
        <f>IF($C1473="","","C"&amp;TEXT(INT((ROW()-5)/9)+1,"000")&amp;"-1")</f>
        <v/>
      </c>
      <c r="C1473">
        <f>IF(OR(Registro_Compras!$C$167="",Registro_Compras!$O$167=""),"",IF(Registro_Compras!$F$167="RHE",IF(Registro_Compras!$V$167=0,"","40172"),IF(Registro_Compras!$F$167="NOTA DE CREDITO",IF(Registro_Compras!$M$167="","63",Registro_Compras!$M$167),IF(Registro_Compras!$K$167=0,"","40111"))))</f>
        <v/>
      </c>
      <c r="D1473">
        <f>IF(OR(Registro_Compras!$C$167="",Registro_Compras!$O$167=""),"",IF(Registro_Compras!$F$167="RHE","Retencion Renta 4ta Categoria por Pagar",IF(Registro_Compras!$F$167="NOTA DE CREDITO","Gastos de Servicios Prestados por Terceros","IGV - Cuenta Propia (Credito Fiscal)")))</f>
        <v/>
      </c>
      <c r="E1473" s="20">
        <f>IF($C1473="","",IF(Registro_Compras!$F$167="FACTURA",ROUND(Registro_Compras!$K$167*Registro_Compras!$N$167,2),""))</f>
        <v/>
      </c>
      <c r="F1473" s="20">
        <f>IF($C1473="","",IF(Registro_Compras!$F$167="RHE",ROUND(Registro_Compras!$V$167*Registro_Compras!$N$167,2),IF(Registro_Compras!$F$167="NOTA DE CREDITO",ROUND(ABS(Registro_Compras!$J$167*Registro_Compras!$N$167),2),"")))</f>
        <v/>
      </c>
      <c r="G1473">
        <f>IF($C1473="","",IF(Registro_Compras!$F$167="NOTA DE CREDITO","Por la nota de credito "&amp;Registro_Compras!$C$167&amp;" de "&amp;Registro_Compras!$E$167&amp;" [PATRON POR CONFIRMAR CON CONTADOR]",IF(Registro_Compras!$F$167="RHE","Por el registro del recibo por honorarios "&amp;Registro_Compras!$C$167&amp;" de "&amp;Registro_Compras!$E$167&amp;" [PATRON POR CONFIRMAR CON CONTADOR]","Por el registro de la factura "&amp;Registro_Compras!$C$167&amp;" de "&amp;Registro_Compras!$E$167)))</f>
        <v/>
      </c>
      <c r="H1473">
        <f>IF($C1473="","",Registro_Compras!$C$167)</f>
        <v/>
      </c>
    </row>
    <row r="1474">
      <c r="A1474" s="25">
        <f>IF($C1474="","",Registro_Compras!$B$167)</f>
        <v/>
      </c>
      <c r="B1474">
        <f>IF($C1474="","","C"&amp;TEXT(INT((ROW()-5)/9)+1,"000")&amp;"-1")</f>
        <v/>
      </c>
      <c r="C1474">
        <f>IF(OR(Registro_Compras!$C$167="",Registro_Compras!$O$167=""),"",IF(Registro_Compras!$F$167="NOTA DE CREDITO",IF(Registro_Compras!$K$167=0,"","40111"),"4212"))</f>
        <v/>
      </c>
      <c r="D1474">
        <f>IF(OR(Registro_Compras!$C$167="",Registro_Compras!$O$167=""),"",IF(Registro_Compras!$F$167="NOTA DE CREDITO","IGV - Cuenta Propia (Credito Fiscal)","Cuentas por Pagar Comerciales - Terceros (Emitidas)"))</f>
        <v/>
      </c>
      <c r="E1474" s="20">
        <f>""</f>
        <v/>
      </c>
      <c r="F1474" s="20">
        <f>IF($C1474="","",IF(Registro_Compras!$F$167="NOTA DE CREDITO",ROUND(ABS(Registro_Compras!$K$167*Registro_Compras!$N$167),2),IF(Registro_Compras!$F$167="RHE",(ROUND(Registro_Compras!$L$167*Registro_Compras!$N$167,2)-ROUND(Registro_Compras!$V$167*Registro_Compras!$N$167,2)),Registro_Compras!$O$167)))</f>
        <v/>
      </c>
      <c r="G1474">
        <f>IF($C1474="","",IF(Registro_Compras!$F$167="NOTA DE CREDITO","Por la nota de credito "&amp;Registro_Compras!$C$167&amp;" de "&amp;Registro_Compras!$E$167&amp;" [PATRON POR CONFIRMAR CON CONTADOR]",IF(Registro_Compras!$F$167="RHE","Por el registro del recibo por honorarios "&amp;Registro_Compras!$C$167&amp;" de "&amp;Registro_Compras!$E$167&amp;" [PATRON POR CONFIRMAR CON CONTADOR]","Por el registro de la factura "&amp;Registro_Compras!$C$167&amp;" de "&amp;Registro_Compras!$E$167)))</f>
        <v/>
      </c>
      <c r="H1474">
        <f>IF($C1474="","",Registro_Compras!$C$167)</f>
        <v/>
      </c>
    </row>
    <row r="1475">
      <c r="A1475" s="25">
        <f>IF($C1475="","",Registro_Compras!$B$167)</f>
        <v/>
      </c>
      <c r="B1475">
        <f>IF($C1475="","","C"&amp;TEXT(INT((ROW()-5)/9)+1,"000")&amp;"-2")</f>
        <v/>
      </c>
      <c r="C1475">
        <f>IF(OR(Registro_Compras!$C$167="",Registro_Compras!$O$167=""),"",IF(Registro_Compras!$AB$167="ADMINISTRATIVO","94","95"))</f>
        <v/>
      </c>
      <c r="D1475">
        <f>IF(OR(Registro_Compras!$C$167="",Registro_Compras!$O$167=""),"",IF(Registro_Compras!$AB$167="ADMINISTRATIVO","Gastos Administrativos","Gastos de Venta y Operacion"))</f>
        <v/>
      </c>
      <c r="E1475" s="20">
        <f>IF($C1475="","",IF(Registro_Compras!$F$167="NOTA DE CREDITO","",IF(Registro_Compras!$F$167="RHE",ROUND(Registro_Compras!$L$167*Registro_Compras!$N$167,2),ROUND(Registro_Compras!$J$167*Registro_Compras!$N$167,2))))</f>
        <v/>
      </c>
      <c r="F1475" s="20">
        <f>IF($C1475="","",IF(Registro_Compras!$F$167="NOTA DE CREDITO",ROUND(ABS(Registro_Compras!$J$167*Registro_Compras!$N$167),2),""))</f>
        <v/>
      </c>
      <c r="G1475">
        <f>IF($C1475="","","Por el destino del gasto")</f>
        <v/>
      </c>
      <c r="H1475">
        <f>IF($C1475="","",Registro_Compras!$C$167)</f>
        <v/>
      </c>
    </row>
    <row r="1476">
      <c r="A1476" s="25">
        <f>IF($C1476="","",Registro_Compras!$B$167)</f>
        <v/>
      </c>
      <c r="B1476">
        <f>IF($C1476="","","C"&amp;TEXT(INT((ROW()-5)/9)+1,"000")&amp;"-2")</f>
        <v/>
      </c>
      <c r="C1476">
        <f>IF(OR(Registro_Compras!$C$167="",Registro_Compras!$O$167=""),"","79/791")</f>
        <v/>
      </c>
      <c r="D1476">
        <f>IF(OR(Registro_Compras!$C$167="",Registro_Compras!$O$167=""),"","Cargas Imputables a Cuentas de Costos y Gastos")</f>
        <v/>
      </c>
      <c r="E1476" s="20">
        <f>IF($C1476="","",IF(Registro_Compras!$F$167="NOTA DE CREDITO",ROUND(ABS(Registro_Compras!$J$167*Registro_Compras!$N$167),2),""))</f>
        <v/>
      </c>
      <c r="F1476" s="20">
        <f>IF($C1476="","",IF(Registro_Compras!$F$167="NOTA DE CREDITO","",IF(Registro_Compras!$F$167="RHE",ROUND(Registro_Compras!$L$167*Registro_Compras!$N$167,2),ROUND(Registro_Compras!$J$167*Registro_Compras!$N$167,2))))</f>
        <v/>
      </c>
      <c r="G1476">
        <f>IF($C1476="","","Por el destino del gasto")</f>
        <v/>
      </c>
      <c r="H1476">
        <f>IF($C1476="","",Registro_Compras!$C$167)</f>
        <v/>
      </c>
    </row>
    <row r="1477">
      <c r="A1477" s="25">
        <f>IF($C1477="","",Registro_Compras!$X$167)</f>
        <v/>
      </c>
      <c r="B1477">
        <f>IF($C1477="","","C"&amp;TEXT(INT((ROW()-5)/9)+1,"000")&amp;"-3")</f>
        <v/>
      </c>
      <c r="C1477">
        <f>IF(OR(Registro_Compras!$C$167="",Registro_Compras!$O$167="",Registro_Compras!$R$167&lt;&gt;"SI",Registro_Compras!$X$167=""),"","4212")</f>
        <v/>
      </c>
      <c r="D1477">
        <f>IF(OR(Registro_Compras!$C$167="",Registro_Compras!$O$167=""),"","Cuentas por Pagar Comerciales - Terceros")</f>
        <v/>
      </c>
      <c r="E1477" s="20">
        <f>IF($C1477="","",Registro_Compras!$S$167)</f>
        <v/>
      </c>
      <c r="F1477" s="20">
        <f>""</f>
        <v/>
      </c>
      <c r="G1477">
        <f>IF($C1477="","","Por el deposito de la detraccion en el Banco de la Nacion")</f>
        <v/>
      </c>
      <c r="H1477">
        <f>IF($C1477="","",Registro_Compras!$C$167)</f>
        <v/>
      </c>
    </row>
    <row r="1478">
      <c r="A1478" s="25">
        <f>IF($C1478="","",Registro_Compras!$X$167)</f>
        <v/>
      </c>
      <c r="B1478">
        <f>IF($C1478="","","C"&amp;TEXT(INT((ROW()-5)/9)+1,"000")&amp;"-3")</f>
        <v/>
      </c>
      <c r="C1478">
        <f>IF(OR(Registro_Compras!$C$167="",Registro_Compras!$O$167="",Registro_Compras!$R$167&lt;&gt;"SI",Registro_Compras!$X$167=""),"","10413")</f>
        <v/>
      </c>
      <c r="D1478">
        <f>IF(OR(Registro_Compras!$C$167="",Registro_Compras!$O$167=""),"","Efectivo y Equivalentes - Cta. Cte. Operativa")</f>
        <v/>
      </c>
      <c r="E1478" s="20">
        <f>""</f>
        <v/>
      </c>
      <c r="F1478" s="20">
        <f>IF($C1478="","",Registro_Compras!$S$167)</f>
        <v/>
      </c>
      <c r="G1478">
        <f>IF($C1478="","","Por el deposito de la detraccion en el Banco de la Nacion")</f>
        <v/>
      </c>
      <c r="H1478">
        <f>IF($C1478="","",Registro_Compras!$C$167)</f>
        <v/>
      </c>
    </row>
    <row r="1479">
      <c r="A1479" s="25">
        <f>IF($C1479="","",Registro_Compras!$Y$167)</f>
        <v/>
      </c>
      <c r="B1479">
        <f>IF($C1479="","","C"&amp;TEXT(INT((ROW()-5)/9)+1,"000")&amp;"-4")</f>
        <v/>
      </c>
      <c r="C1479">
        <f>IF(OR(Registro_Compras!$C$167="",Registro_Compras!$O$167="",Registro_Compras!$Y$167="",Registro_Compras!$F$167="NOTA DE CREDITO"),"","4212")</f>
        <v/>
      </c>
      <c r="D1479">
        <f>IF(OR(Registro_Compras!$C$167="",Registro_Compras!$O$167=""),"","Cuentas por Pagar Comerciales - Terceros")</f>
        <v/>
      </c>
      <c r="E1479" s="20">
        <f>IF($C1479="","",IF(Registro_Compras!$F$167="RHE",(ROUND(Registro_Compras!$L$167*Registro_Compras!$N$167,2)-ROUND(Registro_Compras!$V$167*Registro_Compras!$N$167,2)),ROUND(Registro_Compras!$O$167-Registro_Compras!$S$167,2)))</f>
        <v/>
      </c>
      <c r="F1479" s="20">
        <f>""</f>
        <v/>
      </c>
      <c r="G1479">
        <f>IF($C1479="","","Por la cancelacion del saldo al proveedor")</f>
        <v/>
      </c>
      <c r="H1479">
        <f>IF($C1479="","",Registro_Compras!$C$167)</f>
        <v/>
      </c>
    </row>
    <row r="1480">
      <c r="A1480" s="25">
        <f>IF($C1480="","",Registro_Compras!$Y$167)</f>
        <v/>
      </c>
      <c r="B1480">
        <f>IF($C1480="","","C"&amp;TEXT(INT((ROW()-5)/9)+1,"000")&amp;"-4")</f>
        <v/>
      </c>
      <c r="C1480">
        <f>IF(OR(Registro_Compras!$C$167="",Registro_Compras!$O$167="",Registro_Compras!$Y$167="",Registro_Compras!$F$167="NOTA DE CREDITO"),"","10413")</f>
        <v/>
      </c>
      <c r="D1480">
        <f>IF(OR(Registro_Compras!$C$167="",Registro_Compras!$O$167=""),"","Efectivo y Equivalentes - Cta. Cte. Operativa")</f>
        <v/>
      </c>
      <c r="E1480" s="20">
        <f>""</f>
        <v/>
      </c>
      <c r="F1480" s="20">
        <f>IF($C1480="","",IF(Registro_Compras!$F$167="RHE",(ROUND(Registro_Compras!$L$167*Registro_Compras!$N$167,2)-ROUND(Registro_Compras!$V$167*Registro_Compras!$N$167,2)),ROUND(Registro_Compras!$O$167-Registro_Compras!$S$167,2)))</f>
        <v/>
      </c>
      <c r="G1480">
        <f>IF($C1480="","","Por la cancelacion del saldo al proveedor")</f>
        <v/>
      </c>
      <c r="H1480">
        <f>IF($C1480="","",Registro_Compras!$C$167)</f>
        <v/>
      </c>
    </row>
    <row r="1481">
      <c r="A1481" s="25">
        <f>IF($C1481="","",Registro_Compras!$B$168)</f>
        <v/>
      </c>
      <c r="B1481">
        <f>IF($C1481="","","C"&amp;TEXT(INT((ROW()-5)/9)+1,"000")&amp;"-1")</f>
        <v/>
      </c>
      <c r="C1481">
        <f>IF(OR(Registro_Compras!$C$168="",Registro_Compras!$O$168=""),"",IF(Registro_Compras!$F$168="NOTA DE CREDITO","4212",IF(Registro_Compras!$M$168="","63",Registro_Compras!$M$168)))</f>
        <v/>
      </c>
      <c r="D1481">
        <f>IF(OR(Registro_Compras!$C$168="",Registro_Compras!$O$168=""),"",IF(Registro_Compras!$F$168="NOTA DE CREDITO","Cuentas por Pagar Comerciales - Terceros (Emitidas)",IF(Registro_Compras!$F$168="RHE","Honorarios Profesionales - Servicios de Terceros","Gastos de Servicios Prestados por Terceros")))</f>
        <v/>
      </c>
      <c r="E1481" s="20">
        <f>IF($C1481="","",IF(Registro_Compras!$F$168="NOTA DE CREDITO",ABS(Registro_Compras!$O$168),IF(Registro_Compras!$F$168="RHE",ROUND(Registro_Compras!$L$168*Registro_Compras!$N$168,2),ROUND(Registro_Compras!$J$168*Registro_Compras!$N$168,2))))</f>
        <v/>
      </c>
      <c r="F1481" s="20">
        <f>""</f>
        <v/>
      </c>
      <c r="G1481">
        <f>IF($C1481="","",IF(Registro_Compras!$F$168="NOTA DE CREDITO","Por la nota de credito "&amp;Registro_Compras!$C$168&amp;" de "&amp;Registro_Compras!$E$168&amp;" [PATRON POR CONFIRMAR CON CONTADOR]",IF(Registro_Compras!$F$168="RHE","Por el registro del recibo por honorarios "&amp;Registro_Compras!$C$168&amp;" de "&amp;Registro_Compras!$E$168&amp;" [PATRON POR CONFIRMAR CON CONTADOR]","Por el registro de la factura "&amp;Registro_Compras!$C$168&amp;" de "&amp;Registro_Compras!$E$168)))</f>
        <v/>
      </c>
      <c r="H1481">
        <f>IF($C1481="","",Registro_Compras!$C$168)</f>
        <v/>
      </c>
    </row>
    <row r="1482">
      <c r="A1482" s="25">
        <f>IF($C1482="","",Registro_Compras!$B$168)</f>
        <v/>
      </c>
      <c r="B1482">
        <f>IF($C1482="","","C"&amp;TEXT(INT((ROW()-5)/9)+1,"000")&amp;"-1")</f>
        <v/>
      </c>
      <c r="C1482">
        <f>IF(OR(Registro_Compras!$C$168="",Registro_Compras!$O$168=""),"",IF(Registro_Compras!$F$168="RHE",IF(Registro_Compras!$V$168=0,"","40172"),IF(Registro_Compras!$F$168="NOTA DE CREDITO",IF(Registro_Compras!$M$168="","63",Registro_Compras!$M$168),IF(Registro_Compras!$K$168=0,"","40111"))))</f>
        <v/>
      </c>
      <c r="D1482">
        <f>IF(OR(Registro_Compras!$C$168="",Registro_Compras!$O$168=""),"",IF(Registro_Compras!$F$168="RHE","Retencion Renta 4ta Categoria por Pagar",IF(Registro_Compras!$F$168="NOTA DE CREDITO","Gastos de Servicios Prestados por Terceros","IGV - Cuenta Propia (Credito Fiscal)")))</f>
        <v/>
      </c>
      <c r="E1482" s="20">
        <f>IF($C1482="","",IF(Registro_Compras!$F$168="FACTURA",ROUND(Registro_Compras!$K$168*Registro_Compras!$N$168,2),""))</f>
        <v/>
      </c>
      <c r="F1482" s="20">
        <f>IF($C1482="","",IF(Registro_Compras!$F$168="RHE",ROUND(Registro_Compras!$V$168*Registro_Compras!$N$168,2),IF(Registro_Compras!$F$168="NOTA DE CREDITO",ROUND(ABS(Registro_Compras!$J$168*Registro_Compras!$N$168),2),"")))</f>
        <v/>
      </c>
      <c r="G1482">
        <f>IF($C1482="","",IF(Registro_Compras!$F$168="NOTA DE CREDITO","Por la nota de credito "&amp;Registro_Compras!$C$168&amp;" de "&amp;Registro_Compras!$E$168&amp;" [PATRON POR CONFIRMAR CON CONTADOR]",IF(Registro_Compras!$F$168="RHE","Por el registro del recibo por honorarios "&amp;Registro_Compras!$C$168&amp;" de "&amp;Registro_Compras!$E$168&amp;" [PATRON POR CONFIRMAR CON CONTADOR]","Por el registro de la factura "&amp;Registro_Compras!$C$168&amp;" de "&amp;Registro_Compras!$E$168)))</f>
        <v/>
      </c>
      <c r="H1482">
        <f>IF($C1482="","",Registro_Compras!$C$168)</f>
        <v/>
      </c>
    </row>
    <row r="1483">
      <c r="A1483" s="25">
        <f>IF($C1483="","",Registro_Compras!$B$168)</f>
        <v/>
      </c>
      <c r="B1483">
        <f>IF($C1483="","","C"&amp;TEXT(INT((ROW()-5)/9)+1,"000")&amp;"-1")</f>
        <v/>
      </c>
      <c r="C1483">
        <f>IF(OR(Registro_Compras!$C$168="",Registro_Compras!$O$168=""),"",IF(Registro_Compras!$F$168="NOTA DE CREDITO",IF(Registro_Compras!$K$168=0,"","40111"),"4212"))</f>
        <v/>
      </c>
      <c r="D1483">
        <f>IF(OR(Registro_Compras!$C$168="",Registro_Compras!$O$168=""),"",IF(Registro_Compras!$F$168="NOTA DE CREDITO","IGV - Cuenta Propia (Credito Fiscal)","Cuentas por Pagar Comerciales - Terceros (Emitidas)"))</f>
        <v/>
      </c>
      <c r="E1483" s="20">
        <f>""</f>
        <v/>
      </c>
      <c r="F1483" s="20">
        <f>IF($C1483="","",IF(Registro_Compras!$F$168="NOTA DE CREDITO",ROUND(ABS(Registro_Compras!$K$168*Registro_Compras!$N$168),2),IF(Registro_Compras!$F$168="RHE",(ROUND(Registro_Compras!$L$168*Registro_Compras!$N$168,2)-ROUND(Registro_Compras!$V$168*Registro_Compras!$N$168,2)),Registro_Compras!$O$168)))</f>
        <v/>
      </c>
      <c r="G1483">
        <f>IF($C1483="","",IF(Registro_Compras!$F$168="NOTA DE CREDITO","Por la nota de credito "&amp;Registro_Compras!$C$168&amp;" de "&amp;Registro_Compras!$E$168&amp;" [PATRON POR CONFIRMAR CON CONTADOR]",IF(Registro_Compras!$F$168="RHE","Por el registro del recibo por honorarios "&amp;Registro_Compras!$C$168&amp;" de "&amp;Registro_Compras!$E$168&amp;" [PATRON POR CONFIRMAR CON CONTADOR]","Por el registro de la factura "&amp;Registro_Compras!$C$168&amp;" de "&amp;Registro_Compras!$E$168)))</f>
        <v/>
      </c>
      <c r="H1483">
        <f>IF($C1483="","",Registro_Compras!$C$168)</f>
        <v/>
      </c>
    </row>
    <row r="1484">
      <c r="A1484" s="25">
        <f>IF($C1484="","",Registro_Compras!$B$168)</f>
        <v/>
      </c>
      <c r="B1484">
        <f>IF($C1484="","","C"&amp;TEXT(INT((ROW()-5)/9)+1,"000")&amp;"-2")</f>
        <v/>
      </c>
      <c r="C1484">
        <f>IF(OR(Registro_Compras!$C$168="",Registro_Compras!$O$168=""),"",IF(Registro_Compras!$AB$168="ADMINISTRATIVO","94","95"))</f>
        <v/>
      </c>
      <c r="D1484">
        <f>IF(OR(Registro_Compras!$C$168="",Registro_Compras!$O$168=""),"",IF(Registro_Compras!$AB$168="ADMINISTRATIVO","Gastos Administrativos","Gastos de Venta y Operacion"))</f>
        <v/>
      </c>
      <c r="E1484" s="20">
        <f>IF($C1484="","",IF(Registro_Compras!$F$168="NOTA DE CREDITO","",IF(Registro_Compras!$F$168="RHE",ROUND(Registro_Compras!$L$168*Registro_Compras!$N$168,2),ROUND(Registro_Compras!$J$168*Registro_Compras!$N$168,2))))</f>
        <v/>
      </c>
      <c r="F1484" s="20">
        <f>IF($C1484="","",IF(Registro_Compras!$F$168="NOTA DE CREDITO",ROUND(ABS(Registro_Compras!$J$168*Registro_Compras!$N$168),2),""))</f>
        <v/>
      </c>
      <c r="G1484">
        <f>IF($C1484="","","Por el destino del gasto")</f>
        <v/>
      </c>
      <c r="H1484">
        <f>IF($C1484="","",Registro_Compras!$C$168)</f>
        <v/>
      </c>
    </row>
    <row r="1485">
      <c r="A1485" s="25">
        <f>IF($C1485="","",Registro_Compras!$B$168)</f>
        <v/>
      </c>
      <c r="B1485">
        <f>IF($C1485="","","C"&amp;TEXT(INT((ROW()-5)/9)+1,"000")&amp;"-2")</f>
        <v/>
      </c>
      <c r="C1485">
        <f>IF(OR(Registro_Compras!$C$168="",Registro_Compras!$O$168=""),"","79/791")</f>
        <v/>
      </c>
      <c r="D1485">
        <f>IF(OR(Registro_Compras!$C$168="",Registro_Compras!$O$168=""),"","Cargas Imputables a Cuentas de Costos y Gastos")</f>
        <v/>
      </c>
      <c r="E1485" s="20">
        <f>IF($C1485="","",IF(Registro_Compras!$F$168="NOTA DE CREDITO",ROUND(ABS(Registro_Compras!$J$168*Registro_Compras!$N$168),2),""))</f>
        <v/>
      </c>
      <c r="F1485" s="20">
        <f>IF($C1485="","",IF(Registro_Compras!$F$168="NOTA DE CREDITO","",IF(Registro_Compras!$F$168="RHE",ROUND(Registro_Compras!$L$168*Registro_Compras!$N$168,2),ROUND(Registro_Compras!$J$168*Registro_Compras!$N$168,2))))</f>
        <v/>
      </c>
      <c r="G1485">
        <f>IF($C1485="","","Por el destino del gasto")</f>
        <v/>
      </c>
      <c r="H1485">
        <f>IF($C1485="","",Registro_Compras!$C$168)</f>
        <v/>
      </c>
    </row>
    <row r="1486">
      <c r="A1486" s="25">
        <f>IF($C1486="","",Registro_Compras!$X$168)</f>
        <v/>
      </c>
      <c r="B1486">
        <f>IF($C1486="","","C"&amp;TEXT(INT((ROW()-5)/9)+1,"000")&amp;"-3")</f>
        <v/>
      </c>
      <c r="C1486">
        <f>IF(OR(Registro_Compras!$C$168="",Registro_Compras!$O$168="",Registro_Compras!$R$168&lt;&gt;"SI",Registro_Compras!$X$168=""),"","4212")</f>
        <v/>
      </c>
      <c r="D1486">
        <f>IF(OR(Registro_Compras!$C$168="",Registro_Compras!$O$168=""),"","Cuentas por Pagar Comerciales - Terceros")</f>
        <v/>
      </c>
      <c r="E1486" s="20">
        <f>IF($C1486="","",Registro_Compras!$S$168)</f>
        <v/>
      </c>
      <c r="F1486" s="20">
        <f>""</f>
        <v/>
      </c>
      <c r="G1486">
        <f>IF($C1486="","","Por el deposito de la detraccion en el Banco de la Nacion")</f>
        <v/>
      </c>
      <c r="H1486">
        <f>IF($C1486="","",Registro_Compras!$C$168)</f>
        <v/>
      </c>
    </row>
    <row r="1487">
      <c r="A1487" s="25">
        <f>IF($C1487="","",Registro_Compras!$X$168)</f>
        <v/>
      </c>
      <c r="B1487">
        <f>IF($C1487="","","C"&amp;TEXT(INT((ROW()-5)/9)+1,"000")&amp;"-3")</f>
        <v/>
      </c>
      <c r="C1487">
        <f>IF(OR(Registro_Compras!$C$168="",Registro_Compras!$O$168="",Registro_Compras!$R$168&lt;&gt;"SI",Registro_Compras!$X$168=""),"","10413")</f>
        <v/>
      </c>
      <c r="D1487">
        <f>IF(OR(Registro_Compras!$C$168="",Registro_Compras!$O$168=""),"","Efectivo y Equivalentes - Cta. Cte. Operativa")</f>
        <v/>
      </c>
      <c r="E1487" s="20">
        <f>""</f>
        <v/>
      </c>
      <c r="F1487" s="20">
        <f>IF($C1487="","",Registro_Compras!$S$168)</f>
        <v/>
      </c>
      <c r="G1487">
        <f>IF($C1487="","","Por el deposito de la detraccion en el Banco de la Nacion")</f>
        <v/>
      </c>
      <c r="H1487">
        <f>IF($C1487="","",Registro_Compras!$C$168)</f>
        <v/>
      </c>
    </row>
    <row r="1488">
      <c r="A1488" s="25">
        <f>IF($C1488="","",Registro_Compras!$Y$168)</f>
        <v/>
      </c>
      <c r="B1488">
        <f>IF($C1488="","","C"&amp;TEXT(INT((ROW()-5)/9)+1,"000")&amp;"-4")</f>
        <v/>
      </c>
      <c r="C1488">
        <f>IF(OR(Registro_Compras!$C$168="",Registro_Compras!$O$168="",Registro_Compras!$Y$168="",Registro_Compras!$F$168="NOTA DE CREDITO"),"","4212")</f>
        <v/>
      </c>
      <c r="D1488">
        <f>IF(OR(Registro_Compras!$C$168="",Registro_Compras!$O$168=""),"","Cuentas por Pagar Comerciales - Terceros")</f>
        <v/>
      </c>
      <c r="E1488" s="20">
        <f>IF($C1488="","",IF(Registro_Compras!$F$168="RHE",(ROUND(Registro_Compras!$L$168*Registro_Compras!$N$168,2)-ROUND(Registro_Compras!$V$168*Registro_Compras!$N$168,2)),ROUND(Registro_Compras!$O$168-Registro_Compras!$S$168,2)))</f>
        <v/>
      </c>
      <c r="F1488" s="20">
        <f>""</f>
        <v/>
      </c>
      <c r="G1488">
        <f>IF($C1488="","","Por la cancelacion del saldo al proveedor")</f>
        <v/>
      </c>
      <c r="H1488">
        <f>IF($C1488="","",Registro_Compras!$C$168)</f>
        <v/>
      </c>
    </row>
    <row r="1489">
      <c r="A1489" s="25">
        <f>IF($C1489="","",Registro_Compras!$Y$168)</f>
        <v/>
      </c>
      <c r="B1489">
        <f>IF($C1489="","","C"&amp;TEXT(INT((ROW()-5)/9)+1,"000")&amp;"-4")</f>
        <v/>
      </c>
      <c r="C1489">
        <f>IF(OR(Registro_Compras!$C$168="",Registro_Compras!$O$168="",Registro_Compras!$Y$168="",Registro_Compras!$F$168="NOTA DE CREDITO"),"","10413")</f>
        <v/>
      </c>
      <c r="D1489">
        <f>IF(OR(Registro_Compras!$C$168="",Registro_Compras!$O$168=""),"","Efectivo y Equivalentes - Cta. Cte. Operativa")</f>
        <v/>
      </c>
      <c r="E1489" s="20">
        <f>""</f>
        <v/>
      </c>
      <c r="F1489" s="20">
        <f>IF($C1489="","",IF(Registro_Compras!$F$168="RHE",(ROUND(Registro_Compras!$L$168*Registro_Compras!$N$168,2)-ROUND(Registro_Compras!$V$168*Registro_Compras!$N$168,2)),ROUND(Registro_Compras!$O$168-Registro_Compras!$S$168,2)))</f>
        <v/>
      </c>
      <c r="G1489">
        <f>IF($C1489="","","Por la cancelacion del saldo al proveedor")</f>
        <v/>
      </c>
      <c r="H1489">
        <f>IF($C1489="","",Registro_Compras!$C$168)</f>
        <v/>
      </c>
    </row>
    <row r="1490">
      <c r="A1490" s="25">
        <f>IF($C1490="","",Registro_Compras!$B$169)</f>
        <v/>
      </c>
      <c r="B1490">
        <f>IF($C1490="","","C"&amp;TEXT(INT((ROW()-5)/9)+1,"000")&amp;"-1")</f>
        <v/>
      </c>
      <c r="C1490">
        <f>IF(OR(Registro_Compras!$C$169="",Registro_Compras!$O$169=""),"",IF(Registro_Compras!$F$169="NOTA DE CREDITO","4212",IF(Registro_Compras!$M$169="","63",Registro_Compras!$M$169)))</f>
        <v/>
      </c>
      <c r="D1490">
        <f>IF(OR(Registro_Compras!$C$169="",Registro_Compras!$O$169=""),"",IF(Registro_Compras!$F$169="NOTA DE CREDITO","Cuentas por Pagar Comerciales - Terceros (Emitidas)",IF(Registro_Compras!$F$169="RHE","Honorarios Profesionales - Servicios de Terceros","Gastos de Servicios Prestados por Terceros")))</f>
        <v/>
      </c>
      <c r="E1490" s="20">
        <f>IF($C1490="","",IF(Registro_Compras!$F$169="NOTA DE CREDITO",ABS(Registro_Compras!$O$169),IF(Registro_Compras!$F$169="RHE",ROUND(Registro_Compras!$L$169*Registro_Compras!$N$169,2),ROUND(Registro_Compras!$J$169*Registro_Compras!$N$169,2))))</f>
        <v/>
      </c>
      <c r="F1490" s="20">
        <f>""</f>
        <v/>
      </c>
      <c r="G1490">
        <f>IF($C1490="","",IF(Registro_Compras!$F$169="NOTA DE CREDITO","Por la nota de credito "&amp;Registro_Compras!$C$169&amp;" de "&amp;Registro_Compras!$E$169&amp;" [PATRON POR CONFIRMAR CON CONTADOR]",IF(Registro_Compras!$F$169="RHE","Por el registro del recibo por honorarios "&amp;Registro_Compras!$C$169&amp;" de "&amp;Registro_Compras!$E$169&amp;" [PATRON POR CONFIRMAR CON CONTADOR]","Por el registro de la factura "&amp;Registro_Compras!$C$169&amp;" de "&amp;Registro_Compras!$E$169)))</f>
        <v/>
      </c>
      <c r="H1490">
        <f>IF($C1490="","",Registro_Compras!$C$169)</f>
        <v/>
      </c>
    </row>
    <row r="1491">
      <c r="A1491" s="25">
        <f>IF($C1491="","",Registro_Compras!$B$169)</f>
        <v/>
      </c>
      <c r="B1491">
        <f>IF($C1491="","","C"&amp;TEXT(INT((ROW()-5)/9)+1,"000")&amp;"-1")</f>
        <v/>
      </c>
      <c r="C1491">
        <f>IF(OR(Registro_Compras!$C$169="",Registro_Compras!$O$169=""),"",IF(Registro_Compras!$F$169="RHE",IF(Registro_Compras!$V$169=0,"","40172"),IF(Registro_Compras!$F$169="NOTA DE CREDITO",IF(Registro_Compras!$M$169="","63",Registro_Compras!$M$169),IF(Registro_Compras!$K$169=0,"","40111"))))</f>
        <v/>
      </c>
      <c r="D1491">
        <f>IF(OR(Registro_Compras!$C$169="",Registro_Compras!$O$169=""),"",IF(Registro_Compras!$F$169="RHE","Retencion Renta 4ta Categoria por Pagar",IF(Registro_Compras!$F$169="NOTA DE CREDITO","Gastos de Servicios Prestados por Terceros","IGV - Cuenta Propia (Credito Fiscal)")))</f>
        <v/>
      </c>
      <c r="E1491" s="20">
        <f>IF($C1491="","",IF(Registro_Compras!$F$169="FACTURA",ROUND(Registro_Compras!$K$169*Registro_Compras!$N$169,2),""))</f>
        <v/>
      </c>
      <c r="F1491" s="20">
        <f>IF($C1491="","",IF(Registro_Compras!$F$169="RHE",ROUND(Registro_Compras!$V$169*Registro_Compras!$N$169,2),IF(Registro_Compras!$F$169="NOTA DE CREDITO",ROUND(ABS(Registro_Compras!$J$169*Registro_Compras!$N$169),2),"")))</f>
        <v/>
      </c>
      <c r="G1491">
        <f>IF($C1491="","",IF(Registro_Compras!$F$169="NOTA DE CREDITO","Por la nota de credito "&amp;Registro_Compras!$C$169&amp;" de "&amp;Registro_Compras!$E$169&amp;" [PATRON POR CONFIRMAR CON CONTADOR]",IF(Registro_Compras!$F$169="RHE","Por el registro del recibo por honorarios "&amp;Registro_Compras!$C$169&amp;" de "&amp;Registro_Compras!$E$169&amp;" [PATRON POR CONFIRMAR CON CONTADOR]","Por el registro de la factura "&amp;Registro_Compras!$C$169&amp;" de "&amp;Registro_Compras!$E$169)))</f>
        <v/>
      </c>
      <c r="H1491">
        <f>IF($C1491="","",Registro_Compras!$C$169)</f>
        <v/>
      </c>
    </row>
    <row r="1492">
      <c r="A1492" s="25">
        <f>IF($C1492="","",Registro_Compras!$B$169)</f>
        <v/>
      </c>
      <c r="B1492">
        <f>IF($C1492="","","C"&amp;TEXT(INT((ROW()-5)/9)+1,"000")&amp;"-1")</f>
        <v/>
      </c>
      <c r="C1492">
        <f>IF(OR(Registro_Compras!$C$169="",Registro_Compras!$O$169=""),"",IF(Registro_Compras!$F$169="NOTA DE CREDITO",IF(Registro_Compras!$K$169=0,"","40111"),"4212"))</f>
        <v/>
      </c>
      <c r="D1492">
        <f>IF(OR(Registro_Compras!$C$169="",Registro_Compras!$O$169=""),"",IF(Registro_Compras!$F$169="NOTA DE CREDITO","IGV - Cuenta Propia (Credito Fiscal)","Cuentas por Pagar Comerciales - Terceros (Emitidas)"))</f>
        <v/>
      </c>
      <c r="E1492" s="20">
        <f>""</f>
        <v/>
      </c>
      <c r="F1492" s="20">
        <f>IF($C1492="","",IF(Registro_Compras!$F$169="NOTA DE CREDITO",ROUND(ABS(Registro_Compras!$K$169*Registro_Compras!$N$169),2),IF(Registro_Compras!$F$169="RHE",(ROUND(Registro_Compras!$L$169*Registro_Compras!$N$169,2)-ROUND(Registro_Compras!$V$169*Registro_Compras!$N$169,2)),Registro_Compras!$O$169)))</f>
        <v/>
      </c>
      <c r="G1492">
        <f>IF($C1492="","",IF(Registro_Compras!$F$169="NOTA DE CREDITO","Por la nota de credito "&amp;Registro_Compras!$C$169&amp;" de "&amp;Registro_Compras!$E$169&amp;" [PATRON POR CONFIRMAR CON CONTADOR]",IF(Registro_Compras!$F$169="RHE","Por el registro del recibo por honorarios "&amp;Registro_Compras!$C$169&amp;" de "&amp;Registro_Compras!$E$169&amp;" [PATRON POR CONFIRMAR CON CONTADOR]","Por el registro de la factura "&amp;Registro_Compras!$C$169&amp;" de "&amp;Registro_Compras!$E$169)))</f>
        <v/>
      </c>
      <c r="H1492">
        <f>IF($C1492="","",Registro_Compras!$C$169)</f>
        <v/>
      </c>
    </row>
    <row r="1493">
      <c r="A1493" s="25">
        <f>IF($C1493="","",Registro_Compras!$B$169)</f>
        <v/>
      </c>
      <c r="B1493">
        <f>IF($C1493="","","C"&amp;TEXT(INT((ROW()-5)/9)+1,"000")&amp;"-2")</f>
        <v/>
      </c>
      <c r="C1493">
        <f>IF(OR(Registro_Compras!$C$169="",Registro_Compras!$O$169=""),"",IF(Registro_Compras!$AB$169="ADMINISTRATIVO","94","95"))</f>
        <v/>
      </c>
      <c r="D1493">
        <f>IF(OR(Registro_Compras!$C$169="",Registro_Compras!$O$169=""),"",IF(Registro_Compras!$AB$169="ADMINISTRATIVO","Gastos Administrativos","Gastos de Venta y Operacion"))</f>
        <v/>
      </c>
      <c r="E1493" s="20">
        <f>IF($C1493="","",IF(Registro_Compras!$F$169="NOTA DE CREDITO","",IF(Registro_Compras!$F$169="RHE",ROUND(Registro_Compras!$L$169*Registro_Compras!$N$169,2),ROUND(Registro_Compras!$J$169*Registro_Compras!$N$169,2))))</f>
        <v/>
      </c>
      <c r="F1493" s="20">
        <f>IF($C1493="","",IF(Registro_Compras!$F$169="NOTA DE CREDITO",ROUND(ABS(Registro_Compras!$J$169*Registro_Compras!$N$169),2),""))</f>
        <v/>
      </c>
      <c r="G1493">
        <f>IF($C1493="","","Por el destino del gasto")</f>
        <v/>
      </c>
      <c r="H1493">
        <f>IF($C1493="","",Registro_Compras!$C$169)</f>
        <v/>
      </c>
    </row>
    <row r="1494">
      <c r="A1494" s="25">
        <f>IF($C1494="","",Registro_Compras!$B$169)</f>
        <v/>
      </c>
      <c r="B1494">
        <f>IF($C1494="","","C"&amp;TEXT(INT((ROW()-5)/9)+1,"000")&amp;"-2")</f>
        <v/>
      </c>
      <c r="C1494">
        <f>IF(OR(Registro_Compras!$C$169="",Registro_Compras!$O$169=""),"","79/791")</f>
        <v/>
      </c>
      <c r="D1494">
        <f>IF(OR(Registro_Compras!$C$169="",Registro_Compras!$O$169=""),"","Cargas Imputables a Cuentas de Costos y Gastos")</f>
        <v/>
      </c>
      <c r="E1494" s="20">
        <f>IF($C1494="","",IF(Registro_Compras!$F$169="NOTA DE CREDITO",ROUND(ABS(Registro_Compras!$J$169*Registro_Compras!$N$169),2),""))</f>
        <v/>
      </c>
      <c r="F1494" s="20">
        <f>IF($C1494="","",IF(Registro_Compras!$F$169="NOTA DE CREDITO","",IF(Registro_Compras!$F$169="RHE",ROUND(Registro_Compras!$L$169*Registro_Compras!$N$169,2),ROUND(Registro_Compras!$J$169*Registro_Compras!$N$169,2))))</f>
        <v/>
      </c>
      <c r="G1494">
        <f>IF($C1494="","","Por el destino del gasto")</f>
        <v/>
      </c>
      <c r="H1494">
        <f>IF($C1494="","",Registro_Compras!$C$169)</f>
        <v/>
      </c>
    </row>
    <row r="1495">
      <c r="A1495" s="25">
        <f>IF($C1495="","",Registro_Compras!$X$169)</f>
        <v/>
      </c>
      <c r="B1495">
        <f>IF($C1495="","","C"&amp;TEXT(INT((ROW()-5)/9)+1,"000")&amp;"-3")</f>
        <v/>
      </c>
      <c r="C1495">
        <f>IF(OR(Registro_Compras!$C$169="",Registro_Compras!$O$169="",Registro_Compras!$R$169&lt;&gt;"SI",Registro_Compras!$X$169=""),"","4212")</f>
        <v/>
      </c>
      <c r="D1495">
        <f>IF(OR(Registro_Compras!$C$169="",Registro_Compras!$O$169=""),"","Cuentas por Pagar Comerciales - Terceros")</f>
        <v/>
      </c>
      <c r="E1495" s="20">
        <f>IF($C1495="","",Registro_Compras!$S$169)</f>
        <v/>
      </c>
      <c r="F1495" s="20">
        <f>""</f>
        <v/>
      </c>
      <c r="G1495">
        <f>IF($C1495="","","Por el deposito de la detraccion en el Banco de la Nacion")</f>
        <v/>
      </c>
      <c r="H1495">
        <f>IF($C1495="","",Registro_Compras!$C$169)</f>
        <v/>
      </c>
    </row>
    <row r="1496">
      <c r="A1496" s="25">
        <f>IF($C1496="","",Registro_Compras!$X$169)</f>
        <v/>
      </c>
      <c r="B1496">
        <f>IF($C1496="","","C"&amp;TEXT(INT((ROW()-5)/9)+1,"000")&amp;"-3")</f>
        <v/>
      </c>
      <c r="C1496">
        <f>IF(OR(Registro_Compras!$C$169="",Registro_Compras!$O$169="",Registro_Compras!$R$169&lt;&gt;"SI",Registro_Compras!$X$169=""),"","10413")</f>
        <v/>
      </c>
      <c r="D1496">
        <f>IF(OR(Registro_Compras!$C$169="",Registro_Compras!$O$169=""),"","Efectivo y Equivalentes - Cta. Cte. Operativa")</f>
        <v/>
      </c>
      <c r="E1496" s="20">
        <f>""</f>
        <v/>
      </c>
      <c r="F1496" s="20">
        <f>IF($C1496="","",Registro_Compras!$S$169)</f>
        <v/>
      </c>
      <c r="G1496">
        <f>IF($C1496="","","Por el deposito de la detraccion en el Banco de la Nacion")</f>
        <v/>
      </c>
      <c r="H1496">
        <f>IF($C1496="","",Registro_Compras!$C$169)</f>
        <v/>
      </c>
    </row>
    <row r="1497">
      <c r="A1497" s="25">
        <f>IF($C1497="","",Registro_Compras!$Y$169)</f>
        <v/>
      </c>
      <c r="B1497">
        <f>IF($C1497="","","C"&amp;TEXT(INT((ROW()-5)/9)+1,"000")&amp;"-4")</f>
        <v/>
      </c>
      <c r="C1497">
        <f>IF(OR(Registro_Compras!$C$169="",Registro_Compras!$O$169="",Registro_Compras!$Y$169="",Registro_Compras!$F$169="NOTA DE CREDITO"),"","4212")</f>
        <v/>
      </c>
      <c r="D1497">
        <f>IF(OR(Registro_Compras!$C$169="",Registro_Compras!$O$169=""),"","Cuentas por Pagar Comerciales - Terceros")</f>
        <v/>
      </c>
      <c r="E1497" s="20">
        <f>IF($C1497="","",IF(Registro_Compras!$F$169="RHE",(ROUND(Registro_Compras!$L$169*Registro_Compras!$N$169,2)-ROUND(Registro_Compras!$V$169*Registro_Compras!$N$169,2)),ROUND(Registro_Compras!$O$169-Registro_Compras!$S$169,2)))</f>
        <v/>
      </c>
      <c r="F1497" s="20">
        <f>""</f>
        <v/>
      </c>
      <c r="G1497">
        <f>IF($C1497="","","Por la cancelacion del saldo al proveedor")</f>
        <v/>
      </c>
      <c r="H1497">
        <f>IF($C1497="","",Registro_Compras!$C$169)</f>
        <v/>
      </c>
    </row>
    <row r="1498">
      <c r="A1498" s="25">
        <f>IF($C1498="","",Registro_Compras!$Y$169)</f>
        <v/>
      </c>
      <c r="B1498">
        <f>IF($C1498="","","C"&amp;TEXT(INT((ROW()-5)/9)+1,"000")&amp;"-4")</f>
        <v/>
      </c>
      <c r="C1498">
        <f>IF(OR(Registro_Compras!$C$169="",Registro_Compras!$O$169="",Registro_Compras!$Y$169="",Registro_Compras!$F$169="NOTA DE CREDITO"),"","10413")</f>
        <v/>
      </c>
      <c r="D1498">
        <f>IF(OR(Registro_Compras!$C$169="",Registro_Compras!$O$169=""),"","Efectivo y Equivalentes - Cta. Cte. Operativa")</f>
        <v/>
      </c>
      <c r="E1498" s="20">
        <f>""</f>
        <v/>
      </c>
      <c r="F1498" s="20">
        <f>IF($C1498="","",IF(Registro_Compras!$F$169="RHE",(ROUND(Registro_Compras!$L$169*Registro_Compras!$N$169,2)-ROUND(Registro_Compras!$V$169*Registro_Compras!$N$169,2)),ROUND(Registro_Compras!$O$169-Registro_Compras!$S$169,2)))</f>
        <v/>
      </c>
      <c r="G1498">
        <f>IF($C1498="","","Por la cancelacion del saldo al proveedor")</f>
        <v/>
      </c>
      <c r="H1498">
        <f>IF($C1498="","",Registro_Compras!$C$169)</f>
        <v/>
      </c>
    </row>
    <row r="1499">
      <c r="A1499" s="25">
        <f>IF($C1499="","",Registro_Compras!$B$170)</f>
        <v/>
      </c>
      <c r="B1499">
        <f>IF($C1499="","","C"&amp;TEXT(INT((ROW()-5)/9)+1,"000")&amp;"-1")</f>
        <v/>
      </c>
      <c r="C1499">
        <f>IF(OR(Registro_Compras!$C$170="",Registro_Compras!$O$170=""),"",IF(Registro_Compras!$F$170="NOTA DE CREDITO","4212",IF(Registro_Compras!$M$170="","63",Registro_Compras!$M$170)))</f>
        <v/>
      </c>
      <c r="D1499">
        <f>IF(OR(Registro_Compras!$C$170="",Registro_Compras!$O$170=""),"",IF(Registro_Compras!$F$170="NOTA DE CREDITO","Cuentas por Pagar Comerciales - Terceros (Emitidas)",IF(Registro_Compras!$F$170="RHE","Honorarios Profesionales - Servicios de Terceros","Gastos de Servicios Prestados por Terceros")))</f>
        <v/>
      </c>
      <c r="E1499" s="20">
        <f>IF($C1499="","",IF(Registro_Compras!$F$170="NOTA DE CREDITO",ABS(Registro_Compras!$O$170),IF(Registro_Compras!$F$170="RHE",ROUND(Registro_Compras!$L$170*Registro_Compras!$N$170,2),ROUND(Registro_Compras!$J$170*Registro_Compras!$N$170,2))))</f>
        <v/>
      </c>
      <c r="F1499" s="20">
        <f>""</f>
        <v/>
      </c>
      <c r="G1499">
        <f>IF($C1499="","",IF(Registro_Compras!$F$170="NOTA DE CREDITO","Por la nota de credito "&amp;Registro_Compras!$C$170&amp;" de "&amp;Registro_Compras!$E$170&amp;" [PATRON POR CONFIRMAR CON CONTADOR]",IF(Registro_Compras!$F$170="RHE","Por el registro del recibo por honorarios "&amp;Registro_Compras!$C$170&amp;" de "&amp;Registro_Compras!$E$170&amp;" [PATRON POR CONFIRMAR CON CONTADOR]","Por el registro de la factura "&amp;Registro_Compras!$C$170&amp;" de "&amp;Registro_Compras!$E$170)))</f>
        <v/>
      </c>
      <c r="H1499">
        <f>IF($C1499="","",Registro_Compras!$C$170)</f>
        <v/>
      </c>
    </row>
    <row r="1500">
      <c r="A1500" s="25">
        <f>IF($C1500="","",Registro_Compras!$B$170)</f>
        <v/>
      </c>
      <c r="B1500">
        <f>IF($C1500="","","C"&amp;TEXT(INT((ROW()-5)/9)+1,"000")&amp;"-1")</f>
        <v/>
      </c>
      <c r="C1500">
        <f>IF(OR(Registro_Compras!$C$170="",Registro_Compras!$O$170=""),"",IF(Registro_Compras!$F$170="RHE",IF(Registro_Compras!$V$170=0,"","40172"),IF(Registro_Compras!$F$170="NOTA DE CREDITO",IF(Registro_Compras!$M$170="","63",Registro_Compras!$M$170),IF(Registro_Compras!$K$170=0,"","40111"))))</f>
        <v/>
      </c>
      <c r="D1500">
        <f>IF(OR(Registro_Compras!$C$170="",Registro_Compras!$O$170=""),"",IF(Registro_Compras!$F$170="RHE","Retencion Renta 4ta Categoria por Pagar",IF(Registro_Compras!$F$170="NOTA DE CREDITO","Gastos de Servicios Prestados por Terceros","IGV - Cuenta Propia (Credito Fiscal)")))</f>
        <v/>
      </c>
      <c r="E1500" s="20">
        <f>IF($C1500="","",IF(Registro_Compras!$F$170="FACTURA",ROUND(Registro_Compras!$K$170*Registro_Compras!$N$170,2),""))</f>
        <v/>
      </c>
      <c r="F1500" s="20">
        <f>IF($C1500="","",IF(Registro_Compras!$F$170="RHE",ROUND(Registro_Compras!$V$170*Registro_Compras!$N$170,2),IF(Registro_Compras!$F$170="NOTA DE CREDITO",ROUND(ABS(Registro_Compras!$J$170*Registro_Compras!$N$170),2),"")))</f>
        <v/>
      </c>
      <c r="G1500">
        <f>IF($C1500="","",IF(Registro_Compras!$F$170="NOTA DE CREDITO","Por la nota de credito "&amp;Registro_Compras!$C$170&amp;" de "&amp;Registro_Compras!$E$170&amp;" [PATRON POR CONFIRMAR CON CONTADOR]",IF(Registro_Compras!$F$170="RHE","Por el registro del recibo por honorarios "&amp;Registro_Compras!$C$170&amp;" de "&amp;Registro_Compras!$E$170&amp;" [PATRON POR CONFIRMAR CON CONTADOR]","Por el registro de la factura "&amp;Registro_Compras!$C$170&amp;" de "&amp;Registro_Compras!$E$170)))</f>
        <v/>
      </c>
      <c r="H1500">
        <f>IF($C1500="","",Registro_Compras!$C$170)</f>
        <v/>
      </c>
    </row>
    <row r="1501">
      <c r="A1501" s="25">
        <f>IF($C1501="","",Registro_Compras!$B$170)</f>
        <v/>
      </c>
      <c r="B1501">
        <f>IF($C1501="","","C"&amp;TEXT(INT((ROW()-5)/9)+1,"000")&amp;"-1")</f>
        <v/>
      </c>
      <c r="C1501">
        <f>IF(OR(Registro_Compras!$C$170="",Registro_Compras!$O$170=""),"",IF(Registro_Compras!$F$170="NOTA DE CREDITO",IF(Registro_Compras!$K$170=0,"","40111"),"4212"))</f>
        <v/>
      </c>
      <c r="D1501">
        <f>IF(OR(Registro_Compras!$C$170="",Registro_Compras!$O$170=""),"",IF(Registro_Compras!$F$170="NOTA DE CREDITO","IGV - Cuenta Propia (Credito Fiscal)","Cuentas por Pagar Comerciales - Terceros (Emitidas)"))</f>
        <v/>
      </c>
      <c r="E1501" s="20">
        <f>""</f>
        <v/>
      </c>
      <c r="F1501" s="20">
        <f>IF($C1501="","",IF(Registro_Compras!$F$170="NOTA DE CREDITO",ROUND(ABS(Registro_Compras!$K$170*Registro_Compras!$N$170),2),IF(Registro_Compras!$F$170="RHE",(ROUND(Registro_Compras!$L$170*Registro_Compras!$N$170,2)-ROUND(Registro_Compras!$V$170*Registro_Compras!$N$170,2)),Registro_Compras!$O$170)))</f>
        <v/>
      </c>
      <c r="G1501">
        <f>IF($C1501="","",IF(Registro_Compras!$F$170="NOTA DE CREDITO","Por la nota de credito "&amp;Registro_Compras!$C$170&amp;" de "&amp;Registro_Compras!$E$170&amp;" [PATRON POR CONFIRMAR CON CONTADOR]",IF(Registro_Compras!$F$170="RHE","Por el registro del recibo por honorarios "&amp;Registro_Compras!$C$170&amp;" de "&amp;Registro_Compras!$E$170&amp;" [PATRON POR CONFIRMAR CON CONTADOR]","Por el registro de la factura "&amp;Registro_Compras!$C$170&amp;" de "&amp;Registro_Compras!$E$170)))</f>
        <v/>
      </c>
      <c r="H1501">
        <f>IF($C1501="","",Registro_Compras!$C$170)</f>
        <v/>
      </c>
    </row>
    <row r="1502">
      <c r="A1502" s="25">
        <f>IF($C1502="","",Registro_Compras!$B$170)</f>
        <v/>
      </c>
      <c r="B1502">
        <f>IF($C1502="","","C"&amp;TEXT(INT((ROW()-5)/9)+1,"000")&amp;"-2")</f>
        <v/>
      </c>
      <c r="C1502">
        <f>IF(OR(Registro_Compras!$C$170="",Registro_Compras!$O$170=""),"",IF(Registro_Compras!$AB$170="ADMINISTRATIVO","94","95"))</f>
        <v/>
      </c>
      <c r="D1502">
        <f>IF(OR(Registro_Compras!$C$170="",Registro_Compras!$O$170=""),"",IF(Registro_Compras!$AB$170="ADMINISTRATIVO","Gastos Administrativos","Gastos de Venta y Operacion"))</f>
        <v/>
      </c>
      <c r="E1502" s="20">
        <f>IF($C1502="","",IF(Registro_Compras!$F$170="NOTA DE CREDITO","",IF(Registro_Compras!$F$170="RHE",ROUND(Registro_Compras!$L$170*Registro_Compras!$N$170,2),ROUND(Registro_Compras!$J$170*Registro_Compras!$N$170,2))))</f>
        <v/>
      </c>
      <c r="F1502" s="20">
        <f>IF($C1502="","",IF(Registro_Compras!$F$170="NOTA DE CREDITO",ROUND(ABS(Registro_Compras!$J$170*Registro_Compras!$N$170),2),""))</f>
        <v/>
      </c>
      <c r="G1502">
        <f>IF($C1502="","","Por el destino del gasto")</f>
        <v/>
      </c>
      <c r="H1502">
        <f>IF($C1502="","",Registro_Compras!$C$170)</f>
        <v/>
      </c>
    </row>
    <row r="1503">
      <c r="A1503" s="25">
        <f>IF($C1503="","",Registro_Compras!$B$170)</f>
        <v/>
      </c>
      <c r="B1503">
        <f>IF($C1503="","","C"&amp;TEXT(INT((ROW()-5)/9)+1,"000")&amp;"-2")</f>
        <v/>
      </c>
      <c r="C1503">
        <f>IF(OR(Registro_Compras!$C$170="",Registro_Compras!$O$170=""),"","79/791")</f>
        <v/>
      </c>
      <c r="D1503">
        <f>IF(OR(Registro_Compras!$C$170="",Registro_Compras!$O$170=""),"","Cargas Imputables a Cuentas de Costos y Gastos")</f>
        <v/>
      </c>
      <c r="E1503" s="20">
        <f>IF($C1503="","",IF(Registro_Compras!$F$170="NOTA DE CREDITO",ROUND(ABS(Registro_Compras!$J$170*Registro_Compras!$N$170),2),""))</f>
        <v/>
      </c>
      <c r="F1503" s="20">
        <f>IF($C1503="","",IF(Registro_Compras!$F$170="NOTA DE CREDITO","",IF(Registro_Compras!$F$170="RHE",ROUND(Registro_Compras!$L$170*Registro_Compras!$N$170,2),ROUND(Registro_Compras!$J$170*Registro_Compras!$N$170,2))))</f>
        <v/>
      </c>
      <c r="G1503">
        <f>IF($C1503="","","Por el destino del gasto")</f>
        <v/>
      </c>
      <c r="H1503">
        <f>IF($C1503="","",Registro_Compras!$C$170)</f>
        <v/>
      </c>
    </row>
    <row r="1504">
      <c r="A1504" s="25">
        <f>IF($C1504="","",Registro_Compras!$X$170)</f>
        <v/>
      </c>
      <c r="B1504">
        <f>IF($C1504="","","C"&amp;TEXT(INT((ROW()-5)/9)+1,"000")&amp;"-3")</f>
        <v/>
      </c>
      <c r="C1504">
        <f>IF(OR(Registro_Compras!$C$170="",Registro_Compras!$O$170="",Registro_Compras!$R$170&lt;&gt;"SI",Registro_Compras!$X$170=""),"","4212")</f>
        <v/>
      </c>
      <c r="D1504">
        <f>IF(OR(Registro_Compras!$C$170="",Registro_Compras!$O$170=""),"","Cuentas por Pagar Comerciales - Terceros")</f>
        <v/>
      </c>
      <c r="E1504" s="20">
        <f>IF($C1504="","",Registro_Compras!$S$170)</f>
        <v/>
      </c>
      <c r="F1504" s="20">
        <f>""</f>
        <v/>
      </c>
      <c r="G1504">
        <f>IF($C1504="","","Por el deposito de la detraccion en el Banco de la Nacion")</f>
        <v/>
      </c>
      <c r="H1504">
        <f>IF($C1504="","",Registro_Compras!$C$170)</f>
        <v/>
      </c>
    </row>
    <row r="1505">
      <c r="A1505" s="25">
        <f>IF($C1505="","",Registro_Compras!$X$170)</f>
        <v/>
      </c>
      <c r="B1505">
        <f>IF($C1505="","","C"&amp;TEXT(INT((ROW()-5)/9)+1,"000")&amp;"-3")</f>
        <v/>
      </c>
      <c r="C1505">
        <f>IF(OR(Registro_Compras!$C$170="",Registro_Compras!$O$170="",Registro_Compras!$R$170&lt;&gt;"SI",Registro_Compras!$X$170=""),"","10413")</f>
        <v/>
      </c>
      <c r="D1505">
        <f>IF(OR(Registro_Compras!$C$170="",Registro_Compras!$O$170=""),"","Efectivo y Equivalentes - Cta. Cte. Operativa")</f>
        <v/>
      </c>
      <c r="E1505" s="20">
        <f>""</f>
        <v/>
      </c>
      <c r="F1505" s="20">
        <f>IF($C1505="","",Registro_Compras!$S$170)</f>
        <v/>
      </c>
      <c r="G1505">
        <f>IF($C1505="","","Por el deposito de la detraccion en el Banco de la Nacion")</f>
        <v/>
      </c>
      <c r="H1505">
        <f>IF($C1505="","",Registro_Compras!$C$170)</f>
        <v/>
      </c>
    </row>
    <row r="1506">
      <c r="A1506" s="25">
        <f>IF($C1506="","",Registro_Compras!$Y$170)</f>
        <v/>
      </c>
      <c r="B1506">
        <f>IF($C1506="","","C"&amp;TEXT(INT((ROW()-5)/9)+1,"000")&amp;"-4")</f>
        <v/>
      </c>
      <c r="C1506">
        <f>IF(OR(Registro_Compras!$C$170="",Registro_Compras!$O$170="",Registro_Compras!$Y$170="",Registro_Compras!$F$170="NOTA DE CREDITO"),"","4212")</f>
        <v/>
      </c>
      <c r="D1506">
        <f>IF(OR(Registro_Compras!$C$170="",Registro_Compras!$O$170=""),"","Cuentas por Pagar Comerciales - Terceros")</f>
        <v/>
      </c>
      <c r="E1506" s="20">
        <f>IF($C1506="","",IF(Registro_Compras!$F$170="RHE",(ROUND(Registro_Compras!$L$170*Registro_Compras!$N$170,2)-ROUND(Registro_Compras!$V$170*Registro_Compras!$N$170,2)),ROUND(Registro_Compras!$O$170-Registro_Compras!$S$170,2)))</f>
        <v/>
      </c>
      <c r="F1506" s="20">
        <f>""</f>
        <v/>
      </c>
      <c r="G1506">
        <f>IF($C1506="","","Por la cancelacion del saldo al proveedor")</f>
        <v/>
      </c>
      <c r="H1506">
        <f>IF($C1506="","",Registro_Compras!$C$170)</f>
        <v/>
      </c>
    </row>
    <row r="1507">
      <c r="A1507" s="25">
        <f>IF($C1507="","",Registro_Compras!$Y$170)</f>
        <v/>
      </c>
      <c r="B1507">
        <f>IF($C1507="","","C"&amp;TEXT(INT((ROW()-5)/9)+1,"000")&amp;"-4")</f>
        <v/>
      </c>
      <c r="C1507">
        <f>IF(OR(Registro_Compras!$C$170="",Registro_Compras!$O$170="",Registro_Compras!$Y$170="",Registro_Compras!$F$170="NOTA DE CREDITO"),"","10413")</f>
        <v/>
      </c>
      <c r="D1507">
        <f>IF(OR(Registro_Compras!$C$170="",Registro_Compras!$O$170=""),"","Efectivo y Equivalentes - Cta. Cte. Operativa")</f>
        <v/>
      </c>
      <c r="E1507" s="20">
        <f>""</f>
        <v/>
      </c>
      <c r="F1507" s="20">
        <f>IF($C1507="","",IF(Registro_Compras!$F$170="RHE",(ROUND(Registro_Compras!$L$170*Registro_Compras!$N$170,2)-ROUND(Registro_Compras!$V$170*Registro_Compras!$N$170,2)),ROUND(Registro_Compras!$O$170-Registro_Compras!$S$170,2)))</f>
        <v/>
      </c>
      <c r="G1507">
        <f>IF($C1507="","","Por la cancelacion del saldo al proveedor")</f>
        <v/>
      </c>
      <c r="H1507">
        <f>IF($C1507="","",Registro_Compras!$C$170)</f>
        <v/>
      </c>
    </row>
    <row r="1508">
      <c r="A1508" s="25">
        <f>IF($C1508="","",Registro_Compras!$B$171)</f>
        <v/>
      </c>
      <c r="B1508">
        <f>IF($C1508="","","C"&amp;TEXT(INT((ROW()-5)/9)+1,"000")&amp;"-1")</f>
        <v/>
      </c>
      <c r="C1508">
        <f>IF(OR(Registro_Compras!$C$171="",Registro_Compras!$O$171=""),"",IF(Registro_Compras!$F$171="NOTA DE CREDITO","4212",IF(Registro_Compras!$M$171="","63",Registro_Compras!$M$171)))</f>
        <v/>
      </c>
      <c r="D1508">
        <f>IF(OR(Registro_Compras!$C$171="",Registro_Compras!$O$171=""),"",IF(Registro_Compras!$F$171="NOTA DE CREDITO","Cuentas por Pagar Comerciales - Terceros (Emitidas)",IF(Registro_Compras!$F$171="RHE","Honorarios Profesionales - Servicios de Terceros","Gastos de Servicios Prestados por Terceros")))</f>
        <v/>
      </c>
      <c r="E1508" s="20">
        <f>IF($C1508="","",IF(Registro_Compras!$F$171="NOTA DE CREDITO",ABS(Registro_Compras!$O$171),IF(Registro_Compras!$F$171="RHE",ROUND(Registro_Compras!$L$171*Registro_Compras!$N$171,2),ROUND(Registro_Compras!$J$171*Registro_Compras!$N$171,2))))</f>
        <v/>
      </c>
      <c r="F1508" s="20">
        <f>""</f>
        <v/>
      </c>
      <c r="G1508">
        <f>IF($C1508="","",IF(Registro_Compras!$F$171="NOTA DE CREDITO","Por la nota de credito "&amp;Registro_Compras!$C$171&amp;" de "&amp;Registro_Compras!$E$171&amp;" [PATRON POR CONFIRMAR CON CONTADOR]",IF(Registro_Compras!$F$171="RHE","Por el registro del recibo por honorarios "&amp;Registro_Compras!$C$171&amp;" de "&amp;Registro_Compras!$E$171&amp;" [PATRON POR CONFIRMAR CON CONTADOR]","Por el registro de la factura "&amp;Registro_Compras!$C$171&amp;" de "&amp;Registro_Compras!$E$171)))</f>
        <v/>
      </c>
      <c r="H1508">
        <f>IF($C1508="","",Registro_Compras!$C$171)</f>
        <v/>
      </c>
    </row>
    <row r="1509">
      <c r="A1509" s="25">
        <f>IF($C1509="","",Registro_Compras!$B$171)</f>
        <v/>
      </c>
      <c r="B1509">
        <f>IF($C1509="","","C"&amp;TEXT(INT((ROW()-5)/9)+1,"000")&amp;"-1")</f>
        <v/>
      </c>
      <c r="C1509">
        <f>IF(OR(Registro_Compras!$C$171="",Registro_Compras!$O$171=""),"",IF(Registro_Compras!$F$171="RHE",IF(Registro_Compras!$V$171=0,"","40172"),IF(Registro_Compras!$F$171="NOTA DE CREDITO",IF(Registro_Compras!$M$171="","63",Registro_Compras!$M$171),IF(Registro_Compras!$K$171=0,"","40111"))))</f>
        <v/>
      </c>
      <c r="D1509">
        <f>IF(OR(Registro_Compras!$C$171="",Registro_Compras!$O$171=""),"",IF(Registro_Compras!$F$171="RHE","Retencion Renta 4ta Categoria por Pagar",IF(Registro_Compras!$F$171="NOTA DE CREDITO","Gastos de Servicios Prestados por Terceros","IGV - Cuenta Propia (Credito Fiscal)")))</f>
        <v/>
      </c>
      <c r="E1509" s="20">
        <f>IF($C1509="","",IF(Registro_Compras!$F$171="FACTURA",ROUND(Registro_Compras!$K$171*Registro_Compras!$N$171,2),""))</f>
        <v/>
      </c>
      <c r="F1509" s="20">
        <f>IF($C1509="","",IF(Registro_Compras!$F$171="RHE",ROUND(Registro_Compras!$V$171*Registro_Compras!$N$171,2),IF(Registro_Compras!$F$171="NOTA DE CREDITO",ROUND(ABS(Registro_Compras!$J$171*Registro_Compras!$N$171),2),"")))</f>
        <v/>
      </c>
      <c r="G1509">
        <f>IF($C1509="","",IF(Registro_Compras!$F$171="NOTA DE CREDITO","Por la nota de credito "&amp;Registro_Compras!$C$171&amp;" de "&amp;Registro_Compras!$E$171&amp;" [PATRON POR CONFIRMAR CON CONTADOR]",IF(Registro_Compras!$F$171="RHE","Por el registro del recibo por honorarios "&amp;Registro_Compras!$C$171&amp;" de "&amp;Registro_Compras!$E$171&amp;" [PATRON POR CONFIRMAR CON CONTADOR]","Por el registro de la factura "&amp;Registro_Compras!$C$171&amp;" de "&amp;Registro_Compras!$E$171)))</f>
        <v/>
      </c>
      <c r="H1509">
        <f>IF($C1509="","",Registro_Compras!$C$171)</f>
        <v/>
      </c>
    </row>
    <row r="1510">
      <c r="A1510" s="25">
        <f>IF($C1510="","",Registro_Compras!$B$171)</f>
        <v/>
      </c>
      <c r="B1510">
        <f>IF($C1510="","","C"&amp;TEXT(INT((ROW()-5)/9)+1,"000")&amp;"-1")</f>
        <v/>
      </c>
      <c r="C1510">
        <f>IF(OR(Registro_Compras!$C$171="",Registro_Compras!$O$171=""),"",IF(Registro_Compras!$F$171="NOTA DE CREDITO",IF(Registro_Compras!$K$171=0,"","40111"),"4212"))</f>
        <v/>
      </c>
      <c r="D1510">
        <f>IF(OR(Registro_Compras!$C$171="",Registro_Compras!$O$171=""),"",IF(Registro_Compras!$F$171="NOTA DE CREDITO","IGV - Cuenta Propia (Credito Fiscal)","Cuentas por Pagar Comerciales - Terceros (Emitidas)"))</f>
        <v/>
      </c>
      <c r="E1510" s="20">
        <f>""</f>
        <v/>
      </c>
      <c r="F1510" s="20">
        <f>IF($C1510="","",IF(Registro_Compras!$F$171="NOTA DE CREDITO",ROUND(ABS(Registro_Compras!$K$171*Registro_Compras!$N$171),2),IF(Registro_Compras!$F$171="RHE",(ROUND(Registro_Compras!$L$171*Registro_Compras!$N$171,2)-ROUND(Registro_Compras!$V$171*Registro_Compras!$N$171,2)),Registro_Compras!$O$171)))</f>
        <v/>
      </c>
      <c r="G1510">
        <f>IF($C1510="","",IF(Registro_Compras!$F$171="NOTA DE CREDITO","Por la nota de credito "&amp;Registro_Compras!$C$171&amp;" de "&amp;Registro_Compras!$E$171&amp;" [PATRON POR CONFIRMAR CON CONTADOR]",IF(Registro_Compras!$F$171="RHE","Por el registro del recibo por honorarios "&amp;Registro_Compras!$C$171&amp;" de "&amp;Registro_Compras!$E$171&amp;" [PATRON POR CONFIRMAR CON CONTADOR]","Por el registro de la factura "&amp;Registro_Compras!$C$171&amp;" de "&amp;Registro_Compras!$E$171)))</f>
        <v/>
      </c>
      <c r="H1510">
        <f>IF($C1510="","",Registro_Compras!$C$171)</f>
        <v/>
      </c>
    </row>
    <row r="1511">
      <c r="A1511" s="25">
        <f>IF($C1511="","",Registro_Compras!$B$171)</f>
        <v/>
      </c>
      <c r="B1511">
        <f>IF($C1511="","","C"&amp;TEXT(INT((ROW()-5)/9)+1,"000")&amp;"-2")</f>
        <v/>
      </c>
      <c r="C1511">
        <f>IF(OR(Registro_Compras!$C$171="",Registro_Compras!$O$171=""),"",IF(Registro_Compras!$AB$171="ADMINISTRATIVO","94","95"))</f>
        <v/>
      </c>
      <c r="D1511">
        <f>IF(OR(Registro_Compras!$C$171="",Registro_Compras!$O$171=""),"",IF(Registro_Compras!$AB$171="ADMINISTRATIVO","Gastos Administrativos","Gastos de Venta y Operacion"))</f>
        <v/>
      </c>
      <c r="E1511" s="20">
        <f>IF($C1511="","",IF(Registro_Compras!$F$171="NOTA DE CREDITO","",IF(Registro_Compras!$F$171="RHE",ROUND(Registro_Compras!$L$171*Registro_Compras!$N$171,2),ROUND(Registro_Compras!$J$171*Registro_Compras!$N$171,2))))</f>
        <v/>
      </c>
      <c r="F1511" s="20">
        <f>IF($C1511="","",IF(Registro_Compras!$F$171="NOTA DE CREDITO",ROUND(ABS(Registro_Compras!$J$171*Registro_Compras!$N$171),2),""))</f>
        <v/>
      </c>
      <c r="G1511">
        <f>IF($C1511="","","Por el destino del gasto")</f>
        <v/>
      </c>
      <c r="H1511">
        <f>IF($C1511="","",Registro_Compras!$C$171)</f>
        <v/>
      </c>
    </row>
    <row r="1512">
      <c r="A1512" s="25">
        <f>IF($C1512="","",Registro_Compras!$B$171)</f>
        <v/>
      </c>
      <c r="B1512">
        <f>IF($C1512="","","C"&amp;TEXT(INT((ROW()-5)/9)+1,"000")&amp;"-2")</f>
        <v/>
      </c>
      <c r="C1512">
        <f>IF(OR(Registro_Compras!$C$171="",Registro_Compras!$O$171=""),"","79/791")</f>
        <v/>
      </c>
      <c r="D1512">
        <f>IF(OR(Registro_Compras!$C$171="",Registro_Compras!$O$171=""),"","Cargas Imputables a Cuentas de Costos y Gastos")</f>
        <v/>
      </c>
      <c r="E1512" s="20">
        <f>IF($C1512="","",IF(Registro_Compras!$F$171="NOTA DE CREDITO",ROUND(ABS(Registro_Compras!$J$171*Registro_Compras!$N$171),2),""))</f>
        <v/>
      </c>
      <c r="F1512" s="20">
        <f>IF($C1512="","",IF(Registro_Compras!$F$171="NOTA DE CREDITO","",IF(Registro_Compras!$F$171="RHE",ROUND(Registro_Compras!$L$171*Registro_Compras!$N$171,2),ROUND(Registro_Compras!$J$171*Registro_Compras!$N$171,2))))</f>
        <v/>
      </c>
      <c r="G1512">
        <f>IF($C1512="","","Por el destino del gasto")</f>
        <v/>
      </c>
      <c r="H1512">
        <f>IF($C1512="","",Registro_Compras!$C$171)</f>
        <v/>
      </c>
    </row>
    <row r="1513">
      <c r="A1513" s="25">
        <f>IF($C1513="","",Registro_Compras!$X$171)</f>
        <v/>
      </c>
      <c r="B1513">
        <f>IF($C1513="","","C"&amp;TEXT(INT((ROW()-5)/9)+1,"000")&amp;"-3")</f>
        <v/>
      </c>
      <c r="C1513">
        <f>IF(OR(Registro_Compras!$C$171="",Registro_Compras!$O$171="",Registro_Compras!$R$171&lt;&gt;"SI",Registro_Compras!$X$171=""),"","4212")</f>
        <v/>
      </c>
      <c r="D1513">
        <f>IF(OR(Registro_Compras!$C$171="",Registro_Compras!$O$171=""),"","Cuentas por Pagar Comerciales - Terceros")</f>
        <v/>
      </c>
      <c r="E1513" s="20">
        <f>IF($C1513="","",Registro_Compras!$S$171)</f>
        <v/>
      </c>
      <c r="F1513" s="20">
        <f>""</f>
        <v/>
      </c>
      <c r="G1513">
        <f>IF($C1513="","","Por el deposito de la detraccion en el Banco de la Nacion")</f>
        <v/>
      </c>
      <c r="H1513">
        <f>IF($C1513="","",Registro_Compras!$C$171)</f>
        <v/>
      </c>
    </row>
    <row r="1514">
      <c r="A1514" s="25">
        <f>IF($C1514="","",Registro_Compras!$X$171)</f>
        <v/>
      </c>
      <c r="B1514">
        <f>IF($C1514="","","C"&amp;TEXT(INT((ROW()-5)/9)+1,"000")&amp;"-3")</f>
        <v/>
      </c>
      <c r="C1514">
        <f>IF(OR(Registro_Compras!$C$171="",Registro_Compras!$O$171="",Registro_Compras!$R$171&lt;&gt;"SI",Registro_Compras!$X$171=""),"","10413")</f>
        <v/>
      </c>
      <c r="D1514">
        <f>IF(OR(Registro_Compras!$C$171="",Registro_Compras!$O$171=""),"","Efectivo y Equivalentes - Cta. Cte. Operativa")</f>
        <v/>
      </c>
      <c r="E1514" s="20">
        <f>""</f>
        <v/>
      </c>
      <c r="F1514" s="20">
        <f>IF($C1514="","",Registro_Compras!$S$171)</f>
        <v/>
      </c>
      <c r="G1514">
        <f>IF($C1514="","","Por el deposito de la detraccion en el Banco de la Nacion")</f>
        <v/>
      </c>
      <c r="H1514">
        <f>IF($C1514="","",Registro_Compras!$C$171)</f>
        <v/>
      </c>
    </row>
    <row r="1515">
      <c r="A1515" s="25">
        <f>IF($C1515="","",Registro_Compras!$Y$171)</f>
        <v/>
      </c>
      <c r="B1515">
        <f>IF($C1515="","","C"&amp;TEXT(INT((ROW()-5)/9)+1,"000")&amp;"-4")</f>
        <v/>
      </c>
      <c r="C1515">
        <f>IF(OR(Registro_Compras!$C$171="",Registro_Compras!$O$171="",Registro_Compras!$Y$171="",Registro_Compras!$F$171="NOTA DE CREDITO"),"","4212")</f>
        <v/>
      </c>
      <c r="D1515">
        <f>IF(OR(Registro_Compras!$C$171="",Registro_Compras!$O$171=""),"","Cuentas por Pagar Comerciales - Terceros")</f>
        <v/>
      </c>
      <c r="E1515" s="20">
        <f>IF($C1515="","",IF(Registro_Compras!$F$171="RHE",(ROUND(Registro_Compras!$L$171*Registro_Compras!$N$171,2)-ROUND(Registro_Compras!$V$171*Registro_Compras!$N$171,2)),ROUND(Registro_Compras!$O$171-Registro_Compras!$S$171,2)))</f>
        <v/>
      </c>
      <c r="F1515" s="20">
        <f>""</f>
        <v/>
      </c>
      <c r="G1515">
        <f>IF($C1515="","","Por la cancelacion del saldo al proveedor")</f>
        <v/>
      </c>
      <c r="H1515">
        <f>IF($C1515="","",Registro_Compras!$C$171)</f>
        <v/>
      </c>
    </row>
    <row r="1516">
      <c r="A1516" s="25">
        <f>IF($C1516="","",Registro_Compras!$Y$171)</f>
        <v/>
      </c>
      <c r="B1516">
        <f>IF($C1516="","","C"&amp;TEXT(INT((ROW()-5)/9)+1,"000")&amp;"-4")</f>
        <v/>
      </c>
      <c r="C1516">
        <f>IF(OR(Registro_Compras!$C$171="",Registro_Compras!$O$171="",Registro_Compras!$Y$171="",Registro_Compras!$F$171="NOTA DE CREDITO"),"","10413")</f>
        <v/>
      </c>
      <c r="D1516">
        <f>IF(OR(Registro_Compras!$C$171="",Registro_Compras!$O$171=""),"","Efectivo y Equivalentes - Cta. Cte. Operativa")</f>
        <v/>
      </c>
      <c r="E1516" s="20">
        <f>""</f>
        <v/>
      </c>
      <c r="F1516" s="20">
        <f>IF($C1516="","",IF(Registro_Compras!$F$171="RHE",(ROUND(Registro_Compras!$L$171*Registro_Compras!$N$171,2)-ROUND(Registro_Compras!$V$171*Registro_Compras!$N$171,2)),ROUND(Registro_Compras!$O$171-Registro_Compras!$S$171,2)))</f>
        <v/>
      </c>
      <c r="G1516">
        <f>IF($C1516="","","Por la cancelacion del saldo al proveedor")</f>
        <v/>
      </c>
      <c r="H1516">
        <f>IF($C1516="","",Registro_Compras!$C$171)</f>
        <v/>
      </c>
    </row>
    <row r="1517">
      <c r="A1517" s="25">
        <f>IF($C1517="","",Registro_Compras!$B$172)</f>
        <v/>
      </c>
      <c r="B1517">
        <f>IF($C1517="","","C"&amp;TEXT(INT((ROW()-5)/9)+1,"000")&amp;"-1")</f>
        <v/>
      </c>
      <c r="C1517">
        <f>IF(OR(Registro_Compras!$C$172="",Registro_Compras!$O$172=""),"",IF(Registro_Compras!$F$172="NOTA DE CREDITO","4212",IF(Registro_Compras!$M$172="","63",Registro_Compras!$M$172)))</f>
        <v/>
      </c>
      <c r="D1517">
        <f>IF(OR(Registro_Compras!$C$172="",Registro_Compras!$O$172=""),"",IF(Registro_Compras!$F$172="NOTA DE CREDITO","Cuentas por Pagar Comerciales - Terceros (Emitidas)",IF(Registro_Compras!$F$172="RHE","Honorarios Profesionales - Servicios de Terceros","Gastos de Servicios Prestados por Terceros")))</f>
        <v/>
      </c>
      <c r="E1517" s="20">
        <f>IF($C1517="","",IF(Registro_Compras!$F$172="NOTA DE CREDITO",ABS(Registro_Compras!$O$172),IF(Registro_Compras!$F$172="RHE",ROUND(Registro_Compras!$L$172*Registro_Compras!$N$172,2),ROUND(Registro_Compras!$J$172*Registro_Compras!$N$172,2))))</f>
        <v/>
      </c>
      <c r="F1517" s="20">
        <f>""</f>
        <v/>
      </c>
      <c r="G1517">
        <f>IF($C1517="","",IF(Registro_Compras!$F$172="NOTA DE CREDITO","Por la nota de credito "&amp;Registro_Compras!$C$172&amp;" de "&amp;Registro_Compras!$E$172&amp;" [PATRON POR CONFIRMAR CON CONTADOR]",IF(Registro_Compras!$F$172="RHE","Por el registro del recibo por honorarios "&amp;Registro_Compras!$C$172&amp;" de "&amp;Registro_Compras!$E$172&amp;" [PATRON POR CONFIRMAR CON CONTADOR]","Por el registro de la factura "&amp;Registro_Compras!$C$172&amp;" de "&amp;Registro_Compras!$E$172)))</f>
        <v/>
      </c>
      <c r="H1517">
        <f>IF($C1517="","",Registro_Compras!$C$172)</f>
        <v/>
      </c>
    </row>
    <row r="1518">
      <c r="A1518" s="25">
        <f>IF($C1518="","",Registro_Compras!$B$172)</f>
        <v/>
      </c>
      <c r="B1518">
        <f>IF($C1518="","","C"&amp;TEXT(INT((ROW()-5)/9)+1,"000")&amp;"-1")</f>
        <v/>
      </c>
      <c r="C1518">
        <f>IF(OR(Registro_Compras!$C$172="",Registro_Compras!$O$172=""),"",IF(Registro_Compras!$F$172="RHE",IF(Registro_Compras!$V$172=0,"","40172"),IF(Registro_Compras!$F$172="NOTA DE CREDITO",IF(Registro_Compras!$M$172="","63",Registro_Compras!$M$172),IF(Registro_Compras!$K$172=0,"","40111"))))</f>
        <v/>
      </c>
      <c r="D1518">
        <f>IF(OR(Registro_Compras!$C$172="",Registro_Compras!$O$172=""),"",IF(Registro_Compras!$F$172="RHE","Retencion Renta 4ta Categoria por Pagar",IF(Registro_Compras!$F$172="NOTA DE CREDITO","Gastos de Servicios Prestados por Terceros","IGV - Cuenta Propia (Credito Fiscal)")))</f>
        <v/>
      </c>
      <c r="E1518" s="20">
        <f>IF($C1518="","",IF(Registro_Compras!$F$172="FACTURA",ROUND(Registro_Compras!$K$172*Registro_Compras!$N$172,2),""))</f>
        <v/>
      </c>
      <c r="F1518" s="20">
        <f>IF($C1518="","",IF(Registro_Compras!$F$172="RHE",ROUND(Registro_Compras!$V$172*Registro_Compras!$N$172,2),IF(Registro_Compras!$F$172="NOTA DE CREDITO",ROUND(ABS(Registro_Compras!$J$172*Registro_Compras!$N$172),2),"")))</f>
        <v/>
      </c>
      <c r="G1518">
        <f>IF($C1518="","",IF(Registro_Compras!$F$172="NOTA DE CREDITO","Por la nota de credito "&amp;Registro_Compras!$C$172&amp;" de "&amp;Registro_Compras!$E$172&amp;" [PATRON POR CONFIRMAR CON CONTADOR]",IF(Registro_Compras!$F$172="RHE","Por el registro del recibo por honorarios "&amp;Registro_Compras!$C$172&amp;" de "&amp;Registro_Compras!$E$172&amp;" [PATRON POR CONFIRMAR CON CONTADOR]","Por el registro de la factura "&amp;Registro_Compras!$C$172&amp;" de "&amp;Registro_Compras!$E$172)))</f>
        <v/>
      </c>
      <c r="H1518">
        <f>IF($C1518="","",Registro_Compras!$C$172)</f>
        <v/>
      </c>
    </row>
    <row r="1519">
      <c r="A1519" s="25">
        <f>IF($C1519="","",Registro_Compras!$B$172)</f>
        <v/>
      </c>
      <c r="B1519">
        <f>IF($C1519="","","C"&amp;TEXT(INT((ROW()-5)/9)+1,"000")&amp;"-1")</f>
        <v/>
      </c>
      <c r="C1519">
        <f>IF(OR(Registro_Compras!$C$172="",Registro_Compras!$O$172=""),"",IF(Registro_Compras!$F$172="NOTA DE CREDITO",IF(Registro_Compras!$K$172=0,"","40111"),"4212"))</f>
        <v/>
      </c>
      <c r="D1519">
        <f>IF(OR(Registro_Compras!$C$172="",Registro_Compras!$O$172=""),"",IF(Registro_Compras!$F$172="NOTA DE CREDITO","IGV - Cuenta Propia (Credito Fiscal)","Cuentas por Pagar Comerciales - Terceros (Emitidas)"))</f>
        <v/>
      </c>
      <c r="E1519" s="20">
        <f>""</f>
        <v/>
      </c>
      <c r="F1519" s="20">
        <f>IF($C1519="","",IF(Registro_Compras!$F$172="NOTA DE CREDITO",ROUND(ABS(Registro_Compras!$K$172*Registro_Compras!$N$172),2),IF(Registro_Compras!$F$172="RHE",(ROUND(Registro_Compras!$L$172*Registro_Compras!$N$172,2)-ROUND(Registro_Compras!$V$172*Registro_Compras!$N$172,2)),Registro_Compras!$O$172)))</f>
        <v/>
      </c>
      <c r="G1519">
        <f>IF($C1519="","",IF(Registro_Compras!$F$172="NOTA DE CREDITO","Por la nota de credito "&amp;Registro_Compras!$C$172&amp;" de "&amp;Registro_Compras!$E$172&amp;" [PATRON POR CONFIRMAR CON CONTADOR]",IF(Registro_Compras!$F$172="RHE","Por el registro del recibo por honorarios "&amp;Registro_Compras!$C$172&amp;" de "&amp;Registro_Compras!$E$172&amp;" [PATRON POR CONFIRMAR CON CONTADOR]","Por el registro de la factura "&amp;Registro_Compras!$C$172&amp;" de "&amp;Registro_Compras!$E$172)))</f>
        <v/>
      </c>
      <c r="H1519">
        <f>IF($C1519="","",Registro_Compras!$C$172)</f>
        <v/>
      </c>
    </row>
    <row r="1520">
      <c r="A1520" s="25">
        <f>IF($C1520="","",Registro_Compras!$B$172)</f>
        <v/>
      </c>
      <c r="B1520">
        <f>IF($C1520="","","C"&amp;TEXT(INT((ROW()-5)/9)+1,"000")&amp;"-2")</f>
        <v/>
      </c>
      <c r="C1520">
        <f>IF(OR(Registro_Compras!$C$172="",Registro_Compras!$O$172=""),"",IF(Registro_Compras!$AB$172="ADMINISTRATIVO","94","95"))</f>
        <v/>
      </c>
      <c r="D1520">
        <f>IF(OR(Registro_Compras!$C$172="",Registro_Compras!$O$172=""),"",IF(Registro_Compras!$AB$172="ADMINISTRATIVO","Gastos Administrativos","Gastos de Venta y Operacion"))</f>
        <v/>
      </c>
      <c r="E1520" s="20">
        <f>IF($C1520="","",IF(Registro_Compras!$F$172="NOTA DE CREDITO","",IF(Registro_Compras!$F$172="RHE",ROUND(Registro_Compras!$L$172*Registro_Compras!$N$172,2),ROUND(Registro_Compras!$J$172*Registro_Compras!$N$172,2))))</f>
        <v/>
      </c>
      <c r="F1520" s="20">
        <f>IF($C1520="","",IF(Registro_Compras!$F$172="NOTA DE CREDITO",ROUND(ABS(Registro_Compras!$J$172*Registro_Compras!$N$172),2),""))</f>
        <v/>
      </c>
      <c r="G1520">
        <f>IF($C1520="","","Por el destino del gasto")</f>
        <v/>
      </c>
      <c r="H1520">
        <f>IF($C1520="","",Registro_Compras!$C$172)</f>
        <v/>
      </c>
    </row>
    <row r="1521">
      <c r="A1521" s="25">
        <f>IF($C1521="","",Registro_Compras!$B$172)</f>
        <v/>
      </c>
      <c r="B1521">
        <f>IF($C1521="","","C"&amp;TEXT(INT((ROW()-5)/9)+1,"000")&amp;"-2")</f>
        <v/>
      </c>
      <c r="C1521">
        <f>IF(OR(Registro_Compras!$C$172="",Registro_Compras!$O$172=""),"","79/791")</f>
        <v/>
      </c>
      <c r="D1521">
        <f>IF(OR(Registro_Compras!$C$172="",Registro_Compras!$O$172=""),"","Cargas Imputables a Cuentas de Costos y Gastos")</f>
        <v/>
      </c>
      <c r="E1521" s="20">
        <f>IF($C1521="","",IF(Registro_Compras!$F$172="NOTA DE CREDITO",ROUND(ABS(Registro_Compras!$J$172*Registro_Compras!$N$172),2),""))</f>
        <v/>
      </c>
      <c r="F1521" s="20">
        <f>IF($C1521="","",IF(Registro_Compras!$F$172="NOTA DE CREDITO","",IF(Registro_Compras!$F$172="RHE",ROUND(Registro_Compras!$L$172*Registro_Compras!$N$172,2),ROUND(Registro_Compras!$J$172*Registro_Compras!$N$172,2))))</f>
        <v/>
      </c>
      <c r="G1521">
        <f>IF($C1521="","","Por el destino del gasto")</f>
        <v/>
      </c>
      <c r="H1521">
        <f>IF($C1521="","",Registro_Compras!$C$172)</f>
        <v/>
      </c>
    </row>
    <row r="1522">
      <c r="A1522" s="25">
        <f>IF($C1522="","",Registro_Compras!$X$172)</f>
        <v/>
      </c>
      <c r="B1522">
        <f>IF($C1522="","","C"&amp;TEXT(INT((ROW()-5)/9)+1,"000")&amp;"-3")</f>
        <v/>
      </c>
      <c r="C1522">
        <f>IF(OR(Registro_Compras!$C$172="",Registro_Compras!$O$172="",Registro_Compras!$R$172&lt;&gt;"SI",Registro_Compras!$X$172=""),"","4212")</f>
        <v/>
      </c>
      <c r="D1522">
        <f>IF(OR(Registro_Compras!$C$172="",Registro_Compras!$O$172=""),"","Cuentas por Pagar Comerciales - Terceros")</f>
        <v/>
      </c>
      <c r="E1522" s="20">
        <f>IF($C1522="","",Registro_Compras!$S$172)</f>
        <v/>
      </c>
      <c r="F1522" s="20">
        <f>""</f>
        <v/>
      </c>
      <c r="G1522">
        <f>IF($C1522="","","Por el deposito de la detraccion en el Banco de la Nacion")</f>
        <v/>
      </c>
      <c r="H1522">
        <f>IF($C1522="","",Registro_Compras!$C$172)</f>
        <v/>
      </c>
    </row>
    <row r="1523">
      <c r="A1523" s="25">
        <f>IF($C1523="","",Registro_Compras!$X$172)</f>
        <v/>
      </c>
      <c r="B1523">
        <f>IF($C1523="","","C"&amp;TEXT(INT((ROW()-5)/9)+1,"000")&amp;"-3")</f>
        <v/>
      </c>
      <c r="C1523">
        <f>IF(OR(Registro_Compras!$C$172="",Registro_Compras!$O$172="",Registro_Compras!$R$172&lt;&gt;"SI",Registro_Compras!$X$172=""),"","10413")</f>
        <v/>
      </c>
      <c r="D1523">
        <f>IF(OR(Registro_Compras!$C$172="",Registro_Compras!$O$172=""),"","Efectivo y Equivalentes - Cta. Cte. Operativa")</f>
        <v/>
      </c>
      <c r="E1523" s="20">
        <f>""</f>
        <v/>
      </c>
      <c r="F1523" s="20">
        <f>IF($C1523="","",Registro_Compras!$S$172)</f>
        <v/>
      </c>
      <c r="G1523">
        <f>IF($C1523="","","Por el deposito de la detraccion en el Banco de la Nacion")</f>
        <v/>
      </c>
      <c r="H1523">
        <f>IF($C1523="","",Registro_Compras!$C$172)</f>
        <v/>
      </c>
    </row>
    <row r="1524">
      <c r="A1524" s="25">
        <f>IF($C1524="","",Registro_Compras!$Y$172)</f>
        <v/>
      </c>
      <c r="B1524">
        <f>IF($C1524="","","C"&amp;TEXT(INT((ROW()-5)/9)+1,"000")&amp;"-4")</f>
        <v/>
      </c>
      <c r="C1524">
        <f>IF(OR(Registro_Compras!$C$172="",Registro_Compras!$O$172="",Registro_Compras!$Y$172="",Registro_Compras!$F$172="NOTA DE CREDITO"),"","4212")</f>
        <v/>
      </c>
      <c r="D1524">
        <f>IF(OR(Registro_Compras!$C$172="",Registro_Compras!$O$172=""),"","Cuentas por Pagar Comerciales - Terceros")</f>
        <v/>
      </c>
      <c r="E1524" s="20">
        <f>IF($C1524="","",IF(Registro_Compras!$F$172="RHE",(ROUND(Registro_Compras!$L$172*Registro_Compras!$N$172,2)-ROUND(Registro_Compras!$V$172*Registro_Compras!$N$172,2)),ROUND(Registro_Compras!$O$172-Registro_Compras!$S$172,2)))</f>
        <v/>
      </c>
      <c r="F1524" s="20">
        <f>""</f>
        <v/>
      </c>
      <c r="G1524">
        <f>IF($C1524="","","Por la cancelacion del saldo al proveedor")</f>
        <v/>
      </c>
      <c r="H1524">
        <f>IF($C1524="","",Registro_Compras!$C$172)</f>
        <v/>
      </c>
    </row>
    <row r="1525">
      <c r="A1525" s="25">
        <f>IF($C1525="","",Registro_Compras!$Y$172)</f>
        <v/>
      </c>
      <c r="B1525">
        <f>IF($C1525="","","C"&amp;TEXT(INT((ROW()-5)/9)+1,"000")&amp;"-4")</f>
        <v/>
      </c>
      <c r="C1525">
        <f>IF(OR(Registro_Compras!$C$172="",Registro_Compras!$O$172="",Registro_Compras!$Y$172="",Registro_Compras!$F$172="NOTA DE CREDITO"),"","10413")</f>
        <v/>
      </c>
      <c r="D1525">
        <f>IF(OR(Registro_Compras!$C$172="",Registro_Compras!$O$172=""),"","Efectivo y Equivalentes - Cta. Cte. Operativa")</f>
        <v/>
      </c>
      <c r="E1525" s="20">
        <f>""</f>
        <v/>
      </c>
      <c r="F1525" s="20">
        <f>IF($C1525="","",IF(Registro_Compras!$F$172="RHE",(ROUND(Registro_Compras!$L$172*Registro_Compras!$N$172,2)-ROUND(Registro_Compras!$V$172*Registro_Compras!$N$172,2)),ROUND(Registro_Compras!$O$172-Registro_Compras!$S$172,2)))</f>
        <v/>
      </c>
      <c r="G1525">
        <f>IF($C1525="","","Por la cancelacion del saldo al proveedor")</f>
        <v/>
      </c>
      <c r="H1525">
        <f>IF($C1525="","",Registro_Compras!$C$172)</f>
        <v/>
      </c>
    </row>
    <row r="1526">
      <c r="A1526" s="25">
        <f>IF($C1526="","",Registro_Compras!$B$173)</f>
        <v/>
      </c>
      <c r="B1526">
        <f>IF($C1526="","","C"&amp;TEXT(INT((ROW()-5)/9)+1,"000")&amp;"-1")</f>
        <v/>
      </c>
      <c r="C1526">
        <f>IF(OR(Registro_Compras!$C$173="",Registro_Compras!$O$173=""),"",IF(Registro_Compras!$F$173="NOTA DE CREDITO","4212",IF(Registro_Compras!$M$173="","63",Registro_Compras!$M$173)))</f>
        <v/>
      </c>
      <c r="D1526">
        <f>IF(OR(Registro_Compras!$C$173="",Registro_Compras!$O$173=""),"",IF(Registro_Compras!$F$173="NOTA DE CREDITO","Cuentas por Pagar Comerciales - Terceros (Emitidas)",IF(Registro_Compras!$F$173="RHE","Honorarios Profesionales - Servicios de Terceros","Gastos de Servicios Prestados por Terceros")))</f>
        <v/>
      </c>
      <c r="E1526" s="20">
        <f>IF($C1526="","",IF(Registro_Compras!$F$173="NOTA DE CREDITO",ABS(Registro_Compras!$O$173),IF(Registro_Compras!$F$173="RHE",ROUND(Registro_Compras!$L$173*Registro_Compras!$N$173,2),ROUND(Registro_Compras!$J$173*Registro_Compras!$N$173,2))))</f>
        <v/>
      </c>
      <c r="F1526" s="20">
        <f>""</f>
        <v/>
      </c>
      <c r="G1526">
        <f>IF($C1526="","",IF(Registro_Compras!$F$173="NOTA DE CREDITO","Por la nota de credito "&amp;Registro_Compras!$C$173&amp;" de "&amp;Registro_Compras!$E$173&amp;" [PATRON POR CONFIRMAR CON CONTADOR]",IF(Registro_Compras!$F$173="RHE","Por el registro del recibo por honorarios "&amp;Registro_Compras!$C$173&amp;" de "&amp;Registro_Compras!$E$173&amp;" [PATRON POR CONFIRMAR CON CONTADOR]","Por el registro de la factura "&amp;Registro_Compras!$C$173&amp;" de "&amp;Registro_Compras!$E$173)))</f>
        <v/>
      </c>
      <c r="H1526">
        <f>IF($C1526="","",Registro_Compras!$C$173)</f>
        <v/>
      </c>
    </row>
    <row r="1527">
      <c r="A1527" s="25">
        <f>IF($C1527="","",Registro_Compras!$B$173)</f>
        <v/>
      </c>
      <c r="B1527">
        <f>IF($C1527="","","C"&amp;TEXT(INT((ROW()-5)/9)+1,"000")&amp;"-1")</f>
        <v/>
      </c>
      <c r="C1527">
        <f>IF(OR(Registro_Compras!$C$173="",Registro_Compras!$O$173=""),"",IF(Registro_Compras!$F$173="RHE",IF(Registro_Compras!$V$173=0,"","40172"),IF(Registro_Compras!$F$173="NOTA DE CREDITO",IF(Registro_Compras!$M$173="","63",Registro_Compras!$M$173),IF(Registro_Compras!$K$173=0,"","40111"))))</f>
        <v/>
      </c>
      <c r="D1527">
        <f>IF(OR(Registro_Compras!$C$173="",Registro_Compras!$O$173=""),"",IF(Registro_Compras!$F$173="RHE","Retencion Renta 4ta Categoria por Pagar",IF(Registro_Compras!$F$173="NOTA DE CREDITO","Gastos de Servicios Prestados por Terceros","IGV - Cuenta Propia (Credito Fiscal)")))</f>
        <v/>
      </c>
      <c r="E1527" s="20">
        <f>IF($C1527="","",IF(Registro_Compras!$F$173="FACTURA",ROUND(Registro_Compras!$K$173*Registro_Compras!$N$173,2),""))</f>
        <v/>
      </c>
      <c r="F1527" s="20">
        <f>IF($C1527="","",IF(Registro_Compras!$F$173="RHE",ROUND(Registro_Compras!$V$173*Registro_Compras!$N$173,2),IF(Registro_Compras!$F$173="NOTA DE CREDITO",ROUND(ABS(Registro_Compras!$J$173*Registro_Compras!$N$173),2),"")))</f>
        <v/>
      </c>
      <c r="G1527">
        <f>IF($C1527="","",IF(Registro_Compras!$F$173="NOTA DE CREDITO","Por la nota de credito "&amp;Registro_Compras!$C$173&amp;" de "&amp;Registro_Compras!$E$173&amp;" [PATRON POR CONFIRMAR CON CONTADOR]",IF(Registro_Compras!$F$173="RHE","Por el registro del recibo por honorarios "&amp;Registro_Compras!$C$173&amp;" de "&amp;Registro_Compras!$E$173&amp;" [PATRON POR CONFIRMAR CON CONTADOR]","Por el registro de la factura "&amp;Registro_Compras!$C$173&amp;" de "&amp;Registro_Compras!$E$173)))</f>
        <v/>
      </c>
      <c r="H1527">
        <f>IF($C1527="","",Registro_Compras!$C$173)</f>
        <v/>
      </c>
    </row>
    <row r="1528">
      <c r="A1528" s="25">
        <f>IF($C1528="","",Registro_Compras!$B$173)</f>
        <v/>
      </c>
      <c r="B1528">
        <f>IF($C1528="","","C"&amp;TEXT(INT((ROW()-5)/9)+1,"000")&amp;"-1")</f>
        <v/>
      </c>
      <c r="C1528">
        <f>IF(OR(Registro_Compras!$C$173="",Registro_Compras!$O$173=""),"",IF(Registro_Compras!$F$173="NOTA DE CREDITO",IF(Registro_Compras!$K$173=0,"","40111"),"4212"))</f>
        <v/>
      </c>
      <c r="D1528">
        <f>IF(OR(Registro_Compras!$C$173="",Registro_Compras!$O$173=""),"",IF(Registro_Compras!$F$173="NOTA DE CREDITO","IGV - Cuenta Propia (Credito Fiscal)","Cuentas por Pagar Comerciales - Terceros (Emitidas)"))</f>
        <v/>
      </c>
      <c r="E1528" s="20">
        <f>""</f>
        <v/>
      </c>
      <c r="F1528" s="20">
        <f>IF($C1528="","",IF(Registro_Compras!$F$173="NOTA DE CREDITO",ROUND(ABS(Registro_Compras!$K$173*Registro_Compras!$N$173),2),IF(Registro_Compras!$F$173="RHE",(ROUND(Registro_Compras!$L$173*Registro_Compras!$N$173,2)-ROUND(Registro_Compras!$V$173*Registro_Compras!$N$173,2)),Registro_Compras!$O$173)))</f>
        <v/>
      </c>
      <c r="G1528">
        <f>IF($C1528="","",IF(Registro_Compras!$F$173="NOTA DE CREDITO","Por la nota de credito "&amp;Registro_Compras!$C$173&amp;" de "&amp;Registro_Compras!$E$173&amp;" [PATRON POR CONFIRMAR CON CONTADOR]",IF(Registro_Compras!$F$173="RHE","Por el registro del recibo por honorarios "&amp;Registro_Compras!$C$173&amp;" de "&amp;Registro_Compras!$E$173&amp;" [PATRON POR CONFIRMAR CON CONTADOR]","Por el registro de la factura "&amp;Registro_Compras!$C$173&amp;" de "&amp;Registro_Compras!$E$173)))</f>
        <v/>
      </c>
      <c r="H1528">
        <f>IF($C1528="","",Registro_Compras!$C$173)</f>
        <v/>
      </c>
    </row>
    <row r="1529">
      <c r="A1529" s="25">
        <f>IF($C1529="","",Registro_Compras!$B$173)</f>
        <v/>
      </c>
      <c r="B1529">
        <f>IF($C1529="","","C"&amp;TEXT(INT((ROW()-5)/9)+1,"000")&amp;"-2")</f>
        <v/>
      </c>
      <c r="C1529">
        <f>IF(OR(Registro_Compras!$C$173="",Registro_Compras!$O$173=""),"",IF(Registro_Compras!$AB$173="ADMINISTRATIVO","94","95"))</f>
        <v/>
      </c>
      <c r="D1529">
        <f>IF(OR(Registro_Compras!$C$173="",Registro_Compras!$O$173=""),"",IF(Registro_Compras!$AB$173="ADMINISTRATIVO","Gastos Administrativos","Gastos de Venta y Operacion"))</f>
        <v/>
      </c>
      <c r="E1529" s="20">
        <f>IF($C1529="","",IF(Registro_Compras!$F$173="NOTA DE CREDITO","",IF(Registro_Compras!$F$173="RHE",ROUND(Registro_Compras!$L$173*Registro_Compras!$N$173,2),ROUND(Registro_Compras!$J$173*Registro_Compras!$N$173,2))))</f>
        <v/>
      </c>
      <c r="F1529" s="20">
        <f>IF($C1529="","",IF(Registro_Compras!$F$173="NOTA DE CREDITO",ROUND(ABS(Registro_Compras!$J$173*Registro_Compras!$N$173),2),""))</f>
        <v/>
      </c>
      <c r="G1529">
        <f>IF($C1529="","","Por el destino del gasto")</f>
        <v/>
      </c>
      <c r="H1529">
        <f>IF($C1529="","",Registro_Compras!$C$173)</f>
        <v/>
      </c>
    </row>
    <row r="1530">
      <c r="A1530" s="25">
        <f>IF($C1530="","",Registro_Compras!$B$173)</f>
        <v/>
      </c>
      <c r="B1530">
        <f>IF($C1530="","","C"&amp;TEXT(INT((ROW()-5)/9)+1,"000")&amp;"-2")</f>
        <v/>
      </c>
      <c r="C1530">
        <f>IF(OR(Registro_Compras!$C$173="",Registro_Compras!$O$173=""),"","79/791")</f>
        <v/>
      </c>
      <c r="D1530">
        <f>IF(OR(Registro_Compras!$C$173="",Registro_Compras!$O$173=""),"","Cargas Imputables a Cuentas de Costos y Gastos")</f>
        <v/>
      </c>
      <c r="E1530" s="20">
        <f>IF($C1530="","",IF(Registro_Compras!$F$173="NOTA DE CREDITO",ROUND(ABS(Registro_Compras!$J$173*Registro_Compras!$N$173),2),""))</f>
        <v/>
      </c>
      <c r="F1530" s="20">
        <f>IF($C1530="","",IF(Registro_Compras!$F$173="NOTA DE CREDITO","",IF(Registro_Compras!$F$173="RHE",ROUND(Registro_Compras!$L$173*Registro_Compras!$N$173,2),ROUND(Registro_Compras!$J$173*Registro_Compras!$N$173,2))))</f>
        <v/>
      </c>
      <c r="G1530">
        <f>IF($C1530="","","Por el destino del gasto")</f>
        <v/>
      </c>
      <c r="H1530">
        <f>IF($C1530="","",Registro_Compras!$C$173)</f>
        <v/>
      </c>
    </row>
    <row r="1531">
      <c r="A1531" s="25">
        <f>IF($C1531="","",Registro_Compras!$X$173)</f>
        <v/>
      </c>
      <c r="B1531">
        <f>IF($C1531="","","C"&amp;TEXT(INT((ROW()-5)/9)+1,"000")&amp;"-3")</f>
        <v/>
      </c>
      <c r="C1531">
        <f>IF(OR(Registro_Compras!$C$173="",Registro_Compras!$O$173="",Registro_Compras!$R$173&lt;&gt;"SI",Registro_Compras!$X$173=""),"","4212")</f>
        <v/>
      </c>
      <c r="D1531">
        <f>IF(OR(Registro_Compras!$C$173="",Registro_Compras!$O$173=""),"","Cuentas por Pagar Comerciales - Terceros")</f>
        <v/>
      </c>
      <c r="E1531" s="20">
        <f>IF($C1531="","",Registro_Compras!$S$173)</f>
        <v/>
      </c>
      <c r="F1531" s="20">
        <f>""</f>
        <v/>
      </c>
      <c r="G1531">
        <f>IF($C1531="","","Por el deposito de la detraccion en el Banco de la Nacion")</f>
        <v/>
      </c>
      <c r="H1531">
        <f>IF($C1531="","",Registro_Compras!$C$173)</f>
        <v/>
      </c>
    </row>
    <row r="1532">
      <c r="A1532" s="25">
        <f>IF($C1532="","",Registro_Compras!$X$173)</f>
        <v/>
      </c>
      <c r="B1532">
        <f>IF($C1532="","","C"&amp;TEXT(INT((ROW()-5)/9)+1,"000")&amp;"-3")</f>
        <v/>
      </c>
      <c r="C1532">
        <f>IF(OR(Registro_Compras!$C$173="",Registro_Compras!$O$173="",Registro_Compras!$R$173&lt;&gt;"SI",Registro_Compras!$X$173=""),"","10413")</f>
        <v/>
      </c>
      <c r="D1532">
        <f>IF(OR(Registro_Compras!$C$173="",Registro_Compras!$O$173=""),"","Efectivo y Equivalentes - Cta. Cte. Operativa")</f>
        <v/>
      </c>
      <c r="E1532" s="20">
        <f>""</f>
        <v/>
      </c>
      <c r="F1532" s="20">
        <f>IF($C1532="","",Registro_Compras!$S$173)</f>
        <v/>
      </c>
      <c r="G1532">
        <f>IF($C1532="","","Por el deposito de la detraccion en el Banco de la Nacion")</f>
        <v/>
      </c>
      <c r="H1532">
        <f>IF($C1532="","",Registro_Compras!$C$173)</f>
        <v/>
      </c>
    </row>
    <row r="1533">
      <c r="A1533" s="25">
        <f>IF($C1533="","",Registro_Compras!$Y$173)</f>
        <v/>
      </c>
      <c r="B1533">
        <f>IF($C1533="","","C"&amp;TEXT(INT((ROW()-5)/9)+1,"000")&amp;"-4")</f>
        <v/>
      </c>
      <c r="C1533">
        <f>IF(OR(Registro_Compras!$C$173="",Registro_Compras!$O$173="",Registro_Compras!$Y$173="",Registro_Compras!$F$173="NOTA DE CREDITO"),"","4212")</f>
        <v/>
      </c>
      <c r="D1533">
        <f>IF(OR(Registro_Compras!$C$173="",Registro_Compras!$O$173=""),"","Cuentas por Pagar Comerciales - Terceros")</f>
        <v/>
      </c>
      <c r="E1533" s="20">
        <f>IF($C1533="","",IF(Registro_Compras!$F$173="RHE",(ROUND(Registro_Compras!$L$173*Registro_Compras!$N$173,2)-ROUND(Registro_Compras!$V$173*Registro_Compras!$N$173,2)),ROUND(Registro_Compras!$O$173-Registro_Compras!$S$173,2)))</f>
        <v/>
      </c>
      <c r="F1533" s="20">
        <f>""</f>
        <v/>
      </c>
      <c r="G1533">
        <f>IF($C1533="","","Por la cancelacion del saldo al proveedor")</f>
        <v/>
      </c>
      <c r="H1533">
        <f>IF($C1533="","",Registro_Compras!$C$173)</f>
        <v/>
      </c>
    </row>
    <row r="1534">
      <c r="A1534" s="25">
        <f>IF($C1534="","",Registro_Compras!$Y$173)</f>
        <v/>
      </c>
      <c r="B1534">
        <f>IF($C1534="","","C"&amp;TEXT(INT((ROW()-5)/9)+1,"000")&amp;"-4")</f>
        <v/>
      </c>
      <c r="C1534">
        <f>IF(OR(Registro_Compras!$C$173="",Registro_Compras!$O$173="",Registro_Compras!$Y$173="",Registro_Compras!$F$173="NOTA DE CREDITO"),"","10413")</f>
        <v/>
      </c>
      <c r="D1534">
        <f>IF(OR(Registro_Compras!$C$173="",Registro_Compras!$O$173=""),"","Efectivo y Equivalentes - Cta. Cte. Operativa")</f>
        <v/>
      </c>
      <c r="E1534" s="20">
        <f>""</f>
        <v/>
      </c>
      <c r="F1534" s="20">
        <f>IF($C1534="","",IF(Registro_Compras!$F$173="RHE",(ROUND(Registro_Compras!$L$173*Registro_Compras!$N$173,2)-ROUND(Registro_Compras!$V$173*Registro_Compras!$N$173,2)),ROUND(Registro_Compras!$O$173-Registro_Compras!$S$173,2)))</f>
        <v/>
      </c>
      <c r="G1534">
        <f>IF($C1534="","","Por la cancelacion del saldo al proveedor")</f>
        <v/>
      </c>
      <c r="H1534">
        <f>IF($C1534="","",Registro_Compras!$C$173)</f>
        <v/>
      </c>
    </row>
    <row r="1535">
      <c r="A1535" s="25">
        <f>IF($C1535="","",Registro_Compras!$B$174)</f>
        <v/>
      </c>
      <c r="B1535">
        <f>IF($C1535="","","C"&amp;TEXT(INT((ROW()-5)/9)+1,"000")&amp;"-1")</f>
        <v/>
      </c>
      <c r="C1535">
        <f>IF(OR(Registro_Compras!$C$174="",Registro_Compras!$O$174=""),"",IF(Registro_Compras!$F$174="NOTA DE CREDITO","4212",IF(Registro_Compras!$M$174="","63",Registro_Compras!$M$174)))</f>
        <v/>
      </c>
      <c r="D1535">
        <f>IF(OR(Registro_Compras!$C$174="",Registro_Compras!$O$174=""),"",IF(Registro_Compras!$F$174="NOTA DE CREDITO","Cuentas por Pagar Comerciales - Terceros (Emitidas)",IF(Registro_Compras!$F$174="RHE","Honorarios Profesionales - Servicios de Terceros","Gastos de Servicios Prestados por Terceros")))</f>
        <v/>
      </c>
      <c r="E1535" s="20">
        <f>IF($C1535="","",IF(Registro_Compras!$F$174="NOTA DE CREDITO",ABS(Registro_Compras!$O$174),IF(Registro_Compras!$F$174="RHE",ROUND(Registro_Compras!$L$174*Registro_Compras!$N$174,2),ROUND(Registro_Compras!$J$174*Registro_Compras!$N$174,2))))</f>
        <v/>
      </c>
      <c r="F1535" s="20">
        <f>""</f>
        <v/>
      </c>
      <c r="G1535">
        <f>IF($C1535="","",IF(Registro_Compras!$F$174="NOTA DE CREDITO","Por la nota de credito "&amp;Registro_Compras!$C$174&amp;" de "&amp;Registro_Compras!$E$174&amp;" [PATRON POR CONFIRMAR CON CONTADOR]",IF(Registro_Compras!$F$174="RHE","Por el registro del recibo por honorarios "&amp;Registro_Compras!$C$174&amp;" de "&amp;Registro_Compras!$E$174&amp;" [PATRON POR CONFIRMAR CON CONTADOR]","Por el registro de la factura "&amp;Registro_Compras!$C$174&amp;" de "&amp;Registro_Compras!$E$174)))</f>
        <v/>
      </c>
      <c r="H1535">
        <f>IF($C1535="","",Registro_Compras!$C$174)</f>
        <v/>
      </c>
    </row>
    <row r="1536">
      <c r="A1536" s="25">
        <f>IF($C1536="","",Registro_Compras!$B$174)</f>
        <v/>
      </c>
      <c r="B1536">
        <f>IF($C1536="","","C"&amp;TEXT(INT((ROW()-5)/9)+1,"000")&amp;"-1")</f>
        <v/>
      </c>
      <c r="C1536">
        <f>IF(OR(Registro_Compras!$C$174="",Registro_Compras!$O$174=""),"",IF(Registro_Compras!$F$174="RHE",IF(Registro_Compras!$V$174=0,"","40172"),IF(Registro_Compras!$F$174="NOTA DE CREDITO",IF(Registro_Compras!$M$174="","63",Registro_Compras!$M$174),IF(Registro_Compras!$K$174=0,"","40111"))))</f>
        <v/>
      </c>
      <c r="D1536">
        <f>IF(OR(Registro_Compras!$C$174="",Registro_Compras!$O$174=""),"",IF(Registro_Compras!$F$174="RHE","Retencion Renta 4ta Categoria por Pagar",IF(Registro_Compras!$F$174="NOTA DE CREDITO","Gastos de Servicios Prestados por Terceros","IGV - Cuenta Propia (Credito Fiscal)")))</f>
        <v/>
      </c>
      <c r="E1536" s="20">
        <f>IF($C1536="","",IF(Registro_Compras!$F$174="FACTURA",ROUND(Registro_Compras!$K$174*Registro_Compras!$N$174,2),""))</f>
        <v/>
      </c>
      <c r="F1536" s="20">
        <f>IF($C1536="","",IF(Registro_Compras!$F$174="RHE",ROUND(Registro_Compras!$V$174*Registro_Compras!$N$174,2),IF(Registro_Compras!$F$174="NOTA DE CREDITO",ROUND(ABS(Registro_Compras!$J$174*Registro_Compras!$N$174),2),"")))</f>
        <v/>
      </c>
      <c r="G1536">
        <f>IF($C1536="","",IF(Registro_Compras!$F$174="NOTA DE CREDITO","Por la nota de credito "&amp;Registro_Compras!$C$174&amp;" de "&amp;Registro_Compras!$E$174&amp;" [PATRON POR CONFIRMAR CON CONTADOR]",IF(Registro_Compras!$F$174="RHE","Por el registro del recibo por honorarios "&amp;Registro_Compras!$C$174&amp;" de "&amp;Registro_Compras!$E$174&amp;" [PATRON POR CONFIRMAR CON CONTADOR]","Por el registro de la factura "&amp;Registro_Compras!$C$174&amp;" de "&amp;Registro_Compras!$E$174)))</f>
        <v/>
      </c>
      <c r="H1536">
        <f>IF($C1536="","",Registro_Compras!$C$174)</f>
        <v/>
      </c>
    </row>
    <row r="1537">
      <c r="A1537" s="25">
        <f>IF($C1537="","",Registro_Compras!$B$174)</f>
        <v/>
      </c>
      <c r="B1537">
        <f>IF($C1537="","","C"&amp;TEXT(INT((ROW()-5)/9)+1,"000")&amp;"-1")</f>
        <v/>
      </c>
      <c r="C1537">
        <f>IF(OR(Registro_Compras!$C$174="",Registro_Compras!$O$174=""),"",IF(Registro_Compras!$F$174="NOTA DE CREDITO",IF(Registro_Compras!$K$174=0,"","40111"),"4212"))</f>
        <v/>
      </c>
      <c r="D1537">
        <f>IF(OR(Registro_Compras!$C$174="",Registro_Compras!$O$174=""),"",IF(Registro_Compras!$F$174="NOTA DE CREDITO","IGV - Cuenta Propia (Credito Fiscal)","Cuentas por Pagar Comerciales - Terceros (Emitidas)"))</f>
        <v/>
      </c>
      <c r="E1537" s="20">
        <f>""</f>
        <v/>
      </c>
      <c r="F1537" s="20">
        <f>IF($C1537="","",IF(Registro_Compras!$F$174="NOTA DE CREDITO",ROUND(ABS(Registro_Compras!$K$174*Registro_Compras!$N$174),2),IF(Registro_Compras!$F$174="RHE",(ROUND(Registro_Compras!$L$174*Registro_Compras!$N$174,2)-ROUND(Registro_Compras!$V$174*Registro_Compras!$N$174,2)),Registro_Compras!$O$174)))</f>
        <v/>
      </c>
      <c r="G1537">
        <f>IF($C1537="","",IF(Registro_Compras!$F$174="NOTA DE CREDITO","Por la nota de credito "&amp;Registro_Compras!$C$174&amp;" de "&amp;Registro_Compras!$E$174&amp;" [PATRON POR CONFIRMAR CON CONTADOR]",IF(Registro_Compras!$F$174="RHE","Por el registro del recibo por honorarios "&amp;Registro_Compras!$C$174&amp;" de "&amp;Registro_Compras!$E$174&amp;" [PATRON POR CONFIRMAR CON CONTADOR]","Por el registro de la factura "&amp;Registro_Compras!$C$174&amp;" de "&amp;Registro_Compras!$E$174)))</f>
        <v/>
      </c>
      <c r="H1537">
        <f>IF($C1537="","",Registro_Compras!$C$174)</f>
        <v/>
      </c>
    </row>
    <row r="1538">
      <c r="A1538" s="25">
        <f>IF($C1538="","",Registro_Compras!$B$174)</f>
        <v/>
      </c>
      <c r="B1538">
        <f>IF($C1538="","","C"&amp;TEXT(INT((ROW()-5)/9)+1,"000")&amp;"-2")</f>
        <v/>
      </c>
      <c r="C1538">
        <f>IF(OR(Registro_Compras!$C$174="",Registro_Compras!$O$174=""),"",IF(Registro_Compras!$AB$174="ADMINISTRATIVO","94","95"))</f>
        <v/>
      </c>
      <c r="D1538">
        <f>IF(OR(Registro_Compras!$C$174="",Registro_Compras!$O$174=""),"",IF(Registro_Compras!$AB$174="ADMINISTRATIVO","Gastos Administrativos","Gastos de Venta y Operacion"))</f>
        <v/>
      </c>
      <c r="E1538" s="20">
        <f>IF($C1538="","",IF(Registro_Compras!$F$174="NOTA DE CREDITO","",IF(Registro_Compras!$F$174="RHE",ROUND(Registro_Compras!$L$174*Registro_Compras!$N$174,2),ROUND(Registro_Compras!$J$174*Registro_Compras!$N$174,2))))</f>
        <v/>
      </c>
      <c r="F1538" s="20">
        <f>IF($C1538="","",IF(Registro_Compras!$F$174="NOTA DE CREDITO",ROUND(ABS(Registro_Compras!$J$174*Registro_Compras!$N$174),2),""))</f>
        <v/>
      </c>
      <c r="G1538">
        <f>IF($C1538="","","Por el destino del gasto")</f>
        <v/>
      </c>
      <c r="H1538">
        <f>IF($C1538="","",Registro_Compras!$C$174)</f>
        <v/>
      </c>
    </row>
    <row r="1539">
      <c r="A1539" s="25">
        <f>IF($C1539="","",Registro_Compras!$B$174)</f>
        <v/>
      </c>
      <c r="B1539">
        <f>IF($C1539="","","C"&amp;TEXT(INT((ROW()-5)/9)+1,"000")&amp;"-2")</f>
        <v/>
      </c>
      <c r="C1539">
        <f>IF(OR(Registro_Compras!$C$174="",Registro_Compras!$O$174=""),"","79/791")</f>
        <v/>
      </c>
      <c r="D1539">
        <f>IF(OR(Registro_Compras!$C$174="",Registro_Compras!$O$174=""),"","Cargas Imputables a Cuentas de Costos y Gastos")</f>
        <v/>
      </c>
      <c r="E1539" s="20">
        <f>IF($C1539="","",IF(Registro_Compras!$F$174="NOTA DE CREDITO",ROUND(ABS(Registro_Compras!$J$174*Registro_Compras!$N$174),2),""))</f>
        <v/>
      </c>
      <c r="F1539" s="20">
        <f>IF($C1539="","",IF(Registro_Compras!$F$174="NOTA DE CREDITO","",IF(Registro_Compras!$F$174="RHE",ROUND(Registro_Compras!$L$174*Registro_Compras!$N$174,2),ROUND(Registro_Compras!$J$174*Registro_Compras!$N$174,2))))</f>
        <v/>
      </c>
      <c r="G1539">
        <f>IF($C1539="","","Por el destino del gasto")</f>
        <v/>
      </c>
      <c r="H1539">
        <f>IF($C1539="","",Registro_Compras!$C$174)</f>
        <v/>
      </c>
    </row>
    <row r="1540">
      <c r="A1540" s="25">
        <f>IF($C1540="","",Registro_Compras!$X$174)</f>
        <v/>
      </c>
      <c r="B1540">
        <f>IF($C1540="","","C"&amp;TEXT(INT((ROW()-5)/9)+1,"000")&amp;"-3")</f>
        <v/>
      </c>
      <c r="C1540">
        <f>IF(OR(Registro_Compras!$C$174="",Registro_Compras!$O$174="",Registro_Compras!$R$174&lt;&gt;"SI",Registro_Compras!$X$174=""),"","4212")</f>
        <v/>
      </c>
      <c r="D1540">
        <f>IF(OR(Registro_Compras!$C$174="",Registro_Compras!$O$174=""),"","Cuentas por Pagar Comerciales - Terceros")</f>
        <v/>
      </c>
      <c r="E1540" s="20">
        <f>IF($C1540="","",Registro_Compras!$S$174)</f>
        <v/>
      </c>
      <c r="F1540" s="20">
        <f>""</f>
        <v/>
      </c>
      <c r="G1540">
        <f>IF($C1540="","","Por el deposito de la detraccion en el Banco de la Nacion")</f>
        <v/>
      </c>
      <c r="H1540">
        <f>IF($C1540="","",Registro_Compras!$C$174)</f>
        <v/>
      </c>
    </row>
    <row r="1541">
      <c r="A1541" s="25">
        <f>IF($C1541="","",Registro_Compras!$X$174)</f>
        <v/>
      </c>
      <c r="B1541">
        <f>IF($C1541="","","C"&amp;TEXT(INT((ROW()-5)/9)+1,"000")&amp;"-3")</f>
        <v/>
      </c>
      <c r="C1541">
        <f>IF(OR(Registro_Compras!$C$174="",Registro_Compras!$O$174="",Registro_Compras!$R$174&lt;&gt;"SI",Registro_Compras!$X$174=""),"","10413")</f>
        <v/>
      </c>
      <c r="D1541">
        <f>IF(OR(Registro_Compras!$C$174="",Registro_Compras!$O$174=""),"","Efectivo y Equivalentes - Cta. Cte. Operativa")</f>
        <v/>
      </c>
      <c r="E1541" s="20">
        <f>""</f>
        <v/>
      </c>
      <c r="F1541" s="20">
        <f>IF($C1541="","",Registro_Compras!$S$174)</f>
        <v/>
      </c>
      <c r="G1541">
        <f>IF($C1541="","","Por el deposito de la detraccion en el Banco de la Nacion")</f>
        <v/>
      </c>
      <c r="H1541">
        <f>IF($C1541="","",Registro_Compras!$C$174)</f>
        <v/>
      </c>
    </row>
    <row r="1542">
      <c r="A1542" s="25">
        <f>IF($C1542="","",Registro_Compras!$Y$174)</f>
        <v/>
      </c>
      <c r="B1542">
        <f>IF($C1542="","","C"&amp;TEXT(INT((ROW()-5)/9)+1,"000")&amp;"-4")</f>
        <v/>
      </c>
      <c r="C1542">
        <f>IF(OR(Registro_Compras!$C$174="",Registro_Compras!$O$174="",Registro_Compras!$Y$174="",Registro_Compras!$F$174="NOTA DE CREDITO"),"","4212")</f>
        <v/>
      </c>
      <c r="D1542">
        <f>IF(OR(Registro_Compras!$C$174="",Registro_Compras!$O$174=""),"","Cuentas por Pagar Comerciales - Terceros")</f>
        <v/>
      </c>
      <c r="E1542" s="20">
        <f>IF($C1542="","",IF(Registro_Compras!$F$174="RHE",(ROUND(Registro_Compras!$L$174*Registro_Compras!$N$174,2)-ROUND(Registro_Compras!$V$174*Registro_Compras!$N$174,2)),ROUND(Registro_Compras!$O$174-Registro_Compras!$S$174,2)))</f>
        <v/>
      </c>
      <c r="F1542" s="20">
        <f>""</f>
        <v/>
      </c>
      <c r="G1542">
        <f>IF($C1542="","","Por la cancelacion del saldo al proveedor")</f>
        <v/>
      </c>
      <c r="H1542">
        <f>IF($C1542="","",Registro_Compras!$C$174)</f>
        <v/>
      </c>
    </row>
    <row r="1543">
      <c r="A1543" s="25">
        <f>IF($C1543="","",Registro_Compras!$Y$174)</f>
        <v/>
      </c>
      <c r="B1543">
        <f>IF($C1543="","","C"&amp;TEXT(INT((ROW()-5)/9)+1,"000")&amp;"-4")</f>
        <v/>
      </c>
      <c r="C1543">
        <f>IF(OR(Registro_Compras!$C$174="",Registro_Compras!$O$174="",Registro_Compras!$Y$174="",Registro_Compras!$F$174="NOTA DE CREDITO"),"","10413")</f>
        <v/>
      </c>
      <c r="D1543">
        <f>IF(OR(Registro_Compras!$C$174="",Registro_Compras!$O$174=""),"","Efectivo y Equivalentes - Cta. Cte. Operativa")</f>
        <v/>
      </c>
      <c r="E1543" s="20">
        <f>""</f>
        <v/>
      </c>
      <c r="F1543" s="20">
        <f>IF($C1543="","",IF(Registro_Compras!$F$174="RHE",(ROUND(Registro_Compras!$L$174*Registro_Compras!$N$174,2)-ROUND(Registro_Compras!$V$174*Registro_Compras!$N$174,2)),ROUND(Registro_Compras!$O$174-Registro_Compras!$S$174,2)))</f>
        <v/>
      </c>
      <c r="G1543">
        <f>IF($C1543="","","Por la cancelacion del saldo al proveedor")</f>
        <v/>
      </c>
      <c r="H1543">
        <f>IF($C1543="","",Registro_Compras!$C$174)</f>
        <v/>
      </c>
    </row>
    <row r="1544">
      <c r="A1544" s="25">
        <f>IF($C1544="","",Registro_Compras!$B$175)</f>
        <v/>
      </c>
      <c r="B1544">
        <f>IF($C1544="","","C"&amp;TEXT(INT((ROW()-5)/9)+1,"000")&amp;"-1")</f>
        <v/>
      </c>
      <c r="C1544">
        <f>IF(OR(Registro_Compras!$C$175="",Registro_Compras!$O$175=""),"",IF(Registro_Compras!$F$175="NOTA DE CREDITO","4212",IF(Registro_Compras!$M$175="","63",Registro_Compras!$M$175)))</f>
        <v/>
      </c>
      <c r="D1544">
        <f>IF(OR(Registro_Compras!$C$175="",Registro_Compras!$O$175=""),"",IF(Registro_Compras!$F$175="NOTA DE CREDITO","Cuentas por Pagar Comerciales - Terceros (Emitidas)",IF(Registro_Compras!$F$175="RHE","Honorarios Profesionales - Servicios de Terceros","Gastos de Servicios Prestados por Terceros")))</f>
        <v/>
      </c>
      <c r="E1544" s="20">
        <f>IF($C1544="","",IF(Registro_Compras!$F$175="NOTA DE CREDITO",ABS(Registro_Compras!$O$175),IF(Registro_Compras!$F$175="RHE",ROUND(Registro_Compras!$L$175*Registro_Compras!$N$175,2),ROUND(Registro_Compras!$J$175*Registro_Compras!$N$175,2))))</f>
        <v/>
      </c>
      <c r="F1544" s="20">
        <f>""</f>
        <v/>
      </c>
      <c r="G1544">
        <f>IF($C1544="","",IF(Registro_Compras!$F$175="NOTA DE CREDITO","Por la nota de credito "&amp;Registro_Compras!$C$175&amp;" de "&amp;Registro_Compras!$E$175&amp;" [PATRON POR CONFIRMAR CON CONTADOR]",IF(Registro_Compras!$F$175="RHE","Por el registro del recibo por honorarios "&amp;Registro_Compras!$C$175&amp;" de "&amp;Registro_Compras!$E$175&amp;" [PATRON POR CONFIRMAR CON CONTADOR]","Por el registro de la factura "&amp;Registro_Compras!$C$175&amp;" de "&amp;Registro_Compras!$E$175)))</f>
        <v/>
      </c>
      <c r="H1544">
        <f>IF($C1544="","",Registro_Compras!$C$175)</f>
        <v/>
      </c>
    </row>
    <row r="1545">
      <c r="A1545" s="25">
        <f>IF($C1545="","",Registro_Compras!$B$175)</f>
        <v/>
      </c>
      <c r="B1545">
        <f>IF($C1545="","","C"&amp;TEXT(INT((ROW()-5)/9)+1,"000")&amp;"-1")</f>
        <v/>
      </c>
      <c r="C1545">
        <f>IF(OR(Registro_Compras!$C$175="",Registro_Compras!$O$175=""),"",IF(Registro_Compras!$F$175="RHE",IF(Registro_Compras!$V$175=0,"","40172"),IF(Registro_Compras!$F$175="NOTA DE CREDITO",IF(Registro_Compras!$M$175="","63",Registro_Compras!$M$175),IF(Registro_Compras!$K$175=0,"","40111"))))</f>
        <v/>
      </c>
      <c r="D1545">
        <f>IF(OR(Registro_Compras!$C$175="",Registro_Compras!$O$175=""),"",IF(Registro_Compras!$F$175="RHE","Retencion Renta 4ta Categoria por Pagar",IF(Registro_Compras!$F$175="NOTA DE CREDITO","Gastos de Servicios Prestados por Terceros","IGV - Cuenta Propia (Credito Fiscal)")))</f>
        <v/>
      </c>
      <c r="E1545" s="20">
        <f>IF($C1545="","",IF(Registro_Compras!$F$175="FACTURA",ROUND(Registro_Compras!$K$175*Registro_Compras!$N$175,2),""))</f>
        <v/>
      </c>
      <c r="F1545" s="20">
        <f>IF($C1545="","",IF(Registro_Compras!$F$175="RHE",ROUND(Registro_Compras!$V$175*Registro_Compras!$N$175,2),IF(Registro_Compras!$F$175="NOTA DE CREDITO",ROUND(ABS(Registro_Compras!$J$175*Registro_Compras!$N$175),2),"")))</f>
        <v/>
      </c>
      <c r="G1545">
        <f>IF($C1545="","",IF(Registro_Compras!$F$175="NOTA DE CREDITO","Por la nota de credito "&amp;Registro_Compras!$C$175&amp;" de "&amp;Registro_Compras!$E$175&amp;" [PATRON POR CONFIRMAR CON CONTADOR]",IF(Registro_Compras!$F$175="RHE","Por el registro del recibo por honorarios "&amp;Registro_Compras!$C$175&amp;" de "&amp;Registro_Compras!$E$175&amp;" [PATRON POR CONFIRMAR CON CONTADOR]","Por el registro de la factura "&amp;Registro_Compras!$C$175&amp;" de "&amp;Registro_Compras!$E$175)))</f>
        <v/>
      </c>
      <c r="H1545">
        <f>IF($C1545="","",Registro_Compras!$C$175)</f>
        <v/>
      </c>
    </row>
    <row r="1546">
      <c r="A1546" s="25">
        <f>IF($C1546="","",Registro_Compras!$B$175)</f>
        <v/>
      </c>
      <c r="B1546">
        <f>IF($C1546="","","C"&amp;TEXT(INT((ROW()-5)/9)+1,"000")&amp;"-1")</f>
        <v/>
      </c>
      <c r="C1546">
        <f>IF(OR(Registro_Compras!$C$175="",Registro_Compras!$O$175=""),"",IF(Registro_Compras!$F$175="NOTA DE CREDITO",IF(Registro_Compras!$K$175=0,"","40111"),"4212"))</f>
        <v/>
      </c>
      <c r="D1546">
        <f>IF(OR(Registro_Compras!$C$175="",Registro_Compras!$O$175=""),"",IF(Registro_Compras!$F$175="NOTA DE CREDITO","IGV - Cuenta Propia (Credito Fiscal)","Cuentas por Pagar Comerciales - Terceros (Emitidas)"))</f>
        <v/>
      </c>
      <c r="E1546" s="20">
        <f>""</f>
        <v/>
      </c>
      <c r="F1546" s="20">
        <f>IF($C1546="","",IF(Registro_Compras!$F$175="NOTA DE CREDITO",ROUND(ABS(Registro_Compras!$K$175*Registro_Compras!$N$175),2),IF(Registro_Compras!$F$175="RHE",(ROUND(Registro_Compras!$L$175*Registro_Compras!$N$175,2)-ROUND(Registro_Compras!$V$175*Registro_Compras!$N$175,2)),Registro_Compras!$O$175)))</f>
        <v/>
      </c>
      <c r="G1546">
        <f>IF($C1546="","",IF(Registro_Compras!$F$175="NOTA DE CREDITO","Por la nota de credito "&amp;Registro_Compras!$C$175&amp;" de "&amp;Registro_Compras!$E$175&amp;" [PATRON POR CONFIRMAR CON CONTADOR]",IF(Registro_Compras!$F$175="RHE","Por el registro del recibo por honorarios "&amp;Registro_Compras!$C$175&amp;" de "&amp;Registro_Compras!$E$175&amp;" [PATRON POR CONFIRMAR CON CONTADOR]","Por el registro de la factura "&amp;Registro_Compras!$C$175&amp;" de "&amp;Registro_Compras!$E$175)))</f>
        <v/>
      </c>
      <c r="H1546">
        <f>IF($C1546="","",Registro_Compras!$C$175)</f>
        <v/>
      </c>
    </row>
    <row r="1547">
      <c r="A1547" s="25">
        <f>IF($C1547="","",Registro_Compras!$B$175)</f>
        <v/>
      </c>
      <c r="B1547">
        <f>IF($C1547="","","C"&amp;TEXT(INT((ROW()-5)/9)+1,"000")&amp;"-2")</f>
        <v/>
      </c>
      <c r="C1547">
        <f>IF(OR(Registro_Compras!$C$175="",Registro_Compras!$O$175=""),"",IF(Registro_Compras!$AB$175="ADMINISTRATIVO","94","95"))</f>
        <v/>
      </c>
      <c r="D1547">
        <f>IF(OR(Registro_Compras!$C$175="",Registro_Compras!$O$175=""),"",IF(Registro_Compras!$AB$175="ADMINISTRATIVO","Gastos Administrativos","Gastos de Venta y Operacion"))</f>
        <v/>
      </c>
      <c r="E1547" s="20">
        <f>IF($C1547="","",IF(Registro_Compras!$F$175="NOTA DE CREDITO","",IF(Registro_Compras!$F$175="RHE",ROUND(Registro_Compras!$L$175*Registro_Compras!$N$175,2),ROUND(Registro_Compras!$J$175*Registro_Compras!$N$175,2))))</f>
        <v/>
      </c>
      <c r="F1547" s="20">
        <f>IF($C1547="","",IF(Registro_Compras!$F$175="NOTA DE CREDITO",ROUND(ABS(Registro_Compras!$J$175*Registro_Compras!$N$175),2),""))</f>
        <v/>
      </c>
      <c r="G1547">
        <f>IF($C1547="","","Por el destino del gasto")</f>
        <v/>
      </c>
      <c r="H1547">
        <f>IF($C1547="","",Registro_Compras!$C$175)</f>
        <v/>
      </c>
    </row>
    <row r="1548">
      <c r="A1548" s="25">
        <f>IF($C1548="","",Registro_Compras!$B$175)</f>
        <v/>
      </c>
      <c r="B1548">
        <f>IF($C1548="","","C"&amp;TEXT(INT((ROW()-5)/9)+1,"000")&amp;"-2")</f>
        <v/>
      </c>
      <c r="C1548">
        <f>IF(OR(Registro_Compras!$C$175="",Registro_Compras!$O$175=""),"","79/791")</f>
        <v/>
      </c>
      <c r="D1548">
        <f>IF(OR(Registro_Compras!$C$175="",Registro_Compras!$O$175=""),"","Cargas Imputables a Cuentas de Costos y Gastos")</f>
        <v/>
      </c>
      <c r="E1548" s="20">
        <f>IF($C1548="","",IF(Registro_Compras!$F$175="NOTA DE CREDITO",ROUND(ABS(Registro_Compras!$J$175*Registro_Compras!$N$175),2),""))</f>
        <v/>
      </c>
      <c r="F1548" s="20">
        <f>IF($C1548="","",IF(Registro_Compras!$F$175="NOTA DE CREDITO","",IF(Registro_Compras!$F$175="RHE",ROUND(Registro_Compras!$L$175*Registro_Compras!$N$175,2),ROUND(Registro_Compras!$J$175*Registro_Compras!$N$175,2))))</f>
        <v/>
      </c>
      <c r="G1548">
        <f>IF($C1548="","","Por el destino del gasto")</f>
        <v/>
      </c>
      <c r="H1548">
        <f>IF($C1548="","",Registro_Compras!$C$175)</f>
        <v/>
      </c>
    </row>
    <row r="1549">
      <c r="A1549" s="25">
        <f>IF($C1549="","",Registro_Compras!$X$175)</f>
        <v/>
      </c>
      <c r="B1549">
        <f>IF($C1549="","","C"&amp;TEXT(INT((ROW()-5)/9)+1,"000")&amp;"-3")</f>
        <v/>
      </c>
      <c r="C1549">
        <f>IF(OR(Registro_Compras!$C$175="",Registro_Compras!$O$175="",Registro_Compras!$R$175&lt;&gt;"SI",Registro_Compras!$X$175=""),"","4212")</f>
        <v/>
      </c>
      <c r="D1549">
        <f>IF(OR(Registro_Compras!$C$175="",Registro_Compras!$O$175=""),"","Cuentas por Pagar Comerciales - Terceros")</f>
        <v/>
      </c>
      <c r="E1549" s="20">
        <f>IF($C1549="","",Registro_Compras!$S$175)</f>
        <v/>
      </c>
      <c r="F1549" s="20">
        <f>""</f>
        <v/>
      </c>
      <c r="G1549">
        <f>IF($C1549="","","Por el deposito de la detraccion en el Banco de la Nacion")</f>
        <v/>
      </c>
      <c r="H1549">
        <f>IF($C1549="","",Registro_Compras!$C$175)</f>
        <v/>
      </c>
    </row>
    <row r="1550">
      <c r="A1550" s="25">
        <f>IF($C1550="","",Registro_Compras!$X$175)</f>
        <v/>
      </c>
      <c r="B1550">
        <f>IF($C1550="","","C"&amp;TEXT(INT((ROW()-5)/9)+1,"000")&amp;"-3")</f>
        <v/>
      </c>
      <c r="C1550">
        <f>IF(OR(Registro_Compras!$C$175="",Registro_Compras!$O$175="",Registro_Compras!$R$175&lt;&gt;"SI",Registro_Compras!$X$175=""),"","10413")</f>
        <v/>
      </c>
      <c r="D1550">
        <f>IF(OR(Registro_Compras!$C$175="",Registro_Compras!$O$175=""),"","Efectivo y Equivalentes - Cta. Cte. Operativa")</f>
        <v/>
      </c>
      <c r="E1550" s="20">
        <f>""</f>
        <v/>
      </c>
      <c r="F1550" s="20">
        <f>IF($C1550="","",Registro_Compras!$S$175)</f>
        <v/>
      </c>
      <c r="G1550">
        <f>IF($C1550="","","Por el deposito de la detraccion en el Banco de la Nacion")</f>
        <v/>
      </c>
      <c r="H1550">
        <f>IF($C1550="","",Registro_Compras!$C$175)</f>
        <v/>
      </c>
    </row>
    <row r="1551">
      <c r="A1551" s="25">
        <f>IF($C1551="","",Registro_Compras!$Y$175)</f>
        <v/>
      </c>
      <c r="B1551">
        <f>IF($C1551="","","C"&amp;TEXT(INT((ROW()-5)/9)+1,"000")&amp;"-4")</f>
        <v/>
      </c>
      <c r="C1551">
        <f>IF(OR(Registro_Compras!$C$175="",Registro_Compras!$O$175="",Registro_Compras!$Y$175="",Registro_Compras!$F$175="NOTA DE CREDITO"),"","4212")</f>
        <v/>
      </c>
      <c r="D1551">
        <f>IF(OR(Registro_Compras!$C$175="",Registro_Compras!$O$175=""),"","Cuentas por Pagar Comerciales - Terceros")</f>
        <v/>
      </c>
      <c r="E1551" s="20">
        <f>IF($C1551="","",IF(Registro_Compras!$F$175="RHE",(ROUND(Registro_Compras!$L$175*Registro_Compras!$N$175,2)-ROUND(Registro_Compras!$V$175*Registro_Compras!$N$175,2)),ROUND(Registro_Compras!$O$175-Registro_Compras!$S$175,2)))</f>
        <v/>
      </c>
      <c r="F1551" s="20">
        <f>""</f>
        <v/>
      </c>
      <c r="G1551">
        <f>IF($C1551="","","Por la cancelacion del saldo al proveedor")</f>
        <v/>
      </c>
      <c r="H1551">
        <f>IF($C1551="","",Registro_Compras!$C$175)</f>
        <v/>
      </c>
    </row>
    <row r="1552">
      <c r="A1552" s="25">
        <f>IF($C1552="","",Registro_Compras!$Y$175)</f>
        <v/>
      </c>
      <c r="B1552">
        <f>IF($C1552="","","C"&amp;TEXT(INT((ROW()-5)/9)+1,"000")&amp;"-4")</f>
        <v/>
      </c>
      <c r="C1552">
        <f>IF(OR(Registro_Compras!$C$175="",Registro_Compras!$O$175="",Registro_Compras!$Y$175="",Registro_Compras!$F$175="NOTA DE CREDITO"),"","10413")</f>
        <v/>
      </c>
      <c r="D1552">
        <f>IF(OR(Registro_Compras!$C$175="",Registro_Compras!$O$175=""),"","Efectivo y Equivalentes - Cta. Cte. Operativa")</f>
        <v/>
      </c>
      <c r="E1552" s="20">
        <f>""</f>
        <v/>
      </c>
      <c r="F1552" s="20">
        <f>IF($C1552="","",IF(Registro_Compras!$F$175="RHE",(ROUND(Registro_Compras!$L$175*Registro_Compras!$N$175,2)-ROUND(Registro_Compras!$V$175*Registro_Compras!$N$175,2)),ROUND(Registro_Compras!$O$175-Registro_Compras!$S$175,2)))</f>
        <v/>
      </c>
      <c r="G1552">
        <f>IF($C1552="","","Por la cancelacion del saldo al proveedor")</f>
        <v/>
      </c>
      <c r="H1552">
        <f>IF($C1552="","",Registro_Compras!$C$175)</f>
        <v/>
      </c>
    </row>
    <row r="1553">
      <c r="A1553" s="25">
        <f>IF($C1553="","",Registro_Compras!$B$176)</f>
        <v/>
      </c>
      <c r="B1553">
        <f>IF($C1553="","","C"&amp;TEXT(INT((ROW()-5)/9)+1,"000")&amp;"-1")</f>
        <v/>
      </c>
      <c r="C1553">
        <f>IF(OR(Registro_Compras!$C$176="",Registro_Compras!$O$176=""),"",IF(Registro_Compras!$F$176="NOTA DE CREDITO","4212",IF(Registro_Compras!$M$176="","63",Registro_Compras!$M$176)))</f>
        <v/>
      </c>
      <c r="D1553">
        <f>IF(OR(Registro_Compras!$C$176="",Registro_Compras!$O$176=""),"",IF(Registro_Compras!$F$176="NOTA DE CREDITO","Cuentas por Pagar Comerciales - Terceros (Emitidas)",IF(Registro_Compras!$F$176="RHE","Honorarios Profesionales - Servicios de Terceros","Gastos de Servicios Prestados por Terceros")))</f>
        <v/>
      </c>
      <c r="E1553" s="20">
        <f>IF($C1553="","",IF(Registro_Compras!$F$176="NOTA DE CREDITO",ABS(Registro_Compras!$O$176),IF(Registro_Compras!$F$176="RHE",ROUND(Registro_Compras!$L$176*Registro_Compras!$N$176,2),ROUND(Registro_Compras!$J$176*Registro_Compras!$N$176,2))))</f>
        <v/>
      </c>
      <c r="F1553" s="20">
        <f>""</f>
        <v/>
      </c>
      <c r="G1553">
        <f>IF($C1553="","",IF(Registro_Compras!$F$176="NOTA DE CREDITO","Por la nota de credito "&amp;Registro_Compras!$C$176&amp;" de "&amp;Registro_Compras!$E$176&amp;" [PATRON POR CONFIRMAR CON CONTADOR]",IF(Registro_Compras!$F$176="RHE","Por el registro del recibo por honorarios "&amp;Registro_Compras!$C$176&amp;" de "&amp;Registro_Compras!$E$176&amp;" [PATRON POR CONFIRMAR CON CONTADOR]","Por el registro de la factura "&amp;Registro_Compras!$C$176&amp;" de "&amp;Registro_Compras!$E$176)))</f>
        <v/>
      </c>
      <c r="H1553">
        <f>IF($C1553="","",Registro_Compras!$C$176)</f>
        <v/>
      </c>
    </row>
    <row r="1554">
      <c r="A1554" s="25">
        <f>IF($C1554="","",Registro_Compras!$B$176)</f>
        <v/>
      </c>
      <c r="B1554">
        <f>IF($C1554="","","C"&amp;TEXT(INT((ROW()-5)/9)+1,"000")&amp;"-1")</f>
        <v/>
      </c>
      <c r="C1554">
        <f>IF(OR(Registro_Compras!$C$176="",Registro_Compras!$O$176=""),"",IF(Registro_Compras!$F$176="RHE",IF(Registro_Compras!$V$176=0,"","40172"),IF(Registro_Compras!$F$176="NOTA DE CREDITO",IF(Registro_Compras!$M$176="","63",Registro_Compras!$M$176),IF(Registro_Compras!$K$176=0,"","40111"))))</f>
        <v/>
      </c>
      <c r="D1554">
        <f>IF(OR(Registro_Compras!$C$176="",Registro_Compras!$O$176=""),"",IF(Registro_Compras!$F$176="RHE","Retencion Renta 4ta Categoria por Pagar",IF(Registro_Compras!$F$176="NOTA DE CREDITO","Gastos de Servicios Prestados por Terceros","IGV - Cuenta Propia (Credito Fiscal)")))</f>
        <v/>
      </c>
      <c r="E1554" s="20">
        <f>IF($C1554="","",IF(Registro_Compras!$F$176="FACTURA",ROUND(Registro_Compras!$K$176*Registro_Compras!$N$176,2),""))</f>
        <v/>
      </c>
      <c r="F1554" s="20">
        <f>IF($C1554="","",IF(Registro_Compras!$F$176="RHE",ROUND(Registro_Compras!$V$176*Registro_Compras!$N$176,2),IF(Registro_Compras!$F$176="NOTA DE CREDITO",ROUND(ABS(Registro_Compras!$J$176*Registro_Compras!$N$176),2),"")))</f>
        <v/>
      </c>
      <c r="G1554">
        <f>IF($C1554="","",IF(Registro_Compras!$F$176="NOTA DE CREDITO","Por la nota de credito "&amp;Registro_Compras!$C$176&amp;" de "&amp;Registro_Compras!$E$176&amp;" [PATRON POR CONFIRMAR CON CONTADOR]",IF(Registro_Compras!$F$176="RHE","Por el registro del recibo por honorarios "&amp;Registro_Compras!$C$176&amp;" de "&amp;Registro_Compras!$E$176&amp;" [PATRON POR CONFIRMAR CON CONTADOR]","Por el registro de la factura "&amp;Registro_Compras!$C$176&amp;" de "&amp;Registro_Compras!$E$176)))</f>
        <v/>
      </c>
      <c r="H1554">
        <f>IF($C1554="","",Registro_Compras!$C$176)</f>
        <v/>
      </c>
    </row>
    <row r="1555">
      <c r="A1555" s="25">
        <f>IF($C1555="","",Registro_Compras!$B$176)</f>
        <v/>
      </c>
      <c r="B1555">
        <f>IF($C1555="","","C"&amp;TEXT(INT((ROW()-5)/9)+1,"000")&amp;"-1")</f>
        <v/>
      </c>
      <c r="C1555">
        <f>IF(OR(Registro_Compras!$C$176="",Registro_Compras!$O$176=""),"",IF(Registro_Compras!$F$176="NOTA DE CREDITO",IF(Registro_Compras!$K$176=0,"","40111"),"4212"))</f>
        <v/>
      </c>
      <c r="D1555">
        <f>IF(OR(Registro_Compras!$C$176="",Registro_Compras!$O$176=""),"",IF(Registro_Compras!$F$176="NOTA DE CREDITO","IGV - Cuenta Propia (Credito Fiscal)","Cuentas por Pagar Comerciales - Terceros (Emitidas)"))</f>
        <v/>
      </c>
      <c r="E1555" s="20">
        <f>""</f>
        <v/>
      </c>
      <c r="F1555" s="20">
        <f>IF($C1555="","",IF(Registro_Compras!$F$176="NOTA DE CREDITO",ROUND(ABS(Registro_Compras!$K$176*Registro_Compras!$N$176),2),IF(Registro_Compras!$F$176="RHE",(ROUND(Registro_Compras!$L$176*Registro_Compras!$N$176,2)-ROUND(Registro_Compras!$V$176*Registro_Compras!$N$176,2)),Registro_Compras!$O$176)))</f>
        <v/>
      </c>
      <c r="G1555">
        <f>IF($C1555="","",IF(Registro_Compras!$F$176="NOTA DE CREDITO","Por la nota de credito "&amp;Registro_Compras!$C$176&amp;" de "&amp;Registro_Compras!$E$176&amp;" [PATRON POR CONFIRMAR CON CONTADOR]",IF(Registro_Compras!$F$176="RHE","Por el registro del recibo por honorarios "&amp;Registro_Compras!$C$176&amp;" de "&amp;Registro_Compras!$E$176&amp;" [PATRON POR CONFIRMAR CON CONTADOR]","Por el registro de la factura "&amp;Registro_Compras!$C$176&amp;" de "&amp;Registro_Compras!$E$176)))</f>
        <v/>
      </c>
      <c r="H1555">
        <f>IF($C1555="","",Registro_Compras!$C$176)</f>
        <v/>
      </c>
    </row>
    <row r="1556">
      <c r="A1556" s="25">
        <f>IF($C1556="","",Registro_Compras!$B$176)</f>
        <v/>
      </c>
      <c r="B1556">
        <f>IF($C1556="","","C"&amp;TEXT(INT((ROW()-5)/9)+1,"000")&amp;"-2")</f>
        <v/>
      </c>
      <c r="C1556">
        <f>IF(OR(Registro_Compras!$C$176="",Registro_Compras!$O$176=""),"",IF(Registro_Compras!$AB$176="ADMINISTRATIVO","94","95"))</f>
        <v/>
      </c>
      <c r="D1556">
        <f>IF(OR(Registro_Compras!$C$176="",Registro_Compras!$O$176=""),"",IF(Registro_Compras!$AB$176="ADMINISTRATIVO","Gastos Administrativos","Gastos de Venta y Operacion"))</f>
        <v/>
      </c>
      <c r="E1556" s="20">
        <f>IF($C1556="","",IF(Registro_Compras!$F$176="NOTA DE CREDITO","",IF(Registro_Compras!$F$176="RHE",ROUND(Registro_Compras!$L$176*Registro_Compras!$N$176,2),ROUND(Registro_Compras!$J$176*Registro_Compras!$N$176,2))))</f>
        <v/>
      </c>
      <c r="F1556" s="20">
        <f>IF($C1556="","",IF(Registro_Compras!$F$176="NOTA DE CREDITO",ROUND(ABS(Registro_Compras!$J$176*Registro_Compras!$N$176),2),""))</f>
        <v/>
      </c>
      <c r="G1556">
        <f>IF($C1556="","","Por el destino del gasto")</f>
        <v/>
      </c>
      <c r="H1556">
        <f>IF($C1556="","",Registro_Compras!$C$176)</f>
        <v/>
      </c>
    </row>
    <row r="1557">
      <c r="A1557" s="25">
        <f>IF($C1557="","",Registro_Compras!$B$176)</f>
        <v/>
      </c>
      <c r="B1557">
        <f>IF($C1557="","","C"&amp;TEXT(INT((ROW()-5)/9)+1,"000")&amp;"-2")</f>
        <v/>
      </c>
      <c r="C1557">
        <f>IF(OR(Registro_Compras!$C$176="",Registro_Compras!$O$176=""),"","79/791")</f>
        <v/>
      </c>
      <c r="D1557">
        <f>IF(OR(Registro_Compras!$C$176="",Registro_Compras!$O$176=""),"","Cargas Imputables a Cuentas de Costos y Gastos")</f>
        <v/>
      </c>
      <c r="E1557" s="20">
        <f>IF($C1557="","",IF(Registro_Compras!$F$176="NOTA DE CREDITO",ROUND(ABS(Registro_Compras!$J$176*Registro_Compras!$N$176),2),""))</f>
        <v/>
      </c>
      <c r="F1557" s="20">
        <f>IF($C1557="","",IF(Registro_Compras!$F$176="NOTA DE CREDITO","",IF(Registro_Compras!$F$176="RHE",ROUND(Registro_Compras!$L$176*Registro_Compras!$N$176,2),ROUND(Registro_Compras!$J$176*Registro_Compras!$N$176,2))))</f>
        <v/>
      </c>
      <c r="G1557">
        <f>IF($C1557="","","Por el destino del gasto")</f>
        <v/>
      </c>
      <c r="H1557">
        <f>IF($C1557="","",Registro_Compras!$C$176)</f>
        <v/>
      </c>
    </row>
    <row r="1558">
      <c r="A1558" s="25">
        <f>IF($C1558="","",Registro_Compras!$X$176)</f>
        <v/>
      </c>
      <c r="B1558">
        <f>IF($C1558="","","C"&amp;TEXT(INT((ROW()-5)/9)+1,"000")&amp;"-3")</f>
        <v/>
      </c>
      <c r="C1558">
        <f>IF(OR(Registro_Compras!$C$176="",Registro_Compras!$O$176="",Registro_Compras!$R$176&lt;&gt;"SI",Registro_Compras!$X$176=""),"","4212")</f>
        <v/>
      </c>
      <c r="D1558">
        <f>IF(OR(Registro_Compras!$C$176="",Registro_Compras!$O$176=""),"","Cuentas por Pagar Comerciales - Terceros")</f>
        <v/>
      </c>
      <c r="E1558" s="20">
        <f>IF($C1558="","",Registro_Compras!$S$176)</f>
        <v/>
      </c>
      <c r="F1558" s="20">
        <f>""</f>
        <v/>
      </c>
      <c r="G1558">
        <f>IF($C1558="","","Por el deposito de la detraccion en el Banco de la Nacion")</f>
        <v/>
      </c>
      <c r="H1558">
        <f>IF($C1558="","",Registro_Compras!$C$176)</f>
        <v/>
      </c>
    </row>
    <row r="1559">
      <c r="A1559" s="25">
        <f>IF($C1559="","",Registro_Compras!$X$176)</f>
        <v/>
      </c>
      <c r="B1559">
        <f>IF($C1559="","","C"&amp;TEXT(INT((ROW()-5)/9)+1,"000")&amp;"-3")</f>
        <v/>
      </c>
      <c r="C1559">
        <f>IF(OR(Registro_Compras!$C$176="",Registro_Compras!$O$176="",Registro_Compras!$R$176&lt;&gt;"SI",Registro_Compras!$X$176=""),"","10413")</f>
        <v/>
      </c>
      <c r="D1559">
        <f>IF(OR(Registro_Compras!$C$176="",Registro_Compras!$O$176=""),"","Efectivo y Equivalentes - Cta. Cte. Operativa")</f>
        <v/>
      </c>
      <c r="E1559" s="20">
        <f>""</f>
        <v/>
      </c>
      <c r="F1559" s="20">
        <f>IF($C1559="","",Registro_Compras!$S$176)</f>
        <v/>
      </c>
      <c r="G1559">
        <f>IF($C1559="","","Por el deposito de la detraccion en el Banco de la Nacion")</f>
        <v/>
      </c>
      <c r="H1559">
        <f>IF($C1559="","",Registro_Compras!$C$176)</f>
        <v/>
      </c>
    </row>
    <row r="1560">
      <c r="A1560" s="25">
        <f>IF($C1560="","",Registro_Compras!$Y$176)</f>
        <v/>
      </c>
      <c r="B1560">
        <f>IF($C1560="","","C"&amp;TEXT(INT((ROW()-5)/9)+1,"000")&amp;"-4")</f>
        <v/>
      </c>
      <c r="C1560">
        <f>IF(OR(Registro_Compras!$C$176="",Registro_Compras!$O$176="",Registro_Compras!$Y$176="",Registro_Compras!$F$176="NOTA DE CREDITO"),"","4212")</f>
        <v/>
      </c>
      <c r="D1560">
        <f>IF(OR(Registro_Compras!$C$176="",Registro_Compras!$O$176=""),"","Cuentas por Pagar Comerciales - Terceros")</f>
        <v/>
      </c>
      <c r="E1560" s="20">
        <f>IF($C1560="","",IF(Registro_Compras!$F$176="RHE",(ROUND(Registro_Compras!$L$176*Registro_Compras!$N$176,2)-ROUND(Registro_Compras!$V$176*Registro_Compras!$N$176,2)),ROUND(Registro_Compras!$O$176-Registro_Compras!$S$176,2)))</f>
        <v/>
      </c>
      <c r="F1560" s="20">
        <f>""</f>
        <v/>
      </c>
      <c r="G1560">
        <f>IF($C1560="","","Por la cancelacion del saldo al proveedor")</f>
        <v/>
      </c>
      <c r="H1560">
        <f>IF($C1560="","",Registro_Compras!$C$176)</f>
        <v/>
      </c>
    </row>
    <row r="1561">
      <c r="A1561" s="25">
        <f>IF($C1561="","",Registro_Compras!$Y$176)</f>
        <v/>
      </c>
      <c r="B1561">
        <f>IF($C1561="","","C"&amp;TEXT(INT((ROW()-5)/9)+1,"000")&amp;"-4")</f>
        <v/>
      </c>
      <c r="C1561">
        <f>IF(OR(Registro_Compras!$C$176="",Registro_Compras!$O$176="",Registro_Compras!$Y$176="",Registro_Compras!$F$176="NOTA DE CREDITO"),"","10413")</f>
        <v/>
      </c>
      <c r="D1561">
        <f>IF(OR(Registro_Compras!$C$176="",Registro_Compras!$O$176=""),"","Efectivo y Equivalentes - Cta. Cte. Operativa")</f>
        <v/>
      </c>
      <c r="E1561" s="20">
        <f>""</f>
        <v/>
      </c>
      <c r="F1561" s="20">
        <f>IF($C1561="","",IF(Registro_Compras!$F$176="RHE",(ROUND(Registro_Compras!$L$176*Registro_Compras!$N$176,2)-ROUND(Registro_Compras!$V$176*Registro_Compras!$N$176,2)),ROUND(Registro_Compras!$O$176-Registro_Compras!$S$176,2)))</f>
        <v/>
      </c>
      <c r="G1561">
        <f>IF($C1561="","","Por la cancelacion del saldo al proveedor")</f>
        <v/>
      </c>
      <c r="H1561">
        <f>IF($C1561="","",Registro_Compras!$C$176)</f>
        <v/>
      </c>
    </row>
    <row r="1562">
      <c r="A1562" s="25">
        <f>IF($C1562="","",Registro_Compras!$B$177)</f>
        <v/>
      </c>
      <c r="B1562">
        <f>IF($C1562="","","C"&amp;TEXT(INT((ROW()-5)/9)+1,"000")&amp;"-1")</f>
        <v/>
      </c>
      <c r="C1562">
        <f>IF(OR(Registro_Compras!$C$177="",Registro_Compras!$O$177=""),"",IF(Registro_Compras!$F$177="NOTA DE CREDITO","4212",IF(Registro_Compras!$M$177="","63",Registro_Compras!$M$177)))</f>
        <v/>
      </c>
      <c r="D1562">
        <f>IF(OR(Registro_Compras!$C$177="",Registro_Compras!$O$177=""),"",IF(Registro_Compras!$F$177="NOTA DE CREDITO","Cuentas por Pagar Comerciales - Terceros (Emitidas)",IF(Registro_Compras!$F$177="RHE","Honorarios Profesionales - Servicios de Terceros","Gastos de Servicios Prestados por Terceros")))</f>
        <v/>
      </c>
      <c r="E1562" s="20">
        <f>IF($C1562="","",IF(Registro_Compras!$F$177="NOTA DE CREDITO",ABS(Registro_Compras!$O$177),IF(Registro_Compras!$F$177="RHE",ROUND(Registro_Compras!$L$177*Registro_Compras!$N$177,2),ROUND(Registro_Compras!$J$177*Registro_Compras!$N$177,2))))</f>
        <v/>
      </c>
      <c r="F1562" s="20">
        <f>""</f>
        <v/>
      </c>
      <c r="G1562">
        <f>IF($C1562="","",IF(Registro_Compras!$F$177="NOTA DE CREDITO","Por la nota de credito "&amp;Registro_Compras!$C$177&amp;" de "&amp;Registro_Compras!$E$177&amp;" [PATRON POR CONFIRMAR CON CONTADOR]",IF(Registro_Compras!$F$177="RHE","Por el registro del recibo por honorarios "&amp;Registro_Compras!$C$177&amp;" de "&amp;Registro_Compras!$E$177&amp;" [PATRON POR CONFIRMAR CON CONTADOR]","Por el registro de la factura "&amp;Registro_Compras!$C$177&amp;" de "&amp;Registro_Compras!$E$177)))</f>
        <v/>
      </c>
      <c r="H1562">
        <f>IF($C1562="","",Registro_Compras!$C$177)</f>
        <v/>
      </c>
    </row>
    <row r="1563">
      <c r="A1563" s="25">
        <f>IF($C1563="","",Registro_Compras!$B$177)</f>
        <v/>
      </c>
      <c r="B1563">
        <f>IF($C1563="","","C"&amp;TEXT(INT((ROW()-5)/9)+1,"000")&amp;"-1")</f>
        <v/>
      </c>
      <c r="C1563">
        <f>IF(OR(Registro_Compras!$C$177="",Registro_Compras!$O$177=""),"",IF(Registro_Compras!$F$177="RHE",IF(Registro_Compras!$V$177=0,"","40172"),IF(Registro_Compras!$F$177="NOTA DE CREDITO",IF(Registro_Compras!$M$177="","63",Registro_Compras!$M$177),IF(Registro_Compras!$K$177=0,"","40111"))))</f>
        <v/>
      </c>
      <c r="D1563">
        <f>IF(OR(Registro_Compras!$C$177="",Registro_Compras!$O$177=""),"",IF(Registro_Compras!$F$177="RHE","Retencion Renta 4ta Categoria por Pagar",IF(Registro_Compras!$F$177="NOTA DE CREDITO","Gastos de Servicios Prestados por Terceros","IGV - Cuenta Propia (Credito Fiscal)")))</f>
        <v/>
      </c>
      <c r="E1563" s="20">
        <f>IF($C1563="","",IF(Registro_Compras!$F$177="FACTURA",ROUND(Registro_Compras!$K$177*Registro_Compras!$N$177,2),""))</f>
        <v/>
      </c>
      <c r="F1563" s="20">
        <f>IF($C1563="","",IF(Registro_Compras!$F$177="RHE",ROUND(Registro_Compras!$V$177*Registro_Compras!$N$177,2),IF(Registro_Compras!$F$177="NOTA DE CREDITO",ROUND(ABS(Registro_Compras!$J$177*Registro_Compras!$N$177),2),"")))</f>
        <v/>
      </c>
      <c r="G1563">
        <f>IF($C1563="","",IF(Registro_Compras!$F$177="NOTA DE CREDITO","Por la nota de credito "&amp;Registro_Compras!$C$177&amp;" de "&amp;Registro_Compras!$E$177&amp;" [PATRON POR CONFIRMAR CON CONTADOR]",IF(Registro_Compras!$F$177="RHE","Por el registro del recibo por honorarios "&amp;Registro_Compras!$C$177&amp;" de "&amp;Registro_Compras!$E$177&amp;" [PATRON POR CONFIRMAR CON CONTADOR]","Por el registro de la factura "&amp;Registro_Compras!$C$177&amp;" de "&amp;Registro_Compras!$E$177)))</f>
        <v/>
      </c>
      <c r="H1563">
        <f>IF($C1563="","",Registro_Compras!$C$177)</f>
        <v/>
      </c>
    </row>
    <row r="1564">
      <c r="A1564" s="25">
        <f>IF($C1564="","",Registro_Compras!$B$177)</f>
        <v/>
      </c>
      <c r="B1564">
        <f>IF($C1564="","","C"&amp;TEXT(INT((ROW()-5)/9)+1,"000")&amp;"-1")</f>
        <v/>
      </c>
      <c r="C1564">
        <f>IF(OR(Registro_Compras!$C$177="",Registro_Compras!$O$177=""),"",IF(Registro_Compras!$F$177="NOTA DE CREDITO",IF(Registro_Compras!$K$177=0,"","40111"),"4212"))</f>
        <v/>
      </c>
      <c r="D1564">
        <f>IF(OR(Registro_Compras!$C$177="",Registro_Compras!$O$177=""),"",IF(Registro_Compras!$F$177="NOTA DE CREDITO","IGV - Cuenta Propia (Credito Fiscal)","Cuentas por Pagar Comerciales - Terceros (Emitidas)"))</f>
        <v/>
      </c>
      <c r="E1564" s="20">
        <f>""</f>
        <v/>
      </c>
      <c r="F1564" s="20">
        <f>IF($C1564="","",IF(Registro_Compras!$F$177="NOTA DE CREDITO",ROUND(ABS(Registro_Compras!$K$177*Registro_Compras!$N$177),2),IF(Registro_Compras!$F$177="RHE",(ROUND(Registro_Compras!$L$177*Registro_Compras!$N$177,2)-ROUND(Registro_Compras!$V$177*Registro_Compras!$N$177,2)),Registro_Compras!$O$177)))</f>
        <v/>
      </c>
      <c r="G1564">
        <f>IF($C1564="","",IF(Registro_Compras!$F$177="NOTA DE CREDITO","Por la nota de credito "&amp;Registro_Compras!$C$177&amp;" de "&amp;Registro_Compras!$E$177&amp;" [PATRON POR CONFIRMAR CON CONTADOR]",IF(Registro_Compras!$F$177="RHE","Por el registro del recibo por honorarios "&amp;Registro_Compras!$C$177&amp;" de "&amp;Registro_Compras!$E$177&amp;" [PATRON POR CONFIRMAR CON CONTADOR]","Por el registro de la factura "&amp;Registro_Compras!$C$177&amp;" de "&amp;Registro_Compras!$E$177)))</f>
        <v/>
      </c>
      <c r="H1564">
        <f>IF($C1564="","",Registro_Compras!$C$177)</f>
        <v/>
      </c>
    </row>
    <row r="1565">
      <c r="A1565" s="25">
        <f>IF($C1565="","",Registro_Compras!$B$177)</f>
        <v/>
      </c>
      <c r="B1565">
        <f>IF($C1565="","","C"&amp;TEXT(INT((ROW()-5)/9)+1,"000")&amp;"-2")</f>
        <v/>
      </c>
      <c r="C1565">
        <f>IF(OR(Registro_Compras!$C$177="",Registro_Compras!$O$177=""),"",IF(Registro_Compras!$AB$177="ADMINISTRATIVO","94","95"))</f>
        <v/>
      </c>
      <c r="D1565">
        <f>IF(OR(Registro_Compras!$C$177="",Registro_Compras!$O$177=""),"",IF(Registro_Compras!$AB$177="ADMINISTRATIVO","Gastos Administrativos","Gastos de Venta y Operacion"))</f>
        <v/>
      </c>
      <c r="E1565" s="20">
        <f>IF($C1565="","",IF(Registro_Compras!$F$177="NOTA DE CREDITO","",IF(Registro_Compras!$F$177="RHE",ROUND(Registro_Compras!$L$177*Registro_Compras!$N$177,2),ROUND(Registro_Compras!$J$177*Registro_Compras!$N$177,2))))</f>
        <v/>
      </c>
      <c r="F1565" s="20">
        <f>IF($C1565="","",IF(Registro_Compras!$F$177="NOTA DE CREDITO",ROUND(ABS(Registro_Compras!$J$177*Registro_Compras!$N$177),2),""))</f>
        <v/>
      </c>
      <c r="G1565">
        <f>IF($C1565="","","Por el destino del gasto")</f>
        <v/>
      </c>
      <c r="H1565">
        <f>IF($C1565="","",Registro_Compras!$C$177)</f>
        <v/>
      </c>
    </row>
    <row r="1566">
      <c r="A1566" s="25">
        <f>IF($C1566="","",Registro_Compras!$B$177)</f>
        <v/>
      </c>
      <c r="B1566">
        <f>IF($C1566="","","C"&amp;TEXT(INT((ROW()-5)/9)+1,"000")&amp;"-2")</f>
        <v/>
      </c>
      <c r="C1566">
        <f>IF(OR(Registro_Compras!$C$177="",Registro_Compras!$O$177=""),"","79/791")</f>
        <v/>
      </c>
      <c r="D1566">
        <f>IF(OR(Registro_Compras!$C$177="",Registro_Compras!$O$177=""),"","Cargas Imputables a Cuentas de Costos y Gastos")</f>
        <v/>
      </c>
      <c r="E1566" s="20">
        <f>IF($C1566="","",IF(Registro_Compras!$F$177="NOTA DE CREDITO",ROUND(ABS(Registro_Compras!$J$177*Registro_Compras!$N$177),2),""))</f>
        <v/>
      </c>
      <c r="F1566" s="20">
        <f>IF($C1566="","",IF(Registro_Compras!$F$177="NOTA DE CREDITO","",IF(Registro_Compras!$F$177="RHE",ROUND(Registro_Compras!$L$177*Registro_Compras!$N$177,2),ROUND(Registro_Compras!$J$177*Registro_Compras!$N$177,2))))</f>
        <v/>
      </c>
      <c r="G1566">
        <f>IF($C1566="","","Por el destino del gasto")</f>
        <v/>
      </c>
      <c r="H1566">
        <f>IF($C1566="","",Registro_Compras!$C$177)</f>
        <v/>
      </c>
    </row>
    <row r="1567">
      <c r="A1567" s="25">
        <f>IF($C1567="","",Registro_Compras!$X$177)</f>
        <v/>
      </c>
      <c r="B1567">
        <f>IF($C1567="","","C"&amp;TEXT(INT((ROW()-5)/9)+1,"000")&amp;"-3")</f>
        <v/>
      </c>
      <c r="C1567">
        <f>IF(OR(Registro_Compras!$C$177="",Registro_Compras!$O$177="",Registro_Compras!$R$177&lt;&gt;"SI",Registro_Compras!$X$177=""),"","4212")</f>
        <v/>
      </c>
      <c r="D1567">
        <f>IF(OR(Registro_Compras!$C$177="",Registro_Compras!$O$177=""),"","Cuentas por Pagar Comerciales - Terceros")</f>
        <v/>
      </c>
      <c r="E1567" s="20">
        <f>IF($C1567="","",Registro_Compras!$S$177)</f>
        <v/>
      </c>
      <c r="F1567" s="20">
        <f>""</f>
        <v/>
      </c>
      <c r="G1567">
        <f>IF($C1567="","","Por el deposito de la detraccion en el Banco de la Nacion")</f>
        <v/>
      </c>
      <c r="H1567">
        <f>IF($C1567="","",Registro_Compras!$C$177)</f>
        <v/>
      </c>
    </row>
    <row r="1568">
      <c r="A1568" s="25">
        <f>IF($C1568="","",Registro_Compras!$X$177)</f>
        <v/>
      </c>
      <c r="B1568">
        <f>IF($C1568="","","C"&amp;TEXT(INT((ROW()-5)/9)+1,"000")&amp;"-3")</f>
        <v/>
      </c>
      <c r="C1568">
        <f>IF(OR(Registro_Compras!$C$177="",Registro_Compras!$O$177="",Registro_Compras!$R$177&lt;&gt;"SI",Registro_Compras!$X$177=""),"","10413")</f>
        <v/>
      </c>
      <c r="D1568">
        <f>IF(OR(Registro_Compras!$C$177="",Registro_Compras!$O$177=""),"","Efectivo y Equivalentes - Cta. Cte. Operativa")</f>
        <v/>
      </c>
      <c r="E1568" s="20">
        <f>""</f>
        <v/>
      </c>
      <c r="F1568" s="20">
        <f>IF($C1568="","",Registro_Compras!$S$177)</f>
        <v/>
      </c>
      <c r="G1568">
        <f>IF($C1568="","","Por el deposito de la detraccion en el Banco de la Nacion")</f>
        <v/>
      </c>
      <c r="H1568">
        <f>IF($C1568="","",Registro_Compras!$C$177)</f>
        <v/>
      </c>
    </row>
    <row r="1569">
      <c r="A1569" s="25">
        <f>IF($C1569="","",Registro_Compras!$Y$177)</f>
        <v/>
      </c>
      <c r="B1569">
        <f>IF($C1569="","","C"&amp;TEXT(INT((ROW()-5)/9)+1,"000")&amp;"-4")</f>
        <v/>
      </c>
      <c r="C1569">
        <f>IF(OR(Registro_Compras!$C$177="",Registro_Compras!$O$177="",Registro_Compras!$Y$177="",Registro_Compras!$F$177="NOTA DE CREDITO"),"","4212")</f>
        <v/>
      </c>
      <c r="D1569">
        <f>IF(OR(Registro_Compras!$C$177="",Registro_Compras!$O$177=""),"","Cuentas por Pagar Comerciales - Terceros")</f>
        <v/>
      </c>
      <c r="E1569" s="20">
        <f>IF($C1569="","",IF(Registro_Compras!$F$177="RHE",(ROUND(Registro_Compras!$L$177*Registro_Compras!$N$177,2)-ROUND(Registro_Compras!$V$177*Registro_Compras!$N$177,2)),ROUND(Registro_Compras!$O$177-Registro_Compras!$S$177,2)))</f>
        <v/>
      </c>
      <c r="F1569" s="20">
        <f>""</f>
        <v/>
      </c>
      <c r="G1569">
        <f>IF($C1569="","","Por la cancelacion del saldo al proveedor")</f>
        <v/>
      </c>
      <c r="H1569">
        <f>IF($C1569="","",Registro_Compras!$C$177)</f>
        <v/>
      </c>
    </row>
    <row r="1570">
      <c r="A1570" s="25">
        <f>IF($C1570="","",Registro_Compras!$Y$177)</f>
        <v/>
      </c>
      <c r="B1570">
        <f>IF($C1570="","","C"&amp;TEXT(INT((ROW()-5)/9)+1,"000")&amp;"-4")</f>
        <v/>
      </c>
      <c r="C1570">
        <f>IF(OR(Registro_Compras!$C$177="",Registro_Compras!$O$177="",Registro_Compras!$Y$177="",Registro_Compras!$F$177="NOTA DE CREDITO"),"","10413")</f>
        <v/>
      </c>
      <c r="D1570">
        <f>IF(OR(Registro_Compras!$C$177="",Registro_Compras!$O$177=""),"","Efectivo y Equivalentes - Cta. Cte. Operativa")</f>
        <v/>
      </c>
      <c r="E1570" s="20">
        <f>""</f>
        <v/>
      </c>
      <c r="F1570" s="20">
        <f>IF($C1570="","",IF(Registro_Compras!$F$177="RHE",(ROUND(Registro_Compras!$L$177*Registro_Compras!$N$177,2)-ROUND(Registro_Compras!$V$177*Registro_Compras!$N$177,2)),ROUND(Registro_Compras!$O$177-Registro_Compras!$S$177,2)))</f>
        <v/>
      </c>
      <c r="G1570">
        <f>IF($C1570="","","Por la cancelacion del saldo al proveedor")</f>
        <v/>
      </c>
      <c r="H1570">
        <f>IF($C1570="","",Registro_Compras!$C$177)</f>
        <v/>
      </c>
    </row>
    <row r="1571">
      <c r="A1571" s="25">
        <f>IF($C1571="","",Registro_Compras!$B$178)</f>
        <v/>
      </c>
      <c r="B1571">
        <f>IF($C1571="","","C"&amp;TEXT(INT((ROW()-5)/9)+1,"000")&amp;"-1")</f>
        <v/>
      </c>
      <c r="C1571">
        <f>IF(OR(Registro_Compras!$C$178="",Registro_Compras!$O$178=""),"",IF(Registro_Compras!$F$178="NOTA DE CREDITO","4212",IF(Registro_Compras!$M$178="","63",Registro_Compras!$M$178)))</f>
        <v/>
      </c>
      <c r="D1571">
        <f>IF(OR(Registro_Compras!$C$178="",Registro_Compras!$O$178=""),"",IF(Registro_Compras!$F$178="NOTA DE CREDITO","Cuentas por Pagar Comerciales - Terceros (Emitidas)",IF(Registro_Compras!$F$178="RHE","Honorarios Profesionales - Servicios de Terceros","Gastos de Servicios Prestados por Terceros")))</f>
        <v/>
      </c>
      <c r="E1571" s="20">
        <f>IF($C1571="","",IF(Registro_Compras!$F$178="NOTA DE CREDITO",ABS(Registro_Compras!$O$178),IF(Registro_Compras!$F$178="RHE",ROUND(Registro_Compras!$L$178*Registro_Compras!$N$178,2),ROUND(Registro_Compras!$J$178*Registro_Compras!$N$178,2))))</f>
        <v/>
      </c>
      <c r="F1571" s="20">
        <f>""</f>
        <v/>
      </c>
      <c r="G1571">
        <f>IF($C1571="","",IF(Registro_Compras!$F$178="NOTA DE CREDITO","Por la nota de credito "&amp;Registro_Compras!$C$178&amp;" de "&amp;Registro_Compras!$E$178&amp;" [PATRON POR CONFIRMAR CON CONTADOR]",IF(Registro_Compras!$F$178="RHE","Por el registro del recibo por honorarios "&amp;Registro_Compras!$C$178&amp;" de "&amp;Registro_Compras!$E$178&amp;" [PATRON POR CONFIRMAR CON CONTADOR]","Por el registro de la factura "&amp;Registro_Compras!$C$178&amp;" de "&amp;Registro_Compras!$E$178)))</f>
        <v/>
      </c>
      <c r="H1571">
        <f>IF($C1571="","",Registro_Compras!$C$178)</f>
        <v/>
      </c>
    </row>
    <row r="1572">
      <c r="A1572" s="25">
        <f>IF($C1572="","",Registro_Compras!$B$178)</f>
        <v/>
      </c>
      <c r="B1572">
        <f>IF($C1572="","","C"&amp;TEXT(INT((ROW()-5)/9)+1,"000")&amp;"-1")</f>
        <v/>
      </c>
      <c r="C1572">
        <f>IF(OR(Registro_Compras!$C$178="",Registro_Compras!$O$178=""),"",IF(Registro_Compras!$F$178="RHE",IF(Registro_Compras!$V$178=0,"","40172"),IF(Registro_Compras!$F$178="NOTA DE CREDITO",IF(Registro_Compras!$M$178="","63",Registro_Compras!$M$178),IF(Registro_Compras!$K$178=0,"","40111"))))</f>
        <v/>
      </c>
      <c r="D1572">
        <f>IF(OR(Registro_Compras!$C$178="",Registro_Compras!$O$178=""),"",IF(Registro_Compras!$F$178="RHE","Retencion Renta 4ta Categoria por Pagar",IF(Registro_Compras!$F$178="NOTA DE CREDITO","Gastos de Servicios Prestados por Terceros","IGV - Cuenta Propia (Credito Fiscal)")))</f>
        <v/>
      </c>
      <c r="E1572" s="20">
        <f>IF($C1572="","",IF(Registro_Compras!$F$178="FACTURA",ROUND(Registro_Compras!$K$178*Registro_Compras!$N$178,2),""))</f>
        <v/>
      </c>
      <c r="F1572" s="20">
        <f>IF($C1572="","",IF(Registro_Compras!$F$178="RHE",ROUND(Registro_Compras!$V$178*Registro_Compras!$N$178,2),IF(Registro_Compras!$F$178="NOTA DE CREDITO",ROUND(ABS(Registro_Compras!$J$178*Registro_Compras!$N$178),2),"")))</f>
        <v/>
      </c>
      <c r="G1572">
        <f>IF($C1572="","",IF(Registro_Compras!$F$178="NOTA DE CREDITO","Por la nota de credito "&amp;Registro_Compras!$C$178&amp;" de "&amp;Registro_Compras!$E$178&amp;" [PATRON POR CONFIRMAR CON CONTADOR]",IF(Registro_Compras!$F$178="RHE","Por el registro del recibo por honorarios "&amp;Registro_Compras!$C$178&amp;" de "&amp;Registro_Compras!$E$178&amp;" [PATRON POR CONFIRMAR CON CONTADOR]","Por el registro de la factura "&amp;Registro_Compras!$C$178&amp;" de "&amp;Registro_Compras!$E$178)))</f>
        <v/>
      </c>
      <c r="H1572">
        <f>IF($C1572="","",Registro_Compras!$C$178)</f>
        <v/>
      </c>
    </row>
    <row r="1573">
      <c r="A1573" s="25">
        <f>IF($C1573="","",Registro_Compras!$B$178)</f>
        <v/>
      </c>
      <c r="B1573">
        <f>IF($C1573="","","C"&amp;TEXT(INT((ROW()-5)/9)+1,"000")&amp;"-1")</f>
        <v/>
      </c>
      <c r="C1573">
        <f>IF(OR(Registro_Compras!$C$178="",Registro_Compras!$O$178=""),"",IF(Registro_Compras!$F$178="NOTA DE CREDITO",IF(Registro_Compras!$K$178=0,"","40111"),"4212"))</f>
        <v/>
      </c>
      <c r="D1573">
        <f>IF(OR(Registro_Compras!$C$178="",Registro_Compras!$O$178=""),"",IF(Registro_Compras!$F$178="NOTA DE CREDITO","IGV - Cuenta Propia (Credito Fiscal)","Cuentas por Pagar Comerciales - Terceros (Emitidas)"))</f>
        <v/>
      </c>
      <c r="E1573" s="20">
        <f>""</f>
        <v/>
      </c>
      <c r="F1573" s="20">
        <f>IF($C1573="","",IF(Registro_Compras!$F$178="NOTA DE CREDITO",ROUND(ABS(Registro_Compras!$K$178*Registro_Compras!$N$178),2),IF(Registro_Compras!$F$178="RHE",(ROUND(Registro_Compras!$L$178*Registro_Compras!$N$178,2)-ROUND(Registro_Compras!$V$178*Registro_Compras!$N$178,2)),Registro_Compras!$O$178)))</f>
        <v/>
      </c>
      <c r="G1573">
        <f>IF($C1573="","",IF(Registro_Compras!$F$178="NOTA DE CREDITO","Por la nota de credito "&amp;Registro_Compras!$C$178&amp;" de "&amp;Registro_Compras!$E$178&amp;" [PATRON POR CONFIRMAR CON CONTADOR]",IF(Registro_Compras!$F$178="RHE","Por el registro del recibo por honorarios "&amp;Registro_Compras!$C$178&amp;" de "&amp;Registro_Compras!$E$178&amp;" [PATRON POR CONFIRMAR CON CONTADOR]","Por el registro de la factura "&amp;Registro_Compras!$C$178&amp;" de "&amp;Registro_Compras!$E$178)))</f>
        <v/>
      </c>
      <c r="H1573">
        <f>IF($C1573="","",Registro_Compras!$C$178)</f>
        <v/>
      </c>
    </row>
    <row r="1574">
      <c r="A1574" s="25">
        <f>IF($C1574="","",Registro_Compras!$B$178)</f>
        <v/>
      </c>
      <c r="B1574">
        <f>IF($C1574="","","C"&amp;TEXT(INT((ROW()-5)/9)+1,"000")&amp;"-2")</f>
        <v/>
      </c>
      <c r="C1574">
        <f>IF(OR(Registro_Compras!$C$178="",Registro_Compras!$O$178=""),"",IF(Registro_Compras!$AB$178="ADMINISTRATIVO","94","95"))</f>
        <v/>
      </c>
      <c r="D1574">
        <f>IF(OR(Registro_Compras!$C$178="",Registro_Compras!$O$178=""),"",IF(Registro_Compras!$AB$178="ADMINISTRATIVO","Gastos Administrativos","Gastos de Venta y Operacion"))</f>
        <v/>
      </c>
      <c r="E1574" s="20">
        <f>IF($C1574="","",IF(Registro_Compras!$F$178="NOTA DE CREDITO","",IF(Registro_Compras!$F$178="RHE",ROUND(Registro_Compras!$L$178*Registro_Compras!$N$178,2),ROUND(Registro_Compras!$J$178*Registro_Compras!$N$178,2))))</f>
        <v/>
      </c>
      <c r="F1574" s="20">
        <f>IF($C1574="","",IF(Registro_Compras!$F$178="NOTA DE CREDITO",ROUND(ABS(Registro_Compras!$J$178*Registro_Compras!$N$178),2),""))</f>
        <v/>
      </c>
      <c r="G1574">
        <f>IF($C1574="","","Por el destino del gasto")</f>
        <v/>
      </c>
      <c r="H1574">
        <f>IF($C1574="","",Registro_Compras!$C$178)</f>
        <v/>
      </c>
    </row>
    <row r="1575">
      <c r="A1575" s="25">
        <f>IF($C1575="","",Registro_Compras!$B$178)</f>
        <v/>
      </c>
      <c r="B1575">
        <f>IF($C1575="","","C"&amp;TEXT(INT((ROW()-5)/9)+1,"000")&amp;"-2")</f>
        <v/>
      </c>
      <c r="C1575">
        <f>IF(OR(Registro_Compras!$C$178="",Registro_Compras!$O$178=""),"","79/791")</f>
        <v/>
      </c>
      <c r="D1575">
        <f>IF(OR(Registro_Compras!$C$178="",Registro_Compras!$O$178=""),"","Cargas Imputables a Cuentas de Costos y Gastos")</f>
        <v/>
      </c>
      <c r="E1575" s="20">
        <f>IF($C1575="","",IF(Registro_Compras!$F$178="NOTA DE CREDITO",ROUND(ABS(Registro_Compras!$J$178*Registro_Compras!$N$178),2),""))</f>
        <v/>
      </c>
      <c r="F1575" s="20">
        <f>IF($C1575="","",IF(Registro_Compras!$F$178="NOTA DE CREDITO","",IF(Registro_Compras!$F$178="RHE",ROUND(Registro_Compras!$L$178*Registro_Compras!$N$178,2),ROUND(Registro_Compras!$J$178*Registro_Compras!$N$178,2))))</f>
        <v/>
      </c>
      <c r="G1575">
        <f>IF($C1575="","","Por el destino del gasto")</f>
        <v/>
      </c>
      <c r="H1575">
        <f>IF($C1575="","",Registro_Compras!$C$178)</f>
        <v/>
      </c>
    </row>
    <row r="1576">
      <c r="A1576" s="25">
        <f>IF($C1576="","",Registro_Compras!$X$178)</f>
        <v/>
      </c>
      <c r="B1576">
        <f>IF($C1576="","","C"&amp;TEXT(INT((ROW()-5)/9)+1,"000")&amp;"-3")</f>
        <v/>
      </c>
      <c r="C1576">
        <f>IF(OR(Registro_Compras!$C$178="",Registro_Compras!$O$178="",Registro_Compras!$R$178&lt;&gt;"SI",Registro_Compras!$X$178=""),"","4212")</f>
        <v/>
      </c>
      <c r="D1576">
        <f>IF(OR(Registro_Compras!$C$178="",Registro_Compras!$O$178=""),"","Cuentas por Pagar Comerciales - Terceros")</f>
        <v/>
      </c>
      <c r="E1576" s="20">
        <f>IF($C1576="","",Registro_Compras!$S$178)</f>
        <v/>
      </c>
      <c r="F1576" s="20">
        <f>""</f>
        <v/>
      </c>
      <c r="G1576">
        <f>IF($C1576="","","Por el deposito de la detraccion en el Banco de la Nacion")</f>
        <v/>
      </c>
      <c r="H1576">
        <f>IF($C1576="","",Registro_Compras!$C$178)</f>
        <v/>
      </c>
    </row>
    <row r="1577">
      <c r="A1577" s="25">
        <f>IF($C1577="","",Registro_Compras!$X$178)</f>
        <v/>
      </c>
      <c r="B1577">
        <f>IF($C1577="","","C"&amp;TEXT(INT((ROW()-5)/9)+1,"000")&amp;"-3")</f>
        <v/>
      </c>
      <c r="C1577">
        <f>IF(OR(Registro_Compras!$C$178="",Registro_Compras!$O$178="",Registro_Compras!$R$178&lt;&gt;"SI",Registro_Compras!$X$178=""),"","10413")</f>
        <v/>
      </c>
      <c r="D1577">
        <f>IF(OR(Registro_Compras!$C$178="",Registro_Compras!$O$178=""),"","Efectivo y Equivalentes - Cta. Cte. Operativa")</f>
        <v/>
      </c>
      <c r="E1577" s="20">
        <f>""</f>
        <v/>
      </c>
      <c r="F1577" s="20">
        <f>IF($C1577="","",Registro_Compras!$S$178)</f>
        <v/>
      </c>
      <c r="G1577">
        <f>IF($C1577="","","Por el deposito de la detraccion en el Banco de la Nacion")</f>
        <v/>
      </c>
      <c r="H1577">
        <f>IF($C1577="","",Registro_Compras!$C$178)</f>
        <v/>
      </c>
    </row>
    <row r="1578">
      <c r="A1578" s="25">
        <f>IF($C1578="","",Registro_Compras!$Y$178)</f>
        <v/>
      </c>
      <c r="B1578">
        <f>IF($C1578="","","C"&amp;TEXT(INT((ROW()-5)/9)+1,"000")&amp;"-4")</f>
        <v/>
      </c>
      <c r="C1578">
        <f>IF(OR(Registro_Compras!$C$178="",Registro_Compras!$O$178="",Registro_Compras!$Y$178="",Registro_Compras!$F$178="NOTA DE CREDITO"),"","4212")</f>
        <v/>
      </c>
      <c r="D1578">
        <f>IF(OR(Registro_Compras!$C$178="",Registro_Compras!$O$178=""),"","Cuentas por Pagar Comerciales - Terceros")</f>
        <v/>
      </c>
      <c r="E1578" s="20">
        <f>IF($C1578="","",IF(Registro_Compras!$F$178="RHE",(ROUND(Registro_Compras!$L$178*Registro_Compras!$N$178,2)-ROUND(Registro_Compras!$V$178*Registro_Compras!$N$178,2)),ROUND(Registro_Compras!$O$178-Registro_Compras!$S$178,2)))</f>
        <v/>
      </c>
      <c r="F1578" s="20">
        <f>""</f>
        <v/>
      </c>
      <c r="G1578">
        <f>IF($C1578="","","Por la cancelacion del saldo al proveedor")</f>
        <v/>
      </c>
      <c r="H1578">
        <f>IF($C1578="","",Registro_Compras!$C$178)</f>
        <v/>
      </c>
    </row>
    <row r="1579">
      <c r="A1579" s="25">
        <f>IF($C1579="","",Registro_Compras!$Y$178)</f>
        <v/>
      </c>
      <c r="B1579">
        <f>IF($C1579="","","C"&amp;TEXT(INT((ROW()-5)/9)+1,"000")&amp;"-4")</f>
        <v/>
      </c>
      <c r="C1579">
        <f>IF(OR(Registro_Compras!$C$178="",Registro_Compras!$O$178="",Registro_Compras!$Y$178="",Registro_Compras!$F$178="NOTA DE CREDITO"),"","10413")</f>
        <v/>
      </c>
      <c r="D1579">
        <f>IF(OR(Registro_Compras!$C$178="",Registro_Compras!$O$178=""),"","Efectivo y Equivalentes - Cta. Cte. Operativa")</f>
        <v/>
      </c>
      <c r="E1579" s="20">
        <f>""</f>
        <v/>
      </c>
      <c r="F1579" s="20">
        <f>IF($C1579="","",IF(Registro_Compras!$F$178="RHE",(ROUND(Registro_Compras!$L$178*Registro_Compras!$N$178,2)-ROUND(Registro_Compras!$V$178*Registro_Compras!$N$178,2)),ROUND(Registro_Compras!$O$178-Registro_Compras!$S$178,2)))</f>
        <v/>
      </c>
      <c r="G1579">
        <f>IF($C1579="","","Por la cancelacion del saldo al proveedor")</f>
        <v/>
      </c>
      <c r="H1579">
        <f>IF($C1579="","",Registro_Compras!$C$178)</f>
        <v/>
      </c>
    </row>
    <row r="1580">
      <c r="A1580" s="25">
        <f>IF($C1580="","",Registro_Compras!$B$179)</f>
        <v/>
      </c>
      <c r="B1580">
        <f>IF($C1580="","","C"&amp;TEXT(INT((ROW()-5)/9)+1,"000")&amp;"-1")</f>
        <v/>
      </c>
      <c r="C1580">
        <f>IF(OR(Registro_Compras!$C$179="",Registro_Compras!$O$179=""),"",IF(Registro_Compras!$F$179="NOTA DE CREDITO","4212",IF(Registro_Compras!$M$179="","63",Registro_Compras!$M$179)))</f>
        <v/>
      </c>
      <c r="D1580">
        <f>IF(OR(Registro_Compras!$C$179="",Registro_Compras!$O$179=""),"",IF(Registro_Compras!$F$179="NOTA DE CREDITO","Cuentas por Pagar Comerciales - Terceros (Emitidas)",IF(Registro_Compras!$F$179="RHE","Honorarios Profesionales - Servicios de Terceros","Gastos de Servicios Prestados por Terceros")))</f>
        <v/>
      </c>
      <c r="E1580" s="20">
        <f>IF($C1580="","",IF(Registro_Compras!$F$179="NOTA DE CREDITO",ABS(Registro_Compras!$O$179),IF(Registro_Compras!$F$179="RHE",ROUND(Registro_Compras!$L$179*Registro_Compras!$N$179,2),ROUND(Registro_Compras!$J$179*Registro_Compras!$N$179,2))))</f>
        <v/>
      </c>
      <c r="F1580" s="20">
        <f>""</f>
        <v/>
      </c>
      <c r="G1580">
        <f>IF($C1580="","",IF(Registro_Compras!$F$179="NOTA DE CREDITO","Por la nota de credito "&amp;Registro_Compras!$C$179&amp;" de "&amp;Registro_Compras!$E$179&amp;" [PATRON POR CONFIRMAR CON CONTADOR]",IF(Registro_Compras!$F$179="RHE","Por el registro del recibo por honorarios "&amp;Registro_Compras!$C$179&amp;" de "&amp;Registro_Compras!$E$179&amp;" [PATRON POR CONFIRMAR CON CONTADOR]","Por el registro de la factura "&amp;Registro_Compras!$C$179&amp;" de "&amp;Registro_Compras!$E$179)))</f>
        <v/>
      </c>
      <c r="H1580">
        <f>IF($C1580="","",Registro_Compras!$C$179)</f>
        <v/>
      </c>
    </row>
    <row r="1581">
      <c r="A1581" s="25">
        <f>IF($C1581="","",Registro_Compras!$B$179)</f>
        <v/>
      </c>
      <c r="B1581">
        <f>IF($C1581="","","C"&amp;TEXT(INT((ROW()-5)/9)+1,"000")&amp;"-1")</f>
        <v/>
      </c>
      <c r="C1581">
        <f>IF(OR(Registro_Compras!$C$179="",Registro_Compras!$O$179=""),"",IF(Registro_Compras!$F$179="RHE",IF(Registro_Compras!$V$179=0,"","40172"),IF(Registro_Compras!$F$179="NOTA DE CREDITO",IF(Registro_Compras!$M$179="","63",Registro_Compras!$M$179),IF(Registro_Compras!$K$179=0,"","40111"))))</f>
        <v/>
      </c>
      <c r="D1581">
        <f>IF(OR(Registro_Compras!$C$179="",Registro_Compras!$O$179=""),"",IF(Registro_Compras!$F$179="RHE","Retencion Renta 4ta Categoria por Pagar",IF(Registro_Compras!$F$179="NOTA DE CREDITO","Gastos de Servicios Prestados por Terceros","IGV - Cuenta Propia (Credito Fiscal)")))</f>
        <v/>
      </c>
      <c r="E1581" s="20">
        <f>IF($C1581="","",IF(Registro_Compras!$F$179="FACTURA",ROUND(Registro_Compras!$K$179*Registro_Compras!$N$179,2),""))</f>
        <v/>
      </c>
      <c r="F1581" s="20">
        <f>IF($C1581="","",IF(Registro_Compras!$F$179="RHE",ROUND(Registro_Compras!$V$179*Registro_Compras!$N$179,2),IF(Registro_Compras!$F$179="NOTA DE CREDITO",ROUND(ABS(Registro_Compras!$J$179*Registro_Compras!$N$179),2),"")))</f>
        <v/>
      </c>
      <c r="G1581">
        <f>IF($C1581="","",IF(Registro_Compras!$F$179="NOTA DE CREDITO","Por la nota de credito "&amp;Registro_Compras!$C$179&amp;" de "&amp;Registro_Compras!$E$179&amp;" [PATRON POR CONFIRMAR CON CONTADOR]",IF(Registro_Compras!$F$179="RHE","Por el registro del recibo por honorarios "&amp;Registro_Compras!$C$179&amp;" de "&amp;Registro_Compras!$E$179&amp;" [PATRON POR CONFIRMAR CON CONTADOR]","Por el registro de la factura "&amp;Registro_Compras!$C$179&amp;" de "&amp;Registro_Compras!$E$179)))</f>
        <v/>
      </c>
      <c r="H1581">
        <f>IF($C1581="","",Registro_Compras!$C$179)</f>
        <v/>
      </c>
    </row>
    <row r="1582">
      <c r="A1582" s="25">
        <f>IF($C1582="","",Registro_Compras!$B$179)</f>
        <v/>
      </c>
      <c r="B1582">
        <f>IF($C1582="","","C"&amp;TEXT(INT((ROW()-5)/9)+1,"000")&amp;"-1")</f>
        <v/>
      </c>
      <c r="C1582">
        <f>IF(OR(Registro_Compras!$C$179="",Registro_Compras!$O$179=""),"",IF(Registro_Compras!$F$179="NOTA DE CREDITO",IF(Registro_Compras!$K$179=0,"","40111"),"4212"))</f>
        <v/>
      </c>
      <c r="D1582">
        <f>IF(OR(Registro_Compras!$C$179="",Registro_Compras!$O$179=""),"",IF(Registro_Compras!$F$179="NOTA DE CREDITO","IGV - Cuenta Propia (Credito Fiscal)","Cuentas por Pagar Comerciales - Terceros (Emitidas)"))</f>
        <v/>
      </c>
      <c r="E1582" s="20">
        <f>""</f>
        <v/>
      </c>
      <c r="F1582" s="20">
        <f>IF($C1582="","",IF(Registro_Compras!$F$179="NOTA DE CREDITO",ROUND(ABS(Registro_Compras!$K$179*Registro_Compras!$N$179),2),IF(Registro_Compras!$F$179="RHE",(ROUND(Registro_Compras!$L$179*Registro_Compras!$N$179,2)-ROUND(Registro_Compras!$V$179*Registro_Compras!$N$179,2)),Registro_Compras!$O$179)))</f>
        <v/>
      </c>
      <c r="G1582">
        <f>IF($C1582="","",IF(Registro_Compras!$F$179="NOTA DE CREDITO","Por la nota de credito "&amp;Registro_Compras!$C$179&amp;" de "&amp;Registro_Compras!$E$179&amp;" [PATRON POR CONFIRMAR CON CONTADOR]",IF(Registro_Compras!$F$179="RHE","Por el registro del recibo por honorarios "&amp;Registro_Compras!$C$179&amp;" de "&amp;Registro_Compras!$E$179&amp;" [PATRON POR CONFIRMAR CON CONTADOR]","Por el registro de la factura "&amp;Registro_Compras!$C$179&amp;" de "&amp;Registro_Compras!$E$179)))</f>
        <v/>
      </c>
      <c r="H1582">
        <f>IF($C1582="","",Registro_Compras!$C$179)</f>
        <v/>
      </c>
    </row>
    <row r="1583">
      <c r="A1583" s="25">
        <f>IF($C1583="","",Registro_Compras!$B$179)</f>
        <v/>
      </c>
      <c r="B1583">
        <f>IF($C1583="","","C"&amp;TEXT(INT((ROW()-5)/9)+1,"000")&amp;"-2")</f>
        <v/>
      </c>
      <c r="C1583">
        <f>IF(OR(Registro_Compras!$C$179="",Registro_Compras!$O$179=""),"",IF(Registro_Compras!$AB$179="ADMINISTRATIVO","94","95"))</f>
        <v/>
      </c>
      <c r="D1583">
        <f>IF(OR(Registro_Compras!$C$179="",Registro_Compras!$O$179=""),"",IF(Registro_Compras!$AB$179="ADMINISTRATIVO","Gastos Administrativos","Gastos de Venta y Operacion"))</f>
        <v/>
      </c>
      <c r="E1583" s="20">
        <f>IF($C1583="","",IF(Registro_Compras!$F$179="NOTA DE CREDITO","",IF(Registro_Compras!$F$179="RHE",ROUND(Registro_Compras!$L$179*Registro_Compras!$N$179,2),ROUND(Registro_Compras!$J$179*Registro_Compras!$N$179,2))))</f>
        <v/>
      </c>
      <c r="F1583" s="20">
        <f>IF($C1583="","",IF(Registro_Compras!$F$179="NOTA DE CREDITO",ROUND(ABS(Registro_Compras!$J$179*Registro_Compras!$N$179),2),""))</f>
        <v/>
      </c>
      <c r="G1583">
        <f>IF($C1583="","","Por el destino del gasto")</f>
        <v/>
      </c>
      <c r="H1583">
        <f>IF($C1583="","",Registro_Compras!$C$179)</f>
        <v/>
      </c>
    </row>
    <row r="1584">
      <c r="A1584" s="25">
        <f>IF($C1584="","",Registro_Compras!$B$179)</f>
        <v/>
      </c>
      <c r="B1584">
        <f>IF($C1584="","","C"&amp;TEXT(INT((ROW()-5)/9)+1,"000")&amp;"-2")</f>
        <v/>
      </c>
      <c r="C1584">
        <f>IF(OR(Registro_Compras!$C$179="",Registro_Compras!$O$179=""),"","79/791")</f>
        <v/>
      </c>
      <c r="D1584">
        <f>IF(OR(Registro_Compras!$C$179="",Registro_Compras!$O$179=""),"","Cargas Imputables a Cuentas de Costos y Gastos")</f>
        <v/>
      </c>
      <c r="E1584" s="20">
        <f>IF($C1584="","",IF(Registro_Compras!$F$179="NOTA DE CREDITO",ROUND(ABS(Registro_Compras!$J$179*Registro_Compras!$N$179),2),""))</f>
        <v/>
      </c>
      <c r="F1584" s="20">
        <f>IF($C1584="","",IF(Registro_Compras!$F$179="NOTA DE CREDITO","",IF(Registro_Compras!$F$179="RHE",ROUND(Registro_Compras!$L$179*Registro_Compras!$N$179,2),ROUND(Registro_Compras!$J$179*Registro_Compras!$N$179,2))))</f>
        <v/>
      </c>
      <c r="G1584">
        <f>IF($C1584="","","Por el destino del gasto")</f>
        <v/>
      </c>
      <c r="H1584">
        <f>IF($C1584="","",Registro_Compras!$C$179)</f>
        <v/>
      </c>
    </row>
    <row r="1585">
      <c r="A1585" s="25">
        <f>IF($C1585="","",Registro_Compras!$X$179)</f>
        <v/>
      </c>
      <c r="B1585">
        <f>IF($C1585="","","C"&amp;TEXT(INT((ROW()-5)/9)+1,"000")&amp;"-3")</f>
        <v/>
      </c>
      <c r="C1585">
        <f>IF(OR(Registro_Compras!$C$179="",Registro_Compras!$O$179="",Registro_Compras!$R$179&lt;&gt;"SI",Registro_Compras!$X$179=""),"","4212")</f>
        <v/>
      </c>
      <c r="D1585">
        <f>IF(OR(Registro_Compras!$C$179="",Registro_Compras!$O$179=""),"","Cuentas por Pagar Comerciales - Terceros")</f>
        <v/>
      </c>
      <c r="E1585" s="20">
        <f>IF($C1585="","",Registro_Compras!$S$179)</f>
        <v/>
      </c>
      <c r="F1585" s="20">
        <f>""</f>
        <v/>
      </c>
      <c r="G1585">
        <f>IF($C1585="","","Por el deposito de la detraccion en el Banco de la Nacion")</f>
        <v/>
      </c>
      <c r="H1585">
        <f>IF($C1585="","",Registro_Compras!$C$179)</f>
        <v/>
      </c>
    </row>
    <row r="1586">
      <c r="A1586" s="25">
        <f>IF($C1586="","",Registro_Compras!$X$179)</f>
        <v/>
      </c>
      <c r="B1586">
        <f>IF($C1586="","","C"&amp;TEXT(INT((ROW()-5)/9)+1,"000")&amp;"-3")</f>
        <v/>
      </c>
      <c r="C1586">
        <f>IF(OR(Registro_Compras!$C$179="",Registro_Compras!$O$179="",Registro_Compras!$R$179&lt;&gt;"SI",Registro_Compras!$X$179=""),"","10413")</f>
        <v/>
      </c>
      <c r="D1586">
        <f>IF(OR(Registro_Compras!$C$179="",Registro_Compras!$O$179=""),"","Efectivo y Equivalentes - Cta. Cte. Operativa")</f>
        <v/>
      </c>
      <c r="E1586" s="20">
        <f>""</f>
        <v/>
      </c>
      <c r="F1586" s="20">
        <f>IF($C1586="","",Registro_Compras!$S$179)</f>
        <v/>
      </c>
      <c r="G1586">
        <f>IF($C1586="","","Por el deposito de la detraccion en el Banco de la Nacion")</f>
        <v/>
      </c>
      <c r="H1586">
        <f>IF($C1586="","",Registro_Compras!$C$179)</f>
        <v/>
      </c>
    </row>
    <row r="1587">
      <c r="A1587" s="25">
        <f>IF($C1587="","",Registro_Compras!$Y$179)</f>
        <v/>
      </c>
      <c r="B1587">
        <f>IF($C1587="","","C"&amp;TEXT(INT((ROW()-5)/9)+1,"000")&amp;"-4")</f>
        <v/>
      </c>
      <c r="C1587">
        <f>IF(OR(Registro_Compras!$C$179="",Registro_Compras!$O$179="",Registro_Compras!$Y$179="",Registro_Compras!$F$179="NOTA DE CREDITO"),"","4212")</f>
        <v/>
      </c>
      <c r="D1587">
        <f>IF(OR(Registro_Compras!$C$179="",Registro_Compras!$O$179=""),"","Cuentas por Pagar Comerciales - Terceros")</f>
        <v/>
      </c>
      <c r="E1587" s="20">
        <f>IF($C1587="","",IF(Registro_Compras!$F$179="RHE",(ROUND(Registro_Compras!$L$179*Registro_Compras!$N$179,2)-ROUND(Registro_Compras!$V$179*Registro_Compras!$N$179,2)),ROUND(Registro_Compras!$O$179-Registro_Compras!$S$179,2)))</f>
        <v/>
      </c>
      <c r="F1587" s="20">
        <f>""</f>
        <v/>
      </c>
      <c r="G1587">
        <f>IF($C1587="","","Por la cancelacion del saldo al proveedor")</f>
        <v/>
      </c>
      <c r="H1587">
        <f>IF($C1587="","",Registro_Compras!$C$179)</f>
        <v/>
      </c>
    </row>
    <row r="1588">
      <c r="A1588" s="25">
        <f>IF($C1588="","",Registro_Compras!$Y$179)</f>
        <v/>
      </c>
      <c r="B1588">
        <f>IF($C1588="","","C"&amp;TEXT(INT((ROW()-5)/9)+1,"000")&amp;"-4")</f>
        <v/>
      </c>
      <c r="C1588">
        <f>IF(OR(Registro_Compras!$C$179="",Registro_Compras!$O$179="",Registro_Compras!$Y$179="",Registro_Compras!$F$179="NOTA DE CREDITO"),"","10413")</f>
        <v/>
      </c>
      <c r="D1588">
        <f>IF(OR(Registro_Compras!$C$179="",Registro_Compras!$O$179=""),"","Efectivo y Equivalentes - Cta. Cte. Operativa")</f>
        <v/>
      </c>
      <c r="E1588" s="20">
        <f>""</f>
        <v/>
      </c>
      <c r="F1588" s="20">
        <f>IF($C1588="","",IF(Registro_Compras!$F$179="RHE",(ROUND(Registro_Compras!$L$179*Registro_Compras!$N$179,2)-ROUND(Registro_Compras!$V$179*Registro_Compras!$N$179,2)),ROUND(Registro_Compras!$O$179-Registro_Compras!$S$179,2)))</f>
        <v/>
      </c>
      <c r="G1588">
        <f>IF($C1588="","","Por la cancelacion del saldo al proveedor")</f>
        <v/>
      </c>
      <c r="H1588">
        <f>IF($C1588="","",Registro_Compras!$C$179)</f>
        <v/>
      </c>
    </row>
    <row r="1589">
      <c r="A1589" s="25">
        <f>IF($C1589="","",Registro_Compras!$B$180)</f>
        <v/>
      </c>
      <c r="B1589">
        <f>IF($C1589="","","C"&amp;TEXT(INT((ROW()-5)/9)+1,"000")&amp;"-1")</f>
        <v/>
      </c>
      <c r="C1589">
        <f>IF(OR(Registro_Compras!$C$180="",Registro_Compras!$O$180=""),"",IF(Registro_Compras!$F$180="NOTA DE CREDITO","4212",IF(Registro_Compras!$M$180="","63",Registro_Compras!$M$180)))</f>
        <v/>
      </c>
      <c r="D1589">
        <f>IF(OR(Registro_Compras!$C$180="",Registro_Compras!$O$180=""),"",IF(Registro_Compras!$F$180="NOTA DE CREDITO","Cuentas por Pagar Comerciales - Terceros (Emitidas)",IF(Registro_Compras!$F$180="RHE","Honorarios Profesionales - Servicios de Terceros","Gastos de Servicios Prestados por Terceros")))</f>
        <v/>
      </c>
      <c r="E1589" s="20">
        <f>IF($C1589="","",IF(Registro_Compras!$F$180="NOTA DE CREDITO",ABS(Registro_Compras!$O$180),IF(Registro_Compras!$F$180="RHE",ROUND(Registro_Compras!$L$180*Registro_Compras!$N$180,2),ROUND(Registro_Compras!$J$180*Registro_Compras!$N$180,2))))</f>
        <v/>
      </c>
      <c r="F1589" s="20">
        <f>""</f>
        <v/>
      </c>
      <c r="G1589">
        <f>IF($C1589="","",IF(Registro_Compras!$F$180="NOTA DE CREDITO","Por la nota de credito "&amp;Registro_Compras!$C$180&amp;" de "&amp;Registro_Compras!$E$180&amp;" [PATRON POR CONFIRMAR CON CONTADOR]",IF(Registro_Compras!$F$180="RHE","Por el registro del recibo por honorarios "&amp;Registro_Compras!$C$180&amp;" de "&amp;Registro_Compras!$E$180&amp;" [PATRON POR CONFIRMAR CON CONTADOR]","Por el registro de la factura "&amp;Registro_Compras!$C$180&amp;" de "&amp;Registro_Compras!$E$180)))</f>
        <v/>
      </c>
      <c r="H1589">
        <f>IF($C1589="","",Registro_Compras!$C$180)</f>
        <v/>
      </c>
    </row>
    <row r="1590">
      <c r="A1590" s="25">
        <f>IF($C1590="","",Registro_Compras!$B$180)</f>
        <v/>
      </c>
      <c r="B1590">
        <f>IF($C1590="","","C"&amp;TEXT(INT((ROW()-5)/9)+1,"000")&amp;"-1")</f>
        <v/>
      </c>
      <c r="C1590">
        <f>IF(OR(Registro_Compras!$C$180="",Registro_Compras!$O$180=""),"",IF(Registro_Compras!$F$180="RHE",IF(Registro_Compras!$V$180=0,"","40172"),IF(Registro_Compras!$F$180="NOTA DE CREDITO",IF(Registro_Compras!$M$180="","63",Registro_Compras!$M$180),IF(Registro_Compras!$K$180=0,"","40111"))))</f>
        <v/>
      </c>
      <c r="D1590">
        <f>IF(OR(Registro_Compras!$C$180="",Registro_Compras!$O$180=""),"",IF(Registro_Compras!$F$180="RHE","Retencion Renta 4ta Categoria por Pagar",IF(Registro_Compras!$F$180="NOTA DE CREDITO","Gastos de Servicios Prestados por Terceros","IGV - Cuenta Propia (Credito Fiscal)")))</f>
        <v/>
      </c>
      <c r="E1590" s="20">
        <f>IF($C1590="","",IF(Registro_Compras!$F$180="FACTURA",ROUND(Registro_Compras!$K$180*Registro_Compras!$N$180,2),""))</f>
        <v/>
      </c>
      <c r="F1590" s="20">
        <f>IF($C1590="","",IF(Registro_Compras!$F$180="RHE",ROUND(Registro_Compras!$V$180*Registro_Compras!$N$180,2),IF(Registro_Compras!$F$180="NOTA DE CREDITO",ROUND(ABS(Registro_Compras!$J$180*Registro_Compras!$N$180),2),"")))</f>
        <v/>
      </c>
      <c r="G1590">
        <f>IF($C1590="","",IF(Registro_Compras!$F$180="NOTA DE CREDITO","Por la nota de credito "&amp;Registro_Compras!$C$180&amp;" de "&amp;Registro_Compras!$E$180&amp;" [PATRON POR CONFIRMAR CON CONTADOR]",IF(Registro_Compras!$F$180="RHE","Por el registro del recibo por honorarios "&amp;Registro_Compras!$C$180&amp;" de "&amp;Registro_Compras!$E$180&amp;" [PATRON POR CONFIRMAR CON CONTADOR]","Por el registro de la factura "&amp;Registro_Compras!$C$180&amp;" de "&amp;Registro_Compras!$E$180)))</f>
        <v/>
      </c>
      <c r="H1590">
        <f>IF($C1590="","",Registro_Compras!$C$180)</f>
        <v/>
      </c>
    </row>
    <row r="1591">
      <c r="A1591" s="25">
        <f>IF($C1591="","",Registro_Compras!$B$180)</f>
        <v/>
      </c>
      <c r="B1591">
        <f>IF($C1591="","","C"&amp;TEXT(INT((ROW()-5)/9)+1,"000")&amp;"-1")</f>
        <v/>
      </c>
      <c r="C1591">
        <f>IF(OR(Registro_Compras!$C$180="",Registro_Compras!$O$180=""),"",IF(Registro_Compras!$F$180="NOTA DE CREDITO",IF(Registro_Compras!$K$180=0,"","40111"),"4212"))</f>
        <v/>
      </c>
      <c r="D1591">
        <f>IF(OR(Registro_Compras!$C$180="",Registro_Compras!$O$180=""),"",IF(Registro_Compras!$F$180="NOTA DE CREDITO","IGV - Cuenta Propia (Credito Fiscal)","Cuentas por Pagar Comerciales - Terceros (Emitidas)"))</f>
        <v/>
      </c>
      <c r="E1591" s="20">
        <f>""</f>
        <v/>
      </c>
      <c r="F1591" s="20">
        <f>IF($C1591="","",IF(Registro_Compras!$F$180="NOTA DE CREDITO",ROUND(ABS(Registro_Compras!$K$180*Registro_Compras!$N$180),2),IF(Registro_Compras!$F$180="RHE",(ROUND(Registro_Compras!$L$180*Registro_Compras!$N$180,2)-ROUND(Registro_Compras!$V$180*Registro_Compras!$N$180,2)),Registro_Compras!$O$180)))</f>
        <v/>
      </c>
      <c r="G1591">
        <f>IF($C1591="","",IF(Registro_Compras!$F$180="NOTA DE CREDITO","Por la nota de credito "&amp;Registro_Compras!$C$180&amp;" de "&amp;Registro_Compras!$E$180&amp;" [PATRON POR CONFIRMAR CON CONTADOR]",IF(Registro_Compras!$F$180="RHE","Por el registro del recibo por honorarios "&amp;Registro_Compras!$C$180&amp;" de "&amp;Registro_Compras!$E$180&amp;" [PATRON POR CONFIRMAR CON CONTADOR]","Por el registro de la factura "&amp;Registro_Compras!$C$180&amp;" de "&amp;Registro_Compras!$E$180)))</f>
        <v/>
      </c>
      <c r="H1591">
        <f>IF($C1591="","",Registro_Compras!$C$180)</f>
        <v/>
      </c>
    </row>
    <row r="1592">
      <c r="A1592" s="25">
        <f>IF($C1592="","",Registro_Compras!$B$180)</f>
        <v/>
      </c>
      <c r="B1592">
        <f>IF($C1592="","","C"&amp;TEXT(INT((ROW()-5)/9)+1,"000")&amp;"-2")</f>
        <v/>
      </c>
      <c r="C1592">
        <f>IF(OR(Registro_Compras!$C$180="",Registro_Compras!$O$180=""),"",IF(Registro_Compras!$AB$180="ADMINISTRATIVO","94","95"))</f>
        <v/>
      </c>
      <c r="D1592">
        <f>IF(OR(Registro_Compras!$C$180="",Registro_Compras!$O$180=""),"",IF(Registro_Compras!$AB$180="ADMINISTRATIVO","Gastos Administrativos","Gastos de Venta y Operacion"))</f>
        <v/>
      </c>
      <c r="E1592" s="20">
        <f>IF($C1592="","",IF(Registro_Compras!$F$180="NOTA DE CREDITO","",IF(Registro_Compras!$F$180="RHE",ROUND(Registro_Compras!$L$180*Registro_Compras!$N$180,2),ROUND(Registro_Compras!$J$180*Registro_Compras!$N$180,2))))</f>
        <v/>
      </c>
      <c r="F1592" s="20">
        <f>IF($C1592="","",IF(Registro_Compras!$F$180="NOTA DE CREDITO",ROUND(ABS(Registro_Compras!$J$180*Registro_Compras!$N$180),2),""))</f>
        <v/>
      </c>
      <c r="G1592">
        <f>IF($C1592="","","Por el destino del gasto")</f>
        <v/>
      </c>
      <c r="H1592">
        <f>IF($C1592="","",Registro_Compras!$C$180)</f>
        <v/>
      </c>
    </row>
    <row r="1593">
      <c r="A1593" s="25">
        <f>IF($C1593="","",Registro_Compras!$B$180)</f>
        <v/>
      </c>
      <c r="B1593">
        <f>IF($C1593="","","C"&amp;TEXT(INT((ROW()-5)/9)+1,"000")&amp;"-2")</f>
        <v/>
      </c>
      <c r="C1593">
        <f>IF(OR(Registro_Compras!$C$180="",Registro_Compras!$O$180=""),"","79/791")</f>
        <v/>
      </c>
      <c r="D1593">
        <f>IF(OR(Registro_Compras!$C$180="",Registro_Compras!$O$180=""),"","Cargas Imputables a Cuentas de Costos y Gastos")</f>
        <v/>
      </c>
      <c r="E1593" s="20">
        <f>IF($C1593="","",IF(Registro_Compras!$F$180="NOTA DE CREDITO",ROUND(ABS(Registro_Compras!$J$180*Registro_Compras!$N$180),2),""))</f>
        <v/>
      </c>
      <c r="F1593" s="20">
        <f>IF($C1593="","",IF(Registro_Compras!$F$180="NOTA DE CREDITO","",IF(Registro_Compras!$F$180="RHE",ROUND(Registro_Compras!$L$180*Registro_Compras!$N$180,2),ROUND(Registro_Compras!$J$180*Registro_Compras!$N$180,2))))</f>
        <v/>
      </c>
      <c r="G1593">
        <f>IF($C1593="","","Por el destino del gasto")</f>
        <v/>
      </c>
      <c r="H1593">
        <f>IF($C1593="","",Registro_Compras!$C$180)</f>
        <v/>
      </c>
    </row>
    <row r="1594">
      <c r="A1594" s="25">
        <f>IF($C1594="","",Registro_Compras!$X$180)</f>
        <v/>
      </c>
      <c r="B1594">
        <f>IF($C1594="","","C"&amp;TEXT(INT((ROW()-5)/9)+1,"000")&amp;"-3")</f>
        <v/>
      </c>
      <c r="C1594">
        <f>IF(OR(Registro_Compras!$C$180="",Registro_Compras!$O$180="",Registro_Compras!$R$180&lt;&gt;"SI",Registro_Compras!$X$180=""),"","4212")</f>
        <v/>
      </c>
      <c r="D1594">
        <f>IF(OR(Registro_Compras!$C$180="",Registro_Compras!$O$180=""),"","Cuentas por Pagar Comerciales - Terceros")</f>
        <v/>
      </c>
      <c r="E1594" s="20">
        <f>IF($C1594="","",Registro_Compras!$S$180)</f>
        <v/>
      </c>
      <c r="F1594" s="20">
        <f>""</f>
        <v/>
      </c>
      <c r="G1594">
        <f>IF($C1594="","","Por el deposito de la detraccion en el Banco de la Nacion")</f>
        <v/>
      </c>
      <c r="H1594">
        <f>IF($C1594="","",Registro_Compras!$C$180)</f>
        <v/>
      </c>
    </row>
    <row r="1595">
      <c r="A1595" s="25">
        <f>IF($C1595="","",Registro_Compras!$X$180)</f>
        <v/>
      </c>
      <c r="B1595">
        <f>IF($C1595="","","C"&amp;TEXT(INT((ROW()-5)/9)+1,"000")&amp;"-3")</f>
        <v/>
      </c>
      <c r="C1595">
        <f>IF(OR(Registro_Compras!$C$180="",Registro_Compras!$O$180="",Registro_Compras!$R$180&lt;&gt;"SI",Registro_Compras!$X$180=""),"","10413")</f>
        <v/>
      </c>
      <c r="D1595">
        <f>IF(OR(Registro_Compras!$C$180="",Registro_Compras!$O$180=""),"","Efectivo y Equivalentes - Cta. Cte. Operativa")</f>
        <v/>
      </c>
      <c r="E1595" s="20">
        <f>""</f>
        <v/>
      </c>
      <c r="F1595" s="20">
        <f>IF($C1595="","",Registro_Compras!$S$180)</f>
        <v/>
      </c>
      <c r="G1595">
        <f>IF($C1595="","","Por el deposito de la detraccion en el Banco de la Nacion")</f>
        <v/>
      </c>
      <c r="H1595">
        <f>IF($C1595="","",Registro_Compras!$C$180)</f>
        <v/>
      </c>
    </row>
    <row r="1596">
      <c r="A1596" s="25">
        <f>IF($C1596="","",Registro_Compras!$Y$180)</f>
        <v/>
      </c>
      <c r="B1596">
        <f>IF($C1596="","","C"&amp;TEXT(INT((ROW()-5)/9)+1,"000")&amp;"-4")</f>
        <v/>
      </c>
      <c r="C1596">
        <f>IF(OR(Registro_Compras!$C$180="",Registro_Compras!$O$180="",Registro_Compras!$Y$180="",Registro_Compras!$F$180="NOTA DE CREDITO"),"","4212")</f>
        <v/>
      </c>
      <c r="D1596">
        <f>IF(OR(Registro_Compras!$C$180="",Registro_Compras!$O$180=""),"","Cuentas por Pagar Comerciales - Terceros")</f>
        <v/>
      </c>
      <c r="E1596" s="20">
        <f>IF($C1596="","",IF(Registro_Compras!$F$180="RHE",(ROUND(Registro_Compras!$L$180*Registro_Compras!$N$180,2)-ROUND(Registro_Compras!$V$180*Registro_Compras!$N$180,2)),ROUND(Registro_Compras!$O$180-Registro_Compras!$S$180,2)))</f>
        <v/>
      </c>
      <c r="F1596" s="20">
        <f>""</f>
        <v/>
      </c>
      <c r="G1596">
        <f>IF($C1596="","","Por la cancelacion del saldo al proveedor")</f>
        <v/>
      </c>
      <c r="H1596">
        <f>IF($C1596="","",Registro_Compras!$C$180)</f>
        <v/>
      </c>
    </row>
    <row r="1597">
      <c r="A1597" s="25">
        <f>IF($C1597="","",Registro_Compras!$Y$180)</f>
        <v/>
      </c>
      <c r="B1597">
        <f>IF($C1597="","","C"&amp;TEXT(INT((ROW()-5)/9)+1,"000")&amp;"-4")</f>
        <v/>
      </c>
      <c r="C1597">
        <f>IF(OR(Registro_Compras!$C$180="",Registro_Compras!$O$180="",Registro_Compras!$Y$180="",Registro_Compras!$F$180="NOTA DE CREDITO"),"","10413")</f>
        <v/>
      </c>
      <c r="D1597">
        <f>IF(OR(Registro_Compras!$C$180="",Registro_Compras!$O$180=""),"","Efectivo y Equivalentes - Cta. Cte. Operativa")</f>
        <v/>
      </c>
      <c r="E1597" s="20">
        <f>""</f>
        <v/>
      </c>
      <c r="F1597" s="20">
        <f>IF($C1597="","",IF(Registro_Compras!$F$180="RHE",(ROUND(Registro_Compras!$L$180*Registro_Compras!$N$180,2)-ROUND(Registro_Compras!$V$180*Registro_Compras!$N$180,2)),ROUND(Registro_Compras!$O$180-Registro_Compras!$S$180,2)))</f>
        <v/>
      </c>
      <c r="G1597">
        <f>IF($C1597="","","Por la cancelacion del saldo al proveedor")</f>
        <v/>
      </c>
      <c r="H1597">
        <f>IF($C1597="","",Registro_Compras!$C$180)</f>
        <v/>
      </c>
    </row>
    <row r="1598">
      <c r="A1598" s="25">
        <f>IF($C1598="","",Registro_Compras!$B$181)</f>
        <v/>
      </c>
      <c r="B1598">
        <f>IF($C1598="","","C"&amp;TEXT(INT((ROW()-5)/9)+1,"000")&amp;"-1")</f>
        <v/>
      </c>
      <c r="C1598">
        <f>IF(OR(Registro_Compras!$C$181="",Registro_Compras!$O$181=""),"",IF(Registro_Compras!$F$181="NOTA DE CREDITO","4212",IF(Registro_Compras!$M$181="","63",Registro_Compras!$M$181)))</f>
        <v/>
      </c>
      <c r="D1598">
        <f>IF(OR(Registro_Compras!$C$181="",Registro_Compras!$O$181=""),"",IF(Registro_Compras!$F$181="NOTA DE CREDITO","Cuentas por Pagar Comerciales - Terceros (Emitidas)",IF(Registro_Compras!$F$181="RHE","Honorarios Profesionales - Servicios de Terceros","Gastos de Servicios Prestados por Terceros")))</f>
        <v/>
      </c>
      <c r="E1598" s="20">
        <f>IF($C1598="","",IF(Registro_Compras!$F$181="NOTA DE CREDITO",ABS(Registro_Compras!$O$181),IF(Registro_Compras!$F$181="RHE",ROUND(Registro_Compras!$L$181*Registro_Compras!$N$181,2),ROUND(Registro_Compras!$J$181*Registro_Compras!$N$181,2))))</f>
        <v/>
      </c>
      <c r="F1598" s="20">
        <f>""</f>
        <v/>
      </c>
      <c r="G1598">
        <f>IF($C1598="","",IF(Registro_Compras!$F$181="NOTA DE CREDITO","Por la nota de credito "&amp;Registro_Compras!$C$181&amp;" de "&amp;Registro_Compras!$E$181&amp;" [PATRON POR CONFIRMAR CON CONTADOR]",IF(Registro_Compras!$F$181="RHE","Por el registro del recibo por honorarios "&amp;Registro_Compras!$C$181&amp;" de "&amp;Registro_Compras!$E$181&amp;" [PATRON POR CONFIRMAR CON CONTADOR]","Por el registro de la factura "&amp;Registro_Compras!$C$181&amp;" de "&amp;Registro_Compras!$E$181)))</f>
        <v/>
      </c>
      <c r="H1598">
        <f>IF($C1598="","",Registro_Compras!$C$181)</f>
        <v/>
      </c>
    </row>
    <row r="1599">
      <c r="A1599" s="25">
        <f>IF($C1599="","",Registro_Compras!$B$181)</f>
        <v/>
      </c>
      <c r="B1599">
        <f>IF($C1599="","","C"&amp;TEXT(INT((ROW()-5)/9)+1,"000")&amp;"-1")</f>
        <v/>
      </c>
      <c r="C1599">
        <f>IF(OR(Registro_Compras!$C$181="",Registro_Compras!$O$181=""),"",IF(Registro_Compras!$F$181="RHE",IF(Registro_Compras!$V$181=0,"","40172"),IF(Registro_Compras!$F$181="NOTA DE CREDITO",IF(Registro_Compras!$M$181="","63",Registro_Compras!$M$181),IF(Registro_Compras!$K$181=0,"","40111"))))</f>
        <v/>
      </c>
      <c r="D1599">
        <f>IF(OR(Registro_Compras!$C$181="",Registro_Compras!$O$181=""),"",IF(Registro_Compras!$F$181="RHE","Retencion Renta 4ta Categoria por Pagar",IF(Registro_Compras!$F$181="NOTA DE CREDITO","Gastos de Servicios Prestados por Terceros","IGV - Cuenta Propia (Credito Fiscal)")))</f>
        <v/>
      </c>
      <c r="E1599" s="20">
        <f>IF($C1599="","",IF(Registro_Compras!$F$181="FACTURA",ROUND(Registro_Compras!$K$181*Registro_Compras!$N$181,2),""))</f>
        <v/>
      </c>
      <c r="F1599" s="20">
        <f>IF($C1599="","",IF(Registro_Compras!$F$181="RHE",ROUND(Registro_Compras!$V$181*Registro_Compras!$N$181,2),IF(Registro_Compras!$F$181="NOTA DE CREDITO",ROUND(ABS(Registro_Compras!$J$181*Registro_Compras!$N$181),2),"")))</f>
        <v/>
      </c>
      <c r="G1599">
        <f>IF($C1599="","",IF(Registro_Compras!$F$181="NOTA DE CREDITO","Por la nota de credito "&amp;Registro_Compras!$C$181&amp;" de "&amp;Registro_Compras!$E$181&amp;" [PATRON POR CONFIRMAR CON CONTADOR]",IF(Registro_Compras!$F$181="RHE","Por el registro del recibo por honorarios "&amp;Registro_Compras!$C$181&amp;" de "&amp;Registro_Compras!$E$181&amp;" [PATRON POR CONFIRMAR CON CONTADOR]","Por el registro de la factura "&amp;Registro_Compras!$C$181&amp;" de "&amp;Registro_Compras!$E$181)))</f>
        <v/>
      </c>
      <c r="H1599">
        <f>IF($C1599="","",Registro_Compras!$C$181)</f>
        <v/>
      </c>
    </row>
    <row r="1600">
      <c r="A1600" s="25">
        <f>IF($C1600="","",Registro_Compras!$B$181)</f>
        <v/>
      </c>
      <c r="B1600">
        <f>IF($C1600="","","C"&amp;TEXT(INT((ROW()-5)/9)+1,"000")&amp;"-1")</f>
        <v/>
      </c>
      <c r="C1600">
        <f>IF(OR(Registro_Compras!$C$181="",Registro_Compras!$O$181=""),"",IF(Registro_Compras!$F$181="NOTA DE CREDITO",IF(Registro_Compras!$K$181=0,"","40111"),"4212"))</f>
        <v/>
      </c>
      <c r="D1600">
        <f>IF(OR(Registro_Compras!$C$181="",Registro_Compras!$O$181=""),"",IF(Registro_Compras!$F$181="NOTA DE CREDITO","IGV - Cuenta Propia (Credito Fiscal)","Cuentas por Pagar Comerciales - Terceros (Emitidas)"))</f>
        <v/>
      </c>
      <c r="E1600" s="20">
        <f>""</f>
        <v/>
      </c>
      <c r="F1600" s="20">
        <f>IF($C1600="","",IF(Registro_Compras!$F$181="NOTA DE CREDITO",ROUND(ABS(Registro_Compras!$K$181*Registro_Compras!$N$181),2),IF(Registro_Compras!$F$181="RHE",(ROUND(Registro_Compras!$L$181*Registro_Compras!$N$181,2)-ROUND(Registro_Compras!$V$181*Registro_Compras!$N$181,2)),Registro_Compras!$O$181)))</f>
        <v/>
      </c>
      <c r="G1600">
        <f>IF($C1600="","",IF(Registro_Compras!$F$181="NOTA DE CREDITO","Por la nota de credito "&amp;Registro_Compras!$C$181&amp;" de "&amp;Registro_Compras!$E$181&amp;" [PATRON POR CONFIRMAR CON CONTADOR]",IF(Registro_Compras!$F$181="RHE","Por el registro del recibo por honorarios "&amp;Registro_Compras!$C$181&amp;" de "&amp;Registro_Compras!$E$181&amp;" [PATRON POR CONFIRMAR CON CONTADOR]","Por el registro de la factura "&amp;Registro_Compras!$C$181&amp;" de "&amp;Registro_Compras!$E$181)))</f>
        <v/>
      </c>
      <c r="H1600">
        <f>IF($C1600="","",Registro_Compras!$C$181)</f>
        <v/>
      </c>
    </row>
    <row r="1601">
      <c r="A1601" s="25">
        <f>IF($C1601="","",Registro_Compras!$B$181)</f>
        <v/>
      </c>
      <c r="B1601">
        <f>IF($C1601="","","C"&amp;TEXT(INT((ROW()-5)/9)+1,"000")&amp;"-2")</f>
        <v/>
      </c>
      <c r="C1601">
        <f>IF(OR(Registro_Compras!$C$181="",Registro_Compras!$O$181=""),"",IF(Registro_Compras!$AB$181="ADMINISTRATIVO","94","95"))</f>
        <v/>
      </c>
      <c r="D1601">
        <f>IF(OR(Registro_Compras!$C$181="",Registro_Compras!$O$181=""),"",IF(Registro_Compras!$AB$181="ADMINISTRATIVO","Gastos Administrativos","Gastos de Venta y Operacion"))</f>
        <v/>
      </c>
      <c r="E1601" s="20">
        <f>IF($C1601="","",IF(Registro_Compras!$F$181="NOTA DE CREDITO","",IF(Registro_Compras!$F$181="RHE",ROUND(Registro_Compras!$L$181*Registro_Compras!$N$181,2),ROUND(Registro_Compras!$J$181*Registro_Compras!$N$181,2))))</f>
        <v/>
      </c>
      <c r="F1601" s="20">
        <f>IF($C1601="","",IF(Registro_Compras!$F$181="NOTA DE CREDITO",ROUND(ABS(Registro_Compras!$J$181*Registro_Compras!$N$181),2),""))</f>
        <v/>
      </c>
      <c r="G1601">
        <f>IF($C1601="","","Por el destino del gasto")</f>
        <v/>
      </c>
      <c r="H1601">
        <f>IF($C1601="","",Registro_Compras!$C$181)</f>
        <v/>
      </c>
    </row>
    <row r="1602">
      <c r="A1602" s="25">
        <f>IF($C1602="","",Registro_Compras!$B$181)</f>
        <v/>
      </c>
      <c r="B1602">
        <f>IF($C1602="","","C"&amp;TEXT(INT((ROW()-5)/9)+1,"000")&amp;"-2")</f>
        <v/>
      </c>
      <c r="C1602">
        <f>IF(OR(Registro_Compras!$C$181="",Registro_Compras!$O$181=""),"","79/791")</f>
        <v/>
      </c>
      <c r="D1602">
        <f>IF(OR(Registro_Compras!$C$181="",Registro_Compras!$O$181=""),"","Cargas Imputables a Cuentas de Costos y Gastos")</f>
        <v/>
      </c>
      <c r="E1602" s="20">
        <f>IF($C1602="","",IF(Registro_Compras!$F$181="NOTA DE CREDITO",ROUND(ABS(Registro_Compras!$J$181*Registro_Compras!$N$181),2),""))</f>
        <v/>
      </c>
      <c r="F1602" s="20">
        <f>IF($C1602="","",IF(Registro_Compras!$F$181="NOTA DE CREDITO","",IF(Registro_Compras!$F$181="RHE",ROUND(Registro_Compras!$L$181*Registro_Compras!$N$181,2),ROUND(Registro_Compras!$J$181*Registro_Compras!$N$181,2))))</f>
        <v/>
      </c>
      <c r="G1602">
        <f>IF($C1602="","","Por el destino del gasto")</f>
        <v/>
      </c>
      <c r="H1602">
        <f>IF($C1602="","",Registro_Compras!$C$181)</f>
        <v/>
      </c>
    </row>
    <row r="1603">
      <c r="A1603" s="25">
        <f>IF($C1603="","",Registro_Compras!$X$181)</f>
        <v/>
      </c>
      <c r="B1603">
        <f>IF($C1603="","","C"&amp;TEXT(INT((ROW()-5)/9)+1,"000")&amp;"-3")</f>
        <v/>
      </c>
      <c r="C1603">
        <f>IF(OR(Registro_Compras!$C$181="",Registro_Compras!$O$181="",Registro_Compras!$R$181&lt;&gt;"SI",Registro_Compras!$X$181=""),"","4212")</f>
        <v/>
      </c>
      <c r="D1603">
        <f>IF(OR(Registro_Compras!$C$181="",Registro_Compras!$O$181=""),"","Cuentas por Pagar Comerciales - Terceros")</f>
        <v/>
      </c>
      <c r="E1603" s="20">
        <f>IF($C1603="","",Registro_Compras!$S$181)</f>
        <v/>
      </c>
      <c r="F1603" s="20">
        <f>""</f>
        <v/>
      </c>
      <c r="G1603">
        <f>IF($C1603="","","Por el deposito de la detraccion en el Banco de la Nacion")</f>
        <v/>
      </c>
      <c r="H1603">
        <f>IF($C1603="","",Registro_Compras!$C$181)</f>
        <v/>
      </c>
    </row>
    <row r="1604">
      <c r="A1604" s="25">
        <f>IF($C1604="","",Registro_Compras!$X$181)</f>
        <v/>
      </c>
      <c r="B1604">
        <f>IF($C1604="","","C"&amp;TEXT(INT((ROW()-5)/9)+1,"000")&amp;"-3")</f>
        <v/>
      </c>
      <c r="C1604">
        <f>IF(OR(Registro_Compras!$C$181="",Registro_Compras!$O$181="",Registro_Compras!$R$181&lt;&gt;"SI",Registro_Compras!$X$181=""),"","10413")</f>
        <v/>
      </c>
      <c r="D1604">
        <f>IF(OR(Registro_Compras!$C$181="",Registro_Compras!$O$181=""),"","Efectivo y Equivalentes - Cta. Cte. Operativa")</f>
        <v/>
      </c>
      <c r="E1604" s="20">
        <f>""</f>
        <v/>
      </c>
      <c r="F1604" s="20">
        <f>IF($C1604="","",Registro_Compras!$S$181)</f>
        <v/>
      </c>
      <c r="G1604">
        <f>IF($C1604="","","Por el deposito de la detraccion en el Banco de la Nacion")</f>
        <v/>
      </c>
      <c r="H1604">
        <f>IF($C1604="","",Registro_Compras!$C$181)</f>
        <v/>
      </c>
    </row>
    <row r="1605">
      <c r="A1605" s="25">
        <f>IF($C1605="","",Registro_Compras!$Y$181)</f>
        <v/>
      </c>
      <c r="B1605">
        <f>IF($C1605="","","C"&amp;TEXT(INT((ROW()-5)/9)+1,"000")&amp;"-4")</f>
        <v/>
      </c>
      <c r="C1605">
        <f>IF(OR(Registro_Compras!$C$181="",Registro_Compras!$O$181="",Registro_Compras!$Y$181="",Registro_Compras!$F$181="NOTA DE CREDITO"),"","4212")</f>
        <v/>
      </c>
      <c r="D1605">
        <f>IF(OR(Registro_Compras!$C$181="",Registro_Compras!$O$181=""),"","Cuentas por Pagar Comerciales - Terceros")</f>
        <v/>
      </c>
      <c r="E1605" s="20">
        <f>IF($C1605="","",IF(Registro_Compras!$F$181="RHE",(ROUND(Registro_Compras!$L$181*Registro_Compras!$N$181,2)-ROUND(Registro_Compras!$V$181*Registro_Compras!$N$181,2)),ROUND(Registro_Compras!$O$181-Registro_Compras!$S$181,2)))</f>
        <v/>
      </c>
      <c r="F1605" s="20">
        <f>""</f>
        <v/>
      </c>
      <c r="G1605">
        <f>IF($C1605="","","Por la cancelacion del saldo al proveedor")</f>
        <v/>
      </c>
      <c r="H1605">
        <f>IF($C1605="","",Registro_Compras!$C$181)</f>
        <v/>
      </c>
    </row>
    <row r="1606">
      <c r="A1606" s="25">
        <f>IF($C1606="","",Registro_Compras!$Y$181)</f>
        <v/>
      </c>
      <c r="B1606">
        <f>IF($C1606="","","C"&amp;TEXT(INT((ROW()-5)/9)+1,"000")&amp;"-4")</f>
        <v/>
      </c>
      <c r="C1606">
        <f>IF(OR(Registro_Compras!$C$181="",Registro_Compras!$O$181="",Registro_Compras!$Y$181="",Registro_Compras!$F$181="NOTA DE CREDITO"),"","10413")</f>
        <v/>
      </c>
      <c r="D1606">
        <f>IF(OR(Registro_Compras!$C$181="",Registro_Compras!$O$181=""),"","Efectivo y Equivalentes - Cta. Cte. Operativa")</f>
        <v/>
      </c>
      <c r="E1606" s="20">
        <f>""</f>
        <v/>
      </c>
      <c r="F1606" s="20">
        <f>IF($C1606="","",IF(Registro_Compras!$F$181="RHE",(ROUND(Registro_Compras!$L$181*Registro_Compras!$N$181,2)-ROUND(Registro_Compras!$V$181*Registro_Compras!$N$181,2)),ROUND(Registro_Compras!$O$181-Registro_Compras!$S$181,2)))</f>
        <v/>
      </c>
      <c r="G1606">
        <f>IF($C1606="","","Por la cancelacion del saldo al proveedor")</f>
        <v/>
      </c>
      <c r="H1606">
        <f>IF($C1606="","",Registro_Compras!$C$181)</f>
        <v/>
      </c>
    </row>
    <row r="1607">
      <c r="A1607" s="25">
        <f>IF($C1607="","",Registro_Compras!$B$182)</f>
        <v/>
      </c>
      <c r="B1607">
        <f>IF($C1607="","","C"&amp;TEXT(INT((ROW()-5)/9)+1,"000")&amp;"-1")</f>
        <v/>
      </c>
      <c r="C1607">
        <f>IF(OR(Registro_Compras!$C$182="",Registro_Compras!$O$182=""),"",IF(Registro_Compras!$F$182="NOTA DE CREDITO","4212",IF(Registro_Compras!$M$182="","63",Registro_Compras!$M$182)))</f>
        <v/>
      </c>
      <c r="D1607">
        <f>IF(OR(Registro_Compras!$C$182="",Registro_Compras!$O$182=""),"",IF(Registro_Compras!$F$182="NOTA DE CREDITO","Cuentas por Pagar Comerciales - Terceros (Emitidas)",IF(Registro_Compras!$F$182="RHE","Honorarios Profesionales - Servicios de Terceros","Gastos de Servicios Prestados por Terceros")))</f>
        <v/>
      </c>
      <c r="E1607" s="20">
        <f>IF($C1607="","",IF(Registro_Compras!$F$182="NOTA DE CREDITO",ABS(Registro_Compras!$O$182),IF(Registro_Compras!$F$182="RHE",ROUND(Registro_Compras!$L$182*Registro_Compras!$N$182,2),ROUND(Registro_Compras!$J$182*Registro_Compras!$N$182,2))))</f>
        <v/>
      </c>
      <c r="F1607" s="20">
        <f>""</f>
        <v/>
      </c>
      <c r="G1607">
        <f>IF($C1607="","",IF(Registro_Compras!$F$182="NOTA DE CREDITO","Por la nota de credito "&amp;Registro_Compras!$C$182&amp;" de "&amp;Registro_Compras!$E$182&amp;" [PATRON POR CONFIRMAR CON CONTADOR]",IF(Registro_Compras!$F$182="RHE","Por el registro del recibo por honorarios "&amp;Registro_Compras!$C$182&amp;" de "&amp;Registro_Compras!$E$182&amp;" [PATRON POR CONFIRMAR CON CONTADOR]","Por el registro de la factura "&amp;Registro_Compras!$C$182&amp;" de "&amp;Registro_Compras!$E$182)))</f>
        <v/>
      </c>
      <c r="H1607">
        <f>IF($C1607="","",Registro_Compras!$C$182)</f>
        <v/>
      </c>
    </row>
    <row r="1608">
      <c r="A1608" s="25">
        <f>IF($C1608="","",Registro_Compras!$B$182)</f>
        <v/>
      </c>
      <c r="B1608">
        <f>IF($C1608="","","C"&amp;TEXT(INT((ROW()-5)/9)+1,"000")&amp;"-1")</f>
        <v/>
      </c>
      <c r="C1608">
        <f>IF(OR(Registro_Compras!$C$182="",Registro_Compras!$O$182=""),"",IF(Registro_Compras!$F$182="RHE",IF(Registro_Compras!$V$182=0,"","40172"),IF(Registro_Compras!$F$182="NOTA DE CREDITO",IF(Registro_Compras!$M$182="","63",Registro_Compras!$M$182),IF(Registro_Compras!$K$182=0,"","40111"))))</f>
        <v/>
      </c>
      <c r="D1608">
        <f>IF(OR(Registro_Compras!$C$182="",Registro_Compras!$O$182=""),"",IF(Registro_Compras!$F$182="RHE","Retencion Renta 4ta Categoria por Pagar",IF(Registro_Compras!$F$182="NOTA DE CREDITO","Gastos de Servicios Prestados por Terceros","IGV - Cuenta Propia (Credito Fiscal)")))</f>
        <v/>
      </c>
      <c r="E1608" s="20">
        <f>IF($C1608="","",IF(Registro_Compras!$F$182="FACTURA",ROUND(Registro_Compras!$K$182*Registro_Compras!$N$182,2),""))</f>
        <v/>
      </c>
      <c r="F1608" s="20">
        <f>IF($C1608="","",IF(Registro_Compras!$F$182="RHE",ROUND(Registro_Compras!$V$182*Registro_Compras!$N$182,2),IF(Registro_Compras!$F$182="NOTA DE CREDITO",ROUND(ABS(Registro_Compras!$J$182*Registro_Compras!$N$182),2),"")))</f>
        <v/>
      </c>
      <c r="G1608">
        <f>IF($C1608="","",IF(Registro_Compras!$F$182="NOTA DE CREDITO","Por la nota de credito "&amp;Registro_Compras!$C$182&amp;" de "&amp;Registro_Compras!$E$182&amp;" [PATRON POR CONFIRMAR CON CONTADOR]",IF(Registro_Compras!$F$182="RHE","Por el registro del recibo por honorarios "&amp;Registro_Compras!$C$182&amp;" de "&amp;Registro_Compras!$E$182&amp;" [PATRON POR CONFIRMAR CON CONTADOR]","Por el registro de la factura "&amp;Registro_Compras!$C$182&amp;" de "&amp;Registro_Compras!$E$182)))</f>
        <v/>
      </c>
      <c r="H1608">
        <f>IF($C1608="","",Registro_Compras!$C$182)</f>
        <v/>
      </c>
    </row>
    <row r="1609">
      <c r="A1609" s="25">
        <f>IF($C1609="","",Registro_Compras!$B$182)</f>
        <v/>
      </c>
      <c r="B1609">
        <f>IF($C1609="","","C"&amp;TEXT(INT((ROW()-5)/9)+1,"000")&amp;"-1")</f>
        <v/>
      </c>
      <c r="C1609">
        <f>IF(OR(Registro_Compras!$C$182="",Registro_Compras!$O$182=""),"",IF(Registro_Compras!$F$182="NOTA DE CREDITO",IF(Registro_Compras!$K$182=0,"","40111"),"4212"))</f>
        <v/>
      </c>
      <c r="D1609">
        <f>IF(OR(Registro_Compras!$C$182="",Registro_Compras!$O$182=""),"",IF(Registro_Compras!$F$182="NOTA DE CREDITO","IGV - Cuenta Propia (Credito Fiscal)","Cuentas por Pagar Comerciales - Terceros (Emitidas)"))</f>
        <v/>
      </c>
      <c r="E1609" s="20">
        <f>""</f>
        <v/>
      </c>
      <c r="F1609" s="20">
        <f>IF($C1609="","",IF(Registro_Compras!$F$182="NOTA DE CREDITO",ROUND(ABS(Registro_Compras!$K$182*Registro_Compras!$N$182),2),IF(Registro_Compras!$F$182="RHE",(ROUND(Registro_Compras!$L$182*Registro_Compras!$N$182,2)-ROUND(Registro_Compras!$V$182*Registro_Compras!$N$182,2)),Registro_Compras!$O$182)))</f>
        <v/>
      </c>
      <c r="G1609">
        <f>IF($C1609="","",IF(Registro_Compras!$F$182="NOTA DE CREDITO","Por la nota de credito "&amp;Registro_Compras!$C$182&amp;" de "&amp;Registro_Compras!$E$182&amp;" [PATRON POR CONFIRMAR CON CONTADOR]",IF(Registro_Compras!$F$182="RHE","Por el registro del recibo por honorarios "&amp;Registro_Compras!$C$182&amp;" de "&amp;Registro_Compras!$E$182&amp;" [PATRON POR CONFIRMAR CON CONTADOR]","Por el registro de la factura "&amp;Registro_Compras!$C$182&amp;" de "&amp;Registro_Compras!$E$182)))</f>
        <v/>
      </c>
      <c r="H1609">
        <f>IF($C1609="","",Registro_Compras!$C$182)</f>
        <v/>
      </c>
    </row>
    <row r="1610">
      <c r="A1610" s="25">
        <f>IF($C1610="","",Registro_Compras!$B$182)</f>
        <v/>
      </c>
      <c r="B1610">
        <f>IF($C1610="","","C"&amp;TEXT(INT((ROW()-5)/9)+1,"000")&amp;"-2")</f>
        <v/>
      </c>
      <c r="C1610">
        <f>IF(OR(Registro_Compras!$C$182="",Registro_Compras!$O$182=""),"",IF(Registro_Compras!$AB$182="ADMINISTRATIVO","94","95"))</f>
        <v/>
      </c>
      <c r="D1610">
        <f>IF(OR(Registro_Compras!$C$182="",Registro_Compras!$O$182=""),"",IF(Registro_Compras!$AB$182="ADMINISTRATIVO","Gastos Administrativos","Gastos de Venta y Operacion"))</f>
        <v/>
      </c>
      <c r="E1610" s="20">
        <f>IF($C1610="","",IF(Registro_Compras!$F$182="NOTA DE CREDITO","",IF(Registro_Compras!$F$182="RHE",ROUND(Registro_Compras!$L$182*Registro_Compras!$N$182,2),ROUND(Registro_Compras!$J$182*Registro_Compras!$N$182,2))))</f>
        <v/>
      </c>
      <c r="F1610" s="20">
        <f>IF($C1610="","",IF(Registro_Compras!$F$182="NOTA DE CREDITO",ROUND(ABS(Registro_Compras!$J$182*Registro_Compras!$N$182),2),""))</f>
        <v/>
      </c>
      <c r="G1610">
        <f>IF($C1610="","","Por el destino del gasto")</f>
        <v/>
      </c>
      <c r="H1610">
        <f>IF($C1610="","",Registro_Compras!$C$182)</f>
        <v/>
      </c>
    </row>
    <row r="1611">
      <c r="A1611" s="25">
        <f>IF($C1611="","",Registro_Compras!$B$182)</f>
        <v/>
      </c>
      <c r="B1611">
        <f>IF($C1611="","","C"&amp;TEXT(INT((ROW()-5)/9)+1,"000")&amp;"-2")</f>
        <v/>
      </c>
      <c r="C1611">
        <f>IF(OR(Registro_Compras!$C$182="",Registro_Compras!$O$182=""),"","79/791")</f>
        <v/>
      </c>
      <c r="D1611">
        <f>IF(OR(Registro_Compras!$C$182="",Registro_Compras!$O$182=""),"","Cargas Imputables a Cuentas de Costos y Gastos")</f>
        <v/>
      </c>
      <c r="E1611" s="20">
        <f>IF($C1611="","",IF(Registro_Compras!$F$182="NOTA DE CREDITO",ROUND(ABS(Registro_Compras!$J$182*Registro_Compras!$N$182),2),""))</f>
        <v/>
      </c>
      <c r="F1611" s="20">
        <f>IF($C1611="","",IF(Registro_Compras!$F$182="NOTA DE CREDITO","",IF(Registro_Compras!$F$182="RHE",ROUND(Registro_Compras!$L$182*Registro_Compras!$N$182,2),ROUND(Registro_Compras!$J$182*Registro_Compras!$N$182,2))))</f>
        <v/>
      </c>
      <c r="G1611">
        <f>IF($C1611="","","Por el destino del gasto")</f>
        <v/>
      </c>
      <c r="H1611">
        <f>IF($C1611="","",Registro_Compras!$C$182)</f>
        <v/>
      </c>
    </row>
    <row r="1612">
      <c r="A1612" s="25">
        <f>IF($C1612="","",Registro_Compras!$X$182)</f>
        <v/>
      </c>
      <c r="B1612">
        <f>IF($C1612="","","C"&amp;TEXT(INT((ROW()-5)/9)+1,"000")&amp;"-3")</f>
        <v/>
      </c>
      <c r="C1612">
        <f>IF(OR(Registro_Compras!$C$182="",Registro_Compras!$O$182="",Registro_Compras!$R$182&lt;&gt;"SI",Registro_Compras!$X$182=""),"","4212")</f>
        <v/>
      </c>
      <c r="D1612">
        <f>IF(OR(Registro_Compras!$C$182="",Registro_Compras!$O$182=""),"","Cuentas por Pagar Comerciales - Terceros")</f>
        <v/>
      </c>
      <c r="E1612" s="20">
        <f>IF($C1612="","",Registro_Compras!$S$182)</f>
        <v/>
      </c>
      <c r="F1612" s="20">
        <f>""</f>
        <v/>
      </c>
      <c r="G1612">
        <f>IF($C1612="","","Por el deposito de la detraccion en el Banco de la Nacion")</f>
        <v/>
      </c>
      <c r="H1612">
        <f>IF($C1612="","",Registro_Compras!$C$182)</f>
        <v/>
      </c>
    </row>
    <row r="1613">
      <c r="A1613" s="25">
        <f>IF($C1613="","",Registro_Compras!$X$182)</f>
        <v/>
      </c>
      <c r="B1613">
        <f>IF($C1613="","","C"&amp;TEXT(INT((ROW()-5)/9)+1,"000")&amp;"-3")</f>
        <v/>
      </c>
      <c r="C1613">
        <f>IF(OR(Registro_Compras!$C$182="",Registro_Compras!$O$182="",Registro_Compras!$R$182&lt;&gt;"SI",Registro_Compras!$X$182=""),"","10413")</f>
        <v/>
      </c>
      <c r="D1613">
        <f>IF(OR(Registro_Compras!$C$182="",Registro_Compras!$O$182=""),"","Efectivo y Equivalentes - Cta. Cte. Operativa")</f>
        <v/>
      </c>
      <c r="E1613" s="20">
        <f>""</f>
        <v/>
      </c>
      <c r="F1613" s="20">
        <f>IF($C1613="","",Registro_Compras!$S$182)</f>
        <v/>
      </c>
      <c r="G1613">
        <f>IF($C1613="","","Por el deposito de la detraccion en el Banco de la Nacion")</f>
        <v/>
      </c>
      <c r="H1613">
        <f>IF($C1613="","",Registro_Compras!$C$182)</f>
        <v/>
      </c>
    </row>
    <row r="1614">
      <c r="A1614" s="25">
        <f>IF($C1614="","",Registro_Compras!$Y$182)</f>
        <v/>
      </c>
      <c r="B1614">
        <f>IF($C1614="","","C"&amp;TEXT(INT((ROW()-5)/9)+1,"000")&amp;"-4")</f>
        <v/>
      </c>
      <c r="C1614">
        <f>IF(OR(Registro_Compras!$C$182="",Registro_Compras!$O$182="",Registro_Compras!$Y$182="",Registro_Compras!$F$182="NOTA DE CREDITO"),"","4212")</f>
        <v/>
      </c>
      <c r="D1614">
        <f>IF(OR(Registro_Compras!$C$182="",Registro_Compras!$O$182=""),"","Cuentas por Pagar Comerciales - Terceros")</f>
        <v/>
      </c>
      <c r="E1614" s="20">
        <f>IF($C1614="","",IF(Registro_Compras!$F$182="RHE",(ROUND(Registro_Compras!$L$182*Registro_Compras!$N$182,2)-ROUND(Registro_Compras!$V$182*Registro_Compras!$N$182,2)),ROUND(Registro_Compras!$O$182-Registro_Compras!$S$182,2)))</f>
        <v/>
      </c>
      <c r="F1614" s="20">
        <f>""</f>
        <v/>
      </c>
      <c r="G1614">
        <f>IF($C1614="","","Por la cancelacion del saldo al proveedor")</f>
        <v/>
      </c>
      <c r="H1614">
        <f>IF($C1614="","",Registro_Compras!$C$182)</f>
        <v/>
      </c>
    </row>
    <row r="1615">
      <c r="A1615" s="25">
        <f>IF($C1615="","",Registro_Compras!$Y$182)</f>
        <v/>
      </c>
      <c r="B1615">
        <f>IF($C1615="","","C"&amp;TEXT(INT((ROW()-5)/9)+1,"000")&amp;"-4")</f>
        <v/>
      </c>
      <c r="C1615">
        <f>IF(OR(Registro_Compras!$C$182="",Registro_Compras!$O$182="",Registro_Compras!$Y$182="",Registro_Compras!$F$182="NOTA DE CREDITO"),"","10413")</f>
        <v/>
      </c>
      <c r="D1615">
        <f>IF(OR(Registro_Compras!$C$182="",Registro_Compras!$O$182=""),"","Efectivo y Equivalentes - Cta. Cte. Operativa")</f>
        <v/>
      </c>
      <c r="E1615" s="20">
        <f>""</f>
        <v/>
      </c>
      <c r="F1615" s="20">
        <f>IF($C1615="","",IF(Registro_Compras!$F$182="RHE",(ROUND(Registro_Compras!$L$182*Registro_Compras!$N$182,2)-ROUND(Registro_Compras!$V$182*Registro_Compras!$N$182,2)),ROUND(Registro_Compras!$O$182-Registro_Compras!$S$182,2)))</f>
        <v/>
      </c>
      <c r="G1615">
        <f>IF($C1615="","","Por la cancelacion del saldo al proveedor")</f>
        <v/>
      </c>
      <c r="H1615">
        <f>IF($C1615="","",Registro_Compras!$C$182)</f>
        <v/>
      </c>
    </row>
    <row r="1616">
      <c r="A1616" s="25">
        <f>IF($C1616="","",Registro_Compras!$B$183)</f>
        <v/>
      </c>
      <c r="B1616">
        <f>IF($C1616="","","C"&amp;TEXT(INT((ROW()-5)/9)+1,"000")&amp;"-1")</f>
        <v/>
      </c>
      <c r="C1616">
        <f>IF(OR(Registro_Compras!$C$183="",Registro_Compras!$O$183=""),"",IF(Registro_Compras!$F$183="NOTA DE CREDITO","4212",IF(Registro_Compras!$M$183="","63",Registro_Compras!$M$183)))</f>
        <v/>
      </c>
      <c r="D1616">
        <f>IF(OR(Registro_Compras!$C$183="",Registro_Compras!$O$183=""),"",IF(Registro_Compras!$F$183="NOTA DE CREDITO","Cuentas por Pagar Comerciales - Terceros (Emitidas)",IF(Registro_Compras!$F$183="RHE","Honorarios Profesionales - Servicios de Terceros","Gastos de Servicios Prestados por Terceros")))</f>
        <v/>
      </c>
      <c r="E1616" s="20">
        <f>IF($C1616="","",IF(Registro_Compras!$F$183="NOTA DE CREDITO",ABS(Registro_Compras!$O$183),IF(Registro_Compras!$F$183="RHE",ROUND(Registro_Compras!$L$183*Registro_Compras!$N$183,2),ROUND(Registro_Compras!$J$183*Registro_Compras!$N$183,2))))</f>
        <v/>
      </c>
      <c r="F1616" s="20">
        <f>""</f>
        <v/>
      </c>
      <c r="G1616">
        <f>IF($C1616="","",IF(Registro_Compras!$F$183="NOTA DE CREDITO","Por la nota de credito "&amp;Registro_Compras!$C$183&amp;" de "&amp;Registro_Compras!$E$183&amp;" [PATRON POR CONFIRMAR CON CONTADOR]",IF(Registro_Compras!$F$183="RHE","Por el registro del recibo por honorarios "&amp;Registro_Compras!$C$183&amp;" de "&amp;Registro_Compras!$E$183&amp;" [PATRON POR CONFIRMAR CON CONTADOR]","Por el registro de la factura "&amp;Registro_Compras!$C$183&amp;" de "&amp;Registro_Compras!$E$183)))</f>
        <v/>
      </c>
      <c r="H1616">
        <f>IF($C1616="","",Registro_Compras!$C$183)</f>
        <v/>
      </c>
    </row>
    <row r="1617">
      <c r="A1617" s="25">
        <f>IF($C1617="","",Registro_Compras!$B$183)</f>
        <v/>
      </c>
      <c r="B1617">
        <f>IF($C1617="","","C"&amp;TEXT(INT((ROW()-5)/9)+1,"000")&amp;"-1")</f>
        <v/>
      </c>
      <c r="C1617">
        <f>IF(OR(Registro_Compras!$C$183="",Registro_Compras!$O$183=""),"",IF(Registro_Compras!$F$183="RHE",IF(Registro_Compras!$V$183=0,"","40172"),IF(Registro_Compras!$F$183="NOTA DE CREDITO",IF(Registro_Compras!$M$183="","63",Registro_Compras!$M$183),IF(Registro_Compras!$K$183=0,"","40111"))))</f>
        <v/>
      </c>
      <c r="D1617">
        <f>IF(OR(Registro_Compras!$C$183="",Registro_Compras!$O$183=""),"",IF(Registro_Compras!$F$183="RHE","Retencion Renta 4ta Categoria por Pagar",IF(Registro_Compras!$F$183="NOTA DE CREDITO","Gastos de Servicios Prestados por Terceros","IGV - Cuenta Propia (Credito Fiscal)")))</f>
        <v/>
      </c>
      <c r="E1617" s="20">
        <f>IF($C1617="","",IF(Registro_Compras!$F$183="FACTURA",ROUND(Registro_Compras!$K$183*Registro_Compras!$N$183,2),""))</f>
        <v/>
      </c>
      <c r="F1617" s="20">
        <f>IF($C1617="","",IF(Registro_Compras!$F$183="RHE",ROUND(Registro_Compras!$V$183*Registro_Compras!$N$183,2),IF(Registro_Compras!$F$183="NOTA DE CREDITO",ROUND(ABS(Registro_Compras!$J$183*Registro_Compras!$N$183),2),"")))</f>
        <v/>
      </c>
      <c r="G1617">
        <f>IF($C1617="","",IF(Registro_Compras!$F$183="NOTA DE CREDITO","Por la nota de credito "&amp;Registro_Compras!$C$183&amp;" de "&amp;Registro_Compras!$E$183&amp;" [PATRON POR CONFIRMAR CON CONTADOR]",IF(Registro_Compras!$F$183="RHE","Por el registro del recibo por honorarios "&amp;Registro_Compras!$C$183&amp;" de "&amp;Registro_Compras!$E$183&amp;" [PATRON POR CONFIRMAR CON CONTADOR]","Por el registro de la factura "&amp;Registro_Compras!$C$183&amp;" de "&amp;Registro_Compras!$E$183)))</f>
        <v/>
      </c>
      <c r="H1617">
        <f>IF($C1617="","",Registro_Compras!$C$183)</f>
        <v/>
      </c>
    </row>
    <row r="1618">
      <c r="A1618" s="25">
        <f>IF($C1618="","",Registro_Compras!$B$183)</f>
        <v/>
      </c>
      <c r="B1618">
        <f>IF($C1618="","","C"&amp;TEXT(INT((ROW()-5)/9)+1,"000")&amp;"-1")</f>
        <v/>
      </c>
      <c r="C1618">
        <f>IF(OR(Registro_Compras!$C$183="",Registro_Compras!$O$183=""),"",IF(Registro_Compras!$F$183="NOTA DE CREDITO",IF(Registro_Compras!$K$183=0,"","40111"),"4212"))</f>
        <v/>
      </c>
      <c r="D1618">
        <f>IF(OR(Registro_Compras!$C$183="",Registro_Compras!$O$183=""),"",IF(Registro_Compras!$F$183="NOTA DE CREDITO","IGV - Cuenta Propia (Credito Fiscal)","Cuentas por Pagar Comerciales - Terceros (Emitidas)"))</f>
        <v/>
      </c>
      <c r="E1618" s="20">
        <f>""</f>
        <v/>
      </c>
      <c r="F1618" s="20">
        <f>IF($C1618="","",IF(Registro_Compras!$F$183="NOTA DE CREDITO",ROUND(ABS(Registro_Compras!$K$183*Registro_Compras!$N$183),2),IF(Registro_Compras!$F$183="RHE",(ROUND(Registro_Compras!$L$183*Registro_Compras!$N$183,2)-ROUND(Registro_Compras!$V$183*Registro_Compras!$N$183,2)),Registro_Compras!$O$183)))</f>
        <v/>
      </c>
      <c r="G1618">
        <f>IF($C1618="","",IF(Registro_Compras!$F$183="NOTA DE CREDITO","Por la nota de credito "&amp;Registro_Compras!$C$183&amp;" de "&amp;Registro_Compras!$E$183&amp;" [PATRON POR CONFIRMAR CON CONTADOR]",IF(Registro_Compras!$F$183="RHE","Por el registro del recibo por honorarios "&amp;Registro_Compras!$C$183&amp;" de "&amp;Registro_Compras!$E$183&amp;" [PATRON POR CONFIRMAR CON CONTADOR]","Por el registro de la factura "&amp;Registro_Compras!$C$183&amp;" de "&amp;Registro_Compras!$E$183)))</f>
        <v/>
      </c>
      <c r="H1618">
        <f>IF($C1618="","",Registro_Compras!$C$183)</f>
        <v/>
      </c>
    </row>
    <row r="1619">
      <c r="A1619" s="25">
        <f>IF($C1619="","",Registro_Compras!$B$183)</f>
        <v/>
      </c>
      <c r="B1619">
        <f>IF($C1619="","","C"&amp;TEXT(INT((ROW()-5)/9)+1,"000")&amp;"-2")</f>
        <v/>
      </c>
      <c r="C1619">
        <f>IF(OR(Registro_Compras!$C$183="",Registro_Compras!$O$183=""),"",IF(Registro_Compras!$AB$183="ADMINISTRATIVO","94","95"))</f>
        <v/>
      </c>
      <c r="D1619">
        <f>IF(OR(Registro_Compras!$C$183="",Registro_Compras!$O$183=""),"",IF(Registro_Compras!$AB$183="ADMINISTRATIVO","Gastos Administrativos","Gastos de Venta y Operacion"))</f>
        <v/>
      </c>
      <c r="E1619" s="20">
        <f>IF($C1619="","",IF(Registro_Compras!$F$183="NOTA DE CREDITO","",IF(Registro_Compras!$F$183="RHE",ROUND(Registro_Compras!$L$183*Registro_Compras!$N$183,2),ROUND(Registro_Compras!$J$183*Registro_Compras!$N$183,2))))</f>
        <v/>
      </c>
      <c r="F1619" s="20">
        <f>IF($C1619="","",IF(Registro_Compras!$F$183="NOTA DE CREDITO",ROUND(ABS(Registro_Compras!$J$183*Registro_Compras!$N$183),2),""))</f>
        <v/>
      </c>
      <c r="G1619">
        <f>IF($C1619="","","Por el destino del gasto")</f>
        <v/>
      </c>
      <c r="H1619">
        <f>IF($C1619="","",Registro_Compras!$C$183)</f>
        <v/>
      </c>
    </row>
    <row r="1620">
      <c r="A1620" s="25">
        <f>IF($C1620="","",Registro_Compras!$B$183)</f>
        <v/>
      </c>
      <c r="B1620">
        <f>IF($C1620="","","C"&amp;TEXT(INT((ROW()-5)/9)+1,"000")&amp;"-2")</f>
        <v/>
      </c>
      <c r="C1620">
        <f>IF(OR(Registro_Compras!$C$183="",Registro_Compras!$O$183=""),"","79/791")</f>
        <v/>
      </c>
      <c r="D1620">
        <f>IF(OR(Registro_Compras!$C$183="",Registro_Compras!$O$183=""),"","Cargas Imputables a Cuentas de Costos y Gastos")</f>
        <v/>
      </c>
      <c r="E1620" s="20">
        <f>IF($C1620="","",IF(Registro_Compras!$F$183="NOTA DE CREDITO",ROUND(ABS(Registro_Compras!$J$183*Registro_Compras!$N$183),2),""))</f>
        <v/>
      </c>
      <c r="F1620" s="20">
        <f>IF($C1620="","",IF(Registro_Compras!$F$183="NOTA DE CREDITO","",IF(Registro_Compras!$F$183="RHE",ROUND(Registro_Compras!$L$183*Registro_Compras!$N$183,2),ROUND(Registro_Compras!$J$183*Registro_Compras!$N$183,2))))</f>
        <v/>
      </c>
      <c r="G1620">
        <f>IF($C1620="","","Por el destino del gasto")</f>
        <v/>
      </c>
      <c r="H1620">
        <f>IF($C1620="","",Registro_Compras!$C$183)</f>
        <v/>
      </c>
    </row>
    <row r="1621">
      <c r="A1621" s="25">
        <f>IF($C1621="","",Registro_Compras!$X$183)</f>
        <v/>
      </c>
      <c r="B1621">
        <f>IF($C1621="","","C"&amp;TEXT(INT((ROW()-5)/9)+1,"000")&amp;"-3")</f>
        <v/>
      </c>
      <c r="C1621">
        <f>IF(OR(Registro_Compras!$C$183="",Registro_Compras!$O$183="",Registro_Compras!$R$183&lt;&gt;"SI",Registro_Compras!$X$183=""),"","4212")</f>
        <v/>
      </c>
      <c r="D1621">
        <f>IF(OR(Registro_Compras!$C$183="",Registro_Compras!$O$183=""),"","Cuentas por Pagar Comerciales - Terceros")</f>
        <v/>
      </c>
      <c r="E1621" s="20">
        <f>IF($C1621="","",Registro_Compras!$S$183)</f>
        <v/>
      </c>
      <c r="F1621" s="20">
        <f>""</f>
        <v/>
      </c>
      <c r="G1621">
        <f>IF($C1621="","","Por el deposito de la detraccion en el Banco de la Nacion")</f>
        <v/>
      </c>
      <c r="H1621">
        <f>IF($C1621="","",Registro_Compras!$C$183)</f>
        <v/>
      </c>
    </row>
    <row r="1622">
      <c r="A1622" s="25">
        <f>IF($C1622="","",Registro_Compras!$X$183)</f>
        <v/>
      </c>
      <c r="B1622">
        <f>IF($C1622="","","C"&amp;TEXT(INT((ROW()-5)/9)+1,"000")&amp;"-3")</f>
        <v/>
      </c>
      <c r="C1622">
        <f>IF(OR(Registro_Compras!$C$183="",Registro_Compras!$O$183="",Registro_Compras!$R$183&lt;&gt;"SI",Registro_Compras!$X$183=""),"","10413")</f>
        <v/>
      </c>
      <c r="D1622">
        <f>IF(OR(Registro_Compras!$C$183="",Registro_Compras!$O$183=""),"","Efectivo y Equivalentes - Cta. Cte. Operativa")</f>
        <v/>
      </c>
      <c r="E1622" s="20">
        <f>""</f>
        <v/>
      </c>
      <c r="F1622" s="20">
        <f>IF($C1622="","",Registro_Compras!$S$183)</f>
        <v/>
      </c>
      <c r="G1622">
        <f>IF($C1622="","","Por el deposito de la detraccion en el Banco de la Nacion")</f>
        <v/>
      </c>
      <c r="H1622">
        <f>IF($C1622="","",Registro_Compras!$C$183)</f>
        <v/>
      </c>
    </row>
    <row r="1623">
      <c r="A1623" s="25">
        <f>IF($C1623="","",Registro_Compras!$Y$183)</f>
        <v/>
      </c>
      <c r="B1623">
        <f>IF($C1623="","","C"&amp;TEXT(INT((ROW()-5)/9)+1,"000")&amp;"-4")</f>
        <v/>
      </c>
      <c r="C1623">
        <f>IF(OR(Registro_Compras!$C$183="",Registro_Compras!$O$183="",Registro_Compras!$Y$183="",Registro_Compras!$F$183="NOTA DE CREDITO"),"","4212")</f>
        <v/>
      </c>
      <c r="D1623">
        <f>IF(OR(Registro_Compras!$C$183="",Registro_Compras!$O$183=""),"","Cuentas por Pagar Comerciales - Terceros")</f>
        <v/>
      </c>
      <c r="E1623" s="20">
        <f>IF($C1623="","",IF(Registro_Compras!$F$183="RHE",(ROUND(Registro_Compras!$L$183*Registro_Compras!$N$183,2)-ROUND(Registro_Compras!$V$183*Registro_Compras!$N$183,2)),ROUND(Registro_Compras!$O$183-Registro_Compras!$S$183,2)))</f>
        <v/>
      </c>
      <c r="F1623" s="20">
        <f>""</f>
        <v/>
      </c>
      <c r="G1623">
        <f>IF($C1623="","","Por la cancelacion del saldo al proveedor")</f>
        <v/>
      </c>
      <c r="H1623">
        <f>IF($C1623="","",Registro_Compras!$C$183)</f>
        <v/>
      </c>
    </row>
    <row r="1624">
      <c r="A1624" s="25">
        <f>IF($C1624="","",Registro_Compras!$Y$183)</f>
        <v/>
      </c>
      <c r="B1624">
        <f>IF($C1624="","","C"&amp;TEXT(INT((ROW()-5)/9)+1,"000")&amp;"-4")</f>
        <v/>
      </c>
      <c r="C1624">
        <f>IF(OR(Registro_Compras!$C$183="",Registro_Compras!$O$183="",Registro_Compras!$Y$183="",Registro_Compras!$F$183="NOTA DE CREDITO"),"","10413")</f>
        <v/>
      </c>
      <c r="D1624">
        <f>IF(OR(Registro_Compras!$C$183="",Registro_Compras!$O$183=""),"","Efectivo y Equivalentes - Cta. Cte. Operativa")</f>
        <v/>
      </c>
      <c r="E1624" s="20">
        <f>""</f>
        <v/>
      </c>
      <c r="F1624" s="20">
        <f>IF($C1624="","",IF(Registro_Compras!$F$183="RHE",(ROUND(Registro_Compras!$L$183*Registro_Compras!$N$183,2)-ROUND(Registro_Compras!$V$183*Registro_Compras!$N$183,2)),ROUND(Registro_Compras!$O$183-Registro_Compras!$S$183,2)))</f>
        <v/>
      </c>
      <c r="G1624">
        <f>IF($C1624="","","Por la cancelacion del saldo al proveedor")</f>
        <v/>
      </c>
      <c r="H1624">
        <f>IF($C1624="","",Registro_Compras!$C$183)</f>
        <v/>
      </c>
    </row>
    <row r="1625">
      <c r="A1625" s="25">
        <f>IF($C1625="","",Registro_Compras!$B$184)</f>
        <v/>
      </c>
      <c r="B1625">
        <f>IF($C1625="","","C"&amp;TEXT(INT((ROW()-5)/9)+1,"000")&amp;"-1")</f>
        <v/>
      </c>
      <c r="C1625">
        <f>IF(OR(Registro_Compras!$C$184="",Registro_Compras!$O$184=""),"",IF(Registro_Compras!$F$184="NOTA DE CREDITO","4212",IF(Registro_Compras!$M$184="","63",Registro_Compras!$M$184)))</f>
        <v/>
      </c>
      <c r="D1625">
        <f>IF(OR(Registro_Compras!$C$184="",Registro_Compras!$O$184=""),"",IF(Registro_Compras!$F$184="NOTA DE CREDITO","Cuentas por Pagar Comerciales - Terceros (Emitidas)",IF(Registro_Compras!$F$184="RHE","Honorarios Profesionales - Servicios de Terceros","Gastos de Servicios Prestados por Terceros")))</f>
        <v/>
      </c>
      <c r="E1625" s="20">
        <f>IF($C1625="","",IF(Registro_Compras!$F$184="NOTA DE CREDITO",ABS(Registro_Compras!$O$184),IF(Registro_Compras!$F$184="RHE",ROUND(Registro_Compras!$L$184*Registro_Compras!$N$184,2),ROUND(Registro_Compras!$J$184*Registro_Compras!$N$184,2))))</f>
        <v/>
      </c>
      <c r="F1625" s="20">
        <f>""</f>
        <v/>
      </c>
      <c r="G1625">
        <f>IF($C1625="","",IF(Registro_Compras!$F$184="NOTA DE CREDITO","Por la nota de credito "&amp;Registro_Compras!$C$184&amp;" de "&amp;Registro_Compras!$E$184&amp;" [PATRON POR CONFIRMAR CON CONTADOR]",IF(Registro_Compras!$F$184="RHE","Por el registro del recibo por honorarios "&amp;Registro_Compras!$C$184&amp;" de "&amp;Registro_Compras!$E$184&amp;" [PATRON POR CONFIRMAR CON CONTADOR]","Por el registro de la factura "&amp;Registro_Compras!$C$184&amp;" de "&amp;Registro_Compras!$E$184)))</f>
        <v/>
      </c>
      <c r="H1625">
        <f>IF($C1625="","",Registro_Compras!$C$184)</f>
        <v/>
      </c>
    </row>
    <row r="1626">
      <c r="A1626" s="25">
        <f>IF($C1626="","",Registro_Compras!$B$184)</f>
        <v/>
      </c>
      <c r="B1626">
        <f>IF($C1626="","","C"&amp;TEXT(INT((ROW()-5)/9)+1,"000")&amp;"-1")</f>
        <v/>
      </c>
      <c r="C1626">
        <f>IF(OR(Registro_Compras!$C$184="",Registro_Compras!$O$184=""),"",IF(Registro_Compras!$F$184="RHE",IF(Registro_Compras!$V$184=0,"","40172"),IF(Registro_Compras!$F$184="NOTA DE CREDITO",IF(Registro_Compras!$M$184="","63",Registro_Compras!$M$184),IF(Registro_Compras!$K$184=0,"","40111"))))</f>
        <v/>
      </c>
      <c r="D1626">
        <f>IF(OR(Registro_Compras!$C$184="",Registro_Compras!$O$184=""),"",IF(Registro_Compras!$F$184="RHE","Retencion Renta 4ta Categoria por Pagar",IF(Registro_Compras!$F$184="NOTA DE CREDITO","Gastos de Servicios Prestados por Terceros","IGV - Cuenta Propia (Credito Fiscal)")))</f>
        <v/>
      </c>
      <c r="E1626" s="20">
        <f>IF($C1626="","",IF(Registro_Compras!$F$184="FACTURA",ROUND(Registro_Compras!$K$184*Registro_Compras!$N$184,2),""))</f>
        <v/>
      </c>
      <c r="F1626" s="20">
        <f>IF($C1626="","",IF(Registro_Compras!$F$184="RHE",ROUND(Registro_Compras!$V$184*Registro_Compras!$N$184,2),IF(Registro_Compras!$F$184="NOTA DE CREDITO",ROUND(ABS(Registro_Compras!$J$184*Registro_Compras!$N$184),2),"")))</f>
        <v/>
      </c>
      <c r="G1626">
        <f>IF($C1626="","",IF(Registro_Compras!$F$184="NOTA DE CREDITO","Por la nota de credito "&amp;Registro_Compras!$C$184&amp;" de "&amp;Registro_Compras!$E$184&amp;" [PATRON POR CONFIRMAR CON CONTADOR]",IF(Registro_Compras!$F$184="RHE","Por el registro del recibo por honorarios "&amp;Registro_Compras!$C$184&amp;" de "&amp;Registro_Compras!$E$184&amp;" [PATRON POR CONFIRMAR CON CONTADOR]","Por el registro de la factura "&amp;Registro_Compras!$C$184&amp;" de "&amp;Registro_Compras!$E$184)))</f>
        <v/>
      </c>
      <c r="H1626">
        <f>IF($C1626="","",Registro_Compras!$C$184)</f>
        <v/>
      </c>
    </row>
    <row r="1627">
      <c r="A1627" s="25">
        <f>IF($C1627="","",Registro_Compras!$B$184)</f>
        <v/>
      </c>
      <c r="B1627">
        <f>IF($C1627="","","C"&amp;TEXT(INT((ROW()-5)/9)+1,"000")&amp;"-1")</f>
        <v/>
      </c>
      <c r="C1627">
        <f>IF(OR(Registro_Compras!$C$184="",Registro_Compras!$O$184=""),"",IF(Registro_Compras!$F$184="NOTA DE CREDITO",IF(Registro_Compras!$K$184=0,"","40111"),"4212"))</f>
        <v/>
      </c>
      <c r="D1627">
        <f>IF(OR(Registro_Compras!$C$184="",Registro_Compras!$O$184=""),"",IF(Registro_Compras!$F$184="NOTA DE CREDITO","IGV - Cuenta Propia (Credito Fiscal)","Cuentas por Pagar Comerciales - Terceros (Emitidas)"))</f>
        <v/>
      </c>
      <c r="E1627" s="20">
        <f>""</f>
        <v/>
      </c>
      <c r="F1627" s="20">
        <f>IF($C1627="","",IF(Registro_Compras!$F$184="NOTA DE CREDITO",ROUND(ABS(Registro_Compras!$K$184*Registro_Compras!$N$184),2),IF(Registro_Compras!$F$184="RHE",(ROUND(Registro_Compras!$L$184*Registro_Compras!$N$184,2)-ROUND(Registro_Compras!$V$184*Registro_Compras!$N$184,2)),Registro_Compras!$O$184)))</f>
        <v/>
      </c>
      <c r="G1627">
        <f>IF($C1627="","",IF(Registro_Compras!$F$184="NOTA DE CREDITO","Por la nota de credito "&amp;Registro_Compras!$C$184&amp;" de "&amp;Registro_Compras!$E$184&amp;" [PATRON POR CONFIRMAR CON CONTADOR]",IF(Registro_Compras!$F$184="RHE","Por el registro del recibo por honorarios "&amp;Registro_Compras!$C$184&amp;" de "&amp;Registro_Compras!$E$184&amp;" [PATRON POR CONFIRMAR CON CONTADOR]","Por el registro de la factura "&amp;Registro_Compras!$C$184&amp;" de "&amp;Registro_Compras!$E$184)))</f>
        <v/>
      </c>
      <c r="H1627">
        <f>IF($C1627="","",Registro_Compras!$C$184)</f>
        <v/>
      </c>
    </row>
    <row r="1628">
      <c r="A1628" s="25">
        <f>IF($C1628="","",Registro_Compras!$B$184)</f>
        <v/>
      </c>
      <c r="B1628">
        <f>IF($C1628="","","C"&amp;TEXT(INT((ROW()-5)/9)+1,"000")&amp;"-2")</f>
        <v/>
      </c>
      <c r="C1628">
        <f>IF(OR(Registro_Compras!$C$184="",Registro_Compras!$O$184=""),"",IF(Registro_Compras!$AB$184="ADMINISTRATIVO","94","95"))</f>
        <v/>
      </c>
      <c r="D1628">
        <f>IF(OR(Registro_Compras!$C$184="",Registro_Compras!$O$184=""),"",IF(Registro_Compras!$AB$184="ADMINISTRATIVO","Gastos Administrativos","Gastos de Venta y Operacion"))</f>
        <v/>
      </c>
      <c r="E1628" s="20">
        <f>IF($C1628="","",IF(Registro_Compras!$F$184="NOTA DE CREDITO","",IF(Registro_Compras!$F$184="RHE",ROUND(Registro_Compras!$L$184*Registro_Compras!$N$184,2),ROUND(Registro_Compras!$J$184*Registro_Compras!$N$184,2))))</f>
        <v/>
      </c>
      <c r="F1628" s="20">
        <f>IF($C1628="","",IF(Registro_Compras!$F$184="NOTA DE CREDITO",ROUND(ABS(Registro_Compras!$J$184*Registro_Compras!$N$184),2),""))</f>
        <v/>
      </c>
      <c r="G1628">
        <f>IF($C1628="","","Por el destino del gasto")</f>
        <v/>
      </c>
      <c r="H1628">
        <f>IF($C1628="","",Registro_Compras!$C$184)</f>
        <v/>
      </c>
    </row>
    <row r="1629">
      <c r="A1629" s="25">
        <f>IF($C1629="","",Registro_Compras!$B$184)</f>
        <v/>
      </c>
      <c r="B1629">
        <f>IF($C1629="","","C"&amp;TEXT(INT((ROW()-5)/9)+1,"000")&amp;"-2")</f>
        <v/>
      </c>
      <c r="C1629">
        <f>IF(OR(Registro_Compras!$C$184="",Registro_Compras!$O$184=""),"","79/791")</f>
        <v/>
      </c>
      <c r="D1629">
        <f>IF(OR(Registro_Compras!$C$184="",Registro_Compras!$O$184=""),"","Cargas Imputables a Cuentas de Costos y Gastos")</f>
        <v/>
      </c>
      <c r="E1629" s="20">
        <f>IF($C1629="","",IF(Registro_Compras!$F$184="NOTA DE CREDITO",ROUND(ABS(Registro_Compras!$J$184*Registro_Compras!$N$184),2),""))</f>
        <v/>
      </c>
      <c r="F1629" s="20">
        <f>IF($C1629="","",IF(Registro_Compras!$F$184="NOTA DE CREDITO","",IF(Registro_Compras!$F$184="RHE",ROUND(Registro_Compras!$L$184*Registro_Compras!$N$184,2),ROUND(Registro_Compras!$J$184*Registro_Compras!$N$184,2))))</f>
        <v/>
      </c>
      <c r="G1629">
        <f>IF($C1629="","","Por el destino del gasto")</f>
        <v/>
      </c>
      <c r="H1629">
        <f>IF($C1629="","",Registro_Compras!$C$184)</f>
        <v/>
      </c>
    </row>
    <row r="1630">
      <c r="A1630" s="25">
        <f>IF($C1630="","",Registro_Compras!$X$184)</f>
        <v/>
      </c>
      <c r="B1630">
        <f>IF($C1630="","","C"&amp;TEXT(INT((ROW()-5)/9)+1,"000")&amp;"-3")</f>
        <v/>
      </c>
      <c r="C1630">
        <f>IF(OR(Registro_Compras!$C$184="",Registro_Compras!$O$184="",Registro_Compras!$R$184&lt;&gt;"SI",Registro_Compras!$X$184=""),"","4212")</f>
        <v/>
      </c>
      <c r="D1630">
        <f>IF(OR(Registro_Compras!$C$184="",Registro_Compras!$O$184=""),"","Cuentas por Pagar Comerciales - Terceros")</f>
        <v/>
      </c>
      <c r="E1630" s="20">
        <f>IF($C1630="","",Registro_Compras!$S$184)</f>
        <v/>
      </c>
      <c r="F1630" s="20">
        <f>""</f>
        <v/>
      </c>
      <c r="G1630">
        <f>IF($C1630="","","Por el deposito de la detraccion en el Banco de la Nacion")</f>
        <v/>
      </c>
      <c r="H1630">
        <f>IF($C1630="","",Registro_Compras!$C$184)</f>
        <v/>
      </c>
    </row>
    <row r="1631">
      <c r="A1631" s="25">
        <f>IF($C1631="","",Registro_Compras!$X$184)</f>
        <v/>
      </c>
      <c r="B1631">
        <f>IF($C1631="","","C"&amp;TEXT(INT((ROW()-5)/9)+1,"000")&amp;"-3")</f>
        <v/>
      </c>
      <c r="C1631">
        <f>IF(OR(Registro_Compras!$C$184="",Registro_Compras!$O$184="",Registro_Compras!$R$184&lt;&gt;"SI",Registro_Compras!$X$184=""),"","10413")</f>
        <v/>
      </c>
      <c r="D1631">
        <f>IF(OR(Registro_Compras!$C$184="",Registro_Compras!$O$184=""),"","Efectivo y Equivalentes - Cta. Cte. Operativa")</f>
        <v/>
      </c>
      <c r="E1631" s="20">
        <f>""</f>
        <v/>
      </c>
      <c r="F1631" s="20">
        <f>IF($C1631="","",Registro_Compras!$S$184)</f>
        <v/>
      </c>
      <c r="G1631">
        <f>IF($C1631="","","Por el deposito de la detraccion en el Banco de la Nacion")</f>
        <v/>
      </c>
      <c r="H1631">
        <f>IF($C1631="","",Registro_Compras!$C$184)</f>
        <v/>
      </c>
    </row>
    <row r="1632">
      <c r="A1632" s="25">
        <f>IF($C1632="","",Registro_Compras!$Y$184)</f>
        <v/>
      </c>
      <c r="B1632">
        <f>IF($C1632="","","C"&amp;TEXT(INT((ROW()-5)/9)+1,"000")&amp;"-4")</f>
        <v/>
      </c>
      <c r="C1632">
        <f>IF(OR(Registro_Compras!$C$184="",Registro_Compras!$O$184="",Registro_Compras!$Y$184="",Registro_Compras!$F$184="NOTA DE CREDITO"),"","4212")</f>
        <v/>
      </c>
      <c r="D1632">
        <f>IF(OR(Registro_Compras!$C$184="",Registro_Compras!$O$184=""),"","Cuentas por Pagar Comerciales - Terceros")</f>
        <v/>
      </c>
      <c r="E1632" s="20">
        <f>IF($C1632="","",IF(Registro_Compras!$F$184="RHE",(ROUND(Registro_Compras!$L$184*Registro_Compras!$N$184,2)-ROUND(Registro_Compras!$V$184*Registro_Compras!$N$184,2)),ROUND(Registro_Compras!$O$184-Registro_Compras!$S$184,2)))</f>
        <v/>
      </c>
      <c r="F1632" s="20">
        <f>""</f>
        <v/>
      </c>
      <c r="G1632">
        <f>IF($C1632="","","Por la cancelacion del saldo al proveedor")</f>
        <v/>
      </c>
      <c r="H1632">
        <f>IF($C1632="","",Registro_Compras!$C$184)</f>
        <v/>
      </c>
    </row>
    <row r="1633">
      <c r="A1633" s="25">
        <f>IF($C1633="","",Registro_Compras!$Y$184)</f>
        <v/>
      </c>
      <c r="B1633">
        <f>IF($C1633="","","C"&amp;TEXT(INT((ROW()-5)/9)+1,"000")&amp;"-4")</f>
        <v/>
      </c>
      <c r="C1633">
        <f>IF(OR(Registro_Compras!$C$184="",Registro_Compras!$O$184="",Registro_Compras!$Y$184="",Registro_Compras!$F$184="NOTA DE CREDITO"),"","10413")</f>
        <v/>
      </c>
      <c r="D1633">
        <f>IF(OR(Registro_Compras!$C$184="",Registro_Compras!$O$184=""),"","Efectivo y Equivalentes - Cta. Cte. Operativa")</f>
        <v/>
      </c>
      <c r="E1633" s="20">
        <f>""</f>
        <v/>
      </c>
      <c r="F1633" s="20">
        <f>IF($C1633="","",IF(Registro_Compras!$F$184="RHE",(ROUND(Registro_Compras!$L$184*Registro_Compras!$N$184,2)-ROUND(Registro_Compras!$V$184*Registro_Compras!$N$184,2)),ROUND(Registro_Compras!$O$184-Registro_Compras!$S$184,2)))</f>
        <v/>
      </c>
      <c r="G1633">
        <f>IF($C1633="","","Por la cancelacion del saldo al proveedor")</f>
        <v/>
      </c>
      <c r="H1633">
        <f>IF($C1633="","",Registro_Compras!$C$184)</f>
        <v/>
      </c>
    </row>
    <row r="1634">
      <c r="A1634" s="25">
        <f>IF($C1634="","",Registro_Compras!$B$185)</f>
        <v/>
      </c>
      <c r="B1634">
        <f>IF($C1634="","","C"&amp;TEXT(INT((ROW()-5)/9)+1,"000")&amp;"-1")</f>
        <v/>
      </c>
      <c r="C1634">
        <f>IF(OR(Registro_Compras!$C$185="",Registro_Compras!$O$185=""),"",IF(Registro_Compras!$F$185="NOTA DE CREDITO","4212",IF(Registro_Compras!$M$185="","63",Registro_Compras!$M$185)))</f>
        <v/>
      </c>
      <c r="D1634">
        <f>IF(OR(Registro_Compras!$C$185="",Registro_Compras!$O$185=""),"",IF(Registro_Compras!$F$185="NOTA DE CREDITO","Cuentas por Pagar Comerciales - Terceros (Emitidas)",IF(Registro_Compras!$F$185="RHE","Honorarios Profesionales - Servicios de Terceros","Gastos de Servicios Prestados por Terceros")))</f>
        <v/>
      </c>
      <c r="E1634" s="20">
        <f>IF($C1634="","",IF(Registro_Compras!$F$185="NOTA DE CREDITO",ABS(Registro_Compras!$O$185),IF(Registro_Compras!$F$185="RHE",ROUND(Registro_Compras!$L$185*Registro_Compras!$N$185,2),ROUND(Registro_Compras!$J$185*Registro_Compras!$N$185,2))))</f>
        <v/>
      </c>
      <c r="F1634" s="20">
        <f>""</f>
        <v/>
      </c>
      <c r="G1634">
        <f>IF($C1634="","",IF(Registro_Compras!$F$185="NOTA DE CREDITO","Por la nota de credito "&amp;Registro_Compras!$C$185&amp;" de "&amp;Registro_Compras!$E$185&amp;" [PATRON POR CONFIRMAR CON CONTADOR]",IF(Registro_Compras!$F$185="RHE","Por el registro del recibo por honorarios "&amp;Registro_Compras!$C$185&amp;" de "&amp;Registro_Compras!$E$185&amp;" [PATRON POR CONFIRMAR CON CONTADOR]","Por el registro de la factura "&amp;Registro_Compras!$C$185&amp;" de "&amp;Registro_Compras!$E$185)))</f>
        <v/>
      </c>
      <c r="H1634">
        <f>IF($C1634="","",Registro_Compras!$C$185)</f>
        <v/>
      </c>
    </row>
    <row r="1635">
      <c r="A1635" s="25">
        <f>IF($C1635="","",Registro_Compras!$B$185)</f>
        <v/>
      </c>
      <c r="B1635">
        <f>IF($C1635="","","C"&amp;TEXT(INT((ROW()-5)/9)+1,"000")&amp;"-1")</f>
        <v/>
      </c>
      <c r="C1635">
        <f>IF(OR(Registro_Compras!$C$185="",Registro_Compras!$O$185=""),"",IF(Registro_Compras!$F$185="RHE",IF(Registro_Compras!$V$185=0,"","40172"),IF(Registro_Compras!$F$185="NOTA DE CREDITO",IF(Registro_Compras!$M$185="","63",Registro_Compras!$M$185),IF(Registro_Compras!$K$185=0,"","40111"))))</f>
        <v/>
      </c>
      <c r="D1635">
        <f>IF(OR(Registro_Compras!$C$185="",Registro_Compras!$O$185=""),"",IF(Registro_Compras!$F$185="RHE","Retencion Renta 4ta Categoria por Pagar",IF(Registro_Compras!$F$185="NOTA DE CREDITO","Gastos de Servicios Prestados por Terceros","IGV - Cuenta Propia (Credito Fiscal)")))</f>
        <v/>
      </c>
      <c r="E1635" s="20">
        <f>IF($C1635="","",IF(Registro_Compras!$F$185="FACTURA",ROUND(Registro_Compras!$K$185*Registro_Compras!$N$185,2),""))</f>
        <v/>
      </c>
      <c r="F1635" s="20">
        <f>IF($C1635="","",IF(Registro_Compras!$F$185="RHE",ROUND(Registro_Compras!$V$185*Registro_Compras!$N$185,2),IF(Registro_Compras!$F$185="NOTA DE CREDITO",ROUND(ABS(Registro_Compras!$J$185*Registro_Compras!$N$185),2),"")))</f>
        <v/>
      </c>
      <c r="G1635">
        <f>IF($C1635="","",IF(Registro_Compras!$F$185="NOTA DE CREDITO","Por la nota de credito "&amp;Registro_Compras!$C$185&amp;" de "&amp;Registro_Compras!$E$185&amp;" [PATRON POR CONFIRMAR CON CONTADOR]",IF(Registro_Compras!$F$185="RHE","Por el registro del recibo por honorarios "&amp;Registro_Compras!$C$185&amp;" de "&amp;Registro_Compras!$E$185&amp;" [PATRON POR CONFIRMAR CON CONTADOR]","Por el registro de la factura "&amp;Registro_Compras!$C$185&amp;" de "&amp;Registro_Compras!$E$185)))</f>
        <v/>
      </c>
      <c r="H1635">
        <f>IF($C1635="","",Registro_Compras!$C$185)</f>
        <v/>
      </c>
    </row>
    <row r="1636">
      <c r="A1636" s="25">
        <f>IF($C1636="","",Registro_Compras!$B$185)</f>
        <v/>
      </c>
      <c r="B1636">
        <f>IF($C1636="","","C"&amp;TEXT(INT((ROW()-5)/9)+1,"000")&amp;"-1")</f>
        <v/>
      </c>
      <c r="C1636">
        <f>IF(OR(Registro_Compras!$C$185="",Registro_Compras!$O$185=""),"",IF(Registro_Compras!$F$185="NOTA DE CREDITO",IF(Registro_Compras!$K$185=0,"","40111"),"4212"))</f>
        <v/>
      </c>
      <c r="D1636">
        <f>IF(OR(Registro_Compras!$C$185="",Registro_Compras!$O$185=""),"",IF(Registro_Compras!$F$185="NOTA DE CREDITO","IGV - Cuenta Propia (Credito Fiscal)","Cuentas por Pagar Comerciales - Terceros (Emitidas)"))</f>
        <v/>
      </c>
      <c r="E1636" s="20">
        <f>""</f>
        <v/>
      </c>
      <c r="F1636" s="20">
        <f>IF($C1636="","",IF(Registro_Compras!$F$185="NOTA DE CREDITO",ROUND(ABS(Registro_Compras!$K$185*Registro_Compras!$N$185),2),IF(Registro_Compras!$F$185="RHE",(ROUND(Registro_Compras!$L$185*Registro_Compras!$N$185,2)-ROUND(Registro_Compras!$V$185*Registro_Compras!$N$185,2)),Registro_Compras!$O$185)))</f>
        <v/>
      </c>
      <c r="G1636">
        <f>IF($C1636="","",IF(Registro_Compras!$F$185="NOTA DE CREDITO","Por la nota de credito "&amp;Registro_Compras!$C$185&amp;" de "&amp;Registro_Compras!$E$185&amp;" [PATRON POR CONFIRMAR CON CONTADOR]",IF(Registro_Compras!$F$185="RHE","Por el registro del recibo por honorarios "&amp;Registro_Compras!$C$185&amp;" de "&amp;Registro_Compras!$E$185&amp;" [PATRON POR CONFIRMAR CON CONTADOR]","Por el registro de la factura "&amp;Registro_Compras!$C$185&amp;" de "&amp;Registro_Compras!$E$185)))</f>
        <v/>
      </c>
      <c r="H1636">
        <f>IF($C1636="","",Registro_Compras!$C$185)</f>
        <v/>
      </c>
    </row>
    <row r="1637">
      <c r="A1637" s="25">
        <f>IF($C1637="","",Registro_Compras!$B$185)</f>
        <v/>
      </c>
      <c r="B1637">
        <f>IF($C1637="","","C"&amp;TEXT(INT((ROW()-5)/9)+1,"000")&amp;"-2")</f>
        <v/>
      </c>
      <c r="C1637">
        <f>IF(OR(Registro_Compras!$C$185="",Registro_Compras!$O$185=""),"",IF(Registro_Compras!$AB$185="ADMINISTRATIVO","94","95"))</f>
        <v/>
      </c>
      <c r="D1637">
        <f>IF(OR(Registro_Compras!$C$185="",Registro_Compras!$O$185=""),"",IF(Registro_Compras!$AB$185="ADMINISTRATIVO","Gastos Administrativos","Gastos de Venta y Operacion"))</f>
        <v/>
      </c>
      <c r="E1637" s="20">
        <f>IF($C1637="","",IF(Registro_Compras!$F$185="NOTA DE CREDITO","",IF(Registro_Compras!$F$185="RHE",ROUND(Registro_Compras!$L$185*Registro_Compras!$N$185,2),ROUND(Registro_Compras!$J$185*Registro_Compras!$N$185,2))))</f>
        <v/>
      </c>
      <c r="F1637" s="20">
        <f>IF($C1637="","",IF(Registro_Compras!$F$185="NOTA DE CREDITO",ROUND(ABS(Registro_Compras!$J$185*Registro_Compras!$N$185),2),""))</f>
        <v/>
      </c>
      <c r="G1637">
        <f>IF($C1637="","","Por el destino del gasto")</f>
        <v/>
      </c>
      <c r="H1637">
        <f>IF($C1637="","",Registro_Compras!$C$185)</f>
        <v/>
      </c>
    </row>
    <row r="1638">
      <c r="A1638" s="25">
        <f>IF($C1638="","",Registro_Compras!$B$185)</f>
        <v/>
      </c>
      <c r="B1638">
        <f>IF($C1638="","","C"&amp;TEXT(INT((ROW()-5)/9)+1,"000")&amp;"-2")</f>
        <v/>
      </c>
      <c r="C1638">
        <f>IF(OR(Registro_Compras!$C$185="",Registro_Compras!$O$185=""),"","79/791")</f>
        <v/>
      </c>
      <c r="D1638">
        <f>IF(OR(Registro_Compras!$C$185="",Registro_Compras!$O$185=""),"","Cargas Imputables a Cuentas de Costos y Gastos")</f>
        <v/>
      </c>
      <c r="E1638" s="20">
        <f>IF($C1638="","",IF(Registro_Compras!$F$185="NOTA DE CREDITO",ROUND(ABS(Registro_Compras!$J$185*Registro_Compras!$N$185),2),""))</f>
        <v/>
      </c>
      <c r="F1638" s="20">
        <f>IF($C1638="","",IF(Registro_Compras!$F$185="NOTA DE CREDITO","",IF(Registro_Compras!$F$185="RHE",ROUND(Registro_Compras!$L$185*Registro_Compras!$N$185,2),ROUND(Registro_Compras!$J$185*Registro_Compras!$N$185,2))))</f>
        <v/>
      </c>
      <c r="G1638">
        <f>IF($C1638="","","Por el destino del gasto")</f>
        <v/>
      </c>
      <c r="H1638">
        <f>IF($C1638="","",Registro_Compras!$C$185)</f>
        <v/>
      </c>
    </row>
    <row r="1639">
      <c r="A1639" s="25">
        <f>IF($C1639="","",Registro_Compras!$X$185)</f>
        <v/>
      </c>
      <c r="B1639">
        <f>IF($C1639="","","C"&amp;TEXT(INT((ROW()-5)/9)+1,"000")&amp;"-3")</f>
        <v/>
      </c>
      <c r="C1639">
        <f>IF(OR(Registro_Compras!$C$185="",Registro_Compras!$O$185="",Registro_Compras!$R$185&lt;&gt;"SI",Registro_Compras!$X$185=""),"","4212")</f>
        <v/>
      </c>
      <c r="D1639">
        <f>IF(OR(Registro_Compras!$C$185="",Registro_Compras!$O$185=""),"","Cuentas por Pagar Comerciales - Terceros")</f>
        <v/>
      </c>
      <c r="E1639" s="20">
        <f>IF($C1639="","",Registro_Compras!$S$185)</f>
        <v/>
      </c>
      <c r="F1639" s="20">
        <f>""</f>
        <v/>
      </c>
      <c r="G1639">
        <f>IF($C1639="","","Por el deposito de la detraccion en el Banco de la Nacion")</f>
        <v/>
      </c>
      <c r="H1639">
        <f>IF($C1639="","",Registro_Compras!$C$185)</f>
        <v/>
      </c>
    </row>
    <row r="1640">
      <c r="A1640" s="25">
        <f>IF($C1640="","",Registro_Compras!$X$185)</f>
        <v/>
      </c>
      <c r="B1640">
        <f>IF($C1640="","","C"&amp;TEXT(INT((ROW()-5)/9)+1,"000")&amp;"-3")</f>
        <v/>
      </c>
      <c r="C1640">
        <f>IF(OR(Registro_Compras!$C$185="",Registro_Compras!$O$185="",Registro_Compras!$R$185&lt;&gt;"SI",Registro_Compras!$X$185=""),"","10413")</f>
        <v/>
      </c>
      <c r="D1640">
        <f>IF(OR(Registro_Compras!$C$185="",Registro_Compras!$O$185=""),"","Efectivo y Equivalentes - Cta. Cte. Operativa")</f>
        <v/>
      </c>
      <c r="E1640" s="20">
        <f>""</f>
        <v/>
      </c>
      <c r="F1640" s="20">
        <f>IF($C1640="","",Registro_Compras!$S$185)</f>
        <v/>
      </c>
      <c r="G1640">
        <f>IF($C1640="","","Por el deposito de la detraccion en el Banco de la Nacion")</f>
        <v/>
      </c>
      <c r="H1640">
        <f>IF($C1640="","",Registro_Compras!$C$185)</f>
        <v/>
      </c>
    </row>
    <row r="1641">
      <c r="A1641" s="25">
        <f>IF($C1641="","",Registro_Compras!$Y$185)</f>
        <v/>
      </c>
      <c r="B1641">
        <f>IF($C1641="","","C"&amp;TEXT(INT((ROW()-5)/9)+1,"000")&amp;"-4")</f>
        <v/>
      </c>
      <c r="C1641">
        <f>IF(OR(Registro_Compras!$C$185="",Registro_Compras!$O$185="",Registro_Compras!$Y$185="",Registro_Compras!$F$185="NOTA DE CREDITO"),"","4212")</f>
        <v/>
      </c>
      <c r="D1641">
        <f>IF(OR(Registro_Compras!$C$185="",Registro_Compras!$O$185=""),"","Cuentas por Pagar Comerciales - Terceros")</f>
        <v/>
      </c>
      <c r="E1641" s="20">
        <f>IF($C1641="","",IF(Registro_Compras!$F$185="RHE",(ROUND(Registro_Compras!$L$185*Registro_Compras!$N$185,2)-ROUND(Registro_Compras!$V$185*Registro_Compras!$N$185,2)),ROUND(Registro_Compras!$O$185-Registro_Compras!$S$185,2)))</f>
        <v/>
      </c>
      <c r="F1641" s="20">
        <f>""</f>
        <v/>
      </c>
      <c r="G1641">
        <f>IF($C1641="","","Por la cancelacion del saldo al proveedor")</f>
        <v/>
      </c>
      <c r="H1641">
        <f>IF($C1641="","",Registro_Compras!$C$185)</f>
        <v/>
      </c>
    </row>
    <row r="1642">
      <c r="A1642" s="25">
        <f>IF($C1642="","",Registro_Compras!$Y$185)</f>
        <v/>
      </c>
      <c r="B1642">
        <f>IF($C1642="","","C"&amp;TEXT(INT((ROW()-5)/9)+1,"000")&amp;"-4")</f>
        <v/>
      </c>
      <c r="C1642">
        <f>IF(OR(Registro_Compras!$C$185="",Registro_Compras!$O$185="",Registro_Compras!$Y$185="",Registro_Compras!$F$185="NOTA DE CREDITO"),"","10413")</f>
        <v/>
      </c>
      <c r="D1642">
        <f>IF(OR(Registro_Compras!$C$185="",Registro_Compras!$O$185=""),"","Efectivo y Equivalentes - Cta. Cte. Operativa")</f>
        <v/>
      </c>
      <c r="E1642" s="20">
        <f>""</f>
        <v/>
      </c>
      <c r="F1642" s="20">
        <f>IF($C1642="","",IF(Registro_Compras!$F$185="RHE",(ROUND(Registro_Compras!$L$185*Registro_Compras!$N$185,2)-ROUND(Registro_Compras!$V$185*Registro_Compras!$N$185,2)),ROUND(Registro_Compras!$O$185-Registro_Compras!$S$185,2)))</f>
        <v/>
      </c>
      <c r="G1642">
        <f>IF($C1642="","","Por la cancelacion del saldo al proveedor")</f>
        <v/>
      </c>
      <c r="H1642">
        <f>IF($C1642="","",Registro_Compras!$C$185)</f>
        <v/>
      </c>
    </row>
    <row r="1643">
      <c r="A1643" s="25">
        <f>IF($C1643="","",Registro_Compras!$B$186)</f>
        <v/>
      </c>
      <c r="B1643">
        <f>IF($C1643="","","C"&amp;TEXT(INT((ROW()-5)/9)+1,"000")&amp;"-1")</f>
        <v/>
      </c>
      <c r="C1643">
        <f>IF(OR(Registro_Compras!$C$186="",Registro_Compras!$O$186=""),"",IF(Registro_Compras!$F$186="NOTA DE CREDITO","4212",IF(Registro_Compras!$M$186="","63",Registro_Compras!$M$186)))</f>
        <v/>
      </c>
      <c r="D1643">
        <f>IF(OR(Registro_Compras!$C$186="",Registro_Compras!$O$186=""),"",IF(Registro_Compras!$F$186="NOTA DE CREDITO","Cuentas por Pagar Comerciales - Terceros (Emitidas)",IF(Registro_Compras!$F$186="RHE","Honorarios Profesionales - Servicios de Terceros","Gastos de Servicios Prestados por Terceros")))</f>
        <v/>
      </c>
      <c r="E1643" s="20">
        <f>IF($C1643="","",IF(Registro_Compras!$F$186="NOTA DE CREDITO",ABS(Registro_Compras!$O$186),IF(Registro_Compras!$F$186="RHE",ROUND(Registro_Compras!$L$186*Registro_Compras!$N$186,2),ROUND(Registro_Compras!$J$186*Registro_Compras!$N$186,2))))</f>
        <v/>
      </c>
      <c r="F1643" s="20">
        <f>""</f>
        <v/>
      </c>
      <c r="G1643">
        <f>IF($C1643="","",IF(Registro_Compras!$F$186="NOTA DE CREDITO","Por la nota de credito "&amp;Registro_Compras!$C$186&amp;" de "&amp;Registro_Compras!$E$186&amp;" [PATRON POR CONFIRMAR CON CONTADOR]",IF(Registro_Compras!$F$186="RHE","Por el registro del recibo por honorarios "&amp;Registro_Compras!$C$186&amp;" de "&amp;Registro_Compras!$E$186&amp;" [PATRON POR CONFIRMAR CON CONTADOR]","Por el registro de la factura "&amp;Registro_Compras!$C$186&amp;" de "&amp;Registro_Compras!$E$186)))</f>
        <v/>
      </c>
      <c r="H1643">
        <f>IF($C1643="","",Registro_Compras!$C$186)</f>
        <v/>
      </c>
    </row>
    <row r="1644">
      <c r="A1644" s="25">
        <f>IF($C1644="","",Registro_Compras!$B$186)</f>
        <v/>
      </c>
      <c r="B1644">
        <f>IF($C1644="","","C"&amp;TEXT(INT((ROW()-5)/9)+1,"000")&amp;"-1")</f>
        <v/>
      </c>
      <c r="C1644">
        <f>IF(OR(Registro_Compras!$C$186="",Registro_Compras!$O$186=""),"",IF(Registro_Compras!$F$186="RHE",IF(Registro_Compras!$V$186=0,"","40172"),IF(Registro_Compras!$F$186="NOTA DE CREDITO",IF(Registro_Compras!$M$186="","63",Registro_Compras!$M$186),IF(Registro_Compras!$K$186=0,"","40111"))))</f>
        <v/>
      </c>
      <c r="D1644">
        <f>IF(OR(Registro_Compras!$C$186="",Registro_Compras!$O$186=""),"",IF(Registro_Compras!$F$186="RHE","Retencion Renta 4ta Categoria por Pagar",IF(Registro_Compras!$F$186="NOTA DE CREDITO","Gastos de Servicios Prestados por Terceros","IGV - Cuenta Propia (Credito Fiscal)")))</f>
        <v/>
      </c>
      <c r="E1644" s="20">
        <f>IF($C1644="","",IF(Registro_Compras!$F$186="FACTURA",ROUND(Registro_Compras!$K$186*Registro_Compras!$N$186,2),""))</f>
        <v/>
      </c>
      <c r="F1644" s="20">
        <f>IF($C1644="","",IF(Registro_Compras!$F$186="RHE",ROUND(Registro_Compras!$V$186*Registro_Compras!$N$186,2),IF(Registro_Compras!$F$186="NOTA DE CREDITO",ROUND(ABS(Registro_Compras!$J$186*Registro_Compras!$N$186),2),"")))</f>
        <v/>
      </c>
      <c r="G1644">
        <f>IF($C1644="","",IF(Registro_Compras!$F$186="NOTA DE CREDITO","Por la nota de credito "&amp;Registro_Compras!$C$186&amp;" de "&amp;Registro_Compras!$E$186&amp;" [PATRON POR CONFIRMAR CON CONTADOR]",IF(Registro_Compras!$F$186="RHE","Por el registro del recibo por honorarios "&amp;Registro_Compras!$C$186&amp;" de "&amp;Registro_Compras!$E$186&amp;" [PATRON POR CONFIRMAR CON CONTADOR]","Por el registro de la factura "&amp;Registro_Compras!$C$186&amp;" de "&amp;Registro_Compras!$E$186)))</f>
        <v/>
      </c>
      <c r="H1644">
        <f>IF($C1644="","",Registro_Compras!$C$186)</f>
        <v/>
      </c>
    </row>
    <row r="1645">
      <c r="A1645" s="25">
        <f>IF($C1645="","",Registro_Compras!$B$186)</f>
        <v/>
      </c>
      <c r="B1645">
        <f>IF($C1645="","","C"&amp;TEXT(INT((ROW()-5)/9)+1,"000")&amp;"-1")</f>
        <v/>
      </c>
      <c r="C1645">
        <f>IF(OR(Registro_Compras!$C$186="",Registro_Compras!$O$186=""),"",IF(Registro_Compras!$F$186="NOTA DE CREDITO",IF(Registro_Compras!$K$186=0,"","40111"),"4212"))</f>
        <v/>
      </c>
      <c r="D1645">
        <f>IF(OR(Registro_Compras!$C$186="",Registro_Compras!$O$186=""),"",IF(Registro_Compras!$F$186="NOTA DE CREDITO","IGV - Cuenta Propia (Credito Fiscal)","Cuentas por Pagar Comerciales - Terceros (Emitidas)"))</f>
        <v/>
      </c>
      <c r="E1645" s="20">
        <f>""</f>
        <v/>
      </c>
      <c r="F1645" s="20">
        <f>IF($C1645="","",IF(Registro_Compras!$F$186="NOTA DE CREDITO",ROUND(ABS(Registro_Compras!$K$186*Registro_Compras!$N$186),2),IF(Registro_Compras!$F$186="RHE",(ROUND(Registro_Compras!$L$186*Registro_Compras!$N$186,2)-ROUND(Registro_Compras!$V$186*Registro_Compras!$N$186,2)),Registro_Compras!$O$186)))</f>
        <v/>
      </c>
      <c r="G1645">
        <f>IF($C1645="","",IF(Registro_Compras!$F$186="NOTA DE CREDITO","Por la nota de credito "&amp;Registro_Compras!$C$186&amp;" de "&amp;Registro_Compras!$E$186&amp;" [PATRON POR CONFIRMAR CON CONTADOR]",IF(Registro_Compras!$F$186="RHE","Por el registro del recibo por honorarios "&amp;Registro_Compras!$C$186&amp;" de "&amp;Registro_Compras!$E$186&amp;" [PATRON POR CONFIRMAR CON CONTADOR]","Por el registro de la factura "&amp;Registro_Compras!$C$186&amp;" de "&amp;Registro_Compras!$E$186)))</f>
        <v/>
      </c>
      <c r="H1645">
        <f>IF($C1645="","",Registro_Compras!$C$186)</f>
        <v/>
      </c>
    </row>
    <row r="1646">
      <c r="A1646" s="25">
        <f>IF($C1646="","",Registro_Compras!$B$186)</f>
        <v/>
      </c>
      <c r="B1646">
        <f>IF($C1646="","","C"&amp;TEXT(INT((ROW()-5)/9)+1,"000")&amp;"-2")</f>
        <v/>
      </c>
      <c r="C1646">
        <f>IF(OR(Registro_Compras!$C$186="",Registro_Compras!$O$186=""),"",IF(Registro_Compras!$AB$186="ADMINISTRATIVO","94","95"))</f>
        <v/>
      </c>
      <c r="D1646">
        <f>IF(OR(Registro_Compras!$C$186="",Registro_Compras!$O$186=""),"",IF(Registro_Compras!$AB$186="ADMINISTRATIVO","Gastos Administrativos","Gastos de Venta y Operacion"))</f>
        <v/>
      </c>
      <c r="E1646" s="20">
        <f>IF($C1646="","",IF(Registro_Compras!$F$186="NOTA DE CREDITO","",IF(Registro_Compras!$F$186="RHE",ROUND(Registro_Compras!$L$186*Registro_Compras!$N$186,2),ROUND(Registro_Compras!$J$186*Registro_Compras!$N$186,2))))</f>
        <v/>
      </c>
      <c r="F1646" s="20">
        <f>IF($C1646="","",IF(Registro_Compras!$F$186="NOTA DE CREDITO",ROUND(ABS(Registro_Compras!$J$186*Registro_Compras!$N$186),2),""))</f>
        <v/>
      </c>
      <c r="G1646">
        <f>IF($C1646="","","Por el destino del gasto")</f>
        <v/>
      </c>
      <c r="H1646">
        <f>IF($C1646="","",Registro_Compras!$C$186)</f>
        <v/>
      </c>
    </row>
    <row r="1647">
      <c r="A1647" s="25">
        <f>IF($C1647="","",Registro_Compras!$B$186)</f>
        <v/>
      </c>
      <c r="B1647">
        <f>IF($C1647="","","C"&amp;TEXT(INT((ROW()-5)/9)+1,"000")&amp;"-2")</f>
        <v/>
      </c>
      <c r="C1647">
        <f>IF(OR(Registro_Compras!$C$186="",Registro_Compras!$O$186=""),"","79/791")</f>
        <v/>
      </c>
      <c r="D1647">
        <f>IF(OR(Registro_Compras!$C$186="",Registro_Compras!$O$186=""),"","Cargas Imputables a Cuentas de Costos y Gastos")</f>
        <v/>
      </c>
      <c r="E1647" s="20">
        <f>IF($C1647="","",IF(Registro_Compras!$F$186="NOTA DE CREDITO",ROUND(ABS(Registro_Compras!$J$186*Registro_Compras!$N$186),2),""))</f>
        <v/>
      </c>
      <c r="F1647" s="20">
        <f>IF($C1647="","",IF(Registro_Compras!$F$186="NOTA DE CREDITO","",IF(Registro_Compras!$F$186="RHE",ROUND(Registro_Compras!$L$186*Registro_Compras!$N$186,2),ROUND(Registro_Compras!$J$186*Registro_Compras!$N$186,2))))</f>
        <v/>
      </c>
      <c r="G1647">
        <f>IF($C1647="","","Por el destino del gasto")</f>
        <v/>
      </c>
      <c r="H1647">
        <f>IF($C1647="","",Registro_Compras!$C$186)</f>
        <v/>
      </c>
    </row>
    <row r="1648">
      <c r="A1648" s="25">
        <f>IF($C1648="","",Registro_Compras!$X$186)</f>
        <v/>
      </c>
      <c r="B1648">
        <f>IF($C1648="","","C"&amp;TEXT(INT((ROW()-5)/9)+1,"000")&amp;"-3")</f>
        <v/>
      </c>
      <c r="C1648">
        <f>IF(OR(Registro_Compras!$C$186="",Registro_Compras!$O$186="",Registro_Compras!$R$186&lt;&gt;"SI",Registro_Compras!$X$186=""),"","4212")</f>
        <v/>
      </c>
      <c r="D1648">
        <f>IF(OR(Registro_Compras!$C$186="",Registro_Compras!$O$186=""),"","Cuentas por Pagar Comerciales - Terceros")</f>
        <v/>
      </c>
      <c r="E1648" s="20">
        <f>IF($C1648="","",Registro_Compras!$S$186)</f>
        <v/>
      </c>
      <c r="F1648" s="20">
        <f>""</f>
        <v/>
      </c>
      <c r="G1648">
        <f>IF($C1648="","","Por el deposito de la detraccion en el Banco de la Nacion")</f>
        <v/>
      </c>
      <c r="H1648">
        <f>IF($C1648="","",Registro_Compras!$C$186)</f>
        <v/>
      </c>
    </row>
    <row r="1649">
      <c r="A1649" s="25">
        <f>IF($C1649="","",Registro_Compras!$X$186)</f>
        <v/>
      </c>
      <c r="B1649">
        <f>IF($C1649="","","C"&amp;TEXT(INT((ROW()-5)/9)+1,"000")&amp;"-3")</f>
        <v/>
      </c>
      <c r="C1649">
        <f>IF(OR(Registro_Compras!$C$186="",Registro_Compras!$O$186="",Registro_Compras!$R$186&lt;&gt;"SI",Registro_Compras!$X$186=""),"","10413")</f>
        <v/>
      </c>
      <c r="D1649">
        <f>IF(OR(Registro_Compras!$C$186="",Registro_Compras!$O$186=""),"","Efectivo y Equivalentes - Cta. Cte. Operativa")</f>
        <v/>
      </c>
      <c r="E1649" s="20">
        <f>""</f>
        <v/>
      </c>
      <c r="F1649" s="20">
        <f>IF($C1649="","",Registro_Compras!$S$186)</f>
        <v/>
      </c>
      <c r="G1649">
        <f>IF($C1649="","","Por el deposito de la detraccion en el Banco de la Nacion")</f>
        <v/>
      </c>
      <c r="H1649">
        <f>IF($C1649="","",Registro_Compras!$C$186)</f>
        <v/>
      </c>
    </row>
    <row r="1650">
      <c r="A1650" s="25">
        <f>IF($C1650="","",Registro_Compras!$Y$186)</f>
        <v/>
      </c>
      <c r="B1650">
        <f>IF($C1650="","","C"&amp;TEXT(INT((ROW()-5)/9)+1,"000")&amp;"-4")</f>
        <v/>
      </c>
      <c r="C1650">
        <f>IF(OR(Registro_Compras!$C$186="",Registro_Compras!$O$186="",Registro_Compras!$Y$186="",Registro_Compras!$F$186="NOTA DE CREDITO"),"","4212")</f>
        <v/>
      </c>
      <c r="D1650">
        <f>IF(OR(Registro_Compras!$C$186="",Registro_Compras!$O$186=""),"","Cuentas por Pagar Comerciales - Terceros")</f>
        <v/>
      </c>
      <c r="E1650" s="20">
        <f>IF($C1650="","",IF(Registro_Compras!$F$186="RHE",(ROUND(Registro_Compras!$L$186*Registro_Compras!$N$186,2)-ROUND(Registro_Compras!$V$186*Registro_Compras!$N$186,2)),ROUND(Registro_Compras!$O$186-Registro_Compras!$S$186,2)))</f>
        <v/>
      </c>
      <c r="F1650" s="20">
        <f>""</f>
        <v/>
      </c>
      <c r="G1650">
        <f>IF($C1650="","","Por la cancelacion del saldo al proveedor")</f>
        <v/>
      </c>
      <c r="H1650">
        <f>IF($C1650="","",Registro_Compras!$C$186)</f>
        <v/>
      </c>
    </row>
    <row r="1651">
      <c r="A1651" s="25">
        <f>IF($C1651="","",Registro_Compras!$Y$186)</f>
        <v/>
      </c>
      <c r="B1651">
        <f>IF($C1651="","","C"&amp;TEXT(INT((ROW()-5)/9)+1,"000")&amp;"-4")</f>
        <v/>
      </c>
      <c r="C1651">
        <f>IF(OR(Registro_Compras!$C$186="",Registro_Compras!$O$186="",Registro_Compras!$Y$186="",Registro_Compras!$F$186="NOTA DE CREDITO"),"","10413")</f>
        <v/>
      </c>
      <c r="D1651">
        <f>IF(OR(Registro_Compras!$C$186="",Registro_Compras!$O$186=""),"","Efectivo y Equivalentes - Cta. Cte. Operativa")</f>
        <v/>
      </c>
      <c r="E1651" s="20">
        <f>""</f>
        <v/>
      </c>
      <c r="F1651" s="20">
        <f>IF($C1651="","",IF(Registro_Compras!$F$186="RHE",(ROUND(Registro_Compras!$L$186*Registro_Compras!$N$186,2)-ROUND(Registro_Compras!$V$186*Registro_Compras!$N$186,2)),ROUND(Registro_Compras!$O$186-Registro_Compras!$S$186,2)))</f>
        <v/>
      </c>
      <c r="G1651">
        <f>IF($C1651="","","Por la cancelacion del saldo al proveedor")</f>
        <v/>
      </c>
      <c r="H1651">
        <f>IF($C1651="","",Registro_Compras!$C$186)</f>
        <v/>
      </c>
    </row>
    <row r="1652">
      <c r="A1652" s="25">
        <f>IF($C1652="","",Registro_Compras!$B$187)</f>
        <v/>
      </c>
      <c r="B1652">
        <f>IF($C1652="","","C"&amp;TEXT(INT((ROW()-5)/9)+1,"000")&amp;"-1")</f>
        <v/>
      </c>
      <c r="C1652">
        <f>IF(OR(Registro_Compras!$C$187="",Registro_Compras!$O$187=""),"",IF(Registro_Compras!$F$187="NOTA DE CREDITO","4212",IF(Registro_Compras!$M$187="","63",Registro_Compras!$M$187)))</f>
        <v/>
      </c>
      <c r="D1652">
        <f>IF(OR(Registro_Compras!$C$187="",Registro_Compras!$O$187=""),"",IF(Registro_Compras!$F$187="NOTA DE CREDITO","Cuentas por Pagar Comerciales - Terceros (Emitidas)",IF(Registro_Compras!$F$187="RHE","Honorarios Profesionales - Servicios de Terceros","Gastos de Servicios Prestados por Terceros")))</f>
        <v/>
      </c>
      <c r="E1652" s="20">
        <f>IF($C1652="","",IF(Registro_Compras!$F$187="NOTA DE CREDITO",ABS(Registro_Compras!$O$187),IF(Registro_Compras!$F$187="RHE",ROUND(Registro_Compras!$L$187*Registro_Compras!$N$187,2),ROUND(Registro_Compras!$J$187*Registro_Compras!$N$187,2))))</f>
        <v/>
      </c>
      <c r="F1652" s="20">
        <f>""</f>
        <v/>
      </c>
      <c r="G1652">
        <f>IF($C1652="","",IF(Registro_Compras!$F$187="NOTA DE CREDITO","Por la nota de credito "&amp;Registro_Compras!$C$187&amp;" de "&amp;Registro_Compras!$E$187&amp;" [PATRON POR CONFIRMAR CON CONTADOR]",IF(Registro_Compras!$F$187="RHE","Por el registro del recibo por honorarios "&amp;Registro_Compras!$C$187&amp;" de "&amp;Registro_Compras!$E$187&amp;" [PATRON POR CONFIRMAR CON CONTADOR]","Por el registro de la factura "&amp;Registro_Compras!$C$187&amp;" de "&amp;Registro_Compras!$E$187)))</f>
        <v/>
      </c>
      <c r="H1652">
        <f>IF($C1652="","",Registro_Compras!$C$187)</f>
        <v/>
      </c>
    </row>
    <row r="1653">
      <c r="A1653" s="25">
        <f>IF($C1653="","",Registro_Compras!$B$187)</f>
        <v/>
      </c>
      <c r="B1653">
        <f>IF($C1653="","","C"&amp;TEXT(INT((ROW()-5)/9)+1,"000")&amp;"-1")</f>
        <v/>
      </c>
      <c r="C1653">
        <f>IF(OR(Registro_Compras!$C$187="",Registro_Compras!$O$187=""),"",IF(Registro_Compras!$F$187="RHE",IF(Registro_Compras!$V$187=0,"","40172"),IF(Registro_Compras!$F$187="NOTA DE CREDITO",IF(Registro_Compras!$M$187="","63",Registro_Compras!$M$187),IF(Registro_Compras!$K$187=0,"","40111"))))</f>
        <v/>
      </c>
      <c r="D1653">
        <f>IF(OR(Registro_Compras!$C$187="",Registro_Compras!$O$187=""),"",IF(Registro_Compras!$F$187="RHE","Retencion Renta 4ta Categoria por Pagar",IF(Registro_Compras!$F$187="NOTA DE CREDITO","Gastos de Servicios Prestados por Terceros","IGV - Cuenta Propia (Credito Fiscal)")))</f>
        <v/>
      </c>
      <c r="E1653" s="20">
        <f>IF($C1653="","",IF(Registro_Compras!$F$187="FACTURA",ROUND(Registro_Compras!$K$187*Registro_Compras!$N$187,2),""))</f>
        <v/>
      </c>
      <c r="F1653" s="20">
        <f>IF($C1653="","",IF(Registro_Compras!$F$187="RHE",ROUND(Registro_Compras!$V$187*Registro_Compras!$N$187,2),IF(Registro_Compras!$F$187="NOTA DE CREDITO",ROUND(ABS(Registro_Compras!$J$187*Registro_Compras!$N$187),2),"")))</f>
        <v/>
      </c>
      <c r="G1653">
        <f>IF($C1653="","",IF(Registro_Compras!$F$187="NOTA DE CREDITO","Por la nota de credito "&amp;Registro_Compras!$C$187&amp;" de "&amp;Registro_Compras!$E$187&amp;" [PATRON POR CONFIRMAR CON CONTADOR]",IF(Registro_Compras!$F$187="RHE","Por el registro del recibo por honorarios "&amp;Registro_Compras!$C$187&amp;" de "&amp;Registro_Compras!$E$187&amp;" [PATRON POR CONFIRMAR CON CONTADOR]","Por el registro de la factura "&amp;Registro_Compras!$C$187&amp;" de "&amp;Registro_Compras!$E$187)))</f>
        <v/>
      </c>
      <c r="H1653">
        <f>IF($C1653="","",Registro_Compras!$C$187)</f>
        <v/>
      </c>
    </row>
    <row r="1654">
      <c r="A1654" s="25">
        <f>IF($C1654="","",Registro_Compras!$B$187)</f>
        <v/>
      </c>
      <c r="B1654">
        <f>IF($C1654="","","C"&amp;TEXT(INT((ROW()-5)/9)+1,"000")&amp;"-1")</f>
        <v/>
      </c>
      <c r="C1654">
        <f>IF(OR(Registro_Compras!$C$187="",Registro_Compras!$O$187=""),"",IF(Registro_Compras!$F$187="NOTA DE CREDITO",IF(Registro_Compras!$K$187=0,"","40111"),"4212"))</f>
        <v/>
      </c>
      <c r="D1654">
        <f>IF(OR(Registro_Compras!$C$187="",Registro_Compras!$O$187=""),"",IF(Registro_Compras!$F$187="NOTA DE CREDITO","IGV - Cuenta Propia (Credito Fiscal)","Cuentas por Pagar Comerciales - Terceros (Emitidas)"))</f>
        <v/>
      </c>
      <c r="E1654" s="20">
        <f>""</f>
        <v/>
      </c>
      <c r="F1654" s="20">
        <f>IF($C1654="","",IF(Registro_Compras!$F$187="NOTA DE CREDITO",ROUND(ABS(Registro_Compras!$K$187*Registro_Compras!$N$187),2),IF(Registro_Compras!$F$187="RHE",(ROUND(Registro_Compras!$L$187*Registro_Compras!$N$187,2)-ROUND(Registro_Compras!$V$187*Registro_Compras!$N$187,2)),Registro_Compras!$O$187)))</f>
        <v/>
      </c>
      <c r="G1654">
        <f>IF($C1654="","",IF(Registro_Compras!$F$187="NOTA DE CREDITO","Por la nota de credito "&amp;Registro_Compras!$C$187&amp;" de "&amp;Registro_Compras!$E$187&amp;" [PATRON POR CONFIRMAR CON CONTADOR]",IF(Registro_Compras!$F$187="RHE","Por el registro del recibo por honorarios "&amp;Registro_Compras!$C$187&amp;" de "&amp;Registro_Compras!$E$187&amp;" [PATRON POR CONFIRMAR CON CONTADOR]","Por el registro de la factura "&amp;Registro_Compras!$C$187&amp;" de "&amp;Registro_Compras!$E$187)))</f>
        <v/>
      </c>
      <c r="H1654">
        <f>IF($C1654="","",Registro_Compras!$C$187)</f>
        <v/>
      </c>
    </row>
    <row r="1655">
      <c r="A1655" s="25">
        <f>IF($C1655="","",Registro_Compras!$B$187)</f>
        <v/>
      </c>
      <c r="B1655">
        <f>IF($C1655="","","C"&amp;TEXT(INT((ROW()-5)/9)+1,"000")&amp;"-2")</f>
        <v/>
      </c>
      <c r="C1655">
        <f>IF(OR(Registro_Compras!$C$187="",Registro_Compras!$O$187=""),"",IF(Registro_Compras!$AB$187="ADMINISTRATIVO","94","95"))</f>
        <v/>
      </c>
      <c r="D1655">
        <f>IF(OR(Registro_Compras!$C$187="",Registro_Compras!$O$187=""),"",IF(Registro_Compras!$AB$187="ADMINISTRATIVO","Gastos Administrativos","Gastos de Venta y Operacion"))</f>
        <v/>
      </c>
      <c r="E1655" s="20">
        <f>IF($C1655="","",IF(Registro_Compras!$F$187="NOTA DE CREDITO","",IF(Registro_Compras!$F$187="RHE",ROUND(Registro_Compras!$L$187*Registro_Compras!$N$187,2),ROUND(Registro_Compras!$J$187*Registro_Compras!$N$187,2))))</f>
        <v/>
      </c>
      <c r="F1655" s="20">
        <f>IF($C1655="","",IF(Registro_Compras!$F$187="NOTA DE CREDITO",ROUND(ABS(Registro_Compras!$J$187*Registro_Compras!$N$187),2),""))</f>
        <v/>
      </c>
      <c r="G1655">
        <f>IF($C1655="","","Por el destino del gasto")</f>
        <v/>
      </c>
      <c r="H1655">
        <f>IF($C1655="","",Registro_Compras!$C$187)</f>
        <v/>
      </c>
    </row>
    <row r="1656">
      <c r="A1656" s="25">
        <f>IF($C1656="","",Registro_Compras!$B$187)</f>
        <v/>
      </c>
      <c r="B1656">
        <f>IF($C1656="","","C"&amp;TEXT(INT((ROW()-5)/9)+1,"000")&amp;"-2")</f>
        <v/>
      </c>
      <c r="C1656">
        <f>IF(OR(Registro_Compras!$C$187="",Registro_Compras!$O$187=""),"","79/791")</f>
        <v/>
      </c>
      <c r="D1656">
        <f>IF(OR(Registro_Compras!$C$187="",Registro_Compras!$O$187=""),"","Cargas Imputables a Cuentas de Costos y Gastos")</f>
        <v/>
      </c>
      <c r="E1656" s="20">
        <f>IF($C1656="","",IF(Registro_Compras!$F$187="NOTA DE CREDITO",ROUND(ABS(Registro_Compras!$J$187*Registro_Compras!$N$187),2),""))</f>
        <v/>
      </c>
      <c r="F1656" s="20">
        <f>IF($C1656="","",IF(Registro_Compras!$F$187="NOTA DE CREDITO","",IF(Registro_Compras!$F$187="RHE",ROUND(Registro_Compras!$L$187*Registro_Compras!$N$187,2),ROUND(Registro_Compras!$J$187*Registro_Compras!$N$187,2))))</f>
        <v/>
      </c>
      <c r="G1656">
        <f>IF($C1656="","","Por el destino del gasto")</f>
        <v/>
      </c>
      <c r="H1656">
        <f>IF($C1656="","",Registro_Compras!$C$187)</f>
        <v/>
      </c>
    </row>
    <row r="1657">
      <c r="A1657" s="25">
        <f>IF($C1657="","",Registro_Compras!$X$187)</f>
        <v/>
      </c>
      <c r="B1657">
        <f>IF($C1657="","","C"&amp;TEXT(INT((ROW()-5)/9)+1,"000")&amp;"-3")</f>
        <v/>
      </c>
      <c r="C1657">
        <f>IF(OR(Registro_Compras!$C$187="",Registro_Compras!$O$187="",Registro_Compras!$R$187&lt;&gt;"SI",Registro_Compras!$X$187=""),"","4212")</f>
        <v/>
      </c>
      <c r="D1657">
        <f>IF(OR(Registro_Compras!$C$187="",Registro_Compras!$O$187=""),"","Cuentas por Pagar Comerciales - Terceros")</f>
        <v/>
      </c>
      <c r="E1657" s="20">
        <f>IF($C1657="","",Registro_Compras!$S$187)</f>
        <v/>
      </c>
      <c r="F1657" s="20">
        <f>""</f>
        <v/>
      </c>
      <c r="G1657">
        <f>IF($C1657="","","Por el deposito de la detraccion en el Banco de la Nacion")</f>
        <v/>
      </c>
      <c r="H1657">
        <f>IF($C1657="","",Registro_Compras!$C$187)</f>
        <v/>
      </c>
    </row>
    <row r="1658">
      <c r="A1658" s="25">
        <f>IF($C1658="","",Registro_Compras!$X$187)</f>
        <v/>
      </c>
      <c r="B1658">
        <f>IF($C1658="","","C"&amp;TEXT(INT((ROW()-5)/9)+1,"000")&amp;"-3")</f>
        <v/>
      </c>
      <c r="C1658">
        <f>IF(OR(Registro_Compras!$C$187="",Registro_Compras!$O$187="",Registro_Compras!$R$187&lt;&gt;"SI",Registro_Compras!$X$187=""),"","10413")</f>
        <v/>
      </c>
      <c r="D1658">
        <f>IF(OR(Registro_Compras!$C$187="",Registro_Compras!$O$187=""),"","Efectivo y Equivalentes - Cta. Cte. Operativa")</f>
        <v/>
      </c>
      <c r="E1658" s="20">
        <f>""</f>
        <v/>
      </c>
      <c r="F1658" s="20">
        <f>IF($C1658="","",Registro_Compras!$S$187)</f>
        <v/>
      </c>
      <c r="G1658">
        <f>IF($C1658="","","Por el deposito de la detraccion en el Banco de la Nacion")</f>
        <v/>
      </c>
      <c r="H1658">
        <f>IF($C1658="","",Registro_Compras!$C$187)</f>
        <v/>
      </c>
    </row>
    <row r="1659">
      <c r="A1659" s="25">
        <f>IF($C1659="","",Registro_Compras!$Y$187)</f>
        <v/>
      </c>
      <c r="B1659">
        <f>IF($C1659="","","C"&amp;TEXT(INT((ROW()-5)/9)+1,"000")&amp;"-4")</f>
        <v/>
      </c>
      <c r="C1659">
        <f>IF(OR(Registro_Compras!$C$187="",Registro_Compras!$O$187="",Registro_Compras!$Y$187="",Registro_Compras!$F$187="NOTA DE CREDITO"),"","4212")</f>
        <v/>
      </c>
      <c r="D1659">
        <f>IF(OR(Registro_Compras!$C$187="",Registro_Compras!$O$187=""),"","Cuentas por Pagar Comerciales - Terceros")</f>
        <v/>
      </c>
      <c r="E1659" s="20">
        <f>IF($C1659="","",IF(Registro_Compras!$F$187="RHE",(ROUND(Registro_Compras!$L$187*Registro_Compras!$N$187,2)-ROUND(Registro_Compras!$V$187*Registro_Compras!$N$187,2)),ROUND(Registro_Compras!$O$187-Registro_Compras!$S$187,2)))</f>
        <v/>
      </c>
      <c r="F1659" s="20">
        <f>""</f>
        <v/>
      </c>
      <c r="G1659">
        <f>IF($C1659="","","Por la cancelacion del saldo al proveedor")</f>
        <v/>
      </c>
      <c r="H1659">
        <f>IF($C1659="","",Registro_Compras!$C$187)</f>
        <v/>
      </c>
    </row>
    <row r="1660">
      <c r="A1660" s="25">
        <f>IF($C1660="","",Registro_Compras!$Y$187)</f>
        <v/>
      </c>
      <c r="B1660">
        <f>IF($C1660="","","C"&amp;TEXT(INT((ROW()-5)/9)+1,"000")&amp;"-4")</f>
        <v/>
      </c>
      <c r="C1660">
        <f>IF(OR(Registro_Compras!$C$187="",Registro_Compras!$O$187="",Registro_Compras!$Y$187="",Registro_Compras!$F$187="NOTA DE CREDITO"),"","10413")</f>
        <v/>
      </c>
      <c r="D1660">
        <f>IF(OR(Registro_Compras!$C$187="",Registro_Compras!$O$187=""),"","Efectivo y Equivalentes - Cta. Cte. Operativa")</f>
        <v/>
      </c>
      <c r="E1660" s="20">
        <f>""</f>
        <v/>
      </c>
      <c r="F1660" s="20">
        <f>IF($C1660="","",IF(Registro_Compras!$F$187="RHE",(ROUND(Registro_Compras!$L$187*Registro_Compras!$N$187,2)-ROUND(Registro_Compras!$V$187*Registro_Compras!$N$187,2)),ROUND(Registro_Compras!$O$187-Registro_Compras!$S$187,2)))</f>
        <v/>
      </c>
      <c r="G1660">
        <f>IF($C1660="","","Por la cancelacion del saldo al proveedor")</f>
        <v/>
      </c>
      <c r="H1660">
        <f>IF($C1660="","",Registro_Compras!$C$187)</f>
        <v/>
      </c>
    </row>
    <row r="1661">
      <c r="A1661" s="25">
        <f>IF($C1661="","",Registro_Compras!$B$188)</f>
        <v/>
      </c>
      <c r="B1661">
        <f>IF($C1661="","","C"&amp;TEXT(INT((ROW()-5)/9)+1,"000")&amp;"-1")</f>
        <v/>
      </c>
      <c r="C1661">
        <f>IF(OR(Registro_Compras!$C$188="",Registro_Compras!$O$188=""),"",IF(Registro_Compras!$F$188="NOTA DE CREDITO","4212",IF(Registro_Compras!$M$188="","63",Registro_Compras!$M$188)))</f>
        <v/>
      </c>
      <c r="D1661">
        <f>IF(OR(Registro_Compras!$C$188="",Registro_Compras!$O$188=""),"",IF(Registro_Compras!$F$188="NOTA DE CREDITO","Cuentas por Pagar Comerciales - Terceros (Emitidas)",IF(Registro_Compras!$F$188="RHE","Honorarios Profesionales - Servicios de Terceros","Gastos de Servicios Prestados por Terceros")))</f>
        <v/>
      </c>
      <c r="E1661" s="20">
        <f>IF($C1661="","",IF(Registro_Compras!$F$188="NOTA DE CREDITO",ABS(Registro_Compras!$O$188),IF(Registro_Compras!$F$188="RHE",ROUND(Registro_Compras!$L$188*Registro_Compras!$N$188,2),ROUND(Registro_Compras!$J$188*Registro_Compras!$N$188,2))))</f>
        <v/>
      </c>
      <c r="F1661" s="20">
        <f>""</f>
        <v/>
      </c>
      <c r="G1661">
        <f>IF($C1661="","",IF(Registro_Compras!$F$188="NOTA DE CREDITO","Por la nota de credito "&amp;Registro_Compras!$C$188&amp;" de "&amp;Registro_Compras!$E$188&amp;" [PATRON POR CONFIRMAR CON CONTADOR]",IF(Registro_Compras!$F$188="RHE","Por el registro del recibo por honorarios "&amp;Registro_Compras!$C$188&amp;" de "&amp;Registro_Compras!$E$188&amp;" [PATRON POR CONFIRMAR CON CONTADOR]","Por el registro de la factura "&amp;Registro_Compras!$C$188&amp;" de "&amp;Registro_Compras!$E$188)))</f>
        <v/>
      </c>
      <c r="H1661">
        <f>IF($C1661="","",Registro_Compras!$C$188)</f>
        <v/>
      </c>
    </row>
    <row r="1662">
      <c r="A1662" s="25">
        <f>IF($C1662="","",Registro_Compras!$B$188)</f>
        <v/>
      </c>
      <c r="B1662">
        <f>IF($C1662="","","C"&amp;TEXT(INT((ROW()-5)/9)+1,"000")&amp;"-1")</f>
        <v/>
      </c>
      <c r="C1662">
        <f>IF(OR(Registro_Compras!$C$188="",Registro_Compras!$O$188=""),"",IF(Registro_Compras!$F$188="RHE",IF(Registro_Compras!$V$188=0,"","40172"),IF(Registro_Compras!$F$188="NOTA DE CREDITO",IF(Registro_Compras!$M$188="","63",Registro_Compras!$M$188),IF(Registro_Compras!$K$188=0,"","40111"))))</f>
        <v/>
      </c>
      <c r="D1662">
        <f>IF(OR(Registro_Compras!$C$188="",Registro_Compras!$O$188=""),"",IF(Registro_Compras!$F$188="RHE","Retencion Renta 4ta Categoria por Pagar",IF(Registro_Compras!$F$188="NOTA DE CREDITO","Gastos de Servicios Prestados por Terceros","IGV - Cuenta Propia (Credito Fiscal)")))</f>
        <v/>
      </c>
      <c r="E1662" s="20">
        <f>IF($C1662="","",IF(Registro_Compras!$F$188="FACTURA",ROUND(Registro_Compras!$K$188*Registro_Compras!$N$188,2),""))</f>
        <v/>
      </c>
      <c r="F1662" s="20">
        <f>IF($C1662="","",IF(Registro_Compras!$F$188="RHE",ROUND(Registro_Compras!$V$188*Registro_Compras!$N$188,2),IF(Registro_Compras!$F$188="NOTA DE CREDITO",ROUND(ABS(Registro_Compras!$J$188*Registro_Compras!$N$188),2),"")))</f>
        <v/>
      </c>
      <c r="G1662">
        <f>IF($C1662="","",IF(Registro_Compras!$F$188="NOTA DE CREDITO","Por la nota de credito "&amp;Registro_Compras!$C$188&amp;" de "&amp;Registro_Compras!$E$188&amp;" [PATRON POR CONFIRMAR CON CONTADOR]",IF(Registro_Compras!$F$188="RHE","Por el registro del recibo por honorarios "&amp;Registro_Compras!$C$188&amp;" de "&amp;Registro_Compras!$E$188&amp;" [PATRON POR CONFIRMAR CON CONTADOR]","Por el registro de la factura "&amp;Registro_Compras!$C$188&amp;" de "&amp;Registro_Compras!$E$188)))</f>
        <v/>
      </c>
      <c r="H1662">
        <f>IF($C1662="","",Registro_Compras!$C$188)</f>
        <v/>
      </c>
    </row>
    <row r="1663">
      <c r="A1663" s="25">
        <f>IF($C1663="","",Registro_Compras!$B$188)</f>
        <v/>
      </c>
      <c r="B1663">
        <f>IF($C1663="","","C"&amp;TEXT(INT((ROW()-5)/9)+1,"000")&amp;"-1")</f>
        <v/>
      </c>
      <c r="C1663">
        <f>IF(OR(Registro_Compras!$C$188="",Registro_Compras!$O$188=""),"",IF(Registro_Compras!$F$188="NOTA DE CREDITO",IF(Registro_Compras!$K$188=0,"","40111"),"4212"))</f>
        <v/>
      </c>
      <c r="D1663">
        <f>IF(OR(Registro_Compras!$C$188="",Registro_Compras!$O$188=""),"",IF(Registro_Compras!$F$188="NOTA DE CREDITO","IGV - Cuenta Propia (Credito Fiscal)","Cuentas por Pagar Comerciales - Terceros (Emitidas)"))</f>
        <v/>
      </c>
      <c r="E1663" s="20">
        <f>""</f>
        <v/>
      </c>
      <c r="F1663" s="20">
        <f>IF($C1663="","",IF(Registro_Compras!$F$188="NOTA DE CREDITO",ROUND(ABS(Registro_Compras!$K$188*Registro_Compras!$N$188),2),IF(Registro_Compras!$F$188="RHE",(ROUND(Registro_Compras!$L$188*Registro_Compras!$N$188,2)-ROUND(Registro_Compras!$V$188*Registro_Compras!$N$188,2)),Registro_Compras!$O$188)))</f>
        <v/>
      </c>
      <c r="G1663">
        <f>IF($C1663="","",IF(Registro_Compras!$F$188="NOTA DE CREDITO","Por la nota de credito "&amp;Registro_Compras!$C$188&amp;" de "&amp;Registro_Compras!$E$188&amp;" [PATRON POR CONFIRMAR CON CONTADOR]",IF(Registro_Compras!$F$188="RHE","Por el registro del recibo por honorarios "&amp;Registro_Compras!$C$188&amp;" de "&amp;Registro_Compras!$E$188&amp;" [PATRON POR CONFIRMAR CON CONTADOR]","Por el registro de la factura "&amp;Registro_Compras!$C$188&amp;" de "&amp;Registro_Compras!$E$188)))</f>
        <v/>
      </c>
      <c r="H1663">
        <f>IF($C1663="","",Registro_Compras!$C$188)</f>
        <v/>
      </c>
    </row>
    <row r="1664">
      <c r="A1664" s="25">
        <f>IF($C1664="","",Registro_Compras!$B$188)</f>
        <v/>
      </c>
      <c r="B1664">
        <f>IF($C1664="","","C"&amp;TEXT(INT((ROW()-5)/9)+1,"000")&amp;"-2")</f>
        <v/>
      </c>
      <c r="C1664">
        <f>IF(OR(Registro_Compras!$C$188="",Registro_Compras!$O$188=""),"",IF(Registro_Compras!$AB$188="ADMINISTRATIVO","94","95"))</f>
        <v/>
      </c>
      <c r="D1664">
        <f>IF(OR(Registro_Compras!$C$188="",Registro_Compras!$O$188=""),"",IF(Registro_Compras!$AB$188="ADMINISTRATIVO","Gastos Administrativos","Gastos de Venta y Operacion"))</f>
        <v/>
      </c>
      <c r="E1664" s="20">
        <f>IF($C1664="","",IF(Registro_Compras!$F$188="NOTA DE CREDITO","",IF(Registro_Compras!$F$188="RHE",ROUND(Registro_Compras!$L$188*Registro_Compras!$N$188,2),ROUND(Registro_Compras!$J$188*Registro_Compras!$N$188,2))))</f>
        <v/>
      </c>
      <c r="F1664" s="20">
        <f>IF($C1664="","",IF(Registro_Compras!$F$188="NOTA DE CREDITO",ROUND(ABS(Registro_Compras!$J$188*Registro_Compras!$N$188),2),""))</f>
        <v/>
      </c>
      <c r="G1664">
        <f>IF($C1664="","","Por el destino del gasto")</f>
        <v/>
      </c>
      <c r="H1664">
        <f>IF($C1664="","",Registro_Compras!$C$188)</f>
        <v/>
      </c>
    </row>
    <row r="1665">
      <c r="A1665" s="25">
        <f>IF($C1665="","",Registro_Compras!$B$188)</f>
        <v/>
      </c>
      <c r="B1665">
        <f>IF($C1665="","","C"&amp;TEXT(INT((ROW()-5)/9)+1,"000")&amp;"-2")</f>
        <v/>
      </c>
      <c r="C1665">
        <f>IF(OR(Registro_Compras!$C$188="",Registro_Compras!$O$188=""),"","79/791")</f>
        <v/>
      </c>
      <c r="D1665">
        <f>IF(OR(Registro_Compras!$C$188="",Registro_Compras!$O$188=""),"","Cargas Imputables a Cuentas de Costos y Gastos")</f>
        <v/>
      </c>
      <c r="E1665" s="20">
        <f>IF($C1665="","",IF(Registro_Compras!$F$188="NOTA DE CREDITO",ROUND(ABS(Registro_Compras!$J$188*Registro_Compras!$N$188),2),""))</f>
        <v/>
      </c>
      <c r="F1665" s="20">
        <f>IF($C1665="","",IF(Registro_Compras!$F$188="NOTA DE CREDITO","",IF(Registro_Compras!$F$188="RHE",ROUND(Registro_Compras!$L$188*Registro_Compras!$N$188,2),ROUND(Registro_Compras!$J$188*Registro_Compras!$N$188,2))))</f>
        <v/>
      </c>
      <c r="G1665">
        <f>IF($C1665="","","Por el destino del gasto")</f>
        <v/>
      </c>
      <c r="H1665">
        <f>IF($C1665="","",Registro_Compras!$C$188)</f>
        <v/>
      </c>
    </row>
    <row r="1666">
      <c r="A1666" s="25">
        <f>IF($C1666="","",Registro_Compras!$X$188)</f>
        <v/>
      </c>
      <c r="B1666">
        <f>IF($C1666="","","C"&amp;TEXT(INT((ROW()-5)/9)+1,"000")&amp;"-3")</f>
        <v/>
      </c>
      <c r="C1666">
        <f>IF(OR(Registro_Compras!$C$188="",Registro_Compras!$O$188="",Registro_Compras!$R$188&lt;&gt;"SI",Registro_Compras!$X$188=""),"","4212")</f>
        <v/>
      </c>
      <c r="D1666">
        <f>IF(OR(Registro_Compras!$C$188="",Registro_Compras!$O$188=""),"","Cuentas por Pagar Comerciales - Terceros")</f>
        <v/>
      </c>
      <c r="E1666" s="20">
        <f>IF($C1666="","",Registro_Compras!$S$188)</f>
        <v/>
      </c>
      <c r="F1666" s="20">
        <f>""</f>
        <v/>
      </c>
      <c r="G1666">
        <f>IF($C1666="","","Por el deposito de la detraccion en el Banco de la Nacion")</f>
        <v/>
      </c>
      <c r="H1666">
        <f>IF($C1666="","",Registro_Compras!$C$188)</f>
        <v/>
      </c>
    </row>
    <row r="1667">
      <c r="A1667" s="25">
        <f>IF($C1667="","",Registro_Compras!$X$188)</f>
        <v/>
      </c>
      <c r="B1667">
        <f>IF($C1667="","","C"&amp;TEXT(INT((ROW()-5)/9)+1,"000")&amp;"-3")</f>
        <v/>
      </c>
      <c r="C1667">
        <f>IF(OR(Registro_Compras!$C$188="",Registro_Compras!$O$188="",Registro_Compras!$R$188&lt;&gt;"SI",Registro_Compras!$X$188=""),"","10413")</f>
        <v/>
      </c>
      <c r="D1667">
        <f>IF(OR(Registro_Compras!$C$188="",Registro_Compras!$O$188=""),"","Efectivo y Equivalentes - Cta. Cte. Operativa")</f>
        <v/>
      </c>
      <c r="E1667" s="20">
        <f>""</f>
        <v/>
      </c>
      <c r="F1667" s="20">
        <f>IF($C1667="","",Registro_Compras!$S$188)</f>
        <v/>
      </c>
      <c r="G1667">
        <f>IF($C1667="","","Por el deposito de la detraccion en el Banco de la Nacion")</f>
        <v/>
      </c>
      <c r="H1667">
        <f>IF($C1667="","",Registro_Compras!$C$188)</f>
        <v/>
      </c>
    </row>
    <row r="1668">
      <c r="A1668" s="25">
        <f>IF($C1668="","",Registro_Compras!$Y$188)</f>
        <v/>
      </c>
      <c r="B1668">
        <f>IF($C1668="","","C"&amp;TEXT(INT((ROW()-5)/9)+1,"000")&amp;"-4")</f>
        <v/>
      </c>
      <c r="C1668">
        <f>IF(OR(Registro_Compras!$C$188="",Registro_Compras!$O$188="",Registro_Compras!$Y$188="",Registro_Compras!$F$188="NOTA DE CREDITO"),"","4212")</f>
        <v/>
      </c>
      <c r="D1668">
        <f>IF(OR(Registro_Compras!$C$188="",Registro_Compras!$O$188=""),"","Cuentas por Pagar Comerciales - Terceros")</f>
        <v/>
      </c>
      <c r="E1668" s="20">
        <f>IF($C1668="","",IF(Registro_Compras!$F$188="RHE",(ROUND(Registro_Compras!$L$188*Registro_Compras!$N$188,2)-ROUND(Registro_Compras!$V$188*Registro_Compras!$N$188,2)),ROUND(Registro_Compras!$O$188-Registro_Compras!$S$188,2)))</f>
        <v/>
      </c>
      <c r="F1668" s="20">
        <f>""</f>
        <v/>
      </c>
      <c r="G1668">
        <f>IF($C1668="","","Por la cancelacion del saldo al proveedor")</f>
        <v/>
      </c>
      <c r="H1668">
        <f>IF($C1668="","",Registro_Compras!$C$188)</f>
        <v/>
      </c>
    </row>
    <row r="1669">
      <c r="A1669" s="25">
        <f>IF($C1669="","",Registro_Compras!$Y$188)</f>
        <v/>
      </c>
      <c r="B1669">
        <f>IF($C1669="","","C"&amp;TEXT(INT((ROW()-5)/9)+1,"000")&amp;"-4")</f>
        <v/>
      </c>
      <c r="C1669">
        <f>IF(OR(Registro_Compras!$C$188="",Registro_Compras!$O$188="",Registro_Compras!$Y$188="",Registro_Compras!$F$188="NOTA DE CREDITO"),"","10413")</f>
        <v/>
      </c>
      <c r="D1669">
        <f>IF(OR(Registro_Compras!$C$188="",Registro_Compras!$O$188=""),"","Efectivo y Equivalentes - Cta. Cte. Operativa")</f>
        <v/>
      </c>
      <c r="E1669" s="20">
        <f>""</f>
        <v/>
      </c>
      <c r="F1669" s="20">
        <f>IF($C1669="","",IF(Registro_Compras!$F$188="RHE",(ROUND(Registro_Compras!$L$188*Registro_Compras!$N$188,2)-ROUND(Registro_Compras!$V$188*Registro_Compras!$N$188,2)),ROUND(Registro_Compras!$O$188-Registro_Compras!$S$188,2)))</f>
        <v/>
      </c>
      <c r="G1669">
        <f>IF($C1669="","","Por la cancelacion del saldo al proveedor")</f>
        <v/>
      </c>
      <c r="H1669">
        <f>IF($C1669="","",Registro_Compras!$C$188)</f>
        <v/>
      </c>
    </row>
    <row r="1670">
      <c r="A1670" s="25">
        <f>IF($C1670="","",Registro_Compras!$B$189)</f>
        <v/>
      </c>
      <c r="B1670">
        <f>IF($C1670="","","C"&amp;TEXT(INT((ROW()-5)/9)+1,"000")&amp;"-1")</f>
        <v/>
      </c>
      <c r="C1670">
        <f>IF(OR(Registro_Compras!$C$189="",Registro_Compras!$O$189=""),"",IF(Registro_Compras!$F$189="NOTA DE CREDITO","4212",IF(Registro_Compras!$M$189="","63",Registro_Compras!$M$189)))</f>
        <v/>
      </c>
      <c r="D1670">
        <f>IF(OR(Registro_Compras!$C$189="",Registro_Compras!$O$189=""),"",IF(Registro_Compras!$F$189="NOTA DE CREDITO","Cuentas por Pagar Comerciales - Terceros (Emitidas)",IF(Registro_Compras!$F$189="RHE","Honorarios Profesionales - Servicios de Terceros","Gastos de Servicios Prestados por Terceros")))</f>
        <v/>
      </c>
      <c r="E1670" s="20">
        <f>IF($C1670="","",IF(Registro_Compras!$F$189="NOTA DE CREDITO",ABS(Registro_Compras!$O$189),IF(Registro_Compras!$F$189="RHE",ROUND(Registro_Compras!$L$189*Registro_Compras!$N$189,2),ROUND(Registro_Compras!$J$189*Registro_Compras!$N$189,2))))</f>
        <v/>
      </c>
      <c r="F1670" s="20">
        <f>""</f>
        <v/>
      </c>
      <c r="G1670">
        <f>IF($C1670="","",IF(Registro_Compras!$F$189="NOTA DE CREDITO","Por la nota de credito "&amp;Registro_Compras!$C$189&amp;" de "&amp;Registro_Compras!$E$189&amp;" [PATRON POR CONFIRMAR CON CONTADOR]",IF(Registro_Compras!$F$189="RHE","Por el registro del recibo por honorarios "&amp;Registro_Compras!$C$189&amp;" de "&amp;Registro_Compras!$E$189&amp;" [PATRON POR CONFIRMAR CON CONTADOR]","Por el registro de la factura "&amp;Registro_Compras!$C$189&amp;" de "&amp;Registro_Compras!$E$189)))</f>
        <v/>
      </c>
      <c r="H1670">
        <f>IF($C1670="","",Registro_Compras!$C$189)</f>
        <v/>
      </c>
    </row>
    <row r="1671">
      <c r="A1671" s="25">
        <f>IF($C1671="","",Registro_Compras!$B$189)</f>
        <v/>
      </c>
      <c r="B1671">
        <f>IF($C1671="","","C"&amp;TEXT(INT((ROW()-5)/9)+1,"000")&amp;"-1")</f>
        <v/>
      </c>
      <c r="C1671">
        <f>IF(OR(Registro_Compras!$C$189="",Registro_Compras!$O$189=""),"",IF(Registro_Compras!$F$189="RHE",IF(Registro_Compras!$V$189=0,"","40172"),IF(Registro_Compras!$F$189="NOTA DE CREDITO",IF(Registro_Compras!$M$189="","63",Registro_Compras!$M$189),IF(Registro_Compras!$K$189=0,"","40111"))))</f>
        <v/>
      </c>
      <c r="D1671">
        <f>IF(OR(Registro_Compras!$C$189="",Registro_Compras!$O$189=""),"",IF(Registro_Compras!$F$189="RHE","Retencion Renta 4ta Categoria por Pagar",IF(Registro_Compras!$F$189="NOTA DE CREDITO","Gastos de Servicios Prestados por Terceros","IGV - Cuenta Propia (Credito Fiscal)")))</f>
        <v/>
      </c>
      <c r="E1671" s="20">
        <f>IF($C1671="","",IF(Registro_Compras!$F$189="FACTURA",ROUND(Registro_Compras!$K$189*Registro_Compras!$N$189,2),""))</f>
        <v/>
      </c>
      <c r="F1671" s="20">
        <f>IF($C1671="","",IF(Registro_Compras!$F$189="RHE",ROUND(Registro_Compras!$V$189*Registro_Compras!$N$189,2),IF(Registro_Compras!$F$189="NOTA DE CREDITO",ROUND(ABS(Registro_Compras!$J$189*Registro_Compras!$N$189),2),"")))</f>
        <v/>
      </c>
      <c r="G1671">
        <f>IF($C1671="","",IF(Registro_Compras!$F$189="NOTA DE CREDITO","Por la nota de credito "&amp;Registro_Compras!$C$189&amp;" de "&amp;Registro_Compras!$E$189&amp;" [PATRON POR CONFIRMAR CON CONTADOR]",IF(Registro_Compras!$F$189="RHE","Por el registro del recibo por honorarios "&amp;Registro_Compras!$C$189&amp;" de "&amp;Registro_Compras!$E$189&amp;" [PATRON POR CONFIRMAR CON CONTADOR]","Por el registro de la factura "&amp;Registro_Compras!$C$189&amp;" de "&amp;Registro_Compras!$E$189)))</f>
        <v/>
      </c>
      <c r="H1671">
        <f>IF($C1671="","",Registro_Compras!$C$189)</f>
        <v/>
      </c>
    </row>
    <row r="1672">
      <c r="A1672" s="25">
        <f>IF($C1672="","",Registro_Compras!$B$189)</f>
        <v/>
      </c>
      <c r="B1672">
        <f>IF($C1672="","","C"&amp;TEXT(INT((ROW()-5)/9)+1,"000")&amp;"-1")</f>
        <v/>
      </c>
      <c r="C1672">
        <f>IF(OR(Registro_Compras!$C$189="",Registro_Compras!$O$189=""),"",IF(Registro_Compras!$F$189="NOTA DE CREDITO",IF(Registro_Compras!$K$189=0,"","40111"),"4212"))</f>
        <v/>
      </c>
      <c r="D1672">
        <f>IF(OR(Registro_Compras!$C$189="",Registro_Compras!$O$189=""),"",IF(Registro_Compras!$F$189="NOTA DE CREDITO","IGV - Cuenta Propia (Credito Fiscal)","Cuentas por Pagar Comerciales - Terceros (Emitidas)"))</f>
        <v/>
      </c>
      <c r="E1672" s="20">
        <f>""</f>
        <v/>
      </c>
      <c r="F1672" s="20">
        <f>IF($C1672="","",IF(Registro_Compras!$F$189="NOTA DE CREDITO",ROUND(ABS(Registro_Compras!$K$189*Registro_Compras!$N$189),2),IF(Registro_Compras!$F$189="RHE",(ROUND(Registro_Compras!$L$189*Registro_Compras!$N$189,2)-ROUND(Registro_Compras!$V$189*Registro_Compras!$N$189,2)),Registro_Compras!$O$189)))</f>
        <v/>
      </c>
      <c r="G1672">
        <f>IF($C1672="","",IF(Registro_Compras!$F$189="NOTA DE CREDITO","Por la nota de credito "&amp;Registro_Compras!$C$189&amp;" de "&amp;Registro_Compras!$E$189&amp;" [PATRON POR CONFIRMAR CON CONTADOR]",IF(Registro_Compras!$F$189="RHE","Por el registro del recibo por honorarios "&amp;Registro_Compras!$C$189&amp;" de "&amp;Registro_Compras!$E$189&amp;" [PATRON POR CONFIRMAR CON CONTADOR]","Por el registro de la factura "&amp;Registro_Compras!$C$189&amp;" de "&amp;Registro_Compras!$E$189)))</f>
        <v/>
      </c>
      <c r="H1672">
        <f>IF($C1672="","",Registro_Compras!$C$189)</f>
        <v/>
      </c>
    </row>
    <row r="1673">
      <c r="A1673" s="25">
        <f>IF($C1673="","",Registro_Compras!$B$189)</f>
        <v/>
      </c>
      <c r="B1673">
        <f>IF($C1673="","","C"&amp;TEXT(INT((ROW()-5)/9)+1,"000")&amp;"-2")</f>
        <v/>
      </c>
      <c r="C1673">
        <f>IF(OR(Registro_Compras!$C$189="",Registro_Compras!$O$189=""),"",IF(Registro_Compras!$AB$189="ADMINISTRATIVO","94","95"))</f>
        <v/>
      </c>
      <c r="D1673">
        <f>IF(OR(Registro_Compras!$C$189="",Registro_Compras!$O$189=""),"",IF(Registro_Compras!$AB$189="ADMINISTRATIVO","Gastos Administrativos","Gastos de Venta y Operacion"))</f>
        <v/>
      </c>
      <c r="E1673" s="20">
        <f>IF($C1673="","",IF(Registro_Compras!$F$189="NOTA DE CREDITO","",IF(Registro_Compras!$F$189="RHE",ROUND(Registro_Compras!$L$189*Registro_Compras!$N$189,2),ROUND(Registro_Compras!$J$189*Registro_Compras!$N$189,2))))</f>
        <v/>
      </c>
      <c r="F1673" s="20">
        <f>IF($C1673="","",IF(Registro_Compras!$F$189="NOTA DE CREDITO",ROUND(ABS(Registro_Compras!$J$189*Registro_Compras!$N$189),2),""))</f>
        <v/>
      </c>
      <c r="G1673">
        <f>IF($C1673="","","Por el destino del gasto")</f>
        <v/>
      </c>
      <c r="H1673">
        <f>IF($C1673="","",Registro_Compras!$C$189)</f>
        <v/>
      </c>
    </row>
    <row r="1674">
      <c r="A1674" s="25">
        <f>IF($C1674="","",Registro_Compras!$B$189)</f>
        <v/>
      </c>
      <c r="B1674">
        <f>IF($C1674="","","C"&amp;TEXT(INT((ROW()-5)/9)+1,"000")&amp;"-2")</f>
        <v/>
      </c>
      <c r="C1674">
        <f>IF(OR(Registro_Compras!$C$189="",Registro_Compras!$O$189=""),"","79/791")</f>
        <v/>
      </c>
      <c r="D1674">
        <f>IF(OR(Registro_Compras!$C$189="",Registro_Compras!$O$189=""),"","Cargas Imputables a Cuentas de Costos y Gastos")</f>
        <v/>
      </c>
      <c r="E1674" s="20">
        <f>IF($C1674="","",IF(Registro_Compras!$F$189="NOTA DE CREDITO",ROUND(ABS(Registro_Compras!$J$189*Registro_Compras!$N$189),2),""))</f>
        <v/>
      </c>
      <c r="F1674" s="20">
        <f>IF($C1674="","",IF(Registro_Compras!$F$189="NOTA DE CREDITO","",IF(Registro_Compras!$F$189="RHE",ROUND(Registro_Compras!$L$189*Registro_Compras!$N$189,2),ROUND(Registro_Compras!$J$189*Registro_Compras!$N$189,2))))</f>
        <v/>
      </c>
      <c r="G1674">
        <f>IF($C1674="","","Por el destino del gasto")</f>
        <v/>
      </c>
      <c r="H1674">
        <f>IF($C1674="","",Registro_Compras!$C$189)</f>
        <v/>
      </c>
    </row>
    <row r="1675">
      <c r="A1675" s="25">
        <f>IF($C1675="","",Registro_Compras!$X$189)</f>
        <v/>
      </c>
      <c r="B1675">
        <f>IF($C1675="","","C"&amp;TEXT(INT((ROW()-5)/9)+1,"000")&amp;"-3")</f>
        <v/>
      </c>
      <c r="C1675">
        <f>IF(OR(Registro_Compras!$C$189="",Registro_Compras!$O$189="",Registro_Compras!$R$189&lt;&gt;"SI",Registro_Compras!$X$189=""),"","4212")</f>
        <v/>
      </c>
      <c r="D1675">
        <f>IF(OR(Registro_Compras!$C$189="",Registro_Compras!$O$189=""),"","Cuentas por Pagar Comerciales - Terceros")</f>
        <v/>
      </c>
      <c r="E1675" s="20">
        <f>IF($C1675="","",Registro_Compras!$S$189)</f>
        <v/>
      </c>
      <c r="F1675" s="20">
        <f>""</f>
        <v/>
      </c>
      <c r="G1675">
        <f>IF($C1675="","","Por el deposito de la detraccion en el Banco de la Nacion")</f>
        <v/>
      </c>
      <c r="H1675">
        <f>IF($C1675="","",Registro_Compras!$C$189)</f>
        <v/>
      </c>
    </row>
    <row r="1676">
      <c r="A1676" s="25">
        <f>IF($C1676="","",Registro_Compras!$X$189)</f>
        <v/>
      </c>
      <c r="B1676">
        <f>IF($C1676="","","C"&amp;TEXT(INT((ROW()-5)/9)+1,"000")&amp;"-3")</f>
        <v/>
      </c>
      <c r="C1676">
        <f>IF(OR(Registro_Compras!$C$189="",Registro_Compras!$O$189="",Registro_Compras!$R$189&lt;&gt;"SI",Registro_Compras!$X$189=""),"","10413")</f>
        <v/>
      </c>
      <c r="D1676">
        <f>IF(OR(Registro_Compras!$C$189="",Registro_Compras!$O$189=""),"","Efectivo y Equivalentes - Cta. Cte. Operativa")</f>
        <v/>
      </c>
      <c r="E1676" s="20">
        <f>""</f>
        <v/>
      </c>
      <c r="F1676" s="20">
        <f>IF($C1676="","",Registro_Compras!$S$189)</f>
        <v/>
      </c>
      <c r="G1676">
        <f>IF($C1676="","","Por el deposito de la detraccion en el Banco de la Nacion")</f>
        <v/>
      </c>
      <c r="H1676">
        <f>IF($C1676="","",Registro_Compras!$C$189)</f>
        <v/>
      </c>
    </row>
    <row r="1677">
      <c r="A1677" s="25">
        <f>IF($C1677="","",Registro_Compras!$Y$189)</f>
        <v/>
      </c>
      <c r="B1677">
        <f>IF($C1677="","","C"&amp;TEXT(INT((ROW()-5)/9)+1,"000")&amp;"-4")</f>
        <v/>
      </c>
      <c r="C1677">
        <f>IF(OR(Registro_Compras!$C$189="",Registro_Compras!$O$189="",Registro_Compras!$Y$189="",Registro_Compras!$F$189="NOTA DE CREDITO"),"","4212")</f>
        <v/>
      </c>
      <c r="D1677">
        <f>IF(OR(Registro_Compras!$C$189="",Registro_Compras!$O$189=""),"","Cuentas por Pagar Comerciales - Terceros")</f>
        <v/>
      </c>
      <c r="E1677" s="20">
        <f>IF($C1677="","",IF(Registro_Compras!$F$189="RHE",(ROUND(Registro_Compras!$L$189*Registro_Compras!$N$189,2)-ROUND(Registro_Compras!$V$189*Registro_Compras!$N$189,2)),ROUND(Registro_Compras!$O$189-Registro_Compras!$S$189,2)))</f>
        <v/>
      </c>
      <c r="F1677" s="20">
        <f>""</f>
        <v/>
      </c>
      <c r="G1677">
        <f>IF($C1677="","","Por la cancelacion del saldo al proveedor")</f>
        <v/>
      </c>
      <c r="H1677">
        <f>IF($C1677="","",Registro_Compras!$C$189)</f>
        <v/>
      </c>
    </row>
    <row r="1678">
      <c r="A1678" s="25">
        <f>IF($C1678="","",Registro_Compras!$Y$189)</f>
        <v/>
      </c>
      <c r="B1678">
        <f>IF($C1678="","","C"&amp;TEXT(INT((ROW()-5)/9)+1,"000")&amp;"-4")</f>
        <v/>
      </c>
      <c r="C1678">
        <f>IF(OR(Registro_Compras!$C$189="",Registro_Compras!$O$189="",Registro_Compras!$Y$189="",Registro_Compras!$F$189="NOTA DE CREDITO"),"","10413")</f>
        <v/>
      </c>
      <c r="D1678">
        <f>IF(OR(Registro_Compras!$C$189="",Registro_Compras!$O$189=""),"","Efectivo y Equivalentes - Cta. Cte. Operativa")</f>
        <v/>
      </c>
      <c r="E1678" s="20">
        <f>""</f>
        <v/>
      </c>
      <c r="F1678" s="20">
        <f>IF($C1678="","",IF(Registro_Compras!$F$189="RHE",(ROUND(Registro_Compras!$L$189*Registro_Compras!$N$189,2)-ROUND(Registro_Compras!$V$189*Registro_Compras!$N$189,2)),ROUND(Registro_Compras!$O$189-Registro_Compras!$S$189,2)))</f>
        <v/>
      </c>
      <c r="G1678">
        <f>IF($C1678="","","Por la cancelacion del saldo al proveedor")</f>
        <v/>
      </c>
      <c r="H1678">
        <f>IF($C1678="","",Registro_Compras!$C$189)</f>
        <v/>
      </c>
    </row>
    <row r="1679">
      <c r="A1679" s="25">
        <f>IF($C1679="","",Registro_Compras!$B$190)</f>
        <v/>
      </c>
      <c r="B1679">
        <f>IF($C1679="","","C"&amp;TEXT(INT((ROW()-5)/9)+1,"000")&amp;"-1")</f>
        <v/>
      </c>
      <c r="C1679">
        <f>IF(OR(Registro_Compras!$C$190="",Registro_Compras!$O$190=""),"",IF(Registro_Compras!$F$190="NOTA DE CREDITO","4212",IF(Registro_Compras!$M$190="","63",Registro_Compras!$M$190)))</f>
        <v/>
      </c>
      <c r="D1679">
        <f>IF(OR(Registro_Compras!$C$190="",Registro_Compras!$O$190=""),"",IF(Registro_Compras!$F$190="NOTA DE CREDITO","Cuentas por Pagar Comerciales - Terceros (Emitidas)",IF(Registro_Compras!$F$190="RHE","Honorarios Profesionales - Servicios de Terceros","Gastos de Servicios Prestados por Terceros")))</f>
        <v/>
      </c>
      <c r="E1679" s="20">
        <f>IF($C1679="","",IF(Registro_Compras!$F$190="NOTA DE CREDITO",ABS(Registro_Compras!$O$190),IF(Registro_Compras!$F$190="RHE",ROUND(Registro_Compras!$L$190*Registro_Compras!$N$190,2),ROUND(Registro_Compras!$J$190*Registro_Compras!$N$190,2))))</f>
        <v/>
      </c>
      <c r="F1679" s="20">
        <f>""</f>
        <v/>
      </c>
      <c r="G1679">
        <f>IF($C1679="","",IF(Registro_Compras!$F$190="NOTA DE CREDITO","Por la nota de credito "&amp;Registro_Compras!$C$190&amp;" de "&amp;Registro_Compras!$E$190&amp;" [PATRON POR CONFIRMAR CON CONTADOR]",IF(Registro_Compras!$F$190="RHE","Por el registro del recibo por honorarios "&amp;Registro_Compras!$C$190&amp;" de "&amp;Registro_Compras!$E$190&amp;" [PATRON POR CONFIRMAR CON CONTADOR]","Por el registro de la factura "&amp;Registro_Compras!$C$190&amp;" de "&amp;Registro_Compras!$E$190)))</f>
        <v/>
      </c>
      <c r="H1679">
        <f>IF($C1679="","",Registro_Compras!$C$190)</f>
        <v/>
      </c>
    </row>
    <row r="1680">
      <c r="A1680" s="25">
        <f>IF($C1680="","",Registro_Compras!$B$190)</f>
        <v/>
      </c>
      <c r="B1680">
        <f>IF($C1680="","","C"&amp;TEXT(INT((ROW()-5)/9)+1,"000")&amp;"-1")</f>
        <v/>
      </c>
      <c r="C1680">
        <f>IF(OR(Registro_Compras!$C$190="",Registro_Compras!$O$190=""),"",IF(Registro_Compras!$F$190="RHE",IF(Registro_Compras!$V$190=0,"","40172"),IF(Registro_Compras!$F$190="NOTA DE CREDITO",IF(Registro_Compras!$M$190="","63",Registro_Compras!$M$190),IF(Registro_Compras!$K$190=0,"","40111"))))</f>
        <v/>
      </c>
      <c r="D1680">
        <f>IF(OR(Registro_Compras!$C$190="",Registro_Compras!$O$190=""),"",IF(Registro_Compras!$F$190="RHE","Retencion Renta 4ta Categoria por Pagar",IF(Registro_Compras!$F$190="NOTA DE CREDITO","Gastos de Servicios Prestados por Terceros","IGV - Cuenta Propia (Credito Fiscal)")))</f>
        <v/>
      </c>
      <c r="E1680" s="20">
        <f>IF($C1680="","",IF(Registro_Compras!$F$190="FACTURA",ROUND(Registro_Compras!$K$190*Registro_Compras!$N$190,2),""))</f>
        <v/>
      </c>
      <c r="F1680" s="20">
        <f>IF($C1680="","",IF(Registro_Compras!$F$190="RHE",ROUND(Registro_Compras!$V$190*Registro_Compras!$N$190,2),IF(Registro_Compras!$F$190="NOTA DE CREDITO",ROUND(ABS(Registro_Compras!$J$190*Registro_Compras!$N$190),2),"")))</f>
        <v/>
      </c>
      <c r="G1680">
        <f>IF($C1680="","",IF(Registro_Compras!$F$190="NOTA DE CREDITO","Por la nota de credito "&amp;Registro_Compras!$C$190&amp;" de "&amp;Registro_Compras!$E$190&amp;" [PATRON POR CONFIRMAR CON CONTADOR]",IF(Registro_Compras!$F$190="RHE","Por el registro del recibo por honorarios "&amp;Registro_Compras!$C$190&amp;" de "&amp;Registro_Compras!$E$190&amp;" [PATRON POR CONFIRMAR CON CONTADOR]","Por el registro de la factura "&amp;Registro_Compras!$C$190&amp;" de "&amp;Registro_Compras!$E$190)))</f>
        <v/>
      </c>
      <c r="H1680">
        <f>IF($C1680="","",Registro_Compras!$C$190)</f>
        <v/>
      </c>
    </row>
    <row r="1681">
      <c r="A1681" s="25">
        <f>IF($C1681="","",Registro_Compras!$B$190)</f>
        <v/>
      </c>
      <c r="B1681">
        <f>IF($C1681="","","C"&amp;TEXT(INT((ROW()-5)/9)+1,"000")&amp;"-1")</f>
        <v/>
      </c>
      <c r="C1681">
        <f>IF(OR(Registro_Compras!$C$190="",Registro_Compras!$O$190=""),"",IF(Registro_Compras!$F$190="NOTA DE CREDITO",IF(Registro_Compras!$K$190=0,"","40111"),"4212"))</f>
        <v/>
      </c>
      <c r="D1681">
        <f>IF(OR(Registro_Compras!$C$190="",Registro_Compras!$O$190=""),"",IF(Registro_Compras!$F$190="NOTA DE CREDITO","IGV - Cuenta Propia (Credito Fiscal)","Cuentas por Pagar Comerciales - Terceros (Emitidas)"))</f>
        <v/>
      </c>
      <c r="E1681" s="20">
        <f>""</f>
        <v/>
      </c>
      <c r="F1681" s="20">
        <f>IF($C1681="","",IF(Registro_Compras!$F$190="NOTA DE CREDITO",ROUND(ABS(Registro_Compras!$K$190*Registro_Compras!$N$190),2),IF(Registro_Compras!$F$190="RHE",(ROUND(Registro_Compras!$L$190*Registro_Compras!$N$190,2)-ROUND(Registro_Compras!$V$190*Registro_Compras!$N$190,2)),Registro_Compras!$O$190)))</f>
        <v/>
      </c>
      <c r="G1681">
        <f>IF($C1681="","",IF(Registro_Compras!$F$190="NOTA DE CREDITO","Por la nota de credito "&amp;Registro_Compras!$C$190&amp;" de "&amp;Registro_Compras!$E$190&amp;" [PATRON POR CONFIRMAR CON CONTADOR]",IF(Registro_Compras!$F$190="RHE","Por el registro del recibo por honorarios "&amp;Registro_Compras!$C$190&amp;" de "&amp;Registro_Compras!$E$190&amp;" [PATRON POR CONFIRMAR CON CONTADOR]","Por el registro de la factura "&amp;Registro_Compras!$C$190&amp;" de "&amp;Registro_Compras!$E$190)))</f>
        <v/>
      </c>
      <c r="H1681">
        <f>IF($C1681="","",Registro_Compras!$C$190)</f>
        <v/>
      </c>
    </row>
    <row r="1682">
      <c r="A1682" s="25">
        <f>IF($C1682="","",Registro_Compras!$B$190)</f>
        <v/>
      </c>
      <c r="B1682">
        <f>IF($C1682="","","C"&amp;TEXT(INT((ROW()-5)/9)+1,"000")&amp;"-2")</f>
        <v/>
      </c>
      <c r="C1682">
        <f>IF(OR(Registro_Compras!$C$190="",Registro_Compras!$O$190=""),"",IF(Registro_Compras!$AB$190="ADMINISTRATIVO","94","95"))</f>
        <v/>
      </c>
      <c r="D1682">
        <f>IF(OR(Registro_Compras!$C$190="",Registro_Compras!$O$190=""),"",IF(Registro_Compras!$AB$190="ADMINISTRATIVO","Gastos Administrativos","Gastos de Venta y Operacion"))</f>
        <v/>
      </c>
      <c r="E1682" s="20">
        <f>IF($C1682="","",IF(Registro_Compras!$F$190="NOTA DE CREDITO","",IF(Registro_Compras!$F$190="RHE",ROUND(Registro_Compras!$L$190*Registro_Compras!$N$190,2),ROUND(Registro_Compras!$J$190*Registro_Compras!$N$190,2))))</f>
        <v/>
      </c>
      <c r="F1682" s="20">
        <f>IF($C1682="","",IF(Registro_Compras!$F$190="NOTA DE CREDITO",ROUND(ABS(Registro_Compras!$J$190*Registro_Compras!$N$190),2),""))</f>
        <v/>
      </c>
      <c r="G1682">
        <f>IF($C1682="","","Por el destino del gasto")</f>
        <v/>
      </c>
      <c r="H1682">
        <f>IF($C1682="","",Registro_Compras!$C$190)</f>
        <v/>
      </c>
    </row>
    <row r="1683">
      <c r="A1683" s="25">
        <f>IF($C1683="","",Registro_Compras!$B$190)</f>
        <v/>
      </c>
      <c r="B1683">
        <f>IF($C1683="","","C"&amp;TEXT(INT((ROW()-5)/9)+1,"000")&amp;"-2")</f>
        <v/>
      </c>
      <c r="C1683">
        <f>IF(OR(Registro_Compras!$C$190="",Registro_Compras!$O$190=""),"","79/791")</f>
        <v/>
      </c>
      <c r="D1683">
        <f>IF(OR(Registro_Compras!$C$190="",Registro_Compras!$O$190=""),"","Cargas Imputables a Cuentas de Costos y Gastos")</f>
        <v/>
      </c>
      <c r="E1683" s="20">
        <f>IF($C1683="","",IF(Registro_Compras!$F$190="NOTA DE CREDITO",ROUND(ABS(Registro_Compras!$J$190*Registro_Compras!$N$190),2),""))</f>
        <v/>
      </c>
      <c r="F1683" s="20">
        <f>IF($C1683="","",IF(Registro_Compras!$F$190="NOTA DE CREDITO","",IF(Registro_Compras!$F$190="RHE",ROUND(Registro_Compras!$L$190*Registro_Compras!$N$190,2),ROUND(Registro_Compras!$J$190*Registro_Compras!$N$190,2))))</f>
        <v/>
      </c>
      <c r="G1683">
        <f>IF($C1683="","","Por el destino del gasto")</f>
        <v/>
      </c>
      <c r="H1683">
        <f>IF($C1683="","",Registro_Compras!$C$190)</f>
        <v/>
      </c>
    </row>
    <row r="1684">
      <c r="A1684" s="25">
        <f>IF($C1684="","",Registro_Compras!$X$190)</f>
        <v/>
      </c>
      <c r="B1684">
        <f>IF($C1684="","","C"&amp;TEXT(INT((ROW()-5)/9)+1,"000")&amp;"-3")</f>
        <v/>
      </c>
      <c r="C1684">
        <f>IF(OR(Registro_Compras!$C$190="",Registro_Compras!$O$190="",Registro_Compras!$R$190&lt;&gt;"SI",Registro_Compras!$X$190=""),"","4212")</f>
        <v/>
      </c>
      <c r="D1684">
        <f>IF(OR(Registro_Compras!$C$190="",Registro_Compras!$O$190=""),"","Cuentas por Pagar Comerciales - Terceros")</f>
        <v/>
      </c>
      <c r="E1684" s="20">
        <f>IF($C1684="","",Registro_Compras!$S$190)</f>
        <v/>
      </c>
      <c r="F1684" s="20">
        <f>""</f>
        <v/>
      </c>
      <c r="G1684">
        <f>IF($C1684="","","Por el deposito de la detraccion en el Banco de la Nacion")</f>
        <v/>
      </c>
      <c r="H1684">
        <f>IF($C1684="","",Registro_Compras!$C$190)</f>
        <v/>
      </c>
    </row>
    <row r="1685">
      <c r="A1685" s="25">
        <f>IF($C1685="","",Registro_Compras!$X$190)</f>
        <v/>
      </c>
      <c r="B1685">
        <f>IF($C1685="","","C"&amp;TEXT(INT((ROW()-5)/9)+1,"000")&amp;"-3")</f>
        <v/>
      </c>
      <c r="C1685">
        <f>IF(OR(Registro_Compras!$C$190="",Registro_Compras!$O$190="",Registro_Compras!$R$190&lt;&gt;"SI",Registro_Compras!$X$190=""),"","10413")</f>
        <v/>
      </c>
      <c r="D1685">
        <f>IF(OR(Registro_Compras!$C$190="",Registro_Compras!$O$190=""),"","Efectivo y Equivalentes - Cta. Cte. Operativa")</f>
        <v/>
      </c>
      <c r="E1685" s="20">
        <f>""</f>
        <v/>
      </c>
      <c r="F1685" s="20">
        <f>IF($C1685="","",Registro_Compras!$S$190)</f>
        <v/>
      </c>
      <c r="G1685">
        <f>IF($C1685="","","Por el deposito de la detraccion en el Banco de la Nacion")</f>
        <v/>
      </c>
      <c r="H1685">
        <f>IF($C1685="","",Registro_Compras!$C$190)</f>
        <v/>
      </c>
    </row>
    <row r="1686">
      <c r="A1686" s="25">
        <f>IF($C1686="","",Registro_Compras!$Y$190)</f>
        <v/>
      </c>
      <c r="B1686">
        <f>IF($C1686="","","C"&amp;TEXT(INT((ROW()-5)/9)+1,"000")&amp;"-4")</f>
        <v/>
      </c>
      <c r="C1686">
        <f>IF(OR(Registro_Compras!$C$190="",Registro_Compras!$O$190="",Registro_Compras!$Y$190="",Registro_Compras!$F$190="NOTA DE CREDITO"),"","4212")</f>
        <v/>
      </c>
      <c r="D1686">
        <f>IF(OR(Registro_Compras!$C$190="",Registro_Compras!$O$190=""),"","Cuentas por Pagar Comerciales - Terceros")</f>
        <v/>
      </c>
      <c r="E1686" s="20">
        <f>IF($C1686="","",IF(Registro_Compras!$F$190="RHE",(ROUND(Registro_Compras!$L$190*Registro_Compras!$N$190,2)-ROUND(Registro_Compras!$V$190*Registro_Compras!$N$190,2)),ROUND(Registro_Compras!$O$190-Registro_Compras!$S$190,2)))</f>
        <v/>
      </c>
      <c r="F1686" s="20">
        <f>""</f>
        <v/>
      </c>
      <c r="G1686">
        <f>IF($C1686="","","Por la cancelacion del saldo al proveedor")</f>
        <v/>
      </c>
      <c r="H1686">
        <f>IF($C1686="","",Registro_Compras!$C$190)</f>
        <v/>
      </c>
    </row>
    <row r="1687">
      <c r="A1687" s="25">
        <f>IF($C1687="","",Registro_Compras!$Y$190)</f>
        <v/>
      </c>
      <c r="B1687">
        <f>IF($C1687="","","C"&amp;TEXT(INT((ROW()-5)/9)+1,"000")&amp;"-4")</f>
        <v/>
      </c>
      <c r="C1687">
        <f>IF(OR(Registro_Compras!$C$190="",Registro_Compras!$O$190="",Registro_Compras!$Y$190="",Registro_Compras!$F$190="NOTA DE CREDITO"),"","10413")</f>
        <v/>
      </c>
      <c r="D1687">
        <f>IF(OR(Registro_Compras!$C$190="",Registro_Compras!$O$190=""),"","Efectivo y Equivalentes - Cta. Cte. Operativa")</f>
        <v/>
      </c>
      <c r="E1687" s="20">
        <f>""</f>
        <v/>
      </c>
      <c r="F1687" s="20">
        <f>IF($C1687="","",IF(Registro_Compras!$F$190="RHE",(ROUND(Registro_Compras!$L$190*Registro_Compras!$N$190,2)-ROUND(Registro_Compras!$V$190*Registro_Compras!$N$190,2)),ROUND(Registro_Compras!$O$190-Registro_Compras!$S$190,2)))</f>
        <v/>
      </c>
      <c r="G1687">
        <f>IF($C1687="","","Por la cancelacion del saldo al proveedor")</f>
        <v/>
      </c>
      <c r="H1687">
        <f>IF($C1687="","",Registro_Compras!$C$190)</f>
        <v/>
      </c>
    </row>
    <row r="1688">
      <c r="A1688" s="25">
        <f>IF($C1688="","",Registro_Compras!$B$191)</f>
        <v/>
      </c>
      <c r="B1688">
        <f>IF($C1688="","","C"&amp;TEXT(INT((ROW()-5)/9)+1,"000")&amp;"-1")</f>
        <v/>
      </c>
      <c r="C1688">
        <f>IF(OR(Registro_Compras!$C$191="",Registro_Compras!$O$191=""),"",IF(Registro_Compras!$F$191="NOTA DE CREDITO","4212",IF(Registro_Compras!$M$191="","63",Registro_Compras!$M$191)))</f>
        <v/>
      </c>
      <c r="D1688">
        <f>IF(OR(Registro_Compras!$C$191="",Registro_Compras!$O$191=""),"",IF(Registro_Compras!$F$191="NOTA DE CREDITO","Cuentas por Pagar Comerciales - Terceros (Emitidas)",IF(Registro_Compras!$F$191="RHE","Honorarios Profesionales - Servicios de Terceros","Gastos de Servicios Prestados por Terceros")))</f>
        <v/>
      </c>
      <c r="E1688" s="20">
        <f>IF($C1688="","",IF(Registro_Compras!$F$191="NOTA DE CREDITO",ABS(Registro_Compras!$O$191),IF(Registro_Compras!$F$191="RHE",ROUND(Registro_Compras!$L$191*Registro_Compras!$N$191,2),ROUND(Registro_Compras!$J$191*Registro_Compras!$N$191,2))))</f>
        <v/>
      </c>
      <c r="F1688" s="20">
        <f>""</f>
        <v/>
      </c>
      <c r="G1688">
        <f>IF($C1688="","",IF(Registro_Compras!$F$191="NOTA DE CREDITO","Por la nota de credito "&amp;Registro_Compras!$C$191&amp;" de "&amp;Registro_Compras!$E$191&amp;" [PATRON POR CONFIRMAR CON CONTADOR]",IF(Registro_Compras!$F$191="RHE","Por el registro del recibo por honorarios "&amp;Registro_Compras!$C$191&amp;" de "&amp;Registro_Compras!$E$191&amp;" [PATRON POR CONFIRMAR CON CONTADOR]","Por el registro de la factura "&amp;Registro_Compras!$C$191&amp;" de "&amp;Registro_Compras!$E$191)))</f>
        <v/>
      </c>
      <c r="H1688">
        <f>IF($C1688="","",Registro_Compras!$C$191)</f>
        <v/>
      </c>
    </row>
    <row r="1689">
      <c r="A1689" s="25">
        <f>IF($C1689="","",Registro_Compras!$B$191)</f>
        <v/>
      </c>
      <c r="B1689">
        <f>IF($C1689="","","C"&amp;TEXT(INT((ROW()-5)/9)+1,"000")&amp;"-1")</f>
        <v/>
      </c>
      <c r="C1689">
        <f>IF(OR(Registro_Compras!$C$191="",Registro_Compras!$O$191=""),"",IF(Registro_Compras!$F$191="RHE",IF(Registro_Compras!$V$191=0,"","40172"),IF(Registro_Compras!$F$191="NOTA DE CREDITO",IF(Registro_Compras!$M$191="","63",Registro_Compras!$M$191),IF(Registro_Compras!$K$191=0,"","40111"))))</f>
        <v/>
      </c>
      <c r="D1689">
        <f>IF(OR(Registro_Compras!$C$191="",Registro_Compras!$O$191=""),"",IF(Registro_Compras!$F$191="RHE","Retencion Renta 4ta Categoria por Pagar",IF(Registro_Compras!$F$191="NOTA DE CREDITO","Gastos de Servicios Prestados por Terceros","IGV - Cuenta Propia (Credito Fiscal)")))</f>
        <v/>
      </c>
      <c r="E1689" s="20">
        <f>IF($C1689="","",IF(Registro_Compras!$F$191="FACTURA",ROUND(Registro_Compras!$K$191*Registro_Compras!$N$191,2),""))</f>
        <v/>
      </c>
      <c r="F1689" s="20">
        <f>IF($C1689="","",IF(Registro_Compras!$F$191="RHE",ROUND(Registro_Compras!$V$191*Registro_Compras!$N$191,2),IF(Registro_Compras!$F$191="NOTA DE CREDITO",ROUND(ABS(Registro_Compras!$J$191*Registro_Compras!$N$191),2),"")))</f>
        <v/>
      </c>
      <c r="G1689">
        <f>IF($C1689="","",IF(Registro_Compras!$F$191="NOTA DE CREDITO","Por la nota de credito "&amp;Registro_Compras!$C$191&amp;" de "&amp;Registro_Compras!$E$191&amp;" [PATRON POR CONFIRMAR CON CONTADOR]",IF(Registro_Compras!$F$191="RHE","Por el registro del recibo por honorarios "&amp;Registro_Compras!$C$191&amp;" de "&amp;Registro_Compras!$E$191&amp;" [PATRON POR CONFIRMAR CON CONTADOR]","Por el registro de la factura "&amp;Registro_Compras!$C$191&amp;" de "&amp;Registro_Compras!$E$191)))</f>
        <v/>
      </c>
      <c r="H1689">
        <f>IF($C1689="","",Registro_Compras!$C$191)</f>
        <v/>
      </c>
    </row>
    <row r="1690">
      <c r="A1690" s="25">
        <f>IF($C1690="","",Registro_Compras!$B$191)</f>
        <v/>
      </c>
      <c r="B1690">
        <f>IF($C1690="","","C"&amp;TEXT(INT((ROW()-5)/9)+1,"000")&amp;"-1")</f>
        <v/>
      </c>
      <c r="C1690">
        <f>IF(OR(Registro_Compras!$C$191="",Registro_Compras!$O$191=""),"",IF(Registro_Compras!$F$191="NOTA DE CREDITO",IF(Registro_Compras!$K$191=0,"","40111"),"4212"))</f>
        <v/>
      </c>
      <c r="D1690">
        <f>IF(OR(Registro_Compras!$C$191="",Registro_Compras!$O$191=""),"",IF(Registro_Compras!$F$191="NOTA DE CREDITO","IGV - Cuenta Propia (Credito Fiscal)","Cuentas por Pagar Comerciales - Terceros (Emitidas)"))</f>
        <v/>
      </c>
      <c r="E1690" s="20">
        <f>""</f>
        <v/>
      </c>
      <c r="F1690" s="20">
        <f>IF($C1690="","",IF(Registro_Compras!$F$191="NOTA DE CREDITO",ROUND(ABS(Registro_Compras!$K$191*Registro_Compras!$N$191),2),IF(Registro_Compras!$F$191="RHE",(ROUND(Registro_Compras!$L$191*Registro_Compras!$N$191,2)-ROUND(Registro_Compras!$V$191*Registro_Compras!$N$191,2)),Registro_Compras!$O$191)))</f>
        <v/>
      </c>
      <c r="G1690">
        <f>IF($C1690="","",IF(Registro_Compras!$F$191="NOTA DE CREDITO","Por la nota de credito "&amp;Registro_Compras!$C$191&amp;" de "&amp;Registro_Compras!$E$191&amp;" [PATRON POR CONFIRMAR CON CONTADOR]",IF(Registro_Compras!$F$191="RHE","Por el registro del recibo por honorarios "&amp;Registro_Compras!$C$191&amp;" de "&amp;Registro_Compras!$E$191&amp;" [PATRON POR CONFIRMAR CON CONTADOR]","Por el registro de la factura "&amp;Registro_Compras!$C$191&amp;" de "&amp;Registro_Compras!$E$191)))</f>
        <v/>
      </c>
      <c r="H1690">
        <f>IF($C1690="","",Registro_Compras!$C$191)</f>
        <v/>
      </c>
    </row>
    <row r="1691">
      <c r="A1691" s="25">
        <f>IF($C1691="","",Registro_Compras!$B$191)</f>
        <v/>
      </c>
      <c r="B1691">
        <f>IF($C1691="","","C"&amp;TEXT(INT((ROW()-5)/9)+1,"000")&amp;"-2")</f>
        <v/>
      </c>
      <c r="C1691">
        <f>IF(OR(Registro_Compras!$C$191="",Registro_Compras!$O$191=""),"",IF(Registro_Compras!$AB$191="ADMINISTRATIVO","94","95"))</f>
        <v/>
      </c>
      <c r="D1691">
        <f>IF(OR(Registro_Compras!$C$191="",Registro_Compras!$O$191=""),"",IF(Registro_Compras!$AB$191="ADMINISTRATIVO","Gastos Administrativos","Gastos de Venta y Operacion"))</f>
        <v/>
      </c>
      <c r="E1691" s="20">
        <f>IF($C1691="","",IF(Registro_Compras!$F$191="NOTA DE CREDITO","",IF(Registro_Compras!$F$191="RHE",ROUND(Registro_Compras!$L$191*Registro_Compras!$N$191,2),ROUND(Registro_Compras!$J$191*Registro_Compras!$N$191,2))))</f>
        <v/>
      </c>
      <c r="F1691" s="20">
        <f>IF($C1691="","",IF(Registro_Compras!$F$191="NOTA DE CREDITO",ROUND(ABS(Registro_Compras!$J$191*Registro_Compras!$N$191),2),""))</f>
        <v/>
      </c>
      <c r="G1691">
        <f>IF($C1691="","","Por el destino del gasto")</f>
        <v/>
      </c>
      <c r="H1691">
        <f>IF($C1691="","",Registro_Compras!$C$191)</f>
        <v/>
      </c>
    </row>
    <row r="1692">
      <c r="A1692" s="25">
        <f>IF($C1692="","",Registro_Compras!$B$191)</f>
        <v/>
      </c>
      <c r="B1692">
        <f>IF($C1692="","","C"&amp;TEXT(INT((ROW()-5)/9)+1,"000")&amp;"-2")</f>
        <v/>
      </c>
      <c r="C1692">
        <f>IF(OR(Registro_Compras!$C$191="",Registro_Compras!$O$191=""),"","79/791")</f>
        <v/>
      </c>
      <c r="D1692">
        <f>IF(OR(Registro_Compras!$C$191="",Registro_Compras!$O$191=""),"","Cargas Imputables a Cuentas de Costos y Gastos")</f>
        <v/>
      </c>
      <c r="E1692" s="20">
        <f>IF($C1692="","",IF(Registro_Compras!$F$191="NOTA DE CREDITO",ROUND(ABS(Registro_Compras!$J$191*Registro_Compras!$N$191),2),""))</f>
        <v/>
      </c>
      <c r="F1692" s="20">
        <f>IF($C1692="","",IF(Registro_Compras!$F$191="NOTA DE CREDITO","",IF(Registro_Compras!$F$191="RHE",ROUND(Registro_Compras!$L$191*Registro_Compras!$N$191,2),ROUND(Registro_Compras!$J$191*Registro_Compras!$N$191,2))))</f>
        <v/>
      </c>
      <c r="G1692">
        <f>IF($C1692="","","Por el destino del gasto")</f>
        <v/>
      </c>
      <c r="H1692">
        <f>IF($C1692="","",Registro_Compras!$C$191)</f>
        <v/>
      </c>
    </row>
    <row r="1693">
      <c r="A1693" s="25">
        <f>IF($C1693="","",Registro_Compras!$X$191)</f>
        <v/>
      </c>
      <c r="B1693">
        <f>IF($C1693="","","C"&amp;TEXT(INT((ROW()-5)/9)+1,"000")&amp;"-3")</f>
        <v/>
      </c>
      <c r="C1693">
        <f>IF(OR(Registro_Compras!$C$191="",Registro_Compras!$O$191="",Registro_Compras!$R$191&lt;&gt;"SI",Registro_Compras!$X$191=""),"","4212")</f>
        <v/>
      </c>
      <c r="D1693">
        <f>IF(OR(Registro_Compras!$C$191="",Registro_Compras!$O$191=""),"","Cuentas por Pagar Comerciales - Terceros")</f>
        <v/>
      </c>
      <c r="E1693" s="20">
        <f>IF($C1693="","",Registro_Compras!$S$191)</f>
        <v/>
      </c>
      <c r="F1693" s="20">
        <f>""</f>
        <v/>
      </c>
      <c r="G1693">
        <f>IF($C1693="","","Por el deposito de la detraccion en el Banco de la Nacion")</f>
        <v/>
      </c>
      <c r="H1693">
        <f>IF($C1693="","",Registro_Compras!$C$191)</f>
        <v/>
      </c>
    </row>
    <row r="1694">
      <c r="A1694" s="25">
        <f>IF($C1694="","",Registro_Compras!$X$191)</f>
        <v/>
      </c>
      <c r="B1694">
        <f>IF($C1694="","","C"&amp;TEXT(INT((ROW()-5)/9)+1,"000")&amp;"-3")</f>
        <v/>
      </c>
      <c r="C1694">
        <f>IF(OR(Registro_Compras!$C$191="",Registro_Compras!$O$191="",Registro_Compras!$R$191&lt;&gt;"SI",Registro_Compras!$X$191=""),"","10413")</f>
        <v/>
      </c>
      <c r="D1694">
        <f>IF(OR(Registro_Compras!$C$191="",Registro_Compras!$O$191=""),"","Efectivo y Equivalentes - Cta. Cte. Operativa")</f>
        <v/>
      </c>
      <c r="E1694" s="20">
        <f>""</f>
        <v/>
      </c>
      <c r="F1694" s="20">
        <f>IF($C1694="","",Registro_Compras!$S$191)</f>
        <v/>
      </c>
      <c r="G1694">
        <f>IF($C1694="","","Por el deposito de la detraccion en el Banco de la Nacion")</f>
        <v/>
      </c>
      <c r="H1694">
        <f>IF($C1694="","",Registro_Compras!$C$191)</f>
        <v/>
      </c>
    </row>
    <row r="1695">
      <c r="A1695" s="25">
        <f>IF($C1695="","",Registro_Compras!$Y$191)</f>
        <v/>
      </c>
      <c r="B1695">
        <f>IF($C1695="","","C"&amp;TEXT(INT((ROW()-5)/9)+1,"000")&amp;"-4")</f>
        <v/>
      </c>
      <c r="C1695">
        <f>IF(OR(Registro_Compras!$C$191="",Registro_Compras!$O$191="",Registro_Compras!$Y$191="",Registro_Compras!$F$191="NOTA DE CREDITO"),"","4212")</f>
        <v/>
      </c>
      <c r="D1695">
        <f>IF(OR(Registro_Compras!$C$191="",Registro_Compras!$O$191=""),"","Cuentas por Pagar Comerciales - Terceros")</f>
        <v/>
      </c>
      <c r="E1695" s="20">
        <f>IF($C1695="","",IF(Registro_Compras!$F$191="RHE",(ROUND(Registro_Compras!$L$191*Registro_Compras!$N$191,2)-ROUND(Registro_Compras!$V$191*Registro_Compras!$N$191,2)),ROUND(Registro_Compras!$O$191-Registro_Compras!$S$191,2)))</f>
        <v/>
      </c>
      <c r="F1695" s="20">
        <f>""</f>
        <v/>
      </c>
      <c r="G1695">
        <f>IF($C1695="","","Por la cancelacion del saldo al proveedor")</f>
        <v/>
      </c>
      <c r="H1695">
        <f>IF($C1695="","",Registro_Compras!$C$191)</f>
        <v/>
      </c>
    </row>
    <row r="1696">
      <c r="A1696" s="25">
        <f>IF($C1696="","",Registro_Compras!$Y$191)</f>
        <v/>
      </c>
      <c r="B1696">
        <f>IF($C1696="","","C"&amp;TEXT(INT((ROW()-5)/9)+1,"000")&amp;"-4")</f>
        <v/>
      </c>
      <c r="C1696">
        <f>IF(OR(Registro_Compras!$C$191="",Registro_Compras!$O$191="",Registro_Compras!$Y$191="",Registro_Compras!$F$191="NOTA DE CREDITO"),"","10413")</f>
        <v/>
      </c>
      <c r="D1696">
        <f>IF(OR(Registro_Compras!$C$191="",Registro_Compras!$O$191=""),"","Efectivo y Equivalentes - Cta. Cte. Operativa")</f>
        <v/>
      </c>
      <c r="E1696" s="20">
        <f>""</f>
        <v/>
      </c>
      <c r="F1696" s="20">
        <f>IF($C1696="","",IF(Registro_Compras!$F$191="RHE",(ROUND(Registro_Compras!$L$191*Registro_Compras!$N$191,2)-ROUND(Registro_Compras!$V$191*Registro_Compras!$N$191,2)),ROUND(Registro_Compras!$O$191-Registro_Compras!$S$191,2)))</f>
        <v/>
      </c>
      <c r="G1696">
        <f>IF($C1696="","","Por la cancelacion del saldo al proveedor")</f>
        <v/>
      </c>
      <c r="H1696">
        <f>IF($C1696="","",Registro_Compras!$C$191)</f>
        <v/>
      </c>
    </row>
    <row r="1697">
      <c r="A1697" s="25">
        <f>IF($C1697="","",Registro_Compras!$B$192)</f>
        <v/>
      </c>
      <c r="B1697">
        <f>IF($C1697="","","C"&amp;TEXT(INT((ROW()-5)/9)+1,"000")&amp;"-1")</f>
        <v/>
      </c>
      <c r="C1697">
        <f>IF(OR(Registro_Compras!$C$192="",Registro_Compras!$O$192=""),"",IF(Registro_Compras!$F$192="NOTA DE CREDITO","4212",IF(Registro_Compras!$M$192="","63",Registro_Compras!$M$192)))</f>
        <v/>
      </c>
      <c r="D1697">
        <f>IF(OR(Registro_Compras!$C$192="",Registro_Compras!$O$192=""),"",IF(Registro_Compras!$F$192="NOTA DE CREDITO","Cuentas por Pagar Comerciales - Terceros (Emitidas)",IF(Registro_Compras!$F$192="RHE","Honorarios Profesionales - Servicios de Terceros","Gastos de Servicios Prestados por Terceros")))</f>
        <v/>
      </c>
      <c r="E1697" s="20">
        <f>IF($C1697="","",IF(Registro_Compras!$F$192="NOTA DE CREDITO",ABS(Registro_Compras!$O$192),IF(Registro_Compras!$F$192="RHE",ROUND(Registro_Compras!$L$192*Registro_Compras!$N$192,2),ROUND(Registro_Compras!$J$192*Registro_Compras!$N$192,2))))</f>
        <v/>
      </c>
      <c r="F1697" s="20">
        <f>""</f>
        <v/>
      </c>
      <c r="G1697">
        <f>IF($C1697="","",IF(Registro_Compras!$F$192="NOTA DE CREDITO","Por la nota de credito "&amp;Registro_Compras!$C$192&amp;" de "&amp;Registro_Compras!$E$192&amp;" [PATRON POR CONFIRMAR CON CONTADOR]",IF(Registro_Compras!$F$192="RHE","Por el registro del recibo por honorarios "&amp;Registro_Compras!$C$192&amp;" de "&amp;Registro_Compras!$E$192&amp;" [PATRON POR CONFIRMAR CON CONTADOR]","Por el registro de la factura "&amp;Registro_Compras!$C$192&amp;" de "&amp;Registro_Compras!$E$192)))</f>
        <v/>
      </c>
      <c r="H1697">
        <f>IF($C1697="","",Registro_Compras!$C$192)</f>
        <v/>
      </c>
    </row>
    <row r="1698">
      <c r="A1698" s="25">
        <f>IF($C1698="","",Registro_Compras!$B$192)</f>
        <v/>
      </c>
      <c r="B1698">
        <f>IF($C1698="","","C"&amp;TEXT(INT((ROW()-5)/9)+1,"000")&amp;"-1")</f>
        <v/>
      </c>
      <c r="C1698">
        <f>IF(OR(Registro_Compras!$C$192="",Registro_Compras!$O$192=""),"",IF(Registro_Compras!$F$192="RHE",IF(Registro_Compras!$V$192=0,"","40172"),IF(Registro_Compras!$F$192="NOTA DE CREDITO",IF(Registro_Compras!$M$192="","63",Registro_Compras!$M$192),IF(Registro_Compras!$K$192=0,"","40111"))))</f>
        <v/>
      </c>
      <c r="D1698">
        <f>IF(OR(Registro_Compras!$C$192="",Registro_Compras!$O$192=""),"",IF(Registro_Compras!$F$192="RHE","Retencion Renta 4ta Categoria por Pagar",IF(Registro_Compras!$F$192="NOTA DE CREDITO","Gastos de Servicios Prestados por Terceros","IGV - Cuenta Propia (Credito Fiscal)")))</f>
        <v/>
      </c>
      <c r="E1698" s="20">
        <f>IF($C1698="","",IF(Registro_Compras!$F$192="FACTURA",ROUND(Registro_Compras!$K$192*Registro_Compras!$N$192,2),""))</f>
        <v/>
      </c>
      <c r="F1698" s="20">
        <f>IF($C1698="","",IF(Registro_Compras!$F$192="RHE",ROUND(Registro_Compras!$V$192*Registro_Compras!$N$192,2),IF(Registro_Compras!$F$192="NOTA DE CREDITO",ROUND(ABS(Registro_Compras!$J$192*Registro_Compras!$N$192),2),"")))</f>
        <v/>
      </c>
      <c r="G1698">
        <f>IF($C1698="","",IF(Registro_Compras!$F$192="NOTA DE CREDITO","Por la nota de credito "&amp;Registro_Compras!$C$192&amp;" de "&amp;Registro_Compras!$E$192&amp;" [PATRON POR CONFIRMAR CON CONTADOR]",IF(Registro_Compras!$F$192="RHE","Por el registro del recibo por honorarios "&amp;Registro_Compras!$C$192&amp;" de "&amp;Registro_Compras!$E$192&amp;" [PATRON POR CONFIRMAR CON CONTADOR]","Por el registro de la factura "&amp;Registro_Compras!$C$192&amp;" de "&amp;Registro_Compras!$E$192)))</f>
        <v/>
      </c>
      <c r="H1698">
        <f>IF($C1698="","",Registro_Compras!$C$192)</f>
        <v/>
      </c>
    </row>
    <row r="1699">
      <c r="A1699" s="25">
        <f>IF($C1699="","",Registro_Compras!$B$192)</f>
        <v/>
      </c>
      <c r="B1699">
        <f>IF($C1699="","","C"&amp;TEXT(INT((ROW()-5)/9)+1,"000")&amp;"-1")</f>
        <v/>
      </c>
      <c r="C1699">
        <f>IF(OR(Registro_Compras!$C$192="",Registro_Compras!$O$192=""),"",IF(Registro_Compras!$F$192="NOTA DE CREDITO",IF(Registro_Compras!$K$192=0,"","40111"),"4212"))</f>
        <v/>
      </c>
      <c r="D1699">
        <f>IF(OR(Registro_Compras!$C$192="",Registro_Compras!$O$192=""),"",IF(Registro_Compras!$F$192="NOTA DE CREDITO","IGV - Cuenta Propia (Credito Fiscal)","Cuentas por Pagar Comerciales - Terceros (Emitidas)"))</f>
        <v/>
      </c>
      <c r="E1699" s="20">
        <f>""</f>
        <v/>
      </c>
      <c r="F1699" s="20">
        <f>IF($C1699="","",IF(Registro_Compras!$F$192="NOTA DE CREDITO",ROUND(ABS(Registro_Compras!$K$192*Registro_Compras!$N$192),2),IF(Registro_Compras!$F$192="RHE",(ROUND(Registro_Compras!$L$192*Registro_Compras!$N$192,2)-ROUND(Registro_Compras!$V$192*Registro_Compras!$N$192,2)),Registro_Compras!$O$192)))</f>
        <v/>
      </c>
      <c r="G1699">
        <f>IF($C1699="","",IF(Registro_Compras!$F$192="NOTA DE CREDITO","Por la nota de credito "&amp;Registro_Compras!$C$192&amp;" de "&amp;Registro_Compras!$E$192&amp;" [PATRON POR CONFIRMAR CON CONTADOR]",IF(Registro_Compras!$F$192="RHE","Por el registro del recibo por honorarios "&amp;Registro_Compras!$C$192&amp;" de "&amp;Registro_Compras!$E$192&amp;" [PATRON POR CONFIRMAR CON CONTADOR]","Por el registro de la factura "&amp;Registro_Compras!$C$192&amp;" de "&amp;Registro_Compras!$E$192)))</f>
        <v/>
      </c>
      <c r="H1699">
        <f>IF($C1699="","",Registro_Compras!$C$192)</f>
        <v/>
      </c>
    </row>
    <row r="1700">
      <c r="A1700" s="25">
        <f>IF($C1700="","",Registro_Compras!$B$192)</f>
        <v/>
      </c>
      <c r="B1700">
        <f>IF($C1700="","","C"&amp;TEXT(INT((ROW()-5)/9)+1,"000")&amp;"-2")</f>
        <v/>
      </c>
      <c r="C1700">
        <f>IF(OR(Registro_Compras!$C$192="",Registro_Compras!$O$192=""),"",IF(Registro_Compras!$AB$192="ADMINISTRATIVO","94","95"))</f>
        <v/>
      </c>
      <c r="D1700">
        <f>IF(OR(Registro_Compras!$C$192="",Registro_Compras!$O$192=""),"",IF(Registro_Compras!$AB$192="ADMINISTRATIVO","Gastos Administrativos","Gastos de Venta y Operacion"))</f>
        <v/>
      </c>
      <c r="E1700" s="20">
        <f>IF($C1700="","",IF(Registro_Compras!$F$192="NOTA DE CREDITO","",IF(Registro_Compras!$F$192="RHE",ROUND(Registro_Compras!$L$192*Registro_Compras!$N$192,2),ROUND(Registro_Compras!$J$192*Registro_Compras!$N$192,2))))</f>
        <v/>
      </c>
      <c r="F1700" s="20">
        <f>IF($C1700="","",IF(Registro_Compras!$F$192="NOTA DE CREDITO",ROUND(ABS(Registro_Compras!$J$192*Registro_Compras!$N$192),2),""))</f>
        <v/>
      </c>
      <c r="G1700">
        <f>IF($C1700="","","Por el destino del gasto")</f>
        <v/>
      </c>
      <c r="H1700">
        <f>IF($C1700="","",Registro_Compras!$C$192)</f>
        <v/>
      </c>
    </row>
    <row r="1701">
      <c r="A1701" s="25">
        <f>IF($C1701="","",Registro_Compras!$B$192)</f>
        <v/>
      </c>
      <c r="B1701">
        <f>IF($C1701="","","C"&amp;TEXT(INT((ROW()-5)/9)+1,"000")&amp;"-2")</f>
        <v/>
      </c>
      <c r="C1701">
        <f>IF(OR(Registro_Compras!$C$192="",Registro_Compras!$O$192=""),"","79/791")</f>
        <v/>
      </c>
      <c r="D1701">
        <f>IF(OR(Registro_Compras!$C$192="",Registro_Compras!$O$192=""),"","Cargas Imputables a Cuentas de Costos y Gastos")</f>
        <v/>
      </c>
      <c r="E1701" s="20">
        <f>IF($C1701="","",IF(Registro_Compras!$F$192="NOTA DE CREDITO",ROUND(ABS(Registro_Compras!$J$192*Registro_Compras!$N$192),2),""))</f>
        <v/>
      </c>
      <c r="F1701" s="20">
        <f>IF($C1701="","",IF(Registro_Compras!$F$192="NOTA DE CREDITO","",IF(Registro_Compras!$F$192="RHE",ROUND(Registro_Compras!$L$192*Registro_Compras!$N$192,2),ROUND(Registro_Compras!$J$192*Registro_Compras!$N$192,2))))</f>
        <v/>
      </c>
      <c r="G1701">
        <f>IF($C1701="","","Por el destino del gasto")</f>
        <v/>
      </c>
      <c r="H1701">
        <f>IF($C1701="","",Registro_Compras!$C$192)</f>
        <v/>
      </c>
    </row>
    <row r="1702">
      <c r="A1702" s="25">
        <f>IF($C1702="","",Registro_Compras!$X$192)</f>
        <v/>
      </c>
      <c r="B1702">
        <f>IF($C1702="","","C"&amp;TEXT(INT((ROW()-5)/9)+1,"000")&amp;"-3")</f>
        <v/>
      </c>
      <c r="C1702">
        <f>IF(OR(Registro_Compras!$C$192="",Registro_Compras!$O$192="",Registro_Compras!$R$192&lt;&gt;"SI",Registro_Compras!$X$192=""),"","4212")</f>
        <v/>
      </c>
      <c r="D1702">
        <f>IF(OR(Registro_Compras!$C$192="",Registro_Compras!$O$192=""),"","Cuentas por Pagar Comerciales - Terceros")</f>
        <v/>
      </c>
      <c r="E1702" s="20">
        <f>IF($C1702="","",Registro_Compras!$S$192)</f>
        <v/>
      </c>
      <c r="F1702" s="20">
        <f>""</f>
        <v/>
      </c>
      <c r="G1702">
        <f>IF($C1702="","","Por el deposito de la detraccion en el Banco de la Nacion")</f>
        <v/>
      </c>
      <c r="H1702">
        <f>IF($C1702="","",Registro_Compras!$C$192)</f>
        <v/>
      </c>
    </row>
    <row r="1703">
      <c r="A1703" s="25">
        <f>IF($C1703="","",Registro_Compras!$X$192)</f>
        <v/>
      </c>
      <c r="B1703">
        <f>IF($C1703="","","C"&amp;TEXT(INT((ROW()-5)/9)+1,"000")&amp;"-3")</f>
        <v/>
      </c>
      <c r="C1703">
        <f>IF(OR(Registro_Compras!$C$192="",Registro_Compras!$O$192="",Registro_Compras!$R$192&lt;&gt;"SI",Registro_Compras!$X$192=""),"","10413")</f>
        <v/>
      </c>
      <c r="D1703">
        <f>IF(OR(Registro_Compras!$C$192="",Registro_Compras!$O$192=""),"","Efectivo y Equivalentes - Cta. Cte. Operativa")</f>
        <v/>
      </c>
      <c r="E1703" s="20">
        <f>""</f>
        <v/>
      </c>
      <c r="F1703" s="20">
        <f>IF($C1703="","",Registro_Compras!$S$192)</f>
        <v/>
      </c>
      <c r="G1703">
        <f>IF($C1703="","","Por el deposito de la detraccion en el Banco de la Nacion")</f>
        <v/>
      </c>
      <c r="H1703">
        <f>IF($C1703="","",Registro_Compras!$C$192)</f>
        <v/>
      </c>
    </row>
    <row r="1704">
      <c r="A1704" s="25">
        <f>IF($C1704="","",Registro_Compras!$Y$192)</f>
        <v/>
      </c>
      <c r="B1704">
        <f>IF($C1704="","","C"&amp;TEXT(INT((ROW()-5)/9)+1,"000")&amp;"-4")</f>
        <v/>
      </c>
      <c r="C1704">
        <f>IF(OR(Registro_Compras!$C$192="",Registro_Compras!$O$192="",Registro_Compras!$Y$192="",Registro_Compras!$F$192="NOTA DE CREDITO"),"","4212")</f>
        <v/>
      </c>
      <c r="D1704">
        <f>IF(OR(Registro_Compras!$C$192="",Registro_Compras!$O$192=""),"","Cuentas por Pagar Comerciales - Terceros")</f>
        <v/>
      </c>
      <c r="E1704" s="20">
        <f>IF($C1704="","",IF(Registro_Compras!$F$192="RHE",(ROUND(Registro_Compras!$L$192*Registro_Compras!$N$192,2)-ROUND(Registro_Compras!$V$192*Registro_Compras!$N$192,2)),ROUND(Registro_Compras!$O$192-Registro_Compras!$S$192,2)))</f>
        <v/>
      </c>
      <c r="F1704" s="20">
        <f>""</f>
        <v/>
      </c>
      <c r="G1704">
        <f>IF($C1704="","","Por la cancelacion del saldo al proveedor")</f>
        <v/>
      </c>
      <c r="H1704">
        <f>IF($C1704="","",Registro_Compras!$C$192)</f>
        <v/>
      </c>
    </row>
    <row r="1705">
      <c r="A1705" s="25">
        <f>IF($C1705="","",Registro_Compras!$Y$192)</f>
        <v/>
      </c>
      <c r="B1705">
        <f>IF($C1705="","","C"&amp;TEXT(INT((ROW()-5)/9)+1,"000")&amp;"-4")</f>
        <v/>
      </c>
      <c r="C1705">
        <f>IF(OR(Registro_Compras!$C$192="",Registro_Compras!$O$192="",Registro_Compras!$Y$192="",Registro_Compras!$F$192="NOTA DE CREDITO"),"","10413")</f>
        <v/>
      </c>
      <c r="D1705">
        <f>IF(OR(Registro_Compras!$C$192="",Registro_Compras!$O$192=""),"","Efectivo y Equivalentes - Cta. Cte. Operativa")</f>
        <v/>
      </c>
      <c r="E1705" s="20">
        <f>""</f>
        <v/>
      </c>
      <c r="F1705" s="20">
        <f>IF($C1705="","",IF(Registro_Compras!$F$192="RHE",(ROUND(Registro_Compras!$L$192*Registro_Compras!$N$192,2)-ROUND(Registro_Compras!$V$192*Registro_Compras!$N$192,2)),ROUND(Registro_Compras!$O$192-Registro_Compras!$S$192,2)))</f>
        <v/>
      </c>
      <c r="G1705">
        <f>IF($C1705="","","Por la cancelacion del saldo al proveedor")</f>
        <v/>
      </c>
      <c r="H1705">
        <f>IF($C1705="","",Registro_Compras!$C$192)</f>
        <v/>
      </c>
    </row>
    <row r="1706">
      <c r="A1706" s="25">
        <f>IF($C1706="","",Registro_Compras!$B$193)</f>
        <v/>
      </c>
      <c r="B1706">
        <f>IF($C1706="","","C"&amp;TEXT(INT((ROW()-5)/9)+1,"000")&amp;"-1")</f>
        <v/>
      </c>
      <c r="C1706">
        <f>IF(OR(Registro_Compras!$C$193="",Registro_Compras!$O$193=""),"",IF(Registro_Compras!$F$193="NOTA DE CREDITO","4212",IF(Registro_Compras!$M$193="","63",Registro_Compras!$M$193)))</f>
        <v/>
      </c>
      <c r="D1706">
        <f>IF(OR(Registro_Compras!$C$193="",Registro_Compras!$O$193=""),"",IF(Registro_Compras!$F$193="NOTA DE CREDITO","Cuentas por Pagar Comerciales - Terceros (Emitidas)",IF(Registro_Compras!$F$193="RHE","Honorarios Profesionales - Servicios de Terceros","Gastos de Servicios Prestados por Terceros")))</f>
        <v/>
      </c>
      <c r="E1706" s="20">
        <f>IF($C1706="","",IF(Registro_Compras!$F$193="NOTA DE CREDITO",ABS(Registro_Compras!$O$193),IF(Registro_Compras!$F$193="RHE",ROUND(Registro_Compras!$L$193*Registro_Compras!$N$193,2),ROUND(Registro_Compras!$J$193*Registro_Compras!$N$193,2))))</f>
        <v/>
      </c>
      <c r="F1706" s="20">
        <f>""</f>
        <v/>
      </c>
      <c r="G1706">
        <f>IF($C1706="","",IF(Registro_Compras!$F$193="NOTA DE CREDITO","Por la nota de credito "&amp;Registro_Compras!$C$193&amp;" de "&amp;Registro_Compras!$E$193&amp;" [PATRON POR CONFIRMAR CON CONTADOR]",IF(Registro_Compras!$F$193="RHE","Por el registro del recibo por honorarios "&amp;Registro_Compras!$C$193&amp;" de "&amp;Registro_Compras!$E$193&amp;" [PATRON POR CONFIRMAR CON CONTADOR]","Por el registro de la factura "&amp;Registro_Compras!$C$193&amp;" de "&amp;Registro_Compras!$E$193)))</f>
        <v/>
      </c>
      <c r="H1706">
        <f>IF($C1706="","",Registro_Compras!$C$193)</f>
        <v/>
      </c>
    </row>
    <row r="1707">
      <c r="A1707" s="25">
        <f>IF($C1707="","",Registro_Compras!$B$193)</f>
        <v/>
      </c>
      <c r="B1707">
        <f>IF($C1707="","","C"&amp;TEXT(INT((ROW()-5)/9)+1,"000")&amp;"-1")</f>
        <v/>
      </c>
      <c r="C1707">
        <f>IF(OR(Registro_Compras!$C$193="",Registro_Compras!$O$193=""),"",IF(Registro_Compras!$F$193="RHE",IF(Registro_Compras!$V$193=0,"","40172"),IF(Registro_Compras!$F$193="NOTA DE CREDITO",IF(Registro_Compras!$M$193="","63",Registro_Compras!$M$193),IF(Registro_Compras!$K$193=0,"","40111"))))</f>
        <v/>
      </c>
      <c r="D1707">
        <f>IF(OR(Registro_Compras!$C$193="",Registro_Compras!$O$193=""),"",IF(Registro_Compras!$F$193="RHE","Retencion Renta 4ta Categoria por Pagar",IF(Registro_Compras!$F$193="NOTA DE CREDITO","Gastos de Servicios Prestados por Terceros","IGV - Cuenta Propia (Credito Fiscal)")))</f>
        <v/>
      </c>
      <c r="E1707" s="20">
        <f>IF($C1707="","",IF(Registro_Compras!$F$193="FACTURA",ROUND(Registro_Compras!$K$193*Registro_Compras!$N$193,2),""))</f>
        <v/>
      </c>
      <c r="F1707" s="20">
        <f>IF($C1707="","",IF(Registro_Compras!$F$193="RHE",ROUND(Registro_Compras!$V$193*Registro_Compras!$N$193,2),IF(Registro_Compras!$F$193="NOTA DE CREDITO",ROUND(ABS(Registro_Compras!$J$193*Registro_Compras!$N$193),2),"")))</f>
        <v/>
      </c>
      <c r="G1707">
        <f>IF($C1707="","",IF(Registro_Compras!$F$193="NOTA DE CREDITO","Por la nota de credito "&amp;Registro_Compras!$C$193&amp;" de "&amp;Registro_Compras!$E$193&amp;" [PATRON POR CONFIRMAR CON CONTADOR]",IF(Registro_Compras!$F$193="RHE","Por el registro del recibo por honorarios "&amp;Registro_Compras!$C$193&amp;" de "&amp;Registro_Compras!$E$193&amp;" [PATRON POR CONFIRMAR CON CONTADOR]","Por el registro de la factura "&amp;Registro_Compras!$C$193&amp;" de "&amp;Registro_Compras!$E$193)))</f>
        <v/>
      </c>
      <c r="H1707">
        <f>IF($C1707="","",Registro_Compras!$C$193)</f>
        <v/>
      </c>
    </row>
    <row r="1708">
      <c r="A1708" s="25">
        <f>IF($C1708="","",Registro_Compras!$B$193)</f>
        <v/>
      </c>
      <c r="B1708">
        <f>IF($C1708="","","C"&amp;TEXT(INT((ROW()-5)/9)+1,"000")&amp;"-1")</f>
        <v/>
      </c>
      <c r="C1708">
        <f>IF(OR(Registro_Compras!$C$193="",Registro_Compras!$O$193=""),"",IF(Registro_Compras!$F$193="NOTA DE CREDITO",IF(Registro_Compras!$K$193=0,"","40111"),"4212"))</f>
        <v/>
      </c>
      <c r="D1708">
        <f>IF(OR(Registro_Compras!$C$193="",Registro_Compras!$O$193=""),"",IF(Registro_Compras!$F$193="NOTA DE CREDITO","IGV - Cuenta Propia (Credito Fiscal)","Cuentas por Pagar Comerciales - Terceros (Emitidas)"))</f>
        <v/>
      </c>
      <c r="E1708" s="20">
        <f>""</f>
        <v/>
      </c>
      <c r="F1708" s="20">
        <f>IF($C1708="","",IF(Registro_Compras!$F$193="NOTA DE CREDITO",ROUND(ABS(Registro_Compras!$K$193*Registro_Compras!$N$193),2),IF(Registro_Compras!$F$193="RHE",(ROUND(Registro_Compras!$L$193*Registro_Compras!$N$193,2)-ROUND(Registro_Compras!$V$193*Registro_Compras!$N$193,2)),Registro_Compras!$O$193)))</f>
        <v/>
      </c>
      <c r="G1708">
        <f>IF($C1708="","",IF(Registro_Compras!$F$193="NOTA DE CREDITO","Por la nota de credito "&amp;Registro_Compras!$C$193&amp;" de "&amp;Registro_Compras!$E$193&amp;" [PATRON POR CONFIRMAR CON CONTADOR]",IF(Registro_Compras!$F$193="RHE","Por el registro del recibo por honorarios "&amp;Registro_Compras!$C$193&amp;" de "&amp;Registro_Compras!$E$193&amp;" [PATRON POR CONFIRMAR CON CONTADOR]","Por el registro de la factura "&amp;Registro_Compras!$C$193&amp;" de "&amp;Registro_Compras!$E$193)))</f>
        <v/>
      </c>
      <c r="H1708">
        <f>IF($C1708="","",Registro_Compras!$C$193)</f>
        <v/>
      </c>
    </row>
    <row r="1709">
      <c r="A1709" s="25">
        <f>IF($C1709="","",Registro_Compras!$B$193)</f>
        <v/>
      </c>
      <c r="B1709">
        <f>IF($C1709="","","C"&amp;TEXT(INT((ROW()-5)/9)+1,"000")&amp;"-2")</f>
        <v/>
      </c>
      <c r="C1709">
        <f>IF(OR(Registro_Compras!$C$193="",Registro_Compras!$O$193=""),"",IF(Registro_Compras!$AB$193="ADMINISTRATIVO","94","95"))</f>
        <v/>
      </c>
      <c r="D1709">
        <f>IF(OR(Registro_Compras!$C$193="",Registro_Compras!$O$193=""),"",IF(Registro_Compras!$AB$193="ADMINISTRATIVO","Gastos Administrativos","Gastos de Venta y Operacion"))</f>
        <v/>
      </c>
      <c r="E1709" s="20">
        <f>IF($C1709="","",IF(Registro_Compras!$F$193="NOTA DE CREDITO","",IF(Registro_Compras!$F$193="RHE",ROUND(Registro_Compras!$L$193*Registro_Compras!$N$193,2),ROUND(Registro_Compras!$J$193*Registro_Compras!$N$193,2))))</f>
        <v/>
      </c>
      <c r="F1709" s="20">
        <f>IF($C1709="","",IF(Registro_Compras!$F$193="NOTA DE CREDITO",ROUND(ABS(Registro_Compras!$J$193*Registro_Compras!$N$193),2),""))</f>
        <v/>
      </c>
      <c r="G1709">
        <f>IF($C1709="","","Por el destino del gasto")</f>
        <v/>
      </c>
      <c r="H1709">
        <f>IF($C1709="","",Registro_Compras!$C$193)</f>
        <v/>
      </c>
    </row>
    <row r="1710">
      <c r="A1710" s="25">
        <f>IF($C1710="","",Registro_Compras!$B$193)</f>
        <v/>
      </c>
      <c r="B1710">
        <f>IF($C1710="","","C"&amp;TEXT(INT((ROW()-5)/9)+1,"000")&amp;"-2")</f>
        <v/>
      </c>
      <c r="C1710">
        <f>IF(OR(Registro_Compras!$C$193="",Registro_Compras!$O$193=""),"","79/791")</f>
        <v/>
      </c>
      <c r="D1710">
        <f>IF(OR(Registro_Compras!$C$193="",Registro_Compras!$O$193=""),"","Cargas Imputables a Cuentas de Costos y Gastos")</f>
        <v/>
      </c>
      <c r="E1710" s="20">
        <f>IF($C1710="","",IF(Registro_Compras!$F$193="NOTA DE CREDITO",ROUND(ABS(Registro_Compras!$J$193*Registro_Compras!$N$193),2),""))</f>
        <v/>
      </c>
      <c r="F1710" s="20">
        <f>IF($C1710="","",IF(Registro_Compras!$F$193="NOTA DE CREDITO","",IF(Registro_Compras!$F$193="RHE",ROUND(Registro_Compras!$L$193*Registro_Compras!$N$193,2),ROUND(Registro_Compras!$J$193*Registro_Compras!$N$193,2))))</f>
        <v/>
      </c>
      <c r="G1710">
        <f>IF($C1710="","","Por el destino del gasto")</f>
        <v/>
      </c>
      <c r="H1710">
        <f>IF($C1710="","",Registro_Compras!$C$193)</f>
        <v/>
      </c>
    </row>
    <row r="1711">
      <c r="A1711" s="25">
        <f>IF($C1711="","",Registro_Compras!$X$193)</f>
        <v/>
      </c>
      <c r="B1711">
        <f>IF($C1711="","","C"&amp;TEXT(INT((ROW()-5)/9)+1,"000")&amp;"-3")</f>
        <v/>
      </c>
      <c r="C1711">
        <f>IF(OR(Registro_Compras!$C$193="",Registro_Compras!$O$193="",Registro_Compras!$R$193&lt;&gt;"SI",Registro_Compras!$X$193=""),"","4212")</f>
        <v/>
      </c>
      <c r="D1711">
        <f>IF(OR(Registro_Compras!$C$193="",Registro_Compras!$O$193=""),"","Cuentas por Pagar Comerciales - Terceros")</f>
        <v/>
      </c>
      <c r="E1711" s="20">
        <f>IF($C1711="","",Registro_Compras!$S$193)</f>
        <v/>
      </c>
      <c r="F1711" s="20">
        <f>""</f>
        <v/>
      </c>
      <c r="G1711">
        <f>IF($C1711="","","Por el deposito de la detraccion en el Banco de la Nacion")</f>
        <v/>
      </c>
      <c r="H1711">
        <f>IF($C1711="","",Registro_Compras!$C$193)</f>
        <v/>
      </c>
    </row>
    <row r="1712">
      <c r="A1712" s="25">
        <f>IF($C1712="","",Registro_Compras!$X$193)</f>
        <v/>
      </c>
      <c r="B1712">
        <f>IF($C1712="","","C"&amp;TEXT(INT((ROW()-5)/9)+1,"000")&amp;"-3")</f>
        <v/>
      </c>
      <c r="C1712">
        <f>IF(OR(Registro_Compras!$C$193="",Registro_Compras!$O$193="",Registro_Compras!$R$193&lt;&gt;"SI",Registro_Compras!$X$193=""),"","10413")</f>
        <v/>
      </c>
      <c r="D1712">
        <f>IF(OR(Registro_Compras!$C$193="",Registro_Compras!$O$193=""),"","Efectivo y Equivalentes - Cta. Cte. Operativa")</f>
        <v/>
      </c>
      <c r="E1712" s="20">
        <f>""</f>
        <v/>
      </c>
      <c r="F1712" s="20">
        <f>IF($C1712="","",Registro_Compras!$S$193)</f>
        <v/>
      </c>
      <c r="G1712">
        <f>IF($C1712="","","Por el deposito de la detraccion en el Banco de la Nacion")</f>
        <v/>
      </c>
      <c r="H1712">
        <f>IF($C1712="","",Registro_Compras!$C$193)</f>
        <v/>
      </c>
    </row>
    <row r="1713">
      <c r="A1713" s="25">
        <f>IF($C1713="","",Registro_Compras!$Y$193)</f>
        <v/>
      </c>
      <c r="B1713">
        <f>IF($C1713="","","C"&amp;TEXT(INT((ROW()-5)/9)+1,"000")&amp;"-4")</f>
        <v/>
      </c>
      <c r="C1713">
        <f>IF(OR(Registro_Compras!$C$193="",Registro_Compras!$O$193="",Registro_Compras!$Y$193="",Registro_Compras!$F$193="NOTA DE CREDITO"),"","4212")</f>
        <v/>
      </c>
      <c r="D1713">
        <f>IF(OR(Registro_Compras!$C$193="",Registro_Compras!$O$193=""),"","Cuentas por Pagar Comerciales - Terceros")</f>
        <v/>
      </c>
      <c r="E1713" s="20">
        <f>IF($C1713="","",IF(Registro_Compras!$F$193="RHE",(ROUND(Registro_Compras!$L$193*Registro_Compras!$N$193,2)-ROUND(Registro_Compras!$V$193*Registro_Compras!$N$193,2)),ROUND(Registro_Compras!$O$193-Registro_Compras!$S$193,2)))</f>
        <v/>
      </c>
      <c r="F1713" s="20">
        <f>""</f>
        <v/>
      </c>
      <c r="G1713">
        <f>IF($C1713="","","Por la cancelacion del saldo al proveedor")</f>
        <v/>
      </c>
      <c r="H1713">
        <f>IF($C1713="","",Registro_Compras!$C$193)</f>
        <v/>
      </c>
    </row>
    <row r="1714">
      <c r="A1714" s="25">
        <f>IF($C1714="","",Registro_Compras!$Y$193)</f>
        <v/>
      </c>
      <c r="B1714">
        <f>IF($C1714="","","C"&amp;TEXT(INT((ROW()-5)/9)+1,"000")&amp;"-4")</f>
        <v/>
      </c>
      <c r="C1714">
        <f>IF(OR(Registro_Compras!$C$193="",Registro_Compras!$O$193="",Registro_Compras!$Y$193="",Registro_Compras!$F$193="NOTA DE CREDITO"),"","10413")</f>
        <v/>
      </c>
      <c r="D1714">
        <f>IF(OR(Registro_Compras!$C$193="",Registro_Compras!$O$193=""),"","Efectivo y Equivalentes - Cta. Cte. Operativa")</f>
        <v/>
      </c>
      <c r="E1714" s="20">
        <f>""</f>
        <v/>
      </c>
      <c r="F1714" s="20">
        <f>IF($C1714="","",IF(Registro_Compras!$F$193="RHE",(ROUND(Registro_Compras!$L$193*Registro_Compras!$N$193,2)-ROUND(Registro_Compras!$V$193*Registro_Compras!$N$193,2)),ROUND(Registro_Compras!$O$193-Registro_Compras!$S$193,2)))</f>
        <v/>
      </c>
      <c r="G1714">
        <f>IF($C1714="","","Por la cancelacion del saldo al proveedor")</f>
        <v/>
      </c>
      <c r="H1714">
        <f>IF($C1714="","",Registro_Compras!$C$193)</f>
        <v/>
      </c>
    </row>
    <row r="1715">
      <c r="A1715" s="25">
        <f>IF($C1715="","",Registro_Compras!$B$194)</f>
        <v/>
      </c>
      <c r="B1715">
        <f>IF($C1715="","","C"&amp;TEXT(INT((ROW()-5)/9)+1,"000")&amp;"-1")</f>
        <v/>
      </c>
      <c r="C1715">
        <f>IF(OR(Registro_Compras!$C$194="",Registro_Compras!$O$194=""),"",IF(Registro_Compras!$F$194="NOTA DE CREDITO","4212",IF(Registro_Compras!$M$194="","63",Registro_Compras!$M$194)))</f>
        <v/>
      </c>
      <c r="D1715">
        <f>IF(OR(Registro_Compras!$C$194="",Registro_Compras!$O$194=""),"",IF(Registro_Compras!$F$194="NOTA DE CREDITO","Cuentas por Pagar Comerciales - Terceros (Emitidas)",IF(Registro_Compras!$F$194="RHE","Honorarios Profesionales - Servicios de Terceros","Gastos de Servicios Prestados por Terceros")))</f>
        <v/>
      </c>
      <c r="E1715" s="20">
        <f>IF($C1715="","",IF(Registro_Compras!$F$194="NOTA DE CREDITO",ABS(Registro_Compras!$O$194),IF(Registro_Compras!$F$194="RHE",ROUND(Registro_Compras!$L$194*Registro_Compras!$N$194,2),ROUND(Registro_Compras!$J$194*Registro_Compras!$N$194,2))))</f>
        <v/>
      </c>
      <c r="F1715" s="20">
        <f>""</f>
        <v/>
      </c>
      <c r="G1715">
        <f>IF($C1715="","",IF(Registro_Compras!$F$194="NOTA DE CREDITO","Por la nota de credito "&amp;Registro_Compras!$C$194&amp;" de "&amp;Registro_Compras!$E$194&amp;" [PATRON POR CONFIRMAR CON CONTADOR]",IF(Registro_Compras!$F$194="RHE","Por el registro del recibo por honorarios "&amp;Registro_Compras!$C$194&amp;" de "&amp;Registro_Compras!$E$194&amp;" [PATRON POR CONFIRMAR CON CONTADOR]","Por el registro de la factura "&amp;Registro_Compras!$C$194&amp;" de "&amp;Registro_Compras!$E$194)))</f>
        <v/>
      </c>
      <c r="H1715">
        <f>IF($C1715="","",Registro_Compras!$C$194)</f>
        <v/>
      </c>
    </row>
    <row r="1716">
      <c r="A1716" s="25">
        <f>IF($C1716="","",Registro_Compras!$B$194)</f>
        <v/>
      </c>
      <c r="B1716">
        <f>IF($C1716="","","C"&amp;TEXT(INT((ROW()-5)/9)+1,"000")&amp;"-1")</f>
        <v/>
      </c>
      <c r="C1716">
        <f>IF(OR(Registro_Compras!$C$194="",Registro_Compras!$O$194=""),"",IF(Registro_Compras!$F$194="RHE",IF(Registro_Compras!$V$194=0,"","40172"),IF(Registro_Compras!$F$194="NOTA DE CREDITO",IF(Registro_Compras!$M$194="","63",Registro_Compras!$M$194),IF(Registro_Compras!$K$194=0,"","40111"))))</f>
        <v/>
      </c>
      <c r="D1716">
        <f>IF(OR(Registro_Compras!$C$194="",Registro_Compras!$O$194=""),"",IF(Registro_Compras!$F$194="RHE","Retencion Renta 4ta Categoria por Pagar",IF(Registro_Compras!$F$194="NOTA DE CREDITO","Gastos de Servicios Prestados por Terceros","IGV - Cuenta Propia (Credito Fiscal)")))</f>
        <v/>
      </c>
      <c r="E1716" s="20">
        <f>IF($C1716="","",IF(Registro_Compras!$F$194="FACTURA",ROUND(Registro_Compras!$K$194*Registro_Compras!$N$194,2),""))</f>
        <v/>
      </c>
      <c r="F1716" s="20">
        <f>IF($C1716="","",IF(Registro_Compras!$F$194="RHE",ROUND(Registro_Compras!$V$194*Registro_Compras!$N$194,2),IF(Registro_Compras!$F$194="NOTA DE CREDITO",ROUND(ABS(Registro_Compras!$J$194*Registro_Compras!$N$194),2),"")))</f>
        <v/>
      </c>
      <c r="G1716">
        <f>IF($C1716="","",IF(Registro_Compras!$F$194="NOTA DE CREDITO","Por la nota de credito "&amp;Registro_Compras!$C$194&amp;" de "&amp;Registro_Compras!$E$194&amp;" [PATRON POR CONFIRMAR CON CONTADOR]",IF(Registro_Compras!$F$194="RHE","Por el registro del recibo por honorarios "&amp;Registro_Compras!$C$194&amp;" de "&amp;Registro_Compras!$E$194&amp;" [PATRON POR CONFIRMAR CON CONTADOR]","Por el registro de la factura "&amp;Registro_Compras!$C$194&amp;" de "&amp;Registro_Compras!$E$194)))</f>
        <v/>
      </c>
      <c r="H1716">
        <f>IF($C1716="","",Registro_Compras!$C$194)</f>
        <v/>
      </c>
    </row>
    <row r="1717">
      <c r="A1717" s="25">
        <f>IF($C1717="","",Registro_Compras!$B$194)</f>
        <v/>
      </c>
      <c r="B1717">
        <f>IF($C1717="","","C"&amp;TEXT(INT((ROW()-5)/9)+1,"000")&amp;"-1")</f>
        <v/>
      </c>
      <c r="C1717">
        <f>IF(OR(Registro_Compras!$C$194="",Registro_Compras!$O$194=""),"",IF(Registro_Compras!$F$194="NOTA DE CREDITO",IF(Registro_Compras!$K$194=0,"","40111"),"4212"))</f>
        <v/>
      </c>
      <c r="D1717">
        <f>IF(OR(Registro_Compras!$C$194="",Registro_Compras!$O$194=""),"",IF(Registro_Compras!$F$194="NOTA DE CREDITO","IGV - Cuenta Propia (Credito Fiscal)","Cuentas por Pagar Comerciales - Terceros (Emitidas)"))</f>
        <v/>
      </c>
      <c r="E1717" s="20">
        <f>""</f>
        <v/>
      </c>
      <c r="F1717" s="20">
        <f>IF($C1717="","",IF(Registro_Compras!$F$194="NOTA DE CREDITO",ROUND(ABS(Registro_Compras!$K$194*Registro_Compras!$N$194),2),IF(Registro_Compras!$F$194="RHE",(ROUND(Registro_Compras!$L$194*Registro_Compras!$N$194,2)-ROUND(Registro_Compras!$V$194*Registro_Compras!$N$194,2)),Registro_Compras!$O$194)))</f>
        <v/>
      </c>
      <c r="G1717">
        <f>IF($C1717="","",IF(Registro_Compras!$F$194="NOTA DE CREDITO","Por la nota de credito "&amp;Registro_Compras!$C$194&amp;" de "&amp;Registro_Compras!$E$194&amp;" [PATRON POR CONFIRMAR CON CONTADOR]",IF(Registro_Compras!$F$194="RHE","Por el registro del recibo por honorarios "&amp;Registro_Compras!$C$194&amp;" de "&amp;Registro_Compras!$E$194&amp;" [PATRON POR CONFIRMAR CON CONTADOR]","Por el registro de la factura "&amp;Registro_Compras!$C$194&amp;" de "&amp;Registro_Compras!$E$194)))</f>
        <v/>
      </c>
      <c r="H1717">
        <f>IF($C1717="","",Registro_Compras!$C$194)</f>
        <v/>
      </c>
    </row>
    <row r="1718">
      <c r="A1718" s="25">
        <f>IF($C1718="","",Registro_Compras!$B$194)</f>
        <v/>
      </c>
      <c r="B1718">
        <f>IF($C1718="","","C"&amp;TEXT(INT((ROW()-5)/9)+1,"000")&amp;"-2")</f>
        <v/>
      </c>
      <c r="C1718">
        <f>IF(OR(Registro_Compras!$C$194="",Registro_Compras!$O$194=""),"",IF(Registro_Compras!$AB$194="ADMINISTRATIVO","94","95"))</f>
        <v/>
      </c>
      <c r="D1718">
        <f>IF(OR(Registro_Compras!$C$194="",Registro_Compras!$O$194=""),"",IF(Registro_Compras!$AB$194="ADMINISTRATIVO","Gastos Administrativos","Gastos de Venta y Operacion"))</f>
        <v/>
      </c>
      <c r="E1718" s="20">
        <f>IF($C1718="","",IF(Registro_Compras!$F$194="NOTA DE CREDITO","",IF(Registro_Compras!$F$194="RHE",ROUND(Registro_Compras!$L$194*Registro_Compras!$N$194,2),ROUND(Registro_Compras!$J$194*Registro_Compras!$N$194,2))))</f>
        <v/>
      </c>
      <c r="F1718" s="20">
        <f>IF($C1718="","",IF(Registro_Compras!$F$194="NOTA DE CREDITO",ROUND(ABS(Registro_Compras!$J$194*Registro_Compras!$N$194),2),""))</f>
        <v/>
      </c>
      <c r="G1718">
        <f>IF($C1718="","","Por el destino del gasto")</f>
        <v/>
      </c>
      <c r="H1718">
        <f>IF($C1718="","",Registro_Compras!$C$194)</f>
        <v/>
      </c>
    </row>
    <row r="1719">
      <c r="A1719" s="25">
        <f>IF($C1719="","",Registro_Compras!$B$194)</f>
        <v/>
      </c>
      <c r="B1719">
        <f>IF($C1719="","","C"&amp;TEXT(INT((ROW()-5)/9)+1,"000")&amp;"-2")</f>
        <v/>
      </c>
      <c r="C1719">
        <f>IF(OR(Registro_Compras!$C$194="",Registro_Compras!$O$194=""),"","79/791")</f>
        <v/>
      </c>
      <c r="D1719">
        <f>IF(OR(Registro_Compras!$C$194="",Registro_Compras!$O$194=""),"","Cargas Imputables a Cuentas de Costos y Gastos")</f>
        <v/>
      </c>
      <c r="E1719" s="20">
        <f>IF($C1719="","",IF(Registro_Compras!$F$194="NOTA DE CREDITO",ROUND(ABS(Registro_Compras!$J$194*Registro_Compras!$N$194),2),""))</f>
        <v/>
      </c>
      <c r="F1719" s="20">
        <f>IF($C1719="","",IF(Registro_Compras!$F$194="NOTA DE CREDITO","",IF(Registro_Compras!$F$194="RHE",ROUND(Registro_Compras!$L$194*Registro_Compras!$N$194,2),ROUND(Registro_Compras!$J$194*Registro_Compras!$N$194,2))))</f>
        <v/>
      </c>
      <c r="G1719">
        <f>IF($C1719="","","Por el destino del gasto")</f>
        <v/>
      </c>
      <c r="H1719">
        <f>IF($C1719="","",Registro_Compras!$C$194)</f>
        <v/>
      </c>
    </row>
    <row r="1720">
      <c r="A1720" s="25">
        <f>IF($C1720="","",Registro_Compras!$X$194)</f>
        <v/>
      </c>
      <c r="B1720">
        <f>IF($C1720="","","C"&amp;TEXT(INT((ROW()-5)/9)+1,"000")&amp;"-3")</f>
        <v/>
      </c>
      <c r="C1720">
        <f>IF(OR(Registro_Compras!$C$194="",Registro_Compras!$O$194="",Registro_Compras!$R$194&lt;&gt;"SI",Registro_Compras!$X$194=""),"","4212")</f>
        <v/>
      </c>
      <c r="D1720">
        <f>IF(OR(Registro_Compras!$C$194="",Registro_Compras!$O$194=""),"","Cuentas por Pagar Comerciales - Terceros")</f>
        <v/>
      </c>
      <c r="E1720" s="20">
        <f>IF($C1720="","",Registro_Compras!$S$194)</f>
        <v/>
      </c>
      <c r="F1720" s="20">
        <f>""</f>
        <v/>
      </c>
      <c r="G1720">
        <f>IF($C1720="","","Por el deposito de la detraccion en el Banco de la Nacion")</f>
        <v/>
      </c>
      <c r="H1720">
        <f>IF($C1720="","",Registro_Compras!$C$194)</f>
        <v/>
      </c>
    </row>
    <row r="1721">
      <c r="A1721" s="25">
        <f>IF($C1721="","",Registro_Compras!$X$194)</f>
        <v/>
      </c>
      <c r="B1721">
        <f>IF($C1721="","","C"&amp;TEXT(INT((ROW()-5)/9)+1,"000")&amp;"-3")</f>
        <v/>
      </c>
      <c r="C1721">
        <f>IF(OR(Registro_Compras!$C$194="",Registro_Compras!$O$194="",Registro_Compras!$R$194&lt;&gt;"SI",Registro_Compras!$X$194=""),"","10413")</f>
        <v/>
      </c>
      <c r="D1721">
        <f>IF(OR(Registro_Compras!$C$194="",Registro_Compras!$O$194=""),"","Efectivo y Equivalentes - Cta. Cte. Operativa")</f>
        <v/>
      </c>
      <c r="E1721" s="20">
        <f>""</f>
        <v/>
      </c>
      <c r="F1721" s="20">
        <f>IF($C1721="","",Registro_Compras!$S$194)</f>
        <v/>
      </c>
      <c r="G1721">
        <f>IF($C1721="","","Por el deposito de la detraccion en el Banco de la Nacion")</f>
        <v/>
      </c>
      <c r="H1721">
        <f>IF($C1721="","",Registro_Compras!$C$194)</f>
        <v/>
      </c>
    </row>
    <row r="1722">
      <c r="A1722" s="25">
        <f>IF($C1722="","",Registro_Compras!$Y$194)</f>
        <v/>
      </c>
      <c r="B1722">
        <f>IF($C1722="","","C"&amp;TEXT(INT((ROW()-5)/9)+1,"000")&amp;"-4")</f>
        <v/>
      </c>
      <c r="C1722">
        <f>IF(OR(Registro_Compras!$C$194="",Registro_Compras!$O$194="",Registro_Compras!$Y$194="",Registro_Compras!$F$194="NOTA DE CREDITO"),"","4212")</f>
        <v/>
      </c>
      <c r="D1722">
        <f>IF(OR(Registro_Compras!$C$194="",Registro_Compras!$O$194=""),"","Cuentas por Pagar Comerciales - Terceros")</f>
        <v/>
      </c>
      <c r="E1722" s="20">
        <f>IF($C1722="","",IF(Registro_Compras!$F$194="RHE",(ROUND(Registro_Compras!$L$194*Registro_Compras!$N$194,2)-ROUND(Registro_Compras!$V$194*Registro_Compras!$N$194,2)),ROUND(Registro_Compras!$O$194-Registro_Compras!$S$194,2)))</f>
        <v/>
      </c>
      <c r="F1722" s="20">
        <f>""</f>
        <v/>
      </c>
      <c r="G1722">
        <f>IF($C1722="","","Por la cancelacion del saldo al proveedor")</f>
        <v/>
      </c>
      <c r="H1722">
        <f>IF($C1722="","",Registro_Compras!$C$194)</f>
        <v/>
      </c>
    </row>
    <row r="1723">
      <c r="A1723" s="25">
        <f>IF($C1723="","",Registro_Compras!$Y$194)</f>
        <v/>
      </c>
      <c r="B1723">
        <f>IF($C1723="","","C"&amp;TEXT(INT((ROW()-5)/9)+1,"000")&amp;"-4")</f>
        <v/>
      </c>
      <c r="C1723">
        <f>IF(OR(Registro_Compras!$C$194="",Registro_Compras!$O$194="",Registro_Compras!$Y$194="",Registro_Compras!$F$194="NOTA DE CREDITO"),"","10413")</f>
        <v/>
      </c>
      <c r="D1723">
        <f>IF(OR(Registro_Compras!$C$194="",Registro_Compras!$O$194=""),"","Efectivo y Equivalentes - Cta. Cte. Operativa")</f>
        <v/>
      </c>
      <c r="E1723" s="20">
        <f>""</f>
        <v/>
      </c>
      <c r="F1723" s="20">
        <f>IF($C1723="","",IF(Registro_Compras!$F$194="RHE",(ROUND(Registro_Compras!$L$194*Registro_Compras!$N$194,2)-ROUND(Registro_Compras!$V$194*Registro_Compras!$N$194,2)),ROUND(Registro_Compras!$O$194-Registro_Compras!$S$194,2)))</f>
        <v/>
      </c>
      <c r="G1723">
        <f>IF($C1723="","","Por la cancelacion del saldo al proveedor")</f>
        <v/>
      </c>
      <c r="H1723">
        <f>IF($C1723="","",Registro_Compras!$C$194)</f>
        <v/>
      </c>
    </row>
    <row r="1724">
      <c r="A1724" s="25">
        <f>IF($C1724="","",Registro_Compras!$B$195)</f>
        <v/>
      </c>
      <c r="B1724">
        <f>IF($C1724="","","C"&amp;TEXT(INT((ROW()-5)/9)+1,"000")&amp;"-1")</f>
        <v/>
      </c>
      <c r="C1724">
        <f>IF(OR(Registro_Compras!$C$195="",Registro_Compras!$O$195=""),"",IF(Registro_Compras!$F$195="NOTA DE CREDITO","4212",IF(Registro_Compras!$M$195="","63",Registro_Compras!$M$195)))</f>
        <v/>
      </c>
      <c r="D1724">
        <f>IF(OR(Registro_Compras!$C$195="",Registro_Compras!$O$195=""),"",IF(Registro_Compras!$F$195="NOTA DE CREDITO","Cuentas por Pagar Comerciales - Terceros (Emitidas)",IF(Registro_Compras!$F$195="RHE","Honorarios Profesionales - Servicios de Terceros","Gastos de Servicios Prestados por Terceros")))</f>
        <v/>
      </c>
      <c r="E1724" s="20">
        <f>IF($C1724="","",IF(Registro_Compras!$F$195="NOTA DE CREDITO",ABS(Registro_Compras!$O$195),IF(Registro_Compras!$F$195="RHE",ROUND(Registro_Compras!$L$195*Registro_Compras!$N$195,2),ROUND(Registro_Compras!$J$195*Registro_Compras!$N$195,2))))</f>
        <v/>
      </c>
      <c r="F1724" s="20">
        <f>""</f>
        <v/>
      </c>
      <c r="G1724">
        <f>IF($C1724="","",IF(Registro_Compras!$F$195="NOTA DE CREDITO","Por la nota de credito "&amp;Registro_Compras!$C$195&amp;" de "&amp;Registro_Compras!$E$195&amp;" [PATRON POR CONFIRMAR CON CONTADOR]",IF(Registro_Compras!$F$195="RHE","Por el registro del recibo por honorarios "&amp;Registro_Compras!$C$195&amp;" de "&amp;Registro_Compras!$E$195&amp;" [PATRON POR CONFIRMAR CON CONTADOR]","Por el registro de la factura "&amp;Registro_Compras!$C$195&amp;" de "&amp;Registro_Compras!$E$195)))</f>
        <v/>
      </c>
      <c r="H1724">
        <f>IF($C1724="","",Registro_Compras!$C$195)</f>
        <v/>
      </c>
    </row>
    <row r="1725">
      <c r="A1725" s="25">
        <f>IF($C1725="","",Registro_Compras!$B$195)</f>
        <v/>
      </c>
      <c r="B1725">
        <f>IF($C1725="","","C"&amp;TEXT(INT((ROW()-5)/9)+1,"000")&amp;"-1")</f>
        <v/>
      </c>
      <c r="C1725">
        <f>IF(OR(Registro_Compras!$C$195="",Registro_Compras!$O$195=""),"",IF(Registro_Compras!$F$195="RHE",IF(Registro_Compras!$V$195=0,"","40172"),IF(Registro_Compras!$F$195="NOTA DE CREDITO",IF(Registro_Compras!$M$195="","63",Registro_Compras!$M$195),IF(Registro_Compras!$K$195=0,"","40111"))))</f>
        <v/>
      </c>
      <c r="D1725">
        <f>IF(OR(Registro_Compras!$C$195="",Registro_Compras!$O$195=""),"",IF(Registro_Compras!$F$195="RHE","Retencion Renta 4ta Categoria por Pagar",IF(Registro_Compras!$F$195="NOTA DE CREDITO","Gastos de Servicios Prestados por Terceros","IGV - Cuenta Propia (Credito Fiscal)")))</f>
        <v/>
      </c>
      <c r="E1725" s="20">
        <f>IF($C1725="","",IF(Registro_Compras!$F$195="FACTURA",ROUND(Registro_Compras!$K$195*Registro_Compras!$N$195,2),""))</f>
        <v/>
      </c>
      <c r="F1725" s="20">
        <f>IF($C1725="","",IF(Registro_Compras!$F$195="RHE",ROUND(Registro_Compras!$V$195*Registro_Compras!$N$195,2),IF(Registro_Compras!$F$195="NOTA DE CREDITO",ROUND(ABS(Registro_Compras!$J$195*Registro_Compras!$N$195),2),"")))</f>
        <v/>
      </c>
      <c r="G1725">
        <f>IF($C1725="","",IF(Registro_Compras!$F$195="NOTA DE CREDITO","Por la nota de credito "&amp;Registro_Compras!$C$195&amp;" de "&amp;Registro_Compras!$E$195&amp;" [PATRON POR CONFIRMAR CON CONTADOR]",IF(Registro_Compras!$F$195="RHE","Por el registro del recibo por honorarios "&amp;Registro_Compras!$C$195&amp;" de "&amp;Registro_Compras!$E$195&amp;" [PATRON POR CONFIRMAR CON CONTADOR]","Por el registro de la factura "&amp;Registro_Compras!$C$195&amp;" de "&amp;Registro_Compras!$E$195)))</f>
        <v/>
      </c>
      <c r="H1725">
        <f>IF($C1725="","",Registro_Compras!$C$195)</f>
        <v/>
      </c>
    </row>
    <row r="1726">
      <c r="A1726" s="25">
        <f>IF($C1726="","",Registro_Compras!$B$195)</f>
        <v/>
      </c>
      <c r="B1726">
        <f>IF($C1726="","","C"&amp;TEXT(INT((ROW()-5)/9)+1,"000")&amp;"-1")</f>
        <v/>
      </c>
      <c r="C1726">
        <f>IF(OR(Registro_Compras!$C$195="",Registro_Compras!$O$195=""),"",IF(Registro_Compras!$F$195="NOTA DE CREDITO",IF(Registro_Compras!$K$195=0,"","40111"),"4212"))</f>
        <v/>
      </c>
      <c r="D1726">
        <f>IF(OR(Registro_Compras!$C$195="",Registro_Compras!$O$195=""),"",IF(Registro_Compras!$F$195="NOTA DE CREDITO","IGV - Cuenta Propia (Credito Fiscal)","Cuentas por Pagar Comerciales - Terceros (Emitidas)"))</f>
        <v/>
      </c>
      <c r="E1726" s="20">
        <f>""</f>
        <v/>
      </c>
      <c r="F1726" s="20">
        <f>IF($C1726="","",IF(Registro_Compras!$F$195="NOTA DE CREDITO",ROUND(ABS(Registro_Compras!$K$195*Registro_Compras!$N$195),2),IF(Registro_Compras!$F$195="RHE",(ROUND(Registro_Compras!$L$195*Registro_Compras!$N$195,2)-ROUND(Registro_Compras!$V$195*Registro_Compras!$N$195,2)),Registro_Compras!$O$195)))</f>
        <v/>
      </c>
      <c r="G1726">
        <f>IF($C1726="","",IF(Registro_Compras!$F$195="NOTA DE CREDITO","Por la nota de credito "&amp;Registro_Compras!$C$195&amp;" de "&amp;Registro_Compras!$E$195&amp;" [PATRON POR CONFIRMAR CON CONTADOR]",IF(Registro_Compras!$F$195="RHE","Por el registro del recibo por honorarios "&amp;Registro_Compras!$C$195&amp;" de "&amp;Registro_Compras!$E$195&amp;" [PATRON POR CONFIRMAR CON CONTADOR]","Por el registro de la factura "&amp;Registro_Compras!$C$195&amp;" de "&amp;Registro_Compras!$E$195)))</f>
        <v/>
      </c>
      <c r="H1726">
        <f>IF($C1726="","",Registro_Compras!$C$195)</f>
        <v/>
      </c>
    </row>
    <row r="1727">
      <c r="A1727" s="25">
        <f>IF($C1727="","",Registro_Compras!$B$195)</f>
        <v/>
      </c>
      <c r="B1727">
        <f>IF($C1727="","","C"&amp;TEXT(INT((ROW()-5)/9)+1,"000")&amp;"-2")</f>
        <v/>
      </c>
      <c r="C1727">
        <f>IF(OR(Registro_Compras!$C$195="",Registro_Compras!$O$195=""),"",IF(Registro_Compras!$AB$195="ADMINISTRATIVO","94","95"))</f>
        <v/>
      </c>
      <c r="D1727">
        <f>IF(OR(Registro_Compras!$C$195="",Registro_Compras!$O$195=""),"",IF(Registro_Compras!$AB$195="ADMINISTRATIVO","Gastos Administrativos","Gastos de Venta y Operacion"))</f>
        <v/>
      </c>
      <c r="E1727" s="20">
        <f>IF($C1727="","",IF(Registro_Compras!$F$195="NOTA DE CREDITO","",IF(Registro_Compras!$F$195="RHE",ROUND(Registro_Compras!$L$195*Registro_Compras!$N$195,2),ROUND(Registro_Compras!$J$195*Registro_Compras!$N$195,2))))</f>
        <v/>
      </c>
      <c r="F1727" s="20">
        <f>IF($C1727="","",IF(Registro_Compras!$F$195="NOTA DE CREDITO",ROUND(ABS(Registro_Compras!$J$195*Registro_Compras!$N$195),2),""))</f>
        <v/>
      </c>
      <c r="G1727">
        <f>IF($C1727="","","Por el destino del gasto")</f>
        <v/>
      </c>
      <c r="H1727">
        <f>IF($C1727="","",Registro_Compras!$C$195)</f>
        <v/>
      </c>
    </row>
    <row r="1728">
      <c r="A1728" s="25">
        <f>IF($C1728="","",Registro_Compras!$B$195)</f>
        <v/>
      </c>
      <c r="B1728">
        <f>IF($C1728="","","C"&amp;TEXT(INT((ROW()-5)/9)+1,"000")&amp;"-2")</f>
        <v/>
      </c>
      <c r="C1728">
        <f>IF(OR(Registro_Compras!$C$195="",Registro_Compras!$O$195=""),"","79/791")</f>
        <v/>
      </c>
      <c r="D1728">
        <f>IF(OR(Registro_Compras!$C$195="",Registro_Compras!$O$195=""),"","Cargas Imputables a Cuentas de Costos y Gastos")</f>
        <v/>
      </c>
      <c r="E1728" s="20">
        <f>IF($C1728="","",IF(Registro_Compras!$F$195="NOTA DE CREDITO",ROUND(ABS(Registro_Compras!$J$195*Registro_Compras!$N$195),2),""))</f>
        <v/>
      </c>
      <c r="F1728" s="20">
        <f>IF($C1728="","",IF(Registro_Compras!$F$195="NOTA DE CREDITO","",IF(Registro_Compras!$F$195="RHE",ROUND(Registro_Compras!$L$195*Registro_Compras!$N$195,2),ROUND(Registro_Compras!$J$195*Registro_Compras!$N$195,2))))</f>
        <v/>
      </c>
      <c r="G1728">
        <f>IF($C1728="","","Por el destino del gasto")</f>
        <v/>
      </c>
      <c r="H1728">
        <f>IF($C1728="","",Registro_Compras!$C$195)</f>
        <v/>
      </c>
    </row>
    <row r="1729">
      <c r="A1729" s="25">
        <f>IF($C1729="","",Registro_Compras!$X$195)</f>
        <v/>
      </c>
      <c r="B1729">
        <f>IF($C1729="","","C"&amp;TEXT(INT((ROW()-5)/9)+1,"000")&amp;"-3")</f>
        <v/>
      </c>
      <c r="C1729">
        <f>IF(OR(Registro_Compras!$C$195="",Registro_Compras!$O$195="",Registro_Compras!$R$195&lt;&gt;"SI",Registro_Compras!$X$195=""),"","4212")</f>
        <v/>
      </c>
      <c r="D1729">
        <f>IF(OR(Registro_Compras!$C$195="",Registro_Compras!$O$195=""),"","Cuentas por Pagar Comerciales - Terceros")</f>
        <v/>
      </c>
      <c r="E1729" s="20">
        <f>IF($C1729="","",Registro_Compras!$S$195)</f>
        <v/>
      </c>
      <c r="F1729" s="20">
        <f>""</f>
        <v/>
      </c>
      <c r="G1729">
        <f>IF($C1729="","","Por el deposito de la detraccion en el Banco de la Nacion")</f>
        <v/>
      </c>
      <c r="H1729">
        <f>IF($C1729="","",Registro_Compras!$C$195)</f>
        <v/>
      </c>
    </row>
    <row r="1730">
      <c r="A1730" s="25">
        <f>IF($C1730="","",Registro_Compras!$X$195)</f>
        <v/>
      </c>
      <c r="B1730">
        <f>IF($C1730="","","C"&amp;TEXT(INT((ROW()-5)/9)+1,"000")&amp;"-3")</f>
        <v/>
      </c>
      <c r="C1730">
        <f>IF(OR(Registro_Compras!$C$195="",Registro_Compras!$O$195="",Registro_Compras!$R$195&lt;&gt;"SI",Registro_Compras!$X$195=""),"","10413")</f>
        <v/>
      </c>
      <c r="D1730">
        <f>IF(OR(Registro_Compras!$C$195="",Registro_Compras!$O$195=""),"","Efectivo y Equivalentes - Cta. Cte. Operativa")</f>
        <v/>
      </c>
      <c r="E1730" s="20">
        <f>""</f>
        <v/>
      </c>
      <c r="F1730" s="20">
        <f>IF($C1730="","",Registro_Compras!$S$195)</f>
        <v/>
      </c>
      <c r="G1730">
        <f>IF($C1730="","","Por el deposito de la detraccion en el Banco de la Nacion")</f>
        <v/>
      </c>
      <c r="H1730">
        <f>IF($C1730="","",Registro_Compras!$C$195)</f>
        <v/>
      </c>
    </row>
    <row r="1731">
      <c r="A1731" s="25">
        <f>IF($C1731="","",Registro_Compras!$Y$195)</f>
        <v/>
      </c>
      <c r="B1731">
        <f>IF($C1731="","","C"&amp;TEXT(INT((ROW()-5)/9)+1,"000")&amp;"-4")</f>
        <v/>
      </c>
      <c r="C1731">
        <f>IF(OR(Registro_Compras!$C$195="",Registro_Compras!$O$195="",Registro_Compras!$Y$195="",Registro_Compras!$F$195="NOTA DE CREDITO"),"","4212")</f>
        <v/>
      </c>
      <c r="D1731">
        <f>IF(OR(Registro_Compras!$C$195="",Registro_Compras!$O$195=""),"","Cuentas por Pagar Comerciales - Terceros")</f>
        <v/>
      </c>
      <c r="E1731" s="20">
        <f>IF($C1731="","",IF(Registro_Compras!$F$195="RHE",(ROUND(Registro_Compras!$L$195*Registro_Compras!$N$195,2)-ROUND(Registro_Compras!$V$195*Registro_Compras!$N$195,2)),ROUND(Registro_Compras!$O$195-Registro_Compras!$S$195,2)))</f>
        <v/>
      </c>
      <c r="F1731" s="20">
        <f>""</f>
        <v/>
      </c>
      <c r="G1731">
        <f>IF($C1731="","","Por la cancelacion del saldo al proveedor")</f>
        <v/>
      </c>
      <c r="H1731">
        <f>IF($C1731="","",Registro_Compras!$C$195)</f>
        <v/>
      </c>
    </row>
    <row r="1732">
      <c r="A1732" s="25">
        <f>IF($C1732="","",Registro_Compras!$Y$195)</f>
        <v/>
      </c>
      <c r="B1732">
        <f>IF($C1732="","","C"&amp;TEXT(INT((ROW()-5)/9)+1,"000")&amp;"-4")</f>
        <v/>
      </c>
      <c r="C1732">
        <f>IF(OR(Registro_Compras!$C$195="",Registro_Compras!$O$195="",Registro_Compras!$Y$195="",Registro_Compras!$F$195="NOTA DE CREDITO"),"","10413")</f>
        <v/>
      </c>
      <c r="D1732">
        <f>IF(OR(Registro_Compras!$C$195="",Registro_Compras!$O$195=""),"","Efectivo y Equivalentes - Cta. Cte. Operativa")</f>
        <v/>
      </c>
      <c r="E1732" s="20">
        <f>""</f>
        <v/>
      </c>
      <c r="F1732" s="20">
        <f>IF($C1732="","",IF(Registro_Compras!$F$195="RHE",(ROUND(Registro_Compras!$L$195*Registro_Compras!$N$195,2)-ROUND(Registro_Compras!$V$195*Registro_Compras!$N$195,2)),ROUND(Registro_Compras!$O$195-Registro_Compras!$S$195,2)))</f>
        <v/>
      </c>
      <c r="G1732">
        <f>IF($C1732="","","Por la cancelacion del saldo al proveedor")</f>
        <v/>
      </c>
      <c r="H1732">
        <f>IF($C1732="","",Registro_Compras!$C$195)</f>
        <v/>
      </c>
    </row>
    <row r="1733">
      <c r="A1733" s="25">
        <f>IF($C1733="","",Registro_Compras!$B$196)</f>
        <v/>
      </c>
      <c r="B1733">
        <f>IF($C1733="","","C"&amp;TEXT(INT((ROW()-5)/9)+1,"000")&amp;"-1")</f>
        <v/>
      </c>
      <c r="C1733">
        <f>IF(OR(Registro_Compras!$C$196="",Registro_Compras!$O$196=""),"",IF(Registro_Compras!$F$196="NOTA DE CREDITO","4212",IF(Registro_Compras!$M$196="","63",Registro_Compras!$M$196)))</f>
        <v/>
      </c>
      <c r="D1733">
        <f>IF(OR(Registro_Compras!$C$196="",Registro_Compras!$O$196=""),"",IF(Registro_Compras!$F$196="NOTA DE CREDITO","Cuentas por Pagar Comerciales - Terceros (Emitidas)",IF(Registro_Compras!$F$196="RHE","Honorarios Profesionales - Servicios de Terceros","Gastos de Servicios Prestados por Terceros")))</f>
        <v/>
      </c>
      <c r="E1733" s="20">
        <f>IF($C1733="","",IF(Registro_Compras!$F$196="NOTA DE CREDITO",ABS(Registro_Compras!$O$196),IF(Registro_Compras!$F$196="RHE",ROUND(Registro_Compras!$L$196*Registro_Compras!$N$196,2),ROUND(Registro_Compras!$J$196*Registro_Compras!$N$196,2))))</f>
        <v/>
      </c>
      <c r="F1733" s="20">
        <f>""</f>
        <v/>
      </c>
      <c r="G1733">
        <f>IF($C1733="","",IF(Registro_Compras!$F$196="NOTA DE CREDITO","Por la nota de credito "&amp;Registro_Compras!$C$196&amp;" de "&amp;Registro_Compras!$E$196&amp;" [PATRON POR CONFIRMAR CON CONTADOR]",IF(Registro_Compras!$F$196="RHE","Por el registro del recibo por honorarios "&amp;Registro_Compras!$C$196&amp;" de "&amp;Registro_Compras!$E$196&amp;" [PATRON POR CONFIRMAR CON CONTADOR]","Por el registro de la factura "&amp;Registro_Compras!$C$196&amp;" de "&amp;Registro_Compras!$E$196)))</f>
        <v/>
      </c>
      <c r="H1733">
        <f>IF($C1733="","",Registro_Compras!$C$196)</f>
        <v/>
      </c>
    </row>
    <row r="1734">
      <c r="A1734" s="25">
        <f>IF($C1734="","",Registro_Compras!$B$196)</f>
        <v/>
      </c>
      <c r="B1734">
        <f>IF($C1734="","","C"&amp;TEXT(INT((ROW()-5)/9)+1,"000")&amp;"-1")</f>
        <v/>
      </c>
      <c r="C1734">
        <f>IF(OR(Registro_Compras!$C$196="",Registro_Compras!$O$196=""),"",IF(Registro_Compras!$F$196="RHE",IF(Registro_Compras!$V$196=0,"","40172"),IF(Registro_Compras!$F$196="NOTA DE CREDITO",IF(Registro_Compras!$M$196="","63",Registro_Compras!$M$196),IF(Registro_Compras!$K$196=0,"","40111"))))</f>
        <v/>
      </c>
      <c r="D1734">
        <f>IF(OR(Registro_Compras!$C$196="",Registro_Compras!$O$196=""),"",IF(Registro_Compras!$F$196="RHE","Retencion Renta 4ta Categoria por Pagar",IF(Registro_Compras!$F$196="NOTA DE CREDITO","Gastos de Servicios Prestados por Terceros","IGV - Cuenta Propia (Credito Fiscal)")))</f>
        <v/>
      </c>
      <c r="E1734" s="20">
        <f>IF($C1734="","",IF(Registro_Compras!$F$196="FACTURA",ROUND(Registro_Compras!$K$196*Registro_Compras!$N$196,2),""))</f>
        <v/>
      </c>
      <c r="F1734" s="20">
        <f>IF($C1734="","",IF(Registro_Compras!$F$196="RHE",ROUND(Registro_Compras!$V$196*Registro_Compras!$N$196,2),IF(Registro_Compras!$F$196="NOTA DE CREDITO",ROUND(ABS(Registro_Compras!$J$196*Registro_Compras!$N$196),2),"")))</f>
        <v/>
      </c>
      <c r="G1734">
        <f>IF($C1734="","",IF(Registro_Compras!$F$196="NOTA DE CREDITO","Por la nota de credito "&amp;Registro_Compras!$C$196&amp;" de "&amp;Registro_Compras!$E$196&amp;" [PATRON POR CONFIRMAR CON CONTADOR]",IF(Registro_Compras!$F$196="RHE","Por el registro del recibo por honorarios "&amp;Registro_Compras!$C$196&amp;" de "&amp;Registro_Compras!$E$196&amp;" [PATRON POR CONFIRMAR CON CONTADOR]","Por el registro de la factura "&amp;Registro_Compras!$C$196&amp;" de "&amp;Registro_Compras!$E$196)))</f>
        <v/>
      </c>
      <c r="H1734">
        <f>IF($C1734="","",Registro_Compras!$C$196)</f>
        <v/>
      </c>
    </row>
    <row r="1735">
      <c r="A1735" s="25">
        <f>IF($C1735="","",Registro_Compras!$B$196)</f>
        <v/>
      </c>
      <c r="B1735">
        <f>IF($C1735="","","C"&amp;TEXT(INT((ROW()-5)/9)+1,"000")&amp;"-1")</f>
        <v/>
      </c>
      <c r="C1735">
        <f>IF(OR(Registro_Compras!$C$196="",Registro_Compras!$O$196=""),"",IF(Registro_Compras!$F$196="NOTA DE CREDITO",IF(Registro_Compras!$K$196=0,"","40111"),"4212"))</f>
        <v/>
      </c>
      <c r="D1735">
        <f>IF(OR(Registro_Compras!$C$196="",Registro_Compras!$O$196=""),"",IF(Registro_Compras!$F$196="NOTA DE CREDITO","IGV - Cuenta Propia (Credito Fiscal)","Cuentas por Pagar Comerciales - Terceros (Emitidas)"))</f>
        <v/>
      </c>
      <c r="E1735" s="20">
        <f>""</f>
        <v/>
      </c>
      <c r="F1735" s="20">
        <f>IF($C1735="","",IF(Registro_Compras!$F$196="NOTA DE CREDITO",ROUND(ABS(Registro_Compras!$K$196*Registro_Compras!$N$196),2),IF(Registro_Compras!$F$196="RHE",(ROUND(Registro_Compras!$L$196*Registro_Compras!$N$196,2)-ROUND(Registro_Compras!$V$196*Registro_Compras!$N$196,2)),Registro_Compras!$O$196)))</f>
        <v/>
      </c>
      <c r="G1735">
        <f>IF($C1735="","",IF(Registro_Compras!$F$196="NOTA DE CREDITO","Por la nota de credito "&amp;Registro_Compras!$C$196&amp;" de "&amp;Registro_Compras!$E$196&amp;" [PATRON POR CONFIRMAR CON CONTADOR]",IF(Registro_Compras!$F$196="RHE","Por el registro del recibo por honorarios "&amp;Registro_Compras!$C$196&amp;" de "&amp;Registro_Compras!$E$196&amp;" [PATRON POR CONFIRMAR CON CONTADOR]","Por el registro de la factura "&amp;Registro_Compras!$C$196&amp;" de "&amp;Registro_Compras!$E$196)))</f>
        <v/>
      </c>
      <c r="H1735">
        <f>IF($C1735="","",Registro_Compras!$C$196)</f>
        <v/>
      </c>
    </row>
    <row r="1736">
      <c r="A1736" s="25">
        <f>IF($C1736="","",Registro_Compras!$B$196)</f>
        <v/>
      </c>
      <c r="B1736">
        <f>IF($C1736="","","C"&amp;TEXT(INT((ROW()-5)/9)+1,"000")&amp;"-2")</f>
        <v/>
      </c>
      <c r="C1736">
        <f>IF(OR(Registro_Compras!$C$196="",Registro_Compras!$O$196=""),"",IF(Registro_Compras!$AB$196="ADMINISTRATIVO","94","95"))</f>
        <v/>
      </c>
      <c r="D1736">
        <f>IF(OR(Registro_Compras!$C$196="",Registro_Compras!$O$196=""),"",IF(Registro_Compras!$AB$196="ADMINISTRATIVO","Gastos Administrativos","Gastos de Venta y Operacion"))</f>
        <v/>
      </c>
      <c r="E1736" s="20">
        <f>IF($C1736="","",IF(Registro_Compras!$F$196="NOTA DE CREDITO","",IF(Registro_Compras!$F$196="RHE",ROUND(Registro_Compras!$L$196*Registro_Compras!$N$196,2),ROUND(Registro_Compras!$J$196*Registro_Compras!$N$196,2))))</f>
        <v/>
      </c>
      <c r="F1736" s="20">
        <f>IF($C1736="","",IF(Registro_Compras!$F$196="NOTA DE CREDITO",ROUND(ABS(Registro_Compras!$J$196*Registro_Compras!$N$196),2),""))</f>
        <v/>
      </c>
      <c r="G1736">
        <f>IF($C1736="","","Por el destino del gasto")</f>
        <v/>
      </c>
      <c r="H1736">
        <f>IF($C1736="","",Registro_Compras!$C$196)</f>
        <v/>
      </c>
    </row>
    <row r="1737">
      <c r="A1737" s="25">
        <f>IF($C1737="","",Registro_Compras!$B$196)</f>
        <v/>
      </c>
      <c r="B1737">
        <f>IF($C1737="","","C"&amp;TEXT(INT((ROW()-5)/9)+1,"000")&amp;"-2")</f>
        <v/>
      </c>
      <c r="C1737">
        <f>IF(OR(Registro_Compras!$C$196="",Registro_Compras!$O$196=""),"","79/791")</f>
        <v/>
      </c>
      <c r="D1737">
        <f>IF(OR(Registro_Compras!$C$196="",Registro_Compras!$O$196=""),"","Cargas Imputables a Cuentas de Costos y Gastos")</f>
        <v/>
      </c>
      <c r="E1737" s="20">
        <f>IF($C1737="","",IF(Registro_Compras!$F$196="NOTA DE CREDITO",ROUND(ABS(Registro_Compras!$J$196*Registro_Compras!$N$196),2),""))</f>
        <v/>
      </c>
      <c r="F1737" s="20">
        <f>IF($C1737="","",IF(Registro_Compras!$F$196="NOTA DE CREDITO","",IF(Registro_Compras!$F$196="RHE",ROUND(Registro_Compras!$L$196*Registro_Compras!$N$196,2),ROUND(Registro_Compras!$J$196*Registro_Compras!$N$196,2))))</f>
        <v/>
      </c>
      <c r="G1737">
        <f>IF($C1737="","","Por el destino del gasto")</f>
        <v/>
      </c>
      <c r="H1737">
        <f>IF($C1737="","",Registro_Compras!$C$196)</f>
        <v/>
      </c>
    </row>
    <row r="1738">
      <c r="A1738" s="25">
        <f>IF($C1738="","",Registro_Compras!$X$196)</f>
        <v/>
      </c>
      <c r="B1738">
        <f>IF($C1738="","","C"&amp;TEXT(INT((ROW()-5)/9)+1,"000")&amp;"-3")</f>
        <v/>
      </c>
      <c r="C1738">
        <f>IF(OR(Registro_Compras!$C$196="",Registro_Compras!$O$196="",Registro_Compras!$R$196&lt;&gt;"SI",Registro_Compras!$X$196=""),"","4212")</f>
        <v/>
      </c>
      <c r="D1738">
        <f>IF(OR(Registro_Compras!$C$196="",Registro_Compras!$O$196=""),"","Cuentas por Pagar Comerciales - Terceros")</f>
        <v/>
      </c>
      <c r="E1738" s="20">
        <f>IF($C1738="","",Registro_Compras!$S$196)</f>
        <v/>
      </c>
      <c r="F1738" s="20">
        <f>""</f>
        <v/>
      </c>
      <c r="G1738">
        <f>IF($C1738="","","Por el deposito de la detraccion en el Banco de la Nacion")</f>
        <v/>
      </c>
      <c r="H1738">
        <f>IF($C1738="","",Registro_Compras!$C$196)</f>
        <v/>
      </c>
    </row>
    <row r="1739">
      <c r="A1739" s="25">
        <f>IF($C1739="","",Registro_Compras!$X$196)</f>
        <v/>
      </c>
      <c r="B1739">
        <f>IF($C1739="","","C"&amp;TEXT(INT((ROW()-5)/9)+1,"000")&amp;"-3")</f>
        <v/>
      </c>
      <c r="C1739">
        <f>IF(OR(Registro_Compras!$C$196="",Registro_Compras!$O$196="",Registro_Compras!$R$196&lt;&gt;"SI",Registro_Compras!$X$196=""),"","10413")</f>
        <v/>
      </c>
      <c r="D1739">
        <f>IF(OR(Registro_Compras!$C$196="",Registro_Compras!$O$196=""),"","Efectivo y Equivalentes - Cta. Cte. Operativa")</f>
        <v/>
      </c>
      <c r="E1739" s="20">
        <f>""</f>
        <v/>
      </c>
      <c r="F1739" s="20">
        <f>IF($C1739="","",Registro_Compras!$S$196)</f>
        <v/>
      </c>
      <c r="G1739">
        <f>IF($C1739="","","Por el deposito de la detraccion en el Banco de la Nacion")</f>
        <v/>
      </c>
      <c r="H1739">
        <f>IF($C1739="","",Registro_Compras!$C$196)</f>
        <v/>
      </c>
    </row>
    <row r="1740">
      <c r="A1740" s="25">
        <f>IF($C1740="","",Registro_Compras!$Y$196)</f>
        <v/>
      </c>
      <c r="B1740">
        <f>IF($C1740="","","C"&amp;TEXT(INT((ROW()-5)/9)+1,"000")&amp;"-4")</f>
        <v/>
      </c>
      <c r="C1740">
        <f>IF(OR(Registro_Compras!$C$196="",Registro_Compras!$O$196="",Registro_Compras!$Y$196="",Registro_Compras!$F$196="NOTA DE CREDITO"),"","4212")</f>
        <v/>
      </c>
      <c r="D1740">
        <f>IF(OR(Registro_Compras!$C$196="",Registro_Compras!$O$196=""),"","Cuentas por Pagar Comerciales - Terceros")</f>
        <v/>
      </c>
      <c r="E1740" s="20">
        <f>IF($C1740="","",IF(Registro_Compras!$F$196="RHE",(ROUND(Registro_Compras!$L$196*Registro_Compras!$N$196,2)-ROUND(Registro_Compras!$V$196*Registro_Compras!$N$196,2)),ROUND(Registro_Compras!$O$196-Registro_Compras!$S$196,2)))</f>
        <v/>
      </c>
      <c r="F1740" s="20">
        <f>""</f>
        <v/>
      </c>
      <c r="G1740">
        <f>IF($C1740="","","Por la cancelacion del saldo al proveedor")</f>
        <v/>
      </c>
      <c r="H1740">
        <f>IF($C1740="","",Registro_Compras!$C$196)</f>
        <v/>
      </c>
    </row>
    <row r="1741">
      <c r="A1741" s="25">
        <f>IF($C1741="","",Registro_Compras!$Y$196)</f>
        <v/>
      </c>
      <c r="B1741">
        <f>IF($C1741="","","C"&amp;TEXT(INT((ROW()-5)/9)+1,"000")&amp;"-4")</f>
        <v/>
      </c>
      <c r="C1741">
        <f>IF(OR(Registro_Compras!$C$196="",Registro_Compras!$O$196="",Registro_Compras!$Y$196="",Registro_Compras!$F$196="NOTA DE CREDITO"),"","10413")</f>
        <v/>
      </c>
      <c r="D1741">
        <f>IF(OR(Registro_Compras!$C$196="",Registro_Compras!$O$196=""),"","Efectivo y Equivalentes - Cta. Cte. Operativa")</f>
        <v/>
      </c>
      <c r="E1741" s="20">
        <f>""</f>
        <v/>
      </c>
      <c r="F1741" s="20">
        <f>IF($C1741="","",IF(Registro_Compras!$F$196="RHE",(ROUND(Registro_Compras!$L$196*Registro_Compras!$N$196,2)-ROUND(Registro_Compras!$V$196*Registro_Compras!$N$196,2)),ROUND(Registro_Compras!$O$196-Registro_Compras!$S$196,2)))</f>
        <v/>
      </c>
      <c r="G1741">
        <f>IF($C1741="","","Por la cancelacion del saldo al proveedor")</f>
        <v/>
      </c>
      <c r="H1741">
        <f>IF($C1741="","",Registro_Compras!$C$196)</f>
        <v/>
      </c>
    </row>
    <row r="1742">
      <c r="A1742" s="25">
        <f>IF($C1742="","",Registro_Compras!$B$197)</f>
        <v/>
      </c>
      <c r="B1742">
        <f>IF($C1742="","","C"&amp;TEXT(INT((ROW()-5)/9)+1,"000")&amp;"-1")</f>
        <v/>
      </c>
      <c r="C1742">
        <f>IF(OR(Registro_Compras!$C$197="",Registro_Compras!$O$197=""),"",IF(Registro_Compras!$F$197="NOTA DE CREDITO","4212",IF(Registro_Compras!$M$197="","63",Registro_Compras!$M$197)))</f>
        <v/>
      </c>
      <c r="D1742">
        <f>IF(OR(Registro_Compras!$C$197="",Registro_Compras!$O$197=""),"",IF(Registro_Compras!$F$197="NOTA DE CREDITO","Cuentas por Pagar Comerciales - Terceros (Emitidas)",IF(Registro_Compras!$F$197="RHE","Honorarios Profesionales - Servicios de Terceros","Gastos de Servicios Prestados por Terceros")))</f>
        <v/>
      </c>
      <c r="E1742" s="20">
        <f>IF($C1742="","",IF(Registro_Compras!$F$197="NOTA DE CREDITO",ABS(Registro_Compras!$O$197),IF(Registro_Compras!$F$197="RHE",ROUND(Registro_Compras!$L$197*Registro_Compras!$N$197,2),ROUND(Registro_Compras!$J$197*Registro_Compras!$N$197,2))))</f>
        <v/>
      </c>
      <c r="F1742" s="20">
        <f>""</f>
        <v/>
      </c>
      <c r="G1742">
        <f>IF($C1742="","",IF(Registro_Compras!$F$197="NOTA DE CREDITO","Por la nota de credito "&amp;Registro_Compras!$C$197&amp;" de "&amp;Registro_Compras!$E$197&amp;" [PATRON POR CONFIRMAR CON CONTADOR]",IF(Registro_Compras!$F$197="RHE","Por el registro del recibo por honorarios "&amp;Registro_Compras!$C$197&amp;" de "&amp;Registro_Compras!$E$197&amp;" [PATRON POR CONFIRMAR CON CONTADOR]","Por el registro de la factura "&amp;Registro_Compras!$C$197&amp;" de "&amp;Registro_Compras!$E$197)))</f>
        <v/>
      </c>
      <c r="H1742">
        <f>IF($C1742="","",Registro_Compras!$C$197)</f>
        <v/>
      </c>
    </row>
    <row r="1743">
      <c r="A1743" s="25">
        <f>IF($C1743="","",Registro_Compras!$B$197)</f>
        <v/>
      </c>
      <c r="B1743">
        <f>IF($C1743="","","C"&amp;TEXT(INT((ROW()-5)/9)+1,"000")&amp;"-1")</f>
        <v/>
      </c>
      <c r="C1743">
        <f>IF(OR(Registro_Compras!$C$197="",Registro_Compras!$O$197=""),"",IF(Registro_Compras!$F$197="RHE",IF(Registro_Compras!$V$197=0,"","40172"),IF(Registro_Compras!$F$197="NOTA DE CREDITO",IF(Registro_Compras!$M$197="","63",Registro_Compras!$M$197),IF(Registro_Compras!$K$197=0,"","40111"))))</f>
        <v/>
      </c>
      <c r="D1743">
        <f>IF(OR(Registro_Compras!$C$197="",Registro_Compras!$O$197=""),"",IF(Registro_Compras!$F$197="RHE","Retencion Renta 4ta Categoria por Pagar",IF(Registro_Compras!$F$197="NOTA DE CREDITO","Gastos de Servicios Prestados por Terceros","IGV - Cuenta Propia (Credito Fiscal)")))</f>
        <v/>
      </c>
      <c r="E1743" s="20">
        <f>IF($C1743="","",IF(Registro_Compras!$F$197="FACTURA",ROUND(Registro_Compras!$K$197*Registro_Compras!$N$197,2),""))</f>
        <v/>
      </c>
      <c r="F1743" s="20">
        <f>IF($C1743="","",IF(Registro_Compras!$F$197="RHE",ROUND(Registro_Compras!$V$197*Registro_Compras!$N$197,2),IF(Registro_Compras!$F$197="NOTA DE CREDITO",ROUND(ABS(Registro_Compras!$J$197*Registro_Compras!$N$197),2),"")))</f>
        <v/>
      </c>
      <c r="G1743">
        <f>IF($C1743="","",IF(Registro_Compras!$F$197="NOTA DE CREDITO","Por la nota de credito "&amp;Registro_Compras!$C$197&amp;" de "&amp;Registro_Compras!$E$197&amp;" [PATRON POR CONFIRMAR CON CONTADOR]",IF(Registro_Compras!$F$197="RHE","Por el registro del recibo por honorarios "&amp;Registro_Compras!$C$197&amp;" de "&amp;Registro_Compras!$E$197&amp;" [PATRON POR CONFIRMAR CON CONTADOR]","Por el registro de la factura "&amp;Registro_Compras!$C$197&amp;" de "&amp;Registro_Compras!$E$197)))</f>
        <v/>
      </c>
      <c r="H1743">
        <f>IF($C1743="","",Registro_Compras!$C$197)</f>
        <v/>
      </c>
    </row>
    <row r="1744">
      <c r="A1744" s="25">
        <f>IF($C1744="","",Registro_Compras!$B$197)</f>
        <v/>
      </c>
      <c r="B1744">
        <f>IF($C1744="","","C"&amp;TEXT(INT((ROW()-5)/9)+1,"000")&amp;"-1")</f>
        <v/>
      </c>
      <c r="C1744">
        <f>IF(OR(Registro_Compras!$C$197="",Registro_Compras!$O$197=""),"",IF(Registro_Compras!$F$197="NOTA DE CREDITO",IF(Registro_Compras!$K$197=0,"","40111"),"4212"))</f>
        <v/>
      </c>
      <c r="D1744">
        <f>IF(OR(Registro_Compras!$C$197="",Registro_Compras!$O$197=""),"",IF(Registro_Compras!$F$197="NOTA DE CREDITO","IGV - Cuenta Propia (Credito Fiscal)","Cuentas por Pagar Comerciales - Terceros (Emitidas)"))</f>
        <v/>
      </c>
      <c r="E1744" s="20">
        <f>""</f>
        <v/>
      </c>
      <c r="F1744" s="20">
        <f>IF($C1744="","",IF(Registro_Compras!$F$197="NOTA DE CREDITO",ROUND(ABS(Registro_Compras!$K$197*Registro_Compras!$N$197),2),IF(Registro_Compras!$F$197="RHE",(ROUND(Registro_Compras!$L$197*Registro_Compras!$N$197,2)-ROUND(Registro_Compras!$V$197*Registro_Compras!$N$197,2)),Registro_Compras!$O$197)))</f>
        <v/>
      </c>
      <c r="G1744">
        <f>IF($C1744="","",IF(Registro_Compras!$F$197="NOTA DE CREDITO","Por la nota de credito "&amp;Registro_Compras!$C$197&amp;" de "&amp;Registro_Compras!$E$197&amp;" [PATRON POR CONFIRMAR CON CONTADOR]",IF(Registro_Compras!$F$197="RHE","Por el registro del recibo por honorarios "&amp;Registro_Compras!$C$197&amp;" de "&amp;Registro_Compras!$E$197&amp;" [PATRON POR CONFIRMAR CON CONTADOR]","Por el registro de la factura "&amp;Registro_Compras!$C$197&amp;" de "&amp;Registro_Compras!$E$197)))</f>
        <v/>
      </c>
      <c r="H1744">
        <f>IF($C1744="","",Registro_Compras!$C$197)</f>
        <v/>
      </c>
    </row>
    <row r="1745">
      <c r="A1745" s="25">
        <f>IF($C1745="","",Registro_Compras!$B$197)</f>
        <v/>
      </c>
      <c r="B1745">
        <f>IF($C1745="","","C"&amp;TEXT(INT((ROW()-5)/9)+1,"000")&amp;"-2")</f>
        <v/>
      </c>
      <c r="C1745">
        <f>IF(OR(Registro_Compras!$C$197="",Registro_Compras!$O$197=""),"",IF(Registro_Compras!$AB$197="ADMINISTRATIVO","94","95"))</f>
        <v/>
      </c>
      <c r="D1745">
        <f>IF(OR(Registro_Compras!$C$197="",Registro_Compras!$O$197=""),"",IF(Registro_Compras!$AB$197="ADMINISTRATIVO","Gastos Administrativos","Gastos de Venta y Operacion"))</f>
        <v/>
      </c>
      <c r="E1745" s="20">
        <f>IF($C1745="","",IF(Registro_Compras!$F$197="NOTA DE CREDITO","",IF(Registro_Compras!$F$197="RHE",ROUND(Registro_Compras!$L$197*Registro_Compras!$N$197,2),ROUND(Registro_Compras!$J$197*Registro_Compras!$N$197,2))))</f>
        <v/>
      </c>
      <c r="F1745" s="20">
        <f>IF($C1745="","",IF(Registro_Compras!$F$197="NOTA DE CREDITO",ROUND(ABS(Registro_Compras!$J$197*Registro_Compras!$N$197),2),""))</f>
        <v/>
      </c>
      <c r="G1745">
        <f>IF($C1745="","","Por el destino del gasto")</f>
        <v/>
      </c>
      <c r="H1745">
        <f>IF($C1745="","",Registro_Compras!$C$197)</f>
        <v/>
      </c>
    </row>
    <row r="1746">
      <c r="A1746" s="25">
        <f>IF($C1746="","",Registro_Compras!$B$197)</f>
        <v/>
      </c>
      <c r="B1746">
        <f>IF($C1746="","","C"&amp;TEXT(INT((ROW()-5)/9)+1,"000")&amp;"-2")</f>
        <v/>
      </c>
      <c r="C1746">
        <f>IF(OR(Registro_Compras!$C$197="",Registro_Compras!$O$197=""),"","79/791")</f>
        <v/>
      </c>
      <c r="D1746">
        <f>IF(OR(Registro_Compras!$C$197="",Registro_Compras!$O$197=""),"","Cargas Imputables a Cuentas de Costos y Gastos")</f>
        <v/>
      </c>
      <c r="E1746" s="20">
        <f>IF($C1746="","",IF(Registro_Compras!$F$197="NOTA DE CREDITO",ROUND(ABS(Registro_Compras!$J$197*Registro_Compras!$N$197),2),""))</f>
        <v/>
      </c>
      <c r="F1746" s="20">
        <f>IF($C1746="","",IF(Registro_Compras!$F$197="NOTA DE CREDITO","",IF(Registro_Compras!$F$197="RHE",ROUND(Registro_Compras!$L$197*Registro_Compras!$N$197,2),ROUND(Registro_Compras!$J$197*Registro_Compras!$N$197,2))))</f>
        <v/>
      </c>
      <c r="G1746">
        <f>IF($C1746="","","Por el destino del gasto")</f>
        <v/>
      </c>
      <c r="H1746">
        <f>IF($C1746="","",Registro_Compras!$C$197)</f>
        <v/>
      </c>
    </row>
    <row r="1747">
      <c r="A1747" s="25">
        <f>IF($C1747="","",Registro_Compras!$X$197)</f>
        <v/>
      </c>
      <c r="B1747">
        <f>IF($C1747="","","C"&amp;TEXT(INT((ROW()-5)/9)+1,"000")&amp;"-3")</f>
        <v/>
      </c>
      <c r="C1747">
        <f>IF(OR(Registro_Compras!$C$197="",Registro_Compras!$O$197="",Registro_Compras!$R$197&lt;&gt;"SI",Registro_Compras!$X$197=""),"","4212")</f>
        <v/>
      </c>
      <c r="D1747">
        <f>IF(OR(Registro_Compras!$C$197="",Registro_Compras!$O$197=""),"","Cuentas por Pagar Comerciales - Terceros")</f>
        <v/>
      </c>
      <c r="E1747" s="20">
        <f>IF($C1747="","",Registro_Compras!$S$197)</f>
        <v/>
      </c>
      <c r="F1747" s="20">
        <f>""</f>
        <v/>
      </c>
      <c r="G1747">
        <f>IF($C1747="","","Por el deposito de la detraccion en el Banco de la Nacion")</f>
        <v/>
      </c>
      <c r="H1747">
        <f>IF($C1747="","",Registro_Compras!$C$197)</f>
        <v/>
      </c>
    </row>
    <row r="1748">
      <c r="A1748" s="25">
        <f>IF($C1748="","",Registro_Compras!$X$197)</f>
        <v/>
      </c>
      <c r="B1748">
        <f>IF($C1748="","","C"&amp;TEXT(INT((ROW()-5)/9)+1,"000")&amp;"-3")</f>
        <v/>
      </c>
      <c r="C1748">
        <f>IF(OR(Registro_Compras!$C$197="",Registro_Compras!$O$197="",Registro_Compras!$R$197&lt;&gt;"SI",Registro_Compras!$X$197=""),"","10413")</f>
        <v/>
      </c>
      <c r="D1748">
        <f>IF(OR(Registro_Compras!$C$197="",Registro_Compras!$O$197=""),"","Efectivo y Equivalentes - Cta. Cte. Operativa")</f>
        <v/>
      </c>
      <c r="E1748" s="20">
        <f>""</f>
        <v/>
      </c>
      <c r="F1748" s="20">
        <f>IF($C1748="","",Registro_Compras!$S$197)</f>
        <v/>
      </c>
      <c r="G1748">
        <f>IF($C1748="","","Por el deposito de la detraccion en el Banco de la Nacion")</f>
        <v/>
      </c>
      <c r="H1748">
        <f>IF($C1748="","",Registro_Compras!$C$197)</f>
        <v/>
      </c>
    </row>
    <row r="1749">
      <c r="A1749" s="25">
        <f>IF($C1749="","",Registro_Compras!$Y$197)</f>
        <v/>
      </c>
      <c r="B1749">
        <f>IF($C1749="","","C"&amp;TEXT(INT((ROW()-5)/9)+1,"000")&amp;"-4")</f>
        <v/>
      </c>
      <c r="C1749">
        <f>IF(OR(Registro_Compras!$C$197="",Registro_Compras!$O$197="",Registro_Compras!$Y$197="",Registro_Compras!$F$197="NOTA DE CREDITO"),"","4212")</f>
        <v/>
      </c>
      <c r="D1749">
        <f>IF(OR(Registro_Compras!$C$197="",Registro_Compras!$O$197=""),"","Cuentas por Pagar Comerciales - Terceros")</f>
        <v/>
      </c>
      <c r="E1749" s="20">
        <f>IF($C1749="","",IF(Registro_Compras!$F$197="RHE",(ROUND(Registro_Compras!$L$197*Registro_Compras!$N$197,2)-ROUND(Registro_Compras!$V$197*Registro_Compras!$N$197,2)),ROUND(Registro_Compras!$O$197-Registro_Compras!$S$197,2)))</f>
        <v/>
      </c>
      <c r="F1749" s="20">
        <f>""</f>
        <v/>
      </c>
      <c r="G1749">
        <f>IF($C1749="","","Por la cancelacion del saldo al proveedor")</f>
        <v/>
      </c>
      <c r="H1749">
        <f>IF($C1749="","",Registro_Compras!$C$197)</f>
        <v/>
      </c>
    </row>
    <row r="1750">
      <c r="A1750" s="25">
        <f>IF($C1750="","",Registro_Compras!$Y$197)</f>
        <v/>
      </c>
      <c r="B1750">
        <f>IF($C1750="","","C"&amp;TEXT(INT((ROW()-5)/9)+1,"000")&amp;"-4")</f>
        <v/>
      </c>
      <c r="C1750">
        <f>IF(OR(Registro_Compras!$C$197="",Registro_Compras!$O$197="",Registro_Compras!$Y$197="",Registro_Compras!$F$197="NOTA DE CREDITO"),"","10413")</f>
        <v/>
      </c>
      <c r="D1750">
        <f>IF(OR(Registro_Compras!$C$197="",Registro_Compras!$O$197=""),"","Efectivo y Equivalentes - Cta. Cte. Operativa")</f>
        <v/>
      </c>
      <c r="E1750" s="20">
        <f>""</f>
        <v/>
      </c>
      <c r="F1750" s="20">
        <f>IF($C1750="","",IF(Registro_Compras!$F$197="RHE",(ROUND(Registro_Compras!$L$197*Registro_Compras!$N$197,2)-ROUND(Registro_Compras!$V$197*Registro_Compras!$N$197,2)),ROUND(Registro_Compras!$O$197-Registro_Compras!$S$197,2)))</f>
        <v/>
      </c>
      <c r="G1750">
        <f>IF($C1750="","","Por la cancelacion del saldo al proveedor")</f>
        <v/>
      </c>
      <c r="H1750">
        <f>IF($C1750="","",Registro_Compras!$C$197)</f>
        <v/>
      </c>
    </row>
    <row r="1751">
      <c r="A1751" s="25">
        <f>IF($C1751="","",Registro_Compras!$B$198)</f>
        <v/>
      </c>
      <c r="B1751">
        <f>IF($C1751="","","C"&amp;TEXT(INT((ROW()-5)/9)+1,"000")&amp;"-1")</f>
        <v/>
      </c>
      <c r="C1751">
        <f>IF(OR(Registro_Compras!$C$198="",Registro_Compras!$O$198=""),"",IF(Registro_Compras!$F$198="NOTA DE CREDITO","4212",IF(Registro_Compras!$M$198="","63",Registro_Compras!$M$198)))</f>
        <v/>
      </c>
      <c r="D1751">
        <f>IF(OR(Registro_Compras!$C$198="",Registro_Compras!$O$198=""),"",IF(Registro_Compras!$F$198="NOTA DE CREDITO","Cuentas por Pagar Comerciales - Terceros (Emitidas)",IF(Registro_Compras!$F$198="RHE","Honorarios Profesionales - Servicios de Terceros","Gastos de Servicios Prestados por Terceros")))</f>
        <v/>
      </c>
      <c r="E1751" s="20">
        <f>IF($C1751="","",IF(Registro_Compras!$F$198="NOTA DE CREDITO",ABS(Registro_Compras!$O$198),IF(Registro_Compras!$F$198="RHE",ROUND(Registro_Compras!$L$198*Registro_Compras!$N$198,2),ROUND(Registro_Compras!$J$198*Registro_Compras!$N$198,2))))</f>
        <v/>
      </c>
      <c r="F1751" s="20">
        <f>""</f>
        <v/>
      </c>
      <c r="G1751">
        <f>IF($C1751="","",IF(Registro_Compras!$F$198="NOTA DE CREDITO","Por la nota de credito "&amp;Registro_Compras!$C$198&amp;" de "&amp;Registro_Compras!$E$198&amp;" [PATRON POR CONFIRMAR CON CONTADOR]",IF(Registro_Compras!$F$198="RHE","Por el registro del recibo por honorarios "&amp;Registro_Compras!$C$198&amp;" de "&amp;Registro_Compras!$E$198&amp;" [PATRON POR CONFIRMAR CON CONTADOR]","Por el registro de la factura "&amp;Registro_Compras!$C$198&amp;" de "&amp;Registro_Compras!$E$198)))</f>
        <v/>
      </c>
      <c r="H1751">
        <f>IF($C1751="","",Registro_Compras!$C$198)</f>
        <v/>
      </c>
    </row>
    <row r="1752">
      <c r="A1752" s="25">
        <f>IF($C1752="","",Registro_Compras!$B$198)</f>
        <v/>
      </c>
      <c r="B1752">
        <f>IF($C1752="","","C"&amp;TEXT(INT((ROW()-5)/9)+1,"000")&amp;"-1")</f>
        <v/>
      </c>
      <c r="C1752">
        <f>IF(OR(Registro_Compras!$C$198="",Registro_Compras!$O$198=""),"",IF(Registro_Compras!$F$198="RHE",IF(Registro_Compras!$V$198=0,"","40172"),IF(Registro_Compras!$F$198="NOTA DE CREDITO",IF(Registro_Compras!$M$198="","63",Registro_Compras!$M$198),IF(Registro_Compras!$K$198=0,"","40111"))))</f>
        <v/>
      </c>
      <c r="D1752">
        <f>IF(OR(Registro_Compras!$C$198="",Registro_Compras!$O$198=""),"",IF(Registro_Compras!$F$198="RHE","Retencion Renta 4ta Categoria por Pagar",IF(Registro_Compras!$F$198="NOTA DE CREDITO","Gastos de Servicios Prestados por Terceros","IGV - Cuenta Propia (Credito Fiscal)")))</f>
        <v/>
      </c>
      <c r="E1752" s="20">
        <f>IF($C1752="","",IF(Registro_Compras!$F$198="FACTURA",ROUND(Registro_Compras!$K$198*Registro_Compras!$N$198,2),""))</f>
        <v/>
      </c>
      <c r="F1752" s="20">
        <f>IF($C1752="","",IF(Registro_Compras!$F$198="RHE",ROUND(Registro_Compras!$V$198*Registro_Compras!$N$198,2),IF(Registro_Compras!$F$198="NOTA DE CREDITO",ROUND(ABS(Registro_Compras!$J$198*Registro_Compras!$N$198),2),"")))</f>
        <v/>
      </c>
      <c r="G1752">
        <f>IF($C1752="","",IF(Registro_Compras!$F$198="NOTA DE CREDITO","Por la nota de credito "&amp;Registro_Compras!$C$198&amp;" de "&amp;Registro_Compras!$E$198&amp;" [PATRON POR CONFIRMAR CON CONTADOR]",IF(Registro_Compras!$F$198="RHE","Por el registro del recibo por honorarios "&amp;Registro_Compras!$C$198&amp;" de "&amp;Registro_Compras!$E$198&amp;" [PATRON POR CONFIRMAR CON CONTADOR]","Por el registro de la factura "&amp;Registro_Compras!$C$198&amp;" de "&amp;Registro_Compras!$E$198)))</f>
        <v/>
      </c>
      <c r="H1752">
        <f>IF($C1752="","",Registro_Compras!$C$198)</f>
        <v/>
      </c>
    </row>
    <row r="1753">
      <c r="A1753" s="25">
        <f>IF($C1753="","",Registro_Compras!$B$198)</f>
        <v/>
      </c>
      <c r="B1753">
        <f>IF($C1753="","","C"&amp;TEXT(INT((ROW()-5)/9)+1,"000")&amp;"-1")</f>
        <v/>
      </c>
      <c r="C1753">
        <f>IF(OR(Registro_Compras!$C$198="",Registro_Compras!$O$198=""),"",IF(Registro_Compras!$F$198="NOTA DE CREDITO",IF(Registro_Compras!$K$198=0,"","40111"),"4212"))</f>
        <v/>
      </c>
      <c r="D1753">
        <f>IF(OR(Registro_Compras!$C$198="",Registro_Compras!$O$198=""),"",IF(Registro_Compras!$F$198="NOTA DE CREDITO","IGV - Cuenta Propia (Credito Fiscal)","Cuentas por Pagar Comerciales - Terceros (Emitidas)"))</f>
        <v/>
      </c>
      <c r="E1753" s="20">
        <f>""</f>
        <v/>
      </c>
      <c r="F1753" s="20">
        <f>IF($C1753="","",IF(Registro_Compras!$F$198="NOTA DE CREDITO",ROUND(ABS(Registro_Compras!$K$198*Registro_Compras!$N$198),2),IF(Registro_Compras!$F$198="RHE",(ROUND(Registro_Compras!$L$198*Registro_Compras!$N$198,2)-ROUND(Registro_Compras!$V$198*Registro_Compras!$N$198,2)),Registro_Compras!$O$198)))</f>
        <v/>
      </c>
      <c r="G1753">
        <f>IF($C1753="","",IF(Registro_Compras!$F$198="NOTA DE CREDITO","Por la nota de credito "&amp;Registro_Compras!$C$198&amp;" de "&amp;Registro_Compras!$E$198&amp;" [PATRON POR CONFIRMAR CON CONTADOR]",IF(Registro_Compras!$F$198="RHE","Por el registro del recibo por honorarios "&amp;Registro_Compras!$C$198&amp;" de "&amp;Registro_Compras!$E$198&amp;" [PATRON POR CONFIRMAR CON CONTADOR]","Por el registro de la factura "&amp;Registro_Compras!$C$198&amp;" de "&amp;Registro_Compras!$E$198)))</f>
        <v/>
      </c>
      <c r="H1753">
        <f>IF($C1753="","",Registro_Compras!$C$198)</f>
        <v/>
      </c>
    </row>
    <row r="1754">
      <c r="A1754" s="25">
        <f>IF($C1754="","",Registro_Compras!$B$198)</f>
        <v/>
      </c>
      <c r="B1754">
        <f>IF($C1754="","","C"&amp;TEXT(INT((ROW()-5)/9)+1,"000")&amp;"-2")</f>
        <v/>
      </c>
      <c r="C1754">
        <f>IF(OR(Registro_Compras!$C$198="",Registro_Compras!$O$198=""),"",IF(Registro_Compras!$AB$198="ADMINISTRATIVO","94","95"))</f>
        <v/>
      </c>
      <c r="D1754">
        <f>IF(OR(Registro_Compras!$C$198="",Registro_Compras!$O$198=""),"",IF(Registro_Compras!$AB$198="ADMINISTRATIVO","Gastos Administrativos","Gastos de Venta y Operacion"))</f>
        <v/>
      </c>
      <c r="E1754" s="20">
        <f>IF($C1754="","",IF(Registro_Compras!$F$198="NOTA DE CREDITO","",IF(Registro_Compras!$F$198="RHE",ROUND(Registro_Compras!$L$198*Registro_Compras!$N$198,2),ROUND(Registro_Compras!$J$198*Registro_Compras!$N$198,2))))</f>
        <v/>
      </c>
      <c r="F1754" s="20">
        <f>IF($C1754="","",IF(Registro_Compras!$F$198="NOTA DE CREDITO",ROUND(ABS(Registro_Compras!$J$198*Registro_Compras!$N$198),2),""))</f>
        <v/>
      </c>
      <c r="G1754">
        <f>IF($C1754="","","Por el destino del gasto")</f>
        <v/>
      </c>
      <c r="H1754">
        <f>IF($C1754="","",Registro_Compras!$C$198)</f>
        <v/>
      </c>
    </row>
    <row r="1755">
      <c r="A1755" s="25">
        <f>IF($C1755="","",Registro_Compras!$B$198)</f>
        <v/>
      </c>
      <c r="B1755">
        <f>IF($C1755="","","C"&amp;TEXT(INT((ROW()-5)/9)+1,"000")&amp;"-2")</f>
        <v/>
      </c>
      <c r="C1755">
        <f>IF(OR(Registro_Compras!$C$198="",Registro_Compras!$O$198=""),"","79/791")</f>
        <v/>
      </c>
      <c r="D1755">
        <f>IF(OR(Registro_Compras!$C$198="",Registro_Compras!$O$198=""),"","Cargas Imputables a Cuentas de Costos y Gastos")</f>
        <v/>
      </c>
      <c r="E1755" s="20">
        <f>IF($C1755="","",IF(Registro_Compras!$F$198="NOTA DE CREDITO",ROUND(ABS(Registro_Compras!$J$198*Registro_Compras!$N$198),2),""))</f>
        <v/>
      </c>
      <c r="F1755" s="20">
        <f>IF($C1755="","",IF(Registro_Compras!$F$198="NOTA DE CREDITO","",IF(Registro_Compras!$F$198="RHE",ROUND(Registro_Compras!$L$198*Registro_Compras!$N$198,2),ROUND(Registro_Compras!$J$198*Registro_Compras!$N$198,2))))</f>
        <v/>
      </c>
      <c r="G1755">
        <f>IF($C1755="","","Por el destino del gasto")</f>
        <v/>
      </c>
      <c r="H1755">
        <f>IF($C1755="","",Registro_Compras!$C$198)</f>
        <v/>
      </c>
    </row>
    <row r="1756">
      <c r="A1756" s="25">
        <f>IF($C1756="","",Registro_Compras!$X$198)</f>
        <v/>
      </c>
      <c r="B1756">
        <f>IF($C1756="","","C"&amp;TEXT(INT((ROW()-5)/9)+1,"000")&amp;"-3")</f>
        <v/>
      </c>
      <c r="C1756">
        <f>IF(OR(Registro_Compras!$C$198="",Registro_Compras!$O$198="",Registro_Compras!$R$198&lt;&gt;"SI",Registro_Compras!$X$198=""),"","4212")</f>
        <v/>
      </c>
      <c r="D1756">
        <f>IF(OR(Registro_Compras!$C$198="",Registro_Compras!$O$198=""),"","Cuentas por Pagar Comerciales - Terceros")</f>
        <v/>
      </c>
      <c r="E1756" s="20">
        <f>IF($C1756="","",Registro_Compras!$S$198)</f>
        <v/>
      </c>
      <c r="F1756" s="20">
        <f>""</f>
        <v/>
      </c>
      <c r="G1756">
        <f>IF($C1756="","","Por el deposito de la detraccion en el Banco de la Nacion")</f>
        <v/>
      </c>
      <c r="H1756">
        <f>IF($C1756="","",Registro_Compras!$C$198)</f>
        <v/>
      </c>
    </row>
    <row r="1757">
      <c r="A1757" s="25">
        <f>IF($C1757="","",Registro_Compras!$X$198)</f>
        <v/>
      </c>
      <c r="B1757">
        <f>IF($C1757="","","C"&amp;TEXT(INT((ROW()-5)/9)+1,"000")&amp;"-3")</f>
        <v/>
      </c>
      <c r="C1757">
        <f>IF(OR(Registro_Compras!$C$198="",Registro_Compras!$O$198="",Registro_Compras!$R$198&lt;&gt;"SI",Registro_Compras!$X$198=""),"","10413")</f>
        <v/>
      </c>
      <c r="D1757">
        <f>IF(OR(Registro_Compras!$C$198="",Registro_Compras!$O$198=""),"","Efectivo y Equivalentes - Cta. Cte. Operativa")</f>
        <v/>
      </c>
      <c r="E1757" s="20">
        <f>""</f>
        <v/>
      </c>
      <c r="F1757" s="20">
        <f>IF($C1757="","",Registro_Compras!$S$198)</f>
        <v/>
      </c>
      <c r="G1757">
        <f>IF($C1757="","","Por el deposito de la detraccion en el Banco de la Nacion")</f>
        <v/>
      </c>
      <c r="H1757">
        <f>IF($C1757="","",Registro_Compras!$C$198)</f>
        <v/>
      </c>
    </row>
    <row r="1758">
      <c r="A1758" s="25">
        <f>IF($C1758="","",Registro_Compras!$Y$198)</f>
        <v/>
      </c>
      <c r="B1758">
        <f>IF($C1758="","","C"&amp;TEXT(INT((ROW()-5)/9)+1,"000")&amp;"-4")</f>
        <v/>
      </c>
      <c r="C1758">
        <f>IF(OR(Registro_Compras!$C$198="",Registro_Compras!$O$198="",Registro_Compras!$Y$198="",Registro_Compras!$F$198="NOTA DE CREDITO"),"","4212")</f>
        <v/>
      </c>
      <c r="D1758">
        <f>IF(OR(Registro_Compras!$C$198="",Registro_Compras!$O$198=""),"","Cuentas por Pagar Comerciales - Terceros")</f>
        <v/>
      </c>
      <c r="E1758" s="20">
        <f>IF($C1758="","",IF(Registro_Compras!$F$198="RHE",(ROUND(Registro_Compras!$L$198*Registro_Compras!$N$198,2)-ROUND(Registro_Compras!$V$198*Registro_Compras!$N$198,2)),ROUND(Registro_Compras!$O$198-Registro_Compras!$S$198,2)))</f>
        <v/>
      </c>
      <c r="F1758" s="20">
        <f>""</f>
        <v/>
      </c>
      <c r="G1758">
        <f>IF($C1758="","","Por la cancelacion del saldo al proveedor")</f>
        <v/>
      </c>
      <c r="H1758">
        <f>IF($C1758="","",Registro_Compras!$C$198)</f>
        <v/>
      </c>
    </row>
    <row r="1759">
      <c r="A1759" s="25">
        <f>IF($C1759="","",Registro_Compras!$Y$198)</f>
        <v/>
      </c>
      <c r="B1759">
        <f>IF($C1759="","","C"&amp;TEXT(INT((ROW()-5)/9)+1,"000")&amp;"-4")</f>
        <v/>
      </c>
      <c r="C1759">
        <f>IF(OR(Registro_Compras!$C$198="",Registro_Compras!$O$198="",Registro_Compras!$Y$198="",Registro_Compras!$F$198="NOTA DE CREDITO"),"","10413")</f>
        <v/>
      </c>
      <c r="D1759">
        <f>IF(OR(Registro_Compras!$C$198="",Registro_Compras!$O$198=""),"","Efectivo y Equivalentes - Cta. Cte. Operativa")</f>
        <v/>
      </c>
      <c r="E1759" s="20">
        <f>""</f>
        <v/>
      </c>
      <c r="F1759" s="20">
        <f>IF($C1759="","",IF(Registro_Compras!$F$198="RHE",(ROUND(Registro_Compras!$L$198*Registro_Compras!$N$198,2)-ROUND(Registro_Compras!$V$198*Registro_Compras!$N$198,2)),ROUND(Registro_Compras!$O$198-Registro_Compras!$S$198,2)))</f>
        <v/>
      </c>
      <c r="G1759">
        <f>IF($C1759="","","Por la cancelacion del saldo al proveedor")</f>
        <v/>
      </c>
      <c r="H1759">
        <f>IF($C1759="","",Registro_Compras!$C$198)</f>
        <v/>
      </c>
    </row>
    <row r="1760">
      <c r="A1760" s="25">
        <f>IF($C1760="","",Registro_Compras!$B$199)</f>
        <v/>
      </c>
      <c r="B1760">
        <f>IF($C1760="","","C"&amp;TEXT(INT((ROW()-5)/9)+1,"000")&amp;"-1")</f>
        <v/>
      </c>
      <c r="C1760">
        <f>IF(OR(Registro_Compras!$C$199="",Registro_Compras!$O$199=""),"",IF(Registro_Compras!$F$199="NOTA DE CREDITO","4212",IF(Registro_Compras!$M$199="","63",Registro_Compras!$M$199)))</f>
        <v/>
      </c>
      <c r="D1760">
        <f>IF(OR(Registro_Compras!$C$199="",Registro_Compras!$O$199=""),"",IF(Registro_Compras!$F$199="NOTA DE CREDITO","Cuentas por Pagar Comerciales - Terceros (Emitidas)",IF(Registro_Compras!$F$199="RHE","Honorarios Profesionales - Servicios de Terceros","Gastos de Servicios Prestados por Terceros")))</f>
        <v/>
      </c>
      <c r="E1760" s="20">
        <f>IF($C1760="","",IF(Registro_Compras!$F$199="NOTA DE CREDITO",ABS(Registro_Compras!$O$199),IF(Registro_Compras!$F$199="RHE",ROUND(Registro_Compras!$L$199*Registro_Compras!$N$199,2),ROUND(Registro_Compras!$J$199*Registro_Compras!$N$199,2))))</f>
        <v/>
      </c>
      <c r="F1760" s="20">
        <f>""</f>
        <v/>
      </c>
      <c r="G1760">
        <f>IF($C1760="","",IF(Registro_Compras!$F$199="NOTA DE CREDITO","Por la nota de credito "&amp;Registro_Compras!$C$199&amp;" de "&amp;Registro_Compras!$E$199&amp;" [PATRON POR CONFIRMAR CON CONTADOR]",IF(Registro_Compras!$F$199="RHE","Por el registro del recibo por honorarios "&amp;Registro_Compras!$C$199&amp;" de "&amp;Registro_Compras!$E$199&amp;" [PATRON POR CONFIRMAR CON CONTADOR]","Por el registro de la factura "&amp;Registro_Compras!$C$199&amp;" de "&amp;Registro_Compras!$E$199)))</f>
        <v/>
      </c>
      <c r="H1760">
        <f>IF($C1760="","",Registro_Compras!$C$199)</f>
        <v/>
      </c>
    </row>
    <row r="1761">
      <c r="A1761" s="25">
        <f>IF($C1761="","",Registro_Compras!$B$199)</f>
        <v/>
      </c>
      <c r="B1761">
        <f>IF($C1761="","","C"&amp;TEXT(INT((ROW()-5)/9)+1,"000")&amp;"-1")</f>
        <v/>
      </c>
      <c r="C1761">
        <f>IF(OR(Registro_Compras!$C$199="",Registro_Compras!$O$199=""),"",IF(Registro_Compras!$F$199="RHE",IF(Registro_Compras!$V$199=0,"","40172"),IF(Registro_Compras!$F$199="NOTA DE CREDITO",IF(Registro_Compras!$M$199="","63",Registro_Compras!$M$199),IF(Registro_Compras!$K$199=0,"","40111"))))</f>
        <v/>
      </c>
      <c r="D1761">
        <f>IF(OR(Registro_Compras!$C$199="",Registro_Compras!$O$199=""),"",IF(Registro_Compras!$F$199="RHE","Retencion Renta 4ta Categoria por Pagar",IF(Registro_Compras!$F$199="NOTA DE CREDITO","Gastos de Servicios Prestados por Terceros","IGV - Cuenta Propia (Credito Fiscal)")))</f>
        <v/>
      </c>
      <c r="E1761" s="20">
        <f>IF($C1761="","",IF(Registro_Compras!$F$199="FACTURA",ROUND(Registro_Compras!$K$199*Registro_Compras!$N$199,2),""))</f>
        <v/>
      </c>
      <c r="F1761" s="20">
        <f>IF($C1761="","",IF(Registro_Compras!$F$199="RHE",ROUND(Registro_Compras!$V$199*Registro_Compras!$N$199,2),IF(Registro_Compras!$F$199="NOTA DE CREDITO",ROUND(ABS(Registro_Compras!$J$199*Registro_Compras!$N$199),2),"")))</f>
        <v/>
      </c>
      <c r="G1761">
        <f>IF($C1761="","",IF(Registro_Compras!$F$199="NOTA DE CREDITO","Por la nota de credito "&amp;Registro_Compras!$C$199&amp;" de "&amp;Registro_Compras!$E$199&amp;" [PATRON POR CONFIRMAR CON CONTADOR]",IF(Registro_Compras!$F$199="RHE","Por el registro del recibo por honorarios "&amp;Registro_Compras!$C$199&amp;" de "&amp;Registro_Compras!$E$199&amp;" [PATRON POR CONFIRMAR CON CONTADOR]","Por el registro de la factura "&amp;Registro_Compras!$C$199&amp;" de "&amp;Registro_Compras!$E$199)))</f>
        <v/>
      </c>
      <c r="H1761">
        <f>IF($C1761="","",Registro_Compras!$C$199)</f>
        <v/>
      </c>
    </row>
    <row r="1762">
      <c r="A1762" s="25">
        <f>IF($C1762="","",Registro_Compras!$B$199)</f>
        <v/>
      </c>
      <c r="B1762">
        <f>IF($C1762="","","C"&amp;TEXT(INT((ROW()-5)/9)+1,"000")&amp;"-1")</f>
        <v/>
      </c>
      <c r="C1762">
        <f>IF(OR(Registro_Compras!$C$199="",Registro_Compras!$O$199=""),"",IF(Registro_Compras!$F$199="NOTA DE CREDITO",IF(Registro_Compras!$K$199=0,"","40111"),"4212"))</f>
        <v/>
      </c>
      <c r="D1762">
        <f>IF(OR(Registro_Compras!$C$199="",Registro_Compras!$O$199=""),"",IF(Registro_Compras!$F$199="NOTA DE CREDITO","IGV - Cuenta Propia (Credito Fiscal)","Cuentas por Pagar Comerciales - Terceros (Emitidas)"))</f>
        <v/>
      </c>
      <c r="E1762" s="20">
        <f>""</f>
        <v/>
      </c>
      <c r="F1762" s="20">
        <f>IF($C1762="","",IF(Registro_Compras!$F$199="NOTA DE CREDITO",ROUND(ABS(Registro_Compras!$K$199*Registro_Compras!$N$199),2),IF(Registro_Compras!$F$199="RHE",(ROUND(Registro_Compras!$L$199*Registro_Compras!$N$199,2)-ROUND(Registro_Compras!$V$199*Registro_Compras!$N$199,2)),Registro_Compras!$O$199)))</f>
        <v/>
      </c>
      <c r="G1762">
        <f>IF($C1762="","",IF(Registro_Compras!$F$199="NOTA DE CREDITO","Por la nota de credito "&amp;Registro_Compras!$C$199&amp;" de "&amp;Registro_Compras!$E$199&amp;" [PATRON POR CONFIRMAR CON CONTADOR]",IF(Registro_Compras!$F$199="RHE","Por el registro del recibo por honorarios "&amp;Registro_Compras!$C$199&amp;" de "&amp;Registro_Compras!$E$199&amp;" [PATRON POR CONFIRMAR CON CONTADOR]","Por el registro de la factura "&amp;Registro_Compras!$C$199&amp;" de "&amp;Registro_Compras!$E$199)))</f>
        <v/>
      </c>
      <c r="H1762">
        <f>IF($C1762="","",Registro_Compras!$C$199)</f>
        <v/>
      </c>
    </row>
    <row r="1763">
      <c r="A1763" s="25">
        <f>IF($C1763="","",Registro_Compras!$B$199)</f>
        <v/>
      </c>
      <c r="B1763">
        <f>IF($C1763="","","C"&amp;TEXT(INT((ROW()-5)/9)+1,"000")&amp;"-2")</f>
        <v/>
      </c>
      <c r="C1763">
        <f>IF(OR(Registro_Compras!$C$199="",Registro_Compras!$O$199=""),"",IF(Registro_Compras!$AB$199="ADMINISTRATIVO","94","95"))</f>
        <v/>
      </c>
      <c r="D1763">
        <f>IF(OR(Registro_Compras!$C$199="",Registro_Compras!$O$199=""),"",IF(Registro_Compras!$AB$199="ADMINISTRATIVO","Gastos Administrativos","Gastos de Venta y Operacion"))</f>
        <v/>
      </c>
      <c r="E1763" s="20">
        <f>IF($C1763="","",IF(Registro_Compras!$F$199="NOTA DE CREDITO","",IF(Registro_Compras!$F$199="RHE",ROUND(Registro_Compras!$L$199*Registro_Compras!$N$199,2),ROUND(Registro_Compras!$J$199*Registro_Compras!$N$199,2))))</f>
        <v/>
      </c>
      <c r="F1763" s="20">
        <f>IF($C1763="","",IF(Registro_Compras!$F$199="NOTA DE CREDITO",ROUND(ABS(Registro_Compras!$J$199*Registro_Compras!$N$199),2),""))</f>
        <v/>
      </c>
      <c r="G1763">
        <f>IF($C1763="","","Por el destino del gasto")</f>
        <v/>
      </c>
      <c r="H1763">
        <f>IF($C1763="","",Registro_Compras!$C$199)</f>
        <v/>
      </c>
    </row>
    <row r="1764">
      <c r="A1764" s="25">
        <f>IF($C1764="","",Registro_Compras!$B$199)</f>
        <v/>
      </c>
      <c r="B1764">
        <f>IF($C1764="","","C"&amp;TEXT(INT((ROW()-5)/9)+1,"000")&amp;"-2")</f>
        <v/>
      </c>
      <c r="C1764">
        <f>IF(OR(Registro_Compras!$C$199="",Registro_Compras!$O$199=""),"","79/791")</f>
        <v/>
      </c>
      <c r="D1764">
        <f>IF(OR(Registro_Compras!$C$199="",Registro_Compras!$O$199=""),"","Cargas Imputables a Cuentas de Costos y Gastos")</f>
        <v/>
      </c>
      <c r="E1764" s="20">
        <f>IF($C1764="","",IF(Registro_Compras!$F$199="NOTA DE CREDITO",ROUND(ABS(Registro_Compras!$J$199*Registro_Compras!$N$199),2),""))</f>
        <v/>
      </c>
      <c r="F1764" s="20">
        <f>IF($C1764="","",IF(Registro_Compras!$F$199="NOTA DE CREDITO","",IF(Registro_Compras!$F$199="RHE",ROUND(Registro_Compras!$L$199*Registro_Compras!$N$199,2),ROUND(Registro_Compras!$J$199*Registro_Compras!$N$199,2))))</f>
        <v/>
      </c>
      <c r="G1764">
        <f>IF($C1764="","","Por el destino del gasto")</f>
        <v/>
      </c>
      <c r="H1764">
        <f>IF($C1764="","",Registro_Compras!$C$199)</f>
        <v/>
      </c>
    </row>
    <row r="1765">
      <c r="A1765" s="25">
        <f>IF($C1765="","",Registro_Compras!$X$199)</f>
        <v/>
      </c>
      <c r="B1765">
        <f>IF($C1765="","","C"&amp;TEXT(INT((ROW()-5)/9)+1,"000")&amp;"-3")</f>
        <v/>
      </c>
      <c r="C1765">
        <f>IF(OR(Registro_Compras!$C$199="",Registro_Compras!$O$199="",Registro_Compras!$R$199&lt;&gt;"SI",Registro_Compras!$X$199=""),"","4212")</f>
        <v/>
      </c>
      <c r="D1765">
        <f>IF(OR(Registro_Compras!$C$199="",Registro_Compras!$O$199=""),"","Cuentas por Pagar Comerciales - Terceros")</f>
        <v/>
      </c>
      <c r="E1765" s="20">
        <f>IF($C1765="","",Registro_Compras!$S$199)</f>
        <v/>
      </c>
      <c r="F1765" s="20">
        <f>""</f>
        <v/>
      </c>
      <c r="G1765">
        <f>IF($C1765="","","Por el deposito de la detraccion en el Banco de la Nacion")</f>
        <v/>
      </c>
      <c r="H1765">
        <f>IF($C1765="","",Registro_Compras!$C$199)</f>
        <v/>
      </c>
    </row>
    <row r="1766">
      <c r="A1766" s="25">
        <f>IF($C1766="","",Registro_Compras!$X$199)</f>
        <v/>
      </c>
      <c r="B1766">
        <f>IF($C1766="","","C"&amp;TEXT(INT((ROW()-5)/9)+1,"000")&amp;"-3")</f>
        <v/>
      </c>
      <c r="C1766">
        <f>IF(OR(Registro_Compras!$C$199="",Registro_Compras!$O$199="",Registro_Compras!$R$199&lt;&gt;"SI",Registro_Compras!$X$199=""),"","10413")</f>
        <v/>
      </c>
      <c r="D1766">
        <f>IF(OR(Registro_Compras!$C$199="",Registro_Compras!$O$199=""),"","Efectivo y Equivalentes - Cta. Cte. Operativa")</f>
        <v/>
      </c>
      <c r="E1766" s="20">
        <f>""</f>
        <v/>
      </c>
      <c r="F1766" s="20">
        <f>IF($C1766="","",Registro_Compras!$S$199)</f>
        <v/>
      </c>
      <c r="G1766">
        <f>IF($C1766="","","Por el deposito de la detraccion en el Banco de la Nacion")</f>
        <v/>
      </c>
      <c r="H1766">
        <f>IF($C1766="","",Registro_Compras!$C$199)</f>
        <v/>
      </c>
    </row>
    <row r="1767">
      <c r="A1767" s="25">
        <f>IF($C1767="","",Registro_Compras!$Y$199)</f>
        <v/>
      </c>
      <c r="B1767">
        <f>IF($C1767="","","C"&amp;TEXT(INT((ROW()-5)/9)+1,"000")&amp;"-4")</f>
        <v/>
      </c>
      <c r="C1767">
        <f>IF(OR(Registro_Compras!$C$199="",Registro_Compras!$O$199="",Registro_Compras!$Y$199="",Registro_Compras!$F$199="NOTA DE CREDITO"),"","4212")</f>
        <v/>
      </c>
      <c r="D1767">
        <f>IF(OR(Registro_Compras!$C$199="",Registro_Compras!$O$199=""),"","Cuentas por Pagar Comerciales - Terceros")</f>
        <v/>
      </c>
      <c r="E1767" s="20">
        <f>IF($C1767="","",IF(Registro_Compras!$F$199="RHE",(ROUND(Registro_Compras!$L$199*Registro_Compras!$N$199,2)-ROUND(Registro_Compras!$V$199*Registro_Compras!$N$199,2)),ROUND(Registro_Compras!$O$199-Registro_Compras!$S$199,2)))</f>
        <v/>
      </c>
      <c r="F1767" s="20">
        <f>""</f>
        <v/>
      </c>
      <c r="G1767">
        <f>IF($C1767="","","Por la cancelacion del saldo al proveedor")</f>
        <v/>
      </c>
      <c r="H1767">
        <f>IF($C1767="","",Registro_Compras!$C$199)</f>
        <v/>
      </c>
    </row>
    <row r="1768">
      <c r="A1768" s="25">
        <f>IF($C1768="","",Registro_Compras!$Y$199)</f>
        <v/>
      </c>
      <c r="B1768">
        <f>IF($C1768="","","C"&amp;TEXT(INT((ROW()-5)/9)+1,"000")&amp;"-4")</f>
        <v/>
      </c>
      <c r="C1768">
        <f>IF(OR(Registro_Compras!$C$199="",Registro_Compras!$O$199="",Registro_Compras!$Y$199="",Registro_Compras!$F$199="NOTA DE CREDITO"),"","10413")</f>
        <v/>
      </c>
      <c r="D1768">
        <f>IF(OR(Registro_Compras!$C$199="",Registro_Compras!$O$199=""),"","Efectivo y Equivalentes - Cta. Cte. Operativa")</f>
        <v/>
      </c>
      <c r="E1768" s="20">
        <f>""</f>
        <v/>
      </c>
      <c r="F1768" s="20">
        <f>IF($C1768="","",IF(Registro_Compras!$F$199="RHE",(ROUND(Registro_Compras!$L$199*Registro_Compras!$N$199,2)-ROUND(Registro_Compras!$V$199*Registro_Compras!$N$199,2)),ROUND(Registro_Compras!$O$199-Registro_Compras!$S$199,2)))</f>
        <v/>
      </c>
      <c r="G1768">
        <f>IF($C1768="","","Por la cancelacion del saldo al proveedor")</f>
        <v/>
      </c>
      <c r="H1768">
        <f>IF($C1768="","",Registro_Compras!$C$199)</f>
        <v/>
      </c>
    </row>
    <row r="1769">
      <c r="A1769" s="25">
        <f>IF($C1769="","",Registro_Compras!$B$200)</f>
        <v/>
      </c>
      <c r="B1769">
        <f>IF($C1769="","","C"&amp;TEXT(INT((ROW()-5)/9)+1,"000")&amp;"-1")</f>
        <v/>
      </c>
      <c r="C1769">
        <f>IF(OR(Registro_Compras!$C$200="",Registro_Compras!$O$200=""),"",IF(Registro_Compras!$F$200="NOTA DE CREDITO","4212",IF(Registro_Compras!$M$200="","63",Registro_Compras!$M$200)))</f>
        <v/>
      </c>
      <c r="D1769">
        <f>IF(OR(Registro_Compras!$C$200="",Registro_Compras!$O$200=""),"",IF(Registro_Compras!$F$200="NOTA DE CREDITO","Cuentas por Pagar Comerciales - Terceros (Emitidas)",IF(Registro_Compras!$F$200="RHE","Honorarios Profesionales - Servicios de Terceros","Gastos de Servicios Prestados por Terceros")))</f>
        <v/>
      </c>
      <c r="E1769" s="20">
        <f>IF($C1769="","",IF(Registro_Compras!$F$200="NOTA DE CREDITO",ABS(Registro_Compras!$O$200),IF(Registro_Compras!$F$200="RHE",ROUND(Registro_Compras!$L$200*Registro_Compras!$N$200,2),ROUND(Registro_Compras!$J$200*Registro_Compras!$N$200,2))))</f>
        <v/>
      </c>
      <c r="F1769" s="20">
        <f>""</f>
        <v/>
      </c>
      <c r="G1769">
        <f>IF($C1769="","",IF(Registro_Compras!$F$200="NOTA DE CREDITO","Por la nota de credito "&amp;Registro_Compras!$C$200&amp;" de "&amp;Registro_Compras!$E$200&amp;" [PATRON POR CONFIRMAR CON CONTADOR]",IF(Registro_Compras!$F$200="RHE","Por el registro del recibo por honorarios "&amp;Registro_Compras!$C$200&amp;" de "&amp;Registro_Compras!$E$200&amp;" [PATRON POR CONFIRMAR CON CONTADOR]","Por el registro de la factura "&amp;Registro_Compras!$C$200&amp;" de "&amp;Registro_Compras!$E$200)))</f>
        <v/>
      </c>
      <c r="H1769">
        <f>IF($C1769="","",Registro_Compras!$C$200)</f>
        <v/>
      </c>
    </row>
    <row r="1770">
      <c r="A1770" s="25">
        <f>IF($C1770="","",Registro_Compras!$B$200)</f>
        <v/>
      </c>
      <c r="B1770">
        <f>IF($C1770="","","C"&amp;TEXT(INT((ROW()-5)/9)+1,"000")&amp;"-1")</f>
        <v/>
      </c>
      <c r="C1770">
        <f>IF(OR(Registro_Compras!$C$200="",Registro_Compras!$O$200=""),"",IF(Registro_Compras!$F$200="RHE",IF(Registro_Compras!$V$200=0,"","40172"),IF(Registro_Compras!$F$200="NOTA DE CREDITO",IF(Registro_Compras!$M$200="","63",Registro_Compras!$M$200),IF(Registro_Compras!$K$200=0,"","40111"))))</f>
        <v/>
      </c>
      <c r="D1770">
        <f>IF(OR(Registro_Compras!$C$200="",Registro_Compras!$O$200=""),"",IF(Registro_Compras!$F$200="RHE","Retencion Renta 4ta Categoria por Pagar",IF(Registro_Compras!$F$200="NOTA DE CREDITO","Gastos de Servicios Prestados por Terceros","IGV - Cuenta Propia (Credito Fiscal)")))</f>
        <v/>
      </c>
      <c r="E1770" s="20">
        <f>IF($C1770="","",IF(Registro_Compras!$F$200="FACTURA",ROUND(Registro_Compras!$K$200*Registro_Compras!$N$200,2),""))</f>
        <v/>
      </c>
      <c r="F1770" s="20">
        <f>IF($C1770="","",IF(Registro_Compras!$F$200="RHE",ROUND(Registro_Compras!$V$200*Registro_Compras!$N$200,2),IF(Registro_Compras!$F$200="NOTA DE CREDITO",ROUND(ABS(Registro_Compras!$J$200*Registro_Compras!$N$200),2),"")))</f>
        <v/>
      </c>
      <c r="G1770">
        <f>IF($C1770="","",IF(Registro_Compras!$F$200="NOTA DE CREDITO","Por la nota de credito "&amp;Registro_Compras!$C$200&amp;" de "&amp;Registro_Compras!$E$200&amp;" [PATRON POR CONFIRMAR CON CONTADOR]",IF(Registro_Compras!$F$200="RHE","Por el registro del recibo por honorarios "&amp;Registro_Compras!$C$200&amp;" de "&amp;Registro_Compras!$E$200&amp;" [PATRON POR CONFIRMAR CON CONTADOR]","Por el registro de la factura "&amp;Registro_Compras!$C$200&amp;" de "&amp;Registro_Compras!$E$200)))</f>
        <v/>
      </c>
      <c r="H1770">
        <f>IF($C1770="","",Registro_Compras!$C$200)</f>
        <v/>
      </c>
    </row>
    <row r="1771">
      <c r="A1771" s="25">
        <f>IF($C1771="","",Registro_Compras!$B$200)</f>
        <v/>
      </c>
      <c r="B1771">
        <f>IF($C1771="","","C"&amp;TEXT(INT((ROW()-5)/9)+1,"000")&amp;"-1")</f>
        <v/>
      </c>
      <c r="C1771">
        <f>IF(OR(Registro_Compras!$C$200="",Registro_Compras!$O$200=""),"",IF(Registro_Compras!$F$200="NOTA DE CREDITO",IF(Registro_Compras!$K$200=0,"","40111"),"4212"))</f>
        <v/>
      </c>
      <c r="D1771">
        <f>IF(OR(Registro_Compras!$C$200="",Registro_Compras!$O$200=""),"",IF(Registro_Compras!$F$200="NOTA DE CREDITO","IGV - Cuenta Propia (Credito Fiscal)","Cuentas por Pagar Comerciales - Terceros (Emitidas)"))</f>
        <v/>
      </c>
      <c r="E1771" s="20">
        <f>""</f>
        <v/>
      </c>
      <c r="F1771" s="20">
        <f>IF($C1771="","",IF(Registro_Compras!$F$200="NOTA DE CREDITO",ROUND(ABS(Registro_Compras!$K$200*Registro_Compras!$N$200),2),IF(Registro_Compras!$F$200="RHE",(ROUND(Registro_Compras!$L$200*Registro_Compras!$N$200,2)-ROUND(Registro_Compras!$V$200*Registro_Compras!$N$200,2)),Registro_Compras!$O$200)))</f>
        <v/>
      </c>
      <c r="G1771">
        <f>IF($C1771="","",IF(Registro_Compras!$F$200="NOTA DE CREDITO","Por la nota de credito "&amp;Registro_Compras!$C$200&amp;" de "&amp;Registro_Compras!$E$200&amp;" [PATRON POR CONFIRMAR CON CONTADOR]",IF(Registro_Compras!$F$200="RHE","Por el registro del recibo por honorarios "&amp;Registro_Compras!$C$200&amp;" de "&amp;Registro_Compras!$E$200&amp;" [PATRON POR CONFIRMAR CON CONTADOR]","Por el registro de la factura "&amp;Registro_Compras!$C$200&amp;" de "&amp;Registro_Compras!$E$200)))</f>
        <v/>
      </c>
      <c r="H1771">
        <f>IF($C1771="","",Registro_Compras!$C$200)</f>
        <v/>
      </c>
    </row>
    <row r="1772">
      <c r="A1772" s="25">
        <f>IF($C1772="","",Registro_Compras!$B$200)</f>
        <v/>
      </c>
      <c r="B1772">
        <f>IF($C1772="","","C"&amp;TEXT(INT((ROW()-5)/9)+1,"000")&amp;"-2")</f>
        <v/>
      </c>
      <c r="C1772">
        <f>IF(OR(Registro_Compras!$C$200="",Registro_Compras!$O$200=""),"",IF(Registro_Compras!$AB$200="ADMINISTRATIVO","94","95"))</f>
        <v/>
      </c>
      <c r="D1772">
        <f>IF(OR(Registro_Compras!$C$200="",Registro_Compras!$O$200=""),"",IF(Registro_Compras!$AB$200="ADMINISTRATIVO","Gastos Administrativos","Gastos de Venta y Operacion"))</f>
        <v/>
      </c>
      <c r="E1772" s="20">
        <f>IF($C1772="","",IF(Registro_Compras!$F$200="NOTA DE CREDITO","",IF(Registro_Compras!$F$200="RHE",ROUND(Registro_Compras!$L$200*Registro_Compras!$N$200,2),ROUND(Registro_Compras!$J$200*Registro_Compras!$N$200,2))))</f>
        <v/>
      </c>
      <c r="F1772" s="20">
        <f>IF($C1772="","",IF(Registro_Compras!$F$200="NOTA DE CREDITO",ROUND(ABS(Registro_Compras!$J$200*Registro_Compras!$N$200),2),""))</f>
        <v/>
      </c>
      <c r="G1772">
        <f>IF($C1772="","","Por el destino del gasto")</f>
        <v/>
      </c>
      <c r="H1772">
        <f>IF($C1772="","",Registro_Compras!$C$200)</f>
        <v/>
      </c>
    </row>
    <row r="1773">
      <c r="A1773" s="25">
        <f>IF($C1773="","",Registro_Compras!$B$200)</f>
        <v/>
      </c>
      <c r="B1773">
        <f>IF($C1773="","","C"&amp;TEXT(INT((ROW()-5)/9)+1,"000")&amp;"-2")</f>
        <v/>
      </c>
      <c r="C1773">
        <f>IF(OR(Registro_Compras!$C$200="",Registro_Compras!$O$200=""),"","79/791")</f>
        <v/>
      </c>
      <c r="D1773">
        <f>IF(OR(Registro_Compras!$C$200="",Registro_Compras!$O$200=""),"","Cargas Imputables a Cuentas de Costos y Gastos")</f>
        <v/>
      </c>
      <c r="E1773" s="20">
        <f>IF($C1773="","",IF(Registro_Compras!$F$200="NOTA DE CREDITO",ROUND(ABS(Registro_Compras!$J$200*Registro_Compras!$N$200),2),""))</f>
        <v/>
      </c>
      <c r="F1773" s="20">
        <f>IF($C1773="","",IF(Registro_Compras!$F$200="NOTA DE CREDITO","",IF(Registro_Compras!$F$200="RHE",ROUND(Registro_Compras!$L$200*Registro_Compras!$N$200,2),ROUND(Registro_Compras!$J$200*Registro_Compras!$N$200,2))))</f>
        <v/>
      </c>
      <c r="G1773">
        <f>IF($C1773="","","Por el destino del gasto")</f>
        <v/>
      </c>
      <c r="H1773">
        <f>IF($C1773="","",Registro_Compras!$C$200)</f>
        <v/>
      </c>
    </row>
    <row r="1774">
      <c r="A1774" s="25">
        <f>IF($C1774="","",Registro_Compras!$X$200)</f>
        <v/>
      </c>
      <c r="B1774">
        <f>IF($C1774="","","C"&amp;TEXT(INT((ROW()-5)/9)+1,"000")&amp;"-3")</f>
        <v/>
      </c>
      <c r="C1774">
        <f>IF(OR(Registro_Compras!$C$200="",Registro_Compras!$O$200="",Registro_Compras!$R$200&lt;&gt;"SI",Registro_Compras!$X$200=""),"","4212")</f>
        <v/>
      </c>
      <c r="D1774">
        <f>IF(OR(Registro_Compras!$C$200="",Registro_Compras!$O$200=""),"","Cuentas por Pagar Comerciales - Terceros")</f>
        <v/>
      </c>
      <c r="E1774" s="20">
        <f>IF($C1774="","",Registro_Compras!$S$200)</f>
        <v/>
      </c>
      <c r="F1774" s="20">
        <f>""</f>
        <v/>
      </c>
      <c r="G1774">
        <f>IF($C1774="","","Por el deposito de la detraccion en el Banco de la Nacion")</f>
        <v/>
      </c>
      <c r="H1774">
        <f>IF($C1774="","",Registro_Compras!$C$200)</f>
        <v/>
      </c>
    </row>
    <row r="1775">
      <c r="A1775" s="25">
        <f>IF($C1775="","",Registro_Compras!$X$200)</f>
        <v/>
      </c>
      <c r="B1775">
        <f>IF($C1775="","","C"&amp;TEXT(INT((ROW()-5)/9)+1,"000")&amp;"-3")</f>
        <v/>
      </c>
      <c r="C1775">
        <f>IF(OR(Registro_Compras!$C$200="",Registro_Compras!$O$200="",Registro_Compras!$R$200&lt;&gt;"SI",Registro_Compras!$X$200=""),"","10413")</f>
        <v/>
      </c>
      <c r="D1775">
        <f>IF(OR(Registro_Compras!$C$200="",Registro_Compras!$O$200=""),"","Efectivo y Equivalentes - Cta. Cte. Operativa")</f>
        <v/>
      </c>
      <c r="E1775" s="20">
        <f>""</f>
        <v/>
      </c>
      <c r="F1775" s="20">
        <f>IF($C1775="","",Registro_Compras!$S$200)</f>
        <v/>
      </c>
      <c r="G1775">
        <f>IF($C1775="","","Por el deposito de la detraccion en el Banco de la Nacion")</f>
        <v/>
      </c>
      <c r="H1775">
        <f>IF($C1775="","",Registro_Compras!$C$200)</f>
        <v/>
      </c>
    </row>
    <row r="1776">
      <c r="A1776" s="25">
        <f>IF($C1776="","",Registro_Compras!$Y$200)</f>
        <v/>
      </c>
      <c r="B1776">
        <f>IF($C1776="","","C"&amp;TEXT(INT((ROW()-5)/9)+1,"000")&amp;"-4")</f>
        <v/>
      </c>
      <c r="C1776">
        <f>IF(OR(Registro_Compras!$C$200="",Registro_Compras!$O$200="",Registro_Compras!$Y$200="",Registro_Compras!$F$200="NOTA DE CREDITO"),"","4212")</f>
        <v/>
      </c>
      <c r="D1776">
        <f>IF(OR(Registro_Compras!$C$200="",Registro_Compras!$O$200=""),"","Cuentas por Pagar Comerciales - Terceros")</f>
        <v/>
      </c>
      <c r="E1776" s="20">
        <f>IF($C1776="","",IF(Registro_Compras!$F$200="RHE",(ROUND(Registro_Compras!$L$200*Registro_Compras!$N$200,2)-ROUND(Registro_Compras!$V$200*Registro_Compras!$N$200,2)),ROUND(Registro_Compras!$O$200-Registro_Compras!$S$200,2)))</f>
        <v/>
      </c>
      <c r="F1776" s="20">
        <f>""</f>
        <v/>
      </c>
      <c r="G1776">
        <f>IF($C1776="","","Por la cancelacion del saldo al proveedor")</f>
        <v/>
      </c>
      <c r="H1776">
        <f>IF($C1776="","",Registro_Compras!$C$200)</f>
        <v/>
      </c>
    </row>
    <row r="1777">
      <c r="A1777" s="25">
        <f>IF($C1777="","",Registro_Compras!$Y$200)</f>
        <v/>
      </c>
      <c r="B1777">
        <f>IF($C1777="","","C"&amp;TEXT(INT((ROW()-5)/9)+1,"000")&amp;"-4")</f>
        <v/>
      </c>
      <c r="C1777">
        <f>IF(OR(Registro_Compras!$C$200="",Registro_Compras!$O$200="",Registro_Compras!$Y$200="",Registro_Compras!$F$200="NOTA DE CREDITO"),"","10413")</f>
        <v/>
      </c>
      <c r="D1777">
        <f>IF(OR(Registro_Compras!$C$200="",Registro_Compras!$O$200=""),"","Efectivo y Equivalentes - Cta. Cte. Operativa")</f>
        <v/>
      </c>
      <c r="E1777" s="20">
        <f>""</f>
        <v/>
      </c>
      <c r="F1777" s="20">
        <f>IF($C1777="","",IF(Registro_Compras!$F$200="RHE",(ROUND(Registro_Compras!$L$200*Registro_Compras!$N$200,2)-ROUND(Registro_Compras!$V$200*Registro_Compras!$N$200,2)),ROUND(Registro_Compras!$O$200-Registro_Compras!$S$200,2)))</f>
        <v/>
      </c>
      <c r="G1777">
        <f>IF($C1777="","","Por la cancelacion del saldo al proveedor")</f>
        <v/>
      </c>
      <c r="H1777">
        <f>IF($C1777="","",Registro_Compras!$C$200)</f>
        <v/>
      </c>
    </row>
    <row r="1778">
      <c r="A1778" s="25">
        <f>IF($C1778="","",Registro_Compras!$B$201)</f>
        <v/>
      </c>
      <c r="B1778">
        <f>IF($C1778="","","C"&amp;TEXT(INT((ROW()-5)/9)+1,"000")&amp;"-1")</f>
        <v/>
      </c>
      <c r="C1778">
        <f>IF(OR(Registro_Compras!$C$201="",Registro_Compras!$O$201=""),"",IF(Registro_Compras!$F$201="NOTA DE CREDITO","4212",IF(Registro_Compras!$M$201="","63",Registro_Compras!$M$201)))</f>
        <v/>
      </c>
      <c r="D1778">
        <f>IF(OR(Registro_Compras!$C$201="",Registro_Compras!$O$201=""),"",IF(Registro_Compras!$F$201="NOTA DE CREDITO","Cuentas por Pagar Comerciales - Terceros (Emitidas)",IF(Registro_Compras!$F$201="RHE","Honorarios Profesionales - Servicios de Terceros","Gastos de Servicios Prestados por Terceros")))</f>
        <v/>
      </c>
      <c r="E1778" s="20">
        <f>IF($C1778="","",IF(Registro_Compras!$F$201="NOTA DE CREDITO",ABS(Registro_Compras!$O$201),IF(Registro_Compras!$F$201="RHE",ROUND(Registro_Compras!$L$201*Registro_Compras!$N$201,2),ROUND(Registro_Compras!$J$201*Registro_Compras!$N$201,2))))</f>
        <v/>
      </c>
      <c r="F1778" s="20">
        <f>""</f>
        <v/>
      </c>
      <c r="G1778">
        <f>IF($C1778="","",IF(Registro_Compras!$F$201="NOTA DE CREDITO","Por la nota de credito "&amp;Registro_Compras!$C$201&amp;" de "&amp;Registro_Compras!$E$201&amp;" [PATRON POR CONFIRMAR CON CONTADOR]",IF(Registro_Compras!$F$201="RHE","Por el registro del recibo por honorarios "&amp;Registro_Compras!$C$201&amp;" de "&amp;Registro_Compras!$E$201&amp;" [PATRON POR CONFIRMAR CON CONTADOR]","Por el registro de la factura "&amp;Registro_Compras!$C$201&amp;" de "&amp;Registro_Compras!$E$201)))</f>
        <v/>
      </c>
      <c r="H1778">
        <f>IF($C1778="","",Registro_Compras!$C$201)</f>
        <v/>
      </c>
    </row>
    <row r="1779">
      <c r="A1779" s="25">
        <f>IF($C1779="","",Registro_Compras!$B$201)</f>
        <v/>
      </c>
      <c r="B1779">
        <f>IF($C1779="","","C"&amp;TEXT(INT((ROW()-5)/9)+1,"000")&amp;"-1")</f>
        <v/>
      </c>
      <c r="C1779">
        <f>IF(OR(Registro_Compras!$C$201="",Registro_Compras!$O$201=""),"",IF(Registro_Compras!$F$201="RHE",IF(Registro_Compras!$V$201=0,"","40172"),IF(Registro_Compras!$F$201="NOTA DE CREDITO",IF(Registro_Compras!$M$201="","63",Registro_Compras!$M$201),IF(Registro_Compras!$K$201=0,"","40111"))))</f>
        <v/>
      </c>
      <c r="D1779">
        <f>IF(OR(Registro_Compras!$C$201="",Registro_Compras!$O$201=""),"",IF(Registro_Compras!$F$201="RHE","Retencion Renta 4ta Categoria por Pagar",IF(Registro_Compras!$F$201="NOTA DE CREDITO","Gastos de Servicios Prestados por Terceros","IGV - Cuenta Propia (Credito Fiscal)")))</f>
        <v/>
      </c>
      <c r="E1779" s="20">
        <f>IF($C1779="","",IF(Registro_Compras!$F$201="FACTURA",ROUND(Registro_Compras!$K$201*Registro_Compras!$N$201,2),""))</f>
        <v/>
      </c>
      <c r="F1779" s="20">
        <f>IF($C1779="","",IF(Registro_Compras!$F$201="RHE",ROUND(Registro_Compras!$V$201*Registro_Compras!$N$201,2),IF(Registro_Compras!$F$201="NOTA DE CREDITO",ROUND(ABS(Registro_Compras!$J$201*Registro_Compras!$N$201),2),"")))</f>
        <v/>
      </c>
      <c r="G1779">
        <f>IF($C1779="","",IF(Registro_Compras!$F$201="NOTA DE CREDITO","Por la nota de credito "&amp;Registro_Compras!$C$201&amp;" de "&amp;Registro_Compras!$E$201&amp;" [PATRON POR CONFIRMAR CON CONTADOR]",IF(Registro_Compras!$F$201="RHE","Por el registro del recibo por honorarios "&amp;Registro_Compras!$C$201&amp;" de "&amp;Registro_Compras!$E$201&amp;" [PATRON POR CONFIRMAR CON CONTADOR]","Por el registro de la factura "&amp;Registro_Compras!$C$201&amp;" de "&amp;Registro_Compras!$E$201)))</f>
        <v/>
      </c>
      <c r="H1779">
        <f>IF($C1779="","",Registro_Compras!$C$201)</f>
        <v/>
      </c>
    </row>
    <row r="1780">
      <c r="A1780" s="25">
        <f>IF($C1780="","",Registro_Compras!$B$201)</f>
        <v/>
      </c>
      <c r="B1780">
        <f>IF($C1780="","","C"&amp;TEXT(INT((ROW()-5)/9)+1,"000")&amp;"-1")</f>
        <v/>
      </c>
      <c r="C1780">
        <f>IF(OR(Registro_Compras!$C$201="",Registro_Compras!$O$201=""),"",IF(Registro_Compras!$F$201="NOTA DE CREDITO",IF(Registro_Compras!$K$201=0,"","40111"),"4212"))</f>
        <v/>
      </c>
      <c r="D1780">
        <f>IF(OR(Registro_Compras!$C$201="",Registro_Compras!$O$201=""),"",IF(Registro_Compras!$F$201="NOTA DE CREDITO","IGV - Cuenta Propia (Credito Fiscal)","Cuentas por Pagar Comerciales - Terceros (Emitidas)"))</f>
        <v/>
      </c>
      <c r="E1780" s="20">
        <f>""</f>
        <v/>
      </c>
      <c r="F1780" s="20">
        <f>IF($C1780="","",IF(Registro_Compras!$F$201="NOTA DE CREDITO",ROUND(ABS(Registro_Compras!$K$201*Registro_Compras!$N$201),2),IF(Registro_Compras!$F$201="RHE",(ROUND(Registro_Compras!$L$201*Registro_Compras!$N$201,2)-ROUND(Registro_Compras!$V$201*Registro_Compras!$N$201,2)),Registro_Compras!$O$201)))</f>
        <v/>
      </c>
      <c r="G1780">
        <f>IF($C1780="","",IF(Registro_Compras!$F$201="NOTA DE CREDITO","Por la nota de credito "&amp;Registro_Compras!$C$201&amp;" de "&amp;Registro_Compras!$E$201&amp;" [PATRON POR CONFIRMAR CON CONTADOR]",IF(Registro_Compras!$F$201="RHE","Por el registro del recibo por honorarios "&amp;Registro_Compras!$C$201&amp;" de "&amp;Registro_Compras!$E$201&amp;" [PATRON POR CONFIRMAR CON CONTADOR]","Por el registro de la factura "&amp;Registro_Compras!$C$201&amp;" de "&amp;Registro_Compras!$E$201)))</f>
        <v/>
      </c>
      <c r="H1780">
        <f>IF($C1780="","",Registro_Compras!$C$201)</f>
        <v/>
      </c>
    </row>
    <row r="1781">
      <c r="A1781" s="25">
        <f>IF($C1781="","",Registro_Compras!$B$201)</f>
        <v/>
      </c>
      <c r="B1781">
        <f>IF($C1781="","","C"&amp;TEXT(INT((ROW()-5)/9)+1,"000")&amp;"-2")</f>
        <v/>
      </c>
      <c r="C1781">
        <f>IF(OR(Registro_Compras!$C$201="",Registro_Compras!$O$201=""),"",IF(Registro_Compras!$AB$201="ADMINISTRATIVO","94","95"))</f>
        <v/>
      </c>
      <c r="D1781">
        <f>IF(OR(Registro_Compras!$C$201="",Registro_Compras!$O$201=""),"",IF(Registro_Compras!$AB$201="ADMINISTRATIVO","Gastos Administrativos","Gastos de Venta y Operacion"))</f>
        <v/>
      </c>
      <c r="E1781" s="20">
        <f>IF($C1781="","",IF(Registro_Compras!$F$201="NOTA DE CREDITO","",IF(Registro_Compras!$F$201="RHE",ROUND(Registro_Compras!$L$201*Registro_Compras!$N$201,2),ROUND(Registro_Compras!$J$201*Registro_Compras!$N$201,2))))</f>
        <v/>
      </c>
      <c r="F1781" s="20">
        <f>IF($C1781="","",IF(Registro_Compras!$F$201="NOTA DE CREDITO",ROUND(ABS(Registro_Compras!$J$201*Registro_Compras!$N$201),2),""))</f>
        <v/>
      </c>
      <c r="G1781">
        <f>IF($C1781="","","Por el destino del gasto")</f>
        <v/>
      </c>
      <c r="H1781">
        <f>IF($C1781="","",Registro_Compras!$C$201)</f>
        <v/>
      </c>
    </row>
    <row r="1782">
      <c r="A1782" s="25">
        <f>IF($C1782="","",Registro_Compras!$B$201)</f>
        <v/>
      </c>
      <c r="B1782">
        <f>IF($C1782="","","C"&amp;TEXT(INT((ROW()-5)/9)+1,"000")&amp;"-2")</f>
        <v/>
      </c>
      <c r="C1782">
        <f>IF(OR(Registro_Compras!$C$201="",Registro_Compras!$O$201=""),"","79/791")</f>
        <v/>
      </c>
      <c r="D1782">
        <f>IF(OR(Registro_Compras!$C$201="",Registro_Compras!$O$201=""),"","Cargas Imputables a Cuentas de Costos y Gastos")</f>
        <v/>
      </c>
      <c r="E1782" s="20">
        <f>IF($C1782="","",IF(Registro_Compras!$F$201="NOTA DE CREDITO",ROUND(ABS(Registro_Compras!$J$201*Registro_Compras!$N$201),2),""))</f>
        <v/>
      </c>
      <c r="F1782" s="20">
        <f>IF($C1782="","",IF(Registro_Compras!$F$201="NOTA DE CREDITO","",IF(Registro_Compras!$F$201="RHE",ROUND(Registro_Compras!$L$201*Registro_Compras!$N$201,2),ROUND(Registro_Compras!$J$201*Registro_Compras!$N$201,2))))</f>
        <v/>
      </c>
      <c r="G1782">
        <f>IF($C1782="","","Por el destino del gasto")</f>
        <v/>
      </c>
      <c r="H1782">
        <f>IF($C1782="","",Registro_Compras!$C$201)</f>
        <v/>
      </c>
    </row>
    <row r="1783">
      <c r="A1783" s="25">
        <f>IF($C1783="","",Registro_Compras!$X$201)</f>
        <v/>
      </c>
      <c r="B1783">
        <f>IF($C1783="","","C"&amp;TEXT(INT((ROW()-5)/9)+1,"000")&amp;"-3")</f>
        <v/>
      </c>
      <c r="C1783">
        <f>IF(OR(Registro_Compras!$C$201="",Registro_Compras!$O$201="",Registro_Compras!$R$201&lt;&gt;"SI",Registro_Compras!$X$201=""),"","4212")</f>
        <v/>
      </c>
      <c r="D1783">
        <f>IF(OR(Registro_Compras!$C$201="",Registro_Compras!$O$201=""),"","Cuentas por Pagar Comerciales - Terceros")</f>
        <v/>
      </c>
      <c r="E1783" s="20">
        <f>IF($C1783="","",Registro_Compras!$S$201)</f>
        <v/>
      </c>
      <c r="F1783" s="20">
        <f>""</f>
        <v/>
      </c>
      <c r="G1783">
        <f>IF($C1783="","","Por el deposito de la detraccion en el Banco de la Nacion")</f>
        <v/>
      </c>
      <c r="H1783">
        <f>IF($C1783="","",Registro_Compras!$C$201)</f>
        <v/>
      </c>
    </row>
    <row r="1784">
      <c r="A1784" s="25">
        <f>IF($C1784="","",Registro_Compras!$X$201)</f>
        <v/>
      </c>
      <c r="B1784">
        <f>IF($C1784="","","C"&amp;TEXT(INT((ROW()-5)/9)+1,"000")&amp;"-3")</f>
        <v/>
      </c>
      <c r="C1784">
        <f>IF(OR(Registro_Compras!$C$201="",Registro_Compras!$O$201="",Registro_Compras!$R$201&lt;&gt;"SI",Registro_Compras!$X$201=""),"","10413")</f>
        <v/>
      </c>
      <c r="D1784">
        <f>IF(OR(Registro_Compras!$C$201="",Registro_Compras!$O$201=""),"","Efectivo y Equivalentes - Cta. Cte. Operativa")</f>
        <v/>
      </c>
      <c r="E1784" s="20">
        <f>""</f>
        <v/>
      </c>
      <c r="F1784" s="20">
        <f>IF($C1784="","",Registro_Compras!$S$201)</f>
        <v/>
      </c>
      <c r="G1784">
        <f>IF($C1784="","","Por el deposito de la detraccion en el Banco de la Nacion")</f>
        <v/>
      </c>
      <c r="H1784">
        <f>IF($C1784="","",Registro_Compras!$C$201)</f>
        <v/>
      </c>
    </row>
    <row r="1785">
      <c r="A1785" s="25">
        <f>IF($C1785="","",Registro_Compras!$Y$201)</f>
        <v/>
      </c>
      <c r="B1785">
        <f>IF($C1785="","","C"&amp;TEXT(INT((ROW()-5)/9)+1,"000")&amp;"-4")</f>
        <v/>
      </c>
      <c r="C1785">
        <f>IF(OR(Registro_Compras!$C$201="",Registro_Compras!$O$201="",Registro_Compras!$Y$201="",Registro_Compras!$F$201="NOTA DE CREDITO"),"","4212")</f>
        <v/>
      </c>
      <c r="D1785">
        <f>IF(OR(Registro_Compras!$C$201="",Registro_Compras!$O$201=""),"","Cuentas por Pagar Comerciales - Terceros")</f>
        <v/>
      </c>
      <c r="E1785" s="20">
        <f>IF($C1785="","",IF(Registro_Compras!$F$201="RHE",(ROUND(Registro_Compras!$L$201*Registro_Compras!$N$201,2)-ROUND(Registro_Compras!$V$201*Registro_Compras!$N$201,2)),ROUND(Registro_Compras!$O$201-Registro_Compras!$S$201,2)))</f>
        <v/>
      </c>
      <c r="F1785" s="20">
        <f>""</f>
        <v/>
      </c>
      <c r="G1785">
        <f>IF($C1785="","","Por la cancelacion del saldo al proveedor")</f>
        <v/>
      </c>
      <c r="H1785">
        <f>IF($C1785="","",Registro_Compras!$C$201)</f>
        <v/>
      </c>
    </row>
    <row r="1786">
      <c r="A1786" s="25">
        <f>IF($C1786="","",Registro_Compras!$Y$201)</f>
        <v/>
      </c>
      <c r="B1786">
        <f>IF($C1786="","","C"&amp;TEXT(INT((ROW()-5)/9)+1,"000")&amp;"-4")</f>
        <v/>
      </c>
      <c r="C1786">
        <f>IF(OR(Registro_Compras!$C$201="",Registro_Compras!$O$201="",Registro_Compras!$Y$201="",Registro_Compras!$F$201="NOTA DE CREDITO"),"","10413")</f>
        <v/>
      </c>
      <c r="D1786">
        <f>IF(OR(Registro_Compras!$C$201="",Registro_Compras!$O$201=""),"","Efectivo y Equivalentes - Cta. Cte. Operativa")</f>
        <v/>
      </c>
      <c r="E1786" s="20">
        <f>""</f>
        <v/>
      </c>
      <c r="F1786" s="20">
        <f>IF($C1786="","",IF(Registro_Compras!$F$201="RHE",(ROUND(Registro_Compras!$L$201*Registro_Compras!$N$201,2)-ROUND(Registro_Compras!$V$201*Registro_Compras!$N$201,2)),ROUND(Registro_Compras!$O$201-Registro_Compras!$S$201,2)))</f>
        <v/>
      </c>
      <c r="G1786">
        <f>IF($C1786="","","Por la cancelacion del saldo al proveedor")</f>
        <v/>
      </c>
      <c r="H1786">
        <f>IF($C1786="","",Registro_Compras!$C$201)</f>
        <v/>
      </c>
    </row>
    <row r="1787">
      <c r="A1787" s="25">
        <f>IF($C1787="","",Registro_Compras!$B$202)</f>
        <v/>
      </c>
      <c r="B1787">
        <f>IF($C1787="","","C"&amp;TEXT(INT((ROW()-5)/9)+1,"000")&amp;"-1")</f>
        <v/>
      </c>
      <c r="C1787">
        <f>IF(OR(Registro_Compras!$C$202="",Registro_Compras!$O$202=""),"",IF(Registro_Compras!$F$202="NOTA DE CREDITO","4212",IF(Registro_Compras!$M$202="","63",Registro_Compras!$M$202)))</f>
        <v/>
      </c>
      <c r="D1787">
        <f>IF(OR(Registro_Compras!$C$202="",Registro_Compras!$O$202=""),"",IF(Registro_Compras!$F$202="NOTA DE CREDITO","Cuentas por Pagar Comerciales - Terceros (Emitidas)",IF(Registro_Compras!$F$202="RHE","Honorarios Profesionales - Servicios de Terceros","Gastos de Servicios Prestados por Terceros")))</f>
        <v/>
      </c>
      <c r="E1787" s="20">
        <f>IF($C1787="","",IF(Registro_Compras!$F$202="NOTA DE CREDITO",ABS(Registro_Compras!$O$202),IF(Registro_Compras!$F$202="RHE",ROUND(Registro_Compras!$L$202*Registro_Compras!$N$202,2),ROUND(Registro_Compras!$J$202*Registro_Compras!$N$202,2))))</f>
        <v/>
      </c>
      <c r="F1787" s="20">
        <f>""</f>
        <v/>
      </c>
      <c r="G1787">
        <f>IF($C1787="","",IF(Registro_Compras!$F$202="NOTA DE CREDITO","Por la nota de credito "&amp;Registro_Compras!$C$202&amp;" de "&amp;Registro_Compras!$E$202&amp;" [PATRON POR CONFIRMAR CON CONTADOR]",IF(Registro_Compras!$F$202="RHE","Por el registro del recibo por honorarios "&amp;Registro_Compras!$C$202&amp;" de "&amp;Registro_Compras!$E$202&amp;" [PATRON POR CONFIRMAR CON CONTADOR]","Por el registro de la factura "&amp;Registro_Compras!$C$202&amp;" de "&amp;Registro_Compras!$E$202)))</f>
        <v/>
      </c>
      <c r="H1787">
        <f>IF($C1787="","",Registro_Compras!$C$202)</f>
        <v/>
      </c>
    </row>
    <row r="1788">
      <c r="A1788" s="25">
        <f>IF($C1788="","",Registro_Compras!$B$202)</f>
        <v/>
      </c>
      <c r="B1788">
        <f>IF($C1788="","","C"&amp;TEXT(INT((ROW()-5)/9)+1,"000")&amp;"-1")</f>
        <v/>
      </c>
      <c r="C1788">
        <f>IF(OR(Registro_Compras!$C$202="",Registro_Compras!$O$202=""),"",IF(Registro_Compras!$F$202="RHE",IF(Registro_Compras!$V$202=0,"","40172"),IF(Registro_Compras!$F$202="NOTA DE CREDITO",IF(Registro_Compras!$M$202="","63",Registro_Compras!$M$202),IF(Registro_Compras!$K$202=0,"","40111"))))</f>
        <v/>
      </c>
      <c r="D1788">
        <f>IF(OR(Registro_Compras!$C$202="",Registro_Compras!$O$202=""),"",IF(Registro_Compras!$F$202="RHE","Retencion Renta 4ta Categoria por Pagar",IF(Registro_Compras!$F$202="NOTA DE CREDITO","Gastos de Servicios Prestados por Terceros","IGV - Cuenta Propia (Credito Fiscal)")))</f>
        <v/>
      </c>
      <c r="E1788" s="20">
        <f>IF($C1788="","",IF(Registro_Compras!$F$202="FACTURA",ROUND(Registro_Compras!$K$202*Registro_Compras!$N$202,2),""))</f>
        <v/>
      </c>
      <c r="F1788" s="20">
        <f>IF($C1788="","",IF(Registro_Compras!$F$202="RHE",ROUND(Registro_Compras!$V$202*Registro_Compras!$N$202,2),IF(Registro_Compras!$F$202="NOTA DE CREDITO",ROUND(ABS(Registro_Compras!$J$202*Registro_Compras!$N$202),2),"")))</f>
        <v/>
      </c>
      <c r="G1788">
        <f>IF($C1788="","",IF(Registro_Compras!$F$202="NOTA DE CREDITO","Por la nota de credito "&amp;Registro_Compras!$C$202&amp;" de "&amp;Registro_Compras!$E$202&amp;" [PATRON POR CONFIRMAR CON CONTADOR]",IF(Registro_Compras!$F$202="RHE","Por el registro del recibo por honorarios "&amp;Registro_Compras!$C$202&amp;" de "&amp;Registro_Compras!$E$202&amp;" [PATRON POR CONFIRMAR CON CONTADOR]","Por el registro de la factura "&amp;Registro_Compras!$C$202&amp;" de "&amp;Registro_Compras!$E$202)))</f>
        <v/>
      </c>
      <c r="H1788">
        <f>IF($C1788="","",Registro_Compras!$C$202)</f>
        <v/>
      </c>
    </row>
    <row r="1789">
      <c r="A1789" s="25">
        <f>IF($C1789="","",Registro_Compras!$B$202)</f>
        <v/>
      </c>
      <c r="B1789">
        <f>IF($C1789="","","C"&amp;TEXT(INT((ROW()-5)/9)+1,"000")&amp;"-1")</f>
        <v/>
      </c>
      <c r="C1789">
        <f>IF(OR(Registro_Compras!$C$202="",Registro_Compras!$O$202=""),"",IF(Registro_Compras!$F$202="NOTA DE CREDITO",IF(Registro_Compras!$K$202=0,"","40111"),"4212"))</f>
        <v/>
      </c>
      <c r="D1789">
        <f>IF(OR(Registro_Compras!$C$202="",Registro_Compras!$O$202=""),"",IF(Registro_Compras!$F$202="NOTA DE CREDITO","IGV - Cuenta Propia (Credito Fiscal)","Cuentas por Pagar Comerciales - Terceros (Emitidas)"))</f>
        <v/>
      </c>
      <c r="E1789" s="20">
        <f>""</f>
        <v/>
      </c>
      <c r="F1789" s="20">
        <f>IF($C1789="","",IF(Registro_Compras!$F$202="NOTA DE CREDITO",ROUND(ABS(Registro_Compras!$K$202*Registro_Compras!$N$202),2),IF(Registro_Compras!$F$202="RHE",(ROUND(Registro_Compras!$L$202*Registro_Compras!$N$202,2)-ROUND(Registro_Compras!$V$202*Registro_Compras!$N$202,2)),Registro_Compras!$O$202)))</f>
        <v/>
      </c>
      <c r="G1789">
        <f>IF($C1789="","",IF(Registro_Compras!$F$202="NOTA DE CREDITO","Por la nota de credito "&amp;Registro_Compras!$C$202&amp;" de "&amp;Registro_Compras!$E$202&amp;" [PATRON POR CONFIRMAR CON CONTADOR]",IF(Registro_Compras!$F$202="RHE","Por el registro del recibo por honorarios "&amp;Registro_Compras!$C$202&amp;" de "&amp;Registro_Compras!$E$202&amp;" [PATRON POR CONFIRMAR CON CONTADOR]","Por el registro de la factura "&amp;Registro_Compras!$C$202&amp;" de "&amp;Registro_Compras!$E$202)))</f>
        <v/>
      </c>
      <c r="H1789">
        <f>IF($C1789="","",Registro_Compras!$C$202)</f>
        <v/>
      </c>
    </row>
    <row r="1790">
      <c r="A1790" s="25">
        <f>IF($C1790="","",Registro_Compras!$B$202)</f>
        <v/>
      </c>
      <c r="B1790">
        <f>IF($C1790="","","C"&amp;TEXT(INT((ROW()-5)/9)+1,"000")&amp;"-2")</f>
        <v/>
      </c>
      <c r="C1790">
        <f>IF(OR(Registro_Compras!$C$202="",Registro_Compras!$O$202=""),"",IF(Registro_Compras!$AB$202="ADMINISTRATIVO","94","95"))</f>
        <v/>
      </c>
      <c r="D1790">
        <f>IF(OR(Registro_Compras!$C$202="",Registro_Compras!$O$202=""),"",IF(Registro_Compras!$AB$202="ADMINISTRATIVO","Gastos Administrativos","Gastos de Venta y Operacion"))</f>
        <v/>
      </c>
      <c r="E1790" s="20">
        <f>IF($C1790="","",IF(Registro_Compras!$F$202="NOTA DE CREDITO","",IF(Registro_Compras!$F$202="RHE",ROUND(Registro_Compras!$L$202*Registro_Compras!$N$202,2),ROUND(Registro_Compras!$J$202*Registro_Compras!$N$202,2))))</f>
        <v/>
      </c>
      <c r="F1790" s="20">
        <f>IF($C1790="","",IF(Registro_Compras!$F$202="NOTA DE CREDITO",ROUND(ABS(Registro_Compras!$J$202*Registro_Compras!$N$202),2),""))</f>
        <v/>
      </c>
      <c r="G1790">
        <f>IF($C1790="","","Por el destino del gasto")</f>
        <v/>
      </c>
      <c r="H1790">
        <f>IF($C1790="","",Registro_Compras!$C$202)</f>
        <v/>
      </c>
    </row>
    <row r="1791">
      <c r="A1791" s="25">
        <f>IF($C1791="","",Registro_Compras!$B$202)</f>
        <v/>
      </c>
      <c r="B1791">
        <f>IF($C1791="","","C"&amp;TEXT(INT((ROW()-5)/9)+1,"000")&amp;"-2")</f>
        <v/>
      </c>
      <c r="C1791">
        <f>IF(OR(Registro_Compras!$C$202="",Registro_Compras!$O$202=""),"","79/791")</f>
        <v/>
      </c>
      <c r="D1791">
        <f>IF(OR(Registro_Compras!$C$202="",Registro_Compras!$O$202=""),"","Cargas Imputables a Cuentas de Costos y Gastos")</f>
        <v/>
      </c>
      <c r="E1791" s="20">
        <f>IF($C1791="","",IF(Registro_Compras!$F$202="NOTA DE CREDITO",ROUND(ABS(Registro_Compras!$J$202*Registro_Compras!$N$202),2),""))</f>
        <v/>
      </c>
      <c r="F1791" s="20">
        <f>IF($C1791="","",IF(Registro_Compras!$F$202="NOTA DE CREDITO","",IF(Registro_Compras!$F$202="RHE",ROUND(Registro_Compras!$L$202*Registro_Compras!$N$202,2),ROUND(Registro_Compras!$J$202*Registro_Compras!$N$202,2))))</f>
        <v/>
      </c>
      <c r="G1791">
        <f>IF($C1791="","","Por el destino del gasto")</f>
        <v/>
      </c>
      <c r="H1791">
        <f>IF($C1791="","",Registro_Compras!$C$202)</f>
        <v/>
      </c>
    </row>
    <row r="1792">
      <c r="A1792" s="25">
        <f>IF($C1792="","",Registro_Compras!$X$202)</f>
        <v/>
      </c>
      <c r="B1792">
        <f>IF($C1792="","","C"&amp;TEXT(INT((ROW()-5)/9)+1,"000")&amp;"-3")</f>
        <v/>
      </c>
      <c r="C1792">
        <f>IF(OR(Registro_Compras!$C$202="",Registro_Compras!$O$202="",Registro_Compras!$R$202&lt;&gt;"SI",Registro_Compras!$X$202=""),"","4212")</f>
        <v/>
      </c>
      <c r="D1792">
        <f>IF(OR(Registro_Compras!$C$202="",Registro_Compras!$O$202=""),"","Cuentas por Pagar Comerciales - Terceros")</f>
        <v/>
      </c>
      <c r="E1792" s="20">
        <f>IF($C1792="","",Registro_Compras!$S$202)</f>
        <v/>
      </c>
      <c r="F1792" s="20">
        <f>""</f>
        <v/>
      </c>
      <c r="G1792">
        <f>IF($C1792="","","Por el deposito de la detraccion en el Banco de la Nacion")</f>
        <v/>
      </c>
      <c r="H1792">
        <f>IF($C1792="","",Registro_Compras!$C$202)</f>
        <v/>
      </c>
    </row>
    <row r="1793">
      <c r="A1793" s="25">
        <f>IF($C1793="","",Registro_Compras!$X$202)</f>
        <v/>
      </c>
      <c r="B1793">
        <f>IF($C1793="","","C"&amp;TEXT(INT((ROW()-5)/9)+1,"000")&amp;"-3")</f>
        <v/>
      </c>
      <c r="C1793">
        <f>IF(OR(Registro_Compras!$C$202="",Registro_Compras!$O$202="",Registro_Compras!$R$202&lt;&gt;"SI",Registro_Compras!$X$202=""),"","10413")</f>
        <v/>
      </c>
      <c r="D1793">
        <f>IF(OR(Registro_Compras!$C$202="",Registro_Compras!$O$202=""),"","Efectivo y Equivalentes - Cta. Cte. Operativa")</f>
        <v/>
      </c>
      <c r="E1793" s="20">
        <f>""</f>
        <v/>
      </c>
      <c r="F1793" s="20">
        <f>IF($C1793="","",Registro_Compras!$S$202)</f>
        <v/>
      </c>
      <c r="G1793">
        <f>IF($C1793="","","Por el deposito de la detraccion en el Banco de la Nacion")</f>
        <v/>
      </c>
      <c r="H1793">
        <f>IF($C1793="","",Registro_Compras!$C$202)</f>
        <v/>
      </c>
    </row>
    <row r="1794">
      <c r="A1794" s="25">
        <f>IF($C1794="","",Registro_Compras!$Y$202)</f>
        <v/>
      </c>
      <c r="B1794">
        <f>IF($C1794="","","C"&amp;TEXT(INT((ROW()-5)/9)+1,"000")&amp;"-4")</f>
        <v/>
      </c>
      <c r="C1794">
        <f>IF(OR(Registro_Compras!$C$202="",Registro_Compras!$O$202="",Registro_Compras!$Y$202="",Registro_Compras!$F$202="NOTA DE CREDITO"),"","4212")</f>
        <v/>
      </c>
      <c r="D1794">
        <f>IF(OR(Registro_Compras!$C$202="",Registro_Compras!$O$202=""),"","Cuentas por Pagar Comerciales - Terceros")</f>
        <v/>
      </c>
      <c r="E1794" s="20">
        <f>IF($C1794="","",IF(Registro_Compras!$F$202="RHE",(ROUND(Registro_Compras!$L$202*Registro_Compras!$N$202,2)-ROUND(Registro_Compras!$V$202*Registro_Compras!$N$202,2)),ROUND(Registro_Compras!$O$202-Registro_Compras!$S$202,2)))</f>
        <v/>
      </c>
      <c r="F1794" s="20">
        <f>""</f>
        <v/>
      </c>
      <c r="G1794">
        <f>IF($C1794="","","Por la cancelacion del saldo al proveedor")</f>
        <v/>
      </c>
      <c r="H1794">
        <f>IF($C1794="","",Registro_Compras!$C$202)</f>
        <v/>
      </c>
    </row>
    <row r="1795">
      <c r="A1795" s="25">
        <f>IF($C1795="","",Registro_Compras!$Y$202)</f>
        <v/>
      </c>
      <c r="B1795">
        <f>IF($C1795="","","C"&amp;TEXT(INT((ROW()-5)/9)+1,"000")&amp;"-4")</f>
        <v/>
      </c>
      <c r="C1795">
        <f>IF(OR(Registro_Compras!$C$202="",Registro_Compras!$O$202="",Registro_Compras!$Y$202="",Registro_Compras!$F$202="NOTA DE CREDITO"),"","10413")</f>
        <v/>
      </c>
      <c r="D1795">
        <f>IF(OR(Registro_Compras!$C$202="",Registro_Compras!$O$202=""),"","Efectivo y Equivalentes - Cta. Cte. Operativa")</f>
        <v/>
      </c>
      <c r="E1795" s="20">
        <f>""</f>
        <v/>
      </c>
      <c r="F1795" s="20">
        <f>IF($C1795="","",IF(Registro_Compras!$F$202="RHE",(ROUND(Registro_Compras!$L$202*Registro_Compras!$N$202,2)-ROUND(Registro_Compras!$V$202*Registro_Compras!$N$202,2)),ROUND(Registro_Compras!$O$202-Registro_Compras!$S$202,2)))</f>
        <v/>
      </c>
      <c r="G1795">
        <f>IF($C1795="","","Por la cancelacion del saldo al proveedor")</f>
        <v/>
      </c>
      <c r="H1795">
        <f>IF($C1795="","",Registro_Compras!$C$202)</f>
        <v/>
      </c>
    </row>
    <row r="1796">
      <c r="A1796" s="25">
        <f>IF($C1796="","",Registro_Compras!$B$203)</f>
        <v/>
      </c>
      <c r="B1796">
        <f>IF($C1796="","","C"&amp;TEXT(INT((ROW()-5)/9)+1,"000")&amp;"-1")</f>
        <v/>
      </c>
      <c r="C1796">
        <f>IF(OR(Registro_Compras!$C$203="",Registro_Compras!$O$203=""),"",IF(Registro_Compras!$F$203="NOTA DE CREDITO","4212",IF(Registro_Compras!$M$203="","63",Registro_Compras!$M$203)))</f>
        <v/>
      </c>
      <c r="D1796">
        <f>IF(OR(Registro_Compras!$C$203="",Registro_Compras!$O$203=""),"",IF(Registro_Compras!$F$203="NOTA DE CREDITO","Cuentas por Pagar Comerciales - Terceros (Emitidas)",IF(Registro_Compras!$F$203="RHE","Honorarios Profesionales - Servicios de Terceros","Gastos de Servicios Prestados por Terceros")))</f>
        <v/>
      </c>
      <c r="E1796" s="20">
        <f>IF($C1796="","",IF(Registro_Compras!$F$203="NOTA DE CREDITO",ABS(Registro_Compras!$O$203),IF(Registro_Compras!$F$203="RHE",ROUND(Registro_Compras!$L$203*Registro_Compras!$N$203,2),ROUND(Registro_Compras!$J$203*Registro_Compras!$N$203,2))))</f>
        <v/>
      </c>
      <c r="F1796" s="20">
        <f>""</f>
        <v/>
      </c>
      <c r="G1796">
        <f>IF($C1796="","",IF(Registro_Compras!$F$203="NOTA DE CREDITO","Por la nota de credito "&amp;Registro_Compras!$C$203&amp;" de "&amp;Registro_Compras!$E$203&amp;" [PATRON POR CONFIRMAR CON CONTADOR]",IF(Registro_Compras!$F$203="RHE","Por el registro del recibo por honorarios "&amp;Registro_Compras!$C$203&amp;" de "&amp;Registro_Compras!$E$203&amp;" [PATRON POR CONFIRMAR CON CONTADOR]","Por el registro de la factura "&amp;Registro_Compras!$C$203&amp;" de "&amp;Registro_Compras!$E$203)))</f>
        <v/>
      </c>
      <c r="H1796">
        <f>IF($C1796="","",Registro_Compras!$C$203)</f>
        <v/>
      </c>
    </row>
    <row r="1797">
      <c r="A1797" s="25">
        <f>IF($C1797="","",Registro_Compras!$B$203)</f>
        <v/>
      </c>
      <c r="B1797">
        <f>IF($C1797="","","C"&amp;TEXT(INT((ROW()-5)/9)+1,"000")&amp;"-1")</f>
        <v/>
      </c>
      <c r="C1797">
        <f>IF(OR(Registro_Compras!$C$203="",Registro_Compras!$O$203=""),"",IF(Registro_Compras!$F$203="RHE",IF(Registro_Compras!$V$203=0,"","40172"),IF(Registro_Compras!$F$203="NOTA DE CREDITO",IF(Registro_Compras!$M$203="","63",Registro_Compras!$M$203),IF(Registro_Compras!$K$203=0,"","40111"))))</f>
        <v/>
      </c>
      <c r="D1797">
        <f>IF(OR(Registro_Compras!$C$203="",Registro_Compras!$O$203=""),"",IF(Registro_Compras!$F$203="RHE","Retencion Renta 4ta Categoria por Pagar",IF(Registro_Compras!$F$203="NOTA DE CREDITO","Gastos de Servicios Prestados por Terceros","IGV - Cuenta Propia (Credito Fiscal)")))</f>
        <v/>
      </c>
      <c r="E1797" s="20">
        <f>IF($C1797="","",IF(Registro_Compras!$F$203="FACTURA",ROUND(Registro_Compras!$K$203*Registro_Compras!$N$203,2),""))</f>
        <v/>
      </c>
      <c r="F1797" s="20">
        <f>IF($C1797="","",IF(Registro_Compras!$F$203="RHE",ROUND(Registro_Compras!$V$203*Registro_Compras!$N$203,2),IF(Registro_Compras!$F$203="NOTA DE CREDITO",ROUND(ABS(Registro_Compras!$J$203*Registro_Compras!$N$203),2),"")))</f>
        <v/>
      </c>
      <c r="G1797">
        <f>IF($C1797="","",IF(Registro_Compras!$F$203="NOTA DE CREDITO","Por la nota de credito "&amp;Registro_Compras!$C$203&amp;" de "&amp;Registro_Compras!$E$203&amp;" [PATRON POR CONFIRMAR CON CONTADOR]",IF(Registro_Compras!$F$203="RHE","Por el registro del recibo por honorarios "&amp;Registro_Compras!$C$203&amp;" de "&amp;Registro_Compras!$E$203&amp;" [PATRON POR CONFIRMAR CON CONTADOR]","Por el registro de la factura "&amp;Registro_Compras!$C$203&amp;" de "&amp;Registro_Compras!$E$203)))</f>
        <v/>
      </c>
      <c r="H1797">
        <f>IF($C1797="","",Registro_Compras!$C$203)</f>
        <v/>
      </c>
    </row>
    <row r="1798">
      <c r="A1798" s="25">
        <f>IF($C1798="","",Registro_Compras!$B$203)</f>
        <v/>
      </c>
      <c r="B1798">
        <f>IF($C1798="","","C"&amp;TEXT(INT((ROW()-5)/9)+1,"000")&amp;"-1")</f>
        <v/>
      </c>
      <c r="C1798">
        <f>IF(OR(Registro_Compras!$C$203="",Registro_Compras!$O$203=""),"",IF(Registro_Compras!$F$203="NOTA DE CREDITO",IF(Registro_Compras!$K$203=0,"","40111"),"4212"))</f>
        <v/>
      </c>
      <c r="D1798">
        <f>IF(OR(Registro_Compras!$C$203="",Registro_Compras!$O$203=""),"",IF(Registro_Compras!$F$203="NOTA DE CREDITO","IGV - Cuenta Propia (Credito Fiscal)","Cuentas por Pagar Comerciales - Terceros (Emitidas)"))</f>
        <v/>
      </c>
      <c r="E1798" s="20">
        <f>""</f>
        <v/>
      </c>
      <c r="F1798" s="20">
        <f>IF($C1798="","",IF(Registro_Compras!$F$203="NOTA DE CREDITO",ROUND(ABS(Registro_Compras!$K$203*Registro_Compras!$N$203),2),IF(Registro_Compras!$F$203="RHE",(ROUND(Registro_Compras!$L$203*Registro_Compras!$N$203,2)-ROUND(Registro_Compras!$V$203*Registro_Compras!$N$203,2)),Registro_Compras!$O$203)))</f>
        <v/>
      </c>
      <c r="G1798">
        <f>IF($C1798="","",IF(Registro_Compras!$F$203="NOTA DE CREDITO","Por la nota de credito "&amp;Registro_Compras!$C$203&amp;" de "&amp;Registro_Compras!$E$203&amp;" [PATRON POR CONFIRMAR CON CONTADOR]",IF(Registro_Compras!$F$203="RHE","Por el registro del recibo por honorarios "&amp;Registro_Compras!$C$203&amp;" de "&amp;Registro_Compras!$E$203&amp;" [PATRON POR CONFIRMAR CON CONTADOR]","Por el registro de la factura "&amp;Registro_Compras!$C$203&amp;" de "&amp;Registro_Compras!$E$203)))</f>
        <v/>
      </c>
      <c r="H1798">
        <f>IF($C1798="","",Registro_Compras!$C$203)</f>
        <v/>
      </c>
    </row>
    <row r="1799">
      <c r="A1799" s="25">
        <f>IF($C1799="","",Registro_Compras!$B$203)</f>
        <v/>
      </c>
      <c r="B1799">
        <f>IF($C1799="","","C"&amp;TEXT(INT((ROW()-5)/9)+1,"000")&amp;"-2")</f>
        <v/>
      </c>
      <c r="C1799">
        <f>IF(OR(Registro_Compras!$C$203="",Registro_Compras!$O$203=""),"",IF(Registro_Compras!$AB$203="ADMINISTRATIVO","94","95"))</f>
        <v/>
      </c>
      <c r="D1799">
        <f>IF(OR(Registro_Compras!$C$203="",Registro_Compras!$O$203=""),"",IF(Registro_Compras!$AB$203="ADMINISTRATIVO","Gastos Administrativos","Gastos de Venta y Operacion"))</f>
        <v/>
      </c>
      <c r="E1799" s="20">
        <f>IF($C1799="","",IF(Registro_Compras!$F$203="NOTA DE CREDITO","",IF(Registro_Compras!$F$203="RHE",ROUND(Registro_Compras!$L$203*Registro_Compras!$N$203,2),ROUND(Registro_Compras!$J$203*Registro_Compras!$N$203,2))))</f>
        <v/>
      </c>
      <c r="F1799" s="20">
        <f>IF($C1799="","",IF(Registro_Compras!$F$203="NOTA DE CREDITO",ROUND(ABS(Registro_Compras!$J$203*Registro_Compras!$N$203),2),""))</f>
        <v/>
      </c>
      <c r="G1799">
        <f>IF($C1799="","","Por el destino del gasto")</f>
        <v/>
      </c>
      <c r="H1799">
        <f>IF($C1799="","",Registro_Compras!$C$203)</f>
        <v/>
      </c>
    </row>
    <row r="1800">
      <c r="A1800" s="25">
        <f>IF($C1800="","",Registro_Compras!$B$203)</f>
        <v/>
      </c>
      <c r="B1800">
        <f>IF($C1800="","","C"&amp;TEXT(INT((ROW()-5)/9)+1,"000")&amp;"-2")</f>
        <v/>
      </c>
      <c r="C1800">
        <f>IF(OR(Registro_Compras!$C$203="",Registro_Compras!$O$203=""),"","79/791")</f>
        <v/>
      </c>
      <c r="D1800">
        <f>IF(OR(Registro_Compras!$C$203="",Registro_Compras!$O$203=""),"","Cargas Imputables a Cuentas de Costos y Gastos")</f>
        <v/>
      </c>
      <c r="E1800" s="20">
        <f>IF($C1800="","",IF(Registro_Compras!$F$203="NOTA DE CREDITO",ROUND(ABS(Registro_Compras!$J$203*Registro_Compras!$N$203),2),""))</f>
        <v/>
      </c>
      <c r="F1800" s="20">
        <f>IF($C1800="","",IF(Registro_Compras!$F$203="NOTA DE CREDITO","",IF(Registro_Compras!$F$203="RHE",ROUND(Registro_Compras!$L$203*Registro_Compras!$N$203,2),ROUND(Registro_Compras!$J$203*Registro_Compras!$N$203,2))))</f>
        <v/>
      </c>
      <c r="G1800">
        <f>IF($C1800="","","Por el destino del gasto")</f>
        <v/>
      </c>
      <c r="H1800">
        <f>IF($C1800="","",Registro_Compras!$C$203)</f>
        <v/>
      </c>
    </row>
    <row r="1801">
      <c r="A1801" s="25">
        <f>IF($C1801="","",Registro_Compras!$X$203)</f>
        <v/>
      </c>
      <c r="B1801">
        <f>IF($C1801="","","C"&amp;TEXT(INT((ROW()-5)/9)+1,"000")&amp;"-3")</f>
        <v/>
      </c>
      <c r="C1801">
        <f>IF(OR(Registro_Compras!$C$203="",Registro_Compras!$O$203="",Registro_Compras!$R$203&lt;&gt;"SI",Registro_Compras!$X$203=""),"","4212")</f>
        <v/>
      </c>
      <c r="D1801">
        <f>IF(OR(Registro_Compras!$C$203="",Registro_Compras!$O$203=""),"","Cuentas por Pagar Comerciales - Terceros")</f>
        <v/>
      </c>
      <c r="E1801" s="20">
        <f>IF($C1801="","",Registro_Compras!$S$203)</f>
        <v/>
      </c>
      <c r="F1801" s="20">
        <f>""</f>
        <v/>
      </c>
      <c r="G1801">
        <f>IF($C1801="","","Por el deposito de la detraccion en el Banco de la Nacion")</f>
        <v/>
      </c>
      <c r="H1801">
        <f>IF($C1801="","",Registro_Compras!$C$203)</f>
        <v/>
      </c>
    </row>
    <row r="1802">
      <c r="A1802" s="25">
        <f>IF($C1802="","",Registro_Compras!$X$203)</f>
        <v/>
      </c>
      <c r="B1802">
        <f>IF($C1802="","","C"&amp;TEXT(INT((ROW()-5)/9)+1,"000")&amp;"-3")</f>
        <v/>
      </c>
      <c r="C1802">
        <f>IF(OR(Registro_Compras!$C$203="",Registro_Compras!$O$203="",Registro_Compras!$R$203&lt;&gt;"SI",Registro_Compras!$X$203=""),"","10413")</f>
        <v/>
      </c>
      <c r="D1802">
        <f>IF(OR(Registro_Compras!$C$203="",Registro_Compras!$O$203=""),"","Efectivo y Equivalentes - Cta. Cte. Operativa")</f>
        <v/>
      </c>
      <c r="E1802" s="20">
        <f>""</f>
        <v/>
      </c>
      <c r="F1802" s="20">
        <f>IF($C1802="","",Registro_Compras!$S$203)</f>
        <v/>
      </c>
      <c r="G1802">
        <f>IF($C1802="","","Por el deposito de la detraccion en el Banco de la Nacion")</f>
        <v/>
      </c>
      <c r="H1802">
        <f>IF($C1802="","",Registro_Compras!$C$203)</f>
        <v/>
      </c>
    </row>
    <row r="1803">
      <c r="A1803" s="25">
        <f>IF($C1803="","",Registro_Compras!$Y$203)</f>
        <v/>
      </c>
      <c r="B1803">
        <f>IF($C1803="","","C"&amp;TEXT(INT((ROW()-5)/9)+1,"000")&amp;"-4")</f>
        <v/>
      </c>
      <c r="C1803">
        <f>IF(OR(Registro_Compras!$C$203="",Registro_Compras!$O$203="",Registro_Compras!$Y$203="",Registro_Compras!$F$203="NOTA DE CREDITO"),"","4212")</f>
        <v/>
      </c>
      <c r="D1803">
        <f>IF(OR(Registro_Compras!$C$203="",Registro_Compras!$O$203=""),"","Cuentas por Pagar Comerciales - Terceros")</f>
        <v/>
      </c>
      <c r="E1803" s="20">
        <f>IF($C1803="","",IF(Registro_Compras!$F$203="RHE",(ROUND(Registro_Compras!$L$203*Registro_Compras!$N$203,2)-ROUND(Registro_Compras!$V$203*Registro_Compras!$N$203,2)),ROUND(Registro_Compras!$O$203-Registro_Compras!$S$203,2)))</f>
        <v/>
      </c>
      <c r="F1803" s="20">
        <f>""</f>
        <v/>
      </c>
      <c r="G1803">
        <f>IF($C1803="","","Por la cancelacion del saldo al proveedor")</f>
        <v/>
      </c>
      <c r="H1803">
        <f>IF($C1803="","",Registro_Compras!$C$203)</f>
        <v/>
      </c>
    </row>
    <row r="1804">
      <c r="A1804" s="25">
        <f>IF($C1804="","",Registro_Compras!$Y$203)</f>
        <v/>
      </c>
      <c r="B1804">
        <f>IF($C1804="","","C"&amp;TEXT(INT((ROW()-5)/9)+1,"000")&amp;"-4")</f>
        <v/>
      </c>
      <c r="C1804">
        <f>IF(OR(Registro_Compras!$C$203="",Registro_Compras!$O$203="",Registro_Compras!$Y$203="",Registro_Compras!$F$203="NOTA DE CREDITO"),"","10413")</f>
        <v/>
      </c>
      <c r="D1804">
        <f>IF(OR(Registro_Compras!$C$203="",Registro_Compras!$O$203=""),"","Efectivo y Equivalentes - Cta. Cte. Operativa")</f>
        <v/>
      </c>
      <c r="E1804" s="20">
        <f>""</f>
        <v/>
      </c>
      <c r="F1804" s="20">
        <f>IF($C1804="","",IF(Registro_Compras!$F$203="RHE",(ROUND(Registro_Compras!$L$203*Registro_Compras!$N$203,2)-ROUND(Registro_Compras!$V$203*Registro_Compras!$N$203,2)),ROUND(Registro_Compras!$O$203-Registro_Compras!$S$203,2)))</f>
        <v/>
      </c>
      <c r="G1804">
        <f>IF($C1804="","","Por la cancelacion del saldo al proveedor")</f>
        <v/>
      </c>
      <c r="H1804">
        <f>IF($C1804="","",Registro_Compras!$C$203)</f>
        <v/>
      </c>
    </row>
    <row r="1805">
      <c r="A1805" s="25">
        <f>IF($C1805="","",Registro_Compras!$B$204)</f>
        <v/>
      </c>
      <c r="B1805">
        <f>IF($C1805="","","C"&amp;TEXT(INT((ROW()-5)/9)+1,"000")&amp;"-1")</f>
        <v/>
      </c>
      <c r="C1805">
        <f>IF(OR(Registro_Compras!$C$204="",Registro_Compras!$O$204=""),"",IF(Registro_Compras!$F$204="NOTA DE CREDITO","4212",IF(Registro_Compras!$M$204="","63",Registro_Compras!$M$204)))</f>
        <v/>
      </c>
      <c r="D1805">
        <f>IF(OR(Registro_Compras!$C$204="",Registro_Compras!$O$204=""),"",IF(Registro_Compras!$F$204="NOTA DE CREDITO","Cuentas por Pagar Comerciales - Terceros (Emitidas)",IF(Registro_Compras!$F$204="RHE","Honorarios Profesionales - Servicios de Terceros","Gastos de Servicios Prestados por Terceros")))</f>
        <v/>
      </c>
      <c r="E1805" s="20">
        <f>IF($C1805="","",IF(Registro_Compras!$F$204="NOTA DE CREDITO",ABS(Registro_Compras!$O$204),IF(Registro_Compras!$F$204="RHE",ROUND(Registro_Compras!$L$204*Registro_Compras!$N$204,2),ROUND(Registro_Compras!$J$204*Registro_Compras!$N$204,2))))</f>
        <v/>
      </c>
      <c r="F1805" s="20">
        <f>""</f>
        <v/>
      </c>
      <c r="G1805">
        <f>IF($C1805="","",IF(Registro_Compras!$F$204="NOTA DE CREDITO","Por la nota de credito "&amp;Registro_Compras!$C$204&amp;" de "&amp;Registro_Compras!$E$204&amp;" [PATRON POR CONFIRMAR CON CONTADOR]",IF(Registro_Compras!$F$204="RHE","Por el registro del recibo por honorarios "&amp;Registro_Compras!$C$204&amp;" de "&amp;Registro_Compras!$E$204&amp;" [PATRON POR CONFIRMAR CON CONTADOR]","Por el registro de la factura "&amp;Registro_Compras!$C$204&amp;" de "&amp;Registro_Compras!$E$204)))</f>
        <v/>
      </c>
      <c r="H1805">
        <f>IF($C1805="","",Registro_Compras!$C$204)</f>
        <v/>
      </c>
    </row>
    <row r="1806">
      <c r="A1806" s="25">
        <f>IF($C1806="","",Registro_Compras!$B$204)</f>
        <v/>
      </c>
      <c r="B1806">
        <f>IF($C1806="","","C"&amp;TEXT(INT((ROW()-5)/9)+1,"000")&amp;"-1")</f>
        <v/>
      </c>
      <c r="C1806">
        <f>IF(OR(Registro_Compras!$C$204="",Registro_Compras!$O$204=""),"",IF(Registro_Compras!$F$204="RHE",IF(Registro_Compras!$V$204=0,"","40172"),IF(Registro_Compras!$F$204="NOTA DE CREDITO",IF(Registro_Compras!$M$204="","63",Registro_Compras!$M$204),IF(Registro_Compras!$K$204=0,"","40111"))))</f>
        <v/>
      </c>
      <c r="D1806">
        <f>IF(OR(Registro_Compras!$C$204="",Registro_Compras!$O$204=""),"",IF(Registro_Compras!$F$204="RHE","Retencion Renta 4ta Categoria por Pagar",IF(Registro_Compras!$F$204="NOTA DE CREDITO","Gastos de Servicios Prestados por Terceros","IGV - Cuenta Propia (Credito Fiscal)")))</f>
        <v/>
      </c>
      <c r="E1806" s="20">
        <f>IF($C1806="","",IF(Registro_Compras!$F$204="FACTURA",ROUND(Registro_Compras!$K$204*Registro_Compras!$N$204,2),""))</f>
        <v/>
      </c>
      <c r="F1806" s="20">
        <f>IF($C1806="","",IF(Registro_Compras!$F$204="RHE",ROUND(Registro_Compras!$V$204*Registro_Compras!$N$204,2),IF(Registro_Compras!$F$204="NOTA DE CREDITO",ROUND(ABS(Registro_Compras!$J$204*Registro_Compras!$N$204),2),"")))</f>
        <v/>
      </c>
      <c r="G1806">
        <f>IF($C1806="","",IF(Registro_Compras!$F$204="NOTA DE CREDITO","Por la nota de credito "&amp;Registro_Compras!$C$204&amp;" de "&amp;Registro_Compras!$E$204&amp;" [PATRON POR CONFIRMAR CON CONTADOR]",IF(Registro_Compras!$F$204="RHE","Por el registro del recibo por honorarios "&amp;Registro_Compras!$C$204&amp;" de "&amp;Registro_Compras!$E$204&amp;" [PATRON POR CONFIRMAR CON CONTADOR]","Por el registro de la factura "&amp;Registro_Compras!$C$204&amp;" de "&amp;Registro_Compras!$E$204)))</f>
        <v/>
      </c>
      <c r="H1806">
        <f>IF($C1806="","",Registro_Compras!$C$204)</f>
        <v/>
      </c>
    </row>
    <row r="1807">
      <c r="A1807" s="25">
        <f>IF($C1807="","",Registro_Compras!$B$204)</f>
        <v/>
      </c>
      <c r="B1807">
        <f>IF($C1807="","","C"&amp;TEXT(INT((ROW()-5)/9)+1,"000")&amp;"-1")</f>
        <v/>
      </c>
      <c r="C1807">
        <f>IF(OR(Registro_Compras!$C$204="",Registro_Compras!$O$204=""),"",IF(Registro_Compras!$F$204="NOTA DE CREDITO",IF(Registro_Compras!$K$204=0,"","40111"),"4212"))</f>
        <v/>
      </c>
      <c r="D1807">
        <f>IF(OR(Registro_Compras!$C$204="",Registro_Compras!$O$204=""),"",IF(Registro_Compras!$F$204="NOTA DE CREDITO","IGV - Cuenta Propia (Credito Fiscal)","Cuentas por Pagar Comerciales - Terceros (Emitidas)"))</f>
        <v/>
      </c>
      <c r="E1807" s="20">
        <f>""</f>
        <v/>
      </c>
      <c r="F1807" s="20">
        <f>IF($C1807="","",IF(Registro_Compras!$F$204="NOTA DE CREDITO",ROUND(ABS(Registro_Compras!$K$204*Registro_Compras!$N$204),2),IF(Registro_Compras!$F$204="RHE",(ROUND(Registro_Compras!$L$204*Registro_Compras!$N$204,2)-ROUND(Registro_Compras!$V$204*Registro_Compras!$N$204,2)),Registro_Compras!$O$204)))</f>
        <v/>
      </c>
      <c r="G1807">
        <f>IF($C1807="","",IF(Registro_Compras!$F$204="NOTA DE CREDITO","Por la nota de credito "&amp;Registro_Compras!$C$204&amp;" de "&amp;Registro_Compras!$E$204&amp;" [PATRON POR CONFIRMAR CON CONTADOR]",IF(Registro_Compras!$F$204="RHE","Por el registro del recibo por honorarios "&amp;Registro_Compras!$C$204&amp;" de "&amp;Registro_Compras!$E$204&amp;" [PATRON POR CONFIRMAR CON CONTADOR]","Por el registro de la factura "&amp;Registro_Compras!$C$204&amp;" de "&amp;Registro_Compras!$E$204)))</f>
        <v/>
      </c>
      <c r="H1807">
        <f>IF($C1807="","",Registro_Compras!$C$204)</f>
        <v/>
      </c>
    </row>
    <row r="1808">
      <c r="A1808" s="25">
        <f>IF($C1808="","",Registro_Compras!$B$204)</f>
        <v/>
      </c>
      <c r="B1808">
        <f>IF($C1808="","","C"&amp;TEXT(INT((ROW()-5)/9)+1,"000")&amp;"-2")</f>
        <v/>
      </c>
      <c r="C1808">
        <f>IF(OR(Registro_Compras!$C$204="",Registro_Compras!$O$204=""),"",IF(Registro_Compras!$AB$204="ADMINISTRATIVO","94","95"))</f>
        <v/>
      </c>
      <c r="D1808">
        <f>IF(OR(Registro_Compras!$C$204="",Registro_Compras!$O$204=""),"",IF(Registro_Compras!$AB$204="ADMINISTRATIVO","Gastos Administrativos","Gastos de Venta y Operacion"))</f>
        <v/>
      </c>
      <c r="E1808" s="20">
        <f>IF($C1808="","",IF(Registro_Compras!$F$204="NOTA DE CREDITO","",IF(Registro_Compras!$F$204="RHE",ROUND(Registro_Compras!$L$204*Registro_Compras!$N$204,2),ROUND(Registro_Compras!$J$204*Registro_Compras!$N$204,2))))</f>
        <v/>
      </c>
      <c r="F1808" s="20">
        <f>IF($C1808="","",IF(Registro_Compras!$F$204="NOTA DE CREDITO",ROUND(ABS(Registro_Compras!$J$204*Registro_Compras!$N$204),2),""))</f>
        <v/>
      </c>
      <c r="G1808">
        <f>IF($C1808="","","Por el destino del gasto")</f>
        <v/>
      </c>
      <c r="H1808">
        <f>IF($C1808="","",Registro_Compras!$C$204)</f>
        <v/>
      </c>
    </row>
    <row r="1809">
      <c r="A1809" s="25">
        <f>IF($C1809="","",Registro_Compras!$B$204)</f>
        <v/>
      </c>
      <c r="B1809">
        <f>IF($C1809="","","C"&amp;TEXT(INT((ROW()-5)/9)+1,"000")&amp;"-2")</f>
        <v/>
      </c>
      <c r="C1809">
        <f>IF(OR(Registro_Compras!$C$204="",Registro_Compras!$O$204=""),"","79/791")</f>
        <v/>
      </c>
      <c r="D1809">
        <f>IF(OR(Registro_Compras!$C$204="",Registro_Compras!$O$204=""),"","Cargas Imputables a Cuentas de Costos y Gastos")</f>
        <v/>
      </c>
      <c r="E1809" s="20">
        <f>IF($C1809="","",IF(Registro_Compras!$F$204="NOTA DE CREDITO",ROUND(ABS(Registro_Compras!$J$204*Registro_Compras!$N$204),2),""))</f>
        <v/>
      </c>
      <c r="F1809" s="20">
        <f>IF($C1809="","",IF(Registro_Compras!$F$204="NOTA DE CREDITO","",IF(Registro_Compras!$F$204="RHE",ROUND(Registro_Compras!$L$204*Registro_Compras!$N$204,2),ROUND(Registro_Compras!$J$204*Registro_Compras!$N$204,2))))</f>
        <v/>
      </c>
      <c r="G1809">
        <f>IF($C1809="","","Por el destino del gasto")</f>
        <v/>
      </c>
      <c r="H1809">
        <f>IF($C1809="","",Registro_Compras!$C$204)</f>
        <v/>
      </c>
    </row>
    <row r="1810">
      <c r="A1810" s="25">
        <f>IF($C1810="","",Registro_Compras!$X$204)</f>
        <v/>
      </c>
      <c r="B1810">
        <f>IF($C1810="","","C"&amp;TEXT(INT((ROW()-5)/9)+1,"000")&amp;"-3")</f>
        <v/>
      </c>
      <c r="C1810">
        <f>IF(OR(Registro_Compras!$C$204="",Registro_Compras!$O$204="",Registro_Compras!$R$204&lt;&gt;"SI",Registro_Compras!$X$204=""),"","4212")</f>
        <v/>
      </c>
      <c r="D1810">
        <f>IF(OR(Registro_Compras!$C$204="",Registro_Compras!$O$204=""),"","Cuentas por Pagar Comerciales - Terceros")</f>
        <v/>
      </c>
      <c r="E1810" s="20">
        <f>IF($C1810="","",Registro_Compras!$S$204)</f>
        <v/>
      </c>
      <c r="F1810" s="20">
        <f>""</f>
        <v/>
      </c>
      <c r="G1810">
        <f>IF($C1810="","","Por el deposito de la detraccion en el Banco de la Nacion")</f>
        <v/>
      </c>
      <c r="H1810">
        <f>IF($C1810="","",Registro_Compras!$C$204)</f>
        <v/>
      </c>
    </row>
    <row r="1811">
      <c r="A1811" s="25">
        <f>IF($C1811="","",Registro_Compras!$X$204)</f>
        <v/>
      </c>
      <c r="B1811">
        <f>IF($C1811="","","C"&amp;TEXT(INT((ROW()-5)/9)+1,"000")&amp;"-3")</f>
        <v/>
      </c>
      <c r="C1811">
        <f>IF(OR(Registro_Compras!$C$204="",Registro_Compras!$O$204="",Registro_Compras!$R$204&lt;&gt;"SI",Registro_Compras!$X$204=""),"","10413")</f>
        <v/>
      </c>
      <c r="D1811">
        <f>IF(OR(Registro_Compras!$C$204="",Registro_Compras!$O$204=""),"","Efectivo y Equivalentes - Cta. Cte. Operativa")</f>
        <v/>
      </c>
      <c r="E1811" s="20">
        <f>""</f>
        <v/>
      </c>
      <c r="F1811" s="20">
        <f>IF($C1811="","",Registro_Compras!$S$204)</f>
        <v/>
      </c>
      <c r="G1811">
        <f>IF($C1811="","","Por el deposito de la detraccion en el Banco de la Nacion")</f>
        <v/>
      </c>
      <c r="H1811">
        <f>IF($C1811="","",Registro_Compras!$C$204)</f>
        <v/>
      </c>
    </row>
    <row r="1812">
      <c r="A1812" s="25">
        <f>IF($C1812="","",Registro_Compras!$Y$204)</f>
        <v/>
      </c>
      <c r="B1812">
        <f>IF($C1812="","","C"&amp;TEXT(INT((ROW()-5)/9)+1,"000")&amp;"-4")</f>
        <v/>
      </c>
      <c r="C1812">
        <f>IF(OR(Registro_Compras!$C$204="",Registro_Compras!$O$204="",Registro_Compras!$Y$204="",Registro_Compras!$F$204="NOTA DE CREDITO"),"","4212")</f>
        <v/>
      </c>
      <c r="D1812">
        <f>IF(OR(Registro_Compras!$C$204="",Registro_Compras!$O$204=""),"","Cuentas por Pagar Comerciales - Terceros")</f>
        <v/>
      </c>
      <c r="E1812" s="20">
        <f>IF($C1812="","",IF(Registro_Compras!$F$204="RHE",(ROUND(Registro_Compras!$L$204*Registro_Compras!$N$204,2)-ROUND(Registro_Compras!$V$204*Registro_Compras!$N$204,2)),ROUND(Registro_Compras!$O$204-Registro_Compras!$S$204,2)))</f>
        <v/>
      </c>
      <c r="F1812" s="20">
        <f>""</f>
        <v/>
      </c>
      <c r="G1812">
        <f>IF($C1812="","","Por la cancelacion del saldo al proveedor")</f>
        <v/>
      </c>
      <c r="H1812">
        <f>IF($C1812="","",Registro_Compras!$C$204)</f>
        <v/>
      </c>
    </row>
    <row r="1813">
      <c r="A1813" s="25">
        <f>IF($C1813="","",Registro_Compras!$Y$204)</f>
        <v/>
      </c>
      <c r="B1813">
        <f>IF($C1813="","","C"&amp;TEXT(INT((ROW()-5)/9)+1,"000")&amp;"-4")</f>
        <v/>
      </c>
      <c r="C1813">
        <f>IF(OR(Registro_Compras!$C$204="",Registro_Compras!$O$204="",Registro_Compras!$Y$204="",Registro_Compras!$F$204="NOTA DE CREDITO"),"","10413")</f>
        <v/>
      </c>
      <c r="D1813">
        <f>IF(OR(Registro_Compras!$C$204="",Registro_Compras!$O$204=""),"","Efectivo y Equivalentes - Cta. Cte. Operativa")</f>
        <v/>
      </c>
      <c r="E1813" s="20">
        <f>""</f>
        <v/>
      </c>
      <c r="F1813" s="20">
        <f>IF($C1813="","",IF(Registro_Compras!$F$204="RHE",(ROUND(Registro_Compras!$L$204*Registro_Compras!$N$204,2)-ROUND(Registro_Compras!$V$204*Registro_Compras!$N$204,2)),ROUND(Registro_Compras!$O$204-Registro_Compras!$S$204,2)))</f>
        <v/>
      </c>
      <c r="G1813">
        <f>IF($C1813="","","Por la cancelacion del saldo al proveedor")</f>
        <v/>
      </c>
      <c r="H1813">
        <f>IF($C1813="","",Registro_Compras!$C$204)</f>
        <v/>
      </c>
    </row>
    <row r="1814">
      <c r="A1814" s="25">
        <f>IF($C1814="","",Registro_Compras!$B$205)</f>
        <v/>
      </c>
      <c r="B1814">
        <f>IF($C1814="","","C"&amp;TEXT(INT((ROW()-5)/9)+1,"000")&amp;"-1")</f>
        <v/>
      </c>
      <c r="C1814">
        <f>IF(OR(Registro_Compras!$C$205="",Registro_Compras!$O$205=""),"",IF(Registro_Compras!$F$205="NOTA DE CREDITO","4212",IF(Registro_Compras!$M$205="","63",Registro_Compras!$M$205)))</f>
        <v/>
      </c>
      <c r="D1814">
        <f>IF(OR(Registro_Compras!$C$205="",Registro_Compras!$O$205=""),"",IF(Registro_Compras!$F$205="NOTA DE CREDITO","Cuentas por Pagar Comerciales - Terceros (Emitidas)",IF(Registro_Compras!$F$205="RHE","Honorarios Profesionales - Servicios de Terceros","Gastos de Servicios Prestados por Terceros")))</f>
        <v/>
      </c>
      <c r="E1814" s="20">
        <f>IF($C1814="","",IF(Registro_Compras!$F$205="NOTA DE CREDITO",ABS(Registro_Compras!$O$205),IF(Registro_Compras!$F$205="RHE",ROUND(Registro_Compras!$L$205*Registro_Compras!$N$205,2),ROUND(Registro_Compras!$J$205*Registro_Compras!$N$205,2))))</f>
        <v/>
      </c>
      <c r="F1814" s="20">
        <f>""</f>
        <v/>
      </c>
      <c r="G1814">
        <f>IF($C1814="","",IF(Registro_Compras!$F$205="NOTA DE CREDITO","Por la nota de credito "&amp;Registro_Compras!$C$205&amp;" de "&amp;Registro_Compras!$E$205&amp;" [PATRON POR CONFIRMAR CON CONTADOR]",IF(Registro_Compras!$F$205="RHE","Por el registro del recibo por honorarios "&amp;Registro_Compras!$C$205&amp;" de "&amp;Registro_Compras!$E$205&amp;" [PATRON POR CONFIRMAR CON CONTADOR]","Por el registro de la factura "&amp;Registro_Compras!$C$205&amp;" de "&amp;Registro_Compras!$E$205)))</f>
        <v/>
      </c>
      <c r="H1814">
        <f>IF($C1814="","",Registro_Compras!$C$205)</f>
        <v/>
      </c>
    </row>
    <row r="1815">
      <c r="A1815" s="25">
        <f>IF($C1815="","",Registro_Compras!$B$205)</f>
        <v/>
      </c>
      <c r="B1815">
        <f>IF($C1815="","","C"&amp;TEXT(INT((ROW()-5)/9)+1,"000")&amp;"-1")</f>
        <v/>
      </c>
      <c r="C1815">
        <f>IF(OR(Registro_Compras!$C$205="",Registro_Compras!$O$205=""),"",IF(Registro_Compras!$F$205="RHE",IF(Registro_Compras!$V$205=0,"","40172"),IF(Registro_Compras!$F$205="NOTA DE CREDITO",IF(Registro_Compras!$M$205="","63",Registro_Compras!$M$205),IF(Registro_Compras!$K$205=0,"","40111"))))</f>
        <v/>
      </c>
      <c r="D1815">
        <f>IF(OR(Registro_Compras!$C$205="",Registro_Compras!$O$205=""),"",IF(Registro_Compras!$F$205="RHE","Retencion Renta 4ta Categoria por Pagar",IF(Registro_Compras!$F$205="NOTA DE CREDITO","Gastos de Servicios Prestados por Terceros","IGV - Cuenta Propia (Credito Fiscal)")))</f>
        <v/>
      </c>
      <c r="E1815" s="20">
        <f>IF($C1815="","",IF(Registro_Compras!$F$205="FACTURA",ROUND(Registro_Compras!$K$205*Registro_Compras!$N$205,2),""))</f>
        <v/>
      </c>
      <c r="F1815" s="20">
        <f>IF($C1815="","",IF(Registro_Compras!$F$205="RHE",ROUND(Registro_Compras!$V$205*Registro_Compras!$N$205,2),IF(Registro_Compras!$F$205="NOTA DE CREDITO",ROUND(ABS(Registro_Compras!$J$205*Registro_Compras!$N$205),2),"")))</f>
        <v/>
      </c>
      <c r="G1815">
        <f>IF($C1815="","",IF(Registro_Compras!$F$205="NOTA DE CREDITO","Por la nota de credito "&amp;Registro_Compras!$C$205&amp;" de "&amp;Registro_Compras!$E$205&amp;" [PATRON POR CONFIRMAR CON CONTADOR]",IF(Registro_Compras!$F$205="RHE","Por el registro del recibo por honorarios "&amp;Registro_Compras!$C$205&amp;" de "&amp;Registro_Compras!$E$205&amp;" [PATRON POR CONFIRMAR CON CONTADOR]","Por el registro de la factura "&amp;Registro_Compras!$C$205&amp;" de "&amp;Registro_Compras!$E$205)))</f>
        <v/>
      </c>
      <c r="H1815">
        <f>IF($C1815="","",Registro_Compras!$C$205)</f>
        <v/>
      </c>
    </row>
    <row r="1816">
      <c r="A1816" s="25">
        <f>IF($C1816="","",Registro_Compras!$B$205)</f>
        <v/>
      </c>
      <c r="B1816">
        <f>IF($C1816="","","C"&amp;TEXT(INT((ROW()-5)/9)+1,"000")&amp;"-1")</f>
        <v/>
      </c>
      <c r="C1816">
        <f>IF(OR(Registro_Compras!$C$205="",Registro_Compras!$O$205=""),"",IF(Registro_Compras!$F$205="NOTA DE CREDITO",IF(Registro_Compras!$K$205=0,"","40111"),"4212"))</f>
        <v/>
      </c>
      <c r="D1816">
        <f>IF(OR(Registro_Compras!$C$205="",Registro_Compras!$O$205=""),"",IF(Registro_Compras!$F$205="NOTA DE CREDITO","IGV - Cuenta Propia (Credito Fiscal)","Cuentas por Pagar Comerciales - Terceros (Emitidas)"))</f>
        <v/>
      </c>
      <c r="E1816" s="20">
        <f>""</f>
        <v/>
      </c>
      <c r="F1816" s="20">
        <f>IF($C1816="","",IF(Registro_Compras!$F$205="NOTA DE CREDITO",ROUND(ABS(Registro_Compras!$K$205*Registro_Compras!$N$205),2),IF(Registro_Compras!$F$205="RHE",(ROUND(Registro_Compras!$L$205*Registro_Compras!$N$205,2)-ROUND(Registro_Compras!$V$205*Registro_Compras!$N$205,2)),Registro_Compras!$O$205)))</f>
        <v/>
      </c>
      <c r="G1816">
        <f>IF($C1816="","",IF(Registro_Compras!$F$205="NOTA DE CREDITO","Por la nota de credito "&amp;Registro_Compras!$C$205&amp;" de "&amp;Registro_Compras!$E$205&amp;" [PATRON POR CONFIRMAR CON CONTADOR]",IF(Registro_Compras!$F$205="RHE","Por el registro del recibo por honorarios "&amp;Registro_Compras!$C$205&amp;" de "&amp;Registro_Compras!$E$205&amp;" [PATRON POR CONFIRMAR CON CONTADOR]","Por el registro de la factura "&amp;Registro_Compras!$C$205&amp;" de "&amp;Registro_Compras!$E$205)))</f>
        <v/>
      </c>
      <c r="H1816">
        <f>IF($C1816="","",Registro_Compras!$C$205)</f>
        <v/>
      </c>
    </row>
    <row r="1817">
      <c r="A1817" s="25">
        <f>IF($C1817="","",Registro_Compras!$B$205)</f>
        <v/>
      </c>
      <c r="B1817">
        <f>IF($C1817="","","C"&amp;TEXT(INT((ROW()-5)/9)+1,"000")&amp;"-2")</f>
        <v/>
      </c>
      <c r="C1817">
        <f>IF(OR(Registro_Compras!$C$205="",Registro_Compras!$O$205=""),"",IF(Registro_Compras!$AB$205="ADMINISTRATIVO","94","95"))</f>
        <v/>
      </c>
      <c r="D1817">
        <f>IF(OR(Registro_Compras!$C$205="",Registro_Compras!$O$205=""),"",IF(Registro_Compras!$AB$205="ADMINISTRATIVO","Gastos Administrativos","Gastos de Venta y Operacion"))</f>
        <v/>
      </c>
      <c r="E1817" s="20">
        <f>IF($C1817="","",IF(Registro_Compras!$F$205="NOTA DE CREDITO","",IF(Registro_Compras!$F$205="RHE",ROUND(Registro_Compras!$L$205*Registro_Compras!$N$205,2),ROUND(Registro_Compras!$J$205*Registro_Compras!$N$205,2))))</f>
        <v/>
      </c>
      <c r="F1817" s="20">
        <f>IF($C1817="","",IF(Registro_Compras!$F$205="NOTA DE CREDITO",ROUND(ABS(Registro_Compras!$J$205*Registro_Compras!$N$205),2),""))</f>
        <v/>
      </c>
      <c r="G1817">
        <f>IF($C1817="","","Por el destino del gasto")</f>
        <v/>
      </c>
      <c r="H1817">
        <f>IF($C1817="","",Registro_Compras!$C$205)</f>
        <v/>
      </c>
    </row>
    <row r="1818">
      <c r="A1818" s="25">
        <f>IF($C1818="","",Registro_Compras!$B$205)</f>
        <v/>
      </c>
      <c r="B1818">
        <f>IF($C1818="","","C"&amp;TEXT(INT((ROW()-5)/9)+1,"000")&amp;"-2")</f>
        <v/>
      </c>
      <c r="C1818">
        <f>IF(OR(Registro_Compras!$C$205="",Registro_Compras!$O$205=""),"","79/791")</f>
        <v/>
      </c>
      <c r="D1818">
        <f>IF(OR(Registro_Compras!$C$205="",Registro_Compras!$O$205=""),"","Cargas Imputables a Cuentas de Costos y Gastos")</f>
        <v/>
      </c>
      <c r="E1818" s="20">
        <f>IF($C1818="","",IF(Registro_Compras!$F$205="NOTA DE CREDITO",ROUND(ABS(Registro_Compras!$J$205*Registro_Compras!$N$205),2),""))</f>
        <v/>
      </c>
      <c r="F1818" s="20">
        <f>IF($C1818="","",IF(Registro_Compras!$F$205="NOTA DE CREDITO","",IF(Registro_Compras!$F$205="RHE",ROUND(Registro_Compras!$L$205*Registro_Compras!$N$205,2),ROUND(Registro_Compras!$J$205*Registro_Compras!$N$205,2))))</f>
        <v/>
      </c>
      <c r="G1818">
        <f>IF($C1818="","","Por el destino del gasto")</f>
        <v/>
      </c>
      <c r="H1818">
        <f>IF($C1818="","",Registro_Compras!$C$205)</f>
        <v/>
      </c>
    </row>
    <row r="1819">
      <c r="A1819" s="25">
        <f>IF($C1819="","",Registro_Compras!$X$205)</f>
        <v/>
      </c>
      <c r="B1819">
        <f>IF($C1819="","","C"&amp;TEXT(INT((ROW()-5)/9)+1,"000")&amp;"-3")</f>
        <v/>
      </c>
      <c r="C1819">
        <f>IF(OR(Registro_Compras!$C$205="",Registro_Compras!$O$205="",Registro_Compras!$R$205&lt;&gt;"SI",Registro_Compras!$X$205=""),"","4212")</f>
        <v/>
      </c>
      <c r="D1819">
        <f>IF(OR(Registro_Compras!$C$205="",Registro_Compras!$O$205=""),"","Cuentas por Pagar Comerciales - Terceros")</f>
        <v/>
      </c>
      <c r="E1819" s="20">
        <f>IF($C1819="","",Registro_Compras!$S$205)</f>
        <v/>
      </c>
      <c r="F1819" s="20">
        <f>""</f>
        <v/>
      </c>
      <c r="G1819">
        <f>IF($C1819="","","Por el deposito de la detraccion en el Banco de la Nacion")</f>
        <v/>
      </c>
      <c r="H1819">
        <f>IF($C1819="","",Registro_Compras!$C$205)</f>
        <v/>
      </c>
    </row>
    <row r="1820">
      <c r="A1820" s="25">
        <f>IF($C1820="","",Registro_Compras!$X$205)</f>
        <v/>
      </c>
      <c r="B1820">
        <f>IF($C1820="","","C"&amp;TEXT(INT((ROW()-5)/9)+1,"000")&amp;"-3")</f>
        <v/>
      </c>
      <c r="C1820">
        <f>IF(OR(Registro_Compras!$C$205="",Registro_Compras!$O$205="",Registro_Compras!$R$205&lt;&gt;"SI",Registro_Compras!$X$205=""),"","10413")</f>
        <v/>
      </c>
      <c r="D1820">
        <f>IF(OR(Registro_Compras!$C$205="",Registro_Compras!$O$205=""),"","Efectivo y Equivalentes - Cta. Cte. Operativa")</f>
        <v/>
      </c>
      <c r="E1820" s="20">
        <f>""</f>
        <v/>
      </c>
      <c r="F1820" s="20">
        <f>IF($C1820="","",Registro_Compras!$S$205)</f>
        <v/>
      </c>
      <c r="G1820">
        <f>IF($C1820="","","Por el deposito de la detraccion en el Banco de la Nacion")</f>
        <v/>
      </c>
      <c r="H1820">
        <f>IF($C1820="","",Registro_Compras!$C$205)</f>
        <v/>
      </c>
    </row>
    <row r="1821">
      <c r="A1821" s="25">
        <f>IF($C1821="","",Registro_Compras!$Y$205)</f>
        <v/>
      </c>
      <c r="B1821">
        <f>IF($C1821="","","C"&amp;TEXT(INT((ROW()-5)/9)+1,"000")&amp;"-4")</f>
        <v/>
      </c>
      <c r="C1821">
        <f>IF(OR(Registro_Compras!$C$205="",Registro_Compras!$O$205="",Registro_Compras!$Y$205="",Registro_Compras!$F$205="NOTA DE CREDITO"),"","4212")</f>
        <v/>
      </c>
      <c r="D1821">
        <f>IF(OR(Registro_Compras!$C$205="",Registro_Compras!$O$205=""),"","Cuentas por Pagar Comerciales - Terceros")</f>
        <v/>
      </c>
      <c r="E1821" s="20">
        <f>IF($C1821="","",IF(Registro_Compras!$F$205="RHE",(ROUND(Registro_Compras!$L$205*Registro_Compras!$N$205,2)-ROUND(Registro_Compras!$V$205*Registro_Compras!$N$205,2)),ROUND(Registro_Compras!$O$205-Registro_Compras!$S$205,2)))</f>
        <v/>
      </c>
      <c r="F1821" s="20">
        <f>""</f>
        <v/>
      </c>
      <c r="G1821">
        <f>IF($C1821="","","Por la cancelacion del saldo al proveedor")</f>
        <v/>
      </c>
      <c r="H1821">
        <f>IF($C1821="","",Registro_Compras!$C$205)</f>
        <v/>
      </c>
    </row>
    <row r="1822">
      <c r="A1822" s="25">
        <f>IF($C1822="","",Registro_Compras!$Y$205)</f>
        <v/>
      </c>
      <c r="B1822">
        <f>IF($C1822="","","C"&amp;TEXT(INT((ROW()-5)/9)+1,"000")&amp;"-4")</f>
        <v/>
      </c>
      <c r="C1822">
        <f>IF(OR(Registro_Compras!$C$205="",Registro_Compras!$O$205="",Registro_Compras!$Y$205="",Registro_Compras!$F$205="NOTA DE CREDITO"),"","10413")</f>
        <v/>
      </c>
      <c r="D1822">
        <f>IF(OR(Registro_Compras!$C$205="",Registro_Compras!$O$205=""),"","Efectivo y Equivalentes - Cta. Cte. Operativa")</f>
        <v/>
      </c>
      <c r="E1822" s="20">
        <f>""</f>
        <v/>
      </c>
      <c r="F1822" s="20">
        <f>IF($C1822="","",IF(Registro_Compras!$F$205="RHE",(ROUND(Registro_Compras!$L$205*Registro_Compras!$N$205,2)-ROUND(Registro_Compras!$V$205*Registro_Compras!$N$205,2)),ROUND(Registro_Compras!$O$205-Registro_Compras!$S$205,2)))</f>
        <v/>
      </c>
      <c r="G1822">
        <f>IF($C1822="","","Por la cancelacion del saldo al proveedor")</f>
        <v/>
      </c>
      <c r="H1822">
        <f>IF($C1822="","",Registro_Compras!$C$205)</f>
        <v/>
      </c>
    </row>
    <row r="1823">
      <c r="A1823" s="25">
        <f>IF($C1823="","",Registro_Compras!$B$206)</f>
        <v/>
      </c>
      <c r="B1823">
        <f>IF($C1823="","","C"&amp;TEXT(INT((ROW()-5)/9)+1,"000")&amp;"-1")</f>
        <v/>
      </c>
      <c r="C1823">
        <f>IF(OR(Registro_Compras!$C$206="",Registro_Compras!$O$206=""),"",IF(Registro_Compras!$F$206="NOTA DE CREDITO","4212",IF(Registro_Compras!$M$206="","63",Registro_Compras!$M$206)))</f>
        <v/>
      </c>
      <c r="D1823">
        <f>IF(OR(Registro_Compras!$C$206="",Registro_Compras!$O$206=""),"",IF(Registro_Compras!$F$206="NOTA DE CREDITO","Cuentas por Pagar Comerciales - Terceros (Emitidas)",IF(Registro_Compras!$F$206="RHE","Honorarios Profesionales - Servicios de Terceros","Gastos de Servicios Prestados por Terceros")))</f>
        <v/>
      </c>
      <c r="E1823" s="20">
        <f>IF($C1823="","",IF(Registro_Compras!$F$206="NOTA DE CREDITO",ABS(Registro_Compras!$O$206),IF(Registro_Compras!$F$206="RHE",ROUND(Registro_Compras!$L$206*Registro_Compras!$N$206,2),ROUND(Registro_Compras!$J$206*Registro_Compras!$N$206,2))))</f>
        <v/>
      </c>
      <c r="F1823" s="20">
        <f>""</f>
        <v/>
      </c>
      <c r="G1823">
        <f>IF($C1823="","",IF(Registro_Compras!$F$206="NOTA DE CREDITO","Por la nota de credito "&amp;Registro_Compras!$C$206&amp;" de "&amp;Registro_Compras!$E$206&amp;" [PATRON POR CONFIRMAR CON CONTADOR]",IF(Registro_Compras!$F$206="RHE","Por el registro del recibo por honorarios "&amp;Registro_Compras!$C$206&amp;" de "&amp;Registro_Compras!$E$206&amp;" [PATRON POR CONFIRMAR CON CONTADOR]","Por el registro de la factura "&amp;Registro_Compras!$C$206&amp;" de "&amp;Registro_Compras!$E$206)))</f>
        <v/>
      </c>
      <c r="H1823">
        <f>IF($C1823="","",Registro_Compras!$C$206)</f>
        <v/>
      </c>
    </row>
    <row r="1824">
      <c r="A1824" s="25">
        <f>IF($C1824="","",Registro_Compras!$B$206)</f>
        <v/>
      </c>
      <c r="B1824">
        <f>IF($C1824="","","C"&amp;TEXT(INT((ROW()-5)/9)+1,"000")&amp;"-1")</f>
        <v/>
      </c>
      <c r="C1824">
        <f>IF(OR(Registro_Compras!$C$206="",Registro_Compras!$O$206=""),"",IF(Registro_Compras!$F$206="RHE",IF(Registro_Compras!$V$206=0,"","40172"),IF(Registro_Compras!$F$206="NOTA DE CREDITO",IF(Registro_Compras!$M$206="","63",Registro_Compras!$M$206),IF(Registro_Compras!$K$206=0,"","40111"))))</f>
        <v/>
      </c>
      <c r="D1824">
        <f>IF(OR(Registro_Compras!$C$206="",Registro_Compras!$O$206=""),"",IF(Registro_Compras!$F$206="RHE","Retencion Renta 4ta Categoria por Pagar",IF(Registro_Compras!$F$206="NOTA DE CREDITO","Gastos de Servicios Prestados por Terceros","IGV - Cuenta Propia (Credito Fiscal)")))</f>
        <v/>
      </c>
      <c r="E1824" s="20">
        <f>IF($C1824="","",IF(Registro_Compras!$F$206="FACTURA",ROUND(Registro_Compras!$K$206*Registro_Compras!$N$206,2),""))</f>
        <v/>
      </c>
      <c r="F1824" s="20">
        <f>IF($C1824="","",IF(Registro_Compras!$F$206="RHE",ROUND(Registro_Compras!$V$206*Registro_Compras!$N$206,2),IF(Registro_Compras!$F$206="NOTA DE CREDITO",ROUND(ABS(Registro_Compras!$J$206*Registro_Compras!$N$206),2),"")))</f>
        <v/>
      </c>
      <c r="G1824">
        <f>IF($C1824="","",IF(Registro_Compras!$F$206="NOTA DE CREDITO","Por la nota de credito "&amp;Registro_Compras!$C$206&amp;" de "&amp;Registro_Compras!$E$206&amp;" [PATRON POR CONFIRMAR CON CONTADOR]",IF(Registro_Compras!$F$206="RHE","Por el registro del recibo por honorarios "&amp;Registro_Compras!$C$206&amp;" de "&amp;Registro_Compras!$E$206&amp;" [PATRON POR CONFIRMAR CON CONTADOR]","Por el registro de la factura "&amp;Registro_Compras!$C$206&amp;" de "&amp;Registro_Compras!$E$206)))</f>
        <v/>
      </c>
      <c r="H1824">
        <f>IF($C1824="","",Registro_Compras!$C$206)</f>
        <v/>
      </c>
    </row>
    <row r="1825">
      <c r="A1825" s="25">
        <f>IF($C1825="","",Registro_Compras!$B$206)</f>
        <v/>
      </c>
      <c r="B1825">
        <f>IF($C1825="","","C"&amp;TEXT(INT((ROW()-5)/9)+1,"000")&amp;"-1")</f>
        <v/>
      </c>
      <c r="C1825">
        <f>IF(OR(Registro_Compras!$C$206="",Registro_Compras!$O$206=""),"",IF(Registro_Compras!$F$206="NOTA DE CREDITO",IF(Registro_Compras!$K$206=0,"","40111"),"4212"))</f>
        <v/>
      </c>
      <c r="D1825">
        <f>IF(OR(Registro_Compras!$C$206="",Registro_Compras!$O$206=""),"",IF(Registro_Compras!$F$206="NOTA DE CREDITO","IGV - Cuenta Propia (Credito Fiscal)","Cuentas por Pagar Comerciales - Terceros (Emitidas)"))</f>
        <v/>
      </c>
      <c r="E1825" s="20">
        <f>""</f>
        <v/>
      </c>
      <c r="F1825" s="20">
        <f>IF($C1825="","",IF(Registro_Compras!$F$206="NOTA DE CREDITO",ROUND(ABS(Registro_Compras!$K$206*Registro_Compras!$N$206),2),IF(Registro_Compras!$F$206="RHE",(ROUND(Registro_Compras!$L$206*Registro_Compras!$N$206,2)-ROUND(Registro_Compras!$V$206*Registro_Compras!$N$206,2)),Registro_Compras!$O$206)))</f>
        <v/>
      </c>
      <c r="G1825">
        <f>IF($C1825="","",IF(Registro_Compras!$F$206="NOTA DE CREDITO","Por la nota de credito "&amp;Registro_Compras!$C$206&amp;" de "&amp;Registro_Compras!$E$206&amp;" [PATRON POR CONFIRMAR CON CONTADOR]",IF(Registro_Compras!$F$206="RHE","Por el registro del recibo por honorarios "&amp;Registro_Compras!$C$206&amp;" de "&amp;Registro_Compras!$E$206&amp;" [PATRON POR CONFIRMAR CON CONTADOR]","Por el registro de la factura "&amp;Registro_Compras!$C$206&amp;" de "&amp;Registro_Compras!$E$206)))</f>
        <v/>
      </c>
      <c r="H1825">
        <f>IF($C1825="","",Registro_Compras!$C$206)</f>
        <v/>
      </c>
    </row>
    <row r="1826">
      <c r="A1826" s="25">
        <f>IF($C1826="","",Registro_Compras!$B$206)</f>
        <v/>
      </c>
      <c r="B1826">
        <f>IF($C1826="","","C"&amp;TEXT(INT((ROW()-5)/9)+1,"000")&amp;"-2")</f>
        <v/>
      </c>
      <c r="C1826">
        <f>IF(OR(Registro_Compras!$C$206="",Registro_Compras!$O$206=""),"",IF(Registro_Compras!$AB$206="ADMINISTRATIVO","94","95"))</f>
        <v/>
      </c>
      <c r="D1826">
        <f>IF(OR(Registro_Compras!$C$206="",Registro_Compras!$O$206=""),"",IF(Registro_Compras!$AB$206="ADMINISTRATIVO","Gastos Administrativos","Gastos de Venta y Operacion"))</f>
        <v/>
      </c>
      <c r="E1826" s="20">
        <f>IF($C1826="","",IF(Registro_Compras!$F$206="NOTA DE CREDITO","",IF(Registro_Compras!$F$206="RHE",ROUND(Registro_Compras!$L$206*Registro_Compras!$N$206,2),ROUND(Registro_Compras!$J$206*Registro_Compras!$N$206,2))))</f>
        <v/>
      </c>
      <c r="F1826" s="20">
        <f>IF($C1826="","",IF(Registro_Compras!$F$206="NOTA DE CREDITO",ROUND(ABS(Registro_Compras!$J$206*Registro_Compras!$N$206),2),""))</f>
        <v/>
      </c>
      <c r="G1826">
        <f>IF($C1826="","","Por el destino del gasto")</f>
        <v/>
      </c>
      <c r="H1826">
        <f>IF($C1826="","",Registro_Compras!$C$206)</f>
        <v/>
      </c>
    </row>
    <row r="1827">
      <c r="A1827" s="25">
        <f>IF($C1827="","",Registro_Compras!$B$206)</f>
        <v/>
      </c>
      <c r="B1827">
        <f>IF($C1827="","","C"&amp;TEXT(INT((ROW()-5)/9)+1,"000")&amp;"-2")</f>
        <v/>
      </c>
      <c r="C1827">
        <f>IF(OR(Registro_Compras!$C$206="",Registro_Compras!$O$206=""),"","79/791")</f>
        <v/>
      </c>
      <c r="D1827">
        <f>IF(OR(Registro_Compras!$C$206="",Registro_Compras!$O$206=""),"","Cargas Imputables a Cuentas de Costos y Gastos")</f>
        <v/>
      </c>
      <c r="E1827" s="20">
        <f>IF($C1827="","",IF(Registro_Compras!$F$206="NOTA DE CREDITO",ROUND(ABS(Registro_Compras!$J$206*Registro_Compras!$N$206),2),""))</f>
        <v/>
      </c>
      <c r="F1827" s="20">
        <f>IF($C1827="","",IF(Registro_Compras!$F$206="NOTA DE CREDITO","",IF(Registro_Compras!$F$206="RHE",ROUND(Registro_Compras!$L$206*Registro_Compras!$N$206,2),ROUND(Registro_Compras!$J$206*Registro_Compras!$N$206,2))))</f>
        <v/>
      </c>
      <c r="G1827">
        <f>IF($C1827="","","Por el destino del gasto")</f>
        <v/>
      </c>
      <c r="H1827">
        <f>IF($C1827="","",Registro_Compras!$C$206)</f>
        <v/>
      </c>
    </row>
    <row r="1828">
      <c r="A1828" s="25">
        <f>IF($C1828="","",Registro_Compras!$X$206)</f>
        <v/>
      </c>
      <c r="B1828">
        <f>IF($C1828="","","C"&amp;TEXT(INT((ROW()-5)/9)+1,"000")&amp;"-3")</f>
        <v/>
      </c>
      <c r="C1828">
        <f>IF(OR(Registro_Compras!$C$206="",Registro_Compras!$O$206="",Registro_Compras!$R$206&lt;&gt;"SI",Registro_Compras!$X$206=""),"","4212")</f>
        <v/>
      </c>
      <c r="D1828">
        <f>IF(OR(Registro_Compras!$C$206="",Registro_Compras!$O$206=""),"","Cuentas por Pagar Comerciales - Terceros")</f>
        <v/>
      </c>
      <c r="E1828" s="20">
        <f>IF($C1828="","",Registro_Compras!$S$206)</f>
        <v/>
      </c>
      <c r="F1828" s="20">
        <f>""</f>
        <v/>
      </c>
      <c r="G1828">
        <f>IF($C1828="","","Por el deposito de la detraccion en el Banco de la Nacion")</f>
        <v/>
      </c>
      <c r="H1828">
        <f>IF($C1828="","",Registro_Compras!$C$206)</f>
        <v/>
      </c>
    </row>
    <row r="1829">
      <c r="A1829" s="25">
        <f>IF($C1829="","",Registro_Compras!$X$206)</f>
        <v/>
      </c>
      <c r="B1829">
        <f>IF($C1829="","","C"&amp;TEXT(INT((ROW()-5)/9)+1,"000")&amp;"-3")</f>
        <v/>
      </c>
      <c r="C1829">
        <f>IF(OR(Registro_Compras!$C$206="",Registro_Compras!$O$206="",Registro_Compras!$R$206&lt;&gt;"SI",Registro_Compras!$X$206=""),"","10413")</f>
        <v/>
      </c>
      <c r="D1829">
        <f>IF(OR(Registro_Compras!$C$206="",Registro_Compras!$O$206=""),"","Efectivo y Equivalentes - Cta. Cte. Operativa")</f>
        <v/>
      </c>
      <c r="E1829" s="20">
        <f>""</f>
        <v/>
      </c>
      <c r="F1829" s="20">
        <f>IF($C1829="","",Registro_Compras!$S$206)</f>
        <v/>
      </c>
      <c r="G1829">
        <f>IF($C1829="","","Por el deposito de la detraccion en el Banco de la Nacion")</f>
        <v/>
      </c>
      <c r="H1829">
        <f>IF($C1829="","",Registro_Compras!$C$206)</f>
        <v/>
      </c>
    </row>
    <row r="1830">
      <c r="A1830" s="25">
        <f>IF($C1830="","",Registro_Compras!$Y$206)</f>
        <v/>
      </c>
      <c r="B1830">
        <f>IF($C1830="","","C"&amp;TEXT(INT((ROW()-5)/9)+1,"000")&amp;"-4")</f>
        <v/>
      </c>
      <c r="C1830">
        <f>IF(OR(Registro_Compras!$C$206="",Registro_Compras!$O$206="",Registro_Compras!$Y$206="",Registro_Compras!$F$206="NOTA DE CREDITO"),"","4212")</f>
        <v/>
      </c>
      <c r="D1830">
        <f>IF(OR(Registro_Compras!$C$206="",Registro_Compras!$O$206=""),"","Cuentas por Pagar Comerciales - Terceros")</f>
        <v/>
      </c>
      <c r="E1830" s="20">
        <f>IF($C1830="","",IF(Registro_Compras!$F$206="RHE",(ROUND(Registro_Compras!$L$206*Registro_Compras!$N$206,2)-ROUND(Registro_Compras!$V$206*Registro_Compras!$N$206,2)),ROUND(Registro_Compras!$O$206-Registro_Compras!$S$206,2)))</f>
        <v/>
      </c>
      <c r="F1830" s="20">
        <f>""</f>
        <v/>
      </c>
      <c r="G1830">
        <f>IF($C1830="","","Por la cancelacion del saldo al proveedor")</f>
        <v/>
      </c>
      <c r="H1830">
        <f>IF($C1830="","",Registro_Compras!$C$206)</f>
        <v/>
      </c>
    </row>
    <row r="1831">
      <c r="A1831" s="25">
        <f>IF($C1831="","",Registro_Compras!$Y$206)</f>
        <v/>
      </c>
      <c r="B1831">
        <f>IF($C1831="","","C"&amp;TEXT(INT((ROW()-5)/9)+1,"000")&amp;"-4")</f>
        <v/>
      </c>
      <c r="C1831">
        <f>IF(OR(Registro_Compras!$C$206="",Registro_Compras!$O$206="",Registro_Compras!$Y$206="",Registro_Compras!$F$206="NOTA DE CREDITO"),"","10413")</f>
        <v/>
      </c>
      <c r="D1831">
        <f>IF(OR(Registro_Compras!$C$206="",Registro_Compras!$O$206=""),"","Efectivo y Equivalentes - Cta. Cte. Operativa")</f>
        <v/>
      </c>
      <c r="E1831" s="20">
        <f>""</f>
        <v/>
      </c>
      <c r="F1831" s="20">
        <f>IF($C1831="","",IF(Registro_Compras!$F$206="RHE",(ROUND(Registro_Compras!$L$206*Registro_Compras!$N$206,2)-ROUND(Registro_Compras!$V$206*Registro_Compras!$N$206,2)),ROUND(Registro_Compras!$O$206-Registro_Compras!$S$206,2)))</f>
        <v/>
      </c>
      <c r="G1831">
        <f>IF($C1831="","","Por la cancelacion del saldo al proveedor")</f>
        <v/>
      </c>
      <c r="H1831">
        <f>IF($C1831="","",Registro_Compras!$C$206)</f>
        <v/>
      </c>
    </row>
    <row r="1832">
      <c r="A1832" s="25">
        <f>IF($C1832="","",Registro_Compras!$B$207)</f>
        <v/>
      </c>
      <c r="B1832">
        <f>IF($C1832="","","C"&amp;TEXT(INT((ROW()-5)/9)+1,"000")&amp;"-1")</f>
        <v/>
      </c>
      <c r="C1832">
        <f>IF(OR(Registro_Compras!$C$207="",Registro_Compras!$O$207=""),"",IF(Registro_Compras!$F$207="NOTA DE CREDITO","4212",IF(Registro_Compras!$M$207="","63",Registro_Compras!$M$207)))</f>
        <v/>
      </c>
      <c r="D1832">
        <f>IF(OR(Registro_Compras!$C$207="",Registro_Compras!$O$207=""),"",IF(Registro_Compras!$F$207="NOTA DE CREDITO","Cuentas por Pagar Comerciales - Terceros (Emitidas)",IF(Registro_Compras!$F$207="RHE","Honorarios Profesionales - Servicios de Terceros","Gastos de Servicios Prestados por Terceros")))</f>
        <v/>
      </c>
      <c r="E1832" s="20">
        <f>IF($C1832="","",IF(Registro_Compras!$F$207="NOTA DE CREDITO",ABS(Registro_Compras!$O$207),IF(Registro_Compras!$F$207="RHE",ROUND(Registro_Compras!$L$207*Registro_Compras!$N$207,2),ROUND(Registro_Compras!$J$207*Registro_Compras!$N$207,2))))</f>
        <v/>
      </c>
      <c r="F1832" s="20">
        <f>""</f>
        <v/>
      </c>
      <c r="G1832">
        <f>IF($C1832="","",IF(Registro_Compras!$F$207="NOTA DE CREDITO","Por la nota de credito "&amp;Registro_Compras!$C$207&amp;" de "&amp;Registro_Compras!$E$207&amp;" [PATRON POR CONFIRMAR CON CONTADOR]",IF(Registro_Compras!$F$207="RHE","Por el registro del recibo por honorarios "&amp;Registro_Compras!$C$207&amp;" de "&amp;Registro_Compras!$E$207&amp;" [PATRON POR CONFIRMAR CON CONTADOR]","Por el registro de la factura "&amp;Registro_Compras!$C$207&amp;" de "&amp;Registro_Compras!$E$207)))</f>
        <v/>
      </c>
      <c r="H1832">
        <f>IF($C1832="","",Registro_Compras!$C$207)</f>
        <v/>
      </c>
    </row>
    <row r="1833">
      <c r="A1833" s="25">
        <f>IF($C1833="","",Registro_Compras!$B$207)</f>
        <v/>
      </c>
      <c r="B1833">
        <f>IF($C1833="","","C"&amp;TEXT(INT((ROW()-5)/9)+1,"000")&amp;"-1")</f>
        <v/>
      </c>
      <c r="C1833">
        <f>IF(OR(Registro_Compras!$C$207="",Registro_Compras!$O$207=""),"",IF(Registro_Compras!$F$207="RHE",IF(Registro_Compras!$V$207=0,"","40172"),IF(Registro_Compras!$F$207="NOTA DE CREDITO",IF(Registro_Compras!$M$207="","63",Registro_Compras!$M$207),IF(Registro_Compras!$K$207=0,"","40111"))))</f>
        <v/>
      </c>
      <c r="D1833">
        <f>IF(OR(Registro_Compras!$C$207="",Registro_Compras!$O$207=""),"",IF(Registro_Compras!$F$207="RHE","Retencion Renta 4ta Categoria por Pagar",IF(Registro_Compras!$F$207="NOTA DE CREDITO","Gastos de Servicios Prestados por Terceros","IGV - Cuenta Propia (Credito Fiscal)")))</f>
        <v/>
      </c>
      <c r="E1833" s="20">
        <f>IF($C1833="","",IF(Registro_Compras!$F$207="FACTURA",ROUND(Registro_Compras!$K$207*Registro_Compras!$N$207,2),""))</f>
        <v/>
      </c>
      <c r="F1833" s="20">
        <f>IF($C1833="","",IF(Registro_Compras!$F$207="RHE",ROUND(Registro_Compras!$V$207*Registro_Compras!$N$207,2),IF(Registro_Compras!$F$207="NOTA DE CREDITO",ROUND(ABS(Registro_Compras!$J$207*Registro_Compras!$N$207),2),"")))</f>
        <v/>
      </c>
      <c r="G1833">
        <f>IF($C1833="","",IF(Registro_Compras!$F$207="NOTA DE CREDITO","Por la nota de credito "&amp;Registro_Compras!$C$207&amp;" de "&amp;Registro_Compras!$E$207&amp;" [PATRON POR CONFIRMAR CON CONTADOR]",IF(Registro_Compras!$F$207="RHE","Por el registro del recibo por honorarios "&amp;Registro_Compras!$C$207&amp;" de "&amp;Registro_Compras!$E$207&amp;" [PATRON POR CONFIRMAR CON CONTADOR]","Por el registro de la factura "&amp;Registro_Compras!$C$207&amp;" de "&amp;Registro_Compras!$E$207)))</f>
        <v/>
      </c>
      <c r="H1833">
        <f>IF($C1833="","",Registro_Compras!$C$207)</f>
        <v/>
      </c>
    </row>
    <row r="1834">
      <c r="A1834" s="25">
        <f>IF($C1834="","",Registro_Compras!$B$207)</f>
        <v/>
      </c>
      <c r="B1834">
        <f>IF($C1834="","","C"&amp;TEXT(INT((ROW()-5)/9)+1,"000")&amp;"-1")</f>
        <v/>
      </c>
      <c r="C1834">
        <f>IF(OR(Registro_Compras!$C$207="",Registro_Compras!$O$207=""),"",IF(Registro_Compras!$F$207="NOTA DE CREDITO",IF(Registro_Compras!$K$207=0,"","40111"),"4212"))</f>
        <v/>
      </c>
      <c r="D1834">
        <f>IF(OR(Registro_Compras!$C$207="",Registro_Compras!$O$207=""),"",IF(Registro_Compras!$F$207="NOTA DE CREDITO","IGV - Cuenta Propia (Credito Fiscal)","Cuentas por Pagar Comerciales - Terceros (Emitidas)"))</f>
        <v/>
      </c>
      <c r="E1834" s="20">
        <f>""</f>
        <v/>
      </c>
      <c r="F1834" s="20">
        <f>IF($C1834="","",IF(Registro_Compras!$F$207="NOTA DE CREDITO",ROUND(ABS(Registro_Compras!$K$207*Registro_Compras!$N$207),2),IF(Registro_Compras!$F$207="RHE",(ROUND(Registro_Compras!$L$207*Registro_Compras!$N$207,2)-ROUND(Registro_Compras!$V$207*Registro_Compras!$N$207,2)),Registro_Compras!$O$207)))</f>
        <v/>
      </c>
      <c r="G1834">
        <f>IF($C1834="","",IF(Registro_Compras!$F$207="NOTA DE CREDITO","Por la nota de credito "&amp;Registro_Compras!$C$207&amp;" de "&amp;Registro_Compras!$E$207&amp;" [PATRON POR CONFIRMAR CON CONTADOR]",IF(Registro_Compras!$F$207="RHE","Por el registro del recibo por honorarios "&amp;Registro_Compras!$C$207&amp;" de "&amp;Registro_Compras!$E$207&amp;" [PATRON POR CONFIRMAR CON CONTADOR]","Por el registro de la factura "&amp;Registro_Compras!$C$207&amp;" de "&amp;Registro_Compras!$E$207)))</f>
        <v/>
      </c>
      <c r="H1834">
        <f>IF($C1834="","",Registro_Compras!$C$207)</f>
        <v/>
      </c>
    </row>
    <row r="1835">
      <c r="A1835" s="25">
        <f>IF($C1835="","",Registro_Compras!$B$207)</f>
        <v/>
      </c>
      <c r="B1835">
        <f>IF($C1835="","","C"&amp;TEXT(INT((ROW()-5)/9)+1,"000")&amp;"-2")</f>
        <v/>
      </c>
      <c r="C1835">
        <f>IF(OR(Registro_Compras!$C$207="",Registro_Compras!$O$207=""),"",IF(Registro_Compras!$AB$207="ADMINISTRATIVO","94","95"))</f>
        <v/>
      </c>
      <c r="D1835">
        <f>IF(OR(Registro_Compras!$C$207="",Registro_Compras!$O$207=""),"",IF(Registro_Compras!$AB$207="ADMINISTRATIVO","Gastos Administrativos","Gastos de Venta y Operacion"))</f>
        <v/>
      </c>
      <c r="E1835" s="20">
        <f>IF($C1835="","",IF(Registro_Compras!$F$207="NOTA DE CREDITO","",IF(Registro_Compras!$F$207="RHE",ROUND(Registro_Compras!$L$207*Registro_Compras!$N$207,2),ROUND(Registro_Compras!$J$207*Registro_Compras!$N$207,2))))</f>
        <v/>
      </c>
      <c r="F1835" s="20">
        <f>IF($C1835="","",IF(Registro_Compras!$F$207="NOTA DE CREDITO",ROUND(ABS(Registro_Compras!$J$207*Registro_Compras!$N$207),2),""))</f>
        <v/>
      </c>
      <c r="G1835">
        <f>IF($C1835="","","Por el destino del gasto")</f>
        <v/>
      </c>
      <c r="H1835">
        <f>IF($C1835="","",Registro_Compras!$C$207)</f>
        <v/>
      </c>
    </row>
    <row r="1836">
      <c r="A1836" s="25">
        <f>IF($C1836="","",Registro_Compras!$B$207)</f>
        <v/>
      </c>
      <c r="B1836">
        <f>IF($C1836="","","C"&amp;TEXT(INT((ROW()-5)/9)+1,"000")&amp;"-2")</f>
        <v/>
      </c>
      <c r="C1836">
        <f>IF(OR(Registro_Compras!$C$207="",Registro_Compras!$O$207=""),"","79/791")</f>
        <v/>
      </c>
      <c r="D1836">
        <f>IF(OR(Registro_Compras!$C$207="",Registro_Compras!$O$207=""),"","Cargas Imputables a Cuentas de Costos y Gastos")</f>
        <v/>
      </c>
      <c r="E1836" s="20">
        <f>IF($C1836="","",IF(Registro_Compras!$F$207="NOTA DE CREDITO",ROUND(ABS(Registro_Compras!$J$207*Registro_Compras!$N$207),2),""))</f>
        <v/>
      </c>
      <c r="F1836" s="20">
        <f>IF($C1836="","",IF(Registro_Compras!$F$207="NOTA DE CREDITO","",IF(Registro_Compras!$F$207="RHE",ROUND(Registro_Compras!$L$207*Registro_Compras!$N$207,2),ROUND(Registro_Compras!$J$207*Registro_Compras!$N$207,2))))</f>
        <v/>
      </c>
      <c r="G1836">
        <f>IF($C1836="","","Por el destino del gasto")</f>
        <v/>
      </c>
      <c r="H1836">
        <f>IF($C1836="","",Registro_Compras!$C$207)</f>
        <v/>
      </c>
    </row>
    <row r="1837">
      <c r="A1837" s="25">
        <f>IF($C1837="","",Registro_Compras!$X$207)</f>
        <v/>
      </c>
      <c r="B1837">
        <f>IF($C1837="","","C"&amp;TEXT(INT((ROW()-5)/9)+1,"000")&amp;"-3")</f>
        <v/>
      </c>
      <c r="C1837">
        <f>IF(OR(Registro_Compras!$C$207="",Registro_Compras!$O$207="",Registro_Compras!$R$207&lt;&gt;"SI",Registro_Compras!$X$207=""),"","4212")</f>
        <v/>
      </c>
      <c r="D1837">
        <f>IF(OR(Registro_Compras!$C$207="",Registro_Compras!$O$207=""),"","Cuentas por Pagar Comerciales - Terceros")</f>
        <v/>
      </c>
      <c r="E1837" s="20">
        <f>IF($C1837="","",Registro_Compras!$S$207)</f>
        <v/>
      </c>
      <c r="F1837" s="20">
        <f>""</f>
        <v/>
      </c>
      <c r="G1837">
        <f>IF($C1837="","","Por el deposito de la detraccion en el Banco de la Nacion")</f>
        <v/>
      </c>
      <c r="H1837">
        <f>IF($C1837="","",Registro_Compras!$C$207)</f>
        <v/>
      </c>
    </row>
    <row r="1838">
      <c r="A1838" s="25">
        <f>IF($C1838="","",Registro_Compras!$X$207)</f>
        <v/>
      </c>
      <c r="B1838">
        <f>IF($C1838="","","C"&amp;TEXT(INT((ROW()-5)/9)+1,"000")&amp;"-3")</f>
        <v/>
      </c>
      <c r="C1838">
        <f>IF(OR(Registro_Compras!$C$207="",Registro_Compras!$O$207="",Registro_Compras!$R$207&lt;&gt;"SI",Registro_Compras!$X$207=""),"","10413")</f>
        <v/>
      </c>
      <c r="D1838">
        <f>IF(OR(Registro_Compras!$C$207="",Registro_Compras!$O$207=""),"","Efectivo y Equivalentes - Cta. Cte. Operativa")</f>
        <v/>
      </c>
      <c r="E1838" s="20">
        <f>""</f>
        <v/>
      </c>
      <c r="F1838" s="20">
        <f>IF($C1838="","",Registro_Compras!$S$207)</f>
        <v/>
      </c>
      <c r="G1838">
        <f>IF($C1838="","","Por el deposito de la detraccion en el Banco de la Nacion")</f>
        <v/>
      </c>
      <c r="H1838">
        <f>IF($C1838="","",Registro_Compras!$C$207)</f>
        <v/>
      </c>
    </row>
    <row r="1839">
      <c r="A1839" s="25">
        <f>IF($C1839="","",Registro_Compras!$Y$207)</f>
        <v/>
      </c>
      <c r="B1839">
        <f>IF($C1839="","","C"&amp;TEXT(INT((ROW()-5)/9)+1,"000")&amp;"-4")</f>
        <v/>
      </c>
      <c r="C1839">
        <f>IF(OR(Registro_Compras!$C$207="",Registro_Compras!$O$207="",Registro_Compras!$Y$207="",Registro_Compras!$F$207="NOTA DE CREDITO"),"","4212")</f>
        <v/>
      </c>
      <c r="D1839">
        <f>IF(OR(Registro_Compras!$C$207="",Registro_Compras!$O$207=""),"","Cuentas por Pagar Comerciales - Terceros")</f>
        <v/>
      </c>
      <c r="E1839" s="20">
        <f>IF($C1839="","",IF(Registro_Compras!$F$207="RHE",(ROUND(Registro_Compras!$L$207*Registro_Compras!$N$207,2)-ROUND(Registro_Compras!$V$207*Registro_Compras!$N$207,2)),ROUND(Registro_Compras!$O$207-Registro_Compras!$S$207,2)))</f>
        <v/>
      </c>
      <c r="F1839" s="20">
        <f>""</f>
        <v/>
      </c>
      <c r="G1839">
        <f>IF($C1839="","","Por la cancelacion del saldo al proveedor")</f>
        <v/>
      </c>
      <c r="H1839">
        <f>IF($C1839="","",Registro_Compras!$C$207)</f>
        <v/>
      </c>
    </row>
    <row r="1840">
      <c r="A1840" s="25">
        <f>IF($C1840="","",Registro_Compras!$Y$207)</f>
        <v/>
      </c>
      <c r="B1840">
        <f>IF($C1840="","","C"&amp;TEXT(INT((ROW()-5)/9)+1,"000")&amp;"-4")</f>
        <v/>
      </c>
      <c r="C1840">
        <f>IF(OR(Registro_Compras!$C$207="",Registro_Compras!$O$207="",Registro_Compras!$Y$207="",Registro_Compras!$F$207="NOTA DE CREDITO"),"","10413")</f>
        <v/>
      </c>
      <c r="D1840">
        <f>IF(OR(Registro_Compras!$C$207="",Registro_Compras!$O$207=""),"","Efectivo y Equivalentes - Cta. Cte. Operativa")</f>
        <v/>
      </c>
      <c r="E1840" s="20">
        <f>""</f>
        <v/>
      </c>
      <c r="F1840" s="20">
        <f>IF($C1840="","",IF(Registro_Compras!$F$207="RHE",(ROUND(Registro_Compras!$L$207*Registro_Compras!$N$207,2)-ROUND(Registro_Compras!$V$207*Registro_Compras!$N$207,2)),ROUND(Registro_Compras!$O$207-Registro_Compras!$S$207,2)))</f>
        <v/>
      </c>
      <c r="G1840">
        <f>IF($C1840="","","Por la cancelacion del saldo al proveedor")</f>
        <v/>
      </c>
      <c r="H1840">
        <f>IF($C1840="","",Registro_Compras!$C$207)</f>
        <v/>
      </c>
    </row>
    <row r="1841">
      <c r="A1841" s="25">
        <f>IF($C1841="","",Registro_Compras!$B$208)</f>
        <v/>
      </c>
      <c r="B1841">
        <f>IF($C1841="","","C"&amp;TEXT(INT((ROW()-5)/9)+1,"000")&amp;"-1")</f>
        <v/>
      </c>
      <c r="C1841">
        <f>IF(OR(Registro_Compras!$C$208="",Registro_Compras!$O$208=""),"",IF(Registro_Compras!$F$208="NOTA DE CREDITO","4212",IF(Registro_Compras!$M$208="","63",Registro_Compras!$M$208)))</f>
        <v/>
      </c>
      <c r="D1841">
        <f>IF(OR(Registro_Compras!$C$208="",Registro_Compras!$O$208=""),"",IF(Registro_Compras!$F$208="NOTA DE CREDITO","Cuentas por Pagar Comerciales - Terceros (Emitidas)",IF(Registro_Compras!$F$208="RHE","Honorarios Profesionales - Servicios de Terceros","Gastos de Servicios Prestados por Terceros")))</f>
        <v/>
      </c>
      <c r="E1841" s="20">
        <f>IF($C1841="","",IF(Registro_Compras!$F$208="NOTA DE CREDITO",ABS(Registro_Compras!$O$208),IF(Registro_Compras!$F$208="RHE",ROUND(Registro_Compras!$L$208*Registro_Compras!$N$208,2),ROUND(Registro_Compras!$J$208*Registro_Compras!$N$208,2))))</f>
        <v/>
      </c>
      <c r="F1841" s="20">
        <f>""</f>
        <v/>
      </c>
      <c r="G1841">
        <f>IF($C1841="","",IF(Registro_Compras!$F$208="NOTA DE CREDITO","Por la nota de credito "&amp;Registro_Compras!$C$208&amp;" de "&amp;Registro_Compras!$E$208&amp;" [PATRON POR CONFIRMAR CON CONTADOR]",IF(Registro_Compras!$F$208="RHE","Por el registro del recibo por honorarios "&amp;Registro_Compras!$C$208&amp;" de "&amp;Registro_Compras!$E$208&amp;" [PATRON POR CONFIRMAR CON CONTADOR]","Por el registro de la factura "&amp;Registro_Compras!$C$208&amp;" de "&amp;Registro_Compras!$E$208)))</f>
        <v/>
      </c>
      <c r="H1841">
        <f>IF($C1841="","",Registro_Compras!$C$208)</f>
        <v/>
      </c>
    </row>
    <row r="1842">
      <c r="A1842" s="25">
        <f>IF($C1842="","",Registro_Compras!$B$208)</f>
        <v/>
      </c>
      <c r="B1842">
        <f>IF($C1842="","","C"&amp;TEXT(INT((ROW()-5)/9)+1,"000")&amp;"-1")</f>
        <v/>
      </c>
      <c r="C1842">
        <f>IF(OR(Registro_Compras!$C$208="",Registro_Compras!$O$208=""),"",IF(Registro_Compras!$F$208="RHE",IF(Registro_Compras!$V$208=0,"","40172"),IF(Registro_Compras!$F$208="NOTA DE CREDITO",IF(Registro_Compras!$M$208="","63",Registro_Compras!$M$208),IF(Registro_Compras!$K$208=0,"","40111"))))</f>
        <v/>
      </c>
      <c r="D1842">
        <f>IF(OR(Registro_Compras!$C$208="",Registro_Compras!$O$208=""),"",IF(Registro_Compras!$F$208="RHE","Retencion Renta 4ta Categoria por Pagar",IF(Registro_Compras!$F$208="NOTA DE CREDITO","Gastos de Servicios Prestados por Terceros","IGV - Cuenta Propia (Credito Fiscal)")))</f>
        <v/>
      </c>
      <c r="E1842" s="20">
        <f>IF($C1842="","",IF(Registro_Compras!$F$208="FACTURA",ROUND(Registro_Compras!$K$208*Registro_Compras!$N$208,2),""))</f>
        <v/>
      </c>
      <c r="F1842" s="20">
        <f>IF($C1842="","",IF(Registro_Compras!$F$208="RHE",ROUND(Registro_Compras!$V$208*Registro_Compras!$N$208,2),IF(Registro_Compras!$F$208="NOTA DE CREDITO",ROUND(ABS(Registro_Compras!$J$208*Registro_Compras!$N$208),2),"")))</f>
        <v/>
      </c>
      <c r="G1842">
        <f>IF($C1842="","",IF(Registro_Compras!$F$208="NOTA DE CREDITO","Por la nota de credito "&amp;Registro_Compras!$C$208&amp;" de "&amp;Registro_Compras!$E$208&amp;" [PATRON POR CONFIRMAR CON CONTADOR]",IF(Registro_Compras!$F$208="RHE","Por el registro del recibo por honorarios "&amp;Registro_Compras!$C$208&amp;" de "&amp;Registro_Compras!$E$208&amp;" [PATRON POR CONFIRMAR CON CONTADOR]","Por el registro de la factura "&amp;Registro_Compras!$C$208&amp;" de "&amp;Registro_Compras!$E$208)))</f>
        <v/>
      </c>
      <c r="H1842">
        <f>IF($C1842="","",Registro_Compras!$C$208)</f>
        <v/>
      </c>
    </row>
    <row r="1843">
      <c r="A1843" s="25">
        <f>IF($C1843="","",Registro_Compras!$B$208)</f>
        <v/>
      </c>
      <c r="B1843">
        <f>IF($C1843="","","C"&amp;TEXT(INT((ROW()-5)/9)+1,"000")&amp;"-1")</f>
        <v/>
      </c>
      <c r="C1843">
        <f>IF(OR(Registro_Compras!$C$208="",Registro_Compras!$O$208=""),"",IF(Registro_Compras!$F$208="NOTA DE CREDITO",IF(Registro_Compras!$K$208=0,"","40111"),"4212"))</f>
        <v/>
      </c>
      <c r="D1843">
        <f>IF(OR(Registro_Compras!$C$208="",Registro_Compras!$O$208=""),"",IF(Registro_Compras!$F$208="NOTA DE CREDITO","IGV - Cuenta Propia (Credito Fiscal)","Cuentas por Pagar Comerciales - Terceros (Emitidas)"))</f>
        <v/>
      </c>
      <c r="E1843" s="20">
        <f>""</f>
        <v/>
      </c>
      <c r="F1843" s="20">
        <f>IF($C1843="","",IF(Registro_Compras!$F$208="NOTA DE CREDITO",ROUND(ABS(Registro_Compras!$K$208*Registro_Compras!$N$208),2),IF(Registro_Compras!$F$208="RHE",(ROUND(Registro_Compras!$L$208*Registro_Compras!$N$208,2)-ROUND(Registro_Compras!$V$208*Registro_Compras!$N$208,2)),Registro_Compras!$O$208)))</f>
        <v/>
      </c>
      <c r="G1843">
        <f>IF($C1843="","",IF(Registro_Compras!$F$208="NOTA DE CREDITO","Por la nota de credito "&amp;Registro_Compras!$C$208&amp;" de "&amp;Registro_Compras!$E$208&amp;" [PATRON POR CONFIRMAR CON CONTADOR]",IF(Registro_Compras!$F$208="RHE","Por el registro del recibo por honorarios "&amp;Registro_Compras!$C$208&amp;" de "&amp;Registro_Compras!$E$208&amp;" [PATRON POR CONFIRMAR CON CONTADOR]","Por el registro de la factura "&amp;Registro_Compras!$C$208&amp;" de "&amp;Registro_Compras!$E$208)))</f>
        <v/>
      </c>
      <c r="H1843">
        <f>IF($C1843="","",Registro_Compras!$C$208)</f>
        <v/>
      </c>
    </row>
    <row r="1844">
      <c r="A1844" s="25">
        <f>IF($C1844="","",Registro_Compras!$B$208)</f>
        <v/>
      </c>
      <c r="B1844">
        <f>IF($C1844="","","C"&amp;TEXT(INT((ROW()-5)/9)+1,"000")&amp;"-2")</f>
        <v/>
      </c>
      <c r="C1844">
        <f>IF(OR(Registro_Compras!$C$208="",Registro_Compras!$O$208=""),"",IF(Registro_Compras!$AB$208="ADMINISTRATIVO","94","95"))</f>
        <v/>
      </c>
      <c r="D1844">
        <f>IF(OR(Registro_Compras!$C$208="",Registro_Compras!$O$208=""),"",IF(Registro_Compras!$AB$208="ADMINISTRATIVO","Gastos Administrativos","Gastos de Venta y Operacion"))</f>
        <v/>
      </c>
      <c r="E1844" s="20">
        <f>IF($C1844="","",IF(Registro_Compras!$F$208="NOTA DE CREDITO","",IF(Registro_Compras!$F$208="RHE",ROUND(Registro_Compras!$L$208*Registro_Compras!$N$208,2),ROUND(Registro_Compras!$J$208*Registro_Compras!$N$208,2))))</f>
        <v/>
      </c>
      <c r="F1844" s="20">
        <f>IF($C1844="","",IF(Registro_Compras!$F$208="NOTA DE CREDITO",ROUND(ABS(Registro_Compras!$J$208*Registro_Compras!$N$208),2),""))</f>
        <v/>
      </c>
      <c r="G1844">
        <f>IF($C1844="","","Por el destino del gasto")</f>
        <v/>
      </c>
      <c r="H1844">
        <f>IF($C1844="","",Registro_Compras!$C$208)</f>
        <v/>
      </c>
    </row>
    <row r="1845">
      <c r="A1845" s="25">
        <f>IF($C1845="","",Registro_Compras!$B$208)</f>
        <v/>
      </c>
      <c r="B1845">
        <f>IF($C1845="","","C"&amp;TEXT(INT((ROW()-5)/9)+1,"000")&amp;"-2")</f>
        <v/>
      </c>
      <c r="C1845">
        <f>IF(OR(Registro_Compras!$C$208="",Registro_Compras!$O$208=""),"","79/791")</f>
        <v/>
      </c>
      <c r="D1845">
        <f>IF(OR(Registro_Compras!$C$208="",Registro_Compras!$O$208=""),"","Cargas Imputables a Cuentas de Costos y Gastos")</f>
        <v/>
      </c>
      <c r="E1845" s="20">
        <f>IF($C1845="","",IF(Registro_Compras!$F$208="NOTA DE CREDITO",ROUND(ABS(Registro_Compras!$J$208*Registro_Compras!$N$208),2),""))</f>
        <v/>
      </c>
      <c r="F1845" s="20">
        <f>IF($C1845="","",IF(Registro_Compras!$F$208="NOTA DE CREDITO","",IF(Registro_Compras!$F$208="RHE",ROUND(Registro_Compras!$L$208*Registro_Compras!$N$208,2),ROUND(Registro_Compras!$J$208*Registro_Compras!$N$208,2))))</f>
        <v/>
      </c>
      <c r="G1845">
        <f>IF($C1845="","","Por el destino del gasto")</f>
        <v/>
      </c>
      <c r="H1845">
        <f>IF($C1845="","",Registro_Compras!$C$208)</f>
        <v/>
      </c>
    </row>
    <row r="1846">
      <c r="A1846" s="25">
        <f>IF($C1846="","",Registro_Compras!$X$208)</f>
        <v/>
      </c>
      <c r="B1846">
        <f>IF($C1846="","","C"&amp;TEXT(INT((ROW()-5)/9)+1,"000")&amp;"-3")</f>
        <v/>
      </c>
      <c r="C1846">
        <f>IF(OR(Registro_Compras!$C$208="",Registro_Compras!$O$208="",Registro_Compras!$R$208&lt;&gt;"SI",Registro_Compras!$X$208=""),"","4212")</f>
        <v/>
      </c>
      <c r="D1846">
        <f>IF(OR(Registro_Compras!$C$208="",Registro_Compras!$O$208=""),"","Cuentas por Pagar Comerciales - Terceros")</f>
        <v/>
      </c>
      <c r="E1846" s="20">
        <f>IF($C1846="","",Registro_Compras!$S$208)</f>
        <v/>
      </c>
      <c r="F1846" s="20">
        <f>""</f>
        <v/>
      </c>
      <c r="G1846">
        <f>IF($C1846="","","Por el deposito de la detraccion en el Banco de la Nacion")</f>
        <v/>
      </c>
      <c r="H1846">
        <f>IF($C1846="","",Registro_Compras!$C$208)</f>
        <v/>
      </c>
    </row>
    <row r="1847">
      <c r="A1847" s="25">
        <f>IF($C1847="","",Registro_Compras!$X$208)</f>
        <v/>
      </c>
      <c r="B1847">
        <f>IF($C1847="","","C"&amp;TEXT(INT((ROW()-5)/9)+1,"000")&amp;"-3")</f>
        <v/>
      </c>
      <c r="C1847">
        <f>IF(OR(Registro_Compras!$C$208="",Registro_Compras!$O$208="",Registro_Compras!$R$208&lt;&gt;"SI",Registro_Compras!$X$208=""),"","10413")</f>
        <v/>
      </c>
      <c r="D1847">
        <f>IF(OR(Registro_Compras!$C$208="",Registro_Compras!$O$208=""),"","Efectivo y Equivalentes - Cta. Cte. Operativa")</f>
        <v/>
      </c>
      <c r="E1847" s="20">
        <f>""</f>
        <v/>
      </c>
      <c r="F1847" s="20">
        <f>IF($C1847="","",Registro_Compras!$S$208)</f>
        <v/>
      </c>
      <c r="G1847">
        <f>IF($C1847="","","Por el deposito de la detraccion en el Banco de la Nacion")</f>
        <v/>
      </c>
      <c r="H1847">
        <f>IF($C1847="","",Registro_Compras!$C$208)</f>
        <v/>
      </c>
    </row>
    <row r="1848">
      <c r="A1848" s="25">
        <f>IF($C1848="","",Registro_Compras!$Y$208)</f>
        <v/>
      </c>
      <c r="B1848">
        <f>IF($C1848="","","C"&amp;TEXT(INT((ROW()-5)/9)+1,"000")&amp;"-4")</f>
        <v/>
      </c>
      <c r="C1848">
        <f>IF(OR(Registro_Compras!$C$208="",Registro_Compras!$O$208="",Registro_Compras!$Y$208="",Registro_Compras!$F$208="NOTA DE CREDITO"),"","4212")</f>
        <v/>
      </c>
      <c r="D1848">
        <f>IF(OR(Registro_Compras!$C$208="",Registro_Compras!$O$208=""),"","Cuentas por Pagar Comerciales - Terceros")</f>
        <v/>
      </c>
      <c r="E1848" s="20">
        <f>IF($C1848="","",IF(Registro_Compras!$F$208="RHE",(ROUND(Registro_Compras!$L$208*Registro_Compras!$N$208,2)-ROUND(Registro_Compras!$V$208*Registro_Compras!$N$208,2)),ROUND(Registro_Compras!$O$208-Registro_Compras!$S$208,2)))</f>
        <v/>
      </c>
      <c r="F1848" s="20">
        <f>""</f>
        <v/>
      </c>
      <c r="G1848">
        <f>IF($C1848="","","Por la cancelacion del saldo al proveedor")</f>
        <v/>
      </c>
      <c r="H1848">
        <f>IF($C1848="","",Registro_Compras!$C$208)</f>
        <v/>
      </c>
    </row>
    <row r="1849">
      <c r="A1849" s="25">
        <f>IF($C1849="","",Registro_Compras!$Y$208)</f>
        <v/>
      </c>
      <c r="B1849">
        <f>IF($C1849="","","C"&amp;TEXT(INT((ROW()-5)/9)+1,"000")&amp;"-4")</f>
        <v/>
      </c>
      <c r="C1849">
        <f>IF(OR(Registro_Compras!$C$208="",Registro_Compras!$O$208="",Registro_Compras!$Y$208="",Registro_Compras!$F$208="NOTA DE CREDITO"),"","10413")</f>
        <v/>
      </c>
      <c r="D1849">
        <f>IF(OR(Registro_Compras!$C$208="",Registro_Compras!$O$208=""),"","Efectivo y Equivalentes - Cta. Cte. Operativa")</f>
        <v/>
      </c>
      <c r="E1849" s="20">
        <f>""</f>
        <v/>
      </c>
      <c r="F1849" s="20">
        <f>IF($C1849="","",IF(Registro_Compras!$F$208="RHE",(ROUND(Registro_Compras!$L$208*Registro_Compras!$N$208,2)-ROUND(Registro_Compras!$V$208*Registro_Compras!$N$208,2)),ROUND(Registro_Compras!$O$208-Registro_Compras!$S$208,2)))</f>
        <v/>
      </c>
      <c r="G1849">
        <f>IF($C1849="","","Por la cancelacion del saldo al proveedor")</f>
        <v/>
      </c>
      <c r="H1849">
        <f>IF($C1849="","",Registro_Compras!$C$208)</f>
        <v/>
      </c>
    </row>
    <row r="1850">
      <c r="A1850" s="25">
        <f>IF($C1850="","",Registro_Compras!$B$209)</f>
        <v/>
      </c>
      <c r="B1850">
        <f>IF($C1850="","","C"&amp;TEXT(INT((ROW()-5)/9)+1,"000")&amp;"-1")</f>
        <v/>
      </c>
      <c r="C1850">
        <f>IF(OR(Registro_Compras!$C$209="",Registro_Compras!$O$209=""),"",IF(Registro_Compras!$F$209="NOTA DE CREDITO","4212",IF(Registro_Compras!$M$209="","63",Registro_Compras!$M$209)))</f>
        <v/>
      </c>
      <c r="D1850">
        <f>IF(OR(Registro_Compras!$C$209="",Registro_Compras!$O$209=""),"",IF(Registro_Compras!$F$209="NOTA DE CREDITO","Cuentas por Pagar Comerciales - Terceros (Emitidas)",IF(Registro_Compras!$F$209="RHE","Honorarios Profesionales - Servicios de Terceros","Gastos de Servicios Prestados por Terceros")))</f>
        <v/>
      </c>
      <c r="E1850" s="20">
        <f>IF($C1850="","",IF(Registro_Compras!$F$209="NOTA DE CREDITO",ABS(Registro_Compras!$O$209),IF(Registro_Compras!$F$209="RHE",ROUND(Registro_Compras!$L$209*Registro_Compras!$N$209,2),ROUND(Registro_Compras!$J$209*Registro_Compras!$N$209,2))))</f>
        <v/>
      </c>
      <c r="F1850" s="20">
        <f>""</f>
        <v/>
      </c>
      <c r="G1850">
        <f>IF($C1850="","",IF(Registro_Compras!$F$209="NOTA DE CREDITO","Por la nota de credito "&amp;Registro_Compras!$C$209&amp;" de "&amp;Registro_Compras!$E$209&amp;" [PATRON POR CONFIRMAR CON CONTADOR]",IF(Registro_Compras!$F$209="RHE","Por el registro del recibo por honorarios "&amp;Registro_Compras!$C$209&amp;" de "&amp;Registro_Compras!$E$209&amp;" [PATRON POR CONFIRMAR CON CONTADOR]","Por el registro de la factura "&amp;Registro_Compras!$C$209&amp;" de "&amp;Registro_Compras!$E$209)))</f>
        <v/>
      </c>
      <c r="H1850">
        <f>IF($C1850="","",Registro_Compras!$C$209)</f>
        <v/>
      </c>
    </row>
    <row r="1851">
      <c r="A1851" s="25">
        <f>IF($C1851="","",Registro_Compras!$B$209)</f>
        <v/>
      </c>
      <c r="B1851">
        <f>IF($C1851="","","C"&amp;TEXT(INT((ROW()-5)/9)+1,"000")&amp;"-1")</f>
        <v/>
      </c>
      <c r="C1851">
        <f>IF(OR(Registro_Compras!$C$209="",Registro_Compras!$O$209=""),"",IF(Registro_Compras!$F$209="RHE",IF(Registro_Compras!$V$209=0,"","40172"),IF(Registro_Compras!$F$209="NOTA DE CREDITO",IF(Registro_Compras!$M$209="","63",Registro_Compras!$M$209),IF(Registro_Compras!$K$209=0,"","40111"))))</f>
        <v/>
      </c>
      <c r="D1851">
        <f>IF(OR(Registro_Compras!$C$209="",Registro_Compras!$O$209=""),"",IF(Registro_Compras!$F$209="RHE","Retencion Renta 4ta Categoria por Pagar",IF(Registro_Compras!$F$209="NOTA DE CREDITO","Gastos de Servicios Prestados por Terceros","IGV - Cuenta Propia (Credito Fiscal)")))</f>
        <v/>
      </c>
      <c r="E1851" s="20">
        <f>IF($C1851="","",IF(Registro_Compras!$F$209="FACTURA",ROUND(Registro_Compras!$K$209*Registro_Compras!$N$209,2),""))</f>
        <v/>
      </c>
      <c r="F1851" s="20">
        <f>IF($C1851="","",IF(Registro_Compras!$F$209="RHE",ROUND(Registro_Compras!$V$209*Registro_Compras!$N$209,2),IF(Registro_Compras!$F$209="NOTA DE CREDITO",ROUND(ABS(Registro_Compras!$J$209*Registro_Compras!$N$209),2),"")))</f>
        <v/>
      </c>
      <c r="G1851">
        <f>IF($C1851="","",IF(Registro_Compras!$F$209="NOTA DE CREDITO","Por la nota de credito "&amp;Registro_Compras!$C$209&amp;" de "&amp;Registro_Compras!$E$209&amp;" [PATRON POR CONFIRMAR CON CONTADOR]",IF(Registro_Compras!$F$209="RHE","Por el registro del recibo por honorarios "&amp;Registro_Compras!$C$209&amp;" de "&amp;Registro_Compras!$E$209&amp;" [PATRON POR CONFIRMAR CON CONTADOR]","Por el registro de la factura "&amp;Registro_Compras!$C$209&amp;" de "&amp;Registro_Compras!$E$209)))</f>
        <v/>
      </c>
      <c r="H1851">
        <f>IF($C1851="","",Registro_Compras!$C$209)</f>
        <v/>
      </c>
    </row>
    <row r="1852">
      <c r="A1852" s="25">
        <f>IF($C1852="","",Registro_Compras!$B$209)</f>
        <v/>
      </c>
      <c r="B1852">
        <f>IF($C1852="","","C"&amp;TEXT(INT((ROW()-5)/9)+1,"000")&amp;"-1")</f>
        <v/>
      </c>
      <c r="C1852">
        <f>IF(OR(Registro_Compras!$C$209="",Registro_Compras!$O$209=""),"",IF(Registro_Compras!$F$209="NOTA DE CREDITO",IF(Registro_Compras!$K$209=0,"","40111"),"4212"))</f>
        <v/>
      </c>
      <c r="D1852">
        <f>IF(OR(Registro_Compras!$C$209="",Registro_Compras!$O$209=""),"",IF(Registro_Compras!$F$209="NOTA DE CREDITO","IGV - Cuenta Propia (Credito Fiscal)","Cuentas por Pagar Comerciales - Terceros (Emitidas)"))</f>
        <v/>
      </c>
      <c r="E1852" s="20">
        <f>""</f>
        <v/>
      </c>
      <c r="F1852" s="20">
        <f>IF($C1852="","",IF(Registro_Compras!$F$209="NOTA DE CREDITO",ROUND(ABS(Registro_Compras!$K$209*Registro_Compras!$N$209),2),IF(Registro_Compras!$F$209="RHE",(ROUND(Registro_Compras!$L$209*Registro_Compras!$N$209,2)-ROUND(Registro_Compras!$V$209*Registro_Compras!$N$209,2)),Registro_Compras!$O$209)))</f>
        <v/>
      </c>
      <c r="G1852">
        <f>IF($C1852="","",IF(Registro_Compras!$F$209="NOTA DE CREDITO","Por la nota de credito "&amp;Registro_Compras!$C$209&amp;" de "&amp;Registro_Compras!$E$209&amp;" [PATRON POR CONFIRMAR CON CONTADOR]",IF(Registro_Compras!$F$209="RHE","Por el registro del recibo por honorarios "&amp;Registro_Compras!$C$209&amp;" de "&amp;Registro_Compras!$E$209&amp;" [PATRON POR CONFIRMAR CON CONTADOR]","Por el registro de la factura "&amp;Registro_Compras!$C$209&amp;" de "&amp;Registro_Compras!$E$209)))</f>
        <v/>
      </c>
      <c r="H1852">
        <f>IF($C1852="","",Registro_Compras!$C$209)</f>
        <v/>
      </c>
    </row>
    <row r="1853">
      <c r="A1853" s="25">
        <f>IF($C1853="","",Registro_Compras!$B$209)</f>
        <v/>
      </c>
      <c r="B1853">
        <f>IF($C1853="","","C"&amp;TEXT(INT((ROW()-5)/9)+1,"000")&amp;"-2")</f>
        <v/>
      </c>
      <c r="C1853">
        <f>IF(OR(Registro_Compras!$C$209="",Registro_Compras!$O$209=""),"",IF(Registro_Compras!$AB$209="ADMINISTRATIVO","94","95"))</f>
        <v/>
      </c>
      <c r="D1853">
        <f>IF(OR(Registro_Compras!$C$209="",Registro_Compras!$O$209=""),"",IF(Registro_Compras!$AB$209="ADMINISTRATIVO","Gastos Administrativos","Gastos de Venta y Operacion"))</f>
        <v/>
      </c>
      <c r="E1853" s="20">
        <f>IF($C1853="","",IF(Registro_Compras!$F$209="NOTA DE CREDITO","",IF(Registro_Compras!$F$209="RHE",ROUND(Registro_Compras!$L$209*Registro_Compras!$N$209,2),ROUND(Registro_Compras!$J$209*Registro_Compras!$N$209,2))))</f>
        <v/>
      </c>
      <c r="F1853" s="20">
        <f>IF($C1853="","",IF(Registro_Compras!$F$209="NOTA DE CREDITO",ROUND(ABS(Registro_Compras!$J$209*Registro_Compras!$N$209),2),""))</f>
        <v/>
      </c>
      <c r="G1853">
        <f>IF($C1853="","","Por el destino del gasto")</f>
        <v/>
      </c>
      <c r="H1853">
        <f>IF($C1853="","",Registro_Compras!$C$209)</f>
        <v/>
      </c>
    </row>
    <row r="1854">
      <c r="A1854" s="25">
        <f>IF($C1854="","",Registro_Compras!$B$209)</f>
        <v/>
      </c>
      <c r="B1854">
        <f>IF($C1854="","","C"&amp;TEXT(INT((ROW()-5)/9)+1,"000")&amp;"-2")</f>
        <v/>
      </c>
      <c r="C1854">
        <f>IF(OR(Registro_Compras!$C$209="",Registro_Compras!$O$209=""),"","79/791")</f>
        <v/>
      </c>
      <c r="D1854">
        <f>IF(OR(Registro_Compras!$C$209="",Registro_Compras!$O$209=""),"","Cargas Imputables a Cuentas de Costos y Gastos")</f>
        <v/>
      </c>
      <c r="E1854" s="20">
        <f>IF($C1854="","",IF(Registro_Compras!$F$209="NOTA DE CREDITO",ROUND(ABS(Registro_Compras!$J$209*Registro_Compras!$N$209),2),""))</f>
        <v/>
      </c>
      <c r="F1854" s="20">
        <f>IF($C1854="","",IF(Registro_Compras!$F$209="NOTA DE CREDITO","",IF(Registro_Compras!$F$209="RHE",ROUND(Registro_Compras!$L$209*Registro_Compras!$N$209,2),ROUND(Registro_Compras!$J$209*Registro_Compras!$N$209,2))))</f>
        <v/>
      </c>
      <c r="G1854">
        <f>IF($C1854="","","Por el destino del gasto")</f>
        <v/>
      </c>
      <c r="H1854">
        <f>IF($C1854="","",Registro_Compras!$C$209)</f>
        <v/>
      </c>
    </row>
    <row r="1855">
      <c r="A1855" s="25">
        <f>IF($C1855="","",Registro_Compras!$X$209)</f>
        <v/>
      </c>
      <c r="B1855">
        <f>IF($C1855="","","C"&amp;TEXT(INT((ROW()-5)/9)+1,"000")&amp;"-3")</f>
        <v/>
      </c>
      <c r="C1855">
        <f>IF(OR(Registro_Compras!$C$209="",Registro_Compras!$O$209="",Registro_Compras!$R$209&lt;&gt;"SI",Registro_Compras!$X$209=""),"","4212")</f>
        <v/>
      </c>
      <c r="D1855">
        <f>IF(OR(Registro_Compras!$C$209="",Registro_Compras!$O$209=""),"","Cuentas por Pagar Comerciales - Terceros")</f>
        <v/>
      </c>
      <c r="E1855" s="20">
        <f>IF($C1855="","",Registro_Compras!$S$209)</f>
        <v/>
      </c>
      <c r="F1855" s="20">
        <f>""</f>
        <v/>
      </c>
      <c r="G1855">
        <f>IF($C1855="","","Por el deposito de la detraccion en el Banco de la Nacion")</f>
        <v/>
      </c>
      <c r="H1855">
        <f>IF($C1855="","",Registro_Compras!$C$209)</f>
        <v/>
      </c>
    </row>
    <row r="1856">
      <c r="A1856" s="25">
        <f>IF($C1856="","",Registro_Compras!$X$209)</f>
        <v/>
      </c>
      <c r="B1856">
        <f>IF($C1856="","","C"&amp;TEXT(INT((ROW()-5)/9)+1,"000")&amp;"-3")</f>
        <v/>
      </c>
      <c r="C1856">
        <f>IF(OR(Registro_Compras!$C$209="",Registro_Compras!$O$209="",Registro_Compras!$R$209&lt;&gt;"SI",Registro_Compras!$X$209=""),"","10413")</f>
        <v/>
      </c>
      <c r="D1856">
        <f>IF(OR(Registro_Compras!$C$209="",Registro_Compras!$O$209=""),"","Efectivo y Equivalentes - Cta. Cte. Operativa")</f>
        <v/>
      </c>
      <c r="E1856" s="20">
        <f>""</f>
        <v/>
      </c>
      <c r="F1856" s="20">
        <f>IF($C1856="","",Registro_Compras!$S$209)</f>
        <v/>
      </c>
      <c r="G1856">
        <f>IF($C1856="","","Por el deposito de la detraccion en el Banco de la Nacion")</f>
        <v/>
      </c>
      <c r="H1856">
        <f>IF($C1856="","",Registro_Compras!$C$209)</f>
        <v/>
      </c>
    </row>
    <row r="1857">
      <c r="A1857" s="25">
        <f>IF($C1857="","",Registro_Compras!$Y$209)</f>
        <v/>
      </c>
      <c r="B1857">
        <f>IF($C1857="","","C"&amp;TEXT(INT((ROW()-5)/9)+1,"000")&amp;"-4")</f>
        <v/>
      </c>
      <c r="C1857">
        <f>IF(OR(Registro_Compras!$C$209="",Registro_Compras!$O$209="",Registro_Compras!$Y$209="",Registro_Compras!$F$209="NOTA DE CREDITO"),"","4212")</f>
        <v/>
      </c>
      <c r="D1857">
        <f>IF(OR(Registro_Compras!$C$209="",Registro_Compras!$O$209=""),"","Cuentas por Pagar Comerciales - Terceros")</f>
        <v/>
      </c>
      <c r="E1857" s="20">
        <f>IF($C1857="","",IF(Registro_Compras!$F$209="RHE",(ROUND(Registro_Compras!$L$209*Registro_Compras!$N$209,2)-ROUND(Registro_Compras!$V$209*Registro_Compras!$N$209,2)),ROUND(Registro_Compras!$O$209-Registro_Compras!$S$209,2)))</f>
        <v/>
      </c>
      <c r="F1857" s="20">
        <f>""</f>
        <v/>
      </c>
      <c r="G1857">
        <f>IF($C1857="","","Por la cancelacion del saldo al proveedor")</f>
        <v/>
      </c>
      <c r="H1857">
        <f>IF($C1857="","",Registro_Compras!$C$209)</f>
        <v/>
      </c>
    </row>
    <row r="1858">
      <c r="A1858" s="25">
        <f>IF($C1858="","",Registro_Compras!$Y$209)</f>
        <v/>
      </c>
      <c r="B1858">
        <f>IF($C1858="","","C"&amp;TEXT(INT((ROW()-5)/9)+1,"000")&amp;"-4")</f>
        <v/>
      </c>
      <c r="C1858">
        <f>IF(OR(Registro_Compras!$C$209="",Registro_Compras!$O$209="",Registro_Compras!$Y$209="",Registro_Compras!$F$209="NOTA DE CREDITO"),"","10413")</f>
        <v/>
      </c>
      <c r="D1858">
        <f>IF(OR(Registro_Compras!$C$209="",Registro_Compras!$O$209=""),"","Efectivo y Equivalentes - Cta. Cte. Operativa")</f>
        <v/>
      </c>
      <c r="E1858" s="20">
        <f>""</f>
        <v/>
      </c>
      <c r="F1858" s="20">
        <f>IF($C1858="","",IF(Registro_Compras!$F$209="RHE",(ROUND(Registro_Compras!$L$209*Registro_Compras!$N$209,2)-ROUND(Registro_Compras!$V$209*Registro_Compras!$N$209,2)),ROUND(Registro_Compras!$O$209-Registro_Compras!$S$209,2)))</f>
        <v/>
      </c>
      <c r="G1858">
        <f>IF($C1858="","","Por la cancelacion del saldo al proveedor")</f>
        <v/>
      </c>
      <c r="H1858">
        <f>IF($C1858="","",Registro_Compras!$C$209)</f>
        <v/>
      </c>
    </row>
    <row r="1859">
      <c r="A1859" s="25">
        <f>IF($C1859="","",Registro_Compras!$B$210)</f>
        <v/>
      </c>
      <c r="B1859">
        <f>IF($C1859="","","C"&amp;TEXT(INT((ROW()-5)/9)+1,"000")&amp;"-1")</f>
        <v/>
      </c>
      <c r="C1859">
        <f>IF(OR(Registro_Compras!$C$210="",Registro_Compras!$O$210=""),"",IF(Registro_Compras!$F$210="NOTA DE CREDITO","4212",IF(Registro_Compras!$M$210="","63",Registro_Compras!$M$210)))</f>
        <v/>
      </c>
      <c r="D1859">
        <f>IF(OR(Registro_Compras!$C$210="",Registro_Compras!$O$210=""),"",IF(Registro_Compras!$F$210="NOTA DE CREDITO","Cuentas por Pagar Comerciales - Terceros (Emitidas)",IF(Registro_Compras!$F$210="RHE","Honorarios Profesionales - Servicios de Terceros","Gastos de Servicios Prestados por Terceros")))</f>
        <v/>
      </c>
      <c r="E1859" s="20">
        <f>IF($C1859="","",IF(Registro_Compras!$F$210="NOTA DE CREDITO",ABS(Registro_Compras!$O$210),IF(Registro_Compras!$F$210="RHE",ROUND(Registro_Compras!$L$210*Registro_Compras!$N$210,2),ROUND(Registro_Compras!$J$210*Registro_Compras!$N$210,2))))</f>
        <v/>
      </c>
      <c r="F1859" s="20">
        <f>""</f>
        <v/>
      </c>
      <c r="G1859">
        <f>IF($C1859="","",IF(Registro_Compras!$F$210="NOTA DE CREDITO","Por la nota de credito "&amp;Registro_Compras!$C$210&amp;" de "&amp;Registro_Compras!$E$210&amp;" [PATRON POR CONFIRMAR CON CONTADOR]",IF(Registro_Compras!$F$210="RHE","Por el registro del recibo por honorarios "&amp;Registro_Compras!$C$210&amp;" de "&amp;Registro_Compras!$E$210&amp;" [PATRON POR CONFIRMAR CON CONTADOR]","Por el registro de la factura "&amp;Registro_Compras!$C$210&amp;" de "&amp;Registro_Compras!$E$210)))</f>
        <v/>
      </c>
      <c r="H1859">
        <f>IF($C1859="","",Registro_Compras!$C$210)</f>
        <v/>
      </c>
    </row>
    <row r="1860">
      <c r="A1860" s="25">
        <f>IF($C1860="","",Registro_Compras!$B$210)</f>
        <v/>
      </c>
      <c r="B1860">
        <f>IF($C1860="","","C"&amp;TEXT(INT((ROW()-5)/9)+1,"000")&amp;"-1")</f>
        <v/>
      </c>
      <c r="C1860">
        <f>IF(OR(Registro_Compras!$C$210="",Registro_Compras!$O$210=""),"",IF(Registro_Compras!$F$210="RHE",IF(Registro_Compras!$V$210=0,"","40172"),IF(Registro_Compras!$F$210="NOTA DE CREDITO",IF(Registro_Compras!$M$210="","63",Registro_Compras!$M$210),IF(Registro_Compras!$K$210=0,"","40111"))))</f>
        <v/>
      </c>
      <c r="D1860">
        <f>IF(OR(Registro_Compras!$C$210="",Registro_Compras!$O$210=""),"",IF(Registro_Compras!$F$210="RHE","Retencion Renta 4ta Categoria por Pagar",IF(Registro_Compras!$F$210="NOTA DE CREDITO","Gastos de Servicios Prestados por Terceros","IGV - Cuenta Propia (Credito Fiscal)")))</f>
        <v/>
      </c>
      <c r="E1860" s="20">
        <f>IF($C1860="","",IF(Registro_Compras!$F$210="FACTURA",ROUND(Registro_Compras!$K$210*Registro_Compras!$N$210,2),""))</f>
        <v/>
      </c>
      <c r="F1860" s="20">
        <f>IF($C1860="","",IF(Registro_Compras!$F$210="RHE",ROUND(Registro_Compras!$V$210*Registro_Compras!$N$210,2),IF(Registro_Compras!$F$210="NOTA DE CREDITO",ROUND(ABS(Registro_Compras!$J$210*Registro_Compras!$N$210),2),"")))</f>
        <v/>
      </c>
      <c r="G1860">
        <f>IF($C1860="","",IF(Registro_Compras!$F$210="NOTA DE CREDITO","Por la nota de credito "&amp;Registro_Compras!$C$210&amp;" de "&amp;Registro_Compras!$E$210&amp;" [PATRON POR CONFIRMAR CON CONTADOR]",IF(Registro_Compras!$F$210="RHE","Por el registro del recibo por honorarios "&amp;Registro_Compras!$C$210&amp;" de "&amp;Registro_Compras!$E$210&amp;" [PATRON POR CONFIRMAR CON CONTADOR]","Por el registro de la factura "&amp;Registro_Compras!$C$210&amp;" de "&amp;Registro_Compras!$E$210)))</f>
        <v/>
      </c>
      <c r="H1860">
        <f>IF($C1860="","",Registro_Compras!$C$210)</f>
        <v/>
      </c>
    </row>
    <row r="1861">
      <c r="A1861" s="25">
        <f>IF($C1861="","",Registro_Compras!$B$210)</f>
        <v/>
      </c>
      <c r="B1861">
        <f>IF($C1861="","","C"&amp;TEXT(INT((ROW()-5)/9)+1,"000")&amp;"-1")</f>
        <v/>
      </c>
      <c r="C1861">
        <f>IF(OR(Registro_Compras!$C$210="",Registro_Compras!$O$210=""),"",IF(Registro_Compras!$F$210="NOTA DE CREDITO",IF(Registro_Compras!$K$210=0,"","40111"),"4212"))</f>
        <v/>
      </c>
      <c r="D1861">
        <f>IF(OR(Registro_Compras!$C$210="",Registro_Compras!$O$210=""),"",IF(Registro_Compras!$F$210="NOTA DE CREDITO","IGV - Cuenta Propia (Credito Fiscal)","Cuentas por Pagar Comerciales - Terceros (Emitidas)"))</f>
        <v/>
      </c>
      <c r="E1861" s="20">
        <f>""</f>
        <v/>
      </c>
      <c r="F1861" s="20">
        <f>IF($C1861="","",IF(Registro_Compras!$F$210="NOTA DE CREDITO",ROUND(ABS(Registro_Compras!$K$210*Registro_Compras!$N$210),2),IF(Registro_Compras!$F$210="RHE",(ROUND(Registro_Compras!$L$210*Registro_Compras!$N$210,2)-ROUND(Registro_Compras!$V$210*Registro_Compras!$N$210,2)),Registro_Compras!$O$210)))</f>
        <v/>
      </c>
      <c r="G1861">
        <f>IF($C1861="","",IF(Registro_Compras!$F$210="NOTA DE CREDITO","Por la nota de credito "&amp;Registro_Compras!$C$210&amp;" de "&amp;Registro_Compras!$E$210&amp;" [PATRON POR CONFIRMAR CON CONTADOR]",IF(Registro_Compras!$F$210="RHE","Por el registro del recibo por honorarios "&amp;Registro_Compras!$C$210&amp;" de "&amp;Registro_Compras!$E$210&amp;" [PATRON POR CONFIRMAR CON CONTADOR]","Por el registro de la factura "&amp;Registro_Compras!$C$210&amp;" de "&amp;Registro_Compras!$E$210)))</f>
        <v/>
      </c>
      <c r="H1861">
        <f>IF($C1861="","",Registro_Compras!$C$210)</f>
        <v/>
      </c>
    </row>
    <row r="1862">
      <c r="A1862" s="25">
        <f>IF($C1862="","",Registro_Compras!$B$210)</f>
        <v/>
      </c>
      <c r="B1862">
        <f>IF($C1862="","","C"&amp;TEXT(INT((ROW()-5)/9)+1,"000")&amp;"-2")</f>
        <v/>
      </c>
      <c r="C1862">
        <f>IF(OR(Registro_Compras!$C$210="",Registro_Compras!$O$210=""),"",IF(Registro_Compras!$AB$210="ADMINISTRATIVO","94","95"))</f>
        <v/>
      </c>
      <c r="D1862">
        <f>IF(OR(Registro_Compras!$C$210="",Registro_Compras!$O$210=""),"",IF(Registro_Compras!$AB$210="ADMINISTRATIVO","Gastos Administrativos","Gastos de Venta y Operacion"))</f>
        <v/>
      </c>
      <c r="E1862" s="20">
        <f>IF($C1862="","",IF(Registro_Compras!$F$210="NOTA DE CREDITO","",IF(Registro_Compras!$F$210="RHE",ROUND(Registro_Compras!$L$210*Registro_Compras!$N$210,2),ROUND(Registro_Compras!$J$210*Registro_Compras!$N$210,2))))</f>
        <v/>
      </c>
      <c r="F1862" s="20">
        <f>IF($C1862="","",IF(Registro_Compras!$F$210="NOTA DE CREDITO",ROUND(ABS(Registro_Compras!$J$210*Registro_Compras!$N$210),2),""))</f>
        <v/>
      </c>
      <c r="G1862">
        <f>IF($C1862="","","Por el destino del gasto")</f>
        <v/>
      </c>
      <c r="H1862">
        <f>IF($C1862="","",Registro_Compras!$C$210)</f>
        <v/>
      </c>
    </row>
    <row r="1863">
      <c r="A1863" s="25">
        <f>IF($C1863="","",Registro_Compras!$B$210)</f>
        <v/>
      </c>
      <c r="B1863">
        <f>IF($C1863="","","C"&amp;TEXT(INT((ROW()-5)/9)+1,"000")&amp;"-2")</f>
        <v/>
      </c>
      <c r="C1863">
        <f>IF(OR(Registro_Compras!$C$210="",Registro_Compras!$O$210=""),"","79/791")</f>
        <v/>
      </c>
      <c r="D1863">
        <f>IF(OR(Registro_Compras!$C$210="",Registro_Compras!$O$210=""),"","Cargas Imputables a Cuentas de Costos y Gastos")</f>
        <v/>
      </c>
      <c r="E1863" s="20">
        <f>IF($C1863="","",IF(Registro_Compras!$F$210="NOTA DE CREDITO",ROUND(ABS(Registro_Compras!$J$210*Registro_Compras!$N$210),2),""))</f>
        <v/>
      </c>
      <c r="F1863" s="20">
        <f>IF($C1863="","",IF(Registro_Compras!$F$210="NOTA DE CREDITO","",IF(Registro_Compras!$F$210="RHE",ROUND(Registro_Compras!$L$210*Registro_Compras!$N$210,2),ROUND(Registro_Compras!$J$210*Registro_Compras!$N$210,2))))</f>
        <v/>
      </c>
      <c r="G1863">
        <f>IF($C1863="","","Por el destino del gasto")</f>
        <v/>
      </c>
      <c r="H1863">
        <f>IF($C1863="","",Registro_Compras!$C$210)</f>
        <v/>
      </c>
    </row>
    <row r="1864">
      <c r="A1864" s="25">
        <f>IF($C1864="","",Registro_Compras!$X$210)</f>
        <v/>
      </c>
      <c r="B1864">
        <f>IF($C1864="","","C"&amp;TEXT(INT((ROW()-5)/9)+1,"000")&amp;"-3")</f>
        <v/>
      </c>
      <c r="C1864">
        <f>IF(OR(Registro_Compras!$C$210="",Registro_Compras!$O$210="",Registro_Compras!$R$210&lt;&gt;"SI",Registro_Compras!$X$210=""),"","4212")</f>
        <v/>
      </c>
      <c r="D1864">
        <f>IF(OR(Registro_Compras!$C$210="",Registro_Compras!$O$210=""),"","Cuentas por Pagar Comerciales - Terceros")</f>
        <v/>
      </c>
      <c r="E1864" s="20">
        <f>IF($C1864="","",Registro_Compras!$S$210)</f>
        <v/>
      </c>
      <c r="F1864" s="20">
        <f>""</f>
        <v/>
      </c>
      <c r="G1864">
        <f>IF($C1864="","","Por el deposito de la detraccion en el Banco de la Nacion")</f>
        <v/>
      </c>
      <c r="H1864">
        <f>IF($C1864="","",Registro_Compras!$C$210)</f>
        <v/>
      </c>
    </row>
    <row r="1865">
      <c r="A1865" s="25">
        <f>IF($C1865="","",Registro_Compras!$X$210)</f>
        <v/>
      </c>
      <c r="B1865">
        <f>IF($C1865="","","C"&amp;TEXT(INT((ROW()-5)/9)+1,"000")&amp;"-3")</f>
        <v/>
      </c>
      <c r="C1865">
        <f>IF(OR(Registro_Compras!$C$210="",Registro_Compras!$O$210="",Registro_Compras!$R$210&lt;&gt;"SI",Registro_Compras!$X$210=""),"","10413")</f>
        <v/>
      </c>
      <c r="D1865">
        <f>IF(OR(Registro_Compras!$C$210="",Registro_Compras!$O$210=""),"","Efectivo y Equivalentes - Cta. Cte. Operativa")</f>
        <v/>
      </c>
      <c r="E1865" s="20">
        <f>""</f>
        <v/>
      </c>
      <c r="F1865" s="20">
        <f>IF($C1865="","",Registro_Compras!$S$210)</f>
        <v/>
      </c>
      <c r="G1865">
        <f>IF($C1865="","","Por el deposito de la detraccion en el Banco de la Nacion")</f>
        <v/>
      </c>
      <c r="H1865">
        <f>IF($C1865="","",Registro_Compras!$C$210)</f>
        <v/>
      </c>
    </row>
    <row r="1866">
      <c r="A1866" s="25">
        <f>IF($C1866="","",Registro_Compras!$Y$210)</f>
        <v/>
      </c>
      <c r="B1866">
        <f>IF($C1866="","","C"&amp;TEXT(INT((ROW()-5)/9)+1,"000")&amp;"-4")</f>
        <v/>
      </c>
      <c r="C1866">
        <f>IF(OR(Registro_Compras!$C$210="",Registro_Compras!$O$210="",Registro_Compras!$Y$210="",Registro_Compras!$F$210="NOTA DE CREDITO"),"","4212")</f>
        <v/>
      </c>
      <c r="D1866">
        <f>IF(OR(Registro_Compras!$C$210="",Registro_Compras!$O$210=""),"","Cuentas por Pagar Comerciales - Terceros")</f>
        <v/>
      </c>
      <c r="E1866" s="20">
        <f>IF($C1866="","",IF(Registro_Compras!$F$210="RHE",(ROUND(Registro_Compras!$L$210*Registro_Compras!$N$210,2)-ROUND(Registro_Compras!$V$210*Registro_Compras!$N$210,2)),ROUND(Registro_Compras!$O$210-Registro_Compras!$S$210,2)))</f>
        <v/>
      </c>
      <c r="F1866" s="20">
        <f>""</f>
        <v/>
      </c>
      <c r="G1866">
        <f>IF($C1866="","","Por la cancelacion del saldo al proveedor")</f>
        <v/>
      </c>
      <c r="H1866">
        <f>IF($C1866="","",Registro_Compras!$C$210)</f>
        <v/>
      </c>
    </row>
    <row r="1867">
      <c r="A1867" s="25">
        <f>IF($C1867="","",Registro_Compras!$Y$210)</f>
        <v/>
      </c>
      <c r="B1867">
        <f>IF($C1867="","","C"&amp;TEXT(INT((ROW()-5)/9)+1,"000")&amp;"-4")</f>
        <v/>
      </c>
      <c r="C1867">
        <f>IF(OR(Registro_Compras!$C$210="",Registro_Compras!$O$210="",Registro_Compras!$Y$210="",Registro_Compras!$F$210="NOTA DE CREDITO"),"","10413")</f>
        <v/>
      </c>
      <c r="D1867">
        <f>IF(OR(Registro_Compras!$C$210="",Registro_Compras!$O$210=""),"","Efectivo y Equivalentes - Cta. Cte. Operativa")</f>
        <v/>
      </c>
      <c r="E1867" s="20">
        <f>""</f>
        <v/>
      </c>
      <c r="F1867" s="20">
        <f>IF($C1867="","",IF(Registro_Compras!$F$210="RHE",(ROUND(Registro_Compras!$L$210*Registro_Compras!$N$210,2)-ROUND(Registro_Compras!$V$210*Registro_Compras!$N$210,2)),ROUND(Registro_Compras!$O$210-Registro_Compras!$S$210,2)))</f>
        <v/>
      </c>
      <c r="G1867">
        <f>IF($C1867="","","Por la cancelacion del saldo al proveedor")</f>
        <v/>
      </c>
      <c r="H1867">
        <f>IF($C1867="","",Registro_Compras!$C$210)</f>
        <v/>
      </c>
    </row>
    <row r="1868">
      <c r="A1868" s="25">
        <f>IF($C1868="","",Registro_Compras!$B$211)</f>
        <v/>
      </c>
      <c r="B1868">
        <f>IF($C1868="","","C"&amp;TEXT(INT((ROW()-5)/9)+1,"000")&amp;"-1")</f>
        <v/>
      </c>
      <c r="C1868">
        <f>IF(OR(Registro_Compras!$C$211="",Registro_Compras!$O$211=""),"",IF(Registro_Compras!$F$211="NOTA DE CREDITO","4212",IF(Registro_Compras!$M$211="","63",Registro_Compras!$M$211)))</f>
        <v/>
      </c>
      <c r="D1868">
        <f>IF(OR(Registro_Compras!$C$211="",Registro_Compras!$O$211=""),"",IF(Registro_Compras!$F$211="NOTA DE CREDITO","Cuentas por Pagar Comerciales - Terceros (Emitidas)",IF(Registro_Compras!$F$211="RHE","Honorarios Profesionales - Servicios de Terceros","Gastos de Servicios Prestados por Terceros")))</f>
        <v/>
      </c>
      <c r="E1868" s="20">
        <f>IF($C1868="","",IF(Registro_Compras!$F$211="NOTA DE CREDITO",ABS(Registro_Compras!$O$211),IF(Registro_Compras!$F$211="RHE",ROUND(Registro_Compras!$L$211*Registro_Compras!$N$211,2),ROUND(Registro_Compras!$J$211*Registro_Compras!$N$211,2))))</f>
        <v/>
      </c>
      <c r="F1868" s="20">
        <f>""</f>
        <v/>
      </c>
      <c r="G1868">
        <f>IF($C1868="","",IF(Registro_Compras!$F$211="NOTA DE CREDITO","Por la nota de credito "&amp;Registro_Compras!$C$211&amp;" de "&amp;Registro_Compras!$E$211&amp;" [PATRON POR CONFIRMAR CON CONTADOR]",IF(Registro_Compras!$F$211="RHE","Por el registro del recibo por honorarios "&amp;Registro_Compras!$C$211&amp;" de "&amp;Registro_Compras!$E$211&amp;" [PATRON POR CONFIRMAR CON CONTADOR]","Por el registro de la factura "&amp;Registro_Compras!$C$211&amp;" de "&amp;Registro_Compras!$E$211)))</f>
        <v/>
      </c>
      <c r="H1868">
        <f>IF($C1868="","",Registro_Compras!$C$211)</f>
        <v/>
      </c>
    </row>
    <row r="1869">
      <c r="A1869" s="25">
        <f>IF($C1869="","",Registro_Compras!$B$211)</f>
        <v/>
      </c>
      <c r="B1869">
        <f>IF($C1869="","","C"&amp;TEXT(INT((ROW()-5)/9)+1,"000")&amp;"-1")</f>
        <v/>
      </c>
      <c r="C1869">
        <f>IF(OR(Registro_Compras!$C$211="",Registro_Compras!$O$211=""),"",IF(Registro_Compras!$F$211="RHE",IF(Registro_Compras!$V$211=0,"","40172"),IF(Registro_Compras!$F$211="NOTA DE CREDITO",IF(Registro_Compras!$M$211="","63",Registro_Compras!$M$211),IF(Registro_Compras!$K$211=0,"","40111"))))</f>
        <v/>
      </c>
      <c r="D1869">
        <f>IF(OR(Registro_Compras!$C$211="",Registro_Compras!$O$211=""),"",IF(Registro_Compras!$F$211="RHE","Retencion Renta 4ta Categoria por Pagar",IF(Registro_Compras!$F$211="NOTA DE CREDITO","Gastos de Servicios Prestados por Terceros","IGV - Cuenta Propia (Credito Fiscal)")))</f>
        <v/>
      </c>
      <c r="E1869" s="20">
        <f>IF($C1869="","",IF(Registro_Compras!$F$211="FACTURA",ROUND(Registro_Compras!$K$211*Registro_Compras!$N$211,2),""))</f>
        <v/>
      </c>
      <c r="F1869" s="20">
        <f>IF($C1869="","",IF(Registro_Compras!$F$211="RHE",ROUND(Registro_Compras!$V$211*Registro_Compras!$N$211,2),IF(Registro_Compras!$F$211="NOTA DE CREDITO",ROUND(ABS(Registro_Compras!$J$211*Registro_Compras!$N$211),2),"")))</f>
        <v/>
      </c>
      <c r="G1869">
        <f>IF($C1869="","",IF(Registro_Compras!$F$211="NOTA DE CREDITO","Por la nota de credito "&amp;Registro_Compras!$C$211&amp;" de "&amp;Registro_Compras!$E$211&amp;" [PATRON POR CONFIRMAR CON CONTADOR]",IF(Registro_Compras!$F$211="RHE","Por el registro del recibo por honorarios "&amp;Registro_Compras!$C$211&amp;" de "&amp;Registro_Compras!$E$211&amp;" [PATRON POR CONFIRMAR CON CONTADOR]","Por el registro de la factura "&amp;Registro_Compras!$C$211&amp;" de "&amp;Registro_Compras!$E$211)))</f>
        <v/>
      </c>
      <c r="H1869">
        <f>IF($C1869="","",Registro_Compras!$C$211)</f>
        <v/>
      </c>
    </row>
    <row r="1870">
      <c r="A1870" s="25">
        <f>IF($C1870="","",Registro_Compras!$B$211)</f>
        <v/>
      </c>
      <c r="B1870">
        <f>IF($C1870="","","C"&amp;TEXT(INT((ROW()-5)/9)+1,"000")&amp;"-1")</f>
        <v/>
      </c>
      <c r="C1870">
        <f>IF(OR(Registro_Compras!$C$211="",Registro_Compras!$O$211=""),"",IF(Registro_Compras!$F$211="NOTA DE CREDITO",IF(Registro_Compras!$K$211=0,"","40111"),"4212"))</f>
        <v/>
      </c>
      <c r="D1870">
        <f>IF(OR(Registro_Compras!$C$211="",Registro_Compras!$O$211=""),"",IF(Registro_Compras!$F$211="NOTA DE CREDITO","IGV - Cuenta Propia (Credito Fiscal)","Cuentas por Pagar Comerciales - Terceros (Emitidas)"))</f>
        <v/>
      </c>
      <c r="E1870" s="20">
        <f>""</f>
        <v/>
      </c>
      <c r="F1870" s="20">
        <f>IF($C1870="","",IF(Registro_Compras!$F$211="NOTA DE CREDITO",ROUND(ABS(Registro_Compras!$K$211*Registro_Compras!$N$211),2),IF(Registro_Compras!$F$211="RHE",(ROUND(Registro_Compras!$L$211*Registro_Compras!$N$211,2)-ROUND(Registro_Compras!$V$211*Registro_Compras!$N$211,2)),Registro_Compras!$O$211)))</f>
        <v/>
      </c>
      <c r="G1870">
        <f>IF($C1870="","",IF(Registro_Compras!$F$211="NOTA DE CREDITO","Por la nota de credito "&amp;Registro_Compras!$C$211&amp;" de "&amp;Registro_Compras!$E$211&amp;" [PATRON POR CONFIRMAR CON CONTADOR]",IF(Registro_Compras!$F$211="RHE","Por el registro del recibo por honorarios "&amp;Registro_Compras!$C$211&amp;" de "&amp;Registro_Compras!$E$211&amp;" [PATRON POR CONFIRMAR CON CONTADOR]","Por el registro de la factura "&amp;Registro_Compras!$C$211&amp;" de "&amp;Registro_Compras!$E$211)))</f>
        <v/>
      </c>
      <c r="H1870">
        <f>IF($C1870="","",Registro_Compras!$C$211)</f>
        <v/>
      </c>
    </row>
    <row r="1871">
      <c r="A1871" s="25">
        <f>IF($C1871="","",Registro_Compras!$B$211)</f>
        <v/>
      </c>
      <c r="B1871">
        <f>IF($C1871="","","C"&amp;TEXT(INT((ROW()-5)/9)+1,"000")&amp;"-2")</f>
        <v/>
      </c>
      <c r="C1871">
        <f>IF(OR(Registro_Compras!$C$211="",Registro_Compras!$O$211=""),"",IF(Registro_Compras!$AB$211="ADMINISTRATIVO","94","95"))</f>
        <v/>
      </c>
      <c r="D1871">
        <f>IF(OR(Registro_Compras!$C$211="",Registro_Compras!$O$211=""),"",IF(Registro_Compras!$AB$211="ADMINISTRATIVO","Gastos Administrativos","Gastos de Venta y Operacion"))</f>
        <v/>
      </c>
      <c r="E1871" s="20">
        <f>IF($C1871="","",IF(Registro_Compras!$F$211="NOTA DE CREDITO","",IF(Registro_Compras!$F$211="RHE",ROUND(Registro_Compras!$L$211*Registro_Compras!$N$211,2),ROUND(Registro_Compras!$J$211*Registro_Compras!$N$211,2))))</f>
        <v/>
      </c>
      <c r="F1871" s="20">
        <f>IF($C1871="","",IF(Registro_Compras!$F$211="NOTA DE CREDITO",ROUND(ABS(Registro_Compras!$J$211*Registro_Compras!$N$211),2),""))</f>
        <v/>
      </c>
      <c r="G1871">
        <f>IF($C1871="","","Por el destino del gasto")</f>
        <v/>
      </c>
      <c r="H1871">
        <f>IF($C1871="","",Registro_Compras!$C$211)</f>
        <v/>
      </c>
    </row>
    <row r="1872">
      <c r="A1872" s="25">
        <f>IF($C1872="","",Registro_Compras!$B$211)</f>
        <v/>
      </c>
      <c r="B1872">
        <f>IF($C1872="","","C"&amp;TEXT(INT((ROW()-5)/9)+1,"000")&amp;"-2")</f>
        <v/>
      </c>
      <c r="C1872">
        <f>IF(OR(Registro_Compras!$C$211="",Registro_Compras!$O$211=""),"","79/791")</f>
        <v/>
      </c>
      <c r="D1872">
        <f>IF(OR(Registro_Compras!$C$211="",Registro_Compras!$O$211=""),"","Cargas Imputables a Cuentas de Costos y Gastos")</f>
        <v/>
      </c>
      <c r="E1872" s="20">
        <f>IF($C1872="","",IF(Registro_Compras!$F$211="NOTA DE CREDITO",ROUND(ABS(Registro_Compras!$J$211*Registro_Compras!$N$211),2),""))</f>
        <v/>
      </c>
      <c r="F1872" s="20">
        <f>IF($C1872="","",IF(Registro_Compras!$F$211="NOTA DE CREDITO","",IF(Registro_Compras!$F$211="RHE",ROUND(Registro_Compras!$L$211*Registro_Compras!$N$211,2),ROUND(Registro_Compras!$J$211*Registro_Compras!$N$211,2))))</f>
        <v/>
      </c>
      <c r="G1872">
        <f>IF($C1872="","","Por el destino del gasto")</f>
        <v/>
      </c>
      <c r="H1872">
        <f>IF($C1872="","",Registro_Compras!$C$211)</f>
        <v/>
      </c>
    </row>
    <row r="1873">
      <c r="A1873" s="25">
        <f>IF($C1873="","",Registro_Compras!$X$211)</f>
        <v/>
      </c>
      <c r="B1873">
        <f>IF($C1873="","","C"&amp;TEXT(INT((ROW()-5)/9)+1,"000")&amp;"-3")</f>
        <v/>
      </c>
      <c r="C1873">
        <f>IF(OR(Registro_Compras!$C$211="",Registro_Compras!$O$211="",Registro_Compras!$R$211&lt;&gt;"SI",Registro_Compras!$X$211=""),"","4212")</f>
        <v/>
      </c>
      <c r="D1873">
        <f>IF(OR(Registro_Compras!$C$211="",Registro_Compras!$O$211=""),"","Cuentas por Pagar Comerciales - Terceros")</f>
        <v/>
      </c>
      <c r="E1873" s="20">
        <f>IF($C1873="","",Registro_Compras!$S$211)</f>
        <v/>
      </c>
      <c r="F1873" s="20">
        <f>""</f>
        <v/>
      </c>
      <c r="G1873">
        <f>IF($C1873="","","Por el deposito de la detraccion en el Banco de la Nacion")</f>
        <v/>
      </c>
      <c r="H1873">
        <f>IF($C1873="","",Registro_Compras!$C$211)</f>
        <v/>
      </c>
    </row>
    <row r="1874">
      <c r="A1874" s="25">
        <f>IF($C1874="","",Registro_Compras!$X$211)</f>
        <v/>
      </c>
      <c r="B1874">
        <f>IF($C1874="","","C"&amp;TEXT(INT((ROW()-5)/9)+1,"000")&amp;"-3")</f>
        <v/>
      </c>
      <c r="C1874">
        <f>IF(OR(Registro_Compras!$C$211="",Registro_Compras!$O$211="",Registro_Compras!$R$211&lt;&gt;"SI",Registro_Compras!$X$211=""),"","10413")</f>
        <v/>
      </c>
      <c r="D1874">
        <f>IF(OR(Registro_Compras!$C$211="",Registro_Compras!$O$211=""),"","Efectivo y Equivalentes - Cta. Cte. Operativa")</f>
        <v/>
      </c>
      <c r="E1874" s="20">
        <f>""</f>
        <v/>
      </c>
      <c r="F1874" s="20">
        <f>IF($C1874="","",Registro_Compras!$S$211)</f>
        <v/>
      </c>
      <c r="G1874">
        <f>IF($C1874="","","Por el deposito de la detraccion en el Banco de la Nacion")</f>
        <v/>
      </c>
      <c r="H1874">
        <f>IF($C1874="","",Registro_Compras!$C$211)</f>
        <v/>
      </c>
    </row>
    <row r="1875">
      <c r="A1875" s="25">
        <f>IF($C1875="","",Registro_Compras!$Y$211)</f>
        <v/>
      </c>
      <c r="B1875">
        <f>IF($C1875="","","C"&amp;TEXT(INT((ROW()-5)/9)+1,"000")&amp;"-4")</f>
        <v/>
      </c>
      <c r="C1875">
        <f>IF(OR(Registro_Compras!$C$211="",Registro_Compras!$O$211="",Registro_Compras!$Y$211="",Registro_Compras!$F$211="NOTA DE CREDITO"),"","4212")</f>
        <v/>
      </c>
      <c r="D1875">
        <f>IF(OR(Registro_Compras!$C$211="",Registro_Compras!$O$211=""),"","Cuentas por Pagar Comerciales - Terceros")</f>
        <v/>
      </c>
      <c r="E1875" s="20">
        <f>IF($C1875="","",IF(Registro_Compras!$F$211="RHE",(ROUND(Registro_Compras!$L$211*Registro_Compras!$N$211,2)-ROUND(Registro_Compras!$V$211*Registro_Compras!$N$211,2)),ROUND(Registro_Compras!$O$211-Registro_Compras!$S$211,2)))</f>
        <v/>
      </c>
      <c r="F1875" s="20">
        <f>""</f>
        <v/>
      </c>
      <c r="G1875">
        <f>IF($C1875="","","Por la cancelacion del saldo al proveedor")</f>
        <v/>
      </c>
      <c r="H1875">
        <f>IF($C1875="","",Registro_Compras!$C$211)</f>
        <v/>
      </c>
    </row>
    <row r="1876">
      <c r="A1876" s="25">
        <f>IF($C1876="","",Registro_Compras!$Y$211)</f>
        <v/>
      </c>
      <c r="B1876">
        <f>IF($C1876="","","C"&amp;TEXT(INT((ROW()-5)/9)+1,"000")&amp;"-4")</f>
        <v/>
      </c>
      <c r="C1876">
        <f>IF(OR(Registro_Compras!$C$211="",Registro_Compras!$O$211="",Registro_Compras!$Y$211="",Registro_Compras!$F$211="NOTA DE CREDITO"),"","10413")</f>
        <v/>
      </c>
      <c r="D1876">
        <f>IF(OR(Registro_Compras!$C$211="",Registro_Compras!$O$211=""),"","Efectivo y Equivalentes - Cta. Cte. Operativa")</f>
        <v/>
      </c>
      <c r="E1876" s="20">
        <f>""</f>
        <v/>
      </c>
      <c r="F1876" s="20">
        <f>IF($C1876="","",IF(Registro_Compras!$F$211="RHE",(ROUND(Registro_Compras!$L$211*Registro_Compras!$N$211,2)-ROUND(Registro_Compras!$V$211*Registro_Compras!$N$211,2)),ROUND(Registro_Compras!$O$211-Registro_Compras!$S$211,2)))</f>
        <v/>
      </c>
      <c r="G1876">
        <f>IF($C1876="","","Por la cancelacion del saldo al proveedor")</f>
        <v/>
      </c>
      <c r="H1876">
        <f>IF($C1876="","",Registro_Compras!$C$211)</f>
        <v/>
      </c>
    </row>
    <row r="1877">
      <c r="A1877" s="25">
        <f>IF($C1877="","",Registro_Compras!$B$212)</f>
        <v/>
      </c>
      <c r="B1877">
        <f>IF($C1877="","","C"&amp;TEXT(INT((ROW()-5)/9)+1,"000")&amp;"-1")</f>
        <v/>
      </c>
      <c r="C1877">
        <f>IF(OR(Registro_Compras!$C$212="",Registro_Compras!$O$212=""),"",IF(Registro_Compras!$F$212="NOTA DE CREDITO","4212",IF(Registro_Compras!$M$212="","63",Registro_Compras!$M$212)))</f>
        <v/>
      </c>
      <c r="D1877">
        <f>IF(OR(Registro_Compras!$C$212="",Registro_Compras!$O$212=""),"",IF(Registro_Compras!$F$212="NOTA DE CREDITO","Cuentas por Pagar Comerciales - Terceros (Emitidas)",IF(Registro_Compras!$F$212="RHE","Honorarios Profesionales - Servicios de Terceros","Gastos de Servicios Prestados por Terceros")))</f>
        <v/>
      </c>
      <c r="E1877" s="20">
        <f>IF($C1877="","",IF(Registro_Compras!$F$212="NOTA DE CREDITO",ABS(Registro_Compras!$O$212),IF(Registro_Compras!$F$212="RHE",ROUND(Registro_Compras!$L$212*Registro_Compras!$N$212,2),ROUND(Registro_Compras!$J$212*Registro_Compras!$N$212,2))))</f>
        <v/>
      </c>
      <c r="F1877" s="20">
        <f>""</f>
        <v/>
      </c>
      <c r="G1877">
        <f>IF($C1877="","",IF(Registro_Compras!$F$212="NOTA DE CREDITO","Por la nota de credito "&amp;Registro_Compras!$C$212&amp;" de "&amp;Registro_Compras!$E$212&amp;" [PATRON POR CONFIRMAR CON CONTADOR]",IF(Registro_Compras!$F$212="RHE","Por el registro del recibo por honorarios "&amp;Registro_Compras!$C$212&amp;" de "&amp;Registro_Compras!$E$212&amp;" [PATRON POR CONFIRMAR CON CONTADOR]","Por el registro de la factura "&amp;Registro_Compras!$C$212&amp;" de "&amp;Registro_Compras!$E$212)))</f>
        <v/>
      </c>
      <c r="H1877">
        <f>IF($C1877="","",Registro_Compras!$C$212)</f>
        <v/>
      </c>
    </row>
    <row r="1878">
      <c r="A1878" s="25">
        <f>IF($C1878="","",Registro_Compras!$B$212)</f>
        <v/>
      </c>
      <c r="B1878">
        <f>IF($C1878="","","C"&amp;TEXT(INT((ROW()-5)/9)+1,"000")&amp;"-1")</f>
        <v/>
      </c>
      <c r="C1878">
        <f>IF(OR(Registro_Compras!$C$212="",Registro_Compras!$O$212=""),"",IF(Registro_Compras!$F$212="RHE",IF(Registro_Compras!$V$212=0,"","40172"),IF(Registro_Compras!$F$212="NOTA DE CREDITO",IF(Registro_Compras!$M$212="","63",Registro_Compras!$M$212),IF(Registro_Compras!$K$212=0,"","40111"))))</f>
        <v/>
      </c>
      <c r="D1878">
        <f>IF(OR(Registro_Compras!$C$212="",Registro_Compras!$O$212=""),"",IF(Registro_Compras!$F$212="RHE","Retencion Renta 4ta Categoria por Pagar",IF(Registro_Compras!$F$212="NOTA DE CREDITO","Gastos de Servicios Prestados por Terceros","IGV - Cuenta Propia (Credito Fiscal)")))</f>
        <v/>
      </c>
      <c r="E1878" s="20">
        <f>IF($C1878="","",IF(Registro_Compras!$F$212="FACTURA",ROUND(Registro_Compras!$K$212*Registro_Compras!$N$212,2),""))</f>
        <v/>
      </c>
      <c r="F1878" s="20">
        <f>IF($C1878="","",IF(Registro_Compras!$F$212="RHE",ROUND(Registro_Compras!$V$212*Registro_Compras!$N$212,2),IF(Registro_Compras!$F$212="NOTA DE CREDITO",ROUND(ABS(Registro_Compras!$J$212*Registro_Compras!$N$212),2),"")))</f>
        <v/>
      </c>
      <c r="G1878">
        <f>IF($C1878="","",IF(Registro_Compras!$F$212="NOTA DE CREDITO","Por la nota de credito "&amp;Registro_Compras!$C$212&amp;" de "&amp;Registro_Compras!$E$212&amp;" [PATRON POR CONFIRMAR CON CONTADOR]",IF(Registro_Compras!$F$212="RHE","Por el registro del recibo por honorarios "&amp;Registro_Compras!$C$212&amp;" de "&amp;Registro_Compras!$E$212&amp;" [PATRON POR CONFIRMAR CON CONTADOR]","Por el registro de la factura "&amp;Registro_Compras!$C$212&amp;" de "&amp;Registro_Compras!$E$212)))</f>
        <v/>
      </c>
      <c r="H1878">
        <f>IF($C1878="","",Registro_Compras!$C$212)</f>
        <v/>
      </c>
    </row>
    <row r="1879">
      <c r="A1879" s="25">
        <f>IF($C1879="","",Registro_Compras!$B$212)</f>
        <v/>
      </c>
      <c r="B1879">
        <f>IF($C1879="","","C"&amp;TEXT(INT((ROW()-5)/9)+1,"000")&amp;"-1")</f>
        <v/>
      </c>
      <c r="C1879">
        <f>IF(OR(Registro_Compras!$C$212="",Registro_Compras!$O$212=""),"",IF(Registro_Compras!$F$212="NOTA DE CREDITO",IF(Registro_Compras!$K$212=0,"","40111"),"4212"))</f>
        <v/>
      </c>
      <c r="D1879">
        <f>IF(OR(Registro_Compras!$C$212="",Registro_Compras!$O$212=""),"",IF(Registro_Compras!$F$212="NOTA DE CREDITO","IGV - Cuenta Propia (Credito Fiscal)","Cuentas por Pagar Comerciales - Terceros (Emitidas)"))</f>
        <v/>
      </c>
      <c r="E1879" s="20">
        <f>""</f>
        <v/>
      </c>
      <c r="F1879" s="20">
        <f>IF($C1879="","",IF(Registro_Compras!$F$212="NOTA DE CREDITO",ROUND(ABS(Registro_Compras!$K$212*Registro_Compras!$N$212),2),IF(Registro_Compras!$F$212="RHE",(ROUND(Registro_Compras!$L$212*Registro_Compras!$N$212,2)-ROUND(Registro_Compras!$V$212*Registro_Compras!$N$212,2)),Registro_Compras!$O$212)))</f>
        <v/>
      </c>
      <c r="G1879">
        <f>IF($C1879="","",IF(Registro_Compras!$F$212="NOTA DE CREDITO","Por la nota de credito "&amp;Registro_Compras!$C$212&amp;" de "&amp;Registro_Compras!$E$212&amp;" [PATRON POR CONFIRMAR CON CONTADOR]",IF(Registro_Compras!$F$212="RHE","Por el registro del recibo por honorarios "&amp;Registro_Compras!$C$212&amp;" de "&amp;Registro_Compras!$E$212&amp;" [PATRON POR CONFIRMAR CON CONTADOR]","Por el registro de la factura "&amp;Registro_Compras!$C$212&amp;" de "&amp;Registro_Compras!$E$212)))</f>
        <v/>
      </c>
      <c r="H1879">
        <f>IF($C1879="","",Registro_Compras!$C$212)</f>
        <v/>
      </c>
    </row>
    <row r="1880">
      <c r="A1880" s="25">
        <f>IF($C1880="","",Registro_Compras!$B$212)</f>
        <v/>
      </c>
      <c r="B1880">
        <f>IF($C1880="","","C"&amp;TEXT(INT((ROW()-5)/9)+1,"000")&amp;"-2")</f>
        <v/>
      </c>
      <c r="C1880">
        <f>IF(OR(Registro_Compras!$C$212="",Registro_Compras!$O$212=""),"",IF(Registro_Compras!$AB$212="ADMINISTRATIVO","94","95"))</f>
        <v/>
      </c>
      <c r="D1880">
        <f>IF(OR(Registro_Compras!$C$212="",Registro_Compras!$O$212=""),"",IF(Registro_Compras!$AB$212="ADMINISTRATIVO","Gastos Administrativos","Gastos de Venta y Operacion"))</f>
        <v/>
      </c>
      <c r="E1880" s="20">
        <f>IF($C1880="","",IF(Registro_Compras!$F$212="NOTA DE CREDITO","",IF(Registro_Compras!$F$212="RHE",ROUND(Registro_Compras!$L$212*Registro_Compras!$N$212,2),ROUND(Registro_Compras!$J$212*Registro_Compras!$N$212,2))))</f>
        <v/>
      </c>
      <c r="F1880" s="20">
        <f>IF($C1880="","",IF(Registro_Compras!$F$212="NOTA DE CREDITO",ROUND(ABS(Registro_Compras!$J$212*Registro_Compras!$N$212),2),""))</f>
        <v/>
      </c>
      <c r="G1880">
        <f>IF($C1880="","","Por el destino del gasto")</f>
        <v/>
      </c>
      <c r="H1880">
        <f>IF($C1880="","",Registro_Compras!$C$212)</f>
        <v/>
      </c>
    </row>
    <row r="1881">
      <c r="A1881" s="25">
        <f>IF($C1881="","",Registro_Compras!$B$212)</f>
        <v/>
      </c>
      <c r="B1881">
        <f>IF($C1881="","","C"&amp;TEXT(INT((ROW()-5)/9)+1,"000")&amp;"-2")</f>
        <v/>
      </c>
      <c r="C1881">
        <f>IF(OR(Registro_Compras!$C$212="",Registro_Compras!$O$212=""),"","79/791")</f>
        <v/>
      </c>
      <c r="D1881">
        <f>IF(OR(Registro_Compras!$C$212="",Registro_Compras!$O$212=""),"","Cargas Imputables a Cuentas de Costos y Gastos")</f>
        <v/>
      </c>
      <c r="E1881" s="20">
        <f>IF($C1881="","",IF(Registro_Compras!$F$212="NOTA DE CREDITO",ROUND(ABS(Registro_Compras!$J$212*Registro_Compras!$N$212),2),""))</f>
        <v/>
      </c>
      <c r="F1881" s="20">
        <f>IF($C1881="","",IF(Registro_Compras!$F$212="NOTA DE CREDITO","",IF(Registro_Compras!$F$212="RHE",ROUND(Registro_Compras!$L$212*Registro_Compras!$N$212,2),ROUND(Registro_Compras!$J$212*Registro_Compras!$N$212,2))))</f>
        <v/>
      </c>
      <c r="G1881">
        <f>IF($C1881="","","Por el destino del gasto")</f>
        <v/>
      </c>
      <c r="H1881">
        <f>IF($C1881="","",Registro_Compras!$C$212)</f>
        <v/>
      </c>
    </row>
    <row r="1882">
      <c r="A1882" s="25">
        <f>IF($C1882="","",Registro_Compras!$X$212)</f>
        <v/>
      </c>
      <c r="B1882">
        <f>IF($C1882="","","C"&amp;TEXT(INT((ROW()-5)/9)+1,"000")&amp;"-3")</f>
        <v/>
      </c>
      <c r="C1882">
        <f>IF(OR(Registro_Compras!$C$212="",Registro_Compras!$O$212="",Registro_Compras!$R$212&lt;&gt;"SI",Registro_Compras!$X$212=""),"","4212")</f>
        <v/>
      </c>
      <c r="D1882">
        <f>IF(OR(Registro_Compras!$C$212="",Registro_Compras!$O$212=""),"","Cuentas por Pagar Comerciales - Terceros")</f>
        <v/>
      </c>
      <c r="E1882" s="20">
        <f>IF($C1882="","",Registro_Compras!$S$212)</f>
        <v/>
      </c>
      <c r="F1882" s="20">
        <f>""</f>
        <v/>
      </c>
      <c r="G1882">
        <f>IF($C1882="","","Por el deposito de la detraccion en el Banco de la Nacion")</f>
        <v/>
      </c>
      <c r="H1882">
        <f>IF($C1882="","",Registro_Compras!$C$212)</f>
        <v/>
      </c>
    </row>
    <row r="1883">
      <c r="A1883" s="25">
        <f>IF($C1883="","",Registro_Compras!$X$212)</f>
        <v/>
      </c>
      <c r="B1883">
        <f>IF($C1883="","","C"&amp;TEXT(INT((ROW()-5)/9)+1,"000")&amp;"-3")</f>
        <v/>
      </c>
      <c r="C1883">
        <f>IF(OR(Registro_Compras!$C$212="",Registro_Compras!$O$212="",Registro_Compras!$R$212&lt;&gt;"SI",Registro_Compras!$X$212=""),"","10413")</f>
        <v/>
      </c>
      <c r="D1883">
        <f>IF(OR(Registro_Compras!$C$212="",Registro_Compras!$O$212=""),"","Efectivo y Equivalentes - Cta. Cte. Operativa")</f>
        <v/>
      </c>
      <c r="E1883" s="20">
        <f>""</f>
        <v/>
      </c>
      <c r="F1883" s="20">
        <f>IF($C1883="","",Registro_Compras!$S$212)</f>
        <v/>
      </c>
      <c r="G1883">
        <f>IF($C1883="","","Por el deposito de la detraccion en el Banco de la Nacion")</f>
        <v/>
      </c>
      <c r="H1883">
        <f>IF($C1883="","",Registro_Compras!$C$212)</f>
        <v/>
      </c>
    </row>
    <row r="1884">
      <c r="A1884" s="25">
        <f>IF($C1884="","",Registro_Compras!$Y$212)</f>
        <v/>
      </c>
      <c r="B1884">
        <f>IF($C1884="","","C"&amp;TEXT(INT((ROW()-5)/9)+1,"000")&amp;"-4")</f>
        <v/>
      </c>
      <c r="C1884">
        <f>IF(OR(Registro_Compras!$C$212="",Registro_Compras!$O$212="",Registro_Compras!$Y$212="",Registro_Compras!$F$212="NOTA DE CREDITO"),"","4212")</f>
        <v/>
      </c>
      <c r="D1884">
        <f>IF(OR(Registro_Compras!$C$212="",Registro_Compras!$O$212=""),"","Cuentas por Pagar Comerciales - Terceros")</f>
        <v/>
      </c>
      <c r="E1884" s="20">
        <f>IF($C1884="","",IF(Registro_Compras!$F$212="RHE",(ROUND(Registro_Compras!$L$212*Registro_Compras!$N$212,2)-ROUND(Registro_Compras!$V$212*Registro_Compras!$N$212,2)),ROUND(Registro_Compras!$O$212-Registro_Compras!$S$212,2)))</f>
        <v/>
      </c>
      <c r="F1884" s="20">
        <f>""</f>
        <v/>
      </c>
      <c r="G1884">
        <f>IF($C1884="","","Por la cancelacion del saldo al proveedor")</f>
        <v/>
      </c>
      <c r="H1884">
        <f>IF($C1884="","",Registro_Compras!$C$212)</f>
        <v/>
      </c>
    </row>
    <row r="1885">
      <c r="A1885" s="25">
        <f>IF($C1885="","",Registro_Compras!$Y$212)</f>
        <v/>
      </c>
      <c r="B1885">
        <f>IF($C1885="","","C"&amp;TEXT(INT((ROW()-5)/9)+1,"000")&amp;"-4")</f>
        <v/>
      </c>
      <c r="C1885">
        <f>IF(OR(Registro_Compras!$C$212="",Registro_Compras!$O$212="",Registro_Compras!$Y$212="",Registro_Compras!$F$212="NOTA DE CREDITO"),"","10413")</f>
        <v/>
      </c>
      <c r="D1885">
        <f>IF(OR(Registro_Compras!$C$212="",Registro_Compras!$O$212=""),"","Efectivo y Equivalentes - Cta. Cte. Operativa")</f>
        <v/>
      </c>
      <c r="E1885" s="20">
        <f>""</f>
        <v/>
      </c>
      <c r="F1885" s="20">
        <f>IF($C1885="","",IF(Registro_Compras!$F$212="RHE",(ROUND(Registro_Compras!$L$212*Registro_Compras!$N$212,2)-ROUND(Registro_Compras!$V$212*Registro_Compras!$N$212,2)),ROUND(Registro_Compras!$O$212-Registro_Compras!$S$212,2)))</f>
        <v/>
      </c>
      <c r="G1885">
        <f>IF($C1885="","","Por la cancelacion del saldo al proveedor")</f>
        <v/>
      </c>
      <c r="H1885">
        <f>IF($C1885="","",Registro_Compras!$C$212)</f>
        <v/>
      </c>
    </row>
    <row r="1886">
      <c r="A1886" s="25">
        <f>IF($C1886="","",Registro_Compras!$B$213)</f>
        <v/>
      </c>
      <c r="B1886">
        <f>IF($C1886="","","C"&amp;TEXT(INT((ROW()-5)/9)+1,"000")&amp;"-1")</f>
        <v/>
      </c>
      <c r="C1886">
        <f>IF(OR(Registro_Compras!$C$213="",Registro_Compras!$O$213=""),"",IF(Registro_Compras!$F$213="NOTA DE CREDITO","4212",IF(Registro_Compras!$M$213="","63",Registro_Compras!$M$213)))</f>
        <v/>
      </c>
      <c r="D1886">
        <f>IF(OR(Registro_Compras!$C$213="",Registro_Compras!$O$213=""),"",IF(Registro_Compras!$F$213="NOTA DE CREDITO","Cuentas por Pagar Comerciales - Terceros (Emitidas)",IF(Registro_Compras!$F$213="RHE","Honorarios Profesionales - Servicios de Terceros","Gastos de Servicios Prestados por Terceros")))</f>
        <v/>
      </c>
      <c r="E1886" s="20">
        <f>IF($C1886="","",IF(Registro_Compras!$F$213="NOTA DE CREDITO",ABS(Registro_Compras!$O$213),IF(Registro_Compras!$F$213="RHE",ROUND(Registro_Compras!$L$213*Registro_Compras!$N$213,2),ROUND(Registro_Compras!$J$213*Registro_Compras!$N$213,2))))</f>
        <v/>
      </c>
      <c r="F1886" s="20">
        <f>""</f>
        <v/>
      </c>
      <c r="G1886">
        <f>IF($C1886="","",IF(Registro_Compras!$F$213="NOTA DE CREDITO","Por la nota de credito "&amp;Registro_Compras!$C$213&amp;" de "&amp;Registro_Compras!$E$213&amp;" [PATRON POR CONFIRMAR CON CONTADOR]",IF(Registro_Compras!$F$213="RHE","Por el registro del recibo por honorarios "&amp;Registro_Compras!$C$213&amp;" de "&amp;Registro_Compras!$E$213&amp;" [PATRON POR CONFIRMAR CON CONTADOR]","Por el registro de la factura "&amp;Registro_Compras!$C$213&amp;" de "&amp;Registro_Compras!$E$213)))</f>
        <v/>
      </c>
      <c r="H1886">
        <f>IF($C1886="","",Registro_Compras!$C$213)</f>
        <v/>
      </c>
    </row>
    <row r="1887">
      <c r="A1887" s="25">
        <f>IF($C1887="","",Registro_Compras!$B$213)</f>
        <v/>
      </c>
      <c r="B1887">
        <f>IF($C1887="","","C"&amp;TEXT(INT((ROW()-5)/9)+1,"000")&amp;"-1")</f>
        <v/>
      </c>
      <c r="C1887">
        <f>IF(OR(Registro_Compras!$C$213="",Registro_Compras!$O$213=""),"",IF(Registro_Compras!$F$213="RHE",IF(Registro_Compras!$V$213=0,"","40172"),IF(Registro_Compras!$F$213="NOTA DE CREDITO",IF(Registro_Compras!$M$213="","63",Registro_Compras!$M$213),IF(Registro_Compras!$K$213=0,"","40111"))))</f>
        <v/>
      </c>
      <c r="D1887">
        <f>IF(OR(Registro_Compras!$C$213="",Registro_Compras!$O$213=""),"",IF(Registro_Compras!$F$213="RHE","Retencion Renta 4ta Categoria por Pagar",IF(Registro_Compras!$F$213="NOTA DE CREDITO","Gastos de Servicios Prestados por Terceros","IGV - Cuenta Propia (Credito Fiscal)")))</f>
        <v/>
      </c>
      <c r="E1887" s="20">
        <f>IF($C1887="","",IF(Registro_Compras!$F$213="FACTURA",ROUND(Registro_Compras!$K$213*Registro_Compras!$N$213,2),""))</f>
        <v/>
      </c>
      <c r="F1887" s="20">
        <f>IF($C1887="","",IF(Registro_Compras!$F$213="RHE",ROUND(Registro_Compras!$V$213*Registro_Compras!$N$213,2),IF(Registro_Compras!$F$213="NOTA DE CREDITO",ROUND(ABS(Registro_Compras!$J$213*Registro_Compras!$N$213),2),"")))</f>
        <v/>
      </c>
      <c r="G1887">
        <f>IF($C1887="","",IF(Registro_Compras!$F$213="NOTA DE CREDITO","Por la nota de credito "&amp;Registro_Compras!$C$213&amp;" de "&amp;Registro_Compras!$E$213&amp;" [PATRON POR CONFIRMAR CON CONTADOR]",IF(Registro_Compras!$F$213="RHE","Por el registro del recibo por honorarios "&amp;Registro_Compras!$C$213&amp;" de "&amp;Registro_Compras!$E$213&amp;" [PATRON POR CONFIRMAR CON CONTADOR]","Por el registro de la factura "&amp;Registro_Compras!$C$213&amp;" de "&amp;Registro_Compras!$E$213)))</f>
        <v/>
      </c>
      <c r="H1887">
        <f>IF($C1887="","",Registro_Compras!$C$213)</f>
        <v/>
      </c>
    </row>
    <row r="1888">
      <c r="A1888" s="25">
        <f>IF($C1888="","",Registro_Compras!$B$213)</f>
        <v/>
      </c>
      <c r="B1888">
        <f>IF($C1888="","","C"&amp;TEXT(INT((ROW()-5)/9)+1,"000")&amp;"-1")</f>
        <v/>
      </c>
      <c r="C1888">
        <f>IF(OR(Registro_Compras!$C$213="",Registro_Compras!$O$213=""),"",IF(Registro_Compras!$F$213="NOTA DE CREDITO",IF(Registro_Compras!$K$213=0,"","40111"),"4212"))</f>
        <v/>
      </c>
      <c r="D1888">
        <f>IF(OR(Registro_Compras!$C$213="",Registro_Compras!$O$213=""),"",IF(Registro_Compras!$F$213="NOTA DE CREDITO","IGV - Cuenta Propia (Credito Fiscal)","Cuentas por Pagar Comerciales - Terceros (Emitidas)"))</f>
        <v/>
      </c>
      <c r="E1888" s="20">
        <f>""</f>
        <v/>
      </c>
      <c r="F1888" s="20">
        <f>IF($C1888="","",IF(Registro_Compras!$F$213="NOTA DE CREDITO",ROUND(ABS(Registro_Compras!$K$213*Registro_Compras!$N$213),2),IF(Registro_Compras!$F$213="RHE",(ROUND(Registro_Compras!$L$213*Registro_Compras!$N$213,2)-ROUND(Registro_Compras!$V$213*Registro_Compras!$N$213,2)),Registro_Compras!$O$213)))</f>
        <v/>
      </c>
      <c r="G1888">
        <f>IF($C1888="","",IF(Registro_Compras!$F$213="NOTA DE CREDITO","Por la nota de credito "&amp;Registro_Compras!$C$213&amp;" de "&amp;Registro_Compras!$E$213&amp;" [PATRON POR CONFIRMAR CON CONTADOR]",IF(Registro_Compras!$F$213="RHE","Por el registro del recibo por honorarios "&amp;Registro_Compras!$C$213&amp;" de "&amp;Registro_Compras!$E$213&amp;" [PATRON POR CONFIRMAR CON CONTADOR]","Por el registro de la factura "&amp;Registro_Compras!$C$213&amp;" de "&amp;Registro_Compras!$E$213)))</f>
        <v/>
      </c>
      <c r="H1888">
        <f>IF($C1888="","",Registro_Compras!$C$213)</f>
        <v/>
      </c>
    </row>
    <row r="1889">
      <c r="A1889" s="25">
        <f>IF($C1889="","",Registro_Compras!$B$213)</f>
        <v/>
      </c>
      <c r="B1889">
        <f>IF($C1889="","","C"&amp;TEXT(INT((ROW()-5)/9)+1,"000")&amp;"-2")</f>
        <v/>
      </c>
      <c r="C1889">
        <f>IF(OR(Registro_Compras!$C$213="",Registro_Compras!$O$213=""),"",IF(Registro_Compras!$AB$213="ADMINISTRATIVO","94","95"))</f>
        <v/>
      </c>
      <c r="D1889">
        <f>IF(OR(Registro_Compras!$C$213="",Registro_Compras!$O$213=""),"",IF(Registro_Compras!$AB$213="ADMINISTRATIVO","Gastos Administrativos","Gastos de Venta y Operacion"))</f>
        <v/>
      </c>
      <c r="E1889" s="20">
        <f>IF($C1889="","",IF(Registro_Compras!$F$213="NOTA DE CREDITO","",IF(Registro_Compras!$F$213="RHE",ROUND(Registro_Compras!$L$213*Registro_Compras!$N$213,2),ROUND(Registro_Compras!$J$213*Registro_Compras!$N$213,2))))</f>
        <v/>
      </c>
      <c r="F1889" s="20">
        <f>IF($C1889="","",IF(Registro_Compras!$F$213="NOTA DE CREDITO",ROUND(ABS(Registro_Compras!$J$213*Registro_Compras!$N$213),2),""))</f>
        <v/>
      </c>
      <c r="G1889">
        <f>IF($C1889="","","Por el destino del gasto")</f>
        <v/>
      </c>
      <c r="H1889">
        <f>IF($C1889="","",Registro_Compras!$C$213)</f>
        <v/>
      </c>
    </row>
    <row r="1890">
      <c r="A1890" s="25">
        <f>IF($C1890="","",Registro_Compras!$B$213)</f>
        <v/>
      </c>
      <c r="B1890">
        <f>IF($C1890="","","C"&amp;TEXT(INT((ROW()-5)/9)+1,"000")&amp;"-2")</f>
        <v/>
      </c>
      <c r="C1890">
        <f>IF(OR(Registro_Compras!$C$213="",Registro_Compras!$O$213=""),"","79/791")</f>
        <v/>
      </c>
      <c r="D1890">
        <f>IF(OR(Registro_Compras!$C$213="",Registro_Compras!$O$213=""),"","Cargas Imputables a Cuentas de Costos y Gastos")</f>
        <v/>
      </c>
      <c r="E1890" s="20">
        <f>IF($C1890="","",IF(Registro_Compras!$F$213="NOTA DE CREDITO",ROUND(ABS(Registro_Compras!$J$213*Registro_Compras!$N$213),2),""))</f>
        <v/>
      </c>
      <c r="F1890" s="20">
        <f>IF($C1890="","",IF(Registro_Compras!$F$213="NOTA DE CREDITO","",IF(Registro_Compras!$F$213="RHE",ROUND(Registro_Compras!$L$213*Registro_Compras!$N$213,2),ROUND(Registro_Compras!$J$213*Registro_Compras!$N$213,2))))</f>
        <v/>
      </c>
      <c r="G1890">
        <f>IF($C1890="","","Por el destino del gasto")</f>
        <v/>
      </c>
      <c r="H1890">
        <f>IF($C1890="","",Registro_Compras!$C$213)</f>
        <v/>
      </c>
    </row>
    <row r="1891">
      <c r="A1891" s="25">
        <f>IF($C1891="","",Registro_Compras!$X$213)</f>
        <v/>
      </c>
      <c r="B1891">
        <f>IF($C1891="","","C"&amp;TEXT(INT((ROW()-5)/9)+1,"000")&amp;"-3")</f>
        <v/>
      </c>
      <c r="C1891">
        <f>IF(OR(Registro_Compras!$C$213="",Registro_Compras!$O$213="",Registro_Compras!$R$213&lt;&gt;"SI",Registro_Compras!$X$213=""),"","4212")</f>
        <v/>
      </c>
      <c r="D1891">
        <f>IF(OR(Registro_Compras!$C$213="",Registro_Compras!$O$213=""),"","Cuentas por Pagar Comerciales - Terceros")</f>
        <v/>
      </c>
      <c r="E1891" s="20">
        <f>IF($C1891="","",Registro_Compras!$S$213)</f>
        <v/>
      </c>
      <c r="F1891" s="20">
        <f>""</f>
        <v/>
      </c>
      <c r="G1891">
        <f>IF($C1891="","","Por el deposito de la detraccion en el Banco de la Nacion")</f>
        <v/>
      </c>
      <c r="H1891">
        <f>IF($C1891="","",Registro_Compras!$C$213)</f>
        <v/>
      </c>
    </row>
    <row r="1892">
      <c r="A1892" s="25">
        <f>IF($C1892="","",Registro_Compras!$X$213)</f>
        <v/>
      </c>
      <c r="B1892">
        <f>IF($C1892="","","C"&amp;TEXT(INT((ROW()-5)/9)+1,"000")&amp;"-3")</f>
        <v/>
      </c>
      <c r="C1892">
        <f>IF(OR(Registro_Compras!$C$213="",Registro_Compras!$O$213="",Registro_Compras!$R$213&lt;&gt;"SI",Registro_Compras!$X$213=""),"","10413")</f>
        <v/>
      </c>
      <c r="D1892">
        <f>IF(OR(Registro_Compras!$C$213="",Registro_Compras!$O$213=""),"","Efectivo y Equivalentes - Cta. Cte. Operativa")</f>
        <v/>
      </c>
      <c r="E1892" s="20">
        <f>""</f>
        <v/>
      </c>
      <c r="F1892" s="20">
        <f>IF($C1892="","",Registro_Compras!$S$213)</f>
        <v/>
      </c>
      <c r="G1892">
        <f>IF($C1892="","","Por el deposito de la detraccion en el Banco de la Nacion")</f>
        <v/>
      </c>
      <c r="H1892">
        <f>IF($C1892="","",Registro_Compras!$C$213)</f>
        <v/>
      </c>
    </row>
    <row r="1893">
      <c r="A1893" s="25">
        <f>IF($C1893="","",Registro_Compras!$Y$213)</f>
        <v/>
      </c>
      <c r="B1893">
        <f>IF($C1893="","","C"&amp;TEXT(INT((ROW()-5)/9)+1,"000")&amp;"-4")</f>
        <v/>
      </c>
      <c r="C1893">
        <f>IF(OR(Registro_Compras!$C$213="",Registro_Compras!$O$213="",Registro_Compras!$Y$213="",Registro_Compras!$F$213="NOTA DE CREDITO"),"","4212")</f>
        <v/>
      </c>
      <c r="D1893">
        <f>IF(OR(Registro_Compras!$C$213="",Registro_Compras!$O$213=""),"","Cuentas por Pagar Comerciales - Terceros")</f>
        <v/>
      </c>
      <c r="E1893" s="20">
        <f>IF($C1893="","",IF(Registro_Compras!$F$213="RHE",(ROUND(Registro_Compras!$L$213*Registro_Compras!$N$213,2)-ROUND(Registro_Compras!$V$213*Registro_Compras!$N$213,2)),ROUND(Registro_Compras!$O$213-Registro_Compras!$S$213,2)))</f>
        <v/>
      </c>
      <c r="F1893" s="20">
        <f>""</f>
        <v/>
      </c>
      <c r="G1893">
        <f>IF($C1893="","","Por la cancelacion del saldo al proveedor")</f>
        <v/>
      </c>
      <c r="H1893">
        <f>IF($C1893="","",Registro_Compras!$C$213)</f>
        <v/>
      </c>
    </row>
    <row r="1894">
      <c r="A1894" s="25">
        <f>IF($C1894="","",Registro_Compras!$Y$213)</f>
        <v/>
      </c>
      <c r="B1894">
        <f>IF($C1894="","","C"&amp;TEXT(INT((ROW()-5)/9)+1,"000")&amp;"-4")</f>
        <v/>
      </c>
      <c r="C1894">
        <f>IF(OR(Registro_Compras!$C$213="",Registro_Compras!$O$213="",Registro_Compras!$Y$213="",Registro_Compras!$F$213="NOTA DE CREDITO"),"","10413")</f>
        <v/>
      </c>
      <c r="D1894">
        <f>IF(OR(Registro_Compras!$C$213="",Registro_Compras!$O$213=""),"","Efectivo y Equivalentes - Cta. Cte. Operativa")</f>
        <v/>
      </c>
      <c r="E1894" s="20">
        <f>""</f>
        <v/>
      </c>
      <c r="F1894" s="20">
        <f>IF($C1894="","",IF(Registro_Compras!$F$213="RHE",(ROUND(Registro_Compras!$L$213*Registro_Compras!$N$213,2)-ROUND(Registro_Compras!$V$213*Registro_Compras!$N$213,2)),ROUND(Registro_Compras!$O$213-Registro_Compras!$S$213,2)))</f>
        <v/>
      </c>
      <c r="G1894">
        <f>IF($C1894="","","Por la cancelacion del saldo al proveedor")</f>
        <v/>
      </c>
      <c r="H1894">
        <f>IF($C1894="","",Registro_Compras!$C$213)</f>
        <v/>
      </c>
    </row>
    <row r="1895">
      <c r="A1895" s="25">
        <f>IF($C1895="","",Registro_Compras!$B$214)</f>
        <v/>
      </c>
      <c r="B1895">
        <f>IF($C1895="","","C"&amp;TEXT(INT((ROW()-5)/9)+1,"000")&amp;"-1")</f>
        <v/>
      </c>
      <c r="C1895">
        <f>IF(OR(Registro_Compras!$C$214="",Registro_Compras!$O$214=""),"",IF(Registro_Compras!$F$214="NOTA DE CREDITO","4212",IF(Registro_Compras!$M$214="","63",Registro_Compras!$M$214)))</f>
        <v/>
      </c>
      <c r="D1895">
        <f>IF(OR(Registro_Compras!$C$214="",Registro_Compras!$O$214=""),"",IF(Registro_Compras!$F$214="NOTA DE CREDITO","Cuentas por Pagar Comerciales - Terceros (Emitidas)",IF(Registro_Compras!$F$214="RHE","Honorarios Profesionales - Servicios de Terceros","Gastos de Servicios Prestados por Terceros")))</f>
        <v/>
      </c>
      <c r="E1895" s="20">
        <f>IF($C1895="","",IF(Registro_Compras!$F$214="NOTA DE CREDITO",ABS(Registro_Compras!$O$214),IF(Registro_Compras!$F$214="RHE",ROUND(Registro_Compras!$L$214*Registro_Compras!$N$214,2),ROUND(Registro_Compras!$J$214*Registro_Compras!$N$214,2))))</f>
        <v/>
      </c>
      <c r="F1895" s="20">
        <f>""</f>
        <v/>
      </c>
      <c r="G1895">
        <f>IF($C1895="","",IF(Registro_Compras!$F$214="NOTA DE CREDITO","Por la nota de credito "&amp;Registro_Compras!$C$214&amp;" de "&amp;Registro_Compras!$E$214&amp;" [PATRON POR CONFIRMAR CON CONTADOR]",IF(Registro_Compras!$F$214="RHE","Por el registro del recibo por honorarios "&amp;Registro_Compras!$C$214&amp;" de "&amp;Registro_Compras!$E$214&amp;" [PATRON POR CONFIRMAR CON CONTADOR]","Por el registro de la factura "&amp;Registro_Compras!$C$214&amp;" de "&amp;Registro_Compras!$E$214)))</f>
        <v/>
      </c>
      <c r="H1895">
        <f>IF($C1895="","",Registro_Compras!$C$214)</f>
        <v/>
      </c>
    </row>
    <row r="1896">
      <c r="A1896" s="25">
        <f>IF($C1896="","",Registro_Compras!$B$214)</f>
        <v/>
      </c>
      <c r="B1896">
        <f>IF($C1896="","","C"&amp;TEXT(INT((ROW()-5)/9)+1,"000")&amp;"-1")</f>
        <v/>
      </c>
      <c r="C1896">
        <f>IF(OR(Registro_Compras!$C$214="",Registro_Compras!$O$214=""),"",IF(Registro_Compras!$F$214="RHE",IF(Registro_Compras!$V$214=0,"","40172"),IF(Registro_Compras!$F$214="NOTA DE CREDITO",IF(Registro_Compras!$M$214="","63",Registro_Compras!$M$214),IF(Registro_Compras!$K$214=0,"","40111"))))</f>
        <v/>
      </c>
      <c r="D1896">
        <f>IF(OR(Registro_Compras!$C$214="",Registro_Compras!$O$214=""),"",IF(Registro_Compras!$F$214="RHE","Retencion Renta 4ta Categoria por Pagar",IF(Registro_Compras!$F$214="NOTA DE CREDITO","Gastos de Servicios Prestados por Terceros","IGV - Cuenta Propia (Credito Fiscal)")))</f>
        <v/>
      </c>
      <c r="E1896" s="20">
        <f>IF($C1896="","",IF(Registro_Compras!$F$214="FACTURA",ROUND(Registro_Compras!$K$214*Registro_Compras!$N$214,2),""))</f>
        <v/>
      </c>
      <c r="F1896" s="20">
        <f>IF($C1896="","",IF(Registro_Compras!$F$214="RHE",ROUND(Registro_Compras!$V$214*Registro_Compras!$N$214,2),IF(Registro_Compras!$F$214="NOTA DE CREDITO",ROUND(ABS(Registro_Compras!$J$214*Registro_Compras!$N$214),2),"")))</f>
        <v/>
      </c>
      <c r="G1896">
        <f>IF($C1896="","",IF(Registro_Compras!$F$214="NOTA DE CREDITO","Por la nota de credito "&amp;Registro_Compras!$C$214&amp;" de "&amp;Registro_Compras!$E$214&amp;" [PATRON POR CONFIRMAR CON CONTADOR]",IF(Registro_Compras!$F$214="RHE","Por el registro del recibo por honorarios "&amp;Registro_Compras!$C$214&amp;" de "&amp;Registro_Compras!$E$214&amp;" [PATRON POR CONFIRMAR CON CONTADOR]","Por el registro de la factura "&amp;Registro_Compras!$C$214&amp;" de "&amp;Registro_Compras!$E$214)))</f>
        <v/>
      </c>
      <c r="H1896">
        <f>IF($C1896="","",Registro_Compras!$C$214)</f>
        <v/>
      </c>
    </row>
    <row r="1897">
      <c r="A1897" s="25">
        <f>IF($C1897="","",Registro_Compras!$B$214)</f>
        <v/>
      </c>
      <c r="B1897">
        <f>IF($C1897="","","C"&amp;TEXT(INT((ROW()-5)/9)+1,"000")&amp;"-1")</f>
        <v/>
      </c>
      <c r="C1897">
        <f>IF(OR(Registro_Compras!$C$214="",Registro_Compras!$O$214=""),"",IF(Registro_Compras!$F$214="NOTA DE CREDITO",IF(Registro_Compras!$K$214=0,"","40111"),"4212"))</f>
        <v/>
      </c>
      <c r="D1897">
        <f>IF(OR(Registro_Compras!$C$214="",Registro_Compras!$O$214=""),"",IF(Registro_Compras!$F$214="NOTA DE CREDITO","IGV - Cuenta Propia (Credito Fiscal)","Cuentas por Pagar Comerciales - Terceros (Emitidas)"))</f>
        <v/>
      </c>
      <c r="E1897" s="20">
        <f>""</f>
        <v/>
      </c>
      <c r="F1897" s="20">
        <f>IF($C1897="","",IF(Registro_Compras!$F$214="NOTA DE CREDITO",ROUND(ABS(Registro_Compras!$K$214*Registro_Compras!$N$214),2),IF(Registro_Compras!$F$214="RHE",(ROUND(Registro_Compras!$L$214*Registro_Compras!$N$214,2)-ROUND(Registro_Compras!$V$214*Registro_Compras!$N$214,2)),Registro_Compras!$O$214)))</f>
        <v/>
      </c>
      <c r="G1897">
        <f>IF($C1897="","",IF(Registro_Compras!$F$214="NOTA DE CREDITO","Por la nota de credito "&amp;Registro_Compras!$C$214&amp;" de "&amp;Registro_Compras!$E$214&amp;" [PATRON POR CONFIRMAR CON CONTADOR]",IF(Registro_Compras!$F$214="RHE","Por el registro del recibo por honorarios "&amp;Registro_Compras!$C$214&amp;" de "&amp;Registro_Compras!$E$214&amp;" [PATRON POR CONFIRMAR CON CONTADOR]","Por el registro de la factura "&amp;Registro_Compras!$C$214&amp;" de "&amp;Registro_Compras!$E$214)))</f>
        <v/>
      </c>
      <c r="H1897">
        <f>IF($C1897="","",Registro_Compras!$C$214)</f>
        <v/>
      </c>
    </row>
    <row r="1898">
      <c r="A1898" s="25">
        <f>IF($C1898="","",Registro_Compras!$B$214)</f>
        <v/>
      </c>
      <c r="B1898">
        <f>IF($C1898="","","C"&amp;TEXT(INT((ROW()-5)/9)+1,"000")&amp;"-2")</f>
        <v/>
      </c>
      <c r="C1898">
        <f>IF(OR(Registro_Compras!$C$214="",Registro_Compras!$O$214=""),"",IF(Registro_Compras!$AB$214="ADMINISTRATIVO","94","95"))</f>
        <v/>
      </c>
      <c r="D1898">
        <f>IF(OR(Registro_Compras!$C$214="",Registro_Compras!$O$214=""),"",IF(Registro_Compras!$AB$214="ADMINISTRATIVO","Gastos Administrativos","Gastos de Venta y Operacion"))</f>
        <v/>
      </c>
      <c r="E1898" s="20">
        <f>IF($C1898="","",IF(Registro_Compras!$F$214="NOTA DE CREDITO","",IF(Registro_Compras!$F$214="RHE",ROUND(Registro_Compras!$L$214*Registro_Compras!$N$214,2),ROUND(Registro_Compras!$J$214*Registro_Compras!$N$214,2))))</f>
        <v/>
      </c>
      <c r="F1898" s="20">
        <f>IF($C1898="","",IF(Registro_Compras!$F$214="NOTA DE CREDITO",ROUND(ABS(Registro_Compras!$J$214*Registro_Compras!$N$214),2),""))</f>
        <v/>
      </c>
      <c r="G1898">
        <f>IF($C1898="","","Por el destino del gasto")</f>
        <v/>
      </c>
      <c r="H1898">
        <f>IF($C1898="","",Registro_Compras!$C$214)</f>
        <v/>
      </c>
    </row>
    <row r="1899">
      <c r="A1899" s="25">
        <f>IF($C1899="","",Registro_Compras!$B$214)</f>
        <v/>
      </c>
      <c r="B1899">
        <f>IF($C1899="","","C"&amp;TEXT(INT((ROW()-5)/9)+1,"000")&amp;"-2")</f>
        <v/>
      </c>
      <c r="C1899">
        <f>IF(OR(Registro_Compras!$C$214="",Registro_Compras!$O$214=""),"","79/791")</f>
        <v/>
      </c>
      <c r="D1899">
        <f>IF(OR(Registro_Compras!$C$214="",Registro_Compras!$O$214=""),"","Cargas Imputables a Cuentas de Costos y Gastos")</f>
        <v/>
      </c>
      <c r="E1899" s="20">
        <f>IF($C1899="","",IF(Registro_Compras!$F$214="NOTA DE CREDITO",ROUND(ABS(Registro_Compras!$J$214*Registro_Compras!$N$214),2),""))</f>
        <v/>
      </c>
      <c r="F1899" s="20">
        <f>IF($C1899="","",IF(Registro_Compras!$F$214="NOTA DE CREDITO","",IF(Registro_Compras!$F$214="RHE",ROUND(Registro_Compras!$L$214*Registro_Compras!$N$214,2),ROUND(Registro_Compras!$J$214*Registro_Compras!$N$214,2))))</f>
        <v/>
      </c>
      <c r="G1899">
        <f>IF($C1899="","","Por el destino del gasto")</f>
        <v/>
      </c>
      <c r="H1899">
        <f>IF($C1899="","",Registro_Compras!$C$214)</f>
        <v/>
      </c>
    </row>
    <row r="1900">
      <c r="A1900" s="25">
        <f>IF($C1900="","",Registro_Compras!$X$214)</f>
        <v/>
      </c>
      <c r="B1900">
        <f>IF($C1900="","","C"&amp;TEXT(INT((ROW()-5)/9)+1,"000")&amp;"-3")</f>
        <v/>
      </c>
      <c r="C1900">
        <f>IF(OR(Registro_Compras!$C$214="",Registro_Compras!$O$214="",Registro_Compras!$R$214&lt;&gt;"SI",Registro_Compras!$X$214=""),"","4212")</f>
        <v/>
      </c>
      <c r="D1900">
        <f>IF(OR(Registro_Compras!$C$214="",Registro_Compras!$O$214=""),"","Cuentas por Pagar Comerciales - Terceros")</f>
        <v/>
      </c>
      <c r="E1900" s="20">
        <f>IF($C1900="","",Registro_Compras!$S$214)</f>
        <v/>
      </c>
      <c r="F1900" s="20">
        <f>""</f>
        <v/>
      </c>
      <c r="G1900">
        <f>IF($C1900="","","Por el deposito de la detraccion en el Banco de la Nacion")</f>
        <v/>
      </c>
      <c r="H1900">
        <f>IF($C1900="","",Registro_Compras!$C$214)</f>
        <v/>
      </c>
    </row>
    <row r="1901">
      <c r="A1901" s="25">
        <f>IF($C1901="","",Registro_Compras!$X$214)</f>
        <v/>
      </c>
      <c r="B1901">
        <f>IF($C1901="","","C"&amp;TEXT(INT((ROW()-5)/9)+1,"000")&amp;"-3")</f>
        <v/>
      </c>
      <c r="C1901">
        <f>IF(OR(Registro_Compras!$C$214="",Registro_Compras!$O$214="",Registro_Compras!$R$214&lt;&gt;"SI",Registro_Compras!$X$214=""),"","10413")</f>
        <v/>
      </c>
      <c r="D1901">
        <f>IF(OR(Registro_Compras!$C$214="",Registro_Compras!$O$214=""),"","Efectivo y Equivalentes - Cta. Cte. Operativa")</f>
        <v/>
      </c>
      <c r="E1901" s="20">
        <f>""</f>
        <v/>
      </c>
      <c r="F1901" s="20">
        <f>IF($C1901="","",Registro_Compras!$S$214)</f>
        <v/>
      </c>
      <c r="G1901">
        <f>IF($C1901="","","Por el deposito de la detraccion en el Banco de la Nacion")</f>
        <v/>
      </c>
      <c r="H1901">
        <f>IF($C1901="","",Registro_Compras!$C$214)</f>
        <v/>
      </c>
    </row>
    <row r="1902">
      <c r="A1902" s="25">
        <f>IF($C1902="","",Registro_Compras!$Y$214)</f>
        <v/>
      </c>
      <c r="B1902">
        <f>IF($C1902="","","C"&amp;TEXT(INT((ROW()-5)/9)+1,"000")&amp;"-4")</f>
        <v/>
      </c>
      <c r="C1902">
        <f>IF(OR(Registro_Compras!$C$214="",Registro_Compras!$O$214="",Registro_Compras!$Y$214="",Registro_Compras!$F$214="NOTA DE CREDITO"),"","4212")</f>
        <v/>
      </c>
      <c r="D1902">
        <f>IF(OR(Registro_Compras!$C$214="",Registro_Compras!$O$214=""),"","Cuentas por Pagar Comerciales - Terceros")</f>
        <v/>
      </c>
      <c r="E1902" s="20">
        <f>IF($C1902="","",IF(Registro_Compras!$F$214="RHE",(ROUND(Registro_Compras!$L$214*Registro_Compras!$N$214,2)-ROUND(Registro_Compras!$V$214*Registro_Compras!$N$214,2)),ROUND(Registro_Compras!$O$214-Registro_Compras!$S$214,2)))</f>
        <v/>
      </c>
      <c r="F1902" s="20">
        <f>""</f>
        <v/>
      </c>
      <c r="G1902">
        <f>IF($C1902="","","Por la cancelacion del saldo al proveedor")</f>
        <v/>
      </c>
      <c r="H1902">
        <f>IF($C1902="","",Registro_Compras!$C$214)</f>
        <v/>
      </c>
    </row>
    <row r="1903">
      <c r="A1903" s="25">
        <f>IF($C1903="","",Registro_Compras!$Y$214)</f>
        <v/>
      </c>
      <c r="B1903">
        <f>IF($C1903="","","C"&amp;TEXT(INT((ROW()-5)/9)+1,"000")&amp;"-4")</f>
        <v/>
      </c>
      <c r="C1903">
        <f>IF(OR(Registro_Compras!$C$214="",Registro_Compras!$O$214="",Registro_Compras!$Y$214="",Registro_Compras!$F$214="NOTA DE CREDITO"),"","10413")</f>
        <v/>
      </c>
      <c r="D1903">
        <f>IF(OR(Registro_Compras!$C$214="",Registro_Compras!$O$214=""),"","Efectivo y Equivalentes - Cta. Cte. Operativa")</f>
        <v/>
      </c>
      <c r="E1903" s="20">
        <f>""</f>
        <v/>
      </c>
      <c r="F1903" s="20">
        <f>IF($C1903="","",IF(Registro_Compras!$F$214="RHE",(ROUND(Registro_Compras!$L$214*Registro_Compras!$N$214,2)-ROUND(Registro_Compras!$V$214*Registro_Compras!$N$214,2)),ROUND(Registro_Compras!$O$214-Registro_Compras!$S$214,2)))</f>
        <v/>
      </c>
      <c r="G1903">
        <f>IF($C1903="","","Por la cancelacion del saldo al proveedor")</f>
        <v/>
      </c>
      <c r="H1903">
        <f>IF($C1903="","",Registro_Compras!$C$214)</f>
        <v/>
      </c>
    </row>
    <row r="1904">
      <c r="A1904" s="25">
        <f>IF($C1904="","",Registro_Compras!$B$215)</f>
        <v/>
      </c>
      <c r="B1904">
        <f>IF($C1904="","","C"&amp;TEXT(INT((ROW()-5)/9)+1,"000")&amp;"-1")</f>
        <v/>
      </c>
      <c r="C1904">
        <f>IF(OR(Registro_Compras!$C$215="",Registro_Compras!$O$215=""),"",IF(Registro_Compras!$F$215="NOTA DE CREDITO","4212",IF(Registro_Compras!$M$215="","63",Registro_Compras!$M$215)))</f>
        <v/>
      </c>
      <c r="D1904">
        <f>IF(OR(Registro_Compras!$C$215="",Registro_Compras!$O$215=""),"",IF(Registro_Compras!$F$215="NOTA DE CREDITO","Cuentas por Pagar Comerciales - Terceros (Emitidas)",IF(Registro_Compras!$F$215="RHE","Honorarios Profesionales - Servicios de Terceros","Gastos de Servicios Prestados por Terceros")))</f>
        <v/>
      </c>
      <c r="E1904" s="20">
        <f>IF($C1904="","",IF(Registro_Compras!$F$215="NOTA DE CREDITO",ABS(Registro_Compras!$O$215),IF(Registro_Compras!$F$215="RHE",ROUND(Registro_Compras!$L$215*Registro_Compras!$N$215,2),ROUND(Registro_Compras!$J$215*Registro_Compras!$N$215,2))))</f>
        <v/>
      </c>
      <c r="F1904" s="20">
        <f>""</f>
        <v/>
      </c>
      <c r="G1904">
        <f>IF($C1904="","",IF(Registro_Compras!$F$215="NOTA DE CREDITO","Por la nota de credito "&amp;Registro_Compras!$C$215&amp;" de "&amp;Registro_Compras!$E$215&amp;" [PATRON POR CONFIRMAR CON CONTADOR]",IF(Registro_Compras!$F$215="RHE","Por el registro del recibo por honorarios "&amp;Registro_Compras!$C$215&amp;" de "&amp;Registro_Compras!$E$215&amp;" [PATRON POR CONFIRMAR CON CONTADOR]","Por el registro de la factura "&amp;Registro_Compras!$C$215&amp;" de "&amp;Registro_Compras!$E$215)))</f>
        <v/>
      </c>
      <c r="H1904">
        <f>IF($C1904="","",Registro_Compras!$C$215)</f>
        <v/>
      </c>
    </row>
    <row r="1905">
      <c r="A1905" s="25">
        <f>IF($C1905="","",Registro_Compras!$B$215)</f>
        <v/>
      </c>
      <c r="B1905">
        <f>IF($C1905="","","C"&amp;TEXT(INT((ROW()-5)/9)+1,"000")&amp;"-1")</f>
        <v/>
      </c>
      <c r="C1905">
        <f>IF(OR(Registro_Compras!$C$215="",Registro_Compras!$O$215=""),"",IF(Registro_Compras!$F$215="RHE",IF(Registro_Compras!$V$215=0,"","40172"),IF(Registro_Compras!$F$215="NOTA DE CREDITO",IF(Registro_Compras!$M$215="","63",Registro_Compras!$M$215),IF(Registro_Compras!$K$215=0,"","40111"))))</f>
        <v/>
      </c>
      <c r="D1905">
        <f>IF(OR(Registro_Compras!$C$215="",Registro_Compras!$O$215=""),"",IF(Registro_Compras!$F$215="RHE","Retencion Renta 4ta Categoria por Pagar",IF(Registro_Compras!$F$215="NOTA DE CREDITO","Gastos de Servicios Prestados por Terceros","IGV - Cuenta Propia (Credito Fiscal)")))</f>
        <v/>
      </c>
      <c r="E1905" s="20">
        <f>IF($C1905="","",IF(Registro_Compras!$F$215="FACTURA",ROUND(Registro_Compras!$K$215*Registro_Compras!$N$215,2),""))</f>
        <v/>
      </c>
      <c r="F1905" s="20">
        <f>IF($C1905="","",IF(Registro_Compras!$F$215="RHE",ROUND(Registro_Compras!$V$215*Registro_Compras!$N$215,2),IF(Registro_Compras!$F$215="NOTA DE CREDITO",ROUND(ABS(Registro_Compras!$J$215*Registro_Compras!$N$215),2),"")))</f>
        <v/>
      </c>
      <c r="G1905">
        <f>IF($C1905="","",IF(Registro_Compras!$F$215="NOTA DE CREDITO","Por la nota de credito "&amp;Registro_Compras!$C$215&amp;" de "&amp;Registro_Compras!$E$215&amp;" [PATRON POR CONFIRMAR CON CONTADOR]",IF(Registro_Compras!$F$215="RHE","Por el registro del recibo por honorarios "&amp;Registro_Compras!$C$215&amp;" de "&amp;Registro_Compras!$E$215&amp;" [PATRON POR CONFIRMAR CON CONTADOR]","Por el registro de la factura "&amp;Registro_Compras!$C$215&amp;" de "&amp;Registro_Compras!$E$215)))</f>
        <v/>
      </c>
      <c r="H1905">
        <f>IF($C1905="","",Registro_Compras!$C$215)</f>
        <v/>
      </c>
    </row>
    <row r="1906">
      <c r="A1906" s="25">
        <f>IF($C1906="","",Registro_Compras!$B$215)</f>
        <v/>
      </c>
      <c r="B1906">
        <f>IF($C1906="","","C"&amp;TEXT(INT((ROW()-5)/9)+1,"000")&amp;"-1")</f>
        <v/>
      </c>
      <c r="C1906">
        <f>IF(OR(Registro_Compras!$C$215="",Registro_Compras!$O$215=""),"",IF(Registro_Compras!$F$215="NOTA DE CREDITO",IF(Registro_Compras!$K$215=0,"","40111"),"4212"))</f>
        <v/>
      </c>
      <c r="D1906">
        <f>IF(OR(Registro_Compras!$C$215="",Registro_Compras!$O$215=""),"",IF(Registro_Compras!$F$215="NOTA DE CREDITO","IGV - Cuenta Propia (Credito Fiscal)","Cuentas por Pagar Comerciales - Terceros (Emitidas)"))</f>
        <v/>
      </c>
      <c r="E1906" s="20">
        <f>""</f>
        <v/>
      </c>
      <c r="F1906" s="20">
        <f>IF($C1906="","",IF(Registro_Compras!$F$215="NOTA DE CREDITO",ROUND(ABS(Registro_Compras!$K$215*Registro_Compras!$N$215),2),IF(Registro_Compras!$F$215="RHE",(ROUND(Registro_Compras!$L$215*Registro_Compras!$N$215,2)-ROUND(Registro_Compras!$V$215*Registro_Compras!$N$215,2)),Registro_Compras!$O$215)))</f>
        <v/>
      </c>
      <c r="G1906">
        <f>IF($C1906="","",IF(Registro_Compras!$F$215="NOTA DE CREDITO","Por la nota de credito "&amp;Registro_Compras!$C$215&amp;" de "&amp;Registro_Compras!$E$215&amp;" [PATRON POR CONFIRMAR CON CONTADOR]",IF(Registro_Compras!$F$215="RHE","Por el registro del recibo por honorarios "&amp;Registro_Compras!$C$215&amp;" de "&amp;Registro_Compras!$E$215&amp;" [PATRON POR CONFIRMAR CON CONTADOR]","Por el registro de la factura "&amp;Registro_Compras!$C$215&amp;" de "&amp;Registro_Compras!$E$215)))</f>
        <v/>
      </c>
      <c r="H1906">
        <f>IF($C1906="","",Registro_Compras!$C$215)</f>
        <v/>
      </c>
    </row>
    <row r="1907">
      <c r="A1907" s="25">
        <f>IF($C1907="","",Registro_Compras!$B$215)</f>
        <v/>
      </c>
      <c r="B1907">
        <f>IF($C1907="","","C"&amp;TEXT(INT((ROW()-5)/9)+1,"000")&amp;"-2")</f>
        <v/>
      </c>
      <c r="C1907">
        <f>IF(OR(Registro_Compras!$C$215="",Registro_Compras!$O$215=""),"",IF(Registro_Compras!$AB$215="ADMINISTRATIVO","94","95"))</f>
        <v/>
      </c>
      <c r="D1907">
        <f>IF(OR(Registro_Compras!$C$215="",Registro_Compras!$O$215=""),"",IF(Registro_Compras!$AB$215="ADMINISTRATIVO","Gastos Administrativos","Gastos de Venta y Operacion"))</f>
        <v/>
      </c>
      <c r="E1907" s="20">
        <f>IF($C1907="","",IF(Registro_Compras!$F$215="NOTA DE CREDITO","",IF(Registro_Compras!$F$215="RHE",ROUND(Registro_Compras!$L$215*Registro_Compras!$N$215,2),ROUND(Registro_Compras!$J$215*Registro_Compras!$N$215,2))))</f>
        <v/>
      </c>
      <c r="F1907" s="20">
        <f>IF($C1907="","",IF(Registro_Compras!$F$215="NOTA DE CREDITO",ROUND(ABS(Registro_Compras!$J$215*Registro_Compras!$N$215),2),""))</f>
        <v/>
      </c>
      <c r="G1907">
        <f>IF($C1907="","","Por el destino del gasto")</f>
        <v/>
      </c>
      <c r="H1907">
        <f>IF($C1907="","",Registro_Compras!$C$215)</f>
        <v/>
      </c>
    </row>
    <row r="1908">
      <c r="A1908" s="25">
        <f>IF($C1908="","",Registro_Compras!$B$215)</f>
        <v/>
      </c>
      <c r="B1908">
        <f>IF($C1908="","","C"&amp;TEXT(INT((ROW()-5)/9)+1,"000")&amp;"-2")</f>
        <v/>
      </c>
      <c r="C1908">
        <f>IF(OR(Registro_Compras!$C$215="",Registro_Compras!$O$215=""),"","79/791")</f>
        <v/>
      </c>
      <c r="D1908">
        <f>IF(OR(Registro_Compras!$C$215="",Registro_Compras!$O$215=""),"","Cargas Imputables a Cuentas de Costos y Gastos")</f>
        <v/>
      </c>
      <c r="E1908" s="20">
        <f>IF($C1908="","",IF(Registro_Compras!$F$215="NOTA DE CREDITO",ROUND(ABS(Registro_Compras!$J$215*Registro_Compras!$N$215),2),""))</f>
        <v/>
      </c>
      <c r="F1908" s="20">
        <f>IF($C1908="","",IF(Registro_Compras!$F$215="NOTA DE CREDITO","",IF(Registro_Compras!$F$215="RHE",ROUND(Registro_Compras!$L$215*Registro_Compras!$N$215,2),ROUND(Registro_Compras!$J$215*Registro_Compras!$N$215,2))))</f>
        <v/>
      </c>
      <c r="G1908">
        <f>IF($C1908="","","Por el destino del gasto")</f>
        <v/>
      </c>
      <c r="H1908">
        <f>IF($C1908="","",Registro_Compras!$C$215)</f>
        <v/>
      </c>
    </row>
    <row r="1909">
      <c r="A1909" s="25">
        <f>IF($C1909="","",Registro_Compras!$X$215)</f>
        <v/>
      </c>
      <c r="B1909">
        <f>IF($C1909="","","C"&amp;TEXT(INT((ROW()-5)/9)+1,"000")&amp;"-3")</f>
        <v/>
      </c>
      <c r="C1909">
        <f>IF(OR(Registro_Compras!$C$215="",Registro_Compras!$O$215="",Registro_Compras!$R$215&lt;&gt;"SI",Registro_Compras!$X$215=""),"","4212")</f>
        <v/>
      </c>
      <c r="D1909">
        <f>IF(OR(Registro_Compras!$C$215="",Registro_Compras!$O$215=""),"","Cuentas por Pagar Comerciales - Terceros")</f>
        <v/>
      </c>
      <c r="E1909" s="20">
        <f>IF($C1909="","",Registro_Compras!$S$215)</f>
        <v/>
      </c>
      <c r="F1909" s="20">
        <f>""</f>
        <v/>
      </c>
      <c r="G1909">
        <f>IF($C1909="","","Por el deposito de la detraccion en el Banco de la Nacion")</f>
        <v/>
      </c>
      <c r="H1909">
        <f>IF($C1909="","",Registro_Compras!$C$215)</f>
        <v/>
      </c>
    </row>
    <row r="1910">
      <c r="A1910" s="25">
        <f>IF($C1910="","",Registro_Compras!$X$215)</f>
        <v/>
      </c>
      <c r="B1910">
        <f>IF($C1910="","","C"&amp;TEXT(INT((ROW()-5)/9)+1,"000")&amp;"-3")</f>
        <v/>
      </c>
      <c r="C1910">
        <f>IF(OR(Registro_Compras!$C$215="",Registro_Compras!$O$215="",Registro_Compras!$R$215&lt;&gt;"SI",Registro_Compras!$X$215=""),"","10413")</f>
        <v/>
      </c>
      <c r="D1910">
        <f>IF(OR(Registro_Compras!$C$215="",Registro_Compras!$O$215=""),"","Efectivo y Equivalentes - Cta. Cte. Operativa")</f>
        <v/>
      </c>
      <c r="E1910" s="20">
        <f>""</f>
        <v/>
      </c>
      <c r="F1910" s="20">
        <f>IF($C1910="","",Registro_Compras!$S$215)</f>
        <v/>
      </c>
      <c r="G1910">
        <f>IF($C1910="","","Por el deposito de la detraccion en el Banco de la Nacion")</f>
        <v/>
      </c>
      <c r="H1910">
        <f>IF($C1910="","",Registro_Compras!$C$215)</f>
        <v/>
      </c>
    </row>
    <row r="1911">
      <c r="A1911" s="25">
        <f>IF($C1911="","",Registro_Compras!$Y$215)</f>
        <v/>
      </c>
      <c r="B1911">
        <f>IF($C1911="","","C"&amp;TEXT(INT((ROW()-5)/9)+1,"000")&amp;"-4")</f>
        <v/>
      </c>
      <c r="C1911">
        <f>IF(OR(Registro_Compras!$C$215="",Registro_Compras!$O$215="",Registro_Compras!$Y$215="",Registro_Compras!$F$215="NOTA DE CREDITO"),"","4212")</f>
        <v/>
      </c>
      <c r="D1911">
        <f>IF(OR(Registro_Compras!$C$215="",Registro_Compras!$O$215=""),"","Cuentas por Pagar Comerciales - Terceros")</f>
        <v/>
      </c>
      <c r="E1911" s="20">
        <f>IF($C1911="","",IF(Registro_Compras!$F$215="RHE",(ROUND(Registro_Compras!$L$215*Registro_Compras!$N$215,2)-ROUND(Registro_Compras!$V$215*Registro_Compras!$N$215,2)),ROUND(Registro_Compras!$O$215-Registro_Compras!$S$215,2)))</f>
        <v/>
      </c>
      <c r="F1911" s="20">
        <f>""</f>
        <v/>
      </c>
      <c r="G1911">
        <f>IF($C1911="","","Por la cancelacion del saldo al proveedor")</f>
        <v/>
      </c>
      <c r="H1911">
        <f>IF($C1911="","",Registro_Compras!$C$215)</f>
        <v/>
      </c>
    </row>
    <row r="1912">
      <c r="A1912" s="25">
        <f>IF($C1912="","",Registro_Compras!$Y$215)</f>
        <v/>
      </c>
      <c r="B1912">
        <f>IF($C1912="","","C"&amp;TEXT(INT((ROW()-5)/9)+1,"000")&amp;"-4")</f>
        <v/>
      </c>
      <c r="C1912">
        <f>IF(OR(Registro_Compras!$C$215="",Registro_Compras!$O$215="",Registro_Compras!$Y$215="",Registro_Compras!$F$215="NOTA DE CREDITO"),"","10413")</f>
        <v/>
      </c>
      <c r="D1912">
        <f>IF(OR(Registro_Compras!$C$215="",Registro_Compras!$O$215=""),"","Efectivo y Equivalentes - Cta. Cte. Operativa")</f>
        <v/>
      </c>
      <c r="E1912" s="20">
        <f>""</f>
        <v/>
      </c>
      <c r="F1912" s="20">
        <f>IF($C1912="","",IF(Registro_Compras!$F$215="RHE",(ROUND(Registro_Compras!$L$215*Registro_Compras!$N$215,2)-ROUND(Registro_Compras!$V$215*Registro_Compras!$N$215,2)),ROUND(Registro_Compras!$O$215-Registro_Compras!$S$215,2)))</f>
        <v/>
      </c>
      <c r="G1912">
        <f>IF($C1912="","","Por la cancelacion del saldo al proveedor")</f>
        <v/>
      </c>
      <c r="H1912">
        <f>IF($C1912="","",Registro_Compras!$C$215)</f>
        <v/>
      </c>
    </row>
    <row r="1913">
      <c r="A1913" s="25">
        <f>IF($C1913="","",Registro_Compras!$B$216)</f>
        <v/>
      </c>
      <c r="B1913">
        <f>IF($C1913="","","C"&amp;TEXT(INT((ROW()-5)/9)+1,"000")&amp;"-1")</f>
        <v/>
      </c>
      <c r="C1913">
        <f>IF(OR(Registro_Compras!$C$216="",Registro_Compras!$O$216=""),"",IF(Registro_Compras!$F$216="NOTA DE CREDITO","4212",IF(Registro_Compras!$M$216="","63",Registro_Compras!$M$216)))</f>
        <v/>
      </c>
      <c r="D1913">
        <f>IF(OR(Registro_Compras!$C$216="",Registro_Compras!$O$216=""),"",IF(Registro_Compras!$F$216="NOTA DE CREDITO","Cuentas por Pagar Comerciales - Terceros (Emitidas)",IF(Registro_Compras!$F$216="RHE","Honorarios Profesionales - Servicios de Terceros","Gastos de Servicios Prestados por Terceros")))</f>
        <v/>
      </c>
      <c r="E1913" s="20">
        <f>IF($C1913="","",IF(Registro_Compras!$F$216="NOTA DE CREDITO",ABS(Registro_Compras!$O$216),IF(Registro_Compras!$F$216="RHE",ROUND(Registro_Compras!$L$216*Registro_Compras!$N$216,2),ROUND(Registro_Compras!$J$216*Registro_Compras!$N$216,2))))</f>
        <v/>
      </c>
      <c r="F1913" s="20">
        <f>""</f>
        <v/>
      </c>
      <c r="G1913">
        <f>IF($C1913="","",IF(Registro_Compras!$F$216="NOTA DE CREDITO","Por la nota de credito "&amp;Registro_Compras!$C$216&amp;" de "&amp;Registro_Compras!$E$216&amp;" [PATRON POR CONFIRMAR CON CONTADOR]",IF(Registro_Compras!$F$216="RHE","Por el registro del recibo por honorarios "&amp;Registro_Compras!$C$216&amp;" de "&amp;Registro_Compras!$E$216&amp;" [PATRON POR CONFIRMAR CON CONTADOR]","Por el registro de la factura "&amp;Registro_Compras!$C$216&amp;" de "&amp;Registro_Compras!$E$216)))</f>
        <v/>
      </c>
      <c r="H1913">
        <f>IF($C1913="","",Registro_Compras!$C$216)</f>
        <v/>
      </c>
    </row>
    <row r="1914">
      <c r="A1914" s="25">
        <f>IF($C1914="","",Registro_Compras!$B$216)</f>
        <v/>
      </c>
      <c r="B1914">
        <f>IF($C1914="","","C"&amp;TEXT(INT((ROW()-5)/9)+1,"000")&amp;"-1")</f>
        <v/>
      </c>
      <c r="C1914">
        <f>IF(OR(Registro_Compras!$C$216="",Registro_Compras!$O$216=""),"",IF(Registro_Compras!$F$216="RHE",IF(Registro_Compras!$V$216=0,"","40172"),IF(Registro_Compras!$F$216="NOTA DE CREDITO",IF(Registro_Compras!$M$216="","63",Registro_Compras!$M$216),IF(Registro_Compras!$K$216=0,"","40111"))))</f>
        <v/>
      </c>
      <c r="D1914">
        <f>IF(OR(Registro_Compras!$C$216="",Registro_Compras!$O$216=""),"",IF(Registro_Compras!$F$216="RHE","Retencion Renta 4ta Categoria por Pagar",IF(Registro_Compras!$F$216="NOTA DE CREDITO","Gastos de Servicios Prestados por Terceros","IGV - Cuenta Propia (Credito Fiscal)")))</f>
        <v/>
      </c>
      <c r="E1914" s="20">
        <f>IF($C1914="","",IF(Registro_Compras!$F$216="FACTURA",ROUND(Registro_Compras!$K$216*Registro_Compras!$N$216,2),""))</f>
        <v/>
      </c>
      <c r="F1914" s="20">
        <f>IF($C1914="","",IF(Registro_Compras!$F$216="RHE",ROUND(Registro_Compras!$V$216*Registro_Compras!$N$216,2),IF(Registro_Compras!$F$216="NOTA DE CREDITO",ROUND(ABS(Registro_Compras!$J$216*Registro_Compras!$N$216),2),"")))</f>
        <v/>
      </c>
      <c r="G1914">
        <f>IF($C1914="","",IF(Registro_Compras!$F$216="NOTA DE CREDITO","Por la nota de credito "&amp;Registro_Compras!$C$216&amp;" de "&amp;Registro_Compras!$E$216&amp;" [PATRON POR CONFIRMAR CON CONTADOR]",IF(Registro_Compras!$F$216="RHE","Por el registro del recibo por honorarios "&amp;Registro_Compras!$C$216&amp;" de "&amp;Registro_Compras!$E$216&amp;" [PATRON POR CONFIRMAR CON CONTADOR]","Por el registro de la factura "&amp;Registro_Compras!$C$216&amp;" de "&amp;Registro_Compras!$E$216)))</f>
        <v/>
      </c>
      <c r="H1914">
        <f>IF($C1914="","",Registro_Compras!$C$216)</f>
        <v/>
      </c>
    </row>
    <row r="1915">
      <c r="A1915" s="25">
        <f>IF($C1915="","",Registro_Compras!$B$216)</f>
        <v/>
      </c>
      <c r="B1915">
        <f>IF($C1915="","","C"&amp;TEXT(INT((ROW()-5)/9)+1,"000")&amp;"-1")</f>
        <v/>
      </c>
      <c r="C1915">
        <f>IF(OR(Registro_Compras!$C$216="",Registro_Compras!$O$216=""),"",IF(Registro_Compras!$F$216="NOTA DE CREDITO",IF(Registro_Compras!$K$216=0,"","40111"),"4212"))</f>
        <v/>
      </c>
      <c r="D1915">
        <f>IF(OR(Registro_Compras!$C$216="",Registro_Compras!$O$216=""),"",IF(Registro_Compras!$F$216="NOTA DE CREDITO","IGV - Cuenta Propia (Credito Fiscal)","Cuentas por Pagar Comerciales - Terceros (Emitidas)"))</f>
        <v/>
      </c>
      <c r="E1915" s="20">
        <f>""</f>
        <v/>
      </c>
      <c r="F1915" s="20">
        <f>IF($C1915="","",IF(Registro_Compras!$F$216="NOTA DE CREDITO",ROUND(ABS(Registro_Compras!$K$216*Registro_Compras!$N$216),2),IF(Registro_Compras!$F$216="RHE",(ROUND(Registro_Compras!$L$216*Registro_Compras!$N$216,2)-ROUND(Registro_Compras!$V$216*Registro_Compras!$N$216,2)),Registro_Compras!$O$216)))</f>
        <v/>
      </c>
      <c r="G1915">
        <f>IF($C1915="","",IF(Registro_Compras!$F$216="NOTA DE CREDITO","Por la nota de credito "&amp;Registro_Compras!$C$216&amp;" de "&amp;Registro_Compras!$E$216&amp;" [PATRON POR CONFIRMAR CON CONTADOR]",IF(Registro_Compras!$F$216="RHE","Por el registro del recibo por honorarios "&amp;Registro_Compras!$C$216&amp;" de "&amp;Registro_Compras!$E$216&amp;" [PATRON POR CONFIRMAR CON CONTADOR]","Por el registro de la factura "&amp;Registro_Compras!$C$216&amp;" de "&amp;Registro_Compras!$E$216)))</f>
        <v/>
      </c>
      <c r="H1915">
        <f>IF($C1915="","",Registro_Compras!$C$216)</f>
        <v/>
      </c>
    </row>
    <row r="1916">
      <c r="A1916" s="25">
        <f>IF($C1916="","",Registro_Compras!$B$216)</f>
        <v/>
      </c>
      <c r="B1916">
        <f>IF($C1916="","","C"&amp;TEXT(INT((ROW()-5)/9)+1,"000")&amp;"-2")</f>
        <v/>
      </c>
      <c r="C1916">
        <f>IF(OR(Registro_Compras!$C$216="",Registro_Compras!$O$216=""),"",IF(Registro_Compras!$AB$216="ADMINISTRATIVO","94","95"))</f>
        <v/>
      </c>
      <c r="D1916">
        <f>IF(OR(Registro_Compras!$C$216="",Registro_Compras!$O$216=""),"",IF(Registro_Compras!$AB$216="ADMINISTRATIVO","Gastos Administrativos","Gastos de Venta y Operacion"))</f>
        <v/>
      </c>
      <c r="E1916" s="20">
        <f>IF($C1916="","",IF(Registro_Compras!$F$216="NOTA DE CREDITO","",IF(Registro_Compras!$F$216="RHE",ROUND(Registro_Compras!$L$216*Registro_Compras!$N$216,2),ROUND(Registro_Compras!$J$216*Registro_Compras!$N$216,2))))</f>
        <v/>
      </c>
      <c r="F1916" s="20">
        <f>IF($C1916="","",IF(Registro_Compras!$F$216="NOTA DE CREDITO",ROUND(ABS(Registro_Compras!$J$216*Registro_Compras!$N$216),2),""))</f>
        <v/>
      </c>
      <c r="G1916">
        <f>IF($C1916="","","Por el destino del gasto")</f>
        <v/>
      </c>
      <c r="H1916">
        <f>IF($C1916="","",Registro_Compras!$C$216)</f>
        <v/>
      </c>
    </row>
    <row r="1917">
      <c r="A1917" s="25">
        <f>IF($C1917="","",Registro_Compras!$B$216)</f>
        <v/>
      </c>
      <c r="B1917">
        <f>IF($C1917="","","C"&amp;TEXT(INT((ROW()-5)/9)+1,"000")&amp;"-2")</f>
        <v/>
      </c>
      <c r="C1917">
        <f>IF(OR(Registro_Compras!$C$216="",Registro_Compras!$O$216=""),"","79/791")</f>
        <v/>
      </c>
      <c r="D1917">
        <f>IF(OR(Registro_Compras!$C$216="",Registro_Compras!$O$216=""),"","Cargas Imputables a Cuentas de Costos y Gastos")</f>
        <v/>
      </c>
      <c r="E1917" s="20">
        <f>IF($C1917="","",IF(Registro_Compras!$F$216="NOTA DE CREDITO",ROUND(ABS(Registro_Compras!$J$216*Registro_Compras!$N$216),2),""))</f>
        <v/>
      </c>
      <c r="F1917" s="20">
        <f>IF($C1917="","",IF(Registro_Compras!$F$216="NOTA DE CREDITO","",IF(Registro_Compras!$F$216="RHE",ROUND(Registro_Compras!$L$216*Registro_Compras!$N$216,2),ROUND(Registro_Compras!$J$216*Registro_Compras!$N$216,2))))</f>
        <v/>
      </c>
      <c r="G1917">
        <f>IF($C1917="","","Por el destino del gasto")</f>
        <v/>
      </c>
      <c r="H1917">
        <f>IF($C1917="","",Registro_Compras!$C$216)</f>
        <v/>
      </c>
    </row>
    <row r="1918">
      <c r="A1918" s="25">
        <f>IF($C1918="","",Registro_Compras!$X$216)</f>
        <v/>
      </c>
      <c r="B1918">
        <f>IF($C1918="","","C"&amp;TEXT(INT((ROW()-5)/9)+1,"000")&amp;"-3")</f>
        <v/>
      </c>
      <c r="C1918">
        <f>IF(OR(Registro_Compras!$C$216="",Registro_Compras!$O$216="",Registro_Compras!$R$216&lt;&gt;"SI",Registro_Compras!$X$216=""),"","4212")</f>
        <v/>
      </c>
      <c r="D1918">
        <f>IF(OR(Registro_Compras!$C$216="",Registro_Compras!$O$216=""),"","Cuentas por Pagar Comerciales - Terceros")</f>
        <v/>
      </c>
      <c r="E1918" s="20">
        <f>IF($C1918="","",Registro_Compras!$S$216)</f>
        <v/>
      </c>
      <c r="F1918" s="20">
        <f>""</f>
        <v/>
      </c>
      <c r="G1918">
        <f>IF($C1918="","","Por el deposito de la detraccion en el Banco de la Nacion")</f>
        <v/>
      </c>
      <c r="H1918">
        <f>IF($C1918="","",Registro_Compras!$C$216)</f>
        <v/>
      </c>
    </row>
    <row r="1919">
      <c r="A1919" s="25">
        <f>IF($C1919="","",Registro_Compras!$X$216)</f>
        <v/>
      </c>
      <c r="B1919">
        <f>IF($C1919="","","C"&amp;TEXT(INT((ROW()-5)/9)+1,"000")&amp;"-3")</f>
        <v/>
      </c>
      <c r="C1919">
        <f>IF(OR(Registro_Compras!$C$216="",Registro_Compras!$O$216="",Registro_Compras!$R$216&lt;&gt;"SI",Registro_Compras!$X$216=""),"","10413")</f>
        <v/>
      </c>
      <c r="D1919">
        <f>IF(OR(Registro_Compras!$C$216="",Registro_Compras!$O$216=""),"","Efectivo y Equivalentes - Cta. Cte. Operativa")</f>
        <v/>
      </c>
      <c r="E1919" s="20">
        <f>""</f>
        <v/>
      </c>
      <c r="F1919" s="20">
        <f>IF($C1919="","",Registro_Compras!$S$216)</f>
        <v/>
      </c>
      <c r="G1919">
        <f>IF($C1919="","","Por el deposito de la detraccion en el Banco de la Nacion")</f>
        <v/>
      </c>
      <c r="H1919">
        <f>IF($C1919="","",Registro_Compras!$C$216)</f>
        <v/>
      </c>
    </row>
    <row r="1920">
      <c r="A1920" s="25">
        <f>IF($C1920="","",Registro_Compras!$Y$216)</f>
        <v/>
      </c>
      <c r="B1920">
        <f>IF($C1920="","","C"&amp;TEXT(INT((ROW()-5)/9)+1,"000")&amp;"-4")</f>
        <v/>
      </c>
      <c r="C1920">
        <f>IF(OR(Registro_Compras!$C$216="",Registro_Compras!$O$216="",Registro_Compras!$Y$216="",Registro_Compras!$F$216="NOTA DE CREDITO"),"","4212")</f>
        <v/>
      </c>
      <c r="D1920">
        <f>IF(OR(Registro_Compras!$C$216="",Registro_Compras!$O$216=""),"","Cuentas por Pagar Comerciales - Terceros")</f>
        <v/>
      </c>
      <c r="E1920" s="20">
        <f>IF($C1920="","",IF(Registro_Compras!$F$216="RHE",(ROUND(Registro_Compras!$L$216*Registro_Compras!$N$216,2)-ROUND(Registro_Compras!$V$216*Registro_Compras!$N$216,2)),ROUND(Registro_Compras!$O$216-Registro_Compras!$S$216,2)))</f>
        <v/>
      </c>
      <c r="F1920" s="20">
        <f>""</f>
        <v/>
      </c>
      <c r="G1920">
        <f>IF($C1920="","","Por la cancelacion del saldo al proveedor")</f>
        <v/>
      </c>
      <c r="H1920">
        <f>IF($C1920="","",Registro_Compras!$C$216)</f>
        <v/>
      </c>
    </row>
    <row r="1921">
      <c r="A1921" s="25">
        <f>IF($C1921="","",Registro_Compras!$Y$216)</f>
        <v/>
      </c>
      <c r="B1921">
        <f>IF($C1921="","","C"&amp;TEXT(INT((ROW()-5)/9)+1,"000")&amp;"-4")</f>
        <v/>
      </c>
      <c r="C1921">
        <f>IF(OR(Registro_Compras!$C$216="",Registro_Compras!$O$216="",Registro_Compras!$Y$216="",Registro_Compras!$F$216="NOTA DE CREDITO"),"","10413")</f>
        <v/>
      </c>
      <c r="D1921">
        <f>IF(OR(Registro_Compras!$C$216="",Registro_Compras!$O$216=""),"","Efectivo y Equivalentes - Cta. Cte. Operativa")</f>
        <v/>
      </c>
      <c r="E1921" s="20">
        <f>""</f>
        <v/>
      </c>
      <c r="F1921" s="20">
        <f>IF($C1921="","",IF(Registro_Compras!$F$216="RHE",(ROUND(Registro_Compras!$L$216*Registro_Compras!$N$216,2)-ROUND(Registro_Compras!$V$216*Registro_Compras!$N$216,2)),ROUND(Registro_Compras!$O$216-Registro_Compras!$S$216,2)))</f>
        <v/>
      </c>
      <c r="G1921">
        <f>IF($C1921="","","Por la cancelacion del saldo al proveedor")</f>
        <v/>
      </c>
      <c r="H1921">
        <f>IF($C1921="","",Registro_Compras!$C$216)</f>
        <v/>
      </c>
    </row>
    <row r="1922">
      <c r="A1922" s="25">
        <f>IF($C1922="","",Registro_Compras!$B$217)</f>
        <v/>
      </c>
      <c r="B1922">
        <f>IF($C1922="","","C"&amp;TEXT(INT((ROW()-5)/9)+1,"000")&amp;"-1")</f>
        <v/>
      </c>
      <c r="C1922">
        <f>IF(OR(Registro_Compras!$C$217="",Registro_Compras!$O$217=""),"",IF(Registro_Compras!$F$217="NOTA DE CREDITO","4212",IF(Registro_Compras!$M$217="","63",Registro_Compras!$M$217)))</f>
        <v/>
      </c>
      <c r="D1922">
        <f>IF(OR(Registro_Compras!$C$217="",Registro_Compras!$O$217=""),"",IF(Registro_Compras!$F$217="NOTA DE CREDITO","Cuentas por Pagar Comerciales - Terceros (Emitidas)",IF(Registro_Compras!$F$217="RHE","Honorarios Profesionales - Servicios de Terceros","Gastos de Servicios Prestados por Terceros")))</f>
        <v/>
      </c>
      <c r="E1922" s="20">
        <f>IF($C1922="","",IF(Registro_Compras!$F$217="NOTA DE CREDITO",ABS(Registro_Compras!$O$217),IF(Registro_Compras!$F$217="RHE",ROUND(Registro_Compras!$L$217*Registro_Compras!$N$217,2),ROUND(Registro_Compras!$J$217*Registro_Compras!$N$217,2))))</f>
        <v/>
      </c>
      <c r="F1922" s="20">
        <f>""</f>
        <v/>
      </c>
      <c r="G1922">
        <f>IF($C1922="","",IF(Registro_Compras!$F$217="NOTA DE CREDITO","Por la nota de credito "&amp;Registro_Compras!$C$217&amp;" de "&amp;Registro_Compras!$E$217&amp;" [PATRON POR CONFIRMAR CON CONTADOR]",IF(Registro_Compras!$F$217="RHE","Por el registro del recibo por honorarios "&amp;Registro_Compras!$C$217&amp;" de "&amp;Registro_Compras!$E$217&amp;" [PATRON POR CONFIRMAR CON CONTADOR]","Por el registro de la factura "&amp;Registro_Compras!$C$217&amp;" de "&amp;Registro_Compras!$E$217)))</f>
        <v/>
      </c>
      <c r="H1922">
        <f>IF($C1922="","",Registro_Compras!$C$217)</f>
        <v/>
      </c>
    </row>
    <row r="1923">
      <c r="A1923" s="25">
        <f>IF($C1923="","",Registro_Compras!$B$217)</f>
        <v/>
      </c>
      <c r="B1923">
        <f>IF($C1923="","","C"&amp;TEXT(INT((ROW()-5)/9)+1,"000")&amp;"-1")</f>
        <v/>
      </c>
      <c r="C1923">
        <f>IF(OR(Registro_Compras!$C$217="",Registro_Compras!$O$217=""),"",IF(Registro_Compras!$F$217="RHE",IF(Registro_Compras!$V$217=0,"","40172"),IF(Registro_Compras!$F$217="NOTA DE CREDITO",IF(Registro_Compras!$M$217="","63",Registro_Compras!$M$217),IF(Registro_Compras!$K$217=0,"","40111"))))</f>
        <v/>
      </c>
      <c r="D1923">
        <f>IF(OR(Registro_Compras!$C$217="",Registro_Compras!$O$217=""),"",IF(Registro_Compras!$F$217="RHE","Retencion Renta 4ta Categoria por Pagar",IF(Registro_Compras!$F$217="NOTA DE CREDITO","Gastos de Servicios Prestados por Terceros","IGV - Cuenta Propia (Credito Fiscal)")))</f>
        <v/>
      </c>
      <c r="E1923" s="20">
        <f>IF($C1923="","",IF(Registro_Compras!$F$217="FACTURA",ROUND(Registro_Compras!$K$217*Registro_Compras!$N$217,2),""))</f>
        <v/>
      </c>
      <c r="F1923" s="20">
        <f>IF($C1923="","",IF(Registro_Compras!$F$217="RHE",ROUND(Registro_Compras!$V$217*Registro_Compras!$N$217,2),IF(Registro_Compras!$F$217="NOTA DE CREDITO",ROUND(ABS(Registro_Compras!$J$217*Registro_Compras!$N$217),2),"")))</f>
        <v/>
      </c>
      <c r="G1923">
        <f>IF($C1923="","",IF(Registro_Compras!$F$217="NOTA DE CREDITO","Por la nota de credito "&amp;Registro_Compras!$C$217&amp;" de "&amp;Registro_Compras!$E$217&amp;" [PATRON POR CONFIRMAR CON CONTADOR]",IF(Registro_Compras!$F$217="RHE","Por el registro del recibo por honorarios "&amp;Registro_Compras!$C$217&amp;" de "&amp;Registro_Compras!$E$217&amp;" [PATRON POR CONFIRMAR CON CONTADOR]","Por el registro de la factura "&amp;Registro_Compras!$C$217&amp;" de "&amp;Registro_Compras!$E$217)))</f>
        <v/>
      </c>
      <c r="H1923">
        <f>IF($C1923="","",Registro_Compras!$C$217)</f>
        <v/>
      </c>
    </row>
    <row r="1924">
      <c r="A1924" s="25">
        <f>IF($C1924="","",Registro_Compras!$B$217)</f>
        <v/>
      </c>
      <c r="B1924">
        <f>IF($C1924="","","C"&amp;TEXT(INT((ROW()-5)/9)+1,"000")&amp;"-1")</f>
        <v/>
      </c>
      <c r="C1924">
        <f>IF(OR(Registro_Compras!$C$217="",Registro_Compras!$O$217=""),"",IF(Registro_Compras!$F$217="NOTA DE CREDITO",IF(Registro_Compras!$K$217=0,"","40111"),"4212"))</f>
        <v/>
      </c>
      <c r="D1924">
        <f>IF(OR(Registro_Compras!$C$217="",Registro_Compras!$O$217=""),"",IF(Registro_Compras!$F$217="NOTA DE CREDITO","IGV - Cuenta Propia (Credito Fiscal)","Cuentas por Pagar Comerciales - Terceros (Emitidas)"))</f>
        <v/>
      </c>
      <c r="E1924" s="20">
        <f>""</f>
        <v/>
      </c>
      <c r="F1924" s="20">
        <f>IF($C1924="","",IF(Registro_Compras!$F$217="NOTA DE CREDITO",ROUND(ABS(Registro_Compras!$K$217*Registro_Compras!$N$217),2),IF(Registro_Compras!$F$217="RHE",(ROUND(Registro_Compras!$L$217*Registro_Compras!$N$217,2)-ROUND(Registro_Compras!$V$217*Registro_Compras!$N$217,2)),Registro_Compras!$O$217)))</f>
        <v/>
      </c>
      <c r="G1924">
        <f>IF($C1924="","",IF(Registro_Compras!$F$217="NOTA DE CREDITO","Por la nota de credito "&amp;Registro_Compras!$C$217&amp;" de "&amp;Registro_Compras!$E$217&amp;" [PATRON POR CONFIRMAR CON CONTADOR]",IF(Registro_Compras!$F$217="RHE","Por el registro del recibo por honorarios "&amp;Registro_Compras!$C$217&amp;" de "&amp;Registro_Compras!$E$217&amp;" [PATRON POR CONFIRMAR CON CONTADOR]","Por el registro de la factura "&amp;Registro_Compras!$C$217&amp;" de "&amp;Registro_Compras!$E$217)))</f>
        <v/>
      </c>
      <c r="H1924">
        <f>IF($C1924="","",Registro_Compras!$C$217)</f>
        <v/>
      </c>
    </row>
    <row r="1925">
      <c r="A1925" s="25">
        <f>IF($C1925="","",Registro_Compras!$B$217)</f>
        <v/>
      </c>
      <c r="B1925">
        <f>IF($C1925="","","C"&amp;TEXT(INT((ROW()-5)/9)+1,"000")&amp;"-2")</f>
        <v/>
      </c>
      <c r="C1925">
        <f>IF(OR(Registro_Compras!$C$217="",Registro_Compras!$O$217=""),"",IF(Registro_Compras!$AB$217="ADMINISTRATIVO","94","95"))</f>
        <v/>
      </c>
      <c r="D1925">
        <f>IF(OR(Registro_Compras!$C$217="",Registro_Compras!$O$217=""),"",IF(Registro_Compras!$AB$217="ADMINISTRATIVO","Gastos Administrativos","Gastos de Venta y Operacion"))</f>
        <v/>
      </c>
      <c r="E1925" s="20">
        <f>IF($C1925="","",IF(Registro_Compras!$F$217="NOTA DE CREDITO","",IF(Registro_Compras!$F$217="RHE",ROUND(Registro_Compras!$L$217*Registro_Compras!$N$217,2),ROUND(Registro_Compras!$J$217*Registro_Compras!$N$217,2))))</f>
        <v/>
      </c>
      <c r="F1925" s="20">
        <f>IF($C1925="","",IF(Registro_Compras!$F$217="NOTA DE CREDITO",ROUND(ABS(Registro_Compras!$J$217*Registro_Compras!$N$217),2),""))</f>
        <v/>
      </c>
      <c r="G1925">
        <f>IF($C1925="","","Por el destino del gasto")</f>
        <v/>
      </c>
      <c r="H1925">
        <f>IF($C1925="","",Registro_Compras!$C$217)</f>
        <v/>
      </c>
    </row>
    <row r="1926">
      <c r="A1926" s="25">
        <f>IF($C1926="","",Registro_Compras!$B$217)</f>
        <v/>
      </c>
      <c r="B1926">
        <f>IF($C1926="","","C"&amp;TEXT(INT((ROW()-5)/9)+1,"000")&amp;"-2")</f>
        <v/>
      </c>
      <c r="C1926">
        <f>IF(OR(Registro_Compras!$C$217="",Registro_Compras!$O$217=""),"","79/791")</f>
        <v/>
      </c>
      <c r="D1926">
        <f>IF(OR(Registro_Compras!$C$217="",Registro_Compras!$O$217=""),"","Cargas Imputables a Cuentas de Costos y Gastos")</f>
        <v/>
      </c>
      <c r="E1926" s="20">
        <f>IF($C1926="","",IF(Registro_Compras!$F$217="NOTA DE CREDITO",ROUND(ABS(Registro_Compras!$J$217*Registro_Compras!$N$217),2),""))</f>
        <v/>
      </c>
      <c r="F1926" s="20">
        <f>IF($C1926="","",IF(Registro_Compras!$F$217="NOTA DE CREDITO","",IF(Registro_Compras!$F$217="RHE",ROUND(Registro_Compras!$L$217*Registro_Compras!$N$217,2),ROUND(Registro_Compras!$J$217*Registro_Compras!$N$217,2))))</f>
        <v/>
      </c>
      <c r="G1926">
        <f>IF($C1926="","","Por el destino del gasto")</f>
        <v/>
      </c>
      <c r="H1926">
        <f>IF($C1926="","",Registro_Compras!$C$217)</f>
        <v/>
      </c>
    </row>
    <row r="1927">
      <c r="A1927" s="25">
        <f>IF($C1927="","",Registro_Compras!$X$217)</f>
        <v/>
      </c>
      <c r="B1927">
        <f>IF($C1927="","","C"&amp;TEXT(INT((ROW()-5)/9)+1,"000")&amp;"-3")</f>
        <v/>
      </c>
      <c r="C1927">
        <f>IF(OR(Registro_Compras!$C$217="",Registro_Compras!$O$217="",Registro_Compras!$R$217&lt;&gt;"SI",Registro_Compras!$X$217=""),"","4212")</f>
        <v/>
      </c>
      <c r="D1927">
        <f>IF(OR(Registro_Compras!$C$217="",Registro_Compras!$O$217=""),"","Cuentas por Pagar Comerciales - Terceros")</f>
        <v/>
      </c>
      <c r="E1927" s="20">
        <f>IF($C1927="","",Registro_Compras!$S$217)</f>
        <v/>
      </c>
      <c r="F1927" s="20">
        <f>""</f>
        <v/>
      </c>
      <c r="G1927">
        <f>IF($C1927="","","Por el deposito de la detraccion en el Banco de la Nacion")</f>
        <v/>
      </c>
      <c r="H1927">
        <f>IF($C1927="","",Registro_Compras!$C$217)</f>
        <v/>
      </c>
    </row>
    <row r="1928">
      <c r="A1928" s="25">
        <f>IF($C1928="","",Registro_Compras!$X$217)</f>
        <v/>
      </c>
      <c r="B1928">
        <f>IF($C1928="","","C"&amp;TEXT(INT((ROW()-5)/9)+1,"000")&amp;"-3")</f>
        <v/>
      </c>
      <c r="C1928">
        <f>IF(OR(Registro_Compras!$C$217="",Registro_Compras!$O$217="",Registro_Compras!$R$217&lt;&gt;"SI",Registro_Compras!$X$217=""),"","10413")</f>
        <v/>
      </c>
      <c r="D1928">
        <f>IF(OR(Registro_Compras!$C$217="",Registro_Compras!$O$217=""),"","Efectivo y Equivalentes - Cta. Cte. Operativa")</f>
        <v/>
      </c>
      <c r="E1928" s="20">
        <f>""</f>
        <v/>
      </c>
      <c r="F1928" s="20">
        <f>IF($C1928="","",Registro_Compras!$S$217)</f>
        <v/>
      </c>
      <c r="G1928">
        <f>IF($C1928="","","Por el deposito de la detraccion en el Banco de la Nacion")</f>
        <v/>
      </c>
      <c r="H1928">
        <f>IF($C1928="","",Registro_Compras!$C$217)</f>
        <v/>
      </c>
    </row>
    <row r="1929">
      <c r="A1929" s="25">
        <f>IF($C1929="","",Registro_Compras!$Y$217)</f>
        <v/>
      </c>
      <c r="B1929">
        <f>IF($C1929="","","C"&amp;TEXT(INT((ROW()-5)/9)+1,"000")&amp;"-4")</f>
        <v/>
      </c>
      <c r="C1929">
        <f>IF(OR(Registro_Compras!$C$217="",Registro_Compras!$O$217="",Registro_Compras!$Y$217="",Registro_Compras!$F$217="NOTA DE CREDITO"),"","4212")</f>
        <v/>
      </c>
      <c r="D1929">
        <f>IF(OR(Registro_Compras!$C$217="",Registro_Compras!$O$217=""),"","Cuentas por Pagar Comerciales - Terceros")</f>
        <v/>
      </c>
      <c r="E1929" s="20">
        <f>IF($C1929="","",IF(Registro_Compras!$F$217="RHE",(ROUND(Registro_Compras!$L$217*Registro_Compras!$N$217,2)-ROUND(Registro_Compras!$V$217*Registro_Compras!$N$217,2)),ROUND(Registro_Compras!$O$217-Registro_Compras!$S$217,2)))</f>
        <v/>
      </c>
      <c r="F1929" s="20">
        <f>""</f>
        <v/>
      </c>
      <c r="G1929">
        <f>IF($C1929="","","Por la cancelacion del saldo al proveedor")</f>
        <v/>
      </c>
      <c r="H1929">
        <f>IF($C1929="","",Registro_Compras!$C$217)</f>
        <v/>
      </c>
    </row>
    <row r="1930">
      <c r="A1930" s="25">
        <f>IF($C1930="","",Registro_Compras!$Y$217)</f>
        <v/>
      </c>
      <c r="B1930">
        <f>IF($C1930="","","C"&amp;TEXT(INT((ROW()-5)/9)+1,"000")&amp;"-4")</f>
        <v/>
      </c>
      <c r="C1930">
        <f>IF(OR(Registro_Compras!$C$217="",Registro_Compras!$O$217="",Registro_Compras!$Y$217="",Registro_Compras!$F$217="NOTA DE CREDITO"),"","10413")</f>
        <v/>
      </c>
      <c r="D1930">
        <f>IF(OR(Registro_Compras!$C$217="",Registro_Compras!$O$217=""),"","Efectivo y Equivalentes - Cta. Cte. Operativa")</f>
        <v/>
      </c>
      <c r="E1930" s="20">
        <f>""</f>
        <v/>
      </c>
      <c r="F1930" s="20">
        <f>IF($C1930="","",IF(Registro_Compras!$F$217="RHE",(ROUND(Registro_Compras!$L$217*Registro_Compras!$N$217,2)-ROUND(Registro_Compras!$V$217*Registro_Compras!$N$217,2)),ROUND(Registro_Compras!$O$217-Registro_Compras!$S$217,2)))</f>
        <v/>
      </c>
      <c r="G1930">
        <f>IF($C1930="","","Por la cancelacion del saldo al proveedor")</f>
        <v/>
      </c>
      <c r="H1930">
        <f>IF($C1930="","",Registro_Compras!$C$217)</f>
        <v/>
      </c>
    </row>
    <row r="1931">
      <c r="A1931" s="25">
        <f>IF($C1931="","",Registro_Compras!$B$218)</f>
        <v/>
      </c>
      <c r="B1931">
        <f>IF($C1931="","","C"&amp;TEXT(INT((ROW()-5)/9)+1,"000")&amp;"-1")</f>
        <v/>
      </c>
      <c r="C1931">
        <f>IF(OR(Registro_Compras!$C$218="",Registro_Compras!$O$218=""),"",IF(Registro_Compras!$F$218="NOTA DE CREDITO","4212",IF(Registro_Compras!$M$218="","63",Registro_Compras!$M$218)))</f>
        <v/>
      </c>
      <c r="D1931">
        <f>IF(OR(Registro_Compras!$C$218="",Registro_Compras!$O$218=""),"",IF(Registro_Compras!$F$218="NOTA DE CREDITO","Cuentas por Pagar Comerciales - Terceros (Emitidas)",IF(Registro_Compras!$F$218="RHE","Honorarios Profesionales - Servicios de Terceros","Gastos de Servicios Prestados por Terceros")))</f>
        <v/>
      </c>
      <c r="E1931" s="20">
        <f>IF($C1931="","",IF(Registro_Compras!$F$218="NOTA DE CREDITO",ABS(Registro_Compras!$O$218),IF(Registro_Compras!$F$218="RHE",ROUND(Registro_Compras!$L$218*Registro_Compras!$N$218,2),ROUND(Registro_Compras!$J$218*Registro_Compras!$N$218,2))))</f>
        <v/>
      </c>
      <c r="F1931" s="20">
        <f>""</f>
        <v/>
      </c>
      <c r="G1931">
        <f>IF($C1931="","",IF(Registro_Compras!$F$218="NOTA DE CREDITO","Por la nota de credito "&amp;Registro_Compras!$C$218&amp;" de "&amp;Registro_Compras!$E$218&amp;" [PATRON POR CONFIRMAR CON CONTADOR]",IF(Registro_Compras!$F$218="RHE","Por el registro del recibo por honorarios "&amp;Registro_Compras!$C$218&amp;" de "&amp;Registro_Compras!$E$218&amp;" [PATRON POR CONFIRMAR CON CONTADOR]","Por el registro de la factura "&amp;Registro_Compras!$C$218&amp;" de "&amp;Registro_Compras!$E$218)))</f>
        <v/>
      </c>
      <c r="H1931">
        <f>IF($C1931="","",Registro_Compras!$C$218)</f>
        <v/>
      </c>
    </row>
    <row r="1932">
      <c r="A1932" s="25">
        <f>IF($C1932="","",Registro_Compras!$B$218)</f>
        <v/>
      </c>
      <c r="B1932">
        <f>IF($C1932="","","C"&amp;TEXT(INT((ROW()-5)/9)+1,"000")&amp;"-1")</f>
        <v/>
      </c>
      <c r="C1932">
        <f>IF(OR(Registro_Compras!$C$218="",Registro_Compras!$O$218=""),"",IF(Registro_Compras!$F$218="RHE",IF(Registro_Compras!$V$218=0,"","40172"),IF(Registro_Compras!$F$218="NOTA DE CREDITO",IF(Registro_Compras!$M$218="","63",Registro_Compras!$M$218),IF(Registro_Compras!$K$218=0,"","40111"))))</f>
        <v/>
      </c>
      <c r="D1932">
        <f>IF(OR(Registro_Compras!$C$218="",Registro_Compras!$O$218=""),"",IF(Registro_Compras!$F$218="RHE","Retencion Renta 4ta Categoria por Pagar",IF(Registro_Compras!$F$218="NOTA DE CREDITO","Gastos de Servicios Prestados por Terceros","IGV - Cuenta Propia (Credito Fiscal)")))</f>
        <v/>
      </c>
      <c r="E1932" s="20">
        <f>IF($C1932="","",IF(Registro_Compras!$F$218="FACTURA",ROUND(Registro_Compras!$K$218*Registro_Compras!$N$218,2),""))</f>
        <v/>
      </c>
      <c r="F1932" s="20">
        <f>IF($C1932="","",IF(Registro_Compras!$F$218="RHE",ROUND(Registro_Compras!$V$218*Registro_Compras!$N$218,2),IF(Registro_Compras!$F$218="NOTA DE CREDITO",ROUND(ABS(Registro_Compras!$J$218*Registro_Compras!$N$218),2),"")))</f>
        <v/>
      </c>
      <c r="G1932">
        <f>IF($C1932="","",IF(Registro_Compras!$F$218="NOTA DE CREDITO","Por la nota de credito "&amp;Registro_Compras!$C$218&amp;" de "&amp;Registro_Compras!$E$218&amp;" [PATRON POR CONFIRMAR CON CONTADOR]",IF(Registro_Compras!$F$218="RHE","Por el registro del recibo por honorarios "&amp;Registro_Compras!$C$218&amp;" de "&amp;Registro_Compras!$E$218&amp;" [PATRON POR CONFIRMAR CON CONTADOR]","Por el registro de la factura "&amp;Registro_Compras!$C$218&amp;" de "&amp;Registro_Compras!$E$218)))</f>
        <v/>
      </c>
      <c r="H1932">
        <f>IF($C1932="","",Registro_Compras!$C$218)</f>
        <v/>
      </c>
    </row>
    <row r="1933">
      <c r="A1933" s="25">
        <f>IF($C1933="","",Registro_Compras!$B$218)</f>
        <v/>
      </c>
      <c r="B1933">
        <f>IF($C1933="","","C"&amp;TEXT(INT((ROW()-5)/9)+1,"000")&amp;"-1")</f>
        <v/>
      </c>
      <c r="C1933">
        <f>IF(OR(Registro_Compras!$C$218="",Registro_Compras!$O$218=""),"",IF(Registro_Compras!$F$218="NOTA DE CREDITO",IF(Registro_Compras!$K$218=0,"","40111"),"4212"))</f>
        <v/>
      </c>
      <c r="D1933">
        <f>IF(OR(Registro_Compras!$C$218="",Registro_Compras!$O$218=""),"",IF(Registro_Compras!$F$218="NOTA DE CREDITO","IGV - Cuenta Propia (Credito Fiscal)","Cuentas por Pagar Comerciales - Terceros (Emitidas)"))</f>
        <v/>
      </c>
      <c r="E1933" s="20">
        <f>""</f>
        <v/>
      </c>
      <c r="F1933" s="20">
        <f>IF($C1933="","",IF(Registro_Compras!$F$218="NOTA DE CREDITO",ROUND(ABS(Registro_Compras!$K$218*Registro_Compras!$N$218),2),IF(Registro_Compras!$F$218="RHE",(ROUND(Registro_Compras!$L$218*Registro_Compras!$N$218,2)-ROUND(Registro_Compras!$V$218*Registro_Compras!$N$218,2)),Registro_Compras!$O$218)))</f>
        <v/>
      </c>
      <c r="G1933">
        <f>IF($C1933="","",IF(Registro_Compras!$F$218="NOTA DE CREDITO","Por la nota de credito "&amp;Registro_Compras!$C$218&amp;" de "&amp;Registro_Compras!$E$218&amp;" [PATRON POR CONFIRMAR CON CONTADOR]",IF(Registro_Compras!$F$218="RHE","Por el registro del recibo por honorarios "&amp;Registro_Compras!$C$218&amp;" de "&amp;Registro_Compras!$E$218&amp;" [PATRON POR CONFIRMAR CON CONTADOR]","Por el registro de la factura "&amp;Registro_Compras!$C$218&amp;" de "&amp;Registro_Compras!$E$218)))</f>
        <v/>
      </c>
      <c r="H1933">
        <f>IF($C1933="","",Registro_Compras!$C$218)</f>
        <v/>
      </c>
    </row>
    <row r="1934">
      <c r="A1934" s="25">
        <f>IF($C1934="","",Registro_Compras!$B$218)</f>
        <v/>
      </c>
      <c r="B1934">
        <f>IF($C1934="","","C"&amp;TEXT(INT((ROW()-5)/9)+1,"000")&amp;"-2")</f>
        <v/>
      </c>
      <c r="C1934">
        <f>IF(OR(Registro_Compras!$C$218="",Registro_Compras!$O$218=""),"",IF(Registro_Compras!$AB$218="ADMINISTRATIVO","94","95"))</f>
        <v/>
      </c>
      <c r="D1934">
        <f>IF(OR(Registro_Compras!$C$218="",Registro_Compras!$O$218=""),"",IF(Registro_Compras!$AB$218="ADMINISTRATIVO","Gastos Administrativos","Gastos de Venta y Operacion"))</f>
        <v/>
      </c>
      <c r="E1934" s="20">
        <f>IF($C1934="","",IF(Registro_Compras!$F$218="NOTA DE CREDITO","",IF(Registro_Compras!$F$218="RHE",ROUND(Registro_Compras!$L$218*Registro_Compras!$N$218,2),ROUND(Registro_Compras!$J$218*Registro_Compras!$N$218,2))))</f>
        <v/>
      </c>
      <c r="F1934" s="20">
        <f>IF($C1934="","",IF(Registro_Compras!$F$218="NOTA DE CREDITO",ROUND(ABS(Registro_Compras!$J$218*Registro_Compras!$N$218),2),""))</f>
        <v/>
      </c>
      <c r="G1934">
        <f>IF($C1934="","","Por el destino del gasto")</f>
        <v/>
      </c>
      <c r="H1934">
        <f>IF($C1934="","",Registro_Compras!$C$218)</f>
        <v/>
      </c>
    </row>
    <row r="1935">
      <c r="A1935" s="25">
        <f>IF($C1935="","",Registro_Compras!$B$218)</f>
        <v/>
      </c>
      <c r="B1935">
        <f>IF($C1935="","","C"&amp;TEXT(INT((ROW()-5)/9)+1,"000")&amp;"-2")</f>
        <v/>
      </c>
      <c r="C1935">
        <f>IF(OR(Registro_Compras!$C$218="",Registro_Compras!$O$218=""),"","79/791")</f>
        <v/>
      </c>
      <c r="D1935">
        <f>IF(OR(Registro_Compras!$C$218="",Registro_Compras!$O$218=""),"","Cargas Imputables a Cuentas de Costos y Gastos")</f>
        <v/>
      </c>
      <c r="E1935" s="20">
        <f>IF($C1935="","",IF(Registro_Compras!$F$218="NOTA DE CREDITO",ROUND(ABS(Registro_Compras!$J$218*Registro_Compras!$N$218),2),""))</f>
        <v/>
      </c>
      <c r="F1935" s="20">
        <f>IF($C1935="","",IF(Registro_Compras!$F$218="NOTA DE CREDITO","",IF(Registro_Compras!$F$218="RHE",ROUND(Registro_Compras!$L$218*Registro_Compras!$N$218,2),ROUND(Registro_Compras!$J$218*Registro_Compras!$N$218,2))))</f>
        <v/>
      </c>
      <c r="G1935">
        <f>IF($C1935="","","Por el destino del gasto")</f>
        <v/>
      </c>
      <c r="H1935">
        <f>IF($C1935="","",Registro_Compras!$C$218)</f>
        <v/>
      </c>
    </row>
    <row r="1936">
      <c r="A1936" s="25">
        <f>IF($C1936="","",Registro_Compras!$X$218)</f>
        <v/>
      </c>
      <c r="B1936">
        <f>IF($C1936="","","C"&amp;TEXT(INT((ROW()-5)/9)+1,"000")&amp;"-3")</f>
        <v/>
      </c>
      <c r="C1936">
        <f>IF(OR(Registro_Compras!$C$218="",Registro_Compras!$O$218="",Registro_Compras!$R$218&lt;&gt;"SI",Registro_Compras!$X$218=""),"","4212")</f>
        <v/>
      </c>
      <c r="D1936">
        <f>IF(OR(Registro_Compras!$C$218="",Registro_Compras!$O$218=""),"","Cuentas por Pagar Comerciales - Terceros")</f>
        <v/>
      </c>
      <c r="E1936" s="20">
        <f>IF($C1936="","",Registro_Compras!$S$218)</f>
        <v/>
      </c>
      <c r="F1936" s="20">
        <f>""</f>
        <v/>
      </c>
      <c r="G1936">
        <f>IF($C1936="","","Por el deposito de la detraccion en el Banco de la Nacion")</f>
        <v/>
      </c>
      <c r="H1936">
        <f>IF($C1936="","",Registro_Compras!$C$218)</f>
        <v/>
      </c>
    </row>
    <row r="1937">
      <c r="A1937" s="25">
        <f>IF($C1937="","",Registro_Compras!$X$218)</f>
        <v/>
      </c>
      <c r="B1937">
        <f>IF($C1937="","","C"&amp;TEXT(INT((ROW()-5)/9)+1,"000")&amp;"-3")</f>
        <v/>
      </c>
      <c r="C1937">
        <f>IF(OR(Registro_Compras!$C$218="",Registro_Compras!$O$218="",Registro_Compras!$R$218&lt;&gt;"SI",Registro_Compras!$X$218=""),"","10413")</f>
        <v/>
      </c>
      <c r="D1937">
        <f>IF(OR(Registro_Compras!$C$218="",Registro_Compras!$O$218=""),"","Efectivo y Equivalentes - Cta. Cte. Operativa")</f>
        <v/>
      </c>
      <c r="E1937" s="20">
        <f>""</f>
        <v/>
      </c>
      <c r="F1937" s="20">
        <f>IF($C1937="","",Registro_Compras!$S$218)</f>
        <v/>
      </c>
      <c r="G1937">
        <f>IF($C1937="","","Por el deposito de la detraccion en el Banco de la Nacion")</f>
        <v/>
      </c>
      <c r="H1937">
        <f>IF($C1937="","",Registro_Compras!$C$218)</f>
        <v/>
      </c>
    </row>
    <row r="1938">
      <c r="A1938" s="25">
        <f>IF($C1938="","",Registro_Compras!$Y$218)</f>
        <v/>
      </c>
      <c r="B1938">
        <f>IF($C1938="","","C"&amp;TEXT(INT((ROW()-5)/9)+1,"000")&amp;"-4")</f>
        <v/>
      </c>
      <c r="C1938">
        <f>IF(OR(Registro_Compras!$C$218="",Registro_Compras!$O$218="",Registro_Compras!$Y$218="",Registro_Compras!$F$218="NOTA DE CREDITO"),"","4212")</f>
        <v/>
      </c>
      <c r="D1938">
        <f>IF(OR(Registro_Compras!$C$218="",Registro_Compras!$O$218=""),"","Cuentas por Pagar Comerciales - Terceros")</f>
        <v/>
      </c>
      <c r="E1938" s="20">
        <f>IF($C1938="","",IF(Registro_Compras!$F$218="RHE",(ROUND(Registro_Compras!$L$218*Registro_Compras!$N$218,2)-ROUND(Registro_Compras!$V$218*Registro_Compras!$N$218,2)),ROUND(Registro_Compras!$O$218-Registro_Compras!$S$218,2)))</f>
        <v/>
      </c>
      <c r="F1938" s="20">
        <f>""</f>
        <v/>
      </c>
      <c r="G1938">
        <f>IF($C1938="","","Por la cancelacion del saldo al proveedor")</f>
        <v/>
      </c>
      <c r="H1938">
        <f>IF($C1938="","",Registro_Compras!$C$218)</f>
        <v/>
      </c>
    </row>
    <row r="1939">
      <c r="A1939" s="25">
        <f>IF($C1939="","",Registro_Compras!$Y$218)</f>
        <v/>
      </c>
      <c r="B1939">
        <f>IF($C1939="","","C"&amp;TEXT(INT((ROW()-5)/9)+1,"000")&amp;"-4")</f>
        <v/>
      </c>
      <c r="C1939">
        <f>IF(OR(Registro_Compras!$C$218="",Registro_Compras!$O$218="",Registro_Compras!$Y$218="",Registro_Compras!$F$218="NOTA DE CREDITO"),"","10413")</f>
        <v/>
      </c>
      <c r="D1939">
        <f>IF(OR(Registro_Compras!$C$218="",Registro_Compras!$O$218=""),"","Efectivo y Equivalentes - Cta. Cte. Operativa")</f>
        <v/>
      </c>
      <c r="E1939" s="20">
        <f>""</f>
        <v/>
      </c>
      <c r="F1939" s="20">
        <f>IF($C1939="","",IF(Registro_Compras!$F$218="RHE",(ROUND(Registro_Compras!$L$218*Registro_Compras!$N$218,2)-ROUND(Registro_Compras!$V$218*Registro_Compras!$N$218,2)),ROUND(Registro_Compras!$O$218-Registro_Compras!$S$218,2)))</f>
        <v/>
      </c>
      <c r="G1939">
        <f>IF($C1939="","","Por la cancelacion del saldo al proveedor")</f>
        <v/>
      </c>
      <c r="H1939">
        <f>IF($C1939="","",Registro_Compras!$C$218)</f>
        <v/>
      </c>
    </row>
    <row r="1940">
      <c r="A1940" s="25">
        <f>IF($C1940="","",Registro_Compras!$B$219)</f>
        <v/>
      </c>
      <c r="B1940">
        <f>IF($C1940="","","C"&amp;TEXT(INT((ROW()-5)/9)+1,"000")&amp;"-1")</f>
        <v/>
      </c>
      <c r="C1940">
        <f>IF(OR(Registro_Compras!$C$219="",Registro_Compras!$O$219=""),"",IF(Registro_Compras!$F$219="NOTA DE CREDITO","4212",IF(Registro_Compras!$M$219="","63",Registro_Compras!$M$219)))</f>
        <v/>
      </c>
      <c r="D1940">
        <f>IF(OR(Registro_Compras!$C$219="",Registro_Compras!$O$219=""),"",IF(Registro_Compras!$F$219="NOTA DE CREDITO","Cuentas por Pagar Comerciales - Terceros (Emitidas)",IF(Registro_Compras!$F$219="RHE","Honorarios Profesionales - Servicios de Terceros","Gastos de Servicios Prestados por Terceros")))</f>
        <v/>
      </c>
      <c r="E1940" s="20">
        <f>IF($C1940="","",IF(Registro_Compras!$F$219="NOTA DE CREDITO",ABS(Registro_Compras!$O$219),IF(Registro_Compras!$F$219="RHE",ROUND(Registro_Compras!$L$219*Registro_Compras!$N$219,2),ROUND(Registro_Compras!$J$219*Registro_Compras!$N$219,2))))</f>
        <v/>
      </c>
      <c r="F1940" s="20">
        <f>""</f>
        <v/>
      </c>
      <c r="G1940">
        <f>IF($C1940="","",IF(Registro_Compras!$F$219="NOTA DE CREDITO","Por la nota de credito "&amp;Registro_Compras!$C$219&amp;" de "&amp;Registro_Compras!$E$219&amp;" [PATRON POR CONFIRMAR CON CONTADOR]",IF(Registro_Compras!$F$219="RHE","Por el registro del recibo por honorarios "&amp;Registro_Compras!$C$219&amp;" de "&amp;Registro_Compras!$E$219&amp;" [PATRON POR CONFIRMAR CON CONTADOR]","Por el registro de la factura "&amp;Registro_Compras!$C$219&amp;" de "&amp;Registro_Compras!$E$219)))</f>
        <v/>
      </c>
      <c r="H1940">
        <f>IF($C1940="","",Registro_Compras!$C$219)</f>
        <v/>
      </c>
    </row>
    <row r="1941">
      <c r="A1941" s="25">
        <f>IF($C1941="","",Registro_Compras!$B$219)</f>
        <v/>
      </c>
      <c r="B1941">
        <f>IF($C1941="","","C"&amp;TEXT(INT((ROW()-5)/9)+1,"000")&amp;"-1")</f>
        <v/>
      </c>
      <c r="C1941">
        <f>IF(OR(Registro_Compras!$C$219="",Registro_Compras!$O$219=""),"",IF(Registro_Compras!$F$219="RHE",IF(Registro_Compras!$V$219=0,"","40172"),IF(Registro_Compras!$F$219="NOTA DE CREDITO",IF(Registro_Compras!$M$219="","63",Registro_Compras!$M$219),IF(Registro_Compras!$K$219=0,"","40111"))))</f>
        <v/>
      </c>
      <c r="D1941">
        <f>IF(OR(Registro_Compras!$C$219="",Registro_Compras!$O$219=""),"",IF(Registro_Compras!$F$219="RHE","Retencion Renta 4ta Categoria por Pagar",IF(Registro_Compras!$F$219="NOTA DE CREDITO","Gastos de Servicios Prestados por Terceros","IGV - Cuenta Propia (Credito Fiscal)")))</f>
        <v/>
      </c>
      <c r="E1941" s="20">
        <f>IF($C1941="","",IF(Registro_Compras!$F$219="FACTURA",ROUND(Registro_Compras!$K$219*Registro_Compras!$N$219,2),""))</f>
        <v/>
      </c>
      <c r="F1941" s="20">
        <f>IF($C1941="","",IF(Registro_Compras!$F$219="RHE",ROUND(Registro_Compras!$V$219*Registro_Compras!$N$219,2),IF(Registro_Compras!$F$219="NOTA DE CREDITO",ROUND(ABS(Registro_Compras!$J$219*Registro_Compras!$N$219),2),"")))</f>
        <v/>
      </c>
      <c r="G1941">
        <f>IF($C1941="","",IF(Registro_Compras!$F$219="NOTA DE CREDITO","Por la nota de credito "&amp;Registro_Compras!$C$219&amp;" de "&amp;Registro_Compras!$E$219&amp;" [PATRON POR CONFIRMAR CON CONTADOR]",IF(Registro_Compras!$F$219="RHE","Por el registro del recibo por honorarios "&amp;Registro_Compras!$C$219&amp;" de "&amp;Registro_Compras!$E$219&amp;" [PATRON POR CONFIRMAR CON CONTADOR]","Por el registro de la factura "&amp;Registro_Compras!$C$219&amp;" de "&amp;Registro_Compras!$E$219)))</f>
        <v/>
      </c>
      <c r="H1941">
        <f>IF($C1941="","",Registro_Compras!$C$219)</f>
        <v/>
      </c>
    </row>
    <row r="1942">
      <c r="A1942" s="25">
        <f>IF($C1942="","",Registro_Compras!$B$219)</f>
        <v/>
      </c>
      <c r="B1942">
        <f>IF($C1942="","","C"&amp;TEXT(INT((ROW()-5)/9)+1,"000")&amp;"-1")</f>
        <v/>
      </c>
      <c r="C1942">
        <f>IF(OR(Registro_Compras!$C$219="",Registro_Compras!$O$219=""),"",IF(Registro_Compras!$F$219="NOTA DE CREDITO",IF(Registro_Compras!$K$219=0,"","40111"),"4212"))</f>
        <v/>
      </c>
      <c r="D1942">
        <f>IF(OR(Registro_Compras!$C$219="",Registro_Compras!$O$219=""),"",IF(Registro_Compras!$F$219="NOTA DE CREDITO","IGV - Cuenta Propia (Credito Fiscal)","Cuentas por Pagar Comerciales - Terceros (Emitidas)"))</f>
        <v/>
      </c>
      <c r="E1942" s="20">
        <f>""</f>
        <v/>
      </c>
      <c r="F1942" s="20">
        <f>IF($C1942="","",IF(Registro_Compras!$F$219="NOTA DE CREDITO",ROUND(ABS(Registro_Compras!$K$219*Registro_Compras!$N$219),2),IF(Registro_Compras!$F$219="RHE",(ROUND(Registro_Compras!$L$219*Registro_Compras!$N$219,2)-ROUND(Registro_Compras!$V$219*Registro_Compras!$N$219,2)),Registro_Compras!$O$219)))</f>
        <v/>
      </c>
      <c r="G1942">
        <f>IF($C1942="","",IF(Registro_Compras!$F$219="NOTA DE CREDITO","Por la nota de credito "&amp;Registro_Compras!$C$219&amp;" de "&amp;Registro_Compras!$E$219&amp;" [PATRON POR CONFIRMAR CON CONTADOR]",IF(Registro_Compras!$F$219="RHE","Por el registro del recibo por honorarios "&amp;Registro_Compras!$C$219&amp;" de "&amp;Registro_Compras!$E$219&amp;" [PATRON POR CONFIRMAR CON CONTADOR]","Por el registro de la factura "&amp;Registro_Compras!$C$219&amp;" de "&amp;Registro_Compras!$E$219)))</f>
        <v/>
      </c>
      <c r="H1942">
        <f>IF($C1942="","",Registro_Compras!$C$219)</f>
        <v/>
      </c>
    </row>
    <row r="1943">
      <c r="A1943" s="25">
        <f>IF($C1943="","",Registro_Compras!$B$219)</f>
        <v/>
      </c>
      <c r="B1943">
        <f>IF($C1943="","","C"&amp;TEXT(INT((ROW()-5)/9)+1,"000")&amp;"-2")</f>
        <v/>
      </c>
      <c r="C1943">
        <f>IF(OR(Registro_Compras!$C$219="",Registro_Compras!$O$219=""),"",IF(Registro_Compras!$AB$219="ADMINISTRATIVO","94","95"))</f>
        <v/>
      </c>
      <c r="D1943">
        <f>IF(OR(Registro_Compras!$C$219="",Registro_Compras!$O$219=""),"",IF(Registro_Compras!$AB$219="ADMINISTRATIVO","Gastos Administrativos","Gastos de Venta y Operacion"))</f>
        <v/>
      </c>
      <c r="E1943" s="20">
        <f>IF($C1943="","",IF(Registro_Compras!$F$219="NOTA DE CREDITO","",IF(Registro_Compras!$F$219="RHE",ROUND(Registro_Compras!$L$219*Registro_Compras!$N$219,2),ROUND(Registro_Compras!$J$219*Registro_Compras!$N$219,2))))</f>
        <v/>
      </c>
      <c r="F1943" s="20">
        <f>IF($C1943="","",IF(Registro_Compras!$F$219="NOTA DE CREDITO",ROUND(ABS(Registro_Compras!$J$219*Registro_Compras!$N$219),2),""))</f>
        <v/>
      </c>
      <c r="G1943">
        <f>IF($C1943="","","Por el destino del gasto")</f>
        <v/>
      </c>
      <c r="H1943">
        <f>IF($C1943="","",Registro_Compras!$C$219)</f>
        <v/>
      </c>
    </row>
    <row r="1944">
      <c r="A1944" s="25">
        <f>IF($C1944="","",Registro_Compras!$B$219)</f>
        <v/>
      </c>
      <c r="B1944">
        <f>IF($C1944="","","C"&amp;TEXT(INT((ROW()-5)/9)+1,"000")&amp;"-2")</f>
        <v/>
      </c>
      <c r="C1944">
        <f>IF(OR(Registro_Compras!$C$219="",Registro_Compras!$O$219=""),"","79/791")</f>
        <v/>
      </c>
      <c r="D1944">
        <f>IF(OR(Registro_Compras!$C$219="",Registro_Compras!$O$219=""),"","Cargas Imputables a Cuentas de Costos y Gastos")</f>
        <v/>
      </c>
      <c r="E1944" s="20">
        <f>IF($C1944="","",IF(Registro_Compras!$F$219="NOTA DE CREDITO",ROUND(ABS(Registro_Compras!$J$219*Registro_Compras!$N$219),2),""))</f>
        <v/>
      </c>
      <c r="F1944" s="20">
        <f>IF($C1944="","",IF(Registro_Compras!$F$219="NOTA DE CREDITO","",IF(Registro_Compras!$F$219="RHE",ROUND(Registro_Compras!$L$219*Registro_Compras!$N$219,2),ROUND(Registro_Compras!$J$219*Registro_Compras!$N$219,2))))</f>
        <v/>
      </c>
      <c r="G1944">
        <f>IF($C1944="","","Por el destino del gasto")</f>
        <v/>
      </c>
      <c r="H1944">
        <f>IF($C1944="","",Registro_Compras!$C$219)</f>
        <v/>
      </c>
    </row>
    <row r="1945">
      <c r="A1945" s="25">
        <f>IF($C1945="","",Registro_Compras!$X$219)</f>
        <v/>
      </c>
      <c r="B1945">
        <f>IF($C1945="","","C"&amp;TEXT(INT((ROW()-5)/9)+1,"000")&amp;"-3")</f>
        <v/>
      </c>
      <c r="C1945">
        <f>IF(OR(Registro_Compras!$C$219="",Registro_Compras!$O$219="",Registro_Compras!$R$219&lt;&gt;"SI",Registro_Compras!$X$219=""),"","4212")</f>
        <v/>
      </c>
      <c r="D1945">
        <f>IF(OR(Registro_Compras!$C$219="",Registro_Compras!$O$219=""),"","Cuentas por Pagar Comerciales - Terceros")</f>
        <v/>
      </c>
      <c r="E1945" s="20">
        <f>IF($C1945="","",Registro_Compras!$S$219)</f>
        <v/>
      </c>
      <c r="F1945" s="20">
        <f>""</f>
        <v/>
      </c>
      <c r="G1945">
        <f>IF($C1945="","","Por el deposito de la detraccion en el Banco de la Nacion")</f>
        <v/>
      </c>
      <c r="H1945">
        <f>IF($C1945="","",Registro_Compras!$C$219)</f>
        <v/>
      </c>
    </row>
    <row r="1946">
      <c r="A1946" s="25">
        <f>IF($C1946="","",Registro_Compras!$X$219)</f>
        <v/>
      </c>
      <c r="B1946">
        <f>IF($C1946="","","C"&amp;TEXT(INT((ROW()-5)/9)+1,"000")&amp;"-3")</f>
        <v/>
      </c>
      <c r="C1946">
        <f>IF(OR(Registro_Compras!$C$219="",Registro_Compras!$O$219="",Registro_Compras!$R$219&lt;&gt;"SI",Registro_Compras!$X$219=""),"","10413")</f>
        <v/>
      </c>
      <c r="D1946">
        <f>IF(OR(Registro_Compras!$C$219="",Registro_Compras!$O$219=""),"","Efectivo y Equivalentes - Cta. Cte. Operativa")</f>
        <v/>
      </c>
      <c r="E1946" s="20">
        <f>""</f>
        <v/>
      </c>
      <c r="F1946" s="20">
        <f>IF($C1946="","",Registro_Compras!$S$219)</f>
        <v/>
      </c>
      <c r="G1946">
        <f>IF($C1946="","","Por el deposito de la detraccion en el Banco de la Nacion")</f>
        <v/>
      </c>
      <c r="H1946">
        <f>IF($C1946="","",Registro_Compras!$C$219)</f>
        <v/>
      </c>
    </row>
    <row r="1947">
      <c r="A1947" s="25">
        <f>IF($C1947="","",Registro_Compras!$Y$219)</f>
        <v/>
      </c>
      <c r="B1947">
        <f>IF($C1947="","","C"&amp;TEXT(INT((ROW()-5)/9)+1,"000")&amp;"-4")</f>
        <v/>
      </c>
      <c r="C1947">
        <f>IF(OR(Registro_Compras!$C$219="",Registro_Compras!$O$219="",Registro_Compras!$Y$219="",Registro_Compras!$F$219="NOTA DE CREDITO"),"","4212")</f>
        <v/>
      </c>
      <c r="D1947">
        <f>IF(OR(Registro_Compras!$C$219="",Registro_Compras!$O$219=""),"","Cuentas por Pagar Comerciales - Terceros")</f>
        <v/>
      </c>
      <c r="E1947" s="20">
        <f>IF($C1947="","",IF(Registro_Compras!$F$219="RHE",(ROUND(Registro_Compras!$L$219*Registro_Compras!$N$219,2)-ROUND(Registro_Compras!$V$219*Registro_Compras!$N$219,2)),ROUND(Registro_Compras!$O$219-Registro_Compras!$S$219,2)))</f>
        <v/>
      </c>
      <c r="F1947" s="20">
        <f>""</f>
        <v/>
      </c>
      <c r="G1947">
        <f>IF($C1947="","","Por la cancelacion del saldo al proveedor")</f>
        <v/>
      </c>
      <c r="H1947">
        <f>IF($C1947="","",Registro_Compras!$C$219)</f>
        <v/>
      </c>
    </row>
    <row r="1948">
      <c r="A1948" s="25">
        <f>IF($C1948="","",Registro_Compras!$Y$219)</f>
        <v/>
      </c>
      <c r="B1948">
        <f>IF($C1948="","","C"&amp;TEXT(INT((ROW()-5)/9)+1,"000")&amp;"-4")</f>
        <v/>
      </c>
      <c r="C1948">
        <f>IF(OR(Registro_Compras!$C$219="",Registro_Compras!$O$219="",Registro_Compras!$Y$219="",Registro_Compras!$F$219="NOTA DE CREDITO"),"","10413")</f>
        <v/>
      </c>
      <c r="D1948">
        <f>IF(OR(Registro_Compras!$C$219="",Registro_Compras!$O$219=""),"","Efectivo y Equivalentes - Cta. Cte. Operativa")</f>
        <v/>
      </c>
      <c r="E1948" s="20">
        <f>""</f>
        <v/>
      </c>
      <c r="F1948" s="20">
        <f>IF($C1948="","",IF(Registro_Compras!$F$219="RHE",(ROUND(Registro_Compras!$L$219*Registro_Compras!$N$219,2)-ROUND(Registro_Compras!$V$219*Registro_Compras!$N$219,2)),ROUND(Registro_Compras!$O$219-Registro_Compras!$S$219,2)))</f>
        <v/>
      </c>
      <c r="G1948">
        <f>IF($C1948="","","Por la cancelacion del saldo al proveedor")</f>
        <v/>
      </c>
      <c r="H1948">
        <f>IF($C1948="","",Registro_Compras!$C$219)</f>
        <v/>
      </c>
    </row>
    <row r="1949">
      <c r="A1949" s="25">
        <f>IF($C1949="","",Registro_Compras!$B$220)</f>
        <v/>
      </c>
      <c r="B1949">
        <f>IF($C1949="","","C"&amp;TEXT(INT((ROW()-5)/9)+1,"000")&amp;"-1")</f>
        <v/>
      </c>
      <c r="C1949">
        <f>IF(OR(Registro_Compras!$C$220="",Registro_Compras!$O$220=""),"",IF(Registro_Compras!$F$220="NOTA DE CREDITO","4212",IF(Registro_Compras!$M$220="","63",Registro_Compras!$M$220)))</f>
        <v/>
      </c>
      <c r="D1949">
        <f>IF(OR(Registro_Compras!$C$220="",Registro_Compras!$O$220=""),"",IF(Registro_Compras!$F$220="NOTA DE CREDITO","Cuentas por Pagar Comerciales - Terceros (Emitidas)",IF(Registro_Compras!$F$220="RHE","Honorarios Profesionales - Servicios de Terceros","Gastos de Servicios Prestados por Terceros")))</f>
        <v/>
      </c>
      <c r="E1949" s="20">
        <f>IF($C1949="","",IF(Registro_Compras!$F$220="NOTA DE CREDITO",ABS(Registro_Compras!$O$220),IF(Registro_Compras!$F$220="RHE",ROUND(Registro_Compras!$L$220*Registro_Compras!$N$220,2),ROUND(Registro_Compras!$J$220*Registro_Compras!$N$220,2))))</f>
        <v/>
      </c>
      <c r="F1949" s="20">
        <f>""</f>
        <v/>
      </c>
      <c r="G1949">
        <f>IF($C1949="","",IF(Registro_Compras!$F$220="NOTA DE CREDITO","Por la nota de credito "&amp;Registro_Compras!$C$220&amp;" de "&amp;Registro_Compras!$E$220&amp;" [PATRON POR CONFIRMAR CON CONTADOR]",IF(Registro_Compras!$F$220="RHE","Por el registro del recibo por honorarios "&amp;Registro_Compras!$C$220&amp;" de "&amp;Registro_Compras!$E$220&amp;" [PATRON POR CONFIRMAR CON CONTADOR]","Por el registro de la factura "&amp;Registro_Compras!$C$220&amp;" de "&amp;Registro_Compras!$E$220)))</f>
        <v/>
      </c>
      <c r="H1949">
        <f>IF($C1949="","",Registro_Compras!$C$220)</f>
        <v/>
      </c>
    </row>
    <row r="1950">
      <c r="A1950" s="25">
        <f>IF($C1950="","",Registro_Compras!$B$220)</f>
        <v/>
      </c>
      <c r="B1950">
        <f>IF($C1950="","","C"&amp;TEXT(INT((ROW()-5)/9)+1,"000")&amp;"-1")</f>
        <v/>
      </c>
      <c r="C1950">
        <f>IF(OR(Registro_Compras!$C$220="",Registro_Compras!$O$220=""),"",IF(Registro_Compras!$F$220="RHE",IF(Registro_Compras!$V$220=0,"","40172"),IF(Registro_Compras!$F$220="NOTA DE CREDITO",IF(Registro_Compras!$M$220="","63",Registro_Compras!$M$220),IF(Registro_Compras!$K$220=0,"","40111"))))</f>
        <v/>
      </c>
      <c r="D1950">
        <f>IF(OR(Registro_Compras!$C$220="",Registro_Compras!$O$220=""),"",IF(Registro_Compras!$F$220="RHE","Retencion Renta 4ta Categoria por Pagar",IF(Registro_Compras!$F$220="NOTA DE CREDITO","Gastos de Servicios Prestados por Terceros","IGV - Cuenta Propia (Credito Fiscal)")))</f>
        <v/>
      </c>
      <c r="E1950" s="20">
        <f>IF($C1950="","",IF(Registro_Compras!$F$220="FACTURA",ROUND(Registro_Compras!$K$220*Registro_Compras!$N$220,2),""))</f>
        <v/>
      </c>
      <c r="F1950" s="20">
        <f>IF($C1950="","",IF(Registro_Compras!$F$220="RHE",ROUND(Registro_Compras!$V$220*Registro_Compras!$N$220,2),IF(Registro_Compras!$F$220="NOTA DE CREDITO",ROUND(ABS(Registro_Compras!$J$220*Registro_Compras!$N$220),2),"")))</f>
        <v/>
      </c>
      <c r="G1950">
        <f>IF($C1950="","",IF(Registro_Compras!$F$220="NOTA DE CREDITO","Por la nota de credito "&amp;Registro_Compras!$C$220&amp;" de "&amp;Registro_Compras!$E$220&amp;" [PATRON POR CONFIRMAR CON CONTADOR]",IF(Registro_Compras!$F$220="RHE","Por el registro del recibo por honorarios "&amp;Registro_Compras!$C$220&amp;" de "&amp;Registro_Compras!$E$220&amp;" [PATRON POR CONFIRMAR CON CONTADOR]","Por el registro de la factura "&amp;Registro_Compras!$C$220&amp;" de "&amp;Registro_Compras!$E$220)))</f>
        <v/>
      </c>
      <c r="H1950">
        <f>IF($C1950="","",Registro_Compras!$C$220)</f>
        <v/>
      </c>
    </row>
    <row r="1951">
      <c r="A1951" s="25">
        <f>IF($C1951="","",Registro_Compras!$B$220)</f>
        <v/>
      </c>
      <c r="B1951">
        <f>IF($C1951="","","C"&amp;TEXT(INT((ROW()-5)/9)+1,"000")&amp;"-1")</f>
        <v/>
      </c>
      <c r="C1951">
        <f>IF(OR(Registro_Compras!$C$220="",Registro_Compras!$O$220=""),"",IF(Registro_Compras!$F$220="NOTA DE CREDITO",IF(Registro_Compras!$K$220=0,"","40111"),"4212"))</f>
        <v/>
      </c>
      <c r="D1951">
        <f>IF(OR(Registro_Compras!$C$220="",Registro_Compras!$O$220=""),"",IF(Registro_Compras!$F$220="NOTA DE CREDITO","IGV - Cuenta Propia (Credito Fiscal)","Cuentas por Pagar Comerciales - Terceros (Emitidas)"))</f>
        <v/>
      </c>
      <c r="E1951" s="20">
        <f>""</f>
        <v/>
      </c>
      <c r="F1951" s="20">
        <f>IF($C1951="","",IF(Registro_Compras!$F$220="NOTA DE CREDITO",ROUND(ABS(Registro_Compras!$K$220*Registro_Compras!$N$220),2),IF(Registro_Compras!$F$220="RHE",(ROUND(Registro_Compras!$L$220*Registro_Compras!$N$220,2)-ROUND(Registro_Compras!$V$220*Registro_Compras!$N$220,2)),Registro_Compras!$O$220)))</f>
        <v/>
      </c>
      <c r="G1951">
        <f>IF($C1951="","",IF(Registro_Compras!$F$220="NOTA DE CREDITO","Por la nota de credito "&amp;Registro_Compras!$C$220&amp;" de "&amp;Registro_Compras!$E$220&amp;" [PATRON POR CONFIRMAR CON CONTADOR]",IF(Registro_Compras!$F$220="RHE","Por el registro del recibo por honorarios "&amp;Registro_Compras!$C$220&amp;" de "&amp;Registro_Compras!$E$220&amp;" [PATRON POR CONFIRMAR CON CONTADOR]","Por el registro de la factura "&amp;Registro_Compras!$C$220&amp;" de "&amp;Registro_Compras!$E$220)))</f>
        <v/>
      </c>
      <c r="H1951">
        <f>IF($C1951="","",Registro_Compras!$C$220)</f>
        <v/>
      </c>
    </row>
    <row r="1952">
      <c r="A1952" s="25">
        <f>IF($C1952="","",Registro_Compras!$B$220)</f>
        <v/>
      </c>
      <c r="B1952">
        <f>IF($C1952="","","C"&amp;TEXT(INT((ROW()-5)/9)+1,"000")&amp;"-2")</f>
        <v/>
      </c>
      <c r="C1952">
        <f>IF(OR(Registro_Compras!$C$220="",Registro_Compras!$O$220=""),"",IF(Registro_Compras!$AB$220="ADMINISTRATIVO","94","95"))</f>
        <v/>
      </c>
      <c r="D1952">
        <f>IF(OR(Registro_Compras!$C$220="",Registro_Compras!$O$220=""),"",IF(Registro_Compras!$AB$220="ADMINISTRATIVO","Gastos Administrativos","Gastos de Venta y Operacion"))</f>
        <v/>
      </c>
      <c r="E1952" s="20">
        <f>IF($C1952="","",IF(Registro_Compras!$F$220="NOTA DE CREDITO","",IF(Registro_Compras!$F$220="RHE",ROUND(Registro_Compras!$L$220*Registro_Compras!$N$220,2),ROUND(Registro_Compras!$J$220*Registro_Compras!$N$220,2))))</f>
        <v/>
      </c>
      <c r="F1952" s="20">
        <f>IF($C1952="","",IF(Registro_Compras!$F$220="NOTA DE CREDITO",ROUND(ABS(Registro_Compras!$J$220*Registro_Compras!$N$220),2),""))</f>
        <v/>
      </c>
      <c r="G1952">
        <f>IF($C1952="","","Por el destino del gasto")</f>
        <v/>
      </c>
      <c r="H1952">
        <f>IF($C1952="","",Registro_Compras!$C$220)</f>
        <v/>
      </c>
    </row>
    <row r="1953">
      <c r="A1953" s="25">
        <f>IF($C1953="","",Registro_Compras!$B$220)</f>
        <v/>
      </c>
      <c r="B1953">
        <f>IF($C1953="","","C"&amp;TEXT(INT((ROW()-5)/9)+1,"000")&amp;"-2")</f>
        <v/>
      </c>
      <c r="C1953">
        <f>IF(OR(Registro_Compras!$C$220="",Registro_Compras!$O$220=""),"","79/791")</f>
        <v/>
      </c>
      <c r="D1953">
        <f>IF(OR(Registro_Compras!$C$220="",Registro_Compras!$O$220=""),"","Cargas Imputables a Cuentas de Costos y Gastos")</f>
        <v/>
      </c>
      <c r="E1953" s="20">
        <f>IF($C1953="","",IF(Registro_Compras!$F$220="NOTA DE CREDITO",ROUND(ABS(Registro_Compras!$J$220*Registro_Compras!$N$220),2),""))</f>
        <v/>
      </c>
      <c r="F1953" s="20">
        <f>IF($C1953="","",IF(Registro_Compras!$F$220="NOTA DE CREDITO","",IF(Registro_Compras!$F$220="RHE",ROUND(Registro_Compras!$L$220*Registro_Compras!$N$220,2),ROUND(Registro_Compras!$J$220*Registro_Compras!$N$220,2))))</f>
        <v/>
      </c>
      <c r="G1953">
        <f>IF($C1953="","","Por el destino del gasto")</f>
        <v/>
      </c>
      <c r="H1953">
        <f>IF($C1953="","",Registro_Compras!$C$220)</f>
        <v/>
      </c>
    </row>
    <row r="1954">
      <c r="A1954" s="25">
        <f>IF($C1954="","",Registro_Compras!$X$220)</f>
        <v/>
      </c>
      <c r="B1954">
        <f>IF($C1954="","","C"&amp;TEXT(INT((ROW()-5)/9)+1,"000")&amp;"-3")</f>
        <v/>
      </c>
      <c r="C1954">
        <f>IF(OR(Registro_Compras!$C$220="",Registro_Compras!$O$220="",Registro_Compras!$R$220&lt;&gt;"SI",Registro_Compras!$X$220=""),"","4212")</f>
        <v/>
      </c>
      <c r="D1954">
        <f>IF(OR(Registro_Compras!$C$220="",Registro_Compras!$O$220=""),"","Cuentas por Pagar Comerciales - Terceros")</f>
        <v/>
      </c>
      <c r="E1954" s="20">
        <f>IF($C1954="","",Registro_Compras!$S$220)</f>
        <v/>
      </c>
      <c r="F1954" s="20">
        <f>""</f>
        <v/>
      </c>
      <c r="G1954">
        <f>IF($C1954="","","Por el deposito de la detraccion en el Banco de la Nacion")</f>
        <v/>
      </c>
      <c r="H1954">
        <f>IF($C1954="","",Registro_Compras!$C$220)</f>
        <v/>
      </c>
    </row>
    <row r="1955">
      <c r="A1955" s="25">
        <f>IF($C1955="","",Registro_Compras!$X$220)</f>
        <v/>
      </c>
      <c r="B1955">
        <f>IF($C1955="","","C"&amp;TEXT(INT((ROW()-5)/9)+1,"000")&amp;"-3")</f>
        <v/>
      </c>
      <c r="C1955">
        <f>IF(OR(Registro_Compras!$C$220="",Registro_Compras!$O$220="",Registro_Compras!$R$220&lt;&gt;"SI",Registro_Compras!$X$220=""),"","10413")</f>
        <v/>
      </c>
      <c r="D1955">
        <f>IF(OR(Registro_Compras!$C$220="",Registro_Compras!$O$220=""),"","Efectivo y Equivalentes - Cta. Cte. Operativa")</f>
        <v/>
      </c>
      <c r="E1955" s="20">
        <f>""</f>
        <v/>
      </c>
      <c r="F1955" s="20">
        <f>IF($C1955="","",Registro_Compras!$S$220)</f>
        <v/>
      </c>
      <c r="G1955">
        <f>IF($C1955="","","Por el deposito de la detraccion en el Banco de la Nacion")</f>
        <v/>
      </c>
      <c r="H1955">
        <f>IF($C1955="","",Registro_Compras!$C$220)</f>
        <v/>
      </c>
    </row>
    <row r="1956">
      <c r="A1956" s="25">
        <f>IF($C1956="","",Registro_Compras!$Y$220)</f>
        <v/>
      </c>
      <c r="B1956">
        <f>IF($C1956="","","C"&amp;TEXT(INT((ROW()-5)/9)+1,"000")&amp;"-4")</f>
        <v/>
      </c>
      <c r="C1956">
        <f>IF(OR(Registro_Compras!$C$220="",Registro_Compras!$O$220="",Registro_Compras!$Y$220="",Registro_Compras!$F$220="NOTA DE CREDITO"),"","4212")</f>
        <v/>
      </c>
      <c r="D1956">
        <f>IF(OR(Registro_Compras!$C$220="",Registro_Compras!$O$220=""),"","Cuentas por Pagar Comerciales - Terceros")</f>
        <v/>
      </c>
      <c r="E1956" s="20">
        <f>IF($C1956="","",IF(Registro_Compras!$F$220="RHE",(ROUND(Registro_Compras!$L$220*Registro_Compras!$N$220,2)-ROUND(Registro_Compras!$V$220*Registro_Compras!$N$220,2)),ROUND(Registro_Compras!$O$220-Registro_Compras!$S$220,2)))</f>
        <v/>
      </c>
      <c r="F1956" s="20">
        <f>""</f>
        <v/>
      </c>
      <c r="G1956">
        <f>IF($C1956="","","Por la cancelacion del saldo al proveedor")</f>
        <v/>
      </c>
      <c r="H1956">
        <f>IF($C1956="","",Registro_Compras!$C$220)</f>
        <v/>
      </c>
    </row>
    <row r="1957">
      <c r="A1957" s="25">
        <f>IF($C1957="","",Registro_Compras!$Y$220)</f>
        <v/>
      </c>
      <c r="B1957">
        <f>IF($C1957="","","C"&amp;TEXT(INT((ROW()-5)/9)+1,"000")&amp;"-4")</f>
        <v/>
      </c>
      <c r="C1957">
        <f>IF(OR(Registro_Compras!$C$220="",Registro_Compras!$O$220="",Registro_Compras!$Y$220="",Registro_Compras!$F$220="NOTA DE CREDITO"),"","10413")</f>
        <v/>
      </c>
      <c r="D1957">
        <f>IF(OR(Registro_Compras!$C$220="",Registro_Compras!$O$220=""),"","Efectivo y Equivalentes - Cta. Cte. Operativa")</f>
        <v/>
      </c>
      <c r="E1957" s="20">
        <f>""</f>
        <v/>
      </c>
      <c r="F1957" s="20">
        <f>IF($C1957="","",IF(Registro_Compras!$F$220="RHE",(ROUND(Registro_Compras!$L$220*Registro_Compras!$N$220,2)-ROUND(Registro_Compras!$V$220*Registro_Compras!$N$220,2)),ROUND(Registro_Compras!$O$220-Registro_Compras!$S$220,2)))</f>
        <v/>
      </c>
      <c r="G1957">
        <f>IF($C1957="","","Por la cancelacion del saldo al proveedor")</f>
        <v/>
      </c>
      <c r="H1957">
        <f>IF($C1957="","",Registro_Compras!$C$220)</f>
        <v/>
      </c>
    </row>
    <row r="1958">
      <c r="A1958" s="25">
        <f>IF($C1958="","",Registro_Compras!$B$221)</f>
        <v/>
      </c>
      <c r="B1958">
        <f>IF($C1958="","","C"&amp;TEXT(INT((ROW()-5)/9)+1,"000")&amp;"-1")</f>
        <v/>
      </c>
      <c r="C1958">
        <f>IF(OR(Registro_Compras!$C$221="",Registro_Compras!$O$221=""),"",IF(Registro_Compras!$F$221="NOTA DE CREDITO","4212",IF(Registro_Compras!$M$221="","63",Registro_Compras!$M$221)))</f>
        <v/>
      </c>
      <c r="D1958">
        <f>IF(OR(Registro_Compras!$C$221="",Registro_Compras!$O$221=""),"",IF(Registro_Compras!$F$221="NOTA DE CREDITO","Cuentas por Pagar Comerciales - Terceros (Emitidas)",IF(Registro_Compras!$F$221="RHE","Honorarios Profesionales - Servicios de Terceros","Gastos de Servicios Prestados por Terceros")))</f>
        <v/>
      </c>
      <c r="E1958" s="20">
        <f>IF($C1958="","",IF(Registro_Compras!$F$221="NOTA DE CREDITO",ABS(Registro_Compras!$O$221),IF(Registro_Compras!$F$221="RHE",ROUND(Registro_Compras!$L$221*Registro_Compras!$N$221,2),ROUND(Registro_Compras!$J$221*Registro_Compras!$N$221,2))))</f>
        <v/>
      </c>
      <c r="F1958" s="20">
        <f>""</f>
        <v/>
      </c>
      <c r="G1958">
        <f>IF($C1958="","",IF(Registro_Compras!$F$221="NOTA DE CREDITO","Por la nota de credito "&amp;Registro_Compras!$C$221&amp;" de "&amp;Registro_Compras!$E$221&amp;" [PATRON POR CONFIRMAR CON CONTADOR]",IF(Registro_Compras!$F$221="RHE","Por el registro del recibo por honorarios "&amp;Registro_Compras!$C$221&amp;" de "&amp;Registro_Compras!$E$221&amp;" [PATRON POR CONFIRMAR CON CONTADOR]","Por el registro de la factura "&amp;Registro_Compras!$C$221&amp;" de "&amp;Registro_Compras!$E$221)))</f>
        <v/>
      </c>
      <c r="H1958">
        <f>IF($C1958="","",Registro_Compras!$C$221)</f>
        <v/>
      </c>
    </row>
    <row r="1959">
      <c r="A1959" s="25">
        <f>IF($C1959="","",Registro_Compras!$B$221)</f>
        <v/>
      </c>
      <c r="B1959">
        <f>IF($C1959="","","C"&amp;TEXT(INT((ROW()-5)/9)+1,"000")&amp;"-1")</f>
        <v/>
      </c>
      <c r="C1959">
        <f>IF(OR(Registro_Compras!$C$221="",Registro_Compras!$O$221=""),"",IF(Registro_Compras!$F$221="RHE",IF(Registro_Compras!$V$221=0,"","40172"),IF(Registro_Compras!$F$221="NOTA DE CREDITO",IF(Registro_Compras!$M$221="","63",Registro_Compras!$M$221),IF(Registro_Compras!$K$221=0,"","40111"))))</f>
        <v/>
      </c>
      <c r="D1959">
        <f>IF(OR(Registro_Compras!$C$221="",Registro_Compras!$O$221=""),"",IF(Registro_Compras!$F$221="RHE","Retencion Renta 4ta Categoria por Pagar",IF(Registro_Compras!$F$221="NOTA DE CREDITO","Gastos de Servicios Prestados por Terceros","IGV - Cuenta Propia (Credito Fiscal)")))</f>
        <v/>
      </c>
      <c r="E1959" s="20">
        <f>IF($C1959="","",IF(Registro_Compras!$F$221="FACTURA",ROUND(Registro_Compras!$K$221*Registro_Compras!$N$221,2),""))</f>
        <v/>
      </c>
      <c r="F1959" s="20">
        <f>IF($C1959="","",IF(Registro_Compras!$F$221="RHE",ROUND(Registro_Compras!$V$221*Registro_Compras!$N$221,2),IF(Registro_Compras!$F$221="NOTA DE CREDITO",ROUND(ABS(Registro_Compras!$J$221*Registro_Compras!$N$221),2),"")))</f>
        <v/>
      </c>
      <c r="G1959">
        <f>IF($C1959="","",IF(Registro_Compras!$F$221="NOTA DE CREDITO","Por la nota de credito "&amp;Registro_Compras!$C$221&amp;" de "&amp;Registro_Compras!$E$221&amp;" [PATRON POR CONFIRMAR CON CONTADOR]",IF(Registro_Compras!$F$221="RHE","Por el registro del recibo por honorarios "&amp;Registro_Compras!$C$221&amp;" de "&amp;Registro_Compras!$E$221&amp;" [PATRON POR CONFIRMAR CON CONTADOR]","Por el registro de la factura "&amp;Registro_Compras!$C$221&amp;" de "&amp;Registro_Compras!$E$221)))</f>
        <v/>
      </c>
      <c r="H1959">
        <f>IF($C1959="","",Registro_Compras!$C$221)</f>
        <v/>
      </c>
    </row>
    <row r="1960">
      <c r="A1960" s="25">
        <f>IF($C1960="","",Registro_Compras!$B$221)</f>
        <v/>
      </c>
      <c r="B1960">
        <f>IF($C1960="","","C"&amp;TEXT(INT((ROW()-5)/9)+1,"000")&amp;"-1")</f>
        <v/>
      </c>
      <c r="C1960">
        <f>IF(OR(Registro_Compras!$C$221="",Registro_Compras!$O$221=""),"",IF(Registro_Compras!$F$221="NOTA DE CREDITO",IF(Registro_Compras!$K$221=0,"","40111"),"4212"))</f>
        <v/>
      </c>
      <c r="D1960">
        <f>IF(OR(Registro_Compras!$C$221="",Registro_Compras!$O$221=""),"",IF(Registro_Compras!$F$221="NOTA DE CREDITO","IGV - Cuenta Propia (Credito Fiscal)","Cuentas por Pagar Comerciales - Terceros (Emitidas)"))</f>
        <v/>
      </c>
      <c r="E1960" s="20">
        <f>""</f>
        <v/>
      </c>
      <c r="F1960" s="20">
        <f>IF($C1960="","",IF(Registro_Compras!$F$221="NOTA DE CREDITO",ROUND(ABS(Registro_Compras!$K$221*Registro_Compras!$N$221),2),IF(Registro_Compras!$F$221="RHE",(ROUND(Registro_Compras!$L$221*Registro_Compras!$N$221,2)-ROUND(Registro_Compras!$V$221*Registro_Compras!$N$221,2)),Registro_Compras!$O$221)))</f>
        <v/>
      </c>
      <c r="G1960">
        <f>IF($C1960="","",IF(Registro_Compras!$F$221="NOTA DE CREDITO","Por la nota de credito "&amp;Registro_Compras!$C$221&amp;" de "&amp;Registro_Compras!$E$221&amp;" [PATRON POR CONFIRMAR CON CONTADOR]",IF(Registro_Compras!$F$221="RHE","Por el registro del recibo por honorarios "&amp;Registro_Compras!$C$221&amp;" de "&amp;Registro_Compras!$E$221&amp;" [PATRON POR CONFIRMAR CON CONTADOR]","Por el registro de la factura "&amp;Registro_Compras!$C$221&amp;" de "&amp;Registro_Compras!$E$221)))</f>
        <v/>
      </c>
      <c r="H1960">
        <f>IF($C1960="","",Registro_Compras!$C$221)</f>
        <v/>
      </c>
    </row>
    <row r="1961">
      <c r="A1961" s="25">
        <f>IF($C1961="","",Registro_Compras!$B$221)</f>
        <v/>
      </c>
      <c r="B1961">
        <f>IF($C1961="","","C"&amp;TEXT(INT((ROW()-5)/9)+1,"000")&amp;"-2")</f>
        <v/>
      </c>
      <c r="C1961">
        <f>IF(OR(Registro_Compras!$C$221="",Registro_Compras!$O$221=""),"",IF(Registro_Compras!$AB$221="ADMINISTRATIVO","94","95"))</f>
        <v/>
      </c>
      <c r="D1961">
        <f>IF(OR(Registro_Compras!$C$221="",Registro_Compras!$O$221=""),"",IF(Registro_Compras!$AB$221="ADMINISTRATIVO","Gastos Administrativos","Gastos de Venta y Operacion"))</f>
        <v/>
      </c>
      <c r="E1961" s="20">
        <f>IF($C1961="","",IF(Registro_Compras!$F$221="NOTA DE CREDITO","",IF(Registro_Compras!$F$221="RHE",ROUND(Registro_Compras!$L$221*Registro_Compras!$N$221,2),ROUND(Registro_Compras!$J$221*Registro_Compras!$N$221,2))))</f>
        <v/>
      </c>
      <c r="F1961" s="20">
        <f>IF($C1961="","",IF(Registro_Compras!$F$221="NOTA DE CREDITO",ROUND(ABS(Registro_Compras!$J$221*Registro_Compras!$N$221),2),""))</f>
        <v/>
      </c>
      <c r="G1961">
        <f>IF($C1961="","","Por el destino del gasto")</f>
        <v/>
      </c>
      <c r="H1961">
        <f>IF($C1961="","",Registro_Compras!$C$221)</f>
        <v/>
      </c>
    </row>
    <row r="1962">
      <c r="A1962" s="25">
        <f>IF($C1962="","",Registro_Compras!$B$221)</f>
        <v/>
      </c>
      <c r="B1962">
        <f>IF($C1962="","","C"&amp;TEXT(INT((ROW()-5)/9)+1,"000")&amp;"-2")</f>
        <v/>
      </c>
      <c r="C1962">
        <f>IF(OR(Registro_Compras!$C$221="",Registro_Compras!$O$221=""),"","79/791")</f>
        <v/>
      </c>
      <c r="D1962">
        <f>IF(OR(Registro_Compras!$C$221="",Registro_Compras!$O$221=""),"","Cargas Imputables a Cuentas de Costos y Gastos")</f>
        <v/>
      </c>
      <c r="E1962" s="20">
        <f>IF($C1962="","",IF(Registro_Compras!$F$221="NOTA DE CREDITO",ROUND(ABS(Registro_Compras!$J$221*Registro_Compras!$N$221),2),""))</f>
        <v/>
      </c>
      <c r="F1962" s="20">
        <f>IF($C1962="","",IF(Registro_Compras!$F$221="NOTA DE CREDITO","",IF(Registro_Compras!$F$221="RHE",ROUND(Registro_Compras!$L$221*Registro_Compras!$N$221,2),ROUND(Registro_Compras!$J$221*Registro_Compras!$N$221,2))))</f>
        <v/>
      </c>
      <c r="G1962">
        <f>IF($C1962="","","Por el destino del gasto")</f>
        <v/>
      </c>
      <c r="H1962">
        <f>IF($C1962="","",Registro_Compras!$C$221)</f>
        <v/>
      </c>
    </row>
    <row r="1963">
      <c r="A1963" s="25">
        <f>IF($C1963="","",Registro_Compras!$X$221)</f>
        <v/>
      </c>
      <c r="B1963">
        <f>IF($C1963="","","C"&amp;TEXT(INT((ROW()-5)/9)+1,"000")&amp;"-3")</f>
        <v/>
      </c>
      <c r="C1963">
        <f>IF(OR(Registro_Compras!$C$221="",Registro_Compras!$O$221="",Registro_Compras!$R$221&lt;&gt;"SI",Registro_Compras!$X$221=""),"","4212")</f>
        <v/>
      </c>
      <c r="D1963">
        <f>IF(OR(Registro_Compras!$C$221="",Registro_Compras!$O$221=""),"","Cuentas por Pagar Comerciales - Terceros")</f>
        <v/>
      </c>
      <c r="E1963" s="20">
        <f>IF($C1963="","",Registro_Compras!$S$221)</f>
        <v/>
      </c>
      <c r="F1963" s="20">
        <f>""</f>
        <v/>
      </c>
      <c r="G1963">
        <f>IF($C1963="","","Por el deposito de la detraccion en el Banco de la Nacion")</f>
        <v/>
      </c>
      <c r="H1963">
        <f>IF($C1963="","",Registro_Compras!$C$221)</f>
        <v/>
      </c>
    </row>
    <row r="1964">
      <c r="A1964" s="25">
        <f>IF($C1964="","",Registro_Compras!$X$221)</f>
        <v/>
      </c>
      <c r="B1964">
        <f>IF($C1964="","","C"&amp;TEXT(INT((ROW()-5)/9)+1,"000")&amp;"-3")</f>
        <v/>
      </c>
      <c r="C1964">
        <f>IF(OR(Registro_Compras!$C$221="",Registro_Compras!$O$221="",Registro_Compras!$R$221&lt;&gt;"SI",Registro_Compras!$X$221=""),"","10413")</f>
        <v/>
      </c>
      <c r="D1964">
        <f>IF(OR(Registro_Compras!$C$221="",Registro_Compras!$O$221=""),"","Efectivo y Equivalentes - Cta. Cte. Operativa")</f>
        <v/>
      </c>
      <c r="E1964" s="20">
        <f>""</f>
        <v/>
      </c>
      <c r="F1964" s="20">
        <f>IF($C1964="","",Registro_Compras!$S$221)</f>
        <v/>
      </c>
      <c r="G1964">
        <f>IF($C1964="","","Por el deposito de la detraccion en el Banco de la Nacion")</f>
        <v/>
      </c>
      <c r="H1964">
        <f>IF($C1964="","",Registro_Compras!$C$221)</f>
        <v/>
      </c>
    </row>
    <row r="1965">
      <c r="A1965" s="25">
        <f>IF($C1965="","",Registro_Compras!$Y$221)</f>
        <v/>
      </c>
      <c r="B1965">
        <f>IF($C1965="","","C"&amp;TEXT(INT((ROW()-5)/9)+1,"000")&amp;"-4")</f>
        <v/>
      </c>
      <c r="C1965">
        <f>IF(OR(Registro_Compras!$C$221="",Registro_Compras!$O$221="",Registro_Compras!$Y$221="",Registro_Compras!$F$221="NOTA DE CREDITO"),"","4212")</f>
        <v/>
      </c>
      <c r="D1965">
        <f>IF(OR(Registro_Compras!$C$221="",Registro_Compras!$O$221=""),"","Cuentas por Pagar Comerciales - Terceros")</f>
        <v/>
      </c>
      <c r="E1965" s="20">
        <f>IF($C1965="","",IF(Registro_Compras!$F$221="RHE",(ROUND(Registro_Compras!$L$221*Registro_Compras!$N$221,2)-ROUND(Registro_Compras!$V$221*Registro_Compras!$N$221,2)),ROUND(Registro_Compras!$O$221-Registro_Compras!$S$221,2)))</f>
        <v/>
      </c>
      <c r="F1965" s="20">
        <f>""</f>
        <v/>
      </c>
      <c r="G1965">
        <f>IF($C1965="","","Por la cancelacion del saldo al proveedor")</f>
        <v/>
      </c>
      <c r="H1965">
        <f>IF($C1965="","",Registro_Compras!$C$221)</f>
        <v/>
      </c>
    </row>
    <row r="1966">
      <c r="A1966" s="25">
        <f>IF($C1966="","",Registro_Compras!$Y$221)</f>
        <v/>
      </c>
      <c r="B1966">
        <f>IF($C1966="","","C"&amp;TEXT(INT((ROW()-5)/9)+1,"000")&amp;"-4")</f>
        <v/>
      </c>
      <c r="C1966">
        <f>IF(OR(Registro_Compras!$C$221="",Registro_Compras!$O$221="",Registro_Compras!$Y$221="",Registro_Compras!$F$221="NOTA DE CREDITO"),"","10413")</f>
        <v/>
      </c>
      <c r="D1966">
        <f>IF(OR(Registro_Compras!$C$221="",Registro_Compras!$O$221=""),"","Efectivo y Equivalentes - Cta. Cte. Operativa")</f>
        <v/>
      </c>
      <c r="E1966" s="20">
        <f>""</f>
        <v/>
      </c>
      <c r="F1966" s="20">
        <f>IF($C1966="","",IF(Registro_Compras!$F$221="RHE",(ROUND(Registro_Compras!$L$221*Registro_Compras!$N$221,2)-ROUND(Registro_Compras!$V$221*Registro_Compras!$N$221,2)),ROUND(Registro_Compras!$O$221-Registro_Compras!$S$221,2)))</f>
        <v/>
      </c>
      <c r="G1966">
        <f>IF($C1966="","","Por la cancelacion del saldo al proveedor")</f>
        <v/>
      </c>
      <c r="H1966">
        <f>IF($C1966="","",Registro_Compras!$C$221)</f>
        <v/>
      </c>
    </row>
    <row r="1967">
      <c r="A1967" s="25">
        <f>IF($C1967="","",Registro_Compras!$B$222)</f>
        <v/>
      </c>
      <c r="B1967">
        <f>IF($C1967="","","C"&amp;TEXT(INT((ROW()-5)/9)+1,"000")&amp;"-1")</f>
        <v/>
      </c>
      <c r="C1967">
        <f>IF(OR(Registro_Compras!$C$222="",Registro_Compras!$O$222=""),"",IF(Registro_Compras!$F$222="NOTA DE CREDITO","4212",IF(Registro_Compras!$M$222="","63",Registro_Compras!$M$222)))</f>
        <v/>
      </c>
      <c r="D1967">
        <f>IF(OR(Registro_Compras!$C$222="",Registro_Compras!$O$222=""),"",IF(Registro_Compras!$F$222="NOTA DE CREDITO","Cuentas por Pagar Comerciales - Terceros (Emitidas)",IF(Registro_Compras!$F$222="RHE","Honorarios Profesionales - Servicios de Terceros","Gastos de Servicios Prestados por Terceros")))</f>
        <v/>
      </c>
      <c r="E1967" s="20">
        <f>IF($C1967="","",IF(Registro_Compras!$F$222="NOTA DE CREDITO",ABS(Registro_Compras!$O$222),IF(Registro_Compras!$F$222="RHE",ROUND(Registro_Compras!$L$222*Registro_Compras!$N$222,2),ROUND(Registro_Compras!$J$222*Registro_Compras!$N$222,2))))</f>
        <v/>
      </c>
      <c r="F1967" s="20">
        <f>""</f>
        <v/>
      </c>
      <c r="G1967">
        <f>IF($C1967="","",IF(Registro_Compras!$F$222="NOTA DE CREDITO","Por la nota de credito "&amp;Registro_Compras!$C$222&amp;" de "&amp;Registro_Compras!$E$222&amp;" [PATRON POR CONFIRMAR CON CONTADOR]",IF(Registro_Compras!$F$222="RHE","Por el registro del recibo por honorarios "&amp;Registro_Compras!$C$222&amp;" de "&amp;Registro_Compras!$E$222&amp;" [PATRON POR CONFIRMAR CON CONTADOR]","Por el registro de la factura "&amp;Registro_Compras!$C$222&amp;" de "&amp;Registro_Compras!$E$222)))</f>
        <v/>
      </c>
      <c r="H1967">
        <f>IF($C1967="","",Registro_Compras!$C$222)</f>
        <v/>
      </c>
    </row>
    <row r="1968">
      <c r="A1968" s="25">
        <f>IF($C1968="","",Registro_Compras!$B$222)</f>
        <v/>
      </c>
      <c r="B1968">
        <f>IF($C1968="","","C"&amp;TEXT(INT((ROW()-5)/9)+1,"000")&amp;"-1")</f>
        <v/>
      </c>
      <c r="C1968">
        <f>IF(OR(Registro_Compras!$C$222="",Registro_Compras!$O$222=""),"",IF(Registro_Compras!$F$222="RHE",IF(Registro_Compras!$V$222=0,"","40172"),IF(Registro_Compras!$F$222="NOTA DE CREDITO",IF(Registro_Compras!$M$222="","63",Registro_Compras!$M$222),IF(Registro_Compras!$K$222=0,"","40111"))))</f>
        <v/>
      </c>
      <c r="D1968">
        <f>IF(OR(Registro_Compras!$C$222="",Registro_Compras!$O$222=""),"",IF(Registro_Compras!$F$222="RHE","Retencion Renta 4ta Categoria por Pagar",IF(Registro_Compras!$F$222="NOTA DE CREDITO","Gastos de Servicios Prestados por Terceros","IGV - Cuenta Propia (Credito Fiscal)")))</f>
        <v/>
      </c>
      <c r="E1968" s="20">
        <f>IF($C1968="","",IF(Registro_Compras!$F$222="FACTURA",ROUND(Registro_Compras!$K$222*Registro_Compras!$N$222,2),""))</f>
        <v/>
      </c>
      <c r="F1968" s="20">
        <f>IF($C1968="","",IF(Registro_Compras!$F$222="RHE",ROUND(Registro_Compras!$V$222*Registro_Compras!$N$222,2),IF(Registro_Compras!$F$222="NOTA DE CREDITO",ROUND(ABS(Registro_Compras!$J$222*Registro_Compras!$N$222),2),"")))</f>
        <v/>
      </c>
      <c r="G1968">
        <f>IF($C1968="","",IF(Registro_Compras!$F$222="NOTA DE CREDITO","Por la nota de credito "&amp;Registro_Compras!$C$222&amp;" de "&amp;Registro_Compras!$E$222&amp;" [PATRON POR CONFIRMAR CON CONTADOR]",IF(Registro_Compras!$F$222="RHE","Por el registro del recibo por honorarios "&amp;Registro_Compras!$C$222&amp;" de "&amp;Registro_Compras!$E$222&amp;" [PATRON POR CONFIRMAR CON CONTADOR]","Por el registro de la factura "&amp;Registro_Compras!$C$222&amp;" de "&amp;Registro_Compras!$E$222)))</f>
        <v/>
      </c>
      <c r="H1968">
        <f>IF($C1968="","",Registro_Compras!$C$222)</f>
        <v/>
      </c>
    </row>
    <row r="1969">
      <c r="A1969" s="25">
        <f>IF($C1969="","",Registro_Compras!$B$222)</f>
        <v/>
      </c>
      <c r="B1969">
        <f>IF($C1969="","","C"&amp;TEXT(INT((ROW()-5)/9)+1,"000")&amp;"-1")</f>
        <v/>
      </c>
      <c r="C1969">
        <f>IF(OR(Registro_Compras!$C$222="",Registro_Compras!$O$222=""),"",IF(Registro_Compras!$F$222="NOTA DE CREDITO",IF(Registro_Compras!$K$222=0,"","40111"),"4212"))</f>
        <v/>
      </c>
      <c r="D1969">
        <f>IF(OR(Registro_Compras!$C$222="",Registro_Compras!$O$222=""),"",IF(Registro_Compras!$F$222="NOTA DE CREDITO","IGV - Cuenta Propia (Credito Fiscal)","Cuentas por Pagar Comerciales - Terceros (Emitidas)"))</f>
        <v/>
      </c>
      <c r="E1969" s="20">
        <f>""</f>
        <v/>
      </c>
      <c r="F1969" s="20">
        <f>IF($C1969="","",IF(Registro_Compras!$F$222="NOTA DE CREDITO",ROUND(ABS(Registro_Compras!$K$222*Registro_Compras!$N$222),2),IF(Registro_Compras!$F$222="RHE",(ROUND(Registro_Compras!$L$222*Registro_Compras!$N$222,2)-ROUND(Registro_Compras!$V$222*Registro_Compras!$N$222,2)),Registro_Compras!$O$222)))</f>
        <v/>
      </c>
      <c r="G1969">
        <f>IF($C1969="","",IF(Registro_Compras!$F$222="NOTA DE CREDITO","Por la nota de credito "&amp;Registro_Compras!$C$222&amp;" de "&amp;Registro_Compras!$E$222&amp;" [PATRON POR CONFIRMAR CON CONTADOR]",IF(Registro_Compras!$F$222="RHE","Por el registro del recibo por honorarios "&amp;Registro_Compras!$C$222&amp;" de "&amp;Registro_Compras!$E$222&amp;" [PATRON POR CONFIRMAR CON CONTADOR]","Por el registro de la factura "&amp;Registro_Compras!$C$222&amp;" de "&amp;Registro_Compras!$E$222)))</f>
        <v/>
      </c>
      <c r="H1969">
        <f>IF($C1969="","",Registro_Compras!$C$222)</f>
        <v/>
      </c>
    </row>
    <row r="1970">
      <c r="A1970" s="25">
        <f>IF($C1970="","",Registro_Compras!$B$222)</f>
        <v/>
      </c>
      <c r="B1970">
        <f>IF($C1970="","","C"&amp;TEXT(INT((ROW()-5)/9)+1,"000")&amp;"-2")</f>
        <v/>
      </c>
      <c r="C1970">
        <f>IF(OR(Registro_Compras!$C$222="",Registro_Compras!$O$222=""),"",IF(Registro_Compras!$AB$222="ADMINISTRATIVO","94","95"))</f>
        <v/>
      </c>
      <c r="D1970">
        <f>IF(OR(Registro_Compras!$C$222="",Registro_Compras!$O$222=""),"",IF(Registro_Compras!$AB$222="ADMINISTRATIVO","Gastos Administrativos","Gastos de Venta y Operacion"))</f>
        <v/>
      </c>
      <c r="E1970" s="20">
        <f>IF($C1970="","",IF(Registro_Compras!$F$222="NOTA DE CREDITO","",IF(Registro_Compras!$F$222="RHE",ROUND(Registro_Compras!$L$222*Registro_Compras!$N$222,2),ROUND(Registro_Compras!$J$222*Registro_Compras!$N$222,2))))</f>
        <v/>
      </c>
      <c r="F1970" s="20">
        <f>IF($C1970="","",IF(Registro_Compras!$F$222="NOTA DE CREDITO",ROUND(ABS(Registro_Compras!$J$222*Registro_Compras!$N$222),2),""))</f>
        <v/>
      </c>
      <c r="G1970">
        <f>IF($C1970="","","Por el destino del gasto")</f>
        <v/>
      </c>
      <c r="H1970">
        <f>IF($C1970="","",Registro_Compras!$C$222)</f>
        <v/>
      </c>
    </row>
    <row r="1971">
      <c r="A1971" s="25">
        <f>IF($C1971="","",Registro_Compras!$B$222)</f>
        <v/>
      </c>
      <c r="B1971">
        <f>IF($C1971="","","C"&amp;TEXT(INT((ROW()-5)/9)+1,"000")&amp;"-2")</f>
        <v/>
      </c>
      <c r="C1971">
        <f>IF(OR(Registro_Compras!$C$222="",Registro_Compras!$O$222=""),"","79/791")</f>
        <v/>
      </c>
      <c r="D1971">
        <f>IF(OR(Registro_Compras!$C$222="",Registro_Compras!$O$222=""),"","Cargas Imputables a Cuentas de Costos y Gastos")</f>
        <v/>
      </c>
      <c r="E1971" s="20">
        <f>IF($C1971="","",IF(Registro_Compras!$F$222="NOTA DE CREDITO",ROUND(ABS(Registro_Compras!$J$222*Registro_Compras!$N$222),2),""))</f>
        <v/>
      </c>
      <c r="F1971" s="20">
        <f>IF($C1971="","",IF(Registro_Compras!$F$222="NOTA DE CREDITO","",IF(Registro_Compras!$F$222="RHE",ROUND(Registro_Compras!$L$222*Registro_Compras!$N$222,2),ROUND(Registro_Compras!$J$222*Registro_Compras!$N$222,2))))</f>
        <v/>
      </c>
      <c r="G1971">
        <f>IF($C1971="","","Por el destino del gasto")</f>
        <v/>
      </c>
      <c r="H1971">
        <f>IF($C1971="","",Registro_Compras!$C$222)</f>
        <v/>
      </c>
    </row>
    <row r="1972">
      <c r="A1972" s="25">
        <f>IF($C1972="","",Registro_Compras!$X$222)</f>
        <v/>
      </c>
      <c r="B1972">
        <f>IF($C1972="","","C"&amp;TEXT(INT((ROW()-5)/9)+1,"000")&amp;"-3")</f>
        <v/>
      </c>
      <c r="C1972">
        <f>IF(OR(Registro_Compras!$C$222="",Registro_Compras!$O$222="",Registro_Compras!$R$222&lt;&gt;"SI",Registro_Compras!$X$222=""),"","4212")</f>
        <v/>
      </c>
      <c r="D1972">
        <f>IF(OR(Registro_Compras!$C$222="",Registro_Compras!$O$222=""),"","Cuentas por Pagar Comerciales - Terceros")</f>
        <v/>
      </c>
      <c r="E1972" s="20">
        <f>IF($C1972="","",Registro_Compras!$S$222)</f>
        <v/>
      </c>
      <c r="F1972" s="20">
        <f>""</f>
        <v/>
      </c>
      <c r="G1972">
        <f>IF($C1972="","","Por el deposito de la detraccion en el Banco de la Nacion")</f>
        <v/>
      </c>
      <c r="H1972">
        <f>IF($C1972="","",Registro_Compras!$C$222)</f>
        <v/>
      </c>
    </row>
    <row r="1973">
      <c r="A1973" s="25">
        <f>IF($C1973="","",Registro_Compras!$X$222)</f>
        <v/>
      </c>
      <c r="B1973">
        <f>IF($C1973="","","C"&amp;TEXT(INT((ROW()-5)/9)+1,"000")&amp;"-3")</f>
        <v/>
      </c>
      <c r="C1973">
        <f>IF(OR(Registro_Compras!$C$222="",Registro_Compras!$O$222="",Registro_Compras!$R$222&lt;&gt;"SI",Registro_Compras!$X$222=""),"","10413")</f>
        <v/>
      </c>
      <c r="D1973">
        <f>IF(OR(Registro_Compras!$C$222="",Registro_Compras!$O$222=""),"","Efectivo y Equivalentes - Cta. Cte. Operativa")</f>
        <v/>
      </c>
      <c r="E1973" s="20">
        <f>""</f>
        <v/>
      </c>
      <c r="F1973" s="20">
        <f>IF($C1973="","",Registro_Compras!$S$222)</f>
        <v/>
      </c>
      <c r="G1973">
        <f>IF($C1973="","","Por el deposito de la detraccion en el Banco de la Nacion")</f>
        <v/>
      </c>
      <c r="H1973">
        <f>IF($C1973="","",Registro_Compras!$C$222)</f>
        <v/>
      </c>
    </row>
    <row r="1974">
      <c r="A1974" s="25">
        <f>IF($C1974="","",Registro_Compras!$Y$222)</f>
        <v/>
      </c>
      <c r="B1974">
        <f>IF($C1974="","","C"&amp;TEXT(INT((ROW()-5)/9)+1,"000")&amp;"-4")</f>
        <v/>
      </c>
      <c r="C1974">
        <f>IF(OR(Registro_Compras!$C$222="",Registro_Compras!$O$222="",Registro_Compras!$Y$222="",Registro_Compras!$F$222="NOTA DE CREDITO"),"","4212")</f>
        <v/>
      </c>
      <c r="D1974">
        <f>IF(OR(Registro_Compras!$C$222="",Registro_Compras!$O$222=""),"","Cuentas por Pagar Comerciales - Terceros")</f>
        <v/>
      </c>
      <c r="E1974" s="20">
        <f>IF($C1974="","",IF(Registro_Compras!$F$222="RHE",(ROUND(Registro_Compras!$L$222*Registro_Compras!$N$222,2)-ROUND(Registro_Compras!$V$222*Registro_Compras!$N$222,2)),ROUND(Registro_Compras!$O$222-Registro_Compras!$S$222,2)))</f>
        <v/>
      </c>
      <c r="F1974" s="20">
        <f>""</f>
        <v/>
      </c>
      <c r="G1974">
        <f>IF($C1974="","","Por la cancelacion del saldo al proveedor")</f>
        <v/>
      </c>
      <c r="H1974">
        <f>IF($C1974="","",Registro_Compras!$C$222)</f>
        <v/>
      </c>
    </row>
    <row r="1975">
      <c r="A1975" s="25">
        <f>IF($C1975="","",Registro_Compras!$Y$222)</f>
        <v/>
      </c>
      <c r="B1975">
        <f>IF($C1975="","","C"&amp;TEXT(INT((ROW()-5)/9)+1,"000")&amp;"-4")</f>
        <v/>
      </c>
      <c r="C1975">
        <f>IF(OR(Registro_Compras!$C$222="",Registro_Compras!$O$222="",Registro_Compras!$Y$222="",Registro_Compras!$F$222="NOTA DE CREDITO"),"","10413")</f>
        <v/>
      </c>
      <c r="D1975">
        <f>IF(OR(Registro_Compras!$C$222="",Registro_Compras!$O$222=""),"","Efectivo y Equivalentes - Cta. Cte. Operativa")</f>
        <v/>
      </c>
      <c r="E1975" s="20">
        <f>""</f>
        <v/>
      </c>
      <c r="F1975" s="20">
        <f>IF($C1975="","",IF(Registro_Compras!$F$222="RHE",(ROUND(Registro_Compras!$L$222*Registro_Compras!$N$222,2)-ROUND(Registro_Compras!$V$222*Registro_Compras!$N$222,2)),ROUND(Registro_Compras!$O$222-Registro_Compras!$S$222,2)))</f>
        <v/>
      </c>
      <c r="G1975">
        <f>IF($C1975="","","Por la cancelacion del saldo al proveedor")</f>
        <v/>
      </c>
      <c r="H1975">
        <f>IF($C1975="","",Registro_Compras!$C$222)</f>
        <v/>
      </c>
    </row>
    <row r="1976">
      <c r="A1976" s="25">
        <f>IF($C1976="","",Registro_Compras!$B$223)</f>
        <v/>
      </c>
      <c r="B1976">
        <f>IF($C1976="","","C"&amp;TEXT(INT((ROW()-5)/9)+1,"000")&amp;"-1")</f>
        <v/>
      </c>
      <c r="C1976">
        <f>IF(OR(Registro_Compras!$C$223="",Registro_Compras!$O$223=""),"",IF(Registro_Compras!$F$223="NOTA DE CREDITO","4212",IF(Registro_Compras!$M$223="","63",Registro_Compras!$M$223)))</f>
        <v/>
      </c>
      <c r="D1976">
        <f>IF(OR(Registro_Compras!$C$223="",Registro_Compras!$O$223=""),"",IF(Registro_Compras!$F$223="NOTA DE CREDITO","Cuentas por Pagar Comerciales - Terceros (Emitidas)",IF(Registro_Compras!$F$223="RHE","Honorarios Profesionales - Servicios de Terceros","Gastos de Servicios Prestados por Terceros")))</f>
        <v/>
      </c>
      <c r="E1976" s="20">
        <f>IF($C1976="","",IF(Registro_Compras!$F$223="NOTA DE CREDITO",ABS(Registro_Compras!$O$223),IF(Registro_Compras!$F$223="RHE",ROUND(Registro_Compras!$L$223*Registro_Compras!$N$223,2),ROUND(Registro_Compras!$J$223*Registro_Compras!$N$223,2))))</f>
        <v/>
      </c>
      <c r="F1976" s="20">
        <f>""</f>
        <v/>
      </c>
      <c r="G1976">
        <f>IF($C1976="","",IF(Registro_Compras!$F$223="NOTA DE CREDITO","Por la nota de credito "&amp;Registro_Compras!$C$223&amp;" de "&amp;Registro_Compras!$E$223&amp;" [PATRON POR CONFIRMAR CON CONTADOR]",IF(Registro_Compras!$F$223="RHE","Por el registro del recibo por honorarios "&amp;Registro_Compras!$C$223&amp;" de "&amp;Registro_Compras!$E$223&amp;" [PATRON POR CONFIRMAR CON CONTADOR]","Por el registro de la factura "&amp;Registro_Compras!$C$223&amp;" de "&amp;Registro_Compras!$E$223)))</f>
        <v/>
      </c>
      <c r="H1976">
        <f>IF($C1976="","",Registro_Compras!$C$223)</f>
        <v/>
      </c>
    </row>
    <row r="1977">
      <c r="A1977" s="25">
        <f>IF($C1977="","",Registro_Compras!$B$223)</f>
        <v/>
      </c>
      <c r="B1977">
        <f>IF($C1977="","","C"&amp;TEXT(INT((ROW()-5)/9)+1,"000")&amp;"-1")</f>
        <v/>
      </c>
      <c r="C1977">
        <f>IF(OR(Registro_Compras!$C$223="",Registro_Compras!$O$223=""),"",IF(Registro_Compras!$F$223="RHE",IF(Registro_Compras!$V$223=0,"","40172"),IF(Registro_Compras!$F$223="NOTA DE CREDITO",IF(Registro_Compras!$M$223="","63",Registro_Compras!$M$223),IF(Registro_Compras!$K$223=0,"","40111"))))</f>
        <v/>
      </c>
      <c r="D1977">
        <f>IF(OR(Registro_Compras!$C$223="",Registro_Compras!$O$223=""),"",IF(Registro_Compras!$F$223="RHE","Retencion Renta 4ta Categoria por Pagar",IF(Registro_Compras!$F$223="NOTA DE CREDITO","Gastos de Servicios Prestados por Terceros","IGV - Cuenta Propia (Credito Fiscal)")))</f>
        <v/>
      </c>
      <c r="E1977" s="20">
        <f>IF($C1977="","",IF(Registro_Compras!$F$223="FACTURA",ROUND(Registro_Compras!$K$223*Registro_Compras!$N$223,2),""))</f>
        <v/>
      </c>
      <c r="F1977" s="20">
        <f>IF($C1977="","",IF(Registro_Compras!$F$223="RHE",ROUND(Registro_Compras!$V$223*Registro_Compras!$N$223,2),IF(Registro_Compras!$F$223="NOTA DE CREDITO",ROUND(ABS(Registro_Compras!$J$223*Registro_Compras!$N$223),2),"")))</f>
        <v/>
      </c>
      <c r="G1977">
        <f>IF($C1977="","",IF(Registro_Compras!$F$223="NOTA DE CREDITO","Por la nota de credito "&amp;Registro_Compras!$C$223&amp;" de "&amp;Registro_Compras!$E$223&amp;" [PATRON POR CONFIRMAR CON CONTADOR]",IF(Registro_Compras!$F$223="RHE","Por el registro del recibo por honorarios "&amp;Registro_Compras!$C$223&amp;" de "&amp;Registro_Compras!$E$223&amp;" [PATRON POR CONFIRMAR CON CONTADOR]","Por el registro de la factura "&amp;Registro_Compras!$C$223&amp;" de "&amp;Registro_Compras!$E$223)))</f>
        <v/>
      </c>
      <c r="H1977">
        <f>IF($C1977="","",Registro_Compras!$C$223)</f>
        <v/>
      </c>
    </row>
    <row r="1978">
      <c r="A1978" s="25">
        <f>IF($C1978="","",Registro_Compras!$B$223)</f>
        <v/>
      </c>
      <c r="B1978">
        <f>IF($C1978="","","C"&amp;TEXT(INT((ROW()-5)/9)+1,"000")&amp;"-1")</f>
        <v/>
      </c>
      <c r="C1978">
        <f>IF(OR(Registro_Compras!$C$223="",Registro_Compras!$O$223=""),"",IF(Registro_Compras!$F$223="NOTA DE CREDITO",IF(Registro_Compras!$K$223=0,"","40111"),"4212"))</f>
        <v/>
      </c>
      <c r="D1978">
        <f>IF(OR(Registro_Compras!$C$223="",Registro_Compras!$O$223=""),"",IF(Registro_Compras!$F$223="NOTA DE CREDITO","IGV - Cuenta Propia (Credito Fiscal)","Cuentas por Pagar Comerciales - Terceros (Emitidas)"))</f>
        <v/>
      </c>
      <c r="E1978" s="20">
        <f>""</f>
        <v/>
      </c>
      <c r="F1978" s="20">
        <f>IF($C1978="","",IF(Registro_Compras!$F$223="NOTA DE CREDITO",ROUND(ABS(Registro_Compras!$K$223*Registro_Compras!$N$223),2),IF(Registro_Compras!$F$223="RHE",(ROUND(Registro_Compras!$L$223*Registro_Compras!$N$223,2)-ROUND(Registro_Compras!$V$223*Registro_Compras!$N$223,2)),Registro_Compras!$O$223)))</f>
        <v/>
      </c>
      <c r="G1978">
        <f>IF($C1978="","",IF(Registro_Compras!$F$223="NOTA DE CREDITO","Por la nota de credito "&amp;Registro_Compras!$C$223&amp;" de "&amp;Registro_Compras!$E$223&amp;" [PATRON POR CONFIRMAR CON CONTADOR]",IF(Registro_Compras!$F$223="RHE","Por el registro del recibo por honorarios "&amp;Registro_Compras!$C$223&amp;" de "&amp;Registro_Compras!$E$223&amp;" [PATRON POR CONFIRMAR CON CONTADOR]","Por el registro de la factura "&amp;Registro_Compras!$C$223&amp;" de "&amp;Registro_Compras!$E$223)))</f>
        <v/>
      </c>
      <c r="H1978">
        <f>IF($C1978="","",Registro_Compras!$C$223)</f>
        <v/>
      </c>
    </row>
    <row r="1979">
      <c r="A1979" s="25">
        <f>IF($C1979="","",Registro_Compras!$B$223)</f>
        <v/>
      </c>
      <c r="B1979">
        <f>IF($C1979="","","C"&amp;TEXT(INT((ROW()-5)/9)+1,"000")&amp;"-2")</f>
        <v/>
      </c>
      <c r="C1979">
        <f>IF(OR(Registro_Compras!$C$223="",Registro_Compras!$O$223=""),"",IF(Registro_Compras!$AB$223="ADMINISTRATIVO","94","95"))</f>
        <v/>
      </c>
      <c r="D1979">
        <f>IF(OR(Registro_Compras!$C$223="",Registro_Compras!$O$223=""),"",IF(Registro_Compras!$AB$223="ADMINISTRATIVO","Gastos Administrativos","Gastos de Venta y Operacion"))</f>
        <v/>
      </c>
      <c r="E1979" s="20">
        <f>IF($C1979="","",IF(Registro_Compras!$F$223="NOTA DE CREDITO","",IF(Registro_Compras!$F$223="RHE",ROUND(Registro_Compras!$L$223*Registro_Compras!$N$223,2),ROUND(Registro_Compras!$J$223*Registro_Compras!$N$223,2))))</f>
        <v/>
      </c>
      <c r="F1979" s="20">
        <f>IF($C1979="","",IF(Registro_Compras!$F$223="NOTA DE CREDITO",ROUND(ABS(Registro_Compras!$J$223*Registro_Compras!$N$223),2),""))</f>
        <v/>
      </c>
      <c r="G1979">
        <f>IF($C1979="","","Por el destino del gasto")</f>
        <v/>
      </c>
      <c r="H1979">
        <f>IF($C1979="","",Registro_Compras!$C$223)</f>
        <v/>
      </c>
    </row>
    <row r="1980">
      <c r="A1980" s="25">
        <f>IF($C1980="","",Registro_Compras!$B$223)</f>
        <v/>
      </c>
      <c r="B1980">
        <f>IF($C1980="","","C"&amp;TEXT(INT((ROW()-5)/9)+1,"000")&amp;"-2")</f>
        <v/>
      </c>
      <c r="C1980">
        <f>IF(OR(Registro_Compras!$C$223="",Registro_Compras!$O$223=""),"","79/791")</f>
        <v/>
      </c>
      <c r="D1980">
        <f>IF(OR(Registro_Compras!$C$223="",Registro_Compras!$O$223=""),"","Cargas Imputables a Cuentas de Costos y Gastos")</f>
        <v/>
      </c>
      <c r="E1980" s="20">
        <f>IF($C1980="","",IF(Registro_Compras!$F$223="NOTA DE CREDITO",ROUND(ABS(Registro_Compras!$J$223*Registro_Compras!$N$223),2),""))</f>
        <v/>
      </c>
      <c r="F1980" s="20">
        <f>IF($C1980="","",IF(Registro_Compras!$F$223="NOTA DE CREDITO","",IF(Registro_Compras!$F$223="RHE",ROUND(Registro_Compras!$L$223*Registro_Compras!$N$223,2),ROUND(Registro_Compras!$J$223*Registro_Compras!$N$223,2))))</f>
        <v/>
      </c>
      <c r="G1980">
        <f>IF($C1980="","","Por el destino del gasto")</f>
        <v/>
      </c>
      <c r="H1980">
        <f>IF($C1980="","",Registro_Compras!$C$223)</f>
        <v/>
      </c>
    </row>
    <row r="1981">
      <c r="A1981" s="25">
        <f>IF($C1981="","",Registro_Compras!$X$223)</f>
        <v/>
      </c>
      <c r="B1981">
        <f>IF($C1981="","","C"&amp;TEXT(INT((ROW()-5)/9)+1,"000")&amp;"-3")</f>
        <v/>
      </c>
      <c r="C1981">
        <f>IF(OR(Registro_Compras!$C$223="",Registro_Compras!$O$223="",Registro_Compras!$R$223&lt;&gt;"SI",Registro_Compras!$X$223=""),"","4212")</f>
        <v/>
      </c>
      <c r="D1981">
        <f>IF(OR(Registro_Compras!$C$223="",Registro_Compras!$O$223=""),"","Cuentas por Pagar Comerciales - Terceros")</f>
        <v/>
      </c>
      <c r="E1981" s="20">
        <f>IF($C1981="","",Registro_Compras!$S$223)</f>
        <v/>
      </c>
      <c r="F1981" s="20">
        <f>""</f>
        <v/>
      </c>
      <c r="G1981">
        <f>IF($C1981="","","Por el deposito de la detraccion en el Banco de la Nacion")</f>
        <v/>
      </c>
      <c r="H1981">
        <f>IF($C1981="","",Registro_Compras!$C$223)</f>
        <v/>
      </c>
    </row>
    <row r="1982">
      <c r="A1982" s="25">
        <f>IF($C1982="","",Registro_Compras!$X$223)</f>
        <v/>
      </c>
      <c r="B1982">
        <f>IF($C1982="","","C"&amp;TEXT(INT((ROW()-5)/9)+1,"000")&amp;"-3")</f>
        <v/>
      </c>
      <c r="C1982">
        <f>IF(OR(Registro_Compras!$C$223="",Registro_Compras!$O$223="",Registro_Compras!$R$223&lt;&gt;"SI",Registro_Compras!$X$223=""),"","10413")</f>
        <v/>
      </c>
      <c r="D1982">
        <f>IF(OR(Registro_Compras!$C$223="",Registro_Compras!$O$223=""),"","Efectivo y Equivalentes - Cta. Cte. Operativa")</f>
        <v/>
      </c>
      <c r="E1982" s="20">
        <f>""</f>
        <v/>
      </c>
      <c r="F1982" s="20">
        <f>IF($C1982="","",Registro_Compras!$S$223)</f>
        <v/>
      </c>
      <c r="G1982">
        <f>IF($C1982="","","Por el deposito de la detraccion en el Banco de la Nacion")</f>
        <v/>
      </c>
      <c r="H1982">
        <f>IF($C1982="","",Registro_Compras!$C$223)</f>
        <v/>
      </c>
    </row>
    <row r="1983">
      <c r="A1983" s="25">
        <f>IF($C1983="","",Registro_Compras!$Y$223)</f>
        <v/>
      </c>
      <c r="B1983">
        <f>IF($C1983="","","C"&amp;TEXT(INT((ROW()-5)/9)+1,"000")&amp;"-4")</f>
        <v/>
      </c>
      <c r="C1983">
        <f>IF(OR(Registro_Compras!$C$223="",Registro_Compras!$O$223="",Registro_Compras!$Y$223="",Registro_Compras!$F$223="NOTA DE CREDITO"),"","4212")</f>
        <v/>
      </c>
      <c r="D1983">
        <f>IF(OR(Registro_Compras!$C$223="",Registro_Compras!$O$223=""),"","Cuentas por Pagar Comerciales - Terceros")</f>
        <v/>
      </c>
      <c r="E1983" s="20">
        <f>IF($C1983="","",IF(Registro_Compras!$F$223="RHE",(ROUND(Registro_Compras!$L$223*Registro_Compras!$N$223,2)-ROUND(Registro_Compras!$V$223*Registro_Compras!$N$223,2)),ROUND(Registro_Compras!$O$223-Registro_Compras!$S$223,2)))</f>
        <v/>
      </c>
      <c r="F1983" s="20">
        <f>""</f>
        <v/>
      </c>
      <c r="G1983">
        <f>IF($C1983="","","Por la cancelacion del saldo al proveedor")</f>
        <v/>
      </c>
      <c r="H1983">
        <f>IF($C1983="","",Registro_Compras!$C$223)</f>
        <v/>
      </c>
    </row>
    <row r="1984">
      <c r="A1984" s="25">
        <f>IF($C1984="","",Registro_Compras!$Y$223)</f>
        <v/>
      </c>
      <c r="B1984">
        <f>IF($C1984="","","C"&amp;TEXT(INT((ROW()-5)/9)+1,"000")&amp;"-4")</f>
        <v/>
      </c>
      <c r="C1984">
        <f>IF(OR(Registro_Compras!$C$223="",Registro_Compras!$O$223="",Registro_Compras!$Y$223="",Registro_Compras!$F$223="NOTA DE CREDITO"),"","10413")</f>
        <v/>
      </c>
      <c r="D1984">
        <f>IF(OR(Registro_Compras!$C$223="",Registro_Compras!$O$223=""),"","Efectivo y Equivalentes - Cta. Cte. Operativa")</f>
        <v/>
      </c>
      <c r="E1984" s="20">
        <f>""</f>
        <v/>
      </c>
      <c r="F1984" s="20">
        <f>IF($C1984="","",IF(Registro_Compras!$F$223="RHE",(ROUND(Registro_Compras!$L$223*Registro_Compras!$N$223,2)-ROUND(Registro_Compras!$V$223*Registro_Compras!$N$223,2)),ROUND(Registro_Compras!$O$223-Registro_Compras!$S$223,2)))</f>
        <v/>
      </c>
      <c r="G1984">
        <f>IF($C1984="","","Por la cancelacion del saldo al proveedor")</f>
        <v/>
      </c>
      <c r="H1984">
        <f>IF($C1984="","",Registro_Compras!$C$223)</f>
        <v/>
      </c>
    </row>
    <row r="1985">
      <c r="A1985" s="25">
        <f>IF($C1985="","",Registro_Compras!$B$224)</f>
        <v/>
      </c>
      <c r="B1985">
        <f>IF($C1985="","","C"&amp;TEXT(INT((ROW()-5)/9)+1,"000")&amp;"-1")</f>
        <v/>
      </c>
      <c r="C1985">
        <f>IF(OR(Registro_Compras!$C$224="",Registro_Compras!$O$224=""),"",IF(Registro_Compras!$F$224="NOTA DE CREDITO","4212",IF(Registro_Compras!$M$224="","63",Registro_Compras!$M$224)))</f>
        <v/>
      </c>
      <c r="D1985">
        <f>IF(OR(Registro_Compras!$C$224="",Registro_Compras!$O$224=""),"",IF(Registro_Compras!$F$224="NOTA DE CREDITO","Cuentas por Pagar Comerciales - Terceros (Emitidas)",IF(Registro_Compras!$F$224="RHE","Honorarios Profesionales - Servicios de Terceros","Gastos de Servicios Prestados por Terceros")))</f>
        <v/>
      </c>
      <c r="E1985" s="20">
        <f>IF($C1985="","",IF(Registro_Compras!$F$224="NOTA DE CREDITO",ABS(Registro_Compras!$O$224),IF(Registro_Compras!$F$224="RHE",ROUND(Registro_Compras!$L$224*Registro_Compras!$N$224,2),ROUND(Registro_Compras!$J$224*Registro_Compras!$N$224,2))))</f>
        <v/>
      </c>
      <c r="F1985" s="20">
        <f>""</f>
        <v/>
      </c>
      <c r="G1985">
        <f>IF($C1985="","",IF(Registro_Compras!$F$224="NOTA DE CREDITO","Por la nota de credito "&amp;Registro_Compras!$C$224&amp;" de "&amp;Registro_Compras!$E$224&amp;" [PATRON POR CONFIRMAR CON CONTADOR]",IF(Registro_Compras!$F$224="RHE","Por el registro del recibo por honorarios "&amp;Registro_Compras!$C$224&amp;" de "&amp;Registro_Compras!$E$224&amp;" [PATRON POR CONFIRMAR CON CONTADOR]","Por el registro de la factura "&amp;Registro_Compras!$C$224&amp;" de "&amp;Registro_Compras!$E$224)))</f>
        <v/>
      </c>
      <c r="H1985">
        <f>IF($C1985="","",Registro_Compras!$C$224)</f>
        <v/>
      </c>
    </row>
    <row r="1986">
      <c r="A1986" s="25">
        <f>IF($C1986="","",Registro_Compras!$B$224)</f>
        <v/>
      </c>
      <c r="B1986">
        <f>IF($C1986="","","C"&amp;TEXT(INT((ROW()-5)/9)+1,"000")&amp;"-1")</f>
        <v/>
      </c>
      <c r="C1986">
        <f>IF(OR(Registro_Compras!$C$224="",Registro_Compras!$O$224=""),"",IF(Registro_Compras!$F$224="RHE",IF(Registro_Compras!$V$224=0,"","40172"),IF(Registro_Compras!$F$224="NOTA DE CREDITO",IF(Registro_Compras!$M$224="","63",Registro_Compras!$M$224),IF(Registro_Compras!$K$224=0,"","40111"))))</f>
        <v/>
      </c>
      <c r="D1986">
        <f>IF(OR(Registro_Compras!$C$224="",Registro_Compras!$O$224=""),"",IF(Registro_Compras!$F$224="RHE","Retencion Renta 4ta Categoria por Pagar",IF(Registro_Compras!$F$224="NOTA DE CREDITO","Gastos de Servicios Prestados por Terceros","IGV - Cuenta Propia (Credito Fiscal)")))</f>
        <v/>
      </c>
      <c r="E1986" s="20">
        <f>IF($C1986="","",IF(Registro_Compras!$F$224="FACTURA",ROUND(Registro_Compras!$K$224*Registro_Compras!$N$224,2),""))</f>
        <v/>
      </c>
      <c r="F1986" s="20">
        <f>IF($C1986="","",IF(Registro_Compras!$F$224="RHE",ROUND(Registro_Compras!$V$224*Registro_Compras!$N$224,2),IF(Registro_Compras!$F$224="NOTA DE CREDITO",ROUND(ABS(Registro_Compras!$J$224*Registro_Compras!$N$224),2),"")))</f>
        <v/>
      </c>
      <c r="G1986">
        <f>IF($C1986="","",IF(Registro_Compras!$F$224="NOTA DE CREDITO","Por la nota de credito "&amp;Registro_Compras!$C$224&amp;" de "&amp;Registro_Compras!$E$224&amp;" [PATRON POR CONFIRMAR CON CONTADOR]",IF(Registro_Compras!$F$224="RHE","Por el registro del recibo por honorarios "&amp;Registro_Compras!$C$224&amp;" de "&amp;Registro_Compras!$E$224&amp;" [PATRON POR CONFIRMAR CON CONTADOR]","Por el registro de la factura "&amp;Registro_Compras!$C$224&amp;" de "&amp;Registro_Compras!$E$224)))</f>
        <v/>
      </c>
      <c r="H1986">
        <f>IF($C1986="","",Registro_Compras!$C$224)</f>
        <v/>
      </c>
    </row>
    <row r="1987">
      <c r="A1987" s="25">
        <f>IF($C1987="","",Registro_Compras!$B$224)</f>
        <v/>
      </c>
      <c r="B1987">
        <f>IF($C1987="","","C"&amp;TEXT(INT((ROW()-5)/9)+1,"000")&amp;"-1")</f>
        <v/>
      </c>
      <c r="C1987">
        <f>IF(OR(Registro_Compras!$C$224="",Registro_Compras!$O$224=""),"",IF(Registro_Compras!$F$224="NOTA DE CREDITO",IF(Registro_Compras!$K$224=0,"","40111"),"4212"))</f>
        <v/>
      </c>
      <c r="D1987">
        <f>IF(OR(Registro_Compras!$C$224="",Registro_Compras!$O$224=""),"",IF(Registro_Compras!$F$224="NOTA DE CREDITO","IGV - Cuenta Propia (Credito Fiscal)","Cuentas por Pagar Comerciales - Terceros (Emitidas)"))</f>
        <v/>
      </c>
      <c r="E1987" s="20">
        <f>""</f>
        <v/>
      </c>
      <c r="F1987" s="20">
        <f>IF($C1987="","",IF(Registro_Compras!$F$224="NOTA DE CREDITO",ROUND(ABS(Registro_Compras!$K$224*Registro_Compras!$N$224),2),IF(Registro_Compras!$F$224="RHE",(ROUND(Registro_Compras!$L$224*Registro_Compras!$N$224,2)-ROUND(Registro_Compras!$V$224*Registro_Compras!$N$224,2)),Registro_Compras!$O$224)))</f>
        <v/>
      </c>
      <c r="G1987">
        <f>IF($C1987="","",IF(Registro_Compras!$F$224="NOTA DE CREDITO","Por la nota de credito "&amp;Registro_Compras!$C$224&amp;" de "&amp;Registro_Compras!$E$224&amp;" [PATRON POR CONFIRMAR CON CONTADOR]",IF(Registro_Compras!$F$224="RHE","Por el registro del recibo por honorarios "&amp;Registro_Compras!$C$224&amp;" de "&amp;Registro_Compras!$E$224&amp;" [PATRON POR CONFIRMAR CON CONTADOR]","Por el registro de la factura "&amp;Registro_Compras!$C$224&amp;" de "&amp;Registro_Compras!$E$224)))</f>
        <v/>
      </c>
      <c r="H1987">
        <f>IF($C1987="","",Registro_Compras!$C$224)</f>
        <v/>
      </c>
    </row>
    <row r="1988">
      <c r="A1988" s="25">
        <f>IF($C1988="","",Registro_Compras!$B$224)</f>
        <v/>
      </c>
      <c r="B1988">
        <f>IF($C1988="","","C"&amp;TEXT(INT((ROW()-5)/9)+1,"000")&amp;"-2")</f>
        <v/>
      </c>
      <c r="C1988">
        <f>IF(OR(Registro_Compras!$C$224="",Registro_Compras!$O$224=""),"",IF(Registro_Compras!$AB$224="ADMINISTRATIVO","94","95"))</f>
        <v/>
      </c>
      <c r="D1988">
        <f>IF(OR(Registro_Compras!$C$224="",Registro_Compras!$O$224=""),"",IF(Registro_Compras!$AB$224="ADMINISTRATIVO","Gastos Administrativos","Gastos de Venta y Operacion"))</f>
        <v/>
      </c>
      <c r="E1988" s="20">
        <f>IF($C1988="","",IF(Registro_Compras!$F$224="NOTA DE CREDITO","",IF(Registro_Compras!$F$224="RHE",ROUND(Registro_Compras!$L$224*Registro_Compras!$N$224,2),ROUND(Registro_Compras!$J$224*Registro_Compras!$N$224,2))))</f>
        <v/>
      </c>
      <c r="F1988" s="20">
        <f>IF($C1988="","",IF(Registro_Compras!$F$224="NOTA DE CREDITO",ROUND(ABS(Registro_Compras!$J$224*Registro_Compras!$N$224),2),""))</f>
        <v/>
      </c>
      <c r="G1988">
        <f>IF($C1988="","","Por el destino del gasto")</f>
        <v/>
      </c>
      <c r="H1988">
        <f>IF($C1988="","",Registro_Compras!$C$224)</f>
        <v/>
      </c>
    </row>
    <row r="1989">
      <c r="A1989" s="25">
        <f>IF($C1989="","",Registro_Compras!$B$224)</f>
        <v/>
      </c>
      <c r="B1989">
        <f>IF($C1989="","","C"&amp;TEXT(INT((ROW()-5)/9)+1,"000")&amp;"-2")</f>
        <v/>
      </c>
      <c r="C1989">
        <f>IF(OR(Registro_Compras!$C$224="",Registro_Compras!$O$224=""),"","79/791")</f>
        <v/>
      </c>
      <c r="D1989">
        <f>IF(OR(Registro_Compras!$C$224="",Registro_Compras!$O$224=""),"","Cargas Imputables a Cuentas de Costos y Gastos")</f>
        <v/>
      </c>
      <c r="E1989" s="20">
        <f>IF($C1989="","",IF(Registro_Compras!$F$224="NOTA DE CREDITO",ROUND(ABS(Registro_Compras!$J$224*Registro_Compras!$N$224),2),""))</f>
        <v/>
      </c>
      <c r="F1989" s="20">
        <f>IF($C1989="","",IF(Registro_Compras!$F$224="NOTA DE CREDITO","",IF(Registro_Compras!$F$224="RHE",ROUND(Registro_Compras!$L$224*Registro_Compras!$N$224,2),ROUND(Registro_Compras!$J$224*Registro_Compras!$N$224,2))))</f>
        <v/>
      </c>
      <c r="G1989">
        <f>IF($C1989="","","Por el destino del gasto")</f>
        <v/>
      </c>
      <c r="H1989">
        <f>IF($C1989="","",Registro_Compras!$C$224)</f>
        <v/>
      </c>
    </row>
    <row r="1990">
      <c r="A1990" s="25">
        <f>IF($C1990="","",Registro_Compras!$X$224)</f>
        <v/>
      </c>
      <c r="B1990">
        <f>IF($C1990="","","C"&amp;TEXT(INT((ROW()-5)/9)+1,"000")&amp;"-3")</f>
        <v/>
      </c>
      <c r="C1990">
        <f>IF(OR(Registro_Compras!$C$224="",Registro_Compras!$O$224="",Registro_Compras!$R$224&lt;&gt;"SI",Registro_Compras!$X$224=""),"","4212")</f>
        <v/>
      </c>
      <c r="D1990">
        <f>IF(OR(Registro_Compras!$C$224="",Registro_Compras!$O$224=""),"","Cuentas por Pagar Comerciales - Terceros")</f>
        <v/>
      </c>
      <c r="E1990" s="20">
        <f>IF($C1990="","",Registro_Compras!$S$224)</f>
        <v/>
      </c>
      <c r="F1990" s="20">
        <f>""</f>
        <v/>
      </c>
      <c r="G1990">
        <f>IF($C1990="","","Por el deposito de la detraccion en el Banco de la Nacion")</f>
        <v/>
      </c>
      <c r="H1990">
        <f>IF($C1990="","",Registro_Compras!$C$224)</f>
        <v/>
      </c>
    </row>
    <row r="1991">
      <c r="A1991" s="25">
        <f>IF($C1991="","",Registro_Compras!$X$224)</f>
        <v/>
      </c>
      <c r="B1991">
        <f>IF($C1991="","","C"&amp;TEXT(INT((ROW()-5)/9)+1,"000")&amp;"-3")</f>
        <v/>
      </c>
      <c r="C1991">
        <f>IF(OR(Registro_Compras!$C$224="",Registro_Compras!$O$224="",Registro_Compras!$R$224&lt;&gt;"SI",Registro_Compras!$X$224=""),"","10413")</f>
        <v/>
      </c>
      <c r="D1991">
        <f>IF(OR(Registro_Compras!$C$224="",Registro_Compras!$O$224=""),"","Efectivo y Equivalentes - Cta. Cte. Operativa")</f>
        <v/>
      </c>
      <c r="E1991" s="20">
        <f>""</f>
        <v/>
      </c>
      <c r="F1991" s="20">
        <f>IF($C1991="","",Registro_Compras!$S$224)</f>
        <v/>
      </c>
      <c r="G1991">
        <f>IF($C1991="","","Por el deposito de la detraccion en el Banco de la Nacion")</f>
        <v/>
      </c>
      <c r="H1991">
        <f>IF($C1991="","",Registro_Compras!$C$224)</f>
        <v/>
      </c>
    </row>
    <row r="1992">
      <c r="A1992" s="25">
        <f>IF($C1992="","",Registro_Compras!$Y$224)</f>
        <v/>
      </c>
      <c r="B1992">
        <f>IF($C1992="","","C"&amp;TEXT(INT((ROW()-5)/9)+1,"000")&amp;"-4")</f>
        <v/>
      </c>
      <c r="C1992">
        <f>IF(OR(Registro_Compras!$C$224="",Registro_Compras!$O$224="",Registro_Compras!$Y$224="",Registro_Compras!$F$224="NOTA DE CREDITO"),"","4212")</f>
        <v/>
      </c>
      <c r="D1992">
        <f>IF(OR(Registro_Compras!$C$224="",Registro_Compras!$O$224=""),"","Cuentas por Pagar Comerciales - Terceros")</f>
        <v/>
      </c>
      <c r="E1992" s="20">
        <f>IF($C1992="","",IF(Registro_Compras!$F$224="RHE",(ROUND(Registro_Compras!$L$224*Registro_Compras!$N$224,2)-ROUND(Registro_Compras!$V$224*Registro_Compras!$N$224,2)),ROUND(Registro_Compras!$O$224-Registro_Compras!$S$224,2)))</f>
        <v/>
      </c>
      <c r="F1992" s="20">
        <f>""</f>
        <v/>
      </c>
      <c r="G1992">
        <f>IF($C1992="","","Por la cancelacion del saldo al proveedor")</f>
        <v/>
      </c>
      <c r="H1992">
        <f>IF($C1992="","",Registro_Compras!$C$224)</f>
        <v/>
      </c>
    </row>
    <row r="1993">
      <c r="A1993" s="25">
        <f>IF($C1993="","",Registro_Compras!$Y$224)</f>
        <v/>
      </c>
      <c r="B1993">
        <f>IF($C1993="","","C"&amp;TEXT(INT((ROW()-5)/9)+1,"000")&amp;"-4")</f>
        <v/>
      </c>
      <c r="C1993">
        <f>IF(OR(Registro_Compras!$C$224="",Registro_Compras!$O$224="",Registro_Compras!$Y$224="",Registro_Compras!$F$224="NOTA DE CREDITO"),"","10413")</f>
        <v/>
      </c>
      <c r="D1993">
        <f>IF(OR(Registro_Compras!$C$224="",Registro_Compras!$O$224=""),"","Efectivo y Equivalentes - Cta. Cte. Operativa")</f>
        <v/>
      </c>
      <c r="E1993" s="20">
        <f>""</f>
        <v/>
      </c>
      <c r="F1993" s="20">
        <f>IF($C1993="","",IF(Registro_Compras!$F$224="RHE",(ROUND(Registro_Compras!$L$224*Registro_Compras!$N$224,2)-ROUND(Registro_Compras!$V$224*Registro_Compras!$N$224,2)),ROUND(Registro_Compras!$O$224-Registro_Compras!$S$224,2)))</f>
        <v/>
      </c>
      <c r="G1993">
        <f>IF($C1993="","","Por la cancelacion del saldo al proveedor")</f>
        <v/>
      </c>
      <c r="H1993">
        <f>IF($C1993="","",Registro_Compras!$C$224)</f>
        <v/>
      </c>
    </row>
    <row r="1994">
      <c r="A1994" s="25">
        <f>IF($C1994="","",Registro_Compras!$B$225)</f>
        <v/>
      </c>
      <c r="B1994">
        <f>IF($C1994="","","C"&amp;TEXT(INT((ROW()-5)/9)+1,"000")&amp;"-1")</f>
        <v/>
      </c>
      <c r="C1994">
        <f>IF(OR(Registro_Compras!$C$225="",Registro_Compras!$O$225=""),"",IF(Registro_Compras!$F$225="NOTA DE CREDITO","4212",IF(Registro_Compras!$M$225="","63",Registro_Compras!$M$225)))</f>
        <v/>
      </c>
      <c r="D1994">
        <f>IF(OR(Registro_Compras!$C$225="",Registro_Compras!$O$225=""),"",IF(Registro_Compras!$F$225="NOTA DE CREDITO","Cuentas por Pagar Comerciales - Terceros (Emitidas)",IF(Registro_Compras!$F$225="RHE","Honorarios Profesionales - Servicios de Terceros","Gastos de Servicios Prestados por Terceros")))</f>
        <v/>
      </c>
      <c r="E1994" s="20">
        <f>IF($C1994="","",IF(Registro_Compras!$F$225="NOTA DE CREDITO",ABS(Registro_Compras!$O$225),IF(Registro_Compras!$F$225="RHE",ROUND(Registro_Compras!$L$225*Registro_Compras!$N$225,2),ROUND(Registro_Compras!$J$225*Registro_Compras!$N$225,2))))</f>
        <v/>
      </c>
      <c r="F1994" s="20">
        <f>""</f>
        <v/>
      </c>
      <c r="G1994">
        <f>IF($C1994="","",IF(Registro_Compras!$F$225="NOTA DE CREDITO","Por la nota de credito "&amp;Registro_Compras!$C$225&amp;" de "&amp;Registro_Compras!$E$225&amp;" [PATRON POR CONFIRMAR CON CONTADOR]",IF(Registro_Compras!$F$225="RHE","Por el registro del recibo por honorarios "&amp;Registro_Compras!$C$225&amp;" de "&amp;Registro_Compras!$E$225&amp;" [PATRON POR CONFIRMAR CON CONTADOR]","Por el registro de la factura "&amp;Registro_Compras!$C$225&amp;" de "&amp;Registro_Compras!$E$225)))</f>
        <v/>
      </c>
      <c r="H1994">
        <f>IF($C1994="","",Registro_Compras!$C$225)</f>
        <v/>
      </c>
    </row>
    <row r="1995">
      <c r="A1995" s="25">
        <f>IF($C1995="","",Registro_Compras!$B$225)</f>
        <v/>
      </c>
      <c r="B1995">
        <f>IF($C1995="","","C"&amp;TEXT(INT((ROW()-5)/9)+1,"000")&amp;"-1")</f>
        <v/>
      </c>
      <c r="C1995">
        <f>IF(OR(Registro_Compras!$C$225="",Registro_Compras!$O$225=""),"",IF(Registro_Compras!$F$225="RHE",IF(Registro_Compras!$V$225=0,"","40172"),IF(Registro_Compras!$F$225="NOTA DE CREDITO",IF(Registro_Compras!$M$225="","63",Registro_Compras!$M$225),IF(Registro_Compras!$K$225=0,"","40111"))))</f>
        <v/>
      </c>
      <c r="D1995">
        <f>IF(OR(Registro_Compras!$C$225="",Registro_Compras!$O$225=""),"",IF(Registro_Compras!$F$225="RHE","Retencion Renta 4ta Categoria por Pagar",IF(Registro_Compras!$F$225="NOTA DE CREDITO","Gastos de Servicios Prestados por Terceros","IGV - Cuenta Propia (Credito Fiscal)")))</f>
        <v/>
      </c>
      <c r="E1995" s="20">
        <f>IF($C1995="","",IF(Registro_Compras!$F$225="FACTURA",ROUND(Registro_Compras!$K$225*Registro_Compras!$N$225,2),""))</f>
        <v/>
      </c>
      <c r="F1995" s="20">
        <f>IF($C1995="","",IF(Registro_Compras!$F$225="RHE",ROUND(Registro_Compras!$V$225*Registro_Compras!$N$225,2),IF(Registro_Compras!$F$225="NOTA DE CREDITO",ROUND(ABS(Registro_Compras!$J$225*Registro_Compras!$N$225),2),"")))</f>
        <v/>
      </c>
      <c r="G1995">
        <f>IF($C1995="","",IF(Registro_Compras!$F$225="NOTA DE CREDITO","Por la nota de credito "&amp;Registro_Compras!$C$225&amp;" de "&amp;Registro_Compras!$E$225&amp;" [PATRON POR CONFIRMAR CON CONTADOR]",IF(Registro_Compras!$F$225="RHE","Por el registro del recibo por honorarios "&amp;Registro_Compras!$C$225&amp;" de "&amp;Registro_Compras!$E$225&amp;" [PATRON POR CONFIRMAR CON CONTADOR]","Por el registro de la factura "&amp;Registro_Compras!$C$225&amp;" de "&amp;Registro_Compras!$E$225)))</f>
        <v/>
      </c>
      <c r="H1995">
        <f>IF($C1995="","",Registro_Compras!$C$225)</f>
        <v/>
      </c>
    </row>
    <row r="1996">
      <c r="A1996" s="25">
        <f>IF($C1996="","",Registro_Compras!$B$225)</f>
        <v/>
      </c>
      <c r="B1996">
        <f>IF($C1996="","","C"&amp;TEXT(INT((ROW()-5)/9)+1,"000")&amp;"-1")</f>
        <v/>
      </c>
      <c r="C1996">
        <f>IF(OR(Registro_Compras!$C$225="",Registro_Compras!$O$225=""),"",IF(Registro_Compras!$F$225="NOTA DE CREDITO",IF(Registro_Compras!$K$225=0,"","40111"),"4212"))</f>
        <v/>
      </c>
      <c r="D1996">
        <f>IF(OR(Registro_Compras!$C$225="",Registro_Compras!$O$225=""),"",IF(Registro_Compras!$F$225="NOTA DE CREDITO","IGV - Cuenta Propia (Credito Fiscal)","Cuentas por Pagar Comerciales - Terceros (Emitidas)"))</f>
        <v/>
      </c>
      <c r="E1996" s="20">
        <f>""</f>
        <v/>
      </c>
      <c r="F1996" s="20">
        <f>IF($C1996="","",IF(Registro_Compras!$F$225="NOTA DE CREDITO",ROUND(ABS(Registro_Compras!$K$225*Registro_Compras!$N$225),2),IF(Registro_Compras!$F$225="RHE",(ROUND(Registro_Compras!$L$225*Registro_Compras!$N$225,2)-ROUND(Registro_Compras!$V$225*Registro_Compras!$N$225,2)),Registro_Compras!$O$225)))</f>
        <v/>
      </c>
      <c r="G1996">
        <f>IF($C1996="","",IF(Registro_Compras!$F$225="NOTA DE CREDITO","Por la nota de credito "&amp;Registro_Compras!$C$225&amp;" de "&amp;Registro_Compras!$E$225&amp;" [PATRON POR CONFIRMAR CON CONTADOR]",IF(Registro_Compras!$F$225="RHE","Por el registro del recibo por honorarios "&amp;Registro_Compras!$C$225&amp;" de "&amp;Registro_Compras!$E$225&amp;" [PATRON POR CONFIRMAR CON CONTADOR]","Por el registro de la factura "&amp;Registro_Compras!$C$225&amp;" de "&amp;Registro_Compras!$E$225)))</f>
        <v/>
      </c>
      <c r="H1996">
        <f>IF($C1996="","",Registro_Compras!$C$225)</f>
        <v/>
      </c>
    </row>
    <row r="1997">
      <c r="A1997" s="25">
        <f>IF($C1997="","",Registro_Compras!$B$225)</f>
        <v/>
      </c>
      <c r="B1997">
        <f>IF($C1997="","","C"&amp;TEXT(INT((ROW()-5)/9)+1,"000")&amp;"-2")</f>
        <v/>
      </c>
      <c r="C1997">
        <f>IF(OR(Registro_Compras!$C$225="",Registro_Compras!$O$225=""),"",IF(Registro_Compras!$AB$225="ADMINISTRATIVO","94","95"))</f>
        <v/>
      </c>
      <c r="D1997">
        <f>IF(OR(Registro_Compras!$C$225="",Registro_Compras!$O$225=""),"",IF(Registro_Compras!$AB$225="ADMINISTRATIVO","Gastos Administrativos","Gastos de Venta y Operacion"))</f>
        <v/>
      </c>
      <c r="E1997" s="20">
        <f>IF($C1997="","",IF(Registro_Compras!$F$225="NOTA DE CREDITO","",IF(Registro_Compras!$F$225="RHE",ROUND(Registro_Compras!$L$225*Registro_Compras!$N$225,2),ROUND(Registro_Compras!$J$225*Registro_Compras!$N$225,2))))</f>
        <v/>
      </c>
      <c r="F1997" s="20">
        <f>IF($C1997="","",IF(Registro_Compras!$F$225="NOTA DE CREDITO",ROUND(ABS(Registro_Compras!$J$225*Registro_Compras!$N$225),2),""))</f>
        <v/>
      </c>
      <c r="G1997">
        <f>IF($C1997="","","Por el destino del gasto")</f>
        <v/>
      </c>
      <c r="H1997">
        <f>IF($C1997="","",Registro_Compras!$C$225)</f>
        <v/>
      </c>
    </row>
    <row r="1998">
      <c r="A1998" s="25">
        <f>IF($C1998="","",Registro_Compras!$B$225)</f>
        <v/>
      </c>
      <c r="B1998">
        <f>IF($C1998="","","C"&amp;TEXT(INT((ROW()-5)/9)+1,"000")&amp;"-2")</f>
        <v/>
      </c>
      <c r="C1998">
        <f>IF(OR(Registro_Compras!$C$225="",Registro_Compras!$O$225=""),"","79/791")</f>
        <v/>
      </c>
      <c r="D1998">
        <f>IF(OR(Registro_Compras!$C$225="",Registro_Compras!$O$225=""),"","Cargas Imputables a Cuentas de Costos y Gastos")</f>
        <v/>
      </c>
      <c r="E1998" s="20">
        <f>IF($C1998="","",IF(Registro_Compras!$F$225="NOTA DE CREDITO",ROUND(ABS(Registro_Compras!$J$225*Registro_Compras!$N$225),2),""))</f>
        <v/>
      </c>
      <c r="F1998" s="20">
        <f>IF($C1998="","",IF(Registro_Compras!$F$225="NOTA DE CREDITO","",IF(Registro_Compras!$F$225="RHE",ROUND(Registro_Compras!$L$225*Registro_Compras!$N$225,2),ROUND(Registro_Compras!$J$225*Registro_Compras!$N$225,2))))</f>
        <v/>
      </c>
      <c r="G1998">
        <f>IF($C1998="","","Por el destino del gasto")</f>
        <v/>
      </c>
      <c r="H1998">
        <f>IF($C1998="","",Registro_Compras!$C$225)</f>
        <v/>
      </c>
    </row>
    <row r="1999">
      <c r="A1999" s="25">
        <f>IF($C1999="","",Registro_Compras!$X$225)</f>
        <v/>
      </c>
      <c r="B1999">
        <f>IF($C1999="","","C"&amp;TEXT(INT((ROW()-5)/9)+1,"000")&amp;"-3")</f>
        <v/>
      </c>
      <c r="C1999">
        <f>IF(OR(Registro_Compras!$C$225="",Registro_Compras!$O$225="",Registro_Compras!$R$225&lt;&gt;"SI",Registro_Compras!$X$225=""),"","4212")</f>
        <v/>
      </c>
      <c r="D1999">
        <f>IF(OR(Registro_Compras!$C$225="",Registro_Compras!$O$225=""),"","Cuentas por Pagar Comerciales - Terceros")</f>
        <v/>
      </c>
      <c r="E1999" s="20">
        <f>IF($C1999="","",Registro_Compras!$S$225)</f>
        <v/>
      </c>
      <c r="F1999" s="20">
        <f>""</f>
        <v/>
      </c>
      <c r="G1999">
        <f>IF($C1999="","","Por el deposito de la detraccion en el Banco de la Nacion")</f>
        <v/>
      </c>
      <c r="H1999">
        <f>IF($C1999="","",Registro_Compras!$C$225)</f>
        <v/>
      </c>
    </row>
    <row r="2000">
      <c r="A2000" s="25">
        <f>IF($C2000="","",Registro_Compras!$X$225)</f>
        <v/>
      </c>
      <c r="B2000">
        <f>IF($C2000="","","C"&amp;TEXT(INT((ROW()-5)/9)+1,"000")&amp;"-3")</f>
        <v/>
      </c>
      <c r="C2000">
        <f>IF(OR(Registro_Compras!$C$225="",Registro_Compras!$O$225="",Registro_Compras!$R$225&lt;&gt;"SI",Registro_Compras!$X$225=""),"","10413")</f>
        <v/>
      </c>
      <c r="D2000">
        <f>IF(OR(Registro_Compras!$C$225="",Registro_Compras!$O$225=""),"","Efectivo y Equivalentes - Cta. Cte. Operativa")</f>
        <v/>
      </c>
      <c r="E2000" s="20">
        <f>""</f>
        <v/>
      </c>
      <c r="F2000" s="20">
        <f>IF($C2000="","",Registro_Compras!$S$225)</f>
        <v/>
      </c>
      <c r="G2000">
        <f>IF($C2000="","","Por el deposito de la detraccion en el Banco de la Nacion")</f>
        <v/>
      </c>
      <c r="H2000">
        <f>IF($C2000="","",Registro_Compras!$C$225)</f>
        <v/>
      </c>
    </row>
    <row r="2001">
      <c r="A2001" s="25">
        <f>IF($C2001="","",Registro_Compras!$Y$225)</f>
        <v/>
      </c>
      <c r="B2001">
        <f>IF($C2001="","","C"&amp;TEXT(INT((ROW()-5)/9)+1,"000")&amp;"-4")</f>
        <v/>
      </c>
      <c r="C2001">
        <f>IF(OR(Registro_Compras!$C$225="",Registro_Compras!$O$225="",Registro_Compras!$Y$225="",Registro_Compras!$F$225="NOTA DE CREDITO"),"","4212")</f>
        <v/>
      </c>
      <c r="D2001">
        <f>IF(OR(Registro_Compras!$C$225="",Registro_Compras!$O$225=""),"","Cuentas por Pagar Comerciales - Terceros")</f>
        <v/>
      </c>
      <c r="E2001" s="20">
        <f>IF($C2001="","",IF(Registro_Compras!$F$225="RHE",(ROUND(Registro_Compras!$L$225*Registro_Compras!$N$225,2)-ROUND(Registro_Compras!$V$225*Registro_Compras!$N$225,2)),ROUND(Registro_Compras!$O$225-Registro_Compras!$S$225,2)))</f>
        <v/>
      </c>
      <c r="F2001" s="20">
        <f>""</f>
        <v/>
      </c>
      <c r="G2001">
        <f>IF($C2001="","","Por la cancelacion del saldo al proveedor")</f>
        <v/>
      </c>
      <c r="H2001">
        <f>IF($C2001="","",Registro_Compras!$C$225)</f>
        <v/>
      </c>
    </row>
    <row r="2002">
      <c r="A2002" s="25">
        <f>IF($C2002="","",Registro_Compras!$Y$225)</f>
        <v/>
      </c>
      <c r="B2002">
        <f>IF($C2002="","","C"&amp;TEXT(INT((ROW()-5)/9)+1,"000")&amp;"-4")</f>
        <v/>
      </c>
      <c r="C2002">
        <f>IF(OR(Registro_Compras!$C$225="",Registro_Compras!$O$225="",Registro_Compras!$Y$225="",Registro_Compras!$F$225="NOTA DE CREDITO"),"","10413")</f>
        <v/>
      </c>
      <c r="D2002">
        <f>IF(OR(Registro_Compras!$C$225="",Registro_Compras!$O$225=""),"","Efectivo y Equivalentes - Cta. Cte. Operativa")</f>
        <v/>
      </c>
      <c r="E2002" s="20">
        <f>""</f>
        <v/>
      </c>
      <c r="F2002" s="20">
        <f>IF($C2002="","",IF(Registro_Compras!$F$225="RHE",(ROUND(Registro_Compras!$L$225*Registro_Compras!$N$225,2)-ROUND(Registro_Compras!$V$225*Registro_Compras!$N$225,2)),ROUND(Registro_Compras!$O$225-Registro_Compras!$S$225,2)))</f>
        <v/>
      </c>
      <c r="G2002">
        <f>IF($C2002="","","Por la cancelacion del saldo al proveedor")</f>
        <v/>
      </c>
      <c r="H2002">
        <f>IF($C2002="","",Registro_Compras!$C$225)</f>
        <v/>
      </c>
    </row>
    <row r="2003">
      <c r="A2003" s="25">
        <f>IF($C2003="","",Registro_Compras!$B$226)</f>
        <v/>
      </c>
      <c r="B2003">
        <f>IF($C2003="","","C"&amp;TEXT(INT((ROW()-5)/9)+1,"000")&amp;"-1")</f>
        <v/>
      </c>
      <c r="C2003">
        <f>IF(OR(Registro_Compras!$C$226="",Registro_Compras!$O$226=""),"",IF(Registro_Compras!$F$226="NOTA DE CREDITO","4212",IF(Registro_Compras!$M$226="","63",Registro_Compras!$M$226)))</f>
        <v/>
      </c>
      <c r="D2003">
        <f>IF(OR(Registro_Compras!$C$226="",Registro_Compras!$O$226=""),"",IF(Registro_Compras!$F$226="NOTA DE CREDITO","Cuentas por Pagar Comerciales - Terceros (Emitidas)",IF(Registro_Compras!$F$226="RHE","Honorarios Profesionales - Servicios de Terceros","Gastos de Servicios Prestados por Terceros")))</f>
        <v/>
      </c>
      <c r="E2003" s="20">
        <f>IF($C2003="","",IF(Registro_Compras!$F$226="NOTA DE CREDITO",ABS(Registro_Compras!$O$226),IF(Registro_Compras!$F$226="RHE",ROUND(Registro_Compras!$L$226*Registro_Compras!$N$226,2),ROUND(Registro_Compras!$J$226*Registro_Compras!$N$226,2))))</f>
        <v/>
      </c>
      <c r="F2003" s="20">
        <f>""</f>
        <v/>
      </c>
      <c r="G2003">
        <f>IF($C2003="","",IF(Registro_Compras!$F$226="NOTA DE CREDITO","Por la nota de credito "&amp;Registro_Compras!$C$226&amp;" de "&amp;Registro_Compras!$E$226&amp;" [PATRON POR CONFIRMAR CON CONTADOR]",IF(Registro_Compras!$F$226="RHE","Por el registro del recibo por honorarios "&amp;Registro_Compras!$C$226&amp;" de "&amp;Registro_Compras!$E$226&amp;" [PATRON POR CONFIRMAR CON CONTADOR]","Por el registro de la factura "&amp;Registro_Compras!$C$226&amp;" de "&amp;Registro_Compras!$E$226)))</f>
        <v/>
      </c>
      <c r="H2003">
        <f>IF($C2003="","",Registro_Compras!$C$226)</f>
        <v/>
      </c>
    </row>
    <row r="2004">
      <c r="A2004" s="25">
        <f>IF($C2004="","",Registro_Compras!$B$226)</f>
        <v/>
      </c>
      <c r="B2004">
        <f>IF($C2004="","","C"&amp;TEXT(INT((ROW()-5)/9)+1,"000")&amp;"-1")</f>
        <v/>
      </c>
      <c r="C2004">
        <f>IF(OR(Registro_Compras!$C$226="",Registro_Compras!$O$226=""),"",IF(Registro_Compras!$F$226="RHE",IF(Registro_Compras!$V$226=0,"","40172"),IF(Registro_Compras!$F$226="NOTA DE CREDITO",IF(Registro_Compras!$M$226="","63",Registro_Compras!$M$226),IF(Registro_Compras!$K$226=0,"","40111"))))</f>
        <v/>
      </c>
      <c r="D2004">
        <f>IF(OR(Registro_Compras!$C$226="",Registro_Compras!$O$226=""),"",IF(Registro_Compras!$F$226="RHE","Retencion Renta 4ta Categoria por Pagar",IF(Registro_Compras!$F$226="NOTA DE CREDITO","Gastos de Servicios Prestados por Terceros","IGV - Cuenta Propia (Credito Fiscal)")))</f>
        <v/>
      </c>
      <c r="E2004" s="20">
        <f>IF($C2004="","",IF(Registro_Compras!$F$226="FACTURA",ROUND(Registro_Compras!$K$226*Registro_Compras!$N$226,2),""))</f>
        <v/>
      </c>
      <c r="F2004" s="20">
        <f>IF($C2004="","",IF(Registro_Compras!$F$226="RHE",ROUND(Registro_Compras!$V$226*Registro_Compras!$N$226,2),IF(Registro_Compras!$F$226="NOTA DE CREDITO",ROUND(ABS(Registro_Compras!$J$226*Registro_Compras!$N$226),2),"")))</f>
        <v/>
      </c>
      <c r="G2004">
        <f>IF($C2004="","",IF(Registro_Compras!$F$226="NOTA DE CREDITO","Por la nota de credito "&amp;Registro_Compras!$C$226&amp;" de "&amp;Registro_Compras!$E$226&amp;" [PATRON POR CONFIRMAR CON CONTADOR]",IF(Registro_Compras!$F$226="RHE","Por el registro del recibo por honorarios "&amp;Registro_Compras!$C$226&amp;" de "&amp;Registro_Compras!$E$226&amp;" [PATRON POR CONFIRMAR CON CONTADOR]","Por el registro de la factura "&amp;Registro_Compras!$C$226&amp;" de "&amp;Registro_Compras!$E$226)))</f>
        <v/>
      </c>
      <c r="H2004">
        <f>IF($C2004="","",Registro_Compras!$C$226)</f>
        <v/>
      </c>
    </row>
    <row r="2005">
      <c r="A2005" s="25">
        <f>IF($C2005="","",Registro_Compras!$B$226)</f>
        <v/>
      </c>
      <c r="B2005">
        <f>IF($C2005="","","C"&amp;TEXT(INT((ROW()-5)/9)+1,"000")&amp;"-1")</f>
        <v/>
      </c>
      <c r="C2005">
        <f>IF(OR(Registro_Compras!$C$226="",Registro_Compras!$O$226=""),"",IF(Registro_Compras!$F$226="NOTA DE CREDITO",IF(Registro_Compras!$K$226=0,"","40111"),"4212"))</f>
        <v/>
      </c>
      <c r="D2005">
        <f>IF(OR(Registro_Compras!$C$226="",Registro_Compras!$O$226=""),"",IF(Registro_Compras!$F$226="NOTA DE CREDITO","IGV - Cuenta Propia (Credito Fiscal)","Cuentas por Pagar Comerciales - Terceros (Emitidas)"))</f>
        <v/>
      </c>
      <c r="E2005" s="20">
        <f>""</f>
        <v/>
      </c>
      <c r="F2005" s="20">
        <f>IF($C2005="","",IF(Registro_Compras!$F$226="NOTA DE CREDITO",ROUND(ABS(Registro_Compras!$K$226*Registro_Compras!$N$226),2),IF(Registro_Compras!$F$226="RHE",(ROUND(Registro_Compras!$L$226*Registro_Compras!$N$226,2)-ROUND(Registro_Compras!$V$226*Registro_Compras!$N$226,2)),Registro_Compras!$O$226)))</f>
        <v/>
      </c>
      <c r="G2005">
        <f>IF($C2005="","",IF(Registro_Compras!$F$226="NOTA DE CREDITO","Por la nota de credito "&amp;Registro_Compras!$C$226&amp;" de "&amp;Registro_Compras!$E$226&amp;" [PATRON POR CONFIRMAR CON CONTADOR]",IF(Registro_Compras!$F$226="RHE","Por el registro del recibo por honorarios "&amp;Registro_Compras!$C$226&amp;" de "&amp;Registro_Compras!$E$226&amp;" [PATRON POR CONFIRMAR CON CONTADOR]","Por el registro de la factura "&amp;Registro_Compras!$C$226&amp;" de "&amp;Registro_Compras!$E$226)))</f>
        <v/>
      </c>
      <c r="H2005">
        <f>IF($C2005="","",Registro_Compras!$C$226)</f>
        <v/>
      </c>
    </row>
    <row r="2006">
      <c r="A2006" s="25">
        <f>IF($C2006="","",Registro_Compras!$B$226)</f>
        <v/>
      </c>
      <c r="B2006">
        <f>IF($C2006="","","C"&amp;TEXT(INT((ROW()-5)/9)+1,"000")&amp;"-2")</f>
        <v/>
      </c>
      <c r="C2006">
        <f>IF(OR(Registro_Compras!$C$226="",Registro_Compras!$O$226=""),"",IF(Registro_Compras!$AB$226="ADMINISTRATIVO","94","95"))</f>
        <v/>
      </c>
      <c r="D2006">
        <f>IF(OR(Registro_Compras!$C$226="",Registro_Compras!$O$226=""),"",IF(Registro_Compras!$AB$226="ADMINISTRATIVO","Gastos Administrativos","Gastos de Venta y Operacion"))</f>
        <v/>
      </c>
      <c r="E2006" s="20">
        <f>IF($C2006="","",IF(Registro_Compras!$F$226="NOTA DE CREDITO","",IF(Registro_Compras!$F$226="RHE",ROUND(Registro_Compras!$L$226*Registro_Compras!$N$226,2),ROUND(Registro_Compras!$J$226*Registro_Compras!$N$226,2))))</f>
        <v/>
      </c>
      <c r="F2006" s="20">
        <f>IF($C2006="","",IF(Registro_Compras!$F$226="NOTA DE CREDITO",ROUND(ABS(Registro_Compras!$J$226*Registro_Compras!$N$226),2),""))</f>
        <v/>
      </c>
      <c r="G2006">
        <f>IF($C2006="","","Por el destino del gasto")</f>
        <v/>
      </c>
      <c r="H2006">
        <f>IF($C2006="","",Registro_Compras!$C$226)</f>
        <v/>
      </c>
    </row>
    <row r="2007">
      <c r="A2007" s="25">
        <f>IF($C2007="","",Registro_Compras!$B$226)</f>
        <v/>
      </c>
      <c r="B2007">
        <f>IF($C2007="","","C"&amp;TEXT(INT((ROW()-5)/9)+1,"000")&amp;"-2")</f>
        <v/>
      </c>
      <c r="C2007">
        <f>IF(OR(Registro_Compras!$C$226="",Registro_Compras!$O$226=""),"","79/791")</f>
        <v/>
      </c>
      <c r="D2007">
        <f>IF(OR(Registro_Compras!$C$226="",Registro_Compras!$O$226=""),"","Cargas Imputables a Cuentas de Costos y Gastos")</f>
        <v/>
      </c>
      <c r="E2007" s="20">
        <f>IF($C2007="","",IF(Registro_Compras!$F$226="NOTA DE CREDITO",ROUND(ABS(Registro_Compras!$J$226*Registro_Compras!$N$226),2),""))</f>
        <v/>
      </c>
      <c r="F2007" s="20">
        <f>IF($C2007="","",IF(Registro_Compras!$F$226="NOTA DE CREDITO","",IF(Registro_Compras!$F$226="RHE",ROUND(Registro_Compras!$L$226*Registro_Compras!$N$226,2),ROUND(Registro_Compras!$J$226*Registro_Compras!$N$226,2))))</f>
        <v/>
      </c>
      <c r="G2007">
        <f>IF($C2007="","","Por el destino del gasto")</f>
        <v/>
      </c>
      <c r="H2007">
        <f>IF($C2007="","",Registro_Compras!$C$226)</f>
        <v/>
      </c>
    </row>
    <row r="2008">
      <c r="A2008" s="25">
        <f>IF($C2008="","",Registro_Compras!$X$226)</f>
        <v/>
      </c>
      <c r="B2008">
        <f>IF($C2008="","","C"&amp;TEXT(INT((ROW()-5)/9)+1,"000")&amp;"-3")</f>
        <v/>
      </c>
      <c r="C2008">
        <f>IF(OR(Registro_Compras!$C$226="",Registro_Compras!$O$226="",Registro_Compras!$R$226&lt;&gt;"SI",Registro_Compras!$X$226=""),"","4212")</f>
        <v/>
      </c>
      <c r="D2008">
        <f>IF(OR(Registro_Compras!$C$226="",Registro_Compras!$O$226=""),"","Cuentas por Pagar Comerciales - Terceros")</f>
        <v/>
      </c>
      <c r="E2008" s="20">
        <f>IF($C2008="","",Registro_Compras!$S$226)</f>
        <v/>
      </c>
      <c r="F2008" s="20">
        <f>""</f>
        <v/>
      </c>
      <c r="G2008">
        <f>IF($C2008="","","Por el deposito de la detraccion en el Banco de la Nacion")</f>
        <v/>
      </c>
      <c r="H2008">
        <f>IF($C2008="","",Registro_Compras!$C$226)</f>
        <v/>
      </c>
    </row>
    <row r="2009">
      <c r="A2009" s="25">
        <f>IF($C2009="","",Registro_Compras!$X$226)</f>
        <v/>
      </c>
      <c r="B2009">
        <f>IF($C2009="","","C"&amp;TEXT(INT((ROW()-5)/9)+1,"000")&amp;"-3")</f>
        <v/>
      </c>
      <c r="C2009">
        <f>IF(OR(Registro_Compras!$C$226="",Registro_Compras!$O$226="",Registro_Compras!$R$226&lt;&gt;"SI",Registro_Compras!$X$226=""),"","10413")</f>
        <v/>
      </c>
      <c r="D2009">
        <f>IF(OR(Registro_Compras!$C$226="",Registro_Compras!$O$226=""),"","Efectivo y Equivalentes - Cta. Cte. Operativa")</f>
        <v/>
      </c>
      <c r="E2009" s="20">
        <f>""</f>
        <v/>
      </c>
      <c r="F2009" s="20">
        <f>IF($C2009="","",Registro_Compras!$S$226)</f>
        <v/>
      </c>
      <c r="G2009">
        <f>IF($C2009="","","Por el deposito de la detraccion en el Banco de la Nacion")</f>
        <v/>
      </c>
      <c r="H2009">
        <f>IF($C2009="","",Registro_Compras!$C$226)</f>
        <v/>
      </c>
    </row>
    <row r="2010">
      <c r="A2010" s="25">
        <f>IF($C2010="","",Registro_Compras!$Y$226)</f>
        <v/>
      </c>
      <c r="B2010">
        <f>IF($C2010="","","C"&amp;TEXT(INT((ROW()-5)/9)+1,"000")&amp;"-4")</f>
        <v/>
      </c>
      <c r="C2010">
        <f>IF(OR(Registro_Compras!$C$226="",Registro_Compras!$O$226="",Registro_Compras!$Y$226="",Registro_Compras!$F$226="NOTA DE CREDITO"),"","4212")</f>
        <v/>
      </c>
      <c r="D2010">
        <f>IF(OR(Registro_Compras!$C$226="",Registro_Compras!$O$226=""),"","Cuentas por Pagar Comerciales - Terceros")</f>
        <v/>
      </c>
      <c r="E2010" s="20">
        <f>IF($C2010="","",IF(Registro_Compras!$F$226="RHE",(ROUND(Registro_Compras!$L$226*Registro_Compras!$N$226,2)-ROUND(Registro_Compras!$V$226*Registro_Compras!$N$226,2)),ROUND(Registro_Compras!$O$226-Registro_Compras!$S$226,2)))</f>
        <v/>
      </c>
      <c r="F2010" s="20">
        <f>""</f>
        <v/>
      </c>
      <c r="G2010">
        <f>IF($C2010="","","Por la cancelacion del saldo al proveedor")</f>
        <v/>
      </c>
      <c r="H2010">
        <f>IF($C2010="","",Registro_Compras!$C$226)</f>
        <v/>
      </c>
    </row>
    <row r="2011">
      <c r="A2011" s="25">
        <f>IF($C2011="","",Registro_Compras!$Y$226)</f>
        <v/>
      </c>
      <c r="B2011">
        <f>IF($C2011="","","C"&amp;TEXT(INT((ROW()-5)/9)+1,"000")&amp;"-4")</f>
        <v/>
      </c>
      <c r="C2011">
        <f>IF(OR(Registro_Compras!$C$226="",Registro_Compras!$O$226="",Registro_Compras!$Y$226="",Registro_Compras!$F$226="NOTA DE CREDITO"),"","10413")</f>
        <v/>
      </c>
      <c r="D2011">
        <f>IF(OR(Registro_Compras!$C$226="",Registro_Compras!$O$226=""),"","Efectivo y Equivalentes - Cta. Cte. Operativa")</f>
        <v/>
      </c>
      <c r="E2011" s="20">
        <f>""</f>
        <v/>
      </c>
      <c r="F2011" s="20">
        <f>IF($C2011="","",IF(Registro_Compras!$F$226="RHE",(ROUND(Registro_Compras!$L$226*Registro_Compras!$N$226,2)-ROUND(Registro_Compras!$V$226*Registro_Compras!$N$226,2)),ROUND(Registro_Compras!$O$226-Registro_Compras!$S$226,2)))</f>
        <v/>
      </c>
      <c r="G2011">
        <f>IF($C2011="","","Por la cancelacion del saldo al proveedor")</f>
        <v/>
      </c>
      <c r="H2011">
        <f>IF($C2011="","",Registro_Compras!$C$226)</f>
        <v/>
      </c>
    </row>
    <row r="2012">
      <c r="A2012" s="25">
        <f>IF($C2012="","",Registro_Compras!$B$227)</f>
        <v/>
      </c>
      <c r="B2012">
        <f>IF($C2012="","","C"&amp;TEXT(INT((ROW()-5)/9)+1,"000")&amp;"-1")</f>
        <v/>
      </c>
      <c r="C2012">
        <f>IF(OR(Registro_Compras!$C$227="",Registro_Compras!$O$227=""),"",IF(Registro_Compras!$F$227="NOTA DE CREDITO","4212",IF(Registro_Compras!$M$227="","63",Registro_Compras!$M$227)))</f>
        <v/>
      </c>
      <c r="D2012">
        <f>IF(OR(Registro_Compras!$C$227="",Registro_Compras!$O$227=""),"",IF(Registro_Compras!$F$227="NOTA DE CREDITO","Cuentas por Pagar Comerciales - Terceros (Emitidas)",IF(Registro_Compras!$F$227="RHE","Honorarios Profesionales - Servicios de Terceros","Gastos de Servicios Prestados por Terceros")))</f>
        <v/>
      </c>
      <c r="E2012" s="20">
        <f>IF($C2012="","",IF(Registro_Compras!$F$227="NOTA DE CREDITO",ABS(Registro_Compras!$O$227),IF(Registro_Compras!$F$227="RHE",ROUND(Registro_Compras!$L$227*Registro_Compras!$N$227,2),ROUND(Registro_Compras!$J$227*Registro_Compras!$N$227,2))))</f>
        <v/>
      </c>
      <c r="F2012" s="20">
        <f>""</f>
        <v/>
      </c>
      <c r="G2012">
        <f>IF($C2012="","",IF(Registro_Compras!$F$227="NOTA DE CREDITO","Por la nota de credito "&amp;Registro_Compras!$C$227&amp;" de "&amp;Registro_Compras!$E$227&amp;" [PATRON POR CONFIRMAR CON CONTADOR]",IF(Registro_Compras!$F$227="RHE","Por el registro del recibo por honorarios "&amp;Registro_Compras!$C$227&amp;" de "&amp;Registro_Compras!$E$227&amp;" [PATRON POR CONFIRMAR CON CONTADOR]","Por el registro de la factura "&amp;Registro_Compras!$C$227&amp;" de "&amp;Registro_Compras!$E$227)))</f>
        <v/>
      </c>
      <c r="H2012">
        <f>IF($C2012="","",Registro_Compras!$C$227)</f>
        <v/>
      </c>
    </row>
    <row r="2013">
      <c r="A2013" s="25">
        <f>IF($C2013="","",Registro_Compras!$B$227)</f>
        <v/>
      </c>
      <c r="B2013">
        <f>IF($C2013="","","C"&amp;TEXT(INT((ROW()-5)/9)+1,"000")&amp;"-1")</f>
        <v/>
      </c>
      <c r="C2013">
        <f>IF(OR(Registro_Compras!$C$227="",Registro_Compras!$O$227=""),"",IF(Registro_Compras!$F$227="RHE",IF(Registro_Compras!$V$227=0,"","40172"),IF(Registro_Compras!$F$227="NOTA DE CREDITO",IF(Registro_Compras!$M$227="","63",Registro_Compras!$M$227),IF(Registro_Compras!$K$227=0,"","40111"))))</f>
        <v/>
      </c>
      <c r="D2013">
        <f>IF(OR(Registro_Compras!$C$227="",Registro_Compras!$O$227=""),"",IF(Registro_Compras!$F$227="RHE","Retencion Renta 4ta Categoria por Pagar",IF(Registro_Compras!$F$227="NOTA DE CREDITO","Gastos de Servicios Prestados por Terceros","IGV - Cuenta Propia (Credito Fiscal)")))</f>
        <v/>
      </c>
      <c r="E2013" s="20">
        <f>IF($C2013="","",IF(Registro_Compras!$F$227="FACTURA",ROUND(Registro_Compras!$K$227*Registro_Compras!$N$227,2),""))</f>
        <v/>
      </c>
      <c r="F2013" s="20">
        <f>IF($C2013="","",IF(Registro_Compras!$F$227="RHE",ROUND(Registro_Compras!$V$227*Registro_Compras!$N$227,2),IF(Registro_Compras!$F$227="NOTA DE CREDITO",ROUND(ABS(Registro_Compras!$J$227*Registro_Compras!$N$227),2),"")))</f>
        <v/>
      </c>
      <c r="G2013">
        <f>IF($C2013="","",IF(Registro_Compras!$F$227="NOTA DE CREDITO","Por la nota de credito "&amp;Registro_Compras!$C$227&amp;" de "&amp;Registro_Compras!$E$227&amp;" [PATRON POR CONFIRMAR CON CONTADOR]",IF(Registro_Compras!$F$227="RHE","Por el registro del recibo por honorarios "&amp;Registro_Compras!$C$227&amp;" de "&amp;Registro_Compras!$E$227&amp;" [PATRON POR CONFIRMAR CON CONTADOR]","Por el registro de la factura "&amp;Registro_Compras!$C$227&amp;" de "&amp;Registro_Compras!$E$227)))</f>
        <v/>
      </c>
      <c r="H2013">
        <f>IF($C2013="","",Registro_Compras!$C$227)</f>
        <v/>
      </c>
    </row>
    <row r="2014">
      <c r="A2014" s="25">
        <f>IF($C2014="","",Registro_Compras!$B$227)</f>
        <v/>
      </c>
      <c r="B2014">
        <f>IF($C2014="","","C"&amp;TEXT(INT((ROW()-5)/9)+1,"000")&amp;"-1")</f>
        <v/>
      </c>
      <c r="C2014">
        <f>IF(OR(Registro_Compras!$C$227="",Registro_Compras!$O$227=""),"",IF(Registro_Compras!$F$227="NOTA DE CREDITO",IF(Registro_Compras!$K$227=0,"","40111"),"4212"))</f>
        <v/>
      </c>
      <c r="D2014">
        <f>IF(OR(Registro_Compras!$C$227="",Registro_Compras!$O$227=""),"",IF(Registro_Compras!$F$227="NOTA DE CREDITO","IGV - Cuenta Propia (Credito Fiscal)","Cuentas por Pagar Comerciales - Terceros (Emitidas)"))</f>
        <v/>
      </c>
      <c r="E2014" s="20">
        <f>""</f>
        <v/>
      </c>
      <c r="F2014" s="20">
        <f>IF($C2014="","",IF(Registro_Compras!$F$227="NOTA DE CREDITO",ROUND(ABS(Registro_Compras!$K$227*Registro_Compras!$N$227),2),IF(Registro_Compras!$F$227="RHE",(ROUND(Registro_Compras!$L$227*Registro_Compras!$N$227,2)-ROUND(Registro_Compras!$V$227*Registro_Compras!$N$227,2)),Registro_Compras!$O$227)))</f>
        <v/>
      </c>
      <c r="G2014">
        <f>IF($C2014="","",IF(Registro_Compras!$F$227="NOTA DE CREDITO","Por la nota de credito "&amp;Registro_Compras!$C$227&amp;" de "&amp;Registro_Compras!$E$227&amp;" [PATRON POR CONFIRMAR CON CONTADOR]",IF(Registro_Compras!$F$227="RHE","Por el registro del recibo por honorarios "&amp;Registro_Compras!$C$227&amp;" de "&amp;Registro_Compras!$E$227&amp;" [PATRON POR CONFIRMAR CON CONTADOR]","Por el registro de la factura "&amp;Registro_Compras!$C$227&amp;" de "&amp;Registro_Compras!$E$227)))</f>
        <v/>
      </c>
      <c r="H2014">
        <f>IF($C2014="","",Registro_Compras!$C$227)</f>
        <v/>
      </c>
    </row>
    <row r="2015">
      <c r="A2015" s="25">
        <f>IF($C2015="","",Registro_Compras!$B$227)</f>
        <v/>
      </c>
      <c r="B2015">
        <f>IF($C2015="","","C"&amp;TEXT(INT((ROW()-5)/9)+1,"000")&amp;"-2")</f>
        <v/>
      </c>
      <c r="C2015">
        <f>IF(OR(Registro_Compras!$C$227="",Registro_Compras!$O$227=""),"",IF(Registro_Compras!$AB$227="ADMINISTRATIVO","94","95"))</f>
        <v/>
      </c>
      <c r="D2015">
        <f>IF(OR(Registro_Compras!$C$227="",Registro_Compras!$O$227=""),"",IF(Registro_Compras!$AB$227="ADMINISTRATIVO","Gastos Administrativos","Gastos de Venta y Operacion"))</f>
        <v/>
      </c>
      <c r="E2015" s="20">
        <f>IF($C2015="","",IF(Registro_Compras!$F$227="NOTA DE CREDITO","",IF(Registro_Compras!$F$227="RHE",ROUND(Registro_Compras!$L$227*Registro_Compras!$N$227,2),ROUND(Registro_Compras!$J$227*Registro_Compras!$N$227,2))))</f>
        <v/>
      </c>
      <c r="F2015" s="20">
        <f>IF($C2015="","",IF(Registro_Compras!$F$227="NOTA DE CREDITO",ROUND(ABS(Registro_Compras!$J$227*Registro_Compras!$N$227),2),""))</f>
        <v/>
      </c>
      <c r="G2015">
        <f>IF($C2015="","","Por el destino del gasto")</f>
        <v/>
      </c>
      <c r="H2015">
        <f>IF($C2015="","",Registro_Compras!$C$227)</f>
        <v/>
      </c>
    </row>
    <row r="2016">
      <c r="A2016" s="25">
        <f>IF($C2016="","",Registro_Compras!$B$227)</f>
        <v/>
      </c>
      <c r="B2016">
        <f>IF($C2016="","","C"&amp;TEXT(INT((ROW()-5)/9)+1,"000")&amp;"-2")</f>
        <v/>
      </c>
      <c r="C2016">
        <f>IF(OR(Registro_Compras!$C$227="",Registro_Compras!$O$227=""),"","79/791")</f>
        <v/>
      </c>
      <c r="D2016">
        <f>IF(OR(Registro_Compras!$C$227="",Registro_Compras!$O$227=""),"","Cargas Imputables a Cuentas de Costos y Gastos")</f>
        <v/>
      </c>
      <c r="E2016" s="20">
        <f>IF($C2016="","",IF(Registro_Compras!$F$227="NOTA DE CREDITO",ROUND(ABS(Registro_Compras!$J$227*Registro_Compras!$N$227),2),""))</f>
        <v/>
      </c>
      <c r="F2016" s="20">
        <f>IF($C2016="","",IF(Registro_Compras!$F$227="NOTA DE CREDITO","",IF(Registro_Compras!$F$227="RHE",ROUND(Registro_Compras!$L$227*Registro_Compras!$N$227,2),ROUND(Registro_Compras!$J$227*Registro_Compras!$N$227,2))))</f>
        <v/>
      </c>
      <c r="G2016">
        <f>IF($C2016="","","Por el destino del gasto")</f>
        <v/>
      </c>
      <c r="H2016">
        <f>IF($C2016="","",Registro_Compras!$C$227)</f>
        <v/>
      </c>
    </row>
    <row r="2017">
      <c r="A2017" s="25">
        <f>IF($C2017="","",Registro_Compras!$X$227)</f>
        <v/>
      </c>
      <c r="B2017">
        <f>IF($C2017="","","C"&amp;TEXT(INT((ROW()-5)/9)+1,"000")&amp;"-3")</f>
        <v/>
      </c>
      <c r="C2017">
        <f>IF(OR(Registro_Compras!$C$227="",Registro_Compras!$O$227="",Registro_Compras!$R$227&lt;&gt;"SI",Registro_Compras!$X$227=""),"","4212")</f>
        <v/>
      </c>
      <c r="D2017">
        <f>IF(OR(Registro_Compras!$C$227="",Registro_Compras!$O$227=""),"","Cuentas por Pagar Comerciales - Terceros")</f>
        <v/>
      </c>
      <c r="E2017" s="20">
        <f>IF($C2017="","",Registro_Compras!$S$227)</f>
        <v/>
      </c>
      <c r="F2017" s="20">
        <f>""</f>
        <v/>
      </c>
      <c r="G2017">
        <f>IF($C2017="","","Por el deposito de la detraccion en el Banco de la Nacion")</f>
        <v/>
      </c>
      <c r="H2017">
        <f>IF($C2017="","",Registro_Compras!$C$227)</f>
        <v/>
      </c>
    </row>
    <row r="2018">
      <c r="A2018" s="25">
        <f>IF($C2018="","",Registro_Compras!$X$227)</f>
        <v/>
      </c>
      <c r="B2018">
        <f>IF($C2018="","","C"&amp;TEXT(INT((ROW()-5)/9)+1,"000")&amp;"-3")</f>
        <v/>
      </c>
      <c r="C2018">
        <f>IF(OR(Registro_Compras!$C$227="",Registro_Compras!$O$227="",Registro_Compras!$R$227&lt;&gt;"SI",Registro_Compras!$X$227=""),"","10413")</f>
        <v/>
      </c>
      <c r="D2018">
        <f>IF(OR(Registro_Compras!$C$227="",Registro_Compras!$O$227=""),"","Efectivo y Equivalentes - Cta. Cte. Operativa")</f>
        <v/>
      </c>
      <c r="E2018" s="20">
        <f>""</f>
        <v/>
      </c>
      <c r="F2018" s="20">
        <f>IF($C2018="","",Registro_Compras!$S$227)</f>
        <v/>
      </c>
      <c r="G2018">
        <f>IF($C2018="","","Por el deposito de la detraccion en el Banco de la Nacion")</f>
        <v/>
      </c>
      <c r="H2018">
        <f>IF($C2018="","",Registro_Compras!$C$227)</f>
        <v/>
      </c>
    </row>
    <row r="2019">
      <c r="A2019" s="25">
        <f>IF($C2019="","",Registro_Compras!$Y$227)</f>
        <v/>
      </c>
      <c r="B2019">
        <f>IF($C2019="","","C"&amp;TEXT(INT((ROW()-5)/9)+1,"000")&amp;"-4")</f>
        <v/>
      </c>
      <c r="C2019">
        <f>IF(OR(Registro_Compras!$C$227="",Registro_Compras!$O$227="",Registro_Compras!$Y$227="",Registro_Compras!$F$227="NOTA DE CREDITO"),"","4212")</f>
        <v/>
      </c>
      <c r="D2019">
        <f>IF(OR(Registro_Compras!$C$227="",Registro_Compras!$O$227=""),"","Cuentas por Pagar Comerciales - Terceros")</f>
        <v/>
      </c>
      <c r="E2019" s="20">
        <f>IF($C2019="","",IF(Registro_Compras!$F$227="RHE",(ROUND(Registro_Compras!$L$227*Registro_Compras!$N$227,2)-ROUND(Registro_Compras!$V$227*Registro_Compras!$N$227,2)),ROUND(Registro_Compras!$O$227-Registro_Compras!$S$227,2)))</f>
        <v/>
      </c>
      <c r="F2019" s="20">
        <f>""</f>
        <v/>
      </c>
      <c r="G2019">
        <f>IF($C2019="","","Por la cancelacion del saldo al proveedor")</f>
        <v/>
      </c>
      <c r="H2019">
        <f>IF($C2019="","",Registro_Compras!$C$227)</f>
        <v/>
      </c>
    </row>
    <row r="2020">
      <c r="A2020" s="25">
        <f>IF($C2020="","",Registro_Compras!$Y$227)</f>
        <v/>
      </c>
      <c r="B2020">
        <f>IF($C2020="","","C"&amp;TEXT(INT((ROW()-5)/9)+1,"000")&amp;"-4")</f>
        <v/>
      </c>
      <c r="C2020">
        <f>IF(OR(Registro_Compras!$C$227="",Registro_Compras!$O$227="",Registro_Compras!$Y$227="",Registro_Compras!$F$227="NOTA DE CREDITO"),"","10413")</f>
        <v/>
      </c>
      <c r="D2020">
        <f>IF(OR(Registro_Compras!$C$227="",Registro_Compras!$O$227=""),"","Efectivo y Equivalentes - Cta. Cte. Operativa")</f>
        <v/>
      </c>
      <c r="E2020" s="20">
        <f>""</f>
        <v/>
      </c>
      <c r="F2020" s="20">
        <f>IF($C2020="","",IF(Registro_Compras!$F$227="RHE",(ROUND(Registro_Compras!$L$227*Registro_Compras!$N$227,2)-ROUND(Registro_Compras!$V$227*Registro_Compras!$N$227,2)),ROUND(Registro_Compras!$O$227-Registro_Compras!$S$227,2)))</f>
        <v/>
      </c>
      <c r="G2020">
        <f>IF($C2020="","","Por la cancelacion del saldo al proveedor")</f>
        <v/>
      </c>
      <c r="H2020">
        <f>IF($C2020="","",Registro_Compras!$C$227)</f>
        <v/>
      </c>
    </row>
    <row r="2021">
      <c r="A2021" s="25">
        <f>IF($C2021="","",Registro_Compras!$B$228)</f>
        <v/>
      </c>
      <c r="B2021">
        <f>IF($C2021="","","C"&amp;TEXT(INT((ROW()-5)/9)+1,"000")&amp;"-1")</f>
        <v/>
      </c>
      <c r="C2021">
        <f>IF(OR(Registro_Compras!$C$228="",Registro_Compras!$O$228=""),"",IF(Registro_Compras!$F$228="NOTA DE CREDITO","4212",IF(Registro_Compras!$M$228="","63",Registro_Compras!$M$228)))</f>
        <v/>
      </c>
      <c r="D2021">
        <f>IF(OR(Registro_Compras!$C$228="",Registro_Compras!$O$228=""),"",IF(Registro_Compras!$F$228="NOTA DE CREDITO","Cuentas por Pagar Comerciales - Terceros (Emitidas)",IF(Registro_Compras!$F$228="RHE","Honorarios Profesionales - Servicios de Terceros","Gastos de Servicios Prestados por Terceros")))</f>
        <v/>
      </c>
      <c r="E2021" s="20">
        <f>IF($C2021="","",IF(Registro_Compras!$F$228="NOTA DE CREDITO",ABS(Registro_Compras!$O$228),IF(Registro_Compras!$F$228="RHE",ROUND(Registro_Compras!$L$228*Registro_Compras!$N$228,2),ROUND(Registro_Compras!$J$228*Registro_Compras!$N$228,2))))</f>
        <v/>
      </c>
      <c r="F2021" s="20">
        <f>""</f>
        <v/>
      </c>
      <c r="G2021">
        <f>IF($C2021="","",IF(Registro_Compras!$F$228="NOTA DE CREDITO","Por la nota de credito "&amp;Registro_Compras!$C$228&amp;" de "&amp;Registro_Compras!$E$228&amp;" [PATRON POR CONFIRMAR CON CONTADOR]",IF(Registro_Compras!$F$228="RHE","Por el registro del recibo por honorarios "&amp;Registro_Compras!$C$228&amp;" de "&amp;Registro_Compras!$E$228&amp;" [PATRON POR CONFIRMAR CON CONTADOR]","Por el registro de la factura "&amp;Registro_Compras!$C$228&amp;" de "&amp;Registro_Compras!$E$228)))</f>
        <v/>
      </c>
      <c r="H2021">
        <f>IF($C2021="","",Registro_Compras!$C$228)</f>
        <v/>
      </c>
    </row>
    <row r="2022">
      <c r="A2022" s="25">
        <f>IF($C2022="","",Registro_Compras!$B$228)</f>
        <v/>
      </c>
      <c r="B2022">
        <f>IF($C2022="","","C"&amp;TEXT(INT((ROW()-5)/9)+1,"000")&amp;"-1")</f>
        <v/>
      </c>
      <c r="C2022">
        <f>IF(OR(Registro_Compras!$C$228="",Registro_Compras!$O$228=""),"",IF(Registro_Compras!$F$228="RHE",IF(Registro_Compras!$V$228=0,"","40172"),IF(Registro_Compras!$F$228="NOTA DE CREDITO",IF(Registro_Compras!$M$228="","63",Registro_Compras!$M$228),IF(Registro_Compras!$K$228=0,"","40111"))))</f>
        <v/>
      </c>
      <c r="D2022">
        <f>IF(OR(Registro_Compras!$C$228="",Registro_Compras!$O$228=""),"",IF(Registro_Compras!$F$228="RHE","Retencion Renta 4ta Categoria por Pagar",IF(Registro_Compras!$F$228="NOTA DE CREDITO","Gastos de Servicios Prestados por Terceros","IGV - Cuenta Propia (Credito Fiscal)")))</f>
        <v/>
      </c>
      <c r="E2022" s="20">
        <f>IF($C2022="","",IF(Registro_Compras!$F$228="FACTURA",ROUND(Registro_Compras!$K$228*Registro_Compras!$N$228,2),""))</f>
        <v/>
      </c>
      <c r="F2022" s="20">
        <f>IF($C2022="","",IF(Registro_Compras!$F$228="RHE",ROUND(Registro_Compras!$V$228*Registro_Compras!$N$228,2),IF(Registro_Compras!$F$228="NOTA DE CREDITO",ROUND(ABS(Registro_Compras!$J$228*Registro_Compras!$N$228),2),"")))</f>
        <v/>
      </c>
      <c r="G2022">
        <f>IF($C2022="","",IF(Registro_Compras!$F$228="NOTA DE CREDITO","Por la nota de credito "&amp;Registro_Compras!$C$228&amp;" de "&amp;Registro_Compras!$E$228&amp;" [PATRON POR CONFIRMAR CON CONTADOR]",IF(Registro_Compras!$F$228="RHE","Por el registro del recibo por honorarios "&amp;Registro_Compras!$C$228&amp;" de "&amp;Registro_Compras!$E$228&amp;" [PATRON POR CONFIRMAR CON CONTADOR]","Por el registro de la factura "&amp;Registro_Compras!$C$228&amp;" de "&amp;Registro_Compras!$E$228)))</f>
        <v/>
      </c>
      <c r="H2022">
        <f>IF($C2022="","",Registro_Compras!$C$228)</f>
        <v/>
      </c>
    </row>
    <row r="2023">
      <c r="A2023" s="25">
        <f>IF($C2023="","",Registro_Compras!$B$228)</f>
        <v/>
      </c>
      <c r="B2023">
        <f>IF($C2023="","","C"&amp;TEXT(INT((ROW()-5)/9)+1,"000")&amp;"-1")</f>
        <v/>
      </c>
      <c r="C2023">
        <f>IF(OR(Registro_Compras!$C$228="",Registro_Compras!$O$228=""),"",IF(Registro_Compras!$F$228="NOTA DE CREDITO",IF(Registro_Compras!$K$228=0,"","40111"),"4212"))</f>
        <v/>
      </c>
      <c r="D2023">
        <f>IF(OR(Registro_Compras!$C$228="",Registro_Compras!$O$228=""),"",IF(Registro_Compras!$F$228="NOTA DE CREDITO","IGV - Cuenta Propia (Credito Fiscal)","Cuentas por Pagar Comerciales - Terceros (Emitidas)"))</f>
        <v/>
      </c>
      <c r="E2023" s="20">
        <f>""</f>
        <v/>
      </c>
      <c r="F2023" s="20">
        <f>IF($C2023="","",IF(Registro_Compras!$F$228="NOTA DE CREDITO",ROUND(ABS(Registro_Compras!$K$228*Registro_Compras!$N$228),2),IF(Registro_Compras!$F$228="RHE",(ROUND(Registro_Compras!$L$228*Registro_Compras!$N$228,2)-ROUND(Registro_Compras!$V$228*Registro_Compras!$N$228,2)),Registro_Compras!$O$228)))</f>
        <v/>
      </c>
      <c r="G2023">
        <f>IF($C2023="","",IF(Registro_Compras!$F$228="NOTA DE CREDITO","Por la nota de credito "&amp;Registro_Compras!$C$228&amp;" de "&amp;Registro_Compras!$E$228&amp;" [PATRON POR CONFIRMAR CON CONTADOR]",IF(Registro_Compras!$F$228="RHE","Por el registro del recibo por honorarios "&amp;Registro_Compras!$C$228&amp;" de "&amp;Registro_Compras!$E$228&amp;" [PATRON POR CONFIRMAR CON CONTADOR]","Por el registro de la factura "&amp;Registro_Compras!$C$228&amp;" de "&amp;Registro_Compras!$E$228)))</f>
        <v/>
      </c>
      <c r="H2023">
        <f>IF($C2023="","",Registro_Compras!$C$228)</f>
        <v/>
      </c>
    </row>
    <row r="2024">
      <c r="A2024" s="25">
        <f>IF($C2024="","",Registro_Compras!$B$228)</f>
        <v/>
      </c>
      <c r="B2024">
        <f>IF($C2024="","","C"&amp;TEXT(INT((ROW()-5)/9)+1,"000")&amp;"-2")</f>
        <v/>
      </c>
      <c r="C2024">
        <f>IF(OR(Registro_Compras!$C$228="",Registro_Compras!$O$228=""),"",IF(Registro_Compras!$AB$228="ADMINISTRATIVO","94","95"))</f>
        <v/>
      </c>
      <c r="D2024">
        <f>IF(OR(Registro_Compras!$C$228="",Registro_Compras!$O$228=""),"",IF(Registro_Compras!$AB$228="ADMINISTRATIVO","Gastos Administrativos","Gastos de Venta y Operacion"))</f>
        <v/>
      </c>
      <c r="E2024" s="20">
        <f>IF($C2024="","",IF(Registro_Compras!$F$228="NOTA DE CREDITO","",IF(Registro_Compras!$F$228="RHE",ROUND(Registro_Compras!$L$228*Registro_Compras!$N$228,2),ROUND(Registro_Compras!$J$228*Registro_Compras!$N$228,2))))</f>
        <v/>
      </c>
      <c r="F2024" s="20">
        <f>IF($C2024="","",IF(Registro_Compras!$F$228="NOTA DE CREDITO",ROUND(ABS(Registro_Compras!$J$228*Registro_Compras!$N$228),2),""))</f>
        <v/>
      </c>
      <c r="G2024">
        <f>IF($C2024="","","Por el destino del gasto")</f>
        <v/>
      </c>
      <c r="H2024">
        <f>IF($C2024="","",Registro_Compras!$C$228)</f>
        <v/>
      </c>
    </row>
    <row r="2025">
      <c r="A2025" s="25">
        <f>IF($C2025="","",Registro_Compras!$B$228)</f>
        <v/>
      </c>
      <c r="B2025">
        <f>IF($C2025="","","C"&amp;TEXT(INT((ROW()-5)/9)+1,"000")&amp;"-2")</f>
        <v/>
      </c>
      <c r="C2025">
        <f>IF(OR(Registro_Compras!$C$228="",Registro_Compras!$O$228=""),"","79/791")</f>
        <v/>
      </c>
      <c r="D2025">
        <f>IF(OR(Registro_Compras!$C$228="",Registro_Compras!$O$228=""),"","Cargas Imputables a Cuentas de Costos y Gastos")</f>
        <v/>
      </c>
      <c r="E2025" s="20">
        <f>IF($C2025="","",IF(Registro_Compras!$F$228="NOTA DE CREDITO",ROUND(ABS(Registro_Compras!$J$228*Registro_Compras!$N$228),2),""))</f>
        <v/>
      </c>
      <c r="F2025" s="20">
        <f>IF($C2025="","",IF(Registro_Compras!$F$228="NOTA DE CREDITO","",IF(Registro_Compras!$F$228="RHE",ROUND(Registro_Compras!$L$228*Registro_Compras!$N$228,2),ROUND(Registro_Compras!$J$228*Registro_Compras!$N$228,2))))</f>
        <v/>
      </c>
      <c r="G2025">
        <f>IF($C2025="","","Por el destino del gasto")</f>
        <v/>
      </c>
      <c r="H2025">
        <f>IF($C2025="","",Registro_Compras!$C$228)</f>
        <v/>
      </c>
    </row>
    <row r="2026">
      <c r="A2026" s="25">
        <f>IF($C2026="","",Registro_Compras!$X$228)</f>
        <v/>
      </c>
      <c r="B2026">
        <f>IF($C2026="","","C"&amp;TEXT(INT((ROW()-5)/9)+1,"000")&amp;"-3")</f>
        <v/>
      </c>
      <c r="C2026">
        <f>IF(OR(Registro_Compras!$C$228="",Registro_Compras!$O$228="",Registro_Compras!$R$228&lt;&gt;"SI",Registro_Compras!$X$228=""),"","4212")</f>
        <v/>
      </c>
      <c r="D2026">
        <f>IF(OR(Registro_Compras!$C$228="",Registro_Compras!$O$228=""),"","Cuentas por Pagar Comerciales - Terceros")</f>
        <v/>
      </c>
      <c r="E2026" s="20">
        <f>IF($C2026="","",Registro_Compras!$S$228)</f>
        <v/>
      </c>
      <c r="F2026" s="20">
        <f>""</f>
        <v/>
      </c>
      <c r="G2026">
        <f>IF($C2026="","","Por el deposito de la detraccion en el Banco de la Nacion")</f>
        <v/>
      </c>
      <c r="H2026">
        <f>IF($C2026="","",Registro_Compras!$C$228)</f>
        <v/>
      </c>
    </row>
    <row r="2027">
      <c r="A2027" s="25">
        <f>IF($C2027="","",Registro_Compras!$X$228)</f>
        <v/>
      </c>
      <c r="B2027">
        <f>IF($C2027="","","C"&amp;TEXT(INT((ROW()-5)/9)+1,"000")&amp;"-3")</f>
        <v/>
      </c>
      <c r="C2027">
        <f>IF(OR(Registro_Compras!$C$228="",Registro_Compras!$O$228="",Registro_Compras!$R$228&lt;&gt;"SI",Registro_Compras!$X$228=""),"","10413")</f>
        <v/>
      </c>
      <c r="D2027">
        <f>IF(OR(Registro_Compras!$C$228="",Registro_Compras!$O$228=""),"","Efectivo y Equivalentes - Cta. Cte. Operativa")</f>
        <v/>
      </c>
      <c r="E2027" s="20">
        <f>""</f>
        <v/>
      </c>
      <c r="F2027" s="20">
        <f>IF($C2027="","",Registro_Compras!$S$228)</f>
        <v/>
      </c>
      <c r="G2027">
        <f>IF($C2027="","","Por el deposito de la detraccion en el Banco de la Nacion")</f>
        <v/>
      </c>
      <c r="H2027">
        <f>IF($C2027="","",Registro_Compras!$C$228)</f>
        <v/>
      </c>
    </row>
    <row r="2028">
      <c r="A2028" s="25">
        <f>IF($C2028="","",Registro_Compras!$Y$228)</f>
        <v/>
      </c>
      <c r="B2028">
        <f>IF($C2028="","","C"&amp;TEXT(INT((ROW()-5)/9)+1,"000")&amp;"-4")</f>
        <v/>
      </c>
      <c r="C2028">
        <f>IF(OR(Registro_Compras!$C$228="",Registro_Compras!$O$228="",Registro_Compras!$Y$228="",Registro_Compras!$F$228="NOTA DE CREDITO"),"","4212")</f>
        <v/>
      </c>
      <c r="D2028">
        <f>IF(OR(Registro_Compras!$C$228="",Registro_Compras!$O$228=""),"","Cuentas por Pagar Comerciales - Terceros")</f>
        <v/>
      </c>
      <c r="E2028" s="20">
        <f>IF($C2028="","",IF(Registro_Compras!$F$228="RHE",(ROUND(Registro_Compras!$L$228*Registro_Compras!$N$228,2)-ROUND(Registro_Compras!$V$228*Registro_Compras!$N$228,2)),ROUND(Registro_Compras!$O$228-Registro_Compras!$S$228,2)))</f>
        <v/>
      </c>
      <c r="F2028" s="20">
        <f>""</f>
        <v/>
      </c>
      <c r="G2028">
        <f>IF($C2028="","","Por la cancelacion del saldo al proveedor")</f>
        <v/>
      </c>
      <c r="H2028">
        <f>IF($C2028="","",Registro_Compras!$C$228)</f>
        <v/>
      </c>
    </row>
    <row r="2029">
      <c r="A2029" s="25">
        <f>IF($C2029="","",Registro_Compras!$Y$228)</f>
        <v/>
      </c>
      <c r="B2029">
        <f>IF($C2029="","","C"&amp;TEXT(INT((ROW()-5)/9)+1,"000")&amp;"-4")</f>
        <v/>
      </c>
      <c r="C2029">
        <f>IF(OR(Registro_Compras!$C$228="",Registro_Compras!$O$228="",Registro_Compras!$Y$228="",Registro_Compras!$F$228="NOTA DE CREDITO"),"","10413")</f>
        <v/>
      </c>
      <c r="D2029">
        <f>IF(OR(Registro_Compras!$C$228="",Registro_Compras!$O$228=""),"","Efectivo y Equivalentes - Cta. Cte. Operativa")</f>
        <v/>
      </c>
      <c r="E2029" s="20">
        <f>""</f>
        <v/>
      </c>
      <c r="F2029" s="20">
        <f>IF($C2029="","",IF(Registro_Compras!$F$228="RHE",(ROUND(Registro_Compras!$L$228*Registro_Compras!$N$228,2)-ROUND(Registro_Compras!$V$228*Registro_Compras!$N$228,2)),ROUND(Registro_Compras!$O$228-Registro_Compras!$S$228,2)))</f>
        <v/>
      </c>
      <c r="G2029">
        <f>IF($C2029="","","Por la cancelacion del saldo al proveedor")</f>
        <v/>
      </c>
      <c r="H2029">
        <f>IF($C2029="","",Registro_Compras!$C$228)</f>
        <v/>
      </c>
    </row>
    <row r="2030">
      <c r="A2030" s="25">
        <f>IF($C2030="","",Registro_Compras!$B$229)</f>
        <v/>
      </c>
      <c r="B2030">
        <f>IF($C2030="","","C"&amp;TEXT(INT((ROW()-5)/9)+1,"000")&amp;"-1")</f>
        <v/>
      </c>
      <c r="C2030">
        <f>IF(OR(Registro_Compras!$C$229="",Registro_Compras!$O$229=""),"",IF(Registro_Compras!$F$229="NOTA DE CREDITO","4212",IF(Registro_Compras!$M$229="","63",Registro_Compras!$M$229)))</f>
        <v/>
      </c>
      <c r="D2030">
        <f>IF(OR(Registro_Compras!$C$229="",Registro_Compras!$O$229=""),"",IF(Registro_Compras!$F$229="NOTA DE CREDITO","Cuentas por Pagar Comerciales - Terceros (Emitidas)",IF(Registro_Compras!$F$229="RHE","Honorarios Profesionales - Servicios de Terceros","Gastos de Servicios Prestados por Terceros")))</f>
        <v/>
      </c>
      <c r="E2030" s="20">
        <f>IF($C2030="","",IF(Registro_Compras!$F$229="NOTA DE CREDITO",ABS(Registro_Compras!$O$229),IF(Registro_Compras!$F$229="RHE",ROUND(Registro_Compras!$L$229*Registro_Compras!$N$229,2),ROUND(Registro_Compras!$J$229*Registro_Compras!$N$229,2))))</f>
        <v/>
      </c>
      <c r="F2030" s="20">
        <f>""</f>
        <v/>
      </c>
      <c r="G2030">
        <f>IF($C2030="","",IF(Registro_Compras!$F$229="NOTA DE CREDITO","Por la nota de credito "&amp;Registro_Compras!$C$229&amp;" de "&amp;Registro_Compras!$E$229&amp;" [PATRON POR CONFIRMAR CON CONTADOR]",IF(Registro_Compras!$F$229="RHE","Por el registro del recibo por honorarios "&amp;Registro_Compras!$C$229&amp;" de "&amp;Registro_Compras!$E$229&amp;" [PATRON POR CONFIRMAR CON CONTADOR]","Por el registro de la factura "&amp;Registro_Compras!$C$229&amp;" de "&amp;Registro_Compras!$E$229)))</f>
        <v/>
      </c>
      <c r="H2030">
        <f>IF($C2030="","",Registro_Compras!$C$229)</f>
        <v/>
      </c>
    </row>
    <row r="2031">
      <c r="A2031" s="25">
        <f>IF($C2031="","",Registro_Compras!$B$229)</f>
        <v/>
      </c>
      <c r="B2031">
        <f>IF($C2031="","","C"&amp;TEXT(INT((ROW()-5)/9)+1,"000")&amp;"-1")</f>
        <v/>
      </c>
      <c r="C2031">
        <f>IF(OR(Registro_Compras!$C$229="",Registro_Compras!$O$229=""),"",IF(Registro_Compras!$F$229="RHE",IF(Registro_Compras!$V$229=0,"","40172"),IF(Registro_Compras!$F$229="NOTA DE CREDITO",IF(Registro_Compras!$M$229="","63",Registro_Compras!$M$229),IF(Registro_Compras!$K$229=0,"","40111"))))</f>
        <v/>
      </c>
      <c r="D2031">
        <f>IF(OR(Registro_Compras!$C$229="",Registro_Compras!$O$229=""),"",IF(Registro_Compras!$F$229="RHE","Retencion Renta 4ta Categoria por Pagar",IF(Registro_Compras!$F$229="NOTA DE CREDITO","Gastos de Servicios Prestados por Terceros","IGV - Cuenta Propia (Credito Fiscal)")))</f>
        <v/>
      </c>
      <c r="E2031" s="20">
        <f>IF($C2031="","",IF(Registro_Compras!$F$229="FACTURA",ROUND(Registro_Compras!$K$229*Registro_Compras!$N$229,2),""))</f>
        <v/>
      </c>
      <c r="F2031" s="20">
        <f>IF($C2031="","",IF(Registro_Compras!$F$229="RHE",ROUND(Registro_Compras!$V$229*Registro_Compras!$N$229,2),IF(Registro_Compras!$F$229="NOTA DE CREDITO",ROUND(ABS(Registro_Compras!$J$229*Registro_Compras!$N$229),2),"")))</f>
        <v/>
      </c>
      <c r="G2031">
        <f>IF($C2031="","",IF(Registro_Compras!$F$229="NOTA DE CREDITO","Por la nota de credito "&amp;Registro_Compras!$C$229&amp;" de "&amp;Registro_Compras!$E$229&amp;" [PATRON POR CONFIRMAR CON CONTADOR]",IF(Registro_Compras!$F$229="RHE","Por el registro del recibo por honorarios "&amp;Registro_Compras!$C$229&amp;" de "&amp;Registro_Compras!$E$229&amp;" [PATRON POR CONFIRMAR CON CONTADOR]","Por el registro de la factura "&amp;Registro_Compras!$C$229&amp;" de "&amp;Registro_Compras!$E$229)))</f>
        <v/>
      </c>
      <c r="H2031">
        <f>IF($C2031="","",Registro_Compras!$C$229)</f>
        <v/>
      </c>
    </row>
    <row r="2032">
      <c r="A2032" s="25">
        <f>IF($C2032="","",Registro_Compras!$B$229)</f>
        <v/>
      </c>
      <c r="B2032">
        <f>IF($C2032="","","C"&amp;TEXT(INT((ROW()-5)/9)+1,"000")&amp;"-1")</f>
        <v/>
      </c>
      <c r="C2032">
        <f>IF(OR(Registro_Compras!$C$229="",Registro_Compras!$O$229=""),"",IF(Registro_Compras!$F$229="NOTA DE CREDITO",IF(Registro_Compras!$K$229=0,"","40111"),"4212"))</f>
        <v/>
      </c>
      <c r="D2032">
        <f>IF(OR(Registro_Compras!$C$229="",Registro_Compras!$O$229=""),"",IF(Registro_Compras!$F$229="NOTA DE CREDITO","IGV - Cuenta Propia (Credito Fiscal)","Cuentas por Pagar Comerciales - Terceros (Emitidas)"))</f>
        <v/>
      </c>
      <c r="E2032" s="20">
        <f>""</f>
        <v/>
      </c>
      <c r="F2032" s="20">
        <f>IF($C2032="","",IF(Registro_Compras!$F$229="NOTA DE CREDITO",ROUND(ABS(Registro_Compras!$K$229*Registro_Compras!$N$229),2),IF(Registro_Compras!$F$229="RHE",(ROUND(Registro_Compras!$L$229*Registro_Compras!$N$229,2)-ROUND(Registro_Compras!$V$229*Registro_Compras!$N$229,2)),Registro_Compras!$O$229)))</f>
        <v/>
      </c>
      <c r="G2032">
        <f>IF($C2032="","",IF(Registro_Compras!$F$229="NOTA DE CREDITO","Por la nota de credito "&amp;Registro_Compras!$C$229&amp;" de "&amp;Registro_Compras!$E$229&amp;" [PATRON POR CONFIRMAR CON CONTADOR]",IF(Registro_Compras!$F$229="RHE","Por el registro del recibo por honorarios "&amp;Registro_Compras!$C$229&amp;" de "&amp;Registro_Compras!$E$229&amp;" [PATRON POR CONFIRMAR CON CONTADOR]","Por el registro de la factura "&amp;Registro_Compras!$C$229&amp;" de "&amp;Registro_Compras!$E$229)))</f>
        <v/>
      </c>
      <c r="H2032">
        <f>IF($C2032="","",Registro_Compras!$C$229)</f>
        <v/>
      </c>
    </row>
    <row r="2033">
      <c r="A2033" s="25">
        <f>IF($C2033="","",Registro_Compras!$B$229)</f>
        <v/>
      </c>
      <c r="B2033">
        <f>IF($C2033="","","C"&amp;TEXT(INT((ROW()-5)/9)+1,"000")&amp;"-2")</f>
        <v/>
      </c>
      <c r="C2033">
        <f>IF(OR(Registro_Compras!$C$229="",Registro_Compras!$O$229=""),"",IF(Registro_Compras!$AB$229="ADMINISTRATIVO","94","95"))</f>
        <v/>
      </c>
      <c r="D2033">
        <f>IF(OR(Registro_Compras!$C$229="",Registro_Compras!$O$229=""),"",IF(Registro_Compras!$AB$229="ADMINISTRATIVO","Gastos Administrativos","Gastos de Venta y Operacion"))</f>
        <v/>
      </c>
      <c r="E2033" s="20">
        <f>IF($C2033="","",IF(Registro_Compras!$F$229="NOTA DE CREDITO","",IF(Registro_Compras!$F$229="RHE",ROUND(Registro_Compras!$L$229*Registro_Compras!$N$229,2),ROUND(Registro_Compras!$J$229*Registro_Compras!$N$229,2))))</f>
        <v/>
      </c>
      <c r="F2033" s="20">
        <f>IF($C2033="","",IF(Registro_Compras!$F$229="NOTA DE CREDITO",ROUND(ABS(Registro_Compras!$J$229*Registro_Compras!$N$229),2),""))</f>
        <v/>
      </c>
      <c r="G2033">
        <f>IF($C2033="","","Por el destino del gasto")</f>
        <v/>
      </c>
      <c r="H2033">
        <f>IF($C2033="","",Registro_Compras!$C$229)</f>
        <v/>
      </c>
    </row>
    <row r="2034">
      <c r="A2034" s="25">
        <f>IF($C2034="","",Registro_Compras!$B$229)</f>
        <v/>
      </c>
      <c r="B2034">
        <f>IF($C2034="","","C"&amp;TEXT(INT((ROW()-5)/9)+1,"000")&amp;"-2")</f>
        <v/>
      </c>
      <c r="C2034">
        <f>IF(OR(Registro_Compras!$C$229="",Registro_Compras!$O$229=""),"","79/791")</f>
        <v/>
      </c>
      <c r="D2034">
        <f>IF(OR(Registro_Compras!$C$229="",Registro_Compras!$O$229=""),"","Cargas Imputables a Cuentas de Costos y Gastos")</f>
        <v/>
      </c>
      <c r="E2034" s="20">
        <f>IF($C2034="","",IF(Registro_Compras!$F$229="NOTA DE CREDITO",ROUND(ABS(Registro_Compras!$J$229*Registro_Compras!$N$229),2),""))</f>
        <v/>
      </c>
      <c r="F2034" s="20">
        <f>IF($C2034="","",IF(Registro_Compras!$F$229="NOTA DE CREDITO","",IF(Registro_Compras!$F$229="RHE",ROUND(Registro_Compras!$L$229*Registro_Compras!$N$229,2),ROUND(Registro_Compras!$J$229*Registro_Compras!$N$229,2))))</f>
        <v/>
      </c>
      <c r="G2034">
        <f>IF($C2034="","","Por el destino del gasto")</f>
        <v/>
      </c>
      <c r="H2034">
        <f>IF($C2034="","",Registro_Compras!$C$229)</f>
        <v/>
      </c>
    </row>
    <row r="2035">
      <c r="A2035" s="25">
        <f>IF($C2035="","",Registro_Compras!$X$229)</f>
        <v/>
      </c>
      <c r="B2035">
        <f>IF($C2035="","","C"&amp;TEXT(INT((ROW()-5)/9)+1,"000")&amp;"-3")</f>
        <v/>
      </c>
      <c r="C2035">
        <f>IF(OR(Registro_Compras!$C$229="",Registro_Compras!$O$229="",Registro_Compras!$R$229&lt;&gt;"SI",Registro_Compras!$X$229=""),"","4212")</f>
        <v/>
      </c>
      <c r="D2035">
        <f>IF(OR(Registro_Compras!$C$229="",Registro_Compras!$O$229=""),"","Cuentas por Pagar Comerciales - Terceros")</f>
        <v/>
      </c>
      <c r="E2035" s="20">
        <f>IF($C2035="","",Registro_Compras!$S$229)</f>
        <v/>
      </c>
      <c r="F2035" s="20">
        <f>""</f>
        <v/>
      </c>
      <c r="G2035">
        <f>IF($C2035="","","Por el deposito de la detraccion en el Banco de la Nacion")</f>
        <v/>
      </c>
      <c r="H2035">
        <f>IF($C2035="","",Registro_Compras!$C$229)</f>
        <v/>
      </c>
    </row>
    <row r="2036">
      <c r="A2036" s="25">
        <f>IF($C2036="","",Registro_Compras!$X$229)</f>
        <v/>
      </c>
      <c r="B2036">
        <f>IF($C2036="","","C"&amp;TEXT(INT((ROW()-5)/9)+1,"000")&amp;"-3")</f>
        <v/>
      </c>
      <c r="C2036">
        <f>IF(OR(Registro_Compras!$C$229="",Registro_Compras!$O$229="",Registro_Compras!$R$229&lt;&gt;"SI",Registro_Compras!$X$229=""),"","10413")</f>
        <v/>
      </c>
      <c r="D2036">
        <f>IF(OR(Registro_Compras!$C$229="",Registro_Compras!$O$229=""),"","Efectivo y Equivalentes - Cta. Cte. Operativa")</f>
        <v/>
      </c>
      <c r="E2036" s="20">
        <f>""</f>
        <v/>
      </c>
      <c r="F2036" s="20">
        <f>IF($C2036="","",Registro_Compras!$S$229)</f>
        <v/>
      </c>
      <c r="G2036">
        <f>IF($C2036="","","Por el deposito de la detraccion en el Banco de la Nacion")</f>
        <v/>
      </c>
      <c r="H2036">
        <f>IF($C2036="","",Registro_Compras!$C$229)</f>
        <v/>
      </c>
    </row>
    <row r="2037">
      <c r="A2037" s="25">
        <f>IF($C2037="","",Registro_Compras!$Y$229)</f>
        <v/>
      </c>
      <c r="B2037">
        <f>IF($C2037="","","C"&amp;TEXT(INT((ROW()-5)/9)+1,"000")&amp;"-4")</f>
        <v/>
      </c>
      <c r="C2037">
        <f>IF(OR(Registro_Compras!$C$229="",Registro_Compras!$O$229="",Registro_Compras!$Y$229="",Registro_Compras!$F$229="NOTA DE CREDITO"),"","4212")</f>
        <v/>
      </c>
      <c r="D2037">
        <f>IF(OR(Registro_Compras!$C$229="",Registro_Compras!$O$229=""),"","Cuentas por Pagar Comerciales - Terceros")</f>
        <v/>
      </c>
      <c r="E2037" s="20">
        <f>IF($C2037="","",IF(Registro_Compras!$F$229="RHE",(ROUND(Registro_Compras!$L$229*Registro_Compras!$N$229,2)-ROUND(Registro_Compras!$V$229*Registro_Compras!$N$229,2)),ROUND(Registro_Compras!$O$229-Registro_Compras!$S$229,2)))</f>
        <v/>
      </c>
      <c r="F2037" s="20">
        <f>""</f>
        <v/>
      </c>
      <c r="G2037">
        <f>IF($C2037="","","Por la cancelacion del saldo al proveedor")</f>
        <v/>
      </c>
      <c r="H2037">
        <f>IF($C2037="","",Registro_Compras!$C$229)</f>
        <v/>
      </c>
    </row>
    <row r="2038">
      <c r="A2038" s="25">
        <f>IF($C2038="","",Registro_Compras!$Y$229)</f>
        <v/>
      </c>
      <c r="B2038">
        <f>IF($C2038="","","C"&amp;TEXT(INT((ROW()-5)/9)+1,"000")&amp;"-4")</f>
        <v/>
      </c>
      <c r="C2038">
        <f>IF(OR(Registro_Compras!$C$229="",Registro_Compras!$O$229="",Registro_Compras!$Y$229="",Registro_Compras!$F$229="NOTA DE CREDITO"),"","10413")</f>
        <v/>
      </c>
      <c r="D2038">
        <f>IF(OR(Registro_Compras!$C$229="",Registro_Compras!$O$229=""),"","Efectivo y Equivalentes - Cta. Cte. Operativa")</f>
        <v/>
      </c>
      <c r="E2038" s="20">
        <f>""</f>
        <v/>
      </c>
      <c r="F2038" s="20">
        <f>IF($C2038="","",IF(Registro_Compras!$F$229="RHE",(ROUND(Registro_Compras!$L$229*Registro_Compras!$N$229,2)-ROUND(Registro_Compras!$V$229*Registro_Compras!$N$229,2)),ROUND(Registro_Compras!$O$229-Registro_Compras!$S$229,2)))</f>
        <v/>
      </c>
      <c r="G2038">
        <f>IF($C2038="","","Por la cancelacion del saldo al proveedor")</f>
        <v/>
      </c>
      <c r="H2038">
        <f>IF($C2038="","",Registro_Compras!$C$229)</f>
        <v/>
      </c>
    </row>
    <row r="2039">
      <c r="A2039" s="25">
        <f>IF($C2039="","",Registro_Compras!$B$230)</f>
        <v/>
      </c>
      <c r="B2039">
        <f>IF($C2039="","","C"&amp;TEXT(INT((ROW()-5)/9)+1,"000")&amp;"-1")</f>
        <v/>
      </c>
      <c r="C2039">
        <f>IF(OR(Registro_Compras!$C$230="",Registro_Compras!$O$230=""),"",IF(Registro_Compras!$F$230="NOTA DE CREDITO","4212",IF(Registro_Compras!$M$230="","63",Registro_Compras!$M$230)))</f>
        <v/>
      </c>
      <c r="D2039">
        <f>IF(OR(Registro_Compras!$C$230="",Registro_Compras!$O$230=""),"",IF(Registro_Compras!$F$230="NOTA DE CREDITO","Cuentas por Pagar Comerciales - Terceros (Emitidas)",IF(Registro_Compras!$F$230="RHE","Honorarios Profesionales - Servicios de Terceros","Gastos de Servicios Prestados por Terceros")))</f>
        <v/>
      </c>
      <c r="E2039" s="20">
        <f>IF($C2039="","",IF(Registro_Compras!$F$230="NOTA DE CREDITO",ABS(Registro_Compras!$O$230),IF(Registro_Compras!$F$230="RHE",ROUND(Registro_Compras!$L$230*Registro_Compras!$N$230,2),ROUND(Registro_Compras!$J$230*Registro_Compras!$N$230,2))))</f>
        <v/>
      </c>
      <c r="F2039" s="20">
        <f>""</f>
        <v/>
      </c>
      <c r="G2039">
        <f>IF($C2039="","",IF(Registro_Compras!$F$230="NOTA DE CREDITO","Por la nota de credito "&amp;Registro_Compras!$C$230&amp;" de "&amp;Registro_Compras!$E$230&amp;" [PATRON POR CONFIRMAR CON CONTADOR]",IF(Registro_Compras!$F$230="RHE","Por el registro del recibo por honorarios "&amp;Registro_Compras!$C$230&amp;" de "&amp;Registro_Compras!$E$230&amp;" [PATRON POR CONFIRMAR CON CONTADOR]","Por el registro de la factura "&amp;Registro_Compras!$C$230&amp;" de "&amp;Registro_Compras!$E$230)))</f>
        <v/>
      </c>
      <c r="H2039">
        <f>IF($C2039="","",Registro_Compras!$C$230)</f>
        <v/>
      </c>
    </row>
    <row r="2040">
      <c r="A2040" s="25">
        <f>IF($C2040="","",Registro_Compras!$B$230)</f>
        <v/>
      </c>
      <c r="B2040">
        <f>IF($C2040="","","C"&amp;TEXT(INT((ROW()-5)/9)+1,"000")&amp;"-1")</f>
        <v/>
      </c>
      <c r="C2040">
        <f>IF(OR(Registro_Compras!$C$230="",Registro_Compras!$O$230=""),"",IF(Registro_Compras!$F$230="RHE",IF(Registro_Compras!$V$230=0,"","40172"),IF(Registro_Compras!$F$230="NOTA DE CREDITO",IF(Registro_Compras!$M$230="","63",Registro_Compras!$M$230),IF(Registro_Compras!$K$230=0,"","40111"))))</f>
        <v/>
      </c>
      <c r="D2040">
        <f>IF(OR(Registro_Compras!$C$230="",Registro_Compras!$O$230=""),"",IF(Registro_Compras!$F$230="RHE","Retencion Renta 4ta Categoria por Pagar",IF(Registro_Compras!$F$230="NOTA DE CREDITO","Gastos de Servicios Prestados por Terceros","IGV - Cuenta Propia (Credito Fiscal)")))</f>
        <v/>
      </c>
      <c r="E2040" s="20">
        <f>IF($C2040="","",IF(Registro_Compras!$F$230="FACTURA",ROUND(Registro_Compras!$K$230*Registro_Compras!$N$230,2),""))</f>
        <v/>
      </c>
      <c r="F2040" s="20">
        <f>IF($C2040="","",IF(Registro_Compras!$F$230="RHE",ROUND(Registro_Compras!$V$230*Registro_Compras!$N$230,2),IF(Registro_Compras!$F$230="NOTA DE CREDITO",ROUND(ABS(Registro_Compras!$J$230*Registro_Compras!$N$230),2),"")))</f>
        <v/>
      </c>
      <c r="G2040">
        <f>IF($C2040="","",IF(Registro_Compras!$F$230="NOTA DE CREDITO","Por la nota de credito "&amp;Registro_Compras!$C$230&amp;" de "&amp;Registro_Compras!$E$230&amp;" [PATRON POR CONFIRMAR CON CONTADOR]",IF(Registro_Compras!$F$230="RHE","Por el registro del recibo por honorarios "&amp;Registro_Compras!$C$230&amp;" de "&amp;Registro_Compras!$E$230&amp;" [PATRON POR CONFIRMAR CON CONTADOR]","Por el registro de la factura "&amp;Registro_Compras!$C$230&amp;" de "&amp;Registro_Compras!$E$230)))</f>
        <v/>
      </c>
      <c r="H2040">
        <f>IF($C2040="","",Registro_Compras!$C$230)</f>
        <v/>
      </c>
    </row>
    <row r="2041">
      <c r="A2041" s="25">
        <f>IF($C2041="","",Registro_Compras!$B$230)</f>
        <v/>
      </c>
      <c r="B2041">
        <f>IF($C2041="","","C"&amp;TEXT(INT((ROW()-5)/9)+1,"000")&amp;"-1")</f>
        <v/>
      </c>
      <c r="C2041">
        <f>IF(OR(Registro_Compras!$C$230="",Registro_Compras!$O$230=""),"",IF(Registro_Compras!$F$230="NOTA DE CREDITO",IF(Registro_Compras!$K$230=0,"","40111"),"4212"))</f>
        <v/>
      </c>
      <c r="D2041">
        <f>IF(OR(Registro_Compras!$C$230="",Registro_Compras!$O$230=""),"",IF(Registro_Compras!$F$230="NOTA DE CREDITO","IGV - Cuenta Propia (Credito Fiscal)","Cuentas por Pagar Comerciales - Terceros (Emitidas)"))</f>
        <v/>
      </c>
      <c r="E2041" s="20">
        <f>""</f>
        <v/>
      </c>
      <c r="F2041" s="20">
        <f>IF($C2041="","",IF(Registro_Compras!$F$230="NOTA DE CREDITO",ROUND(ABS(Registro_Compras!$K$230*Registro_Compras!$N$230),2),IF(Registro_Compras!$F$230="RHE",(ROUND(Registro_Compras!$L$230*Registro_Compras!$N$230,2)-ROUND(Registro_Compras!$V$230*Registro_Compras!$N$230,2)),Registro_Compras!$O$230)))</f>
        <v/>
      </c>
      <c r="G2041">
        <f>IF($C2041="","",IF(Registro_Compras!$F$230="NOTA DE CREDITO","Por la nota de credito "&amp;Registro_Compras!$C$230&amp;" de "&amp;Registro_Compras!$E$230&amp;" [PATRON POR CONFIRMAR CON CONTADOR]",IF(Registro_Compras!$F$230="RHE","Por el registro del recibo por honorarios "&amp;Registro_Compras!$C$230&amp;" de "&amp;Registro_Compras!$E$230&amp;" [PATRON POR CONFIRMAR CON CONTADOR]","Por el registro de la factura "&amp;Registro_Compras!$C$230&amp;" de "&amp;Registro_Compras!$E$230)))</f>
        <v/>
      </c>
      <c r="H2041">
        <f>IF($C2041="","",Registro_Compras!$C$230)</f>
        <v/>
      </c>
    </row>
    <row r="2042">
      <c r="A2042" s="25">
        <f>IF($C2042="","",Registro_Compras!$B$230)</f>
        <v/>
      </c>
      <c r="B2042">
        <f>IF($C2042="","","C"&amp;TEXT(INT((ROW()-5)/9)+1,"000")&amp;"-2")</f>
        <v/>
      </c>
      <c r="C2042">
        <f>IF(OR(Registro_Compras!$C$230="",Registro_Compras!$O$230=""),"",IF(Registro_Compras!$AB$230="ADMINISTRATIVO","94","95"))</f>
        <v/>
      </c>
      <c r="D2042">
        <f>IF(OR(Registro_Compras!$C$230="",Registro_Compras!$O$230=""),"",IF(Registro_Compras!$AB$230="ADMINISTRATIVO","Gastos Administrativos","Gastos de Venta y Operacion"))</f>
        <v/>
      </c>
      <c r="E2042" s="20">
        <f>IF($C2042="","",IF(Registro_Compras!$F$230="NOTA DE CREDITO","",IF(Registro_Compras!$F$230="RHE",ROUND(Registro_Compras!$L$230*Registro_Compras!$N$230,2),ROUND(Registro_Compras!$J$230*Registro_Compras!$N$230,2))))</f>
        <v/>
      </c>
      <c r="F2042" s="20">
        <f>IF($C2042="","",IF(Registro_Compras!$F$230="NOTA DE CREDITO",ROUND(ABS(Registro_Compras!$J$230*Registro_Compras!$N$230),2),""))</f>
        <v/>
      </c>
      <c r="G2042">
        <f>IF($C2042="","","Por el destino del gasto")</f>
        <v/>
      </c>
      <c r="H2042">
        <f>IF($C2042="","",Registro_Compras!$C$230)</f>
        <v/>
      </c>
    </row>
    <row r="2043">
      <c r="A2043" s="25">
        <f>IF($C2043="","",Registro_Compras!$B$230)</f>
        <v/>
      </c>
      <c r="B2043">
        <f>IF($C2043="","","C"&amp;TEXT(INT((ROW()-5)/9)+1,"000")&amp;"-2")</f>
        <v/>
      </c>
      <c r="C2043">
        <f>IF(OR(Registro_Compras!$C$230="",Registro_Compras!$O$230=""),"","79/791")</f>
        <v/>
      </c>
      <c r="D2043">
        <f>IF(OR(Registro_Compras!$C$230="",Registro_Compras!$O$230=""),"","Cargas Imputables a Cuentas de Costos y Gastos")</f>
        <v/>
      </c>
      <c r="E2043" s="20">
        <f>IF($C2043="","",IF(Registro_Compras!$F$230="NOTA DE CREDITO",ROUND(ABS(Registro_Compras!$J$230*Registro_Compras!$N$230),2),""))</f>
        <v/>
      </c>
      <c r="F2043" s="20">
        <f>IF($C2043="","",IF(Registro_Compras!$F$230="NOTA DE CREDITO","",IF(Registro_Compras!$F$230="RHE",ROUND(Registro_Compras!$L$230*Registro_Compras!$N$230,2),ROUND(Registro_Compras!$J$230*Registro_Compras!$N$230,2))))</f>
        <v/>
      </c>
      <c r="G2043">
        <f>IF($C2043="","","Por el destino del gasto")</f>
        <v/>
      </c>
      <c r="H2043">
        <f>IF($C2043="","",Registro_Compras!$C$230)</f>
        <v/>
      </c>
    </row>
    <row r="2044">
      <c r="A2044" s="25">
        <f>IF($C2044="","",Registro_Compras!$X$230)</f>
        <v/>
      </c>
      <c r="B2044">
        <f>IF($C2044="","","C"&amp;TEXT(INT((ROW()-5)/9)+1,"000")&amp;"-3")</f>
        <v/>
      </c>
      <c r="C2044">
        <f>IF(OR(Registro_Compras!$C$230="",Registro_Compras!$O$230="",Registro_Compras!$R$230&lt;&gt;"SI",Registro_Compras!$X$230=""),"","4212")</f>
        <v/>
      </c>
      <c r="D2044">
        <f>IF(OR(Registro_Compras!$C$230="",Registro_Compras!$O$230=""),"","Cuentas por Pagar Comerciales - Terceros")</f>
        <v/>
      </c>
      <c r="E2044" s="20">
        <f>IF($C2044="","",Registro_Compras!$S$230)</f>
        <v/>
      </c>
      <c r="F2044" s="20">
        <f>""</f>
        <v/>
      </c>
      <c r="G2044">
        <f>IF($C2044="","","Por el deposito de la detraccion en el Banco de la Nacion")</f>
        <v/>
      </c>
      <c r="H2044">
        <f>IF($C2044="","",Registro_Compras!$C$230)</f>
        <v/>
      </c>
    </row>
    <row r="2045">
      <c r="A2045" s="25">
        <f>IF($C2045="","",Registro_Compras!$X$230)</f>
        <v/>
      </c>
      <c r="B2045">
        <f>IF($C2045="","","C"&amp;TEXT(INT((ROW()-5)/9)+1,"000")&amp;"-3")</f>
        <v/>
      </c>
      <c r="C2045">
        <f>IF(OR(Registro_Compras!$C$230="",Registro_Compras!$O$230="",Registro_Compras!$R$230&lt;&gt;"SI",Registro_Compras!$X$230=""),"","10413")</f>
        <v/>
      </c>
      <c r="D2045">
        <f>IF(OR(Registro_Compras!$C$230="",Registro_Compras!$O$230=""),"","Efectivo y Equivalentes - Cta. Cte. Operativa")</f>
        <v/>
      </c>
      <c r="E2045" s="20">
        <f>""</f>
        <v/>
      </c>
      <c r="F2045" s="20">
        <f>IF($C2045="","",Registro_Compras!$S$230)</f>
        <v/>
      </c>
      <c r="G2045">
        <f>IF($C2045="","","Por el deposito de la detraccion en el Banco de la Nacion")</f>
        <v/>
      </c>
      <c r="H2045">
        <f>IF($C2045="","",Registro_Compras!$C$230)</f>
        <v/>
      </c>
    </row>
    <row r="2046">
      <c r="A2046" s="25">
        <f>IF($C2046="","",Registro_Compras!$Y$230)</f>
        <v/>
      </c>
      <c r="B2046">
        <f>IF($C2046="","","C"&amp;TEXT(INT((ROW()-5)/9)+1,"000")&amp;"-4")</f>
        <v/>
      </c>
      <c r="C2046">
        <f>IF(OR(Registro_Compras!$C$230="",Registro_Compras!$O$230="",Registro_Compras!$Y$230="",Registro_Compras!$F$230="NOTA DE CREDITO"),"","4212")</f>
        <v/>
      </c>
      <c r="D2046">
        <f>IF(OR(Registro_Compras!$C$230="",Registro_Compras!$O$230=""),"","Cuentas por Pagar Comerciales - Terceros")</f>
        <v/>
      </c>
      <c r="E2046" s="20">
        <f>IF($C2046="","",IF(Registro_Compras!$F$230="RHE",(ROUND(Registro_Compras!$L$230*Registro_Compras!$N$230,2)-ROUND(Registro_Compras!$V$230*Registro_Compras!$N$230,2)),ROUND(Registro_Compras!$O$230-Registro_Compras!$S$230,2)))</f>
        <v/>
      </c>
      <c r="F2046" s="20">
        <f>""</f>
        <v/>
      </c>
      <c r="G2046">
        <f>IF($C2046="","","Por la cancelacion del saldo al proveedor")</f>
        <v/>
      </c>
      <c r="H2046">
        <f>IF($C2046="","",Registro_Compras!$C$230)</f>
        <v/>
      </c>
    </row>
    <row r="2047">
      <c r="A2047" s="25">
        <f>IF($C2047="","",Registro_Compras!$Y$230)</f>
        <v/>
      </c>
      <c r="B2047">
        <f>IF($C2047="","","C"&amp;TEXT(INT((ROW()-5)/9)+1,"000")&amp;"-4")</f>
        <v/>
      </c>
      <c r="C2047">
        <f>IF(OR(Registro_Compras!$C$230="",Registro_Compras!$O$230="",Registro_Compras!$Y$230="",Registro_Compras!$F$230="NOTA DE CREDITO"),"","10413")</f>
        <v/>
      </c>
      <c r="D2047">
        <f>IF(OR(Registro_Compras!$C$230="",Registro_Compras!$O$230=""),"","Efectivo y Equivalentes - Cta. Cte. Operativa")</f>
        <v/>
      </c>
      <c r="E2047" s="20">
        <f>""</f>
        <v/>
      </c>
      <c r="F2047" s="20">
        <f>IF($C2047="","",IF(Registro_Compras!$F$230="RHE",(ROUND(Registro_Compras!$L$230*Registro_Compras!$N$230,2)-ROUND(Registro_Compras!$V$230*Registro_Compras!$N$230,2)),ROUND(Registro_Compras!$O$230-Registro_Compras!$S$230,2)))</f>
        <v/>
      </c>
      <c r="G2047">
        <f>IF($C2047="","","Por la cancelacion del saldo al proveedor")</f>
        <v/>
      </c>
      <c r="H2047">
        <f>IF($C2047="","",Registro_Compras!$C$230)</f>
        <v/>
      </c>
    </row>
    <row r="2048">
      <c r="A2048" s="25">
        <f>IF($C2048="","",Registro_Compras!$B$231)</f>
        <v/>
      </c>
      <c r="B2048">
        <f>IF($C2048="","","C"&amp;TEXT(INT((ROW()-5)/9)+1,"000")&amp;"-1")</f>
        <v/>
      </c>
      <c r="C2048">
        <f>IF(OR(Registro_Compras!$C$231="",Registro_Compras!$O$231=""),"",IF(Registro_Compras!$F$231="NOTA DE CREDITO","4212",IF(Registro_Compras!$M$231="","63",Registro_Compras!$M$231)))</f>
        <v/>
      </c>
      <c r="D2048">
        <f>IF(OR(Registro_Compras!$C$231="",Registro_Compras!$O$231=""),"",IF(Registro_Compras!$F$231="NOTA DE CREDITO","Cuentas por Pagar Comerciales - Terceros (Emitidas)",IF(Registro_Compras!$F$231="RHE","Honorarios Profesionales - Servicios de Terceros","Gastos de Servicios Prestados por Terceros")))</f>
        <v/>
      </c>
      <c r="E2048" s="20">
        <f>IF($C2048="","",IF(Registro_Compras!$F$231="NOTA DE CREDITO",ABS(Registro_Compras!$O$231),IF(Registro_Compras!$F$231="RHE",ROUND(Registro_Compras!$L$231*Registro_Compras!$N$231,2),ROUND(Registro_Compras!$J$231*Registro_Compras!$N$231,2))))</f>
        <v/>
      </c>
      <c r="F2048" s="20">
        <f>""</f>
        <v/>
      </c>
      <c r="G2048">
        <f>IF($C2048="","",IF(Registro_Compras!$F$231="NOTA DE CREDITO","Por la nota de credito "&amp;Registro_Compras!$C$231&amp;" de "&amp;Registro_Compras!$E$231&amp;" [PATRON POR CONFIRMAR CON CONTADOR]",IF(Registro_Compras!$F$231="RHE","Por el registro del recibo por honorarios "&amp;Registro_Compras!$C$231&amp;" de "&amp;Registro_Compras!$E$231&amp;" [PATRON POR CONFIRMAR CON CONTADOR]","Por el registro de la factura "&amp;Registro_Compras!$C$231&amp;" de "&amp;Registro_Compras!$E$231)))</f>
        <v/>
      </c>
      <c r="H2048">
        <f>IF($C2048="","",Registro_Compras!$C$231)</f>
        <v/>
      </c>
    </row>
    <row r="2049">
      <c r="A2049" s="25">
        <f>IF($C2049="","",Registro_Compras!$B$231)</f>
        <v/>
      </c>
      <c r="B2049">
        <f>IF($C2049="","","C"&amp;TEXT(INT((ROW()-5)/9)+1,"000")&amp;"-1")</f>
        <v/>
      </c>
      <c r="C2049">
        <f>IF(OR(Registro_Compras!$C$231="",Registro_Compras!$O$231=""),"",IF(Registro_Compras!$F$231="RHE",IF(Registro_Compras!$V$231=0,"","40172"),IF(Registro_Compras!$F$231="NOTA DE CREDITO",IF(Registro_Compras!$M$231="","63",Registro_Compras!$M$231),IF(Registro_Compras!$K$231=0,"","40111"))))</f>
        <v/>
      </c>
      <c r="D2049">
        <f>IF(OR(Registro_Compras!$C$231="",Registro_Compras!$O$231=""),"",IF(Registro_Compras!$F$231="RHE","Retencion Renta 4ta Categoria por Pagar",IF(Registro_Compras!$F$231="NOTA DE CREDITO","Gastos de Servicios Prestados por Terceros","IGV - Cuenta Propia (Credito Fiscal)")))</f>
        <v/>
      </c>
      <c r="E2049" s="20">
        <f>IF($C2049="","",IF(Registro_Compras!$F$231="FACTURA",ROUND(Registro_Compras!$K$231*Registro_Compras!$N$231,2),""))</f>
        <v/>
      </c>
      <c r="F2049" s="20">
        <f>IF($C2049="","",IF(Registro_Compras!$F$231="RHE",ROUND(Registro_Compras!$V$231*Registro_Compras!$N$231,2),IF(Registro_Compras!$F$231="NOTA DE CREDITO",ROUND(ABS(Registro_Compras!$J$231*Registro_Compras!$N$231),2),"")))</f>
        <v/>
      </c>
      <c r="G2049">
        <f>IF($C2049="","",IF(Registro_Compras!$F$231="NOTA DE CREDITO","Por la nota de credito "&amp;Registro_Compras!$C$231&amp;" de "&amp;Registro_Compras!$E$231&amp;" [PATRON POR CONFIRMAR CON CONTADOR]",IF(Registro_Compras!$F$231="RHE","Por el registro del recibo por honorarios "&amp;Registro_Compras!$C$231&amp;" de "&amp;Registro_Compras!$E$231&amp;" [PATRON POR CONFIRMAR CON CONTADOR]","Por el registro de la factura "&amp;Registro_Compras!$C$231&amp;" de "&amp;Registro_Compras!$E$231)))</f>
        <v/>
      </c>
      <c r="H2049">
        <f>IF($C2049="","",Registro_Compras!$C$231)</f>
        <v/>
      </c>
    </row>
    <row r="2050">
      <c r="A2050" s="25">
        <f>IF($C2050="","",Registro_Compras!$B$231)</f>
        <v/>
      </c>
      <c r="B2050">
        <f>IF($C2050="","","C"&amp;TEXT(INT((ROW()-5)/9)+1,"000")&amp;"-1")</f>
        <v/>
      </c>
      <c r="C2050">
        <f>IF(OR(Registro_Compras!$C$231="",Registro_Compras!$O$231=""),"",IF(Registro_Compras!$F$231="NOTA DE CREDITO",IF(Registro_Compras!$K$231=0,"","40111"),"4212"))</f>
        <v/>
      </c>
      <c r="D2050">
        <f>IF(OR(Registro_Compras!$C$231="",Registro_Compras!$O$231=""),"",IF(Registro_Compras!$F$231="NOTA DE CREDITO","IGV - Cuenta Propia (Credito Fiscal)","Cuentas por Pagar Comerciales - Terceros (Emitidas)"))</f>
        <v/>
      </c>
      <c r="E2050" s="20">
        <f>""</f>
        <v/>
      </c>
      <c r="F2050" s="20">
        <f>IF($C2050="","",IF(Registro_Compras!$F$231="NOTA DE CREDITO",ROUND(ABS(Registro_Compras!$K$231*Registro_Compras!$N$231),2),IF(Registro_Compras!$F$231="RHE",(ROUND(Registro_Compras!$L$231*Registro_Compras!$N$231,2)-ROUND(Registro_Compras!$V$231*Registro_Compras!$N$231,2)),Registro_Compras!$O$231)))</f>
        <v/>
      </c>
      <c r="G2050">
        <f>IF($C2050="","",IF(Registro_Compras!$F$231="NOTA DE CREDITO","Por la nota de credito "&amp;Registro_Compras!$C$231&amp;" de "&amp;Registro_Compras!$E$231&amp;" [PATRON POR CONFIRMAR CON CONTADOR]",IF(Registro_Compras!$F$231="RHE","Por el registro del recibo por honorarios "&amp;Registro_Compras!$C$231&amp;" de "&amp;Registro_Compras!$E$231&amp;" [PATRON POR CONFIRMAR CON CONTADOR]","Por el registro de la factura "&amp;Registro_Compras!$C$231&amp;" de "&amp;Registro_Compras!$E$231)))</f>
        <v/>
      </c>
      <c r="H2050">
        <f>IF($C2050="","",Registro_Compras!$C$231)</f>
        <v/>
      </c>
    </row>
    <row r="2051">
      <c r="A2051" s="25">
        <f>IF($C2051="","",Registro_Compras!$B$231)</f>
        <v/>
      </c>
      <c r="B2051">
        <f>IF($C2051="","","C"&amp;TEXT(INT((ROW()-5)/9)+1,"000")&amp;"-2")</f>
        <v/>
      </c>
      <c r="C2051">
        <f>IF(OR(Registro_Compras!$C$231="",Registro_Compras!$O$231=""),"",IF(Registro_Compras!$AB$231="ADMINISTRATIVO","94","95"))</f>
        <v/>
      </c>
      <c r="D2051">
        <f>IF(OR(Registro_Compras!$C$231="",Registro_Compras!$O$231=""),"",IF(Registro_Compras!$AB$231="ADMINISTRATIVO","Gastos Administrativos","Gastos de Venta y Operacion"))</f>
        <v/>
      </c>
      <c r="E2051" s="20">
        <f>IF($C2051="","",IF(Registro_Compras!$F$231="NOTA DE CREDITO","",IF(Registro_Compras!$F$231="RHE",ROUND(Registro_Compras!$L$231*Registro_Compras!$N$231,2),ROUND(Registro_Compras!$J$231*Registro_Compras!$N$231,2))))</f>
        <v/>
      </c>
      <c r="F2051" s="20">
        <f>IF($C2051="","",IF(Registro_Compras!$F$231="NOTA DE CREDITO",ROUND(ABS(Registro_Compras!$J$231*Registro_Compras!$N$231),2),""))</f>
        <v/>
      </c>
      <c r="G2051">
        <f>IF($C2051="","","Por el destino del gasto")</f>
        <v/>
      </c>
      <c r="H2051">
        <f>IF($C2051="","",Registro_Compras!$C$231)</f>
        <v/>
      </c>
    </row>
    <row r="2052">
      <c r="A2052" s="25">
        <f>IF($C2052="","",Registro_Compras!$B$231)</f>
        <v/>
      </c>
      <c r="B2052">
        <f>IF($C2052="","","C"&amp;TEXT(INT((ROW()-5)/9)+1,"000")&amp;"-2")</f>
        <v/>
      </c>
      <c r="C2052">
        <f>IF(OR(Registro_Compras!$C$231="",Registro_Compras!$O$231=""),"","79/791")</f>
        <v/>
      </c>
      <c r="D2052">
        <f>IF(OR(Registro_Compras!$C$231="",Registro_Compras!$O$231=""),"","Cargas Imputables a Cuentas de Costos y Gastos")</f>
        <v/>
      </c>
      <c r="E2052" s="20">
        <f>IF($C2052="","",IF(Registro_Compras!$F$231="NOTA DE CREDITO",ROUND(ABS(Registro_Compras!$J$231*Registro_Compras!$N$231),2),""))</f>
        <v/>
      </c>
      <c r="F2052" s="20">
        <f>IF($C2052="","",IF(Registro_Compras!$F$231="NOTA DE CREDITO","",IF(Registro_Compras!$F$231="RHE",ROUND(Registro_Compras!$L$231*Registro_Compras!$N$231,2),ROUND(Registro_Compras!$J$231*Registro_Compras!$N$231,2))))</f>
        <v/>
      </c>
      <c r="G2052">
        <f>IF($C2052="","","Por el destino del gasto")</f>
        <v/>
      </c>
      <c r="H2052">
        <f>IF($C2052="","",Registro_Compras!$C$231)</f>
        <v/>
      </c>
    </row>
    <row r="2053">
      <c r="A2053" s="25">
        <f>IF($C2053="","",Registro_Compras!$X$231)</f>
        <v/>
      </c>
      <c r="B2053">
        <f>IF($C2053="","","C"&amp;TEXT(INT((ROW()-5)/9)+1,"000")&amp;"-3")</f>
        <v/>
      </c>
      <c r="C2053">
        <f>IF(OR(Registro_Compras!$C$231="",Registro_Compras!$O$231="",Registro_Compras!$R$231&lt;&gt;"SI",Registro_Compras!$X$231=""),"","4212")</f>
        <v/>
      </c>
      <c r="D2053">
        <f>IF(OR(Registro_Compras!$C$231="",Registro_Compras!$O$231=""),"","Cuentas por Pagar Comerciales - Terceros")</f>
        <v/>
      </c>
      <c r="E2053" s="20">
        <f>IF($C2053="","",Registro_Compras!$S$231)</f>
        <v/>
      </c>
      <c r="F2053" s="20">
        <f>""</f>
        <v/>
      </c>
      <c r="G2053">
        <f>IF($C2053="","","Por el deposito de la detraccion en el Banco de la Nacion")</f>
        <v/>
      </c>
      <c r="H2053">
        <f>IF($C2053="","",Registro_Compras!$C$231)</f>
        <v/>
      </c>
    </row>
    <row r="2054">
      <c r="A2054" s="25">
        <f>IF($C2054="","",Registro_Compras!$X$231)</f>
        <v/>
      </c>
      <c r="B2054">
        <f>IF($C2054="","","C"&amp;TEXT(INT((ROW()-5)/9)+1,"000")&amp;"-3")</f>
        <v/>
      </c>
      <c r="C2054">
        <f>IF(OR(Registro_Compras!$C$231="",Registro_Compras!$O$231="",Registro_Compras!$R$231&lt;&gt;"SI",Registro_Compras!$X$231=""),"","10413")</f>
        <v/>
      </c>
      <c r="D2054">
        <f>IF(OR(Registro_Compras!$C$231="",Registro_Compras!$O$231=""),"","Efectivo y Equivalentes - Cta. Cte. Operativa")</f>
        <v/>
      </c>
      <c r="E2054" s="20">
        <f>""</f>
        <v/>
      </c>
      <c r="F2054" s="20">
        <f>IF($C2054="","",Registro_Compras!$S$231)</f>
        <v/>
      </c>
      <c r="G2054">
        <f>IF($C2054="","","Por el deposito de la detraccion en el Banco de la Nacion")</f>
        <v/>
      </c>
      <c r="H2054">
        <f>IF($C2054="","",Registro_Compras!$C$231)</f>
        <v/>
      </c>
    </row>
    <row r="2055">
      <c r="A2055" s="25">
        <f>IF($C2055="","",Registro_Compras!$Y$231)</f>
        <v/>
      </c>
      <c r="B2055">
        <f>IF($C2055="","","C"&amp;TEXT(INT((ROW()-5)/9)+1,"000")&amp;"-4")</f>
        <v/>
      </c>
      <c r="C2055">
        <f>IF(OR(Registro_Compras!$C$231="",Registro_Compras!$O$231="",Registro_Compras!$Y$231="",Registro_Compras!$F$231="NOTA DE CREDITO"),"","4212")</f>
        <v/>
      </c>
      <c r="D2055">
        <f>IF(OR(Registro_Compras!$C$231="",Registro_Compras!$O$231=""),"","Cuentas por Pagar Comerciales - Terceros")</f>
        <v/>
      </c>
      <c r="E2055" s="20">
        <f>IF($C2055="","",IF(Registro_Compras!$F$231="RHE",(ROUND(Registro_Compras!$L$231*Registro_Compras!$N$231,2)-ROUND(Registro_Compras!$V$231*Registro_Compras!$N$231,2)),ROUND(Registro_Compras!$O$231-Registro_Compras!$S$231,2)))</f>
        <v/>
      </c>
      <c r="F2055" s="20">
        <f>""</f>
        <v/>
      </c>
      <c r="G2055">
        <f>IF($C2055="","","Por la cancelacion del saldo al proveedor")</f>
        <v/>
      </c>
      <c r="H2055">
        <f>IF($C2055="","",Registro_Compras!$C$231)</f>
        <v/>
      </c>
    </row>
    <row r="2056">
      <c r="A2056" s="25">
        <f>IF($C2056="","",Registro_Compras!$Y$231)</f>
        <v/>
      </c>
      <c r="B2056">
        <f>IF($C2056="","","C"&amp;TEXT(INT((ROW()-5)/9)+1,"000")&amp;"-4")</f>
        <v/>
      </c>
      <c r="C2056">
        <f>IF(OR(Registro_Compras!$C$231="",Registro_Compras!$O$231="",Registro_Compras!$Y$231="",Registro_Compras!$F$231="NOTA DE CREDITO"),"","10413")</f>
        <v/>
      </c>
      <c r="D2056">
        <f>IF(OR(Registro_Compras!$C$231="",Registro_Compras!$O$231=""),"","Efectivo y Equivalentes - Cta. Cte. Operativa")</f>
        <v/>
      </c>
      <c r="E2056" s="20">
        <f>""</f>
        <v/>
      </c>
      <c r="F2056" s="20">
        <f>IF($C2056="","",IF(Registro_Compras!$F$231="RHE",(ROUND(Registro_Compras!$L$231*Registro_Compras!$N$231,2)-ROUND(Registro_Compras!$V$231*Registro_Compras!$N$231,2)),ROUND(Registro_Compras!$O$231-Registro_Compras!$S$231,2)))</f>
        <v/>
      </c>
      <c r="G2056">
        <f>IF($C2056="","","Por la cancelacion del saldo al proveedor")</f>
        <v/>
      </c>
      <c r="H2056">
        <f>IF($C2056="","",Registro_Compras!$C$231)</f>
        <v/>
      </c>
    </row>
    <row r="2057">
      <c r="A2057" s="25">
        <f>IF($C2057="","",Registro_Compras!$B$232)</f>
        <v/>
      </c>
      <c r="B2057">
        <f>IF($C2057="","","C"&amp;TEXT(INT((ROW()-5)/9)+1,"000")&amp;"-1")</f>
        <v/>
      </c>
      <c r="C2057">
        <f>IF(OR(Registro_Compras!$C$232="",Registro_Compras!$O$232=""),"",IF(Registro_Compras!$F$232="NOTA DE CREDITO","4212",IF(Registro_Compras!$M$232="","63",Registro_Compras!$M$232)))</f>
        <v/>
      </c>
      <c r="D2057">
        <f>IF(OR(Registro_Compras!$C$232="",Registro_Compras!$O$232=""),"",IF(Registro_Compras!$F$232="NOTA DE CREDITO","Cuentas por Pagar Comerciales - Terceros (Emitidas)",IF(Registro_Compras!$F$232="RHE","Honorarios Profesionales - Servicios de Terceros","Gastos de Servicios Prestados por Terceros")))</f>
        <v/>
      </c>
      <c r="E2057" s="20">
        <f>IF($C2057="","",IF(Registro_Compras!$F$232="NOTA DE CREDITO",ABS(Registro_Compras!$O$232),IF(Registro_Compras!$F$232="RHE",ROUND(Registro_Compras!$L$232*Registro_Compras!$N$232,2),ROUND(Registro_Compras!$J$232*Registro_Compras!$N$232,2))))</f>
        <v/>
      </c>
      <c r="F2057" s="20">
        <f>""</f>
        <v/>
      </c>
      <c r="G2057">
        <f>IF($C2057="","",IF(Registro_Compras!$F$232="NOTA DE CREDITO","Por la nota de credito "&amp;Registro_Compras!$C$232&amp;" de "&amp;Registro_Compras!$E$232&amp;" [PATRON POR CONFIRMAR CON CONTADOR]",IF(Registro_Compras!$F$232="RHE","Por el registro del recibo por honorarios "&amp;Registro_Compras!$C$232&amp;" de "&amp;Registro_Compras!$E$232&amp;" [PATRON POR CONFIRMAR CON CONTADOR]","Por el registro de la factura "&amp;Registro_Compras!$C$232&amp;" de "&amp;Registro_Compras!$E$232)))</f>
        <v/>
      </c>
      <c r="H2057">
        <f>IF($C2057="","",Registro_Compras!$C$232)</f>
        <v/>
      </c>
    </row>
    <row r="2058">
      <c r="A2058" s="25">
        <f>IF($C2058="","",Registro_Compras!$B$232)</f>
        <v/>
      </c>
      <c r="B2058">
        <f>IF($C2058="","","C"&amp;TEXT(INT((ROW()-5)/9)+1,"000")&amp;"-1")</f>
        <v/>
      </c>
      <c r="C2058">
        <f>IF(OR(Registro_Compras!$C$232="",Registro_Compras!$O$232=""),"",IF(Registro_Compras!$F$232="RHE",IF(Registro_Compras!$V$232=0,"","40172"),IF(Registro_Compras!$F$232="NOTA DE CREDITO",IF(Registro_Compras!$M$232="","63",Registro_Compras!$M$232),IF(Registro_Compras!$K$232=0,"","40111"))))</f>
        <v/>
      </c>
      <c r="D2058">
        <f>IF(OR(Registro_Compras!$C$232="",Registro_Compras!$O$232=""),"",IF(Registro_Compras!$F$232="RHE","Retencion Renta 4ta Categoria por Pagar",IF(Registro_Compras!$F$232="NOTA DE CREDITO","Gastos de Servicios Prestados por Terceros","IGV - Cuenta Propia (Credito Fiscal)")))</f>
        <v/>
      </c>
      <c r="E2058" s="20">
        <f>IF($C2058="","",IF(Registro_Compras!$F$232="FACTURA",ROUND(Registro_Compras!$K$232*Registro_Compras!$N$232,2),""))</f>
        <v/>
      </c>
      <c r="F2058" s="20">
        <f>IF($C2058="","",IF(Registro_Compras!$F$232="RHE",ROUND(Registro_Compras!$V$232*Registro_Compras!$N$232,2),IF(Registro_Compras!$F$232="NOTA DE CREDITO",ROUND(ABS(Registro_Compras!$J$232*Registro_Compras!$N$232),2),"")))</f>
        <v/>
      </c>
      <c r="G2058">
        <f>IF($C2058="","",IF(Registro_Compras!$F$232="NOTA DE CREDITO","Por la nota de credito "&amp;Registro_Compras!$C$232&amp;" de "&amp;Registro_Compras!$E$232&amp;" [PATRON POR CONFIRMAR CON CONTADOR]",IF(Registro_Compras!$F$232="RHE","Por el registro del recibo por honorarios "&amp;Registro_Compras!$C$232&amp;" de "&amp;Registro_Compras!$E$232&amp;" [PATRON POR CONFIRMAR CON CONTADOR]","Por el registro de la factura "&amp;Registro_Compras!$C$232&amp;" de "&amp;Registro_Compras!$E$232)))</f>
        <v/>
      </c>
      <c r="H2058">
        <f>IF($C2058="","",Registro_Compras!$C$232)</f>
        <v/>
      </c>
    </row>
    <row r="2059">
      <c r="A2059" s="25">
        <f>IF($C2059="","",Registro_Compras!$B$232)</f>
        <v/>
      </c>
      <c r="B2059">
        <f>IF($C2059="","","C"&amp;TEXT(INT((ROW()-5)/9)+1,"000")&amp;"-1")</f>
        <v/>
      </c>
      <c r="C2059">
        <f>IF(OR(Registro_Compras!$C$232="",Registro_Compras!$O$232=""),"",IF(Registro_Compras!$F$232="NOTA DE CREDITO",IF(Registro_Compras!$K$232=0,"","40111"),"4212"))</f>
        <v/>
      </c>
      <c r="D2059">
        <f>IF(OR(Registro_Compras!$C$232="",Registro_Compras!$O$232=""),"",IF(Registro_Compras!$F$232="NOTA DE CREDITO","IGV - Cuenta Propia (Credito Fiscal)","Cuentas por Pagar Comerciales - Terceros (Emitidas)"))</f>
        <v/>
      </c>
      <c r="E2059" s="20">
        <f>""</f>
        <v/>
      </c>
      <c r="F2059" s="20">
        <f>IF($C2059="","",IF(Registro_Compras!$F$232="NOTA DE CREDITO",ROUND(ABS(Registro_Compras!$K$232*Registro_Compras!$N$232),2),IF(Registro_Compras!$F$232="RHE",(ROUND(Registro_Compras!$L$232*Registro_Compras!$N$232,2)-ROUND(Registro_Compras!$V$232*Registro_Compras!$N$232,2)),Registro_Compras!$O$232)))</f>
        <v/>
      </c>
      <c r="G2059">
        <f>IF($C2059="","",IF(Registro_Compras!$F$232="NOTA DE CREDITO","Por la nota de credito "&amp;Registro_Compras!$C$232&amp;" de "&amp;Registro_Compras!$E$232&amp;" [PATRON POR CONFIRMAR CON CONTADOR]",IF(Registro_Compras!$F$232="RHE","Por el registro del recibo por honorarios "&amp;Registro_Compras!$C$232&amp;" de "&amp;Registro_Compras!$E$232&amp;" [PATRON POR CONFIRMAR CON CONTADOR]","Por el registro de la factura "&amp;Registro_Compras!$C$232&amp;" de "&amp;Registro_Compras!$E$232)))</f>
        <v/>
      </c>
      <c r="H2059">
        <f>IF($C2059="","",Registro_Compras!$C$232)</f>
        <v/>
      </c>
    </row>
    <row r="2060">
      <c r="A2060" s="25">
        <f>IF($C2060="","",Registro_Compras!$B$232)</f>
        <v/>
      </c>
      <c r="B2060">
        <f>IF($C2060="","","C"&amp;TEXT(INT((ROW()-5)/9)+1,"000")&amp;"-2")</f>
        <v/>
      </c>
      <c r="C2060">
        <f>IF(OR(Registro_Compras!$C$232="",Registro_Compras!$O$232=""),"",IF(Registro_Compras!$AB$232="ADMINISTRATIVO","94","95"))</f>
        <v/>
      </c>
      <c r="D2060">
        <f>IF(OR(Registro_Compras!$C$232="",Registro_Compras!$O$232=""),"",IF(Registro_Compras!$AB$232="ADMINISTRATIVO","Gastos Administrativos","Gastos de Venta y Operacion"))</f>
        <v/>
      </c>
      <c r="E2060" s="20">
        <f>IF($C2060="","",IF(Registro_Compras!$F$232="NOTA DE CREDITO","",IF(Registro_Compras!$F$232="RHE",ROUND(Registro_Compras!$L$232*Registro_Compras!$N$232,2),ROUND(Registro_Compras!$J$232*Registro_Compras!$N$232,2))))</f>
        <v/>
      </c>
      <c r="F2060" s="20">
        <f>IF($C2060="","",IF(Registro_Compras!$F$232="NOTA DE CREDITO",ROUND(ABS(Registro_Compras!$J$232*Registro_Compras!$N$232),2),""))</f>
        <v/>
      </c>
      <c r="G2060">
        <f>IF($C2060="","","Por el destino del gasto")</f>
        <v/>
      </c>
      <c r="H2060">
        <f>IF($C2060="","",Registro_Compras!$C$232)</f>
        <v/>
      </c>
    </row>
    <row r="2061">
      <c r="A2061" s="25">
        <f>IF($C2061="","",Registro_Compras!$B$232)</f>
        <v/>
      </c>
      <c r="B2061">
        <f>IF($C2061="","","C"&amp;TEXT(INT((ROW()-5)/9)+1,"000")&amp;"-2")</f>
        <v/>
      </c>
      <c r="C2061">
        <f>IF(OR(Registro_Compras!$C$232="",Registro_Compras!$O$232=""),"","79/791")</f>
        <v/>
      </c>
      <c r="D2061">
        <f>IF(OR(Registro_Compras!$C$232="",Registro_Compras!$O$232=""),"","Cargas Imputables a Cuentas de Costos y Gastos")</f>
        <v/>
      </c>
      <c r="E2061" s="20">
        <f>IF($C2061="","",IF(Registro_Compras!$F$232="NOTA DE CREDITO",ROUND(ABS(Registro_Compras!$J$232*Registro_Compras!$N$232),2),""))</f>
        <v/>
      </c>
      <c r="F2061" s="20">
        <f>IF($C2061="","",IF(Registro_Compras!$F$232="NOTA DE CREDITO","",IF(Registro_Compras!$F$232="RHE",ROUND(Registro_Compras!$L$232*Registro_Compras!$N$232,2),ROUND(Registro_Compras!$J$232*Registro_Compras!$N$232,2))))</f>
        <v/>
      </c>
      <c r="G2061">
        <f>IF($C2061="","","Por el destino del gasto")</f>
        <v/>
      </c>
      <c r="H2061">
        <f>IF($C2061="","",Registro_Compras!$C$232)</f>
        <v/>
      </c>
    </row>
    <row r="2062">
      <c r="A2062" s="25">
        <f>IF($C2062="","",Registro_Compras!$X$232)</f>
        <v/>
      </c>
      <c r="B2062">
        <f>IF($C2062="","","C"&amp;TEXT(INT((ROW()-5)/9)+1,"000")&amp;"-3")</f>
        <v/>
      </c>
      <c r="C2062">
        <f>IF(OR(Registro_Compras!$C$232="",Registro_Compras!$O$232="",Registro_Compras!$R$232&lt;&gt;"SI",Registro_Compras!$X$232=""),"","4212")</f>
        <v/>
      </c>
      <c r="D2062">
        <f>IF(OR(Registro_Compras!$C$232="",Registro_Compras!$O$232=""),"","Cuentas por Pagar Comerciales - Terceros")</f>
        <v/>
      </c>
      <c r="E2062" s="20">
        <f>IF($C2062="","",Registro_Compras!$S$232)</f>
        <v/>
      </c>
      <c r="F2062" s="20">
        <f>""</f>
        <v/>
      </c>
      <c r="G2062">
        <f>IF($C2062="","","Por el deposito de la detraccion en el Banco de la Nacion")</f>
        <v/>
      </c>
      <c r="H2062">
        <f>IF($C2062="","",Registro_Compras!$C$232)</f>
        <v/>
      </c>
    </row>
    <row r="2063">
      <c r="A2063" s="25">
        <f>IF($C2063="","",Registro_Compras!$X$232)</f>
        <v/>
      </c>
      <c r="B2063">
        <f>IF($C2063="","","C"&amp;TEXT(INT((ROW()-5)/9)+1,"000")&amp;"-3")</f>
        <v/>
      </c>
      <c r="C2063">
        <f>IF(OR(Registro_Compras!$C$232="",Registro_Compras!$O$232="",Registro_Compras!$R$232&lt;&gt;"SI",Registro_Compras!$X$232=""),"","10413")</f>
        <v/>
      </c>
      <c r="D2063">
        <f>IF(OR(Registro_Compras!$C$232="",Registro_Compras!$O$232=""),"","Efectivo y Equivalentes - Cta. Cte. Operativa")</f>
        <v/>
      </c>
      <c r="E2063" s="20">
        <f>""</f>
        <v/>
      </c>
      <c r="F2063" s="20">
        <f>IF($C2063="","",Registro_Compras!$S$232)</f>
        <v/>
      </c>
      <c r="G2063">
        <f>IF($C2063="","","Por el deposito de la detraccion en el Banco de la Nacion")</f>
        <v/>
      </c>
      <c r="H2063">
        <f>IF($C2063="","",Registro_Compras!$C$232)</f>
        <v/>
      </c>
    </row>
    <row r="2064">
      <c r="A2064" s="25">
        <f>IF($C2064="","",Registro_Compras!$Y$232)</f>
        <v/>
      </c>
      <c r="B2064">
        <f>IF($C2064="","","C"&amp;TEXT(INT((ROW()-5)/9)+1,"000")&amp;"-4")</f>
        <v/>
      </c>
      <c r="C2064">
        <f>IF(OR(Registro_Compras!$C$232="",Registro_Compras!$O$232="",Registro_Compras!$Y$232="",Registro_Compras!$F$232="NOTA DE CREDITO"),"","4212")</f>
        <v/>
      </c>
      <c r="D2064">
        <f>IF(OR(Registro_Compras!$C$232="",Registro_Compras!$O$232=""),"","Cuentas por Pagar Comerciales - Terceros")</f>
        <v/>
      </c>
      <c r="E2064" s="20">
        <f>IF($C2064="","",IF(Registro_Compras!$F$232="RHE",(ROUND(Registro_Compras!$L$232*Registro_Compras!$N$232,2)-ROUND(Registro_Compras!$V$232*Registro_Compras!$N$232,2)),ROUND(Registro_Compras!$O$232-Registro_Compras!$S$232,2)))</f>
        <v/>
      </c>
      <c r="F2064" s="20">
        <f>""</f>
        <v/>
      </c>
      <c r="G2064">
        <f>IF($C2064="","","Por la cancelacion del saldo al proveedor")</f>
        <v/>
      </c>
      <c r="H2064">
        <f>IF($C2064="","",Registro_Compras!$C$232)</f>
        <v/>
      </c>
    </row>
    <row r="2065">
      <c r="A2065" s="25">
        <f>IF($C2065="","",Registro_Compras!$Y$232)</f>
        <v/>
      </c>
      <c r="B2065">
        <f>IF($C2065="","","C"&amp;TEXT(INT((ROW()-5)/9)+1,"000")&amp;"-4")</f>
        <v/>
      </c>
      <c r="C2065">
        <f>IF(OR(Registro_Compras!$C$232="",Registro_Compras!$O$232="",Registro_Compras!$Y$232="",Registro_Compras!$F$232="NOTA DE CREDITO"),"","10413")</f>
        <v/>
      </c>
      <c r="D2065">
        <f>IF(OR(Registro_Compras!$C$232="",Registro_Compras!$O$232=""),"","Efectivo y Equivalentes - Cta. Cte. Operativa")</f>
        <v/>
      </c>
      <c r="E2065" s="20">
        <f>""</f>
        <v/>
      </c>
      <c r="F2065" s="20">
        <f>IF($C2065="","",IF(Registro_Compras!$F$232="RHE",(ROUND(Registro_Compras!$L$232*Registro_Compras!$N$232,2)-ROUND(Registro_Compras!$V$232*Registro_Compras!$N$232,2)),ROUND(Registro_Compras!$O$232-Registro_Compras!$S$232,2)))</f>
        <v/>
      </c>
      <c r="G2065">
        <f>IF($C2065="","","Por la cancelacion del saldo al proveedor")</f>
        <v/>
      </c>
      <c r="H2065">
        <f>IF($C2065="","",Registro_Compras!$C$232)</f>
        <v/>
      </c>
    </row>
    <row r="2066">
      <c r="A2066" s="25">
        <f>IF($C2066="","",Registro_Compras!$B$233)</f>
        <v/>
      </c>
      <c r="B2066">
        <f>IF($C2066="","","C"&amp;TEXT(INT((ROW()-5)/9)+1,"000")&amp;"-1")</f>
        <v/>
      </c>
      <c r="C2066">
        <f>IF(OR(Registro_Compras!$C$233="",Registro_Compras!$O$233=""),"",IF(Registro_Compras!$F$233="NOTA DE CREDITO","4212",IF(Registro_Compras!$M$233="","63",Registro_Compras!$M$233)))</f>
        <v/>
      </c>
      <c r="D2066">
        <f>IF(OR(Registro_Compras!$C$233="",Registro_Compras!$O$233=""),"",IF(Registro_Compras!$F$233="NOTA DE CREDITO","Cuentas por Pagar Comerciales - Terceros (Emitidas)",IF(Registro_Compras!$F$233="RHE","Honorarios Profesionales - Servicios de Terceros","Gastos de Servicios Prestados por Terceros")))</f>
        <v/>
      </c>
      <c r="E2066" s="20">
        <f>IF($C2066="","",IF(Registro_Compras!$F$233="NOTA DE CREDITO",ABS(Registro_Compras!$O$233),IF(Registro_Compras!$F$233="RHE",ROUND(Registro_Compras!$L$233*Registro_Compras!$N$233,2),ROUND(Registro_Compras!$J$233*Registro_Compras!$N$233,2))))</f>
        <v/>
      </c>
      <c r="F2066" s="20">
        <f>""</f>
        <v/>
      </c>
      <c r="G2066">
        <f>IF($C2066="","",IF(Registro_Compras!$F$233="NOTA DE CREDITO","Por la nota de credito "&amp;Registro_Compras!$C$233&amp;" de "&amp;Registro_Compras!$E$233&amp;" [PATRON POR CONFIRMAR CON CONTADOR]",IF(Registro_Compras!$F$233="RHE","Por el registro del recibo por honorarios "&amp;Registro_Compras!$C$233&amp;" de "&amp;Registro_Compras!$E$233&amp;" [PATRON POR CONFIRMAR CON CONTADOR]","Por el registro de la factura "&amp;Registro_Compras!$C$233&amp;" de "&amp;Registro_Compras!$E$233)))</f>
        <v/>
      </c>
      <c r="H2066">
        <f>IF($C2066="","",Registro_Compras!$C$233)</f>
        <v/>
      </c>
    </row>
    <row r="2067">
      <c r="A2067" s="25">
        <f>IF($C2067="","",Registro_Compras!$B$233)</f>
        <v/>
      </c>
      <c r="B2067">
        <f>IF($C2067="","","C"&amp;TEXT(INT((ROW()-5)/9)+1,"000")&amp;"-1")</f>
        <v/>
      </c>
      <c r="C2067">
        <f>IF(OR(Registro_Compras!$C$233="",Registro_Compras!$O$233=""),"",IF(Registro_Compras!$F$233="RHE",IF(Registro_Compras!$V$233=0,"","40172"),IF(Registro_Compras!$F$233="NOTA DE CREDITO",IF(Registro_Compras!$M$233="","63",Registro_Compras!$M$233),IF(Registro_Compras!$K$233=0,"","40111"))))</f>
        <v/>
      </c>
      <c r="D2067">
        <f>IF(OR(Registro_Compras!$C$233="",Registro_Compras!$O$233=""),"",IF(Registro_Compras!$F$233="RHE","Retencion Renta 4ta Categoria por Pagar",IF(Registro_Compras!$F$233="NOTA DE CREDITO","Gastos de Servicios Prestados por Terceros","IGV - Cuenta Propia (Credito Fiscal)")))</f>
        <v/>
      </c>
      <c r="E2067" s="20">
        <f>IF($C2067="","",IF(Registro_Compras!$F$233="FACTURA",ROUND(Registro_Compras!$K$233*Registro_Compras!$N$233,2),""))</f>
        <v/>
      </c>
      <c r="F2067" s="20">
        <f>IF($C2067="","",IF(Registro_Compras!$F$233="RHE",ROUND(Registro_Compras!$V$233*Registro_Compras!$N$233,2),IF(Registro_Compras!$F$233="NOTA DE CREDITO",ROUND(ABS(Registro_Compras!$J$233*Registro_Compras!$N$233),2),"")))</f>
        <v/>
      </c>
      <c r="G2067">
        <f>IF($C2067="","",IF(Registro_Compras!$F$233="NOTA DE CREDITO","Por la nota de credito "&amp;Registro_Compras!$C$233&amp;" de "&amp;Registro_Compras!$E$233&amp;" [PATRON POR CONFIRMAR CON CONTADOR]",IF(Registro_Compras!$F$233="RHE","Por el registro del recibo por honorarios "&amp;Registro_Compras!$C$233&amp;" de "&amp;Registro_Compras!$E$233&amp;" [PATRON POR CONFIRMAR CON CONTADOR]","Por el registro de la factura "&amp;Registro_Compras!$C$233&amp;" de "&amp;Registro_Compras!$E$233)))</f>
        <v/>
      </c>
      <c r="H2067">
        <f>IF($C2067="","",Registro_Compras!$C$233)</f>
        <v/>
      </c>
    </row>
    <row r="2068">
      <c r="A2068" s="25">
        <f>IF($C2068="","",Registro_Compras!$B$233)</f>
        <v/>
      </c>
      <c r="B2068">
        <f>IF($C2068="","","C"&amp;TEXT(INT((ROW()-5)/9)+1,"000")&amp;"-1")</f>
        <v/>
      </c>
      <c r="C2068">
        <f>IF(OR(Registro_Compras!$C$233="",Registro_Compras!$O$233=""),"",IF(Registro_Compras!$F$233="NOTA DE CREDITO",IF(Registro_Compras!$K$233=0,"","40111"),"4212"))</f>
        <v/>
      </c>
      <c r="D2068">
        <f>IF(OR(Registro_Compras!$C$233="",Registro_Compras!$O$233=""),"",IF(Registro_Compras!$F$233="NOTA DE CREDITO","IGV - Cuenta Propia (Credito Fiscal)","Cuentas por Pagar Comerciales - Terceros (Emitidas)"))</f>
        <v/>
      </c>
      <c r="E2068" s="20">
        <f>""</f>
        <v/>
      </c>
      <c r="F2068" s="20">
        <f>IF($C2068="","",IF(Registro_Compras!$F$233="NOTA DE CREDITO",ROUND(ABS(Registro_Compras!$K$233*Registro_Compras!$N$233),2),IF(Registro_Compras!$F$233="RHE",(ROUND(Registro_Compras!$L$233*Registro_Compras!$N$233,2)-ROUND(Registro_Compras!$V$233*Registro_Compras!$N$233,2)),Registro_Compras!$O$233)))</f>
        <v/>
      </c>
      <c r="G2068">
        <f>IF($C2068="","",IF(Registro_Compras!$F$233="NOTA DE CREDITO","Por la nota de credito "&amp;Registro_Compras!$C$233&amp;" de "&amp;Registro_Compras!$E$233&amp;" [PATRON POR CONFIRMAR CON CONTADOR]",IF(Registro_Compras!$F$233="RHE","Por el registro del recibo por honorarios "&amp;Registro_Compras!$C$233&amp;" de "&amp;Registro_Compras!$E$233&amp;" [PATRON POR CONFIRMAR CON CONTADOR]","Por el registro de la factura "&amp;Registro_Compras!$C$233&amp;" de "&amp;Registro_Compras!$E$233)))</f>
        <v/>
      </c>
      <c r="H2068">
        <f>IF($C2068="","",Registro_Compras!$C$233)</f>
        <v/>
      </c>
    </row>
    <row r="2069">
      <c r="A2069" s="25">
        <f>IF($C2069="","",Registro_Compras!$B$233)</f>
        <v/>
      </c>
      <c r="B2069">
        <f>IF($C2069="","","C"&amp;TEXT(INT((ROW()-5)/9)+1,"000")&amp;"-2")</f>
        <v/>
      </c>
      <c r="C2069">
        <f>IF(OR(Registro_Compras!$C$233="",Registro_Compras!$O$233=""),"",IF(Registro_Compras!$AB$233="ADMINISTRATIVO","94","95"))</f>
        <v/>
      </c>
      <c r="D2069">
        <f>IF(OR(Registro_Compras!$C$233="",Registro_Compras!$O$233=""),"",IF(Registro_Compras!$AB$233="ADMINISTRATIVO","Gastos Administrativos","Gastos de Venta y Operacion"))</f>
        <v/>
      </c>
      <c r="E2069" s="20">
        <f>IF($C2069="","",IF(Registro_Compras!$F$233="NOTA DE CREDITO","",IF(Registro_Compras!$F$233="RHE",ROUND(Registro_Compras!$L$233*Registro_Compras!$N$233,2),ROUND(Registro_Compras!$J$233*Registro_Compras!$N$233,2))))</f>
        <v/>
      </c>
      <c r="F2069" s="20">
        <f>IF($C2069="","",IF(Registro_Compras!$F$233="NOTA DE CREDITO",ROUND(ABS(Registro_Compras!$J$233*Registro_Compras!$N$233),2),""))</f>
        <v/>
      </c>
      <c r="G2069">
        <f>IF($C2069="","","Por el destino del gasto")</f>
        <v/>
      </c>
      <c r="H2069">
        <f>IF($C2069="","",Registro_Compras!$C$233)</f>
        <v/>
      </c>
    </row>
    <row r="2070">
      <c r="A2070" s="25">
        <f>IF($C2070="","",Registro_Compras!$B$233)</f>
        <v/>
      </c>
      <c r="B2070">
        <f>IF($C2070="","","C"&amp;TEXT(INT((ROW()-5)/9)+1,"000")&amp;"-2")</f>
        <v/>
      </c>
      <c r="C2070">
        <f>IF(OR(Registro_Compras!$C$233="",Registro_Compras!$O$233=""),"","79/791")</f>
        <v/>
      </c>
      <c r="D2070">
        <f>IF(OR(Registro_Compras!$C$233="",Registro_Compras!$O$233=""),"","Cargas Imputables a Cuentas de Costos y Gastos")</f>
        <v/>
      </c>
      <c r="E2070" s="20">
        <f>IF($C2070="","",IF(Registro_Compras!$F$233="NOTA DE CREDITO",ROUND(ABS(Registro_Compras!$J$233*Registro_Compras!$N$233),2),""))</f>
        <v/>
      </c>
      <c r="F2070" s="20">
        <f>IF($C2070="","",IF(Registro_Compras!$F$233="NOTA DE CREDITO","",IF(Registro_Compras!$F$233="RHE",ROUND(Registro_Compras!$L$233*Registro_Compras!$N$233,2),ROUND(Registro_Compras!$J$233*Registro_Compras!$N$233,2))))</f>
        <v/>
      </c>
      <c r="G2070">
        <f>IF($C2070="","","Por el destino del gasto")</f>
        <v/>
      </c>
      <c r="H2070">
        <f>IF($C2070="","",Registro_Compras!$C$233)</f>
        <v/>
      </c>
    </row>
    <row r="2071">
      <c r="A2071" s="25">
        <f>IF($C2071="","",Registro_Compras!$X$233)</f>
        <v/>
      </c>
      <c r="B2071">
        <f>IF($C2071="","","C"&amp;TEXT(INT((ROW()-5)/9)+1,"000")&amp;"-3")</f>
        <v/>
      </c>
      <c r="C2071">
        <f>IF(OR(Registro_Compras!$C$233="",Registro_Compras!$O$233="",Registro_Compras!$R$233&lt;&gt;"SI",Registro_Compras!$X$233=""),"","4212")</f>
        <v/>
      </c>
      <c r="D2071">
        <f>IF(OR(Registro_Compras!$C$233="",Registro_Compras!$O$233=""),"","Cuentas por Pagar Comerciales - Terceros")</f>
        <v/>
      </c>
      <c r="E2071" s="20">
        <f>IF($C2071="","",Registro_Compras!$S$233)</f>
        <v/>
      </c>
      <c r="F2071" s="20">
        <f>""</f>
        <v/>
      </c>
      <c r="G2071">
        <f>IF($C2071="","","Por el deposito de la detraccion en el Banco de la Nacion")</f>
        <v/>
      </c>
      <c r="H2071">
        <f>IF($C2071="","",Registro_Compras!$C$233)</f>
        <v/>
      </c>
    </row>
    <row r="2072">
      <c r="A2072" s="25">
        <f>IF($C2072="","",Registro_Compras!$X$233)</f>
        <v/>
      </c>
      <c r="B2072">
        <f>IF($C2072="","","C"&amp;TEXT(INT((ROW()-5)/9)+1,"000")&amp;"-3")</f>
        <v/>
      </c>
      <c r="C2072">
        <f>IF(OR(Registro_Compras!$C$233="",Registro_Compras!$O$233="",Registro_Compras!$R$233&lt;&gt;"SI",Registro_Compras!$X$233=""),"","10413")</f>
        <v/>
      </c>
      <c r="D2072">
        <f>IF(OR(Registro_Compras!$C$233="",Registro_Compras!$O$233=""),"","Efectivo y Equivalentes - Cta. Cte. Operativa")</f>
        <v/>
      </c>
      <c r="E2072" s="20">
        <f>""</f>
        <v/>
      </c>
      <c r="F2072" s="20">
        <f>IF($C2072="","",Registro_Compras!$S$233)</f>
        <v/>
      </c>
      <c r="G2072">
        <f>IF($C2072="","","Por el deposito de la detraccion en el Banco de la Nacion")</f>
        <v/>
      </c>
      <c r="H2072">
        <f>IF($C2072="","",Registro_Compras!$C$233)</f>
        <v/>
      </c>
    </row>
    <row r="2073">
      <c r="A2073" s="25">
        <f>IF($C2073="","",Registro_Compras!$Y$233)</f>
        <v/>
      </c>
      <c r="B2073">
        <f>IF($C2073="","","C"&amp;TEXT(INT((ROW()-5)/9)+1,"000")&amp;"-4")</f>
        <v/>
      </c>
      <c r="C2073">
        <f>IF(OR(Registro_Compras!$C$233="",Registro_Compras!$O$233="",Registro_Compras!$Y$233="",Registro_Compras!$F$233="NOTA DE CREDITO"),"","4212")</f>
        <v/>
      </c>
      <c r="D2073">
        <f>IF(OR(Registro_Compras!$C$233="",Registro_Compras!$O$233=""),"","Cuentas por Pagar Comerciales - Terceros")</f>
        <v/>
      </c>
      <c r="E2073" s="20">
        <f>IF($C2073="","",IF(Registro_Compras!$F$233="RHE",(ROUND(Registro_Compras!$L$233*Registro_Compras!$N$233,2)-ROUND(Registro_Compras!$V$233*Registro_Compras!$N$233,2)),ROUND(Registro_Compras!$O$233-Registro_Compras!$S$233,2)))</f>
        <v/>
      </c>
      <c r="F2073" s="20">
        <f>""</f>
        <v/>
      </c>
      <c r="G2073">
        <f>IF($C2073="","","Por la cancelacion del saldo al proveedor")</f>
        <v/>
      </c>
      <c r="H2073">
        <f>IF($C2073="","",Registro_Compras!$C$233)</f>
        <v/>
      </c>
    </row>
    <row r="2074">
      <c r="A2074" s="25">
        <f>IF($C2074="","",Registro_Compras!$Y$233)</f>
        <v/>
      </c>
      <c r="B2074">
        <f>IF($C2074="","","C"&amp;TEXT(INT((ROW()-5)/9)+1,"000")&amp;"-4")</f>
        <v/>
      </c>
      <c r="C2074">
        <f>IF(OR(Registro_Compras!$C$233="",Registro_Compras!$O$233="",Registro_Compras!$Y$233="",Registro_Compras!$F$233="NOTA DE CREDITO"),"","10413")</f>
        <v/>
      </c>
      <c r="D2074">
        <f>IF(OR(Registro_Compras!$C$233="",Registro_Compras!$O$233=""),"","Efectivo y Equivalentes - Cta. Cte. Operativa")</f>
        <v/>
      </c>
      <c r="E2074" s="20">
        <f>""</f>
        <v/>
      </c>
      <c r="F2074" s="20">
        <f>IF($C2074="","",IF(Registro_Compras!$F$233="RHE",(ROUND(Registro_Compras!$L$233*Registro_Compras!$N$233,2)-ROUND(Registro_Compras!$V$233*Registro_Compras!$N$233,2)),ROUND(Registro_Compras!$O$233-Registro_Compras!$S$233,2)))</f>
        <v/>
      </c>
      <c r="G2074">
        <f>IF($C2074="","","Por la cancelacion del saldo al proveedor")</f>
        <v/>
      </c>
      <c r="H2074">
        <f>IF($C2074="","",Registro_Compras!$C$233)</f>
        <v/>
      </c>
    </row>
    <row r="2075">
      <c r="A2075" s="25">
        <f>IF($C2075="","",Registro_Compras!$B$234)</f>
        <v/>
      </c>
      <c r="B2075">
        <f>IF($C2075="","","C"&amp;TEXT(INT((ROW()-5)/9)+1,"000")&amp;"-1")</f>
        <v/>
      </c>
      <c r="C2075">
        <f>IF(OR(Registro_Compras!$C$234="",Registro_Compras!$O$234=""),"",IF(Registro_Compras!$F$234="NOTA DE CREDITO","4212",IF(Registro_Compras!$M$234="","63",Registro_Compras!$M$234)))</f>
        <v/>
      </c>
      <c r="D2075">
        <f>IF(OR(Registro_Compras!$C$234="",Registro_Compras!$O$234=""),"",IF(Registro_Compras!$F$234="NOTA DE CREDITO","Cuentas por Pagar Comerciales - Terceros (Emitidas)",IF(Registro_Compras!$F$234="RHE","Honorarios Profesionales - Servicios de Terceros","Gastos de Servicios Prestados por Terceros")))</f>
        <v/>
      </c>
      <c r="E2075" s="20">
        <f>IF($C2075="","",IF(Registro_Compras!$F$234="NOTA DE CREDITO",ABS(Registro_Compras!$O$234),IF(Registro_Compras!$F$234="RHE",ROUND(Registro_Compras!$L$234*Registro_Compras!$N$234,2),ROUND(Registro_Compras!$J$234*Registro_Compras!$N$234,2))))</f>
        <v/>
      </c>
      <c r="F2075" s="20">
        <f>""</f>
        <v/>
      </c>
      <c r="G2075">
        <f>IF($C2075="","",IF(Registro_Compras!$F$234="NOTA DE CREDITO","Por la nota de credito "&amp;Registro_Compras!$C$234&amp;" de "&amp;Registro_Compras!$E$234&amp;" [PATRON POR CONFIRMAR CON CONTADOR]",IF(Registro_Compras!$F$234="RHE","Por el registro del recibo por honorarios "&amp;Registro_Compras!$C$234&amp;" de "&amp;Registro_Compras!$E$234&amp;" [PATRON POR CONFIRMAR CON CONTADOR]","Por el registro de la factura "&amp;Registro_Compras!$C$234&amp;" de "&amp;Registro_Compras!$E$234)))</f>
        <v/>
      </c>
      <c r="H2075">
        <f>IF($C2075="","",Registro_Compras!$C$234)</f>
        <v/>
      </c>
    </row>
    <row r="2076">
      <c r="A2076" s="25">
        <f>IF($C2076="","",Registro_Compras!$B$234)</f>
        <v/>
      </c>
      <c r="B2076">
        <f>IF($C2076="","","C"&amp;TEXT(INT((ROW()-5)/9)+1,"000")&amp;"-1")</f>
        <v/>
      </c>
      <c r="C2076">
        <f>IF(OR(Registro_Compras!$C$234="",Registro_Compras!$O$234=""),"",IF(Registro_Compras!$F$234="RHE",IF(Registro_Compras!$V$234=0,"","40172"),IF(Registro_Compras!$F$234="NOTA DE CREDITO",IF(Registro_Compras!$M$234="","63",Registro_Compras!$M$234),IF(Registro_Compras!$K$234=0,"","40111"))))</f>
        <v/>
      </c>
      <c r="D2076">
        <f>IF(OR(Registro_Compras!$C$234="",Registro_Compras!$O$234=""),"",IF(Registro_Compras!$F$234="RHE","Retencion Renta 4ta Categoria por Pagar",IF(Registro_Compras!$F$234="NOTA DE CREDITO","Gastos de Servicios Prestados por Terceros","IGV - Cuenta Propia (Credito Fiscal)")))</f>
        <v/>
      </c>
      <c r="E2076" s="20">
        <f>IF($C2076="","",IF(Registro_Compras!$F$234="FACTURA",ROUND(Registro_Compras!$K$234*Registro_Compras!$N$234,2),""))</f>
        <v/>
      </c>
      <c r="F2076" s="20">
        <f>IF($C2076="","",IF(Registro_Compras!$F$234="RHE",ROUND(Registro_Compras!$V$234*Registro_Compras!$N$234,2),IF(Registro_Compras!$F$234="NOTA DE CREDITO",ROUND(ABS(Registro_Compras!$J$234*Registro_Compras!$N$234),2),"")))</f>
        <v/>
      </c>
      <c r="G2076">
        <f>IF($C2076="","",IF(Registro_Compras!$F$234="NOTA DE CREDITO","Por la nota de credito "&amp;Registro_Compras!$C$234&amp;" de "&amp;Registro_Compras!$E$234&amp;" [PATRON POR CONFIRMAR CON CONTADOR]",IF(Registro_Compras!$F$234="RHE","Por el registro del recibo por honorarios "&amp;Registro_Compras!$C$234&amp;" de "&amp;Registro_Compras!$E$234&amp;" [PATRON POR CONFIRMAR CON CONTADOR]","Por el registro de la factura "&amp;Registro_Compras!$C$234&amp;" de "&amp;Registro_Compras!$E$234)))</f>
        <v/>
      </c>
      <c r="H2076">
        <f>IF($C2076="","",Registro_Compras!$C$234)</f>
        <v/>
      </c>
    </row>
    <row r="2077">
      <c r="A2077" s="25">
        <f>IF($C2077="","",Registro_Compras!$B$234)</f>
        <v/>
      </c>
      <c r="B2077">
        <f>IF($C2077="","","C"&amp;TEXT(INT((ROW()-5)/9)+1,"000")&amp;"-1")</f>
        <v/>
      </c>
      <c r="C2077">
        <f>IF(OR(Registro_Compras!$C$234="",Registro_Compras!$O$234=""),"",IF(Registro_Compras!$F$234="NOTA DE CREDITO",IF(Registro_Compras!$K$234=0,"","40111"),"4212"))</f>
        <v/>
      </c>
      <c r="D2077">
        <f>IF(OR(Registro_Compras!$C$234="",Registro_Compras!$O$234=""),"",IF(Registro_Compras!$F$234="NOTA DE CREDITO","IGV - Cuenta Propia (Credito Fiscal)","Cuentas por Pagar Comerciales - Terceros (Emitidas)"))</f>
        <v/>
      </c>
      <c r="E2077" s="20">
        <f>""</f>
        <v/>
      </c>
      <c r="F2077" s="20">
        <f>IF($C2077="","",IF(Registro_Compras!$F$234="NOTA DE CREDITO",ROUND(ABS(Registro_Compras!$K$234*Registro_Compras!$N$234),2),IF(Registro_Compras!$F$234="RHE",(ROUND(Registro_Compras!$L$234*Registro_Compras!$N$234,2)-ROUND(Registro_Compras!$V$234*Registro_Compras!$N$234,2)),Registro_Compras!$O$234)))</f>
        <v/>
      </c>
      <c r="G2077">
        <f>IF($C2077="","",IF(Registro_Compras!$F$234="NOTA DE CREDITO","Por la nota de credito "&amp;Registro_Compras!$C$234&amp;" de "&amp;Registro_Compras!$E$234&amp;" [PATRON POR CONFIRMAR CON CONTADOR]",IF(Registro_Compras!$F$234="RHE","Por el registro del recibo por honorarios "&amp;Registro_Compras!$C$234&amp;" de "&amp;Registro_Compras!$E$234&amp;" [PATRON POR CONFIRMAR CON CONTADOR]","Por el registro de la factura "&amp;Registro_Compras!$C$234&amp;" de "&amp;Registro_Compras!$E$234)))</f>
        <v/>
      </c>
      <c r="H2077">
        <f>IF($C2077="","",Registro_Compras!$C$234)</f>
        <v/>
      </c>
    </row>
    <row r="2078">
      <c r="A2078" s="25">
        <f>IF($C2078="","",Registro_Compras!$B$234)</f>
        <v/>
      </c>
      <c r="B2078">
        <f>IF($C2078="","","C"&amp;TEXT(INT((ROW()-5)/9)+1,"000")&amp;"-2")</f>
        <v/>
      </c>
      <c r="C2078">
        <f>IF(OR(Registro_Compras!$C$234="",Registro_Compras!$O$234=""),"",IF(Registro_Compras!$AB$234="ADMINISTRATIVO","94","95"))</f>
        <v/>
      </c>
      <c r="D2078">
        <f>IF(OR(Registro_Compras!$C$234="",Registro_Compras!$O$234=""),"",IF(Registro_Compras!$AB$234="ADMINISTRATIVO","Gastos Administrativos","Gastos de Venta y Operacion"))</f>
        <v/>
      </c>
      <c r="E2078" s="20">
        <f>IF($C2078="","",IF(Registro_Compras!$F$234="NOTA DE CREDITO","",IF(Registro_Compras!$F$234="RHE",ROUND(Registro_Compras!$L$234*Registro_Compras!$N$234,2),ROUND(Registro_Compras!$J$234*Registro_Compras!$N$234,2))))</f>
        <v/>
      </c>
      <c r="F2078" s="20">
        <f>IF($C2078="","",IF(Registro_Compras!$F$234="NOTA DE CREDITO",ROUND(ABS(Registro_Compras!$J$234*Registro_Compras!$N$234),2),""))</f>
        <v/>
      </c>
      <c r="G2078">
        <f>IF($C2078="","","Por el destino del gasto")</f>
        <v/>
      </c>
      <c r="H2078">
        <f>IF($C2078="","",Registro_Compras!$C$234)</f>
        <v/>
      </c>
    </row>
    <row r="2079">
      <c r="A2079" s="25">
        <f>IF($C2079="","",Registro_Compras!$B$234)</f>
        <v/>
      </c>
      <c r="B2079">
        <f>IF($C2079="","","C"&amp;TEXT(INT((ROW()-5)/9)+1,"000")&amp;"-2")</f>
        <v/>
      </c>
      <c r="C2079">
        <f>IF(OR(Registro_Compras!$C$234="",Registro_Compras!$O$234=""),"","79/791")</f>
        <v/>
      </c>
      <c r="D2079">
        <f>IF(OR(Registro_Compras!$C$234="",Registro_Compras!$O$234=""),"","Cargas Imputables a Cuentas de Costos y Gastos")</f>
        <v/>
      </c>
      <c r="E2079" s="20">
        <f>IF($C2079="","",IF(Registro_Compras!$F$234="NOTA DE CREDITO",ROUND(ABS(Registro_Compras!$J$234*Registro_Compras!$N$234),2),""))</f>
        <v/>
      </c>
      <c r="F2079" s="20">
        <f>IF($C2079="","",IF(Registro_Compras!$F$234="NOTA DE CREDITO","",IF(Registro_Compras!$F$234="RHE",ROUND(Registro_Compras!$L$234*Registro_Compras!$N$234,2),ROUND(Registro_Compras!$J$234*Registro_Compras!$N$234,2))))</f>
        <v/>
      </c>
      <c r="G2079">
        <f>IF($C2079="","","Por el destino del gasto")</f>
        <v/>
      </c>
      <c r="H2079">
        <f>IF($C2079="","",Registro_Compras!$C$234)</f>
        <v/>
      </c>
    </row>
    <row r="2080">
      <c r="A2080" s="25">
        <f>IF($C2080="","",Registro_Compras!$X$234)</f>
        <v/>
      </c>
      <c r="B2080">
        <f>IF($C2080="","","C"&amp;TEXT(INT((ROW()-5)/9)+1,"000")&amp;"-3")</f>
        <v/>
      </c>
      <c r="C2080">
        <f>IF(OR(Registro_Compras!$C$234="",Registro_Compras!$O$234="",Registro_Compras!$R$234&lt;&gt;"SI",Registro_Compras!$X$234=""),"","4212")</f>
        <v/>
      </c>
      <c r="D2080">
        <f>IF(OR(Registro_Compras!$C$234="",Registro_Compras!$O$234=""),"","Cuentas por Pagar Comerciales - Terceros")</f>
        <v/>
      </c>
      <c r="E2080" s="20">
        <f>IF($C2080="","",Registro_Compras!$S$234)</f>
        <v/>
      </c>
      <c r="F2080" s="20">
        <f>""</f>
        <v/>
      </c>
      <c r="G2080">
        <f>IF($C2080="","","Por el deposito de la detraccion en el Banco de la Nacion")</f>
        <v/>
      </c>
      <c r="H2080">
        <f>IF($C2080="","",Registro_Compras!$C$234)</f>
        <v/>
      </c>
    </row>
    <row r="2081">
      <c r="A2081" s="25">
        <f>IF($C2081="","",Registro_Compras!$X$234)</f>
        <v/>
      </c>
      <c r="B2081">
        <f>IF($C2081="","","C"&amp;TEXT(INT((ROW()-5)/9)+1,"000")&amp;"-3")</f>
        <v/>
      </c>
      <c r="C2081">
        <f>IF(OR(Registro_Compras!$C$234="",Registro_Compras!$O$234="",Registro_Compras!$R$234&lt;&gt;"SI",Registro_Compras!$X$234=""),"","10413")</f>
        <v/>
      </c>
      <c r="D2081">
        <f>IF(OR(Registro_Compras!$C$234="",Registro_Compras!$O$234=""),"","Efectivo y Equivalentes - Cta. Cte. Operativa")</f>
        <v/>
      </c>
      <c r="E2081" s="20">
        <f>""</f>
        <v/>
      </c>
      <c r="F2081" s="20">
        <f>IF($C2081="","",Registro_Compras!$S$234)</f>
        <v/>
      </c>
      <c r="G2081">
        <f>IF($C2081="","","Por el deposito de la detraccion en el Banco de la Nacion")</f>
        <v/>
      </c>
      <c r="H2081">
        <f>IF($C2081="","",Registro_Compras!$C$234)</f>
        <v/>
      </c>
    </row>
    <row r="2082">
      <c r="A2082" s="25">
        <f>IF($C2082="","",Registro_Compras!$Y$234)</f>
        <v/>
      </c>
      <c r="B2082">
        <f>IF($C2082="","","C"&amp;TEXT(INT((ROW()-5)/9)+1,"000")&amp;"-4")</f>
        <v/>
      </c>
      <c r="C2082">
        <f>IF(OR(Registro_Compras!$C$234="",Registro_Compras!$O$234="",Registro_Compras!$Y$234="",Registro_Compras!$F$234="NOTA DE CREDITO"),"","4212")</f>
        <v/>
      </c>
      <c r="D2082">
        <f>IF(OR(Registro_Compras!$C$234="",Registro_Compras!$O$234=""),"","Cuentas por Pagar Comerciales - Terceros")</f>
        <v/>
      </c>
      <c r="E2082" s="20">
        <f>IF($C2082="","",IF(Registro_Compras!$F$234="RHE",(ROUND(Registro_Compras!$L$234*Registro_Compras!$N$234,2)-ROUND(Registro_Compras!$V$234*Registro_Compras!$N$234,2)),ROUND(Registro_Compras!$O$234-Registro_Compras!$S$234,2)))</f>
        <v/>
      </c>
      <c r="F2082" s="20">
        <f>""</f>
        <v/>
      </c>
      <c r="G2082">
        <f>IF($C2082="","","Por la cancelacion del saldo al proveedor")</f>
        <v/>
      </c>
      <c r="H2082">
        <f>IF($C2082="","",Registro_Compras!$C$234)</f>
        <v/>
      </c>
    </row>
    <row r="2083">
      <c r="A2083" s="25">
        <f>IF($C2083="","",Registro_Compras!$Y$234)</f>
        <v/>
      </c>
      <c r="B2083">
        <f>IF($C2083="","","C"&amp;TEXT(INT((ROW()-5)/9)+1,"000")&amp;"-4")</f>
        <v/>
      </c>
      <c r="C2083">
        <f>IF(OR(Registro_Compras!$C$234="",Registro_Compras!$O$234="",Registro_Compras!$Y$234="",Registro_Compras!$F$234="NOTA DE CREDITO"),"","10413")</f>
        <v/>
      </c>
      <c r="D2083">
        <f>IF(OR(Registro_Compras!$C$234="",Registro_Compras!$O$234=""),"","Efectivo y Equivalentes - Cta. Cte. Operativa")</f>
        <v/>
      </c>
      <c r="E2083" s="20">
        <f>""</f>
        <v/>
      </c>
      <c r="F2083" s="20">
        <f>IF($C2083="","",IF(Registro_Compras!$F$234="RHE",(ROUND(Registro_Compras!$L$234*Registro_Compras!$N$234,2)-ROUND(Registro_Compras!$V$234*Registro_Compras!$N$234,2)),ROUND(Registro_Compras!$O$234-Registro_Compras!$S$234,2)))</f>
        <v/>
      </c>
      <c r="G2083">
        <f>IF($C2083="","","Por la cancelacion del saldo al proveedor")</f>
        <v/>
      </c>
      <c r="H2083">
        <f>IF($C2083="","",Registro_Compras!$C$234)</f>
        <v/>
      </c>
    </row>
    <row r="2084">
      <c r="A2084" s="25">
        <f>IF($C2084="","",Registro_Compras!$B$235)</f>
        <v/>
      </c>
      <c r="B2084">
        <f>IF($C2084="","","C"&amp;TEXT(INT((ROW()-5)/9)+1,"000")&amp;"-1")</f>
        <v/>
      </c>
      <c r="C2084">
        <f>IF(OR(Registro_Compras!$C$235="",Registro_Compras!$O$235=""),"",IF(Registro_Compras!$F$235="NOTA DE CREDITO","4212",IF(Registro_Compras!$M$235="","63",Registro_Compras!$M$235)))</f>
        <v/>
      </c>
      <c r="D2084">
        <f>IF(OR(Registro_Compras!$C$235="",Registro_Compras!$O$235=""),"",IF(Registro_Compras!$F$235="NOTA DE CREDITO","Cuentas por Pagar Comerciales - Terceros (Emitidas)",IF(Registro_Compras!$F$235="RHE","Honorarios Profesionales - Servicios de Terceros","Gastos de Servicios Prestados por Terceros")))</f>
        <v/>
      </c>
      <c r="E2084" s="20">
        <f>IF($C2084="","",IF(Registro_Compras!$F$235="NOTA DE CREDITO",ABS(Registro_Compras!$O$235),IF(Registro_Compras!$F$235="RHE",ROUND(Registro_Compras!$L$235*Registro_Compras!$N$235,2),ROUND(Registro_Compras!$J$235*Registro_Compras!$N$235,2))))</f>
        <v/>
      </c>
      <c r="F2084" s="20">
        <f>""</f>
        <v/>
      </c>
      <c r="G2084">
        <f>IF($C2084="","",IF(Registro_Compras!$F$235="NOTA DE CREDITO","Por la nota de credito "&amp;Registro_Compras!$C$235&amp;" de "&amp;Registro_Compras!$E$235&amp;" [PATRON POR CONFIRMAR CON CONTADOR]",IF(Registro_Compras!$F$235="RHE","Por el registro del recibo por honorarios "&amp;Registro_Compras!$C$235&amp;" de "&amp;Registro_Compras!$E$235&amp;" [PATRON POR CONFIRMAR CON CONTADOR]","Por el registro de la factura "&amp;Registro_Compras!$C$235&amp;" de "&amp;Registro_Compras!$E$235)))</f>
        <v/>
      </c>
      <c r="H2084">
        <f>IF($C2084="","",Registro_Compras!$C$235)</f>
        <v/>
      </c>
    </row>
    <row r="2085">
      <c r="A2085" s="25">
        <f>IF($C2085="","",Registro_Compras!$B$235)</f>
        <v/>
      </c>
      <c r="B2085">
        <f>IF($C2085="","","C"&amp;TEXT(INT((ROW()-5)/9)+1,"000")&amp;"-1")</f>
        <v/>
      </c>
      <c r="C2085">
        <f>IF(OR(Registro_Compras!$C$235="",Registro_Compras!$O$235=""),"",IF(Registro_Compras!$F$235="RHE",IF(Registro_Compras!$V$235=0,"","40172"),IF(Registro_Compras!$F$235="NOTA DE CREDITO",IF(Registro_Compras!$M$235="","63",Registro_Compras!$M$235),IF(Registro_Compras!$K$235=0,"","40111"))))</f>
        <v/>
      </c>
      <c r="D2085">
        <f>IF(OR(Registro_Compras!$C$235="",Registro_Compras!$O$235=""),"",IF(Registro_Compras!$F$235="RHE","Retencion Renta 4ta Categoria por Pagar",IF(Registro_Compras!$F$235="NOTA DE CREDITO","Gastos de Servicios Prestados por Terceros","IGV - Cuenta Propia (Credito Fiscal)")))</f>
        <v/>
      </c>
      <c r="E2085" s="20">
        <f>IF($C2085="","",IF(Registro_Compras!$F$235="FACTURA",ROUND(Registro_Compras!$K$235*Registro_Compras!$N$235,2),""))</f>
        <v/>
      </c>
      <c r="F2085" s="20">
        <f>IF($C2085="","",IF(Registro_Compras!$F$235="RHE",ROUND(Registro_Compras!$V$235*Registro_Compras!$N$235,2),IF(Registro_Compras!$F$235="NOTA DE CREDITO",ROUND(ABS(Registro_Compras!$J$235*Registro_Compras!$N$235),2),"")))</f>
        <v/>
      </c>
      <c r="G2085">
        <f>IF($C2085="","",IF(Registro_Compras!$F$235="NOTA DE CREDITO","Por la nota de credito "&amp;Registro_Compras!$C$235&amp;" de "&amp;Registro_Compras!$E$235&amp;" [PATRON POR CONFIRMAR CON CONTADOR]",IF(Registro_Compras!$F$235="RHE","Por el registro del recibo por honorarios "&amp;Registro_Compras!$C$235&amp;" de "&amp;Registro_Compras!$E$235&amp;" [PATRON POR CONFIRMAR CON CONTADOR]","Por el registro de la factura "&amp;Registro_Compras!$C$235&amp;" de "&amp;Registro_Compras!$E$235)))</f>
        <v/>
      </c>
      <c r="H2085">
        <f>IF($C2085="","",Registro_Compras!$C$235)</f>
        <v/>
      </c>
    </row>
    <row r="2086">
      <c r="A2086" s="25">
        <f>IF($C2086="","",Registro_Compras!$B$235)</f>
        <v/>
      </c>
      <c r="B2086">
        <f>IF($C2086="","","C"&amp;TEXT(INT((ROW()-5)/9)+1,"000")&amp;"-1")</f>
        <v/>
      </c>
      <c r="C2086">
        <f>IF(OR(Registro_Compras!$C$235="",Registro_Compras!$O$235=""),"",IF(Registro_Compras!$F$235="NOTA DE CREDITO",IF(Registro_Compras!$K$235=0,"","40111"),"4212"))</f>
        <v/>
      </c>
      <c r="D2086">
        <f>IF(OR(Registro_Compras!$C$235="",Registro_Compras!$O$235=""),"",IF(Registro_Compras!$F$235="NOTA DE CREDITO","IGV - Cuenta Propia (Credito Fiscal)","Cuentas por Pagar Comerciales - Terceros (Emitidas)"))</f>
        <v/>
      </c>
      <c r="E2086" s="20">
        <f>""</f>
        <v/>
      </c>
      <c r="F2086" s="20">
        <f>IF($C2086="","",IF(Registro_Compras!$F$235="NOTA DE CREDITO",ROUND(ABS(Registro_Compras!$K$235*Registro_Compras!$N$235),2),IF(Registro_Compras!$F$235="RHE",(ROUND(Registro_Compras!$L$235*Registro_Compras!$N$235,2)-ROUND(Registro_Compras!$V$235*Registro_Compras!$N$235,2)),Registro_Compras!$O$235)))</f>
        <v/>
      </c>
      <c r="G2086">
        <f>IF($C2086="","",IF(Registro_Compras!$F$235="NOTA DE CREDITO","Por la nota de credito "&amp;Registro_Compras!$C$235&amp;" de "&amp;Registro_Compras!$E$235&amp;" [PATRON POR CONFIRMAR CON CONTADOR]",IF(Registro_Compras!$F$235="RHE","Por el registro del recibo por honorarios "&amp;Registro_Compras!$C$235&amp;" de "&amp;Registro_Compras!$E$235&amp;" [PATRON POR CONFIRMAR CON CONTADOR]","Por el registro de la factura "&amp;Registro_Compras!$C$235&amp;" de "&amp;Registro_Compras!$E$235)))</f>
        <v/>
      </c>
      <c r="H2086">
        <f>IF($C2086="","",Registro_Compras!$C$235)</f>
        <v/>
      </c>
    </row>
    <row r="2087">
      <c r="A2087" s="25">
        <f>IF($C2087="","",Registro_Compras!$B$235)</f>
        <v/>
      </c>
      <c r="B2087">
        <f>IF($C2087="","","C"&amp;TEXT(INT((ROW()-5)/9)+1,"000")&amp;"-2")</f>
        <v/>
      </c>
      <c r="C2087">
        <f>IF(OR(Registro_Compras!$C$235="",Registro_Compras!$O$235=""),"",IF(Registro_Compras!$AB$235="ADMINISTRATIVO","94","95"))</f>
        <v/>
      </c>
      <c r="D2087">
        <f>IF(OR(Registro_Compras!$C$235="",Registro_Compras!$O$235=""),"",IF(Registro_Compras!$AB$235="ADMINISTRATIVO","Gastos Administrativos","Gastos de Venta y Operacion"))</f>
        <v/>
      </c>
      <c r="E2087" s="20">
        <f>IF($C2087="","",IF(Registro_Compras!$F$235="NOTA DE CREDITO","",IF(Registro_Compras!$F$235="RHE",ROUND(Registro_Compras!$L$235*Registro_Compras!$N$235,2),ROUND(Registro_Compras!$J$235*Registro_Compras!$N$235,2))))</f>
        <v/>
      </c>
      <c r="F2087" s="20">
        <f>IF($C2087="","",IF(Registro_Compras!$F$235="NOTA DE CREDITO",ROUND(ABS(Registro_Compras!$J$235*Registro_Compras!$N$235),2),""))</f>
        <v/>
      </c>
      <c r="G2087">
        <f>IF($C2087="","","Por el destino del gasto")</f>
        <v/>
      </c>
      <c r="H2087">
        <f>IF($C2087="","",Registro_Compras!$C$235)</f>
        <v/>
      </c>
    </row>
    <row r="2088">
      <c r="A2088" s="25">
        <f>IF($C2088="","",Registro_Compras!$B$235)</f>
        <v/>
      </c>
      <c r="B2088">
        <f>IF($C2088="","","C"&amp;TEXT(INT((ROW()-5)/9)+1,"000")&amp;"-2")</f>
        <v/>
      </c>
      <c r="C2088">
        <f>IF(OR(Registro_Compras!$C$235="",Registro_Compras!$O$235=""),"","79/791")</f>
        <v/>
      </c>
      <c r="D2088">
        <f>IF(OR(Registro_Compras!$C$235="",Registro_Compras!$O$235=""),"","Cargas Imputables a Cuentas de Costos y Gastos")</f>
        <v/>
      </c>
      <c r="E2088" s="20">
        <f>IF($C2088="","",IF(Registro_Compras!$F$235="NOTA DE CREDITO",ROUND(ABS(Registro_Compras!$J$235*Registro_Compras!$N$235),2),""))</f>
        <v/>
      </c>
      <c r="F2088" s="20">
        <f>IF($C2088="","",IF(Registro_Compras!$F$235="NOTA DE CREDITO","",IF(Registro_Compras!$F$235="RHE",ROUND(Registro_Compras!$L$235*Registro_Compras!$N$235,2),ROUND(Registro_Compras!$J$235*Registro_Compras!$N$235,2))))</f>
        <v/>
      </c>
      <c r="G2088">
        <f>IF($C2088="","","Por el destino del gasto")</f>
        <v/>
      </c>
      <c r="H2088">
        <f>IF($C2088="","",Registro_Compras!$C$235)</f>
        <v/>
      </c>
    </row>
    <row r="2089">
      <c r="A2089" s="25">
        <f>IF($C2089="","",Registro_Compras!$X$235)</f>
        <v/>
      </c>
      <c r="B2089">
        <f>IF($C2089="","","C"&amp;TEXT(INT((ROW()-5)/9)+1,"000")&amp;"-3")</f>
        <v/>
      </c>
      <c r="C2089">
        <f>IF(OR(Registro_Compras!$C$235="",Registro_Compras!$O$235="",Registro_Compras!$R$235&lt;&gt;"SI",Registro_Compras!$X$235=""),"","4212")</f>
        <v/>
      </c>
      <c r="D2089">
        <f>IF(OR(Registro_Compras!$C$235="",Registro_Compras!$O$235=""),"","Cuentas por Pagar Comerciales - Terceros")</f>
        <v/>
      </c>
      <c r="E2089" s="20">
        <f>IF($C2089="","",Registro_Compras!$S$235)</f>
        <v/>
      </c>
      <c r="F2089" s="20">
        <f>""</f>
        <v/>
      </c>
      <c r="G2089">
        <f>IF($C2089="","","Por el deposito de la detraccion en el Banco de la Nacion")</f>
        <v/>
      </c>
      <c r="H2089">
        <f>IF($C2089="","",Registro_Compras!$C$235)</f>
        <v/>
      </c>
    </row>
    <row r="2090">
      <c r="A2090" s="25">
        <f>IF($C2090="","",Registro_Compras!$X$235)</f>
        <v/>
      </c>
      <c r="B2090">
        <f>IF($C2090="","","C"&amp;TEXT(INT((ROW()-5)/9)+1,"000")&amp;"-3")</f>
        <v/>
      </c>
      <c r="C2090">
        <f>IF(OR(Registro_Compras!$C$235="",Registro_Compras!$O$235="",Registro_Compras!$R$235&lt;&gt;"SI",Registro_Compras!$X$235=""),"","10413")</f>
        <v/>
      </c>
      <c r="D2090">
        <f>IF(OR(Registro_Compras!$C$235="",Registro_Compras!$O$235=""),"","Efectivo y Equivalentes - Cta. Cte. Operativa")</f>
        <v/>
      </c>
      <c r="E2090" s="20">
        <f>""</f>
        <v/>
      </c>
      <c r="F2090" s="20">
        <f>IF($C2090="","",Registro_Compras!$S$235)</f>
        <v/>
      </c>
      <c r="G2090">
        <f>IF($C2090="","","Por el deposito de la detraccion en el Banco de la Nacion")</f>
        <v/>
      </c>
      <c r="H2090">
        <f>IF($C2090="","",Registro_Compras!$C$235)</f>
        <v/>
      </c>
    </row>
    <row r="2091">
      <c r="A2091" s="25">
        <f>IF($C2091="","",Registro_Compras!$Y$235)</f>
        <v/>
      </c>
      <c r="B2091">
        <f>IF($C2091="","","C"&amp;TEXT(INT((ROW()-5)/9)+1,"000")&amp;"-4")</f>
        <v/>
      </c>
      <c r="C2091">
        <f>IF(OR(Registro_Compras!$C$235="",Registro_Compras!$O$235="",Registro_Compras!$Y$235="",Registro_Compras!$F$235="NOTA DE CREDITO"),"","4212")</f>
        <v/>
      </c>
      <c r="D2091">
        <f>IF(OR(Registro_Compras!$C$235="",Registro_Compras!$O$235=""),"","Cuentas por Pagar Comerciales - Terceros")</f>
        <v/>
      </c>
      <c r="E2091" s="20">
        <f>IF($C2091="","",IF(Registro_Compras!$F$235="RHE",(ROUND(Registro_Compras!$L$235*Registro_Compras!$N$235,2)-ROUND(Registro_Compras!$V$235*Registro_Compras!$N$235,2)),ROUND(Registro_Compras!$O$235-Registro_Compras!$S$235,2)))</f>
        <v/>
      </c>
      <c r="F2091" s="20">
        <f>""</f>
        <v/>
      </c>
      <c r="G2091">
        <f>IF($C2091="","","Por la cancelacion del saldo al proveedor")</f>
        <v/>
      </c>
      <c r="H2091">
        <f>IF($C2091="","",Registro_Compras!$C$235)</f>
        <v/>
      </c>
    </row>
    <row r="2092">
      <c r="A2092" s="25">
        <f>IF($C2092="","",Registro_Compras!$Y$235)</f>
        <v/>
      </c>
      <c r="B2092">
        <f>IF($C2092="","","C"&amp;TEXT(INT((ROW()-5)/9)+1,"000")&amp;"-4")</f>
        <v/>
      </c>
      <c r="C2092">
        <f>IF(OR(Registro_Compras!$C$235="",Registro_Compras!$O$235="",Registro_Compras!$Y$235="",Registro_Compras!$F$235="NOTA DE CREDITO"),"","10413")</f>
        <v/>
      </c>
      <c r="D2092">
        <f>IF(OR(Registro_Compras!$C$235="",Registro_Compras!$O$235=""),"","Efectivo y Equivalentes - Cta. Cte. Operativa")</f>
        <v/>
      </c>
      <c r="E2092" s="20">
        <f>""</f>
        <v/>
      </c>
      <c r="F2092" s="20">
        <f>IF($C2092="","",IF(Registro_Compras!$F$235="RHE",(ROUND(Registro_Compras!$L$235*Registro_Compras!$N$235,2)-ROUND(Registro_Compras!$V$235*Registro_Compras!$N$235,2)),ROUND(Registro_Compras!$O$235-Registro_Compras!$S$235,2)))</f>
        <v/>
      </c>
      <c r="G2092">
        <f>IF($C2092="","","Por la cancelacion del saldo al proveedor")</f>
        <v/>
      </c>
      <c r="H2092">
        <f>IF($C2092="","",Registro_Compras!$C$235)</f>
        <v/>
      </c>
    </row>
    <row r="2093">
      <c r="A2093" s="25">
        <f>IF($C2093="","",Registro_Compras!$B$236)</f>
        <v/>
      </c>
      <c r="B2093">
        <f>IF($C2093="","","C"&amp;TEXT(INT((ROW()-5)/9)+1,"000")&amp;"-1")</f>
        <v/>
      </c>
      <c r="C2093">
        <f>IF(OR(Registro_Compras!$C$236="",Registro_Compras!$O$236=""),"",IF(Registro_Compras!$F$236="NOTA DE CREDITO","4212",IF(Registro_Compras!$M$236="","63",Registro_Compras!$M$236)))</f>
        <v/>
      </c>
      <c r="D2093">
        <f>IF(OR(Registro_Compras!$C$236="",Registro_Compras!$O$236=""),"",IF(Registro_Compras!$F$236="NOTA DE CREDITO","Cuentas por Pagar Comerciales - Terceros (Emitidas)",IF(Registro_Compras!$F$236="RHE","Honorarios Profesionales - Servicios de Terceros","Gastos de Servicios Prestados por Terceros")))</f>
        <v/>
      </c>
      <c r="E2093" s="20">
        <f>IF($C2093="","",IF(Registro_Compras!$F$236="NOTA DE CREDITO",ABS(Registro_Compras!$O$236),IF(Registro_Compras!$F$236="RHE",ROUND(Registro_Compras!$L$236*Registro_Compras!$N$236,2),ROUND(Registro_Compras!$J$236*Registro_Compras!$N$236,2))))</f>
        <v/>
      </c>
      <c r="F2093" s="20">
        <f>""</f>
        <v/>
      </c>
      <c r="G2093">
        <f>IF($C2093="","",IF(Registro_Compras!$F$236="NOTA DE CREDITO","Por la nota de credito "&amp;Registro_Compras!$C$236&amp;" de "&amp;Registro_Compras!$E$236&amp;" [PATRON POR CONFIRMAR CON CONTADOR]",IF(Registro_Compras!$F$236="RHE","Por el registro del recibo por honorarios "&amp;Registro_Compras!$C$236&amp;" de "&amp;Registro_Compras!$E$236&amp;" [PATRON POR CONFIRMAR CON CONTADOR]","Por el registro de la factura "&amp;Registro_Compras!$C$236&amp;" de "&amp;Registro_Compras!$E$236)))</f>
        <v/>
      </c>
      <c r="H2093">
        <f>IF($C2093="","",Registro_Compras!$C$236)</f>
        <v/>
      </c>
    </row>
    <row r="2094">
      <c r="A2094" s="25">
        <f>IF($C2094="","",Registro_Compras!$B$236)</f>
        <v/>
      </c>
      <c r="B2094">
        <f>IF($C2094="","","C"&amp;TEXT(INT((ROW()-5)/9)+1,"000")&amp;"-1")</f>
        <v/>
      </c>
      <c r="C2094">
        <f>IF(OR(Registro_Compras!$C$236="",Registro_Compras!$O$236=""),"",IF(Registro_Compras!$F$236="RHE",IF(Registro_Compras!$V$236=0,"","40172"),IF(Registro_Compras!$F$236="NOTA DE CREDITO",IF(Registro_Compras!$M$236="","63",Registro_Compras!$M$236),IF(Registro_Compras!$K$236=0,"","40111"))))</f>
        <v/>
      </c>
      <c r="D2094">
        <f>IF(OR(Registro_Compras!$C$236="",Registro_Compras!$O$236=""),"",IF(Registro_Compras!$F$236="RHE","Retencion Renta 4ta Categoria por Pagar",IF(Registro_Compras!$F$236="NOTA DE CREDITO","Gastos de Servicios Prestados por Terceros","IGV - Cuenta Propia (Credito Fiscal)")))</f>
        <v/>
      </c>
      <c r="E2094" s="20">
        <f>IF($C2094="","",IF(Registro_Compras!$F$236="FACTURA",ROUND(Registro_Compras!$K$236*Registro_Compras!$N$236,2),""))</f>
        <v/>
      </c>
      <c r="F2094" s="20">
        <f>IF($C2094="","",IF(Registro_Compras!$F$236="RHE",ROUND(Registro_Compras!$V$236*Registro_Compras!$N$236,2),IF(Registro_Compras!$F$236="NOTA DE CREDITO",ROUND(ABS(Registro_Compras!$J$236*Registro_Compras!$N$236),2),"")))</f>
        <v/>
      </c>
      <c r="G2094">
        <f>IF($C2094="","",IF(Registro_Compras!$F$236="NOTA DE CREDITO","Por la nota de credito "&amp;Registro_Compras!$C$236&amp;" de "&amp;Registro_Compras!$E$236&amp;" [PATRON POR CONFIRMAR CON CONTADOR]",IF(Registro_Compras!$F$236="RHE","Por el registro del recibo por honorarios "&amp;Registro_Compras!$C$236&amp;" de "&amp;Registro_Compras!$E$236&amp;" [PATRON POR CONFIRMAR CON CONTADOR]","Por el registro de la factura "&amp;Registro_Compras!$C$236&amp;" de "&amp;Registro_Compras!$E$236)))</f>
        <v/>
      </c>
      <c r="H2094">
        <f>IF($C2094="","",Registro_Compras!$C$236)</f>
        <v/>
      </c>
    </row>
    <row r="2095">
      <c r="A2095" s="25">
        <f>IF($C2095="","",Registro_Compras!$B$236)</f>
        <v/>
      </c>
      <c r="B2095">
        <f>IF($C2095="","","C"&amp;TEXT(INT((ROW()-5)/9)+1,"000")&amp;"-1")</f>
        <v/>
      </c>
      <c r="C2095">
        <f>IF(OR(Registro_Compras!$C$236="",Registro_Compras!$O$236=""),"",IF(Registro_Compras!$F$236="NOTA DE CREDITO",IF(Registro_Compras!$K$236=0,"","40111"),"4212"))</f>
        <v/>
      </c>
      <c r="D2095">
        <f>IF(OR(Registro_Compras!$C$236="",Registro_Compras!$O$236=""),"",IF(Registro_Compras!$F$236="NOTA DE CREDITO","IGV - Cuenta Propia (Credito Fiscal)","Cuentas por Pagar Comerciales - Terceros (Emitidas)"))</f>
        <v/>
      </c>
      <c r="E2095" s="20">
        <f>""</f>
        <v/>
      </c>
      <c r="F2095" s="20">
        <f>IF($C2095="","",IF(Registro_Compras!$F$236="NOTA DE CREDITO",ROUND(ABS(Registro_Compras!$K$236*Registro_Compras!$N$236),2),IF(Registro_Compras!$F$236="RHE",(ROUND(Registro_Compras!$L$236*Registro_Compras!$N$236,2)-ROUND(Registro_Compras!$V$236*Registro_Compras!$N$236,2)),Registro_Compras!$O$236)))</f>
        <v/>
      </c>
      <c r="G2095">
        <f>IF($C2095="","",IF(Registro_Compras!$F$236="NOTA DE CREDITO","Por la nota de credito "&amp;Registro_Compras!$C$236&amp;" de "&amp;Registro_Compras!$E$236&amp;" [PATRON POR CONFIRMAR CON CONTADOR]",IF(Registro_Compras!$F$236="RHE","Por el registro del recibo por honorarios "&amp;Registro_Compras!$C$236&amp;" de "&amp;Registro_Compras!$E$236&amp;" [PATRON POR CONFIRMAR CON CONTADOR]","Por el registro de la factura "&amp;Registro_Compras!$C$236&amp;" de "&amp;Registro_Compras!$E$236)))</f>
        <v/>
      </c>
      <c r="H2095">
        <f>IF($C2095="","",Registro_Compras!$C$236)</f>
        <v/>
      </c>
    </row>
    <row r="2096">
      <c r="A2096" s="25">
        <f>IF($C2096="","",Registro_Compras!$B$236)</f>
        <v/>
      </c>
      <c r="B2096">
        <f>IF($C2096="","","C"&amp;TEXT(INT((ROW()-5)/9)+1,"000")&amp;"-2")</f>
        <v/>
      </c>
      <c r="C2096">
        <f>IF(OR(Registro_Compras!$C$236="",Registro_Compras!$O$236=""),"",IF(Registro_Compras!$AB$236="ADMINISTRATIVO","94","95"))</f>
        <v/>
      </c>
      <c r="D2096">
        <f>IF(OR(Registro_Compras!$C$236="",Registro_Compras!$O$236=""),"",IF(Registro_Compras!$AB$236="ADMINISTRATIVO","Gastos Administrativos","Gastos de Venta y Operacion"))</f>
        <v/>
      </c>
      <c r="E2096" s="20">
        <f>IF($C2096="","",IF(Registro_Compras!$F$236="NOTA DE CREDITO","",IF(Registro_Compras!$F$236="RHE",ROUND(Registro_Compras!$L$236*Registro_Compras!$N$236,2),ROUND(Registro_Compras!$J$236*Registro_Compras!$N$236,2))))</f>
        <v/>
      </c>
      <c r="F2096" s="20">
        <f>IF($C2096="","",IF(Registro_Compras!$F$236="NOTA DE CREDITO",ROUND(ABS(Registro_Compras!$J$236*Registro_Compras!$N$236),2),""))</f>
        <v/>
      </c>
      <c r="G2096">
        <f>IF($C2096="","","Por el destino del gasto")</f>
        <v/>
      </c>
      <c r="H2096">
        <f>IF($C2096="","",Registro_Compras!$C$236)</f>
        <v/>
      </c>
    </row>
    <row r="2097">
      <c r="A2097" s="25">
        <f>IF($C2097="","",Registro_Compras!$B$236)</f>
        <v/>
      </c>
      <c r="B2097">
        <f>IF($C2097="","","C"&amp;TEXT(INT((ROW()-5)/9)+1,"000")&amp;"-2")</f>
        <v/>
      </c>
      <c r="C2097">
        <f>IF(OR(Registro_Compras!$C$236="",Registro_Compras!$O$236=""),"","79/791")</f>
        <v/>
      </c>
      <c r="D2097">
        <f>IF(OR(Registro_Compras!$C$236="",Registro_Compras!$O$236=""),"","Cargas Imputables a Cuentas de Costos y Gastos")</f>
        <v/>
      </c>
      <c r="E2097" s="20">
        <f>IF($C2097="","",IF(Registro_Compras!$F$236="NOTA DE CREDITO",ROUND(ABS(Registro_Compras!$J$236*Registro_Compras!$N$236),2),""))</f>
        <v/>
      </c>
      <c r="F2097" s="20">
        <f>IF($C2097="","",IF(Registro_Compras!$F$236="NOTA DE CREDITO","",IF(Registro_Compras!$F$236="RHE",ROUND(Registro_Compras!$L$236*Registro_Compras!$N$236,2),ROUND(Registro_Compras!$J$236*Registro_Compras!$N$236,2))))</f>
        <v/>
      </c>
      <c r="G2097">
        <f>IF($C2097="","","Por el destino del gasto")</f>
        <v/>
      </c>
      <c r="H2097">
        <f>IF($C2097="","",Registro_Compras!$C$236)</f>
        <v/>
      </c>
    </row>
    <row r="2098">
      <c r="A2098" s="25">
        <f>IF($C2098="","",Registro_Compras!$X$236)</f>
        <v/>
      </c>
      <c r="B2098">
        <f>IF($C2098="","","C"&amp;TEXT(INT((ROW()-5)/9)+1,"000")&amp;"-3")</f>
        <v/>
      </c>
      <c r="C2098">
        <f>IF(OR(Registro_Compras!$C$236="",Registro_Compras!$O$236="",Registro_Compras!$R$236&lt;&gt;"SI",Registro_Compras!$X$236=""),"","4212")</f>
        <v/>
      </c>
      <c r="D2098">
        <f>IF(OR(Registro_Compras!$C$236="",Registro_Compras!$O$236=""),"","Cuentas por Pagar Comerciales - Terceros")</f>
        <v/>
      </c>
      <c r="E2098" s="20">
        <f>IF($C2098="","",Registro_Compras!$S$236)</f>
        <v/>
      </c>
      <c r="F2098" s="20">
        <f>""</f>
        <v/>
      </c>
      <c r="G2098">
        <f>IF($C2098="","","Por el deposito de la detraccion en el Banco de la Nacion")</f>
        <v/>
      </c>
      <c r="H2098">
        <f>IF($C2098="","",Registro_Compras!$C$236)</f>
        <v/>
      </c>
    </row>
    <row r="2099">
      <c r="A2099" s="25">
        <f>IF($C2099="","",Registro_Compras!$X$236)</f>
        <v/>
      </c>
      <c r="B2099">
        <f>IF($C2099="","","C"&amp;TEXT(INT((ROW()-5)/9)+1,"000")&amp;"-3")</f>
        <v/>
      </c>
      <c r="C2099">
        <f>IF(OR(Registro_Compras!$C$236="",Registro_Compras!$O$236="",Registro_Compras!$R$236&lt;&gt;"SI",Registro_Compras!$X$236=""),"","10413")</f>
        <v/>
      </c>
      <c r="D2099">
        <f>IF(OR(Registro_Compras!$C$236="",Registro_Compras!$O$236=""),"","Efectivo y Equivalentes - Cta. Cte. Operativa")</f>
        <v/>
      </c>
      <c r="E2099" s="20">
        <f>""</f>
        <v/>
      </c>
      <c r="F2099" s="20">
        <f>IF($C2099="","",Registro_Compras!$S$236)</f>
        <v/>
      </c>
      <c r="G2099">
        <f>IF($C2099="","","Por el deposito de la detraccion en el Banco de la Nacion")</f>
        <v/>
      </c>
      <c r="H2099">
        <f>IF($C2099="","",Registro_Compras!$C$236)</f>
        <v/>
      </c>
    </row>
    <row r="2100">
      <c r="A2100" s="25">
        <f>IF($C2100="","",Registro_Compras!$Y$236)</f>
        <v/>
      </c>
      <c r="B2100">
        <f>IF($C2100="","","C"&amp;TEXT(INT((ROW()-5)/9)+1,"000")&amp;"-4")</f>
        <v/>
      </c>
      <c r="C2100">
        <f>IF(OR(Registro_Compras!$C$236="",Registro_Compras!$O$236="",Registro_Compras!$Y$236="",Registro_Compras!$F$236="NOTA DE CREDITO"),"","4212")</f>
        <v/>
      </c>
      <c r="D2100">
        <f>IF(OR(Registro_Compras!$C$236="",Registro_Compras!$O$236=""),"","Cuentas por Pagar Comerciales - Terceros")</f>
        <v/>
      </c>
      <c r="E2100" s="20">
        <f>IF($C2100="","",IF(Registro_Compras!$F$236="RHE",(ROUND(Registro_Compras!$L$236*Registro_Compras!$N$236,2)-ROUND(Registro_Compras!$V$236*Registro_Compras!$N$236,2)),ROUND(Registro_Compras!$O$236-Registro_Compras!$S$236,2)))</f>
        <v/>
      </c>
      <c r="F2100" s="20">
        <f>""</f>
        <v/>
      </c>
      <c r="G2100">
        <f>IF($C2100="","","Por la cancelacion del saldo al proveedor")</f>
        <v/>
      </c>
      <c r="H2100">
        <f>IF($C2100="","",Registro_Compras!$C$236)</f>
        <v/>
      </c>
    </row>
    <row r="2101">
      <c r="A2101" s="25">
        <f>IF($C2101="","",Registro_Compras!$Y$236)</f>
        <v/>
      </c>
      <c r="B2101">
        <f>IF($C2101="","","C"&amp;TEXT(INT((ROW()-5)/9)+1,"000")&amp;"-4")</f>
        <v/>
      </c>
      <c r="C2101">
        <f>IF(OR(Registro_Compras!$C$236="",Registro_Compras!$O$236="",Registro_Compras!$Y$236="",Registro_Compras!$F$236="NOTA DE CREDITO"),"","10413")</f>
        <v/>
      </c>
      <c r="D2101">
        <f>IF(OR(Registro_Compras!$C$236="",Registro_Compras!$O$236=""),"","Efectivo y Equivalentes - Cta. Cte. Operativa")</f>
        <v/>
      </c>
      <c r="E2101" s="20">
        <f>""</f>
        <v/>
      </c>
      <c r="F2101" s="20">
        <f>IF($C2101="","",IF(Registro_Compras!$F$236="RHE",(ROUND(Registro_Compras!$L$236*Registro_Compras!$N$236,2)-ROUND(Registro_Compras!$V$236*Registro_Compras!$N$236,2)),ROUND(Registro_Compras!$O$236-Registro_Compras!$S$236,2)))</f>
        <v/>
      </c>
      <c r="G2101">
        <f>IF($C2101="","","Por la cancelacion del saldo al proveedor")</f>
        <v/>
      </c>
      <c r="H2101">
        <f>IF($C2101="","",Registro_Compras!$C$236)</f>
        <v/>
      </c>
    </row>
    <row r="2102">
      <c r="A2102" s="25">
        <f>IF($C2102="","",Registro_Compras!$B$237)</f>
        <v/>
      </c>
      <c r="B2102">
        <f>IF($C2102="","","C"&amp;TEXT(INT((ROW()-5)/9)+1,"000")&amp;"-1")</f>
        <v/>
      </c>
      <c r="C2102">
        <f>IF(OR(Registro_Compras!$C$237="",Registro_Compras!$O$237=""),"",IF(Registro_Compras!$F$237="NOTA DE CREDITO","4212",IF(Registro_Compras!$M$237="","63",Registro_Compras!$M$237)))</f>
        <v/>
      </c>
      <c r="D2102">
        <f>IF(OR(Registro_Compras!$C$237="",Registro_Compras!$O$237=""),"",IF(Registro_Compras!$F$237="NOTA DE CREDITO","Cuentas por Pagar Comerciales - Terceros (Emitidas)",IF(Registro_Compras!$F$237="RHE","Honorarios Profesionales - Servicios de Terceros","Gastos de Servicios Prestados por Terceros")))</f>
        <v/>
      </c>
      <c r="E2102" s="20">
        <f>IF($C2102="","",IF(Registro_Compras!$F$237="NOTA DE CREDITO",ABS(Registro_Compras!$O$237),IF(Registro_Compras!$F$237="RHE",ROUND(Registro_Compras!$L$237*Registro_Compras!$N$237,2),ROUND(Registro_Compras!$J$237*Registro_Compras!$N$237,2))))</f>
        <v/>
      </c>
      <c r="F2102" s="20">
        <f>""</f>
        <v/>
      </c>
      <c r="G2102">
        <f>IF($C2102="","",IF(Registro_Compras!$F$237="NOTA DE CREDITO","Por la nota de credito "&amp;Registro_Compras!$C$237&amp;" de "&amp;Registro_Compras!$E$237&amp;" [PATRON POR CONFIRMAR CON CONTADOR]",IF(Registro_Compras!$F$237="RHE","Por el registro del recibo por honorarios "&amp;Registro_Compras!$C$237&amp;" de "&amp;Registro_Compras!$E$237&amp;" [PATRON POR CONFIRMAR CON CONTADOR]","Por el registro de la factura "&amp;Registro_Compras!$C$237&amp;" de "&amp;Registro_Compras!$E$237)))</f>
        <v/>
      </c>
      <c r="H2102">
        <f>IF($C2102="","",Registro_Compras!$C$237)</f>
        <v/>
      </c>
    </row>
    <row r="2103">
      <c r="A2103" s="25">
        <f>IF($C2103="","",Registro_Compras!$B$237)</f>
        <v/>
      </c>
      <c r="B2103">
        <f>IF($C2103="","","C"&amp;TEXT(INT((ROW()-5)/9)+1,"000")&amp;"-1")</f>
        <v/>
      </c>
      <c r="C2103">
        <f>IF(OR(Registro_Compras!$C$237="",Registro_Compras!$O$237=""),"",IF(Registro_Compras!$F$237="RHE",IF(Registro_Compras!$V$237=0,"","40172"),IF(Registro_Compras!$F$237="NOTA DE CREDITO",IF(Registro_Compras!$M$237="","63",Registro_Compras!$M$237),IF(Registro_Compras!$K$237=0,"","40111"))))</f>
        <v/>
      </c>
      <c r="D2103">
        <f>IF(OR(Registro_Compras!$C$237="",Registro_Compras!$O$237=""),"",IF(Registro_Compras!$F$237="RHE","Retencion Renta 4ta Categoria por Pagar",IF(Registro_Compras!$F$237="NOTA DE CREDITO","Gastos de Servicios Prestados por Terceros","IGV - Cuenta Propia (Credito Fiscal)")))</f>
        <v/>
      </c>
      <c r="E2103" s="20">
        <f>IF($C2103="","",IF(Registro_Compras!$F$237="FACTURA",ROUND(Registro_Compras!$K$237*Registro_Compras!$N$237,2),""))</f>
        <v/>
      </c>
      <c r="F2103" s="20">
        <f>IF($C2103="","",IF(Registro_Compras!$F$237="RHE",ROUND(Registro_Compras!$V$237*Registro_Compras!$N$237,2),IF(Registro_Compras!$F$237="NOTA DE CREDITO",ROUND(ABS(Registro_Compras!$J$237*Registro_Compras!$N$237),2),"")))</f>
        <v/>
      </c>
      <c r="G2103">
        <f>IF($C2103="","",IF(Registro_Compras!$F$237="NOTA DE CREDITO","Por la nota de credito "&amp;Registro_Compras!$C$237&amp;" de "&amp;Registro_Compras!$E$237&amp;" [PATRON POR CONFIRMAR CON CONTADOR]",IF(Registro_Compras!$F$237="RHE","Por el registro del recibo por honorarios "&amp;Registro_Compras!$C$237&amp;" de "&amp;Registro_Compras!$E$237&amp;" [PATRON POR CONFIRMAR CON CONTADOR]","Por el registro de la factura "&amp;Registro_Compras!$C$237&amp;" de "&amp;Registro_Compras!$E$237)))</f>
        <v/>
      </c>
      <c r="H2103">
        <f>IF($C2103="","",Registro_Compras!$C$237)</f>
        <v/>
      </c>
    </row>
    <row r="2104">
      <c r="A2104" s="25">
        <f>IF($C2104="","",Registro_Compras!$B$237)</f>
        <v/>
      </c>
      <c r="B2104">
        <f>IF($C2104="","","C"&amp;TEXT(INT((ROW()-5)/9)+1,"000")&amp;"-1")</f>
        <v/>
      </c>
      <c r="C2104">
        <f>IF(OR(Registro_Compras!$C$237="",Registro_Compras!$O$237=""),"",IF(Registro_Compras!$F$237="NOTA DE CREDITO",IF(Registro_Compras!$K$237=0,"","40111"),"4212"))</f>
        <v/>
      </c>
      <c r="D2104">
        <f>IF(OR(Registro_Compras!$C$237="",Registro_Compras!$O$237=""),"",IF(Registro_Compras!$F$237="NOTA DE CREDITO","IGV - Cuenta Propia (Credito Fiscal)","Cuentas por Pagar Comerciales - Terceros (Emitidas)"))</f>
        <v/>
      </c>
      <c r="E2104" s="20">
        <f>""</f>
        <v/>
      </c>
      <c r="F2104" s="20">
        <f>IF($C2104="","",IF(Registro_Compras!$F$237="NOTA DE CREDITO",ROUND(ABS(Registro_Compras!$K$237*Registro_Compras!$N$237),2),IF(Registro_Compras!$F$237="RHE",(ROUND(Registro_Compras!$L$237*Registro_Compras!$N$237,2)-ROUND(Registro_Compras!$V$237*Registro_Compras!$N$237,2)),Registro_Compras!$O$237)))</f>
        <v/>
      </c>
      <c r="G2104">
        <f>IF($C2104="","",IF(Registro_Compras!$F$237="NOTA DE CREDITO","Por la nota de credito "&amp;Registro_Compras!$C$237&amp;" de "&amp;Registro_Compras!$E$237&amp;" [PATRON POR CONFIRMAR CON CONTADOR]",IF(Registro_Compras!$F$237="RHE","Por el registro del recibo por honorarios "&amp;Registro_Compras!$C$237&amp;" de "&amp;Registro_Compras!$E$237&amp;" [PATRON POR CONFIRMAR CON CONTADOR]","Por el registro de la factura "&amp;Registro_Compras!$C$237&amp;" de "&amp;Registro_Compras!$E$237)))</f>
        <v/>
      </c>
      <c r="H2104">
        <f>IF($C2104="","",Registro_Compras!$C$237)</f>
        <v/>
      </c>
    </row>
    <row r="2105">
      <c r="A2105" s="25">
        <f>IF($C2105="","",Registro_Compras!$B$237)</f>
        <v/>
      </c>
      <c r="B2105">
        <f>IF($C2105="","","C"&amp;TEXT(INT((ROW()-5)/9)+1,"000")&amp;"-2")</f>
        <v/>
      </c>
      <c r="C2105">
        <f>IF(OR(Registro_Compras!$C$237="",Registro_Compras!$O$237=""),"",IF(Registro_Compras!$AB$237="ADMINISTRATIVO","94","95"))</f>
        <v/>
      </c>
      <c r="D2105">
        <f>IF(OR(Registro_Compras!$C$237="",Registro_Compras!$O$237=""),"",IF(Registro_Compras!$AB$237="ADMINISTRATIVO","Gastos Administrativos","Gastos de Venta y Operacion"))</f>
        <v/>
      </c>
      <c r="E2105" s="20">
        <f>IF($C2105="","",IF(Registro_Compras!$F$237="NOTA DE CREDITO","",IF(Registro_Compras!$F$237="RHE",ROUND(Registro_Compras!$L$237*Registro_Compras!$N$237,2),ROUND(Registro_Compras!$J$237*Registro_Compras!$N$237,2))))</f>
        <v/>
      </c>
      <c r="F2105" s="20">
        <f>IF($C2105="","",IF(Registro_Compras!$F$237="NOTA DE CREDITO",ROUND(ABS(Registro_Compras!$J$237*Registro_Compras!$N$237),2),""))</f>
        <v/>
      </c>
      <c r="G2105">
        <f>IF($C2105="","","Por el destino del gasto")</f>
        <v/>
      </c>
      <c r="H2105">
        <f>IF($C2105="","",Registro_Compras!$C$237)</f>
        <v/>
      </c>
    </row>
    <row r="2106">
      <c r="A2106" s="25">
        <f>IF($C2106="","",Registro_Compras!$B$237)</f>
        <v/>
      </c>
      <c r="B2106">
        <f>IF($C2106="","","C"&amp;TEXT(INT((ROW()-5)/9)+1,"000")&amp;"-2")</f>
        <v/>
      </c>
      <c r="C2106">
        <f>IF(OR(Registro_Compras!$C$237="",Registro_Compras!$O$237=""),"","79/791")</f>
        <v/>
      </c>
      <c r="D2106">
        <f>IF(OR(Registro_Compras!$C$237="",Registro_Compras!$O$237=""),"","Cargas Imputables a Cuentas de Costos y Gastos")</f>
        <v/>
      </c>
      <c r="E2106" s="20">
        <f>IF($C2106="","",IF(Registro_Compras!$F$237="NOTA DE CREDITO",ROUND(ABS(Registro_Compras!$J$237*Registro_Compras!$N$237),2),""))</f>
        <v/>
      </c>
      <c r="F2106" s="20">
        <f>IF($C2106="","",IF(Registro_Compras!$F$237="NOTA DE CREDITO","",IF(Registro_Compras!$F$237="RHE",ROUND(Registro_Compras!$L$237*Registro_Compras!$N$237,2),ROUND(Registro_Compras!$J$237*Registro_Compras!$N$237,2))))</f>
        <v/>
      </c>
      <c r="G2106">
        <f>IF($C2106="","","Por el destino del gasto")</f>
        <v/>
      </c>
      <c r="H2106">
        <f>IF($C2106="","",Registro_Compras!$C$237)</f>
        <v/>
      </c>
    </row>
    <row r="2107">
      <c r="A2107" s="25">
        <f>IF($C2107="","",Registro_Compras!$X$237)</f>
        <v/>
      </c>
      <c r="B2107">
        <f>IF($C2107="","","C"&amp;TEXT(INT((ROW()-5)/9)+1,"000")&amp;"-3")</f>
        <v/>
      </c>
      <c r="C2107">
        <f>IF(OR(Registro_Compras!$C$237="",Registro_Compras!$O$237="",Registro_Compras!$R$237&lt;&gt;"SI",Registro_Compras!$X$237=""),"","4212")</f>
        <v/>
      </c>
      <c r="D2107">
        <f>IF(OR(Registro_Compras!$C$237="",Registro_Compras!$O$237=""),"","Cuentas por Pagar Comerciales - Terceros")</f>
        <v/>
      </c>
      <c r="E2107" s="20">
        <f>IF($C2107="","",Registro_Compras!$S$237)</f>
        <v/>
      </c>
      <c r="F2107" s="20">
        <f>""</f>
        <v/>
      </c>
      <c r="G2107">
        <f>IF($C2107="","","Por el deposito de la detraccion en el Banco de la Nacion")</f>
        <v/>
      </c>
      <c r="H2107">
        <f>IF($C2107="","",Registro_Compras!$C$237)</f>
        <v/>
      </c>
    </row>
    <row r="2108">
      <c r="A2108" s="25">
        <f>IF($C2108="","",Registro_Compras!$X$237)</f>
        <v/>
      </c>
      <c r="B2108">
        <f>IF($C2108="","","C"&amp;TEXT(INT((ROW()-5)/9)+1,"000")&amp;"-3")</f>
        <v/>
      </c>
      <c r="C2108">
        <f>IF(OR(Registro_Compras!$C$237="",Registro_Compras!$O$237="",Registro_Compras!$R$237&lt;&gt;"SI",Registro_Compras!$X$237=""),"","10413")</f>
        <v/>
      </c>
      <c r="D2108">
        <f>IF(OR(Registro_Compras!$C$237="",Registro_Compras!$O$237=""),"","Efectivo y Equivalentes - Cta. Cte. Operativa")</f>
        <v/>
      </c>
      <c r="E2108" s="20">
        <f>""</f>
        <v/>
      </c>
      <c r="F2108" s="20">
        <f>IF($C2108="","",Registro_Compras!$S$237)</f>
        <v/>
      </c>
      <c r="G2108">
        <f>IF($C2108="","","Por el deposito de la detraccion en el Banco de la Nacion")</f>
        <v/>
      </c>
      <c r="H2108">
        <f>IF($C2108="","",Registro_Compras!$C$237)</f>
        <v/>
      </c>
    </row>
    <row r="2109">
      <c r="A2109" s="25">
        <f>IF($C2109="","",Registro_Compras!$Y$237)</f>
        <v/>
      </c>
      <c r="B2109">
        <f>IF($C2109="","","C"&amp;TEXT(INT((ROW()-5)/9)+1,"000")&amp;"-4")</f>
        <v/>
      </c>
      <c r="C2109">
        <f>IF(OR(Registro_Compras!$C$237="",Registro_Compras!$O$237="",Registro_Compras!$Y$237="",Registro_Compras!$F$237="NOTA DE CREDITO"),"","4212")</f>
        <v/>
      </c>
      <c r="D2109">
        <f>IF(OR(Registro_Compras!$C$237="",Registro_Compras!$O$237=""),"","Cuentas por Pagar Comerciales - Terceros")</f>
        <v/>
      </c>
      <c r="E2109" s="20">
        <f>IF($C2109="","",IF(Registro_Compras!$F$237="RHE",(ROUND(Registro_Compras!$L$237*Registro_Compras!$N$237,2)-ROUND(Registro_Compras!$V$237*Registro_Compras!$N$237,2)),ROUND(Registro_Compras!$O$237-Registro_Compras!$S$237,2)))</f>
        <v/>
      </c>
      <c r="F2109" s="20">
        <f>""</f>
        <v/>
      </c>
      <c r="G2109">
        <f>IF($C2109="","","Por la cancelacion del saldo al proveedor")</f>
        <v/>
      </c>
      <c r="H2109">
        <f>IF($C2109="","",Registro_Compras!$C$237)</f>
        <v/>
      </c>
    </row>
    <row r="2110">
      <c r="A2110" s="25">
        <f>IF($C2110="","",Registro_Compras!$Y$237)</f>
        <v/>
      </c>
      <c r="B2110">
        <f>IF($C2110="","","C"&amp;TEXT(INT((ROW()-5)/9)+1,"000")&amp;"-4")</f>
        <v/>
      </c>
      <c r="C2110">
        <f>IF(OR(Registro_Compras!$C$237="",Registro_Compras!$O$237="",Registro_Compras!$Y$237="",Registro_Compras!$F$237="NOTA DE CREDITO"),"","10413")</f>
        <v/>
      </c>
      <c r="D2110">
        <f>IF(OR(Registro_Compras!$C$237="",Registro_Compras!$O$237=""),"","Efectivo y Equivalentes - Cta. Cte. Operativa")</f>
        <v/>
      </c>
      <c r="E2110" s="20">
        <f>""</f>
        <v/>
      </c>
      <c r="F2110" s="20">
        <f>IF($C2110="","",IF(Registro_Compras!$F$237="RHE",(ROUND(Registro_Compras!$L$237*Registro_Compras!$N$237,2)-ROUND(Registro_Compras!$V$237*Registro_Compras!$N$237,2)),ROUND(Registro_Compras!$O$237-Registro_Compras!$S$237,2)))</f>
        <v/>
      </c>
      <c r="G2110">
        <f>IF($C2110="","","Por la cancelacion del saldo al proveedor")</f>
        <v/>
      </c>
      <c r="H2110">
        <f>IF($C2110="","",Registro_Compras!$C$237)</f>
        <v/>
      </c>
    </row>
    <row r="2111">
      <c r="A2111" s="25">
        <f>IF($C2111="","",Registro_Compras!$B$238)</f>
        <v/>
      </c>
      <c r="B2111">
        <f>IF($C2111="","","C"&amp;TEXT(INT((ROW()-5)/9)+1,"000")&amp;"-1")</f>
        <v/>
      </c>
      <c r="C2111">
        <f>IF(OR(Registro_Compras!$C$238="",Registro_Compras!$O$238=""),"",IF(Registro_Compras!$F$238="NOTA DE CREDITO","4212",IF(Registro_Compras!$M$238="","63",Registro_Compras!$M$238)))</f>
        <v/>
      </c>
      <c r="D2111">
        <f>IF(OR(Registro_Compras!$C$238="",Registro_Compras!$O$238=""),"",IF(Registro_Compras!$F$238="NOTA DE CREDITO","Cuentas por Pagar Comerciales - Terceros (Emitidas)",IF(Registro_Compras!$F$238="RHE","Honorarios Profesionales - Servicios de Terceros","Gastos de Servicios Prestados por Terceros")))</f>
        <v/>
      </c>
      <c r="E2111" s="20">
        <f>IF($C2111="","",IF(Registro_Compras!$F$238="NOTA DE CREDITO",ABS(Registro_Compras!$O$238),IF(Registro_Compras!$F$238="RHE",ROUND(Registro_Compras!$L$238*Registro_Compras!$N$238,2),ROUND(Registro_Compras!$J$238*Registro_Compras!$N$238,2))))</f>
        <v/>
      </c>
      <c r="F2111" s="20">
        <f>""</f>
        <v/>
      </c>
      <c r="G2111">
        <f>IF($C2111="","",IF(Registro_Compras!$F$238="NOTA DE CREDITO","Por la nota de credito "&amp;Registro_Compras!$C$238&amp;" de "&amp;Registro_Compras!$E$238&amp;" [PATRON POR CONFIRMAR CON CONTADOR]",IF(Registro_Compras!$F$238="RHE","Por el registro del recibo por honorarios "&amp;Registro_Compras!$C$238&amp;" de "&amp;Registro_Compras!$E$238&amp;" [PATRON POR CONFIRMAR CON CONTADOR]","Por el registro de la factura "&amp;Registro_Compras!$C$238&amp;" de "&amp;Registro_Compras!$E$238)))</f>
        <v/>
      </c>
      <c r="H2111">
        <f>IF($C2111="","",Registro_Compras!$C$238)</f>
        <v/>
      </c>
    </row>
    <row r="2112">
      <c r="A2112" s="25">
        <f>IF($C2112="","",Registro_Compras!$B$238)</f>
        <v/>
      </c>
      <c r="B2112">
        <f>IF($C2112="","","C"&amp;TEXT(INT((ROW()-5)/9)+1,"000")&amp;"-1")</f>
        <v/>
      </c>
      <c r="C2112">
        <f>IF(OR(Registro_Compras!$C$238="",Registro_Compras!$O$238=""),"",IF(Registro_Compras!$F$238="RHE",IF(Registro_Compras!$V$238=0,"","40172"),IF(Registro_Compras!$F$238="NOTA DE CREDITO",IF(Registro_Compras!$M$238="","63",Registro_Compras!$M$238),IF(Registro_Compras!$K$238=0,"","40111"))))</f>
        <v/>
      </c>
      <c r="D2112">
        <f>IF(OR(Registro_Compras!$C$238="",Registro_Compras!$O$238=""),"",IF(Registro_Compras!$F$238="RHE","Retencion Renta 4ta Categoria por Pagar",IF(Registro_Compras!$F$238="NOTA DE CREDITO","Gastos de Servicios Prestados por Terceros","IGV - Cuenta Propia (Credito Fiscal)")))</f>
        <v/>
      </c>
      <c r="E2112" s="20">
        <f>IF($C2112="","",IF(Registro_Compras!$F$238="FACTURA",ROUND(Registro_Compras!$K$238*Registro_Compras!$N$238,2),""))</f>
        <v/>
      </c>
      <c r="F2112" s="20">
        <f>IF($C2112="","",IF(Registro_Compras!$F$238="RHE",ROUND(Registro_Compras!$V$238*Registro_Compras!$N$238,2),IF(Registro_Compras!$F$238="NOTA DE CREDITO",ROUND(ABS(Registro_Compras!$J$238*Registro_Compras!$N$238),2),"")))</f>
        <v/>
      </c>
      <c r="G2112">
        <f>IF($C2112="","",IF(Registro_Compras!$F$238="NOTA DE CREDITO","Por la nota de credito "&amp;Registro_Compras!$C$238&amp;" de "&amp;Registro_Compras!$E$238&amp;" [PATRON POR CONFIRMAR CON CONTADOR]",IF(Registro_Compras!$F$238="RHE","Por el registro del recibo por honorarios "&amp;Registro_Compras!$C$238&amp;" de "&amp;Registro_Compras!$E$238&amp;" [PATRON POR CONFIRMAR CON CONTADOR]","Por el registro de la factura "&amp;Registro_Compras!$C$238&amp;" de "&amp;Registro_Compras!$E$238)))</f>
        <v/>
      </c>
      <c r="H2112">
        <f>IF($C2112="","",Registro_Compras!$C$238)</f>
        <v/>
      </c>
    </row>
    <row r="2113">
      <c r="A2113" s="25">
        <f>IF($C2113="","",Registro_Compras!$B$238)</f>
        <v/>
      </c>
      <c r="B2113">
        <f>IF($C2113="","","C"&amp;TEXT(INT((ROW()-5)/9)+1,"000")&amp;"-1")</f>
        <v/>
      </c>
      <c r="C2113">
        <f>IF(OR(Registro_Compras!$C$238="",Registro_Compras!$O$238=""),"",IF(Registro_Compras!$F$238="NOTA DE CREDITO",IF(Registro_Compras!$K$238=0,"","40111"),"4212"))</f>
        <v/>
      </c>
      <c r="D2113">
        <f>IF(OR(Registro_Compras!$C$238="",Registro_Compras!$O$238=""),"",IF(Registro_Compras!$F$238="NOTA DE CREDITO","IGV - Cuenta Propia (Credito Fiscal)","Cuentas por Pagar Comerciales - Terceros (Emitidas)"))</f>
        <v/>
      </c>
      <c r="E2113" s="20">
        <f>""</f>
        <v/>
      </c>
      <c r="F2113" s="20">
        <f>IF($C2113="","",IF(Registro_Compras!$F$238="NOTA DE CREDITO",ROUND(ABS(Registro_Compras!$K$238*Registro_Compras!$N$238),2),IF(Registro_Compras!$F$238="RHE",(ROUND(Registro_Compras!$L$238*Registro_Compras!$N$238,2)-ROUND(Registro_Compras!$V$238*Registro_Compras!$N$238,2)),Registro_Compras!$O$238)))</f>
        <v/>
      </c>
      <c r="G2113">
        <f>IF($C2113="","",IF(Registro_Compras!$F$238="NOTA DE CREDITO","Por la nota de credito "&amp;Registro_Compras!$C$238&amp;" de "&amp;Registro_Compras!$E$238&amp;" [PATRON POR CONFIRMAR CON CONTADOR]",IF(Registro_Compras!$F$238="RHE","Por el registro del recibo por honorarios "&amp;Registro_Compras!$C$238&amp;" de "&amp;Registro_Compras!$E$238&amp;" [PATRON POR CONFIRMAR CON CONTADOR]","Por el registro de la factura "&amp;Registro_Compras!$C$238&amp;" de "&amp;Registro_Compras!$E$238)))</f>
        <v/>
      </c>
      <c r="H2113">
        <f>IF($C2113="","",Registro_Compras!$C$238)</f>
        <v/>
      </c>
    </row>
    <row r="2114">
      <c r="A2114" s="25">
        <f>IF($C2114="","",Registro_Compras!$B$238)</f>
        <v/>
      </c>
      <c r="B2114">
        <f>IF($C2114="","","C"&amp;TEXT(INT((ROW()-5)/9)+1,"000")&amp;"-2")</f>
        <v/>
      </c>
      <c r="C2114">
        <f>IF(OR(Registro_Compras!$C$238="",Registro_Compras!$O$238=""),"",IF(Registro_Compras!$AB$238="ADMINISTRATIVO","94","95"))</f>
        <v/>
      </c>
      <c r="D2114">
        <f>IF(OR(Registro_Compras!$C$238="",Registro_Compras!$O$238=""),"",IF(Registro_Compras!$AB$238="ADMINISTRATIVO","Gastos Administrativos","Gastos de Venta y Operacion"))</f>
        <v/>
      </c>
      <c r="E2114" s="20">
        <f>IF($C2114="","",IF(Registro_Compras!$F$238="NOTA DE CREDITO","",IF(Registro_Compras!$F$238="RHE",ROUND(Registro_Compras!$L$238*Registro_Compras!$N$238,2),ROUND(Registro_Compras!$J$238*Registro_Compras!$N$238,2))))</f>
        <v/>
      </c>
      <c r="F2114" s="20">
        <f>IF($C2114="","",IF(Registro_Compras!$F$238="NOTA DE CREDITO",ROUND(ABS(Registro_Compras!$J$238*Registro_Compras!$N$238),2),""))</f>
        <v/>
      </c>
      <c r="G2114">
        <f>IF($C2114="","","Por el destino del gasto")</f>
        <v/>
      </c>
      <c r="H2114">
        <f>IF($C2114="","",Registro_Compras!$C$238)</f>
        <v/>
      </c>
    </row>
    <row r="2115">
      <c r="A2115" s="25">
        <f>IF($C2115="","",Registro_Compras!$B$238)</f>
        <v/>
      </c>
      <c r="B2115">
        <f>IF($C2115="","","C"&amp;TEXT(INT((ROW()-5)/9)+1,"000")&amp;"-2")</f>
        <v/>
      </c>
      <c r="C2115">
        <f>IF(OR(Registro_Compras!$C$238="",Registro_Compras!$O$238=""),"","79/791")</f>
        <v/>
      </c>
      <c r="D2115">
        <f>IF(OR(Registro_Compras!$C$238="",Registro_Compras!$O$238=""),"","Cargas Imputables a Cuentas de Costos y Gastos")</f>
        <v/>
      </c>
      <c r="E2115" s="20">
        <f>IF($C2115="","",IF(Registro_Compras!$F$238="NOTA DE CREDITO",ROUND(ABS(Registro_Compras!$J$238*Registro_Compras!$N$238),2),""))</f>
        <v/>
      </c>
      <c r="F2115" s="20">
        <f>IF($C2115="","",IF(Registro_Compras!$F$238="NOTA DE CREDITO","",IF(Registro_Compras!$F$238="RHE",ROUND(Registro_Compras!$L$238*Registro_Compras!$N$238,2),ROUND(Registro_Compras!$J$238*Registro_Compras!$N$238,2))))</f>
        <v/>
      </c>
      <c r="G2115">
        <f>IF($C2115="","","Por el destino del gasto")</f>
        <v/>
      </c>
      <c r="H2115">
        <f>IF($C2115="","",Registro_Compras!$C$238)</f>
        <v/>
      </c>
    </row>
    <row r="2116">
      <c r="A2116" s="25">
        <f>IF($C2116="","",Registro_Compras!$X$238)</f>
        <v/>
      </c>
      <c r="B2116">
        <f>IF($C2116="","","C"&amp;TEXT(INT((ROW()-5)/9)+1,"000")&amp;"-3")</f>
        <v/>
      </c>
      <c r="C2116">
        <f>IF(OR(Registro_Compras!$C$238="",Registro_Compras!$O$238="",Registro_Compras!$R$238&lt;&gt;"SI",Registro_Compras!$X$238=""),"","4212")</f>
        <v/>
      </c>
      <c r="D2116">
        <f>IF(OR(Registro_Compras!$C$238="",Registro_Compras!$O$238=""),"","Cuentas por Pagar Comerciales - Terceros")</f>
        <v/>
      </c>
      <c r="E2116" s="20">
        <f>IF($C2116="","",Registro_Compras!$S$238)</f>
        <v/>
      </c>
      <c r="F2116" s="20">
        <f>""</f>
        <v/>
      </c>
      <c r="G2116">
        <f>IF($C2116="","","Por el deposito de la detraccion en el Banco de la Nacion")</f>
        <v/>
      </c>
      <c r="H2116">
        <f>IF($C2116="","",Registro_Compras!$C$238)</f>
        <v/>
      </c>
    </row>
    <row r="2117">
      <c r="A2117" s="25">
        <f>IF($C2117="","",Registro_Compras!$X$238)</f>
        <v/>
      </c>
      <c r="B2117">
        <f>IF($C2117="","","C"&amp;TEXT(INT((ROW()-5)/9)+1,"000")&amp;"-3")</f>
        <v/>
      </c>
      <c r="C2117">
        <f>IF(OR(Registro_Compras!$C$238="",Registro_Compras!$O$238="",Registro_Compras!$R$238&lt;&gt;"SI",Registro_Compras!$X$238=""),"","10413")</f>
        <v/>
      </c>
      <c r="D2117">
        <f>IF(OR(Registro_Compras!$C$238="",Registro_Compras!$O$238=""),"","Efectivo y Equivalentes - Cta. Cte. Operativa")</f>
        <v/>
      </c>
      <c r="E2117" s="20">
        <f>""</f>
        <v/>
      </c>
      <c r="F2117" s="20">
        <f>IF($C2117="","",Registro_Compras!$S$238)</f>
        <v/>
      </c>
      <c r="G2117">
        <f>IF($C2117="","","Por el deposito de la detraccion en el Banco de la Nacion")</f>
        <v/>
      </c>
      <c r="H2117">
        <f>IF($C2117="","",Registro_Compras!$C$238)</f>
        <v/>
      </c>
    </row>
    <row r="2118">
      <c r="A2118" s="25">
        <f>IF($C2118="","",Registro_Compras!$Y$238)</f>
        <v/>
      </c>
      <c r="B2118">
        <f>IF($C2118="","","C"&amp;TEXT(INT((ROW()-5)/9)+1,"000")&amp;"-4")</f>
        <v/>
      </c>
      <c r="C2118">
        <f>IF(OR(Registro_Compras!$C$238="",Registro_Compras!$O$238="",Registro_Compras!$Y$238="",Registro_Compras!$F$238="NOTA DE CREDITO"),"","4212")</f>
        <v/>
      </c>
      <c r="D2118">
        <f>IF(OR(Registro_Compras!$C$238="",Registro_Compras!$O$238=""),"","Cuentas por Pagar Comerciales - Terceros")</f>
        <v/>
      </c>
      <c r="E2118" s="20">
        <f>IF($C2118="","",IF(Registro_Compras!$F$238="RHE",(ROUND(Registro_Compras!$L$238*Registro_Compras!$N$238,2)-ROUND(Registro_Compras!$V$238*Registro_Compras!$N$238,2)),ROUND(Registro_Compras!$O$238-Registro_Compras!$S$238,2)))</f>
        <v/>
      </c>
      <c r="F2118" s="20">
        <f>""</f>
        <v/>
      </c>
      <c r="G2118">
        <f>IF($C2118="","","Por la cancelacion del saldo al proveedor")</f>
        <v/>
      </c>
      <c r="H2118">
        <f>IF($C2118="","",Registro_Compras!$C$238)</f>
        <v/>
      </c>
    </row>
    <row r="2119">
      <c r="A2119" s="25">
        <f>IF($C2119="","",Registro_Compras!$Y$238)</f>
        <v/>
      </c>
      <c r="B2119">
        <f>IF($C2119="","","C"&amp;TEXT(INT((ROW()-5)/9)+1,"000")&amp;"-4")</f>
        <v/>
      </c>
      <c r="C2119">
        <f>IF(OR(Registro_Compras!$C$238="",Registro_Compras!$O$238="",Registro_Compras!$Y$238="",Registro_Compras!$F$238="NOTA DE CREDITO"),"","10413")</f>
        <v/>
      </c>
      <c r="D2119">
        <f>IF(OR(Registro_Compras!$C$238="",Registro_Compras!$O$238=""),"","Efectivo y Equivalentes - Cta. Cte. Operativa")</f>
        <v/>
      </c>
      <c r="E2119" s="20">
        <f>""</f>
        <v/>
      </c>
      <c r="F2119" s="20">
        <f>IF($C2119="","",IF(Registro_Compras!$F$238="RHE",(ROUND(Registro_Compras!$L$238*Registro_Compras!$N$238,2)-ROUND(Registro_Compras!$V$238*Registro_Compras!$N$238,2)),ROUND(Registro_Compras!$O$238-Registro_Compras!$S$238,2)))</f>
        <v/>
      </c>
      <c r="G2119">
        <f>IF($C2119="","","Por la cancelacion del saldo al proveedor")</f>
        <v/>
      </c>
      <c r="H2119">
        <f>IF($C2119="","",Registro_Compras!$C$238)</f>
        <v/>
      </c>
    </row>
    <row r="2120">
      <c r="A2120" s="25">
        <f>IF($C2120="","",Registro_Compras!$B$239)</f>
        <v/>
      </c>
      <c r="B2120">
        <f>IF($C2120="","","C"&amp;TEXT(INT((ROW()-5)/9)+1,"000")&amp;"-1")</f>
        <v/>
      </c>
      <c r="C2120">
        <f>IF(OR(Registro_Compras!$C$239="",Registro_Compras!$O$239=""),"",IF(Registro_Compras!$F$239="NOTA DE CREDITO","4212",IF(Registro_Compras!$M$239="","63",Registro_Compras!$M$239)))</f>
        <v/>
      </c>
      <c r="D2120">
        <f>IF(OR(Registro_Compras!$C$239="",Registro_Compras!$O$239=""),"",IF(Registro_Compras!$F$239="NOTA DE CREDITO","Cuentas por Pagar Comerciales - Terceros (Emitidas)",IF(Registro_Compras!$F$239="RHE","Honorarios Profesionales - Servicios de Terceros","Gastos de Servicios Prestados por Terceros")))</f>
        <v/>
      </c>
      <c r="E2120" s="20">
        <f>IF($C2120="","",IF(Registro_Compras!$F$239="NOTA DE CREDITO",ABS(Registro_Compras!$O$239),IF(Registro_Compras!$F$239="RHE",ROUND(Registro_Compras!$L$239*Registro_Compras!$N$239,2),ROUND(Registro_Compras!$J$239*Registro_Compras!$N$239,2))))</f>
        <v/>
      </c>
      <c r="F2120" s="20">
        <f>""</f>
        <v/>
      </c>
      <c r="G2120">
        <f>IF($C2120="","",IF(Registro_Compras!$F$239="NOTA DE CREDITO","Por la nota de credito "&amp;Registro_Compras!$C$239&amp;" de "&amp;Registro_Compras!$E$239&amp;" [PATRON POR CONFIRMAR CON CONTADOR]",IF(Registro_Compras!$F$239="RHE","Por el registro del recibo por honorarios "&amp;Registro_Compras!$C$239&amp;" de "&amp;Registro_Compras!$E$239&amp;" [PATRON POR CONFIRMAR CON CONTADOR]","Por el registro de la factura "&amp;Registro_Compras!$C$239&amp;" de "&amp;Registro_Compras!$E$239)))</f>
        <v/>
      </c>
      <c r="H2120">
        <f>IF($C2120="","",Registro_Compras!$C$239)</f>
        <v/>
      </c>
    </row>
    <row r="2121">
      <c r="A2121" s="25">
        <f>IF($C2121="","",Registro_Compras!$B$239)</f>
        <v/>
      </c>
      <c r="B2121">
        <f>IF($C2121="","","C"&amp;TEXT(INT((ROW()-5)/9)+1,"000")&amp;"-1")</f>
        <v/>
      </c>
      <c r="C2121">
        <f>IF(OR(Registro_Compras!$C$239="",Registro_Compras!$O$239=""),"",IF(Registro_Compras!$F$239="RHE",IF(Registro_Compras!$V$239=0,"","40172"),IF(Registro_Compras!$F$239="NOTA DE CREDITO",IF(Registro_Compras!$M$239="","63",Registro_Compras!$M$239),IF(Registro_Compras!$K$239=0,"","40111"))))</f>
        <v/>
      </c>
      <c r="D2121">
        <f>IF(OR(Registro_Compras!$C$239="",Registro_Compras!$O$239=""),"",IF(Registro_Compras!$F$239="RHE","Retencion Renta 4ta Categoria por Pagar",IF(Registro_Compras!$F$239="NOTA DE CREDITO","Gastos de Servicios Prestados por Terceros","IGV - Cuenta Propia (Credito Fiscal)")))</f>
        <v/>
      </c>
      <c r="E2121" s="20">
        <f>IF($C2121="","",IF(Registro_Compras!$F$239="FACTURA",ROUND(Registro_Compras!$K$239*Registro_Compras!$N$239,2),""))</f>
        <v/>
      </c>
      <c r="F2121" s="20">
        <f>IF($C2121="","",IF(Registro_Compras!$F$239="RHE",ROUND(Registro_Compras!$V$239*Registro_Compras!$N$239,2),IF(Registro_Compras!$F$239="NOTA DE CREDITO",ROUND(ABS(Registro_Compras!$J$239*Registro_Compras!$N$239),2),"")))</f>
        <v/>
      </c>
      <c r="G2121">
        <f>IF($C2121="","",IF(Registro_Compras!$F$239="NOTA DE CREDITO","Por la nota de credito "&amp;Registro_Compras!$C$239&amp;" de "&amp;Registro_Compras!$E$239&amp;" [PATRON POR CONFIRMAR CON CONTADOR]",IF(Registro_Compras!$F$239="RHE","Por el registro del recibo por honorarios "&amp;Registro_Compras!$C$239&amp;" de "&amp;Registro_Compras!$E$239&amp;" [PATRON POR CONFIRMAR CON CONTADOR]","Por el registro de la factura "&amp;Registro_Compras!$C$239&amp;" de "&amp;Registro_Compras!$E$239)))</f>
        <v/>
      </c>
      <c r="H2121">
        <f>IF($C2121="","",Registro_Compras!$C$239)</f>
        <v/>
      </c>
    </row>
    <row r="2122">
      <c r="A2122" s="25">
        <f>IF($C2122="","",Registro_Compras!$B$239)</f>
        <v/>
      </c>
      <c r="B2122">
        <f>IF($C2122="","","C"&amp;TEXT(INT((ROW()-5)/9)+1,"000")&amp;"-1")</f>
        <v/>
      </c>
      <c r="C2122">
        <f>IF(OR(Registro_Compras!$C$239="",Registro_Compras!$O$239=""),"",IF(Registro_Compras!$F$239="NOTA DE CREDITO",IF(Registro_Compras!$K$239=0,"","40111"),"4212"))</f>
        <v/>
      </c>
      <c r="D2122">
        <f>IF(OR(Registro_Compras!$C$239="",Registro_Compras!$O$239=""),"",IF(Registro_Compras!$F$239="NOTA DE CREDITO","IGV - Cuenta Propia (Credito Fiscal)","Cuentas por Pagar Comerciales - Terceros (Emitidas)"))</f>
        <v/>
      </c>
      <c r="E2122" s="20">
        <f>""</f>
        <v/>
      </c>
      <c r="F2122" s="20">
        <f>IF($C2122="","",IF(Registro_Compras!$F$239="NOTA DE CREDITO",ROUND(ABS(Registro_Compras!$K$239*Registro_Compras!$N$239),2),IF(Registro_Compras!$F$239="RHE",(ROUND(Registro_Compras!$L$239*Registro_Compras!$N$239,2)-ROUND(Registro_Compras!$V$239*Registro_Compras!$N$239,2)),Registro_Compras!$O$239)))</f>
        <v/>
      </c>
      <c r="G2122">
        <f>IF($C2122="","",IF(Registro_Compras!$F$239="NOTA DE CREDITO","Por la nota de credito "&amp;Registro_Compras!$C$239&amp;" de "&amp;Registro_Compras!$E$239&amp;" [PATRON POR CONFIRMAR CON CONTADOR]",IF(Registro_Compras!$F$239="RHE","Por el registro del recibo por honorarios "&amp;Registro_Compras!$C$239&amp;" de "&amp;Registro_Compras!$E$239&amp;" [PATRON POR CONFIRMAR CON CONTADOR]","Por el registro de la factura "&amp;Registro_Compras!$C$239&amp;" de "&amp;Registro_Compras!$E$239)))</f>
        <v/>
      </c>
      <c r="H2122">
        <f>IF($C2122="","",Registro_Compras!$C$239)</f>
        <v/>
      </c>
    </row>
    <row r="2123">
      <c r="A2123" s="25">
        <f>IF($C2123="","",Registro_Compras!$B$239)</f>
        <v/>
      </c>
      <c r="B2123">
        <f>IF($C2123="","","C"&amp;TEXT(INT((ROW()-5)/9)+1,"000")&amp;"-2")</f>
        <v/>
      </c>
      <c r="C2123">
        <f>IF(OR(Registro_Compras!$C$239="",Registro_Compras!$O$239=""),"",IF(Registro_Compras!$AB$239="ADMINISTRATIVO","94","95"))</f>
        <v/>
      </c>
      <c r="D2123">
        <f>IF(OR(Registro_Compras!$C$239="",Registro_Compras!$O$239=""),"",IF(Registro_Compras!$AB$239="ADMINISTRATIVO","Gastos Administrativos","Gastos de Venta y Operacion"))</f>
        <v/>
      </c>
      <c r="E2123" s="20">
        <f>IF($C2123="","",IF(Registro_Compras!$F$239="NOTA DE CREDITO","",IF(Registro_Compras!$F$239="RHE",ROUND(Registro_Compras!$L$239*Registro_Compras!$N$239,2),ROUND(Registro_Compras!$J$239*Registro_Compras!$N$239,2))))</f>
        <v/>
      </c>
      <c r="F2123" s="20">
        <f>IF($C2123="","",IF(Registro_Compras!$F$239="NOTA DE CREDITO",ROUND(ABS(Registro_Compras!$J$239*Registro_Compras!$N$239),2),""))</f>
        <v/>
      </c>
      <c r="G2123">
        <f>IF($C2123="","","Por el destino del gasto")</f>
        <v/>
      </c>
      <c r="H2123">
        <f>IF($C2123="","",Registro_Compras!$C$239)</f>
        <v/>
      </c>
    </row>
    <row r="2124">
      <c r="A2124" s="25">
        <f>IF($C2124="","",Registro_Compras!$B$239)</f>
        <v/>
      </c>
      <c r="B2124">
        <f>IF($C2124="","","C"&amp;TEXT(INT((ROW()-5)/9)+1,"000")&amp;"-2")</f>
        <v/>
      </c>
      <c r="C2124">
        <f>IF(OR(Registro_Compras!$C$239="",Registro_Compras!$O$239=""),"","79/791")</f>
        <v/>
      </c>
      <c r="D2124">
        <f>IF(OR(Registro_Compras!$C$239="",Registro_Compras!$O$239=""),"","Cargas Imputables a Cuentas de Costos y Gastos")</f>
        <v/>
      </c>
      <c r="E2124" s="20">
        <f>IF($C2124="","",IF(Registro_Compras!$F$239="NOTA DE CREDITO",ROUND(ABS(Registro_Compras!$J$239*Registro_Compras!$N$239),2),""))</f>
        <v/>
      </c>
      <c r="F2124" s="20">
        <f>IF($C2124="","",IF(Registro_Compras!$F$239="NOTA DE CREDITO","",IF(Registro_Compras!$F$239="RHE",ROUND(Registro_Compras!$L$239*Registro_Compras!$N$239,2),ROUND(Registro_Compras!$J$239*Registro_Compras!$N$239,2))))</f>
        <v/>
      </c>
      <c r="G2124">
        <f>IF($C2124="","","Por el destino del gasto")</f>
        <v/>
      </c>
      <c r="H2124">
        <f>IF($C2124="","",Registro_Compras!$C$239)</f>
        <v/>
      </c>
    </row>
    <row r="2125">
      <c r="A2125" s="25">
        <f>IF($C2125="","",Registro_Compras!$X$239)</f>
        <v/>
      </c>
      <c r="B2125">
        <f>IF($C2125="","","C"&amp;TEXT(INT((ROW()-5)/9)+1,"000")&amp;"-3")</f>
        <v/>
      </c>
      <c r="C2125">
        <f>IF(OR(Registro_Compras!$C$239="",Registro_Compras!$O$239="",Registro_Compras!$R$239&lt;&gt;"SI",Registro_Compras!$X$239=""),"","4212")</f>
        <v/>
      </c>
      <c r="D2125">
        <f>IF(OR(Registro_Compras!$C$239="",Registro_Compras!$O$239=""),"","Cuentas por Pagar Comerciales - Terceros")</f>
        <v/>
      </c>
      <c r="E2125" s="20">
        <f>IF($C2125="","",Registro_Compras!$S$239)</f>
        <v/>
      </c>
      <c r="F2125" s="20">
        <f>""</f>
        <v/>
      </c>
      <c r="G2125">
        <f>IF($C2125="","","Por el deposito de la detraccion en el Banco de la Nacion")</f>
        <v/>
      </c>
      <c r="H2125">
        <f>IF($C2125="","",Registro_Compras!$C$239)</f>
        <v/>
      </c>
    </row>
    <row r="2126">
      <c r="A2126" s="25">
        <f>IF($C2126="","",Registro_Compras!$X$239)</f>
        <v/>
      </c>
      <c r="B2126">
        <f>IF($C2126="","","C"&amp;TEXT(INT((ROW()-5)/9)+1,"000")&amp;"-3")</f>
        <v/>
      </c>
      <c r="C2126">
        <f>IF(OR(Registro_Compras!$C$239="",Registro_Compras!$O$239="",Registro_Compras!$R$239&lt;&gt;"SI",Registro_Compras!$X$239=""),"","10413")</f>
        <v/>
      </c>
      <c r="D2126">
        <f>IF(OR(Registro_Compras!$C$239="",Registro_Compras!$O$239=""),"","Efectivo y Equivalentes - Cta. Cte. Operativa")</f>
        <v/>
      </c>
      <c r="E2126" s="20">
        <f>""</f>
        <v/>
      </c>
      <c r="F2126" s="20">
        <f>IF($C2126="","",Registro_Compras!$S$239)</f>
        <v/>
      </c>
      <c r="G2126">
        <f>IF($C2126="","","Por el deposito de la detraccion en el Banco de la Nacion")</f>
        <v/>
      </c>
      <c r="H2126">
        <f>IF($C2126="","",Registro_Compras!$C$239)</f>
        <v/>
      </c>
    </row>
    <row r="2127">
      <c r="A2127" s="25">
        <f>IF($C2127="","",Registro_Compras!$Y$239)</f>
        <v/>
      </c>
      <c r="B2127">
        <f>IF($C2127="","","C"&amp;TEXT(INT((ROW()-5)/9)+1,"000")&amp;"-4")</f>
        <v/>
      </c>
      <c r="C2127">
        <f>IF(OR(Registro_Compras!$C$239="",Registro_Compras!$O$239="",Registro_Compras!$Y$239="",Registro_Compras!$F$239="NOTA DE CREDITO"),"","4212")</f>
        <v/>
      </c>
      <c r="D2127">
        <f>IF(OR(Registro_Compras!$C$239="",Registro_Compras!$O$239=""),"","Cuentas por Pagar Comerciales - Terceros")</f>
        <v/>
      </c>
      <c r="E2127" s="20">
        <f>IF($C2127="","",IF(Registro_Compras!$F$239="RHE",(ROUND(Registro_Compras!$L$239*Registro_Compras!$N$239,2)-ROUND(Registro_Compras!$V$239*Registro_Compras!$N$239,2)),ROUND(Registro_Compras!$O$239-Registro_Compras!$S$239,2)))</f>
        <v/>
      </c>
      <c r="F2127" s="20">
        <f>""</f>
        <v/>
      </c>
      <c r="G2127">
        <f>IF($C2127="","","Por la cancelacion del saldo al proveedor")</f>
        <v/>
      </c>
      <c r="H2127">
        <f>IF($C2127="","",Registro_Compras!$C$239)</f>
        <v/>
      </c>
    </row>
    <row r="2128">
      <c r="A2128" s="25">
        <f>IF($C2128="","",Registro_Compras!$Y$239)</f>
        <v/>
      </c>
      <c r="B2128">
        <f>IF($C2128="","","C"&amp;TEXT(INT((ROW()-5)/9)+1,"000")&amp;"-4")</f>
        <v/>
      </c>
      <c r="C2128">
        <f>IF(OR(Registro_Compras!$C$239="",Registro_Compras!$O$239="",Registro_Compras!$Y$239="",Registro_Compras!$F$239="NOTA DE CREDITO"),"","10413")</f>
        <v/>
      </c>
      <c r="D2128">
        <f>IF(OR(Registro_Compras!$C$239="",Registro_Compras!$O$239=""),"","Efectivo y Equivalentes - Cta. Cte. Operativa")</f>
        <v/>
      </c>
      <c r="E2128" s="20">
        <f>""</f>
        <v/>
      </c>
      <c r="F2128" s="20">
        <f>IF($C2128="","",IF(Registro_Compras!$F$239="RHE",(ROUND(Registro_Compras!$L$239*Registro_Compras!$N$239,2)-ROUND(Registro_Compras!$V$239*Registro_Compras!$N$239,2)),ROUND(Registro_Compras!$O$239-Registro_Compras!$S$239,2)))</f>
        <v/>
      </c>
      <c r="G2128">
        <f>IF($C2128="","","Por la cancelacion del saldo al proveedor")</f>
        <v/>
      </c>
      <c r="H2128">
        <f>IF($C2128="","",Registro_Compras!$C$239)</f>
        <v/>
      </c>
    </row>
    <row r="2129">
      <c r="A2129" s="25">
        <f>IF($C2129="","",Registro_Compras!$B$240)</f>
        <v/>
      </c>
      <c r="B2129">
        <f>IF($C2129="","","C"&amp;TEXT(INT((ROW()-5)/9)+1,"000")&amp;"-1")</f>
        <v/>
      </c>
      <c r="C2129">
        <f>IF(OR(Registro_Compras!$C$240="",Registro_Compras!$O$240=""),"",IF(Registro_Compras!$F$240="NOTA DE CREDITO","4212",IF(Registro_Compras!$M$240="","63",Registro_Compras!$M$240)))</f>
        <v/>
      </c>
      <c r="D2129">
        <f>IF(OR(Registro_Compras!$C$240="",Registro_Compras!$O$240=""),"",IF(Registro_Compras!$F$240="NOTA DE CREDITO","Cuentas por Pagar Comerciales - Terceros (Emitidas)",IF(Registro_Compras!$F$240="RHE","Honorarios Profesionales - Servicios de Terceros","Gastos de Servicios Prestados por Terceros")))</f>
        <v/>
      </c>
      <c r="E2129" s="20">
        <f>IF($C2129="","",IF(Registro_Compras!$F$240="NOTA DE CREDITO",ABS(Registro_Compras!$O$240),IF(Registro_Compras!$F$240="RHE",ROUND(Registro_Compras!$L$240*Registro_Compras!$N$240,2),ROUND(Registro_Compras!$J$240*Registro_Compras!$N$240,2))))</f>
        <v/>
      </c>
      <c r="F2129" s="20">
        <f>""</f>
        <v/>
      </c>
      <c r="G2129">
        <f>IF($C2129="","",IF(Registro_Compras!$F$240="NOTA DE CREDITO","Por la nota de credito "&amp;Registro_Compras!$C$240&amp;" de "&amp;Registro_Compras!$E$240&amp;" [PATRON POR CONFIRMAR CON CONTADOR]",IF(Registro_Compras!$F$240="RHE","Por el registro del recibo por honorarios "&amp;Registro_Compras!$C$240&amp;" de "&amp;Registro_Compras!$E$240&amp;" [PATRON POR CONFIRMAR CON CONTADOR]","Por el registro de la factura "&amp;Registro_Compras!$C$240&amp;" de "&amp;Registro_Compras!$E$240)))</f>
        <v/>
      </c>
      <c r="H2129">
        <f>IF($C2129="","",Registro_Compras!$C$240)</f>
        <v/>
      </c>
    </row>
    <row r="2130">
      <c r="A2130" s="25">
        <f>IF($C2130="","",Registro_Compras!$B$240)</f>
        <v/>
      </c>
      <c r="B2130">
        <f>IF($C2130="","","C"&amp;TEXT(INT((ROW()-5)/9)+1,"000")&amp;"-1")</f>
        <v/>
      </c>
      <c r="C2130">
        <f>IF(OR(Registro_Compras!$C$240="",Registro_Compras!$O$240=""),"",IF(Registro_Compras!$F$240="RHE",IF(Registro_Compras!$V$240=0,"","40172"),IF(Registro_Compras!$F$240="NOTA DE CREDITO",IF(Registro_Compras!$M$240="","63",Registro_Compras!$M$240),IF(Registro_Compras!$K$240=0,"","40111"))))</f>
        <v/>
      </c>
      <c r="D2130">
        <f>IF(OR(Registro_Compras!$C$240="",Registro_Compras!$O$240=""),"",IF(Registro_Compras!$F$240="RHE","Retencion Renta 4ta Categoria por Pagar",IF(Registro_Compras!$F$240="NOTA DE CREDITO","Gastos de Servicios Prestados por Terceros","IGV - Cuenta Propia (Credito Fiscal)")))</f>
        <v/>
      </c>
      <c r="E2130" s="20">
        <f>IF($C2130="","",IF(Registro_Compras!$F$240="FACTURA",ROUND(Registro_Compras!$K$240*Registro_Compras!$N$240,2),""))</f>
        <v/>
      </c>
      <c r="F2130" s="20">
        <f>IF($C2130="","",IF(Registro_Compras!$F$240="RHE",ROUND(Registro_Compras!$V$240*Registro_Compras!$N$240,2),IF(Registro_Compras!$F$240="NOTA DE CREDITO",ROUND(ABS(Registro_Compras!$J$240*Registro_Compras!$N$240),2),"")))</f>
        <v/>
      </c>
      <c r="G2130">
        <f>IF($C2130="","",IF(Registro_Compras!$F$240="NOTA DE CREDITO","Por la nota de credito "&amp;Registro_Compras!$C$240&amp;" de "&amp;Registro_Compras!$E$240&amp;" [PATRON POR CONFIRMAR CON CONTADOR]",IF(Registro_Compras!$F$240="RHE","Por el registro del recibo por honorarios "&amp;Registro_Compras!$C$240&amp;" de "&amp;Registro_Compras!$E$240&amp;" [PATRON POR CONFIRMAR CON CONTADOR]","Por el registro de la factura "&amp;Registro_Compras!$C$240&amp;" de "&amp;Registro_Compras!$E$240)))</f>
        <v/>
      </c>
      <c r="H2130">
        <f>IF($C2130="","",Registro_Compras!$C$240)</f>
        <v/>
      </c>
    </row>
    <row r="2131">
      <c r="A2131" s="25">
        <f>IF($C2131="","",Registro_Compras!$B$240)</f>
        <v/>
      </c>
      <c r="B2131">
        <f>IF($C2131="","","C"&amp;TEXT(INT((ROW()-5)/9)+1,"000")&amp;"-1")</f>
        <v/>
      </c>
      <c r="C2131">
        <f>IF(OR(Registro_Compras!$C$240="",Registro_Compras!$O$240=""),"",IF(Registro_Compras!$F$240="NOTA DE CREDITO",IF(Registro_Compras!$K$240=0,"","40111"),"4212"))</f>
        <v/>
      </c>
      <c r="D2131">
        <f>IF(OR(Registro_Compras!$C$240="",Registro_Compras!$O$240=""),"",IF(Registro_Compras!$F$240="NOTA DE CREDITO","IGV - Cuenta Propia (Credito Fiscal)","Cuentas por Pagar Comerciales - Terceros (Emitidas)"))</f>
        <v/>
      </c>
      <c r="E2131" s="20">
        <f>""</f>
        <v/>
      </c>
      <c r="F2131" s="20">
        <f>IF($C2131="","",IF(Registro_Compras!$F$240="NOTA DE CREDITO",ROUND(ABS(Registro_Compras!$K$240*Registro_Compras!$N$240),2),IF(Registro_Compras!$F$240="RHE",(ROUND(Registro_Compras!$L$240*Registro_Compras!$N$240,2)-ROUND(Registro_Compras!$V$240*Registro_Compras!$N$240,2)),Registro_Compras!$O$240)))</f>
        <v/>
      </c>
      <c r="G2131">
        <f>IF($C2131="","",IF(Registro_Compras!$F$240="NOTA DE CREDITO","Por la nota de credito "&amp;Registro_Compras!$C$240&amp;" de "&amp;Registro_Compras!$E$240&amp;" [PATRON POR CONFIRMAR CON CONTADOR]",IF(Registro_Compras!$F$240="RHE","Por el registro del recibo por honorarios "&amp;Registro_Compras!$C$240&amp;" de "&amp;Registro_Compras!$E$240&amp;" [PATRON POR CONFIRMAR CON CONTADOR]","Por el registro de la factura "&amp;Registro_Compras!$C$240&amp;" de "&amp;Registro_Compras!$E$240)))</f>
        <v/>
      </c>
      <c r="H2131">
        <f>IF($C2131="","",Registro_Compras!$C$240)</f>
        <v/>
      </c>
    </row>
    <row r="2132">
      <c r="A2132" s="25">
        <f>IF($C2132="","",Registro_Compras!$B$240)</f>
        <v/>
      </c>
      <c r="B2132">
        <f>IF($C2132="","","C"&amp;TEXT(INT((ROW()-5)/9)+1,"000")&amp;"-2")</f>
        <v/>
      </c>
      <c r="C2132">
        <f>IF(OR(Registro_Compras!$C$240="",Registro_Compras!$O$240=""),"",IF(Registro_Compras!$AB$240="ADMINISTRATIVO","94","95"))</f>
        <v/>
      </c>
      <c r="D2132">
        <f>IF(OR(Registro_Compras!$C$240="",Registro_Compras!$O$240=""),"",IF(Registro_Compras!$AB$240="ADMINISTRATIVO","Gastos Administrativos","Gastos de Venta y Operacion"))</f>
        <v/>
      </c>
      <c r="E2132" s="20">
        <f>IF($C2132="","",IF(Registro_Compras!$F$240="NOTA DE CREDITO","",IF(Registro_Compras!$F$240="RHE",ROUND(Registro_Compras!$L$240*Registro_Compras!$N$240,2),ROUND(Registro_Compras!$J$240*Registro_Compras!$N$240,2))))</f>
        <v/>
      </c>
      <c r="F2132" s="20">
        <f>IF($C2132="","",IF(Registro_Compras!$F$240="NOTA DE CREDITO",ROUND(ABS(Registro_Compras!$J$240*Registro_Compras!$N$240),2),""))</f>
        <v/>
      </c>
      <c r="G2132">
        <f>IF($C2132="","","Por el destino del gasto")</f>
        <v/>
      </c>
      <c r="H2132">
        <f>IF($C2132="","",Registro_Compras!$C$240)</f>
        <v/>
      </c>
    </row>
    <row r="2133">
      <c r="A2133" s="25">
        <f>IF($C2133="","",Registro_Compras!$B$240)</f>
        <v/>
      </c>
      <c r="B2133">
        <f>IF($C2133="","","C"&amp;TEXT(INT((ROW()-5)/9)+1,"000")&amp;"-2")</f>
        <v/>
      </c>
      <c r="C2133">
        <f>IF(OR(Registro_Compras!$C$240="",Registro_Compras!$O$240=""),"","79/791")</f>
        <v/>
      </c>
      <c r="D2133">
        <f>IF(OR(Registro_Compras!$C$240="",Registro_Compras!$O$240=""),"","Cargas Imputables a Cuentas de Costos y Gastos")</f>
        <v/>
      </c>
      <c r="E2133" s="20">
        <f>IF($C2133="","",IF(Registro_Compras!$F$240="NOTA DE CREDITO",ROUND(ABS(Registro_Compras!$J$240*Registro_Compras!$N$240),2),""))</f>
        <v/>
      </c>
      <c r="F2133" s="20">
        <f>IF($C2133="","",IF(Registro_Compras!$F$240="NOTA DE CREDITO","",IF(Registro_Compras!$F$240="RHE",ROUND(Registro_Compras!$L$240*Registro_Compras!$N$240,2),ROUND(Registro_Compras!$J$240*Registro_Compras!$N$240,2))))</f>
        <v/>
      </c>
      <c r="G2133">
        <f>IF($C2133="","","Por el destino del gasto")</f>
        <v/>
      </c>
      <c r="H2133">
        <f>IF($C2133="","",Registro_Compras!$C$240)</f>
        <v/>
      </c>
    </row>
    <row r="2134">
      <c r="A2134" s="25">
        <f>IF($C2134="","",Registro_Compras!$X$240)</f>
        <v/>
      </c>
      <c r="B2134">
        <f>IF($C2134="","","C"&amp;TEXT(INT((ROW()-5)/9)+1,"000")&amp;"-3")</f>
        <v/>
      </c>
      <c r="C2134">
        <f>IF(OR(Registro_Compras!$C$240="",Registro_Compras!$O$240="",Registro_Compras!$R$240&lt;&gt;"SI",Registro_Compras!$X$240=""),"","4212")</f>
        <v/>
      </c>
      <c r="D2134">
        <f>IF(OR(Registro_Compras!$C$240="",Registro_Compras!$O$240=""),"","Cuentas por Pagar Comerciales - Terceros")</f>
        <v/>
      </c>
      <c r="E2134" s="20">
        <f>IF($C2134="","",Registro_Compras!$S$240)</f>
        <v/>
      </c>
      <c r="F2134" s="20">
        <f>""</f>
        <v/>
      </c>
      <c r="G2134">
        <f>IF($C2134="","","Por el deposito de la detraccion en el Banco de la Nacion")</f>
        <v/>
      </c>
      <c r="H2134">
        <f>IF($C2134="","",Registro_Compras!$C$240)</f>
        <v/>
      </c>
    </row>
    <row r="2135">
      <c r="A2135" s="25">
        <f>IF($C2135="","",Registro_Compras!$X$240)</f>
        <v/>
      </c>
      <c r="B2135">
        <f>IF($C2135="","","C"&amp;TEXT(INT((ROW()-5)/9)+1,"000")&amp;"-3")</f>
        <v/>
      </c>
      <c r="C2135">
        <f>IF(OR(Registro_Compras!$C$240="",Registro_Compras!$O$240="",Registro_Compras!$R$240&lt;&gt;"SI",Registro_Compras!$X$240=""),"","10413")</f>
        <v/>
      </c>
      <c r="D2135">
        <f>IF(OR(Registro_Compras!$C$240="",Registro_Compras!$O$240=""),"","Efectivo y Equivalentes - Cta. Cte. Operativa")</f>
        <v/>
      </c>
      <c r="E2135" s="20">
        <f>""</f>
        <v/>
      </c>
      <c r="F2135" s="20">
        <f>IF($C2135="","",Registro_Compras!$S$240)</f>
        <v/>
      </c>
      <c r="G2135">
        <f>IF($C2135="","","Por el deposito de la detraccion en el Banco de la Nacion")</f>
        <v/>
      </c>
      <c r="H2135">
        <f>IF($C2135="","",Registro_Compras!$C$240)</f>
        <v/>
      </c>
    </row>
    <row r="2136">
      <c r="A2136" s="25">
        <f>IF($C2136="","",Registro_Compras!$Y$240)</f>
        <v/>
      </c>
      <c r="B2136">
        <f>IF($C2136="","","C"&amp;TEXT(INT((ROW()-5)/9)+1,"000")&amp;"-4")</f>
        <v/>
      </c>
      <c r="C2136">
        <f>IF(OR(Registro_Compras!$C$240="",Registro_Compras!$O$240="",Registro_Compras!$Y$240="",Registro_Compras!$F$240="NOTA DE CREDITO"),"","4212")</f>
        <v/>
      </c>
      <c r="D2136">
        <f>IF(OR(Registro_Compras!$C$240="",Registro_Compras!$O$240=""),"","Cuentas por Pagar Comerciales - Terceros")</f>
        <v/>
      </c>
      <c r="E2136" s="20">
        <f>IF($C2136="","",IF(Registro_Compras!$F$240="RHE",(ROUND(Registro_Compras!$L$240*Registro_Compras!$N$240,2)-ROUND(Registro_Compras!$V$240*Registro_Compras!$N$240,2)),ROUND(Registro_Compras!$O$240-Registro_Compras!$S$240,2)))</f>
        <v/>
      </c>
      <c r="F2136" s="20">
        <f>""</f>
        <v/>
      </c>
      <c r="G2136">
        <f>IF($C2136="","","Por la cancelacion del saldo al proveedor")</f>
        <v/>
      </c>
      <c r="H2136">
        <f>IF($C2136="","",Registro_Compras!$C$240)</f>
        <v/>
      </c>
    </row>
    <row r="2137">
      <c r="A2137" s="25">
        <f>IF($C2137="","",Registro_Compras!$Y$240)</f>
        <v/>
      </c>
      <c r="B2137">
        <f>IF($C2137="","","C"&amp;TEXT(INT((ROW()-5)/9)+1,"000")&amp;"-4")</f>
        <v/>
      </c>
      <c r="C2137">
        <f>IF(OR(Registro_Compras!$C$240="",Registro_Compras!$O$240="",Registro_Compras!$Y$240="",Registro_Compras!$F$240="NOTA DE CREDITO"),"","10413")</f>
        <v/>
      </c>
      <c r="D2137">
        <f>IF(OR(Registro_Compras!$C$240="",Registro_Compras!$O$240=""),"","Efectivo y Equivalentes - Cta. Cte. Operativa")</f>
        <v/>
      </c>
      <c r="E2137" s="20">
        <f>""</f>
        <v/>
      </c>
      <c r="F2137" s="20">
        <f>IF($C2137="","",IF(Registro_Compras!$F$240="RHE",(ROUND(Registro_Compras!$L$240*Registro_Compras!$N$240,2)-ROUND(Registro_Compras!$V$240*Registro_Compras!$N$240,2)),ROUND(Registro_Compras!$O$240-Registro_Compras!$S$240,2)))</f>
        <v/>
      </c>
      <c r="G2137">
        <f>IF($C2137="","","Por la cancelacion del saldo al proveedor")</f>
        <v/>
      </c>
      <c r="H2137">
        <f>IF($C2137="","",Registro_Compras!$C$240)</f>
        <v/>
      </c>
    </row>
    <row r="2138">
      <c r="A2138" s="25">
        <f>IF($C2138="","",Registro_Compras!$B$241)</f>
        <v/>
      </c>
      <c r="B2138">
        <f>IF($C2138="","","C"&amp;TEXT(INT((ROW()-5)/9)+1,"000")&amp;"-1")</f>
        <v/>
      </c>
      <c r="C2138">
        <f>IF(OR(Registro_Compras!$C$241="",Registro_Compras!$O$241=""),"",IF(Registro_Compras!$F$241="NOTA DE CREDITO","4212",IF(Registro_Compras!$M$241="","63",Registro_Compras!$M$241)))</f>
        <v/>
      </c>
      <c r="D2138">
        <f>IF(OR(Registro_Compras!$C$241="",Registro_Compras!$O$241=""),"",IF(Registro_Compras!$F$241="NOTA DE CREDITO","Cuentas por Pagar Comerciales - Terceros (Emitidas)",IF(Registro_Compras!$F$241="RHE","Honorarios Profesionales - Servicios de Terceros","Gastos de Servicios Prestados por Terceros")))</f>
        <v/>
      </c>
      <c r="E2138" s="20">
        <f>IF($C2138="","",IF(Registro_Compras!$F$241="NOTA DE CREDITO",ABS(Registro_Compras!$O$241),IF(Registro_Compras!$F$241="RHE",ROUND(Registro_Compras!$L$241*Registro_Compras!$N$241,2),ROUND(Registro_Compras!$J$241*Registro_Compras!$N$241,2))))</f>
        <v/>
      </c>
      <c r="F2138" s="20">
        <f>""</f>
        <v/>
      </c>
      <c r="G2138">
        <f>IF($C2138="","",IF(Registro_Compras!$F$241="NOTA DE CREDITO","Por la nota de credito "&amp;Registro_Compras!$C$241&amp;" de "&amp;Registro_Compras!$E$241&amp;" [PATRON POR CONFIRMAR CON CONTADOR]",IF(Registro_Compras!$F$241="RHE","Por el registro del recibo por honorarios "&amp;Registro_Compras!$C$241&amp;" de "&amp;Registro_Compras!$E$241&amp;" [PATRON POR CONFIRMAR CON CONTADOR]","Por el registro de la factura "&amp;Registro_Compras!$C$241&amp;" de "&amp;Registro_Compras!$E$241)))</f>
        <v/>
      </c>
      <c r="H2138">
        <f>IF($C2138="","",Registro_Compras!$C$241)</f>
        <v/>
      </c>
    </row>
    <row r="2139">
      <c r="A2139" s="25">
        <f>IF($C2139="","",Registro_Compras!$B$241)</f>
        <v/>
      </c>
      <c r="B2139">
        <f>IF($C2139="","","C"&amp;TEXT(INT((ROW()-5)/9)+1,"000")&amp;"-1")</f>
        <v/>
      </c>
      <c r="C2139">
        <f>IF(OR(Registro_Compras!$C$241="",Registro_Compras!$O$241=""),"",IF(Registro_Compras!$F$241="RHE",IF(Registro_Compras!$V$241=0,"","40172"),IF(Registro_Compras!$F$241="NOTA DE CREDITO",IF(Registro_Compras!$M$241="","63",Registro_Compras!$M$241),IF(Registro_Compras!$K$241=0,"","40111"))))</f>
        <v/>
      </c>
      <c r="D2139">
        <f>IF(OR(Registro_Compras!$C$241="",Registro_Compras!$O$241=""),"",IF(Registro_Compras!$F$241="RHE","Retencion Renta 4ta Categoria por Pagar",IF(Registro_Compras!$F$241="NOTA DE CREDITO","Gastos de Servicios Prestados por Terceros","IGV - Cuenta Propia (Credito Fiscal)")))</f>
        <v/>
      </c>
      <c r="E2139" s="20">
        <f>IF($C2139="","",IF(Registro_Compras!$F$241="FACTURA",ROUND(Registro_Compras!$K$241*Registro_Compras!$N$241,2),""))</f>
        <v/>
      </c>
      <c r="F2139" s="20">
        <f>IF($C2139="","",IF(Registro_Compras!$F$241="RHE",ROUND(Registro_Compras!$V$241*Registro_Compras!$N$241,2),IF(Registro_Compras!$F$241="NOTA DE CREDITO",ROUND(ABS(Registro_Compras!$J$241*Registro_Compras!$N$241),2),"")))</f>
        <v/>
      </c>
      <c r="G2139">
        <f>IF($C2139="","",IF(Registro_Compras!$F$241="NOTA DE CREDITO","Por la nota de credito "&amp;Registro_Compras!$C$241&amp;" de "&amp;Registro_Compras!$E$241&amp;" [PATRON POR CONFIRMAR CON CONTADOR]",IF(Registro_Compras!$F$241="RHE","Por el registro del recibo por honorarios "&amp;Registro_Compras!$C$241&amp;" de "&amp;Registro_Compras!$E$241&amp;" [PATRON POR CONFIRMAR CON CONTADOR]","Por el registro de la factura "&amp;Registro_Compras!$C$241&amp;" de "&amp;Registro_Compras!$E$241)))</f>
        <v/>
      </c>
      <c r="H2139">
        <f>IF($C2139="","",Registro_Compras!$C$241)</f>
        <v/>
      </c>
    </row>
    <row r="2140">
      <c r="A2140" s="25">
        <f>IF($C2140="","",Registro_Compras!$B$241)</f>
        <v/>
      </c>
      <c r="B2140">
        <f>IF($C2140="","","C"&amp;TEXT(INT((ROW()-5)/9)+1,"000")&amp;"-1")</f>
        <v/>
      </c>
      <c r="C2140">
        <f>IF(OR(Registro_Compras!$C$241="",Registro_Compras!$O$241=""),"",IF(Registro_Compras!$F$241="NOTA DE CREDITO",IF(Registro_Compras!$K$241=0,"","40111"),"4212"))</f>
        <v/>
      </c>
      <c r="D2140">
        <f>IF(OR(Registro_Compras!$C$241="",Registro_Compras!$O$241=""),"",IF(Registro_Compras!$F$241="NOTA DE CREDITO","IGV - Cuenta Propia (Credito Fiscal)","Cuentas por Pagar Comerciales - Terceros (Emitidas)"))</f>
        <v/>
      </c>
      <c r="E2140" s="20">
        <f>""</f>
        <v/>
      </c>
      <c r="F2140" s="20">
        <f>IF($C2140="","",IF(Registro_Compras!$F$241="NOTA DE CREDITO",ROUND(ABS(Registro_Compras!$K$241*Registro_Compras!$N$241),2),IF(Registro_Compras!$F$241="RHE",(ROUND(Registro_Compras!$L$241*Registro_Compras!$N$241,2)-ROUND(Registro_Compras!$V$241*Registro_Compras!$N$241,2)),Registro_Compras!$O$241)))</f>
        <v/>
      </c>
      <c r="G2140">
        <f>IF($C2140="","",IF(Registro_Compras!$F$241="NOTA DE CREDITO","Por la nota de credito "&amp;Registro_Compras!$C$241&amp;" de "&amp;Registro_Compras!$E$241&amp;" [PATRON POR CONFIRMAR CON CONTADOR]",IF(Registro_Compras!$F$241="RHE","Por el registro del recibo por honorarios "&amp;Registro_Compras!$C$241&amp;" de "&amp;Registro_Compras!$E$241&amp;" [PATRON POR CONFIRMAR CON CONTADOR]","Por el registro de la factura "&amp;Registro_Compras!$C$241&amp;" de "&amp;Registro_Compras!$E$241)))</f>
        <v/>
      </c>
      <c r="H2140">
        <f>IF($C2140="","",Registro_Compras!$C$241)</f>
        <v/>
      </c>
    </row>
    <row r="2141">
      <c r="A2141" s="25">
        <f>IF($C2141="","",Registro_Compras!$B$241)</f>
        <v/>
      </c>
      <c r="B2141">
        <f>IF($C2141="","","C"&amp;TEXT(INT((ROW()-5)/9)+1,"000")&amp;"-2")</f>
        <v/>
      </c>
      <c r="C2141">
        <f>IF(OR(Registro_Compras!$C$241="",Registro_Compras!$O$241=""),"",IF(Registro_Compras!$AB$241="ADMINISTRATIVO","94","95"))</f>
        <v/>
      </c>
      <c r="D2141">
        <f>IF(OR(Registro_Compras!$C$241="",Registro_Compras!$O$241=""),"",IF(Registro_Compras!$AB$241="ADMINISTRATIVO","Gastos Administrativos","Gastos de Venta y Operacion"))</f>
        <v/>
      </c>
      <c r="E2141" s="20">
        <f>IF($C2141="","",IF(Registro_Compras!$F$241="NOTA DE CREDITO","",IF(Registro_Compras!$F$241="RHE",ROUND(Registro_Compras!$L$241*Registro_Compras!$N$241,2),ROUND(Registro_Compras!$J$241*Registro_Compras!$N$241,2))))</f>
        <v/>
      </c>
      <c r="F2141" s="20">
        <f>IF($C2141="","",IF(Registro_Compras!$F$241="NOTA DE CREDITO",ROUND(ABS(Registro_Compras!$J$241*Registro_Compras!$N$241),2),""))</f>
        <v/>
      </c>
      <c r="G2141">
        <f>IF($C2141="","","Por el destino del gasto")</f>
        <v/>
      </c>
      <c r="H2141">
        <f>IF($C2141="","",Registro_Compras!$C$241)</f>
        <v/>
      </c>
    </row>
    <row r="2142">
      <c r="A2142" s="25">
        <f>IF($C2142="","",Registro_Compras!$B$241)</f>
        <v/>
      </c>
      <c r="B2142">
        <f>IF($C2142="","","C"&amp;TEXT(INT((ROW()-5)/9)+1,"000")&amp;"-2")</f>
        <v/>
      </c>
      <c r="C2142">
        <f>IF(OR(Registro_Compras!$C$241="",Registro_Compras!$O$241=""),"","79/791")</f>
        <v/>
      </c>
      <c r="D2142">
        <f>IF(OR(Registro_Compras!$C$241="",Registro_Compras!$O$241=""),"","Cargas Imputables a Cuentas de Costos y Gastos")</f>
        <v/>
      </c>
      <c r="E2142" s="20">
        <f>IF($C2142="","",IF(Registro_Compras!$F$241="NOTA DE CREDITO",ROUND(ABS(Registro_Compras!$J$241*Registro_Compras!$N$241),2),""))</f>
        <v/>
      </c>
      <c r="F2142" s="20">
        <f>IF($C2142="","",IF(Registro_Compras!$F$241="NOTA DE CREDITO","",IF(Registro_Compras!$F$241="RHE",ROUND(Registro_Compras!$L$241*Registro_Compras!$N$241,2),ROUND(Registro_Compras!$J$241*Registro_Compras!$N$241,2))))</f>
        <v/>
      </c>
      <c r="G2142">
        <f>IF($C2142="","","Por el destino del gasto")</f>
        <v/>
      </c>
      <c r="H2142">
        <f>IF($C2142="","",Registro_Compras!$C$241)</f>
        <v/>
      </c>
    </row>
    <row r="2143">
      <c r="A2143" s="25">
        <f>IF($C2143="","",Registro_Compras!$X$241)</f>
        <v/>
      </c>
      <c r="B2143">
        <f>IF($C2143="","","C"&amp;TEXT(INT((ROW()-5)/9)+1,"000")&amp;"-3")</f>
        <v/>
      </c>
      <c r="C2143">
        <f>IF(OR(Registro_Compras!$C$241="",Registro_Compras!$O$241="",Registro_Compras!$R$241&lt;&gt;"SI",Registro_Compras!$X$241=""),"","4212")</f>
        <v/>
      </c>
      <c r="D2143">
        <f>IF(OR(Registro_Compras!$C$241="",Registro_Compras!$O$241=""),"","Cuentas por Pagar Comerciales - Terceros")</f>
        <v/>
      </c>
      <c r="E2143" s="20">
        <f>IF($C2143="","",Registro_Compras!$S$241)</f>
        <v/>
      </c>
      <c r="F2143" s="20">
        <f>""</f>
        <v/>
      </c>
      <c r="G2143">
        <f>IF($C2143="","","Por el deposito de la detraccion en el Banco de la Nacion")</f>
        <v/>
      </c>
      <c r="H2143">
        <f>IF($C2143="","",Registro_Compras!$C$241)</f>
        <v/>
      </c>
    </row>
    <row r="2144">
      <c r="A2144" s="25">
        <f>IF($C2144="","",Registro_Compras!$X$241)</f>
        <v/>
      </c>
      <c r="B2144">
        <f>IF($C2144="","","C"&amp;TEXT(INT((ROW()-5)/9)+1,"000")&amp;"-3")</f>
        <v/>
      </c>
      <c r="C2144">
        <f>IF(OR(Registro_Compras!$C$241="",Registro_Compras!$O$241="",Registro_Compras!$R$241&lt;&gt;"SI",Registro_Compras!$X$241=""),"","10413")</f>
        <v/>
      </c>
      <c r="D2144">
        <f>IF(OR(Registro_Compras!$C$241="",Registro_Compras!$O$241=""),"","Efectivo y Equivalentes - Cta. Cte. Operativa")</f>
        <v/>
      </c>
      <c r="E2144" s="20">
        <f>""</f>
        <v/>
      </c>
      <c r="F2144" s="20">
        <f>IF($C2144="","",Registro_Compras!$S$241)</f>
        <v/>
      </c>
      <c r="G2144">
        <f>IF($C2144="","","Por el deposito de la detraccion en el Banco de la Nacion")</f>
        <v/>
      </c>
      <c r="H2144">
        <f>IF($C2144="","",Registro_Compras!$C$241)</f>
        <v/>
      </c>
    </row>
    <row r="2145">
      <c r="A2145" s="25">
        <f>IF($C2145="","",Registro_Compras!$Y$241)</f>
        <v/>
      </c>
      <c r="B2145">
        <f>IF($C2145="","","C"&amp;TEXT(INT((ROW()-5)/9)+1,"000")&amp;"-4")</f>
        <v/>
      </c>
      <c r="C2145">
        <f>IF(OR(Registro_Compras!$C$241="",Registro_Compras!$O$241="",Registro_Compras!$Y$241="",Registro_Compras!$F$241="NOTA DE CREDITO"),"","4212")</f>
        <v/>
      </c>
      <c r="D2145">
        <f>IF(OR(Registro_Compras!$C$241="",Registro_Compras!$O$241=""),"","Cuentas por Pagar Comerciales - Terceros")</f>
        <v/>
      </c>
      <c r="E2145" s="20">
        <f>IF($C2145="","",IF(Registro_Compras!$F$241="RHE",(ROUND(Registro_Compras!$L$241*Registro_Compras!$N$241,2)-ROUND(Registro_Compras!$V$241*Registro_Compras!$N$241,2)),ROUND(Registro_Compras!$O$241-Registro_Compras!$S$241,2)))</f>
        <v/>
      </c>
      <c r="F2145" s="20">
        <f>""</f>
        <v/>
      </c>
      <c r="G2145">
        <f>IF($C2145="","","Por la cancelacion del saldo al proveedor")</f>
        <v/>
      </c>
      <c r="H2145">
        <f>IF($C2145="","",Registro_Compras!$C$241)</f>
        <v/>
      </c>
    </row>
    <row r="2146">
      <c r="A2146" s="25">
        <f>IF($C2146="","",Registro_Compras!$Y$241)</f>
        <v/>
      </c>
      <c r="B2146">
        <f>IF($C2146="","","C"&amp;TEXT(INT((ROW()-5)/9)+1,"000")&amp;"-4")</f>
        <v/>
      </c>
      <c r="C2146">
        <f>IF(OR(Registro_Compras!$C$241="",Registro_Compras!$O$241="",Registro_Compras!$Y$241="",Registro_Compras!$F$241="NOTA DE CREDITO"),"","10413")</f>
        <v/>
      </c>
      <c r="D2146">
        <f>IF(OR(Registro_Compras!$C$241="",Registro_Compras!$O$241=""),"","Efectivo y Equivalentes - Cta. Cte. Operativa")</f>
        <v/>
      </c>
      <c r="E2146" s="20">
        <f>""</f>
        <v/>
      </c>
      <c r="F2146" s="20">
        <f>IF($C2146="","",IF(Registro_Compras!$F$241="RHE",(ROUND(Registro_Compras!$L$241*Registro_Compras!$N$241,2)-ROUND(Registro_Compras!$V$241*Registro_Compras!$N$241,2)),ROUND(Registro_Compras!$O$241-Registro_Compras!$S$241,2)))</f>
        <v/>
      </c>
      <c r="G2146">
        <f>IF($C2146="","","Por la cancelacion del saldo al proveedor")</f>
        <v/>
      </c>
      <c r="H2146">
        <f>IF($C2146="","",Registro_Compras!$C$241)</f>
        <v/>
      </c>
    </row>
    <row r="2147">
      <c r="A2147" s="25">
        <f>IF($C2147="","",Registro_Compras!$B$242)</f>
        <v/>
      </c>
      <c r="B2147">
        <f>IF($C2147="","","C"&amp;TEXT(INT((ROW()-5)/9)+1,"000")&amp;"-1")</f>
        <v/>
      </c>
      <c r="C2147">
        <f>IF(OR(Registro_Compras!$C$242="",Registro_Compras!$O$242=""),"",IF(Registro_Compras!$F$242="NOTA DE CREDITO","4212",IF(Registro_Compras!$M$242="","63",Registro_Compras!$M$242)))</f>
        <v/>
      </c>
      <c r="D2147">
        <f>IF(OR(Registro_Compras!$C$242="",Registro_Compras!$O$242=""),"",IF(Registro_Compras!$F$242="NOTA DE CREDITO","Cuentas por Pagar Comerciales - Terceros (Emitidas)",IF(Registro_Compras!$F$242="RHE","Honorarios Profesionales - Servicios de Terceros","Gastos de Servicios Prestados por Terceros")))</f>
        <v/>
      </c>
      <c r="E2147" s="20">
        <f>IF($C2147="","",IF(Registro_Compras!$F$242="NOTA DE CREDITO",ABS(Registro_Compras!$O$242),IF(Registro_Compras!$F$242="RHE",ROUND(Registro_Compras!$L$242*Registro_Compras!$N$242,2),ROUND(Registro_Compras!$J$242*Registro_Compras!$N$242,2))))</f>
        <v/>
      </c>
      <c r="F2147" s="20">
        <f>""</f>
        <v/>
      </c>
      <c r="G2147">
        <f>IF($C2147="","",IF(Registro_Compras!$F$242="NOTA DE CREDITO","Por la nota de credito "&amp;Registro_Compras!$C$242&amp;" de "&amp;Registro_Compras!$E$242&amp;" [PATRON POR CONFIRMAR CON CONTADOR]",IF(Registro_Compras!$F$242="RHE","Por el registro del recibo por honorarios "&amp;Registro_Compras!$C$242&amp;" de "&amp;Registro_Compras!$E$242&amp;" [PATRON POR CONFIRMAR CON CONTADOR]","Por el registro de la factura "&amp;Registro_Compras!$C$242&amp;" de "&amp;Registro_Compras!$E$242)))</f>
        <v/>
      </c>
      <c r="H2147">
        <f>IF($C2147="","",Registro_Compras!$C$242)</f>
        <v/>
      </c>
    </row>
    <row r="2148">
      <c r="A2148" s="25">
        <f>IF($C2148="","",Registro_Compras!$B$242)</f>
        <v/>
      </c>
      <c r="B2148">
        <f>IF($C2148="","","C"&amp;TEXT(INT((ROW()-5)/9)+1,"000")&amp;"-1")</f>
        <v/>
      </c>
      <c r="C2148">
        <f>IF(OR(Registro_Compras!$C$242="",Registro_Compras!$O$242=""),"",IF(Registro_Compras!$F$242="RHE",IF(Registro_Compras!$V$242=0,"","40172"),IF(Registro_Compras!$F$242="NOTA DE CREDITO",IF(Registro_Compras!$M$242="","63",Registro_Compras!$M$242),IF(Registro_Compras!$K$242=0,"","40111"))))</f>
        <v/>
      </c>
      <c r="D2148">
        <f>IF(OR(Registro_Compras!$C$242="",Registro_Compras!$O$242=""),"",IF(Registro_Compras!$F$242="RHE","Retencion Renta 4ta Categoria por Pagar",IF(Registro_Compras!$F$242="NOTA DE CREDITO","Gastos de Servicios Prestados por Terceros","IGV - Cuenta Propia (Credito Fiscal)")))</f>
        <v/>
      </c>
      <c r="E2148" s="20">
        <f>IF($C2148="","",IF(Registro_Compras!$F$242="FACTURA",ROUND(Registro_Compras!$K$242*Registro_Compras!$N$242,2),""))</f>
        <v/>
      </c>
      <c r="F2148" s="20">
        <f>IF($C2148="","",IF(Registro_Compras!$F$242="RHE",ROUND(Registro_Compras!$V$242*Registro_Compras!$N$242,2),IF(Registro_Compras!$F$242="NOTA DE CREDITO",ROUND(ABS(Registro_Compras!$J$242*Registro_Compras!$N$242),2),"")))</f>
        <v/>
      </c>
      <c r="G2148">
        <f>IF($C2148="","",IF(Registro_Compras!$F$242="NOTA DE CREDITO","Por la nota de credito "&amp;Registro_Compras!$C$242&amp;" de "&amp;Registro_Compras!$E$242&amp;" [PATRON POR CONFIRMAR CON CONTADOR]",IF(Registro_Compras!$F$242="RHE","Por el registro del recibo por honorarios "&amp;Registro_Compras!$C$242&amp;" de "&amp;Registro_Compras!$E$242&amp;" [PATRON POR CONFIRMAR CON CONTADOR]","Por el registro de la factura "&amp;Registro_Compras!$C$242&amp;" de "&amp;Registro_Compras!$E$242)))</f>
        <v/>
      </c>
      <c r="H2148">
        <f>IF($C2148="","",Registro_Compras!$C$242)</f>
        <v/>
      </c>
    </row>
    <row r="2149">
      <c r="A2149" s="25">
        <f>IF($C2149="","",Registro_Compras!$B$242)</f>
        <v/>
      </c>
      <c r="B2149">
        <f>IF($C2149="","","C"&amp;TEXT(INT((ROW()-5)/9)+1,"000")&amp;"-1")</f>
        <v/>
      </c>
      <c r="C2149">
        <f>IF(OR(Registro_Compras!$C$242="",Registro_Compras!$O$242=""),"",IF(Registro_Compras!$F$242="NOTA DE CREDITO",IF(Registro_Compras!$K$242=0,"","40111"),"4212"))</f>
        <v/>
      </c>
      <c r="D2149">
        <f>IF(OR(Registro_Compras!$C$242="",Registro_Compras!$O$242=""),"",IF(Registro_Compras!$F$242="NOTA DE CREDITO","IGV - Cuenta Propia (Credito Fiscal)","Cuentas por Pagar Comerciales - Terceros (Emitidas)"))</f>
        <v/>
      </c>
      <c r="E2149" s="20">
        <f>""</f>
        <v/>
      </c>
      <c r="F2149" s="20">
        <f>IF($C2149="","",IF(Registro_Compras!$F$242="NOTA DE CREDITO",ROUND(ABS(Registro_Compras!$K$242*Registro_Compras!$N$242),2),IF(Registro_Compras!$F$242="RHE",(ROUND(Registro_Compras!$L$242*Registro_Compras!$N$242,2)-ROUND(Registro_Compras!$V$242*Registro_Compras!$N$242,2)),Registro_Compras!$O$242)))</f>
        <v/>
      </c>
      <c r="G2149">
        <f>IF($C2149="","",IF(Registro_Compras!$F$242="NOTA DE CREDITO","Por la nota de credito "&amp;Registro_Compras!$C$242&amp;" de "&amp;Registro_Compras!$E$242&amp;" [PATRON POR CONFIRMAR CON CONTADOR]",IF(Registro_Compras!$F$242="RHE","Por el registro del recibo por honorarios "&amp;Registro_Compras!$C$242&amp;" de "&amp;Registro_Compras!$E$242&amp;" [PATRON POR CONFIRMAR CON CONTADOR]","Por el registro de la factura "&amp;Registro_Compras!$C$242&amp;" de "&amp;Registro_Compras!$E$242)))</f>
        <v/>
      </c>
      <c r="H2149">
        <f>IF($C2149="","",Registro_Compras!$C$242)</f>
        <v/>
      </c>
    </row>
    <row r="2150">
      <c r="A2150" s="25">
        <f>IF($C2150="","",Registro_Compras!$B$242)</f>
        <v/>
      </c>
      <c r="B2150">
        <f>IF($C2150="","","C"&amp;TEXT(INT((ROW()-5)/9)+1,"000")&amp;"-2")</f>
        <v/>
      </c>
      <c r="C2150">
        <f>IF(OR(Registro_Compras!$C$242="",Registro_Compras!$O$242=""),"",IF(Registro_Compras!$AB$242="ADMINISTRATIVO","94","95"))</f>
        <v/>
      </c>
      <c r="D2150">
        <f>IF(OR(Registro_Compras!$C$242="",Registro_Compras!$O$242=""),"",IF(Registro_Compras!$AB$242="ADMINISTRATIVO","Gastos Administrativos","Gastos de Venta y Operacion"))</f>
        <v/>
      </c>
      <c r="E2150" s="20">
        <f>IF($C2150="","",IF(Registro_Compras!$F$242="NOTA DE CREDITO","",IF(Registro_Compras!$F$242="RHE",ROUND(Registro_Compras!$L$242*Registro_Compras!$N$242,2),ROUND(Registro_Compras!$J$242*Registro_Compras!$N$242,2))))</f>
        <v/>
      </c>
      <c r="F2150" s="20">
        <f>IF($C2150="","",IF(Registro_Compras!$F$242="NOTA DE CREDITO",ROUND(ABS(Registro_Compras!$J$242*Registro_Compras!$N$242),2),""))</f>
        <v/>
      </c>
      <c r="G2150">
        <f>IF($C2150="","","Por el destino del gasto")</f>
        <v/>
      </c>
      <c r="H2150">
        <f>IF($C2150="","",Registro_Compras!$C$242)</f>
        <v/>
      </c>
    </row>
    <row r="2151">
      <c r="A2151" s="25">
        <f>IF($C2151="","",Registro_Compras!$B$242)</f>
        <v/>
      </c>
      <c r="B2151">
        <f>IF($C2151="","","C"&amp;TEXT(INT((ROW()-5)/9)+1,"000")&amp;"-2")</f>
        <v/>
      </c>
      <c r="C2151">
        <f>IF(OR(Registro_Compras!$C$242="",Registro_Compras!$O$242=""),"","79/791")</f>
        <v/>
      </c>
      <c r="D2151">
        <f>IF(OR(Registro_Compras!$C$242="",Registro_Compras!$O$242=""),"","Cargas Imputables a Cuentas de Costos y Gastos")</f>
        <v/>
      </c>
      <c r="E2151" s="20">
        <f>IF($C2151="","",IF(Registro_Compras!$F$242="NOTA DE CREDITO",ROUND(ABS(Registro_Compras!$J$242*Registro_Compras!$N$242),2),""))</f>
        <v/>
      </c>
      <c r="F2151" s="20">
        <f>IF($C2151="","",IF(Registro_Compras!$F$242="NOTA DE CREDITO","",IF(Registro_Compras!$F$242="RHE",ROUND(Registro_Compras!$L$242*Registro_Compras!$N$242,2),ROUND(Registro_Compras!$J$242*Registro_Compras!$N$242,2))))</f>
        <v/>
      </c>
      <c r="G2151">
        <f>IF($C2151="","","Por el destino del gasto")</f>
        <v/>
      </c>
      <c r="H2151">
        <f>IF($C2151="","",Registro_Compras!$C$242)</f>
        <v/>
      </c>
    </row>
    <row r="2152">
      <c r="A2152" s="25">
        <f>IF($C2152="","",Registro_Compras!$X$242)</f>
        <v/>
      </c>
      <c r="B2152">
        <f>IF($C2152="","","C"&amp;TEXT(INT((ROW()-5)/9)+1,"000")&amp;"-3")</f>
        <v/>
      </c>
      <c r="C2152">
        <f>IF(OR(Registro_Compras!$C$242="",Registro_Compras!$O$242="",Registro_Compras!$R$242&lt;&gt;"SI",Registro_Compras!$X$242=""),"","4212")</f>
        <v/>
      </c>
      <c r="D2152">
        <f>IF(OR(Registro_Compras!$C$242="",Registro_Compras!$O$242=""),"","Cuentas por Pagar Comerciales - Terceros")</f>
        <v/>
      </c>
      <c r="E2152" s="20">
        <f>IF($C2152="","",Registro_Compras!$S$242)</f>
        <v/>
      </c>
      <c r="F2152" s="20">
        <f>""</f>
        <v/>
      </c>
      <c r="G2152">
        <f>IF($C2152="","","Por el deposito de la detraccion en el Banco de la Nacion")</f>
        <v/>
      </c>
      <c r="H2152">
        <f>IF($C2152="","",Registro_Compras!$C$242)</f>
        <v/>
      </c>
    </row>
    <row r="2153">
      <c r="A2153" s="25">
        <f>IF($C2153="","",Registro_Compras!$X$242)</f>
        <v/>
      </c>
      <c r="B2153">
        <f>IF($C2153="","","C"&amp;TEXT(INT((ROW()-5)/9)+1,"000")&amp;"-3")</f>
        <v/>
      </c>
      <c r="C2153">
        <f>IF(OR(Registro_Compras!$C$242="",Registro_Compras!$O$242="",Registro_Compras!$R$242&lt;&gt;"SI",Registro_Compras!$X$242=""),"","10413")</f>
        <v/>
      </c>
      <c r="D2153">
        <f>IF(OR(Registro_Compras!$C$242="",Registro_Compras!$O$242=""),"","Efectivo y Equivalentes - Cta. Cte. Operativa")</f>
        <v/>
      </c>
      <c r="E2153" s="20">
        <f>""</f>
        <v/>
      </c>
      <c r="F2153" s="20">
        <f>IF($C2153="","",Registro_Compras!$S$242)</f>
        <v/>
      </c>
      <c r="G2153">
        <f>IF($C2153="","","Por el deposito de la detraccion en el Banco de la Nacion")</f>
        <v/>
      </c>
      <c r="H2153">
        <f>IF($C2153="","",Registro_Compras!$C$242)</f>
        <v/>
      </c>
    </row>
    <row r="2154">
      <c r="A2154" s="25">
        <f>IF($C2154="","",Registro_Compras!$Y$242)</f>
        <v/>
      </c>
      <c r="B2154">
        <f>IF($C2154="","","C"&amp;TEXT(INT((ROW()-5)/9)+1,"000")&amp;"-4")</f>
        <v/>
      </c>
      <c r="C2154">
        <f>IF(OR(Registro_Compras!$C$242="",Registro_Compras!$O$242="",Registro_Compras!$Y$242="",Registro_Compras!$F$242="NOTA DE CREDITO"),"","4212")</f>
        <v/>
      </c>
      <c r="D2154">
        <f>IF(OR(Registro_Compras!$C$242="",Registro_Compras!$O$242=""),"","Cuentas por Pagar Comerciales - Terceros")</f>
        <v/>
      </c>
      <c r="E2154" s="20">
        <f>IF($C2154="","",IF(Registro_Compras!$F$242="RHE",(ROUND(Registro_Compras!$L$242*Registro_Compras!$N$242,2)-ROUND(Registro_Compras!$V$242*Registro_Compras!$N$242,2)),ROUND(Registro_Compras!$O$242-Registro_Compras!$S$242,2)))</f>
        <v/>
      </c>
      <c r="F2154" s="20">
        <f>""</f>
        <v/>
      </c>
      <c r="G2154">
        <f>IF($C2154="","","Por la cancelacion del saldo al proveedor")</f>
        <v/>
      </c>
      <c r="H2154">
        <f>IF($C2154="","",Registro_Compras!$C$242)</f>
        <v/>
      </c>
    </row>
    <row r="2155">
      <c r="A2155" s="25">
        <f>IF($C2155="","",Registro_Compras!$Y$242)</f>
        <v/>
      </c>
      <c r="B2155">
        <f>IF($C2155="","","C"&amp;TEXT(INT((ROW()-5)/9)+1,"000")&amp;"-4")</f>
        <v/>
      </c>
      <c r="C2155">
        <f>IF(OR(Registro_Compras!$C$242="",Registro_Compras!$O$242="",Registro_Compras!$Y$242="",Registro_Compras!$F$242="NOTA DE CREDITO"),"","10413")</f>
        <v/>
      </c>
      <c r="D2155">
        <f>IF(OR(Registro_Compras!$C$242="",Registro_Compras!$O$242=""),"","Efectivo y Equivalentes - Cta. Cte. Operativa")</f>
        <v/>
      </c>
      <c r="E2155" s="20">
        <f>""</f>
        <v/>
      </c>
      <c r="F2155" s="20">
        <f>IF($C2155="","",IF(Registro_Compras!$F$242="RHE",(ROUND(Registro_Compras!$L$242*Registro_Compras!$N$242,2)-ROUND(Registro_Compras!$V$242*Registro_Compras!$N$242,2)),ROUND(Registro_Compras!$O$242-Registro_Compras!$S$242,2)))</f>
        <v/>
      </c>
      <c r="G2155">
        <f>IF($C2155="","","Por la cancelacion del saldo al proveedor")</f>
        <v/>
      </c>
      <c r="H2155">
        <f>IF($C2155="","",Registro_Compras!$C$242)</f>
        <v/>
      </c>
    </row>
    <row r="2156">
      <c r="A2156" s="25">
        <f>IF($C2156="","",Registro_Compras!$B$243)</f>
        <v/>
      </c>
      <c r="B2156">
        <f>IF($C2156="","","C"&amp;TEXT(INT((ROW()-5)/9)+1,"000")&amp;"-1")</f>
        <v/>
      </c>
      <c r="C2156">
        <f>IF(OR(Registro_Compras!$C$243="",Registro_Compras!$O$243=""),"",IF(Registro_Compras!$F$243="NOTA DE CREDITO","4212",IF(Registro_Compras!$M$243="","63",Registro_Compras!$M$243)))</f>
        <v/>
      </c>
      <c r="D2156">
        <f>IF(OR(Registro_Compras!$C$243="",Registro_Compras!$O$243=""),"",IF(Registro_Compras!$F$243="NOTA DE CREDITO","Cuentas por Pagar Comerciales - Terceros (Emitidas)",IF(Registro_Compras!$F$243="RHE","Honorarios Profesionales - Servicios de Terceros","Gastos de Servicios Prestados por Terceros")))</f>
        <v/>
      </c>
      <c r="E2156" s="20">
        <f>IF($C2156="","",IF(Registro_Compras!$F$243="NOTA DE CREDITO",ABS(Registro_Compras!$O$243),IF(Registro_Compras!$F$243="RHE",ROUND(Registro_Compras!$L$243*Registro_Compras!$N$243,2),ROUND(Registro_Compras!$J$243*Registro_Compras!$N$243,2))))</f>
        <v/>
      </c>
      <c r="F2156" s="20">
        <f>""</f>
        <v/>
      </c>
      <c r="G2156">
        <f>IF($C2156="","",IF(Registro_Compras!$F$243="NOTA DE CREDITO","Por la nota de credito "&amp;Registro_Compras!$C$243&amp;" de "&amp;Registro_Compras!$E$243&amp;" [PATRON POR CONFIRMAR CON CONTADOR]",IF(Registro_Compras!$F$243="RHE","Por el registro del recibo por honorarios "&amp;Registro_Compras!$C$243&amp;" de "&amp;Registro_Compras!$E$243&amp;" [PATRON POR CONFIRMAR CON CONTADOR]","Por el registro de la factura "&amp;Registro_Compras!$C$243&amp;" de "&amp;Registro_Compras!$E$243)))</f>
        <v/>
      </c>
      <c r="H2156">
        <f>IF($C2156="","",Registro_Compras!$C$243)</f>
        <v/>
      </c>
    </row>
    <row r="2157">
      <c r="A2157" s="25">
        <f>IF($C2157="","",Registro_Compras!$B$243)</f>
        <v/>
      </c>
      <c r="B2157">
        <f>IF($C2157="","","C"&amp;TEXT(INT((ROW()-5)/9)+1,"000")&amp;"-1")</f>
        <v/>
      </c>
      <c r="C2157">
        <f>IF(OR(Registro_Compras!$C$243="",Registro_Compras!$O$243=""),"",IF(Registro_Compras!$F$243="RHE",IF(Registro_Compras!$V$243=0,"","40172"),IF(Registro_Compras!$F$243="NOTA DE CREDITO",IF(Registro_Compras!$M$243="","63",Registro_Compras!$M$243),IF(Registro_Compras!$K$243=0,"","40111"))))</f>
        <v/>
      </c>
      <c r="D2157">
        <f>IF(OR(Registro_Compras!$C$243="",Registro_Compras!$O$243=""),"",IF(Registro_Compras!$F$243="RHE","Retencion Renta 4ta Categoria por Pagar",IF(Registro_Compras!$F$243="NOTA DE CREDITO","Gastos de Servicios Prestados por Terceros","IGV - Cuenta Propia (Credito Fiscal)")))</f>
        <v/>
      </c>
      <c r="E2157" s="20">
        <f>IF($C2157="","",IF(Registro_Compras!$F$243="FACTURA",ROUND(Registro_Compras!$K$243*Registro_Compras!$N$243,2),""))</f>
        <v/>
      </c>
      <c r="F2157" s="20">
        <f>IF($C2157="","",IF(Registro_Compras!$F$243="RHE",ROUND(Registro_Compras!$V$243*Registro_Compras!$N$243,2),IF(Registro_Compras!$F$243="NOTA DE CREDITO",ROUND(ABS(Registro_Compras!$J$243*Registro_Compras!$N$243),2),"")))</f>
        <v/>
      </c>
      <c r="G2157">
        <f>IF($C2157="","",IF(Registro_Compras!$F$243="NOTA DE CREDITO","Por la nota de credito "&amp;Registro_Compras!$C$243&amp;" de "&amp;Registro_Compras!$E$243&amp;" [PATRON POR CONFIRMAR CON CONTADOR]",IF(Registro_Compras!$F$243="RHE","Por el registro del recibo por honorarios "&amp;Registro_Compras!$C$243&amp;" de "&amp;Registro_Compras!$E$243&amp;" [PATRON POR CONFIRMAR CON CONTADOR]","Por el registro de la factura "&amp;Registro_Compras!$C$243&amp;" de "&amp;Registro_Compras!$E$243)))</f>
        <v/>
      </c>
      <c r="H2157">
        <f>IF($C2157="","",Registro_Compras!$C$243)</f>
        <v/>
      </c>
    </row>
    <row r="2158">
      <c r="A2158" s="25">
        <f>IF($C2158="","",Registro_Compras!$B$243)</f>
        <v/>
      </c>
      <c r="B2158">
        <f>IF($C2158="","","C"&amp;TEXT(INT((ROW()-5)/9)+1,"000")&amp;"-1")</f>
        <v/>
      </c>
      <c r="C2158">
        <f>IF(OR(Registro_Compras!$C$243="",Registro_Compras!$O$243=""),"",IF(Registro_Compras!$F$243="NOTA DE CREDITO",IF(Registro_Compras!$K$243=0,"","40111"),"4212"))</f>
        <v/>
      </c>
      <c r="D2158">
        <f>IF(OR(Registro_Compras!$C$243="",Registro_Compras!$O$243=""),"",IF(Registro_Compras!$F$243="NOTA DE CREDITO","IGV - Cuenta Propia (Credito Fiscal)","Cuentas por Pagar Comerciales - Terceros (Emitidas)"))</f>
        <v/>
      </c>
      <c r="E2158" s="20">
        <f>""</f>
        <v/>
      </c>
      <c r="F2158" s="20">
        <f>IF($C2158="","",IF(Registro_Compras!$F$243="NOTA DE CREDITO",ROUND(ABS(Registro_Compras!$K$243*Registro_Compras!$N$243),2),IF(Registro_Compras!$F$243="RHE",(ROUND(Registro_Compras!$L$243*Registro_Compras!$N$243,2)-ROUND(Registro_Compras!$V$243*Registro_Compras!$N$243,2)),Registro_Compras!$O$243)))</f>
        <v/>
      </c>
      <c r="G2158">
        <f>IF($C2158="","",IF(Registro_Compras!$F$243="NOTA DE CREDITO","Por la nota de credito "&amp;Registro_Compras!$C$243&amp;" de "&amp;Registro_Compras!$E$243&amp;" [PATRON POR CONFIRMAR CON CONTADOR]",IF(Registro_Compras!$F$243="RHE","Por el registro del recibo por honorarios "&amp;Registro_Compras!$C$243&amp;" de "&amp;Registro_Compras!$E$243&amp;" [PATRON POR CONFIRMAR CON CONTADOR]","Por el registro de la factura "&amp;Registro_Compras!$C$243&amp;" de "&amp;Registro_Compras!$E$243)))</f>
        <v/>
      </c>
      <c r="H2158">
        <f>IF($C2158="","",Registro_Compras!$C$243)</f>
        <v/>
      </c>
    </row>
    <row r="2159">
      <c r="A2159" s="25">
        <f>IF($C2159="","",Registro_Compras!$B$243)</f>
        <v/>
      </c>
      <c r="B2159">
        <f>IF($C2159="","","C"&amp;TEXT(INT((ROW()-5)/9)+1,"000")&amp;"-2")</f>
        <v/>
      </c>
      <c r="C2159">
        <f>IF(OR(Registro_Compras!$C$243="",Registro_Compras!$O$243=""),"",IF(Registro_Compras!$AB$243="ADMINISTRATIVO","94","95"))</f>
        <v/>
      </c>
      <c r="D2159">
        <f>IF(OR(Registro_Compras!$C$243="",Registro_Compras!$O$243=""),"",IF(Registro_Compras!$AB$243="ADMINISTRATIVO","Gastos Administrativos","Gastos de Venta y Operacion"))</f>
        <v/>
      </c>
      <c r="E2159" s="20">
        <f>IF($C2159="","",IF(Registro_Compras!$F$243="NOTA DE CREDITO","",IF(Registro_Compras!$F$243="RHE",ROUND(Registro_Compras!$L$243*Registro_Compras!$N$243,2),ROUND(Registro_Compras!$J$243*Registro_Compras!$N$243,2))))</f>
        <v/>
      </c>
      <c r="F2159" s="20">
        <f>IF($C2159="","",IF(Registro_Compras!$F$243="NOTA DE CREDITO",ROUND(ABS(Registro_Compras!$J$243*Registro_Compras!$N$243),2),""))</f>
        <v/>
      </c>
      <c r="G2159">
        <f>IF($C2159="","","Por el destino del gasto")</f>
        <v/>
      </c>
      <c r="H2159">
        <f>IF($C2159="","",Registro_Compras!$C$243)</f>
        <v/>
      </c>
    </row>
    <row r="2160">
      <c r="A2160" s="25">
        <f>IF($C2160="","",Registro_Compras!$B$243)</f>
        <v/>
      </c>
      <c r="B2160">
        <f>IF($C2160="","","C"&amp;TEXT(INT((ROW()-5)/9)+1,"000")&amp;"-2")</f>
        <v/>
      </c>
      <c r="C2160">
        <f>IF(OR(Registro_Compras!$C$243="",Registro_Compras!$O$243=""),"","79/791")</f>
        <v/>
      </c>
      <c r="D2160">
        <f>IF(OR(Registro_Compras!$C$243="",Registro_Compras!$O$243=""),"","Cargas Imputables a Cuentas de Costos y Gastos")</f>
        <v/>
      </c>
      <c r="E2160" s="20">
        <f>IF($C2160="","",IF(Registro_Compras!$F$243="NOTA DE CREDITO",ROUND(ABS(Registro_Compras!$J$243*Registro_Compras!$N$243),2),""))</f>
        <v/>
      </c>
      <c r="F2160" s="20">
        <f>IF($C2160="","",IF(Registro_Compras!$F$243="NOTA DE CREDITO","",IF(Registro_Compras!$F$243="RHE",ROUND(Registro_Compras!$L$243*Registro_Compras!$N$243,2),ROUND(Registro_Compras!$J$243*Registro_Compras!$N$243,2))))</f>
        <v/>
      </c>
      <c r="G2160">
        <f>IF($C2160="","","Por el destino del gasto")</f>
        <v/>
      </c>
      <c r="H2160">
        <f>IF($C2160="","",Registro_Compras!$C$243)</f>
        <v/>
      </c>
    </row>
    <row r="2161">
      <c r="A2161" s="25">
        <f>IF($C2161="","",Registro_Compras!$X$243)</f>
        <v/>
      </c>
      <c r="B2161">
        <f>IF($C2161="","","C"&amp;TEXT(INT((ROW()-5)/9)+1,"000")&amp;"-3")</f>
        <v/>
      </c>
      <c r="C2161">
        <f>IF(OR(Registro_Compras!$C$243="",Registro_Compras!$O$243="",Registro_Compras!$R$243&lt;&gt;"SI",Registro_Compras!$X$243=""),"","4212")</f>
        <v/>
      </c>
      <c r="D2161">
        <f>IF(OR(Registro_Compras!$C$243="",Registro_Compras!$O$243=""),"","Cuentas por Pagar Comerciales - Terceros")</f>
        <v/>
      </c>
      <c r="E2161" s="20">
        <f>IF($C2161="","",Registro_Compras!$S$243)</f>
        <v/>
      </c>
      <c r="F2161" s="20">
        <f>""</f>
        <v/>
      </c>
      <c r="G2161">
        <f>IF($C2161="","","Por el deposito de la detraccion en el Banco de la Nacion")</f>
        <v/>
      </c>
      <c r="H2161">
        <f>IF($C2161="","",Registro_Compras!$C$243)</f>
        <v/>
      </c>
    </row>
    <row r="2162">
      <c r="A2162" s="25">
        <f>IF($C2162="","",Registro_Compras!$X$243)</f>
        <v/>
      </c>
      <c r="B2162">
        <f>IF($C2162="","","C"&amp;TEXT(INT((ROW()-5)/9)+1,"000")&amp;"-3")</f>
        <v/>
      </c>
      <c r="C2162">
        <f>IF(OR(Registro_Compras!$C$243="",Registro_Compras!$O$243="",Registro_Compras!$R$243&lt;&gt;"SI",Registro_Compras!$X$243=""),"","10413")</f>
        <v/>
      </c>
      <c r="D2162">
        <f>IF(OR(Registro_Compras!$C$243="",Registro_Compras!$O$243=""),"","Efectivo y Equivalentes - Cta. Cte. Operativa")</f>
        <v/>
      </c>
      <c r="E2162" s="20">
        <f>""</f>
        <v/>
      </c>
      <c r="F2162" s="20">
        <f>IF($C2162="","",Registro_Compras!$S$243)</f>
        <v/>
      </c>
      <c r="G2162">
        <f>IF($C2162="","","Por el deposito de la detraccion en el Banco de la Nacion")</f>
        <v/>
      </c>
      <c r="H2162">
        <f>IF($C2162="","",Registro_Compras!$C$243)</f>
        <v/>
      </c>
    </row>
    <row r="2163">
      <c r="A2163" s="25">
        <f>IF($C2163="","",Registro_Compras!$Y$243)</f>
        <v/>
      </c>
      <c r="B2163">
        <f>IF($C2163="","","C"&amp;TEXT(INT((ROW()-5)/9)+1,"000")&amp;"-4")</f>
        <v/>
      </c>
      <c r="C2163">
        <f>IF(OR(Registro_Compras!$C$243="",Registro_Compras!$O$243="",Registro_Compras!$Y$243="",Registro_Compras!$F$243="NOTA DE CREDITO"),"","4212")</f>
        <v/>
      </c>
      <c r="D2163">
        <f>IF(OR(Registro_Compras!$C$243="",Registro_Compras!$O$243=""),"","Cuentas por Pagar Comerciales - Terceros")</f>
        <v/>
      </c>
      <c r="E2163" s="20">
        <f>IF($C2163="","",IF(Registro_Compras!$F$243="RHE",(ROUND(Registro_Compras!$L$243*Registro_Compras!$N$243,2)-ROUND(Registro_Compras!$V$243*Registro_Compras!$N$243,2)),ROUND(Registro_Compras!$O$243-Registro_Compras!$S$243,2)))</f>
        <v/>
      </c>
      <c r="F2163" s="20">
        <f>""</f>
        <v/>
      </c>
      <c r="G2163">
        <f>IF($C2163="","","Por la cancelacion del saldo al proveedor")</f>
        <v/>
      </c>
      <c r="H2163">
        <f>IF($C2163="","",Registro_Compras!$C$243)</f>
        <v/>
      </c>
    </row>
    <row r="2164">
      <c r="A2164" s="25">
        <f>IF($C2164="","",Registro_Compras!$Y$243)</f>
        <v/>
      </c>
      <c r="B2164">
        <f>IF($C2164="","","C"&amp;TEXT(INT((ROW()-5)/9)+1,"000")&amp;"-4")</f>
        <v/>
      </c>
      <c r="C2164">
        <f>IF(OR(Registro_Compras!$C$243="",Registro_Compras!$O$243="",Registro_Compras!$Y$243="",Registro_Compras!$F$243="NOTA DE CREDITO"),"","10413")</f>
        <v/>
      </c>
      <c r="D2164">
        <f>IF(OR(Registro_Compras!$C$243="",Registro_Compras!$O$243=""),"","Efectivo y Equivalentes - Cta. Cte. Operativa")</f>
        <v/>
      </c>
      <c r="E2164" s="20">
        <f>""</f>
        <v/>
      </c>
      <c r="F2164" s="20">
        <f>IF($C2164="","",IF(Registro_Compras!$F$243="RHE",(ROUND(Registro_Compras!$L$243*Registro_Compras!$N$243,2)-ROUND(Registro_Compras!$V$243*Registro_Compras!$N$243,2)),ROUND(Registro_Compras!$O$243-Registro_Compras!$S$243,2)))</f>
        <v/>
      </c>
      <c r="G2164">
        <f>IF($C2164="","","Por la cancelacion del saldo al proveedor")</f>
        <v/>
      </c>
      <c r="H2164">
        <f>IF($C2164="","",Registro_Compras!$C$243)</f>
        <v/>
      </c>
    </row>
    <row r="2165">
      <c r="A2165" s="25">
        <f>IF($C2165="","",Registro_Compras!$B$244)</f>
        <v/>
      </c>
      <c r="B2165">
        <f>IF($C2165="","","C"&amp;TEXT(INT((ROW()-5)/9)+1,"000")&amp;"-1")</f>
        <v/>
      </c>
      <c r="C2165">
        <f>IF(OR(Registro_Compras!$C$244="",Registro_Compras!$O$244=""),"",IF(Registro_Compras!$F$244="NOTA DE CREDITO","4212",IF(Registro_Compras!$M$244="","63",Registro_Compras!$M$244)))</f>
        <v/>
      </c>
      <c r="D2165">
        <f>IF(OR(Registro_Compras!$C$244="",Registro_Compras!$O$244=""),"",IF(Registro_Compras!$F$244="NOTA DE CREDITO","Cuentas por Pagar Comerciales - Terceros (Emitidas)",IF(Registro_Compras!$F$244="RHE","Honorarios Profesionales - Servicios de Terceros","Gastos de Servicios Prestados por Terceros")))</f>
        <v/>
      </c>
      <c r="E2165" s="20">
        <f>IF($C2165="","",IF(Registro_Compras!$F$244="NOTA DE CREDITO",ABS(Registro_Compras!$O$244),IF(Registro_Compras!$F$244="RHE",ROUND(Registro_Compras!$L$244*Registro_Compras!$N$244,2),ROUND(Registro_Compras!$J$244*Registro_Compras!$N$244,2))))</f>
        <v/>
      </c>
      <c r="F2165" s="20">
        <f>""</f>
        <v/>
      </c>
      <c r="G2165">
        <f>IF($C2165="","",IF(Registro_Compras!$F$244="NOTA DE CREDITO","Por la nota de credito "&amp;Registro_Compras!$C$244&amp;" de "&amp;Registro_Compras!$E$244&amp;" [PATRON POR CONFIRMAR CON CONTADOR]",IF(Registro_Compras!$F$244="RHE","Por el registro del recibo por honorarios "&amp;Registro_Compras!$C$244&amp;" de "&amp;Registro_Compras!$E$244&amp;" [PATRON POR CONFIRMAR CON CONTADOR]","Por el registro de la factura "&amp;Registro_Compras!$C$244&amp;" de "&amp;Registro_Compras!$E$244)))</f>
        <v/>
      </c>
      <c r="H2165">
        <f>IF($C2165="","",Registro_Compras!$C$244)</f>
        <v/>
      </c>
    </row>
    <row r="2166">
      <c r="A2166" s="25">
        <f>IF($C2166="","",Registro_Compras!$B$244)</f>
        <v/>
      </c>
      <c r="B2166">
        <f>IF($C2166="","","C"&amp;TEXT(INT((ROW()-5)/9)+1,"000")&amp;"-1")</f>
        <v/>
      </c>
      <c r="C2166">
        <f>IF(OR(Registro_Compras!$C$244="",Registro_Compras!$O$244=""),"",IF(Registro_Compras!$F$244="RHE",IF(Registro_Compras!$V$244=0,"","40172"),IF(Registro_Compras!$F$244="NOTA DE CREDITO",IF(Registro_Compras!$M$244="","63",Registro_Compras!$M$244),IF(Registro_Compras!$K$244=0,"","40111"))))</f>
        <v/>
      </c>
      <c r="D2166">
        <f>IF(OR(Registro_Compras!$C$244="",Registro_Compras!$O$244=""),"",IF(Registro_Compras!$F$244="RHE","Retencion Renta 4ta Categoria por Pagar",IF(Registro_Compras!$F$244="NOTA DE CREDITO","Gastos de Servicios Prestados por Terceros","IGV - Cuenta Propia (Credito Fiscal)")))</f>
        <v/>
      </c>
      <c r="E2166" s="20">
        <f>IF($C2166="","",IF(Registro_Compras!$F$244="FACTURA",ROUND(Registro_Compras!$K$244*Registro_Compras!$N$244,2),""))</f>
        <v/>
      </c>
      <c r="F2166" s="20">
        <f>IF($C2166="","",IF(Registro_Compras!$F$244="RHE",ROUND(Registro_Compras!$V$244*Registro_Compras!$N$244,2),IF(Registro_Compras!$F$244="NOTA DE CREDITO",ROUND(ABS(Registro_Compras!$J$244*Registro_Compras!$N$244),2),"")))</f>
        <v/>
      </c>
      <c r="G2166">
        <f>IF($C2166="","",IF(Registro_Compras!$F$244="NOTA DE CREDITO","Por la nota de credito "&amp;Registro_Compras!$C$244&amp;" de "&amp;Registro_Compras!$E$244&amp;" [PATRON POR CONFIRMAR CON CONTADOR]",IF(Registro_Compras!$F$244="RHE","Por el registro del recibo por honorarios "&amp;Registro_Compras!$C$244&amp;" de "&amp;Registro_Compras!$E$244&amp;" [PATRON POR CONFIRMAR CON CONTADOR]","Por el registro de la factura "&amp;Registro_Compras!$C$244&amp;" de "&amp;Registro_Compras!$E$244)))</f>
        <v/>
      </c>
      <c r="H2166">
        <f>IF($C2166="","",Registro_Compras!$C$244)</f>
        <v/>
      </c>
    </row>
    <row r="2167">
      <c r="A2167" s="25">
        <f>IF($C2167="","",Registro_Compras!$B$244)</f>
        <v/>
      </c>
      <c r="B2167">
        <f>IF($C2167="","","C"&amp;TEXT(INT((ROW()-5)/9)+1,"000")&amp;"-1")</f>
        <v/>
      </c>
      <c r="C2167">
        <f>IF(OR(Registro_Compras!$C$244="",Registro_Compras!$O$244=""),"",IF(Registro_Compras!$F$244="NOTA DE CREDITO",IF(Registro_Compras!$K$244=0,"","40111"),"4212"))</f>
        <v/>
      </c>
      <c r="D2167">
        <f>IF(OR(Registro_Compras!$C$244="",Registro_Compras!$O$244=""),"",IF(Registro_Compras!$F$244="NOTA DE CREDITO","IGV - Cuenta Propia (Credito Fiscal)","Cuentas por Pagar Comerciales - Terceros (Emitidas)"))</f>
        <v/>
      </c>
      <c r="E2167" s="20">
        <f>""</f>
        <v/>
      </c>
      <c r="F2167" s="20">
        <f>IF($C2167="","",IF(Registro_Compras!$F$244="NOTA DE CREDITO",ROUND(ABS(Registro_Compras!$K$244*Registro_Compras!$N$244),2),IF(Registro_Compras!$F$244="RHE",(ROUND(Registro_Compras!$L$244*Registro_Compras!$N$244,2)-ROUND(Registro_Compras!$V$244*Registro_Compras!$N$244,2)),Registro_Compras!$O$244)))</f>
        <v/>
      </c>
      <c r="G2167">
        <f>IF($C2167="","",IF(Registro_Compras!$F$244="NOTA DE CREDITO","Por la nota de credito "&amp;Registro_Compras!$C$244&amp;" de "&amp;Registro_Compras!$E$244&amp;" [PATRON POR CONFIRMAR CON CONTADOR]",IF(Registro_Compras!$F$244="RHE","Por el registro del recibo por honorarios "&amp;Registro_Compras!$C$244&amp;" de "&amp;Registro_Compras!$E$244&amp;" [PATRON POR CONFIRMAR CON CONTADOR]","Por el registro de la factura "&amp;Registro_Compras!$C$244&amp;" de "&amp;Registro_Compras!$E$244)))</f>
        <v/>
      </c>
      <c r="H2167">
        <f>IF($C2167="","",Registro_Compras!$C$244)</f>
        <v/>
      </c>
    </row>
    <row r="2168">
      <c r="A2168" s="25">
        <f>IF($C2168="","",Registro_Compras!$B$244)</f>
        <v/>
      </c>
      <c r="B2168">
        <f>IF($C2168="","","C"&amp;TEXT(INT((ROW()-5)/9)+1,"000")&amp;"-2")</f>
        <v/>
      </c>
      <c r="C2168">
        <f>IF(OR(Registro_Compras!$C$244="",Registro_Compras!$O$244=""),"",IF(Registro_Compras!$AB$244="ADMINISTRATIVO","94","95"))</f>
        <v/>
      </c>
      <c r="D2168">
        <f>IF(OR(Registro_Compras!$C$244="",Registro_Compras!$O$244=""),"",IF(Registro_Compras!$AB$244="ADMINISTRATIVO","Gastos Administrativos","Gastos de Venta y Operacion"))</f>
        <v/>
      </c>
      <c r="E2168" s="20">
        <f>IF($C2168="","",IF(Registro_Compras!$F$244="NOTA DE CREDITO","",IF(Registro_Compras!$F$244="RHE",ROUND(Registro_Compras!$L$244*Registro_Compras!$N$244,2),ROUND(Registro_Compras!$J$244*Registro_Compras!$N$244,2))))</f>
        <v/>
      </c>
      <c r="F2168" s="20">
        <f>IF($C2168="","",IF(Registro_Compras!$F$244="NOTA DE CREDITO",ROUND(ABS(Registro_Compras!$J$244*Registro_Compras!$N$244),2),""))</f>
        <v/>
      </c>
      <c r="G2168">
        <f>IF($C2168="","","Por el destino del gasto")</f>
        <v/>
      </c>
      <c r="H2168">
        <f>IF($C2168="","",Registro_Compras!$C$244)</f>
        <v/>
      </c>
    </row>
    <row r="2169">
      <c r="A2169" s="25">
        <f>IF($C2169="","",Registro_Compras!$B$244)</f>
        <v/>
      </c>
      <c r="B2169">
        <f>IF($C2169="","","C"&amp;TEXT(INT((ROW()-5)/9)+1,"000")&amp;"-2")</f>
        <v/>
      </c>
      <c r="C2169">
        <f>IF(OR(Registro_Compras!$C$244="",Registro_Compras!$O$244=""),"","79/791")</f>
        <v/>
      </c>
      <c r="D2169">
        <f>IF(OR(Registro_Compras!$C$244="",Registro_Compras!$O$244=""),"","Cargas Imputables a Cuentas de Costos y Gastos")</f>
        <v/>
      </c>
      <c r="E2169" s="20">
        <f>IF($C2169="","",IF(Registro_Compras!$F$244="NOTA DE CREDITO",ROUND(ABS(Registro_Compras!$J$244*Registro_Compras!$N$244),2),""))</f>
        <v/>
      </c>
      <c r="F2169" s="20">
        <f>IF($C2169="","",IF(Registro_Compras!$F$244="NOTA DE CREDITO","",IF(Registro_Compras!$F$244="RHE",ROUND(Registro_Compras!$L$244*Registro_Compras!$N$244,2),ROUND(Registro_Compras!$J$244*Registro_Compras!$N$244,2))))</f>
        <v/>
      </c>
      <c r="G2169">
        <f>IF($C2169="","","Por el destino del gasto")</f>
        <v/>
      </c>
      <c r="H2169">
        <f>IF($C2169="","",Registro_Compras!$C$244)</f>
        <v/>
      </c>
    </row>
    <row r="2170">
      <c r="A2170" s="25">
        <f>IF($C2170="","",Registro_Compras!$X$244)</f>
        <v/>
      </c>
      <c r="B2170">
        <f>IF($C2170="","","C"&amp;TEXT(INT((ROW()-5)/9)+1,"000")&amp;"-3")</f>
        <v/>
      </c>
      <c r="C2170">
        <f>IF(OR(Registro_Compras!$C$244="",Registro_Compras!$O$244="",Registro_Compras!$R$244&lt;&gt;"SI",Registro_Compras!$X$244=""),"","4212")</f>
        <v/>
      </c>
      <c r="D2170">
        <f>IF(OR(Registro_Compras!$C$244="",Registro_Compras!$O$244=""),"","Cuentas por Pagar Comerciales - Terceros")</f>
        <v/>
      </c>
      <c r="E2170" s="20">
        <f>IF($C2170="","",Registro_Compras!$S$244)</f>
        <v/>
      </c>
      <c r="F2170" s="20">
        <f>""</f>
        <v/>
      </c>
      <c r="G2170">
        <f>IF($C2170="","","Por el deposito de la detraccion en el Banco de la Nacion")</f>
        <v/>
      </c>
      <c r="H2170">
        <f>IF($C2170="","",Registro_Compras!$C$244)</f>
        <v/>
      </c>
    </row>
    <row r="2171">
      <c r="A2171" s="25">
        <f>IF($C2171="","",Registro_Compras!$X$244)</f>
        <v/>
      </c>
      <c r="B2171">
        <f>IF($C2171="","","C"&amp;TEXT(INT((ROW()-5)/9)+1,"000")&amp;"-3")</f>
        <v/>
      </c>
      <c r="C2171">
        <f>IF(OR(Registro_Compras!$C$244="",Registro_Compras!$O$244="",Registro_Compras!$R$244&lt;&gt;"SI",Registro_Compras!$X$244=""),"","10413")</f>
        <v/>
      </c>
      <c r="D2171">
        <f>IF(OR(Registro_Compras!$C$244="",Registro_Compras!$O$244=""),"","Efectivo y Equivalentes - Cta. Cte. Operativa")</f>
        <v/>
      </c>
      <c r="E2171" s="20">
        <f>""</f>
        <v/>
      </c>
      <c r="F2171" s="20">
        <f>IF($C2171="","",Registro_Compras!$S$244)</f>
        <v/>
      </c>
      <c r="G2171">
        <f>IF($C2171="","","Por el deposito de la detraccion en el Banco de la Nacion")</f>
        <v/>
      </c>
      <c r="H2171">
        <f>IF($C2171="","",Registro_Compras!$C$244)</f>
        <v/>
      </c>
    </row>
    <row r="2172">
      <c r="A2172" s="25">
        <f>IF($C2172="","",Registro_Compras!$Y$244)</f>
        <v/>
      </c>
      <c r="B2172">
        <f>IF($C2172="","","C"&amp;TEXT(INT((ROW()-5)/9)+1,"000")&amp;"-4")</f>
        <v/>
      </c>
      <c r="C2172">
        <f>IF(OR(Registro_Compras!$C$244="",Registro_Compras!$O$244="",Registro_Compras!$Y$244="",Registro_Compras!$F$244="NOTA DE CREDITO"),"","4212")</f>
        <v/>
      </c>
      <c r="D2172">
        <f>IF(OR(Registro_Compras!$C$244="",Registro_Compras!$O$244=""),"","Cuentas por Pagar Comerciales - Terceros")</f>
        <v/>
      </c>
      <c r="E2172" s="20">
        <f>IF($C2172="","",IF(Registro_Compras!$F$244="RHE",(ROUND(Registro_Compras!$L$244*Registro_Compras!$N$244,2)-ROUND(Registro_Compras!$V$244*Registro_Compras!$N$244,2)),ROUND(Registro_Compras!$O$244-Registro_Compras!$S$244,2)))</f>
        <v/>
      </c>
      <c r="F2172" s="20">
        <f>""</f>
        <v/>
      </c>
      <c r="G2172">
        <f>IF($C2172="","","Por la cancelacion del saldo al proveedor")</f>
        <v/>
      </c>
      <c r="H2172">
        <f>IF($C2172="","",Registro_Compras!$C$244)</f>
        <v/>
      </c>
    </row>
    <row r="2173">
      <c r="A2173" s="25">
        <f>IF($C2173="","",Registro_Compras!$Y$244)</f>
        <v/>
      </c>
      <c r="B2173">
        <f>IF($C2173="","","C"&amp;TEXT(INT((ROW()-5)/9)+1,"000")&amp;"-4")</f>
        <v/>
      </c>
      <c r="C2173">
        <f>IF(OR(Registro_Compras!$C$244="",Registro_Compras!$O$244="",Registro_Compras!$Y$244="",Registro_Compras!$F$244="NOTA DE CREDITO"),"","10413")</f>
        <v/>
      </c>
      <c r="D2173">
        <f>IF(OR(Registro_Compras!$C$244="",Registro_Compras!$O$244=""),"","Efectivo y Equivalentes - Cta. Cte. Operativa")</f>
        <v/>
      </c>
      <c r="E2173" s="20">
        <f>""</f>
        <v/>
      </c>
      <c r="F2173" s="20">
        <f>IF($C2173="","",IF(Registro_Compras!$F$244="RHE",(ROUND(Registro_Compras!$L$244*Registro_Compras!$N$244,2)-ROUND(Registro_Compras!$V$244*Registro_Compras!$N$244,2)),ROUND(Registro_Compras!$O$244-Registro_Compras!$S$244,2)))</f>
        <v/>
      </c>
      <c r="G2173">
        <f>IF($C2173="","","Por la cancelacion del saldo al proveedor")</f>
        <v/>
      </c>
      <c r="H2173">
        <f>IF($C2173="","",Registro_Compras!$C$244)</f>
        <v/>
      </c>
    </row>
    <row r="2174">
      <c r="A2174" s="25">
        <f>IF($C2174="","",Registro_Compras!$B$245)</f>
        <v/>
      </c>
      <c r="B2174">
        <f>IF($C2174="","","C"&amp;TEXT(INT((ROW()-5)/9)+1,"000")&amp;"-1")</f>
        <v/>
      </c>
      <c r="C2174">
        <f>IF(OR(Registro_Compras!$C$245="",Registro_Compras!$O$245=""),"",IF(Registro_Compras!$F$245="NOTA DE CREDITO","4212",IF(Registro_Compras!$M$245="","63",Registro_Compras!$M$245)))</f>
        <v/>
      </c>
      <c r="D2174">
        <f>IF(OR(Registro_Compras!$C$245="",Registro_Compras!$O$245=""),"",IF(Registro_Compras!$F$245="NOTA DE CREDITO","Cuentas por Pagar Comerciales - Terceros (Emitidas)",IF(Registro_Compras!$F$245="RHE","Honorarios Profesionales - Servicios de Terceros","Gastos de Servicios Prestados por Terceros")))</f>
        <v/>
      </c>
      <c r="E2174" s="20">
        <f>IF($C2174="","",IF(Registro_Compras!$F$245="NOTA DE CREDITO",ABS(Registro_Compras!$O$245),IF(Registro_Compras!$F$245="RHE",ROUND(Registro_Compras!$L$245*Registro_Compras!$N$245,2),ROUND(Registro_Compras!$J$245*Registro_Compras!$N$245,2))))</f>
        <v/>
      </c>
      <c r="F2174" s="20">
        <f>""</f>
        <v/>
      </c>
      <c r="G2174">
        <f>IF($C2174="","",IF(Registro_Compras!$F$245="NOTA DE CREDITO","Por la nota de credito "&amp;Registro_Compras!$C$245&amp;" de "&amp;Registro_Compras!$E$245&amp;" [PATRON POR CONFIRMAR CON CONTADOR]",IF(Registro_Compras!$F$245="RHE","Por el registro del recibo por honorarios "&amp;Registro_Compras!$C$245&amp;" de "&amp;Registro_Compras!$E$245&amp;" [PATRON POR CONFIRMAR CON CONTADOR]","Por el registro de la factura "&amp;Registro_Compras!$C$245&amp;" de "&amp;Registro_Compras!$E$245)))</f>
        <v/>
      </c>
      <c r="H2174">
        <f>IF($C2174="","",Registro_Compras!$C$245)</f>
        <v/>
      </c>
    </row>
    <row r="2175">
      <c r="A2175" s="25">
        <f>IF($C2175="","",Registro_Compras!$B$245)</f>
        <v/>
      </c>
      <c r="B2175">
        <f>IF($C2175="","","C"&amp;TEXT(INT((ROW()-5)/9)+1,"000")&amp;"-1")</f>
        <v/>
      </c>
      <c r="C2175">
        <f>IF(OR(Registro_Compras!$C$245="",Registro_Compras!$O$245=""),"",IF(Registro_Compras!$F$245="RHE",IF(Registro_Compras!$V$245=0,"","40172"),IF(Registro_Compras!$F$245="NOTA DE CREDITO",IF(Registro_Compras!$M$245="","63",Registro_Compras!$M$245),IF(Registro_Compras!$K$245=0,"","40111"))))</f>
        <v/>
      </c>
      <c r="D2175">
        <f>IF(OR(Registro_Compras!$C$245="",Registro_Compras!$O$245=""),"",IF(Registro_Compras!$F$245="RHE","Retencion Renta 4ta Categoria por Pagar",IF(Registro_Compras!$F$245="NOTA DE CREDITO","Gastos de Servicios Prestados por Terceros","IGV - Cuenta Propia (Credito Fiscal)")))</f>
        <v/>
      </c>
      <c r="E2175" s="20">
        <f>IF($C2175="","",IF(Registro_Compras!$F$245="FACTURA",ROUND(Registro_Compras!$K$245*Registro_Compras!$N$245,2),""))</f>
        <v/>
      </c>
      <c r="F2175" s="20">
        <f>IF($C2175="","",IF(Registro_Compras!$F$245="RHE",ROUND(Registro_Compras!$V$245*Registro_Compras!$N$245,2),IF(Registro_Compras!$F$245="NOTA DE CREDITO",ROUND(ABS(Registro_Compras!$J$245*Registro_Compras!$N$245),2),"")))</f>
        <v/>
      </c>
      <c r="G2175">
        <f>IF($C2175="","",IF(Registro_Compras!$F$245="NOTA DE CREDITO","Por la nota de credito "&amp;Registro_Compras!$C$245&amp;" de "&amp;Registro_Compras!$E$245&amp;" [PATRON POR CONFIRMAR CON CONTADOR]",IF(Registro_Compras!$F$245="RHE","Por el registro del recibo por honorarios "&amp;Registro_Compras!$C$245&amp;" de "&amp;Registro_Compras!$E$245&amp;" [PATRON POR CONFIRMAR CON CONTADOR]","Por el registro de la factura "&amp;Registro_Compras!$C$245&amp;" de "&amp;Registro_Compras!$E$245)))</f>
        <v/>
      </c>
      <c r="H2175">
        <f>IF($C2175="","",Registro_Compras!$C$245)</f>
        <v/>
      </c>
    </row>
    <row r="2176">
      <c r="A2176" s="25">
        <f>IF($C2176="","",Registro_Compras!$B$245)</f>
        <v/>
      </c>
      <c r="B2176">
        <f>IF($C2176="","","C"&amp;TEXT(INT((ROW()-5)/9)+1,"000")&amp;"-1")</f>
        <v/>
      </c>
      <c r="C2176">
        <f>IF(OR(Registro_Compras!$C$245="",Registro_Compras!$O$245=""),"",IF(Registro_Compras!$F$245="NOTA DE CREDITO",IF(Registro_Compras!$K$245=0,"","40111"),"4212"))</f>
        <v/>
      </c>
      <c r="D2176">
        <f>IF(OR(Registro_Compras!$C$245="",Registro_Compras!$O$245=""),"",IF(Registro_Compras!$F$245="NOTA DE CREDITO","IGV - Cuenta Propia (Credito Fiscal)","Cuentas por Pagar Comerciales - Terceros (Emitidas)"))</f>
        <v/>
      </c>
      <c r="E2176" s="20">
        <f>""</f>
        <v/>
      </c>
      <c r="F2176" s="20">
        <f>IF($C2176="","",IF(Registro_Compras!$F$245="NOTA DE CREDITO",ROUND(ABS(Registro_Compras!$K$245*Registro_Compras!$N$245),2),IF(Registro_Compras!$F$245="RHE",(ROUND(Registro_Compras!$L$245*Registro_Compras!$N$245,2)-ROUND(Registro_Compras!$V$245*Registro_Compras!$N$245,2)),Registro_Compras!$O$245)))</f>
        <v/>
      </c>
      <c r="G2176">
        <f>IF($C2176="","",IF(Registro_Compras!$F$245="NOTA DE CREDITO","Por la nota de credito "&amp;Registro_Compras!$C$245&amp;" de "&amp;Registro_Compras!$E$245&amp;" [PATRON POR CONFIRMAR CON CONTADOR]",IF(Registro_Compras!$F$245="RHE","Por el registro del recibo por honorarios "&amp;Registro_Compras!$C$245&amp;" de "&amp;Registro_Compras!$E$245&amp;" [PATRON POR CONFIRMAR CON CONTADOR]","Por el registro de la factura "&amp;Registro_Compras!$C$245&amp;" de "&amp;Registro_Compras!$E$245)))</f>
        <v/>
      </c>
      <c r="H2176">
        <f>IF($C2176="","",Registro_Compras!$C$245)</f>
        <v/>
      </c>
    </row>
    <row r="2177">
      <c r="A2177" s="25">
        <f>IF($C2177="","",Registro_Compras!$B$245)</f>
        <v/>
      </c>
      <c r="B2177">
        <f>IF($C2177="","","C"&amp;TEXT(INT((ROW()-5)/9)+1,"000")&amp;"-2")</f>
        <v/>
      </c>
      <c r="C2177">
        <f>IF(OR(Registro_Compras!$C$245="",Registro_Compras!$O$245=""),"",IF(Registro_Compras!$AB$245="ADMINISTRATIVO","94","95"))</f>
        <v/>
      </c>
      <c r="D2177">
        <f>IF(OR(Registro_Compras!$C$245="",Registro_Compras!$O$245=""),"",IF(Registro_Compras!$AB$245="ADMINISTRATIVO","Gastos Administrativos","Gastos de Venta y Operacion"))</f>
        <v/>
      </c>
      <c r="E2177" s="20">
        <f>IF($C2177="","",IF(Registro_Compras!$F$245="NOTA DE CREDITO","",IF(Registro_Compras!$F$245="RHE",ROUND(Registro_Compras!$L$245*Registro_Compras!$N$245,2),ROUND(Registro_Compras!$J$245*Registro_Compras!$N$245,2))))</f>
        <v/>
      </c>
      <c r="F2177" s="20">
        <f>IF($C2177="","",IF(Registro_Compras!$F$245="NOTA DE CREDITO",ROUND(ABS(Registro_Compras!$J$245*Registro_Compras!$N$245),2),""))</f>
        <v/>
      </c>
      <c r="G2177">
        <f>IF($C2177="","","Por el destino del gasto")</f>
        <v/>
      </c>
      <c r="H2177">
        <f>IF($C2177="","",Registro_Compras!$C$245)</f>
        <v/>
      </c>
    </row>
    <row r="2178">
      <c r="A2178" s="25">
        <f>IF($C2178="","",Registro_Compras!$B$245)</f>
        <v/>
      </c>
      <c r="B2178">
        <f>IF($C2178="","","C"&amp;TEXT(INT((ROW()-5)/9)+1,"000")&amp;"-2")</f>
        <v/>
      </c>
      <c r="C2178">
        <f>IF(OR(Registro_Compras!$C$245="",Registro_Compras!$O$245=""),"","79/791")</f>
        <v/>
      </c>
      <c r="D2178">
        <f>IF(OR(Registro_Compras!$C$245="",Registro_Compras!$O$245=""),"","Cargas Imputables a Cuentas de Costos y Gastos")</f>
        <v/>
      </c>
      <c r="E2178" s="20">
        <f>IF($C2178="","",IF(Registro_Compras!$F$245="NOTA DE CREDITO",ROUND(ABS(Registro_Compras!$J$245*Registro_Compras!$N$245),2),""))</f>
        <v/>
      </c>
      <c r="F2178" s="20">
        <f>IF($C2178="","",IF(Registro_Compras!$F$245="NOTA DE CREDITO","",IF(Registro_Compras!$F$245="RHE",ROUND(Registro_Compras!$L$245*Registro_Compras!$N$245,2),ROUND(Registro_Compras!$J$245*Registro_Compras!$N$245,2))))</f>
        <v/>
      </c>
      <c r="G2178">
        <f>IF($C2178="","","Por el destino del gasto")</f>
        <v/>
      </c>
      <c r="H2178">
        <f>IF($C2178="","",Registro_Compras!$C$245)</f>
        <v/>
      </c>
    </row>
    <row r="2179">
      <c r="A2179" s="25">
        <f>IF($C2179="","",Registro_Compras!$X$245)</f>
        <v/>
      </c>
      <c r="B2179">
        <f>IF($C2179="","","C"&amp;TEXT(INT((ROW()-5)/9)+1,"000")&amp;"-3")</f>
        <v/>
      </c>
      <c r="C2179">
        <f>IF(OR(Registro_Compras!$C$245="",Registro_Compras!$O$245="",Registro_Compras!$R$245&lt;&gt;"SI",Registro_Compras!$X$245=""),"","4212")</f>
        <v/>
      </c>
      <c r="D2179">
        <f>IF(OR(Registro_Compras!$C$245="",Registro_Compras!$O$245=""),"","Cuentas por Pagar Comerciales - Terceros")</f>
        <v/>
      </c>
      <c r="E2179" s="20">
        <f>IF($C2179="","",Registro_Compras!$S$245)</f>
        <v/>
      </c>
      <c r="F2179" s="20">
        <f>""</f>
        <v/>
      </c>
      <c r="G2179">
        <f>IF($C2179="","","Por el deposito de la detraccion en el Banco de la Nacion")</f>
        <v/>
      </c>
      <c r="H2179">
        <f>IF($C2179="","",Registro_Compras!$C$245)</f>
        <v/>
      </c>
    </row>
    <row r="2180">
      <c r="A2180" s="25">
        <f>IF($C2180="","",Registro_Compras!$X$245)</f>
        <v/>
      </c>
      <c r="B2180">
        <f>IF($C2180="","","C"&amp;TEXT(INT((ROW()-5)/9)+1,"000")&amp;"-3")</f>
        <v/>
      </c>
      <c r="C2180">
        <f>IF(OR(Registro_Compras!$C$245="",Registro_Compras!$O$245="",Registro_Compras!$R$245&lt;&gt;"SI",Registro_Compras!$X$245=""),"","10413")</f>
        <v/>
      </c>
      <c r="D2180">
        <f>IF(OR(Registro_Compras!$C$245="",Registro_Compras!$O$245=""),"","Efectivo y Equivalentes - Cta. Cte. Operativa")</f>
        <v/>
      </c>
      <c r="E2180" s="20">
        <f>""</f>
        <v/>
      </c>
      <c r="F2180" s="20">
        <f>IF($C2180="","",Registro_Compras!$S$245)</f>
        <v/>
      </c>
      <c r="G2180">
        <f>IF($C2180="","","Por el deposito de la detraccion en el Banco de la Nacion")</f>
        <v/>
      </c>
      <c r="H2180">
        <f>IF($C2180="","",Registro_Compras!$C$245)</f>
        <v/>
      </c>
    </row>
    <row r="2181">
      <c r="A2181" s="25">
        <f>IF($C2181="","",Registro_Compras!$Y$245)</f>
        <v/>
      </c>
      <c r="B2181">
        <f>IF($C2181="","","C"&amp;TEXT(INT((ROW()-5)/9)+1,"000")&amp;"-4")</f>
        <v/>
      </c>
      <c r="C2181">
        <f>IF(OR(Registro_Compras!$C$245="",Registro_Compras!$O$245="",Registro_Compras!$Y$245="",Registro_Compras!$F$245="NOTA DE CREDITO"),"","4212")</f>
        <v/>
      </c>
      <c r="D2181">
        <f>IF(OR(Registro_Compras!$C$245="",Registro_Compras!$O$245=""),"","Cuentas por Pagar Comerciales - Terceros")</f>
        <v/>
      </c>
      <c r="E2181" s="20">
        <f>IF($C2181="","",IF(Registro_Compras!$F$245="RHE",(ROUND(Registro_Compras!$L$245*Registro_Compras!$N$245,2)-ROUND(Registro_Compras!$V$245*Registro_Compras!$N$245,2)),ROUND(Registro_Compras!$O$245-Registro_Compras!$S$245,2)))</f>
        <v/>
      </c>
      <c r="F2181" s="20">
        <f>""</f>
        <v/>
      </c>
      <c r="G2181">
        <f>IF($C2181="","","Por la cancelacion del saldo al proveedor")</f>
        <v/>
      </c>
      <c r="H2181">
        <f>IF($C2181="","",Registro_Compras!$C$245)</f>
        <v/>
      </c>
    </row>
    <row r="2182">
      <c r="A2182" s="25">
        <f>IF($C2182="","",Registro_Compras!$Y$245)</f>
        <v/>
      </c>
      <c r="B2182">
        <f>IF($C2182="","","C"&amp;TEXT(INT((ROW()-5)/9)+1,"000")&amp;"-4")</f>
        <v/>
      </c>
      <c r="C2182">
        <f>IF(OR(Registro_Compras!$C$245="",Registro_Compras!$O$245="",Registro_Compras!$Y$245="",Registro_Compras!$F$245="NOTA DE CREDITO"),"","10413")</f>
        <v/>
      </c>
      <c r="D2182">
        <f>IF(OR(Registro_Compras!$C$245="",Registro_Compras!$O$245=""),"","Efectivo y Equivalentes - Cta. Cte. Operativa")</f>
        <v/>
      </c>
      <c r="E2182" s="20">
        <f>""</f>
        <v/>
      </c>
      <c r="F2182" s="20">
        <f>IF($C2182="","",IF(Registro_Compras!$F$245="RHE",(ROUND(Registro_Compras!$L$245*Registro_Compras!$N$245,2)-ROUND(Registro_Compras!$V$245*Registro_Compras!$N$245,2)),ROUND(Registro_Compras!$O$245-Registro_Compras!$S$245,2)))</f>
        <v/>
      </c>
      <c r="G2182">
        <f>IF($C2182="","","Por la cancelacion del saldo al proveedor")</f>
        <v/>
      </c>
      <c r="H2182">
        <f>IF($C2182="","",Registro_Compras!$C$245)</f>
        <v/>
      </c>
    </row>
    <row r="2183">
      <c r="A2183" s="25">
        <f>IF($C2183="","",Registro_Compras!$B$246)</f>
        <v/>
      </c>
      <c r="B2183">
        <f>IF($C2183="","","C"&amp;TEXT(INT((ROW()-5)/9)+1,"000")&amp;"-1")</f>
        <v/>
      </c>
      <c r="C2183">
        <f>IF(OR(Registro_Compras!$C$246="",Registro_Compras!$O$246=""),"",IF(Registro_Compras!$F$246="NOTA DE CREDITO","4212",IF(Registro_Compras!$M$246="","63",Registro_Compras!$M$246)))</f>
        <v/>
      </c>
      <c r="D2183">
        <f>IF(OR(Registro_Compras!$C$246="",Registro_Compras!$O$246=""),"",IF(Registro_Compras!$F$246="NOTA DE CREDITO","Cuentas por Pagar Comerciales - Terceros (Emitidas)",IF(Registro_Compras!$F$246="RHE","Honorarios Profesionales - Servicios de Terceros","Gastos de Servicios Prestados por Terceros")))</f>
        <v/>
      </c>
      <c r="E2183" s="20">
        <f>IF($C2183="","",IF(Registro_Compras!$F$246="NOTA DE CREDITO",ABS(Registro_Compras!$O$246),IF(Registro_Compras!$F$246="RHE",ROUND(Registro_Compras!$L$246*Registro_Compras!$N$246,2),ROUND(Registro_Compras!$J$246*Registro_Compras!$N$246,2))))</f>
        <v/>
      </c>
      <c r="F2183" s="20">
        <f>""</f>
        <v/>
      </c>
      <c r="G2183">
        <f>IF($C2183="","",IF(Registro_Compras!$F$246="NOTA DE CREDITO","Por la nota de credito "&amp;Registro_Compras!$C$246&amp;" de "&amp;Registro_Compras!$E$246&amp;" [PATRON POR CONFIRMAR CON CONTADOR]",IF(Registro_Compras!$F$246="RHE","Por el registro del recibo por honorarios "&amp;Registro_Compras!$C$246&amp;" de "&amp;Registro_Compras!$E$246&amp;" [PATRON POR CONFIRMAR CON CONTADOR]","Por el registro de la factura "&amp;Registro_Compras!$C$246&amp;" de "&amp;Registro_Compras!$E$246)))</f>
        <v/>
      </c>
      <c r="H2183">
        <f>IF($C2183="","",Registro_Compras!$C$246)</f>
        <v/>
      </c>
    </row>
    <row r="2184">
      <c r="A2184" s="25">
        <f>IF($C2184="","",Registro_Compras!$B$246)</f>
        <v/>
      </c>
      <c r="B2184">
        <f>IF($C2184="","","C"&amp;TEXT(INT((ROW()-5)/9)+1,"000")&amp;"-1")</f>
        <v/>
      </c>
      <c r="C2184">
        <f>IF(OR(Registro_Compras!$C$246="",Registro_Compras!$O$246=""),"",IF(Registro_Compras!$F$246="RHE",IF(Registro_Compras!$V$246=0,"","40172"),IF(Registro_Compras!$F$246="NOTA DE CREDITO",IF(Registro_Compras!$M$246="","63",Registro_Compras!$M$246),IF(Registro_Compras!$K$246=0,"","40111"))))</f>
        <v/>
      </c>
      <c r="D2184">
        <f>IF(OR(Registro_Compras!$C$246="",Registro_Compras!$O$246=""),"",IF(Registro_Compras!$F$246="RHE","Retencion Renta 4ta Categoria por Pagar",IF(Registro_Compras!$F$246="NOTA DE CREDITO","Gastos de Servicios Prestados por Terceros","IGV - Cuenta Propia (Credito Fiscal)")))</f>
        <v/>
      </c>
      <c r="E2184" s="20">
        <f>IF($C2184="","",IF(Registro_Compras!$F$246="FACTURA",ROUND(Registro_Compras!$K$246*Registro_Compras!$N$246,2),""))</f>
        <v/>
      </c>
      <c r="F2184" s="20">
        <f>IF($C2184="","",IF(Registro_Compras!$F$246="RHE",ROUND(Registro_Compras!$V$246*Registro_Compras!$N$246,2),IF(Registro_Compras!$F$246="NOTA DE CREDITO",ROUND(ABS(Registro_Compras!$J$246*Registro_Compras!$N$246),2),"")))</f>
        <v/>
      </c>
      <c r="G2184">
        <f>IF($C2184="","",IF(Registro_Compras!$F$246="NOTA DE CREDITO","Por la nota de credito "&amp;Registro_Compras!$C$246&amp;" de "&amp;Registro_Compras!$E$246&amp;" [PATRON POR CONFIRMAR CON CONTADOR]",IF(Registro_Compras!$F$246="RHE","Por el registro del recibo por honorarios "&amp;Registro_Compras!$C$246&amp;" de "&amp;Registro_Compras!$E$246&amp;" [PATRON POR CONFIRMAR CON CONTADOR]","Por el registro de la factura "&amp;Registro_Compras!$C$246&amp;" de "&amp;Registro_Compras!$E$246)))</f>
        <v/>
      </c>
      <c r="H2184">
        <f>IF($C2184="","",Registro_Compras!$C$246)</f>
        <v/>
      </c>
    </row>
    <row r="2185">
      <c r="A2185" s="25">
        <f>IF($C2185="","",Registro_Compras!$B$246)</f>
        <v/>
      </c>
      <c r="B2185">
        <f>IF($C2185="","","C"&amp;TEXT(INT((ROW()-5)/9)+1,"000")&amp;"-1")</f>
        <v/>
      </c>
      <c r="C2185">
        <f>IF(OR(Registro_Compras!$C$246="",Registro_Compras!$O$246=""),"",IF(Registro_Compras!$F$246="NOTA DE CREDITO",IF(Registro_Compras!$K$246=0,"","40111"),"4212"))</f>
        <v/>
      </c>
      <c r="D2185">
        <f>IF(OR(Registro_Compras!$C$246="",Registro_Compras!$O$246=""),"",IF(Registro_Compras!$F$246="NOTA DE CREDITO","IGV - Cuenta Propia (Credito Fiscal)","Cuentas por Pagar Comerciales - Terceros (Emitidas)"))</f>
        <v/>
      </c>
      <c r="E2185" s="20">
        <f>""</f>
        <v/>
      </c>
      <c r="F2185" s="20">
        <f>IF($C2185="","",IF(Registro_Compras!$F$246="NOTA DE CREDITO",ROUND(ABS(Registro_Compras!$K$246*Registro_Compras!$N$246),2),IF(Registro_Compras!$F$246="RHE",(ROUND(Registro_Compras!$L$246*Registro_Compras!$N$246,2)-ROUND(Registro_Compras!$V$246*Registro_Compras!$N$246,2)),Registro_Compras!$O$246)))</f>
        <v/>
      </c>
      <c r="G2185">
        <f>IF($C2185="","",IF(Registro_Compras!$F$246="NOTA DE CREDITO","Por la nota de credito "&amp;Registro_Compras!$C$246&amp;" de "&amp;Registro_Compras!$E$246&amp;" [PATRON POR CONFIRMAR CON CONTADOR]",IF(Registro_Compras!$F$246="RHE","Por el registro del recibo por honorarios "&amp;Registro_Compras!$C$246&amp;" de "&amp;Registro_Compras!$E$246&amp;" [PATRON POR CONFIRMAR CON CONTADOR]","Por el registro de la factura "&amp;Registro_Compras!$C$246&amp;" de "&amp;Registro_Compras!$E$246)))</f>
        <v/>
      </c>
      <c r="H2185">
        <f>IF($C2185="","",Registro_Compras!$C$246)</f>
        <v/>
      </c>
    </row>
    <row r="2186">
      <c r="A2186" s="25">
        <f>IF($C2186="","",Registro_Compras!$B$246)</f>
        <v/>
      </c>
      <c r="B2186">
        <f>IF($C2186="","","C"&amp;TEXT(INT((ROW()-5)/9)+1,"000")&amp;"-2")</f>
        <v/>
      </c>
      <c r="C2186">
        <f>IF(OR(Registro_Compras!$C$246="",Registro_Compras!$O$246=""),"",IF(Registro_Compras!$AB$246="ADMINISTRATIVO","94","95"))</f>
        <v/>
      </c>
      <c r="D2186">
        <f>IF(OR(Registro_Compras!$C$246="",Registro_Compras!$O$246=""),"",IF(Registro_Compras!$AB$246="ADMINISTRATIVO","Gastos Administrativos","Gastos de Venta y Operacion"))</f>
        <v/>
      </c>
      <c r="E2186" s="20">
        <f>IF($C2186="","",IF(Registro_Compras!$F$246="NOTA DE CREDITO","",IF(Registro_Compras!$F$246="RHE",ROUND(Registro_Compras!$L$246*Registro_Compras!$N$246,2),ROUND(Registro_Compras!$J$246*Registro_Compras!$N$246,2))))</f>
        <v/>
      </c>
      <c r="F2186" s="20">
        <f>IF($C2186="","",IF(Registro_Compras!$F$246="NOTA DE CREDITO",ROUND(ABS(Registro_Compras!$J$246*Registro_Compras!$N$246),2),""))</f>
        <v/>
      </c>
      <c r="G2186">
        <f>IF($C2186="","","Por el destino del gasto")</f>
        <v/>
      </c>
      <c r="H2186">
        <f>IF($C2186="","",Registro_Compras!$C$246)</f>
        <v/>
      </c>
    </row>
    <row r="2187">
      <c r="A2187" s="25">
        <f>IF($C2187="","",Registro_Compras!$B$246)</f>
        <v/>
      </c>
      <c r="B2187">
        <f>IF($C2187="","","C"&amp;TEXT(INT((ROW()-5)/9)+1,"000")&amp;"-2")</f>
        <v/>
      </c>
      <c r="C2187">
        <f>IF(OR(Registro_Compras!$C$246="",Registro_Compras!$O$246=""),"","79/791")</f>
        <v/>
      </c>
      <c r="D2187">
        <f>IF(OR(Registro_Compras!$C$246="",Registro_Compras!$O$246=""),"","Cargas Imputables a Cuentas de Costos y Gastos")</f>
        <v/>
      </c>
      <c r="E2187" s="20">
        <f>IF($C2187="","",IF(Registro_Compras!$F$246="NOTA DE CREDITO",ROUND(ABS(Registro_Compras!$J$246*Registro_Compras!$N$246),2),""))</f>
        <v/>
      </c>
      <c r="F2187" s="20">
        <f>IF($C2187="","",IF(Registro_Compras!$F$246="NOTA DE CREDITO","",IF(Registro_Compras!$F$246="RHE",ROUND(Registro_Compras!$L$246*Registro_Compras!$N$246,2),ROUND(Registro_Compras!$J$246*Registro_Compras!$N$246,2))))</f>
        <v/>
      </c>
      <c r="G2187">
        <f>IF($C2187="","","Por el destino del gasto")</f>
        <v/>
      </c>
      <c r="H2187">
        <f>IF($C2187="","",Registro_Compras!$C$246)</f>
        <v/>
      </c>
    </row>
    <row r="2188">
      <c r="A2188" s="25">
        <f>IF($C2188="","",Registro_Compras!$X$246)</f>
        <v/>
      </c>
      <c r="B2188">
        <f>IF($C2188="","","C"&amp;TEXT(INT((ROW()-5)/9)+1,"000")&amp;"-3")</f>
        <v/>
      </c>
      <c r="C2188">
        <f>IF(OR(Registro_Compras!$C$246="",Registro_Compras!$O$246="",Registro_Compras!$R$246&lt;&gt;"SI",Registro_Compras!$X$246=""),"","4212")</f>
        <v/>
      </c>
      <c r="D2188">
        <f>IF(OR(Registro_Compras!$C$246="",Registro_Compras!$O$246=""),"","Cuentas por Pagar Comerciales - Terceros")</f>
        <v/>
      </c>
      <c r="E2188" s="20">
        <f>IF($C2188="","",Registro_Compras!$S$246)</f>
        <v/>
      </c>
      <c r="F2188" s="20">
        <f>""</f>
        <v/>
      </c>
      <c r="G2188">
        <f>IF($C2188="","","Por el deposito de la detraccion en el Banco de la Nacion")</f>
        <v/>
      </c>
      <c r="H2188">
        <f>IF($C2188="","",Registro_Compras!$C$246)</f>
        <v/>
      </c>
    </row>
    <row r="2189">
      <c r="A2189" s="25">
        <f>IF($C2189="","",Registro_Compras!$X$246)</f>
        <v/>
      </c>
      <c r="B2189">
        <f>IF($C2189="","","C"&amp;TEXT(INT((ROW()-5)/9)+1,"000")&amp;"-3")</f>
        <v/>
      </c>
      <c r="C2189">
        <f>IF(OR(Registro_Compras!$C$246="",Registro_Compras!$O$246="",Registro_Compras!$R$246&lt;&gt;"SI",Registro_Compras!$X$246=""),"","10413")</f>
        <v/>
      </c>
      <c r="D2189">
        <f>IF(OR(Registro_Compras!$C$246="",Registro_Compras!$O$246=""),"","Efectivo y Equivalentes - Cta. Cte. Operativa")</f>
        <v/>
      </c>
      <c r="E2189" s="20">
        <f>""</f>
        <v/>
      </c>
      <c r="F2189" s="20">
        <f>IF($C2189="","",Registro_Compras!$S$246)</f>
        <v/>
      </c>
      <c r="G2189">
        <f>IF($C2189="","","Por el deposito de la detraccion en el Banco de la Nacion")</f>
        <v/>
      </c>
      <c r="H2189">
        <f>IF($C2189="","",Registro_Compras!$C$246)</f>
        <v/>
      </c>
    </row>
    <row r="2190">
      <c r="A2190" s="25">
        <f>IF($C2190="","",Registro_Compras!$Y$246)</f>
        <v/>
      </c>
      <c r="B2190">
        <f>IF($C2190="","","C"&amp;TEXT(INT((ROW()-5)/9)+1,"000")&amp;"-4")</f>
        <v/>
      </c>
      <c r="C2190">
        <f>IF(OR(Registro_Compras!$C$246="",Registro_Compras!$O$246="",Registro_Compras!$Y$246="",Registro_Compras!$F$246="NOTA DE CREDITO"),"","4212")</f>
        <v/>
      </c>
      <c r="D2190">
        <f>IF(OR(Registro_Compras!$C$246="",Registro_Compras!$O$246=""),"","Cuentas por Pagar Comerciales - Terceros")</f>
        <v/>
      </c>
      <c r="E2190" s="20">
        <f>IF($C2190="","",IF(Registro_Compras!$F$246="RHE",(ROUND(Registro_Compras!$L$246*Registro_Compras!$N$246,2)-ROUND(Registro_Compras!$V$246*Registro_Compras!$N$246,2)),ROUND(Registro_Compras!$O$246-Registro_Compras!$S$246,2)))</f>
        <v/>
      </c>
      <c r="F2190" s="20">
        <f>""</f>
        <v/>
      </c>
      <c r="G2190">
        <f>IF($C2190="","","Por la cancelacion del saldo al proveedor")</f>
        <v/>
      </c>
      <c r="H2190">
        <f>IF($C2190="","",Registro_Compras!$C$246)</f>
        <v/>
      </c>
    </row>
    <row r="2191">
      <c r="A2191" s="25">
        <f>IF($C2191="","",Registro_Compras!$Y$246)</f>
        <v/>
      </c>
      <c r="B2191">
        <f>IF($C2191="","","C"&amp;TEXT(INT((ROW()-5)/9)+1,"000")&amp;"-4")</f>
        <v/>
      </c>
      <c r="C2191">
        <f>IF(OR(Registro_Compras!$C$246="",Registro_Compras!$O$246="",Registro_Compras!$Y$246="",Registro_Compras!$F$246="NOTA DE CREDITO"),"","10413")</f>
        <v/>
      </c>
      <c r="D2191">
        <f>IF(OR(Registro_Compras!$C$246="",Registro_Compras!$O$246=""),"","Efectivo y Equivalentes - Cta. Cte. Operativa")</f>
        <v/>
      </c>
      <c r="E2191" s="20">
        <f>""</f>
        <v/>
      </c>
      <c r="F2191" s="20">
        <f>IF($C2191="","",IF(Registro_Compras!$F$246="RHE",(ROUND(Registro_Compras!$L$246*Registro_Compras!$N$246,2)-ROUND(Registro_Compras!$V$246*Registro_Compras!$N$246,2)),ROUND(Registro_Compras!$O$246-Registro_Compras!$S$246,2)))</f>
        <v/>
      </c>
      <c r="G2191">
        <f>IF($C2191="","","Por la cancelacion del saldo al proveedor")</f>
        <v/>
      </c>
      <c r="H2191">
        <f>IF($C2191="","",Registro_Compras!$C$246)</f>
        <v/>
      </c>
    </row>
    <row r="2192">
      <c r="A2192" s="25">
        <f>IF($C2192="","",Registro_Compras!$B$247)</f>
        <v/>
      </c>
      <c r="B2192">
        <f>IF($C2192="","","C"&amp;TEXT(INT((ROW()-5)/9)+1,"000")&amp;"-1")</f>
        <v/>
      </c>
      <c r="C2192">
        <f>IF(OR(Registro_Compras!$C$247="",Registro_Compras!$O$247=""),"",IF(Registro_Compras!$F$247="NOTA DE CREDITO","4212",IF(Registro_Compras!$M$247="","63",Registro_Compras!$M$247)))</f>
        <v/>
      </c>
      <c r="D2192">
        <f>IF(OR(Registro_Compras!$C$247="",Registro_Compras!$O$247=""),"",IF(Registro_Compras!$F$247="NOTA DE CREDITO","Cuentas por Pagar Comerciales - Terceros (Emitidas)",IF(Registro_Compras!$F$247="RHE","Honorarios Profesionales - Servicios de Terceros","Gastos de Servicios Prestados por Terceros")))</f>
        <v/>
      </c>
      <c r="E2192" s="20">
        <f>IF($C2192="","",IF(Registro_Compras!$F$247="NOTA DE CREDITO",ABS(Registro_Compras!$O$247),IF(Registro_Compras!$F$247="RHE",ROUND(Registro_Compras!$L$247*Registro_Compras!$N$247,2),ROUND(Registro_Compras!$J$247*Registro_Compras!$N$247,2))))</f>
        <v/>
      </c>
      <c r="F2192" s="20">
        <f>""</f>
        <v/>
      </c>
      <c r="G2192">
        <f>IF($C2192="","",IF(Registro_Compras!$F$247="NOTA DE CREDITO","Por la nota de credito "&amp;Registro_Compras!$C$247&amp;" de "&amp;Registro_Compras!$E$247&amp;" [PATRON POR CONFIRMAR CON CONTADOR]",IF(Registro_Compras!$F$247="RHE","Por el registro del recibo por honorarios "&amp;Registro_Compras!$C$247&amp;" de "&amp;Registro_Compras!$E$247&amp;" [PATRON POR CONFIRMAR CON CONTADOR]","Por el registro de la factura "&amp;Registro_Compras!$C$247&amp;" de "&amp;Registro_Compras!$E$247)))</f>
        <v/>
      </c>
      <c r="H2192">
        <f>IF($C2192="","",Registro_Compras!$C$247)</f>
        <v/>
      </c>
    </row>
    <row r="2193">
      <c r="A2193" s="25">
        <f>IF($C2193="","",Registro_Compras!$B$247)</f>
        <v/>
      </c>
      <c r="B2193">
        <f>IF($C2193="","","C"&amp;TEXT(INT((ROW()-5)/9)+1,"000")&amp;"-1")</f>
        <v/>
      </c>
      <c r="C2193">
        <f>IF(OR(Registro_Compras!$C$247="",Registro_Compras!$O$247=""),"",IF(Registro_Compras!$F$247="RHE",IF(Registro_Compras!$V$247=0,"","40172"),IF(Registro_Compras!$F$247="NOTA DE CREDITO",IF(Registro_Compras!$M$247="","63",Registro_Compras!$M$247),IF(Registro_Compras!$K$247=0,"","40111"))))</f>
        <v/>
      </c>
      <c r="D2193">
        <f>IF(OR(Registro_Compras!$C$247="",Registro_Compras!$O$247=""),"",IF(Registro_Compras!$F$247="RHE","Retencion Renta 4ta Categoria por Pagar",IF(Registro_Compras!$F$247="NOTA DE CREDITO","Gastos de Servicios Prestados por Terceros","IGV - Cuenta Propia (Credito Fiscal)")))</f>
        <v/>
      </c>
      <c r="E2193" s="20">
        <f>IF($C2193="","",IF(Registro_Compras!$F$247="FACTURA",ROUND(Registro_Compras!$K$247*Registro_Compras!$N$247,2),""))</f>
        <v/>
      </c>
      <c r="F2193" s="20">
        <f>IF($C2193="","",IF(Registro_Compras!$F$247="RHE",ROUND(Registro_Compras!$V$247*Registro_Compras!$N$247,2),IF(Registro_Compras!$F$247="NOTA DE CREDITO",ROUND(ABS(Registro_Compras!$J$247*Registro_Compras!$N$247),2),"")))</f>
        <v/>
      </c>
      <c r="G2193">
        <f>IF($C2193="","",IF(Registro_Compras!$F$247="NOTA DE CREDITO","Por la nota de credito "&amp;Registro_Compras!$C$247&amp;" de "&amp;Registro_Compras!$E$247&amp;" [PATRON POR CONFIRMAR CON CONTADOR]",IF(Registro_Compras!$F$247="RHE","Por el registro del recibo por honorarios "&amp;Registro_Compras!$C$247&amp;" de "&amp;Registro_Compras!$E$247&amp;" [PATRON POR CONFIRMAR CON CONTADOR]","Por el registro de la factura "&amp;Registro_Compras!$C$247&amp;" de "&amp;Registro_Compras!$E$247)))</f>
        <v/>
      </c>
      <c r="H2193">
        <f>IF($C2193="","",Registro_Compras!$C$247)</f>
        <v/>
      </c>
    </row>
    <row r="2194">
      <c r="A2194" s="25">
        <f>IF($C2194="","",Registro_Compras!$B$247)</f>
        <v/>
      </c>
      <c r="B2194">
        <f>IF($C2194="","","C"&amp;TEXT(INT((ROW()-5)/9)+1,"000")&amp;"-1")</f>
        <v/>
      </c>
      <c r="C2194">
        <f>IF(OR(Registro_Compras!$C$247="",Registro_Compras!$O$247=""),"",IF(Registro_Compras!$F$247="NOTA DE CREDITO",IF(Registro_Compras!$K$247=0,"","40111"),"4212"))</f>
        <v/>
      </c>
      <c r="D2194">
        <f>IF(OR(Registro_Compras!$C$247="",Registro_Compras!$O$247=""),"",IF(Registro_Compras!$F$247="NOTA DE CREDITO","IGV - Cuenta Propia (Credito Fiscal)","Cuentas por Pagar Comerciales - Terceros (Emitidas)"))</f>
        <v/>
      </c>
      <c r="E2194" s="20">
        <f>""</f>
        <v/>
      </c>
      <c r="F2194" s="20">
        <f>IF($C2194="","",IF(Registro_Compras!$F$247="NOTA DE CREDITO",ROUND(ABS(Registro_Compras!$K$247*Registro_Compras!$N$247),2),IF(Registro_Compras!$F$247="RHE",(ROUND(Registro_Compras!$L$247*Registro_Compras!$N$247,2)-ROUND(Registro_Compras!$V$247*Registro_Compras!$N$247,2)),Registro_Compras!$O$247)))</f>
        <v/>
      </c>
      <c r="G2194">
        <f>IF($C2194="","",IF(Registro_Compras!$F$247="NOTA DE CREDITO","Por la nota de credito "&amp;Registro_Compras!$C$247&amp;" de "&amp;Registro_Compras!$E$247&amp;" [PATRON POR CONFIRMAR CON CONTADOR]",IF(Registro_Compras!$F$247="RHE","Por el registro del recibo por honorarios "&amp;Registro_Compras!$C$247&amp;" de "&amp;Registro_Compras!$E$247&amp;" [PATRON POR CONFIRMAR CON CONTADOR]","Por el registro de la factura "&amp;Registro_Compras!$C$247&amp;" de "&amp;Registro_Compras!$E$247)))</f>
        <v/>
      </c>
      <c r="H2194">
        <f>IF($C2194="","",Registro_Compras!$C$247)</f>
        <v/>
      </c>
    </row>
    <row r="2195">
      <c r="A2195" s="25">
        <f>IF($C2195="","",Registro_Compras!$B$247)</f>
        <v/>
      </c>
      <c r="B2195">
        <f>IF($C2195="","","C"&amp;TEXT(INT((ROW()-5)/9)+1,"000")&amp;"-2")</f>
        <v/>
      </c>
      <c r="C2195">
        <f>IF(OR(Registro_Compras!$C$247="",Registro_Compras!$O$247=""),"",IF(Registro_Compras!$AB$247="ADMINISTRATIVO","94","95"))</f>
        <v/>
      </c>
      <c r="D2195">
        <f>IF(OR(Registro_Compras!$C$247="",Registro_Compras!$O$247=""),"",IF(Registro_Compras!$AB$247="ADMINISTRATIVO","Gastos Administrativos","Gastos de Venta y Operacion"))</f>
        <v/>
      </c>
      <c r="E2195" s="20">
        <f>IF($C2195="","",IF(Registro_Compras!$F$247="NOTA DE CREDITO","",IF(Registro_Compras!$F$247="RHE",ROUND(Registro_Compras!$L$247*Registro_Compras!$N$247,2),ROUND(Registro_Compras!$J$247*Registro_Compras!$N$247,2))))</f>
        <v/>
      </c>
      <c r="F2195" s="20">
        <f>IF($C2195="","",IF(Registro_Compras!$F$247="NOTA DE CREDITO",ROUND(ABS(Registro_Compras!$J$247*Registro_Compras!$N$247),2),""))</f>
        <v/>
      </c>
      <c r="G2195">
        <f>IF($C2195="","","Por el destino del gasto")</f>
        <v/>
      </c>
      <c r="H2195">
        <f>IF($C2195="","",Registro_Compras!$C$247)</f>
        <v/>
      </c>
    </row>
    <row r="2196">
      <c r="A2196" s="25">
        <f>IF($C2196="","",Registro_Compras!$B$247)</f>
        <v/>
      </c>
      <c r="B2196">
        <f>IF($C2196="","","C"&amp;TEXT(INT((ROW()-5)/9)+1,"000")&amp;"-2")</f>
        <v/>
      </c>
      <c r="C2196">
        <f>IF(OR(Registro_Compras!$C$247="",Registro_Compras!$O$247=""),"","79/791")</f>
        <v/>
      </c>
      <c r="D2196">
        <f>IF(OR(Registro_Compras!$C$247="",Registro_Compras!$O$247=""),"","Cargas Imputables a Cuentas de Costos y Gastos")</f>
        <v/>
      </c>
      <c r="E2196" s="20">
        <f>IF($C2196="","",IF(Registro_Compras!$F$247="NOTA DE CREDITO",ROUND(ABS(Registro_Compras!$J$247*Registro_Compras!$N$247),2),""))</f>
        <v/>
      </c>
      <c r="F2196" s="20">
        <f>IF($C2196="","",IF(Registro_Compras!$F$247="NOTA DE CREDITO","",IF(Registro_Compras!$F$247="RHE",ROUND(Registro_Compras!$L$247*Registro_Compras!$N$247,2),ROUND(Registro_Compras!$J$247*Registro_Compras!$N$247,2))))</f>
        <v/>
      </c>
      <c r="G2196">
        <f>IF($C2196="","","Por el destino del gasto")</f>
        <v/>
      </c>
      <c r="H2196">
        <f>IF($C2196="","",Registro_Compras!$C$247)</f>
        <v/>
      </c>
    </row>
    <row r="2197">
      <c r="A2197" s="25">
        <f>IF($C2197="","",Registro_Compras!$X$247)</f>
        <v/>
      </c>
      <c r="B2197">
        <f>IF($C2197="","","C"&amp;TEXT(INT((ROW()-5)/9)+1,"000")&amp;"-3")</f>
        <v/>
      </c>
      <c r="C2197">
        <f>IF(OR(Registro_Compras!$C$247="",Registro_Compras!$O$247="",Registro_Compras!$R$247&lt;&gt;"SI",Registro_Compras!$X$247=""),"","4212")</f>
        <v/>
      </c>
      <c r="D2197">
        <f>IF(OR(Registro_Compras!$C$247="",Registro_Compras!$O$247=""),"","Cuentas por Pagar Comerciales - Terceros")</f>
        <v/>
      </c>
      <c r="E2197" s="20">
        <f>IF($C2197="","",Registro_Compras!$S$247)</f>
        <v/>
      </c>
      <c r="F2197" s="20">
        <f>""</f>
        <v/>
      </c>
      <c r="G2197">
        <f>IF($C2197="","","Por el deposito de la detraccion en el Banco de la Nacion")</f>
        <v/>
      </c>
      <c r="H2197">
        <f>IF($C2197="","",Registro_Compras!$C$247)</f>
        <v/>
      </c>
    </row>
    <row r="2198">
      <c r="A2198" s="25">
        <f>IF($C2198="","",Registro_Compras!$X$247)</f>
        <v/>
      </c>
      <c r="B2198">
        <f>IF($C2198="","","C"&amp;TEXT(INT((ROW()-5)/9)+1,"000")&amp;"-3")</f>
        <v/>
      </c>
      <c r="C2198">
        <f>IF(OR(Registro_Compras!$C$247="",Registro_Compras!$O$247="",Registro_Compras!$R$247&lt;&gt;"SI",Registro_Compras!$X$247=""),"","10413")</f>
        <v/>
      </c>
      <c r="D2198">
        <f>IF(OR(Registro_Compras!$C$247="",Registro_Compras!$O$247=""),"","Efectivo y Equivalentes - Cta. Cte. Operativa")</f>
        <v/>
      </c>
      <c r="E2198" s="20">
        <f>""</f>
        <v/>
      </c>
      <c r="F2198" s="20">
        <f>IF($C2198="","",Registro_Compras!$S$247)</f>
        <v/>
      </c>
      <c r="G2198">
        <f>IF($C2198="","","Por el deposito de la detraccion en el Banco de la Nacion")</f>
        <v/>
      </c>
      <c r="H2198">
        <f>IF($C2198="","",Registro_Compras!$C$247)</f>
        <v/>
      </c>
    </row>
    <row r="2199">
      <c r="A2199" s="25">
        <f>IF($C2199="","",Registro_Compras!$Y$247)</f>
        <v/>
      </c>
      <c r="B2199">
        <f>IF($C2199="","","C"&amp;TEXT(INT((ROW()-5)/9)+1,"000")&amp;"-4")</f>
        <v/>
      </c>
      <c r="C2199">
        <f>IF(OR(Registro_Compras!$C$247="",Registro_Compras!$O$247="",Registro_Compras!$Y$247="",Registro_Compras!$F$247="NOTA DE CREDITO"),"","4212")</f>
        <v/>
      </c>
      <c r="D2199">
        <f>IF(OR(Registro_Compras!$C$247="",Registro_Compras!$O$247=""),"","Cuentas por Pagar Comerciales - Terceros")</f>
        <v/>
      </c>
      <c r="E2199" s="20">
        <f>IF($C2199="","",IF(Registro_Compras!$F$247="RHE",(ROUND(Registro_Compras!$L$247*Registro_Compras!$N$247,2)-ROUND(Registro_Compras!$V$247*Registro_Compras!$N$247,2)),ROUND(Registro_Compras!$O$247-Registro_Compras!$S$247,2)))</f>
        <v/>
      </c>
      <c r="F2199" s="20">
        <f>""</f>
        <v/>
      </c>
      <c r="G2199">
        <f>IF($C2199="","","Por la cancelacion del saldo al proveedor")</f>
        <v/>
      </c>
      <c r="H2199">
        <f>IF($C2199="","",Registro_Compras!$C$247)</f>
        <v/>
      </c>
    </row>
    <row r="2200">
      <c r="A2200" s="25">
        <f>IF($C2200="","",Registro_Compras!$Y$247)</f>
        <v/>
      </c>
      <c r="B2200">
        <f>IF($C2200="","","C"&amp;TEXT(INT((ROW()-5)/9)+1,"000")&amp;"-4")</f>
        <v/>
      </c>
      <c r="C2200">
        <f>IF(OR(Registro_Compras!$C$247="",Registro_Compras!$O$247="",Registro_Compras!$Y$247="",Registro_Compras!$F$247="NOTA DE CREDITO"),"","10413")</f>
        <v/>
      </c>
      <c r="D2200">
        <f>IF(OR(Registro_Compras!$C$247="",Registro_Compras!$O$247=""),"","Efectivo y Equivalentes - Cta. Cte. Operativa")</f>
        <v/>
      </c>
      <c r="E2200" s="20">
        <f>""</f>
        <v/>
      </c>
      <c r="F2200" s="20">
        <f>IF($C2200="","",IF(Registro_Compras!$F$247="RHE",(ROUND(Registro_Compras!$L$247*Registro_Compras!$N$247,2)-ROUND(Registro_Compras!$V$247*Registro_Compras!$N$247,2)),ROUND(Registro_Compras!$O$247-Registro_Compras!$S$247,2)))</f>
        <v/>
      </c>
      <c r="G2200">
        <f>IF($C2200="","","Por la cancelacion del saldo al proveedor")</f>
        <v/>
      </c>
      <c r="H2200">
        <f>IF($C2200="","",Registro_Compras!$C$247)</f>
        <v/>
      </c>
    </row>
    <row r="2201">
      <c r="A2201" s="25">
        <f>IF($C2201="","",Registro_Compras!$B$248)</f>
        <v/>
      </c>
      <c r="B2201">
        <f>IF($C2201="","","C"&amp;TEXT(INT((ROW()-5)/9)+1,"000")&amp;"-1")</f>
        <v/>
      </c>
      <c r="C2201">
        <f>IF(OR(Registro_Compras!$C$248="",Registro_Compras!$O$248=""),"",IF(Registro_Compras!$F$248="NOTA DE CREDITO","4212",IF(Registro_Compras!$M$248="","63",Registro_Compras!$M$248)))</f>
        <v/>
      </c>
      <c r="D2201">
        <f>IF(OR(Registro_Compras!$C$248="",Registro_Compras!$O$248=""),"",IF(Registro_Compras!$F$248="NOTA DE CREDITO","Cuentas por Pagar Comerciales - Terceros (Emitidas)",IF(Registro_Compras!$F$248="RHE","Honorarios Profesionales - Servicios de Terceros","Gastos de Servicios Prestados por Terceros")))</f>
        <v/>
      </c>
      <c r="E2201" s="20">
        <f>IF($C2201="","",IF(Registro_Compras!$F$248="NOTA DE CREDITO",ABS(Registro_Compras!$O$248),IF(Registro_Compras!$F$248="RHE",ROUND(Registro_Compras!$L$248*Registro_Compras!$N$248,2),ROUND(Registro_Compras!$J$248*Registro_Compras!$N$248,2))))</f>
        <v/>
      </c>
      <c r="F2201" s="20">
        <f>""</f>
        <v/>
      </c>
      <c r="G2201">
        <f>IF($C2201="","",IF(Registro_Compras!$F$248="NOTA DE CREDITO","Por la nota de credito "&amp;Registro_Compras!$C$248&amp;" de "&amp;Registro_Compras!$E$248&amp;" [PATRON POR CONFIRMAR CON CONTADOR]",IF(Registro_Compras!$F$248="RHE","Por el registro del recibo por honorarios "&amp;Registro_Compras!$C$248&amp;" de "&amp;Registro_Compras!$E$248&amp;" [PATRON POR CONFIRMAR CON CONTADOR]","Por el registro de la factura "&amp;Registro_Compras!$C$248&amp;" de "&amp;Registro_Compras!$E$248)))</f>
        <v/>
      </c>
      <c r="H2201">
        <f>IF($C2201="","",Registro_Compras!$C$248)</f>
        <v/>
      </c>
    </row>
    <row r="2202">
      <c r="A2202" s="25">
        <f>IF($C2202="","",Registro_Compras!$B$248)</f>
        <v/>
      </c>
      <c r="B2202">
        <f>IF($C2202="","","C"&amp;TEXT(INT((ROW()-5)/9)+1,"000")&amp;"-1")</f>
        <v/>
      </c>
      <c r="C2202">
        <f>IF(OR(Registro_Compras!$C$248="",Registro_Compras!$O$248=""),"",IF(Registro_Compras!$F$248="RHE",IF(Registro_Compras!$V$248=0,"","40172"),IF(Registro_Compras!$F$248="NOTA DE CREDITO",IF(Registro_Compras!$M$248="","63",Registro_Compras!$M$248),IF(Registro_Compras!$K$248=0,"","40111"))))</f>
        <v/>
      </c>
      <c r="D2202">
        <f>IF(OR(Registro_Compras!$C$248="",Registro_Compras!$O$248=""),"",IF(Registro_Compras!$F$248="RHE","Retencion Renta 4ta Categoria por Pagar",IF(Registro_Compras!$F$248="NOTA DE CREDITO","Gastos de Servicios Prestados por Terceros","IGV - Cuenta Propia (Credito Fiscal)")))</f>
        <v/>
      </c>
      <c r="E2202" s="20">
        <f>IF($C2202="","",IF(Registro_Compras!$F$248="FACTURA",ROUND(Registro_Compras!$K$248*Registro_Compras!$N$248,2),""))</f>
        <v/>
      </c>
      <c r="F2202" s="20">
        <f>IF($C2202="","",IF(Registro_Compras!$F$248="RHE",ROUND(Registro_Compras!$V$248*Registro_Compras!$N$248,2),IF(Registro_Compras!$F$248="NOTA DE CREDITO",ROUND(ABS(Registro_Compras!$J$248*Registro_Compras!$N$248),2),"")))</f>
        <v/>
      </c>
      <c r="G2202">
        <f>IF($C2202="","",IF(Registro_Compras!$F$248="NOTA DE CREDITO","Por la nota de credito "&amp;Registro_Compras!$C$248&amp;" de "&amp;Registro_Compras!$E$248&amp;" [PATRON POR CONFIRMAR CON CONTADOR]",IF(Registro_Compras!$F$248="RHE","Por el registro del recibo por honorarios "&amp;Registro_Compras!$C$248&amp;" de "&amp;Registro_Compras!$E$248&amp;" [PATRON POR CONFIRMAR CON CONTADOR]","Por el registro de la factura "&amp;Registro_Compras!$C$248&amp;" de "&amp;Registro_Compras!$E$248)))</f>
        <v/>
      </c>
      <c r="H2202">
        <f>IF($C2202="","",Registro_Compras!$C$248)</f>
        <v/>
      </c>
    </row>
    <row r="2203">
      <c r="A2203" s="25">
        <f>IF($C2203="","",Registro_Compras!$B$248)</f>
        <v/>
      </c>
      <c r="B2203">
        <f>IF($C2203="","","C"&amp;TEXT(INT((ROW()-5)/9)+1,"000")&amp;"-1")</f>
        <v/>
      </c>
      <c r="C2203">
        <f>IF(OR(Registro_Compras!$C$248="",Registro_Compras!$O$248=""),"",IF(Registro_Compras!$F$248="NOTA DE CREDITO",IF(Registro_Compras!$K$248=0,"","40111"),"4212"))</f>
        <v/>
      </c>
      <c r="D2203">
        <f>IF(OR(Registro_Compras!$C$248="",Registro_Compras!$O$248=""),"",IF(Registro_Compras!$F$248="NOTA DE CREDITO","IGV - Cuenta Propia (Credito Fiscal)","Cuentas por Pagar Comerciales - Terceros (Emitidas)"))</f>
        <v/>
      </c>
      <c r="E2203" s="20">
        <f>""</f>
        <v/>
      </c>
      <c r="F2203" s="20">
        <f>IF($C2203="","",IF(Registro_Compras!$F$248="NOTA DE CREDITO",ROUND(ABS(Registro_Compras!$K$248*Registro_Compras!$N$248),2),IF(Registro_Compras!$F$248="RHE",(ROUND(Registro_Compras!$L$248*Registro_Compras!$N$248,2)-ROUND(Registro_Compras!$V$248*Registro_Compras!$N$248,2)),Registro_Compras!$O$248)))</f>
        <v/>
      </c>
      <c r="G2203">
        <f>IF($C2203="","",IF(Registro_Compras!$F$248="NOTA DE CREDITO","Por la nota de credito "&amp;Registro_Compras!$C$248&amp;" de "&amp;Registro_Compras!$E$248&amp;" [PATRON POR CONFIRMAR CON CONTADOR]",IF(Registro_Compras!$F$248="RHE","Por el registro del recibo por honorarios "&amp;Registro_Compras!$C$248&amp;" de "&amp;Registro_Compras!$E$248&amp;" [PATRON POR CONFIRMAR CON CONTADOR]","Por el registro de la factura "&amp;Registro_Compras!$C$248&amp;" de "&amp;Registro_Compras!$E$248)))</f>
        <v/>
      </c>
      <c r="H2203">
        <f>IF($C2203="","",Registro_Compras!$C$248)</f>
        <v/>
      </c>
    </row>
    <row r="2204">
      <c r="A2204" s="25">
        <f>IF($C2204="","",Registro_Compras!$B$248)</f>
        <v/>
      </c>
      <c r="B2204">
        <f>IF($C2204="","","C"&amp;TEXT(INT((ROW()-5)/9)+1,"000")&amp;"-2")</f>
        <v/>
      </c>
      <c r="C2204">
        <f>IF(OR(Registro_Compras!$C$248="",Registro_Compras!$O$248=""),"",IF(Registro_Compras!$AB$248="ADMINISTRATIVO","94","95"))</f>
        <v/>
      </c>
      <c r="D2204">
        <f>IF(OR(Registro_Compras!$C$248="",Registro_Compras!$O$248=""),"",IF(Registro_Compras!$AB$248="ADMINISTRATIVO","Gastos Administrativos","Gastos de Venta y Operacion"))</f>
        <v/>
      </c>
      <c r="E2204" s="20">
        <f>IF($C2204="","",IF(Registro_Compras!$F$248="NOTA DE CREDITO","",IF(Registro_Compras!$F$248="RHE",ROUND(Registro_Compras!$L$248*Registro_Compras!$N$248,2),ROUND(Registro_Compras!$J$248*Registro_Compras!$N$248,2))))</f>
        <v/>
      </c>
      <c r="F2204" s="20">
        <f>IF($C2204="","",IF(Registro_Compras!$F$248="NOTA DE CREDITO",ROUND(ABS(Registro_Compras!$J$248*Registro_Compras!$N$248),2),""))</f>
        <v/>
      </c>
      <c r="G2204">
        <f>IF($C2204="","","Por el destino del gasto")</f>
        <v/>
      </c>
      <c r="H2204">
        <f>IF($C2204="","",Registro_Compras!$C$248)</f>
        <v/>
      </c>
    </row>
    <row r="2205">
      <c r="A2205" s="25">
        <f>IF($C2205="","",Registro_Compras!$B$248)</f>
        <v/>
      </c>
      <c r="B2205">
        <f>IF($C2205="","","C"&amp;TEXT(INT((ROW()-5)/9)+1,"000")&amp;"-2")</f>
        <v/>
      </c>
      <c r="C2205">
        <f>IF(OR(Registro_Compras!$C$248="",Registro_Compras!$O$248=""),"","79/791")</f>
        <v/>
      </c>
      <c r="D2205">
        <f>IF(OR(Registro_Compras!$C$248="",Registro_Compras!$O$248=""),"","Cargas Imputables a Cuentas de Costos y Gastos")</f>
        <v/>
      </c>
      <c r="E2205" s="20">
        <f>IF($C2205="","",IF(Registro_Compras!$F$248="NOTA DE CREDITO",ROUND(ABS(Registro_Compras!$J$248*Registro_Compras!$N$248),2),""))</f>
        <v/>
      </c>
      <c r="F2205" s="20">
        <f>IF($C2205="","",IF(Registro_Compras!$F$248="NOTA DE CREDITO","",IF(Registro_Compras!$F$248="RHE",ROUND(Registro_Compras!$L$248*Registro_Compras!$N$248,2),ROUND(Registro_Compras!$J$248*Registro_Compras!$N$248,2))))</f>
        <v/>
      </c>
      <c r="G2205">
        <f>IF($C2205="","","Por el destino del gasto")</f>
        <v/>
      </c>
      <c r="H2205">
        <f>IF($C2205="","",Registro_Compras!$C$248)</f>
        <v/>
      </c>
    </row>
    <row r="2206">
      <c r="A2206" s="25">
        <f>IF($C2206="","",Registro_Compras!$X$248)</f>
        <v/>
      </c>
      <c r="B2206">
        <f>IF($C2206="","","C"&amp;TEXT(INT((ROW()-5)/9)+1,"000")&amp;"-3")</f>
        <v/>
      </c>
      <c r="C2206">
        <f>IF(OR(Registro_Compras!$C$248="",Registro_Compras!$O$248="",Registro_Compras!$R$248&lt;&gt;"SI",Registro_Compras!$X$248=""),"","4212")</f>
        <v/>
      </c>
      <c r="D2206">
        <f>IF(OR(Registro_Compras!$C$248="",Registro_Compras!$O$248=""),"","Cuentas por Pagar Comerciales - Terceros")</f>
        <v/>
      </c>
      <c r="E2206" s="20">
        <f>IF($C2206="","",Registro_Compras!$S$248)</f>
        <v/>
      </c>
      <c r="F2206" s="20">
        <f>""</f>
        <v/>
      </c>
      <c r="G2206">
        <f>IF($C2206="","","Por el deposito de la detraccion en el Banco de la Nacion")</f>
        <v/>
      </c>
      <c r="H2206">
        <f>IF($C2206="","",Registro_Compras!$C$248)</f>
        <v/>
      </c>
    </row>
    <row r="2207">
      <c r="A2207" s="25">
        <f>IF($C2207="","",Registro_Compras!$X$248)</f>
        <v/>
      </c>
      <c r="B2207">
        <f>IF($C2207="","","C"&amp;TEXT(INT((ROW()-5)/9)+1,"000")&amp;"-3")</f>
        <v/>
      </c>
      <c r="C2207">
        <f>IF(OR(Registro_Compras!$C$248="",Registro_Compras!$O$248="",Registro_Compras!$R$248&lt;&gt;"SI",Registro_Compras!$X$248=""),"","10413")</f>
        <v/>
      </c>
      <c r="D2207">
        <f>IF(OR(Registro_Compras!$C$248="",Registro_Compras!$O$248=""),"","Efectivo y Equivalentes - Cta. Cte. Operativa")</f>
        <v/>
      </c>
      <c r="E2207" s="20">
        <f>""</f>
        <v/>
      </c>
      <c r="F2207" s="20">
        <f>IF($C2207="","",Registro_Compras!$S$248)</f>
        <v/>
      </c>
      <c r="G2207">
        <f>IF($C2207="","","Por el deposito de la detraccion en el Banco de la Nacion")</f>
        <v/>
      </c>
      <c r="H2207">
        <f>IF($C2207="","",Registro_Compras!$C$248)</f>
        <v/>
      </c>
    </row>
    <row r="2208">
      <c r="A2208" s="25">
        <f>IF($C2208="","",Registro_Compras!$Y$248)</f>
        <v/>
      </c>
      <c r="B2208">
        <f>IF($C2208="","","C"&amp;TEXT(INT((ROW()-5)/9)+1,"000")&amp;"-4")</f>
        <v/>
      </c>
      <c r="C2208">
        <f>IF(OR(Registro_Compras!$C$248="",Registro_Compras!$O$248="",Registro_Compras!$Y$248="",Registro_Compras!$F$248="NOTA DE CREDITO"),"","4212")</f>
        <v/>
      </c>
      <c r="D2208">
        <f>IF(OR(Registro_Compras!$C$248="",Registro_Compras!$O$248=""),"","Cuentas por Pagar Comerciales - Terceros")</f>
        <v/>
      </c>
      <c r="E2208" s="20">
        <f>IF($C2208="","",IF(Registro_Compras!$F$248="RHE",(ROUND(Registro_Compras!$L$248*Registro_Compras!$N$248,2)-ROUND(Registro_Compras!$V$248*Registro_Compras!$N$248,2)),ROUND(Registro_Compras!$O$248-Registro_Compras!$S$248,2)))</f>
        <v/>
      </c>
      <c r="F2208" s="20">
        <f>""</f>
        <v/>
      </c>
      <c r="G2208">
        <f>IF($C2208="","","Por la cancelacion del saldo al proveedor")</f>
        <v/>
      </c>
      <c r="H2208">
        <f>IF($C2208="","",Registro_Compras!$C$248)</f>
        <v/>
      </c>
    </row>
    <row r="2209">
      <c r="A2209" s="25">
        <f>IF($C2209="","",Registro_Compras!$Y$248)</f>
        <v/>
      </c>
      <c r="B2209">
        <f>IF($C2209="","","C"&amp;TEXT(INT((ROW()-5)/9)+1,"000")&amp;"-4")</f>
        <v/>
      </c>
      <c r="C2209">
        <f>IF(OR(Registro_Compras!$C$248="",Registro_Compras!$O$248="",Registro_Compras!$Y$248="",Registro_Compras!$F$248="NOTA DE CREDITO"),"","10413")</f>
        <v/>
      </c>
      <c r="D2209">
        <f>IF(OR(Registro_Compras!$C$248="",Registro_Compras!$O$248=""),"","Efectivo y Equivalentes - Cta. Cte. Operativa")</f>
        <v/>
      </c>
      <c r="E2209" s="20">
        <f>""</f>
        <v/>
      </c>
      <c r="F2209" s="20">
        <f>IF($C2209="","",IF(Registro_Compras!$F$248="RHE",(ROUND(Registro_Compras!$L$248*Registro_Compras!$N$248,2)-ROUND(Registro_Compras!$V$248*Registro_Compras!$N$248,2)),ROUND(Registro_Compras!$O$248-Registro_Compras!$S$248,2)))</f>
        <v/>
      </c>
      <c r="G2209">
        <f>IF($C2209="","","Por la cancelacion del saldo al proveedor")</f>
        <v/>
      </c>
      <c r="H2209">
        <f>IF($C2209="","",Registro_Compras!$C$248)</f>
        <v/>
      </c>
    </row>
    <row r="2210">
      <c r="A2210" s="25">
        <f>IF($C2210="","",Registro_Compras!$B$249)</f>
        <v/>
      </c>
      <c r="B2210">
        <f>IF($C2210="","","C"&amp;TEXT(INT((ROW()-5)/9)+1,"000")&amp;"-1")</f>
        <v/>
      </c>
      <c r="C2210">
        <f>IF(OR(Registro_Compras!$C$249="",Registro_Compras!$O$249=""),"",IF(Registro_Compras!$F$249="NOTA DE CREDITO","4212",IF(Registro_Compras!$M$249="","63",Registro_Compras!$M$249)))</f>
        <v/>
      </c>
      <c r="D2210">
        <f>IF(OR(Registro_Compras!$C$249="",Registro_Compras!$O$249=""),"",IF(Registro_Compras!$F$249="NOTA DE CREDITO","Cuentas por Pagar Comerciales - Terceros (Emitidas)",IF(Registro_Compras!$F$249="RHE","Honorarios Profesionales - Servicios de Terceros","Gastos de Servicios Prestados por Terceros")))</f>
        <v/>
      </c>
      <c r="E2210" s="20">
        <f>IF($C2210="","",IF(Registro_Compras!$F$249="NOTA DE CREDITO",ABS(Registro_Compras!$O$249),IF(Registro_Compras!$F$249="RHE",ROUND(Registro_Compras!$L$249*Registro_Compras!$N$249,2),ROUND(Registro_Compras!$J$249*Registro_Compras!$N$249,2))))</f>
        <v/>
      </c>
      <c r="F2210" s="20">
        <f>""</f>
        <v/>
      </c>
      <c r="G2210">
        <f>IF($C2210="","",IF(Registro_Compras!$F$249="NOTA DE CREDITO","Por la nota de credito "&amp;Registro_Compras!$C$249&amp;" de "&amp;Registro_Compras!$E$249&amp;" [PATRON POR CONFIRMAR CON CONTADOR]",IF(Registro_Compras!$F$249="RHE","Por el registro del recibo por honorarios "&amp;Registro_Compras!$C$249&amp;" de "&amp;Registro_Compras!$E$249&amp;" [PATRON POR CONFIRMAR CON CONTADOR]","Por el registro de la factura "&amp;Registro_Compras!$C$249&amp;" de "&amp;Registro_Compras!$E$249)))</f>
        <v/>
      </c>
      <c r="H2210">
        <f>IF($C2210="","",Registro_Compras!$C$249)</f>
        <v/>
      </c>
    </row>
    <row r="2211">
      <c r="A2211" s="25">
        <f>IF($C2211="","",Registro_Compras!$B$249)</f>
        <v/>
      </c>
      <c r="B2211">
        <f>IF($C2211="","","C"&amp;TEXT(INT((ROW()-5)/9)+1,"000")&amp;"-1")</f>
        <v/>
      </c>
      <c r="C2211">
        <f>IF(OR(Registro_Compras!$C$249="",Registro_Compras!$O$249=""),"",IF(Registro_Compras!$F$249="RHE",IF(Registro_Compras!$V$249=0,"","40172"),IF(Registro_Compras!$F$249="NOTA DE CREDITO",IF(Registro_Compras!$M$249="","63",Registro_Compras!$M$249),IF(Registro_Compras!$K$249=0,"","40111"))))</f>
        <v/>
      </c>
      <c r="D2211">
        <f>IF(OR(Registro_Compras!$C$249="",Registro_Compras!$O$249=""),"",IF(Registro_Compras!$F$249="RHE","Retencion Renta 4ta Categoria por Pagar",IF(Registro_Compras!$F$249="NOTA DE CREDITO","Gastos de Servicios Prestados por Terceros","IGV - Cuenta Propia (Credito Fiscal)")))</f>
        <v/>
      </c>
      <c r="E2211" s="20">
        <f>IF($C2211="","",IF(Registro_Compras!$F$249="FACTURA",ROUND(Registro_Compras!$K$249*Registro_Compras!$N$249,2),""))</f>
        <v/>
      </c>
      <c r="F2211" s="20">
        <f>IF($C2211="","",IF(Registro_Compras!$F$249="RHE",ROUND(Registro_Compras!$V$249*Registro_Compras!$N$249,2),IF(Registro_Compras!$F$249="NOTA DE CREDITO",ROUND(ABS(Registro_Compras!$J$249*Registro_Compras!$N$249),2),"")))</f>
        <v/>
      </c>
      <c r="G2211">
        <f>IF($C2211="","",IF(Registro_Compras!$F$249="NOTA DE CREDITO","Por la nota de credito "&amp;Registro_Compras!$C$249&amp;" de "&amp;Registro_Compras!$E$249&amp;" [PATRON POR CONFIRMAR CON CONTADOR]",IF(Registro_Compras!$F$249="RHE","Por el registro del recibo por honorarios "&amp;Registro_Compras!$C$249&amp;" de "&amp;Registro_Compras!$E$249&amp;" [PATRON POR CONFIRMAR CON CONTADOR]","Por el registro de la factura "&amp;Registro_Compras!$C$249&amp;" de "&amp;Registro_Compras!$E$249)))</f>
        <v/>
      </c>
      <c r="H2211">
        <f>IF($C2211="","",Registro_Compras!$C$249)</f>
        <v/>
      </c>
    </row>
    <row r="2212">
      <c r="A2212" s="25">
        <f>IF($C2212="","",Registro_Compras!$B$249)</f>
        <v/>
      </c>
      <c r="B2212">
        <f>IF($C2212="","","C"&amp;TEXT(INT((ROW()-5)/9)+1,"000")&amp;"-1")</f>
        <v/>
      </c>
      <c r="C2212">
        <f>IF(OR(Registro_Compras!$C$249="",Registro_Compras!$O$249=""),"",IF(Registro_Compras!$F$249="NOTA DE CREDITO",IF(Registro_Compras!$K$249=0,"","40111"),"4212"))</f>
        <v/>
      </c>
      <c r="D2212">
        <f>IF(OR(Registro_Compras!$C$249="",Registro_Compras!$O$249=""),"",IF(Registro_Compras!$F$249="NOTA DE CREDITO","IGV - Cuenta Propia (Credito Fiscal)","Cuentas por Pagar Comerciales - Terceros (Emitidas)"))</f>
        <v/>
      </c>
      <c r="E2212" s="20">
        <f>""</f>
        <v/>
      </c>
      <c r="F2212" s="20">
        <f>IF($C2212="","",IF(Registro_Compras!$F$249="NOTA DE CREDITO",ROUND(ABS(Registro_Compras!$K$249*Registro_Compras!$N$249),2),IF(Registro_Compras!$F$249="RHE",(ROUND(Registro_Compras!$L$249*Registro_Compras!$N$249,2)-ROUND(Registro_Compras!$V$249*Registro_Compras!$N$249,2)),Registro_Compras!$O$249)))</f>
        <v/>
      </c>
      <c r="G2212">
        <f>IF($C2212="","",IF(Registro_Compras!$F$249="NOTA DE CREDITO","Por la nota de credito "&amp;Registro_Compras!$C$249&amp;" de "&amp;Registro_Compras!$E$249&amp;" [PATRON POR CONFIRMAR CON CONTADOR]",IF(Registro_Compras!$F$249="RHE","Por el registro del recibo por honorarios "&amp;Registro_Compras!$C$249&amp;" de "&amp;Registro_Compras!$E$249&amp;" [PATRON POR CONFIRMAR CON CONTADOR]","Por el registro de la factura "&amp;Registro_Compras!$C$249&amp;" de "&amp;Registro_Compras!$E$249)))</f>
        <v/>
      </c>
      <c r="H2212">
        <f>IF($C2212="","",Registro_Compras!$C$249)</f>
        <v/>
      </c>
    </row>
    <row r="2213">
      <c r="A2213" s="25">
        <f>IF($C2213="","",Registro_Compras!$B$249)</f>
        <v/>
      </c>
      <c r="B2213">
        <f>IF($C2213="","","C"&amp;TEXT(INT((ROW()-5)/9)+1,"000")&amp;"-2")</f>
        <v/>
      </c>
      <c r="C2213">
        <f>IF(OR(Registro_Compras!$C$249="",Registro_Compras!$O$249=""),"",IF(Registro_Compras!$AB$249="ADMINISTRATIVO","94","95"))</f>
        <v/>
      </c>
      <c r="D2213">
        <f>IF(OR(Registro_Compras!$C$249="",Registro_Compras!$O$249=""),"",IF(Registro_Compras!$AB$249="ADMINISTRATIVO","Gastos Administrativos","Gastos de Venta y Operacion"))</f>
        <v/>
      </c>
      <c r="E2213" s="20">
        <f>IF($C2213="","",IF(Registro_Compras!$F$249="NOTA DE CREDITO","",IF(Registro_Compras!$F$249="RHE",ROUND(Registro_Compras!$L$249*Registro_Compras!$N$249,2),ROUND(Registro_Compras!$J$249*Registro_Compras!$N$249,2))))</f>
        <v/>
      </c>
      <c r="F2213" s="20">
        <f>IF($C2213="","",IF(Registro_Compras!$F$249="NOTA DE CREDITO",ROUND(ABS(Registro_Compras!$J$249*Registro_Compras!$N$249),2),""))</f>
        <v/>
      </c>
      <c r="G2213">
        <f>IF($C2213="","","Por el destino del gasto")</f>
        <v/>
      </c>
      <c r="H2213">
        <f>IF($C2213="","",Registro_Compras!$C$249)</f>
        <v/>
      </c>
    </row>
    <row r="2214">
      <c r="A2214" s="25">
        <f>IF($C2214="","",Registro_Compras!$B$249)</f>
        <v/>
      </c>
      <c r="B2214">
        <f>IF($C2214="","","C"&amp;TEXT(INT((ROW()-5)/9)+1,"000")&amp;"-2")</f>
        <v/>
      </c>
      <c r="C2214">
        <f>IF(OR(Registro_Compras!$C$249="",Registro_Compras!$O$249=""),"","79/791")</f>
        <v/>
      </c>
      <c r="D2214">
        <f>IF(OR(Registro_Compras!$C$249="",Registro_Compras!$O$249=""),"","Cargas Imputables a Cuentas de Costos y Gastos")</f>
        <v/>
      </c>
      <c r="E2214" s="20">
        <f>IF($C2214="","",IF(Registro_Compras!$F$249="NOTA DE CREDITO",ROUND(ABS(Registro_Compras!$J$249*Registro_Compras!$N$249),2),""))</f>
        <v/>
      </c>
      <c r="F2214" s="20">
        <f>IF($C2214="","",IF(Registro_Compras!$F$249="NOTA DE CREDITO","",IF(Registro_Compras!$F$249="RHE",ROUND(Registro_Compras!$L$249*Registro_Compras!$N$249,2),ROUND(Registro_Compras!$J$249*Registro_Compras!$N$249,2))))</f>
        <v/>
      </c>
      <c r="G2214">
        <f>IF($C2214="","","Por el destino del gasto")</f>
        <v/>
      </c>
      <c r="H2214">
        <f>IF($C2214="","",Registro_Compras!$C$249)</f>
        <v/>
      </c>
    </row>
    <row r="2215">
      <c r="A2215" s="25">
        <f>IF($C2215="","",Registro_Compras!$X$249)</f>
        <v/>
      </c>
      <c r="B2215">
        <f>IF($C2215="","","C"&amp;TEXT(INT((ROW()-5)/9)+1,"000")&amp;"-3")</f>
        <v/>
      </c>
      <c r="C2215">
        <f>IF(OR(Registro_Compras!$C$249="",Registro_Compras!$O$249="",Registro_Compras!$R$249&lt;&gt;"SI",Registro_Compras!$X$249=""),"","4212")</f>
        <v/>
      </c>
      <c r="D2215">
        <f>IF(OR(Registro_Compras!$C$249="",Registro_Compras!$O$249=""),"","Cuentas por Pagar Comerciales - Terceros")</f>
        <v/>
      </c>
      <c r="E2215" s="20">
        <f>IF($C2215="","",Registro_Compras!$S$249)</f>
        <v/>
      </c>
      <c r="F2215" s="20">
        <f>""</f>
        <v/>
      </c>
      <c r="G2215">
        <f>IF($C2215="","","Por el deposito de la detraccion en el Banco de la Nacion")</f>
        <v/>
      </c>
      <c r="H2215">
        <f>IF($C2215="","",Registro_Compras!$C$249)</f>
        <v/>
      </c>
    </row>
    <row r="2216">
      <c r="A2216" s="25">
        <f>IF($C2216="","",Registro_Compras!$X$249)</f>
        <v/>
      </c>
      <c r="B2216">
        <f>IF($C2216="","","C"&amp;TEXT(INT((ROW()-5)/9)+1,"000")&amp;"-3")</f>
        <v/>
      </c>
      <c r="C2216">
        <f>IF(OR(Registro_Compras!$C$249="",Registro_Compras!$O$249="",Registro_Compras!$R$249&lt;&gt;"SI",Registro_Compras!$X$249=""),"","10413")</f>
        <v/>
      </c>
      <c r="D2216">
        <f>IF(OR(Registro_Compras!$C$249="",Registro_Compras!$O$249=""),"","Efectivo y Equivalentes - Cta. Cte. Operativa")</f>
        <v/>
      </c>
      <c r="E2216" s="20">
        <f>""</f>
        <v/>
      </c>
      <c r="F2216" s="20">
        <f>IF($C2216="","",Registro_Compras!$S$249)</f>
        <v/>
      </c>
      <c r="G2216">
        <f>IF($C2216="","","Por el deposito de la detraccion en el Banco de la Nacion")</f>
        <v/>
      </c>
      <c r="H2216">
        <f>IF($C2216="","",Registro_Compras!$C$249)</f>
        <v/>
      </c>
    </row>
    <row r="2217">
      <c r="A2217" s="25">
        <f>IF($C2217="","",Registro_Compras!$Y$249)</f>
        <v/>
      </c>
      <c r="B2217">
        <f>IF($C2217="","","C"&amp;TEXT(INT((ROW()-5)/9)+1,"000")&amp;"-4")</f>
        <v/>
      </c>
      <c r="C2217">
        <f>IF(OR(Registro_Compras!$C$249="",Registro_Compras!$O$249="",Registro_Compras!$Y$249="",Registro_Compras!$F$249="NOTA DE CREDITO"),"","4212")</f>
        <v/>
      </c>
      <c r="D2217">
        <f>IF(OR(Registro_Compras!$C$249="",Registro_Compras!$O$249=""),"","Cuentas por Pagar Comerciales - Terceros")</f>
        <v/>
      </c>
      <c r="E2217" s="20">
        <f>IF($C2217="","",IF(Registro_Compras!$F$249="RHE",(ROUND(Registro_Compras!$L$249*Registro_Compras!$N$249,2)-ROUND(Registro_Compras!$V$249*Registro_Compras!$N$249,2)),ROUND(Registro_Compras!$O$249-Registro_Compras!$S$249,2)))</f>
        <v/>
      </c>
      <c r="F2217" s="20">
        <f>""</f>
        <v/>
      </c>
      <c r="G2217">
        <f>IF($C2217="","","Por la cancelacion del saldo al proveedor")</f>
        <v/>
      </c>
      <c r="H2217">
        <f>IF($C2217="","",Registro_Compras!$C$249)</f>
        <v/>
      </c>
    </row>
    <row r="2218">
      <c r="A2218" s="25">
        <f>IF($C2218="","",Registro_Compras!$Y$249)</f>
        <v/>
      </c>
      <c r="B2218">
        <f>IF($C2218="","","C"&amp;TEXT(INT((ROW()-5)/9)+1,"000")&amp;"-4")</f>
        <v/>
      </c>
      <c r="C2218">
        <f>IF(OR(Registro_Compras!$C$249="",Registro_Compras!$O$249="",Registro_Compras!$Y$249="",Registro_Compras!$F$249="NOTA DE CREDITO"),"","10413")</f>
        <v/>
      </c>
      <c r="D2218">
        <f>IF(OR(Registro_Compras!$C$249="",Registro_Compras!$O$249=""),"","Efectivo y Equivalentes - Cta. Cte. Operativa")</f>
        <v/>
      </c>
      <c r="E2218" s="20">
        <f>""</f>
        <v/>
      </c>
      <c r="F2218" s="20">
        <f>IF($C2218="","",IF(Registro_Compras!$F$249="RHE",(ROUND(Registro_Compras!$L$249*Registro_Compras!$N$249,2)-ROUND(Registro_Compras!$V$249*Registro_Compras!$N$249,2)),ROUND(Registro_Compras!$O$249-Registro_Compras!$S$249,2)))</f>
        <v/>
      </c>
      <c r="G2218">
        <f>IF($C2218="","","Por la cancelacion del saldo al proveedor")</f>
        <v/>
      </c>
      <c r="H2218">
        <f>IF($C2218="","",Registro_Compras!$C$249)</f>
        <v/>
      </c>
    </row>
    <row r="2219">
      <c r="A2219" s="25">
        <f>IF($C2219="","",Registro_Compras!$B$250)</f>
        <v/>
      </c>
      <c r="B2219">
        <f>IF($C2219="","","C"&amp;TEXT(INT((ROW()-5)/9)+1,"000")&amp;"-1")</f>
        <v/>
      </c>
      <c r="C2219">
        <f>IF(OR(Registro_Compras!$C$250="",Registro_Compras!$O$250=""),"",IF(Registro_Compras!$F$250="NOTA DE CREDITO","4212",IF(Registro_Compras!$M$250="","63",Registro_Compras!$M$250)))</f>
        <v/>
      </c>
      <c r="D2219">
        <f>IF(OR(Registro_Compras!$C$250="",Registro_Compras!$O$250=""),"",IF(Registro_Compras!$F$250="NOTA DE CREDITO","Cuentas por Pagar Comerciales - Terceros (Emitidas)",IF(Registro_Compras!$F$250="RHE","Honorarios Profesionales - Servicios de Terceros","Gastos de Servicios Prestados por Terceros")))</f>
        <v/>
      </c>
      <c r="E2219" s="20">
        <f>IF($C2219="","",IF(Registro_Compras!$F$250="NOTA DE CREDITO",ABS(Registro_Compras!$O$250),IF(Registro_Compras!$F$250="RHE",ROUND(Registro_Compras!$L$250*Registro_Compras!$N$250,2),ROUND(Registro_Compras!$J$250*Registro_Compras!$N$250,2))))</f>
        <v/>
      </c>
      <c r="F2219" s="20">
        <f>""</f>
        <v/>
      </c>
      <c r="G2219">
        <f>IF($C2219="","",IF(Registro_Compras!$F$250="NOTA DE CREDITO","Por la nota de credito "&amp;Registro_Compras!$C$250&amp;" de "&amp;Registro_Compras!$E$250&amp;" [PATRON POR CONFIRMAR CON CONTADOR]",IF(Registro_Compras!$F$250="RHE","Por el registro del recibo por honorarios "&amp;Registro_Compras!$C$250&amp;" de "&amp;Registro_Compras!$E$250&amp;" [PATRON POR CONFIRMAR CON CONTADOR]","Por el registro de la factura "&amp;Registro_Compras!$C$250&amp;" de "&amp;Registro_Compras!$E$250)))</f>
        <v/>
      </c>
      <c r="H2219">
        <f>IF($C2219="","",Registro_Compras!$C$250)</f>
        <v/>
      </c>
    </row>
    <row r="2220">
      <c r="A2220" s="25">
        <f>IF($C2220="","",Registro_Compras!$B$250)</f>
        <v/>
      </c>
      <c r="B2220">
        <f>IF($C2220="","","C"&amp;TEXT(INT((ROW()-5)/9)+1,"000")&amp;"-1")</f>
        <v/>
      </c>
      <c r="C2220">
        <f>IF(OR(Registro_Compras!$C$250="",Registro_Compras!$O$250=""),"",IF(Registro_Compras!$F$250="RHE",IF(Registro_Compras!$V$250=0,"","40172"),IF(Registro_Compras!$F$250="NOTA DE CREDITO",IF(Registro_Compras!$M$250="","63",Registro_Compras!$M$250),IF(Registro_Compras!$K$250=0,"","40111"))))</f>
        <v/>
      </c>
      <c r="D2220">
        <f>IF(OR(Registro_Compras!$C$250="",Registro_Compras!$O$250=""),"",IF(Registro_Compras!$F$250="RHE","Retencion Renta 4ta Categoria por Pagar",IF(Registro_Compras!$F$250="NOTA DE CREDITO","Gastos de Servicios Prestados por Terceros","IGV - Cuenta Propia (Credito Fiscal)")))</f>
        <v/>
      </c>
      <c r="E2220" s="20">
        <f>IF($C2220="","",IF(Registro_Compras!$F$250="FACTURA",ROUND(Registro_Compras!$K$250*Registro_Compras!$N$250,2),""))</f>
        <v/>
      </c>
      <c r="F2220" s="20">
        <f>IF($C2220="","",IF(Registro_Compras!$F$250="RHE",ROUND(Registro_Compras!$V$250*Registro_Compras!$N$250,2),IF(Registro_Compras!$F$250="NOTA DE CREDITO",ROUND(ABS(Registro_Compras!$J$250*Registro_Compras!$N$250),2),"")))</f>
        <v/>
      </c>
      <c r="G2220">
        <f>IF($C2220="","",IF(Registro_Compras!$F$250="NOTA DE CREDITO","Por la nota de credito "&amp;Registro_Compras!$C$250&amp;" de "&amp;Registro_Compras!$E$250&amp;" [PATRON POR CONFIRMAR CON CONTADOR]",IF(Registro_Compras!$F$250="RHE","Por el registro del recibo por honorarios "&amp;Registro_Compras!$C$250&amp;" de "&amp;Registro_Compras!$E$250&amp;" [PATRON POR CONFIRMAR CON CONTADOR]","Por el registro de la factura "&amp;Registro_Compras!$C$250&amp;" de "&amp;Registro_Compras!$E$250)))</f>
        <v/>
      </c>
      <c r="H2220">
        <f>IF($C2220="","",Registro_Compras!$C$250)</f>
        <v/>
      </c>
    </row>
    <row r="2221">
      <c r="A2221" s="25">
        <f>IF($C2221="","",Registro_Compras!$B$250)</f>
        <v/>
      </c>
      <c r="B2221">
        <f>IF($C2221="","","C"&amp;TEXT(INT((ROW()-5)/9)+1,"000")&amp;"-1")</f>
        <v/>
      </c>
      <c r="C2221">
        <f>IF(OR(Registro_Compras!$C$250="",Registro_Compras!$O$250=""),"",IF(Registro_Compras!$F$250="NOTA DE CREDITO",IF(Registro_Compras!$K$250=0,"","40111"),"4212"))</f>
        <v/>
      </c>
      <c r="D2221">
        <f>IF(OR(Registro_Compras!$C$250="",Registro_Compras!$O$250=""),"",IF(Registro_Compras!$F$250="NOTA DE CREDITO","IGV - Cuenta Propia (Credito Fiscal)","Cuentas por Pagar Comerciales - Terceros (Emitidas)"))</f>
        <v/>
      </c>
      <c r="E2221" s="20">
        <f>""</f>
        <v/>
      </c>
      <c r="F2221" s="20">
        <f>IF($C2221="","",IF(Registro_Compras!$F$250="NOTA DE CREDITO",ROUND(ABS(Registro_Compras!$K$250*Registro_Compras!$N$250),2),IF(Registro_Compras!$F$250="RHE",(ROUND(Registro_Compras!$L$250*Registro_Compras!$N$250,2)-ROUND(Registro_Compras!$V$250*Registro_Compras!$N$250,2)),Registro_Compras!$O$250)))</f>
        <v/>
      </c>
      <c r="G2221">
        <f>IF($C2221="","",IF(Registro_Compras!$F$250="NOTA DE CREDITO","Por la nota de credito "&amp;Registro_Compras!$C$250&amp;" de "&amp;Registro_Compras!$E$250&amp;" [PATRON POR CONFIRMAR CON CONTADOR]",IF(Registro_Compras!$F$250="RHE","Por el registro del recibo por honorarios "&amp;Registro_Compras!$C$250&amp;" de "&amp;Registro_Compras!$E$250&amp;" [PATRON POR CONFIRMAR CON CONTADOR]","Por el registro de la factura "&amp;Registro_Compras!$C$250&amp;" de "&amp;Registro_Compras!$E$250)))</f>
        <v/>
      </c>
      <c r="H2221">
        <f>IF($C2221="","",Registro_Compras!$C$250)</f>
        <v/>
      </c>
    </row>
    <row r="2222">
      <c r="A2222" s="25">
        <f>IF($C2222="","",Registro_Compras!$B$250)</f>
        <v/>
      </c>
      <c r="B2222">
        <f>IF($C2222="","","C"&amp;TEXT(INT((ROW()-5)/9)+1,"000")&amp;"-2")</f>
        <v/>
      </c>
      <c r="C2222">
        <f>IF(OR(Registro_Compras!$C$250="",Registro_Compras!$O$250=""),"",IF(Registro_Compras!$AB$250="ADMINISTRATIVO","94","95"))</f>
        <v/>
      </c>
      <c r="D2222">
        <f>IF(OR(Registro_Compras!$C$250="",Registro_Compras!$O$250=""),"",IF(Registro_Compras!$AB$250="ADMINISTRATIVO","Gastos Administrativos","Gastos de Venta y Operacion"))</f>
        <v/>
      </c>
      <c r="E2222" s="20">
        <f>IF($C2222="","",IF(Registro_Compras!$F$250="NOTA DE CREDITO","",IF(Registro_Compras!$F$250="RHE",ROUND(Registro_Compras!$L$250*Registro_Compras!$N$250,2),ROUND(Registro_Compras!$J$250*Registro_Compras!$N$250,2))))</f>
        <v/>
      </c>
      <c r="F2222" s="20">
        <f>IF($C2222="","",IF(Registro_Compras!$F$250="NOTA DE CREDITO",ROUND(ABS(Registro_Compras!$J$250*Registro_Compras!$N$250),2),""))</f>
        <v/>
      </c>
      <c r="G2222">
        <f>IF($C2222="","","Por el destino del gasto")</f>
        <v/>
      </c>
      <c r="H2222">
        <f>IF($C2222="","",Registro_Compras!$C$250)</f>
        <v/>
      </c>
    </row>
    <row r="2223">
      <c r="A2223" s="25">
        <f>IF($C2223="","",Registro_Compras!$B$250)</f>
        <v/>
      </c>
      <c r="B2223">
        <f>IF($C2223="","","C"&amp;TEXT(INT((ROW()-5)/9)+1,"000")&amp;"-2")</f>
        <v/>
      </c>
      <c r="C2223">
        <f>IF(OR(Registro_Compras!$C$250="",Registro_Compras!$O$250=""),"","79/791")</f>
        <v/>
      </c>
      <c r="D2223">
        <f>IF(OR(Registro_Compras!$C$250="",Registro_Compras!$O$250=""),"","Cargas Imputables a Cuentas de Costos y Gastos")</f>
        <v/>
      </c>
      <c r="E2223" s="20">
        <f>IF($C2223="","",IF(Registro_Compras!$F$250="NOTA DE CREDITO",ROUND(ABS(Registro_Compras!$J$250*Registro_Compras!$N$250),2),""))</f>
        <v/>
      </c>
      <c r="F2223" s="20">
        <f>IF($C2223="","",IF(Registro_Compras!$F$250="NOTA DE CREDITO","",IF(Registro_Compras!$F$250="RHE",ROUND(Registro_Compras!$L$250*Registro_Compras!$N$250,2),ROUND(Registro_Compras!$J$250*Registro_Compras!$N$250,2))))</f>
        <v/>
      </c>
      <c r="G2223">
        <f>IF($C2223="","","Por el destino del gasto")</f>
        <v/>
      </c>
      <c r="H2223">
        <f>IF($C2223="","",Registro_Compras!$C$250)</f>
        <v/>
      </c>
    </row>
    <row r="2224">
      <c r="A2224" s="25">
        <f>IF($C2224="","",Registro_Compras!$X$250)</f>
        <v/>
      </c>
      <c r="B2224">
        <f>IF($C2224="","","C"&amp;TEXT(INT((ROW()-5)/9)+1,"000")&amp;"-3")</f>
        <v/>
      </c>
      <c r="C2224">
        <f>IF(OR(Registro_Compras!$C$250="",Registro_Compras!$O$250="",Registro_Compras!$R$250&lt;&gt;"SI",Registro_Compras!$X$250=""),"","4212")</f>
        <v/>
      </c>
      <c r="D2224">
        <f>IF(OR(Registro_Compras!$C$250="",Registro_Compras!$O$250=""),"","Cuentas por Pagar Comerciales - Terceros")</f>
        <v/>
      </c>
      <c r="E2224" s="20">
        <f>IF($C2224="","",Registro_Compras!$S$250)</f>
        <v/>
      </c>
      <c r="F2224" s="20">
        <f>""</f>
        <v/>
      </c>
      <c r="G2224">
        <f>IF($C2224="","","Por el deposito de la detraccion en el Banco de la Nacion")</f>
        <v/>
      </c>
      <c r="H2224">
        <f>IF($C2224="","",Registro_Compras!$C$250)</f>
        <v/>
      </c>
    </row>
    <row r="2225">
      <c r="A2225" s="25">
        <f>IF($C2225="","",Registro_Compras!$X$250)</f>
        <v/>
      </c>
      <c r="B2225">
        <f>IF($C2225="","","C"&amp;TEXT(INT((ROW()-5)/9)+1,"000")&amp;"-3")</f>
        <v/>
      </c>
      <c r="C2225">
        <f>IF(OR(Registro_Compras!$C$250="",Registro_Compras!$O$250="",Registro_Compras!$R$250&lt;&gt;"SI",Registro_Compras!$X$250=""),"","10413")</f>
        <v/>
      </c>
      <c r="D2225">
        <f>IF(OR(Registro_Compras!$C$250="",Registro_Compras!$O$250=""),"","Efectivo y Equivalentes - Cta. Cte. Operativa")</f>
        <v/>
      </c>
      <c r="E2225" s="20">
        <f>""</f>
        <v/>
      </c>
      <c r="F2225" s="20">
        <f>IF($C2225="","",Registro_Compras!$S$250)</f>
        <v/>
      </c>
      <c r="G2225">
        <f>IF($C2225="","","Por el deposito de la detraccion en el Banco de la Nacion")</f>
        <v/>
      </c>
      <c r="H2225">
        <f>IF($C2225="","",Registro_Compras!$C$250)</f>
        <v/>
      </c>
    </row>
    <row r="2226">
      <c r="A2226" s="25">
        <f>IF($C2226="","",Registro_Compras!$Y$250)</f>
        <v/>
      </c>
      <c r="B2226">
        <f>IF($C2226="","","C"&amp;TEXT(INT((ROW()-5)/9)+1,"000")&amp;"-4")</f>
        <v/>
      </c>
      <c r="C2226">
        <f>IF(OR(Registro_Compras!$C$250="",Registro_Compras!$O$250="",Registro_Compras!$Y$250="",Registro_Compras!$F$250="NOTA DE CREDITO"),"","4212")</f>
        <v/>
      </c>
      <c r="D2226">
        <f>IF(OR(Registro_Compras!$C$250="",Registro_Compras!$O$250=""),"","Cuentas por Pagar Comerciales - Terceros")</f>
        <v/>
      </c>
      <c r="E2226" s="20">
        <f>IF($C2226="","",IF(Registro_Compras!$F$250="RHE",(ROUND(Registro_Compras!$L$250*Registro_Compras!$N$250,2)-ROUND(Registro_Compras!$V$250*Registro_Compras!$N$250,2)),ROUND(Registro_Compras!$O$250-Registro_Compras!$S$250,2)))</f>
        <v/>
      </c>
      <c r="F2226" s="20">
        <f>""</f>
        <v/>
      </c>
      <c r="G2226">
        <f>IF($C2226="","","Por la cancelacion del saldo al proveedor")</f>
        <v/>
      </c>
      <c r="H2226">
        <f>IF($C2226="","",Registro_Compras!$C$250)</f>
        <v/>
      </c>
    </row>
    <row r="2227">
      <c r="A2227" s="25">
        <f>IF($C2227="","",Registro_Compras!$Y$250)</f>
        <v/>
      </c>
      <c r="B2227">
        <f>IF($C2227="","","C"&amp;TEXT(INT((ROW()-5)/9)+1,"000")&amp;"-4")</f>
        <v/>
      </c>
      <c r="C2227">
        <f>IF(OR(Registro_Compras!$C$250="",Registro_Compras!$O$250="",Registro_Compras!$Y$250="",Registro_Compras!$F$250="NOTA DE CREDITO"),"","10413")</f>
        <v/>
      </c>
      <c r="D2227">
        <f>IF(OR(Registro_Compras!$C$250="",Registro_Compras!$O$250=""),"","Efectivo y Equivalentes - Cta. Cte. Operativa")</f>
        <v/>
      </c>
      <c r="E2227" s="20">
        <f>""</f>
        <v/>
      </c>
      <c r="F2227" s="20">
        <f>IF($C2227="","",IF(Registro_Compras!$F$250="RHE",(ROUND(Registro_Compras!$L$250*Registro_Compras!$N$250,2)-ROUND(Registro_Compras!$V$250*Registro_Compras!$N$250,2)),ROUND(Registro_Compras!$O$250-Registro_Compras!$S$250,2)))</f>
        <v/>
      </c>
      <c r="G2227">
        <f>IF($C2227="","","Por la cancelacion del saldo al proveedor")</f>
        <v/>
      </c>
      <c r="H2227">
        <f>IF($C2227="","",Registro_Compras!$C$250)</f>
        <v/>
      </c>
    </row>
    <row r="2228">
      <c r="A2228" s="25">
        <f>IF($C2228="","",Registro_Compras!$B$251)</f>
        <v/>
      </c>
      <c r="B2228">
        <f>IF($C2228="","","C"&amp;TEXT(INT((ROW()-5)/9)+1,"000")&amp;"-1")</f>
        <v/>
      </c>
      <c r="C2228">
        <f>IF(OR(Registro_Compras!$C$251="",Registro_Compras!$O$251=""),"",IF(Registro_Compras!$F$251="NOTA DE CREDITO","4212",IF(Registro_Compras!$M$251="","63",Registro_Compras!$M$251)))</f>
        <v/>
      </c>
      <c r="D2228">
        <f>IF(OR(Registro_Compras!$C$251="",Registro_Compras!$O$251=""),"",IF(Registro_Compras!$F$251="NOTA DE CREDITO","Cuentas por Pagar Comerciales - Terceros (Emitidas)",IF(Registro_Compras!$F$251="RHE","Honorarios Profesionales - Servicios de Terceros","Gastos de Servicios Prestados por Terceros")))</f>
        <v/>
      </c>
      <c r="E2228" s="20">
        <f>IF($C2228="","",IF(Registro_Compras!$F$251="NOTA DE CREDITO",ABS(Registro_Compras!$O$251),IF(Registro_Compras!$F$251="RHE",ROUND(Registro_Compras!$L$251*Registro_Compras!$N$251,2),ROUND(Registro_Compras!$J$251*Registro_Compras!$N$251,2))))</f>
        <v/>
      </c>
      <c r="F2228" s="20">
        <f>""</f>
        <v/>
      </c>
      <c r="G2228">
        <f>IF($C2228="","",IF(Registro_Compras!$F$251="NOTA DE CREDITO","Por la nota de credito "&amp;Registro_Compras!$C$251&amp;" de "&amp;Registro_Compras!$E$251&amp;" [PATRON POR CONFIRMAR CON CONTADOR]",IF(Registro_Compras!$F$251="RHE","Por el registro del recibo por honorarios "&amp;Registro_Compras!$C$251&amp;" de "&amp;Registro_Compras!$E$251&amp;" [PATRON POR CONFIRMAR CON CONTADOR]","Por el registro de la factura "&amp;Registro_Compras!$C$251&amp;" de "&amp;Registro_Compras!$E$251)))</f>
        <v/>
      </c>
      <c r="H2228">
        <f>IF($C2228="","",Registro_Compras!$C$251)</f>
        <v/>
      </c>
    </row>
    <row r="2229">
      <c r="A2229" s="25">
        <f>IF($C2229="","",Registro_Compras!$B$251)</f>
        <v/>
      </c>
      <c r="B2229">
        <f>IF($C2229="","","C"&amp;TEXT(INT((ROW()-5)/9)+1,"000")&amp;"-1")</f>
        <v/>
      </c>
      <c r="C2229">
        <f>IF(OR(Registro_Compras!$C$251="",Registro_Compras!$O$251=""),"",IF(Registro_Compras!$F$251="RHE",IF(Registro_Compras!$V$251=0,"","40172"),IF(Registro_Compras!$F$251="NOTA DE CREDITO",IF(Registro_Compras!$M$251="","63",Registro_Compras!$M$251),IF(Registro_Compras!$K$251=0,"","40111"))))</f>
        <v/>
      </c>
      <c r="D2229">
        <f>IF(OR(Registro_Compras!$C$251="",Registro_Compras!$O$251=""),"",IF(Registro_Compras!$F$251="RHE","Retencion Renta 4ta Categoria por Pagar",IF(Registro_Compras!$F$251="NOTA DE CREDITO","Gastos de Servicios Prestados por Terceros","IGV - Cuenta Propia (Credito Fiscal)")))</f>
        <v/>
      </c>
      <c r="E2229" s="20">
        <f>IF($C2229="","",IF(Registro_Compras!$F$251="FACTURA",ROUND(Registro_Compras!$K$251*Registro_Compras!$N$251,2),""))</f>
        <v/>
      </c>
      <c r="F2229" s="20">
        <f>IF($C2229="","",IF(Registro_Compras!$F$251="RHE",ROUND(Registro_Compras!$V$251*Registro_Compras!$N$251,2),IF(Registro_Compras!$F$251="NOTA DE CREDITO",ROUND(ABS(Registro_Compras!$J$251*Registro_Compras!$N$251),2),"")))</f>
        <v/>
      </c>
      <c r="G2229">
        <f>IF($C2229="","",IF(Registro_Compras!$F$251="NOTA DE CREDITO","Por la nota de credito "&amp;Registro_Compras!$C$251&amp;" de "&amp;Registro_Compras!$E$251&amp;" [PATRON POR CONFIRMAR CON CONTADOR]",IF(Registro_Compras!$F$251="RHE","Por el registro del recibo por honorarios "&amp;Registro_Compras!$C$251&amp;" de "&amp;Registro_Compras!$E$251&amp;" [PATRON POR CONFIRMAR CON CONTADOR]","Por el registro de la factura "&amp;Registro_Compras!$C$251&amp;" de "&amp;Registro_Compras!$E$251)))</f>
        <v/>
      </c>
      <c r="H2229">
        <f>IF($C2229="","",Registro_Compras!$C$251)</f>
        <v/>
      </c>
    </row>
    <row r="2230">
      <c r="A2230" s="25">
        <f>IF($C2230="","",Registro_Compras!$B$251)</f>
        <v/>
      </c>
      <c r="B2230">
        <f>IF($C2230="","","C"&amp;TEXT(INT((ROW()-5)/9)+1,"000")&amp;"-1")</f>
        <v/>
      </c>
      <c r="C2230">
        <f>IF(OR(Registro_Compras!$C$251="",Registro_Compras!$O$251=""),"",IF(Registro_Compras!$F$251="NOTA DE CREDITO",IF(Registro_Compras!$K$251=0,"","40111"),"4212"))</f>
        <v/>
      </c>
      <c r="D2230">
        <f>IF(OR(Registro_Compras!$C$251="",Registro_Compras!$O$251=""),"",IF(Registro_Compras!$F$251="NOTA DE CREDITO","IGV - Cuenta Propia (Credito Fiscal)","Cuentas por Pagar Comerciales - Terceros (Emitidas)"))</f>
        <v/>
      </c>
      <c r="E2230" s="20">
        <f>""</f>
        <v/>
      </c>
      <c r="F2230" s="20">
        <f>IF($C2230="","",IF(Registro_Compras!$F$251="NOTA DE CREDITO",ROUND(ABS(Registro_Compras!$K$251*Registro_Compras!$N$251),2),IF(Registro_Compras!$F$251="RHE",(ROUND(Registro_Compras!$L$251*Registro_Compras!$N$251,2)-ROUND(Registro_Compras!$V$251*Registro_Compras!$N$251,2)),Registro_Compras!$O$251)))</f>
        <v/>
      </c>
      <c r="G2230">
        <f>IF($C2230="","",IF(Registro_Compras!$F$251="NOTA DE CREDITO","Por la nota de credito "&amp;Registro_Compras!$C$251&amp;" de "&amp;Registro_Compras!$E$251&amp;" [PATRON POR CONFIRMAR CON CONTADOR]",IF(Registro_Compras!$F$251="RHE","Por el registro del recibo por honorarios "&amp;Registro_Compras!$C$251&amp;" de "&amp;Registro_Compras!$E$251&amp;" [PATRON POR CONFIRMAR CON CONTADOR]","Por el registro de la factura "&amp;Registro_Compras!$C$251&amp;" de "&amp;Registro_Compras!$E$251)))</f>
        <v/>
      </c>
      <c r="H2230">
        <f>IF($C2230="","",Registro_Compras!$C$251)</f>
        <v/>
      </c>
    </row>
    <row r="2231">
      <c r="A2231" s="25">
        <f>IF($C2231="","",Registro_Compras!$B$251)</f>
        <v/>
      </c>
      <c r="B2231">
        <f>IF($C2231="","","C"&amp;TEXT(INT((ROW()-5)/9)+1,"000")&amp;"-2")</f>
        <v/>
      </c>
      <c r="C2231">
        <f>IF(OR(Registro_Compras!$C$251="",Registro_Compras!$O$251=""),"",IF(Registro_Compras!$AB$251="ADMINISTRATIVO","94","95"))</f>
        <v/>
      </c>
      <c r="D2231">
        <f>IF(OR(Registro_Compras!$C$251="",Registro_Compras!$O$251=""),"",IF(Registro_Compras!$AB$251="ADMINISTRATIVO","Gastos Administrativos","Gastos de Venta y Operacion"))</f>
        <v/>
      </c>
      <c r="E2231" s="20">
        <f>IF($C2231="","",IF(Registro_Compras!$F$251="NOTA DE CREDITO","",IF(Registro_Compras!$F$251="RHE",ROUND(Registro_Compras!$L$251*Registro_Compras!$N$251,2),ROUND(Registro_Compras!$J$251*Registro_Compras!$N$251,2))))</f>
        <v/>
      </c>
      <c r="F2231" s="20">
        <f>IF($C2231="","",IF(Registro_Compras!$F$251="NOTA DE CREDITO",ROUND(ABS(Registro_Compras!$J$251*Registro_Compras!$N$251),2),""))</f>
        <v/>
      </c>
      <c r="G2231">
        <f>IF($C2231="","","Por el destino del gasto")</f>
        <v/>
      </c>
      <c r="H2231">
        <f>IF($C2231="","",Registro_Compras!$C$251)</f>
        <v/>
      </c>
    </row>
    <row r="2232">
      <c r="A2232" s="25">
        <f>IF($C2232="","",Registro_Compras!$B$251)</f>
        <v/>
      </c>
      <c r="B2232">
        <f>IF($C2232="","","C"&amp;TEXT(INT((ROW()-5)/9)+1,"000")&amp;"-2")</f>
        <v/>
      </c>
      <c r="C2232">
        <f>IF(OR(Registro_Compras!$C$251="",Registro_Compras!$O$251=""),"","79/791")</f>
        <v/>
      </c>
      <c r="D2232">
        <f>IF(OR(Registro_Compras!$C$251="",Registro_Compras!$O$251=""),"","Cargas Imputables a Cuentas de Costos y Gastos")</f>
        <v/>
      </c>
      <c r="E2232" s="20">
        <f>IF($C2232="","",IF(Registro_Compras!$F$251="NOTA DE CREDITO",ROUND(ABS(Registro_Compras!$J$251*Registro_Compras!$N$251),2),""))</f>
        <v/>
      </c>
      <c r="F2232" s="20">
        <f>IF($C2232="","",IF(Registro_Compras!$F$251="NOTA DE CREDITO","",IF(Registro_Compras!$F$251="RHE",ROUND(Registro_Compras!$L$251*Registro_Compras!$N$251,2),ROUND(Registro_Compras!$J$251*Registro_Compras!$N$251,2))))</f>
        <v/>
      </c>
      <c r="G2232">
        <f>IF($C2232="","","Por el destino del gasto")</f>
        <v/>
      </c>
      <c r="H2232">
        <f>IF($C2232="","",Registro_Compras!$C$251)</f>
        <v/>
      </c>
    </row>
    <row r="2233">
      <c r="A2233" s="25">
        <f>IF($C2233="","",Registro_Compras!$X$251)</f>
        <v/>
      </c>
      <c r="B2233">
        <f>IF($C2233="","","C"&amp;TEXT(INT((ROW()-5)/9)+1,"000")&amp;"-3")</f>
        <v/>
      </c>
      <c r="C2233">
        <f>IF(OR(Registro_Compras!$C$251="",Registro_Compras!$O$251="",Registro_Compras!$R$251&lt;&gt;"SI",Registro_Compras!$X$251=""),"","4212")</f>
        <v/>
      </c>
      <c r="D2233">
        <f>IF(OR(Registro_Compras!$C$251="",Registro_Compras!$O$251=""),"","Cuentas por Pagar Comerciales - Terceros")</f>
        <v/>
      </c>
      <c r="E2233" s="20">
        <f>IF($C2233="","",Registro_Compras!$S$251)</f>
        <v/>
      </c>
      <c r="F2233" s="20">
        <f>""</f>
        <v/>
      </c>
      <c r="G2233">
        <f>IF($C2233="","","Por el deposito de la detraccion en el Banco de la Nacion")</f>
        <v/>
      </c>
      <c r="H2233">
        <f>IF($C2233="","",Registro_Compras!$C$251)</f>
        <v/>
      </c>
    </row>
    <row r="2234">
      <c r="A2234" s="25">
        <f>IF($C2234="","",Registro_Compras!$X$251)</f>
        <v/>
      </c>
      <c r="B2234">
        <f>IF($C2234="","","C"&amp;TEXT(INT((ROW()-5)/9)+1,"000")&amp;"-3")</f>
        <v/>
      </c>
      <c r="C2234">
        <f>IF(OR(Registro_Compras!$C$251="",Registro_Compras!$O$251="",Registro_Compras!$R$251&lt;&gt;"SI",Registro_Compras!$X$251=""),"","10413")</f>
        <v/>
      </c>
      <c r="D2234">
        <f>IF(OR(Registro_Compras!$C$251="",Registro_Compras!$O$251=""),"","Efectivo y Equivalentes - Cta. Cte. Operativa")</f>
        <v/>
      </c>
      <c r="E2234" s="20">
        <f>""</f>
        <v/>
      </c>
      <c r="F2234" s="20">
        <f>IF($C2234="","",Registro_Compras!$S$251)</f>
        <v/>
      </c>
      <c r="G2234">
        <f>IF($C2234="","","Por el deposito de la detraccion en el Banco de la Nacion")</f>
        <v/>
      </c>
      <c r="H2234">
        <f>IF($C2234="","",Registro_Compras!$C$251)</f>
        <v/>
      </c>
    </row>
    <row r="2235">
      <c r="A2235" s="25">
        <f>IF($C2235="","",Registro_Compras!$Y$251)</f>
        <v/>
      </c>
      <c r="B2235">
        <f>IF($C2235="","","C"&amp;TEXT(INT((ROW()-5)/9)+1,"000")&amp;"-4")</f>
        <v/>
      </c>
      <c r="C2235">
        <f>IF(OR(Registro_Compras!$C$251="",Registro_Compras!$O$251="",Registro_Compras!$Y$251="",Registro_Compras!$F$251="NOTA DE CREDITO"),"","4212")</f>
        <v/>
      </c>
      <c r="D2235">
        <f>IF(OR(Registro_Compras!$C$251="",Registro_Compras!$O$251=""),"","Cuentas por Pagar Comerciales - Terceros")</f>
        <v/>
      </c>
      <c r="E2235" s="20">
        <f>IF($C2235="","",IF(Registro_Compras!$F$251="RHE",(ROUND(Registro_Compras!$L$251*Registro_Compras!$N$251,2)-ROUND(Registro_Compras!$V$251*Registro_Compras!$N$251,2)),ROUND(Registro_Compras!$O$251-Registro_Compras!$S$251,2)))</f>
        <v/>
      </c>
      <c r="F2235" s="20">
        <f>""</f>
        <v/>
      </c>
      <c r="G2235">
        <f>IF($C2235="","","Por la cancelacion del saldo al proveedor")</f>
        <v/>
      </c>
      <c r="H2235">
        <f>IF($C2235="","",Registro_Compras!$C$251)</f>
        <v/>
      </c>
    </row>
    <row r="2236">
      <c r="A2236" s="25">
        <f>IF($C2236="","",Registro_Compras!$Y$251)</f>
        <v/>
      </c>
      <c r="B2236">
        <f>IF($C2236="","","C"&amp;TEXT(INT((ROW()-5)/9)+1,"000")&amp;"-4")</f>
        <v/>
      </c>
      <c r="C2236">
        <f>IF(OR(Registro_Compras!$C$251="",Registro_Compras!$O$251="",Registro_Compras!$Y$251="",Registro_Compras!$F$251="NOTA DE CREDITO"),"","10413")</f>
        <v/>
      </c>
      <c r="D2236">
        <f>IF(OR(Registro_Compras!$C$251="",Registro_Compras!$O$251=""),"","Efectivo y Equivalentes - Cta. Cte. Operativa")</f>
        <v/>
      </c>
      <c r="E2236" s="20">
        <f>""</f>
        <v/>
      </c>
      <c r="F2236" s="20">
        <f>IF($C2236="","",IF(Registro_Compras!$F$251="RHE",(ROUND(Registro_Compras!$L$251*Registro_Compras!$N$251,2)-ROUND(Registro_Compras!$V$251*Registro_Compras!$N$251,2)),ROUND(Registro_Compras!$O$251-Registro_Compras!$S$251,2)))</f>
        <v/>
      </c>
      <c r="G2236">
        <f>IF($C2236="","","Por la cancelacion del saldo al proveedor")</f>
        <v/>
      </c>
      <c r="H2236">
        <f>IF($C2236="","",Registro_Compras!$C$251)</f>
        <v/>
      </c>
    </row>
    <row r="2237">
      <c r="A2237" s="25">
        <f>IF($C2237="","",Registro_Compras!$B$252)</f>
        <v/>
      </c>
      <c r="B2237">
        <f>IF($C2237="","","C"&amp;TEXT(INT((ROW()-5)/9)+1,"000")&amp;"-1")</f>
        <v/>
      </c>
      <c r="C2237">
        <f>IF(OR(Registro_Compras!$C$252="",Registro_Compras!$O$252=""),"",IF(Registro_Compras!$F$252="NOTA DE CREDITO","4212",IF(Registro_Compras!$M$252="","63",Registro_Compras!$M$252)))</f>
        <v/>
      </c>
      <c r="D2237">
        <f>IF(OR(Registro_Compras!$C$252="",Registro_Compras!$O$252=""),"",IF(Registro_Compras!$F$252="NOTA DE CREDITO","Cuentas por Pagar Comerciales - Terceros (Emitidas)",IF(Registro_Compras!$F$252="RHE","Honorarios Profesionales - Servicios de Terceros","Gastos de Servicios Prestados por Terceros")))</f>
        <v/>
      </c>
      <c r="E2237" s="20">
        <f>IF($C2237="","",IF(Registro_Compras!$F$252="NOTA DE CREDITO",ABS(Registro_Compras!$O$252),IF(Registro_Compras!$F$252="RHE",ROUND(Registro_Compras!$L$252*Registro_Compras!$N$252,2),ROUND(Registro_Compras!$J$252*Registro_Compras!$N$252,2))))</f>
        <v/>
      </c>
      <c r="F2237" s="20">
        <f>""</f>
        <v/>
      </c>
      <c r="G2237">
        <f>IF($C2237="","",IF(Registro_Compras!$F$252="NOTA DE CREDITO","Por la nota de credito "&amp;Registro_Compras!$C$252&amp;" de "&amp;Registro_Compras!$E$252&amp;" [PATRON POR CONFIRMAR CON CONTADOR]",IF(Registro_Compras!$F$252="RHE","Por el registro del recibo por honorarios "&amp;Registro_Compras!$C$252&amp;" de "&amp;Registro_Compras!$E$252&amp;" [PATRON POR CONFIRMAR CON CONTADOR]","Por el registro de la factura "&amp;Registro_Compras!$C$252&amp;" de "&amp;Registro_Compras!$E$252)))</f>
        <v/>
      </c>
      <c r="H2237">
        <f>IF($C2237="","",Registro_Compras!$C$252)</f>
        <v/>
      </c>
    </row>
    <row r="2238">
      <c r="A2238" s="25">
        <f>IF($C2238="","",Registro_Compras!$B$252)</f>
        <v/>
      </c>
      <c r="B2238">
        <f>IF($C2238="","","C"&amp;TEXT(INT((ROW()-5)/9)+1,"000")&amp;"-1")</f>
        <v/>
      </c>
      <c r="C2238">
        <f>IF(OR(Registro_Compras!$C$252="",Registro_Compras!$O$252=""),"",IF(Registro_Compras!$F$252="RHE",IF(Registro_Compras!$V$252=0,"","40172"),IF(Registro_Compras!$F$252="NOTA DE CREDITO",IF(Registro_Compras!$M$252="","63",Registro_Compras!$M$252),IF(Registro_Compras!$K$252=0,"","40111"))))</f>
        <v/>
      </c>
      <c r="D2238">
        <f>IF(OR(Registro_Compras!$C$252="",Registro_Compras!$O$252=""),"",IF(Registro_Compras!$F$252="RHE","Retencion Renta 4ta Categoria por Pagar",IF(Registro_Compras!$F$252="NOTA DE CREDITO","Gastos de Servicios Prestados por Terceros","IGV - Cuenta Propia (Credito Fiscal)")))</f>
        <v/>
      </c>
      <c r="E2238" s="20">
        <f>IF($C2238="","",IF(Registro_Compras!$F$252="FACTURA",ROUND(Registro_Compras!$K$252*Registro_Compras!$N$252,2),""))</f>
        <v/>
      </c>
      <c r="F2238" s="20">
        <f>IF($C2238="","",IF(Registro_Compras!$F$252="RHE",ROUND(Registro_Compras!$V$252*Registro_Compras!$N$252,2),IF(Registro_Compras!$F$252="NOTA DE CREDITO",ROUND(ABS(Registro_Compras!$J$252*Registro_Compras!$N$252),2),"")))</f>
        <v/>
      </c>
      <c r="G2238">
        <f>IF($C2238="","",IF(Registro_Compras!$F$252="NOTA DE CREDITO","Por la nota de credito "&amp;Registro_Compras!$C$252&amp;" de "&amp;Registro_Compras!$E$252&amp;" [PATRON POR CONFIRMAR CON CONTADOR]",IF(Registro_Compras!$F$252="RHE","Por el registro del recibo por honorarios "&amp;Registro_Compras!$C$252&amp;" de "&amp;Registro_Compras!$E$252&amp;" [PATRON POR CONFIRMAR CON CONTADOR]","Por el registro de la factura "&amp;Registro_Compras!$C$252&amp;" de "&amp;Registro_Compras!$E$252)))</f>
        <v/>
      </c>
      <c r="H2238">
        <f>IF($C2238="","",Registro_Compras!$C$252)</f>
        <v/>
      </c>
    </row>
    <row r="2239">
      <c r="A2239" s="25">
        <f>IF($C2239="","",Registro_Compras!$B$252)</f>
        <v/>
      </c>
      <c r="B2239">
        <f>IF($C2239="","","C"&amp;TEXT(INT((ROW()-5)/9)+1,"000")&amp;"-1")</f>
        <v/>
      </c>
      <c r="C2239">
        <f>IF(OR(Registro_Compras!$C$252="",Registro_Compras!$O$252=""),"",IF(Registro_Compras!$F$252="NOTA DE CREDITO",IF(Registro_Compras!$K$252=0,"","40111"),"4212"))</f>
        <v/>
      </c>
      <c r="D2239">
        <f>IF(OR(Registro_Compras!$C$252="",Registro_Compras!$O$252=""),"",IF(Registro_Compras!$F$252="NOTA DE CREDITO","IGV - Cuenta Propia (Credito Fiscal)","Cuentas por Pagar Comerciales - Terceros (Emitidas)"))</f>
        <v/>
      </c>
      <c r="E2239" s="20">
        <f>""</f>
        <v/>
      </c>
      <c r="F2239" s="20">
        <f>IF($C2239="","",IF(Registro_Compras!$F$252="NOTA DE CREDITO",ROUND(ABS(Registro_Compras!$K$252*Registro_Compras!$N$252),2),IF(Registro_Compras!$F$252="RHE",(ROUND(Registro_Compras!$L$252*Registro_Compras!$N$252,2)-ROUND(Registro_Compras!$V$252*Registro_Compras!$N$252,2)),Registro_Compras!$O$252)))</f>
        <v/>
      </c>
      <c r="G2239">
        <f>IF($C2239="","",IF(Registro_Compras!$F$252="NOTA DE CREDITO","Por la nota de credito "&amp;Registro_Compras!$C$252&amp;" de "&amp;Registro_Compras!$E$252&amp;" [PATRON POR CONFIRMAR CON CONTADOR]",IF(Registro_Compras!$F$252="RHE","Por el registro del recibo por honorarios "&amp;Registro_Compras!$C$252&amp;" de "&amp;Registro_Compras!$E$252&amp;" [PATRON POR CONFIRMAR CON CONTADOR]","Por el registro de la factura "&amp;Registro_Compras!$C$252&amp;" de "&amp;Registro_Compras!$E$252)))</f>
        <v/>
      </c>
      <c r="H2239">
        <f>IF($C2239="","",Registro_Compras!$C$252)</f>
        <v/>
      </c>
    </row>
    <row r="2240">
      <c r="A2240" s="25">
        <f>IF($C2240="","",Registro_Compras!$B$252)</f>
        <v/>
      </c>
      <c r="B2240">
        <f>IF($C2240="","","C"&amp;TEXT(INT((ROW()-5)/9)+1,"000")&amp;"-2")</f>
        <v/>
      </c>
      <c r="C2240">
        <f>IF(OR(Registro_Compras!$C$252="",Registro_Compras!$O$252=""),"",IF(Registro_Compras!$AB$252="ADMINISTRATIVO","94","95"))</f>
        <v/>
      </c>
      <c r="D2240">
        <f>IF(OR(Registro_Compras!$C$252="",Registro_Compras!$O$252=""),"",IF(Registro_Compras!$AB$252="ADMINISTRATIVO","Gastos Administrativos","Gastos de Venta y Operacion"))</f>
        <v/>
      </c>
      <c r="E2240" s="20">
        <f>IF($C2240="","",IF(Registro_Compras!$F$252="NOTA DE CREDITO","",IF(Registro_Compras!$F$252="RHE",ROUND(Registro_Compras!$L$252*Registro_Compras!$N$252,2),ROUND(Registro_Compras!$J$252*Registro_Compras!$N$252,2))))</f>
        <v/>
      </c>
      <c r="F2240" s="20">
        <f>IF($C2240="","",IF(Registro_Compras!$F$252="NOTA DE CREDITO",ROUND(ABS(Registro_Compras!$J$252*Registro_Compras!$N$252),2),""))</f>
        <v/>
      </c>
      <c r="G2240">
        <f>IF($C2240="","","Por el destino del gasto")</f>
        <v/>
      </c>
      <c r="H2240">
        <f>IF($C2240="","",Registro_Compras!$C$252)</f>
        <v/>
      </c>
    </row>
    <row r="2241">
      <c r="A2241" s="25">
        <f>IF($C2241="","",Registro_Compras!$B$252)</f>
        <v/>
      </c>
      <c r="B2241">
        <f>IF($C2241="","","C"&amp;TEXT(INT((ROW()-5)/9)+1,"000")&amp;"-2")</f>
        <v/>
      </c>
      <c r="C2241">
        <f>IF(OR(Registro_Compras!$C$252="",Registro_Compras!$O$252=""),"","79/791")</f>
        <v/>
      </c>
      <c r="D2241">
        <f>IF(OR(Registro_Compras!$C$252="",Registro_Compras!$O$252=""),"","Cargas Imputables a Cuentas de Costos y Gastos")</f>
        <v/>
      </c>
      <c r="E2241" s="20">
        <f>IF($C2241="","",IF(Registro_Compras!$F$252="NOTA DE CREDITO",ROUND(ABS(Registro_Compras!$J$252*Registro_Compras!$N$252),2),""))</f>
        <v/>
      </c>
      <c r="F2241" s="20">
        <f>IF($C2241="","",IF(Registro_Compras!$F$252="NOTA DE CREDITO","",IF(Registro_Compras!$F$252="RHE",ROUND(Registro_Compras!$L$252*Registro_Compras!$N$252,2),ROUND(Registro_Compras!$J$252*Registro_Compras!$N$252,2))))</f>
        <v/>
      </c>
      <c r="G2241">
        <f>IF($C2241="","","Por el destino del gasto")</f>
        <v/>
      </c>
      <c r="H2241">
        <f>IF($C2241="","",Registro_Compras!$C$252)</f>
        <v/>
      </c>
    </row>
    <row r="2242">
      <c r="A2242" s="25">
        <f>IF($C2242="","",Registro_Compras!$X$252)</f>
        <v/>
      </c>
      <c r="B2242">
        <f>IF($C2242="","","C"&amp;TEXT(INT((ROW()-5)/9)+1,"000")&amp;"-3")</f>
        <v/>
      </c>
      <c r="C2242">
        <f>IF(OR(Registro_Compras!$C$252="",Registro_Compras!$O$252="",Registro_Compras!$R$252&lt;&gt;"SI",Registro_Compras!$X$252=""),"","4212")</f>
        <v/>
      </c>
      <c r="D2242">
        <f>IF(OR(Registro_Compras!$C$252="",Registro_Compras!$O$252=""),"","Cuentas por Pagar Comerciales - Terceros")</f>
        <v/>
      </c>
      <c r="E2242" s="20">
        <f>IF($C2242="","",Registro_Compras!$S$252)</f>
        <v/>
      </c>
      <c r="F2242" s="20">
        <f>""</f>
        <v/>
      </c>
      <c r="G2242">
        <f>IF($C2242="","","Por el deposito de la detraccion en el Banco de la Nacion")</f>
        <v/>
      </c>
      <c r="H2242">
        <f>IF($C2242="","",Registro_Compras!$C$252)</f>
        <v/>
      </c>
    </row>
    <row r="2243">
      <c r="A2243" s="25">
        <f>IF($C2243="","",Registro_Compras!$X$252)</f>
        <v/>
      </c>
      <c r="B2243">
        <f>IF($C2243="","","C"&amp;TEXT(INT((ROW()-5)/9)+1,"000")&amp;"-3")</f>
        <v/>
      </c>
      <c r="C2243">
        <f>IF(OR(Registro_Compras!$C$252="",Registro_Compras!$O$252="",Registro_Compras!$R$252&lt;&gt;"SI",Registro_Compras!$X$252=""),"","10413")</f>
        <v/>
      </c>
      <c r="D2243">
        <f>IF(OR(Registro_Compras!$C$252="",Registro_Compras!$O$252=""),"","Efectivo y Equivalentes - Cta. Cte. Operativa")</f>
        <v/>
      </c>
      <c r="E2243" s="20">
        <f>""</f>
        <v/>
      </c>
      <c r="F2243" s="20">
        <f>IF($C2243="","",Registro_Compras!$S$252)</f>
        <v/>
      </c>
      <c r="G2243">
        <f>IF($C2243="","","Por el deposito de la detraccion en el Banco de la Nacion")</f>
        <v/>
      </c>
      <c r="H2243">
        <f>IF($C2243="","",Registro_Compras!$C$252)</f>
        <v/>
      </c>
    </row>
    <row r="2244">
      <c r="A2244" s="25">
        <f>IF($C2244="","",Registro_Compras!$Y$252)</f>
        <v/>
      </c>
      <c r="B2244">
        <f>IF($C2244="","","C"&amp;TEXT(INT((ROW()-5)/9)+1,"000")&amp;"-4")</f>
        <v/>
      </c>
      <c r="C2244">
        <f>IF(OR(Registro_Compras!$C$252="",Registro_Compras!$O$252="",Registro_Compras!$Y$252="",Registro_Compras!$F$252="NOTA DE CREDITO"),"","4212")</f>
        <v/>
      </c>
      <c r="D2244">
        <f>IF(OR(Registro_Compras!$C$252="",Registro_Compras!$O$252=""),"","Cuentas por Pagar Comerciales - Terceros")</f>
        <v/>
      </c>
      <c r="E2244" s="20">
        <f>IF($C2244="","",IF(Registro_Compras!$F$252="RHE",(ROUND(Registro_Compras!$L$252*Registro_Compras!$N$252,2)-ROUND(Registro_Compras!$V$252*Registro_Compras!$N$252,2)),ROUND(Registro_Compras!$O$252-Registro_Compras!$S$252,2)))</f>
        <v/>
      </c>
      <c r="F2244" s="20">
        <f>""</f>
        <v/>
      </c>
      <c r="G2244">
        <f>IF($C2244="","","Por la cancelacion del saldo al proveedor")</f>
        <v/>
      </c>
      <c r="H2244">
        <f>IF($C2244="","",Registro_Compras!$C$252)</f>
        <v/>
      </c>
    </row>
    <row r="2245">
      <c r="A2245" s="25">
        <f>IF($C2245="","",Registro_Compras!$Y$252)</f>
        <v/>
      </c>
      <c r="B2245">
        <f>IF($C2245="","","C"&amp;TEXT(INT((ROW()-5)/9)+1,"000")&amp;"-4")</f>
        <v/>
      </c>
      <c r="C2245">
        <f>IF(OR(Registro_Compras!$C$252="",Registro_Compras!$O$252="",Registro_Compras!$Y$252="",Registro_Compras!$F$252="NOTA DE CREDITO"),"","10413")</f>
        <v/>
      </c>
      <c r="D2245">
        <f>IF(OR(Registro_Compras!$C$252="",Registro_Compras!$O$252=""),"","Efectivo y Equivalentes - Cta. Cte. Operativa")</f>
        <v/>
      </c>
      <c r="E2245" s="20">
        <f>""</f>
        <v/>
      </c>
      <c r="F2245" s="20">
        <f>IF($C2245="","",IF(Registro_Compras!$F$252="RHE",(ROUND(Registro_Compras!$L$252*Registro_Compras!$N$252,2)-ROUND(Registro_Compras!$V$252*Registro_Compras!$N$252,2)),ROUND(Registro_Compras!$O$252-Registro_Compras!$S$252,2)))</f>
        <v/>
      </c>
      <c r="G2245">
        <f>IF($C2245="","","Por la cancelacion del saldo al proveedor")</f>
        <v/>
      </c>
      <c r="H2245">
        <f>IF($C2245="","",Registro_Compras!$C$252)</f>
        <v/>
      </c>
    </row>
    <row r="2246">
      <c r="A2246" s="25">
        <f>IF($C2246="","",Registro_Compras!$B$253)</f>
        <v/>
      </c>
      <c r="B2246">
        <f>IF($C2246="","","C"&amp;TEXT(INT((ROW()-5)/9)+1,"000")&amp;"-1")</f>
        <v/>
      </c>
      <c r="C2246">
        <f>IF(OR(Registro_Compras!$C$253="",Registro_Compras!$O$253=""),"",IF(Registro_Compras!$F$253="NOTA DE CREDITO","4212",IF(Registro_Compras!$M$253="","63",Registro_Compras!$M$253)))</f>
        <v/>
      </c>
      <c r="D2246">
        <f>IF(OR(Registro_Compras!$C$253="",Registro_Compras!$O$253=""),"",IF(Registro_Compras!$F$253="NOTA DE CREDITO","Cuentas por Pagar Comerciales - Terceros (Emitidas)",IF(Registro_Compras!$F$253="RHE","Honorarios Profesionales - Servicios de Terceros","Gastos de Servicios Prestados por Terceros")))</f>
        <v/>
      </c>
      <c r="E2246" s="20">
        <f>IF($C2246="","",IF(Registro_Compras!$F$253="NOTA DE CREDITO",ABS(Registro_Compras!$O$253),IF(Registro_Compras!$F$253="RHE",ROUND(Registro_Compras!$L$253*Registro_Compras!$N$253,2),ROUND(Registro_Compras!$J$253*Registro_Compras!$N$253,2))))</f>
        <v/>
      </c>
      <c r="F2246" s="20">
        <f>""</f>
        <v/>
      </c>
      <c r="G2246">
        <f>IF($C2246="","",IF(Registro_Compras!$F$253="NOTA DE CREDITO","Por la nota de credito "&amp;Registro_Compras!$C$253&amp;" de "&amp;Registro_Compras!$E$253&amp;" [PATRON POR CONFIRMAR CON CONTADOR]",IF(Registro_Compras!$F$253="RHE","Por el registro del recibo por honorarios "&amp;Registro_Compras!$C$253&amp;" de "&amp;Registro_Compras!$E$253&amp;" [PATRON POR CONFIRMAR CON CONTADOR]","Por el registro de la factura "&amp;Registro_Compras!$C$253&amp;" de "&amp;Registro_Compras!$E$253)))</f>
        <v/>
      </c>
      <c r="H2246">
        <f>IF($C2246="","",Registro_Compras!$C$253)</f>
        <v/>
      </c>
    </row>
    <row r="2247">
      <c r="A2247" s="25">
        <f>IF($C2247="","",Registro_Compras!$B$253)</f>
        <v/>
      </c>
      <c r="B2247">
        <f>IF($C2247="","","C"&amp;TEXT(INT((ROW()-5)/9)+1,"000")&amp;"-1")</f>
        <v/>
      </c>
      <c r="C2247">
        <f>IF(OR(Registro_Compras!$C$253="",Registro_Compras!$O$253=""),"",IF(Registro_Compras!$F$253="RHE",IF(Registro_Compras!$V$253=0,"","40172"),IF(Registro_Compras!$F$253="NOTA DE CREDITO",IF(Registro_Compras!$M$253="","63",Registro_Compras!$M$253),IF(Registro_Compras!$K$253=0,"","40111"))))</f>
        <v/>
      </c>
      <c r="D2247">
        <f>IF(OR(Registro_Compras!$C$253="",Registro_Compras!$O$253=""),"",IF(Registro_Compras!$F$253="RHE","Retencion Renta 4ta Categoria por Pagar",IF(Registro_Compras!$F$253="NOTA DE CREDITO","Gastos de Servicios Prestados por Terceros","IGV - Cuenta Propia (Credito Fiscal)")))</f>
        <v/>
      </c>
      <c r="E2247" s="20">
        <f>IF($C2247="","",IF(Registro_Compras!$F$253="FACTURA",ROUND(Registro_Compras!$K$253*Registro_Compras!$N$253,2),""))</f>
        <v/>
      </c>
      <c r="F2247" s="20">
        <f>IF($C2247="","",IF(Registro_Compras!$F$253="RHE",ROUND(Registro_Compras!$V$253*Registro_Compras!$N$253,2),IF(Registro_Compras!$F$253="NOTA DE CREDITO",ROUND(ABS(Registro_Compras!$J$253*Registro_Compras!$N$253),2),"")))</f>
        <v/>
      </c>
      <c r="G2247">
        <f>IF($C2247="","",IF(Registro_Compras!$F$253="NOTA DE CREDITO","Por la nota de credito "&amp;Registro_Compras!$C$253&amp;" de "&amp;Registro_Compras!$E$253&amp;" [PATRON POR CONFIRMAR CON CONTADOR]",IF(Registro_Compras!$F$253="RHE","Por el registro del recibo por honorarios "&amp;Registro_Compras!$C$253&amp;" de "&amp;Registro_Compras!$E$253&amp;" [PATRON POR CONFIRMAR CON CONTADOR]","Por el registro de la factura "&amp;Registro_Compras!$C$253&amp;" de "&amp;Registro_Compras!$E$253)))</f>
        <v/>
      </c>
      <c r="H2247">
        <f>IF($C2247="","",Registro_Compras!$C$253)</f>
        <v/>
      </c>
    </row>
    <row r="2248">
      <c r="A2248" s="25">
        <f>IF($C2248="","",Registro_Compras!$B$253)</f>
        <v/>
      </c>
      <c r="B2248">
        <f>IF($C2248="","","C"&amp;TEXT(INT((ROW()-5)/9)+1,"000")&amp;"-1")</f>
        <v/>
      </c>
      <c r="C2248">
        <f>IF(OR(Registro_Compras!$C$253="",Registro_Compras!$O$253=""),"",IF(Registro_Compras!$F$253="NOTA DE CREDITO",IF(Registro_Compras!$K$253=0,"","40111"),"4212"))</f>
        <v/>
      </c>
      <c r="D2248">
        <f>IF(OR(Registro_Compras!$C$253="",Registro_Compras!$O$253=""),"",IF(Registro_Compras!$F$253="NOTA DE CREDITO","IGV - Cuenta Propia (Credito Fiscal)","Cuentas por Pagar Comerciales - Terceros (Emitidas)"))</f>
        <v/>
      </c>
      <c r="E2248" s="20">
        <f>""</f>
        <v/>
      </c>
      <c r="F2248" s="20">
        <f>IF($C2248="","",IF(Registro_Compras!$F$253="NOTA DE CREDITO",ROUND(ABS(Registro_Compras!$K$253*Registro_Compras!$N$253),2),IF(Registro_Compras!$F$253="RHE",(ROUND(Registro_Compras!$L$253*Registro_Compras!$N$253,2)-ROUND(Registro_Compras!$V$253*Registro_Compras!$N$253,2)),Registro_Compras!$O$253)))</f>
        <v/>
      </c>
      <c r="G2248">
        <f>IF($C2248="","",IF(Registro_Compras!$F$253="NOTA DE CREDITO","Por la nota de credito "&amp;Registro_Compras!$C$253&amp;" de "&amp;Registro_Compras!$E$253&amp;" [PATRON POR CONFIRMAR CON CONTADOR]",IF(Registro_Compras!$F$253="RHE","Por el registro del recibo por honorarios "&amp;Registro_Compras!$C$253&amp;" de "&amp;Registro_Compras!$E$253&amp;" [PATRON POR CONFIRMAR CON CONTADOR]","Por el registro de la factura "&amp;Registro_Compras!$C$253&amp;" de "&amp;Registro_Compras!$E$253)))</f>
        <v/>
      </c>
      <c r="H2248">
        <f>IF($C2248="","",Registro_Compras!$C$253)</f>
        <v/>
      </c>
    </row>
    <row r="2249">
      <c r="A2249" s="25">
        <f>IF($C2249="","",Registro_Compras!$B$253)</f>
        <v/>
      </c>
      <c r="B2249">
        <f>IF($C2249="","","C"&amp;TEXT(INT((ROW()-5)/9)+1,"000")&amp;"-2")</f>
        <v/>
      </c>
      <c r="C2249">
        <f>IF(OR(Registro_Compras!$C$253="",Registro_Compras!$O$253=""),"",IF(Registro_Compras!$AB$253="ADMINISTRATIVO","94","95"))</f>
        <v/>
      </c>
      <c r="D2249">
        <f>IF(OR(Registro_Compras!$C$253="",Registro_Compras!$O$253=""),"",IF(Registro_Compras!$AB$253="ADMINISTRATIVO","Gastos Administrativos","Gastos de Venta y Operacion"))</f>
        <v/>
      </c>
      <c r="E2249" s="20">
        <f>IF($C2249="","",IF(Registro_Compras!$F$253="NOTA DE CREDITO","",IF(Registro_Compras!$F$253="RHE",ROUND(Registro_Compras!$L$253*Registro_Compras!$N$253,2),ROUND(Registro_Compras!$J$253*Registro_Compras!$N$253,2))))</f>
        <v/>
      </c>
      <c r="F2249" s="20">
        <f>IF($C2249="","",IF(Registro_Compras!$F$253="NOTA DE CREDITO",ROUND(ABS(Registro_Compras!$J$253*Registro_Compras!$N$253),2),""))</f>
        <v/>
      </c>
      <c r="G2249">
        <f>IF($C2249="","","Por el destino del gasto")</f>
        <v/>
      </c>
      <c r="H2249">
        <f>IF($C2249="","",Registro_Compras!$C$253)</f>
        <v/>
      </c>
    </row>
    <row r="2250">
      <c r="A2250" s="25">
        <f>IF($C2250="","",Registro_Compras!$B$253)</f>
        <v/>
      </c>
      <c r="B2250">
        <f>IF($C2250="","","C"&amp;TEXT(INT((ROW()-5)/9)+1,"000")&amp;"-2")</f>
        <v/>
      </c>
      <c r="C2250">
        <f>IF(OR(Registro_Compras!$C$253="",Registro_Compras!$O$253=""),"","79/791")</f>
        <v/>
      </c>
      <c r="D2250">
        <f>IF(OR(Registro_Compras!$C$253="",Registro_Compras!$O$253=""),"","Cargas Imputables a Cuentas de Costos y Gastos")</f>
        <v/>
      </c>
      <c r="E2250" s="20">
        <f>IF($C2250="","",IF(Registro_Compras!$F$253="NOTA DE CREDITO",ROUND(ABS(Registro_Compras!$J$253*Registro_Compras!$N$253),2),""))</f>
        <v/>
      </c>
      <c r="F2250" s="20">
        <f>IF($C2250="","",IF(Registro_Compras!$F$253="NOTA DE CREDITO","",IF(Registro_Compras!$F$253="RHE",ROUND(Registro_Compras!$L$253*Registro_Compras!$N$253,2),ROUND(Registro_Compras!$J$253*Registro_Compras!$N$253,2))))</f>
        <v/>
      </c>
      <c r="G2250">
        <f>IF($C2250="","","Por el destino del gasto")</f>
        <v/>
      </c>
      <c r="H2250">
        <f>IF($C2250="","",Registro_Compras!$C$253)</f>
        <v/>
      </c>
    </row>
    <row r="2251">
      <c r="A2251" s="25">
        <f>IF($C2251="","",Registro_Compras!$X$253)</f>
        <v/>
      </c>
      <c r="B2251">
        <f>IF($C2251="","","C"&amp;TEXT(INT((ROW()-5)/9)+1,"000")&amp;"-3")</f>
        <v/>
      </c>
      <c r="C2251">
        <f>IF(OR(Registro_Compras!$C$253="",Registro_Compras!$O$253="",Registro_Compras!$R$253&lt;&gt;"SI",Registro_Compras!$X$253=""),"","4212")</f>
        <v/>
      </c>
      <c r="D2251">
        <f>IF(OR(Registro_Compras!$C$253="",Registro_Compras!$O$253=""),"","Cuentas por Pagar Comerciales - Terceros")</f>
        <v/>
      </c>
      <c r="E2251" s="20">
        <f>IF($C2251="","",Registro_Compras!$S$253)</f>
        <v/>
      </c>
      <c r="F2251" s="20">
        <f>""</f>
        <v/>
      </c>
      <c r="G2251">
        <f>IF($C2251="","","Por el deposito de la detraccion en el Banco de la Nacion")</f>
        <v/>
      </c>
      <c r="H2251">
        <f>IF($C2251="","",Registro_Compras!$C$253)</f>
        <v/>
      </c>
    </row>
    <row r="2252">
      <c r="A2252" s="25">
        <f>IF($C2252="","",Registro_Compras!$X$253)</f>
        <v/>
      </c>
      <c r="B2252">
        <f>IF($C2252="","","C"&amp;TEXT(INT((ROW()-5)/9)+1,"000")&amp;"-3")</f>
        <v/>
      </c>
      <c r="C2252">
        <f>IF(OR(Registro_Compras!$C$253="",Registro_Compras!$O$253="",Registro_Compras!$R$253&lt;&gt;"SI",Registro_Compras!$X$253=""),"","10413")</f>
        <v/>
      </c>
      <c r="D2252">
        <f>IF(OR(Registro_Compras!$C$253="",Registro_Compras!$O$253=""),"","Efectivo y Equivalentes - Cta. Cte. Operativa")</f>
        <v/>
      </c>
      <c r="E2252" s="20">
        <f>""</f>
        <v/>
      </c>
      <c r="F2252" s="20">
        <f>IF($C2252="","",Registro_Compras!$S$253)</f>
        <v/>
      </c>
      <c r="G2252">
        <f>IF($C2252="","","Por el deposito de la detraccion en el Banco de la Nacion")</f>
        <v/>
      </c>
      <c r="H2252">
        <f>IF($C2252="","",Registro_Compras!$C$253)</f>
        <v/>
      </c>
    </row>
    <row r="2253">
      <c r="A2253" s="25">
        <f>IF($C2253="","",Registro_Compras!$Y$253)</f>
        <v/>
      </c>
      <c r="B2253">
        <f>IF($C2253="","","C"&amp;TEXT(INT((ROW()-5)/9)+1,"000")&amp;"-4")</f>
        <v/>
      </c>
      <c r="C2253">
        <f>IF(OR(Registro_Compras!$C$253="",Registro_Compras!$O$253="",Registro_Compras!$Y$253="",Registro_Compras!$F$253="NOTA DE CREDITO"),"","4212")</f>
        <v/>
      </c>
      <c r="D2253">
        <f>IF(OR(Registro_Compras!$C$253="",Registro_Compras!$O$253=""),"","Cuentas por Pagar Comerciales - Terceros")</f>
        <v/>
      </c>
      <c r="E2253" s="20">
        <f>IF($C2253="","",IF(Registro_Compras!$F$253="RHE",(ROUND(Registro_Compras!$L$253*Registro_Compras!$N$253,2)-ROUND(Registro_Compras!$V$253*Registro_Compras!$N$253,2)),ROUND(Registro_Compras!$O$253-Registro_Compras!$S$253,2)))</f>
        <v/>
      </c>
      <c r="F2253" s="20">
        <f>""</f>
        <v/>
      </c>
      <c r="G2253">
        <f>IF($C2253="","","Por la cancelacion del saldo al proveedor")</f>
        <v/>
      </c>
      <c r="H2253">
        <f>IF($C2253="","",Registro_Compras!$C$253)</f>
        <v/>
      </c>
    </row>
    <row r="2254">
      <c r="A2254" s="25">
        <f>IF($C2254="","",Registro_Compras!$Y$253)</f>
        <v/>
      </c>
      <c r="B2254">
        <f>IF($C2254="","","C"&amp;TEXT(INT((ROW()-5)/9)+1,"000")&amp;"-4")</f>
        <v/>
      </c>
      <c r="C2254">
        <f>IF(OR(Registro_Compras!$C$253="",Registro_Compras!$O$253="",Registro_Compras!$Y$253="",Registro_Compras!$F$253="NOTA DE CREDITO"),"","10413")</f>
        <v/>
      </c>
      <c r="D2254">
        <f>IF(OR(Registro_Compras!$C$253="",Registro_Compras!$O$253=""),"","Efectivo y Equivalentes - Cta. Cte. Operativa")</f>
        <v/>
      </c>
      <c r="E2254" s="20">
        <f>""</f>
        <v/>
      </c>
      <c r="F2254" s="20">
        <f>IF($C2254="","",IF(Registro_Compras!$F$253="RHE",(ROUND(Registro_Compras!$L$253*Registro_Compras!$N$253,2)-ROUND(Registro_Compras!$V$253*Registro_Compras!$N$253,2)),ROUND(Registro_Compras!$O$253-Registro_Compras!$S$253,2)))</f>
        <v/>
      </c>
      <c r="G2254">
        <f>IF($C2254="","","Por la cancelacion del saldo al proveedor")</f>
        <v/>
      </c>
      <c r="H2254">
        <f>IF($C2254="","",Registro_Compras!$C$253)</f>
        <v/>
      </c>
    </row>
    <row r="2255">
      <c r="A2255" s="25">
        <f>IF($C2255="","",Registro_Compras!$B$254)</f>
        <v/>
      </c>
      <c r="B2255">
        <f>IF($C2255="","","C"&amp;TEXT(INT((ROW()-5)/9)+1,"000")&amp;"-1")</f>
        <v/>
      </c>
      <c r="C2255">
        <f>IF(OR(Registro_Compras!$C$254="",Registro_Compras!$O$254=""),"",IF(Registro_Compras!$F$254="NOTA DE CREDITO","4212",IF(Registro_Compras!$M$254="","63",Registro_Compras!$M$254)))</f>
        <v/>
      </c>
      <c r="D2255">
        <f>IF(OR(Registro_Compras!$C$254="",Registro_Compras!$O$254=""),"",IF(Registro_Compras!$F$254="NOTA DE CREDITO","Cuentas por Pagar Comerciales - Terceros (Emitidas)",IF(Registro_Compras!$F$254="RHE","Honorarios Profesionales - Servicios de Terceros","Gastos de Servicios Prestados por Terceros")))</f>
        <v/>
      </c>
      <c r="E2255" s="20">
        <f>IF($C2255="","",IF(Registro_Compras!$F$254="NOTA DE CREDITO",ABS(Registro_Compras!$O$254),IF(Registro_Compras!$F$254="RHE",ROUND(Registro_Compras!$L$254*Registro_Compras!$N$254,2),ROUND(Registro_Compras!$J$254*Registro_Compras!$N$254,2))))</f>
        <v/>
      </c>
      <c r="F2255" s="20">
        <f>""</f>
        <v/>
      </c>
      <c r="G2255">
        <f>IF($C2255="","",IF(Registro_Compras!$F$254="NOTA DE CREDITO","Por la nota de credito "&amp;Registro_Compras!$C$254&amp;" de "&amp;Registro_Compras!$E$254&amp;" [PATRON POR CONFIRMAR CON CONTADOR]",IF(Registro_Compras!$F$254="RHE","Por el registro del recibo por honorarios "&amp;Registro_Compras!$C$254&amp;" de "&amp;Registro_Compras!$E$254&amp;" [PATRON POR CONFIRMAR CON CONTADOR]","Por el registro de la factura "&amp;Registro_Compras!$C$254&amp;" de "&amp;Registro_Compras!$E$254)))</f>
        <v/>
      </c>
      <c r="H2255">
        <f>IF($C2255="","",Registro_Compras!$C$254)</f>
        <v/>
      </c>
    </row>
    <row r="2256">
      <c r="A2256" s="25">
        <f>IF($C2256="","",Registro_Compras!$B$254)</f>
        <v/>
      </c>
      <c r="B2256">
        <f>IF($C2256="","","C"&amp;TEXT(INT((ROW()-5)/9)+1,"000")&amp;"-1")</f>
        <v/>
      </c>
      <c r="C2256">
        <f>IF(OR(Registro_Compras!$C$254="",Registro_Compras!$O$254=""),"",IF(Registro_Compras!$F$254="RHE",IF(Registro_Compras!$V$254=0,"","40172"),IF(Registro_Compras!$F$254="NOTA DE CREDITO",IF(Registro_Compras!$M$254="","63",Registro_Compras!$M$254),IF(Registro_Compras!$K$254=0,"","40111"))))</f>
        <v/>
      </c>
      <c r="D2256">
        <f>IF(OR(Registro_Compras!$C$254="",Registro_Compras!$O$254=""),"",IF(Registro_Compras!$F$254="RHE","Retencion Renta 4ta Categoria por Pagar",IF(Registro_Compras!$F$254="NOTA DE CREDITO","Gastos de Servicios Prestados por Terceros","IGV - Cuenta Propia (Credito Fiscal)")))</f>
        <v/>
      </c>
      <c r="E2256" s="20">
        <f>IF($C2256="","",IF(Registro_Compras!$F$254="FACTURA",ROUND(Registro_Compras!$K$254*Registro_Compras!$N$254,2),""))</f>
        <v/>
      </c>
      <c r="F2256" s="20">
        <f>IF($C2256="","",IF(Registro_Compras!$F$254="RHE",ROUND(Registro_Compras!$V$254*Registro_Compras!$N$254,2),IF(Registro_Compras!$F$254="NOTA DE CREDITO",ROUND(ABS(Registro_Compras!$J$254*Registro_Compras!$N$254),2),"")))</f>
        <v/>
      </c>
      <c r="G2256">
        <f>IF($C2256="","",IF(Registro_Compras!$F$254="NOTA DE CREDITO","Por la nota de credito "&amp;Registro_Compras!$C$254&amp;" de "&amp;Registro_Compras!$E$254&amp;" [PATRON POR CONFIRMAR CON CONTADOR]",IF(Registro_Compras!$F$254="RHE","Por el registro del recibo por honorarios "&amp;Registro_Compras!$C$254&amp;" de "&amp;Registro_Compras!$E$254&amp;" [PATRON POR CONFIRMAR CON CONTADOR]","Por el registro de la factura "&amp;Registro_Compras!$C$254&amp;" de "&amp;Registro_Compras!$E$254)))</f>
        <v/>
      </c>
      <c r="H2256">
        <f>IF($C2256="","",Registro_Compras!$C$254)</f>
        <v/>
      </c>
    </row>
    <row r="2257">
      <c r="A2257" s="25">
        <f>IF($C2257="","",Registro_Compras!$B$254)</f>
        <v/>
      </c>
      <c r="B2257">
        <f>IF($C2257="","","C"&amp;TEXT(INT((ROW()-5)/9)+1,"000")&amp;"-1")</f>
        <v/>
      </c>
      <c r="C2257">
        <f>IF(OR(Registro_Compras!$C$254="",Registro_Compras!$O$254=""),"",IF(Registro_Compras!$F$254="NOTA DE CREDITO",IF(Registro_Compras!$K$254=0,"","40111"),"4212"))</f>
        <v/>
      </c>
      <c r="D2257">
        <f>IF(OR(Registro_Compras!$C$254="",Registro_Compras!$O$254=""),"",IF(Registro_Compras!$F$254="NOTA DE CREDITO","IGV - Cuenta Propia (Credito Fiscal)","Cuentas por Pagar Comerciales - Terceros (Emitidas)"))</f>
        <v/>
      </c>
      <c r="E2257" s="20">
        <f>""</f>
        <v/>
      </c>
      <c r="F2257" s="20">
        <f>IF($C2257="","",IF(Registro_Compras!$F$254="NOTA DE CREDITO",ROUND(ABS(Registro_Compras!$K$254*Registro_Compras!$N$254),2),IF(Registro_Compras!$F$254="RHE",(ROUND(Registro_Compras!$L$254*Registro_Compras!$N$254,2)-ROUND(Registro_Compras!$V$254*Registro_Compras!$N$254,2)),Registro_Compras!$O$254)))</f>
        <v/>
      </c>
      <c r="G2257">
        <f>IF($C2257="","",IF(Registro_Compras!$F$254="NOTA DE CREDITO","Por la nota de credito "&amp;Registro_Compras!$C$254&amp;" de "&amp;Registro_Compras!$E$254&amp;" [PATRON POR CONFIRMAR CON CONTADOR]",IF(Registro_Compras!$F$254="RHE","Por el registro del recibo por honorarios "&amp;Registro_Compras!$C$254&amp;" de "&amp;Registro_Compras!$E$254&amp;" [PATRON POR CONFIRMAR CON CONTADOR]","Por el registro de la factura "&amp;Registro_Compras!$C$254&amp;" de "&amp;Registro_Compras!$E$254)))</f>
        <v/>
      </c>
      <c r="H2257">
        <f>IF($C2257="","",Registro_Compras!$C$254)</f>
        <v/>
      </c>
    </row>
    <row r="2258">
      <c r="A2258" s="25">
        <f>IF($C2258="","",Registro_Compras!$B$254)</f>
        <v/>
      </c>
      <c r="B2258">
        <f>IF($C2258="","","C"&amp;TEXT(INT((ROW()-5)/9)+1,"000")&amp;"-2")</f>
        <v/>
      </c>
      <c r="C2258">
        <f>IF(OR(Registro_Compras!$C$254="",Registro_Compras!$O$254=""),"",IF(Registro_Compras!$AB$254="ADMINISTRATIVO","94","95"))</f>
        <v/>
      </c>
      <c r="D2258">
        <f>IF(OR(Registro_Compras!$C$254="",Registro_Compras!$O$254=""),"",IF(Registro_Compras!$AB$254="ADMINISTRATIVO","Gastos Administrativos","Gastos de Venta y Operacion"))</f>
        <v/>
      </c>
      <c r="E2258" s="20">
        <f>IF($C2258="","",IF(Registro_Compras!$F$254="NOTA DE CREDITO","",IF(Registro_Compras!$F$254="RHE",ROUND(Registro_Compras!$L$254*Registro_Compras!$N$254,2),ROUND(Registro_Compras!$J$254*Registro_Compras!$N$254,2))))</f>
        <v/>
      </c>
      <c r="F2258" s="20">
        <f>IF($C2258="","",IF(Registro_Compras!$F$254="NOTA DE CREDITO",ROUND(ABS(Registro_Compras!$J$254*Registro_Compras!$N$254),2),""))</f>
        <v/>
      </c>
      <c r="G2258">
        <f>IF($C2258="","","Por el destino del gasto")</f>
        <v/>
      </c>
      <c r="H2258">
        <f>IF($C2258="","",Registro_Compras!$C$254)</f>
        <v/>
      </c>
    </row>
    <row r="2259">
      <c r="A2259" s="25">
        <f>IF($C2259="","",Registro_Compras!$B$254)</f>
        <v/>
      </c>
      <c r="B2259">
        <f>IF($C2259="","","C"&amp;TEXT(INT((ROW()-5)/9)+1,"000")&amp;"-2")</f>
        <v/>
      </c>
      <c r="C2259">
        <f>IF(OR(Registro_Compras!$C$254="",Registro_Compras!$O$254=""),"","79/791")</f>
        <v/>
      </c>
      <c r="D2259">
        <f>IF(OR(Registro_Compras!$C$254="",Registro_Compras!$O$254=""),"","Cargas Imputables a Cuentas de Costos y Gastos")</f>
        <v/>
      </c>
      <c r="E2259" s="20">
        <f>IF($C2259="","",IF(Registro_Compras!$F$254="NOTA DE CREDITO",ROUND(ABS(Registro_Compras!$J$254*Registro_Compras!$N$254),2),""))</f>
        <v/>
      </c>
      <c r="F2259" s="20">
        <f>IF($C2259="","",IF(Registro_Compras!$F$254="NOTA DE CREDITO","",IF(Registro_Compras!$F$254="RHE",ROUND(Registro_Compras!$L$254*Registro_Compras!$N$254,2),ROUND(Registro_Compras!$J$254*Registro_Compras!$N$254,2))))</f>
        <v/>
      </c>
      <c r="G2259">
        <f>IF($C2259="","","Por el destino del gasto")</f>
        <v/>
      </c>
      <c r="H2259">
        <f>IF($C2259="","",Registro_Compras!$C$254)</f>
        <v/>
      </c>
    </row>
    <row r="2260">
      <c r="A2260" s="25">
        <f>IF($C2260="","",Registro_Compras!$X$254)</f>
        <v/>
      </c>
      <c r="B2260">
        <f>IF($C2260="","","C"&amp;TEXT(INT((ROW()-5)/9)+1,"000")&amp;"-3")</f>
        <v/>
      </c>
      <c r="C2260">
        <f>IF(OR(Registro_Compras!$C$254="",Registro_Compras!$O$254="",Registro_Compras!$R$254&lt;&gt;"SI",Registro_Compras!$X$254=""),"","4212")</f>
        <v/>
      </c>
      <c r="D2260">
        <f>IF(OR(Registro_Compras!$C$254="",Registro_Compras!$O$254=""),"","Cuentas por Pagar Comerciales - Terceros")</f>
        <v/>
      </c>
      <c r="E2260" s="20">
        <f>IF($C2260="","",Registro_Compras!$S$254)</f>
        <v/>
      </c>
      <c r="F2260" s="20">
        <f>""</f>
        <v/>
      </c>
      <c r="G2260">
        <f>IF($C2260="","","Por el deposito de la detraccion en el Banco de la Nacion")</f>
        <v/>
      </c>
      <c r="H2260">
        <f>IF($C2260="","",Registro_Compras!$C$254)</f>
        <v/>
      </c>
    </row>
    <row r="2261">
      <c r="A2261" s="25">
        <f>IF($C2261="","",Registro_Compras!$X$254)</f>
        <v/>
      </c>
      <c r="B2261">
        <f>IF($C2261="","","C"&amp;TEXT(INT((ROW()-5)/9)+1,"000")&amp;"-3")</f>
        <v/>
      </c>
      <c r="C2261">
        <f>IF(OR(Registro_Compras!$C$254="",Registro_Compras!$O$254="",Registro_Compras!$R$254&lt;&gt;"SI",Registro_Compras!$X$254=""),"","10413")</f>
        <v/>
      </c>
      <c r="D2261">
        <f>IF(OR(Registro_Compras!$C$254="",Registro_Compras!$O$254=""),"","Efectivo y Equivalentes - Cta. Cte. Operativa")</f>
        <v/>
      </c>
      <c r="E2261" s="20">
        <f>""</f>
        <v/>
      </c>
      <c r="F2261" s="20">
        <f>IF($C2261="","",Registro_Compras!$S$254)</f>
        <v/>
      </c>
      <c r="G2261">
        <f>IF($C2261="","","Por el deposito de la detraccion en el Banco de la Nacion")</f>
        <v/>
      </c>
      <c r="H2261">
        <f>IF($C2261="","",Registro_Compras!$C$254)</f>
        <v/>
      </c>
    </row>
    <row r="2262">
      <c r="A2262" s="25">
        <f>IF($C2262="","",Registro_Compras!$Y$254)</f>
        <v/>
      </c>
      <c r="B2262">
        <f>IF($C2262="","","C"&amp;TEXT(INT((ROW()-5)/9)+1,"000")&amp;"-4")</f>
        <v/>
      </c>
      <c r="C2262">
        <f>IF(OR(Registro_Compras!$C$254="",Registro_Compras!$O$254="",Registro_Compras!$Y$254="",Registro_Compras!$F$254="NOTA DE CREDITO"),"","4212")</f>
        <v/>
      </c>
      <c r="D2262">
        <f>IF(OR(Registro_Compras!$C$254="",Registro_Compras!$O$254=""),"","Cuentas por Pagar Comerciales - Terceros")</f>
        <v/>
      </c>
      <c r="E2262" s="20">
        <f>IF($C2262="","",IF(Registro_Compras!$F$254="RHE",(ROUND(Registro_Compras!$L$254*Registro_Compras!$N$254,2)-ROUND(Registro_Compras!$V$254*Registro_Compras!$N$254,2)),ROUND(Registro_Compras!$O$254-Registro_Compras!$S$254,2)))</f>
        <v/>
      </c>
      <c r="F2262" s="20">
        <f>""</f>
        <v/>
      </c>
      <c r="G2262">
        <f>IF($C2262="","","Por la cancelacion del saldo al proveedor")</f>
        <v/>
      </c>
      <c r="H2262">
        <f>IF($C2262="","",Registro_Compras!$C$254)</f>
        <v/>
      </c>
    </row>
    <row r="2263">
      <c r="A2263" s="25">
        <f>IF($C2263="","",Registro_Compras!$Y$254)</f>
        <v/>
      </c>
      <c r="B2263">
        <f>IF($C2263="","","C"&amp;TEXT(INT((ROW()-5)/9)+1,"000")&amp;"-4")</f>
        <v/>
      </c>
      <c r="C2263">
        <f>IF(OR(Registro_Compras!$C$254="",Registro_Compras!$O$254="",Registro_Compras!$Y$254="",Registro_Compras!$F$254="NOTA DE CREDITO"),"","10413")</f>
        <v/>
      </c>
      <c r="D2263">
        <f>IF(OR(Registro_Compras!$C$254="",Registro_Compras!$O$254=""),"","Efectivo y Equivalentes - Cta. Cte. Operativa")</f>
        <v/>
      </c>
      <c r="E2263" s="20">
        <f>""</f>
        <v/>
      </c>
      <c r="F2263" s="20">
        <f>IF($C2263="","",IF(Registro_Compras!$F$254="RHE",(ROUND(Registro_Compras!$L$254*Registro_Compras!$N$254,2)-ROUND(Registro_Compras!$V$254*Registro_Compras!$N$254,2)),ROUND(Registro_Compras!$O$254-Registro_Compras!$S$254,2)))</f>
        <v/>
      </c>
      <c r="G2263">
        <f>IF($C2263="","","Por la cancelacion del saldo al proveedor")</f>
        <v/>
      </c>
      <c r="H2263">
        <f>IF($C2263="","",Registro_Compras!$C$254)</f>
        <v/>
      </c>
    </row>
    <row r="2264">
      <c r="A2264" s="25">
        <f>IF($C2264="","",Registro_Compras!$B$255)</f>
        <v/>
      </c>
      <c r="B2264">
        <f>IF($C2264="","","C"&amp;TEXT(INT((ROW()-5)/9)+1,"000")&amp;"-1")</f>
        <v/>
      </c>
      <c r="C2264">
        <f>IF(OR(Registro_Compras!$C$255="",Registro_Compras!$O$255=""),"",IF(Registro_Compras!$F$255="NOTA DE CREDITO","4212",IF(Registro_Compras!$M$255="","63",Registro_Compras!$M$255)))</f>
        <v/>
      </c>
      <c r="D2264">
        <f>IF(OR(Registro_Compras!$C$255="",Registro_Compras!$O$255=""),"",IF(Registro_Compras!$F$255="NOTA DE CREDITO","Cuentas por Pagar Comerciales - Terceros (Emitidas)",IF(Registro_Compras!$F$255="RHE","Honorarios Profesionales - Servicios de Terceros","Gastos de Servicios Prestados por Terceros")))</f>
        <v/>
      </c>
      <c r="E2264" s="20">
        <f>IF($C2264="","",IF(Registro_Compras!$F$255="NOTA DE CREDITO",ABS(Registro_Compras!$O$255),IF(Registro_Compras!$F$255="RHE",ROUND(Registro_Compras!$L$255*Registro_Compras!$N$255,2),ROUND(Registro_Compras!$J$255*Registro_Compras!$N$255,2))))</f>
        <v/>
      </c>
      <c r="F2264" s="20">
        <f>""</f>
        <v/>
      </c>
      <c r="G2264">
        <f>IF($C2264="","",IF(Registro_Compras!$F$255="NOTA DE CREDITO","Por la nota de credito "&amp;Registro_Compras!$C$255&amp;" de "&amp;Registro_Compras!$E$255&amp;" [PATRON POR CONFIRMAR CON CONTADOR]",IF(Registro_Compras!$F$255="RHE","Por el registro del recibo por honorarios "&amp;Registro_Compras!$C$255&amp;" de "&amp;Registro_Compras!$E$255&amp;" [PATRON POR CONFIRMAR CON CONTADOR]","Por el registro de la factura "&amp;Registro_Compras!$C$255&amp;" de "&amp;Registro_Compras!$E$255)))</f>
        <v/>
      </c>
      <c r="H2264">
        <f>IF($C2264="","",Registro_Compras!$C$255)</f>
        <v/>
      </c>
    </row>
    <row r="2265">
      <c r="A2265" s="25">
        <f>IF($C2265="","",Registro_Compras!$B$255)</f>
        <v/>
      </c>
      <c r="B2265">
        <f>IF($C2265="","","C"&amp;TEXT(INT((ROW()-5)/9)+1,"000")&amp;"-1")</f>
        <v/>
      </c>
      <c r="C2265">
        <f>IF(OR(Registro_Compras!$C$255="",Registro_Compras!$O$255=""),"",IF(Registro_Compras!$F$255="RHE",IF(Registro_Compras!$V$255=0,"","40172"),IF(Registro_Compras!$F$255="NOTA DE CREDITO",IF(Registro_Compras!$M$255="","63",Registro_Compras!$M$255),IF(Registro_Compras!$K$255=0,"","40111"))))</f>
        <v/>
      </c>
      <c r="D2265">
        <f>IF(OR(Registro_Compras!$C$255="",Registro_Compras!$O$255=""),"",IF(Registro_Compras!$F$255="RHE","Retencion Renta 4ta Categoria por Pagar",IF(Registro_Compras!$F$255="NOTA DE CREDITO","Gastos de Servicios Prestados por Terceros","IGV - Cuenta Propia (Credito Fiscal)")))</f>
        <v/>
      </c>
      <c r="E2265" s="20">
        <f>IF($C2265="","",IF(Registro_Compras!$F$255="FACTURA",ROUND(Registro_Compras!$K$255*Registro_Compras!$N$255,2),""))</f>
        <v/>
      </c>
      <c r="F2265" s="20">
        <f>IF($C2265="","",IF(Registro_Compras!$F$255="RHE",ROUND(Registro_Compras!$V$255*Registro_Compras!$N$255,2),IF(Registro_Compras!$F$255="NOTA DE CREDITO",ROUND(ABS(Registro_Compras!$J$255*Registro_Compras!$N$255),2),"")))</f>
        <v/>
      </c>
      <c r="G2265">
        <f>IF($C2265="","",IF(Registro_Compras!$F$255="NOTA DE CREDITO","Por la nota de credito "&amp;Registro_Compras!$C$255&amp;" de "&amp;Registro_Compras!$E$255&amp;" [PATRON POR CONFIRMAR CON CONTADOR]",IF(Registro_Compras!$F$255="RHE","Por el registro del recibo por honorarios "&amp;Registro_Compras!$C$255&amp;" de "&amp;Registro_Compras!$E$255&amp;" [PATRON POR CONFIRMAR CON CONTADOR]","Por el registro de la factura "&amp;Registro_Compras!$C$255&amp;" de "&amp;Registro_Compras!$E$255)))</f>
        <v/>
      </c>
      <c r="H2265">
        <f>IF($C2265="","",Registro_Compras!$C$255)</f>
        <v/>
      </c>
    </row>
    <row r="2266">
      <c r="A2266" s="25">
        <f>IF($C2266="","",Registro_Compras!$B$255)</f>
        <v/>
      </c>
      <c r="B2266">
        <f>IF($C2266="","","C"&amp;TEXT(INT((ROW()-5)/9)+1,"000")&amp;"-1")</f>
        <v/>
      </c>
      <c r="C2266">
        <f>IF(OR(Registro_Compras!$C$255="",Registro_Compras!$O$255=""),"",IF(Registro_Compras!$F$255="NOTA DE CREDITO",IF(Registro_Compras!$K$255=0,"","40111"),"4212"))</f>
        <v/>
      </c>
      <c r="D2266">
        <f>IF(OR(Registro_Compras!$C$255="",Registro_Compras!$O$255=""),"",IF(Registro_Compras!$F$255="NOTA DE CREDITO","IGV - Cuenta Propia (Credito Fiscal)","Cuentas por Pagar Comerciales - Terceros (Emitidas)"))</f>
        <v/>
      </c>
      <c r="E2266" s="20">
        <f>""</f>
        <v/>
      </c>
      <c r="F2266" s="20">
        <f>IF($C2266="","",IF(Registro_Compras!$F$255="NOTA DE CREDITO",ROUND(ABS(Registro_Compras!$K$255*Registro_Compras!$N$255),2),IF(Registro_Compras!$F$255="RHE",(ROUND(Registro_Compras!$L$255*Registro_Compras!$N$255,2)-ROUND(Registro_Compras!$V$255*Registro_Compras!$N$255,2)),Registro_Compras!$O$255)))</f>
        <v/>
      </c>
      <c r="G2266">
        <f>IF($C2266="","",IF(Registro_Compras!$F$255="NOTA DE CREDITO","Por la nota de credito "&amp;Registro_Compras!$C$255&amp;" de "&amp;Registro_Compras!$E$255&amp;" [PATRON POR CONFIRMAR CON CONTADOR]",IF(Registro_Compras!$F$255="RHE","Por el registro del recibo por honorarios "&amp;Registro_Compras!$C$255&amp;" de "&amp;Registro_Compras!$E$255&amp;" [PATRON POR CONFIRMAR CON CONTADOR]","Por el registro de la factura "&amp;Registro_Compras!$C$255&amp;" de "&amp;Registro_Compras!$E$255)))</f>
        <v/>
      </c>
      <c r="H2266">
        <f>IF($C2266="","",Registro_Compras!$C$255)</f>
        <v/>
      </c>
    </row>
    <row r="2267">
      <c r="A2267" s="25">
        <f>IF($C2267="","",Registro_Compras!$B$255)</f>
        <v/>
      </c>
      <c r="B2267">
        <f>IF($C2267="","","C"&amp;TEXT(INT((ROW()-5)/9)+1,"000")&amp;"-2")</f>
        <v/>
      </c>
      <c r="C2267">
        <f>IF(OR(Registro_Compras!$C$255="",Registro_Compras!$O$255=""),"",IF(Registro_Compras!$AB$255="ADMINISTRATIVO","94","95"))</f>
        <v/>
      </c>
      <c r="D2267">
        <f>IF(OR(Registro_Compras!$C$255="",Registro_Compras!$O$255=""),"",IF(Registro_Compras!$AB$255="ADMINISTRATIVO","Gastos Administrativos","Gastos de Venta y Operacion"))</f>
        <v/>
      </c>
      <c r="E2267" s="20">
        <f>IF($C2267="","",IF(Registro_Compras!$F$255="NOTA DE CREDITO","",IF(Registro_Compras!$F$255="RHE",ROUND(Registro_Compras!$L$255*Registro_Compras!$N$255,2),ROUND(Registro_Compras!$J$255*Registro_Compras!$N$255,2))))</f>
        <v/>
      </c>
      <c r="F2267" s="20">
        <f>IF($C2267="","",IF(Registro_Compras!$F$255="NOTA DE CREDITO",ROUND(ABS(Registro_Compras!$J$255*Registro_Compras!$N$255),2),""))</f>
        <v/>
      </c>
      <c r="G2267">
        <f>IF($C2267="","","Por el destino del gasto")</f>
        <v/>
      </c>
      <c r="H2267">
        <f>IF($C2267="","",Registro_Compras!$C$255)</f>
        <v/>
      </c>
    </row>
    <row r="2268">
      <c r="A2268" s="25">
        <f>IF($C2268="","",Registro_Compras!$B$255)</f>
        <v/>
      </c>
      <c r="B2268">
        <f>IF($C2268="","","C"&amp;TEXT(INT((ROW()-5)/9)+1,"000")&amp;"-2")</f>
        <v/>
      </c>
      <c r="C2268">
        <f>IF(OR(Registro_Compras!$C$255="",Registro_Compras!$O$255=""),"","79/791")</f>
        <v/>
      </c>
      <c r="D2268">
        <f>IF(OR(Registro_Compras!$C$255="",Registro_Compras!$O$255=""),"","Cargas Imputables a Cuentas de Costos y Gastos")</f>
        <v/>
      </c>
      <c r="E2268" s="20">
        <f>IF($C2268="","",IF(Registro_Compras!$F$255="NOTA DE CREDITO",ROUND(ABS(Registro_Compras!$J$255*Registro_Compras!$N$255),2),""))</f>
        <v/>
      </c>
      <c r="F2268" s="20">
        <f>IF($C2268="","",IF(Registro_Compras!$F$255="NOTA DE CREDITO","",IF(Registro_Compras!$F$255="RHE",ROUND(Registro_Compras!$L$255*Registro_Compras!$N$255,2),ROUND(Registro_Compras!$J$255*Registro_Compras!$N$255,2))))</f>
        <v/>
      </c>
      <c r="G2268">
        <f>IF($C2268="","","Por el destino del gasto")</f>
        <v/>
      </c>
      <c r="H2268">
        <f>IF($C2268="","",Registro_Compras!$C$255)</f>
        <v/>
      </c>
    </row>
    <row r="2269">
      <c r="A2269" s="25">
        <f>IF($C2269="","",Registro_Compras!$X$255)</f>
        <v/>
      </c>
      <c r="B2269">
        <f>IF($C2269="","","C"&amp;TEXT(INT((ROW()-5)/9)+1,"000")&amp;"-3")</f>
        <v/>
      </c>
      <c r="C2269">
        <f>IF(OR(Registro_Compras!$C$255="",Registro_Compras!$O$255="",Registro_Compras!$R$255&lt;&gt;"SI",Registro_Compras!$X$255=""),"","4212")</f>
        <v/>
      </c>
      <c r="D2269">
        <f>IF(OR(Registro_Compras!$C$255="",Registro_Compras!$O$255=""),"","Cuentas por Pagar Comerciales - Terceros")</f>
        <v/>
      </c>
      <c r="E2269" s="20">
        <f>IF($C2269="","",Registro_Compras!$S$255)</f>
        <v/>
      </c>
      <c r="F2269" s="20">
        <f>""</f>
        <v/>
      </c>
      <c r="G2269">
        <f>IF($C2269="","","Por el deposito de la detraccion en el Banco de la Nacion")</f>
        <v/>
      </c>
      <c r="H2269">
        <f>IF($C2269="","",Registro_Compras!$C$255)</f>
        <v/>
      </c>
    </row>
    <row r="2270">
      <c r="A2270" s="25">
        <f>IF($C2270="","",Registro_Compras!$X$255)</f>
        <v/>
      </c>
      <c r="B2270">
        <f>IF($C2270="","","C"&amp;TEXT(INT((ROW()-5)/9)+1,"000")&amp;"-3")</f>
        <v/>
      </c>
      <c r="C2270">
        <f>IF(OR(Registro_Compras!$C$255="",Registro_Compras!$O$255="",Registro_Compras!$R$255&lt;&gt;"SI",Registro_Compras!$X$255=""),"","10413")</f>
        <v/>
      </c>
      <c r="D2270">
        <f>IF(OR(Registro_Compras!$C$255="",Registro_Compras!$O$255=""),"","Efectivo y Equivalentes - Cta. Cte. Operativa")</f>
        <v/>
      </c>
      <c r="E2270" s="20">
        <f>""</f>
        <v/>
      </c>
      <c r="F2270" s="20">
        <f>IF($C2270="","",Registro_Compras!$S$255)</f>
        <v/>
      </c>
      <c r="G2270">
        <f>IF($C2270="","","Por el deposito de la detraccion en el Banco de la Nacion")</f>
        <v/>
      </c>
      <c r="H2270">
        <f>IF($C2270="","",Registro_Compras!$C$255)</f>
        <v/>
      </c>
    </row>
    <row r="2271">
      <c r="A2271" s="25">
        <f>IF($C2271="","",Registro_Compras!$Y$255)</f>
        <v/>
      </c>
      <c r="B2271">
        <f>IF($C2271="","","C"&amp;TEXT(INT((ROW()-5)/9)+1,"000")&amp;"-4")</f>
        <v/>
      </c>
      <c r="C2271">
        <f>IF(OR(Registro_Compras!$C$255="",Registro_Compras!$O$255="",Registro_Compras!$Y$255="",Registro_Compras!$F$255="NOTA DE CREDITO"),"","4212")</f>
        <v/>
      </c>
      <c r="D2271">
        <f>IF(OR(Registro_Compras!$C$255="",Registro_Compras!$O$255=""),"","Cuentas por Pagar Comerciales - Terceros")</f>
        <v/>
      </c>
      <c r="E2271" s="20">
        <f>IF($C2271="","",IF(Registro_Compras!$F$255="RHE",(ROUND(Registro_Compras!$L$255*Registro_Compras!$N$255,2)-ROUND(Registro_Compras!$V$255*Registro_Compras!$N$255,2)),ROUND(Registro_Compras!$O$255-Registro_Compras!$S$255,2)))</f>
        <v/>
      </c>
      <c r="F2271" s="20">
        <f>""</f>
        <v/>
      </c>
      <c r="G2271">
        <f>IF($C2271="","","Por la cancelacion del saldo al proveedor")</f>
        <v/>
      </c>
      <c r="H2271">
        <f>IF($C2271="","",Registro_Compras!$C$255)</f>
        <v/>
      </c>
    </row>
    <row r="2272">
      <c r="A2272" s="25">
        <f>IF($C2272="","",Registro_Compras!$Y$255)</f>
        <v/>
      </c>
      <c r="B2272">
        <f>IF($C2272="","","C"&amp;TEXT(INT((ROW()-5)/9)+1,"000")&amp;"-4")</f>
        <v/>
      </c>
      <c r="C2272">
        <f>IF(OR(Registro_Compras!$C$255="",Registro_Compras!$O$255="",Registro_Compras!$Y$255="",Registro_Compras!$F$255="NOTA DE CREDITO"),"","10413")</f>
        <v/>
      </c>
      <c r="D2272">
        <f>IF(OR(Registro_Compras!$C$255="",Registro_Compras!$O$255=""),"","Efectivo y Equivalentes - Cta. Cte. Operativa")</f>
        <v/>
      </c>
      <c r="E2272" s="20">
        <f>""</f>
        <v/>
      </c>
      <c r="F2272" s="20">
        <f>IF($C2272="","",IF(Registro_Compras!$F$255="RHE",(ROUND(Registro_Compras!$L$255*Registro_Compras!$N$255,2)-ROUND(Registro_Compras!$V$255*Registro_Compras!$N$255,2)),ROUND(Registro_Compras!$O$255-Registro_Compras!$S$255,2)))</f>
        <v/>
      </c>
      <c r="G2272">
        <f>IF($C2272="","","Por la cancelacion del saldo al proveedor")</f>
        <v/>
      </c>
      <c r="H2272">
        <f>IF($C2272="","",Registro_Compras!$C$255)</f>
        <v/>
      </c>
    </row>
    <row r="2273">
      <c r="A2273" s="25">
        <f>IF($C2273="","",Registro_Compras!$B$256)</f>
        <v/>
      </c>
      <c r="B2273">
        <f>IF($C2273="","","C"&amp;TEXT(INT((ROW()-5)/9)+1,"000")&amp;"-1")</f>
        <v/>
      </c>
      <c r="C2273">
        <f>IF(OR(Registro_Compras!$C$256="",Registro_Compras!$O$256=""),"",IF(Registro_Compras!$F$256="NOTA DE CREDITO","4212",IF(Registro_Compras!$M$256="","63",Registro_Compras!$M$256)))</f>
        <v/>
      </c>
      <c r="D2273">
        <f>IF(OR(Registro_Compras!$C$256="",Registro_Compras!$O$256=""),"",IF(Registro_Compras!$F$256="NOTA DE CREDITO","Cuentas por Pagar Comerciales - Terceros (Emitidas)",IF(Registro_Compras!$F$256="RHE","Honorarios Profesionales - Servicios de Terceros","Gastos de Servicios Prestados por Terceros")))</f>
        <v/>
      </c>
      <c r="E2273" s="20">
        <f>IF($C2273="","",IF(Registro_Compras!$F$256="NOTA DE CREDITO",ABS(Registro_Compras!$O$256),IF(Registro_Compras!$F$256="RHE",ROUND(Registro_Compras!$L$256*Registro_Compras!$N$256,2),ROUND(Registro_Compras!$J$256*Registro_Compras!$N$256,2))))</f>
        <v/>
      </c>
      <c r="F2273" s="20">
        <f>""</f>
        <v/>
      </c>
      <c r="G2273">
        <f>IF($C2273="","",IF(Registro_Compras!$F$256="NOTA DE CREDITO","Por la nota de credito "&amp;Registro_Compras!$C$256&amp;" de "&amp;Registro_Compras!$E$256&amp;" [PATRON POR CONFIRMAR CON CONTADOR]",IF(Registro_Compras!$F$256="RHE","Por el registro del recibo por honorarios "&amp;Registro_Compras!$C$256&amp;" de "&amp;Registro_Compras!$E$256&amp;" [PATRON POR CONFIRMAR CON CONTADOR]","Por el registro de la factura "&amp;Registro_Compras!$C$256&amp;" de "&amp;Registro_Compras!$E$256)))</f>
        <v/>
      </c>
      <c r="H2273">
        <f>IF($C2273="","",Registro_Compras!$C$256)</f>
        <v/>
      </c>
    </row>
    <row r="2274">
      <c r="A2274" s="25">
        <f>IF($C2274="","",Registro_Compras!$B$256)</f>
        <v/>
      </c>
      <c r="B2274">
        <f>IF($C2274="","","C"&amp;TEXT(INT((ROW()-5)/9)+1,"000")&amp;"-1")</f>
        <v/>
      </c>
      <c r="C2274">
        <f>IF(OR(Registro_Compras!$C$256="",Registro_Compras!$O$256=""),"",IF(Registro_Compras!$F$256="RHE",IF(Registro_Compras!$V$256=0,"","40172"),IF(Registro_Compras!$F$256="NOTA DE CREDITO",IF(Registro_Compras!$M$256="","63",Registro_Compras!$M$256),IF(Registro_Compras!$K$256=0,"","40111"))))</f>
        <v/>
      </c>
      <c r="D2274">
        <f>IF(OR(Registro_Compras!$C$256="",Registro_Compras!$O$256=""),"",IF(Registro_Compras!$F$256="RHE","Retencion Renta 4ta Categoria por Pagar",IF(Registro_Compras!$F$256="NOTA DE CREDITO","Gastos de Servicios Prestados por Terceros","IGV - Cuenta Propia (Credito Fiscal)")))</f>
        <v/>
      </c>
      <c r="E2274" s="20">
        <f>IF($C2274="","",IF(Registro_Compras!$F$256="FACTURA",ROUND(Registro_Compras!$K$256*Registro_Compras!$N$256,2),""))</f>
        <v/>
      </c>
      <c r="F2274" s="20">
        <f>IF($C2274="","",IF(Registro_Compras!$F$256="RHE",ROUND(Registro_Compras!$V$256*Registro_Compras!$N$256,2),IF(Registro_Compras!$F$256="NOTA DE CREDITO",ROUND(ABS(Registro_Compras!$J$256*Registro_Compras!$N$256),2),"")))</f>
        <v/>
      </c>
      <c r="G2274">
        <f>IF($C2274="","",IF(Registro_Compras!$F$256="NOTA DE CREDITO","Por la nota de credito "&amp;Registro_Compras!$C$256&amp;" de "&amp;Registro_Compras!$E$256&amp;" [PATRON POR CONFIRMAR CON CONTADOR]",IF(Registro_Compras!$F$256="RHE","Por el registro del recibo por honorarios "&amp;Registro_Compras!$C$256&amp;" de "&amp;Registro_Compras!$E$256&amp;" [PATRON POR CONFIRMAR CON CONTADOR]","Por el registro de la factura "&amp;Registro_Compras!$C$256&amp;" de "&amp;Registro_Compras!$E$256)))</f>
        <v/>
      </c>
      <c r="H2274">
        <f>IF($C2274="","",Registro_Compras!$C$256)</f>
        <v/>
      </c>
    </row>
    <row r="2275">
      <c r="A2275" s="25">
        <f>IF($C2275="","",Registro_Compras!$B$256)</f>
        <v/>
      </c>
      <c r="B2275">
        <f>IF($C2275="","","C"&amp;TEXT(INT((ROW()-5)/9)+1,"000")&amp;"-1")</f>
        <v/>
      </c>
      <c r="C2275">
        <f>IF(OR(Registro_Compras!$C$256="",Registro_Compras!$O$256=""),"",IF(Registro_Compras!$F$256="NOTA DE CREDITO",IF(Registro_Compras!$K$256=0,"","40111"),"4212"))</f>
        <v/>
      </c>
      <c r="D2275">
        <f>IF(OR(Registro_Compras!$C$256="",Registro_Compras!$O$256=""),"",IF(Registro_Compras!$F$256="NOTA DE CREDITO","IGV - Cuenta Propia (Credito Fiscal)","Cuentas por Pagar Comerciales - Terceros (Emitidas)"))</f>
        <v/>
      </c>
      <c r="E2275" s="20">
        <f>""</f>
        <v/>
      </c>
      <c r="F2275" s="20">
        <f>IF($C2275="","",IF(Registro_Compras!$F$256="NOTA DE CREDITO",ROUND(ABS(Registro_Compras!$K$256*Registro_Compras!$N$256),2),IF(Registro_Compras!$F$256="RHE",(ROUND(Registro_Compras!$L$256*Registro_Compras!$N$256,2)-ROUND(Registro_Compras!$V$256*Registro_Compras!$N$256,2)),Registro_Compras!$O$256)))</f>
        <v/>
      </c>
      <c r="G2275">
        <f>IF($C2275="","",IF(Registro_Compras!$F$256="NOTA DE CREDITO","Por la nota de credito "&amp;Registro_Compras!$C$256&amp;" de "&amp;Registro_Compras!$E$256&amp;" [PATRON POR CONFIRMAR CON CONTADOR]",IF(Registro_Compras!$F$256="RHE","Por el registro del recibo por honorarios "&amp;Registro_Compras!$C$256&amp;" de "&amp;Registro_Compras!$E$256&amp;" [PATRON POR CONFIRMAR CON CONTADOR]","Por el registro de la factura "&amp;Registro_Compras!$C$256&amp;" de "&amp;Registro_Compras!$E$256)))</f>
        <v/>
      </c>
      <c r="H2275">
        <f>IF($C2275="","",Registro_Compras!$C$256)</f>
        <v/>
      </c>
    </row>
    <row r="2276">
      <c r="A2276" s="25">
        <f>IF($C2276="","",Registro_Compras!$B$256)</f>
        <v/>
      </c>
      <c r="B2276">
        <f>IF($C2276="","","C"&amp;TEXT(INT((ROW()-5)/9)+1,"000")&amp;"-2")</f>
        <v/>
      </c>
      <c r="C2276">
        <f>IF(OR(Registro_Compras!$C$256="",Registro_Compras!$O$256=""),"",IF(Registro_Compras!$AB$256="ADMINISTRATIVO","94","95"))</f>
        <v/>
      </c>
      <c r="D2276">
        <f>IF(OR(Registro_Compras!$C$256="",Registro_Compras!$O$256=""),"",IF(Registro_Compras!$AB$256="ADMINISTRATIVO","Gastos Administrativos","Gastos de Venta y Operacion"))</f>
        <v/>
      </c>
      <c r="E2276" s="20">
        <f>IF($C2276="","",IF(Registro_Compras!$F$256="NOTA DE CREDITO","",IF(Registro_Compras!$F$256="RHE",ROUND(Registro_Compras!$L$256*Registro_Compras!$N$256,2),ROUND(Registro_Compras!$J$256*Registro_Compras!$N$256,2))))</f>
        <v/>
      </c>
      <c r="F2276" s="20">
        <f>IF($C2276="","",IF(Registro_Compras!$F$256="NOTA DE CREDITO",ROUND(ABS(Registro_Compras!$J$256*Registro_Compras!$N$256),2),""))</f>
        <v/>
      </c>
      <c r="G2276">
        <f>IF($C2276="","","Por el destino del gasto")</f>
        <v/>
      </c>
      <c r="H2276">
        <f>IF($C2276="","",Registro_Compras!$C$256)</f>
        <v/>
      </c>
    </row>
    <row r="2277">
      <c r="A2277" s="25">
        <f>IF($C2277="","",Registro_Compras!$B$256)</f>
        <v/>
      </c>
      <c r="B2277">
        <f>IF($C2277="","","C"&amp;TEXT(INT((ROW()-5)/9)+1,"000")&amp;"-2")</f>
        <v/>
      </c>
      <c r="C2277">
        <f>IF(OR(Registro_Compras!$C$256="",Registro_Compras!$O$256=""),"","79/791")</f>
        <v/>
      </c>
      <c r="D2277">
        <f>IF(OR(Registro_Compras!$C$256="",Registro_Compras!$O$256=""),"","Cargas Imputables a Cuentas de Costos y Gastos")</f>
        <v/>
      </c>
      <c r="E2277" s="20">
        <f>IF($C2277="","",IF(Registro_Compras!$F$256="NOTA DE CREDITO",ROUND(ABS(Registro_Compras!$J$256*Registro_Compras!$N$256),2),""))</f>
        <v/>
      </c>
      <c r="F2277" s="20">
        <f>IF($C2277="","",IF(Registro_Compras!$F$256="NOTA DE CREDITO","",IF(Registro_Compras!$F$256="RHE",ROUND(Registro_Compras!$L$256*Registro_Compras!$N$256,2),ROUND(Registro_Compras!$J$256*Registro_Compras!$N$256,2))))</f>
        <v/>
      </c>
      <c r="G2277">
        <f>IF($C2277="","","Por el destino del gasto")</f>
        <v/>
      </c>
      <c r="H2277">
        <f>IF($C2277="","",Registro_Compras!$C$256)</f>
        <v/>
      </c>
    </row>
    <row r="2278">
      <c r="A2278" s="25">
        <f>IF($C2278="","",Registro_Compras!$X$256)</f>
        <v/>
      </c>
      <c r="B2278">
        <f>IF($C2278="","","C"&amp;TEXT(INT((ROW()-5)/9)+1,"000")&amp;"-3")</f>
        <v/>
      </c>
      <c r="C2278">
        <f>IF(OR(Registro_Compras!$C$256="",Registro_Compras!$O$256="",Registro_Compras!$R$256&lt;&gt;"SI",Registro_Compras!$X$256=""),"","4212")</f>
        <v/>
      </c>
      <c r="D2278">
        <f>IF(OR(Registro_Compras!$C$256="",Registro_Compras!$O$256=""),"","Cuentas por Pagar Comerciales - Terceros")</f>
        <v/>
      </c>
      <c r="E2278" s="20">
        <f>IF($C2278="","",Registro_Compras!$S$256)</f>
        <v/>
      </c>
      <c r="F2278" s="20">
        <f>""</f>
        <v/>
      </c>
      <c r="G2278">
        <f>IF($C2278="","","Por el deposito de la detraccion en el Banco de la Nacion")</f>
        <v/>
      </c>
      <c r="H2278">
        <f>IF($C2278="","",Registro_Compras!$C$256)</f>
        <v/>
      </c>
    </row>
    <row r="2279">
      <c r="A2279" s="25">
        <f>IF($C2279="","",Registro_Compras!$X$256)</f>
        <v/>
      </c>
      <c r="B2279">
        <f>IF($C2279="","","C"&amp;TEXT(INT((ROW()-5)/9)+1,"000")&amp;"-3")</f>
        <v/>
      </c>
      <c r="C2279">
        <f>IF(OR(Registro_Compras!$C$256="",Registro_Compras!$O$256="",Registro_Compras!$R$256&lt;&gt;"SI",Registro_Compras!$X$256=""),"","10413")</f>
        <v/>
      </c>
      <c r="D2279">
        <f>IF(OR(Registro_Compras!$C$256="",Registro_Compras!$O$256=""),"","Efectivo y Equivalentes - Cta. Cte. Operativa")</f>
        <v/>
      </c>
      <c r="E2279" s="20">
        <f>""</f>
        <v/>
      </c>
      <c r="F2279" s="20">
        <f>IF($C2279="","",Registro_Compras!$S$256)</f>
        <v/>
      </c>
      <c r="G2279">
        <f>IF($C2279="","","Por el deposito de la detraccion en el Banco de la Nacion")</f>
        <v/>
      </c>
      <c r="H2279">
        <f>IF($C2279="","",Registro_Compras!$C$256)</f>
        <v/>
      </c>
    </row>
    <row r="2280">
      <c r="A2280" s="25">
        <f>IF($C2280="","",Registro_Compras!$Y$256)</f>
        <v/>
      </c>
      <c r="B2280">
        <f>IF($C2280="","","C"&amp;TEXT(INT((ROW()-5)/9)+1,"000")&amp;"-4")</f>
        <v/>
      </c>
      <c r="C2280">
        <f>IF(OR(Registro_Compras!$C$256="",Registro_Compras!$O$256="",Registro_Compras!$Y$256="",Registro_Compras!$F$256="NOTA DE CREDITO"),"","4212")</f>
        <v/>
      </c>
      <c r="D2280">
        <f>IF(OR(Registro_Compras!$C$256="",Registro_Compras!$O$256=""),"","Cuentas por Pagar Comerciales - Terceros")</f>
        <v/>
      </c>
      <c r="E2280" s="20">
        <f>IF($C2280="","",IF(Registro_Compras!$F$256="RHE",(ROUND(Registro_Compras!$L$256*Registro_Compras!$N$256,2)-ROUND(Registro_Compras!$V$256*Registro_Compras!$N$256,2)),ROUND(Registro_Compras!$O$256-Registro_Compras!$S$256,2)))</f>
        <v/>
      </c>
      <c r="F2280" s="20">
        <f>""</f>
        <v/>
      </c>
      <c r="G2280">
        <f>IF($C2280="","","Por la cancelacion del saldo al proveedor")</f>
        <v/>
      </c>
      <c r="H2280">
        <f>IF($C2280="","",Registro_Compras!$C$256)</f>
        <v/>
      </c>
    </row>
    <row r="2281">
      <c r="A2281" s="25">
        <f>IF($C2281="","",Registro_Compras!$Y$256)</f>
        <v/>
      </c>
      <c r="B2281">
        <f>IF($C2281="","","C"&amp;TEXT(INT((ROW()-5)/9)+1,"000")&amp;"-4")</f>
        <v/>
      </c>
      <c r="C2281">
        <f>IF(OR(Registro_Compras!$C$256="",Registro_Compras!$O$256="",Registro_Compras!$Y$256="",Registro_Compras!$F$256="NOTA DE CREDITO"),"","10413")</f>
        <v/>
      </c>
      <c r="D2281">
        <f>IF(OR(Registro_Compras!$C$256="",Registro_Compras!$O$256=""),"","Efectivo y Equivalentes - Cta. Cte. Operativa")</f>
        <v/>
      </c>
      <c r="E2281" s="20">
        <f>""</f>
        <v/>
      </c>
      <c r="F2281" s="20">
        <f>IF($C2281="","",IF(Registro_Compras!$F$256="RHE",(ROUND(Registro_Compras!$L$256*Registro_Compras!$N$256,2)-ROUND(Registro_Compras!$V$256*Registro_Compras!$N$256,2)),ROUND(Registro_Compras!$O$256-Registro_Compras!$S$256,2)))</f>
        <v/>
      </c>
      <c r="G2281">
        <f>IF($C2281="","","Por la cancelacion del saldo al proveedor")</f>
        <v/>
      </c>
      <c r="H2281">
        <f>IF($C2281="","",Registro_Compras!$C$256)</f>
        <v/>
      </c>
    </row>
    <row r="2282">
      <c r="A2282" s="25">
        <f>IF($C2282="","",Registro_Compras!$B$257)</f>
        <v/>
      </c>
      <c r="B2282">
        <f>IF($C2282="","","C"&amp;TEXT(INT((ROW()-5)/9)+1,"000")&amp;"-1")</f>
        <v/>
      </c>
      <c r="C2282">
        <f>IF(OR(Registro_Compras!$C$257="",Registro_Compras!$O$257=""),"",IF(Registro_Compras!$F$257="NOTA DE CREDITO","4212",IF(Registro_Compras!$M$257="","63",Registro_Compras!$M$257)))</f>
        <v/>
      </c>
      <c r="D2282">
        <f>IF(OR(Registro_Compras!$C$257="",Registro_Compras!$O$257=""),"",IF(Registro_Compras!$F$257="NOTA DE CREDITO","Cuentas por Pagar Comerciales - Terceros (Emitidas)",IF(Registro_Compras!$F$257="RHE","Honorarios Profesionales - Servicios de Terceros","Gastos de Servicios Prestados por Terceros")))</f>
        <v/>
      </c>
      <c r="E2282" s="20">
        <f>IF($C2282="","",IF(Registro_Compras!$F$257="NOTA DE CREDITO",ABS(Registro_Compras!$O$257),IF(Registro_Compras!$F$257="RHE",ROUND(Registro_Compras!$L$257*Registro_Compras!$N$257,2),ROUND(Registro_Compras!$J$257*Registro_Compras!$N$257,2))))</f>
        <v/>
      </c>
      <c r="F2282" s="20">
        <f>""</f>
        <v/>
      </c>
      <c r="G2282">
        <f>IF($C2282="","",IF(Registro_Compras!$F$257="NOTA DE CREDITO","Por la nota de credito "&amp;Registro_Compras!$C$257&amp;" de "&amp;Registro_Compras!$E$257&amp;" [PATRON POR CONFIRMAR CON CONTADOR]",IF(Registro_Compras!$F$257="RHE","Por el registro del recibo por honorarios "&amp;Registro_Compras!$C$257&amp;" de "&amp;Registro_Compras!$E$257&amp;" [PATRON POR CONFIRMAR CON CONTADOR]","Por el registro de la factura "&amp;Registro_Compras!$C$257&amp;" de "&amp;Registro_Compras!$E$257)))</f>
        <v/>
      </c>
      <c r="H2282">
        <f>IF($C2282="","",Registro_Compras!$C$257)</f>
        <v/>
      </c>
    </row>
    <row r="2283">
      <c r="A2283" s="25">
        <f>IF($C2283="","",Registro_Compras!$B$257)</f>
        <v/>
      </c>
      <c r="B2283">
        <f>IF($C2283="","","C"&amp;TEXT(INT((ROW()-5)/9)+1,"000")&amp;"-1")</f>
        <v/>
      </c>
      <c r="C2283">
        <f>IF(OR(Registro_Compras!$C$257="",Registro_Compras!$O$257=""),"",IF(Registro_Compras!$F$257="RHE",IF(Registro_Compras!$V$257=0,"","40172"),IF(Registro_Compras!$F$257="NOTA DE CREDITO",IF(Registro_Compras!$M$257="","63",Registro_Compras!$M$257),IF(Registro_Compras!$K$257=0,"","40111"))))</f>
        <v/>
      </c>
      <c r="D2283">
        <f>IF(OR(Registro_Compras!$C$257="",Registro_Compras!$O$257=""),"",IF(Registro_Compras!$F$257="RHE","Retencion Renta 4ta Categoria por Pagar",IF(Registro_Compras!$F$257="NOTA DE CREDITO","Gastos de Servicios Prestados por Terceros","IGV - Cuenta Propia (Credito Fiscal)")))</f>
        <v/>
      </c>
      <c r="E2283" s="20">
        <f>IF($C2283="","",IF(Registro_Compras!$F$257="FACTURA",ROUND(Registro_Compras!$K$257*Registro_Compras!$N$257,2),""))</f>
        <v/>
      </c>
      <c r="F2283" s="20">
        <f>IF($C2283="","",IF(Registro_Compras!$F$257="RHE",ROUND(Registro_Compras!$V$257*Registro_Compras!$N$257,2),IF(Registro_Compras!$F$257="NOTA DE CREDITO",ROUND(ABS(Registro_Compras!$J$257*Registro_Compras!$N$257),2),"")))</f>
        <v/>
      </c>
      <c r="G2283">
        <f>IF($C2283="","",IF(Registro_Compras!$F$257="NOTA DE CREDITO","Por la nota de credito "&amp;Registro_Compras!$C$257&amp;" de "&amp;Registro_Compras!$E$257&amp;" [PATRON POR CONFIRMAR CON CONTADOR]",IF(Registro_Compras!$F$257="RHE","Por el registro del recibo por honorarios "&amp;Registro_Compras!$C$257&amp;" de "&amp;Registro_Compras!$E$257&amp;" [PATRON POR CONFIRMAR CON CONTADOR]","Por el registro de la factura "&amp;Registro_Compras!$C$257&amp;" de "&amp;Registro_Compras!$E$257)))</f>
        <v/>
      </c>
      <c r="H2283">
        <f>IF($C2283="","",Registro_Compras!$C$257)</f>
        <v/>
      </c>
    </row>
    <row r="2284">
      <c r="A2284" s="25">
        <f>IF($C2284="","",Registro_Compras!$B$257)</f>
        <v/>
      </c>
      <c r="B2284">
        <f>IF($C2284="","","C"&amp;TEXT(INT((ROW()-5)/9)+1,"000")&amp;"-1")</f>
        <v/>
      </c>
      <c r="C2284">
        <f>IF(OR(Registro_Compras!$C$257="",Registro_Compras!$O$257=""),"",IF(Registro_Compras!$F$257="NOTA DE CREDITO",IF(Registro_Compras!$K$257=0,"","40111"),"4212"))</f>
        <v/>
      </c>
      <c r="D2284">
        <f>IF(OR(Registro_Compras!$C$257="",Registro_Compras!$O$257=""),"",IF(Registro_Compras!$F$257="NOTA DE CREDITO","IGV - Cuenta Propia (Credito Fiscal)","Cuentas por Pagar Comerciales - Terceros (Emitidas)"))</f>
        <v/>
      </c>
      <c r="E2284" s="20">
        <f>""</f>
        <v/>
      </c>
      <c r="F2284" s="20">
        <f>IF($C2284="","",IF(Registro_Compras!$F$257="NOTA DE CREDITO",ROUND(ABS(Registro_Compras!$K$257*Registro_Compras!$N$257),2),IF(Registro_Compras!$F$257="RHE",(ROUND(Registro_Compras!$L$257*Registro_Compras!$N$257,2)-ROUND(Registro_Compras!$V$257*Registro_Compras!$N$257,2)),Registro_Compras!$O$257)))</f>
        <v/>
      </c>
      <c r="G2284">
        <f>IF($C2284="","",IF(Registro_Compras!$F$257="NOTA DE CREDITO","Por la nota de credito "&amp;Registro_Compras!$C$257&amp;" de "&amp;Registro_Compras!$E$257&amp;" [PATRON POR CONFIRMAR CON CONTADOR]",IF(Registro_Compras!$F$257="RHE","Por el registro del recibo por honorarios "&amp;Registro_Compras!$C$257&amp;" de "&amp;Registro_Compras!$E$257&amp;" [PATRON POR CONFIRMAR CON CONTADOR]","Por el registro de la factura "&amp;Registro_Compras!$C$257&amp;" de "&amp;Registro_Compras!$E$257)))</f>
        <v/>
      </c>
      <c r="H2284">
        <f>IF($C2284="","",Registro_Compras!$C$257)</f>
        <v/>
      </c>
    </row>
    <row r="2285">
      <c r="A2285" s="25">
        <f>IF($C2285="","",Registro_Compras!$B$257)</f>
        <v/>
      </c>
      <c r="B2285">
        <f>IF($C2285="","","C"&amp;TEXT(INT((ROW()-5)/9)+1,"000")&amp;"-2")</f>
        <v/>
      </c>
      <c r="C2285">
        <f>IF(OR(Registro_Compras!$C$257="",Registro_Compras!$O$257=""),"",IF(Registro_Compras!$AB$257="ADMINISTRATIVO","94","95"))</f>
        <v/>
      </c>
      <c r="D2285">
        <f>IF(OR(Registro_Compras!$C$257="",Registro_Compras!$O$257=""),"",IF(Registro_Compras!$AB$257="ADMINISTRATIVO","Gastos Administrativos","Gastos de Venta y Operacion"))</f>
        <v/>
      </c>
      <c r="E2285" s="20">
        <f>IF($C2285="","",IF(Registro_Compras!$F$257="NOTA DE CREDITO","",IF(Registro_Compras!$F$257="RHE",ROUND(Registro_Compras!$L$257*Registro_Compras!$N$257,2),ROUND(Registro_Compras!$J$257*Registro_Compras!$N$257,2))))</f>
        <v/>
      </c>
      <c r="F2285" s="20">
        <f>IF($C2285="","",IF(Registro_Compras!$F$257="NOTA DE CREDITO",ROUND(ABS(Registro_Compras!$J$257*Registro_Compras!$N$257),2),""))</f>
        <v/>
      </c>
      <c r="G2285">
        <f>IF($C2285="","","Por el destino del gasto")</f>
        <v/>
      </c>
      <c r="H2285">
        <f>IF($C2285="","",Registro_Compras!$C$257)</f>
        <v/>
      </c>
    </row>
    <row r="2286">
      <c r="A2286" s="25">
        <f>IF($C2286="","",Registro_Compras!$B$257)</f>
        <v/>
      </c>
      <c r="B2286">
        <f>IF($C2286="","","C"&amp;TEXT(INT((ROW()-5)/9)+1,"000")&amp;"-2")</f>
        <v/>
      </c>
      <c r="C2286">
        <f>IF(OR(Registro_Compras!$C$257="",Registro_Compras!$O$257=""),"","79/791")</f>
        <v/>
      </c>
      <c r="D2286">
        <f>IF(OR(Registro_Compras!$C$257="",Registro_Compras!$O$257=""),"","Cargas Imputables a Cuentas de Costos y Gastos")</f>
        <v/>
      </c>
      <c r="E2286" s="20">
        <f>IF($C2286="","",IF(Registro_Compras!$F$257="NOTA DE CREDITO",ROUND(ABS(Registro_Compras!$J$257*Registro_Compras!$N$257),2),""))</f>
        <v/>
      </c>
      <c r="F2286" s="20">
        <f>IF($C2286="","",IF(Registro_Compras!$F$257="NOTA DE CREDITO","",IF(Registro_Compras!$F$257="RHE",ROUND(Registro_Compras!$L$257*Registro_Compras!$N$257,2),ROUND(Registro_Compras!$J$257*Registro_Compras!$N$257,2))))</f>
        <v/>
      </c>
      <c r="G2286">
        <f>IF($C2286="","","Por el destino del gasto")</f>
        <v/>
      </c>
      <c r="H2286">
        <f>IF($C2286="","",Registro_Compras!$C$257)</f>
        <v/>
      </c>
    </row>
    <row r="2287">
      <c r="A2287" s="25">
        <f>IF($C2287="","",Registro_Compras!$X$257)</f>
        <v/>
      </c>
      <c r="B2287">
        <f>IF($C2287="","","C"&amp;TEXT(INT((ROW()-5)/9)+1,"000")&amp;"-3")</f>
        <v/>
      </c>
      <c r="C2287">
        <f>IF(OR(Registro_Compras!$C$257="",Registro_Compras!$O$257="",Registro_Compras!$R$257&lt;&gt;"SI",Registro_Compras!$X$257=""),"","4212")</f>
        <v/>
      </c>
      <c r="D2287">
        <f>IF(OR(Registro_Compras!$C$257="",Registro_Compras!$O$257=""),"","Cuentas por Pagar Comerciales - Terceros")</f>
        <v/>
      </c>
      <c r="E2287" s="20">
        <f>IF($C2287="","",Registro_Compras!$S$257)</f>
        <v/>
      </c>
      <c r="F2287" s="20">
        <f>""</f>
        <v/>
      </c>
      <c r="G2287">
        <f>IF($C2287="","","Por el deposito de la detraccion en el Banco de la Nacion")</f>
        <v/>
      </c>
      <c r="H2287">
        <f>IF($C2287="","",Registro_Compras!$C$257)</f>
        <v/>
      </c>
    </row>
    <row r="2288">
      <c r="A2288" s="25">
        <f>IF($C2288="","",Registro_Compras!$X$257)</f>
        <v/>
      </c>
      <c r="B2288">
        <f>IF($C2288="","","C"&amp;TEXT(INT((ROW()-5)/9)+1,"000")&amp;"-3")</f>
        <v/>
      </c>
      <c r="C2288">
        <f>IF(OR(Registro_Compras!$C$257="",Registro_Compras!$O$257="",Registro_Compras!$R$257&lt;&gt;"SI",Registro_Compras!$X$257=""),"","10413")</f>
        <v/>
      </c>
      <c r="D2288">
        <f>IF(OR(Registro_Compras!$C$257="",Registro_Compras!$O$257=""),"","Efectivo y Equivalentes - Cta. Cte. Operativa")</f>
        <v/>
      </c>
      <c r="E2288" s="20">
        <f>""</f>
        <v/>
      </c>
      <c r="F2288" s="20">
        <f>IF($C2288="","",Registro_Compras!$S$257)</f>
        <v/>
      </c>
      <c r="G2288">
        <f>IF($C2288="","","Por el deposito de la detraccion en el Banco de la Nacion")</f>
        <v/>
      </c>
      <c r="H2288">
        <f>IF($C2288="","",Registro_Compras!$C$257)</f>
        <v/>
      </c>
    </row>
    <row r="2289">
      <c r="A2289" s="25">
        <f>IF($C2289="","",Registro_Compras!$Y$257)</f>
        <v/>
      </c>
      <c r="B2289">
        <f>IF($C2289="","","C"&amp;TEXT(INT((ROW()-5)/9)+1,"000")&amp;"-4")</f>
        <v/>
      </c>
      <c r="C2289">
        <f>IF(OR(Registro_Compras!$C$257="",Registro_Compras!$O$257="",Registro_Compras!$Y$257="",Registro_Compras!$F$257="NOTA DE CREDITO"),"","4212")</f>
        <v/>
      </c>
      <c r="D2289">
        <f>IF(OR(Registro_Compras!$C$257="",Registro_Compras!$O$257=""),"","Cuentas por Pagar Comerciales - Terceros")</f>
        <v/>
      </c>
      <c r="E2289" s="20">
        <f>IF($C2289="","",IF(Registro_Compras!$F$257="RHE",(ROUND(Registro_Compras!$L$257*Registro_Compras!$N$257,2)-ROUND(Registro_Compras!$V$257*Registro_Compras!$N$257,2)),ROUND(Registro_Compras!$O$257-Registro_Compras!$S$257,2)))</f>
        <v/>
      </c>
      <c r="F2289" s="20">
        <f>""</f>
        <v/>
      </c>
      <c r="G2289">
        <f>IF($C2289="","","Por la cancelacion del saldo al proveedor")</f>
        <v/>
      </c>
      <c r="H2289">
        <f>IF($C2289="","",Registro_Compras!$C$257)</f>
        <v/>
      </c>
    </row>
    <row r="2290">
      <c r="A2290" s="25">
        <f>IF($C2290="","",Registro_Compras!$Y$257)</f>
        <v/>
      </c>
      <c r="B2290">
        <f>IF($C2290="","","C"&amp;TEXT(INT((ROW()-5)/9)+1,"000")&amp;"-4")</f>
        <v/>
      </c>
      <c r="C2290">
        <f>IF(OR(Registro_Compras!$C$257="",Registro_Compras!$O$257="",Registro_Compras!$Y$257="",Registro_Compras!$F$257="NOTA DE CREDITO"),"","10413")</f>
        <v/>
      </c>
      <c r="D2290">
        <f>IF(OR(Registro_Compras!$C$257="",Registro_Compras!$O$257=""),"","Efectivo y Equivalentes - Cta. Cte. Operativa")</f>
        <v/>
      </c>
      <c r="E2290" s="20">
        <f>""</f>
        <v/>
      </c>
      <c r="F2290" s="20">
        <f>IF($C2290="","",IF(Registro_Compras!$F$257="RHE",(ROUND(Registro_Compras!$L$257*Registro_Compras!$N$257,2)-ROUND(Registro_Compras!$V$257*Registro_Compras!$N$257,2)),ROUND(Registro_Compras!$O$257-Registro_Compras!$S$257,2)))</f>
        <v/>
      </c>
      <c r="G2290">
        <f>IF($C2290="","","Por la cancelacion del saldo al proveedor")</f>
        <v/>
      </c>
      <c r="H2290">
        <f>IF($C2290="","",Registro_Compras!$C$257)</f>
        <v/>
      </c>
    </row>
    <row r="2291">
      <c r="A2291" s="25">
        <f>IF($C2291="","",Registro_Compras!$B$258)</f>
        <v/>
      </c>
      <c r="B2291">
        <f>IF($C2291="","","C"&amp;TEXT(INT((ROW()-5)/9)+1,"000")&amp;"-1")</f>
        <v/>
      </c>
      <c r="C2291">
        <f>IF(OR(Registro_Compras!$C$258="",Registro_Compras!$O$258=""),"",IF(Registro_Compras!$F$258="NOTA DE CREDITO","4212",IF(Registro_Compras!$M$258="","63",Registro_Compras!$M$258)))</f>
        <v/>
      </c>
      <c r="D2291">
        <f>IF(OR(Registro_Compras!$C$258="",Registro_Compras!$O$258=""),"",IF(Registro_Compras!$F$258="NOTA DE CREDITO","Cuentas por Pagar Comerciales - Terceros (Emitidas)",IF(Registro_Compras!$F$258="RHE","Honorarios Profesionales - Servicios de Terceros","Gastos de Servicios Prestados por Terceros")))</f>
        <v/>
      </c>
      <c r="E2291" s="20">
        <f>IF($C2291="","",IF(Registro_Compras!$F$258="NOTA DE CREDITO",ABS(Registro_Compras!$O$258),IF(Registro_Compras!$F$258="RHE",ROUND(Registro_Compras!$L$258*Registro_Compras!$N$258,2),ROUND(Registro_Compras!$J$258*Registro_Compras!$N$258,2))))</f>
        <v/>
      </c>
      <c r="F2291" s="20">
        <f>""</f>
        <v/>
      </c>
      <c r="G2291">
        <f>IF($C2291="","",IF(Registro_Compras!$F$258="NOTA DE CREDITO","Por la nota de credito "&amp;Registro_Compras!$C$258&amp;" de "&amp;Registro_Compras!$E$258&amp;" [PATRON POR CONFIRMAR CON CONTADOR]",IF(Registro_Compras!$F$258="RHE","Por el registro del recibo por honorarios "&amp;Registro_Compras!$C$258&amp;" de "&amp;Registro_Compras!$E$258&amp;" [PATRON POR CONFIRMAR CON CONTADOR]","Por el registro de la factura "&amp;Registro_Compras!$C$258&amp;" de "&amp;Registro_Compras!$E$258)))</f>
        <v/>
      </c>
      <c r="H2291">
        <f>IF($C2291="","",Registro_Compras!$C$258)</f>
        <v/>
      </c>
    </row>
    <row r="2292">
      <c r="A2292" s="25">
        <f>IF($C2292="","",Registro_Compras!$B$258)</f>
        <v/>
      </c>
      <c r="B2292">
        <f>IF($C2292="","","C"&amp;TEXT(INT((ROW()-5)/9)+1,"000")&amp;"-1")</f>
        <v/>
      </c>
      <c r="C2292">
        <f>IF(OR(Registro_Compras!$C$258="",Registro_Compras!$O$258=""),"",IF(Registro_Compras!$F$258="RHE",IF(Registro_Compras!$V$258=0,"","40172"),IF(Registro_Compras!$F$258="NOTA DE CREDITO",IF(Registro_Compras!$M$258="","63",Registro_Compras!$M$258),IF(Registro_Compras!$K$258=0,"","40111"))))</f>
        <v/>
      </c>
      <c r="D2292">
        <f>IF(OR(Registro_Compras!$C$258="",Registro_Compras!$O$258=""),"",IF(Registro_Compras!$F$258="RHE","Retencion Renta 4ta Categoria por Pagar",IF(Registro_Compras!$F$258="NOTA DE CREDITO","Gastos de Servicios Prestados por Terceros","IGV - Cuenta Propia (Credito Fiscal)")))</f>
        <v/>
      </c>
      <c r="E2292" s="20">
        <f>IF($C2292="","",IF(Registro_Compras!$F$258="FACTURA",ROUND(Registro_Compras!$K$258*Registro_Compras!$N$258,2),""))</f>
        <v/>
      </c>
      <c r="F2292" s="20">
        <f>IF($C2292="","",IF(Registro_Compras!$F$258="RHE",ROUND(Registro_Compras!$V$258*Registro_Compras!$N$258,2),IF(Registro_Compras!$F$258="NOTA DE CREDITO",ROUND(ABS(Registro_Compras!$J$258*Registro_Compras!$N$258),2),"")))</f>
        <v/>
      </c>
      <c r="G2292">
        <f>IF($C2292="","",IF(Registro_Compras!$F$258="NOTA DE CREDITO","Por la nota de credito "&amp;Registro_Compras!$C$258&amp;" de "&amp;Registro_Compras!$E$258&amp;" [PATRON POR CONFIRMAR CON CONTADOR]",IF(Registro_Compras!$F$258="RHE","Por el registro del recibo por honorarios "&amp;Registro_Compras!$C$258&amp;" de "&amp;Registro_Compras!$E$258&amp;" [PATRON POR CONFIRMAR CON CONTADOR]","Por el registro de la factura "&amp;Registro_Compras!$C$258&amp;" de "&amp;Registro_Compras!$E$258)))</f>
        <v/>
      </c>
      <c r="H2292">
        <f>IF($C2292="","",Registro_Compras!$C$258)</f>
        <v/>
      </c>
    </row>
    <row r="2293">
      <c r="A2293" s="25">
        <f>IF($C2293="","",Registro_Compras!$B$258)</f>
        <v/>
      </c>
      <c r="B2293">
        <f>IF($C2293="","","C"&amp;TEXT(INT((ROW()-5)/9)+1,"000")&amp;"-1")</f>
        <v/>
      </c>
      <c r="C2293">
        <f>IF(OR(Registro_Compras!$C$258="",Registro_Compras!$O$258=""),"",IF(Registro_Compras!$F$258="NOTA DE CREDITO",IF(Registro_Compras!$K$258=0,"","40111"),"4212"))</f>
        <v/>
      </c>
      <c r="D2293">
        <f>IF(OR(Registro_Compras!$C$258="",Registro_Compras!$O$258=""),"",IF(Registro_Compras!$F$258="NOTA DE CREDITO","IGV - Cuenta Propia (Credito Fiscal)","Cuentas por Pagar Comerciales - Terceros (Emitidas)"))</f>
        <v/>
      </c>
      <c r="E2293" s="20">
        <f>""</f>
        <v/>
      </c>
      <c r="F2293" s="20">
        <f>IF($C2293="","",IF(Registro_Compras!$F$258="NOTA DE CREDITO",ROUND(ABS(Registro_Compras!$K$258*Registro_Compras!$N$258),2),IF(Registro_Compras!$F$258="RHE",(ROUND(Registro_Compras!$L$258*Registro_Compras!$N$258,2)-ROUND(Registro_Compras!$V$258*Registro_Compras!$N$258,2)),Registro_Compras!$O$258)))</f>
        <v/>
      </c>
      <c r="G2293">
        <f>IF($C2293="","",IF(Registro_Compras!$F$258="NOTA DE CREDITO","Por la nota de credito "&amp;Registro_Compras!$C$258&amp;" de "&amp;Registro_Compras!$E$258&amp;" [PATRON POR CONFIRMAR CON CONTADOR]",IF(Registro_Compras!$F$258="RHE","Por el registro del recibo por honorarios "&amp;Registro_Compras!$C$258&amp;" de "&amp;Registro_Compras!$E$258&amp;" [PATRON POR CONFIRMAR CON CONTADOR]","Por el registro de la factura "&amp;Registro_Compras!$C$258&amp;" de "&amp;Registro_Compras!$E$258)))</f>
        <v/>
      </c>
      <c r="H2293">
        <f>IF($C2293="","",Registro_Compras!$C$258)</f>
        <v/>
      </c>
    </row>
    <row r="2294">
      <c r="A2294" s="25">
        <f>IF($C2294="","",Registro_Compras!$B$258)</f>
        <v/>
      </c>
      <c r="B2294">
        <f>IF($C2294="","","C"&amp;TEXT(INT((ROW()-5)/9)+1,"000")&amp;"-2")</f>
        <v/>
      </c>
      <c r="C2294">
        <f>IF(OR(Registro_Compras!$C$258="",Registro_Compras!$O$258=""),"",IF(Registro_Compras!$AB$258="ADMINISTRATIVO","94","95"))</f>
        <v/>
      </c>
      <c r="D2294">
        <f>IF(OR(Registro_Compras!$C$258="",Registro_Compras!$O$258=""),"",IF(Registro_Compras!$AB$258="ADMINISTRATIVO","Gastos Administrativos","Gastos de Venta y Operacion"))</f>
        <v/>
      </c>
      <c r="E2294" s="20">
        <f>IF($C2294="","",IF(Registro_Compras!$F$258="NOTA DE CREDITO","",IF(Registro_Compras!$F$258="RHE",ROUND(Registro_Compras!$L$258*Registro_Compras!$N$258,2),ROUND(Registro_Compras!$J$258*Registro_Compras!$N$258,2))))</f>
        <v/>
      </c>
      <c r="F2294" s="20">
        <f>IF($C2294="","",IF(Registro_Compras!$F$258="NOTA DE CREDITO",ROUND(ABS(Registro_Compras!$J$258*Registro_Compras!$N$258),2),""))</f>
        <v/>
      </c>
      <c r="G2294">
        <f>IF($C2294="","","Por el destino del gasto")</f>
        <v/>
      </c>
      <c r="H2294">
        <f>IF($C2294="","",Registro_Compras!$C$258)</f>
        <v/>
      </c>
    </row>
    <row r="2295">
      <c r="A2295" s="25">
        <f>IF($C2295="","",Registro_Compras!$B$258)</f>
        <v/>
      </c>
      <c r="B2295">
        <f>IF($C2295="","","C"&amp;TEXT(INT((ROW()-5)/9)+1,"000")&amp;"-2")</f>
        <v/>
      </c>
      <c r="C2295">
        <f>IF(OR(Registro_Compras!$C$258="",Registro_Compras!$O$258=""),"","79/791")</f>
        <v/>
      </c>
      <c r="D2295">
        <f>IF(OR(Registro_Compras!$C$258="",Registro_Compras!$O$258=""),"","Cargas Imputables a Cuentas de Costos y Gastos")</f>
        <v/>
      </c>
      <c r="E2295" s="20">
        <f>IF($C2295="","",IF(Registro_Compras!$F$258="NOTA DE CREDITO",ROUND(ABS(Registro_Compras!$J$258*Registro_Compras!$N$258),2),""))</f>
        <v/>
      </c>
      <c r="F2295" s="20">
        <f>IF($C2295="","",IF(Registro_Compras!$F$258="NOTA DE CREDITO","",IF(Registro_Compras!$F$258="RHE",ROUND(Registro_Compras!$L$258*Registro_Compras!$N$258,2),ROUND(Registro_Compras!$J$258*Registro_Compras!$N$258,2))))</f>
        <v/>
      </c>
      <c r="G2295">
        <f>IF($C2295="","","Por el destino del gasto")</f>
        <v/>
      </c>
      <c r="H2295">
        <f>IF($C2295="","",Registro_Compras!$C$258)</f>
        <v/>
      </c>
    </row>
    <row r="2296">
      <c r="A2296" s="25">
        <f>IF($C2296="","",Registro_Compras!$X$258)</f>
        <v/>
      </c>
      <c r="B2296">
        <f>IF($C2296="","","C"&amp;TEXT(INT((ROW()-5)/9)+1,"000")&amp;"-3")</f>
        <v/>
      </c>
      <c r="C2296">
        <f>IF(OR(Registro_Compras!$C$258="",Registro_Compras!$O$258="",Registro_Compras!$R$258&lt;&gt;"SI",Registro_Compras!$X$258=""),"","4212")</f>
        <v/>
      </c>
      <c r="D2296">
        <f>IF(OR(Registro_Compras!$C$258="",Registro_Compras!$O$258=""),"","Cuentas por Pagar Comerciales - Terceros")</f>
        <v/>
      </c>
      <c r="E2296" s="20">
        <f>IF($C2296="","",Registro_Compras!$S$258)</f>
        <v/>
      </c>
      <c r="F2296" s="20">
        <f>""</f>
        <v/>
      </c>
      <c r="G2296">
        <f>IF($C2296="","","Por el deposito de la detraccion en el Banco de la Nacion")</f>
        <v/>
      </c>
      <c r="H2296">
        <f>IF($C2296="","",Registro_Compras!$C$258)</f>
        <v/>
      </c>
    </row>
    <row r="2297">
      <c r="A2297" s="25">
        <f>IF($C2297="","",Registro_Compras!$X$258)</f>
        <v/>
      </c>
      <c r="B2297">
        <f>IF($C2297="","","C"&amp;TEXT(INT((ROW()-5)/9)+1,"000")&amp;"-3")</f>
        <v/>
      </c>
      <c r="C2297">
        <f>IF(OR(Registro_Compras!$C$258="",Registro_Compras!$O$258="",Registro_Compras!$R$258&lt;&gt;"SI",Registro_Compras!$X$258=""),"","10413")</f>
        <v/>
      </c>
      <c r="D2297">
        <f>IF(OR(Registro_Compras!$C$258="",Registro_Compras!$O$258=""),"","Efectivo y Equivalentes - Cta. Cte. Operativa")</f>
        <v/>
      </c>
      <c r="E2297" s="20">
        <f>""</f>
        <v/>
      </c>
      <c r="F2297" s="20">
        <f>IF($C2297="","",Registro_Compras!$S$258)</f>
        <v/>
      </c>
      <c r="G2297">
        <f>IF($C2297="","","Por el deposito de la detraccion en el Banco de la Nacion")</f>
        <v/>
      </c>
      <c r="H2297">
        <f>IF($C2297="","",Registro_Compras!$C$258)</f>
        <v/>
      </c>
    </row>
    <row r="2298">
      <c r="A2298" s="25">
        <f>IF($C2298="","",Registro_Compras!$Y$258)</f>
        <v/>
      </c>
      <c r="B2298">
        <f>IF($C2298="","","C"&amp;TEXT(INT((ROW()-5)/9)+1,"000")&amp;"-4")</f>
        <v/>
      </c>
      <c r="C2298">
        <f>IF(OR(Registro_Compras!$C$258="",Registro_Compras!$O$258="",Registro_Compras!$Y$258="",Registro_Compras!$F$258="NOTA DE CREDITO"),"","4212")</f>
        <v/>
      </c>
      <c r="D2298">
        <f>IF(OR(Registro_Compras!$C$258="",Registro_Compras!$O$258=""),"","Cuentas por Pagar Comerciales - Terceros")</f>
        <v/>
      </c>
      <c r="E2298" s="20">
        <f>IF($C2298="","",IF(Registro_Compras!$F$258="RHE",(ROUND(Registro_Compras!$L$258*Registro_Compras!$N$258,2)-ROUND(Registro_Compras!$V$258*Registro_Compras!$N$258,2)),ROUND(Registro_Compras!$O$258-Registro_Compras!$S$258,2)))</f>
        <v/>
      </c>
      <c r="F2298" s="20">
        <f>""</f>
        <v/>
      </c>
      <c r="G2298">
        <f>IF($C2298="","","Por la cancelacion del saldo al proveedor")</f>
        <v/>
      </c>
      <c r="H2298">
        <f>IF($C2298="","",Registro_Compras!$C$258)</f>
        <v/>
      </c>
    </row>
    <row r="2299">
      <c r="A2299" s="25">
        <f>IF($C2299="","",Registro_Compras!$Y$258)</f>
        <v/>
      </c>
      <c r="B2299">
        <f>IF($C2299="","","C"&amp;TEXT(INT((ROW()-5)/9)+1,"000")&amp;"-4")</f>
        <v/>
      </c>
      <c r="C2299">
        <f>IF(OR(Registro_Compras!$C$258="",Registro_Compras!$O$258="",Registro_Compras!$Y$258="",Registro_Compras!$F$258="NOTA DE CREDITO"),"","10413")</f>
        <v/>
      </c>
      <c r="D2299">
        <f>IF(OR(Registro_Compras!$C$258="",Registro_Compras!$O$258=""),"","Efectivo y Equivalentes - Cta. Cte. Operativa")</f>
        <v/>
      </c>
      <c r="E2299" s="20">
        <f>""</f>
        <v/>
      </c>
      <c r="F2299" s="20">
        <f>IF($C2299="","",IF(Registro_Compras!$F$258="RHE",(ROUND(Registro_Compras!$L$258*Registro_Compras!$N$258,2)-ROUND(Registro_Compras!$V$258*Registro_Compras!$N$258,2)),ROUND(Registro_Compras!$O$258-Registro_Compras!$S$258,2)))</f>
        <v/>
      </c>
      <c r="G2299">
        <f>IF($C2299="","","Por la cancelacion del saldo al proveedor")</f>
        <v/>
      </c>
      <c r="H2299">
        <f>IF($C2299="","",Registro_Compras!$C$258)</f>
        <v/>
      </c>
    </row>
    <row r="2300">
      <c r="A2300" s="25">
        <f>IF($C2300="","",Registro_Compras!$B$259)</f>
        <v/>
      </c>
      <c r="B2300">
        <f>IF($C2300="","","C"&amp;TEXT(INT((ROW()-5)/9)+1,"000")&amp;"-1")</f>
        <v/>
      </c>
      <c r="C2300">
        <f>IF(OR(Registro_Compras!$C$259="",Registro_Compras!$O$259=""),"",IF(Registro_Compras!$F$259="NOTA DE CREDITO","4212",IF(Registro_Compras!$M$259="","63",Registro_Compras!$M$259)))</f>
        <v/>
      </c>
      <c r="D2300">
        <f>IF(OR(Registro_Compras!$C$259="",Registro_Compras!$O$259=""),"",IF(Registro_Compras!$F$259="NOTA DE CREDITO","Cuentas por Pagar Comerciales - Terceros (Emitidas)",IF(Registro_Compras!$F$259="RHE","Honorarios Profesionales - Servicios de Terceros","Gastos de Servicios Prestados por Terceros")))</f>
        <v/>
      </c>
      <c r="E2300" s="20">
        <f>IF($C2300="","",IF(Registro_Compras!$F$259="NOTA DE CREDITO",ABS(Registro_Compras!$O$259),IF(Registro_Compras!$F$259="RHE",ROUND(Registro_Compras!$L$259*Registro_Compras!$N$259,2),ROUND(Registro_Compras!$J$259*Registro_Compras!$N$259,2))))</f>
        <v/>
      </c>
      <c r="F2300" s="20">
        <f>""</f>
        <v/>
      </c>
      <c r="G2300">
        <f>IF($C2300="","",IF(Registro_Compras!$F$259="NOTA DE CREDITO","Por la nota de credito "&amp;Registro_Compras!$C$259&amp;" de "&amp;Registro_Compras!$E$259&amp;" [PATRON POR CONFIRMAR CON CONTADOR]",IF(Registro_Compras!$F$259="RHE","Por el registro del recibo por honorarios "&amp;Registro_Compras!$C$259&amp;" de "&amp;Registro_Compras!$E$259&amp;" [PATRON POR CONFIRMAR CON CONTADOR]","Por el registro de la factura "&amp;Registro_Compras!$C$259&amp;" de "&amp;Registro_Compras!$E$259)))</f>
        <v/>
      </c>
      <c r="H2300">
        <f>IF($C2300="","",Registro_Compras!$C$259)</f>
        <v/>
      </c>
    </row>
    <row r="2301">
      <c r="A2301" s="25">
        <f>IF($C2301="","",Registro_Compras!$B$259)</f>
        <v/>
      </c>
      <c r="B2301">
        <f>IF($C2301="","","C"&amp;TEXT(INT((ROW()-5)/9)+1,"000")&amp;"-1")</f>
        <v/>
      </c>
      <c r="C2301">
        <f>IF(OR(Registro_Compras!$C$259="",Registro_Compras!$O$259=""),"",IF(Registro_Compras!$F$259="RHE",IF(Registro_Compras!$V$259=0,"","40172"),IF(Registro_Compras!$F$259="NOTA DE CREDITO",IF(Registro_Compras!$M$259="","63",Registro_Compras!$M$259),IF(Registro_Compras!$K$259=0,"","40111"))))</f>
        <v/>
      </c>
      <c r="D2301">
        <f>IF(OR(Registro_Compras!$C$259="",Registro_Compras!$O$259=""),"",IF(Registro_Compras!$F$259="RHE","Retencion Renta 4ta Categoria por Pagar",IF(Registro_Compras!$F$259="NOTA DE CREDITO","Gastos de Servicios Prestados por Terceros","IGV - Cuenta Propia (Credito Fiscal)")))</f>
        <v/>
      </c>
      <c r="E2301" s="20">
        <f>IF($C2301="","",IF(Registro_Compras!$F$259="FACTURA",ROUND(Registro_Compras!$K$259*Registro_Compras!$N$259,2),""))</f>
        <v/>
      </c>
      <c r="F2301" s="20">
        <f>IF($C2301="","",IF(Registro_Compras!$F$259="RHE",ROUND(Registro_Compras!$V$259*Registro_Compras!$N$259,2),IF(Registro_Compras!$F$259="NOTA DE CREDITO",ROUND(ABS(Registro_Compras!$J$259*Registro_Compras!$N$259),2),"")))</f>
        <v/>
      </c>
      <c r="G2301">
        <f>IF($C2301="","",IF(Registro_Compras!$F$259="NOTA DE CREDITO","Por la nota de credito "&amp;Registro_Compras!$C$259&amp;" de "&amp;Registro_Compras!$E$259&amp;" [PATRON POR CONFIRMAR CON CONTADOR]",IF(Registro_Compras!$F$259="RHE","Por el registro del recibo por honorarios "&amp;Registro_Compras!$C$259&amp;" de "&amp;Registro_Compras!$E$259&amp;" [PATRON POR CONFIRMAR CON CONTADOR]","Por el registro de la factura "&amp;Registro_Compras!$C$259&amp;" de "&amp;Registro_Compras!$E$259)))</f>
        <v/>
      </c>
      <c r="H2301">
        <f>IF($C2301="","",Registro_Compras!$C$259)</f>
        <v/>
      </c>
    </row>
    <row r="2302">
      <c r="A2302" s="25">
        <f>IF($C2302="","",Registro_Compras!$B$259)</f>
        <v/>
      </c>
      <c r="B2302">
        <f>IF($C2302="","","C"&amp;TEXT(INT((ROW()-5)/9)+1,"000")&amp;"-1")</f>
        <v/>
      </c>
      <c r="C2302">
        <f>IF(OR(Registro_Compras!$C$259="",Registro_Compras!$O$259=""),"",IF(Registro_Compras!$F$259="NOTA DE CREDITO",IF(Registro_Compras!$K$259=0,"","40111"),"4212"))</f>
        <v/>
      </c>
      <c r="D2302">
        <f>IF(OR(Registro_Compras!$C$259="",Registro_Compras!$O$259=""),"",IF(Registro_Compras!$F$259="NOTA DE CREDITO","IGV - Cuenta Propia (Credito Fiscal)","Cuentas por Pagar Comerciales - Terceros (Emitidas)"))</f>
        <v/>
      </c>
      <c r="E2302" s="20">
        <f>""</f>
        <v/>
      </c>
      <c r="F2302" s="20">
        <f>IF($C2302="","",IF(Registro_Compras!$F$259="NOTA DE CREDITO",ROUND(ABS(Registro_Compras!$K$259*Registro_Compras!$N$259),2),IF(Registro_Compras!$F$259="RHE",(ROUND(Registro_Compras!$L$259*Registro_Compras!$N$259,2)-ROUND(Registro_Compras!$V$259*Registro_Compras!$N$259,2)),Registro_Compras!$O$259)))</f>
        <v/>
      </c>
      <c r="G2302">
        <f>IF($C2302="","",IF(Registro_Compras!$F$259="NOTA DE CREDITO","Por la nota de credito "&amp;Registro_Compras!$C$259&amp;" de "&amp;Registro_Compras!$E$259&amp;" [PATRON POR CONFIRMAR CON CONTADOR]",IF(Registro_Compras!$F$259="RHE","Por el registro del recibo por honorarios "&amp;Registro_Compras!$C$259&amp;" de "&amp;Registro_Compras!$E$259&amp;" [PATRON POR CONFIRMAR CON CONTADOR]","Por el registro de la factura "&amp;Registro_Compras!$C$259&amp;" de "&amp;Registro_Compras!$E$259)))</f>
        <v/>
      </c>
      <c r="H2302">
        <f>IF($C2302="","",Registro_Compras!$C$259)</f>
        <v/>
      </c>
    </row>
    <row r="2303">
      <c r="A2303" s="25">
        <f>IF($C2303="","",Registro_Compras!$B$259)</f>
        <v/>
      </c>
      <c r="B2303">
        <f>IF($C2303="","","C"&amp;TEXT(INT((ROW()-5)/9)+1,"000")&amp;"-2")</f>
        <v/>
      </c>
      <c r="C2303">
        <f>IF(OR(Registro_Compras!$C$259="",Registro_Compras!$O$259=""),"",IF(Registro_Compras!$AB$259="ADMINISTRATIVO","94","95"))</f>
        <v/>
      </c>
      <c r="D2303">
        <f>IF(OR(Registro_Compras!$C$259="",Registro_Compras!$O$259=""),"",IF(Registro_Compras!$AB$259="ADMINISTRATIVO","Gastos Administrativos","Gastos de Venta y Operacion"))</f>
        <v/>
      </c>
      <c r="E2303" s="20">
        <f>IF($C2303="","",IF(Registro_Compras!$F$259="NOTA DE CREDITO","",IF(Registro_Compras!$F$259="RHE",ROUND(Registro_Compras!$L$259*Registro_Compras!$N$259,2),ROUND(Registro_Compras!$J$259*Registro_Compras!$N$259,2))))</f>
        <v/>
      </c>
      <c r="F2303" s="20">
        <f>IF($C2303="","",IF(Registro_Compras!$F$259="NOTA DE CREDITO",ROUND(ABS(Registro_Compras!$J$259*Registro_Compras!$N$259),2),""))</f>
        <v/>
      </c>
      <c r="G2303">
        <f>IF($C2303="","","Por el destino del gasto")</f>
        <v/>
      </c>
      <c r="H2303">
        <f>IF($C2303="","",Registro_Compras!$C$259)</f>
        <v/>
      </c>
    </row>
    <row r="2304">
      <c r="A2304" s="25">
        <f>IF($C2304="","",Registro_Compras!$B$259)</f>
        <v/>
      </c>
      <c r="B2304">
        <f>IF($C2304="","","C"&amp;TEXT(INT((ROW()-5)/9)+1,"000")&amp;"-2")</f>
        <v/>
      </c>
      <c r="C2304">
        <f>IF(OR(Registro_Compras!$C$259="",Registro_Compras!$O$259=""),"","79/791")</f>
        <v/>
      </c>
      <c r="D2304">
        <f>IF(OR(Registro_Compras!$C$259="",Registro_Compras!$O$259=""),"","Cargas Imputables a Cuentas de Costos y Gastos")</f>
        <v/>
      </c>
      <c r="E2304" s="20">
        <f>IF($C2304="","",IF(Registro_Compras!$F$259="NOTA DE CREDITO",ROUND(ABS(Registro_Compras!$J$259*Registro_Compras!$N$259),2),""))</f>
        <v/>
      </c>
      <c r="F2304" s="20">
        <f>IF($C2304="","",IF(Registro_Compras!$F$259="NOTA DE CREDITO","",IF(Registro_Compras!$F$259="RHE",ROUND(Registro_Compras!$L$259*Registro_Compras!$N$259,2),ROUND(Registro_Compras!$J$259*Registro_Compras!$N$259,2))))</f>
        <v/>
      </c>
      <c r="G2304">
        <f>IF($C2304="","","Por el destino del gasto")</f>
        <v/>
      </c>
      <c r="H2304">
        <f>IF($C2304="","",Registro_Compras!$C$259)</f>
        <v/>
      </c>
    </row>
    <row r="2305">
      <c r="A2305" s="25">
        <f>IF($C2305="","",Registro_Compras!$X$259)</f>
        <v/>
      </c>
      <c r="B2305">
        <f>IF($C2305="","","C"&amp;TEXT(INT((ROW()-5)/9)+1,"000")&amp;"-3")</f>
        <v/>
      </c>
      <c r="C2305">
        <f>IF(OR(Registro_Compras!$C$259="",Registro_Compras!$O$259="",Registro_Compras!$R$259&lt;&gt;"SI",Registro_Compras!$X$259=""),"","4212")</f>
        <v/>
      </c>
      <c r="D2305">
        <f>IF(OR(Registro_Compras!$C$259="",Registro_Compras!$O$259=""),"","Cuentas por Pagar Comerciales - Terceros")</f>
        <v/>
      </c>
      <c r="E2305" s="20">
        <f>IF($C2305="","",Registro_Compras!$S$259)</f>
        <v/>
      </c>
      <c r="F2305" s="20">
        <f>""</f>
        <v/>
      </c>
      <c r="G2305">
        <f>IF($C2305="","","Por el deposito de la detraccion en el Banco de la Nacion")</f>
        <v/>
      </c>
      <c r="H2305">
        <f>IF($C2305="","",Registro_Compras!$C$259)</f>
        <v/>
      </c>
    </row>
    <row r="2306">
      <c r="A2306" s="25">
        <f>IF($C2306="","",Registro_Compras!$X$259)</f>
        <v/>
      </c>
      <c r="B2306">
        <f>IF($C2306="","","C"&amp;TEXT(INT((ROW()-5)/9)+1,"000")&amp;"-3")</f>
        <v/>
      </c>
      <c r="C2306">
        <f>IF(OR(Registro_Compras!$C$259="",Registro_Compras!$O$259="",Registro_Compras!$R$259&lt;&gt;"SI",Registro_Compras!$X$259=""),"","10413")</f>
        <v/>
      </c>
      <c r="D2306">
        <f>IF(OR(Registro_Compras!$C$259="",Registro_Compras!$O$259=""),"","Efectivo y Equivalentes - Cta. Cte. Operativa")</f>
        <v/>
      </c>
      <c r="E2306" s="20">
        <f>""</f>
        <v/>
      </c>
      <c r="F2306" s="20">
        <f>IF($C2306="","",Registro_Compras!$S$259)</f>
        <v/>
      </c>
      <c r="G2306">
        <f>IF($C2306="","","Por el deposito de la detraccion en el Banco de la Nacion")</f>
        <v/>
      </c>
      <c r="H2306">
        <f>IF($C2306="","",Registro_Compras!$C$259)</f>
        <v/>
      </c>
    </row>
    <row r="2307">
      <c r="A2307" s="25">
        <f>IF($C2307="","",Registro_Compras!$Y$259)</f>
        <v/>
      </c>
      <c r="B2307">
        <f>IF($C2307="","","C"&amp;TEXT(INT((ROW()-5)/9)+1,"000")&amp;"-4")</f>
        <v/>
      </c>
      <c r="C2307">
        <f>IF(OR(Registro_Compras!$C$259="",Registro_Compras!$O$259="",Registro_Compras!$Y$259="",Registro_Compras!$F$259="NOTA DE CREDITO"),"","4212")</f>
        <v/>
      </c>
      <c r="D2307">
        <f>IF(OR(Registro_Compras!$C$259="",Registro_Compras!$O$259=""),"","Cuentas por Pagar Comerciales - Terceros")</f>
        <v/>
      </c>
      <c r="E2307" s="20">
        <f>IF($C2307="","",IF(Registro_Compras!$F$259="RHE",(ROUND(Registro_Compras!$L$259*Registro_Compras!$N$259,2)-ROUND(Registro_Compras!$V$259*Registro_Compras!$N$259,2)),ROUND(Registro_Compras!$O$259-Registro_Compras!$S$259,2)))</f>
        <v/>
      </c>
      <c r="F2307" s="20">
        <f>""</f>
        <v/>
      </c>
      <c r="G2307">
        <f>IF($C2307="","","Por la cancelacion del saldo al proveedor")</f>
        <v/>
      </c>
      <c r="H2307">
        <f>IF($C2307="","",Registro_Compras!$C$259)</f>
        <v/>
      </c>
    </row>
    <row r="2308">
      <c r="A2308" s="25">
        <f>IF($C2308="","",Registro_Compras!$Y$259)</f>
        <v/>
      </c>
      <c r="B2308">
        <f>IF($C2308="","","C"&amp;TEXT(INT((ROW()-5)/9)+1,"000")&amp;"-4")</f>
        <v/>
      </c>
      <c r="C2308">
        <f>IF(OR(Registro_Compras!$C$259="",Registro_Compras!$O$259="",Registro_Compras!$Y$259="",Registro_Compras!$F$259="NOTA DE CREDITO"),"","10413")</f>
        <v/>
      </c>
      <c r="D2308">
        <f>IF(OR(Registro_Compras!$C$259="",Registro_Compras!$O$259=""),"","Efectivo y Equivalentes - Cta. Cte. Operativa")</f>
        <v/>
      </c>
      <c r="E2308" s="20">
        <f>""</f>
        <v/>
      </c>
      <c r="F2308" s="20">
        <f>IF($C2308="","",IF(Registro_Compras!$F$259="RHE",(ROUND(Registro_Compras!$L$259*Registro_Compras!$N$259,2)-ROUND(Registro_Compras!$V$259*Registro_Compras!$N$259,2)),ROUND(Registro_Compras!$O$259-Registro_Compras!$S$259,2)))</f>
        <v/>
      </c>
      <c r="G2308">
        <f>IF($C2308="","","Por la cancelacion del saldo al proveedor")</f>
        <v/>
      </c>
      <c r="H2308">
        <f>IF($C2308="","",Registro_Compras!$C$259)</f>
        <v/>
      </c>
    </row>
    <row r="2309">
      <c r="A2309" s="25">
        <f>IF($C2309="","",Registro_Compras!$B$260)</f>
        <v/>
      </c>
      <c r="B2309">
        <f>IF($C2309="","","C"&amp;TEXT(INT((ROW()-5)/9)+1,"000")&amp;"-1")</f>
        <v/>
      </c>
      <c r="C2309">
        <f>IF(OR(Registro_Compras!$C$260="",Registro_Compras!$O$260=""),"",IF(Registro_Compras!$F$260="NOTA DE CREDITO","4212",IF(Registro_Compras!$M$260="","63",Registro_Compras!$M$260)))</f>
        <v/>
      </c>
      <c r="D2309">
        <f>IF(OR(Registro_Compras!$C$260="",Registro_Compras!$O$260=""),"",IF(Registro_Compras!$F$260="NOTA DE CREDITO","Cuentas por Pagar Comerciales - Terceros (Emitidas)",IF(Registro_Compras!$F$260="RHE","Honorarios Profesionales - Servicios de Terceros","Gastos de Servicios Prestados por Terceros")))</f>
        <v/>
      </c>
      <c r="E2309" s="20">
        <f>IF($C2309="","",IF(Registro_Compras!$F$260="NOTA DE CREDITO",ABS(Registro_Compras!$O$260),IF(Registro_Compras!$F$260="RHE",ROUND(Registro_Compras!$L$260*Registro_Compras!$N$260,2),ROUND(Registro_Compras!$J$260*Registro_Compras!$N$260,2))))</f>
        <v/>
      </c>
      <c r="F2309" s="20">
        <f>""</f>
        <v/>
      </c>
      <c r="G2309">
        <f>IF($C2309="","",IF(Registro_Compras!$F$260="NOTA DE CREDITO","Por la nota de credito "&amp;Registro_Compras!$C$260&amp;" de "&amp;Registro_Compras!$E$260&amp;" [PATRON POR CONFIRMAR CON CONTADOR]",IF(Registro_Compras!$F$260="RHE","Por el registro del recibo por honorarios "&amp;Registro_Compras!$C$260&amp;" de "&amp;Registro_Compras!$E$260&amp;" [PATRON POR CONFIRMAR CON CONTADOR]","Por el registro de la factura "&amp;Registro_Compras!$C$260&amp;" de "&amp;Registro_Compras!$E$260)))</f>
        <v/>
      </c>
      <c r="H2309">
        <f>IF($C2309="","",Registro_Compras!$C$260)</f>
        <v/>
      </c>
    </row>
    <row r="2310">
      <c r="A2310" s="25">
        <f>IF($C2310="","",Registro_Compras!$B$260)</f>
        <v/>
      </c>
      <c r="B2310">
        <f>IF($C2310="","","C"&amp;TEXT(INT((ROW()-5)/9)+1,"000")&amp;"-1")</f>
        <v/>
      </c>
      <c r="C2310">
        <f>IF(OR(Registro_Compras!$C$260="",Registro_Compras!$O$260=""),"",IF(Registro_Compras!$F$260="RHE",IF(Registro_Compras!$V$260=0,"","40172"),IF(Registro_Compras!$F$260="NOTA DE CREDITO",IF(Registro_Compras!$M$260="","63",Registro_Compras!$M$260),IF(Registro_Compras!$K$260=0,"","40111"))))</f>
        <v/>
      </c>
      <c r="D2310">
        <f>IF(OR(Registro_Compras!$C$260="",Registro_Compras!$O$260=""),"",IF(Registro_Compras!$F$260="RHE","Retencion Renta 4ta Categoria por Pagar",IF(Registro_Compras!$F$260="NOTA DE CREDITO","Gastos de Servicios Prestados por Terceros","IGV - Cuenta Propia (Credito Fiscal)")))</f>
        <v/>
      </c>
      <c r="E2310" s="20">
        <f>IF($C2310="","",IF(Registro_Compras!$F$260="FACTURA",ROUND(Registro_Compras!$K$260*Registro_Compras!$N$260,2),""))</f>
        <v/>
      </c>
      <c r="F2310" s="20">
        <f>IF($C2310="","",IF(Registro_Compras!$F$260="RHE",ROUND(Registro_Compras!$V$260*Registro_Compras!$N$260,2),IF(Registro_Compras!$F$260="NOTA DE CREDITO",ROUND(ABS(Registro_Compras!$J$260*Registro_Compras!$N$260),2),"")))</f>
        <v/>
      </c>
      <c r="G2310">
        <f>IF($C2310="","",IF(Registro_Compras!$F$260="NOTA DE CREDITO","Por la nota de credito "&amp;Registro_Compras!$C$260&amp;" de "&amp;Registro_Compras!$E$260&amp;" [PATRON POR CONFIRMAR CON CONTADOR]",IF(Registro_Compras!$F$260="RHE","Por el registro del recibo por honorarios "&amp;Registro_Compras!$C$260&amp;" de "&amp;Registro_Compras!$E$260&amp;" [PATRON POR CONFIRMAR CON CONTADOR]","Por el registro de la factura "&amp;Registro_Compras!$C$260&amp;" de "&amp;Registro_Compras!$E$260)))</f>
        <v/>
      </c>
      <c r="H2310">
        <f>IF($C2310="","",Registro_Compras!$C$260)</f>
        <v/>
      </c>
    </row>
    <row r="2311">
      <c r="A2311" s="25">
        <f>IF($C2311="","",Registro_Compras!$B$260)</f>
        <v/>
      </c>
      <c r="B2311">
        <f>IF($C2311="","","C"&amp;TEXT(INT((ROW()-5)/9)+1,"000")&amp;"-1")</f>
        <v/>
      </c>
      <c r="C2311">
        <f>IF(OR(Registro_Compras!$C$260="",Registro_Compras!$O$260=""),"",IF(Registro_Compras!$F$260="NOTA DE CREDITO",IF(Registro_Compras!$K$260=0,"","40111"),"4212"))</f>
        <v/>
      </c>
      <c r="D2311">
        <f>IF(OR(Registro_Compras!$C$260="",Registro_Compras!$O$260=""),"",IF(Registro_Compras!$F$260="NOTA DE CREDITO","IGV - Cuenta Propia (Credito Fiscal)","Cuentas por Pagar Comerciales - Terceros (Emitidas)"))</f>
        <v/>
      </c>
      <c r="E2311" s="20">
        <f>""</f>
        <v/>
      </c>
      <c r="F2311" s="20">
        <f>IF($C2311="","",IF(Registro_Compras!$F$260="NOTA DE CREDITO",ROUND(ABS(Registro_Compras!$K$260*Registro_Compras!$N$260),2),IF(Registro_Compras!$F$260="RHE",(ROUND(Registro_Compras!$L$260*Registro_Compras!$N$260,2)-ROUND(Registro_Compras!$V$260*Registro_Compras!$N$260,2)),Registro_Compras!$O$260)))</f>
        <v/>
      </c>
      <c r="G2311">
        <f>IF($C2311="","",IF(Registro_Compras!$F$260="NOTA DE CREDITO","Por la nota de credito "&amp;Registro_Compras!$C$260&amp;" de "&amp;Registro_Compras!$E$260&amp;" [PATRON POR CONFIRMAR CON CONTADOR]",IF(Registro_Compras!$F$260="RHE","Por el registro del recibo por honorarios "&amp;Registro_Compras!$C$260&amp;" de "&amp;Registro_Compras!$E$260&amp;" [PATRON POR CONFIRMAR CON CONTADOR]","Por el registro de la factura "&amp;Registro_Compras!$C$260&amp;" de "&amp;Registro_Compras!$E$260)))</f>
        <v/>
      </c>
      <c r="H2311">
        <f>IF($C2311="","",Registro_Compras!$C$260)</f>
        <v/>
      </c>
    </row>
    <row r="2312">
      <c r="A2312" s="25">
        <f>IF($C2312="","",Registro_Compras!$B$260)</f>
        <v/>
      </c>
      <c r="B2312">
        <f>IF($C2312="","","C"&amp;TEXT(INT((ROW()-5)/9)+1,"000")&amp;"-2")</f>
        <v/>
      </c>
      <c r="C2312">
        <f>IF(OR(Registro_Compras!$C$260="",Registro_Compras!$O$260=""),"",IF(Registro_Compras!$AB$260="ADMINISTRATIVO","94","95"))</f>
        <v/>
      </c>
      <c r="D2312">
        <f>IF(OR(Registro_Compras!$C$260="",Registro_Compras!$O$260=""),"",IF(Registro_Compras!$AB$260="ADMINISTRATIVO","Gastos Administrativos","Gastos de Venta y Operacion"))</f>
        <v/>
      </c>
      <c r="E2312" s="20">
        <f>IF($C2312="","",IF(Registro_Compras!$F$260="NOTA DE CREDITO","",IF(Registro_Compras!$F$260="RHE",ROUND(Registro_Compras!$L$260*Registro_Compras!$N$260,2),ROUND(Registro_Compras!$J$260*Registro_Compras!$N$260,2))))</f>
        <v/>
      </c>
      <c r="F2312" s="20">
        <f>IF($C2312="","",IF(Registro_Compras!$F$260="NOTA DE CREDITO",ROUND(ABS(Registro_Compras!$J$260*Registro_Compras!$N$260),2),""))</f>
        <v/>
      </c>
      <c r="G2312">
        <f>IF($C2312="","","Por el destino del gasto")</f>
        <v/>
      </c>
      <c r="H2312">
        <f>IF($C2312="","",Registro_Compras!$C$260)</f>
        <v/>
      </c>
    </row>
    <row r="2313">
      <c r="A2313" s="25">
        <f>IF($C2313="","",Registro_Compras!$B$260)</f>
        <v/>
      </c>
      <c r="B2313">
        <f>IF($C2313="","","C"&amp;TEXT(INT((ROW()-5)/9)+1,"000")&amp;"-2")</f>
        <v/>
      </c>
      <c r="C2313">
        <f>IF(OR(Registro_Compras!$C$260="",Registro_Compras!$O$260=""),"","79/791")</f>
        <v/>
      </c>
      <c r="D2313">
        <f>IF(OR(Registro_Compras!$C$260="",Registro_Compras!$O$260=""),"","Cargas Imputables a Cuentas de Costos y Gastos")</f>
        <v/>
      </c>
      <c r="E2313" s="20">
        <f>IF($C2313="","",IF(Registro_Compras!$F$260="NOTA DE CREDITO",ROUND(ABS(Registro_Compras!$J$260*Registro_Compras!$N$260),2),""))</f>
        <v/>
      </c>
      <c r="F2313" s="20">
        <f>IF($C2313="","",IF(Registro_Compras!$F$260="NOTA DE CREDITO","",IF(Registro_Compras!$F$260="RHE",ROUND(Registro_Compras!$L$260*Registro_Compras!$N$260,2),ROUND(Registro_Compras!$J$260*Registro_Compras!$N$260,2))))</f>
        <v/>
      </c>
      <c r="G2313">
        <f>IF($C2313="","","Por el destino del gasto")</f>
        <v/>
      </c>
      <c r="H2313">
        <f>IF($C2313="","",Registro_Compras!$C$260)</f>
        <v/>
      </c>
    </row>
    <row r="2314">
      <c r="A2314" s="25">
        <f>IF($C2314="","",Registro_Compras!$X$260)</f>
        <v/>
      </c>
      <c r="B2314">
        <f>IF($C2314="","","C"&amp;TEXT(INT((ROW()-5)/9)+1,"000")&amp;"-3")</f>
        <v/>
      </c>
      <c r="C2314">
        <f>IF(OR(Registro_Compras!$C$260="",Registro_Compras!$O$260="",Registro_Compras!$R$260&lt;&gt;"SI",Registro_Compras!$X$260=""),"","4212")</f>
        <v/>
      </c>
      <c r="D2314">
        <f>IF(OR(Registro_Compras!$C$260="",Registro_Compras!$O$260=""),"","Cuentas por Pagar Comerciales - Terceros")</f>
        <v/>
      </c>
      <c r="E2314" s="20">
        <f>IF($C2314="","",Registro_Compras!$S$260)</f>
        <v/>
      </c>
      <c r="F2314" s="20">
        <f>""</f>
        <v/>
      </c>
      <c r="G2314">
        <f>IF($C2314="","","Por el deposito de la detraccion en el Banco de la Nacion")</f>
        <v/>
      </c>
      <c r="H2314">
        <f>IF($C2314="","",Registro_Compras!$C$260)</f>
        <v/>
      </c>
    </row>
    <row r="2315">
      <c r="A2315" s="25">
        <f>IF($C2315="","",Registro_Compras!$X$260)</f>
        <v/>
      </c>
      <c r="B2315">
        <f>IF($C2315="","","C"&amp;TEXT(INT((ROW()-5)/9)+1,"000")&amp;"-3")</f>
        <v/>
      </c>
      <c r="C2315">
        <f>IF(OR(Registro_Compras!$C$260="",Registro_Compras!$O$260="",Registro_Compras!$R$260&lt;&gt;"SI",Registro_Compras!$X$260=""),"","10413")</f>
        <v/>
      </c>
      <c r="D2315">
        <f>IF(OR(Registro_Compras!$C$260="",Registro_Compras!$O$260=""),"","Efectivo y Equivalentes - Cta. Cte. Operativa")</f>
        <v/>
      </c>
      <c r="E2315" s="20">
        <f>""</f>
        <v/>
      </c>
      <c r="F2315" s="20">
        <f>IF($C2315="","",Registro_Compras!$S$260)</f>
        <v/>
      </c>
      <c r="G2315">
        <f>IF($C2315="","","Por el deposito de la detraccion en el Banco de la Nacion")</f>
        <v/>
      </c>
      <c r="H2315">
        <f>IF($C2315="","",Registro_Compras!$C$260)</f>
        <v/>
      </c>
    </row>
    <row r="2316">
      <c r="A2316" s="25">
        <f>IF($C2316="","",Registro_Compras!$Y$260)</f>
        <v/>
      </c>
      <c r="B2316">
        <f>IF($C2316="","","C"&amp;TEXT(INT((ROW()-5)/9)+1,"000")&amp;"-4")</f>
        <v/>
      </c>
      <c r="C2316">
        <f>IF(OR(Registro_Compras!$C$260="",Registro_Compras!$O$260="",Registro_Compras!$Y$260="",Registro_Compras!$F$260="NOTA DE CREDITO"),"","4212")</f>
        <v/>
      </c>
      <c r="D2316">
        <f>IF(OR(Registro_Compras!$C$260="",Registro_Compras!$O$260=""),"","Cuentas por Pagar Comerciales - Terceros")</f>
        <v/>
      </c>
      <c r="E2316" s="20">
        <f>IF($C2316="","",IF(Registro_Compras!$F$260="RHE",(ROUND(Registro_Compras!$L$260*Registro_Compras!$N$260,2)-ROUND(Registro_Compras!$V$260*Registro_Compras!$N$260,2)),ROUND(Registro_Compras!$O$260-Registro_Compras!$S$260,2)))</f>
        <v/>
      </c>
      <c r="F2316" s="20">
        <f>""</f>
        <v/>
      </c>
      <c r="G2316">
        <f>IF($C2316="","","Por la cancelacion del saldo al proveedor")</f>
        <v/>
      </c>
      <c r="H2316">
        <f>IF($C2316="","",Registro_Compras!$C$260)</f>
        <v/>
      </c>
    </row>
    <row r="2317">
      <c r="A2317" s="25">
        <f>IF($C2317="","",Registro_Compras!$Y$260)</f>
        <v/>
      </c>
      <c r="B2317">
        <f>IF($C2317="","","C"&amp;TEXT(INT((ROW()-5)/9)+1,"000")&amp;"-4")</f>
        <v/>
      </c>
      <c r="C2317">
        <f>IF(OR(Registro_Compras!$C$260="",Registro_Compras!$O$260="",Registro_Compras!$Y$260="",Registro_Compras!$F$260="NOTA DE CREDITO"),"","10413")</f>
        <v/>
      </c>
      <c r="D2317">
        <f>IF(OR(Registro_Compras!$C$260="",Registro_Compras!$O$260=""),"","Efectivo y Equivalentes - Cta. Cte. Operativa")</f>
        <v/>
      </c>
      <c r="E2317" s="20">
        <f>""</f>
        <v/>
      </c>
      <c r="F2317" s="20">
        <f>IF($C2317="","",IF(Registro_Compras!$F$260="RHE",(ROUND(Registro_Compras!$L$260*Registro_Compras!$N$260,2)-ROUND(Registro_Compras!$V$260*Registro_Compras!$N$260,2)),ROUND(Registro_Compras!$O$260-Registro_Compras!$S$260,2)))</f>
        <v/>
      </c>
      <c r="G2317">
        <f>IF($C2317="","","Por la cancelacion del saldo al proveedor")</f>
        <v/>
      </c>
      <c r="H2317">
        <f>IF($C2317="","",Registro_Compras!$C$260)</f>
        <v/>
      </c>
    </row>
    <row r="2318">
      <c r="A2318" s="25">
        <f>IF($C2318="","",Registro_Compras!$B$261)</f>
        <v/>
      </c>
      <c r="B2318">
        <f>IF($C2318="","","C"&amp;TEXT(INT((ROW()-5)/9)+1,"000")&amp;"-1")</f>
        <v/>
      </c>
      <c r="C2318">
        <f>IF(OR(Registro_Compras!$C$261="",Registro_Compras!$O$261=""),"",IF(Registro_Compras!$F$261="NOTA DE CREDITO","4212",IF(Registro_Compras!$M$261="","63",Registro_Compras!$M$261)))</f>
        <v/>
      </c>
      <c r="D2318">
        <f>IF(OR(Registro_Compras!$C$261="",Registro_Compras!$O$261=""),"",IF(Registro_Compras!$F$261="NOTA DE CREDITO","Cuentas por Pagar Comerciales - Terceros (Emitidas)",IF(Registro_Compras!$F$261="RHE","Honorarios Profesionales - Servicios de Terceros","Gastos de Servicios Prestados por Terceros")))</f>
        <v/>
      </c>
      <c r="E2318" s="20">
        <f>IF($C2318="","",IF(Registro_Compras!$F$261="NOTA DE CREDITO",ABS(Registro_Compras!$O$261),IF(Registro_Compras!$F$261="RHE",ROUND(Registro_Compras!$L$261*Registro_Compras!$N$261,2),ROUND(Registro_Compras!$J$261*Registro_Compras!$N$261,2))))</f>
        <v/>
      </c>
      <c r="F2318" s="20">
        <f>""</f>
        <v/>
      </c>
      <c r="G2318">
        <f>IF($C2318="","",IF(Registro_Compras!$F$261="NOTA DE CREDITO","Por la nota de credito "&amp;Registro_Compras!$C$261&amp;" de "&amp;Registro_Compras!$E$261&amp;" [PATRON POR CONFIRMAR CON CONTADOR]",IF(Registro_Compras!$F$261="RHE","Por el registro del recibo por honorarios "&amp;Registro_Compras!$C$261&amp;" de "&amp;Registro_Compras!$E$261&amp;" [PATRON POR CONFIRMAR CON CONTADOR]","Por el registro de la factura "&amp;Registro_Compras!$C$261&amp;" de "&amp;Registro_Compras!$E$261)))</f>
        <v/>
      </c>
      <c r="H2318">
        <f>IF($C2318="","",Registro_Compras!$C$261)</f>
        <v/>
      </c>
    </row>
    <row r="2319">
      <c r="A2319" s="25">
        <f>IF($C2319="","",Registro_Compras!$B$261)</f>
        <v/>
      </c>
      <c r="B2319">
        <f>IF($C2319="","","C"&amp;TEXT(INT((ROW()-5)/9)+1,"000")&amp;"-1")</f>
        <v/>
      </c>
      <c r="C2319">
        <f>IF(OR(Registro_Compras!$C$261="",Registro_Compras!$O$261=""),"",IF(Registro_Compras!$F$261="RHE",IF(Registro_Compras!$V$261=0,"","40172"),IF(Registro_Compras!$F$261="NOTA DE CREDITO",IF(Registro_Compras!$M$261="","63",Registro_Compras!$M$261),IF(Registro_Compras!$K$261=0,"","40111"))))</f>
        <v/>
      </c>
      <c r="D2319">
        <f>IF(OR(Registro_Compras!$C$261="",Registro_Compras!$O$261=""),"",IF(Registro_Compras!$F$261="RHE","Retencion Renta 4ta Categoria por Pagar",IF(Registro_Compras!$F$261="NOTA DE CREDITO","Gastos de Servicios Prestados por Terceros","IGV - Cuenta Propia (Credito Fiscal)")))</f>
        <v/>
      </c>
      <c r="E2319" s="20">
        <f>IF($C2319="","",IF(Registro_Compras!$F$261="FACTURA",ROUND(Registro_Compras!$K$261*Registro_Compras!$N$261,2),""))</f>
        <v/>
      </c>
      <c r="F2319" s="20">
        <f>IF($C2319="","",IF(Registro_Compras!$F$261="RHE",ROUND(Registro_Compras!$V$261*Registro_Compras!$N$261,2),IF(Registro_Compras!$F$261="NOTA DE CREDITO",ROUND(ABS(Registro_Compras!$J$261*Registro_Compras!$N$261),2),"")))</f>
        <v/>
      </c>
      <c r="G2319">
        <f>IF($C2319="","",IF(Registro_Compras!$F$261="NOTA DE CREDITO","Por la nota de credito "&amp;Registro_Compras!$C$261&amp;" de "&amp;Registro_Compras!$E$261&amp;" [PATRON POR CONFIRMAR CON CONTADOR]",IF(Registro_Compras!$F$261="RHE","Por el registro del recibo por honorarios "&amp;Registro_Compras!$C$261&amp;" de "&amp;Registro_Compras!$E$261&amp;" [PATRON POR CONFIRMAR CON CONTADOR]","Por el registro de la factura "&amp;Registro_Compras!$C$261&amp;" de "&amp;Registro_Compras!$E$261)))</f>
        <v/>
      </c>
      <c r="H2319">
        <f>IF($C2319="","",Registro_Compras!$C$261)</f>
        <v/>
      </c>
    </row>
    <row r="2320">
      <c r="A2320" s="25">
        <f>IF($C2320="","",Registro_Compras!$B$261)</f>
        <v/>
      </c>
      <c r="B2320">
        <f>IF($C2320="","","C"&amp;TEXT(INT((ROW()-5)/9)+1,"000")&amp;"-1")</f>
        <v/>
      </c>
      <c r="C2320">
        <f>IF(OR(Registro_Compras!$C$261="",Registro_Compras!$O$261=""),"",IF(Registro_Compras!$F$261="NOTA DE CREDITO",IF(Registro_Compras!$K$261=0,"","40111"),"4212"))</f>
        <v/>
      </c>
      <c r="D2320">
        <f>IF(OR(Registro_Compras!$C$261="",Registro_Compras!$O$261=""),"",IF(Registro_Compras!$F$261="NOTA DE CREDITO","IGV - Cuenta Propia (Credito Fiscal)","Cuentas por Pagar Comerciales - Terceros (Emitidas)"))</f>
        <v/>
      </c>
      <c r="E2320" s="20">
        <f>""</f>
        <v/>
      </c>
      <c r="F2320" s="20">
        <f>IF($C2320="","",IF(Registro_Compras!$F$261="NOTA DE CREDITO",ROUND(ABS(Registro_Compras!$K$261*Registro_Compras!$N$261),2),IF(Registro_Compras!$F$261="RHE",(ROUND(Registro_Compras!$L$261*Registro_Compras!$N$261,2)-ROUND(Registro_Compras!$V$261*Registro_Compras!$N$261,2)),Registro_Compras!$O$261)))</f>
        <v/>
      </c>
      <c r="G2320">
        <f>IF($C2320="","",IF(Registro_Compras!$F$261="NOTA DE CREDITO","Por la nota de credito "&amp;Registro_Compras!$C$261&amp;" de "&amp;Registro_Compras!$E$261&amp;" [PATRON POR CONFIRMAR CON CONTADOR]",IF(Registro_Compras!$F$261="RHE","Por el registro del recibo por honorarios "&amp;Registro_Compras!$C$261&amp;" de "&amp;Registro_Compras!$E$261&amp;" [PATRON POR CONFIRMAR CON CONTADOR]","Por el registro de la factura "&amp;Registro_Compras!$C$261&amp;" de "&amp;Registro_Compras!$E$261)))</f>
        <v/>
      </c>
      <c r="H2320">
        <f>IF($C2320="","",Registro_Compras!$C$261)</f>
        <v/>
      </c>
    </row>
    <row r="2321">
      <c r="A2321" s="25">
        <f>IF($C2321="","",Registro_Compras!$B$261)</f>
        <v/>
      </c>
      <c r="B2321">
        <f>IF($C2321="","","C"&amp;TEXT(INT((ROW()-5)/9)+1,"000")&amp;"-2")</f>
        <v/>
      </c>
      <c r="C2321">
        <f>IF(OR(Registro_Compras!$C$261="",Registro_Compras!$O$261=""),"",IF(Registro_Compras!$AB$261="ADMINISTRATIVO","94","95"))</f>
        <v/>
      </c>
      <c r="D2321">
        <f>IF(OR(Registro_Compras!$C$261="",Registro_Compras!$O$261=""),"",IF(Registro_Compras!$AB$261="ADMINISTRATIVO","Gastos Administrativos","Gastos de Venta y Operacion"))</f>
        <v/>
      </c>
      <c r="E2321" s="20">
        <f>IF($C2321="","",IF(Registro_Compras!$F$261="NOTA DE CREDITO","",IF(Registro_Compras!$F$261="RHE",ROUND(Registro_Compras!$L$261*Registro_Compras!$N$261,2),ROUND(Registro_Compras!$J$261*Registro_Compras!$N$261,2))))</f>
        <v/>
      </c>
      <c r="F2321" s="20">
        <f>IF($C2321="","",IF(Registro_Compras!$F$261="NOTA DE CREDITO",ROUND(ABS(Registro_Compras!$J$261*Registro_Compras!$N$261),2),""))</f>
        <v/>
      </c>
      <c r="G2321">
        <f>IF($C2321="","","Por el destino del gasto")</f>
        <v/>
      </c>
      <c r="H2321">
        <f>IF($C2321="","",Registro_Compras!$C$261)</f>
        <v/>
      </c>
    </row>
    <row r="2322">
      <c r="A2322" s="25">
        <f>IF($C2322="","",Registro_Compras!$B$261)</f>
        <v/>
      </c>
      <c r="B2322">
        <f>IF($C2322="","","C"&amp;TEXT(INT((ROW()-5)/9)+1,"000")&amp;"-2")</f>
        <v/>
      </c>
      <c r="C2322">
        <f>IF(OR(Registro_Compras!$C$261="",Registro_Compras!$O$261=""),"","79/791")</f>
        <v/>
      </c>
      <c r="D2322">
        <f>IF(OR(Registro_Compras!$C$261="",Registro_Compras!$O$261=""),"","Cargas Imputables a Cuentas de Costos y Gastos")</f>
        <v/>
      </c>
      <c r="E2322" s="20">
        <f>IF($C2322="","",IF(Registro_Compras!$F$261="NOTA DE CREDITO",ROUND(ABS(Registro_Compras!$J$261*Registro_Compras!$N$261),2),""))</f>
        <v/>
      </c>
      <c r="F2322" s="20">
        <f>IF($C2322="","",IF(Registro_Compras!$F$261="NOTA DE CREDITO","",IF(Registro_Compras!$F$261="RHE",ROUND(Registro_Compras!$L$261*Registro_Compras!$N$261,2),ROUND(Registro_Compras!$J$261*Registro_Compras!$N$261,2))))</f>
        <v/>
      </c>
      <c r="G2322">
        <f>IF($C2322="","","Por el destino del gasto")</f>
        <v/>
      </c>
      <c r="H2322">
        <f>IF($C2322="","",Registro_Compras!$C$261)</f>
        <v/>
      </c>
    </row>
    <row r="2323">
      <c r="A2323" s="25">
        <f>IF($C2323="","",Registro_Compras!$X$261)</f>
        <v/>
      </c>
      <c r="B2323">
        <f>IF($C2323="","","C"&amp;TEXT(INT((ROW()-5)/9)+1,"000")&amp;"-3")</f>
        <v/>
      </c>
      <c r="C2323">
        <f>IF(OR(Registro_Compras!$C$261="",Registro_Compras!$O$261="",Registro_Compras!$R$261&lt;&gt;"SI",Registro_Compras!$X$261=""),"","4212")</f>
        <v/>
      </c>
      <c r="D2323">
        <f>IF(OR(Registro_Compras!$C$261="",Registro_Compras!$O$261=""),"","Cuentas por Pagar Comerciales - Terceros")</f>
        <v/>
      </c>
      <c r="E2323" s="20">
        <f>IF($C2323="","",Registro_Compras!$S$261)</f>
        <v/>
      </c>
      <c r="F2323" s="20">
        <f>""</f>
        <v/>
      </c>
      <c r="G2323">
        <f>IF($C2323="","","Por el deposito de la detraccion en el Banco de la Nacion")</f>
        <v/>
      </c>
      <c r="H2323">
        <f>IF($C2323="","",Registro_Compras!$C$261)</f>
        <v/>
      </c>
    </row>
    <row r="2324">
      <c r="A2324" s="25">
        <f>IF($C2324="","",Registro_Compras!$X$261)</f>
        <v/>
      </c>
      <c r="B2324">
        <f>IF($C2324="","","C"&amp;TEXT(INT((ROW()-5)/9)+1,"000")&amp;"-3")</f>
        <v/>
      </c>
      <c r="C2324">
        <f>IF(OR(Registro_Compras!$C$261="",Registro_Compras!$O$261="",Registro_Compras!$R$261&lt;&gt;"SI",Registro_Compras!$X$261=""),"","10413")</f>
        <v/>
      </c>
      <c r="D2324">
        <f>IF(OR(Registro_Compras!$C$261="",Registro_Compras!$O$261=""),"","Efectivo y Equivalentes - Cta. Cte. Operativa")</f>
        <v/>
      </c>
      <c r="E2324" s="20">
        <f>""</f>
        <v/>
      </c>
      <c r="F2324" s="20">
        <f>IF($C2324="","",Registro_Compras!$S$261)</f>
        <v/>
      </c>
      <c r="G2324">
        <f>IF($C2324="","","Por el deposito de la detraccion en el Banco de la Nacion")</f>
        <v/>
      </c>
      <c r="H2324">
        <f>IF($C2324="","",Registro_Compras!$C$261)</f>
        <v/>
      </c>
    </row>
    <row r="2325">
      <c r="A2325" s="25">
        <f>IF($C2325="","",Registro_Compras!$Y$261)</f>
        <v/>
      </c>
      <c r="B2325">
        <f>IF($C2325="","","C"&amp;TEXT(INT((ROW()-5)/9)+1,"000")&amp;"-4")</f>
        <v/>
      </c>
      <c r="C2325">
        <f>IF(OR(Registro_Compras!$C$261="",Registro_Compras!$O$261="",Registro_Compras!$Y$261="",Registro_Compras!$F$261="NOTA DE CREDITO"),"","4212")</f>
        <v/>
      </c>
      <c r="D2325">
        <f>IF(OR(Registro_Compras!$C$261="",Registro_Compras!$O$261=""),"","Cuentas por Pagar Comerciales - Terceros")</f>
        <v/>
      </c>
      <c r="E2325" s="20">
        <f>IF($C2325="","",IF(Registro_Compras!$F$261="RHE",(ROUND(Registro_Compras!$L$261*Registro_Compras!$N$261,2)-ROUND(Registro_Compras!$V$261*Registro_Compras!$N$261,2)),ROUND(Registro_Compras!$O$261-Registro_Compras!$S$261,2)))</f>
        <v/>
      </c>
      <c r="F2325" s="20">
        <f>""</f>
        <v/>
      </c>
      <c r="G2325">
        <f>IF($C2325="","","Por la cancelacion del saldo al proveedor")</f>
        <v/>
      </c>
      <c r="H2325">
        <f>IF($C2325="","",Registro_Compras!$C$261)</f>
        <v/>
      </c>
    </row>
    <row r="2326">
      <c r="A2326" s="25">
        <f>IF($C2326="","",Registro_Compras!$Y$261)</f>
        <v/>
      </c>
      <c r="B2326">
        <f>IF($C2326="","","C"&amp;TEXT(INT((ROW()-5)/9)+1,"000")&amp;"-4")</f>
        <v/>
      </c>
      <c r="C2326">
        <f>IF(OR(Registro_Compras!$C$261="",Registro_Compras!$O$261="",Registro_Compras!$Y$261="",Registro_Compras!$F$261="NOTA DE CREDITO"),"","10413")</f>
        <v/>
      </c>
      <c r="D2326">
        <f>IF(OR(Registro_Compras!$C$261="",Registro_Compras!$O$261=""),"","Efectivo y Equivalentes - Cta. Cte. Operativa")</f>
        <v/>
      </c>
      <c r="E2326" s="20">
        <f>""</f>
        <v/>
      </c>
      <c r="F2326" s="20">
        <f>IF($C2326="","",IF(Registro_Compras!$F$261="RHE",(ROUND(Registro_Compras!$L$261*Registro_Compras!$N$261,2)-ROUND(Registro_Compras!$V$261*Registro_Compras!$N$261,2)),ROUND(Registro_Compras!$O$261-Registro_Compras!$S$261,2)))</f>
        <v/>
      </c>
      <c r="G2326">
        <f>IF($C2326="","","Por la cancelacion del saldo al proveedor")</f>
        <v/>
      </c>
      <c r="H2326">
        <f>IF($C2326="","",Registro_Compras!$C$261)</f>
        <v/>
      </c>
    </row>
    <row r="2327">
      <c r="A2327" s="25">
        <f>IF($C2327="","",Registro_Compras!$B$262)</f>
        <v/>
      </c>
      <c r="B2327">
        <f>IF($C2327="","","C"&amp;TEXT(INT((ROW()-5)/9)+1,"000")&amp;"-1")</f>
        <v/>
      </c>
      <c r="C2327">
        <f>IF(OR(Registro_Compras!$C$262="",Registro_Compras!$O$262=""),"",IF(Registro_Compras!$F$262="NOTA DE CREDITO","4212",IF(Registro_Compras!$M$262="","63",Registro_Compras!$M$262)))</f>
        <v/>
      </c>
      <c r="D2327">
        <f>IF(OR(Registro_Compras!$C$262="",Registro_Compras!$O$262=""),"",IF(Registro_Compras!$F$262="NOTA DE CREDITO","Cuentas por Pagar Comerciales - Terceros (Emitidas)",IF(Registro_Compras!$F$262="RHE","Honorarios Profesionales - Servicios de Terceros","Gastos de Servicios Prestados por Terceros")))</f>
        <v/>
      </c>
      <c r="E2327" s="20">
        <f>IF($C2327="","",IF(Registro_Compras!$F$262="NOTA DE CREDITO",ABS(Registro_Compras!$O$262),IF(Registro_Compras!$F$262="RHE",ROUND(Registro_Compras!$L$262*Registro_Compras!$N$262,2),ROUND(Registro_Compras!$J$262*Registro_Compras!$N$262,2))))</f>
        <v/>
      </c>
      <c r="F2327" s="20">
        <f>""</f>
        <v/>
      </c>
      <c r="G2327">
        <f>IF($C2327="","",IF(Registro_Compras!$F$262="NOTA DE CREDITO","Por la nota de credito "&amp;Registro_Compras!$C$262&amp;" de "&amp;Registro_Compras!$E$262&amp;" [PATRON POR CONFIRMAR CON CONTADOR]",IF(Registro_Compras!$F$262="RHE","Por el registro del recibo por honorarios "&amp;Registro_Compras!$C$262&amp;" de "&amp;Registro_Compras!$E$262&amp;" [PATRON POR CONFIRMAR CON CONTADOR]","Por el registro de la factura "&amp;Registro_Compras!$C$262&amp;" de "&amp;Registro_Compras!$E$262)))</f>
        <v/>
      </c>
      <c r="H2327">
        <f>IF($C2327="","",Registro_Compras!$C$262)</f>
        <v/>
      </c>
    </row>
    <row r="2328">
      <c r="A2328" s="25">
        <f>IF($C2328="","",Registro_Compras!$B$262)</f>
        <v/>
      </c>
      <c r="B2328">
        <f>IF($C2328="","","C"&amp;TEXT(INT((ROW()-5)/9)+1,"000")&amp;"-1")</f>
        <v/>
      </c>
      <c r="C2328">
        <f>IF(OR(Registro_Compras!$C$262="",Registro_Compras!$O$262=""),"",IF(Registro_Compras!$F$262="RHE",IF(Registro_Compras!$V$262=0,"","40172"),IF(Registro_Compras!$F$262="NOTA DE CREDITO",IF(Registro_Compras!$M$262="","63",Registro_Compras!$M$262),IF(Registro_Compras!$K$262=0,"","40111"))))</f>
        <v/>
      </c>
      <c r="D2328">
        <f>IF(OR(Registro_Compras!$C$262="",Registro_Compras!$O$262=""),"",IF(Registro_Compras!$F$262="RHE","Retencion Renta 4ta Categoria por Pagar",IF(Registro_Compras!$F$262="NOTA DE CREDITO","Gastos de Servicios Prestados por Terceros","IGV - Cuenta Propia (Credito Fiscal)")))</f>
        <v/>
      </c>
      <c r="E2328" s="20">
        <f>IF($C2328="","",IF(Registro_Compras!$F$262="FACTURA",ROUND(Registro_Compras!$K$262*Registro_Compras!$N$262,2),""))</f>
        <v/>
      </c>
      <c r="F2328" s="20">
        <f>IF($C2328="","",IF(Registro_Compras!$F$262="RHE",ROUND(Registro_Compras!$V$262*Registro_Compras!$N$262,2),IF(Registro_Compras!$F$262="NOTA DE CREDITO",ROUND(ABS(Registro_Compras!$J$262*Registro_Compras!$N$262),2),"")))</f>
        <v/>
      </c>
      <c r="G2328">
        <f>IF($C2328="","",IF(Registro_Compras!$F$262="NOTA DE CREDITO","Por la nota de credito "&amp;Registro_Compras!$C$262&amp;" de "&amp;Registro_Compras!$E$262&amp;" [PATRON POR CONFIRMAR CON CONTADOR]",IF(Registro_Compras!$F$262="RHE","Por el registro del recibo por honorarios "&amp;Registro_Compras!$C$262&amp;" de "&amp;Registro_Compras!$E$262&amp;" [PATRON POR CONFIRMAR CON CONTADOR]","Por el registro de la factura "&amp;Registro_Compras!$C$262&amp;" de "&amp;Registro_Compras!$E$262)))</f>
        <v/>
      </c>
      <c r="H2328">
        <f>IF($C2328="","",Registro_Compras!$C$262)</f>
        <v/>
      </c>
    </row>
    <row r="2329">
      <c r="A2329" s="25">
        <f>IF($C2329="","",Registro_Compras!$B$262)</f>
        <v/>
      </c>
      <c r="B2329">
        <f>IF($C2329="","","C"&amp;TEXT(INT((ROW()-5)/9)+1,"000")&amp;"-1")</f>
        <v/>
      </c>
      <c r="C2329">
        <f>IF(OR(Registro_Compras!$C$262="",Registro_Compras!$O$262=""),"",IF(Registro_Compras!$F$262="NOTA DE CREDITO",IF(Registro_Compras!$K$262=0,"","40111"),"4212"))</f>
        <v/>
      </c>
      <c r="D2329">
        <f>IF(OR(Registro_Compras!$C$262="",Registro_Compras!$O$262=""),"",IF(Registro_Compras!$F$262="NOTA DE CREDITO","IGV - Cuenta Propia (Credito Fiscal)","Cuentas por Pagar Comerciales - Terceros (Emitidas)"))</f>
        <v/>
      </c>
      <c r="E2329" s="20">
        <f>""</f>
        <v/>
      </c>
      <c r="F2329" s="20">
        <f>IF($C2329="","",IF(Registro_Compras!$F$262="NOTA DE CREDITO",ROUND(ABS(Registro_Compras!$K$262*Registro_Compras!$N$262),2),IF(Registro_Compras!$F$262="RHE",(ROUND(Registro_Compras!$L$262*Registro_Compras!$N$262,2)-ROUND(Registro_Compras!$V$262*Registro_Compras!$N$262,2)),Registro_Compras!$O$262)))</f>
        <v/>
      </c>
      <c r="G2329">
        <f>IF($C2329="","",IF(Registro_Compras!$F$262="NOTA DE CREDITO","Por la nota de credito "&amp;Registro_Compras!$C$262&amp;" de "&amp;Registro_Compras!$E$262&amp;" [PATRON POR CONFIRMAR CON CONTADOR]",IF(Registro_Compras!$F$262="RHE","Por el registro del recibo por honorarios "&amp;Registro_Compras!$C$262&amp;" de "&amp;Registro_Compras!$E$262&amp;" [PATRON POR CONFIRMAR CON CONTADOR]","Por el registro de la factura "&amp;Registro_Compras!$C$262&amp;" de "&amp;Registro_Compras!$E$262)))</f>
        <v/>
      </c>
      <c r="H2329">
        <f>IF($C2329="","",Registro_Compras!$C$262)</f>
        <v/>
      </c>
    </row>
    <row r="2330">
      <c r="A2330" s="25">
        <f>IF($C2330="","",Registro_Compras!$B$262)</f>
        <v/>
      </c>
      <c r="B2330">
        <f>IF($C2330="","","C"&amp;TEXT(INT((ROW()-5)/9)+1,"000")&amp;"-2")</f>
        <v/>
      </c>
      <c r="C2330">
        <f>IF(OR(Registro_Compras!$C$262="",Registro_Compras!$O$262=""),"",IF(Registro_Compras!$AB$262="ADMINISTRATIVO","94","95"))</f>
        <v/>
      </c>
      <c r="D2330">
        <f>IF(OR(Registro_Compras!$C$262="",Registro_Compras!$O$262=""),"",IF(Registro_Compras!$AB$262="ADMINISTRATIVO","Gastos Administrativos","Gastos de Venta y Operacion"))</f>
        <v/>
      </c>
      <c r="E2330" s="20">
        <f>IF($C2330="","",IF(Registro_Compras!$F$262="NOTA DE CREDITO","",IF(Registro_Compras!$F$262="RHE",ROUND(Registro_Compras!$L$262*Registro_Compras!$N$262,2),ROUND(Registro_Compras!$J$262*Registro_Compras!$N$262,2))))</f>
        <v/>
      </c>
      <c r="F2330" s="20">
        <f>IF($C2330="","",IF(Registro_Compras!$F$262="NOTA DE CREDITO",ROUND(ABS(Registro_Compras!$J$262*Registro_Compras!$N$262),2),""))</f>
        <v/>
      </c>
      <c r="G2330">
        <f>IF($C2330="","","Por el destino del gasto")</f>
        <v/>
      </c>
      <c r="H2330">
        <f>IF($C2330="","",Registro_Compras!$C$262)</f>
        <v/>
      </c>
    </row>
    <row r="2331">
      <c r="A2331" s="25">
        <f>IF($C2331="","",Registro_Compras!$B$262)</f>
        <v/>
      </c>
      <c r="B2331">
        <f>IF($C2331="","","C"&amp;TEXT(INT((ROW()-5)/9)+1,"000")&amp;"-2")</f>
        <v/>
      </c>
      <c r="C2331">
        <f>IF(OR(Registro_Compras!$C$262="",Registro_Compras!$O$262=""),"","79/791")</f>
        <v/>
      </c>
      <c r="D2331">
        <f>IF(OR(Registro_Compras!$C$262="",Registro_Compras!$O$262=""),"","Cargas Imputables a Cuentas de Costos y Gastos")</f>
        <v/>
      </c>
      <c r="E2331" s="20">
        <f>IF($C2331="","",IF(Registro_Compras!$F$262="NOTA DE CREDITO",ROUND(ABS(Registro_Compras!$J$262*Registro_Compras!$N$262),2),""))</f>
        <v/>
      </c>
      <c r="F2331" s="20">
        <f>IF($C2331="","",IF(Registro_Compras!$F$262="NOTA DE CREDITO","",IF(Registro_Compras!$F$262="RHE",ROUND(Registro_Compras!$L$262*Registro_Compras!$N$262,2),ROUND(Registro_Compras!$J$262*Registro_Compras!$N$262,2))))</f>
        <v/>
      </c>
      <c r="G2331">
        <f>IF($C2331="","","Por el destino del gasto")</f>
        <v/>
      </c>
      <c r="H2331">
        <f>IF($C2331="","",Registro_Compras!$C$262)</f>
        <v/>
      </c>
    </row>
    <row r="2332">
      <c r="A2332" s="25">
        <f>IF($C2332="","",Registro_Compras!$X$262)</f>
        <v/>
      </c>
      <c r="B2332">
        <f>IF($C2332="","","C"&amp;TEXT(INT((ROW()-5)/9)+1,"000")&amp;"-3")</f>
        <v/>
      </c>
      <c r="C2332">
        <f>IF(OR(Registro_Compras!$C$262="",Registro_Compras!$O$262="",Registro_Compras!$R$262&lt;&gt;"SI",Registro_Compras!$X$262=""),"","4212")</f>
        <v/>
      </c>
      <c r="D2332">
        <f>IF(OR(Registro_Compras!$C$262="",Registro_Compras!$O$262=""),"","Cuentas por Pagar Comerciales - Terceros")</f>
        <v/>
      </c>
      <c r="E2332" s="20">
        <f>IF($C2332="","",Registro_Compras!$S$262)</f>
        <v/>
      </c>
      <c r="F2332" s="20">
        <f>""</f>
        <v/>
      </c>
      <c r="G2332">
        <f>IF($C2332="","","Por el deposito de la detraccion en el Banco de la Nacion")</f>
        <v/>
      </c>
      <c r="H2332">
        <f>IF($C2332="","",Registro_Compras!$C$262)</f>
        <v/>
      </c>
    </row>
    <row r="2333">
      <c r="A2333" s="25">
        <f>IF($C2333="","",Registro_Compras!$X$262)</f>
        <v/>
      </c>
      <c r="B2333">
        <f>IF($C2333="","","C"&amp;TEXT(INT((ROW()-5)/9)+1,"000")&amp;"-3")</f>
        <v/>
      </c>
      <c r="C2333">
        <f>IF(OR(Registro_Compras!$C$262="",Registro_Compras!$O$262="",Registro_Compras!$R$262&lt;&gt;"SI",Registro_Compras!$X$262=""),"","10413")</f>
        <v/>
      </c>
      <c r="D2333">
        <f>IF(OR(Registro_Compras!$C$262="",Registro_Compras!$O$262=""),"","Efectivo y Equivalentes - Cta. Cte. Operativa")</f>
        <v/>
      </c>
      <c r="E2333" s="20">
        <f>""</f>
        <v/>
      </c>
      <c r="F2333" s="20">
        <f>IF($C2333="","",Registro_Compras!$S$262)</f>
        <v/>
      </c>
      <c r="G2333">
        <f>IF($C2333="","","Por el deposito de la detraccion en el Banco de la Nacion")</f>
        <v/>
      </c>
      <c r="H2333">
        <f>IF($C2333="","",Registro_Compras!$C$262)</f>
        <v/>
      </c>
    </row>
    <row r="2334">
      <c r="A2334" s="25">
        <f>IF($C2334="","",Registro_Compras!$Y$262)</f>
        <v/>
      </c>
      <c r="B2334">
        <f>IF($C2334="","","C"&amp;TEXT(INT((ROW()-5)/9)+1,"000")&amp;"-4")</f>
        <v/>
      </c>
      <c r="C2334">
        <f>IF(OR(Registro_Compras!$C$262="",Registro_Compras!$O$262="",Registro_Compras!$Y$262="",Registro_Compras!$F$262="NOTA DE CREDITO"),"","4212")</f>
        <v/>
      </c>
      <c r="D2334">
        <f>IF(OR(Registro_Compras!$C$262="",Registro_Compras!$O$262=""),"","Cuentas por Pagar Comerciales - Terceros")</f>
        <v/>
      </c>
      <c r="E2334" s="20">
        <f>IF($C2334="","",IF(Registro_Compras!$F$262="RHE",(ROUND(Registro_Compras!$L$262*Registro_Compras!$N$262,2)-ROUND(Registro_Compras!$V$262*Registro_Compras!$N$262,2)),ROUND(Registro_Compras!$O$262-Registro_Compras!$S$262,2)))</f>
        <v/>
      </c>
      <c r="F2334" s="20">
        <f>""</f>
        <v/>
      </c>
      <c r="G2334">
        <f>IF($C2334="","","Por la cancelacion del saldo al proveedor")</f>
        <v/>
      </c>
      <c r="H2334">
        <f>IF($C2334="","",Registro_Compras!$C$262)</f>
        <v/>
      </c>
    </row>
    <row r="2335">
      <c r="A2335" s="25">
        <f>IF($C2335="","",Registro_Compras!$Y$262)</f>
        <v/>
      </c>
      <c r="B2335">
        <f>IF($C2335="","","C"&amp;TEXT(INT((ROW()-5)/9)+1,"000")&amp;"-4")</f>
        <v/>
      </c>
      <c r="C2335">
        <f>IF(OR(Registro_Compras!$C$262="",Registro_Compras!$O$262="",Registro_Compras!$Y$262="",Registro_Compras!$F$262="NOTA DE CREDITO"),"","10413")</f>
        <v/>
      </c>
      <c r="D2335">
        <f>IF(OR(Registro_Compras!$C$262="",Registro_Compras!$O$262=""),"","Efectivo y Equivalentes - Cta. Cte. Operativa")</f>
        <v/>
      </c>
      <c r="E2335" s="20">
        <f>""</f>
        <v/>
      </c>
      <c r="F2335" s="20">
        <f>IF($C2335="","",IF(Registro_Compras!$F$262="RHE",(ROUND(Registro_Compras!$L$262*Registro_Compras!$N$262,2)-ROUND(Registro_Compras!$V$262*Registro_Compras!$N$262,2)),ROUND(Registro_Compras!$O$262-Registro_Compras!$S$262,2)))</f>
        <v/>
      </c>
      <c r="G2335">
        <f>IF($C2335="","","Por la cancelacion del saldo al proveedor")</f>
        <v/>
      </c>
      <c r="H2335">
        <f>IF($C2335="","",Registro_Compras!$C$262)</f>
        <v/>
      </c>
    </row>
    <row r="2336">
      <c r="A2336" s="25">
        <f>IF($C2336="","",Registro_Compras!$B$263)</f>
        <v/>
      </c>
      <c r="B2336">
        <f>IF($C2336="","","C"&amp;TEXT(INT((ROW()-5)/9)+1,"000")&amp;"-1")</f>
        <v/>
      </c>
      <c r="C2336">
        <f>IF(OR(Registro_Compras!$C$263="",Registro_Compras!$O$263=""),"",IF(Registro_Compras!$F$263="NOTA DE CREDITO","4212",IF(Registro_Compras!$M$263="","63",Registro_Compras!$M$263)))</f>
        <v/>
      </c>
      <c r="D2336">
        <f>IF(OR(Registro_Compras!$C$263="",Registro_Compras!$O$263=""),"",IF(Registro_Compras!$F$263="NOTA DE CREDITO","Cuentas por Pagar Comerciales - Terceros (Emitidas)",IF(Registro_Compras!$F$263="RHE","Honorarios Profesionales - Servicios de Terceros","Gastos de Servicios Prestados por Terceros")))</f>
        <v/>
      </c>
      <c r="E2336" s="20">
        <f>IF($C2336="","",IF(Registro_Compras!$F$263="NOTA DE CREDITO",ABS(Registro_Compras!$O$263),IF(Registro_Compras!$F$263="RHE",ROUND(Registro_Compras!$L$263*Registro_Compras!$N$263,2),ROUND(Registro_Compras!$J$263*Registro_Compras!$N$263,2))))</f>
        <v/>
      </c>
      <c r="F2336" s="20">
        <f>""</f>
        <v/>
      </c>
      <c r="G2336">
        <f>IF($C2336="","",IF(Registro_Compras!$F$263="NOTA DE CREDITO","Por la nota de credito "&amp;Registro_Compras!$C$263&amp;" de "&amp;Registro_Compras!$E$263&amp;" [PATRON POR CONFIRMAR CON CONTADOR]",IF(Registro_Compras!$F$263="RHE","Por el registro del recibo por honorarios "&amp;Registro_Compras!$C$263&amp;" de "&amp;Registro_Compras!$E$263&amp;" [PATRON POR CONFIRMAR CON CONTADOR]","Por el registro de la factura "&amp;Registro_Compras!$C$263&amp;" de "&amp;Registro_Compras!$E$263)))</f>
        <v/>
      </c>
      <c r="H2336">
        <f>IF($C2336="","",Registro_Compras!$C$263)</f>
        <v/>
      </c>
    </row>
    <row r="2337">
      <c r="A2337" s="25">
        <f>IF($C2337="","",Registro_Compras!$B$263)</f>
        <v/>
      </c>
      <c r="B2337">
        <f>IF($C2337="","","C"&amp;TEXT(INT((ROW()-5)/9)+1,"000")&amp;"-1")</f>
        <v/>
      </c>
      <c r="C2337">
        <f>IF(OR(Registro_Compras!$C$263="",Registro_Compras!$O$263=""),"",IF(Registro_Compras!$F$263="RHE",IF(Registro_Compras!$V$263=0,"","40172"),IF(Registro_Compras!$F$263="NOTA DE CREDITO",IF(Registro_Compras!$M$263="","63",Registro_Compras!$M$263),IF(Registro_Compras!$K$263=0,"","40111"))))</f>
        <v/>
      </c>
      <c r="D2337">
        <f>IF(OR(Registro_Compras!$C$263="",Registro_Compras!$O$263=""),"",IF(Registro_Compras!$F$263="RHE","Retencion Renta 4ta Categoria por Pagar",IF(Registro_Compras!$F$263="NOTA DE CREDITO","Gastos de Servicios Prestados por Terceros","IGV - Cuenta Propia (Credito Fiscal)")))</f>
        <v/>
      </c>
      <c r="E2337" s="20">
        <f>IF($C2337="","",IF(Registro_Compras!$F$263="FACTURA",ROUND(Registro_Compras!$K$263*Registro_Compras!$N$263,2),""))</f>
        <v/>
      </c>
      <c r="F2337" s="20">
        <f>IF($C2337="","",IF(Registro_Compras!$F$263="RHE",ROUND(Registro_Compras!$V$263*Registro_Compras!$N$263,2),IF(Registro_Compras!$F$263="NOTA DE CREDITO",ROUND(ABS(Registro_Compras!$J$263*Registro_Compras!$N$263),2),"")))</f>
        <v/>
      </c>
      <c r="G2337">
        <f>IF($C2337="","",IF(Registro_Compras!$F$263="NOTA DE CREDITO","Por la nota de credito "&amp;Registro_Compras!$C$263&amp;" de "&amp;Registro_Compras!$E$263&amp;" [PATRON POR CONFIRMAR CON CONTADOR]",IF(Registro_Compras!$F$263="RHE","Por el registro del recibo por honorarios "&amp;Registro_Compras!$C$263&amp;" de "&amp;Registro_Compras!$E$263&amp;" [PATRON POR CONFIRMAR CON CONTADOR]","Por el registro de la factura "&amp;Registro_Compras!$C$263&amp;" de "&amp;Registro_Compras!$E$263)))</f>
        <v/>
      </c>
      <c r="H2337">
        <f>IF($C2337="","",Registro_Compras!$C$263)</f>
        <v/>
      </c>
    </row>
    <row r="2338">
      <c r="A2338" s="25">
        <f>IF($C2338="","",Registro_Compras!$B$263)</f>
        <v/>
      </c>
      <c r="B2338">
        <f>IF($C2338="","","C"&amp;TEXT(INT((ROW()-5)/9)+1,"000")&amp;"-1")</f>
        <v/>
      </c>
      <c r="C2338">
        <f>IF(OR(Registro_Compras!$C$263="",Registro_Compras!$O$263=""),"",IF(Registro_Compras!$F$263="NOTA DE CREDITO",IF(Registro_Compras!$K$263=0,"","40111"),"4212"))</f>
        <v/>
      </c>
      <c r="D2338">
        <f>IF(OR(Registro_Compras!$C$263="",Registro_Compras!$O$263=""),"",IF(Registro_Compras!$F$263="NOTA DE CREDITO","IGV - Cuenta Propia (Credito Fiscal)","Cuentas por Pagar Comerciales - Terceros (Emitidas)"))</f>
        <v/>
      </c>
      <c r="E2338" s="20">
        <f>""</f>
        <v/>
      </c>
      <c r="F2338" s="20">
        <f>IF($C2338="","",IF(Registro_Compras!$F$263="NOTA DE CREDITO",ROUND(ABS(Registro_Compras!$K$263*Registro_Compras!$N$263),2),IF(Registro_Compras!$F$263="RHE",(ROUND(Registro_Compras!$L$263*Registro_Compras!$N$263,2)-ROUND(Registro_Compras!$V$263*Registro_Compras!$N$263,2)),Registro_Compras!$O$263)))</f>
        <v/>
      </c>
      <c r="G2338">
        <f>IF($C2338="","",IF(Registro_Compras!$F$263="NOTA DE CREDITO","Por la nota de credito "&amp;Registro_Compras!$C$263&amp;" de "&amp;Registro_Compras!$E$263&amp;" [PATRON POR CONFIRMAR CON CONTADOR]",IF(Registro_Compras!$F$263="RHE","Por el registro del recibo por honorarios "&amp;Registro_Compras!$C$263&amp;" de "&amp;Registro_Compras!$E$263&amp;" [PATRON POR CONFIRMAR CON CONTADOR]","Por el registro de la factura "&amp;Registro_Compras!$C$263&amp;" de "&amp;Registro_Compras!$E$263)))</f>
        <v/>
      </c>
      <c r="H2338">
        <f>IF($C2338="","",Registro_Compras!$C$263)</f>
        <v/>
      </c>
    </row>
    <row r="2339">
      <c r="A2339" s="25">
        <f>IF($C2339="","",Registro_Compras!$B$263)</f>
        <v/>
      </c>
      <c r="B2339">
        <f>IF($C2339="","","C"&amp;TEXT(INT((ROW()-5)/9)+1,"000")&amp;"-2")</f>
        <v/>
      </c>
      <c r="C2339">
        <f>IF(OR(Registro_Compras!$C$263="",Registro_Compras!$O$263=""),"",IF(Registro_Compras!$AB$263="ADMINISTRATIVO","94","95"))</f>
        <v/>
      </c>
      <c r="D2339">
        <f>IF(OR(Registro_Compras!$C$263="",Registro_Compras!$O$263=""),"",IF(Registro_Compras!$AB$263="ADMINISTRATIVO","Gastos Administrativos","Gastos de Venta y Operacion"))</f>
        <v/>
      </c>
      <c r="E2339" s="20">
        <f>IF($C2339="","",IF(Registro_Compras!$F$263="NOTA DE CREDITO","",IF(Registro_Compras!$F$263="RHE",ROUND(Registro_Compras!$L$263*Registro_Compras!$N$263,2),ROUND(Registro_Compras!$J$263*Registro_Compras!$N$263,2))))</f>
        <v/>
      </c>
      <c r="F2339" s="20">
        <f>IF($C2339="","",IF(Registro_Compras!$F$263="NOTA DE CREDITO",ROUND(ABS(Registro_Compras!$J$263*Registro_Compras!$N$263),2),""))</f>
        <v/>
      </c>
      <c r="G2339">
        <f>IF($C2339="","","Por el destino del gasto")</f>
        <v/>
      </c>
      <c r="H2339">
        <f>IF($C2339="","",Registro_Compras!$C$263)</f>
        <v/>
      </c>
    </row>
    <row r="2340">
      <c r="A2340" s="25">
        <f>IF($C2340="","",Registro_Compras!$B$263)</f>
        <v/>
      </c>
      <c r="B2340">
        <f>IF($C2340="","","C"&amp;TEXT(INT((ROW()-5)/9)+1,"000")&amp;"-2")</f>
        <v/>
      </c>
      <c r="C2340">
        <f>IF(OR(Registro_Compras!$C$263="",Registro_Compras!$O$263=""),"","79/791")</f>
        <v/>
      </c>
      <c r="D2340">
        <f>IF(OR(Registro_Compras!$C$263="",Registro_Compras!$O$263=""),"","Cargas Imputables a Cuentas de Costos y Gastos")</f>
        <v/>
      </c>
      <c r="E2340" s="20">
        <f>IF($C2340="","",IF(Registro_Compras!$F$263="NOTA DE CREDITO",ROUND(ABS(Registro_Compras!$J$263*Registro_Compras!$N$263),2),""))</f>
        <v/>
      </c>
      <c r="F2340" s="20">
        <f>IF($C2340="","",IF(Registro_Compras!$F$263="NOTA DE CREDITO","",IF(Registro_Compras!$F$263="RHE",ROUND(Registro_Compras!$L$263*Registro_Compras!$N$263,2),ROUND(Registro_Compras!$J$263*Registro_Compras!$N$263,2))))</f>
        <v/>
      </c>
      <c r="G2340">
        <f>IF($C2340="","","Por el destino del gasto")</f>
        <v/>
      </c>
      <c r="H2340">
        <f>IF($C2340="","",Registro_Compras!$C$263)</f>
        <v/>
      </c>
    </row>
    <row r="2341">
      <c r="A2341" s="25">
        <f>IF($C2341="","",Registro_Compras!$X$263)</f>
        <v/>
      </c>
      <c r="B2341">
        <f>IF($C2341="","","C"&amp;TEXT(INT((ROW()-5)/9)+1,"000")&amp;"-3")</f>
        <v/>
      </c>
      <c r="C2341">
        <f>IF(OR(Registro_Compras!$C$263="",Registro_Compras!$O$263="",Registro_Compras!$R$263&lt;&gt;"SI",Registro_Compras!$X$263=""),"","4212")</f>
        <v/>
      </c>
      <c r="D2341">
        <f>IF(OR(Registro_Compras!$C$263="",Registro_Compras!$O$263=""),"","Cuentas por Pagar Comerciales - Terceros")</f>
        <v/>
      </c>
      <c r="E2341" s="20">
        <f>IF($C2341="","",Registro_Compras!$S$263)</f>
        <v/>
      </c>
      <c r="F2341" s="20">
        <f>""</f>
        <v/>
      </c>
      <c r="G2341">
        <f>IF($C2341="","","Por el deposito de la detraccion en el Banco de la Nacion")</f>
        <v/>
      </c>
      <c r="H2341">
        <f>IF($C2341="","",Registro_Compras!$C$263)</f>
        <v/>
      </c>
    </row>
    <row r="2342">
      <c r="A2342" s="25">
        <f>IF($C2342="","",Registro_Compras!$X$263)</f>
        <v/>
      </c>
      <c r="B2342">
        <f>IF($C2342="","","C"&amp;TEXT(INT((ROW()-5)/9)+1,"000")&amp;"-3")</f>
        <v/>
      </c>
      <c r="C2342">
        <f>IF(OR(Registro_Compras!$C$263="",Registro_Compras!$O$263="",Registro_Compras!$R$263&lt;&gt;"SI",Registro_Compras!$X$263=""),"","10413")</f>
        <v/>
      </c>
      <c r="D2342">
        <f>IF(OR(Registro_Compras!$C$263="",Registro_Compras!$O$263=""),"","Efectivo y Equivalentes - Cta. Cte. Operativa")</f>
        <v/>
      </c>
      <c r="E2342" s="20">
        <f>""</f>
        <v/>
      </c>
      <c r="F2342" s="20">
        <f>IF($C2342="","",Registro_Compras!$S$263)</f>
        <v/>
      </c>
      <c r="G2342">
        <f>IF($C2342="","","Por el deposito de la detraccion en el Banco de la Nacion")</f>
        <v/>
      </c>
      <c r="H2342">
        <f>IF($C2342="","",Registro_Compras!$C$263)</f>
        <v/>
      </c>
    </row>
    <row r="2343">
      <c r="A2343" s="25">
        <f>IF($C2343="","",Registro_Compras!$Y$263)</f>
        <v/>
      </c>
      <c r="B2343">
        <f>IF($C2343="","","C"&amp;TEXT(INT((ROW()-5)/9)+1,"000")&amp;"-4")</f>
        <v/>
      </c>
      <c r="C2343">
        <f>IF(OR(Registro_Compras!$C$263="",Registro_Compras!$O$263="",Registro_Compras!$Y$263="",Registro_Compras!$F$263="NOTA DE CREDITO"),"","4212")</f>
        <v/>
      </c>
      <c r="D2343">
        <f>IF(OR(Registro_Compras!$C$263="",Registro_Compras!$O$263=""),"","Cuentas por Pagar Comerciales - Terceros")</f>
        <v/>
      </c>
      <c r="E2343" s="20">
        <f>IF($C2343="","",IF(Registro_Compras!$F$263="RHE",(ROUND(Registro_Compras!$L$263*Registro_Compras!$N$263,2)-ROUND(Registro_Compras!$V$263*Registro_Compras!$N$263,2)),ROUND(Registro_Compras!$O$263-Registro_Compras!$S$263,2)))</f>
        <v/>
      </c>
      <c r="F2343" s="20">
        <f>""</f>
        <v/>
      </c>
      <c r="G2343">
        <f>IF($C2343="","","Por la cancelacion del saldo al proveedor")</f>
        <v/>
      </c>
      <c r="H2343">
        <f>IF($C2343="","",Registro_Compras!$C$263)</f>
        <v/>
      </c>
    </row>
    <row r="2344">
      <c r="A2344" s="25">
        <f>IF($C2344="","",Registro_Compras!$Y$263)</f>
        <v/>
      </c>
      <c r="B2344">
        <f>IF($C2344="","","C"&amp;TEXT(INT((ROW()-5)/9)+1,"000")&amp;"-4")</f>
        <v/>
      </c>
      <c r="C2344">
        <f>IF(OR(Registro_Compras!$C$263="",Registro_Compras!$O$263="",Registro_Compras!$Y$263="",Registro_Compras!$F$263="NOTA DE CREDITO"),"","10413")</f>
        <v/>
      </c>
      <c r="D2344">
        <f>IF(OR(Registro_Compras!$C$263="",Registro_Compras!$O$263=""),"","Efectivo y Equivalentes - Cta. Cte. Operativa")</f>
        <v/>
      </c>
      <c r="E2344" s="20">
        <f>""</f>
        <v/>
      </c>
      <c r="F2344" s="20">
        <f>IF($C2344="","",IF(Registro_Compras!$F$263="RHE",(ROUND(Registro_Compras!$L$263*Registro_Compras!$N$263,2)-ROUND(Registro_Compras!$V$263*Registro_Compras!$N$263,2)),ROUND(Registro_Compras!$O$263-Registro_Compras!$S$263,2)))</f>
        <v/>
      </c>
      <c r="G2344">
        <f>IF($C2344="","","Por la cancelacion del saldo al proveedor")</f>
        <v/>
      </c>
      <c r="H2344">
        <f>IF($C2344="","",Registro_Compras!$C$263)</f>
        <v/>
      </c>
    </row>
    <row r="2345">
      <c r="A2345" s="25">
        <f>IF($C2345="","",Registro_Compras!$B$264)</f>
        <v/>
      </c>
      <c r="B2345">
        <f>IF($C2345="","","C"&amp;TEXT(INT((ROW()-5)/9)+1,"000")&amp;"-1")</f>
        <v/>
      </c>
      <c r="C2345">
        <f>IF(OR(Registro_Compras!$C$264="",Registro_Compras!$O$264=""),"",IF(Registro_Compras!$F$264="NOTA DE CREDITO","4212",IF(Registro_Compras!$M$264="","63",Registro_Compras!$M$264)))</f>
        <v/>
      </c>
      <c r="D2345">
        <f>IF(OR(Registro_Compras!$C$264="",Registro_Compras!$O$264=""),"",IF(Registro_Compras!$F$264="NOTA DE CREDITO","Cuentas por Pagar Comerciales - Terceros (Emitidas)",IF(Registro_Compras!$F$264="RHE","Honorarios Profesionales - Servicios de Terceros","Gastos de Servicios Prestados por Terceros")))</f>
        <v/>
      </c>
      <c r="E2345" s="20">
        <f>IF($C2345="","",IF(Registro_Compras!$F$264="NOTA DE CREDITO",ABS(Registro_Compras!$O$264),IF(Registro_Compras!$F$264="RHE",ROUND(Registro_Compras!$L$264*Registro_Compras!$N$264,2),ROUND(Registro_Compras!$J$264*Registro_Compras!$N$264,2))))</f>
        <v/>
      </c>
      <c r="F2345" s="20">
        <f>""</f>
        <v/>
      </c>
      <c r="G2345">
        <f>IF($C2345="","",IF(Registro_Compras!$F$264="NOTA DE CREDITO","Por la nota de credito "&amp;Registro_Compras!$C$264&amp;" de "&amp;Registro_Compras!$E$264&amp;" [PATRON POR CONFIRMAR CON CONTADOR]",IF(Registro_Compras!$F$264="RHE","Por el registro del recibo por honorarios "&amp;Registro_Compras!$C$264&amp;" de "&amp;Registro_Compras!$E$264&amp;" [PATRON POR CONFIRMAR CON CONTADOR]","Por el registro de la factura "&amp;Registro_Compras!$C$264&amp;" de "&amp;Registro_Compras!$E$264)))</f>
        <v/>
      </c>
      <c r="H2345">
        <f>IF($C2345="","",Registro_Compras!$C$264)</f>
        <v/>
      </c>
    </row>
    <row r="2346">
      <c r="A2346" s="25">
        <f>IF($C2346="","",Registro_Compras!$B$264)</f>
        <v/>
      </c>
      <c r="B2346">
        <f>IF($C2346="","","C"&amp;TEXT(INT((ROW()-5)/9)+1,"000")&amp;"-1")</f>
        <v/>
      </c>
      <c r="C2346">
        <f>IF(OR(Registro_Compras!$C$264="",Registro_Compras!$O$264=""),"",IF(Registro_Compras!$F$264="RHE",IF(Registro_Compras!$V$264=0,"","40172"),IF(Registro_Compras!$F$264="NOTA DE CREDITO",IF(Registro_Compras!$M$264="","63",Registro_Compras!$M$264),IF(Registro_Compras!$K$264=0,"","40111"))))</f>
        <v/>
      </c>
      <c r="D2346">
        <f>IF(OR(Registro_Compras!$C$264="",Registro_Compras!$O$264=""),"",IF(Registro_Compras!$F$264="RHE","Retencion Renta 4ta Categoria por Pagar",IF(Registro_Compras!$F$264="NOTA DE CREDITO","Gastos de Servicios Prestados por Terceros","IGV - Cuenta Propia (Credito Fiscal)")))</f>
        <v/>
      </c>
      <c r="E2346" s="20">
        <f>IF($C2346="","",IF(Registro_Compras!$F$264="FACTURA",ROUND(Registro_Compras!$K$264*Registro_Compras!$N$264,2),""))</f>
        <v/>
      </c>
      <c r="F2346" s="20">
        <f>IF($C2346="","",IF(Registro_Compras!$F$264="RHE",ROUND(Registro_Compras!$V$264*Registro_Compras!$N$264,2),IF(Registro_Compras!$F$264="NOTA DE CREDITO",ROUND(ABS(Registro_Compras!$J$264*Registro_Compras!$N$264),2),"")))</f>
        <v/>
      </c>
      <c r="G2346">
        <f>IF($C2346="","",IF(Registro_Compras!$F$264="NOTA DE CREDITO","Por la nota de credito "&amp;Registro_Compras!$C$264&amp;" de "&amp;Registro_Compras!$E$264&amp;" [PATRON POR CONFIRMAR CON CONTADOR]",IF(Registro_Compras!$F$264="RHE","Por el registro del recibo por honorarios "&amp;Registro_Compras!$C$264&amp;" de "&amp;Registro_Compras!$E$264&amp;" [PATRON POR CONFIRMAR CON CONTADOR]","Por el registro de la factura "&amp;Registro_Compras!$C$264&amp;" de "&amp;Registro_Compras!$E$264)))</f>
        <v/>
      </c>
      <c r="H2346">
        <f>IF($C2346="","",Registro_Compras!$C$264)</f>
        <v/>
      </c>
    </row>
    <row r="2347">
      <c r="A2347" s="25">
        <f>IF($C2347="","",Registro_Compras!$B$264)</f>
        <v/>
      </c>
      <c r="B2347">
        <f>IF($C2347="","","C"&amp;TEXT(INT((ROW()-5)/9)+1,"000")&amp;"-1")</f>
        <v/>
      </c>
      <c r="C2347">
        <f>IF(OR(Registro_Compras!$C$264="",Registro_Compras!$O$264=""),"",IF(Registro_Compras!$F$264="NOTA DE CREDITO",IF(Registro_Compras!$K$264=0,"","40111"),"4212"))</f>
        <v/>
      </c>
      <c r="D2347">
        <f>IF(OR(Registro_Compras!$C$264="",Registro_Compras!$O$264=""),"",IF(Registro_Compras!$F$264="NOTA DE CREDITO","IGV - Cuenta Propia (Credito Fiscal)","Cuentas por Pagar Comerciales - Terceros (Emitidas)"))</f>
        <v/>
      </c>
      <c r="E2347" s="20">
        <f>""</f>
        <v/>
      </c>
      <c r="F2347" s="20">
        <f>IF($C2347="","",IF(Registro_Compras!$F$264="NOTA DE CREDITO",ROUND(ABS(Registro_Compras!$K$264*Registro_Compras!$N$264),2),IF(Registro_Compras!$F$264="RHE",(ROUND(Registro_Compras!$L$264*Registro_Compras!$N$264,2)-ROUND(Registro_Compras!$V$264*Registro_Compras!$N$264,2)),Registro_Compras!$O$264)))</f>
        <v/>
      </c>
      <c r="G2347">
        <f>IF($C2347="","",IF(Registro_Compras!$F$264="NOTA DE CREDITO","Por la nota de credito "&amp;Registro_Compras!$C$264&amp;" de "&amp;Registro_Compras!$E$264&amp;" [PATRON POR CONFIRMAR CON CONTADOR]",IF(Registro_Compras!$F$264="RHE","Por el registro del recibo por honorarios "&amp;Registro_Compras!$C$264&amp;" de "&amp;Registro_Compras!$E$264&amp;" [PATRON POR CONFIRMAR CON CONTADOR]","Por el registro de la factura "&amp;Registro_Compras!$C$264&amp;" de "&amp;Registro_Compras!$E$264)))</f>
        <v/>
      </c>
      <c r="H2347">
        <f>IF($C2347="","",Registro_Compras!$C$264)</f>
        <v/>
      </c>
    </row>
    <row r="2348">
      <c r="A2348" s="25">
        <f>IF($C2348="","",Registro_Compras!$B$264)</f>
        <v/>
      </c>
      <c r="B2348">
        <f>IF($C2348="","","C"&amp;TEXT(INT((ROW()-5)/9)+1,"000")&amp;"-2")</f>
        <v/>
      </c>
      <c r="C2348">
        <f>IF(OR(Registro_Compras!$C$264="",Registro_Compras!$O$264=""),"",IF(Registro_Compras!$AB$264="ADMINISTRATIVO","94","95"))</f>
        <v/>
      </c>
      <c r="D2348">
        <f>IF(OR(Registro_Compras!$C$264="",Registro_Compras!$O$264=""),"",IF(Registro_Compras!$AB$264="ADMINISTRATIVO","Gastos Administrativos","Gastos de Venta y Operacion"))</f>
        <v/>
      </c>
      <c r="E2348" s="20">
        <f>IF($C2348="","",IF(Registro_Compras!$F$264="NOTA DE CREDITO","",IF(Registro_Compras!$F$264="RHE",ROUND(Registro_Compras!$L$264*Registro_Compras!$N$264,2),ROUND(Registro_Compras!$J$264*Registro_Compras!$N$264,2))))</f>
        <v/>
      </c>
      <c r="F2348" s="20">
        <f>IF($C2348="","",IF(Registro_Compras!$F$264="NOTA DE CREDITO",ROUND(ABS(Registro_Compras!$J$264*Registro_Compras!$N$264),2),""))</f>
        <v/>
      </c>
      <c r="G2348">
        <f>IF($C2348="","","Por el destino del gasto")</f>
        <v/>
      </c>
      <c r="H2348">
        <f>IF($C2348="","",Registro_Compras!$C$264)</f>
        <v/>
      </c>
    </row>
    <row r="2349">
      <c r="A2349" s="25">
        <f>IF($C2349="","",Registro_Compras!$B$264)</f>
        <v/>
      </c>
      <c r="B2349">
        <f>IF($C2349="","","C"&amp;TEXT(INT((ROW()-5)/9)+1,"000")&amp;"-2")</f>
        <v/>
      </c>
      <c r="C2349">
        <f>IF(OR(Registro_Compras!$C$264="",Registro_Compras!$O$264=""),"","79/791")</f>
        <v/>
      </c>
      <c r="D2349">
        <f>IF(OR(Registro_Compras!$C$264="",Registro_Compras!$O$264=""),"","Cargas Imputables a Cuentas de Costos y Gastos")</f>
        <v/>
      </c>
      <c r="E2349" s="20">
        <f>IF($C2349="","",IF(Registro_Compras!$F$264="NOTA DE CREDITO",ROUND(ABS(Registro_Compras!$J$264*Registro_Compras!$N$264),2),""))</f>
        <v/>
      </c>
      <c r="F2349" s="20">
        <f>IF($C2349="","",IF(Registro_Compras!$F$264="NOTA DE CREDITO","",IF(Registro_Compras!$F$264="RHE",ROUND(Registro_Compras!$L$264*Registro_Compras!$N$264,2),ROUND(Registro_Compras!$J$264*Registro_Compras!$N$264,2))))</f>
        <v/>
      </c>
      <c r="G2349">
        <f>IF($C2349="","","Por el destino del gasto")</f>
        <v/>
      </c>
      <c r="H2349">
        <f>IF($C2349="","",Registro_Compras!$C$264)</f>
        <v/>
      </c>
    </row>
    <row r="2350">
      <c r="A2350" s="25">
        <f>IF($C2350="","",Registro_Compras!$X$264)</f>
        <v/>
      </c>
      <c r="B2350">
        <f>IF($C2350="","","C"&amp;TEXT(INT((ROW()-5)/9)+1,"000")&amp;"-3")</f>
        <v/>
      </c>
      <c r="C2350">
        <f>IF(OR(Registro_Compras!$C$264="",Registro_Compras!$O$264="",Registro_Compras!$R$264&lt;&gt;"SI",Registro_Compras!$X$264=""),"","4212")</f>
        <v/>
      </c>
      <c r="D2350">
        <f>IF(OR(Registro_Compras!$C$264="",Registro_Compras!$O$264=""),"","Cuentas por Pagar Comerciales - Terceros")</f>
        <v/>
      </c>
      <c r="E2350" s="20">
        <f>IF($C2350="","",Registro_Compras!$S$264)</f>
        <v/>
      </c>
      <c r="F2350" s="20">
        <f>""</f>
        <v/>
      </c>
      <c r="G2350">
        <f>IF($C2350="","","Por el deposito de la detraccion en el Banco de la Nacion")</f>
        <v/>
      </c>
      <c r="H2350">
        <f>IF($C2350="","",Registro_Compras!$C$264)</f>
        <v/>
      </c>
    </row>
    <row r="2351">
      <c r="A2351" s="25">
        <f>IF($C2351="","",Registro_Compras!$X$264)</f>
        <v/>
      </c>
      <c r="B2351">
        <f>IF($C2351="","","C"&amp;TEXT(INT((ROW()-5)/9)+1,"000")&amp;"-3")</f>
        <v/>
      </c>
      <c r="C2351">
        <f>IF(OR(Registro_Compras!$C$264="",Registro_Compras!$O$264="",Registro_Compras!$R$264&lt;&gt;"SI",Registro_Compras!$X$264=""),"","10413")</f>
        <v/>
      </c>
      <c r="D2351">
        <f>IF(OR(Registro_Compras!$C$264="",Registro_Compras!$O$264=""),"","Efectivo y Equivalentes - Cta. Cte. Operativa")</f>
        <v/>
      </c>
      <c r="E2351" s="20">
        <f>""</f>
        <v/>
      </c>
      <c r="F2351" s="20">
        <f>IF($C2351="","",Registro_Compras!$S$264)</f>
        <v/>
      </c>
      <c r="G2351">
        <f>IF($C2351="","","Por el deposito de la detraccion en el Banco de la Nacion")</f>
        <v/>
      </c>
      <c r="H2351">
        <f>IF($C2351="","",Registro_Compras!$C$264)</f>
        <v/>
      </c>
    </row>
    <row r="2352">
      <c r="A2352" s="25">
        <f>IF($C2352="","",Registro_Compras!$Y$264)</f>
        <v/>
      </c>
      <c r="B2352">
        <f>IF($C2352="","","C"&amp;TEXT(INT((ROW()-5)/9)+1,"000")&amp;"-4")</f>
        <v/>
      </c>
      <c r="C2352">
        <f>IF(OR(Registro_Compras!$C$264="",Registro_Compras!$O$264="",Registro_Compras!$Y$264="",Registro_Compras!$F$264="NOTA DE CREDITO"),"","4212")</f>
        <v/>
      </c>
      <c r="D2352">
        <f>IF(OR(Registro_Compras!$C$264="",Registro_Compras!$O$264=""),"","Cuentas por Pagar Comerciales - Terceros")</f>
        <v/>
      </c>
      <c r="E2352" s="20">
        <f>IF($C2352="","",IF(Registro_Compras!$F$264="RHE",(ROUND(Registro_Compras!$L$264*Registro_Compras!$N$264,2)-ROUND(Registro_Compras!$V$264*Registro_Compras!$N$264,2)),ROUND(Registro_Compras!$O$264-Registro_Compras!$S$264,2)))</f>
        <v/>
      </c>
      <c r="F2352" s="20">
        <f>""</f>
        <v/>
      </c>
      <c r="G2352">
        <f>IF($C2352="","","Por la cancelacion del saldo al proveedor")</f>
        <v/>
      </c>
      <c r="H2352">
        <f>IF($C2352="","",Registro_Compras!$C$264)</f>
        <v/>
      </c>
    </row>
    <row r="2353">
      <c r="A2353" s="25">
        <f>IF($C2353="","",Registro_Compras!$Y$264)</f>
        <v/>
      </c>
      <c r="B2353">
        <f>IF($C2353="","","C"&amp;TEXT(INT((ROW()-5)/9)+1,"000")&amp;"-4")</f>
        <v/>
      </c>
      <c r="C2353">
        <f>IF(OR(Registro_Compras!$C$264="",Registro_Compras!$O$264="",Registro_Compras!$Y$264="",Registro_Compras!$F$264="NOTA DE CREDITO"),"","10413")</f>
        <v/>
      </c>
      <c r="D2353">
        <f>IF(OR(Registro_Compras!$C$264="",Registro_Compras!$O$264=""),"","Efectivo y Equivalentes - Cta. Cte. Operativa")</f>
        <v/>
      </c>
      <c r="E2353" s="20">
        <f>""</f>
        <v/>
      </c>
      <c r="F2353" s="20">
        <f>IF($C2353="","",IF(Registro_Compras!$F$264="RHE",(ROUND(Registro_Compras!$L$264*Registro_Compras!$N$264,2)-ROUND(Registro_Compras!$V$264*Registro_Compras!$N$264,2)),ROUND(Registro_Compras!$O$264-Registro_Compras!$S$264,2)))</f>
        <v/>
      </c>
      <c r="G2353">
        <f>IF($C2353="","","Por la cancelacion del saldo al proveedor")</f>
        <v/>
      </c>
      <c r="H2353">
        <f>IF($C2353="","",Registro_Compras!$C$264)</f>
        <v/>
      </c>
    </row>
    <row r="2354">
      <c r="A2354" s="25">
        <f>IF($C2354="","",Registro_Compras!$B$265)</f>
        <v/>
      </c>
      <c r="B2354">
        <f>IF($C2354="","","C"&amp;TEXT(INT((ROW()-5)/9)+1,"000")&amp;"-1")</f>
        <v/>
      </c>
      <c r="C2354">
        <f>IF(OR(Registro_Compras!$C$265="",Registro_Compras!$O$265=""),"",IF(Registro_Compras!$F$265="NOTA DE CREDITO","4212",IF(Registro_Compras!$M$265="","63",Registro_Compras!$M$265)))</f>
        <v/>
      </c>
      <c r="D2354">
        <f>IF(OR(Registro_Compras!$C$265="",Registro_Compras!$O$265=""),"",IF(Registro_Compras!$F$265="NOTA DE CREDITO","Cuentas por Pagar Comerciales - Terceros (Emitidas)",IF(Registro_Compras!$F$265="RHE","Honorarios Profesionales - Servicios de Terceros","Gastos de Servicios Prestados por Terceros")))</f>
        <v/>
      </c>
      <c r="E2354" s="20">
        <f>IF($C2354="","",IF(Registro_Compras!$F$265="NOTA DE CREDITO",ABS(Registro_Compras!$O$265),IF(Registro_Compras!$F$265="RHE",ROUND(Registro_Compras!$L$265*Registro_Compras!$N$265,2),ROUND(Registro_Compras!$J$265*Registro_Compras!$N$265,2))))</f>
        <v/>
      </c>
      <c r="F2354" s="20">
        <f>""</f>
        <v/>
      </c>
      <c r="G2354">
        <f>IF($C2354="","",IF(Registro_Compras!$F$265="NOTA DE CREDITO","Por la nota de credito "&amp;Registro_Compras!$C$265&amp;" de "&amp;Registro_Compras!$E$265&amp;" [PATRON POR CONFIRMAR CON CONTADOR]",IF(Registro_Compras!$F$265="RHE","Por el registro del recibo por honorarios "&amp;Registro_Compras!$C$265&amp;" de "&amp;Registro_Compras!$E$265&amp;" [PATRON POR CONFIRMAR CON CONTADOR]","Por el registro de la factura "&amp;Registro_Compras!$C$265&amp;" de "&amp;Registro_Compras!$E$265)))</f>
        <v/>
      </c>
      <c r="H2354">
        <f>IF($C2354="","",Registro_Compras!$C$265)</f>
        <v/>
      </c>
    </row>
    <row r="2355">
      <c r="A2355" s="25">
        <f>IF($C2355="","",Registro_Compras!$B$265)</f>
        <v/>
      </c>
      <c r="B2355">
        <f>IF($C2355="","","C"&amp;TEXT(INT((ROW()-5)/9)+1,"000")&amp;"-1")</f>
        <v/>
      </c>
      <c r="C2355">
        <f>IF(OR(Registro_Compras!$C$265="",Registro_Compras!$O$265=""),"",IF(Registro_Compras!$F$265="RHE",IF(Registro_Compras!$V$265=0,"","40172"),IF(Registro_Compras!$F$265="NOTA DE CREDITO",IF(Registro_Compras!$M$265="","63",Registro_Compras!$M$265),IF(Registro_Compras!$K$265=0,"","40111"))))</f>
        <v/>
      </c>
      <c r="D2355">
        <f>IF(OR(Registro_Compras!$C$265="",Registro_Compras!$O$265=""),"",IF(Registro_Compras!$F$265="RHE","Retencion Renta 4ta Categoria por Pagar",IF(Registro_Compras!$F$265="NOTA DE CREDITO","Gastos de Servicios Prestados por Terceros","IGV - Cuenta Propia (Credito Fiscal)")))</f>
        <v/>
      </c>
      <c r="E2355" s="20">
        <f>IF($C2355="","",IF(Registro_Compras!$F$265="FACTURA",ROUND(Registro_Compras!$K$265*Registro_Compras!$N$265,2),""))</f>
        <v/>
      </c>
      <c r="F2355" s="20">
        <f>IF($C2355="","",IF(Registro_Compras!$F$265="RHE",ROUND(Registro_Compras!$V$265*Registro_Compras!$N$265,2),IF(Registro_Compras!$F$265="NOTA DE CREDITO",ROUND(ABS(Registro_Compras!$J$265*Registro_Compras!$N$265),2),"")))</f>
        <v/>
      </c>
      <c r="G2355">
        <f>IF($C2355="","",IF(Registro_Compras!$F$265="NOTA DE CREDITO","Por la nota de credito "&amp;Registro_Compras!$C$265&amp;" de "&amp;Registro_Compras!$E$265&amp;" [PATRON POR CONFIRMAR CON CONTADOR]",IF(Registro_Compras!$F$265="RHE","Por el registro del recibo por honorarios "&amp;Registro_Compras!$C$265&amp;" de "&amp;Registro_Compras!$E$265&amp;" [PATRON POR CONFIRMAR CON CONTADOR]","Por el registro de la factura "&amp;Registro_Compras!$C$265&amp;" de "&amp;Registro_Compras!$E$265)))</f>
        <v/>
      </c>
      <c r="H2355">
        <f>IF($C2355="","",Registro_Compras!$C$265)</f>
        <v/>
      </c>
    </row>
    <row r="2356">
      <c r="A2356" s="25">
        <f>IF($C2356="","",Registro_Compras!$B$265)</f>
        <v/>
      </c>
      <c r="B2356">
        <f>IF($C2356="","","C"&amp;TEXT(INT((ROW()-5)/9)+1,"000")&amp;"-1")</f>
        <v/>
      </c>
      <c r="C2356">
        <f>IF(OR(Registro_Compras!$C$265="",Registro_Compras!$O$265=""),"",IF(Registro_Compras!$F$265="NOTA DE CREDITO",IF(Registro_Compras!$K$265=0,"","40111"),"4212"))</f>
        <v/>
      </c>
      <c r="D2356">
        <f>IF(OR(Registro_Compras!$C$265="",Registro_Compras!$O$265=""),"",IF(Registro_Compras!$F$265="NOTA DE CREDITO","IGV - Cuenta Propia (Credito Fiscal)","Cuentas por Pagar Comerciales - Terceros (Emitidas)"))</f>
        <v/>
      </c>
      <c r="E2356" s="20">
        <f>""</f>
        <v/>
      </c>
      <c r="F2356" s="20">
        <f>IF($C2356="","",IF(Registro_Compras!$F$265="NOTA DE CREDITO",ROUND(ABS(Registro_Compras!$K$265*Registro_Compras!$N$265),2),IF(Registro_Compras!$F$265="RHE",(ROUND(Registro_Compras!$L$265*Registro_Compras!$N$265,2)-ROUND(Registro_Compras!$V$265*Registro_Compras!$N$265,2)),Registro_Compras!$O$265)))</f>
        <v/>
      </c>
      <c r="G2356">
        <f>IF($C2356="","",IF(Registro_Compras!$F$265="NOTA DE CREDITO","Por la nota de credito "&amp;Registro_Compras!$C$265&amp;" de "&amp;Registro_Compras!$E$265&amp;" [PATRON POR CONFIRMAR CON CONTADOR]",IF(Registro_Compras!$F$265="RHE","Por el registro del recibo por honorarios "&amp;Registro_Compras!$C$265&amp;" de "&amp;Registro_Compras!$E$265&amp;" [PATRON POR CONFIRMAR CON CONTADOR]","Por el registro de la factura "&amp;Registro_Compras!$C$265&amp;" de "&amp;Registro_Compras!$E$265)))</f>
        <v/>
      </c>
      <c r="H2356">
        <f>IF($C2356="","",Registro_Compras!$C$265)</f>
        <v/>
      </c>
    </row>
    <row r="2357">
      <c r="A2357" s="25">
        <f>IF($C2357="","",Registro_Compras!$B$265)</f>
        <v/>
      </c>
      <c r="B2357">
        <f>IF($C2357="","","C"&amp;TEXT(INT((ROW()-5)/9)+1,"000")&amp;"-2")</f>
        <v/>
      </c>
      <c r="C2357">
        <f>IF(OR(Registro_Compras!$C$265="",Registro_Compras!$O$265=""),"",IF(Registro_Compras!$AB$265="ADMINISTRATIVO","94","95"))</f>
        <v/>
      </c>
      <c r="D2357">
        <f>IF(OR(Registro_Compras!$C$265="",Registro_Compras!$O$265=""),"",IF(Registro_Compras!$AB$265="ADMINISTRATIVO","Gastos Administrativos","Gastos de Venta y Operacion"))</f>
        <v/>
      </c>
      <c r="E2357" s="20">
        <f>IF($C2357="","",IF(Registro_Compras!$F$265="NOTA DE CREDITO","",IF(Registro_Compras!$F$265="RHE",ROUND(Registro_Compras!$L$265*Registro_Compras!$N$265,2),ROUND(Registro_Compras!$J$265*Registro_Compras!$N$265,2))))</f>
        <v/>
      </c>
      <c r="F2357" s="20">
        <f>IF($C2357="","",IF(Registro_Compras!$F$265="NOTA DE CREDITO",ROUND(ABS(Registro_Compras!$J$265*Registro_Compras!$N$265),2),""))</f>
        <v/>
      </c>
      <c r="G2357">
        <f>IF($C2357="","","Por el destino del gasto")</f>
        <v/>
      </c>
      <c r="H2357">
        <f>IF($C2357="","",Registro_Compras!$C$265)</f>
        <v/>
      </c>
    </row>
    <row r="2358">
      <c r="A2358" s="25">
        <f>IF($C2358="","",Registro_Compras!$B$265)</f>
        <v/>
      </c>
      <c r="B2358">
        <f>IF($C2358="","","C"&amp;TEXT(INT((ROW()-5)/9)+1,"000")&amp;"-2")</f>
        <v/>
      </c>
      <c r="C2358">
        <f>IF(OR(Registro_Compras!$C$265="",Registro_Compras!$O$265=""),"","79/791")</f>
        <v/>
      </c>
      <c r="D2358">
        <f>IF(OR(Registro_Compras!$C$265="",Registro_Compras!$O$265=""),"","Cargas Imputables a Cuentas de Costos y Gastos")</f>
        <v/>
      </c>
      <c r="E2358" s="20">
        <f>IF($C2358="","",IF(Registro_Compras!$F$265="NOTA DE CREDITO",ROUND(ABS(Registro_Compras!$J$265*Registro_Compras!$N$265),2),""))</f>
        <v/>
      </c>
      <c r="F2358" s="20">
        <f>IF($C2358="","",IF(Registro_Compras!$F$265="NOTA DE CREDITO","",IF(Registro_Compras!$F$265="RHE",ROUND(Registro_Compras!$L$265*Registro_Compras!$N$265,2),ROUND(Registro_Compras!$J$265*Registro_Compras!$N$265,2))))</f>
        <v/>
      </c>
      <c r="G2358">
        <f>IF($C2358="","","Por el destino del gasto")</f>
        <v/>
      </c>
      <c r="H2358">
        <f>IF($C2358="","",Registro_Compras!$C$265)</f>
        <v/>
      </c>
    </row>
    <row r="2359">
      <c r="A2359" s="25">
        <f>IF($C2359="","",Registro_Compras!$X$265)</f>
        <v/>
      </c>
      <c r="B2359">
        <f>IF($C2359="","","C"&amp;TEXT(INT((ROW()-5)/9)+1,"000")&amp;"-3")</f>
        <v/>
      </c>
      <c r="C2359">
        <f>IF(OR(Registro_Compras!$C$265="",Registro_Compras!$O$265="",Registro_Compras!$R$265&lt;&gt;"SI",Registro_Compras!$X$265=""),"","4212")</f>
        <v/>
      </c>
      <c r="D2359">
        <f>IF(OR(Registro_Compras!$C$265="",Registro_Compras!$O$265=""),"","Cuentas por Pagar Comerciales - Terceros")</f>
        <v/>
      </c>
      <c r="E2359" s="20">
        <f>IF($C2359="","",Registro_Compras!$S$265)</f>
        <v/>
      </c>
      <c r="F2359" s="20">
        <f>""</f>
        <v/>
      </c>
      <c r="G2359">
        <f>IF($C2359="","","Por el deposito de la detraccion en el Banco de la Nacion")</f>
        <v/>
      </c>
      <c r="H2359">
        <f>IF($C2359="","",Registro_Compras!$C$265)</f>
        <v/>
      </c>
    </row>
    <row r="2360">
      <c r="A2360" s="25">
        <f>IF($C2360="","",Registro_Compras!$X$265)</f>
        <v/>
      </c>
      <c r="B2360">
        <f>IF($C2360="","","C"&amp;TEXT(INT((ROW()-5)/9)+1,"000")&amp;"-3")</f>
        <v/>
      </c>
      <c r="C2360">
        <f>IF(OR(Registro_Compras!$C$265="",Registro_Compras!$O$265="",Registro_Compras!$R$265&lt;&gt;"SI",Registro_Compras!$X$265=""),"","10413")</f>
        <v/>
      </c>
      <c r="D2360">
        <f>IF(OR(Registro_Compras!$C$265="",Registro_Compras!$O$265=""),"","Efectivo y Equivalentes - Cta. Cte. Operativa")</f>
        <v/>
      </c>
      <c r="E2360" s="20">
        <f>""</f>
        <v/>
      </c>
      <c r="F2360" s="20">
        <f>IF($C2360="","",Registro_Compras!$S$265)</f>
        <v/>
      </c>
      <c r="G2360">
        <f>IF($C2360="","","Por el deposito de la detraccion en el Banco de la Nacion")</f>
        <v/>
      </c>
      <c r="H2360">
        <f>IF($C2360="","",Registro_Compras!$C$265)</f>
        <v/>
      </c>
    </row>
    <row r="2361">
      <c r="A2361" s="25">
        <f>IF($C2361="","",Registro_Compras!$Y$265)</f>
        <v/>
      </c>
      <c r="B2361">
        <f>IF($C2361="","","C"&amp;TEXT(INT((ROW()-5)/9)+1,"000")&amp;"-4")</f>
        <v/>
      </c>
      <c r="C2361">
        <f>IF(OR(Registro_Compras!$C$265="",Registro_Compras!$O$265="",Registro_Compras!$Y$265="",Registro_Compras!$F$265="NOTA DE CREDITO"),"","4212")</f>
        <v/>
      </c>
      <c r="D2361">
        <f>IF(OR(Registro_Compras!$C$265="",Registro_Compras!$O$265=""),"","Cuentas por Pagar Comerciales - Terceros")</f>
        <v/>
      </c>
      <c r="E2361" s="20">
        <f>IF($C2361="","",IF(Registro_Compras!$F$265="RHE",(ROUND(Registro_Compras!$L$265*Registro_Compras!$N$265,2)-ROUND(Registro_Compras!$V$265*Registro_Compras!$N$265,2)),ROUND(Registro_Compras!$O$265-Registro_Compras!$S$265,2)))</f>
        <v/>
      </c>
      <c r="F2361" s="20">
        <f>""</f>
        <v/>
      </c>
      <c r="G2361">
        <f>IF($C2361="","","Por la cancelacion del saldo al proveedor")</f>
        <v/>
      </c>
      <c r="H2361">
        <f>IF($C2361="","",Registro_Compras!$C$265)</f>
        <v/>
      </c>
    </row>
    <row r="2362">
      <c r="A2362" s="25">
        <f>IF($C2362="","",Registro_Compras!$Y$265)</f>
        <v/>
      </c>
      <c r="B2362">
        <f>IF($C2362="","","C"&amp;TEXT(INT((ROW()-5)/9)+1,"000")&amp;"-4")</f>
        <v/>
      </c>
      <c r="C2362">
        <f>IF(OR(Registro_Compras!$C$265="",Registro_Compras!$O$265="",Registro_Compras!$Y$265="",Registro_Compras!$F$265="NOTA DE CREDITO"),"","10413")</f>
        <v/>
      </c>
      <c r="D2362">
        <f>IF(OR(Registro_Compras!$C$265="",Registro_Compras!$O$265=""),"","Efectivo y Equivalentes - Cta. Cte. Operativa")</f>
        <v/>
      </c>
      <c r="E2362" s="20">
        <f>""</f>
        <v/>
      </c>
      <c r="F2362" s="20">
        <f>IF($C2362="","",IF(Registro_Compras!$F$265="RHE",(ROUND(Registro_Compras!$L$265*Registro_Compras!$N$265,2)-ROUND(Registro_Compras!$V$265*Registro_Compras!$N$265,2)),ROUND(Registro_Compras!$O$265-Registro_Compras!$S$265,2)))</f>
        <v/>
      </c>
      <c r="G2362">
        <f>IF($C2362="","","Por la cancelacion del saldo al proveedor")</f>
        <v/>
      </c>
      <c r="H2362">
        <f>IF($C2362="","",Registro_Compras!$C$265)</f>
        <v/>
      </c>
    </row>
    <row r="2363">
      <c r="A2363" s="25">
        <f>IF($C2363="","",Registro_Compras!$B$266)</f>
        <v/>
      </c>
      <c r="B2363">
        <f>IF($C2363="","","C"&amp;TEXT(INT((ROW()-5)/9)+1,"000")&amp;"-1")</f>
        <v/>
      </c>
      <c r="C2363">
        <f>IF(OR(Registro_Compras!$C$266="",Registro_Compras!$O$266=""),"",IF(Registro_Compras!$F$266="NOTA DE CREDITO","4212",IF(Registro_Compras!$M$266="","63",Registro_Compras!$M$266)))</f>
        <v/>
      </c>
      <c r="D2363">
        <f>IF(OR(Registro_Compras!$C$266="",Registro_Compras!$O$266=""),"",IF(Registro_Compras!$F$266="NOTA DE CREDITO","Cuentas por Pagar Comerciales - Terceros (Emitidas)",IF(Registro_Compras!$F$266="RHE","Honorarios Profesionales - Servicios de Terceros","Gastos de Servicios Prestados por Terceros")))</f>
        <v/>
      </c>
      <c r="E2363" s="20">
        <f>IF($C2363="","",IF(Registro_Compras!$F$266="NOTA DE CREDITO",ABS(Registro_Compras!$O$266),IF(Registro_Compras!$F$266="RHE",ROUND(Registro_Compras!$L$266*Registro_Compras!$N$266,2),ROUND(Registro_Compras!$J$266*Registro_Compras!$N$266,2))))</f>
        <v/>
      </c>
      <c r="F2363" s="20">
        <f>""</f>
        <v/>
      </c>
      <c r="G2363">
        <f>IF($C2363="","",IF(Registro_Compras!$F$266="NOTA DE CREDITO","Por la nota de credito "&amp;Registro_Compras!$C$266&amp;" de "&amp;Registro_Compras!$E$266&amp;" [PATRON POR CONFIRMAR CON CONTADOR]",IF(Registro_Compras!$F$266="RHE","Por el registro del recibo por honorarios "&amp;Registro_Compras!$C$266&amp;" de "&amp;Registro_Compras!$E$266&amp;" [PATRON POR CONFIRMAR CON CONTADOR]","Por el registro de la factura "&amp;Registro_Compras!$C$266&amp;" de "&amp;Registro_Compras!$E$266)))</f>
        <v/>
      </c>
      <c r="H2363">
        <f>IF($C2363="","",Registro_Compras!$C$266)</f>
        <v/>
      </c>
    </row>
    <row r="2364">
      <c r="A2364" s="25">
        <f>IF($C2364="","",Registro_Compras!$B$266)</f>
        <v/>
      </c>
      <c r="B2364">
        <f>IF($C2364="","","C"&amp;TEXT(INT((ROW()-5)/9)+1,"000")&amp;"-1")</f>
        <v/>
      </c>
      <c r="C2364">
        <f>IF(OR(Registro_Compras!$C$266="",Registro_Compras!$O$266=""),"",IF(Registro_Compras!$F$266="RHE",IF(Registro_Compras!$V$266=0,"","40172"),IF(Registro_Compras!$F$266="NOTA DE CREDITO",IF(Registro_Compras!$M$266="","63",Registro_Compras!$M$266),IF(Registro_Compras!$K$266=0,"","40111"))))</f>
        <v/>
      </c>
      <c r="D2364">
        <f>IF(OR(Registro_Compras!$C$266="",Registro_Compras!$O$266=""),"",IF(Registro_Compras!$F$266="RHE","Retencion Renta 4ta Categoria por Pagar",IF(Registro_Compras!$F$266="NOTA DE CREDITO","Gastos de Servicios Prestados por Terceros","IGV - Cuenta Propia (Credito Fiscal)")))</f>
        <v/>
      </c>
      <c r="E2364" s="20">
        <f>IF($C2364="","",IF(Registro_Compras!$F$266="FACTURA",ROUND(Registro_Compras!$K$266*Registro_Compras!$N$266,2),""))</f>
        <v/>
      </c>
      <c r="F2364" s="20">
        <f>IF($C2364="","",IF(Registro_Compras!$F$266="RHE",ROUND(Registro_Compras!$V$266*Registro_Compras!$N$266,2),IF(Registro_Compras!$F$266="NOTA DE CREDITO",ROUND(ABS(Registro_Compras!$J$266*Registro_Compras!$N$266),2),"")))</f>
        <v/>
      </c>
      <c r="G2364">
        <f>IF($C2364="","",IF(Registro_Compras!$F$266="NOTA DE CREDITO","Por la nota de credito "&amp;Registro_Compras!$C$266&amp;" de "&amp;Registro_Compras!$E$266&amp;" [PATRON POR CONFIRMAR CON CONTADOR]",IF(Registro_Compras!$F$266="RHE","Por el registro del recibo por honorarios "&amp;Registro_Compras!$C$266&amp;" de "&amp;Registro_Compras!$E$266&amp;" [PATRON POR CONFIRMAR CON CONTADOR]","Por el registro de la factura "&amp;Registro_Compras!$C$266&amp;" de "&amp;Registro_Compras!$E$266)))</f>
        <v/>
      </c>
      <c r="H2364">
        <f>IF($C2364="","",Registro_Compras!$C$266)</f>
        <v/>
      </c>
    </row>
    <row r="2365">
      <c r="A2365" s="25">
        <f>IF($C2365="","",Registro_Compras!$B$266)</f>
        <v/>
      </c>
      <c r="B2365">
        <f>IF($C2365="","","C"&amp;TEXT(INT((ROW()-5)/9)+1,"000")&amp;"-1")</f>
        <v/>
      </c>
      <c r="C2365">
        <f>IF(OR(Registro_Compras!$C$266="",Registro_Compras!$O$266=""),"",IF(Registro_Compras!$F$266="NOTA DE CREDITO",IF(Registro_Compras!$K$266=0,"","40111"),"4212"))</f>
        <v/>
      </c>
      <c r="D2365">
        <f>IF(OR(Registro_Compras!$C$266="",Registro_Compras!$O$266=""),"",IF(Registro_Compras!$F$266="NOTA DE CREDITO","IGV - Cuenta Propia (Credito Fiscal)","Cuentas por Pagar Comerciales - Terceros (Emitidas)"))</f>
        <v/>
      </c>
      <c r="E2365" s="20">
        <f>""</f>
        <v/>
      </c>
      <c r="F2365" s="20">
        <f>IF($C2365="","",IF(Registro_Compras!$F$266="NOTA DE CREDITO",ROUND(ABS(Registro_Compras!$K$266*Registro_Compras!$N$266),2),IF(Registro_Compras!$F$266="RHE",(ROUND(Registro_Compras!$L$266*Registro_Compras!$N$266,2)-ROUND(Registro_Compras!$V$266*Registro_Compras!$N$266,2)),Registro_Compras!$O$266)))</f>
        <v/>
      </c>
      <c r="G2365">
        <f>IF($C2365="","",IF(Registro_Compras!$F$266="NOTA DE CREDITO","Por la nota de credito "&amp;Registro_Compras!$C$266&amp;" de "&amp;Registro_Compras!$E$266&amp;" [PATRON POR CONFIRMAR CON CONTADOR]",IF(Registro_Compras!$F$266="RHE","Por el registro del recibo por honorarios "&amp;Registro_Compras!$C$266&amp;" de "&amp;Registro_Compras!$E$266&amp;" [PATRON POR CONFIRMAR CON CONTADOR]","Por el registro de la factura "&amp;Registro_Compras!$C$266&amp;" de "&amp;Registro_Compras!$E$266)))</f>
        <v/>
      </c>
      <c r="H2365">
        <f>IF($C2365="","",Registro_Compras!$C$266)</f>
        <v/>
      </c>
    </row>
    <row r="2366">
      <c r="A2366" s="25">
        <f>IF($C2366="","",Registro_Compras!$B$266)</f>
        <v/>
      </c>
      <c r="B2366">
        <f>IF($C2366="","","C"&amp;TEXT(INT((ROW()-5)/9)+1,"000")&amp;"-2")</f>
        <v/>
      </c>
      <c r="C2366">
        <f>IF(OR(Registro_Compras!$C$266="",Registro_Compras!$O$266=""),"",IF(Registro_Compras!$AB$266="ADMINISTRATIVO","94","95"))</f>
        <v/>
      </c>
      <c r="D2366">
        <f>IF(OR(Registro_Compras!$C$266="",Registro_Compras!$O$266=""),"",IF(Registro_Compras!$AB$266="ADMINISTRATIVO","Gastos Administrativos","Gastos de Venta y Operacion"))</f>
        <v/>
      </c>
      <c r="E2366" s="20">
        <f>IF($C2366="","",IF(Registro_Compras!$F$266="NOTA DE CREDITO","",IF(Registro_Compras!$F$266="RHE",ROUND(Registro_Compras!$L$266*Registro_Compras!$N$266,2),ROUND(Registro_Compras!$J$266*Registro_Compras!$N$266,2))))</f>
        <v/>
      </c>
      <c r="F2366" s="20">
        <f>IF($C2366="","",IF(Registro_Compras!$F$266="NOTA DE CREDITO",ROUND(ABS(Registro_Compras!$J$266*Registro_Compras!$N$266),2),""))</f>
        <v/>
      </c>
      <c r="G2366">
        <f>IF($C2366="","","Por el destino del gasto")</f>
        <v/>
      </c>
      <c r="H2366">
        <f>IF($C2366="","",Registro_Compras!$C$266)</f>
        <v/>
      </c>
    </row>
    <row r="2367">
      <c r="A2367" s="25">
        <f>IF($C2367="","",Registro_Compras!$B$266)</f>
        <v/>
      </c>
      <c r="B2367">
        <f>IF($C2367="","","C"&amp;TEXT(INT((ROW()-5)/9)+1,"000")&amp;"-2")</f>
        <v/>
      </c>
      <c r="C2367">
        <f>IF(OR(Registro_Compras!$C$266="",Registro_Compras!$O$266=""),"","79/791")</f>
        <v/>
      </c>
      <c r="D2367">
        <f>IF(OR(Registro_Compras!$C$266="",Registro_Compras!$O$266=""),"","Cargas Imputables a Cuentas de Costos y Gastos")</f>
        <v/>
      </c>
      <c r="E2367" s="20">
        <f>IF($C2367="","",IF(Registro_Compras!$F$266="NOTA DE CREDITO",ROUND(ABS(Registro_Compras!$J$266*Registro_Compras!$N$266),2),""))</f>
        <v/>
      </c>
      <c r="F2367" s="20">
        <f>IF($C2367="","",IF(Registro_Compras!$F$266="NOTA DE CREDITO","",IF(Registro_Compras!$F$266="RHE",ROUND(Registro_Compras!$L$266*Registro_Compras!$N$266,2),ROUND(Registro_Compras!$J$266*Registro_Compras!$N$266,2))))</f>
        <v/>
      </c>
      <c r="G2367">
        <f>IF($C2367="","","Por el destino del gasto")</f>
        <v/>
      </c>
      <c r="H2367">
        <f>IF($C2367="","",Registro_Compras!$C$266)</f>
        <v/>
      </c>
    </row>
    <row r="2368">
      <c r="A2368" s="25">
        <f>IF($C2368="","",Registro_Compras!$X$266)</f>
        <v/>
      </c>
      <c r="B2368">
        <f>IF($C2368="","","C"&amp;TEXT(INT((ROW()-5)/9)+1,"000")&amp;"-3")</f>
        <v/>
      </c>
      <c r="C2368">
        <f>IF(OR(Registro_Compras!$C$266="",Registro_Compras!$O$266="",Registro_Compras!$R$266&lt;&gt;"SI",Registro_Compras!$X$266=""),"","4212")</f>
        <v/>
      </c>
      <c r="D2368">
        <f>IF(OR(Registro_Compras!$C$266="",Registro_Compras!$O$266=""),"","Cuentas por Pagar Comerciales - Terceros")</f>
        <v/>
      </c>
      <c r="E2368" s="20">
        <f>IF($C2368="","",Registro_Compras!$S$266)</f>
        <v/>
      </c>
      <c r="F2368" s="20">
        <f>""</f>
        <v/>
      </c>
      <c r="G2368">
        <f>IF($C2368="","","Por el deposito de la detraccion en el Banco de la Nacion")</f>
        <v/>
      </c>
      <c r="H2368">
        <f>IF($C2368="","",Registro_Compras!$C$266)</f>
        <v/>
      </c>
    </row>
    <row r="2369">
      <c r="A2369" s="25">
        <f>IF($C2369="","",Registro_Compras!$X$266)</f>
        <v/>
      </c>
      <c r="B2369">
        <f>IF($C2369="","","C"&amp;TEXT(INT((ROW()-5)/9)+1,"000")&amp;"-3")</f>
        <v/>
      </c>
      <c r="C2369">
        <f>IF(OR(Registro_Compras!$C$266="",Registro_Compras!$O$266="",Registro_Compras!$R$266&lt;&gt;"SI",Registro_Compras!$X$266=""),"","10413")</f>
        <v/>
      </c>
      <c r="D2369">
        <f>IF(OR(Registro_Compras!$C$266="",Registro_Compras!$O$266=""),"","Efectivo y Equivalentes - Cta. Cte. Operativa")</f>
        <v/>
      </c>
      <c r="E2369" s="20">
        <f>""</f>
        <v/>
      </c>
      <c r="F2369" s="20">
        <f>IF($C2369="","",Registro_Compras!$S$266)</f>
        <v/>
      </c>
      <c r="G2369">
        <f>IF($C2369="","","Por el deposito de la detraccion en el Banco de la Nacion")</f>
        <v/>
      </c>
      <c r="H2369">
        <f>IF($C2369="","",Registro_Compras!$C$266)</f>
        <v/>
      </c>
    </row>
    <row r="2370">
      <c r="A2370" s="25">
        <f>IF($C2370="","",Registro_Compras!$Y$266)</f>
        <v/>
      </c>
      <c r="B2370">
        <f>IF($C2370="","","C"&amp;TEXT(INT((ROW()-5)/9)+1,"000")&amp;"-4")</f>
        <v/>
      </c>
      <c r="C2370">
        <f>IF(OR(Registro_Compras!$C$266="",Registro_Compras!$O$266="",Registro_Compras!$Y$266="",Registro_Compras!$F$266="NOTA DE CREDITO"),"","4212")</f>
        <v/>
      </c>
      <c r="D2370">
        <f>IF(OR(Registro_Compras!$C$266="",Registro_Compras!$O$266=""),"","Cuentas por Pagar Comerciales - Terceros")</f>
        <v/>
      </c>
      <c r="E2370" s="20">
        <f>IF($C2370="","",IF(Registro_Compras!$F$266="RHE",(ROUND(Registro_Compras!$L$266*Registro_Compras!$N$266,2)-ROUND(Registro_Compras!$V$266*Registro_Compras!$N$266,2)),ROUND(Registro_Compras!$O$266-Registro_Compras!$S$266,2)))</f>
        <v/>
      </c>
      <c r="F2370" s="20">
        <f>""</f>
        <v/>
      </c>
      <c r="G2370">
        <f>IF($C2370="","","Por la cancelacion del saldo al proveedor")</f>
        <v/>
      </c>
      <c r="H2370">
        <f>IF($C2370="","",Registro_Compras!$C$266)</f>
        <v/>
      </c>
    </row>
    <row r="2371">
      <c r="A2371" s="25">
        <f>IF($C2371="","",Registro_Compras!$Y$266)</f>
        <v/>
      </c>
      <c r="B2371">
        <f>IF($C2371="","","C"&amp;TEXT(INT((ROW()-5)/9)+1,"000")&amp;"-4")</f>
        <v/>
      </c>
      <c r="C2371">
        <f>IF(OR(Registro_Compras!$C$266="",Registro_Compras!$O$266="",Registro_Compras!$Y$266="",Registro_Compras!$F$266="NOTA DE CREDITO"),"","10413")</f>
        <v/>
      </c>
      <c r="D2371">
        <f>IF(OR(Registro_Compras!$C$266="",Registro_Compras!$O$266=""),"","Efectivo y Equivalentes - Cta. Cte. Operativa")</f>
        <v/>
      </c>
      <c r="E2371" s="20">
        <f>""</f>
        <v/>
      </c>
      <c r="F2371" s="20">
        <f>IF($C2371="","",IF(Registro_Compras!$F$266="RHE",(ROUND(Registro_Compras!$L$266*Registro_Compras!$N$266,2)-ROUND(Registro_Compras!$V$266*Registro_Compras!$N$266,2)),ROUND(Registro_Compras!$O$266-Registro_Compras!$S$266,2)))</f>
        <v/>
      </c>
      <c r="G2371">
        <f>IF($C2371="","","Por la cancelacion del saldo al proveedor")</f>
        <v/>
      </c>
      <c r="H2371">
        <f>IF($C2371="","",Registro_Compras!$C$266)</f>
        <v/>
      </c>
    </row>
    <row r="2372">
      <c r="A2372" s="25">
        <f>IF($C2372="","",Registro_Compras!$B$267)</f>
        <v/>
      </c>
      <c r="B2372">
        <f>IF($C2372="","","C"&amp;TEXT(INT((ROW()-5)/9)+1,"000")&amp;"-1")</f>
        <v/>
      </c>
      <c r="C2372">
        <f>IF(OR(Registro_Compras!$C$267="",Registro_Compras!$O$267=""),"",IF(Registro_Compras!$F$267="NOTA DE CREDITO","4212",IF(Registro_Compras!$M$267="","63",Registro_Compras!$M$267)))</f>
        <v/>
      </c>
      <c r="D2372">
        <f>IF(OR(Registro_Compras!$C$267="",Registro_Compras!$O$267=""),"",IF(Registro_Compras!$F$267="NOTA DE CREDITO","Cuentas por Pagar Comerciales - Terceros (Emitidas)",IF(Registro_Compras!$F$267="RHE","Honorarios Profesionales - Servicios de Terceros","Gastos de Servicios Prestados por Terceros")))</f>
        <v/>
      </c>
      <c r="E2372" s="20">
        <f>IF($C2372="","",IF(Registro_Compras!$F$267="NOTA DE CREDITO",ABS(Registro_Compras!$O$267),IF(Registro_Compras!$F$267="RHE",ROUND(Registro_Compras!$L$267*Registro_Compras!$N$267,2),ROUND(Registro_Compras!$J$267*Registro_Compras!$N$267,2))))</f>
        <v/>
      </c>
      <c r="F2372" s="20">
        <f>""</f>
        <v/>
      </c>
      <c r="G2372">
        <f>IF($C2372="","",IF(Registro_Compras!$F$267="NOTA DE CREDITO","Por la nota de credito "&amp;Registro_Compras!$C$267&amp;" de "&amp;Registro_Compras!$E$267&amp;" [PATRON POR CONFIRMAR CON CONTADOR]",IF(Registro_Compras!$F$267="RHE","Por el registro del recibo por honorarios "&amp;Registro_Compras!$C$267&amp;" de "&amp;Registro_Compras!$E$267&amp;" [PATRON POR CONFIRMAR CON CONTADOR]","Por el registro de la factura "&amp;Registro_Compras!$C$267&amp;" de "&amp;Registro_Compras!$E$267)))</f>
        <v/>
      </c>
      <c r="H2372">
        <f>IF($C2372="","",Registro_Compras!$C$267)</f>
        <v/>
      </c>
    </row>
    <row r="2373">
      <c r="A2373" s="25">
        <f>IF($C2373="","",Registro_Compras!$B$267)</f>
        <v/>
      </c>
      <c r="B2373">
        <f>IF($C2373="","","C"&amp;TEXT(INT((ROW()-5)/9)+1,"000")&amp;"-1")</f>
        <v/>
      </c>
      <c r="C2373">
        <f>IF(OR(Registro_Compras!$C$267="",Registro_Compras!$O$267=""),"",IF(Registro_Compras!$F$267="RHE",IF(Registro_Compras!$V$267=0,"","40172"),IF(Registro_Compras!$F$267="NOTA DE CREDITO",IF(Registro_Compras!$M$267="","63",Registro_Compras!$M$267),IF(Registro_Compras!$K$267=0,"","40111"))))</f>
        <v/>
      </c>
      <c r="D2373">
        <f>IF(OR(Registro_Compras!$C$267="",Registro_Compras!$O$267=""),"",IF(Registro_Compras!$F$267="RHE","Retencion Renta 4ta Categoria por Pagar",IF(Registro_Compras!$F$267="NOTA DE CREDITO","Gastos de Servicios Prestados por Terceros","IGV - Cuenta Propia (Credito Fiscal)")))</f>
        <v/>
      </c>
      <c r="E2373" s="20">
        <f>IF($C2373="","",IF(Registro_Compras!$F$267="FACTURA",ROUND(Registro_Compras!$K$267*Registro_Compras!$N$267,2),""))</f>
        <v/>
      </c>
      <c r="F2373" s="20">
        <f>IF($C2373="","",IF(Registro_Compras!$F$267="RHE",ROUND(Registro_Compras!$V$267*Registro_Compras!$N$267,2),IF(Registro_Compras!$F$267="NOTA DE CREDITO",ROUND(ABS(Registro_Compras!$J$267*Registro_Compras!$N$267),2),"")))</f>
        <v/>
      </c>
      <c r="G2373">
        <f>IF($C2373="","",IF(Registro_Compras!$F$267="NOTA DE CREDITO","Por la nota de credito "&amp;Registro_Compras!$C$267&amp;" de "&amp;Registro_Compras!$E$267&amp;" [PATRON POR CONFIRMAR CON CONTADOR]",IF(Registro_Compras!$F$267="RHE","Por el registro del recibo por honorarios "&amp;Registro_Compras!$C$267&amp;" de "&amp;Registro_Compras!$E$267&amp;" [PATRON POR CONFIRMAR CON CONTADOR]","Por el registro de la factura "&amp;Registro_Compras!$C$267&amp;" de "&amp;Registro_Compras!$E$267)))</f>
        <v/>
      </c>
      <c r="H2373">
        <f>IF($C2373="","",Registro_Compras!$C$267)</f>
        <v/>
      </c>
    </row>
    <row r="2374">
      <c r="A2374" s="25">
        <f>IF($C2374="","",Registro_Compras!$B$267)</f>
        <v/>
      </c>
      <c r="B2374">
        <f>IF($C2374="","","C"&amp;TEXT(INT((ROW()-5)/9)+1,"000")&amp;"-1")</f>
        <v/>
      </c>
      <c r="C2374">
        <f>IF(OR(Registro_Compras!$C$267="",Registro_Compras!$O$267=""),"",IF(Registro_Compras!$F$267="NOTA DE CREDITO",IF(Registro_Compras!$K$267=0,"","40111"),"4212"))</f>
        <v/>
      </c>
      <c r="D2374">
        <f>IF(OR(Registro_Compras!$C$267="",Registro_Compras!$O$267=""),"",IF(Registro_Compras!$F$267="NOTA DE CREDITO","IGV - Cuenta Propia (Credito Fiscal)","Cuentas por Pagar Comerciales - Terceros (Emitidas)"))</f>
        <v/>
      </c>
      <c r="E2374" s="20">
        <f>""</f>
        <v/>
      </c>
      <c r="F2374" s="20">
        <f>IF($C2374="","",IF(Registro_Compras!$F$267="NOTA DE CREDITO",ROUND(ABS(Registro_Compras!$K$267*Registro_Compras!$N$267),2),IF(Registro_Compras!$F$267="RHE",(ROUND(Registro_Compras!$L$267*Registro_Compras!$N$267,2)-ROUND(Registro_Compras!$V$267*Registro_Compras!$N$267,2)),Registro_Compras!$O$267)))</f>
        <v/>
      </c>
      <c r="G2374">
        <f>IF($C2374="","",IF(Registro_Compras!$F$267="NOTA DE CREDITO","Por la nota de credito "&amp;Registro_Compras!$C$267&amp;" de "&amp;Registro_Compras!$E$267&amp;" [PATRON POR CONFIRMAR CON CONTADOR]",IF(Registro_Compras!$F$267="RHE","Por el registro del recibo por honorarios "&amp;Registro_Compras!$C$267&amp;" de "&amp;Registro_Compras!$E$267&amp;" [PATRON POR CONFIRMAR CON CONTADOR]","Por el registro de la factura "&amp;Registro_Compras!$C$267&amp;" de "&amp;Registro_Compras!$E$267)))</f>
        <v/>
      </c>
      <c r="H2374">
        <f>IF($C2374="","",Registro_Compras!$C$267)</f>
        <v/>
      </c>
    </row>
    <row r="2375">
      <c r="A2375" s="25">
        <f>IF($C2375="","",Registro_Compras!$B$267)</f>
        <v/>
      </c>
      <c r="B2375">
        <f>IF($C2375="","","C"&amp;TEXT(INT((ROW()-5)/9)+1,"000")&amp;"-2")</f>
        <v/>
      </c>
      <c r="C2375">
        <f>IF(OR(Registro_Compras!$C$267="",Registro_Compras!$O$267=""),"",IF(Registro_Compras!$AB$267="ADMINISTRATIVO","94","95"))</f>
        <v/>
      </c>
      <c r="D2375">
        <f>IF(OR(Registro_Compras!$C$267="",Registro_Compras!$O$267=""),"",IF(Registro_Compras!$AB$267="ADMINISTRATIVO","Gastos Administrativos","Gastos de Venta y Operacion"))</f>
        <v/>
      </c>
      <c r="E2375" s="20">
        <f>IF($C2375="","",IF(Registro_Compras!$F$267="NOTA DE CREDITO","",IF(Registro_Compras!$F$267="RHE",ROUND(Registro_Compras!$L$267*Registro_Compras!$N$267,2),ROUND(Registro_Compras!$J$267*Registro_Compras!$N$267,2))))</f>
        <v/>
      </c>
      <c r="F2375" s="20">
        <f>IF($C2375="","",IF(Registro_Compras!$F$267="NOTA DE CREDITO",ROUND(ABS(Registro_Compras!$J$267*Registro_Compras!$N$267),2),""))</f>
        <v/>
      </c>
      <c r="G2375">
        <f>IF($C2375="","","Por el destino del gasto")</f>
        <v/>
      </c>
      <c r="H2375">
        <f>IF($C2375="","",Registro_Compras!$C$267)</f>
        <v/>
      </c>
    </row>
    <row r="2376">
      <c r="A2376" s="25">
        <f>IF($C2376="","",Registro_Compras!$B$267)</f>
        <v/>
      </c>
      <c r="B2376">
        <f>IF($C2376="","","C"&amp;TEXT(INT((ROW()-5)/9)+1,"000")&amp;"-2")</f>
        <v/>
      </c>
      <c r="C2376">
        <f>IF(OR(Registro_Compras!$C$267="",Registro_Compras!$O$267=""),"","79/791")</f>
        <v/>
      </c>
      <c r="D2376">
        <f>IF(OR(Registro_Compras!$C$267="",Registro_Compras!$O$267=""),"","Cargas Imputables a Cuentas de Costos y Gastos")</f>
        <v/>
      </c>
      <c r="E2376" s="20">
        <f>IF($C2376="","",IF(Registro_Compras!$F$267="NOTA DE CREDITO",ROUND(ABS(Registro_Compras!$J$267*Registro_Compras!$N$267),2),""))</f>
        <v/>
      </c>
      <c r="F2376" s="20">
        <f>IF($C2376="","",IF(Registro_Compras!$F$267="NOTA DE CREDITO","",IF(Registro_Compras!$F$267="RHE",ROUND(Registro_Compras!$L$267*Registro_Compras!$N$267,2),ROUND(Registro_Compras!$J$267*Registro_Compras!$N$267,2))))</f>
        <v/>
      </c>
      <c r="G2376">
        <f>IF($C2376="","","Por el destino del gasto")</f>
        <v/>
      </c>
      <c r="H2376">
        <f>IF($C2376="","",Registro_Compras!$C$267)</f>
        <v/>
      </c>
    </row>
    <row r="2377">
      <c r="A2377" s="25">
        <f>IF($C2377="","",Registro_Compras!$X$267)</f>
        <v/>
      </c>
      <c r="B2377">
        <f>IF($C2377="","","C"&amp;TEXT(INT((ROW()-5)/9)+1,"000")&amp;"-3")</f>
        <v/>
      </c>
      <c r="C2377">
        <f>IF(OR(Registro_Compras!$C$267="",Registro_Compras!$O$267="",Registro_Compras!$R$267&lt;&gt;"SI",Registro_Compras!$X$267=""),"","4212")</f>
        <v/>
      </c>
      <c r="D2377">
        <f>IF(OR(Registro_Compras!$C$267="",Registro_Compras!$O$267=""),"","Cuentas por Pagar Comerciales - Terceros")</f>
        <v/>
      </c>
      <c r="E2377" s="20">
        <f>IF($C2377="","",Registro_Compras!$S$267)</f>
        <v/>
      </c>
      <c r="F2377" s="20">
        <f>""</f>
        <v/>
      </c>
      <c r="G2377">
        <f>IF($C2377="","","Por el deposito de la detraccion en el Banco de la Nacion")</f>
        <v/>
      </c>
      <c r="H2377">
        <f>IF($C2377="","",Registro_Compras!$C$267)</f>
        <v/>
      </c>
    </row>
    <row r="2378">
      <c r="A2378" s="25">
        <f>IF($C2378="","",Registro_Compras!$X$267)</f>
        <v/>
      </c>
      <c r="B2378">
        <f>IF($C2378="","","C"&amp;TEXT(INT((ROW()-5)/9)+1,"000")&amp;"-3")</f>
        <v/>
      </c>
      <c r="C2378">
        <f>IF(OR(Registro_Compras!$C$267="",Registro_Compras!$O$267="",Registro_Compras!$R$267&lt;&gt;"SI",Registro_Compras!$X$267=""),"","10413")</f>
        <v/>
      </c>
      <c r="D2378">
        <f>IF(OR(Registro_Compras!$C$267="",Registro_Compras!$O$267=""),"","Efectivo y Equivalentes - Cta. Cte. Operativa")</f>
        <v/>
      </c>
      <c r="E2378" s="20">
        <f>""</f>
        <v/>
      </c>
      <c r="F2378" s="20">
        <f>IF($C2378="","",Registro_Compras!$S$267)</f>
        <v/>
      </c>
      <c r="G2378">
        <f>IF($C2378="","","Por el deposito de la detraccion en el Banco de la Nacion")</f>
        <v/>
      </c>
      <c r="H2378">
        <f>IF($C2378="","",Registro_Compras!$C$267)</f>
        <v/>
      </c>
    </row>
    <row r="2379">
      <c r="A2379" s="25">
        <f>IF($C2379="","",Registro_Compras!$Y$267)</f>
        <v/>
      </c>
      <c r="B2379">
        <f>IF($C2379="","","C"&amp;TEXT(INT((ROW()-5)/9)+1,"000")&amp;"-4")</f>
        <v/>
      </c>
      <c r="C2379">
        <f>IF(OR(Registro_Compras!$C$267="",Registro_Compras!$O$267="",Registro_Compras!$Y$267="",Registro_Compras!$F$267="NOTA DE CREDITO"),"","4212")</f>
        <v/>
      </c>
      <c r="D2379">
        <f>IF(OR(Registro_Compras!$C$267="",Registro_Compras!$O$267=""),"","Cuentas por Pagar Comerciales - Terceros")</f>
        <v/>
      </c>
      <c r="E2379" s="20">
        <f>IF($C2379="","",IF(Registro_Compras!$F$267="RHE",(ROUND(Registro_Compras!$L$267*Registro_Compras!$N$267,2)-ROUND(Registro_Compras!$V$267*Registro_Compras!$N$267,2)),ROUND(Registro_Compras!$O$267-Registro_Compras!$S$267,2)))</f>
        <v/>
      </c>
      <c r="F2379" s="20">
        <f>""</f>
        <v/>
      </c>
      <c r="G2379">
        <f>IF($C2379="","","Por la cancelacion del saldo al proveedor")</f>
        <v/>
      </c>
      <c r="H2379">
        <f>IF($C2379="","",Registro_Compras!$C$267)</f>
        <v/>
      </c>
    </row>
    <row r="2380">
      <c r="A2380" s="25">
        <f>IF($C2380="","",Registro_Compras!$Y$267)</f>
        <v/>
      </c>
      <c r="B2380">
        <f>IF($C2380="","","C"&amp;TEXT(INT((ROW()-5)/9)+1,"000")&amp;"-4")</f>
        <v/>
      </c>
      <c r="C2380">
        <f>IF(OR(Registro_Compras!$C$267="",Registro_Compras!$O$267="",Registro_Compras!$Y$267="",Registro_Compras!$F$267="NOTA DE CREDITO"),"","10413")</f>
        <v/>
      </c>
      <c r="D2380">
        <f>IF(OR(Registro_Compras!$C$267="",Registro_Compras!$O$267=""),"","Efectivo y Equivalentes - Cta. Cte. Operativa")</f>
        <v/>
      </c>
      <c r="E2380" s="20">
        <f>""</f>
        <v/>
      </c>
      <c r="F2380" s="20">
        <f>IF($C2380="","",IF(Registro_Compras!$F$267="RHE",(ROUND(Registro_Compras!$L$267*Registro_Compras!$N$267,2)-ROUND(Registro_Compras!$V$267*Registro_Compras!$N$267,2)),ROUND(Registro_Compras!$O$267-Registro_Compras!$S$267,2)))</f>
        <v/>
      </c>
      <c r="G2380">
        <f>IF($C2380="","","Por la cancelacion del saldo al proveedor")</f>
        <v/>
      </c>
      <c r="H2380">
        <f>IF($C2380="","",Registro_Compras!$C$267)</f>
        <v/>
      </c>
    </row>
    <row r="2381">
      <c r="A2381" s="25">
        <f>IF($C2381="","",Registro_Compras!$B$268)</f>
        <v/>
      </c>
      <c r="B2381">
        <f>IF($C2381="","","C"&amp;TEXT(INT((ROW()-5)/9)+1,"000")&amp;"-1")</f>
        <v/>
      </c>
      <c r="C2381">
        <f>IF(OR(Registro_Compras!$C$268="",Registro_Compras!$O$268=""),"",IF(Registro_Compras!$F$268="NOTA DE CREDITO","4212",IF(Registro_Compras!$M$268="","63",Registro_Compras!$M$268)))</f>
        <v/>
      </c>
      <c r="D2381">
        <f>IF(OR(Registro_Compras!$C$268="",Registro_Compras!$O$268=""),"",IF(Registro_Compras!$F$268="NOTA DE CREDITO","Cuentas por Pagar Comerciales - Terceros (Emitidas)",IF(Registro_Compras!$F$268="RHE","Honorarios Profesionales - Servicios de Terceros","Gastos de Servicios Prestados por Terceros")))</f>
        <v/>
      </c>
      <c r="E2381" s="20">
        <f>IF($C2381="","",IF(Registro_Compras!$F$268="NOTA DE CREDITO",ABS(Registro_Compras!$O$268),IF(Registro_Compras!$F$268="RHE",ROUND(Registro_Compras!$L$268*Registro_Compras!$N$268,2),ROUND(Registro_Compras!$J$268*Registro_Compras!$N$268,2))))</f>
        <v/>
      </c>
      <c r="F2381" s="20">
        <f>""</f>
        <v/>
      </c>
      <c r="G2381">
        <f>IF($C2381="","",IF(Registro_Compras!$F$268="NOTA DE CREDITO","Por la nota de credito "&amp;Registro_Compras!$C$268&amp;" de "&amp;Registro_Compras!$E$268&amp;" [PATRON POR CONFIRMAR CON CONTADOR]",IF(Registro_Compras!$F$268="RHE","Por el registro del recibo por honorarios "&amp;Registro_Compras!$C$268&amp;" de "&amp;Registro_Compras!$E$268&amp;" [PATRON POR CONFIRMAR CON CONTADOR]","Por el registro de la factura "&amp;Registro_Compras!$C$268&amp;" de "&amp;Registro_Compras!$E$268)))</f>
        <v/>
      </c>
      <c r="H2381">
        <f>IF($C2381="","",Registro_Compras!$C$268)</f>
        <v/>
      </c>
    </row>
    <row r="2382">
      <c r="A2382" s="25">
        <f>IF($C2382="","",Registro_Compras!$B$268)</f>
        <v/>
      </c>
      <c r="B2382">
        <f>IF($C2382="","","C"&amp;TEXT(INT((ROW()-5)/9)+1,"000")&amp;"-1")</f>
        <v/>
      </c>
      <c r="C2382">
        <f>IF(OR(Registro_Compras!$C$268="",Registro_Compras!$O$268=""),"",IF(Registro_Compras!$F$268="RHE",IF(Registro_Compras!$V$268=0,"","40172"),IF(Registro_Compras!$F$268="NOTA DE CREDITO",IF(Registro_Compras!$M$268="","63",Registro_Compras!$M$268),IF(Registro_Compras!$K$268=0,"","40111"))))</f>
        <v/>
      </c>
      <c r="D2382">
        <f>IF(OR(Registro_Compras!$C$268="",Registro_Compras!$O$268=""),"",IF(Registro_Compras!$F$268="RHE","Retencion Renta 4ta Categoria por Pagar",IF(Registro_Compras!$F$268="NOTA DE CREDITO","Gastos de Servicios Prestados por Terceros","IGV - Cuenta Propia (Credito Fiscal)")))</f>
        <v/>
      </c>
      <c r="E2382" s="20">
        <f>IF($C2382="","",IF(Registro_Compras!$F$268="FACTURA",ROUND(Registro_Compras!$K$268*Registro_Compras!$N$268,2),""))</f>
        <v/>
      </c>
      <c r="F2382" s="20">
        <f>IF($C2382="","",IF(Registro_Compras!$F$268="RHE",ROUND(Registro_Compras!$V$268*Registro_Compras!$N$268,2),IF(Registro_Compras!$F$268="NOTA DE CREDITO",ROUND(ABS(Registro_Compras!$J$268*Registro_Compras!$N$268),2),"")))</f>
        <v/>
      </c>
      <c r="G2382">
        <f>IF($C2382="","",IF(Registro_Compras!$F$268="NOTA DE CREDITO","Por la nota de credito "&amp;Registro_Compras!$C$268&amp;" de "&amp;Registro_Compras!$E$268&amp;" [PATRON POR CONFIRMAR CON CONTADOR]",IF(Registro_Compras!$F$268="RHE","Por el registro del recibo por honorarios "&amp;Registro_Compras!$C$268&amp;" de "&amp;Registro_Compras!$E$268&amp;" [PATRON POR CONFIRMAR CON CONTADOR]","Por el registro de la factura "&amp;Registro_Compras!$C$268&amp;" de "&amp;Registro_Compras!$E$268)))</f>
        <v/>
      </c>
      <c r="H2382">
        <f>IF($C2382="","",Registro_Compras!$C$268)</f>
        <v/>
      </c>
    </row>
    <row r="2383">
      <c r="A2383" s="25">
        <f>IF($C2383="","",Registro_Compras!$B$268)</f>
        <v/>
      </c>
      <c r="B2383">
        <f>IF($C2383="","","C"&amp;TEXT(INT((ROW()-5)/9)+1,"000")&amp;"-1")</f>
        <v/>
      </c>
      <c r="C2383">
        <f>IF(OR(Registro_Compras!$C$268="",Registro_Compras!$O$268=""),"",IF(Registro_Compras!$F$268="NOTA DE CREDITO",IF(Registro_Compras!$K$268=0,"","40111"),"4212"))</f>
        <v/>
      </c>
      <c r="D2383">
        <f>IF(OR(Registro_Compras!$C$268="",Registro_Compras!$O$268=""),"",IF(Registro_Compras!$F$268="NOTA DE CREDITO","IGV - Cuenta Propia (Credito Fiscal)","Cuentas por Pagar Comerciales - Terceros (Emitidas)"))</f>
        <v/>
      </c>
      <c r="E2383" s="20">
        <f>""</f>
        <v/>
      </c>
      <c r="F2383" s="20">
        <f>IF($C2383="","",IF(Registro_Compras!$F$268="NOTA DE CREDITO",ROUND(ABS(Registro_Compras!$K$268*Registro_Compras!$N$268),2),IF(Registro_Compras!$F$268="RHE",(ROUND(Registro_Compras!$L$268*Registro_Compras!$N$268,2)-ROUND(Registro_Compras!$V$268*Registro_Compras!$N$268,2)),Registro_Compras!$O$268)))</f>
        <v/>
      </c>
      <c r="G2383">
        <f>IF($C2383="","",IF(Registro_Compras!$F$268="NOTA DE CREDITO","Por la nota de credito "&amp;Registro_Compras!$C$268&amp;" de "&amp;Registro_Compras!$E$268&amp;" [PATRON POR CONFIRMAR CON CONTADOR]",IF(Registro_Compras!$F$268="RHE","Por el registro del recibo por honorarios "&amp;Registro_Compras!$C$268&amp;" de "&amp;Registro_Compras!$E$268&amp;" [PATRON POR CONFIRMAR CON CONTADOR]","Por el registro de la factura "&amp;Registro_Compras!$C$268&amp;" de "&amp;Registro_Compras!$E$268)))</f>
        <v/>
      </c>
      <c r="H2383">
        <f>IF($C2383="","",Registro_Compras!$C$268)</f>
        <v/>
      </c>
    </row>
    <row r="2384">
      <c r="A2384" s="25">
        <f>IF($C2384="","",Registro_Compras!$B$268)</f>
        <v/>
      </c>
      <c r="B2384">
        <f>IF($C2384="","","C"&amp;TEXT(INT((ROW()-5)/9)+1,"000")&amp;"-2")</f>
        <v/>
      </c>
      <c r="C2384">
        <f>IF(OR(Registro_Compras!$C$268="",Registro_Compras!$O$268=""),"",IF(Registro_Compras!$AB$268="ADMINISTRATIVO","94","95"))</f>
        <v/>
      </c>
      <c r="D2384">
        <f>IF(OR(Registro_Compras!$C$268="",Registro_Compras!$O$268=""),"",IF(Registro_Compras!$AB$268="ADMINISTRATIVO","Gastos Administrativos","Gastos de Venta y Operacion"))</f>
        <v/>
      </c>
      <c r="E2384" s="20">
        <f>IF($C2384="","",IF(Registro_Compras!$F$268="NOTA DE CREDITO","",IF(Registro_Compras!$F$268="RHE",ROUND(Registro_Compras!$L$268*Registro_Compras!$N$268,2),ROUND(Registro_Compras!$J$268*Registro_Compras!$N$268,2))))</f>
        <v/>
      </c>
      <c r="F2384" s="20">
        <f>IF($C2384="","",IF(Registro_Compras!$F$268="NOTA DE CREDITO",ROUND(ABS(Registro_Compras!$J$268*Registro_Compras!$N$268),2),""))</f>
        <v/>
      </c>
      <c r="G2384">
        <f>IF($C2384="","","Por el destino del gasto")</f>
        <v/>
      </c>
      <c r="H2384">
        <f>IF($C2384="","",Registro_Compras!$C$268)</f>
        <v/>
      </c>
    </row>
    <row r="2385">
      <c r="A2385" s="25">
        <f>IF($C2385="","",Registro_Compras!$B$268)</f>
        <v/>
      </c>
      <c r="B2385">
        <f>IF($C2385="","","C"&amp;TEXT(INT((ROW()-5)/9)+1,"000")&amp;"-2")</f>
        <v/>
      </c>
      <c r="C2385">
        <f>IF(OR(Registro_Compras!$C$268="",Registro_Compras!$O$268=""),"","79/791")</f>
        <v/>
      </c>
      <c r="D2385">
        <f>IF(OR(Registro_Compras!$C$268="",Registro_Compras!$O$268=""),"","Cargas Imputables a Cuentas de Costos y Gastos")</f>
        <v/>
      </c>
      <c r="E2385" s="20">
        <f>IF($C2385="","",IF(Registro_Compras!$F$268="NOTA DE CREDITO",ROUND(ABS(Registro_Compras!$J$268*Registro_Compras!$N$268),2),""))</f>
        <v/>
      </c>
      <c r="F2385" s="20">
        <f>IF($C2385="","",IF(Registro_Compras!$F$268="NOTA DE CREDITO","",IF(Registro_Compras!$F$268="RHE",ROUND(Registro_Compras!$L$268*Registro_Compras!$N$268,2),ROUND(Registro_Compras!$J$268*Registro_Compras!$N$268,2))))</f>
        <v/>
      </c>
      <c r="G2385">
        <f>IF($C2385="","","Por el destino del gasto")</f>
        <v/>
      </c>
      <c r="H2385">
        <f>IF($C2385="","",Registro_Compras!$C$268)</f>
        <v/>
      </c>
    </row>
    <row r="2386">
      <c r="A2386" s="25">
        <f>IF($C2386="","",Registro_Compras!$X$268)</f>
        <v/>
      </c>
      <c r="B2386">
        <f>IF($C2386="","","C"&amp;TEXT(INT((ROW()-5)/9)+1,"000")&amp;"-3")</f>
        <v/>
      </c>
      <c r="C2386">
        <f>IF(OR(Registro_Compras!$C$268="",Registro_Compras!$O$268="",Registro_Compras!$R$268&lt;&gt;"SI",Registro_Compras!$X$268=""),"","4212")</f>
        <v/>
      </c>
      <c r="D2386">
        <f>IF(OR(Registro_Compras!$C$268="",Registro_Compras!$O$268=""),"","Cuentas por Pagar Comerciales - Terceros")</f>
        <v/>
      </c>
      <c r="E2386" s="20">
        <f>IF($C2386="","",Registro_Compras!$S$268)</f>
        <v/>
      </c>
      <c r="F2386" s="20">
        <f>""</f>
        <v/>
      </c>
      <c r="G2386">
        <f>IF($C2386="","","Por el deposito de la detraccion en el Banco de la Nacion")</f>
        <v/>
      </c>
      <c r="H2386">
        <f>IF($C2386="","",Registro_Compras!$C$268)</f>
        <v/>
      </c>
    </row>
    <row r="2387">
      <c r="A2387" s="25">
        <f>IF($C2387="","",Registro_Compras!$X$268)</f>
        <v/>
      </c>
      <c r="B2387">
        <f>IF($C2387="","","C"&amp;TEXT(INT((ROW()-5)/9)+1,"000")&amp;"-3")</f>
        <v/>
      </c>
      <c r="C2387">
        <f>IF(OR(Registro_Compras!$C$268="",Registro_Compras!$O$268="",Registro_Compras!$R$268&lt;&gt;"SI",Registro_Compras!$X$268=""),"","10413")</f>
        <v/>
      </c>
      <c r="D2387">
        <f>IF(OR(Registro_Compras!$C$268="",Registro_Compras!$O$268=""),"","Efectivo y Equivalentes - Cta. Cte. Operativa")</f>
        <v/>
      </c>
      <c r="E2387" s="20">
        <f>""</f>
        <v/>
      </c>
      <c r="F2387" s="20">
        <f>IF($C2387="","",Registro_Compras!$S$268)</f>
        <v/>
      </c>
      <c r="G2387">
        <f>IF($C2387="","","Por el deposito de la detraccion en el Banco de la Nacion")</f>
        <v/>
      </c>
      <c r="H2387">
        <f>IF($C2387="","",Registro_Compras!$C$268)</f>
        <v/>
      </c>
    </row>
    <row r="2388">
      <c r="A2388" s="25">
        <f>IF($C2388="","",Registro_Compras!$Y$268)</f>
        <v/>
      </c>
      <c r="B2388">
        <f>IF($C2388="","","C"&amp;TEXT(INT((ROW()-5)/9)+1,"000")&amp;"-4")</f>
        <v/>
      </c>
      <c r="C2388">
        <f>IF(OR(Registro_Compras!$C$268="",Registro_Compras!$O$268="",Registro_Compras!$Y$268="",Registro_Compras!$F$268="NOTA DE CREDITO"),"","4212")</f>
        <v/>
      </c>
      <c r="D2388">
        <f>IF(OR(Registro_Compras!$C$268="",Registro_Compras!$O$268=""),"","Cuentas por Pagar Comerciales - Terceros")</f>
        <v/>
      </c>
      <c r="E2388" s="20">
        <f>IF($C2388="","",IF(Registro_Compras!$F$268="RHE",(ROUND(Registro_Compras!$L$268*Registro_Compras!$N$268,2)-ROUND(Registro_Compras!$V$268*Registro_Compras!$N$268,2)),ROUND(Registro_Compras!$O$268-Registro_Compras!$S$268,2)))</f>
        <v/>
      </c>
      <c r="F2388" s="20">
        <f>""</f>
        <v/>
      </c>
      <c r="G2388">
        <f>IF($C2388="","","Por la cancelacion del saldo al proveedor")</f>
        <v/>
      </c>
      <c r="H2388">
        <f>IF($C2388="","",Registro_Compras!$C$268)</f>
        <v/>
      </c>
    </row>
    <row r="2389">
      <c r="A2389" s="25">
        <f>IF($C2389="","",Registro_Compras!$Y$268)</f>
        <v/>
      </c>
      <c r="B2389">
        <f>IF($C2389="","","C"&amp;TEXT(INT((ROW()-5)/9)+1,"000")&amp;"-4")</f>
        <v/>
      </c>
      <c r="C2389">
        <f>IF(OR(Registro_Compras!$C$268="",Registro_Compras!$O$268="",Registro_Compras!$Y$268="",Registro_Compras!$F$268="NOTA DE CREDITO"),"","10413")</f>
        <v/>
      </c>
      <c r="D2389">
        <f>IF(OR(Registro_Compras!$C$268="",Registro_Compras!$O$268=""),"","Efectivo y Equivalentes - Cta. Cte. Operativa")</f>
        <v/>
      </c>
      <c r="E2389" s="20">
        <f>""</f>
        <v/>
      </c>
      <c r="F2389" s="20">
        <f>IF($C2389="","",IF(Registro_Compras!$F$268="RHE",(ROUND(Registro_Compras!$L$268*Registro_Compras!$N$268,2)-ROUND(Registro_Compras!$V$268*Registro_Compras!$N$268,2)),ROUND(Registro_Compras!$O$268-Registro_Compras!$S$268,2)))</f>
        <v/>
      </c>
      <c r="G2389">
        <f>IF($C2389="","","Por la cancelacion del saldo al proveedor")</f>
        <v/>
      </c>
      <c r="H2389">
        <f>IF($C2389="","",Registro_Compras!$C$268)</f>
        <v/>
      </c>
    </row>
    <row r="2390">
      <c r="A2390" s="25">
        <f>IF($C2390="","",Registro_Compras!$B$269)</f>
        <v/>
      </c>
      <c r="B2390">
        <f>IF($C2390="","","C"&amp;TEXT(INT((ROW()-5)/9)+1,"000")&amp;"-1")</f>
        <v/>
      </c>
      <c r="C2390">
        <f>IF(OR(Registro_Compras!$C$269="",Registro_Compras!$O$269=""),"",IF(Registro_Compras!$F$269="NOTA DE CREDITO","4212",IF(Registro_Compras!$M$269="","63",Registro_Compras!$M$269)))</f>
        <v/>
      </c>
      <c r="D2390">
        <f>IF(OR(Registro_Compras!$C$269="",Registro_Compras!$O$269=""),"",IF(Registro_Compras!$F$269="NOTA DE CREDITO","Cuentas por Pagar Comerciales - Terceros (Emitidas)",IF(Registro_Compras!$F$269="RHE","Honorarios Profesionales - Servicios de Terceros","Gastos de Servicios Prestados por Terceros")))</f>
        <v/>
      </c>
      <c r="E2390" s="20">
        <f>IF($C2390="","",IF(Registro_Compras!$F$269="NOTA DE CREDITO",ABS(Registro_Compras!$O$269),IF(Registro_Compras!$F$269="RHE",ROUND(Registro_Compras!$L$269*Registro_Compras!$N$269,2),ROUND(Registro_Compras!$J$269*Registro_Compras!$N$269,2))))</f>
        <v/>
      </c>
      <c r="F2390" s="20">
        <f>""</f>
        <v/>
      </c>
      <c r="G2390">
        <f>IF($C2390="","",IF(Registro_Compras!$F$269="NOTA DE CREDITO","Por la nota de credito "&amp;Registro_Compras!$C$269&amp;" de "&amp;Registro_Compras!$E$269&amp;" [PATRON POR CONFIRMAR CON CONTADOR]",IF(Registro_Compras!$F$269="RHE","Por el registro del recibo por honorarios "&amp;Registro_Compras!$C$269&amp;" de "&amp;Registro_Compras!$E$269&amp;" [PATRON POR CONFIRMAR CON CONTADOR]","Por el registro de la factura "&amp;Registro_Compras!$C$269&amp;" de "&amp;Registro_Compras!$E$269)))</f>
        <v/>
      </c>
      <c r="H2390">
        <f>IF($C2390="","",Registro_Compras!$C$269)</f>
        <v/>
      </c>
    </row>
    <row r="2391">
      <c r="A2391" s="25">
        <f>IF($C2391="","",Registro_Compras!$B$269)</f>
        <v/>
      </c>
      <c r="B2391">
        <f>IF($C2391="","","C"&amp;TEXT(INT((ROW()-5)/9)+1,"000")&amp;"-1")</f>
        <v/>
      </c>
      <c r="C2391">
        <f>IF(OR(Registro_Compras!$C$269="",Registro_Compras!$O$269=""),"",IF(Registro_Compras!$F$269="RHE",IF(Registro_Compras!$V$269=0,"","40172"),IF(Registro_Compras!$F$269="NOTA DE CREDITO",IF(Registro_Compras!$M$269="","63",Registro_Compras!$M$269),IF(Registro_Compras!$K$269=0,"","40111"))))</f>
        <v/>
      </c>
      <c r="D2391">
        <f>IF(OR(Registro_Compras!$C$269="",Registro_Compras!$O$269=""),"",IF(Registro_Compras!$F$269="RHE","Retencion Renta 4ta Categoria por Pagar",IF(Registro_Compras!$F$269="NOTA DE CREDITO","Gastos de Servicios Prestados por Terceros","IGV - Cuenta Propia (Credito Fiscal)")))</f>
        <v/>
      </c>
      <c r="E2391" s="20">
        <f>IF($C2391="","",IF(Registro_Compras!$F$269="FACTURA",ROUND(Registro_Compras!$K$269*Registro_Compras!$N$269,2),""))</f>
        <v/>
      </c>
      <c r="F2391" s="20">
        <f>IF($C2391="","",IF(Registro_Compras!$F$269="RHE",ROUND(Registro_Compras!$V$269*Registro_Compras!$N$269,2),IF(Registro_Compras!$F$269="NOTA DE CREDITO",ROUND(ABS(Registro_Compras!$J$269*Registro_Compras!$N$269),2),"")))</f>
        <v/>
      </c>
      <c r="G2391">
        <f>IF($C2391="","",IF(Registro_Compras!$F$269="NOTA DE CREDITO","Por la nota de credito "&amp;Registro_Compras!$C$269&amp;" de "&amp;Registro_Compras!$E$269&amp;" [PATRON POR CONFIRMAR CON CONTADOR]",IF(Registro_Compras!$F$269="RHE","Por el registro del recibo por honorarios "&amp;Registro_Compras!$C$269&amp;" de "&amp;Registro_Compras!$E$269&amp;" [PATRON POR CONFIRMAR CON CONTADOR]","Por el registro de la factura "&amp;Registro_Compras!$C$269&amp;" de "&amp;Registro_Compras!$E$269)))</f>
        <v/>
      </c>
      <c r="H2391">
        <f>IF($C2391="","",Registro_Compras!$C$269)</f>
        <v/>
      </c>
    </row>
    <row r="2392">
      <c r="A2392" s="25">
        <f>IF($C2392="","",Registro_Compras!$B$269)</f>
        <v/>
      </c>
      <c r="B2392">
        <f>IF($C2392="","","C"&amp;TEXT(INT((ROW()-5)/9)+1,"000")&amp;"-1")</f>
        <v/>
      </c>
      <c r="C2392">
        <f>IF(OR(Registro_Compras!$C$269="",Registro_Compras!$O$269=""),"",IF(Registro_Compras!$F$269="NOTA DE CREDITO",IF(Registro_Compras!$K$269=0,"","40111"),"4212"))</f>
        <v/>
      </c>
      <c r="D2392">
        <f>IF(OR(Registro_Compras!$C$269="",Registro_Compras!$O$269=""),"",IF(Registro_Compras!$F$269="NOTA DE CREDITO","IGV - Cuenta Propia (Credito Fiscal)","Cuentas por Pagar Comerciales - Terceros (Emitidas)"))</f>
        <v/>
      </c>
      <c r="E2392" s="20">
        <f>""</f>
        <v/>
      </c>
      <c r="F2392" s="20">
        <f>IF($C2392="","",IF(Registro_Compras!$F$269="NOTA DE CREDITO",ROUND(ABS(Registro_Compras!$K$269*Registro_Compras!$N$269),2),IF(Registro_Compras!$F$269="RHE",(ROUND(Registro_Compras!$L$269*Registro_Compras!$N$269,2)-ROUND(Registro_Compras!$V$269*Registro_Compras!$N$269,2)),Registro_Compras!$O$269)))</f>
        <v/>
      </c>
      <c r="G2392">
        <f>IF($C2392="","",IF(Registro_Compras!$F$269="NOTA DE CREDITO","Por la nota de credito "&amp;Registro_Compras!$C$269&amp;" de "&amp;Registro_Compras!$E$269&amp;" [PATRON POR CONFIRMAR CON CONTADOR]",IF(Registro_Compras!$F$269="RHE","Por el registro del recibo por honorarios "&amp;Registro_Compras!$C$269&amp;" de "&amp;Registro_Compras!$E$269&amp;" [PATRON POR CONFIRMAR CON CONTADOR]","Por el registro de la factura "&amp;Registro_Compras!$C$269&amp;" de "&amp;Registro_Compras!$E$269)))</f>
        <v/>
      </c>
      <c r="H2392">
        <f>IF($C2392="","",Registro_Compras!$C$269)</f>
        <v/>
      </c>
    </row>
    <row r="2393">
      <c r="A2393" s="25">
        <f>IF($C2393="","",Registro_Compras!$B$269)</f>
        <v/>
      </c>
      <c r="B2393">
        <f>IF($C2393="","","C"&amp;TEXT(INT((ROW()-5)/9)+1,"000")&amp;"-2")</f>
        <v/>
      </c>
      <c r="C2393">
        <f>IF(OR(Registro_Compras!$C$269="",Registro_Compras!$O$269=""),"",IF(Registro_Compras!$AB$269="ADMINISTRATIVO","94","95"))</f>
        <v/>
      </c>
      <c r="D2393">
        <f>IF(OR(Registro_Compras!$C$269="",Registro_Compras!$O$269=""),"",IF(Registro_Compras!$AB$269="ADMINISTRATIVO","Gastos Administrativos","Gastos de Venta y Operacion"))</f>
        <v/>
      </c>
      <c r="E2393" s="20">
        <f>IF($C2393="","",IF(Registro_Compras!$F$269="NOTA DE CREDITO","",IF(Registro_Compras!$F$269="RHE",ROUND(Registro_Compras!$L$269*Registro_Compras!$N$269,2),ROUND(Registro_Compras!$J$269*Registro_Compras!$N$269,2))))</f>
        <v/>
      </c>
      <c r="F2393" s="20">
        <f>IF($C2393="","",IF(Registro_Compras!$F$269="NOTA DE CREDITO",ROUND(ABS(Registro_Compras!$J$269*Registro_Compras!$N$269),2),""))</f>
        <v/>
      </c>
      <c r="G2393">
        <f>IF($C2393="","","Por el destino del gasto")</f>
        <v/>
      </c>
      <c r="H2393">
        <f>IF($C2393="","",Registro_Compras!$C$269)</f>
        <v/>
      </c>
    </row>
    <row r="2394">
      <c r="A2394" s="25">
        <f>IF($C2394="","",Registro_Compras!$B$269)</f>
        <v/>
      </c>
      <c r="B2394">
        <f>IF($C2394="","","C"&amp;TEXT(INT((ROW()-5)/9)+1,"000")&amp;"-2")</f>
        <v/>
      </c>
      <c r="C2394">
        <f>IF(OR(Registro_Compras!$C$269="",Registro_Compras!$O$269=""),"","79/791")</f>
        <v/>
      </c>
      <c r="D2394">
        <f>IF(OR(Registro_Compras!$C$269="",Registro_Compras!$O$269=""),"","Cargas Imputables a Cuentas de Costos y Gastos")</f>
        <v/>
      </c>
      <c r="E2394" s="20">
        <f>IF($C2394="","",IF(Registro_Compras!$F$269="NOTA DE CREDITO",ROUND(ABS(Registro_Compras!$J$269*Registro_Compras!$N$269),2),""))</f>
        <v/>
      </c>
      <c r="F2394" s="20">
        <f>IF($C2394="","",IF(Registro_Compras!$F$269="NOTA DE CREDITO","",IF(Registro_Compras!$F$269="RHE",ROUND(Registro_Compras!$L$269*Registro_Compras!$N$269,2),ROUND(Registro_Compras!$J$269*Registro_Compras!$N$269,2))))</f>
        <v/>
      </c>
      <c r="G2394">
        <f>IF($C2394="","","Por el destino del gasto")</f>
        <v/>
      </c>
      <c r="H2394">
        <f>IF($C2394="","",Registro_Compras!$C$269)</f>
        <v/>
      </c>
    </row>
    <row r="2395">
      <c r="A2395" s="25">
        <f>IF($C2395="","",Registro_Compras!$X$269)</f>
        <v/>
      </c>
      <c r="B2395">
        <f>IF($C2395="","","C"&amp;TEXT(INT((ROW()-5)/9)+1,"000")&amp;"-3")</f>
        <v/>
      </c>
      <c r="C2395">
        <f>IF(OR(Registro_Compras!$C$269="",Registro_Compras!$O$269="",Registro_Compras!$R$269&lt;&gt;"SI",Registro_Compras!$X$269=""),"","4212")</f>
        <v/>
      </c>
      <c r="D2395">
        <f>IF(OR(Registro_Compras!$C$269="",Registro_Compras!$O$269=""),"","Cuentas por Pagar Comerciales - Terceros")</f>
        <v/>
      </c>
      <c r="E2395" s="20">
        <f>IF($C2395="","",Registro_Compras!$S$269)</f>
        <v/>
      </c>
      <c r="F2395" s="20">
        <f>""</f>
        <v/>
      </c>
      <c r="G2395">
        <f>IF($C2395="","","Por el deposito de la detraccion en el Banco de la Nacion")</f>
        <v/>
      </c>
      <c r="H2395">
        <f>IF($C2395="","",Registro_Compras!$C$269)</f>
        <v/>
      </c>
    </row>
    <row r="2396">
      <c r="A2396" s="25">
        <f>IF($C2396="","",Registro_Compras!$X$269)</f>
        <v/>
      </c>
      <c r="B2396">
        <f>IF($C2396="","","C"&amp;TEXT(INT((ROW()-5)/9)+1,"000")&amp;"-3")</f>
        <v/>
      </c>
      <c r="C2396">
        <f>IF(OR(Registro_Compras!$C$269="",Registro_Compras!$O$269="",Registro_Compras!$R$269&lt;&gt;"SI",Registro_Compras!$X$269=""),"","10413")</f>
        <v/>
      </c>
      <c r="D2396">
        <f>IF(OR(Registro_Compras!$C$269="",Registro_Compras!$O$269=""),"","Efectivo y Equivalentes - Cta. Cte. Operativa")</f>
        <v/>
      </c>
      <c r="E2396" s="20">
        <f>""</f>
        <v/>
      </c>
      <c r="F2396" s="20">
        <f>IF($C2396="","",Registro_Compras!$S$269)</f>
        <v/>
      </c>
      <c r="G2396">
        <f>IF($C2396="","","Por el deposito de la detraccion en el Banco de la Nacion")</f>
        <v/>
      </c>
      <c r="H2396">
        <f>IF($C2396="","",Registro_Compras!$C$269)</f>
        <v/>
      </c>
    </row>
    <row r="2397">
      <c r="A2397" s="25">
        <f>IF($C2397="","",Registro_Compras!$Y$269)</f>
        <v/>
      </c>
      <c r="B2397">
        <f>IF($C2397="","","C"&amp;TEXT(INT((ROW()-5)/9)+1,"000")&amp;"-4")</f>
        <v/>
      </c>
      <c r="C2397">
        <f>IF(OR(Registro_Compras!$C$269="",Registro_Compras!$O$269="",Registro_Compras!$Y$269="",Registro_Compras!$F$269="NOTA DE CREDITO"),"","4212")</f>
        <v/>
      </c>
      <c r="D2397">
        <f>IF(OR(Registro_Compras!$C$269="",Registro_Compras!$O$269=""),"","Cuentas por Pagar Comerciales - Terceros")</f>
        <v/>
      </c>
      <c r="E2397" s="20">
        <f>IF($C2397="","",IF(Registro_Compras!$F$269="RHE",(ROUND(Registro_Compras!$L$269*Registro_Compras!$N$269,2)-ROUND(Registro_Compras!$V$269*Registro_Compras!$N$269,2)),ROUND(Registro_Compras!$O$269-Registro_Compras!$S$269,2)))</f>
        <v/>
      </c>
      <c r="F2397" s="20">
        <f>""</f>
        <v/>
      </c>
      <c r="G2397">
        <f>IF($C2397="","","Por la cancelacion del saldo al proveedor")</f>
        <v/>
      </c>
      <c r="H2397">
        <f>IF($C2397="","",Registro_Compras!$C$269)</f>
        <v/>
      </c>
    </row>
    <row r="2398">
      <c r="A2398" s="25">
        <f>IF($C2398="","",Registro_Compras!$Y$269)</f>
        <v/>
      </c>
      <c r="B2398">
        <f>IF($C2398="","","C"&amp;TEXT(INT((ROW()-5)/9)+1,"000")&amp;"-4")</f>
        <v/>
      </c>
      <c r="C2398">
        <f>IF(OR(Registro_Compras!$C$269="",Registro_Compras!$O$269="",Registro_Compras!$Y$269="",Registro_Compras!$F$269="NOTA DE CREDITO"),"","10413")</f>
        <v/>
      </c>
      <c r="D2398">
        <f>IF(OR(Registro_Compras!$C$269="",Registro_Compras!$O$269=""),"","Efectivo y Equivalentes - Cta. Cte. Operativa")</f>
        <v/>
      </c>
      <c r="E2398" s="20">
        <f>""</f>
        <v/>
      </c>
      <c r="F2398" s="20">
        <f>IF($C2398="","",IF(Registro_Compras!$F$269="RHE",(ROUND(Registro_Compras!$L$269*Registro_Compras!$N$269,2)-ROUND(Registro_Compras!$V$269*Registro_Compras!$N$269,2)),ROUND(Registro_Compras!$O$269-Registro_Compras!$S$269,2)))</f>
        <v/>
      </c>
      <c r="G2398">
        <f>IF($C2398="","","Por la cancelacion del saldo al proveedor")</f>
        <v/>
      </c>
      <c r="H2398">
        <f>IF($C2398="","",Registro_Compras!$C$269)</f>
        <v/>
      </c>
    </row>
    <row r="2399">
      <c r="A2399" s="25">
        <f>IF($C2399="","",Registro_Compras!$B$270)</f>
        <v/>
      </c>
      <c r="B2399">
        <f>IF($C2399="","","C"&amp;TEXT(INT((ROW()-5)/9)+1,"000")&amp;"-1")</f>
        <v/>
      </c>
      <c r="C2399">
        <f>IF(OR(Registro_Compras!$C$270="",Registro_Compras!$O$270=""),"",IF(Registro_Compras!$F$270="NOTA DE CREDITO","4212",IF(Registro_Compras!$M$270="","63",Registro_Compras!$M$270)))</f>
        <v/>
      </c>
      <c r="D2399">
        <f>IF(OR(Registro_Compras!$C$270="",Registro_Compras!$O$270=""),"",IF(Registro_Compras!$F$270="NOTA DE CREDITO","Cuentas por Pagar Comerciales - Terceros (Emitidas)",IF(Registro_Compras!$F$270="RHE","Honorarios Profesionales - Servicios de Terceros","Gastos de Servicios Prestados por Terceros")))</f>
        <v/>
      </c>
      <c r="E2399" s="20">
        <f>IF($C2399="","",IF(Registro_Compras!$F$270="NOTA DE CREDITO",ABS(Registro_Compras!$O$270),IF(Registro_Compras!$F$270="RHE",ROUND(Registro_Compras!$L$270*Registro_Compras!$N$270,2),ROUND(Registro_Compras!$J$270*Registro_Compras!$N$270,2))))</f>
        <v/>
      </c>
      <c r="F2399" s="20">
        <f>""</f>
        <v/>
      </c>
      <c r="G2399">
        <f>IF($C2399="","",IF(Registro_Compras!$F$270="NOTA DE CREDITO","Por la nota de credito "&amp;Registro_Compras!$C$270&amp;" de "&amp;Registro_Compras!$E$270&amp;" [PATRON POR CONFIRMAR CON CONTADOR]",IF(Registro_Compras!$F$270="RHE","Por el registro del recibo por honorarios "&amp;Registro_Compras!$C$270&amp;" de "&amp;Registro_Compras!$E$270&amp;" [PATRON POR CONFIRMAR CON CONTADOR]","Por el registro de la factura "&amp;Registro_Compras!$C$270&amp;" de "&amp;Registro_Compras!$E$270)))</f>
        <v/>
      </c>
      <c r="H2399">
        <f>IF($C2399="","",Registro_Compras!$C$270)</f>
        <v/>
      </c>
    </row>
    <row r="2400">
      <c r="A2400" s="25">
        <f>IF($C2400="","",Registro_Compras!$B$270)</f>
        <v/>
      </c>
      <c r="B2400">
        <f>IF($C2400="","","C"&amp;TEXT(INT((ROW()-5)/9)+1,"000")&amp;"-1")</f>
        <v/>
      </c>
      <c r="C2400">
        <f>IF(OR(Registro_Compras!$C$270="",Registro_Compras!$O$270=""),"",IF(Registro_Compras!$F$270="RHE",IF(Registro_Compras!$V$270=0,"","40172"),IF(Registro_Compras!$F$270="NOTA DE CREDITO",IF(Registro_Compras!$M$270="","63",Registro_Compras!$M$270),IF(Registro_Compras!$K$270=0,"","40111"))))</f>
        <v/>
      </c>
      <c r="D2400">
        <f>IF(OR(Registro_Compras!$C$270="",Registro_Compras!$O$270=""),"",IF(Registro_Compras!$F$270="RHE","Retencion Renta 4ta Categoria por Pagar",IF(Registro_Compras!$F$270="NOTA DE CREDITO","Gastos de Servicios Prestados por Terceros","IGV - Cuenta Propia (Credito Fiscal)")))</f>
        <v/>
      </c>
      <c r="E2400" s="20">
        <f>IF($C2400="","",IF(Registro_Compras!$F$270="FACTURA",ROUND(Registro_Compras!$K$270*Registro_Compras!$N$270,2),""))</f>
        <v/>
      </c>
      <c r="F2400" s="20">
        <f>IF($C2400="","",IF(Registro_Compras!$F$270="RHE",ROUND(Registro_Compras!$V$270*Registro_Compras!$N$270,2),IF(Registro_Compras!$F$270="NOTA DE CREDITO",ROUND(ABS(Registro_Compras!$J$270*Registro_Compras!$N$270),2),"")))</f>
        <v/>
      </c>
      <c r="G2400">
        <f>IF($C2400="","",IF(Registro_Compras!$F$270="NOTA DE CREDITO","Por la nota de credito "&amp;Registro_Compras!$C$270&amp;" de "&amp;Registro_Compras!$E$270&amp;" [PATRON POR CONFIRMAR CON CONTADOR]",IF(Registro_Compras!$F$270="RHE","Por el registro del recibo por honorarios "&amp;Registro_Compras!$C$270&amp;" de "&amp;Registro_Compras!$E$270&amp;" [PATRON POR CONFIRMAR CON CONTADOR]","Por el registro de la factura "&amp;Registro_Compras!$C$270&amp;" de "&amp;Registro_Compras!$E$270)))</f>
        <v/>
      </c>
      <c r="H2400">
        <f>IF($C2400="","",Registro_Compras!$C$270)</f>
        <v/>
      </c>
    </row>
    <row r="2401">
      <c r="A2401" s="25">
        <f>IF($C2401="","",Registro_Compras!$B$270)</f>
        <v/>
      </c>
      <c r="B2401">
        <f>IF($C2401="","","C"&amp;TEXT(INT((ROW()-5)/9)+1,"000")&amp;"-1")</f>
        <v/>
      </c>
      <c r="C2401">
        <f>IF(OR(Registro_Compras!$C$270="",Registro_Compras!$O$270=""),"",IF(Registro_Compras!$F$270="NOTA DE CREDITO",IF(Registro_Compras!$K$270=0,"","40111"),"4212"))</f>
        <v/>
      </c>
      <c r="D2401">
        <f>IF(OR(Registro_Compras!$C$270="",Registro_Compras!$O$270=""),"",IF(Registro_Compras!$F$270="NOTA DE CREDITO","IGV - Cuenta Propia (Credito Fiscal)","Cuentas por Pagar Comerciales - Terceros (Emitidas)"))</f>
        <v/>
      </c>
      <c r="E2401" s="20">
        <f>""</f>
        <v/>
      </c>
      <c r="F2401" s="20">
        <f>IF($C2401="","",IF(Registro_Compras!$F$270="NOTA DE CREDITO",ROUND(ABS(Registro_Compras!$K$270*Registro_Compras!$N$270),2),IF(Registro_Compras!$F$270="RHE",(ROUND(Registro_Compras!$L$270*Registro_Compras!$N$270,2)-ROUND(Registro_Compras!$V$270*Registro_Compras!$N$270,2)),Registro_Compras!$O$270)))</f>
        <v/>
      </c>
      <c r="G2401">
        <f>IF($C2401="","",IF(Registro_Compras!$F$270="NOTA DE CREDITO","Por la nota de credito "&amp;Registro_Compras!$C$270&amp;" de "&amp;Registro_Compras!$E$270&amp;" [PATRON POR CONFIRMAR CON CONTADOR]",IF(Registro_Compras!$F$270="RHE","Por el registro del recibo por honorarios "&amp;Registro_Compras!$C$270&amp;" de "&amp;Registro_Compras!$E$270&amp;" [PATRON POR CONFIRMAR CON CONTADOR]","Por el registro de la factura "&amp;Registro_Compras!$C$270&amp;" de "&amp;Registro_Compras!$E$270)))</f>
        <v/>
      </c>
      <c r="H2401">
        <f>IF($C2401="","",Registro_Compras!$C$270)</f>
        <v/>
      </c>
    </row>
    <row r="2402">
      <c r="A2402" s="25">
        <f>IF($C2402="","",Registro_Compras!$B$270)</f>
        <v/>
      </c>
      <c r="B2402">
        <f>IF($C2402="","","C"&amp;TEXT(INT((ROW()-5)/9)+1,"000")&amp;"-2")</f>
        <v/>
      </c>
      <c r="C2402">
        <f>IF(OR(Registro_Compras!$C$270="",Registro_Compras!$O$270=""),"",IF(Registro_Compras!$AB$270="ADMINISTRATIVO","94","95"))</f>
        <v/>
      </c>
      <c r="D2402">
        <f>IF(OR(Registro_Compras!$C$270="",Registro_Compras!$O$270=""),"",IF(Registro_Compras!$AB$270="ADMINISTRATIVO","Gastos Administrativos","Gastos de Venta y Operacion"))</f>
        <v/>
      </c>
      <c r="E2402" s="20">
        <f>IF($C2402="","",IF(Registro_Compras!$F$270="NOTA DE CREDITO","",IF(Registro_Compras!$F$270="RHE",ROUND(Registro_Compras!$L$270*Registro_Compras!$N$270,2),ROUND(Registro_Compras!$J$270*Registro_Compras!$N$270,2))))</f>
        <v/>
      </c>
      <c r="F2402" s="20">
        <f>IF($C2402="","",IF(Registro_Compras!$F$270="NOTA DE CREDITO",ROUND(ABS(Registro_Compras!$J$270*Registro_Compras!$N$270),2),""))</f>
        <v/>
      </c>
      <c r="G2402">
        <f>IF($C2402="","","Por el destino del gasto")</f>
        <v/>
      </c>
      <c r="H2402">
        <f>IF($C2402="","",Registro_Compras!$C$270)</f>
        <v/>
      </c>
    </row>
    <row r="2403">
      <c r="A2403" s="25">
        <f>IF($C2403="","",Registro_Compras!$B$270)</f>
        <v/>
      </c>
      <c r="B2403">
        <f>IF($C2403="","","C"&amp;TEXT(INT((ROW()-5)/9)+1,"000")&amp;"-2")</f>
        <v/>
      </c>
      <c r="C2403">
        <f>IF(OR(Registro_Compras!$C$270="",Registro_Compras!$O$270=""),"","79/791")</f>
        <v/>
      </c>
      <c r="D2403">
        <f>IF(OR(Registro_Compras!$C$270="",Registro_Compras!$O$270=""),"","Cargas Imputables a Cuentas de Costos y Gastos")</f>
        <v/>
      </c>
      <c r="E2403" s="20">
        <f>IF($C2403="","",IF(Registro_Compras!$F$270="NOTA DE CREDITO",ROUND(ABS(Registro_Compras!$J$270*Registro_Compras!$N$270),2),""))</f>
        <v/>
      </c>
      <c r="F2403" s="20">
        <f>IF($C2403="","",IF(Registro_Compras!$F$270="NOTA DE CREDITO","",IF(Registro_Compras!$F$270="RHE",ROUND(Registro_Compras!$L$270*Registro_Compras!$N$270,2),ROUND(Registro_Compras!$J$270*Registro_Compras!$N$270,2))))</f>
        <v/>
      </c>
      <c r="G2403">
        <f>IF($C2403="","","Por el destino del gasto")</f>
        <v/>
      </c>
      <c r="H2403">
        <f>IF($C2403="","",Registro_Compras!$C$270)</f>
        <v/>
      </c>
    </row>
    <row r="2404">
      <c r="A2404" s="25">
        <f>IF($C2404="","",Registro_Compras!$X$270)</f>
        <v/>
      </c>
      <c r="B2404">
        <f>IF($C2404="","","C"&amp;TEXT(INT((ROW()-5)/9)+1,"000")&amp;"-3")</f>
        <v/>
      </c>
      <c r="C2404">
        <f>IF(OR(Registro_Compras!$C$270="",Registro_Compras!$O$270="",Registro_Compras!$R$270&lt;&gt;"SI",Registro_Compras!$X$270=""),"","4212")</f>
        <v/>
      </c>
      <c r="D2404">
        <f>IF(OR(Registro_Compras!$C$270="",Registro_Compras!$O$270=""),"","Cuentas por Pagar Comerciales - Terceros")</f>
        <v/>
      </c>
      <c r="E2404" s="20">
        <f>IF($C2404="","",Registro_Compras!$S$270)</f>
        <v/>
      </c>
      <c r="F2404" s="20">
        <f>""</f>
        <v/>
      </c>
      <c r="G2404">
        <f>IF($C2404="","","Por el deposito de la detraccion en el Banco de la Nacion")</f>
        <v/>
      </c>
      <c r="H2404">
        <f>IF($C2404="","",Registro_Compras!$C$270)</f>
        <v/>
      </c>
    </row>
    <row r="2405">
      <c r="A2405" s="25">
        <f>IF($C2405="","",Registro_Compras!$X$270)</f>
        <v/>
      </c>
      <c r="B2405">
        <f>IF($C2405="","","C"&amp;TEXT(INT((ROW()-5)/9)+1,"000")&amp;"-3")</f>
        <v/>
      </c>
      <c r="C2405">
        <f>IF(OR(Registro_Compras!$C$270="",Registro_Compras!$O$270="",Registro_Compras!$R$270&lt;&gt;"SI",Registro_Compras!$X$270=""),"","10413")</f>
        <v/>
      </c>
      <c r="D2405">
        <f>IF(OR(Registro_Compras!$C$270="",Registro_Compras!$O$270=""),"","Efectivo y Equivalentes - Cta. Cte. Operativa")</f>
        <v/>
      </c>
      <c r="E2405" s="20">
        <f>""</f>
        <v/>
      </c>
      <c r="F2405" s="20">
        <f>IF($C2405="","",Registro_Compras!$S$270)</f>
        <v/>
      </c>
      <c r="G2405">
        <f>IF($C2405="","","Por el deposito de la detraccion en el Banco de la Nacion")</f>
        <v/>
      </c>
      <c r="H2405">
        <f>IF($C2405="","",Registro_Compras!$C$270)</f>
        <v/>
      </c>
    </row>
    <row r="2406">
      <c r="A2406" s="25">
        <f>IF($C2406="","",Registro_Compras!$Y$270)</f>
        <v/>
      </c>
      <c r="B2406">
        <f>IF($C2406="","","C"&amp;TEXT(INT((ROW()-5)/9)+1,"000")&amp;"-4")</f>
        <v/>
      </c>
      <c r="C2406">
        <f>IF(OR(Registro_Compras!$C$270="",Registro_Compras!$O$270="",Registro_Compras!$Y$270="",Registro_Compras!$F$270="NOTA DE CREDITO"),"","4212")</f>
        <v/>
      </c>
      <c r="D2406">
        <f>IF(OR(Registro_Compras!$C$270="",Registro_Compras!$O$270=""),"","Cuentas por Pagar Comerciales - Terceros")</f>
        <v/>
      </c>
      <c r="E2406" s="20">
        <f>IF($C2406="","",IF(Registro_Compras!$F$270="RHE",(ROUND(Registro_Compras!$L$270*Registro_Compras!$N$270,2)-ROUND(Registro_Compras!$V$270*Registro_Compras!$N$270,2)),ROUND(Registro_Compras!$O$270-Registro_Compras!$S$270,2)))</f>
        <v/>
      </c>
      <c r="F2406" s="20">
        <f>""</f>
        <v/>
      </c>
      <c r="G2406">
        <f>IF($C2406="","","Por la cancelacion del saldo al proveedor")</f>
        <v/>
      </c>
      <c r="H2406">
        <f>IF($C2406="","",Registro_Compras!$C$270)</f>
        <v/>
      </c>
    </row>
    <row r="2407">
      <c r="A2407" s="25">
        <f>IF($C2407="","",Registro_Compras!$Y$270)</f>
        <v/>
      </c>
      <c r="B2407">
        <f>IF($C2407="","","C"&amp;TEXT(INT((ROW()-5)/9)+1,"000")&amp;"-4")</f>
        <v/>
      </c>
      <c r="C2407">
        <f>IF(OR(Registro_Compras!$C$270="",Registro_Compras!$O$270="",Registro_Compras!$Y$270="",Registro_Compras!$F$270="NOTA DE CREDITO"),"","10413")</f>
        <v/>
      </c>
      <c r="D2407">
        <f>IF(OR(Registro_Compras!$C$270="",Registro_Compras!$O$270=""),"","Efectivo y Equivalentes - Cta. Cte. Operativa")</f>
        <v/>
      </c>
      <c r="E2407" s="20">
        <f>""</f>
        <v/>
      </c>
      <c r="F2407" s="20">
        <f>IF($C2407="","",IF(Registro_Compras!$F$270="RHE",(ROUND(Registro_Compras!$L$270*Registro_Compras!$N$270,2)-ROUND(Registro_Compras!$V$270*Registro_Compras!$N$270,2)),ROUND(Registro_Compras!$O$270-Registro_Compras!$S$270,2)))</f>
        <v/>
      </c>
      <c r="G2407">
        <f>IF($C2407="","","Por la cancelacion del saldo al proveedor")</f>
        <v/>
      </c>
      <c r="H2407">
        <f>IF($C2407="","",Registro_Compras!$C$270)</f>
        <v/>
      </c>
    </row>
    <row r="2408">
      <c r="A2408" s="25">
        <f>IF($C2408="","",Registro_Compras!$B$271)</f>
        <v/>
      </c>
      <c r="B2408">
        <f>IF($C2408="","","C"&amp;TEXT(INT((ROW()-5)/9)+1,"000")&amp;"-1")</f>
        <v/>
      </c>
      <c r="C2408">
        <f>IF(OR(Registro_Compras!$C$271="",Registro_Compras!$O$271=""),"",IF(Registro_Compras!$F$271="NOTA DE CREDITO","4212",IF(Registro_Compras!$M$271="","63",Registro_Compras!$M$271)))</f>
        <v/>
      </c>
      <c r="D2408">
        <f>IF(OR(Registro_Compras!$C$271="",Registro_Compras!$O$271=""),"",IF(Registro_Compras!$F$271="NOTA DE CREDITO","Cuentas por Pagar Comerciales - Terceros (Emitidas)",IF(Registro_Compras!$F$271="RHE","Honorarios Profesionales - Servicios de Terceros","Gastos de Servicios Prestados por Terceros")))</f>
        <v/>
      </c>
      <c r="E2408" s="20">
        <f>IF($C2408="","",IF(Registro_Compras!$F$271="NOTA DE CREDITO",ABS(Registro_Compras!$O$271),IF(Registro_Compras!$F$271="RHE",ROUND(Registro_Compras!$L$271*Registro_Compras!$N$271,2),ROUND(Registro_Compras!$J$271*Registro_Compras!$N$271,2))))</f>
        <v/>
      </c>
      <c r="F2408" s="20">
        <f>""</f>
        <v/>
      </c>
      <c r="G2408">
        <f>IF($C2408="","",IF(Registro_Compras!$F$271="NOTA DE CREDITO","Por la nota de credito "&amp;Registro_Compras!$C$271&amp;" de "&amp;Registro_Compras!$E$271&amp;" [PATRON POR CONFIRMAR CON CONTADOR]",IF(Registro_Compras!$F$271="RHE","Por el registro del recibo por honorarios "&amp;Registro_Compras!$C$271&amp;" de "&amp;Registro_Compras!$E$271&amp;" [PATRON POR CONFIRMAR CON CONTADOR]","Por el registro de la factura "&amp;Registro_Compras!$C$271&amp;" de "&amp;Registro_Compras!$E$271)))</f>
        <v/>
      </c>
      <c r="H2408">
        <f>IF($C2408="","",Registro_Compras!$C$271)</f>
        <v/>
      </c>
    </row>
    <row r="2409">
      <c r="A2409" s="25">
        <f>IF($C2409="","",Registro_Compras!$B$271)</f>
        <v/>
      </c>
      <c r="B2409">
        <f>IF($C2409="","","C"&amp;TEXT(INT((ROW()-5)/9)+1,"000")&amp;"-1")</f>
        <v/>
      </c>
      <c r="C2409">
        <f>IF(OR(Registro_Compras!$C$271="",Registro_Compras!$O$271=""),"",IF(Registro_Compras!$F$271="RHE",IF(Registro_Compras!$V$271=0,"","40172"),IF(Registro_Compras!$F$271="NOTA DE CREDITO",IF(Registro_Compras!$M$271="","63",Registro_Compras!$M$271),IF(Registro_Compras!$K$271=0,"","40111"))))</f>
        <v/>
      </c>
      <c r="D2409">
        <f>IF(OR(Registro_Compras!$C$271="",Registro_Compras!$O$271=""),"",IF(Registro_Compras!$F$271="RHE","Retencion Renta 4ta Categoria por Pagar",IF(Registro_Compras!$F$271="NOTA DE CREDITO","Gastos de Servicios Prestados por Terceros","IGV - Cuenta Propia (Credito Fiscal)")))</f>
        <v/>
      </c>
      <c r="E2409" s="20">
        <f>IF($C2409="","",IF(Registro_Compras!$F$271="FACTURA",ROUND(Registro_Compras!$K$271*Registro_Compras!$N$271,2),""))</f>
        <v/>
      </c>
      <c r="F2409" s="20">
        <f>IF($C2409="","",IF(Registro_Compras!$F$271="RHE",ROUND(Registro_Compras!$V$271*Registro_Compras!$N$271,2),IF(Registro_Compras!$F$271="NOTA DE CREDITO",ROUND(ABS(Registro_Compras!$J$271*Registro_Compras!$N$271),2),"")))</f>
        <v/>
      </c>
      <c r="G2409">
        <f>IF($C2409="","",IF(Registro_Compras!$F$271="NOTA DE CREDITO","Por la nota de credito "&amp;Registro_Compras!$C$271&amp;" de "&amp;Registro_Compras!$E$271&amp;" [PATRON POR CONFIRMAR CON CONTADOR]",IF(Registro_Compras!$F$271="RHE","Por el registro del recibo por honorarios "&amp;Registro_Compras!$C$271&amp;" de "&amp;Registro_Compras!$E$271&amp;" [PATRON POR CONFIRMAR CON CONTADOR]","Por el registro de la factura "&amp;Registro_Compras!$C$271&amp;" de "&amp;Registro_Compras!$E$271)))</f>
        <v/>
      </c>
      <c r="H2409">
        <f>IF($C2409="","",Registro_Compras!$C$271)</f>
        <v/>
      </c>
    </row>
    <row r="2410">
      <c r="A2410" s="25">
        <f>IF($C2410="","",Registro_Compras!$B$271)</f>
        <v/>
      </c>
      <c r="B2410">
        <f>IF($C2410="","","C"&amp;TEXT(INT((ROW()-5)/9)+1,"000")&amp;"-1")</f>
        <v/>
      </c>
      <c r="C2410">
        <f>IF(OR(Registro_Compras!$C$271="",Registro_Compras!$O$271=""),"",IF(Registro_Compras!$F$271="NOTA DE CREDITO",IF(Registro_Compras!$K$271=0,"","40111"),"4212"))</f>
        <v/>
      </c>
      <c r="D2410">
        <f>IF(OR(Registro_Compras!$C$271="",Registro_Compras!$O$271=""),"",IF(Registro_Compras!$F$271="NOTA DE CREDITO","IGV - Cuenta Propia (Credito Fiscal)","Cuentas por Pagar Comerciales - Terceros (Emitidas)"))</f>
        <v/>
      </c>
      <c r="E2410" s="20">
        <f>""</f>
        <v/>
      </c>
      <c r="F2410" s="20">
        <f>IF($C2410="","",IF(Registro_Compras!$F$271="NOTA DE CREDITO",ROUND(ABS(Registro_Compras!$K$271*Registro_Compras!$N$271),2),IF(Registro_Compras!$F$271="RHE",(ROUND(Registro_Compras!$L$271*Registro_Compras!$N$271,2)-ROUND(Registro_Compras!$V$271*Registro_Compras!$N$271,2)),Registro_Compras!$O$271)))</f>
        <v/>
      </c>
      <c r="G2410">
        <f>IF($C2410="","",IF(Registro_Compras!$F$271="NOTA DE CREDITO","Por la nota de credito "&amp;Registro_Compras!$C$271&amp;" de "&amp;Registro_Compras!$E$271&amp;" [PATRON POR CONFIRMAR CON CONTADOR]",IF(Registro_Compras!$F$271="RHE","Por el registro del recibo por honorarios "&amp;Registro_Compras!$C$271&amp;" de "&amp;Registro_Compras!$E$271&amp;" [PATRON POR CONFIRMAR CON CONTADOR]","Por el registro de la factura "&amp;Registro_Compras!$C$271&amp;" de "&amp;Registro_Compras!$E$271)))</f>
        <v/>
      </c>
      <c r="H2410">
        <f>IF($C2410="","",Registro_Compras!$C$271)</f>
        <v/>
      </c>
    </row>
    <row r="2411">
      <c r="A2411" s="25">
        <f>IF($C2411="","",Registro_Compras!$B$271)</f>
        <v/>
      </c>
      <c r="B2411">
        <f>IF($C2411="","","C"&amp;TEXT(INT((ROW()-5)/9)+1,"000")&amp;"-2")</f>
        <v/>
      </c>
      <c r="C2411">
        <f>IF(OR(Registro_Compras!$C$271="",Registro_Compras!$O$271=""),"",IF(Registro_Compras!$AB$271="ADMINISTRATIVO","94","95"))</f>
        <v/>
      </c>
      <c r="D2411">
        <f>IF(OR(Registro_Compras!$C$271="",Registro_Compras!$O$271=""),"",IF(Registro_Compras!$AB$271="ADMINISTRATIVO","Gastos Administrativos","Gastos de Venta y Operacion"))</f>
        <v/>
      </c>
      <c r="E2411" s="20">
        <f>IF($C2411="","",IF(Registro_Compras!$F$271="NOTA DE CREDITO","",IF(Registro_Compras!$F$271="RHE",ROUND(Registro_Compras!$L$271*Registro_Compras!$N$271,2),ROUND(Registro_Compras!$J$271*Registro_Compras!$N$271,2))))</f>
        <v/>
      </c>
      <c r="F2411" s="20">
        <f>IF($C2411="","",IF(Registro_Compras!$F$271="NOTA DE CREDITO",ROUND(ABS(Registro_Compras!$J$271*Registro_Compras!$N$271),2),""))</f>
        <v/>
      </c>
      <c r="G2411">
        <f>IF($C2411="","","Por el destino del gasto")</f>
        <v/>
      </c>
      <c r="H2411">
        <f>IF($C2411="","",Registro_Compras!$C$271)</f>
        <v/>
      </c>
    </row>
    <row r="2412">
      <c r="A2412" s="25">
        <f>IF($C2412="","",Registro_Compras!$B$271)</f>
        <v/>
      </c>
      <c r="B2412">
        <f>IF($C2412="","","C"&amp;TEXT(INT((ROW()-5)/9)+1,"000")&amp;"-2")</f>
        <v/>
      </c>
      <c r="C2412">
        <f>IF(OR(Registro_Compras!$C$271="",Registro_Compras!$O$271=""),"","79/791")</f>
        <v/>
      </c>
      <c r="D2412">
        <f>IF(OR(Registro_Compras!$C$271="",Registro_Compras!$O$271=""),"","Cargas Imputables a Cuentas de Costos y Gastos")</f>
        <v/>
      </c>
      <c r="E2412" s="20">
        <f>IF($C2412="","",IF(Registro_Compras!$F$271="NOTA DE CREDITO",ROUND(ABS(Registro_Compras!$J$271*Registro_Compras!$N$271),2),""))</f>
        <v/>
      </c>
      <c r="F2412" s="20">
        <f>IF($C2412="","",IF(Registro_Compras!$F$271="NOTA DE CREDITO","",IF(Registro_Compras!$F$271="RHE",ROUND(Registro_Compras!$L$271*Registro_Compras!$N$271,2),ROUND(Registro_Compras!$J$271*Registro_Compras!$N$271,2))))</f>
        <v/>
      </c>
      <c r="G2412">
        <f>IF($C2412="","","Por el destino del gasto")</f>
        <v/>
      </c>
      <c r="H2412">
        <f>IF($C2412="","",Registro_Compras!$C$271)</f>
        <v/>
      </c>
    </row>
    <row r="2413">
      <c r="A2413" s="25">
        <f>IF($C2413="","",Registro_Compras!$X$271)</f>
        <v/>
      </c>
      <c r="B2413">
        <f>IF($C2413="","","C"&amp;TEXT(INT((ROW()-5)/9)+1,"000")&amp;"-3")</f>
        <v/>
      </c>
      <c r="C2413">
        <f>IF(OR(Registro_Compras!$C$271="",Registro_Compras!$O$271="",Registro_Compras!$R$271&lt;&gt;"SI",Registro_Compras!$X$271=""),"","4212")</f>
        <v/>
      </c>
      <c r="D2413">
        <f>IF(OR(Registro_Compras!$C$271="",Registro_Compras!$O$271=""),"","Cuentas por Pagar Comerciales - Terceros")</f>
        <v/>
      </c>
      <c r="E2413" s="20">
        <f>IF($C2413="","",Registro_Compras!$S$271)</f>
        <v/>
      </c>
      <c r="F2413" s="20">
        <f>""</f>
        <v/>
      </c>
      <c r="G2413">
        <f>IF($C2413="","","Por el deposito de la detraccion en el Banco de la Nacion")</f>
        <v/>
      </c>
      <c r="H2413">
        <f>IF($C2413="","",Registro_Compras!$C$271)</f>
        <v/>
      </c>
    </row>
    <row r="2414">
      <c r="A2414" s="25">
        <f>IF($C2414="","",Registro_Compras!$X$271)</f>
        <v/>
      </c>
      <c r="B2414">
        <f>IF($C2414="","","C"&amp;TEXT(INT((ROW()-5)/9)+1,"000")&amp;"-3")</f>
        <v/>
      </c>
      <c r="C2414">
        <f>IF(OR(Registro_Compras!$C$271="",Registro_Compras!$O$271="",Registro_Compras!$R$271&lt;&gt;"SI",Registro_Compras!$X$271=""),"","10413")</f>
        <v/>
      </c>
      <c r="D2414">
        <f>IF(OR(Registro_Compras!$C$271="",Registro_Compras!$O$271=""),"","Efectivo y Equivalentes - Cta. Cte. Operativa")</f>
        <v/>
      </c>
      <c r="E2414" s="20">
        <f>""</f>
        <v/>
      </c>
      <c r="F2414" s="20">
        <f>IF($C2414="","",Registro_Compras!$S$271)</f>
        <v/>
      </c>
      <c r="G2414">
        <f>IF($C2414="","","Por el deposito de la detraccion en el Banco de la Nacion")</f>
        <v/>
      </c>
      <c r="H2414">
        <f>IF($C2414="","",Registro_Compras!$C$271)</f>
        <v/>
      </c>
    </row>
    <row r="2415">
      <c r="A2415" s="25">
        <f>IF($C2415="","",Registro_Compras!$Y$271)</f>
        <v/>
      </c>
      <c r="B2415">
        <f>IF($C2415="","","C"&amp;TEXT(INT((ROW()-5)/9)+1,"000")&amp;"-4")</f>
        <v/>
      </c>
      <c r="C2415">
        <f>IF(OR(Registro_Compras!$C$271="",Registro_Compras!$O$271="",Registro_Compras!$Y$271="",Registro_Compras!$F$271="NOTA DE CREDITO"),"","4212")</f>
        <v/>
      </c>
      <c r="D2415">
        <f>IF(OR(Registro_Compras!$C$271="",Registro_Compras!$O$271=""),"","Cuentas por Pagar Comerciales - Terceros")</f>
        <v/>
      </c>
      <c r="E2415" s="20">
        <f>IF($C2415="","",IF(Registro_Compras!$F$271="RHE",(ROUND(Registro_Compras!$L$271*Registro_Compras!$N$271,2)-ROUND(Registro_Compras!$V$271*Registro_Compras!$N$271,2)),ROUND(Registro_Compras!$O$271-Registro_Compras!$S$271,2)))</f>
        <v/>
      </c>
      <c r="F2415" s="20">
        <f>""</f>
        <v/>
      </c>
      <c r="G2415">
        <f>IF($C2415="","","Por la cancelacion del saldo al proveedor")</f>
        <v/>
      </c>
      <c r="H2415">
        <f>IF($C2415="","",Registro_Compras!$C$271)</f>
        <v/>
      </c>
    </row>
    <row r="2416">
      <c r="A2416" s="25">
        <f>IF($C2416="","",Registro_Compras!$Y$271)</f>
        <v/>
      </c>
      <c r="B2416">
        <f>IF($C2416="","","C"&amp;TEXT(INT((ROW()-5)/9)+1,"000")&amp;"-4")</f>
        <v/>
      </c>
      <c r="C2416">
        <f>IF(OR(Registro_Compras!$C$271="",Registro_Compras!$O$271="",Registro_Compras!$Y$271="",Registro_Compras!$F$271="NOTA DE CREDITO"),"","10413")</f>
        <v/>
      </c>
      <c r="D2416">
        <f>IF(OR(Registro_Compras!$C$271="",Registro_Compras!$O$271=""),"","Efectivo y Equivalentes - Cta. Cte. Operativa")</f>
        <v/>
      </c>
      <c r="E2416" s="20">
        <f>""</f>
        <v/>
      </c>
      <c r="F2416" s="20">
        <f>IF($C2416="","",IF(Registro_Compras!$F$271="RHE",(ROUND(Registro_Compras!$L$271*Registro_Compras!$N$271,2)-ROUND(Registro_Compras!$V$271*Registro_Compras!$N$271,2)),ROUND(Registro_Compras!$O$271-Registro_Compras!$S$271,2)))</f>
        <v/>
      </c>
      <c r="G2416">
        <f>IF($C2416="","","Por la cancelacion del saldo al proveedor")</f>
        <v/>
      </c>
      <c r="H2416">
        <f>IF($C2416="","",Registro_Compras!$C$271)</f>
        <v/>
      </c>
    </row>
    <row r="2417">
      <c r="A2417" s="25">
        <f>IF($C2417="","",Registro_Compras!$B$272)</f>
        <v/>
      </c>
      <c r="B2417">
        <f>IF($C2417="","","C"&amp;TEXT(INT((ROW()-5)/9)+1,"000")&amp;"-1")</f>
        <v/>
      </c>
      <c r="C2417">
        <f>IF(OR(Registro_Compras!$C$272="",Registro_Compras!$O$272=""),"",IF(Registro_Compras!$F$272="NOTA DE CREDITO","4212",IF(Registro_Compras!$M$272="","63",Registro_Compras!$M$272)))</f>
        <v/>
      </c>
      <c r="D2417">
        <f>IF(OR(Registro_Compras!$C$272="",Registro_Compras!$O$272=""),"",IF(Registro_Compras!$F$272="NOTA DE CREDITO","Cuentas por Pagar Comerciales - Terceros (Emitidas)",IF(Registro_Compras!$F$272="RHE","Honorarios Profesionales - Servicios de Terceros","Gastos de Servicios Prestados por Terceros")))</f>
        <v/>
      </c>
      <c r="E2417" s="20">
        <f>IF($C2417="","",IF(Registro_Compras!$F$272="NOTA DE CREDITO",ABS(Registro_Compras!$O$272),IF(Registro_Compras!$F$272="RHE",ROUND(Registro_Compras!$L$272*Registro_Compras!$N$272,2),ROUND(Registro_Compras!$J$272*Registro_Compras!$N$272,2))))</f>
        <v/>
      </c>
      <c r="F2417" s="20">
        <f>""</f>
        <v/>
      </c>
      <c r="G2417">
        <f>IF($C2417="","",IF(Registro_Compras!$F$272="NOTA DE CREDITO","Por la nota de credito "&amp;Registro_Compras!$C$272&amp;" de "&amp;Registro_Compras!$E$272&amp;" [PATRON POR CONFIRMAR CON CONTADOR]",IF(Registro_Compras!$F$272="RHE","Por el registro del recibo por honorarios "&amp;Registro_Compras!$C$272&amp;" de "&amp;Registro_Compras!$E$272&amp;" [PATRON POR CONFIRMAR CON CONTADOR]","Por el registro de la factura "&amp;Registro_Compras!$C$272&amp;" de "&amp;Registro_Compras!$E$272)))</f>
        <v/>
      </c>
      <c r="H2417">
        <f>IF($C2417="","",Registro_Compras!$C$272)</f>
        <v/>
      </c>
    </row>
    <row r="2418">
      <c r="A2418" s="25">
        <f>IF($C2418="","",Registro_Compras!$B$272)</f>
        <v/>
      </c>
      <c r="B2418">
        <f>IF($C2418="","","C"&amp;TEXT(INT((ROW()-5)/9)+1,"000")&amp;"-1")</f>
        <v/>
      </c>
      <c r="C2418">
        <f>IF(OR(Registro_Compras!$C$272="",Registro_Compras!$O$272=""),"",IF(Registro_Compras!$F$272="RHE",IF(Registro_Compras!$V$272=0,"","40172"),IF(Registro_Compras!$F$272="NOTA DE CREDITO",IF(Registro_Compras!$M$272="","63",Registro_Compras!$M$272),IF(Registro_Compras!$K$272=0,"","40111"))))</f>
        <v/>
      </c>
      <c r="D2418">
        <f>IF(OR(Registro_Compras!$C$272="",Registro_Compras!$O$272=""),"",IF(Registro_Compras!$F$272="RHE","Retencion Renta 4ta Categoria por Pagar",IF(Registro_Compras!$F$272="NOTA DE CREDITO","Gastos de Servicios Prestados por Terceros","IGV - Cuenta Propia (Credito Fiscal)")))</f>
        <v/>
      </c>
      <c r="E2418" s="20">
        <f>IF($C2418="","",IF(Registro_Compras!$F$272="FACTURA",ROUND(Registro_Compras!$K$272*Registro_Compras!$N$272,2),""))</f>
        <v/>
      </c>
      <c r="F2418" s="20">
        <f>IF($C2418="","",IF(Registro_Compras!$F$272="RHE",ROUND(Registro_Compras!$V$272*Registro_Compras!$N$272,2),IF(Registro_Compras!$F$272="NOTA DE CREDITO",ROUND(ABS(Registro_Compras!$J$272*Registro_Compras!$N$272),2),"")))</f>
        <v/>
      </c>
      <c r="G2418">
        <f>IF($C2418="","",IF(Registro_Compras!$F$272="NOTA DE CREDITO","Por la nota de credito "&amp;Registro_Compras!$C$272&amp;" de "&amp;Registro_Compras!$E$272&amp;" [PATRON POR CONFIRMAR CON CONTADOR]",IF(Registro_Compras!$F$272="RHE","Por el registro del recibo por honorarios "&amp;Registro_Compras!$C$272&amp;" de "&amp;Registro_Compras!$E$272&amp;" [PATRON POR CONFIRMAR CON CONTADOR]","Por el registro de la factura "&amp;Registro_Compras!$C$272&amp;" de "&amp;Registro_Compras!$E$272)))</f>
        <v/>
      </c>
      <c r="H2418">
        <f>IF($C2418="","",Registro_Compras!$C$272)</f>
        <v/>
      </c>
    </row>
    <row r="2419">
      <c r="A2419" s="25">
        <f>IF($C2419="","",Registro_Compras!$B$272)</f>
        <v/>
      </c>
      <c r="B2419">
        <f>IF($C2419="","","C"&amp;TEXT(INT((ROW()-5)/9)+1,"000")&amp;"-1")</f>
        <v/>
      </c>
      <c r="C2419">
        <f>IF(OR(Registro_Compras!$C$272="",Registro_Compras!$O$272=""),"",IF(Registro_Compras!$F$272="NOTA DE CREDITO",IF(Registro_Compras!$K$272=0,"","40111"),"4212"))</f>
        <v/>
      </c>
      <c r="D2419">
        <f>IF(OR(Registro_Compras!$C$272="",Registro_Compras!$O$272=""),"",IF(Registro_Compras!$F$272="NOTA DE CREDITO","IGV - Cuenta Propia (Credito Fiscal)","Cuentas por Pagar Comerciales - Terceros (Emitidas)"))</f>
        <v/>
      </c>
      <c r="E2419" s="20">
        <f>""</f>
        <v/>
      </c>
      <c r="F2419" s="20">
        <f>IF($C2419="","",IF(Registro_Compras!$F$272="NOTA DE CREDITO",ROUND(ABS(Registro_Compras!$K$272*Registro_Compras!$N$272),2),IF(Registro_Compras!$F$272="RHE",(ROUND(Registro_Compras!$L$272*Registro_Compras!$N$272,2)-ROUND(Registro_Compras!$V$272*Registro_Compras!$N$272,2)),Registro_Compras!$O$272)))</f>
        <v/>
      </c>
      <c r="G2419">
        <f>IF($C2419="","",IF(Registro_Compras!$F$272="NOTA DE CREDITO","Por la nota de credito "&amp;Registro_Compras!$C$272&amp;" de "&amp;Registro_Compras!$E$272&amp;" [PATRON POR CONFIRMAR CON CONTADOR]",IF(Registro_Compras!$F$272="RHE","Por el registro del recibo por honorarios "&amp;Registro_Compras!$C$272&amp;" de "&amp;Registro_Compras!$E$272&amp;" [PATRON POR CONFIRMAR CON CONTADOR]","Por el registro de la factura "&amp;Registro_Compras!$C$272&amp;" de "&amp;Registro_Compras!$E$272)))</f>
        <v/>
      </c>
      <c r="H2419">
        <f>IF($C2419="","",Registro_Compras!$C$272)</f>
        <v/>
      </c>
    </row>
    <row r="2420">
      <c r="A2420" s="25">
        <f>IF($C2420="","",Registro_Compras!$B$272)</f>
        <v/>
      </c>
      <c r="B2420">
        <f>IF($C2420="","","C"&amp;TEXT(INT((ROW()-5)/9)+1,"000")&amp;"-2")</f>
        <v/>
      </c>
      <c r="C2420">
        <f>IF(OR(Registro_Compras!$C$272="",Registro_Compras!$O$272=""),"",IF(Registro_Compras!$AB$272="ADMINISTRATIVO","94","95"))</f>
        <v/>
      </c>
      <c r="D2420">
        <f>IF(OR(Registro_Compras!$C$272="",Registro_Compras!$O$272=""),"",IF(Registro_Compras!$AB$272="ADMINISTRATIVO","Gastos Administrativos","Gastos de Venta y Operacion"))</f>
        <v/>
      </c>
      <c r="E2420" s="20">
        <f>IF($C2420="","",IF(Registro_Compras!$F$272="NOTA DE CREDITO","",IF(Registro_Compras!$F$272="RHE",ROUND(Registro_Compras!$L$272*Registro_Compras!$N$272,2),ROUND(Registro_Compras!$J$272*Registro_Compras!$N$272,2))))</f>
        <v/>
      </c>
      <c r="F2420" s="20">
        <f>IF($C2420="","",IF(Registro_Compras!$F$272="NOTA DE CREDITO",ROUND(ABS(Registro_Compras!$J$272*Registro_Compras!$N$272),2),""))</f>
        <v/>
      </c>
      <c r="G2420">
        <f>IF($C2420="","","Por el destino del gasto")</f>
        <v/>
      </c>
      <c r="H2420">
        <f>IF($C2420="","",Registro_Compras!$C$272)</f>
        <v/>
      </c>
    </row>
    <row r="2421">
      <c r="A2421" s="25">
        <f>IF($C2421="","",Registro_Compras!$B$272)</f>
        <v/>
      </c>
      <c r="B2421">
        <f>IF($C2421="","","C"&amp;TEXT(INT((ROW()-5)/9)+1,"000")&amp;"-2")</f>
        <v/>
      </c>
      <c r="C2421">
        <f>IF(OR(Registro_Compras!$C$272="",Registro_Compras!$O$272=""),"","79/791")</f>
        <v/>
      </c>
      <c r="D2421">
        <f>IF(OR(Registro_Compras!$C$272="",Registro_Compras!$O$272=""),"","Cargas Imputables a Cuentas de Costos y Gastos")</f>
        <v/>
      </c>
      <c r="E2421" s="20">
        <f>IF($C2421="","",IF(Registro_Compras!$F$272="NOTA DE CREDITO",ROUND(ABS(Registro_Compras!$J$272*Registro_Compras!$N$272),2),""))</f>
        <v/>
      </c>
      <c r="F2421" s="20">
        <f>IF($C2421="","",IF(Registro_Compras!$F$272="NOTA DE CREDITO","",IF(Registro_Compras!$F$272="RHE",ROUND(Registro_Compras!$L$272*Registro_Compras!$N$272,2),ROUND(Registro_Compras!$J$272*Registro_Compras!$N$272,2))))</f>
        <v/>
      </c>
      <c r="G2421">
        <f>IF($C2421="","","Por el destino del gasto")</f>
        <v/>
      </c>
      <c r="H2421">
        <f>IF($C2421="","",Registro_Compras!$C$272)</f>
        <v/>
      </c>
    </row>
    <row r="2422">
      <c r="A2422" s="25">
        <f>IF($C2422="","",Registro_Compras!$X$272)</f>
        <v/>
      </c>
      <c r="B2422">
        <f>IF($C2422="","","C"&amp;TEXT(INT((ROW()-5)/9)+1,"000")&amp;"-3")</f>
        <v/>
      </c>
      <c r="C2422">
        <f>IF(OR(Registro_Compras!$C$272="",Registro_Compras!$O$272="",Registro_Compras!$R$272&lt;&gt;"SI",Registro_Compras!$X$272=""),"","4212")</f>
        <v/>
      </c>
      <c r="D2422">
        <f>IF(OR(Registro_Compras!$C$272="",Registro_Compras!$O$272=""),"","Cuentas por Pagar Comerciales - Terceros")</f>
        <v/>
      </c>
      <c r="E2422" s="20">
        <f>IF($C2422="","",Registro_Compras!$S$272)</f>
        <v/>
      </c>
      <c r="F2422" s="20">
        <f>""</f>
        <v/>
      </c>
      <c r="G2422">
        <f>IF($C2422="","","Por el deposito de la detraccion en el Banco de la Nacion")</f>
        <v/>
      </c>
      <c r="H2422">
        <f>IF($C2422="","",Registro_Compras!$C$272)</f>
        <v/>
      </c>
    </row>
    <row r="2423">
      <c r="A2423" s="25">
        <f>IF($C2423="","",Registro_Compras!$X$272)</f>
        <v/>
      </c>
      <c r="B2423">
        <f>IF($C2423="","","C"&amp;TEXT(INT((ROW()-5)/9)+1,"000")&amp;"-3")</f>
        <v/>
      </c>
      <c r="C2423">
        <f>IF(OR(Registro_Compras!$C$272="",Registro_Compras!$O$272="",Registro_Compras!$R$272&lt;&gt;"SI",Registro_Compras!$X$272=""),"","10413")</f>
        <v/>
      </c>
      <c r="D2423">
        <f>IF(OR(Registro_Compras!$C$272="",Registro_Compras!$O$272=""),"","Efectivo y Equivalentes - Cta. Cte. Operativa")</f>
        <v/>
      </c>
      <c r="E2423" s="20">
        <f>""</f>
        <v/>
      </c>
      <c r="F2423" s="20">
        <f>IF($C2423="","",Registro_Compras!$S$272)</f>
        <v/>
      </c>
      <c r="G2423">
        <f>IF($C2423="","","Por el deposito de la detraccion en el Banco de la Nacion")</f>
        <v/>
      </c>
      <c r="H2423">
        <f>IF($C2423="","",Registro_Compras!$C$272)</f>
        <v/>
      </c>
    </row>
    <row r="2424">
      <c r="A2424" s="25">
        <f>IF($C2424="","",Registro_Compras!$Y$272)</f>
        <v/>
      </c>
      <c r="B2424">
        <f>IF($C2424="","","C"&amp;TEXT(INT((ROW()-5)/9)+1,"000")&amp;"-4")</f>
        <v/>
      </c>
      <c r="C2424">
        <f>IF(OR(Registro_Compras!$C$272="",Registro_Compras!$O$272="",Registro_Compras!$Y$272="",Registro_Compras!$F$272="NOTA DE CREDITO"),"","4212")</f>
        <v/>
      </c>
      <c r="D2424">
        <f>IF(OR(Registro_Compras!$C$272="",Registro_Compras!$O$272=""),"","Cuentas por Pagar Comerciales - Terceros")</f>
        <v/>
      </c>
      <c r="E2424" s="20">
        <f>IF($C2424="","",IF(Registro_Compras!$F$272="RHE",(ROUND(Registro_Compras!$L$272*Registro_Compras!$N$272,2)-ROUND(Registro_Compras!$V$272*Registro_Compras!$N$272,2)),ROUND(Registro_Compras!$O$272-Registro_Compras!$S$272,2)))</f>
        <v/>
      </c>
      <c r="F2424" s="20">
        <f>""</f>
        <v/>
      </c>
      <c r="G2424">
        <f>IF($C2424="","","Por la cancelacion del saldo al proveedor")</f>
        <v/>
      </c>
      <c r="H2424">
        <f>IF($C2424="","",Registro_Compras!$C$272)</f>
        <v/>
      </c>
    </row>
    <row r="2425">
      <c r="A2425" s="25">
        <f>IF($C2425="","",Registro_Compras!$Y$272)</f>
        <v/>
      </c>
      <c r="B2425">
        <f>IF($C2425="","","C"&amp;TEXT(INT((ROW()-5)/9)+1,"000")&amp;"-4")</f>
        <v/>
      </c>
      <c r="C2425">
        <f>IF(OR(Registro_Compras!$C$272="",Registro_Compras!$O$272="",Registro_Compras!$Y$272="",Registro_Compras!$F$272="NOTA DE CREDITO"),"","10413")</f>
        <v/>
      </c>
      <c r="D2425">
        <f>IF(OR(Registro_Compras!$C$272="",Registro_Compras!$O$272=""),"","Efectivo y Equivalentes - Cta. Cte. Operativa")</f>
        <v/>
      </c>
      <c r="E2425" s="20">
        <f>""</f>
        <v/>
      </c>
      <c r="F2425" s="20">
        <f>IF($C2425="","",IF(Registro_Compras!$F$272="RHE",(ROUND(Registro_Compras!$L$272*Registro_Compras!$N$272,2)-ROUND(Registro_Compras!$V$272*Registro_Compras!$N$272,2)),ROUND(Registro_Compras!$O$272-Registro_Compras!$S$272,2)))</f>
        <v/>
      </c>
      <c r="G2425">
        <f>IF($C2425="","","Por la cancelacion del saldo al proveedor")</f>
        <v/>
      </c>
      <c r="H2425">
        <f>IF($C2425="","",Registro_Compras!$C$272)</f>
        <v/>
      </c>
    </row>
    <row r="2426">
      <c r="A2426" s="25">
        <f>IF($C2426="","",Registro_Compras!$B$273)</f>
        <v/>
      </c>
      <c r="B2426">
        <f>IF($C2426="","","C"&amp;TEXT(INT((ROW()-5)/9)+1,"000")&amp;"-1")</f>
        <v/>
      </c>
      <c r="C2426">
        <f>IF(OR(Registro_Compras!$C$273="",Registro_Compras!$O$273=""),"",IF(Registro_Compras!$F$273="NOTA DE CREDITO","4212",IF(Registro_Compras!$M$273="","63",Registro_Compras!$M$273)))</f>
        <v/>
      </c>
      <c r="D2426">
        <f>IF(OR(Registro_Compras!$C$273="",Registro_Compras!$O$273=""),"",IF(Registro_Compras!$F$273="NOTA DE CREDITO","Cuentas por Pagar Comerciales - Terceros (Emitidas)",IF(Registro_Compras!$F$273="RHE","Honorarios Profesionales - Servicios de Terceros","Gastos de Servicios Prestados por Terceros")))</f>
        <v/>
      </c>
      <c r="E2426" s="20">
        <f>IF($C2426="","",IF(Registro_Compras!$F$273="NOTA DE CREDITO",ABS(Registro_Compras!$O$273),IF(Registro_Compras!$F$273="RHE",ROUND(Registro_Compras!$L$273*Registro_Compras!$N$273,2),ROUND(Registro_Compras!$J$273*Registro_Compras!$N$273,2))))</f>
        <v/>
      </c>
      <c r="F2426" s="20">
        <f>""</f>
        <v/>
      </c>
      <c r="G2426">
        <f>IF($C2426="","",IF(Registro_Compras!$F$273="NOTA DE CREDITO","Por la nota de credito "&amp;Registro_Compras!$C$273&amp;" de "&amp;Registro_Compras!$E$273&amp;" [PATRON POR CONFIRMAR CON CONTADOR]",IF(Registro_Compras!$F$273="RHE","Por el registro del recibo por honorarios "&amp;Registro_Compras!$C$273&amp;" de "&amp;Registro_Compras!$E$273&amp;" [PATRON POR CONFIRMAR CON CONTADOR]","Por el registro de la factura "&amp;Registro_Compras!$C$273&amp;" de "&amp;Registro_Compras!$E$273)))</f>
        <v/>
      </c>
      <c r="H2426">
        <f>IF($C2426="","",Registro_Compras!$C$273)</f>
        <v/>
      </c>
    </row>
    <row r="2427">
      <c r="A2427" s="25">
        <f>IF($C2427="","",Registro_Compras!$B$273)</f>
        <v/>
      </c>
      <c r="B2427">
        <f>IF($C2427="","","C"&amp;TEXT(INT((ROW()-5)/9)+1,"000")&amp;"-1")</f>
        <v/>
      </c>
      <c r="C2427">
        <f>IF(OR(Registro_Compras!$C$273="",Registro_Compras!$O$273=""),"",IF(Registro_Compras!$F$273="RHE",IF(Registro_Compras!$V$273=0,"","40172"),IF(Registro_Compras!$F$273="NOTA DE CREDITO",IF(Registro_Compras!$M$273="","63",Registro_Compras!$M$273),IF(Registro_Compras!$K$273=0,"","40111"))))</f>
        <v/>
      </c>
      <c r="D2427">
        <f>IF(OR(Registro_Compras!$C$273="",Registro_Compras!$O$273=""),"",IF(Registro_Compras!$F$273="RHE","Retencion Renta 4ta Categoria por Pagar",IF(Registro_Compras!$F$273="NOTA DE CREDITO","Gastos de Servicios Prestados por Terceros","IGV - Cuenta Propia (Credito Fiscal)")))</f>
        <v/>
      </c>
      <c r="E2427" s="20">
        <f>IF($C2427="","",IF(Registro_Compras!$F$273="FACTURA",ROUND(Registro_Compras!$K$273*Registro_Compras!$N$273,2),""))</f>
        <v/>
      </c>
      <c r="F2427" s="20">
        <f>IF($C2427="","",IF(Registro_Compras!$F$273="RHE",ROUND(Registro_Compras!$V$273*Registro_Compras!$N$273,2),IF(Registro_Compras!$F$273="NOTA DE CREDITO",ROUND(ABS(Registro_Compras!$J$273*Registro_Compras!$N$273),2),"")))</f>
        <v/>
      </c>
      <c r="G2427">
        <f>IF($C2427="","",IF(Registro_Compras!$F$273="NOTA DE CREDITO","Por la nota de credito "&amp;Registro_Compras!$C$273&amp;" de "&amp;Registro_Compras!$E$273&amp;" [PATRON POR CONFIRMAR CON CONTADOR]",IF(Registro_Compras!$F$273="RHE","Por el registro del recibo por honorarios "&amp;Registro_Compras!$C$273&amp;" de "&amp;Registro_Compras!$E$273&amp;" [PATRON POR CONFIRMAR CON CONTADOR]","Por el registro de la factura "&amp;Registro_Compras!$C$273&amp;" de "&amp;Registro_Compras!$E$273)))</f>
        <v/>
      </c>
      <c r="H2427">
        <f>IF($C2427="","",Registro_Compras!$C$273)</f>
        <v/>
      </c>
    </row>
    <row r="2428">
      <c r="A2428" s="25">
        <f>IF($C2428="","",Registro_Compras!$B$273)</f>
        <v/>
      </c>
      <c r="B2428">
        <f>IF($C2428="","","C"&amp;TEXT(INT((ROW()-5)/9)+1,"000")&amp;"-1")</f>
        <v/>
      </c>
      <c r="C2428">
        <f>IF(OR(Registro_Compras!$C$273="",Registro_Compras!$O$273=""),"",IF(Registro_Compras!$F$273="NOTA DE CREDITO",IF(Registro_Compras!$K$273=0,"","40111"),"4212"))</f>
        <v/>
      </c>
      <c r="D2428">
        <f>IF(OR(Registro_Compras!$C$273="",Registro_Compras!$O$273=""),"",IF(Registro_Compras!$F$273="NOTA DE CREDITO","IGV - Cuenta Propia (Credito Fiscal)","Cuentas por Pagar Comerciales - Terceros (Emitidas)"))</f>
        <v/>
      </c>
      <c r="E2428" s="20">
        <f>""</f>
        <v/>
      </c>
      <c r="F2428" s="20">
        <f>IF($C2428="","",IF(Registro_Compras!$F$273="NOTA DE CREDITO",ROUND(ABS(Registro_Compras!$K$273*Registro_Compras!$N$273),2),IF(Registro_Compras!$F$273="RHE",(ROUND(Registro_Compras!$L$273*Registro_Compras!$N$273,2)-ROUND(Registro_Compras!$V$273*Registro_Compras!$N$273,2)),Registro_Compras!$O$273)))</f>
        <v/>
      </c>
      <c r="G2428">
        <f>IF($C2428="","",IF(Registro_Compras!$F$273="NOTA DE CREDITO","Por la nota de credito "&amp;Registro_Compras!$C$273&amp;" de "&amp;Registro_Compras!$E$273&amp;" [PATRON POR CONFIRMAR CON CONTADOR]",IF(Registro_Compras!$F$273="RHE","Por el registro del recibo por honorarios "&amp;Registro_Compras!$C$273&amp;" de "&amp;Registro_Compras!$E$273&amp;" [PATRON POR CONFIRMAR CON CONTADOR]","Por el registro de la factura "&amp;Registro_Compras!$C$273&amp;" de "&amp;Registro_Compras!$E$273)))</f>
        <v/>
      </c>
      <c r="H2428">
        <f>IF($C2428="","",Registro_Compras!$C$273)</f>
        <v/>
      </c>
    </row>
    <row r="2429">
      <c r="A2429" s="25">
        <f>IF($C2429="","",Registro_Compras!$B$273)</f>
        <v/>
      </c>
      <c r="B2429">
        <f>IF($C2429="","","C"&amp;TEXT(INT((ROW()-5)/9)+1,"000")&amp;"-2")</f>
        <v/>
      </c>
      <c r="C2429">
        <f>IF(OR(Registro_Compras!$C$273="",Registro_Compras!$O$273=""),"",IF(Registro_Compras!$AB$273="ADMINISTRATIVO","94","95"))</f>
        <v/>
      </c>
      <c r="D2429">
        <f>IF(OR(Registro_Compras!$C$273="",Registro_Compras!$O$273=""),"",IF(Registro_Compras!$AB$273="ADMINISTRATIVO","Gastos Administrativos","Gastos de Venta y Operacion"))</f>
        <v/>
      </c>
      <c r="E2429" s="20">
        <f>IF($C2429="","",IF(Registro_Compras!$F$273="NOTA DE CREDITO","",IF(Registro_Compras!$F$273="RHE",ROUND(Registro_Compras!$L$273*Registro_Compras!$N$273,2),ROUND(Registro_Compras!$J$273*Registro_Compras!$N$273,2))))</f>
        <v/>
      </c>
      <c r="F2429" s="20">
        <f>IF($C2429="","",IF(Registro_Compras!$F$273="NOTA DE CREDITO",ROUND(ABS(Registro_Compras!$J$273*Registro_Compras!$N$273),2),""))</f>
        <v/>
      </c>
      <c r="G2429">
        <f>IF($C2429="","","Por el destino del gasto")</f>
        <v/>
      </c>
      <c r="H2429">
        <f>IF($C2429="","",Registro_Compras!$C$273)</f>
        <v/>
      </c>
    </row>
    <row r="2430">
      <c r="A2430" s="25">
        <f>IF($C2430="","",Registro_Compras!$B$273)</f>
        <v/>
      </c>
      <c r="B2430">
        <f>IF($C2430="","","C"&amp;TEXT(INT((ROW()-5)/9)+1,"000")&amp;"-2")</f>
        <v/>
      </c>
      <c r="C2430">
        <f>IF(OR(Registro_Compras!$C$273="",Registro_Compras!$O$273=""),"","79/791")</f>
        <v/>
      </c>
      <c r="D2430">
        <f>IF(OR(Registro_Compras!$C$273="",Registro_Compras!$O$273=""),"","Cargas Imputables a Cuentas de Costos y Gastos")</f>
        <v/>
      </c>
      <c r="E2430" s="20">
        <f>IF($C2430="","",IF(Registro_Compras!$F$273="NOTA DE CREDITO",ROUND(ABS(Registro_Compras!$J$273*Registro_Compras!$N$273),2),""))</f>
        <v/>
      </c>
      <c r="F2430" s="20">
        <f>IF($C2430="","",IF(Registro_Compras!$F$273="NOTA DE CREDITO","",IF(Registro_Compras!$F$273="RHE",ROUND(Registro_Compras!$L$273*Registro_Compras!$N$273,2),ROUND(Registro_Compras!$J$273*Registro_Compras!$N$273,2))))</f>
        <v/>
      </c>
      <c r="G2430">
        <f>IF($C2430="","","Por el destino del gasto")</f>
        <v/>
      </c>
      <c r="H2430">
        <f>IF($C2430="","",Registro_Compras!$C$273)</f>
        <v/>
      </c>
    </row>
    <row r="2431">
      <c r="A2431" s="25">
        <f>IF($C2431="","",Registro_Compras!$X$273)</f>
        <v/>
      </c>
      <c r="B2431">
        <f>IF($C2431="","","C"&amp;TEXT(INT((ROW()-5)/9)+1,"000")&amp;"-3")</f>
        <v/>
      </c>
      <c r="C2431">
        <f>IF(OR(Registro_Compras!$C$273="",Registro_Compras!$O$273="",Registro_Compras!$R$273&lt;&gt;"SI",Registro_Compras!$X$273=""),"","4212")</f>
        <v/>
      </c>
      <c r="D2431">
        <f>IF(OR(Registro_Compras!$C$273="",Registro_Compras!$O$273=""),"","Cuentas por Pagar Comerciales - Terceros")</f>
        <v/>
      </c>
      <c r="E2431" s="20">
        <f>IF($C2431="","",Registro_Compras!$S$273)</f>
        <v/>
      </c>
      <c r="F2431" s="20">
        <f>""</f>
        <v/>
      </c>
      <c r="G2431">
        <f>IF($C2431="","","Por el deposito de la detraccion en el Banco de la Nacion")</f>
        <v/>
      </c>
      <c r="H2431">
        <f>IF($C2431="","",Registro_Compras!$C$273)</f>
        <v/>
      </c>
    </row>
    <row r="2432">
      <c r="A2432" s="25">
        <f>IF($C2432="","",Registro_Compras!$X$273)</f>
        <v/>
      </c>
      <c r="B2432">
        <f>IF($C2432="","","C"&amp;TEXT(INT((ROW()-5)/9)+1,"000")&amp;"-3")</f>
        <v/>
      </c>
      <c r="C2432">
        <f>IF(OR(Registro_Compras!$C$273="",Registro_Compras!$O$273="",Registro_Compras!$R$273&lt;&gt;"SI",Registro_Compras!$X$273=""),"","10413")</f>
        <v/>
      </c>
      <c r="D2432">
        <f>IF(OR(Registro_Compras!$C$273="",Registro_Compras!$O$273=""),"","Efectivo y Equivalentes - Cta. Cte. Operativa")</f>
        <v/>
      </c>
      <c r="E2432" s="20">
        <f>""</f>
        <v/>
      </c>
      <c r="F2432" s="20">
        <f>IF($C2432="","",Registro_Compras!$S$273)</f>
        <v/>
      </c>
      <c r="G2432">
        <f>IF($C2432="","","Por el deposito de la detraccion en el Banco de la Nacion")</f>
        <v/>
      </c>
      <c r="H2432">
        <f>IF($C2432="","",Registro_Compras!$C$273)</f>
        <v/>
      </c>
    </row>
    <row r="2433">
      <c r="A2433" s="25">
        <f>IF($C2433="","",Registro_Compras!$Y$273)</f>
        <v/>
      </c>
      <c r="B2433">
        <f>IF($C2433="","","C"&amp;TEXT(INT((ROW()-5)/9)+1,"000")&amp;"-4")</f>
        <v/>
      </c>
      <c r="C2433">
        <f>IF(OR(Registro_Compras!$C$273="",Registro_Compras!$O$273="",Registro_Compras!$Y$273="",Registro_Compras!$F$273="NOTA DE CREDITO"),"","4212")</f>
        <v/>
      </c>
      <c r="D2433">
        <f>IF(OR(Registro_Compras!$C$273="",Registro_Compras!$O$273=""),"","Cuentas por Pagar Comerciales - Terceros")</f>
        <v/>
      </c>
      <c r="E2433" s="20">
        <f>IF($C2433="","",IF(Registro_Compras!$F$273="RHE",(ROUND(Registro_Compras!$L$273*Registro_Compras!$N$273,2)-ROUND(Registro_Compras!$V$273*Registro_Compras!$N$273,2)),ROUND(Registro_Compras!$O$273-Registro_Compras!$S$273,2)))</f>
        <v/>
      </c>
      <c r="F2433" s="20">
        <f>""</f>
        <v/>
      </c>
      <c r="G2433">
        <f>IF($C2433="","","Por la cancelacion del saldo al proveedor")</f>
        <v/>
      </c>
      <c r="H2433">
        <f>IF($C2433="","",Registro_Compras!$C$273)</f>
        <v/>
      </c>
    </row>
    <row r="2434">
      <c r="A2434" s="25">
        <f>IF($C2434="","",Registro_Compras!$Y$273)</f>
        <v/>
      </c>
      <c r="B2434">
        <f>IF($C2434="","","C"&amp;TEXT(INT((ROW()-5)/9)+1,"000")&amp;"-4")</f>
        <v/>
      </c>
      <c r="C2434">
        <f>IF(OR(Registro_Compras!$C$273="",Registro_Compras!$O$273="",Registro_Compras!$Y$273="",Registro_Compras!$F$273="NOTA DE CREDITO"),"","10413")</f>
        <v/>
      </c>
      <c r="D2434">
        <f>IF(OR(Registro_Compras!$C$273="",Registro_Compras!$O$273=""),"","Efectivo y Equivalentes - Cta. Cte. Operativa")</f>
        <v/>
      </c>
      <c r="E2434" s="20">
        <f>""</f>
        <v/>
      </c>
      <c r="F2434" s="20">
        <f>IF($C2434="","",IF(Registro_Compras!$F$273="RHE",(ROUND(Registro_Compras!$L$273*Registro_Compras!$N$273,2)-ROUND(Registro_Compras!$V$273*Registro_Compras!$N$273,2)),ROUND(Registro_Compras!$O$273-Registro_Compras!$S$273,2)))</f>
        <v/>
      </c>
      <c r="G2434">
        <f>IF($C2434="","","Por la cancelacion del saldo al proveedor")</f>
        <v/>
      </c>
      <c r="H2434">
        <f>IF($C2434="","",Registro_Compras!$C$273)</f>
        <v/>
      </c>
    </row>
    <row r="2435">
      <c r="A2435" s="25">
        <f>IF($C2435="","",Registro_Compras!$B$274)</f>
        <v/>
      </c>
      <c r="B2435">
        <f>IF($C2435="","","C"&amp;TEXT(INT((ROW()-5)/9)+1,"000")&amp;"-1")</f>
        <v/>
      </c>
      <c r="C2435">
        <f>IF(OR(Registro_Compras!$C$274="",Registro_Compras!$O$274=""),"",IF(Registro_Compras!$F$274="NOTA DE CREDITO","4212",IF(Registro_Compras!$M$274="","63",Registro_Compras!$M$274)))</f>
        <v/>
      </c>
      <c r="D2435">
        <f>IF(OR(Registro_Compras!$C$274="",Registro_Compras!$O$274=""),"",IF(Registro_Compras!$F$274="NOTA DE CREDITO","Cuentas por Pagar Comerciales - Terceros (Emitidas)",IF(Registro_Compras!$F$274="RHE","Honorarios Profesionales - Servicios de Terceros","Gastos de Servicios Prestados por Terceros")))</f>
        <v/>
      </c>
      <c r="E2435" s="20">
        <f>IF($C2435="","",IF(Registro_Compras!$F$274="NOTA DE CREDITO",ABS(Registro_Compras!$O$274),IF(Registro_Compras!$F$274="RHE",ROUND(Registro_Compras!$L$274*Registro_Compras!$N$274,2),ROUND(Registro_Compras!$J$274*Registro_Compras!$N$274,2))))</f>
        <v/>
      </c>
      <c r="F2435" s="20">
        <f>""</f>
        <v/>
      </c>
      <c r="G2435">
        <f>IF($C2435="","",IF(Registro_Compras!$F$274="NOTA DE CREDITO","Por la nota de credito "&amp;Registro_Compras!$C$274&amp;" de "&amp;Registro_Compras!$E$274&amp;" [PATRON POR CONFIRMAR CON CONTADOR]",IF(Registro_Compras!$F$274="RHE","Por el registro del recibo por honorarios "&amp;Registro_Compras!$C$274&amp;" de "&amp;Registro_Compras!$E$274&amp;" [PATRON POR CONFIRMAR CON CONTADOR]","Por el registro de la factura "&amp;Registro_Compras!$C$274&amp;" de "&amp;Registro_Compras!$E$274)))</f>
        <v/>
      </c>
      <c r="H2435">
        <f>IF($C2435="","",Registro_Compras!$C$274)</f>
        <v/>
      </c>
    </row>
    <row r="2436">
      <c r="A2436" s="25">
        <f>IF($C2436="","",Registro_Compras!$B$274)</f>
        <v/>
      </c>
      <c r="B2436">
        <f>IF($C2436="","","C"&amp;TEXT(INT((ROW()-5)/9)+1,"000")&amp;"-1")</f>
        <v/>
      </c>
      <c r="C2436">
        <f>IF(OR(Registro_Compras!$C$274="",Registro_Compras!$O$274=""),"",IF(Registro_Compras!$F$274="RHE",IF(Registro_Compras!$V$274=0,"","40172"),IF(Registro_Compras!$F$274="NOTA DE CREDITO",IF(Registro_Compras!$M$274="","63",Registro_Compras!$M$274),IF(Registro_Compras!$K$274=0,"","40111"))))</f>
        <v/>
      </c>
      <c r="D2436">
        <f>IF(OR(Registro_Compras!$C$274="",Registro_Compras!$O$274=""),"",IF(Registro_Compras!$F$274="RHE","Retencion Renta 4ta Categoria por Pagar",IF(Registro_Compras!$F$274="NOTA DE CREDITO","Gastos de Servicios Prestados por Terceros","IGV - Cuenta Propia (Credito Fiscal)")))</f>
        <v/>
      </c>
      <c r="E2436" s="20">
        <f>IF($C2436="","",IF(Registro_Compras!$F$274="FACTURA",ROUND(Registro_Compras!$K$274*Registro_Compras!$N$274,2),""))</f>
        <v/>
      </c>
      <c r="F2436" s="20">
        <f>IF($C2436="","",IF(Registro_Compras!$F$274="RHE",ROUND(Registro_Compras!$V$274*Registro_Compras!$N$274,2),IF(Registro_Compras!$F$274="NOTA DE CREDITO",ROUND(ABS(Registro_Compras!$J$274*Registro_Compras!$N$274),2),"")))</f>
        <v/>
      </c>
      <c r="G2436">
        <f>IF($C2436="","",IF(Registro_Compras!$F$274="NOTA DE CREDITO","Por la nota de credito "&amp;Registro_Compras!$C$274&amp;" de "&amp;Registro_Compras!$E$274&amp;" [PATRON POR CONFIRMAR CON CONTADOR]",IF(Registro_Compras!$F$274="RHE","Por el registro del recibo por honorarios "&amp;Registro_Compras!$C$274&amp;" de "&amp;Registro_Compras!$E$274&amp;" [PATRON POR CONFIRMAR CON CONTADOR]","Por el registro de la factura "&amp;Registro_Compras!$C$274&amp;" de "&amp;Registro_Compras!$E$274)))</f>
        <v/>
      </c>
      <c r="H2436">
        <f>IF($C2436="","",Registro_Compras!$C$274)</f>
        <v/>
      </c>
    </row>
    <row r="2437">
      <c r="A2437" s="25">
        <f>IF($C2437="","",Registro_Compras!$B$274)</f>
        <v/>
      </c>
      <c r="B2437">
        <f>IF($C2437="","","C"&amp;TEXT(INT((ROW()-5)/9)+1,"000")&amp;"-1")</f>
        <v/>
      </c>
      <c r="C2437">
        <f>IF(OR(Registro_Compras!$C$274="",Registro_Compras!$O$274=""),"",IF(Registro_Compras!$F$274="NOTA DE CREDITO",IF(Registro_Compras!$K$274=0,"","40111"),"4212"))</f>
        <v/>
      </c>
      <c r="D2437">
        <f>IF(OR(Registro_Compras!$C$274="",Registro_Compras!$O$274=""),"",IF(Registro_Compras!$F$274="NOTA DE CREDITO","IGV - Cuenta Propia (Credito Fiscal)","Cuentas por Pagar Comerciales - Terceros (Emitidas)"))</f>
        <v/>
      </c>
      <c r="E2437" s="20">
        <f>""</f>
        <v/>
      </c>
      <c r="F2437" s="20">
        <f>IF($C2437="","",IF(Registro_Compras!$F$274="NOTA DE CREDITO",ROUND(ABS(Registro_Compras!$K$274*Registro_Compras!$N$274),2),IF(Registro_Compras!$F$274="RHE",(ROUND(Registro_Compras!$L$274*Registro_Compras!$N$274,2)-ROUND(Registro_Compras!$V$274*Registro_Compras!$N$274,2)),Registro_Compras!$O$274)))</f>
        <v/>
      </c>
      <c r="G2437">
        <f>IF($C2437="","",IF(Registro_Compras!$F$274="NOTA DE CREDITO","Por la nota de credito "&amp;Registro_Compras!$C$274&amp;" de "&amp;Registro_Compras!$E$274&amp;" [PATRON POR CONFIRMAR CON CONTADOR]",IF(Registro_Compras!$F$274="RHE","Por el registro del recibo por honorarios "&amp;Registro_Compras!$C$274&amp;" de "&amp;Registro_Compras!$E$274&amp;" [PATRON POR CONFIRMAR CON CONTADOR]","Por el registro de la factura "&amp;Registro_Compras!$C$274&amp;" de "&amp;Registro_Compras!$E$274)))</f>
        <v/>
      </c>
      <c r="H2437">
        <f>IF($C2437="","",Registro_Compras!$C$274)</f>
        <v/>
      </c>
    </row>
    <row r="2438">
      <c r="A2438" s="25">
        <f>IF($C2438="","",Registro_Compras!$B$274)</f>
        <v/>
      </c>
      <c r="B2438">
        <f>IF($C2438="","","C"&amp;TEXT(INT((ROW()-5)/9)+1,"000")&amp;"-2")</f>
        <v/>
      </c>
      <c r="C2438">
        <f>IF(OR(Registro_Compras!$C$274="",Registro_Compras!$O$274=""),"",IF(Registro_Compras!$AB$274="ADMINISTRATIVO","94","95"))</f>
        <v/>
      </c>
      <c r="D2438">
        <f>IF(OR(Registro_Compras!$C$274="",Registro_Compras!$O$274=""),"",IF(Registro_Compras!$AB$274="ADMINISTRATIVO","Gastos Administrativos","Gastos de Venta y Operacion"))</f>
        <v/>
      </c>
      <c r="E2438" s="20">
        <f>IF($C2438="","",IF(Registro_Compras!$F$274="NOTA DE CREDITO","",IF(Registro_Compras!$F$274="RHE",ROUND(Registro_Compras!$L$274*Registro_Compras!$N$274,2),ROUND(Registro_Compras!$J$274*Registro_Compras!$N$274,2))))</f>
        <v/>
      </c>
      <c r="F2438" s="20">
        <f>IF($C2438="","",IF(Registro_Compras!$F$274="NOTA DE CREDITO",ROUND(ABS(Registro_Compras!$J$274*Registro_Compras!$N$274),2),""))</f>
        <v/>
      </c>
      <c r="G2438">
        <f>IF($C2438="","","Por el destino del gasto")</f>
        <v/>
      </c>
      <c r="H2438">
        <f>IF($C2438="","",Registro_Compras!$C$274)</f>
        <v/>
      </c>
    </row>
    <row r="2439">
      <c r="A2439" s="25">
        <f>IF($C2439="","",Registro_Compras!$B$274)</f>
        <v/>
      </c>
      <c r="B2439">
        <f>IF($C2439="","","C"&amp;TEXT(INT((ROW()-5)/9)+1,"000")&amp;"-2")</f>
        <v/>
      </c>
      <c r="C2439">
        <f>IF(OR(Registro_Compras!$C$274="",Registro_Compras!$O$274=""),"","79/791")</f>
        <v/>
      </c>
      <c r="D2439">
        <f>IF(OR(Registro_Compras!$C$274="",Registro_Compras!$O$274=""),"","Cargas Imputables a Cuentas de Costos y Gastos")</f>
        <v/>
      </c>
      <c r="E2439" s="20">
        <f>IF($C2439="","",IF(Registro_Compras!$F$274="NOTA DE CREDITO",ROUND(ABS(Registro_Compras!$J$274*Registro_Compras!$N$274),2),""))</f>
        <v/>
      </c>
      <c r="F2439" s="20">
        <f>IF($C2439="","",IF(Registro_Compras!$F$274="NOTA DE CREDITO","",IF(Registro_Compras!$F$274="RHE",ROUND(Registro_Compras!$L$274*Registro_Compras!$N$274,2),ROUND(Registro_Compras!$J$274*Registro_Compras!$N$274,2))))</f>
        <v/>
      </c>
      <c r="G2439">
        <f>IF($C2439="","","Por el destino del gasto")</f>
        <v/>
      </c>
      <c r="H2439">
        <f>IF($C2439="","",Registro_Compras!$C$274)</f>
        <v/>
      </c>
    </row>
    <row r="2440">
      <c r="A2440" s="25">
        <f>IF($C2440="","",Registro_Compras!$X$274)</f>
        <v/>
      </c>
      <c r="B2440">
        <f>IF($C2440="","","C"&amp;TEXT(INT((ROW()-5)/9)+1,"000")&amp;"-3")</f>
        <v/>
      </c>
      <c r="C2440">
        <f>IF(OR(Registro_Compras!$C$274="",Registro_Compras!$O$274="",Registro_Compras!$R$274&lt;&gt;"SI",Registro_Compras!$X$274=""),"","4212")</f>
        <v/>
      </c>
      <c r="D2440">
        <f>IF(OR(Registro_Compras!$C$274="",Registro_Compras!$O$274=""),"","Cuentas por Pagar Comerciales - Terceros")</f>
        <v/>
      </c>
      <c r="E2440" s="20">
        <f>IF($C2440="","",Registro_Compras!$S$274)</f>
        <v/>
      </c>
      <c r="F2440" s="20">
        <f>""</f>
        <v/>
      </c>
      <c r="G2440">
        <f>IF($C2440="","","Por el deposito de la detraccion en el Banco de la Nacion")</f>
        <v/>
      </c>
      <c r="H2440">
        <f>IF($C2440="","",Registro_Compras!$C$274)</f>
        <v/>
      </c>
    </row>
    <row r="2441">
      <c r="A2441" s="25">
        <f>IF($C2441="","",Registro_Compras!$X$274)</f>
        <v/>
      </c>
      <c r="B2441">
        <f>IF($C2441="","","C"&amp;TEXT(INT((ROW()-5)/9)+1,"000")&amp;"-3")</f>
        <v/>
      </c>
      <c r="C2441">
        <f>IF(OR(Registro_Compras!$C$274="",Registro_Compras!$O$274="",Registro_Compras!$R$274&lt;&gt;"SI",Registro_Compras!$X$274=""),"","10413")</f>
        <v/>
      </c>
      <c r="D2441">
        <f>IF(OR(Registro_Compras!$C$274="",Registro_Compras!$O$274=""),"","Efectivo y Equivalentes - Cta. Cte. Operativa")</f>
        <v/>
      </c>
      <c r="E2441" s="20">
        <f>""</f>
        <v/>
      </c>
      <c r="F2441" s="20">
        <f>IF($C2441="","",Registro_Compras!$S$274)</f>
        <v/>
      </c>
      <c r="G2441">
        <f>IF($C2441="","","Por el deposito de la detraccion en el Banco de la Nacion")</f>
        <v/>
      </c>
      <c r="H2441">
        <f>IF($C2441="","",Registro_Compras!$C$274)</f>
        <v/>
      </c>
    </row>
    <row r="2442">
      <c r="A2442" s="25">
        <f>IF($C2442="","",Registro_Compras!$Y$274)</f>
        <v/>
      </c>
      <c r="B2442">
        <f>IF($C2442="","","C"&amp;TEXT(INT((ROW()-5)/9)+1,"000")&amp;"-4")</f>
        <v/>
      </c>
      <c r="C2442">
        <f>IF(OR(Registro_Compras!$C$274="",Registro_Compras!$O$274="",Registro_Compras!$Y$274="",Registro_Compras!$F$274="NOTA DE CREDITO"),"","4212")</f>
        <v/>
      </c>
      <c r="D2442">
        <f>IF(OR(Registro_Compras!$C$274="",Registro_Compras!$O$274=""),"","Cuentas por Pagar Comerciales - Terceros")</f>
        <v/>
      </c>
      <c r="E2442" s="20">
        <f>IF($C2442="","",IF(Registro_Compras!$F$274="RHE",(ROUND(Registro_Compras!$L$274*Registro_Compras!$N$274,2)-ROUND(Registro_Compras!$V$274*Registro_Compras!$N$274,2)),ROUND(Registro_Compras!$O$274-Registro_Compras!$S$274,2)))</f>
        <v/>
      </c>
      <c r="F2442" s="20">
        <f>""</f>
        <v/>
      </c>
      <c r="G2442">
        <f>IF($C2442="","","Por la cancelacion del saldo al proveedor")</f>
        <v/>
      </c>
      <c r="H2442">
        <f>IF($C2442="","",Registro_Compras!$C$274)</f>
        <v/>
      </c>
    </row>
    <row r="2443">
      <c r="A2443" s="25">
        <f>IF($C2443="","",Registro_Compras!$Y$274)</f>
        <v/>
      </c>
      <c r="B2443">
        <f>IF($C2443="","","C"&amp;TEXT(INT((ROW()-5)/9)+1,"000")&amp;"-4")</f>
        <v/>
      </c>
      <c r="C2443">
        <f>IF(OR(Registro_Compras!$C$274="",Registro_Compras!$O$274="",Registro_Compras!$Y$274="",Registro_Compras!$F$274="NOTA DE CREDITO"),"","10413")</f>
        <v/>
      </c>
      <c r="D2443">
        <f>IF(OR(Registro_Compras!$C$274="",Registro_Compras!$O$274=""),"","Efectivo y Equivalentes - Cta. Cte. Operativa")</f>
        <v/>
      </c>
      <c r="E2443" s="20">
        <f>""</f>
        <v/>
      </c>
      <c r="F2443" s="20">
        <f>IF($C2443="","",IF(Registro_Compras!$F$274="RHE",(ROUND(Registro_Compras!$L$274*Registro_Compras!$N$274,2)-ROUND(Registro_Compras!$V$274*Registro_Compras!$N$274,2)),ROUND(Registro_Compras!$O$274-Registro_Compras!$S$274,2)))</f>
        <v/>
      </c>
      <c r="G2443">
        <f>IF($C2443="","","Por la cancelacion del saldo al proveedor")</f>
        <v/>
      </c>
      <c r="H2443">
        <f>IF($C2443="","",Registro_Compras!$C$274)</f>
        <v/>
      </c>
    </row>
    <row r="2444">
      <c r="A2444" s="25">
        <f>IF($C2444="","",Registro_Compras!$B$275)</f>
        <v/>
      </c>
      <c r="B2444">
        <f>IF($C2444="","","C"&amp;TEXT(INT((ROW()-5)/9)+1,"000")&amp;"-1")</f>
        <v/>
      </c>
      <c r="C2444">
        <f>IF(OR(Registro_Compras!$C$275="",Registro_Compras!$O$275=""),"",IF(Registro_Compras!$F$275="NOTA DE CREDITO","4212",IF(Registro_Compras!$M$275="","63",Registro_Compras!$M$275)))</f>
        <v/>
      </c>
      <c r="D2444">
        <f>IF(OR(Registro_Compras!$C$275="",Registro_Compras!$O$275=""),"",IF(Registro_Compras!$F$275="NOTA DE CREDITO","Cuentas por Pagar Comerciales - Terceros (Emitidas)",IF(Registro_Compras!$F$275="RHE","Honorarios Profesionales - Servicios de Terceros","Gastos de Servicios Prestados por Terceros")))</f>
        <v/>
      </c>
      <c r="E2444" s="20">
        <f>IF($C2444="","",IF(Registro_Compras!$F$275="NOTA DE CREDITO",ABS(Registro_Compras!$O$275),IF(Registro_Compras!$F$275="RHE",ROUND(Registro_Compras!$L$275*Registro_Compras!$N$275,2),ROUND(Registro_Compras!$J$275*Registro_Compras!$N$275,2))))</f>
        <v/>
      </c>
      <c r="F2444" s="20">
        <f>""</f>
        <v/>
      </c>
      <c r="G2444">
        <f>IF($C2444="","",IF(Registro_Compras!$F$275="NOTA DE CREDITO","Por la nota de credito "&amp;Registro_Compras!$C$275&amp;" de "&amp;Registro_Compras!$E$275&amp;" [PATRON POR CONFIRMAR CON CONTADOR]",IF(Registro_Compras!$F$275="RHE","Por el registro del recibo por honorarios "&amp;Registro_Compras!$C$275&amp;" de "&amp;Registro_Compras!$E$275&amp;" [PATRON POR CONFIRMAR CON CONTADOR]","Por el registro de la factura "&amp;Registro_Compras!$C$275&amp;" de "&amp;Registro_Compras!$E$275)))</f>
        <v/>
      </c>
      <c r="H2444">
        <f>IF($C2444="","",Registro_Compras!$C$275)</f>
        <v/>
      </c>
    </row>
    <row r="2445">
      <c r="A2445" s="25">
        <f>IF($C2445="","",Registro_Compras!$B$275)</f>
        <v/>
      </c>
      <c r="B2445">
        <f>IF($C2445="","","C"&amp;TEXT(INT((ROW()-5)/9)+1,"000")&amp;"-1")</f>
        <v/>
      </c>
      <c r="C2445">
        <f>IF(OR(Registro_Compras!$C$275="",Registro_Compras!$O$275=""),"",IF(Registro_Compras!$F$275="RHE",IF(Registro_Compras!$V$275=0,"","40172"),IF(Registro_Compras!$F$275="NOTA DE CREDITO",IF(Registro_Compras!$M$275="","63",Registro_Compras!$M$275),IF(Registro_Compras!$K$275=0,"","40111"))))</f>
        <v/>
      </c>
      <c r="D2445">
        <f>IF(OR(Registro_Compras!$C$275="",Registro_Compras!$O$275=""),"",IF(Registro_Compras!$F$275="RHE","Retencion Renta 4ta Categoria por Pagar",IF(Registro_Compras!$F$275="NOTA DE CREDITO","Gastos de Servicios Prestados por Terceros","IGV - Cuenta Propia (Credito Fiscal)")))</f>
        <v/>
      </c>
      <c r="E2445" s="20">
        <f>IF($C2445="","",IF(Registro_Compras!$F$275="FACTURA",ROUND(Registro_Compras!$K$275*Registro_Compras!$N$275,2),""))</f>
        <v/>
      </c>
      <c r="F2445" s="20">
        <f>IF($C2445="","",IF(Registro_Compras!$F$275="RHE",ROUND(Registro_Compras!$V$275*Registro_Compras!$N$275,2),IF(Registro_Compras!$F$275="NOTA DE CREDITO",ROUND(ABS(Registro_Compras!$J$275*Registro_Compras!$N$275),2),"")))</f>
        <v/>
      </c>
      <c r="G2445">
        <f>IF($C2445="","",IF(Registro_Compras!$F$275="NOTA DE CREDITO","Por la nota de credito "&amp;Registro_Compras!$C$275&amp;" de "&amp;Registro_Compras!$E$275&amp;" [PATRON POR CONFIRMAR CON CONTADOR]",IF(Registro_Compras!$F$275="RHE","Por el registro del recibo por honorarios "&amp;Registro_Compras!$C$275&amp;" de "&amp;Registro_Compras!$E$275&amp;" [PATRON POR CONFIRMAR CON CONTADOR]","Por el registro de la factura "&amp;Registro_Compras!$C$275&amp;" de "&amp;Registro_Compras!$E$275)))</f>
        <v/>
      </c>
      <c r="H2445">
        <f>IF($C2445="","",Registro_Compras!$C$275)</f>
        <v/>
      </c>
    </row>
    <row r="2446">
      <c r="A2446" s="25">
        <f>IF($C2446="","",Registro_Compras!$B$275)</f>
        <v/>
      </c>
      <c r="B2446">
        <f>IF($C2446="","","C"&amp;TEXT(INT((ROW()-5)/9)+1,"000")&amp;"-1")</f>
        <v/>
      </c>
      <c r="C2446">
        <f>IF(OR(Registro_Compras!$C$275="",Registro_Compras!$O$275=""),"",IF(Registro_Compras!$F$275="NOTA DE CREDITO",IF(Registro_Compras!$K$275=0,"","40111"),"4212"))</f>
        <v/>
      </c>
      <c r="D2446">
        <f>IF(OR(Registro_Compras!$C$275="",Registro_Compras!$O$275=""),"",IF(Registro_Compras!$F$275="NOTA DE CREDITO","IGV - Cuenta Propia (Credito Fiscal)","Cuentas por Pagar Comerciales - Terceros (Emitidas)"))</f>
        <v/>
      </c>
      <c r="E2446" s="20">
        <f>""</f>
        <v/>
      </c>
      <c r="F2446" s="20">
        <f>IF($C2446="","",IF(Registro_Compras!$F$275="NOTA DE CREDITO",ROUND(ABS(Registro_Compras!$K$275*Registro_Compras!$N$275),2),IF(Registro_Compras!$F$275="RHE",(ROUND(Registro_Compras!$L$275*Registro_Compras!$N$275,2)-ROUND(Registro_Compras!$V$275*Registro_Compras!$N$275,2)),Registro_Compras!$O$275)))</f>
        <v/>
      </c>
      <c r="G2446">
        <f>IF($C2446="","",IF(Registro_Compras!$F$275="NOTA DE CREDITO","Por la nota de credito "&amp;Registro_Compras!$C$275&amp;" de "&amp;Registro_Compras!$E$275&amp;" [PATRON POR CONFIRMAR CON CONTADOR]",IF(Registro_Compras!$F$275="RHE","Por el registro del recibo por honorarios "&amp;Registro_Compras!$C$275&amp;" de "&amp;Registro_Compras!$E$275&amp;" [PATRON POR CONFIRMAR CON CONTADOR]","Por el registro de la factura "&amp;Registro_Compras!$C$275&amp;" de "&amp;Registro_Compras!$E$275)))</f>
        <v/>
      </c>
      <c r="H2446">
        <f>IF($C2446="","",Registro_Compras!$C$275)</f>
        <v/>
      </c>
    </row>
    <row r="2447">
      <c r="A2447" s="25">
        <f>IF($C2447="","",Registro_Compras!$B$275)</f>
        <v/>
      </c>
      <c r="B2447">
        <f>IF($C2447="","","C"&amp;TEXT(INT((ROW()-5)/9)+1,"000")&amp;"-2")</f>
        <v/>
      </c>
      <c r="C2447">
        <f>IF(OR(Registro_Compras!$C$275="",Registro_Compras!$O$275=""),"",IF(Registro_Compras!$AB$275="ADMINISTRATIVO","94","95"))</f>
        <v/>
      </c>
      <c r="D2447">
        <f>IF(OR(Registro_Compras!$C$275="",Registro_Compras!$O$275=""),"",IF(Registro_Compras!$AB$275="ADMINISTRATIVO","Gastos Administrativos","Gastos de Venta y Operacion"))</f>
        <v/>
      </c>
      <c r="E2447" s="20">
        <f>IF($C2447="","",IF(Registro_Compras!$F$275="NOTA DE CREDITO","",IF(Registro_Compras!$F$275="RHE",ROUND(Registro_Compras!$L$275*Registro_Compras!$N$275,2),ROUND(Registro_Compras!$J$275*Registro_Compras!$N$275,2))))</f>
        <v/>
      </c>
      <c r="F2447" s="20">
        <f>IF($C2447="","",IF(Registro_Compras!$F$275="NOTA DE CREDITO",ROUND(ABS(Registro_Compras!$J$275*Registro_Compras!$N$275),2),""))</f>
        <v/>
      </c>
      <c r="G2447">
        <f>IF($C2447="","","Por el destino del gasto")</f>
        <v/>
      </c>
      <c r="H2447">
        <f>IF($C2447="","",Registro_Compras!$C$275)</f>
        <v/>
      </c>
    </row>
    <row r="2448">
      <c r="A2448" s="25">
        <f>IF($C2448="","",Registro_Compras!$B$275)</f>
        <v/>
      </c>
      <c r="B2448">
        <f>IF($C2448="","","C"&amp;TEXT(INT((ROW()-5)/9)+1,"000")&amp;"-2")</f>
        <v/>
      </c>
      <c r="C2448">
        <f>IF(OR(Registro_Compras!$C$275="",Registro_Compras!$O$275=""),"","79/791")</f>
        <v/>
      </c>
      <c r="D2448">
        <f>IF(OR(Registro_Compras!$C$275="",Registro_Compras!$O$275=""),"","Cargas Imputables a Cuentas de Costos y Gastos")</f>
        <v/>
      </c>
      <c r="E2448" s="20">
        <f>IF($C2448="","",IF(Registro_Compras!$F$275="NOTA DE CREDITO",ROUND(ABS(Registro_Compras!$J$275*Registro_Compras!$N$275),2),""))</f>
        <v/>
      </c>
      <c r="F2448" s="20">
        <f>IF($C2448="","",IF(Registro_Compras!$F$275="NOTA DE CREDITO","",IF(Registro_Compras!$F$275="RHE",ROUND(Registro_Compras!$L$275*Registro_Compras!$N$275,2),ROUND(Registro_Compras!$J$275*Registro_Compras!$N$275,2))))</f>
        <v/>
      </c>
      <c r="G2448">
        <f>IF($C2448="","","Por el destino del gasto")</f>
        <v/>
      </c>
      <c r="H2448">
        <f>IF($C2448="","",Registro_Compras!$C$275)</f>
        <v/>
      </c>
    </row>
    <row r="2449">
      <c r="A2449" s="25">
        <f>IF($C2449="","",Registro_Compras!$X$275)</f>
        <v/>
      </c>
      <c r="B2449">
        <f>IF($C2449="","","C"&amp;TEXT(INT((ROW()-5)/9)+1,"000")&amp;"-3")</f>
        <v/>
      </c>
      <c r="C2449">
        <f>IF(OR(Registro_Compras!$C$275="",Registro_Compras!$O$275="",Registro_Compras!$R$275&lt;&gt;"SI",Registro_Compras!$X$275=""),"","4212")</f>
        <v/>
      </c>
      <c r="D2449">
        <f>IF(OR(Registro_Compras!$C$275="",Registro_Compras!$O$275=""),"","Cuentas por Pagar Comerciales - Terceros")</f>
        <v/>
      </c>
      <c r="E2449" s="20">
        <f>IF($C2449="","",Registro_Compras!$S$275)</f>
        <v/>
      </c>
      <c r="F2449" s="20">
        <f>""</f>
        <v/>
      </c>
      <c r="G2449">
        <f>IF($C2449="","","Por el deposito de la detraccion en el Banco de la Nacion")</f>
        <v/>
      </c>
      <c r="H2449">
        <f>IF($C2449="","",Registro_Compras!$C$275)</f>
        <v/>
      </c>
    </row>
    <row r="2450">
      <c r="A2450" s="25">
        <f>IF($C2450="","",Registro_Compras!$X$275)</f>
        <v/>
      </c>
      <c r="B2450">
        <f>IF($C2450="","","C"&amp;TEXT(INT((ROW()-5)/9)+1,"000")&amp;"-3")</f>
        <v/>
      </c>
      <c r="C2450">
        <f>IF(OR(Registro_Compras!$C$275="",Registro_Compras!$O$275="",Registro_Compras!$R$275&lt;&gt;"SI",Registro_Compras!$X$275=""),"","10413")</f>
        <v/>
      </c>
      <c r="D2450">
        <f>IF(OR(Registro_Compras!$C$275="",Registro_Compras!$O$275=""),"","Efectivo y Equivalentes - Cta. Cte. Operativa")</f>
        <v/>
      </c>
      <c r="E2450" s="20">
        <f>""</f>
        <v/>
      </c>
      <c r="F2450" s="20">
        <f>IF($C2450="","",Registro_Compras!$S$275)</f>
        <v/>
      </c>
      <c r="G2450">
        <f>IF($C2450="","","Por el deposito de la detraccion en el Banco de la Nacion")</f>
        <v/>
      </c>
      <c r="H2450">
        <f>IF($C2450="","",Registro_Compras!$C$275)</f>
        <v/>
      </c>
    </row>
    <row r="2451">
      <c r="A2451" s="25">
        <f>IF($C2451="","",Registro_Compras!$Y$275)</f>
        <v/>
      </c>
      <c r="B2451">
        <f>IF($C2451="","","C"&amp;TEXT(INT((ROW()-5)/9)+1,"000")&amp;"-4")</f>
        <v/>
      </c>
      <c r="C2451">
        <f>IF(OR(Registro_Compras!$C$275="",Registro_Compras!$O$275="",Registro_Compras!$Y$275="",Registro_Compras!$F$275="NOTA DE CREDITO"),"","4212")</f>
        <v/>
      </c>
      <c r="D2451">
        <f>IF(OR(Registro_Compras!$C$275="",Registro_Compras!$O$275=""),"","Cuentas por Pagar Comerciales - Terceros")</f>
        <v/>
      </c>
      <c r="E2451" s="20">
        <f>IF($C2451="","",IF(Registro_Compras!$F$275="RHE",(ROUND(Registro_Compras!$L$275*Registro_Compras!$N$275,2)-ROUND(Registro_Compras!$V$275*Registro_Compras!$N$275,2)),ROUND(Registro_Compras!$O$275-Registro_Compras!$S$275,2)))</f>
        <v/>
      </c>
      <c r="F2451" s="20">
        <f>""</f>
        <v/>
      </c>
      <c r="G2451">
        <f>IF($C2451="","","Por la cancelacion del saldo al proveedor")</f>
        <v/>
      </c>
      <c r="H2451">
        <f>IF($C2451="","",Registro_Compras!$C$275)</f>
        <v/>
      </c>
    </row>
    <row r="2452">
      <c r="A2452" s="25">
        <f>IF($C2452="","",Registro_Compras!$Y$275)</f>
        <v/>
      </c>
      <c r="B2452">
        <f>IF($C2452="","","C"&amp;TEXT(INT((ROW()-5)/9)+1,"000")&amp;"-4")</f>
        <v/>
      </c>
      <c r="C2452">
        <f>IF(OR(Registro_Compras!$C$275="",Registro_Compras!$O$275="",Registro_Compras!$Y$275="",Registro_Compras!$F$275="NOTA DE CREDITO"),"","10413")</f>
        <v/>
      </c>
      <c r="D2452">
        <f>IF(OR(Registro_Compras!$C$275="",Registro_Compras!$O$275=""),"","Efectivo y Equivalentes - Cta. Cte. Operativa")</f>
        <v/>
      </c>
      <c r="E2452" s="20">
        <f>""</f>
        <v/>
      </c>
      <c r="F2452" s="20">
        <f>IF($C2452="","",IF(Registro_Compras!$F$275="RHE",(ROUND(Registro_Compras!$L$275*Registro_Compras!$N$275,2)-ROUND(Registro_Compras!$V$275*Registro_Compras!$N$275,2)),ROUND(Registro_Compras!$O$275-Registro_Compras!$S$275,2)))</f>
        <v/>
      </c>
      <c r="G2452">
        <f>IF($C2452="","","Por la cancelacion del saldo al proveedor")</f>
        <v/>
      </c>
      <c r="H2452">
        <f>IF($C2452="","",Registro_Compras!$C$275)</f>
        <v/>
      </c>
    </row>
    <row r="2453">
      <c r="A2453" s="25">
        <f>IF($C2453="","",Registro_Compras!$B$276)</f>
        <v/>
      </c>
      <c r="B2453">
        <f>IF($C2453="","","C"&amp;TEXT(INT((ROW()-5)/9)+1,"000")&amp;"-1")</f>
        <v/>
      </c>
      <c r="C2453">
        <f>IF(OR(Registro_Compras!$C$276="",Registro_Compras!$O$276=""),"",IF(Registro_Compras!$F$276="NOTA DE CREDITO","4212",IF(Registro_Compras!$M$276="","63",Registro_Compras!$M$276)))</f>
        <v/>
      </c>
      <c r="D2453">
        <f>IF(OR(Registro_Compras!$C$276="",Registro_Compras!$O$276=""),"",IF(Registro_Compras!$F$276="NOTA DE CREDITO","Cuentas por Pagar Comerciales - Terceros (Emitidas)",IF(Registro_Compras!$F$276="RHE","Honorarios Profesionales - Servicios de Terceros","Gastos de Servicios Prestados por Terceros")))</f>
        <v/>
      </c>
      <c r="E2453" s="20">
        <f>IF($C2453="","",IF(Registro_Compras!$F$276="NOTA DE CREDITO",ABS(Registro_Compras!$O$276),IF(Registro_Compras!$F$276="RHE",ROUND(Registro_Compras!$L$276*Registro_Compras!$N$276,2),ROUND(Registro_Compras!$J$276*Registro_Compras!$N$276,2))))</f>
        <v/>
      </c>
      <c r="F2453" s="20">
        <f>""</f>
        <v/>
      </c>
      <c r="G2453">
        <f>IF($C2453="","",IF(Registro_Compras!$F$276="NOTA DE CREDITO","Por la nota de credito "&amp;Registro_Compras!$C$276&amp;" de "&amp;Registro_Compras!$E$276&amp;" [PATRON POR CONFIRMAR CON CONTADOR]",IF(Registro_Compras!$F$276="RHE","Por el registro del recibo por honorarios "&amp;Registro_Compras!$C$276&amp;" de "&amp;Registro_Compras!$E$276&amp;" [PATRON POR CONFIRMAR CON CONTADOR]","Por el registro de la factura "&amp;Registro_Compras!$C$276&amp;" de "&amp;Registro_Compras!$E$276)))</f>
        <v/>
      </c>
      <c r="H2453">
        <f>IF($C2453="","",Registro_Compras!$C$276)</f>
        <v/>
      </c>
    </row>
    <row r="2454">
      <c r="A2454" s="25">
        <f>IF($C2454="","",Registro_Compras!$B$276)</f>
        <v/>
      </c>
      <c r="B2454">
        <f>IF($C2454="","","C"&amp;TEXT(INT((ROW()-5)/9)+1,"000")&amp;"-1")</f>
        <v/>
      </c>
      <c r="C2454">
        <f>IF(OR(Registro_Compras!$C$276="",Registro_Compras!$O$276=""),"",IF(Registro_Compras!$F$276="RHE",IF(Registro_Compras!$V$276=0,"","40172"),IF(Registro_Compras!$F$276="NOTA DE CREDITO",IF(Registro_Compras!$M$276="","63",Registro_Compras!$M$276),IF(Registro_Compras!$K$276=0,"","40111"))))</f>
        <v/>
      </c>
      <c r="D2454">
        <f>IF(OR(Registro_Compras!$C$276="",Registro_Compras!$O$276=""),"",IF(Registro_Compras!$F$276="RHE","Retencion Renta 4ta Categoria por Pagar",IF(Registro_Compras!$F$276="NOTA DE CREDITO","Gastos de Servicios Prestados por Terceros","IGV - Cuenta Propia (Credito Fiscal)")))</f>
        <v/>
      </c>
      <c r="E2454" s="20">
        <f>IF($C2454="","",IF(Registro_Compras!$F$276="FACTURA",ROUND(Registro_Compras!$K$276*Registro_Compras!$N$276,2),""))</f>
        <v/>
      </c>
      <c r="F2454" s="20">
        <f>IF($C2454="","",IF(Registro_Compras!$F$276="RHE",ROUND(Registro_Compras!$V$276*Registro_Compras!$N$276,2),IF(Registro_Compras!$F$276="NOTA DE CREDITO",ROUND(ABS(Registro_Compras!$J$276*Registro_Compras!$N$276),2),"")))</f>
        <v/>
      </c>
      <c r="G2454">
        <f>IF($C2454="","",IF(Registro_Compras!$F$276="NOTA DE CREDITO","Por la nota de credito "&amp;Registro_Compras!$C$276&amp;" de "&amp;Registro_Compras!$E$276&amp;" [PATRON POR CONFIRMAR CON CONTADOR]",IF(Registro_Compras!$F$276="RHE","Por el registro del recibo por honorarios "&amp;Registro_Compras!$C$276&amp;" de "&amp;Registro_Compras!$E$276&amp;" [PATRON POR CONFIRMAR CON CONTADOR]","Por el registro de la factura "&amp;Registro_Compras!$C$276&amp;" de "&amp;Registro_Compras!$E$276)))</f>
        <v/>
      </c>
      <c r="H2454">
        <f>IF($C2454="","",Registro_Compras!$C$276)</f>
        <v/>
      </c>
    </row>
    <row r="2455">
      <c r="A2455" s="25">
        <f>IF($C2455="","",Registro_Compras!$B$276)</f>
        <v/>
      </c>
      <c r="B2455">
        <f>IF($C2455="","","C"&amp;TEXT(INT((ROW()-5)/9)+1,"000")&amp;"-1")</f>
        <v/>
      </c>
      <c r="C2455">
        <f>IF(OR(Registro_Compras!$C$276="",Registro_Compras!$O$276=""),"",IF(Registro_Compras!$F$276="NOTA DE CREDITO",IF(Registro_Compras!$K$276=0,"","40111"),"4212"))</f>
        <v/>
      </c>
      <c r="D2455">
        <f>IF(OR(Registro_Compras!$C$276="",Registro_Compras!$O$276=""),"",IF(Registro_Compras!$F$276="NOTA DE CREDITO","IGV - Cuenta Propia (Credito Fiscal)","Cuentas por Pagar Comerciales - Terceros (Emitidas)"))</f>
        <v/>
      </c>
      <c r="E2455" s="20">
        <f>""</f>
        <v/>
      </c>
      <c r="F2455" s="20">
        <f>IF($C2455="","",IF(Registro_Compras!$F$276="NOTA DE CREDITO",ROUND(ABS(Registro_Compras!$K$276*Registro_Compras!$N$276),2),IF(Registro_Compras!$F$276="RHE",(ROUND(Registro_Compras!$L$276*Registro_Compras!$N$276,2)-ROUND(Registro_Compras!$V$276*Registro_Compras!$N$276,2)),Registro_Compras!$O$276)))</f>
        <v/>
      </c>
      <c r="G2455">
        <f>IF($C2455="","",IF(Registro_Compras!$F$276="NOTA DE CREDITO","Por la nota de credito "&amp;Registro_Compras!$C$276&amp;" de "&amp;Registro_Compras!$E$276&amp;" [PATRON POR CONFIRMAR CON CONTADOR]",IF(Registro_Compras!$F$276="RHE","Por el registro del recibo por honorarios "&amp;Registro_Compras!$C$276&amp;" de "&amp;Registro_Compras!$E$276&amp;" [PATRON POR CONFIRMAR CON CONTADOR]","Por el registro de la factura "&amp;Registro_Compras!$C$276&amp;" de "&amp;Registro_Compras!$E$276)))</f>
        <v/>
      </c>
      <c r="H2455">
        <f>IF($C2455="","",Registro_Compras!$C$276)</f>
        <v/>
      </c>
    </row>
    <row r="2456">
      <c r="A2456" s="25">
        <f>IF($C2456="","",Registro_Compras!$B$276)</f>
        <v/>
      </c>
      <c r="B2456">
        <f>IF($C2456="","","C"&amp;TEXT(INT((ROW()-5)/9)+1,"000")&amp;"-2")</f>
        <v/>
      </c>
      <c r="C2456">
        <f>IF(OR(Registro_Compras!$C$276="",Registro_Compras!$O$276=""),"",IF(Registro_Compras!$AB$276="ADMINISTRATIVO","94","95"))</f>
        <v/>
      </c>
      <c r="D2456">
        <f>IF(OR(Registro_Compras!$C$276="",Registro_Compras!$O$276=""),"",IF(Registro_Compras!$AB$276="ADMINISTRATIVO","Gastos Administrativos","Gastos de Venta y Operacion"))</f>
        <v/>
      </c>
      <c r="E2456" s="20">
        <f>IF($C2456="","",IF(Registro_Compras!$F$276="NOTA DE CREDITO","",IF(Registro_Compras!$F$276="RHE",ROUND(Registro_Compras!$L$276*Registro_Compras!$N$276,2),ROUND(Registro_Compras!$J$276*Registro_Compras!$N$276,2))))</f>
        <v/>
      </c>
      <c r="F2456" s="20">
        <f>IF($C2456="","",IF(Registro_Compras!$F$276="NOTA DE CREDITO",ROUND(ABS(Registro_Compras!$J$276*Registro_Compras!$N$276),2),""))</f>
        <v/>
      </c>
      <c r="G2456">
        <f>IF($C2456="","","Por el destino del gasto")</f>
        <v/>
      </c>
      <c r="H2456">
        <f>IF($C2456="","",Registro_Compras!$C$276)</f>
        <v/>
      </c>
    </row>
    <row r="2457">
      <c r="A2457" s="25">
        <f>IF($C2457="","",Registro_Compras!$B$276)</f>
        <v/>
      </c>
      <c r="B2457">
        <f>IF($C2457="","","C"&amp;TEXT(INT((ROW()-5)/9)+1,"000")&amp;"-2")</f>
        <v/>
      </c>
      <c r="C2457">
        <f>IF(OR(Registro_Compras!$C$276="",Registro_Compras!$O$276=""),"","79/791")</f>
        <v/>
      </c>
      <c r="D2457">
        <f>IF(OR(Registro_Compras!$C$276="",Registro_Compras!$O$276=""),"","Cargas Imputables a Cuentas de Costos y Gastos")</f>
        <v/>
      </c>
      <c r="E2457" s="20">
        <f>IF($C2457="","",IF(Registro_Compras!$F$276="NOTA DE CREDITO",ROUND(ABS(Registro_Compras!$J$276*Registro_Compras!$N$276),2),""))</f>
        <v/>
      </c>
      <c r="F2457" s="20">
        <f>IF($C2457="","",IF(Registro_Compras!$F$276="NOTA DE CREDITO","",IF(Registro_Compras!$F$276="RHE",ROUND(Registro_Compras!$L$276*Registro_Compras!$N$276,2),ROUND(Registro_Compras!$J$276*Registro_Compras!$N$276,2))))</f>
        <v/>
      </c>
      <c r="G2457">
        <f>IF($C2457="","","Por el destino del gasto")</f>
        <v/>
      </c>
      <c r="H2457">
        <f>IF($C2457="","",Registro_Compras!$C$276)</f>
        <v/>
      </c>
    </row>
    <row r="2458">
      <c r="A2458" s="25">
        <f>IF($C2458="","",Registro_Compras!$X$276)</f>
        <v/>
      </c>
      <c r="B2458">
        <f>IF($C2458="","","C"&amp;TEXT(INT((ROW()-5)/9)+1,"000")&amp;"-3")</f>
        <v/>
      </c>
      <c r="C2458">
        <f>IF(OR(Registro_Compras!$C$276="",Registro_Compras!$O$276="",Registro_Compras!$R$276&lt;&gt;"SI",Registro_Compras!$X$276=""),"","4212")</f>
        <v/>
      </c>
      <c r="D2458">
        <f>IF(OR(Registro_Compras!$C$276="",Registro_Compras!$O$276=""),"","Cuentas por Pagar Comerciales - Terceros")</f>
        <v/>
      </c>
      <c r="E2458" s="20">
        <f>IF($C2458="","",Registro_Compras!$S$276)</f>
        <v/>
      </c>
      <c r="F2458" s="20">
        <f>""</f>
        <v/>
      </c>
      <c r="G2458">
        <f>IF($C2458="","","Por el deposito de la detraccion en el Banco de la Nacion")</f>
        <v/>
      </c>
      <c r="H2458">
        <f>IF($C2458="","",Registro_Compras!$C$276)</f>
        <v/>
      </c>
    </row>
    <row r="2459">
      <c r="A2459" s="25">
        <f>IF($C2459="","",Registro_Compras!$X$276)</f>
        <v/>
      </c>
      <c r="B2459">
        <f>IF($C2459="","","C"&amp;TEXT(INT((ROW()-5)/9)+1,"000")&amp;"-3")</f>
        <v/>
      </c>
      <c r="C2459">
        <f>IF(OR(Registro_Compras!$C$276="",Registro_Compras!$O$276="",Registro_Compras!$R$276&lt;&gt;"SI",Registro_Compras!$X$276=""),"","10413")</f>
        <v/>
      </c>
      <c r="D2459">
        <f>IF(OR(Registro_Compras!$C$276="",Registro_Compras!$O$276=""),"","Efectivo y Equivalentes - Cta. Cte. Operativa")</f>
        <v/>
      </c>
      <c r="E2459" s="20">
        <f>""</f>
        <v/>
      </c>
      <c r="F2459" s="20">
        <f>IF($C2459="","",Registro_Compras!$S$276)</f>
        <v/>
      </c>
      <c r="G2459">
        <f>IF($C2459="","","Por el deposito de la detraccion en el Banco de la Nacion")</f>
        <v/>
      </c>
      <c r="H2459">
        <f>IF($C2459="","",Registro_Compras!$C$276)</f>
        <v/>
      </c>
    </row>
    <row r="2460">
      <c r="A2460" s="25">
        <f>IF($C2460="","",Registro_Compras!$Y$276)</f>
        <v/>
      </c>
      <c r="B2460">
        <f>IF($C2460="","","C"&amp;TEXT(INT((ROW()-5)/9)+1,"000")&amp;"-4")</f>
        <v/>
      </c>
      <c r="C2460">
        <f>IF(OR(Registro_Compras!$C$276="",Registro_Compras!$O$276="",Registro_Compras!$Y$276="",Registro_Compras!$F$276="NOTA DE CREDITO"),"","4212")</f>
        <v/>
      </c>
      <c r="D2460">
        <f>IF(OR(Registro_Compras!$C$276="",Registro_Compras!$O$276=""),"","Cuentas por Pagar Comerciales - Terceros")</f>
        <v/>
      </c>
      <c r="E2460" s="20">
        <f>IF($C2460="","",IF(Registro_Compras!$F$276="RHE",(ROUND(Registro_Compras!$L$276*Registro_Compras!$N$276,2)-ROUND(Registro_Compras!$V$276*Registro_Compras!$N$276,2)),ROUND(Registro_Compras!$O$276-Registro_Compras!$S$276,2)))</f>
        <v/>
      </c>
      <c r="F2460" s="20">
        <f>""</f>
        <v/>
      </c>
      <c r="G2460">
        <f>IF($C2460="","","Por la cancelacion del saldo al proveedor")</f>
        <v/>
      </c>
      <c r="H2460">
        <f>IF($C2460="","",Registro_Compras!$C$276)</f>
        <v/>
      </c>
    </row>
    <row r="2461">
      <c r="A2461" s="25">
        <f>IF($C2461="","",Registro_Compras!$Y$276)</f>
        <v/>
      </c>
      <c r="B2461">
        <f>IF($C2461="","","C"&amp;TEXT(INT((ROW()-5)/9)+1,"000")&amp;"-4")</f>
        <v/>
      </c>
      <c r="C2461">
        <f>IF(OR(Registro_Compras!$C$276="",Registro_Compras!$O$276="",Registro_Compras!$Y$276="",Registro_Compras!$F$276="NOTA DE CREDITO"),"","10413")</f>
        <v/>
      </c>
      <c r="D2461">
        <f>IF(OR(Registro_Compras!$C$276="",Registro_Compras!$O$276=""),"","Efectivo y Equivalentes - Cta. Cte. Operativa")</f>
        <v/>
      </c>
      <c r="E2461" s="20">
        <f>""</f>
        <v/>
      </c>
      <c r="F2461" s="20">
        <f>IF($C2461="","",IF(Registro_Compras!$F$276="RHE",(ROUND(Registro_Compras!$L$276*Registro_Compras!$N$276,2)-ROUND(Registro_Compras!$V$276*Registro_Compras!$N$276,2)),ROUND(Registro_Compras!$O$276-Registro_Compras!$S$276,2)))</f>
        <v/>
      </c>
      <c r="G2461">
        <f>IF($C2461="","","Por la cancelacion del saldo al proveedor")</f>
        <v/>
      </c>
      <c r="H2461">
        <f>IF($C2461="","",Registro_Compras!$C$276)</f>
        <v/>
      </c>
    </row>
    <row r="2462">
      <c r="A2462" s="25">
        <f>IF($C2462="","",Registro_Compras!$B$277)</f>
        <v/>
      </c>
      <c r="B2462">
        <f>IF($C2462="","","C"&amp;TEXT(INT((ROW()-5)/9)+1,"000")&amp;"-1")</f>
        <v/>
      </c>
      <c r="C2462">
        <f>IF(OR(Registro_Compras!$C$277="",Registro_Compras!$O$277=""),"",IF(Registro_Compras!$F$277="NOTA DE CREDITO","4212",IF(Registro_Compras!$M$277="","63",Registro_Compras!$M$277)))</f>
        <v/>
      </c>
      <c r="D2462">
        <f>IF(OR(Registro_Compras!$C$277="",Registro_Compras!$O$277=""),"",IF(Registro_Compras!$F$277="NOTA DE CREDITO","Cuentas por Pagar Comerciales - Terceros (Emitidas)",IF(Registro_Compras!$F$277="RHE","Honorarios Profesionales - Servicios de Terceros","Gastos de Servicios Prestados por Terceros")))</f>
        <v/>
      </c>
      <c r="E2462" s="20">
        <f>IF($C2462="","",IF(Registro_Compras!$F$277="NOTA DE CREDITO",ABS(Registro_Compras!$O$277),IF(Registro_Compras!$F$277="RHE",ROUND(Registro_Compras!$L$277*Registro_Compras!$N$277,2),ROUND(Registro_Compras!$J$277*Registro_Compras!$N$277,2))))</f>
        <v/>
      </c>
      <c r="F2462" s="20">
        <f>""</f>
        <v/>
      </c>
      <c r="G2462">
        <f>IF($C2462="","",IF(Registro_Compras!$F$277="NOTA DE CREDITO","Por la nota de credito "&amp;Registro_Compras!$C$277&amp;" de "&amp;Registro_Compras!$E$277&amp;" [PATRON POR CONFIRMAR CON CONTADOR]",IF(Registro_Compras!$F$277="RHE","Por el registro del recibo por honorarios "&amp;Registro_Compras!$C$277&amp;" de "&amp;Registro_Compras!$E$277&amp;" [PATRON POR CONFIRMAR CON CONTADOR]","Por el registro de la factura "&amp;Registro_Compras!$C$277&amp;" de "&amp;Registro_Compras!$E$277)))</f>
        <v/>
      </c>
      <c r="H2462">
        <f>IF($C2462="","",Registro_Compras!$C$277)</f>
        <v/>
      </c>
    </row>
    <row r="2463">
      <c r="A2463" s="25">
        <f>IF($C2463="","",Registro_Compras!$B$277)</f>
        <v/>
      </c>
      <c r="B2463">
        <f>IF($C2463="","","C"&amp;TEXT(INT((ROW()-5)/9)+1,"000")&amp;"-1")</f>
        <v/>
      </c>
      <c r="C2463">
        <f>IF(OR(Registro_Compras!$C$277="",Registro_Compras!$O$277=""),"",IF(Registro_Compras!$F$277="RHE",IF(Registro_Compras!$V$277=0,"","40172"),IF(Registro_Compras!$F$277="NOTA DE CREDITO",IF(Registro_Compras!$M$277="","63",Registro_Compras!$M$277),IF(Registro_Compras!$K$277=0,"","40111"))))</f>
        <v/>
      </c>
      <c r="D2463">
        <f>IF(OR(Registro_Compras!$C$277="",Registro_Compras!$O$277=""),"",IF(Registro_Compras!$F$277="RHE","Retencion Renta 4ta Categoria por Pagar",IF(Registro_Compras!$F$277="NOTA DE CREDITO","Gastos de Servicios Prestados por Terceros","IGV - Cuenta Propia (Credito Fiscal)")))</f>
        <v/>
      </c>
      <c r="E2463" s="20">
        <f>IF($C2463="","",IF(Registro_Compras!$F$277="FACTURA",ROUND(Registro_Compras!$K$277*Registro_Compras!$N$277,2),""))</f>
        <v/>
      </c>
      <c r="F2463" s="20">
        <f>IF($C2463="","",IF(Registro_Compras!$F$277="RHE",ROUND(Registro_Compras!$V$277*Registro_Compras!$N$277,2),IF(Registro_Compras!$F$277="NOTA DE CREDITO",ROUND(ABS(Registro_Compras!$J$277*Registro_Compras!$N$277),2),"")))</f>
        <v/>
      </c>
      <c r="G2463">
        <f>IF($C2463="","",IF(Registro_Compras!$F$277="NOTA DE CREDITO","Por la nota de credito "&amp;Registro_Compras!$C$277&amp;" de "&amp;Registro_Compras!$E$277&amp;" [PATRON POR CONFIRMAR CON CONTADOR]",IF(Registro_Compras!$F$277="RHE","Por el registro del recibo por honorarios "&amp;Registro_Compras!$C$277&amp;" de "&amp;Registro_Compras!$E$277&amp;" [PATRON POR CONFIRMAR CON CONTADOR]","Por el registro de la factura "&amp;Registro_Compras!$C$277&amp;" de "&amp;Registro_Compras!$E$277)))</f>
        <v/>
      </c>
      <c r="H2463">
        <f>IF($C2463="","",Registro_Compras!$C$277)</f>
        <v/>
      </c>
    </row>
    <row r="2464">
      <c r="A2464" s="25">
        <f>IF($C2464="","",Registro_Compras!$B$277)</f>
        <v/>
      </c>
      <c r="B2464">
        <f>IF($C2464="","","C"&amp;TEXT(INT((ROW()-5)/9)+1,"000")&amp;"-1")</f>
        <v/>
      </c>
      <c r="C2464">
        <f>IF(OR(Registro_Compras!$C$277="",Registro_Compras!$O$277=""),"",IF(Registro_Compras!$F$277="NOTA DE CREDITO",IF(Registro_Compras!$K$277=0,"","40111"),"4212"))</f>
        <v/>
      </c>
      <c r="D2464">
        <f>IF(OR(Registro_Compras!$C$277="",Registro_Compras!$O$277=""),"",IF(Registro_Compras!$F$277="NOTA DE CREDITO","IGV - Cuenta Propia (Credito Fiscal)","Cuentas por Pagar Comerciales - Terceros (Emitidas)"))</f>
        <v/>
      </c>
      <c r="E2464" s="20">
        <f>""</f>
        <v/>
      </c>
      <c r="F2464" s="20">
        <f>IF($C2464="","",IF(Registro_Compras!$F$277="NOTA DE CREDITO",ROUND(ABS(Registro_Compras!$K$277*Registro_Compras!$N$277),2),IF(Registro_Compras!$F$277="RHE",(ROUND(Registro_Compras!$L$277*Registro_Compras!$N$277,2)-ROUND(Registro_Compras!$V$277*Registro_Compras!$N$277,2)),Registro_Compras!$O$277)))</f>
        <v/>
      </c>
      <c r="G2464">
        <f>IF($C2464="","",IF(Registro_Compras!$F$277="NOTA DE CREDITO","Por la nota de credito "&amp;Registro_Compras!$C$277&amp;" de "&amp;Registro_Compras!$E$277&amp;" [PATRON POR CONFIRMAR CON CONTADOR]",IF(Registro_Compras!$F$277="RHE","Por el registro del recibo por honorarios "&amp;Registro_Compras!$C$277&amp;" de "&amp;Registro_Compras!$E$277&amp;" [PATRON POR CONFIRMAR CON CONTADOR]","Por el registro de la factura "&amp;Registro_Compras!$C$277&amp;" de "&amp;Registro_Compras!$E$277)))</f>
        <v/>
      </c>
      <c r="H2464">
        <f>IF($C2464="","",Registro_Compras!$C$277)</f>
        <v/>
      </c>
    </row>
    <row r="2465">
      <c r="A2465" s="25">
        <f>IF($C2465="","",Registro_Compras!$B$277)</f>
        <v/>
      </c>
      <c r="B2465">
        <f>IF($C2465="","","C"&amp;TEXT(INT((ROW()-5)/9)+1,"000")&amp;"-2")</f>
        <v/>
      </c>
      <c r="C2465">
        <f>IF(OR(Registro_Compras!$C$277="",Registro_Compras!$O$277=""),"",IF(Registro_Compras!$AB$277="ADMINISTRATIVO","94","95"))</f>
        <v/>
      </c>
      <c r="D2465">
        <f>IF(OR(Registro_Compras!$C$277="",Registro_Compras!$O$277=""),"",IF(Registro_Compras!$AB$277="ADMINISTRATIVO","Gastos Administrativos","Gastos de Venta y Operacion"))</f>
        <v/>
      </c>
      <c r="E2465" s="20">
        <f>IF($C2465="","",IF(Registro_Compras!$F$277="NOTA DE CREDITO","",IF(Registro_Compras!$F$277="RHE",ROUND(Registro_Compras!$L$277*Registro_Compras!$N$277,2),ROUND(Registro_Compras!$J$277*Registro_Compras!$N$277,2))))</f>
        <v/>
      </c>
      <c r="F2465" s="20">
        <f>IF($C2465="","",IF(Registro_Compras!$F$277="NOTA DE CREDITO",ROUND(ABS(Registro_Compras!$J$277*Registro_Compras!$N$277),2),""))</f>
        <v/>
      </c>
      <c r="G2465">
        <f>IF($C2465="","","Por el destino del gasto")</f>
        <v/>
      </c>
      <c r="H2465">
        <f>IF($C2465="","",Registro_Compras!$C$277)</f>
        <v/>
      </c>
    </row>
    <row r="2466">
      <c r="A2466" s="25">
        <f>IF($C2466="","",Registro_Compras!$B$277)</f>
        <v/>
      </c>
      <c r="B2466">
        <f>IF($C2466="","","C"&amp;TEXT(INT((ROW()-5)/9)+1,"000")&amp;"-2")</f>
        <v/>
      </c>
      <c r="C2466">
        <f>IF(OR(Registro_Compras!$C$277="",Registro_Compras!$O$277=""),"","79/791")</f>
        <v/>
      </c>
      <c r="D2466">
        <f>IF(OR(Registro_Compras!$C$277="",Registro_Compras!$O$277=""),"","Cargas Imputables a Cuentas de Costos y Gastos")</f>
        <v/>
      </c>
      <c r="E2466" s="20">
        <f>IF($C2466="","",IF(Registro_Compras!$F$277="NOTA DE CREDITO",ROUND(ABS(Registro_Compras!$J$277*Registro_Compras!$N$277),2),""))</f>
        <v/>
      </c>
      <c r="F2466" s="20">
        <f>IF($C2466="","",IF(Registro_Compras!$F$277="NOTA DE CREDITO","",IF(Registro_Compras!$F$277="RHE",ROUND(Registro_Compras!$L$277*Registro_Compras!$N$277,2),ROUND(Registro_Compras!$J$277*Registro_Compras!$N$277,2))))</f>
        <v/>
      </c>
      <c r="G2466">
        <f>IF($C2466="","","Por el destino del gasto")</f>
        <v/>
      </c>
      <c r="H2466">
        <f>IF($C2466="","",Registro_Compras!$C$277)</f>
        <v/>
      </c>
    </row>
    <row r="2467">
      <c r="A2467" s="25">
        <f>IF($C2467="","",Registro_Compras!$X$277)</f>
        <v/>
      </c>
      <c r="B2467">
        <f>IF($C2467="","","C"&amp;TEXT(INT((ROW()-5)/9)+1,"000")&amp;"-3")</f>
        <v/>
      </c>
      <c r="C2467">
        <f>IF(OR(Registro_Compras!$C$277="",Registro_Compras!$O$277="",Registro_Compras!$R$277&lt;&gt;"SI",Registro_Compras!$X$277=""),"","4212")</f>
        <v/>
      </c>
      <c r="D2467">
        <f>IF(OR(Registro_Compras!$C$277="",Registro_Compras!$O$277=""),"","Cuentas por Pagar Comerciales - Terceros")</f>
        <v/>
      </c>
      <c r="E2467" s="20">
        <f>IF($C2467="","",Registro_Compras!$S$277)</f>
        <v/>
      </c>
      <c r="F2467" s="20">
        <f>""</f>
        <v/>
      </c>
      <c r="G2467">
        <f>IF($C2467="","","Por el deposito de la detraccion en el Banco de la Nacion")</f>
        <v/>
      </c>
      <c r="H2467">
        <f>IF($C2467="","",Registro_Compras!$C$277)</f>
        <v/>
      </c>
    </row>
    <row r="2468">
      <c r="A2468" s="25">
        <f>IF($C2468="","",Registro_Compras!$X$277)</f>
        <v/>
      </c>
      <c r="B2468">
        <f>IF($C2468="","","C"&amp;TEXT(INT((ROW()-5)/9)+1,"000")&amp;"-3")</f>
        <v/>
      </c>
      <c r="C2468">
        <f>IF(OR(Registro_Compras!$C$277="",Registro_Compras!$O$277="",Registro_Compras!$R$277&lt;&gt;"SI",Registro_Compras!$X$277=""),"","10413")</f>
        <v/>
      </c>
      <c r="D2468">
        <f>IF(OR(Registro_Compras!$C$277="",Registro_Compras!$O$277=""),"","Efectivo y Equivalentes - Cta. Cte. Operativa")</f>
        <v/>
      </c>
      <c r="E2468" s="20">
        <f>""</f>
        <v/>
      </c>
      <c r="F2468" s="20">
        <f>IF($C2468="","",Registro_Compras!$S$277)</f>
        <v/>
      </c>
      <c r="G2468">
        <f>IF($C2468="","","Por el deposito de la detraccion en el Banco de la Nacion")</f>
        <v/>
      </c>
      <c r="H2468">
        <f>IF($C2468="","",Registro_Compras!$C$277)</f>
        <v/>
      </c>
    </row>
    <row r="2469">
      <c r="A2469" s="25">
        <f>IF($C2469="","",Registro_Compras!$Y$277)</f>
        <v/>
      </c>
      <c r="B2469">
        <f>IF($C2469="","","C"&amp;TEXT(INT((ROW()-5)/9)+1,"000")&amp;"-4")</f>
        <v/>
      </c>
      <c r="C2469">
        <f>IF(OR(Registro_Compras!$C$277="",Registro_Compras!$O$277="",Registro_Compras!$Y$277="",Registro_Compras!$F$277="NOTA DE CREDITO"),"","4212")</f>
        <v/>
      </c>
      <c r="D2469">
        <f>IF(OR(Registro_Compras!$C$277="",Registro_Compras!$O$277=""),"","Cuentas por Pagar Comerciales - Terceros")</f>
        <v/>
      </c>
      <c r="E2469" s="20">
        <f>IF($C2469="","",IF(Registro_Compras!$F$277="RHE",(ROUND(Registro_Compras!$L$277*Registro_Compras!$N$277,2)-ROUND(Registro_Compras!$V$277*Registro_Compras!$N$277,2)),ROUND(Registro_Compras!$O$277-Registro_Compras!$S$277,2)))</f>
        <v/>
      </c>
      <c r="F2469" s="20">
        <f>""</f>
        <v/>
      </c>
      <c r="G2469">
        <f>IF($C2469="","","Por la cancelacion del saldo al proveedor")</f>
        <v/>
      </c>
      <c r="H2469">
        <f>IF($C2469="","",Registro_Compras!$C$277)</f>
        <v/>
      </c>
    </row>
    <row r="2470">
      <c r="A2470" s="25">
        <f>IF($C2470="","",Registro_Compras!$Y$277)</f>
        <v/>
      </c>
      <c r="B2470">
        <f>IF($C2470="","","C"&amp;TEXT(INT((ROW()-5)/9)+1,"000")&amp;"-4")</f>
        <v/>
      </c>
      <c r="C2470">
        <f>IF(OR(Registro_Compras!$C$277="",Registro_Compras!$O$277="",Registro_Compras!$Y$277="",Registro_Compras!$F$277="NOTA DE CREDITO"),"","10413")</f>
        <v/>
      </c>
      <c r="D2470">
        <f>IF(OR(Registro_Compras!$C$277="",Registro_Compras!$O$277=""),"","Efectivo y Equivalentes - Cta. Cte. Operativa")</f>
        <v/>
      </c>
      <c r="E2470" s="20">
        <f>""</f>
        <v/>
      </c>
      <c r="F2470" s="20">
        <f>IF($C2470="","",IF(Registro_Compras!$F$277="RHE",(ROUND(Registro_Compras!$L$277*Registro_Compras!$N$277,2)-ROUND(Registro_Compras!$V$277*Registro_Compras!$N$277,2)),ROUND(Registro_Compras!$O$277-Registro_Compras!$S$277,2)))</f>
        <v/>
      </c>
      <c r="G2470">
        <f>IF($C2470="","","Por la cancelacion del saldo al proveedor")</f>
        <v/>
      </c>
      <c r="H2470">
        <f>IF($C2470="","",Registro_Compras!$C$277)</f>
        <v/>
      </c>
    </row>
    <row r="2471">
      <c r="A2471" s="25">
        <f>IF($C2471="","",Registro_Compras!$B$278)</f>
        <v/>
      </c>
      <c r="B2471">
        <f>IF($C2471="","","C"&amp;TEXT(INT((ROW()-5)/9)+1,"000")&amp;"-1")</f>
        <v/>
      </c>
      <c r="C2471">
        <f>IF(OR(Registro_Compras!$C$278="",Registro_Compras!$O$278=""),"",IF(Registro_Compras!$F$278="NOTA DE CREDITO","4212",IF(Registro_Compras!$M$278="","63",Registro_Compras!$M$278)))</f>
        <v/>
      </c>
      <c r="D2471">
        <f>IF(OR(Registro_Compras!$C$278="",Registro_Compras!$O$278=""),"",IF(Registro_Compras!$F$278="NOTA DE CREDITO","Cuentas por Pagar Comerciales - Terceros (Emitidas)",IF(Registro_Compras!$F$278="RHE","Honorarios Profesionales - Servicios de Terceros","Gastos de Servicios Prestados por Terceros")))</f>
        <v/>
      </c>
      <c r="E2471" s="20">
        <f>IF($C2471="","",IF(Registro_Compras!$F$278="NOTA DE CREDITO",ABS(Registro_Compras!$O$278),IF(Registro_Compras!$F$278="RHE",ROUND(Registro_Compras!$L$278*Registro_Compras!$N$278,2),ROUND(Registro_Compras!$J$278*Registro_Compras!$N$278,2))))</f>
        <v/>
      </c>
      <c r="F2471" s="20">
        <f>""</f>
        <v/>
      </c>
      <c r="G2471">
        <f>IF($C2471="","",IF(Registro_Compras!$F$278="NOTA DE CREDITO","Por la nota de credito "&amp;Registro_Compras!$C$278&amp;" de "&amp;Registro_Compras!$E$278&amp;" [PATRON POR CONFIRMAR CON CONTADOR]",IF(Registro_Compras!$F$278="RHE","Por el registro del recibo por honorarios "&amp;Registro_Compras!$C$278&amp;" de "&amp;Registro_Compras!$E$278&amp;" [PATRON POR CONFIRMAR CON CONTADOR]","Por el registro de la factura "&amp;Registro_Compras!$C$278&amp;" de "&amp;Registro_Compras!$E$278)))</f>
        <v/>
      </c>
      <c r="H2471">
        <f>IF($C2471="","",Registro_Compras!$C$278)</f>
        <v/>
      </c>
    </row>
    <row r="2472">
      <c r="A2472" s="25">
        <f>IF($C2472="","",Registro_Compras!$B$278)</f>
        <v/>
      </c>
      <c r="B2472">
        <f>IF($C2472="","","C"&amp;TEXT(INT((ROW()-5)/9)+1,"000")&amp;"-1")</f>
        <v/>
      </c>
      <c r="C2472">
        <f>IF(OR(Registro_Compras!$C$278="",Registro_Compras!$O$278=""),"",IF(Registro_Compras!$F$278="RHE",IF(Registro_Compras!$V$278=0,"","40172"),IF(Registro_Compras!$F$278="NOTA DE CREDITO",IF(Registro_Compras!$M$278="","63",Registro_Compras!$M$278),IF(Registro_Compras!$K$278=0,"","40111"))))</f>
        <v/>
      </c>
      <c r="D2472">
        <f>IF(OR(Registro_Compras!$C$278="",Registro_Compras!$O$278=""),"",IF(Registro_Compras!$F$278="RHE","Retencion Renta 4ta Categoria por Pagar",IF(Registro_Compras!$F$278="NOTA DE CREDITO","Gastos de Servicios Prestados por Terceros","IGV - Cuenta Propia (Credito Fiscal)")))</f>
        <v/>
      </c>
      <c r="E2472" s="20">
        <f>IF($C2472="","",IF(Registro_Compras!$F$278="FACTURA",ROUND(Registro_Compras!$K$278*Registro_Compras!$N$278,2),""))</f>
        <v/>
      </c>
      <c r="F2472" s="20">
        <f>IF($C2472="","",IF(Registro_Compras!$F$278="RHE",ROUND(Registro_Compras!$V$278*Registro_Compras!$N$278,2),IF(Registro_Compras!$F$278="NOTA DE CREDITO",ROUND(ABS(Registro_Compras!$J$278*Registro_Compras!$N$278),2),"")))</f>
        <v/>
      </c>
      <c r="G2472">
        <f>IF($C2472="","",IF(Registro_Compras!$F$278="NOTA DE CREDITO","Por la nota de credito "&amp;Registro_Compras!$C$278&amp;" de "&amp;Registro_Compras!$E$278&amp;" [PATRON POR CONFIRMAR CON CONTADOR]",IF(Registro_Compras!$F$278="RHE","Por el registro del recibo por honorarios "&amp;Registro_Compras!$C$278&amp;" de "&amp;Registro_Compras!$E$278&amp;" [PATRON POR CONFIRMAR CON CONTADOR]","Por el registro de la factura "&amp;Registro_Compras!$C$278&amp;" de "&amp;Registro_Compras!$E$278)))</f>
        <v/>
      </c>
      <c r="H2472">
        <f>IF($C2472="","",Registro_Compras!$C$278)</f>
        <v/>
      </c>
    </row>
    <row r="2473">
      <c r="A2473" s="25">
        <f>IF($C2473="","",Registro_Compras!$B$278)</f>
        <v/>
      </c>
      <c r="B2473">
        <f>IF($C2473="","","C"&amp;TEXT(INT((ROW()-5)/9)+1,"000")&amp;"-1")</f>
        <v/>
      </c>
      <c r="C2473">
        <f>IF(OR(Registro_Compras!$C$278="",Registro_Compras!$O$278=""),"",IF(Registro_Compras!$F$278="NOTA DE CREDITO",IF(Registro_Compras!$K$278=0,"","40111"),"4212"))</f>
        <v/>
      </c>
      <c r="D2473">
        <f>IF(OR(Registro_Compras!$C$278="",Registro_Compras!$O$278=""),"",IF(Registro_Compras!$F$278="NOTA DE CREDITO","IGV - Cuenta Propia (Credito Fiscal)","Cuentas por Pagar Comerciales - Terceros (Emitidas)"))</f>
        <v/>
      </c>
      <c r="E2473" s="20">
        <f>""</f>
        <v/>
      </c>
      <c r="F2473" s="20">
        <f>IF($C2473="","",IF(Registro_Compras!$F$278="NOTA DE CREDITO",ROUND(ABS(Registro_Compras!$K$278*Registro_Compras!$N$278),2),IF(Registro_Compras!$F$278="RHE",(ROUND(Registro_Compras!$L$278*Registro_Compras!$N$278,2)-ROUND(Registro_Compras!$V$278*Registro_Compras!$N$278,2)),Registro_Compras!$O$278)))</f>
        <v/>
      </c>
      <c r="G2473">
        <f>IF($C2473="","",IF(Registro_Compras!$F$278="NOTA DE CREDITO","Por la nota de credito "&amp;Registro_Compras!$C$278&amp;" de "&amp;Registro_Compras!$E$278&amp;" [PATRON POR CONFIRMAR CON CONTADOR]",IF(Registro_Compras!$F$278="RHE","Por el registro del recibo por honorarios "&amp;Registro_Compras!$C$278&amp;" de "&amp;Registro_Compras!$E$278&amp;" [PATRON POR CONFIRMAR CON CONTADOR]","Por el registro de la factura "&amp;Registro_Compras!$C$278&amp;" de "&amp;Registro_Compras!$E$278)))</f>
        <v/>
      </c>
      <c r="H2473">
        <f>IF($C2473="","",Registro_Compras!$C$278)</f>
        <v/>
      </c>
    </row>
    <row r="2474">
      <c r="A2474" s="25">
        <f>IF($C2474="","",Registro_Compras!$B$278)</f>
        <v/>
      </c>
      <c r="B2474">
        <f>IF($C2474="","","C"&amp;TEXT(INT((ROW()-5)/9)+1,"000")&amp;"-2")</f>
        <v/>
      </c>
      <c r="C2474">
        <f>IF(OR(Registro_Compras!$C$278="",Registro_Compras!$O$278=""),"",IF(Registro_Compras!$AB$278="ADMINISTRATIVO","94","95"))</f>
        <v/>
      </c>
      <c r="D2474">
        <f>IF(OR(Registro_Compras!$C$278="",Registro_Compras!$O$278=""),"",IF(Registro_Compras!$AB$278="ADMINISTRATIVO","Gastos Administrativos","Gastos de Venta y Operacion"))</f>
        <v/>
      </c>
      <c r="E2474" s="20">
        <f>IF($C2474="","",IF(Registro_Compras!$F$278="NOTA DE CREDITO","",IF(Registro_Compras!$F$278="RHE",ROUND(Registro_Compras!$L$278*Registro_Compras!$N$278,2),ROUND(Registro_Compras!$J$278*Registro_Compras!$N$278,2))))</f>
        <v/>
      </c>
      <c r="F2474" s="20">
        <f>IF($C2474="","",IF(Registro_Compras!$F$278="NOTA DE CREDITO",ROUND(ABS(Registro_Compras!$J$278*Registro_Compras!$N$278),2),""))</f>
        <v/>
      </c>
      <c r="G2474">
        <f>IF($C2474="","","Por el destino del gasto")</f>
        <v/>
      </c>
      <c r="H2474">
        <f>IF($C2474="","",Registro_Compras!$C$278)</f>
        <v/>
      </c>
    </row>
    <row r="2475">
      <c r="A2475" s="25">
        <f>IF($C2475="","",Registro_Compras!$B$278)</f>
        <v/>
      </c>
      <c r="B2475">
        <f>IF($C2475="","","C"&amp;TEXT(INT((ROW()-5)/9)+1,"000")&amp;"-2")</f>
        <v/>
      </c>
      <c r="C2475">
        <f>IF(OR(Registro_Compras!$C$278="",Registro_Compras!$O$278=""),"","79/791")</f>
        <v/>
      </c>
      <c r="D2475">
        <f>IF(OR(Registro_Compras!$C$278="",Registro_Compras!$O$278=""),"","Cargas Imputables a Cuentas de Costos y Gastos")</f>
        <v/>
      </c>
      <c r="E2475" s="20">
        <f>IF($C2475="","",IF(Registro_Compras!$F$278="NOTA DE CREDITO",ROUND(ABS(Registro_Compras!$J$278*Registro_Compras!$N$278),2),""))</f>
        <v/>
      </c>
      <c r="F2475" s="20">
        <f>IF($C2475="","",IF(Registro_Compras!$F$278="NOTA DE CREDITO","",IF(Registro_Compras!$F$278="RHE",ROUND(Registro_Compras!$L$278*Registro_Compras!$N$278,2),ROUND(Registro_Compras!$J$278*Registro_Compras!$N$278,2))))</f>
        <v/>
      </c>
      <c r="G2475">
        <f>IF($C2475="","","Por el destino del gasto")</f>
        <v/>
      </c>
      <c r="H2475">
        <f>IF($C2475="","",Registro_Compras!$C$278)</f>
        <v/>
      </c>
    </row>
    <row r="2476">
      <c r="A2476" s="25">
        <f>IF($C2476="","",Registro_Compras!$X$278)</f>
        <v/>
      </c>
      <c r="B2476">
        <f>IF($C2476="","","C"&amp;TEXT(INT((ROW()-5)/9)+1,"000")&amp;"-3")</f>
        <v/>
      </c>
      <c r="C2476">
        <f>IF(OR(Registro_Compras!$C$278="",Registro_Compras!$O$278="",Registro_Compras!$R$278&lt;&gt;"SI",Registro_Compras!$X$278=""),"","4212")</f>
        <v/>
      </c>
      <c r="D2476">
        <f>IF(OR(Registro_Compras!$C$278="",Registro_Compras!$O$278=""),"","Cuentas por Pagar Comerciales - Terceros")</f>
        <v/>
      </c>
      <c r="E2476" s="20">
        <f>IF($C2476="","",Registro_Compras!$S$278)</f>
        <v/>
      </c>
      <c r="F2476" s="20">
        <f>""</f>
        <v/>
      </c>
      <c r="G2476">
        <f>IF($C2476="","","Por el deposito de la detraccion en el Banco de la Nacion")</f>
        <v/>
      </c>
      <c r="H2476">
        <f>IF($C2476="","",Registro_Compras!$C$278)</f>
        <v/>
      </c>
    </row>
    <row r="2477">
      <c r="A2477" s="25">
        <f>IF($C2477="","",Registro_Compras!$X$278)</f>
        <v/>
      </c>
      <c r="B2477">
        <f>IF($C2477="","","C"&amp;TEXT(INT((ROW()-5)/9)+1,"000")&amp;"-3")</f>
        <v/>
      </c>
      <c r="C2477">
        <f>IF(OR(Registro_Compras!$C$278="",Registro_Compras!$O$278="",Registro_Compras!$R$278&lt;&gt;"SI",Registro_Compras!$X$278=""),"","10413")</f>
        <v/>
      </c>
      <c r="D2477">
        <f>IF(OR(Registro_Compras!$C$278="",Registro_Compras!$O$278=""),"","Efectivo y Equivalentes - Cta. Cte. Operativa")</f>
        <v/>
      </c>
      <c r="E2477" s="20">
        <f>""</f>
        <v/>
      </c>
      <c r="F2477" s="20">
        <f>IF($C2477="","",Registro_Compras!$S$278)</f>
        <v/>
      </c>
      <c r="G2477">
        <f>IF($C2477="","","Por el deposito de la detraccion en el Banco de la Nacion")</f>
        <v/>
      </c>
      <c r="H2477">
        <f>IF($C2477="","",Registro_Compras!$C$278)</f>
        <v/>
      </c>
    </row>
    <row r="2478">
      <c r="A2478" s="25">
        <f>IF($C2478="","",Registro_Compras!$Y$278)</f>
        <v/>
      </c>
      <c r="B2478">
        <f>IF($C2478="","","C"&amp;TEXT(INT((ROW()-5)/9)+1,"000")&amp;"-4")</f>
        <v/>
      </c>
      <c r="C2478">
        <f>IF(OR(Registro_Compras!$C$278="",Registro_Compras!$O$278="",Registro_Compras!$Y$278="",Registro_Compras!$F$278="NOTA DE CREDITO"),"","4212")</f>
        <v/>
      </c>
      <c r="D2478">
        <f>IF(OR(Registro_Compras!$C$278="",Registro_Compras!$O$278=""),"","Cuentas por Pagar Comerciales - Terceros")</f>
        <v/>
      </c>
      <c r="E2478" s="20">
        <f>IF($C2478="","",IF(Registro_Compras!$F$278="RHE",(ROUND(Registro_Compras!$L$278*Registro_Compras!$N$278,2)-ROUND(Registro_Compras!$V$278*Registro_Compras!$N$278,2)),ROUND(Registro_Compras!$O$278-Registro_Compras!$S$278,2)))</f>
        <v/>
      </c>
      <c r="F2478" s="20">
        <f>""</f>
        <v/>
      </c>
      <c r="G2478">
        <f>IF($C2478="","","Por la cancelacion del saldo al proveedor")</f>
        <v/>
      </c>
      <c r="H2478">
        <f>IF($C2478="","",Registro_Compras!$C$278)</f>
        <v/>
      </c>
    </row>
    <row r="2479">
      <c r="A2479" s="25">
        <f>IF($C2479="","",Registro_Compras!$Y$278)</f>
        <v/>
      </c>
      <c r="B2479">
        <f>IF($C2479="","","C"&amp;TEXT(INT((ROW()-5)/9)+1,"000")&amp;"-4")</f>
        <v/>
      </c>
      <c r="C2479">
        <f>IF(OR(Registro_Compras!$C$278="",Registro_Compras!$O$278="",Registro_Compras!$Y$278="",Registro_Compras!$F$278="NOTA DE CREDITO"),"","10413")</f>
        <v/>
      </c>
      <c r="D2479">
        <f>IF(OR(Registro_Compras!$C$278="",Registro_Compras!$O$278=""),"","Efectivo y Equivalentes - Cta. Cte. Operativa")</f>
        <v/>
      </c>
      <c r="E2479" s="20">
        <f>""</f>
        <v/>
      </c>
      <c r="F2479" s="20">
        <f>IF($C2479="","",IF(Registro_Compras!$F$278="RHE",(ROUND(Registro_Compras!$L$278*Registro_Compras!$N$278,2)-ROUND(Registro_Compras!$V$278*Registro_Compras!$N$278,2)),ROUND(Registro_Compras!$O$278-Registro_Compras!$S$278,2)))</f>
        <v/>
      </c>
      <c r="G2479">
        <f>IF($C2479="","","Por la cancelacion del saldo al proveedor")</f>
        <v/>
      </c>
      <c r="H2479">
        <f>IF($C2479="","",Registro_Compras!$C$278)</f>
        <v/>
      </c>
    </row>
    <row r="2480">
      <c r="A2480" s="25">
        <f>IF($C2480="","",Registro_Compras!$B$279)</f>
        <v/>
      </c>
      <c r="B2480">
        <f>IF($C2480="","","C"&amp;TEXT(INT((ROW()-5)/9)+1,"000")&amp;"-1")</f>
        <v/>
      </c>
      <c r="C2480">
        <f>IF(OR(Registro_Compras!$C$279="",Registro_Compras!$O$279=""),"",IF(Registro_Compras!$F$279="NOTA DE CREDITO","4212",IF(Registro_Compras!$M$279="","63",Registro_Compras!$M$279)))</f>
        <v/>
      </c>
      <c r="D2480">
        <f>IF(OR(Registro_Compras!$C$279="",Registro_Compras!$O$279=""),"",IF(Registro_Compras!$F$279="NOTA DE CREDITO","Cuentas por Pagar Comerciales - Terceros (Emitidas)",IF(Registro_Compras!$F$279="RHE","Honorarios Profesionales - Servicios de Terceros","Gastos de Servicios Prestados por Terceros")))</f>
        <v/>
      </c>
      <c r="E2480" s="20">
        <f>IF($C2480="","",IF(Registro_Compras!$F$279="NOTA DE CREDITO",ABS(Registro_Compras!$O$279),IF(Registro_Compras!$F$279="RHE",ROUND(Registro_Compras!$L$279*Registro_Compras!$N$279,2),ROUND(Registro_Compras!$J$279*Registro_Compras!$N$279,2))))</f>
        <v/>
      </c>
      <c r="F2480" s="20">
        <f>""</f>
        <v/>
      </c>
      <c r="G2480">
        <f>IF($C2480="","",IF(Registro_Compras!$F$279="NOTA DE CREDITO","Por la nota de credito "&amp;Registro_Compras!$C$279&amp;" de "&amp;Registro_Compras!$E$279&amp;" [PATRON POR CONFIRMAR CON CONTADOR]",IF(Registro_Compras!$F$279="RHE","Por el registro del recibo por honorarios "&amp;Registro_Compras!$C$279&amp;" de "&amp;Registro_Compras!$E$279&amp;" [PATRON POR CONFIRMAR CON CONTADOR]","Por el registro de la factura "&amp;Registro_Compras!$C$279&amp;" de "&amp;Registro_Compras!$E$279)))</f>
        <v/>
      </c>
      <c r="H2480">
        <f>IF($C2480="","",Registro_Compras!$C$279)</f>
        <v/>
      </c>
    </row>
    <row r="2481">
      <c r="A2481" s="25">
        <f>IF($C2481="","",Registro_Compras!$B$279)</f>
        <v/>
      </c>
      <c r="B2481">
        <f>IF($C2481="","","C"&amp;TEXT(INT((ROW()-5)/9)+1,"000")&amp;"-1")</f>
        <v/>
      </c>
      <c r="C2481">
        <f>IF(OR(Registro_Compras!$C$279="",Registro_Compras!$O$279=""),"",IF(Registro_Compras!$F$279="RHE",IF(Registro_Compras!$V$279=0,"","40172"),IF(Registro_Compras!$F$279="NOTA DE CREDITO",IF(Registro_Compras!$M$279="","63",Registro_Compras!$M$279),IF(Registro_Compras!$K$279=0,"","40111"))))</f>
        <v/>
      </c>
      <c r="D2481">
        <f>IF(OR(Registro_Compras!$C$279="",Registro_Compras!$O$279=""),"",IF(Registro_Compras!$F$279="RHE","Retencion Renta 4ta Categoria por Pagar",IF(Registro_Compras!$F$279="NOTA DE CREDITO","Gastos de Servicios Prestados por Terceros","IGV - Cuenta Propia (Credito Fiscal)")))</f>
        <v/>
      </c>
      <c r="E2481" s="20">
        <f>IF($C2481="","",IF(Registro_Compras!$F$279="FACTURA",ROUND(Registro_Compras!$K$279*Registro_Compras!$N$279,2),""))</f>
        <v/>
      </c>
      <c r="F2481" s="20">
        <f>IF($C2481="","",IF(Registro_Compras!$F$279="RHE",ROUND(Registro_Compras!$V$279*Registro_Compras!$N$279,2),IF(Registro_Compras!$F$279="NOTA DE CREDITO",ROUND(ABS(Registro_Compras!$J$279*Registro_Compras!$N$279),2),"")))</f>
        <v/>
      </c>
      <c r="G2481">
        <f>IF($C2481="","",IF(Registro_Compras!$F$279="NOTA DE CREDITO","Por la nota de credito "&amp;Registro_Compras!$C$279&amp;" de "&amp;Registro_Compras!$E$279&amp;" [PATRON POR CONFIRMAR CON CONTADOR]",IF(Registro_Compras!$F$279="RHE","Por el registro del recibo por honorarios "&amp;Registro_Compras!$C$279&amp;" de "&amp;Registro_Compras!$E$279&amp;" [PATRON POR CONFIRMAR CON CONTADOR]","Por el registro de la factura "&amp;Registro_Compras!$C$279&amp;" de "&amp;Registro_Compras!$E$279)))</f>
        <v/>
      </c>
      <c r="H2481">
        <f>IF($C2481="","",Registro_Compras!$C$279)</f>
        <v/>
      </c>
    </row>
    <row r="2482">
      <c r="A2482" s="25">
        <f>IF($C2482="","",Registro_Compras!$B$279)</f>
        <v/>
      </c>
      <c r="B2482">
        <f>IF($C2482="","","C"&amp;TEXT(INT((ROW()-5)/9)+1,"000")&amp;"-1")</f>
        <v/>
      </c>
      <c r="C2482">
        <f>IF(OR(Registro_Compras!$C$279="",Registro_Compras!$O$279=""),"",IF(Registro_Compras!$F$279="NOTA DE CREDITO",IF(Registro_Compras!$K$279=0,"","40111"),"4212"))</f>
        <v/>
      </c>
      <c r="D2482">
        <f>IF(OR(Registro_Compras!$C$279="",Registro_Compras!$O$279=""),"",IF(Registro_Compras!$F$279="NOTA DE CREDITO","IGV - Cuenta Propia (Credito Fiscal)","Cuentas por Pagar Comerciales - Terceros (Emitidas)"))</f>
        <v/>
      </c>
      <c r="E2482" s="20">
        <f>""</f>
        <v/>
      </c>
      <c r="F2482" s="20">
        <f>IF($C2482="","",IF(Registro_Compras!$F$279="NOTA DE CREDITO",ROUND(ABS(Registro_Compras!$K$279*Registro_Compras!$N$279),2),IF(Registro_Compras!$F$279="RHE",(ROUND(Registro_Compras!$L$279*Registro_Compras!$N$279,2)-ROUND(Registro_Compras!$V$279*Registro_Compras!$N$279,2)),Registro_Compras!$O$279)))</f>
        <v/>
      </c>
      <c r="G2482">
        <f>IF($C2482="","",IF(Registro_Compras!$F$279="NOTA DE CREDITO","Por la nota de credito "&amp;Registro_Compras!$C$279&amp;" de "&amp;Registro_Compras!$E$279&amp;" [PATRON POR CONFIRMAR CON CONTADOR]",IF(Registro_Compras!$F$279="RHE","Por el registro del recibo por honorarios "&amp;Registro_Compras!$C$279&amp;" de "&amp;Registro_Compras!$E$279&amp;" [PATRON POR CONFIRMAR CON CONTADOR]","Por el registro de la factura "&amp;Registro_Compras!$C$279&amp;" de "&amp;Registro_Compras!$E$279)))</f>
        <v/>
      </c>
      <c r="H2482">
        <f>IF($C2482="","",Registro_Compras!$C$279)</f>
        <v/>
      </c>
    </row>
    <row r="2483">
      <c r="A2483" s="25">
        <f>IF($C2483="","",Registro_Compras!$B$279)</f>
        <v/>
      </c>
      <c r="B2483">
        <f>IF($C2483="","","C"&amp;TEXT(INT((ROW()-5)/9)+1,"000")&amp;"-2")</f>
        <v/>
      </c>
      <c r="C2483">
        <f>IF(OR(Registro_Compras!$C$279="",Registro_Compras!$O$279=""),"",IF(Registro_Compras!$AB$279="ADMINISTRATIVO","94","95"))</f>
        <v/>
      </c>
      <c r="D2483">
        <f>IF(OR(Registro_Compras!$C$279="",Registro_Compras!$O$279=""),"",IF(Registro_Compras!$AB$279="ADMINISTRATIVO","Gastos Administrativos","Gastos de Venta y Operacion"))</f>
        <v/>
      </c>
      <c r="E2483" s="20">
        <f>IF($C2483="","",IF(Registro_Compras!$F$279="NOTA DE CREDITO","",IF(Registro_Compras!$F$279="RHE",ROUND(Registro_Compras!$L$279*Registro_Compras!$N$279,2),ROUND(Registro_Compras!$J$279*Registro_Compras!$N$279,2))))</f>
        <v/>
      </c>
      <c r="F2483" s="20">
        <f>IF($C2483="","",IF(Registro_Compras!$F$279="NOTA DE CREDITO",ROUND(ABS(Registro_Compras!$J$279*Registro_Compras!$N$279),2),""))</f>
        <v/>
      </c>
      <c r="G2483">
        <f>IF($C2483="","","Por el destino del gasto")</f>
        <v/>
      </c>
      <c r="H2483">
        <f>IF($C2483="","",Registro_Compras!$C$279)</f>
        <v/>
      </c>
    </row>
    <row r="2484">
      <c r="A2484" s="25">
        <f>IF($C2484="","",Registro_Compras!$B$279)</f>
        <v/>
      </c>
      <c r="B2484">
        <f>IF($C2484="","","C"&amp;TEXT(INT((ROW()-5)/9)+1,"000")&amp;"-2")</f>
        <v/>
      </c>
      <c r="C2484">
        <f>IF(OR(Registro_Compras!$C$279="",Registro_Compras!$O$279=""),"","79/791")</f>
        <v/>
      </c>
      <c r="D2484">
        <f>IF(OR(Registro_Compras!$C$279="",Registro_Compras!$O$279=""),"","Cargas Imputables a Cuentas de Costos y Gastos")</f>
        <v/>
      </c>
      <c r="E2484" s="20">
        <f>IF($C2484="","",IF(Registro_Compras!$F$279="NOTA DE CREDITO",ROUND(ABS(Registro_Compras!$J$279*Registro_Compras!$N$279),2),""))</f>
        <v/>
      </c>
      <c r="F2484" s="20">
        <f>IF($C2484="","",IF(Registro_Compras!$F$279="NOTA DE CREDITO","",IF(Registro_Compras!$F$279="RHE",ROUND(Registro_Compras!$L$279*Registro_Compras!$N$279,2),ROUND(Registro_Compras!$J$279*Registro_Compras!$N$279,2))))</f>
        <v/>
      </c>
      <c r="G2484">
        <f>IF($C2484="","","Por el destino del gasto")</f>
        <v/>
      </c>
      <c r="H2484">
        <f>IF($C2484="","",Registro_Compras!$C$279)</f>
        <v/>
      </c>
    </row>
    <row r="2485">
      <c r="A2485" s="25">
        <f>IF($C2485="","",Registro_Compras!$X$279)</f>
        <v/>
      </c>
      <c r="B2485">
        <f>IF($C2485="","","C"&amp;TEXT(INT((ROW()-5)/9)+1,"000")&amp;"-3")</f>
        <v/>
      </c>
      <c r="C2485">
        <f>IF(OR(Registro_Compras!$C$279="",Registro_Compras!$O$279="",Registro_Compras!$R$279&lt;&gt;"SI",Registro_Compras!$X$279=""),"","4212")</f>
        <v/>
      </c>
      <c r="D2485">
        <f>IF(OR(Registro_Compras!$C$279="",Registro_Compras!$O$279=""),"","Cuentas por Pagar Comerciales - Terceros")</f>
        <v/>
      </c>
      <c r="E2485" s="20">
        <f>IF($C2485="","",Registro_Compras!$S$279)</f>
        <v/>
      </c>
      <c r="F2485" s="20">
        <f>""</f>
        <v/>
      </c>
      <c r="G2485">
        <f>IF($C2485="","","Por el deposito de la detraccion en el Banco de la Nacion")</f>
        <v/>
      </c>
      <c r="H2485">
        <f>IF($C2485="","",Registro_Compras!$C$279)</f>
        <v/>
      </c>
    </row>
    <row r="2486">
      <c r="A2486" s="25">
        <f>IF($C2486="","",Registro_Compras!$X$279)</f>
        <v/>
      </c>
      <c r="B2486">
        <f>IF($C2486="","","C"&amp;TEXT(INT((ROW()-5)/9)+1,"000")&amp;"-3")</f>
        <v/>
      </c>
      <c r="C2486">
        <f>IF(OR(Registro_Compras!$C$279="",Registro_Compras!$O$279="",Registro_Compras!$R$279&lt;&gt;"SI",Registro_Compras!$X$279=""),"","10413")</f>
        <v/>
      </c>
      <c r="D2486">
        <f>IF(OR(Registro_Compras!$C$279="",Registro_Compras!$O$279=""),"","Efectivo y Equivalentes - Cta. Cte. Operativa")</f>
        <v/>
      </c>
      <c r="E2486" s="20">
        <f>""</f>
        <v/>
      </c>
      <c r="F2486" s="20">
        <f>IF($C2486="","",Registro_Compras!$S$279)</f>
        <v/>
      </c>
      <c r="G2486">
        <f>IF($C2486="","","Por el deposito de la detraccion en el Banco de la Nacion")</f>
        <v/>
      </c>
      <c r="H2486">
        <f>IF($C2486="","",Registro_Compras!$C$279)</f>
        <v/>
      </c>
    </row>
    <row r="2487">
      <c r="A2487" s="25">
        <f>IF($C2487="","",Registro_Compras!$Y$279)</f>
        <v/>
      </c>
      <c r="B2487">
        <f>IF($C2487="","","C"&amp;TEXT(INT((ROW()-5)/9)+1,"000")&amp;"-4")</f>
        <v/>
      </c>
      <c r="C2487">
        <f>IF(OR(Registro_Compras!$C$279="",Registro_Compras!$O$279="",Registro_Compras!$Y$279="",Registro_Compras!$F$279="NOTA DE CREDITO"),"","4212")</f>
        <v/>
      </c>
      <c r="D2487">
        <f>IF(OR(Registro_Compras!$C$279="",Registro_Compras!$O$279=""),"","Cuentas por Pagar Comerciales - Terceros")</f>
        <v/>
      </c>
      <c r="E2487" s="20">
        <f>IF($C2487="","",IF(Registro_Compras!$F$279="RHE",(ROUND(Registro_Compras!$L$279*Registro_Compras!$N$279,2)-ROUND(Registro_Compras!$V$279*Registro_Compras!$N$279,2)),ROUND(Registro_Compras!$O$279-Registro_Compras!$S$279,2)))</f>
        <v/>
      </c>
      <c r="F2487" s="20">
        <f>""</f>
        <v/>
      </c>
      <c r="G2487">
        <f>IF($C2487="","","Por la cancelacion del saldo al proveedor")</f>
        <v/>
      </c>
      <c r="H2487">
        <f>IF($C2487="","",Registro_Compras!$C$279)</f>
        <v/>
      </c>
    </row>
    <row r="2488">
      <c r="A2488" s="25">
        <f>IF($C2488="","",Registro_Compras!$Y$279)</f>
        <v/>
      </c>
      <c r="B2488">
        <f>IF($C2488="","","C"&amp;TEXT(INT((ROW()-5)/9)+1,"000")&amp;"-4")</f>
        <v/>
      </c>
      <c r="C2488">
        <f>IF(OR(Registro_Compras!$C$279="",Registro_Compras!$O$279="",Registro_Compras!$Y$279="",Registro_Compras!$F$279="NOTA DE CREDITO"),"","10413")</f>
        <v/>
      </c>
      <c r="D2488">
        <f>IF(OR(Registro_Compras!$C$279="",Registro_Compras!$O$279=""),"","Efectivo y Equivalentes - Cta. Cte. Operativa")</f>
        <v/>
      </c>
      <c r="E2488" s="20">
        <f>""</f>
        <v/>
      </c>
      <c r="F2488" s="20">
        <f>IF($C2488="","",IF(Registro_Compras!$F$279="RHE",(ROUND(Registro_Compras!$L$279*Registro_Compras!$N$279,2)-ROUND(Registro_Compras!$V$279*Registro_Compras!$N$279,2)),ROUND(Registro_Compras!$O$279-Registro_Compras!$S$279,2)))</f>
        <v/>
      </c>
      <c r="G2488">
        <f>IF($C2488="","","Por la cancelacion del saldo al proveedor")</f>
        <v/>
      </c>
      <c r="H2488">
        <f>IF($C2488="","",Registro_Compras!$C$279)</f>
        <v/>
      </c>
    </row>
    <row r="2489">
      <c r="A2489" s="25">
        <f>IF($C2489="","",Registro_Compras!$B$280)</f>
        <v/>
      </c>
      <c r="B2489">
        <f>IF($C2489="","","C"&amp;TEXT(INT((ROW()-5)/9)+1,"000")&amp;"-1")</f>
        <v/>
      </c>
      <c r="C2489">
        <f>IF(OR(Registro_Compras!$C$280="",Registro_Compras!$O$280=""),"",IF(Registro_Compras!$F$280="NOTA DE CREDITO","4212",IF(Registro_Compras!$M$280="","63",Registro_Compras!$M$280)))</f>
        <v/>
      </c>
      <c r="D2489">
        <f>IF(OR(Registro_Compras!$C$280="",Registro_Compras!$O$280=""),"",IF(Registro_Compras!$F$280="NOTA DE CREDITO","Cuentas por Pagar Comerciales - Terceros (Emitidas)",IF(Registro_Compras!$F$280="RHE","Honorarios Profesionales - Servicios de Terceros","Gastos de Servicios Prestados por Terceros")))</f>
        <v/>
      </c>
      <c r="E2489" s="20">
        <f>IF($C2489="","",IF(Registro_Compras!$F$280="NOTA DE CREDITO",ABS(Registro_Compras!$O$280),IF(Registro_Compras!$F$280="RHE",ROUND(Registro_Compras!$L$280*Registro_Compras!$N$280,2),ROUND(Registro_Compras!$J$280*Registro_Compras!$N$280,2))))</f>
        <v/>
      </c>
      <c r="F2489" s="20">
        <f>""</f>
        <v/>
      </c>
      <c r="G2489">
        <f>IF($C2489="","",IF(Registro_Compras!$F$280="NOTA DE CREDITO","Por la nota de credito "&amp;Registro_Compras!$C$280&amp;" de "&amp;Registro_Compras!$E$280&amp;" [PATRON POR CONFIRMAR CON CONTADOR]",IF(Registro_Compras!$F$280="RHE","Por el registro del recibo por honorarios "&amp;Registro_Compras!$C$280&amp;" de "&amp;Registro_Compras!$E$280&amp;" [PATRON POR CONFIRMAR CON CONTADOR]","Por el registro de la factura "&amp;Registro_Compras!$C$280&amp;" de "&amp;Registro_Compras!$E$280)))</f>
        <v/>
      </c>
      <c r="H2489">
        <f>IF($C2489="","",Registro_Compras!$C$280)</f>
        <v/>
      </c>
    </row>
    <row r="2490">
      <c r="A2490" s="25">
        <f>IF($C2490="","",Registro_Compras!$B$280)</f>
        <v/>
      </c>
      <c r="B2490">
        <f>IF($C2490="","","C"&amp;TEXT(INT((ROW()-5)/9)+1,"000")&amp;"-1")</f>
        <v/>
      </c>
      <c r="C2490">
        <f>IF(OR(Registro_Compras!$C$280="",Registro_Compras!$O$280=""),"",IF(Registro_Compras!$F$280="RHE",IF(Registro_Compras!$V$280=0,"","40172"),IF(Registro_Compras!$F$280="NOTA DE CREDITO",IF(Registro_Compras!$M$280="","63",Registro_Compras!$M$280),IF(Registro_Compras!$K$280=0,"","40111"))))</f>
        <v/>
      </c>
      <c r="D2490">
        <f>IF(OR(Registro_Compras!$C$280="",Registro_Compras!$O$280=""),"",IF(Registro_Compras!$F$280="RHE","Retencion Renta 4ta Categoria por Pagar",IF(Registro_Compras!$F$280="NOTA DE CREDITO","Gastos de Servicios Prestados por Terceros","IGV - Cuenta Propia (Credito Fiscal)")))</f>
        <v/>
      </c>
      <c r="E2490" s="20">
        <f>IF($C2490="","",IF(Registro_Compras!$F$280="FACTURA",ROUND(Registro_Compras!$K$280*Registro_Compras!$N$280,2),""))</f>
        <v/>
      </c>
      <c r="F2490" s="20">
        <f>IF($C2490="","",IF(Registro_Compras!$F$280="RHE",ROUND(Registro_Compras!$V$280*Registro_Compras!$N$280,2),IF(Registro_Compras!$F$280="NOTA DE CREDITO",ROUND(ABS(Registro_Compras!$J$280*Registro_Compras!$N$280),2),"")))</f>
        <v/>
      </c>
      <c r="G2490">
        <f>IF($C2490="","",IF(Registro_Compras!$F$280="NOTA DE CREDITO","Por la nota de credito "&amp;Registro_Compras!$C$280&amp;" de "&amp;Registro_Compras!$E$280&amp;" [PATRON POR CONFIRMAR CON CONTADOR]",IF(Registro_Compras!$F$280="RHE","Por el registro del recibo por honorarios "&amp;Registro_Compras!$C$280&amp;" de "&amp;Registro_Compras!$E$280&amp;" [PATRON POR CONFIRMAR CON CONTADOR]","Por el registro de la factura "&amp;Registro_Compras!$C$280&amp;" de "&amp;Registro_Compras!$E$280)))</f>
        <v/>
      </c>
      <c r="H2490">
        <f>IF($C2490="","",Registro_Compras!$C$280)</f>
        <v/>
      </c>
    </row>
    <row r="2491">
      <c r="A2491" s="25">
        <f>IF($C2491="","",Registro_Compras!$B$280)</f>
        <v/>
      </c>
      <c r="B2491">
        <f>IF($C2491="","","C"&amp;TEXT(INT((ROW()-5)/9)+1,"000")&amp;"-1")</f>
        <v/>
      </c>
      <c r="C2491">
        <f>IF(OR(Registro_Compras!$C$280="",Registro_Compras!$O$280=""),"",IF(Registro_Compras!$F$280="NOTA DE CREDITO",IF(Registro_Compras!$K$280=0,"","40111"),"4212"))</f>
        <v/>
      </c>
      <c r="D2491">
        <f>IF(OR(Registro_Compras!$C$280="",Registro_Compras!$O$280=""),"",IF(Registro_Compras!$F$280="NOTA DE CREDITO","IGV - Cuenta Propia (Credito Fiscal)","Cuentas por Pagar Comerciales - Terceros (Emitidas)"))</f>
        <v/>
      </c>
      <c r="E2491" s="20">
        <f>""</f>
        <v/>
      </c>
      <c r="F2491" s="20">
        <f>IF($C2491="","",IF(Registro_Compras!$F$280="NOTA DE CREDITO",ROUND(ABS(Registro_Compras!$K$280*Registro_Compras!$N$280),2),IF(Registro_Compras!$F$280="RHE",(ROUND(Registro_Compras!$L$280*Registro_Compras!$N$280,2)-ROUND(Registro_Compras!$V$280*Registro_Compras!$N$280,2)),Registro_Compras!$O$280)))</f>
        <v/>
      </c>
      <c r="G2491">
        <f>IF($C2491="","",IF(Registro_Compras!$F$280="NOTA DE CREDITO","Por la nota de credito "&amp;Registro_Compras!$C$280&amp;" de "&amp;Registro_Compras!$E$280&amp;" [PATRON POR CONFIRMAR CON CONTADOR]",IF(Registro_Compras!$F$280="RHE","Por el registro del recibo por honorarios "&amp;Registro_Compras!$C$280&amp;" de "&amp;Registro_Compras!$E$280&amp;" [PATRON POR CONFIRMAR CON CONTADOR]","Por el registro de la factura "&amp;Registro_Compras!$C$280&amp;" de "&amp;Registro_Compras!$E$280)))</f>
        <v/>
      </c>
      <c r="H2491">
        <f>IF($C2491="","",Registro_Compras!$C$280)</f>
        <v/>
      </c>
    </row>
    <row r="2492">
      <c r="A2492" s="25">
        <f>IF($C2492="","",Registro_Compras!$B$280)</f>
        <v/>
      </c>
      <c r="B2492">
        <f>IF($C2492="","","C"&amp;TEXT(INT((ROW()-5)/9)+1,"000")&amp;"-2")</f>
        <v/>
      </c>
      <c r="C2492">
        <f>IF(OR(Registro_Compras!$C$280="",Registro_Compras!$O$280=""),"",IF(Registro_Compras!$AB$280="ADMINISTRATIVO","94","95"))</f>
        <v/>
      </c>
      <c r="D2492">
        <f>IF(OR(Registro_Compras!$C$280="",Registro_Compras!$O$280=""),"",IF(Registro_Compras!$AB$280="ADMINISTRATIVO","Gastos Administrativos","Gastos de Venta y Operacion"))</f>
        <v/>
      </c>
      <c r="E2492" s="20">
        <f>IF($C2492="","",IF(Registro_Compras!$F$280="NOTA DE CREDITO","",IF(Registro_Compras!$F$280="RHE",ROUND(Registro_Compras!$L$280*Registro_Compras!$N$280,2),ROUND(Registro_Compras!$J$280*Registro_Compras!$N$280,2))))</f>
        <v/>
      </c>
      <c r="F2492" s="20">
        <f>IF($C2492="","",IF(Registro_Compras!$F$280="NOTA DE CREDITO",ROUND(ABS(Registro_Compras!$J$280*Registro_Compras!$N$280),2),""))</f>
        <v/>
      </c>
      <c r="G2492">
        <f>IF($C2492="","","Por el destino del gasto")</f>
        <v/>
      </c>
      <c r="H2492">
        <f>IF($C2492="","",Registro_Compras!$C$280)</f>
        <v/>
      </c>
    </row>
    <row r="2493">
      <c r="A2493" s="25">
        <f>IF($C2493="","",Registro_Compras!$B$280)</f>
        <v/>
      </c>
      <c r="B2493">
        <f>IF($C2493="","","C"&amp;TEXT(INT((ROW()-5)/9)+1,"000")&amp;"-2")</f>
        <v/>
      </c>
      <c r="C2493">
        <f>IF(OR(Registro_Compras!$C$280="",Registro_Compras!$O$280=""),"","79/791")</f>
        <v/>
      </c>
      <c r="D2493">
        <f>IF(OR(Registro_Compras!$C$280="",Registro_Compras!$O$280=""),"","Cargas Imputables a Cuentas de Costos y Gastos")</f>
        <v/>
      </c>
      <c r="E2493" s="20">
        <f>IF($C2493="","",IF(Registro_Compras!$F$280="NOTA DE CREDITO",ROUND(ABS(Registro_Compras!$J$280*Registro_Compras!$N$280),2),""))</f>
        <v/>
      </c>
      <c r="F2493" s="20">
        <f>IF($C2493="","",IF(Registro_Compras!$F$280="NOTA DE CREDITO","",IF(Registro_Compras!$F$280="RHE",ROUND(Registro_Compras!$L$280*Registro_Compras!$N$280,2),ROUND(Registro_Compras!$J$280*Registro_Compras!$N$280,2))))</f>
        <v/>
      </c>
      <c r="G2493">
        <f>IF($C2493="","","Por el destino del gasto")</f>
        <v/>
      </c>
      <c r="H2493">
        <f>IF($C2493="","",Registro_Compras!$C$280)</f>
        <v/>
      </c>
    </row>
    <row r="2494">
      <c r="A2494" s="25">
        <f>IF($C2494="","",Registro_Compras!$X$280)</f>
        <v/>
      </c>
      <c r="B2494">
        <f>IF($C2494="","","C"&amp;TEXT(INT((ROW()-5)/9)+1,"000")&amp;"-3")</f>
        <v/>
      </c>
      <c r="C2494">
        <f>IF(OR(Registro_Compras!$C$280="",Registro_Compras!$O$280="",Registro_Compras!$R$280&lt;&gt;"SI",Registro_Compras!$X$280=""),"","4212")</f>
        <v/>
      </c>
      <c r="D2494">
        <f>IF(OR(Registro_Compras!$C$280="",Registro_Compras!$O$280=""),"","Cuentas por Pagar Comerciales - Terceros")</f>
        <v/>
      </c>
      <c r="E2494" s="20">
        <f>IF($C2494="","",Registro_Compras!$S$280)</f>
        <v/>
      </c>
      <c r="F2494" s="20">
        <f>""</f>
        <v/>
      </c>
      <c r="G2494">
        <f>IF($C2494="","","Por el deposito de la detraccion en el Banco de la Nacion")</f>
        <v/>
      </c>
      <c r="H2494">
        <f>IF($C2494="","",Registro_Compras!$C$280)</f>
        <v/>
      </c>
    </row>
    <row r="2495">
      <c r="A2495" s="25">
        <f>IF($C2495="","",Registro_Compras!$X$280)</f>
        <v/>
      </c>
      <c r="B2495">
        <f>IF($C2495="","","C"&amp;TEXT(INT((ROW()-5)/9)+1,"000")&amp;"-3")</f>
        <v/>
      </c>
      <c r="C2495">
        <f>IF(OR(Registro_Compras!$C$280="",Registro_Compras!$O$280="",Registro_Compras!$R$280&lt;&gt;"SI",Registro_Compras!$X$280=""),"","10413")</f>
        <v/>
      </c>
      <c r="D2495">
        <f>IF(OR(Registro_Compras!$C$280="",Registro_Compras!$O$280=""),"","Efectivo y Equivalentes - Cta. Cte. Operativa")</f>
        <v/>
      </c>
      <c r="E2495" s="20">
        <f>""</f>
        <v/>
      </c>
      <c r="F2495" s="20">
        <f>IF($C2495="","",Registro_Compras!$S$280)</f>
        <v/>
      </c>
      <c r="G2495">
        <f>IF($C2495="","","Por el deposito de la detraccion en el Banco de la Nacion")</f>
        <v/>
      </c>
      <c r="H2495">
        <f>IF($C2495="","",Registro_Compras!$C$280)</f>
        <v/>
      </c>
    </row>
    <row r="2496">
      <c r="A2496" s="25">
        <f>IF($C2496="","",Registro_Compras!$Y$280)</f>
        <v/>
      </c>
      <c r="B2496">
        <f>IF($C2496="","","C"&amp;TEXT(INT((ROW()-5)/9)+1,"000")&amp;"-4")</f>
        <v/>
      </c>
      <c r="C2496">
        <f>IF(OR(Registro_Compras!$C$280="",Registro_Compras!$O$280="",Registro_Compras!$Y$280="",Registro_Compras!$F$280="NOTA DE CREDITO"),"","4212")</f>
        <v/>
      </c>
      <c r="D2496">
        <f>IF(OR(Registro_Compras!$C$280="",Registro_Compras!$O$280=""),"","Cuentas por Pagar Comerciales - Terceros")</f>
        <v/>
      </c>
      <c r="E2496" s="20">
        <f>IF($C2496="","",IF(Registro_Compras!$F$280="RHE",(ROUND(Registro_Compras!$L$280*Registro_Compras!$N$280,2)-ROUND(Registro_Compras!$V$280*Registro_Compras!$N$280,2)),ROUND(Registro_Compras!$O$280-Registro_Compras!$S$280,2)))</f>
        <v/>
      </c>
      <c r="F2496" s="20">
        <f>""</f>
        <v/>
      </c>
      <c r="G2496">
        <f>IF($C2496="","","Por la cancelacion del saldo al proveedor")</f>
        <v/>
      </c>
      <c r="H2496">
        <f>IF($C2496="","",Registro_Compras!$C$280)</f>
        <v/>
      </c>
    </row>
    <row r="2497">
      <c r="A2497" s="25">
        <f>IF($C2497="","",Registro_Compras!$Y$280)</f>
        <v/>
      </c>
      <c r="B2497">
        <f>IF($C2497="","","C"&amp;TEXT(INT((ROW()-5)/9)+1,"000")&amp;"-4")</f>
        <v/>
      </c>
      <c r="C2497">
        <f>IF(OR(Registro_Compras!$C$280="",Registro_Compras!$O$280="",Registro_Compras!$Y$280="",Registro_Compras!$F$280="NOTA DE CREDITO"),"","10413")</f>
        <v/>
      </c>
      <c r="D2497">
        <f>IF(OR(Registro_Compras!$C$280="",Registro_Compras!$O$280=""),"","Efectivo y Equivalentes - Cta. Cte. Operativa")</f>
        <v/>
      </c>
      <c r="E2497" s="20">
        <f>""</f>
        <v/>
      </c>
      <c r="F2497" s="20">
        <f>IF($C2497="","",IF(Registro_Compras!$F$280="RHE",(ROUND(Registro_Compras!$L$280*Registro_Compras!$N$280,2)-ROUND(Registro_Compras!$V$280*Registro_Compras!$N$280,2)),ROUND(Registro_Compras!$O$280-Registro_Compras!$S$280,2)))</f>
        <v/>
      </c>
      <c r="G2497">
        <f>IF($C2497="","","Por la cancelacion del saldo al proveedor")</f>
        <v/>
      </c>
      <c r="H2497">
        <f>IF($C2497="","",Registro_Compras!$C$280)</f>
        <v/>
      </c>
    </row>
    <row r="2498">
      <c r="A2498" s="25">
        <f>IF($C2498="","",Registro_Compras!$B$281)</f>
        <v/>
      </c>
      <c r="B2498">
        <f>IF($C2498="","","C"&amp;TEXT(INT((ROW()-5)/9)+1,"000")&amp;"-1")</f>
        <v/>
      </c>
      <c r="C2498">
        <f>IF(OR(Registro_Compras!$C$281="",Registro_Compras!$O$281=""),"",IF(Registro_Compras!$F$281="NOTA DE CREDITO","4212",IF(Registro_Compras!$M$281="","63",Registro_Compras!$M$281)))</f>
        <v/>
      </c>
      <c r="D2498">
        <f>IF(OR(Registro_Compras!$C$281="",Registro_Compras!$O$281=""),"",IF(Registro_Compras!$F$281="NOTA DE CREDITO","Cuentas por Pagar Comerciales - Terceros (Emitidas)",IF(Registro_Compras!$F$281="RHE","Honorarios Profesionales - Servicios de Terceros","Gastos de Servicios Prestados por Terceros")))</f>
        <v/>
      </c>
      <c r="E2498" s="20">
        <f>IF($C2498="","",IF(Registro_Compras!$F$281="NOTA DE CREDITO",ABS(Registro_Compras!$O$281),IF(Registro_Compras!$F$281="RHE",ROUND(Registro_Compras!$L$281*Registro_Compras!$N$281,2),ROUND(Registro_Compras!$J$281*Registro_Compras!$N$281,2))))</f>
        <v/>
      </c>
      <c r="F2498" s="20">
        <f>""</f>
        <v/>
      </c>
      <c r="G2498">
        <f>IF($C2498="","",IF(Registro_Compras!$F$281="NOTA DE CREDITO","Por la nota de credito "&amp;Registro_Compras!$C$281&amp;" de "&amp;Registro_Compras!$E$281&amp;" [PATRON POR CONFIRMAR CON CONTADOR]",IF(Registro_Compras!$F$281="RHE","Por el registro del recibo por honorarios "&amp;Registro_Compras!$C$281&amp;" de "&amp;Registro_Compras!$E$281&amp;" [PATRON POR CONFIRMAR CON CONTADOR]","Por el registro de la factura "&amp;Registro_Compras!$C$281&amp;" de "&amp;Registro_Compras!$E$281)))</f>
        <v/>
      </c>
      <c r="H2498">
        <f>IF($C2498="","",Registro_Compras!$C$281)</f>
        <v/>
      </c>
    </row>
    <row r="2499">
      <c r="A2499" s="25">
        <f>IF($C2499="","",Registro_Compras!$B$281)</f>
        <v/>
      </c>
      <c r="B2499">
        <f>IF($C2499="","","C"&amp;TEXT(INT((ROW()-5)/9)+1,"000")&amp;"-1")</f>
        <v/>
      </c>
      <c r="C2499">
        <f>IF(OR(Registro_Compras!$C$281="",Registro_Compras!$O$281=""),"",IF(Registro_Compras!$F$281="RHE",IF(Registro_Compras!$V$281=0,"","40172"),IF(Registro_Compras!$F$281="NOTA DE CREDITO",IF(Registro_Compras!$M$281="","63",Registro_Compras!$M$281),IF(Registro_Compras!$K$281=0,"","40111"))))</f>
        <v/>
      </c>
      <c r="D2499">
        <f>IF(OR(Registro_Compras!$C$281="",Registro_Compras!$O$281=""),"",IF(Registro_Compras!$F$281="RHE","Retencion Renta 4ta Categoria por Pagar",IF(Registro_Compras!$F$281="NOTA DE CREDITO","Gastos de Servicios Prestados por Terceros","IGV - Cuenta Propia (Credito Fiscal)")))</f>
        <v/>
      </c>
      <c r="E2499" s="20">
        <f>IF($C2499="","",IF(Registro_Compras!$F$281="FACTURA",ROUND(Registro_Compras!$K$281*Registro_Compras!$N$281,2),""))</f>
        <v/>
      </c>
      <c r="F2499" s="20">
        <f>IF($C2499="","",IF(Registro_Compras!$F$281="RHE",ROUND(Registro_Compras!$V$281*Registro_Compras!$N$281,2),IF(Registro_Compras!$F$281="NOTA DE CREDITO",ROUND(ABS(Registro_Compras!$J$281*Registro_Compras!$N$281),2),"")))</f>
        <v/>
      </c>
      <c r="G2499">
        <f>IF($C2499="","",IF(Registro_Compras!$F$281="NOTA DE CREDITO","Por la nota de credito "&amp;Registro_Compras!$C$281&amp;" de "&amp;Registro_Compras!$E$281&amp;" [PATRON POR CONFIRMAR CON CONTADOR]",IF(Registro_Compras!$F$281="RHE","Por el registro del recibo por honorarios "&amp;Registro_Compras!$C$281&amp;" de "&amp;Registro_Compras!$E$281&amp;" [PATRON POR CONFIRMAR CON CONTADOR]","Por el registro de la factura "&amp;Registro_Compras!$C$281&amp;" de "&amp;Registro_Compras!$E$281)))</f>
        <v/>
      </c>
      <c r="H2499">
        <f>IF($C2499="","",Registro_Compras!$C$281)</f>
        <v/>
      </c>
    </row>
    <row r="2500">
      <c r="A2500" s="25">
        <f>IF($C2500="","",Registro_Compras!$B$281)</f>
        <v/>
      </c>
      <c r="B2500">
        <f>IF($C2500="","","C"&amp;TEXT(INT((ROW()-5)/9)+1,"000")&amp;"-1")</f>
        <v/>
      </c>
      <c r="C2500">
        <f>IF(OR(Registro_Compras!$C$281="",Registro_Compras!$O$281=""),"",IF(Registro_Compras!$F$281="NOTA DE CREDITO",IF(Registro_Compras!$K$281=0,"","40111"),"4212"))</f>
        <v/>
      </c>
      <c r="D2500">
        <f>IF(OR(Registro_Compras!$C$281="",Registro_Compras!$O$281=""),"",IF(Registro_Compras!$F$281="NOTA DE CREDITO","IGV - Cuenta Propia (Credito Fiscal)","Cuentas por Pagar Comerciales - Terceros (Emitidas)"))</f>
        <v/>
      </c>
      <c r="E2500" s="20">
        <f>""</f>
        <v/>
      </c>
      <c r="F2500" s="20">
        <f>IF($C2500="","",IF(Registro_Compras!$F$281="NOTA DE CREDITO",ROUND(ABS(Registro_Compras!$K$281*Registro_Compras!$N$281),2),IF(Registro_Compras!$F$281="RHE",(ROUND(Registro_Compras!$L$281*Registro_Compras!$N$281,2)-ROUND(Registro_Compras!$V$281*Registro_Compras!$N$281,2)),Registro_Compras!$O$281)))</f>
        <v/>
      </c>
      <c r="G2500">
        <f>IF($C2500="","",IF(Registro_Compras!$F$281="NOTA DE CREDITO","Por la nota de credito "&amp;Registro_Compras!$C$281&amp;" de "&amp;Registro_Compras!$E$281&amp;" [PATRON POR CONFIRMAR CON CONTADOR]",IF(Registro_Compras!$F$281="RHE","Por el registro del recibo por honorarios "&amp;Registro_Compras!$C$281&amp;" de "&amp;Registro_Compras!$E$281&amp;" [PATRON POR CONFIRMAR CON CONTADOR]","Por el registro de la factura "&amp;Registro_Compras!$C$281&amp;" de "&amp;Registro_Compras!$E$281)))</f>
        <v/>
      </c>
      <c r="H2500">
        <f>IF($C2500="","",Registro_Compras!$C$281)</f>
        <v/>
      </c>
    </row>
    <row r="2501">
      <c r="A2501" s="25">
        <f>IF($C2501="","",Registro_Compras!$B$281)</f>
        <v/>
      </c>
      <c r="B2501">
        <f>IF($C2501="","","C"&amp;TEXT(INT((ROW()-5)/9)+1,"000")&amp;"-2")</f>
        <v/>
      </c>
      <c r="C2501">
        <f>IF(OR(Registro_Compras!$C$281="",Registro_Compras!$O$281=""),"",IF(Registro_Compras!$AB$281="ADMINISTRATIVO","94","95"))</f>
        <v/>
      </c>
      <c r="D2501">
        <f>IF(OR(Registro_Compras!$C$281="",Registro_Compras!$O$281=""),"",IF(Registro_Compras!$AB$281="ADMINISTRATIVO","Gastos Administrativos","Gastos de Venta y Operacion"))</f>
        <v/>
      </c>
      <c r="E2501" s="20">
        <f>IF($C2501="","",IF(Registro_Compras!$F$281="NOTA DE CREDITO","",IF(Registro_Compras!$F$281="RHE",ROUND(Registro_Compras!$L$281*Registro_Compras!$N$281,2),ROUND(Registro_Compras!$J$281*Registro_Compras!$N$281,2))))</f>
        <v/>
      </c>
      <c r="F2501" s="20">
        <f>IF($C2501="","",IF(Registro_Compras!$F$281="NOTA DE CREDITO",ROUND(ABS(Registro_Compras!$J$281*Registro_Compras!$N$281),2),""))</f>
        <v/>
      </c>
      <c r="G2501">
        <f>IF($C2501="","","Por el destino del gasto")</f>
        <v/>
      </c>
      <c r="H2501">
        <f>IF($C2501="","",Registro_Compras!$C$281)</f>
        <v/>
      </c>
    </row>
    <row r="2502">
      <c r="A2502" s="25">
        <f>IF($C2502="","",Registro_Compras!$B$281)</f>
        <v/>
      </c>
      <c r="B2502">
        <f>IF($C2502="","","C"&amp;TEXT(INT((ROW()-5)/9)+1,"000")&amp;"-2")</f>
        <v/>
      </c>
      <c r="C2502">
        <f>IF(OR(Registro_Compras!$C$281="",Registro_Compras!$O$281=""),"","79/791")</f>
        <v/>
      </c>
      <c r="D2502">
        <f>IF(OR(Registro_Compras!$C$281="",Registro_Compras!$O$281=""),"","Cargas Imputables a Cuentas de Costos y Gastos")</f>
        <v/>
      </c>
      <c r="E2502" s="20">
        <f>IF($C2502="","",IF(Registro_Compras!$F$281="NOTA DE CREDITO",ROUND(ABS(Registro_Compras!$J$281*Registro_Compras!$N$281),2),""))</f>
        <v/>
      </c>
      <c r="F2502" s="20">
        <f>IF($C2502="","",IF(Registro_Compras!$F$281="NOTA DE CREDITO","",IF(Registro_Compras!$F$281="RHE",ROUND(Registro_Compras!$L$281*Registro_Compras!$N$281,2),ROUND(Registro_Compras!$J$281*Registro_Compras!$N$281,2))))</f>
        <v/>
      </c>
      <c r="G2502">
        <f>IF($C2502="","","Por el destino del gasto")</f>
        <v/>
      </c>
      <c r="H2502">
        <f>IF($C2502="","",Registro_Compras!$C$281)</f>
        <v/>
      </c>
    </row>
    <row r="2503">
      <c r="A2503" s="25">
        <f>IF($C2503="","",Registro_Compras!$X$281)</f>
        <v/>
      </c>
      <c r="B2503">
        <f>IF($C2503="","","C"&amp;TEXT(INT((ROW()-5)/9)+1,"000")&amp;"-3")</f>
        <v/>
      </c>
      <c r="C2503">
        <f>IF(OR(Registro_Compras!$C$281="",Registro_Compras!$O$281="",Registro_Compras!$R$281&lt;&gt;"SI",Registro_Compras!$X$281=""),"","4212")</f>
        <v/>
      </c>
      <c r="D2503">
        <f>IF(OR(Registro_Compras!$C$281="",Registro_Compras!$O$281=""),"","Cuentas por Pagar Comerciales - Terceros")</f>
        <v/>
      </c>
      <c r="E2503" s="20">
        <f>IF($C2503="","",Registro_Compras!$S$281)</f>
        <v/>
      </c>
      <c r="F2503" s="20">
        <f>""</f>
        <v/>
      </c>
      <c r="G2503">
        <f>IF($C2503="","","Por el deposito de la detraccion en el Banco de la Nacion")</f>
        <v/>
      </c>
      <c r="H2503">
        <f>IF($C2503="","",Registro_Compras!$C$281)</f>
        <v/>
      </c>
    </row>
    <row r="2504">
      <c r="A2504" s="25">
        <f>IF($C2504="","",Registro_Compras!$X$281)</f>
        <v/>
      </c>
      <c r="B2504">
        <f>IF($C2504="","","C"&amp;TEXT(INT((ROW()-5)/9)+1,"000")&amp;"-3")</f>
        <v/>
      </c>
      <c r="C2504">
        <f>IF(OR(Registro_Compras!$C$281="",Registro_Compras!$O$281="",Registro_Compras!$R$281&lt;&gt;"SI",Registro_Compras!$X$281=""),"","10413")</f>
        <v/>
      </c>
      <c r="D2504">
        <f>IF(OR(Registro_Compras!$C$281="",Registro_Compras!$O$281=""),"","Efectivo y Equivalentes - Cta. Cte. Operativa")</f>
        <v/>
      </c>
      <c r="E2504" s="20">
        <f>""</f>
        <v/>
      </c>
      <c r="F2504" s="20">
        <f>IF($C2504="","",Registro_Compras!$S$281)</f>
        <v/>
      </c>
      <c r="G2504">
        <f>IF($C2504="","","Por el deposito de la detraccion en el Banco de la Nacion")</f>
        <v/>
      </c>
      <c r="H2504">
        <f>IF($C2504="","",Registro_Compras!$C$281)</f>
        <v/>
      </c>
    </row>
    <row r="2505">
      <c r="A2505" s="25">
        <f>IF($C2505="","",Registro_Compras!$Y$281)</f>
        <v/>
      </c>
      <c r="B2505">
        <f>IF($C2505="","","C"&amp;TEXT(INT((ROW()-5)/9)+1,"000")&amp;"-4")</f>
        <v/>
      </c>
      <c r="C2505">
        <f>IF(OR(Registro_Compras!$C$281="",Registro_Compras!$O$281="",Registro_Compras!$Y$281="",Registro_Compras!$F$281="NOTA DE CREDITO"),"","4212")</f>
        <v/>
      </c>
      <c r="D2505">
        <f>IF(OR(Registro_Compras!$C$281="",Registro_Compras!$O$281=""),"","Cuentas por Pagar Comerciales - Terceros")</f>
        <v/>
      </c>
      <c r="E2505" s="20">
        <f>IF($C2505="","",IF(Registro_Compras!$F$281="RHE",(ROUND(Registro_Compras!$L$281*Registro_Compras!$N$281,2)-ROUND(Registro_Compras!$V$281*Registro_Compras!$N$281,2)),ROUND(Registro_Compras!$O$281-Registro_Compras!$S$281,2)))</f>
        <v/>
      </c>
      <c r="F2505" s="20">
        <f>""</f>
        <v/>
      </c>
      <c r="G2505">
        <f>IF($C2505="","","Por la cancelacion del saldo al proveedor")</f>
        <v/>
      </c>
      <c r="H2505">
        <f>IF($C2505="","",Registro_Compras!$C$281)</f>
        <v/>
      </c>
    </row>
    <row r="2506">
      <c r="A2506" s="25">
        <f>IF($C2506="","",Registro_Compras!$Y$281)</f>
        <v/>
      </c>
      <c r="B2506">
        <f>IF($C2506="","","C"&amp;TEXT(INT((ROW()-5)/9)+1,"000")&amp;"-4")</f>
        <v/>
      </c>
      <c r="C2506">
        <f>IF(OR(Registro_Compras!$C$281="",Registro_Compras!$O$281="",Registro_Compras!$Y$281="",Registro_Compras!$F$281="NOTA DE CREDITO"),"","10413")</f>
        <v/>
      </c>
      <c r="D2506">
        <f>IF(OR(Registro_Compras!$C$281="",Registro_Compras!$O$281=""),"","Efectivo y Equivalentes - Cta. Cte. Operativa")</f>
        <v/>
      </c>
      <c r="E2506" s="20">
        <f>""</f>
        <v/>
      </c>
      <c r="F2506" s="20">
        <f>IF($C2506="","",IF(Registro_Compras!$F$281="RHE",(ROUND(Registro_Compras!$L$281*Registro_Compras!$N$281,2)-ROUND(Registro_Compras!$V$281*Registro_Compras!$N$281,2)),ROUND(Registro_Compras!$O$281-Registro_Compras!$S$281,2)))</f>
        <v/>
      </c>
      <c r="G2506">
        <f>IF($C2506="","","Por la cancelacion del saldo al proveedor")</f>
        <v/>
      </c>
      <c r="H2506">
        <f>IF($C2506="","",Registro_Compras!$C$281)</f>
        <v/>
      </c>
    </row>
    <row r="2507">
      <c r="A2507" s="25">
        <f>IF($C2507="","",Registro_Compras!$B$282)</f>
        <v/>
      </c>
      <c r="B2507">
        <f>IF($C2507="","","C"&amp;TEXT(INT((ROW()-5)/9)+1,"000")&amp;"-1")</f>
        <v/>
      </c>
      <c r="C2507">
        <f>IF(OR(Registro_Compras!$C$282="",Registro_Compras!$O$282=""),"",IF(Registro_Compras!$F$282="NOTA DE CREDITO","4212",IF(Registro_Compras!$M$282="","63",Registro_Compras!$M$282)))</f>
        <v/>
      </c>
      <c r="D2507">
        <f>IF(OR(Registro_Compras!$C$282="",Registro_Compras!$O$282=""),"",IF(Registro_Compras!$F$282="NOTA DE CREDITO","Cuentas por Pagar Comerciales - Terceros (Emitidas)",IF(Registro_Compras!$F$282="RHE","Honorarios Profesionales - Servicios de Terceros","Gastos de Servicios Prestados por Terceros")))</f>
        <v/>
      </c>
      <c r="E2507" s="20">
        <f>IF($C2507="","",IF(Registro_Compras!$F$282="NOTA DE CREDITO",ABS(Registro_Compras!$O$282),IF(Registro_Compras!$F$282="RHE",ROUND(Registro_Compras!$L$282*Registro_Compras!$N$282,2),ROUND(Registro_Compras!$J$282*Registro_Compras!$N$282,2))))</f>
        <v/>
      </c>
      <c r="F2507" s="20">
        <f>""</f>
        <v/>
      </c>
      <c r="G2507">
        <f>IF($C2507="","",IF(Registro_Compras!$F$282="NOTA DE CREDITO","Por la nota de credito "&amp;Registro_Compras!$C$282&amp;" de "&amp;Registro_Compras!$E$282&amp;" [PATRON POR CONFIRMAR CON CONTADOR]",IF(Registro_Compras!$F$282="RHE","Por el registro del recibo por honorarios "&amp;Registro_Compras!$C$282&amp;" de "&amp;Registro_Compras!$E$282&amp;" [PATRON POR CONFIRMAR CON CONTADOR]","Por el registro de la factura "&amp;Registro_Compras!$C$282&amp;" de "&amp;Registro_Compras!$E$282)))</f>
        <v/>
      </c>
      <c r="H2507">
        <f>IF($C2507="","",Registro_Compras!$C$282)</f>
        <v/>
      </c>
    </row>
    <row r="2508">
      <c r="A2508" s="25">
        <f>IF($C2508="","",Registro_Compras!$B$282)</f>
        <v/>
      </c>
      <c r="B2508">
        <f>IF($C2508="","","C"&amp;TEXT(INT((ROW()-5)/9)+1,"000")&amp;"-1")</f>
        <v/>
      </c>
      <c r="C2508">
        <f>IF(OR(Registro_Compras!$C$282="",Registro_Compras!$O$282=""),"",IF(Registro_Compras!$F$282="RHE",IF(Registro_Compras!$V$282=0,"","40172"),IF(Registro_Compras!$F$282="NOTA DE CREDITO",IF(Registro_Compras!$M$282="","63",Registro_Compras!$M$282),IF(Registro_Compras!$K$282=0,"","40111"))))</f>
        <v/>
      </c>
      <c r="D2508">
        <f>IF(OR(Registro_Compras!$C$282="",Registro_Compras!$O$282=""),"",IF(Registro_Compras!$F$282="RHE","Retencion Renta 4ta Categoria por Pagar",IF(Registro_Compras!$F$282="NOTA DE CREDITO","Gastos de Servicios Prestados por Terceros","IGV - Cuenta Propia (Credito Fiscal)")))</f>
        <v/>
      </c>
      <c r="E2508" s="20">
        <f>IF($C2508="","",IF(Registro_Compras!$F$282="FACTURA",ROUND(Registro_Compras!$K$282*Registro_Compras!$N$282,2),""))</f>
        <v/>
      </c>
      <c r="F2508" s="20">
        <f>IF($C2508="","",IF(Registro_Compras!$F$282="RHE",ROUND(Registro_Compras!$V$282*Registro_Compras!$N$282,2),IF(Registro_Compras!$F$282="NOTA DE CREDITO",ROUND(ABS(Registro_Compras!$J$282*Registro_Compras!$N$282),2),"")))</f>
        <v/>
      </c>
      <c r="G2508">
        <f>IF($C2508="","",IF(Registro_Compras!$F$282="NOTA DE CREDITO","Por la nota de credito "&amp;Registro_Compras!$C$282&amp;" de "&amp;Registro_Compras!$E$282&amp;" [PATRON POR CONFIRMAR CON CONTADOR]",IF(Registro_Compras!$F$282="RHE","Por el registro del recibo por honorarios "&amp;Registro_Compras!$C$282&amp;" de "&amp;Registro_Compras!$E$282&amp;" [PATRON POR CONFIRMAR CON CONTADOR]","Por el registro de la factura "&amp;Registro_Compras!$C$282&amp;" de "&amp;Registro_Compras!$E$282)))</f>
        <v/>
      </c>
      <c r="H2508">
        <f>IF($C2508="","",Registro_Compras!$C$282)</f>
        <v/>
      </c>
    </row>
    <row r="2509">
      <c r="A2509" s="25">
        <f>IF($C2509="","",Registro_Compras!$B$282)</f>
        <v/>
      </c>
      <c r="B2509">
        <f>IF($C2509="","","C"&amp;TEXT(INT((ROW()-5)/9)+1,"000")&amp;"-1")</f>
        <v/>
      </c>
      <c r="C2509">
        <f>IF(OR(Registro_Compras!$C$282="",Registro_Compras!$O$282=""),"",IF(Registro_Compras!$F$282="NOTA DE CREDITO",IF(Registro_Compras!$K$282=0,"","40111"),"4212"))</f>
        <v/>
      </c>
      <c r="D2509">
        <f>IF(OR(Registro_Compras!$C$282="",Registro_Compras!$O$282=""),"",IF(Registro_Compras!$F$282="NOTA DE CREDITO","IGV - Cuenta Propia (Credito Fiscal)","Cuentas por Pagar Comerciales - Terceros (Emitidas)"))</f>
        <v/>
      </c>
      <c r="E2509" s="20">
        <f>""</f>
        <v/>
      </c>
      <c r="F2509" s="20">
        <f>IF($C2509="","",IF(Registro_Compras!$F$282="NOTA DE CREDITO",ROUND(ABS(Registro_Compras!$K$282*Registro_Compras!$N$282),2),IF(Registro_Compras!$F$282="RHE",(ROUND(Registro_Compras!$L$282*Registro_Compras!$N$282,2)-ROUND(Registro_Compras!$V$282*Registro_Compras!$N$282,2)),Registro_Compras!$O$282)))</f>
        <v/>
      </c>
      <c r="G2509">
        <f>IF($C2509="","",IF(Registro_Compras!$F$282="NOTA DE CREDITO","Por la nota de credito "&amp;Registro_Compras!$C$282&amp;" de "&amp;Registro_Compras!$E$282&amp;" [PATRON POR CONFIRMAR CON CONTADOR]",IF(Registro_Compras!$F$282="RHE","Por el registro del recibo por honorarios "&amp;Registro_Compras!$C$282&amp;" de "&amp;Registro_Compras!$E$282&amp;" [PATRON POR CONFIRMAR CON CONTADOR]","Por el registro de la factura "&amp;Registro_Compras!$C$282&amp;" de "&amp;Registro_Compras!$E$282)))</f>
        <v/>
      </c>
      <c r="H2509">
        <f>IF($C2509="","",Registro_Compras!$C$282)</f>
        <v/>
      </c>
    </row>
    <row r="2510">
      <c r="A2510" s="25">
        <f>IF($C2510="","",Registro_Compras!$B$282)</f>
        <v/>
      </c>
      <c r="B2510">
        <f>IF($C2510="","","C"&amp;TEXT(INT((ROW()-5)/9)+1,"000")&amp;"-2")</f>
        <v/>
      </c>
      <c r="C2510">
        <f>IF(OR(Registro_Compras!$C$282="",Registro_Compras!$O$282=""),"",IF(Registro_Compras!$AB$282="ADMINISTRATIVO","94","95"))</f>
        <v/>
      </c>
      <c r="D2510">
        <f>IF(OR(Registro_Compras!$C$282="",Registro_Compras!$O$282=""),"",IF(Registro_Compras!$AB$282="ADMINISTRATIVO","Gastos Administrativos","Gastos de Venta y Operacion"))</f>
        <v/>
      </c>
      <c r="E2510" s="20">
        <f>IF($C2510="","",IF(Registro_Compras!$F$282="NOTA DE CREDITO","",IF(Registro_Compras!$F$282="RHE",ROUND(Registro_Compras!$L$282*Registro_Compras!$N$282,2),ROUND(Registro_Compras!$J$282*Registro_Compras!$N$282,2))))</f>
        <v/>
      </c>
      <c r="F2510" s="20">
        <f>IF($C2510="","",IF(Registro_Compras!$F$282="NOTA DE CREDITO",ROUND(ABS(Registro_Compras!$J$282*Registro_Compras!$N$282),2),""))</f>
        <v/>
      </c>
      <c r="G2510">
        <f>IF($C2510="","","Por el destino del gasto")</f>
        <v/>
      </c>
      <c r="H2510">
        <f>IF($C2510="","",Registro_Compras!$C$282)</f>
        <v/>
      </c>
    </row>
    <row r="2511">
      <c r="A2511" s="25">
        <f>IF($C2511="","",Registro_Compras!$B$282)</f>
        <v/>
      </c>
      <c r="B2511">
        <f>IF($C2511="","","C"&amp;TEXT(INT((ROW()-5)/9)+1,"000")&amp;"-2")</f>
        <v/>
      </c>
      <c r="C2511">
        <f>IF(OR(Registro_Compras!$C$282="",Registro_Compras!$O$282=""),"","79/791")</f>
        <v/>
      </c>
      <c r="D2511">
        <f>IF(OR(Registro_Compras!$C$282="",Registro_Compras!$O$282=""),"","Cargas Imputables a Cuentas de Costos y Gastos")</f>
        <v/>
      </c>
      <c r="E2511" s="20">
        <f>IF($C2511="","",IF(Registro_Compras!$F$282="NOTA DE CREDITO",ROUND(ABS(Registro_Compras!$J$282*Registro_Compras!$N$282),2),""))</f>
        <v/>
      </c>
      <c r="F2511" s="20">
        <f>IF($C2511="","",IF(Registro_Compras!$F$282="NOTA DE CREDITO","",IF(Registro_Compras!$F$282="RHE",ROUND(Registro_Compras!$L$282*Registro_Compras!$N$282,2),ROUND(Registro_Compras!$J$282*Registro_Compras!$N$282,2))))</f>
        <v/>
      </c>
      <c r="G2511">
        <f>IF($C2511="","","Por el destino del gasto")</f>
        <v/>
      </c>
      <c r="H2511">
        <f>IF($C2511="","",Registro_Compras!$C$282)</f>
        <v/>
      </c>
    </row>
    <row r="2512">
      <c r="A2512" s="25">
        <f>IF($C2512="","",Registro_Compras!$X$282)</f>
        <v/>
      </c>
      <c r="B2512">
        <f>IF($C2512="","","C"&amp;TEXT(INT((ROW()-5)/9)+1,"000")&amp;"-3")</f>
        <v/>
      </c>
      <c r="C2512">
        <f>IF(OR(Registro_Compras!$C$282="",Registro_Compras!$O$282="",Registro_Compras!$R$282&lt;&gt;"SI",Registro_Compras!$X$282=""),"","4212")</f>
        <v/>
      </c>
      <c r="D2512">
        <f>IF(OR(Registro_Compras!$C$282="",Registro_Compras!$O$282=""),"","Cuentas por Pagar Comerciales - Terceros")</f>
        <v/>
      </c>
      <c r="E2512" s="20">
        <f>IF($C2512="","",Registro_Compras!$S$282)</f>
        <v/>
      </c>
      <c r="F2512" s="20">
        <f>""</f>
        <v/>
      </c>
      <c r="G2512">
        <f>IF($C2512="","","Por el deposito de la detraccion en el Banco de la Nacion")</f>
        <v/>
      </c>
      <c r="H2512">
        <f>IF($C2512="","",Registro_Compras!$C$282)</f>
        <v/>
      </c>
    </row>
    <row r="2513">
      <c r="A2513" s="25">
        <f>IF($C2513="","",Registro_Compras!$X$282)</f>
        <v/>
      </c>
      <c r="B2513">
        <f>IF($C2513="","","C"&amp;TEXT(INT((ROW()-5)/9)+1,"000")&amp;"-3")</f>
        <v/>
      </c>
      <c r="C2513">
        <f>IF(OR(Registro_Compras!$C$282="",Registro_Compras!$O$282="",Registro_Compras!$R$282&lt;&gt;"SI",Registro_Compras!$X$282=""),"","10413")</f>
        <v/>
      </c>
      <c r="D2513">
        <f>IF(OR(Registro_Compras!$C$282="",Registro_Compras!$O$282=""),"","Efectivo y Equivalentes - Cta. Cte. Operativa")</f>
        <v/>
      </c>
      <c r="E2513" s="20">
        <f>""</f>
        <v/>
      </c>
      <c r="F2513" s="20">
        <f>IF($C2513="","",Registro_Compras!$S$282)</f>
        <v/>
      </c>
      <c r="G2513">
        <f>IF($C2513="","","Por el deposito de la detraccion en el Banco de la Nacion")</f>
        <v/>
      </c>
      <c r="H2513">
        <f>IF($C2513="","",Registro_Compras!$C$282)</f>
        <v/>
      </c>
    </row>
    <row r="2514">
      <c r="A2514" s="25">
        <f>IF($C2514="","",Registro_Compras!$Y$282)</f>
        <v/>
      </c>
      <c r="B2514">
        <f>IF($C2514="","","C"&amp;TEXT(INT((ROW()-5)/9)+1,"000")&amp;"-4")</f>
        <v/>
      </c>
      <c r="C2514">
        <f>IF(OR(Registro_Compras!$C$282="",Registro_Compras!$O$282="",Registro_Compras!$Y$282="",Registro_Compras!$F$282="NOTA DE CREDITO"),"","4212")</f>
        <v/>
      </c>
      <c r="D2514">
        <f>IF(OR(Registro_Compras!$C$282="",Registro_Compras!$O$282=""),"","Cuentas por Pagar Comerciales - Terceros")</f>
        <v/>
      </c>
      <c r="E2514" s="20">
        <f>IF($C2514="","",IF(Registro_Compras!$F$282="RHE",(ROUND(Registro_Compras!$L$282*Registro_Compras!$N$282,2)-ROUND(Registro_Compras!$V$282*Registro_Compras!$N$282,2)),ROUND(Registro_Compras!$O$282-Registro_Compras!$S$282,2)))</f>
        <v/>
      </c>
      <c r="F2514" s="20">
        <f>""</f>
        <v/>
      </c>
      <c r="G2514">
        <f>IF($C2514="","","Por la cancelacion del saldo al proveedor")</f>
        <v/>
      </c>
      <c r="H2514">
        <f>IF($C2514="","",Registro_Compras!$C$282)</f>
        <v/>
      </c>
    </row>
    <row r="2515">
      <c r="A2515" s="25">
        <f>IF($C2515="","",Registro_Compras!$Y$282)</f>
        <v/>
      </c>
      <c r="B2515">
        <f>IF($C2515="","","C"&amp;TEXT(INT((ROW()-5)/9)+1,"000")&amp;"-4")</f>
        <v/>
      </c>
      <c r="C2515">
        <f>IF(OR(Registro_Compras!$C$282="",Registro_Compras!$O$282="",Registro_Compras!$Y$282="",Registro_Compras!$F$282="NOTA DE CREDITO"),"","10413")</f>
        <v/>
      </c>
      <c r="D2515">
        <f>IF(OR(Registro_Compras!$C$282="",Registro_Compras!$O$282=""),"","Efectivo y Equivalentes - Cta. Cte. Operativa")</f>
        <v/>
      </c>
      <c r="E2515" s="20">
        <f>""</f>
        <v/>
      </c>
      <c r="F2515" s="20">
        <f>IF($C2515="","",IF(Registro_Compras!$F$282="RHE",(ROUND(Registro_Compras!$L$282*Registro_Compras!$N$282,2)-ROUND(Registro_Compras!$V$282*Registro_Compras!$N$282,2)),ROUND(Registro_Compras!$O$282-Registro_Compras!$S$282,2)))</f>
        <v/>
      </c>
      <c r="G2515">
        <f>IF($C2515="","","Por la cancelacion del saldo al proveedor")</f>
        <v/>
      </c>
      <c r="H2515">
        <f>IF($C2515="","",Registro_Compras!$C$282)</f>
        <v/>
      </c>
    </row>
    <row r="2516">
      <c r="A2516" s="25">
        <f>IF($C2516="","",Registro_Compras!$B$283)</f>
        <v/>
      </c>
      <c r="B2516">
        <f>IF($C2516="","","C"&amp;TEXT(INT((ROW()-5)/9)+1,"000")&amp;"-1")</f>
        <v/>
      </c>
      <c r="C2516">
        <f>IF(OR(Registro_Compras!$C$283="",Registro_Compras!$O$283=""),"",IF(Registro_Compras!$F$283="NOTA DE CREDITO","4212",IF(Registro_Compras!$M$283="","63",Registro_Compras!$M$283)))</f>
        <v/>
      </c>
      <c r="D2516">
        <f>IF(OR(Registro_Compras!$C$283="",Registro_Compras!$O$283=""),"",IF(Registro_Compras!$F$283="NOTA DE CREDITO","Cuentas por Pagar Comerciales - Terceros (Emitidas)",IF(Registro_Compras!$F$283="RHE","Honorarios Profesionales - Servicios de Terceros","Gastos de Servicios Prestados por Terceros")))</f>
        <v/>
      </c>
      <c r="E2516" s="20">
        <f>IF($C2516="","",IF(Registro_Compras!$F$283="NOTA DE CREDITO",ABS(Registro_Compras!$O$283),IF(Registro_Compras!$F$283="RHE",ROUND(Registro_Compras!$L$283*Registro_Compras!$N$283,2),ROUND(Registro_Compras!$J$283*Registro_Compras!$N$283,2))))</f>
        <v/>
      </c>
      <c r="F2516" s="20">
        <f>""</f>
        <v/>
      </c>
      <c r="G2516">
        <f>IF($C2516="","",IF(Registro_Compras!$F$283="NOTA DE CREDITO","Por la nota de credito "&amp;Registro_Compras!$C$283&amp;" de "&amp;Registro_Compras!$E$283&amp;" [PATRON POR CONFIRMAR CON CONTADOR]",IF(Registro_Compras!$F$283="RHE","Por el registro del recibo por honorarios "&amp;Registro_Compras!$C$283&amp;" de "&amp;Registro_Compras!$E$283&amp;" [PATRON POR CONFIRMAR CON CONTADOR]","Por el registro de la factura "&amp;Registro_Compras!$C$283&amp;" de "&amp;Registro_Compras!$E$283)))</f>
        <v/>
      </c>
      <c r="H2516">
        <f>IF($C2516="","",Registro_Compras!$C$283)</f>
        <v/>
      </c>
    </row>
    <row r="2517">
      <c r="A2517" s="25">
        <f>IF($C2517="","",Registro_Compras!$B$283)</f>
        <v/>
      </c>
      <c r="B2517">
        <f>IF($C2517="","","C"&amp;TEXT(INT((ROW()-5)/9)+1,"000")&amp;"-1")</f>
        <v/>
      </c>
      <c r="C2517">
        <f>IF(OR(Registro_Compras!$C$283="",Registro_Compras!$O$283=""),"",IF(Registro_Compras!$F$283="RHE",IF(Registro_Compras!$V$283=0,"","40172"),IF(Registro_Compras!$F$283="NOTA DE CREDITO",IF(Registro_Compras!$M$283="","63",Registro_Compras!$M$283),IF(Registro_Compras!$K$283=0,"","40111"))))</f>
        <v/>
      </c>
      <c r="D2517">
        <f>IF(OR(Registro_Compras!$C$283="",Registro_Compras!$O$283=""),"",IF(Registro_Compras!$F$283="RHE","Retencion Renta 4ta Categoria por Pagar",IF(Registro_Compras!$F$283="NOTA DE CREDITO","Gastos de Servicios Prestados por Terceros","IGV - Cuenta Propia (Credito Fiscal)")))</f>
        <v/>
      </c>
      <c r="E2517" s="20">
        <f>IF($C2517="","",IF(Registro_Compras!$F$283="FACTURA",ROUND(Registro_Compras!$K$283*Registro_Compras!$N$283,2),""))</f>
        <v/>
      </c>
      <c r="F2517" s="20">
        <f>IF($C2517="","",IF(Registro_Compras!$F$283="RHE",ROUND(Registro_Compras!$V$283*Registro_Compras!$N$283,2),IF(Registro_Compras!$F$283="NOTA DE CREDITO",ROUND(ABS(Registro_Compras!$J$283*Registro_Compras!$N$283),2),"")))</f>
        <v/>
      </c>
      <c r="G2517">
        <f>IF($C2517="","",IF(Registro_Compras!$F$283="NOTA DE CREDITO","Por la nota de credito "&amp;Registro_Compras!$C$283&amp;" de "&amp;Registro_Compras!$E$283&amp;" [PATRON POR CONFIRMAR CON CONTADOR]",IF(Registro_Compras!$F$283="RHE","Por el registro del recibo por honorarios "&amp;Registro_Compras!$C$283&amp;" de "&amp;Registro_Compras!$E$283&amp;" [PATRON POR CONFIRMAR CON CONTADOR]","Por el registro de la factura "&amp;Registro_Compras!$C$283&amp;" de "&amp;Registro_Compras!$E$283)))</f>
        <v/>
      </c>
      <c r="H2517">
        <f>IF($C2517="","",Registro_Compras!$C$283)</f>
        <v/>
      </c>
    </row>
    <row r="2518">
      <c r="A2518" s="25">
        <f>IF($C2518="","",Registro_Compras!$B$283)</f>
        <v/>
      </c>
      <c r="B2518">
        <f>IF($C2518="","","C"&amp;TEXT(INT((ROW()-5)/9)+1,"000")&amp;"-1")</f>
        <v/>
      </c>
      <c r="C2518">
        <f>IF(OR(Registro_Compras!$C$283="",Registro_Compras!$O$283=""),"",IF(Registro_Compras!$F$283="NOTA DE CREDITO",IF(Registro_Compras!$K$283=0,"","40111"),"4212"))</f>
        <v/>
      </c>
      <c r="D2518">
        <f>IF(OR(Registro_Compras!$C$283="",Registro_Compras!$O$283=""),"",IF(Registro_Compras!$F$283="NOTA DE CREDITO","IGV - Cuenta Propia (Credito Fiscal)","Cuentas por Pagar Comerciales - Terceros (Emitidas)"))</f>
        <v/>
      </c>
      <c r="E2518" s="20">
        <f>""</f>
        <v/>
      </c>
      <c r="F2518" s="20">
        <f>IF($C2518="","",IF(Registro_Compras!$F$283="NOTA DE CREDITO",ROUND(ABS(Registro_Compras!$K$283*Registro_Compras!$N$283),2),IF(Registro_Compras!$F$283="RHE",(ROUND(Registro_Compras!$L$283*Registro_Compras!$N$283,2)-ROUND(Registro_Compras!$V$283*Registro_Compras!$N$283,2)),Registro_Compras!$O$283)))</f>
        <v/>
      </c>
      <c r="G2518">
        <f>IF($C2518="","",IF(Registro_Compras!$F$283="NOTA DE CREDITO","Por la nota de credito "&amp;Registro_Compras!$C$283&amp;" de "&amp;Registro_Compras!$E$283&amp;" [PATRON POR CONFIRMAR CON CONTADOR]",IF(Registro_Compras!$F$283="RHE","Por el registro del recibo por honorarios "&amp;Registro_Compras!$C$283&amp;" de "&amp;Registro_Compras!$E$283&amp;" [PATRON POR CONFIRMAR CON CONTADOR]","Por el registro de la factura "&amp;Registro_Compras!$C$283&amp;" de "&amp;Registro_Compras!$E$283)))</f>
        <v/>
      </c>
      <c r="H2518">
        <f>IF($C2518="","",Registro_Compras!$C$283)</f>
        <v/>
      </c>
    </row>
    <row r="2519">
      <c r="A2519" s="25">
        <f>IF($C2519="","",Registro_Compras!$B$283)</f>
        <v/>
      </c>
      <c r="B2519">
        <f>IF($C2519="","","C"&amp;TEXT(INT((ROW()-5)/9)+1,"000")&amp;"-2")</f>
        <v/>
      </c>
      <c r="C2519">
        <f>IF(OR(Registro_Compras!$C$283="",Registro_Compras!$O$283=""),"",IF(Registro_Compras!$AB$283="ADMINISTRATIVO","94","95"))</f>
        <v/>
      </c>
      <c r="D2519">
        <f>IF(OR(Registro_Compras!$C$283="",Registro_Compras!$O$283=""),"",IF(Registro_Compras!$AB$283="ADMINISTRATIVO","Gastos Administrativos","Gastos de Venta y Operacion"))</f>
        <v/>
      </c>
      <c r="E2519" s="20">
        <f>IF($C2519="","",IF(Registro_Compras!$F$283="NOTA DE CREDITO","",IF(Registro_Compras!$F$283="RHE",ROUND(Registro_Compras!$L$283*Registro_Compras!$N$283,2),ROUND(Registro_Compras!$J$283*Registro_Compras!$N$283,2))))</f>
        <v/>
      </c>
      <c r="F2519" s="20">
        <f>IF($C2519="","",IF(Registro_Compras!$F$283="NOTA DE CREDITO",ROUND(ABS(Registro_Compras!$J$283*Registro_Compras!$N$283),2),""))</f>
        <v/>
      </c>
      <c r="G2519">
        <f>IF($C2519="","","Por el destino del gasto")</f>
        <v/>
      </c>
      <c r="H2519">
        <f>IF($C2519="","",Registro_Compras!$C$283)</f>
        <v/>
      </c>
    </row>
    <row r="2520">
      <c r="A2520" s="25">
        <f>IF($C2520="","",Registro_Compras!$B$283)</f>
        <v/>
      </c>
      <c r="B2520">
        <f>IF($C2520="","","C"&amp;TEXT(INT((ROW()-5)/9)+1,"000")&amp;"-2")</f>
        <v/>
      </c>
      <c r="C2520">
        <f>IF(OR(Registro_Compras!$C$283="",Registro_Compras!$O$283=""),"","79/791")</f>
        <v/>
      </c>
      <c r="D2520">
        <f>IF(OR(Registro_Compras!$C$283="",Registro_Compras!$O$283=""),"","Cargas Imputables a Cuentas de Costos y Gastos")</f>
        <v/>
      </c>
      <c r="E2520" s="20">
        <f>IF($C2520="","",IF(Registro_Compras!$F$283="NOTA DE CREDITO",ROUND(ABS(Registro_Compras!$J$283*Registro_Compras!$N$283),2),""))</f>
        <v/>
      </c>
      <c r="F2520" s="20">
        <f>IF($C2520="","",IF(Registro_Compras!$F$283="NOTA DE CREDITO","",IF(Registro_Compras!$F$283="RHE",ROUND(Registro_Compras!$L$283*Registro_Compras!$N$283,2),ROUND(Registro_Compras!$J$283*Registro_Compras!$N$283,2))))</f>
        <v/>
      </c>
      <c r="G2520">
        <f>IF($C2520="","","Por el destino del gasto")</f>
        <v/>
      </c>
      <c r="H2520">
        <f>IF($C2520="","",Registro_Compras!$C$283)</f>
        <v/>
      </c>
    </row>
    <row r="2521">
      <c r="A2521" s="25">
        <f>IF($C2521="","",Registro_Compras!$X$283)</f>
        <v/>
      </c>
      <c r="B2521">
        <f>IF($C2521="","","C"&amp;TEXT(INT((ROW()-5)/9)+1,"000")&amp;"-3")</f>
        <v/>
      </c>
      <c r="C2521">
        <f>IF(OR(Registro_Compras!$C$283="",Registro_Compras!$O$283="",Registro_Compras!$R$283&lt;&gt;"SI",Registro_Compras!$X$283=""),"","4212")</f>
        <v/>
      </c>
      <c r="D2521">
        <f>IF(OR(Registro_Compras!$C$283="",Registro_Compras!$O$283=""),"","Cuentas por Pagar Comerciales - Terceros")</f>
        <v/>
      </c>
      <c r="E2521" s="20">
        <f>IF($C2521="","",Registro_Compras!$S$283)</f>
        <v/>
      </c>
      <c r="F2521" s="20">
        <f>""</f>
        <v/>
      </c>
      <c r="G2521">
        <f>IF($C2521="","","Por el deposito de la detraccion en el Banco de la Nacion")</f>
        <v/>
      </c>
      <c r="H2521">
        <f>IF($C2521="","",Registro_Compras!$C$283)</f>
        <v/>
      </c>
    </row>
    <row r="2522">
      <c r="A2522" s="25">
        <f>IF($C2522="","",Registro_Compras!$X$283)</f>
        <v/>
      </c>
      <c r="B2522">
        <f>IF($C2522="","","C"&amp;TEXT(INT((ROW()-5)/9)+1,"000")&amp;"-3")</f>
        <v/>
      </c>
      <c r="C2522">
        <f>IF(OR(Registro_Compras!$C$283="",Registro_Compras!$O$283="",Registro_Compras!$R$283&lt;&gt;"SI",Registro_Compras!$X$283=""),"","10413")</f>
        <v/>
      </c>
      <c r="D2522">
        <f>IF(OR(Registro_Compras!$C$283="",Registro_Compras!$O$283=""),"","Efectivo y Equivalentes - Cta. Cte. Operativa")</f>
        <v/>
      </c>
      <c r="E2522" s="20">
        <f>""</f>
        <v/>
      </c>
      <c r="F2522" s="20">
        <f>IF($C2522="","",Registro_Compras!$S$283)</f>
        <v/>
      </c>
      <c r="G2522">
        <f>IF($C2522="","","Por el deposito de la detraccion en el Banco de la Nacion")</f>
        <v/>
      </c>
      <c r="H2522">
        <f>IF($C2522="","",Registro_Compras!$C$283)</f>
        <v/>
      </c>
    </row>
    <row r="2523">
      <c r="A2523" s="25">
        <f>IF($C2523="","",Registro_Compras!$Y$283)</f>
        <v/>
      </c>
      <c r="B2523">
        <f>IF($C2523="","","C"&amp;TEXT(INT((ROW()-5)/9)+1,"000")&amp;"-4")</f>
        <v/>
      </c>
      <c r="C2523">
        <f>IF(OR(Registro_Compras!$C$283="",Registro_Compras!$O$283="",Registro_Compras!$Y$283="",Registro_Compras!$F$283="NOTA DE CREDITO"),"","4212")</f>
        <v/>
      </c>
      <c r="D2523">
        <f>IF(OR(Registro_Compras!$C$283="",Registro_Compras!$O$283=""),"","Cuentas por Pagar Comerciales - Terceros")</f>
        <v/>
      </c>
      <c r="E2523" s="20">
        <f>IF($C2523="","",IF(Registro_Compras!$F$283="RHE",(ROUND(Registro_Compras!$L$283*Registro_Compras!$N$283,2)-ROUND(Registro_Compras!$V$283*Registro_Compras!$N$283,2)),ROUND(Registro_Compras!$O$283-Registro_Compras!$S$283,2)))</f>
        <v/>
      </c>
      <c r="F2523" s="20">
        <f>""</f>
        <v/>
      </c>
      <c r="G2523">
        <f>IF($C2523="","","Por la cancelacion del saldo al proveedor")</f>
        <v/>
      </c>
      <c r="H2523">
        <f>IF($C2523="","",Registro_Compras!$C$283)</f>
        <v/>
      </c>
    </row>
    <row r="2524">
      <c r="A2524" s="25">
        <f>IF($C2524="","",Registro_Compras!$Y$283)</f>
        <v/>
      </c>
      <c r="B2524">
        <f>IF($C2524="","","C"&amp;TEXT(INT((ROW()-5)/9)+1,"000")&amp;"-4")</f>
        <v/>
      </c>
      <c r="C2524">
        <f>IF(OR(Registro_Compras!$C$283="",Registro_Compras!$O$283="",Registro_Compras!$Y$283="",Registro_Compras!$F$283="NOTA DE CREDITO"),"","10413")</f>
        <v/>
      </c>
      <c r="D2524">
        <f>IF(OR(Registro_Compras!$C$283="",Registro_Compras!$O$283=""),"","Efectivo y Equivalentes - Cta. Cte. Operativa")</f>
        <v/>
      </c>
      <c r="E2524" s="20">
        <f>""</f>
        <v/>
      </c>
      <c r="F2524" s="20">
        <f>IF($C2524="","",IF(Registro_Compras!$F$283="RHE",(ROUND(Registro_Compras!$L$283*Registro_Compras!$N$283,2)-ROUND(Registro_Compras!$V$283*Registro_Compras!$N$283,2)),ROUND(Registro_Compras!$O$283-Registro_Compras!$S$283,2)))</f>
        <v/>
      </c>
      <c r="G2524">
        <f>IF($C2524="","","Por la cancelacion del saldo al proveedor")</f>
        <v/>
      </c>
      <c r="H2524">
        <f>IF($C2524="","",Registro_Compras!$C$283)</f>
        <v/>
      </c>
    </row>
    <row r="2525">
      <c r="A2525" s="25">
        <f>IF($C2525="","",Registro_Compras!$B$284)</f>
        <v/>
      </c>
      <c r="B2525">
        <f>IF($C2525="","","C"&amp;TEXT(INT((ROW()-5)/9)+1,"000")&amp;"-1")</f>
        <v/>
      </c>
      <c r="C2525">
        <f>IF(OR(Registro_Compras!$C$284="",Registro_Compras!$O$284=""),"",IF(Registro_Compras!$F$284="NOTA DE CREDITO","4212",IF(Registro_Compras!$M$284="","63",Registro_Compras!$M$284)))</f>
        <v/>
      </c>
      <c r="D2525">
        <f>IF(OR(Registro_Compras!$C$284="",Registro_Compras!$O$284=""),"",IF(Registro_Compras!$F$284="NOTA DE CREDITO","Cuentas por Pagar Comerciales - Terceros (Emitidas)",IF(Registro_Compras!$F$284="RHE","Honorarios Profesionales - Servicios de Terceros","Gastos de Servicios Prestados por Terceros")))</f>
        <v/>
      </c>
      <c r="E2525" s="20">
        <f>IF($C2525="","",IF(Registro_Compras!$F$284="NOTA DE CREDITO",ABS(Registro_Compras!$O$284),IF(Registro_Compras!$F$284="RHE",ROUND(Registro_Compras!$L$284*Registro_Compras!$N$284,2),ROUND(Registro_Compras!$J$284*Registro_Compras!$N$284,2))))</f>
        <v/>
      </c>
      <c r="F2525" s="20">
        <f>""</f>
        <v/>
      </c>
      <c r="G2525">
        <f>IF($C2525="","",IF(Registro_Compras!$F$284="NOTA DE CREDITO","Por la nota de credito "&amp;Registro_Compras!$C$284&amp;" de "&amp;Registro_Compras!$E$284&amp;" [PATRON POR CONFIRMAR CON CONTADOR]",IF(Registro_Compras!$F$284="RHE","Por el registro del recibo por honorarios "&amp;Registro_Compras!$C$284&amp;" de "&amp;Registro_Compras!$E$284&amp;" [PATRON POR CONFIRMAR CON CONTADOR]","Por el registro de la factura "&amp;Registro_Compras!$C$284&amp;" de "&amp;Registro_Compras!$E$284)))</f>
        <v/>
      </c>
      <c r="H2525">
        <f>IF($C2525="","",Registro_Compras!$C$284)</f>
        <v/>
      </c>
    </row>
    <row r="2526">
      <c r="A2526" s="25">
        <f>IF($C2526="","",Registro_Compras!$B$284)</f>
        <v/>
      </c>
      <c r="B2526">
        <f>IF($C2526="","","C"&amp;TEXT(INT((ROW()-5)/9)+1,"000")&amp;"-1")</f>
        <v/>
      </c>
      <c r="C2526">
        <f>IF(OR(Registro_Compras!$C$284="",Registro_Compras!$O$284=""),"",IF(Registro_Compras!$F$284="RHE",IF(Registro_Compras!$V$284=0,"","40172"),IF(Registro_Compras!$F$284="NOTA DE CREDITO",IF(Registro_Compras!$M$284="","63",Registro_Compras!$M$284),IF(Registro_Compras!$K$284=0,"","40111"))))</f>
        <v/>
      </c>
      <c r="D2526">
        <f>IF(OR(Registro_Compras!$C$284="",Registro_Compras!$O$284=""),"",IF(Registro_Compras!$F$284="RHE","Retencion Renta 4ta Categoria por Pagar",IF(Registro_Compras!$F$284="NOTA DE CREDITO","Gastos de Servicios Prestados por Terceros","IGV - Cuenta Propia (Credito Fiscal)")))</f>
        <v/>
      </c>
      <c r="E2526" s="20">
        <f>IF($C2526="","",IF(Registro_Compras!$F$284="FACTURA",ROUND(Registro_Compras!$K$284*Registro_Compras!$N$284,2),""))</f>
        <v/>
      </c>
      <c r="F2526" s="20">
        <f>IF($C2526="","",IF(Registro_Compras!$F$284="RHE",ROUND(Registro_Compras!$V$284*Registro_Compras!$N$284,2),IF(Registro_Compras!$F$284="NOTA DE CREDITO",ROUND(ABS(Registro_Compras!$J$284*Registro_Compras!$N$284),2),"")))</f>
        <v/>
      </c>
      <c r="G2526">
        <f>IF($C2526="","",IF(Registro_Compras!$F$284="NOTA DE CREDITO","Por la nota de credito "&amp;Registro_Compras!$C$284&amp;" de "&amp;Registro_Compras!$E$284&amp;" [PATRON POR CONFIRMAR CON CONTADOR]",IF(Registro_Compras!$F$284="RHE","Por el registro del recibo por honorarios "&amp;Registro_Compras!$C$284&amp;" de "&amp;Registro_Compras!$E$284&amp;" [PATRON POR CONFIRMAR CON CONTADOR]","Por el registro de la factura "&amp;Registro_Compras!$C$284&amp;" de "&amp;Registro_Compras!$E$284)))</f>
        <v/>
      </c>
      <c r="H2526">
        <f>IF($C2526="","",Registro_Compras!$C$284)</f>
        <v/>
      </c>
    </row>
    <row r="2527">
      <c r="A2527" s="25">
        <f>IF($C2527="","",Registro_Compras!$B$284)</f>
        <v/>
      </c>
      <c r="B2527">
        <f>IF($C2527="","","C"&amp;TEXT(INT((ROW()-5)/9)+1,"000")&amp;"-1")</f>
        <v/>
      </c>
      <c r="C2527">
        <f>IF(OR(Registro_Compras!$C$284="",Registro_Compras!$O$284=""),"",IF(Registro_Compras!$F$284="NOTA DE CREDITO",IF(Registro_Compras!$K$284=0,"","40111"),"4212"))</f>
        <v/>
      </c>
      <c r="D2527">
        <f>IF(OR(Registro_Compras!$C$284="",Registro_Compras!$O$284=""),"",IF(Registro_Compras!$F$284="NOTA DE CREDITO","IGV - Cuenta Propia (Credito Fiscal)","Cuentas por Pagar Comerciales - Terceros (Emitidas)"))</f>
        <v/>
      </c>
      <c r="E2527" s="20">
        <f>""</f>
        <v/>
      </c>
      <c r="F2527" s="20">
        <f>IF($C2527="","",IF(Registro_Compras!$F$284="NOTA DE CREDITO",ROUND(ABS(Registro_Compras!$K$284*Registro_Compras!$N$284),2),IF(Registro_Compras!$F$284="RHE",(ROUND(Registro_Compras!$L$284*Registro_Compras!$N$284,2)-ROUND(Registro_Compras!$V$284*Registro_Compras!$N$284,2)),Registro_Compras!$O$284)))</f>
        <v/>
      </c>
      <c r="G2527">
        <f>IF($C2527="","",IF(Registro_Compras!$F$284="NOTA DE CREDITO","Por la nota de credito "&amp;Registro_Compras!$C$284&amp;" de "&amp;Registro_Compras!$E$284&amp;" [PATRON POR CONFIRMAR CON CONTADOR]",IF(Registro_Compras!$F$284="RHE","Por el registro del recibo por honorarios "&amp;Registro_Compras!$C$284&amp;" de "&amp;Registro_Compras!$E$284&amp;" [PATRON POR CONFIRMAR CON CONTADOR]","Por el registro de la factura "&amp;Registro_Compras!$C$284&amp;" de "&amp;Registro_Compras!$E$284)))</f>
        <v/>
      </c>
      <c r="H2527">
        <f>IF($C2527="","",Registro_Compras!$C$284)</f>
        <v/>
      </c>
    </row>
    <row r="2528">
      <c r="A2528" s="25">
        <f>IF($C2528="","",Registro_Compras!$B$284)</f>
        <v/>
      </c>
      <c r="B2528">
        <f>IF($C2528="","","C"&amp;TEXT(INT((ROW()-5)/9)+1,"000")&amp;"-2")</f>
        <v/>
      </c>
      <c r="C2528">
        <f>IF(OR(Registro_Compras!$C$284="",Registro_Compras!$O$284=""),"",IF(Registro_Compras!$AB$284="ADMINISTRATIVO","94","95"))</f>
        <v/>
      </c>
      <c r="D2528">
        <f>IF(OR(Registro_Compras!$C$284="",Registro_Compras!$O$284=""),"",IF(Registro_Compras!$AB$284="ADMINISTRATIVO","Gastos Administrativos","Gastos de Venta y Operacion"))</f>
        <v/>
      </c>
      <c r="E2528" s="20">
        <f>IF($C2528="","",IF(Registro_Compras!$F$284="NOTA DE CREDITO","",IF(Registro_Compras!$F$284="RHE",ROUND(Registro_Compras!$L$284*Registro_Compras!$N$284,2),ROUND(Registro_Compras!$J$284*Registro_Compras!$N$284,2))))</f>
        <v/>
      </c>
      <c r="F2528" s="20">
        <f>IF($C2528="","",IF(Registro_Compras!$F$284="NOTA DE CREDITO",ROUND(ABS(Registro_Compras!$J$284*Registro_Compras!$N$284),2),""))</f>
        <v/>
      </c>
      <c r="G2528">
        <f>IF($C2528="","","Por el destino del gasto")</f>
        <v/>
      </c>
      <c r="H2528">
        <f>IF($C2528="","",Registro_Compras!$C$284)</f>
        <v/>
      </c>
    </row>
    <row r="2529">
      <c r="A2529" s="25">
        <f>IF($C2529="","",Registro_Compras!$B$284)</f>
        <v/>
      </c>
      <c r="B2529">
        <f>IF($C2529="","","C"&amp;TEXT(INT((ROW()-5)/9)+1,"000")&amp;"-2")</f>
        <v/>
      </c>
      <c r="C2529">
        <f>IF(OR(Registro_Compras!$C$284="",Registro_Compras!$O$284=""),"","79/791")</f>
        <v/>
      </c>
      <c r="D2529">
        <f>IF(OR(Registro_Compras!$C$284="",Registro_Compras!$O$284=""),"","Cargas Imputables a Cuentas de Costos y Gastos")</f>
        <v/>
      </c>
      <c r="E2529" s="20">
        <f>IF($C2529="","",IF(Registro_Compras!$F$284="NOTA DE CREDITO",ROUND(ABS(Registro_Compras!$J$284*Registro_Compras!$N$284),2),""))</f>
        <v/>
      </c>
      <c r="F2529" s="20">
        <f>IF($C2529="","",IF(Registro_Compras!$F$284="NOTA DE CREDITO","",IF(Registro_Compras!$F$284="RHE",ROUND(Registro_Compras!$L$284*Registro_Compras!$N$284,2),ROUND(Registro_Compras!$J$284*Registro_Compras!$N$284,2))))</f>
        <v/>
      </c>
      <c r="G2529">
        <f>IF($C2529="","","Por el destino del gasto")</f>
        <v/>
      </c>
      <c r="H2529">
        <f>IF($C2529="","",Registro_Compras!$C$284)</f>
        <v/>
      </c>
    </row>
    <row r="2530">
      <c r="A2530" s="25">
        <f>IF($C2530="","",Registro_Compras!$X$284)</f>
        <v/>
      </c>
      <c r="B2530">
        <f>IF($C2530="","","C"&amp;TEXT(INT((ROW()-5)/9)+1,"000")&amp;"-3")</f>
        <v/>
      </c>
      <c r="C2530">
        <f>IF(OR(Registro_Compras!$C$284="",Registro_Compras!$O$284="",Registro_Compras!$R$284&lt;&gt;"SI",Registro_Compras!$X$284=""),"","4212")</f>
        <v/>
      </c>
      <c r="D2530">
        <f>IF(OR(Registro_Compras!$C$284="",Registro_Compras!$O$284=""),"","Cuentas por Pagar Comerciales - Terceros")</f>
        <v/>
      </c>
      <c r="E2530" s="20">
        <f>IF($C2530="","",Registro_Compras!$S$284)</f>
        <v/>
      </c>
      <c r="F2530" s="20">
        <f>""</f>
        <v/>
      </c>
      <c r="G2530">
        <f>IF($C2530="","","Por el deposito de la detraccion en el Banco de la Nacion")</f>
        <v/>
      </c>
      <c r="H2530">
        <f>IF($C2530="","",Registro_Compras!$C$284)</f>
        <v/>
      </c>
    </row>
    <row r="2531">
      <c r="A2531" s="25">
        <f>IF($C2531="","",Registro_Compras!$X$284)</f>
        <v/>
      </c>
      <c r="B2531">
        <f>IF($C2531="","","C"&amp;TEXT(INT((ROW()-5)/9)+1,"000")&amp;"-3")</f>
        <v/>
      </c>
      <c r="C2531">
        <f>IF(OR(Registro_Compras!$C$284="",Registro_Compras!$O$284="",Registro_Compras!$R$284&lt;&gt;"SI",Registro_Compras!$X$284=""),"","10413")</f>
        <v/>
      </c>
      <c r="D2531">
        <f>IF(OR(Registro_Compras!$C$284="",Registro_Compras!$O$284=""),"","Efectivo y Equivalentes - Cta. Cte. Operativa")</f>
        <v/>
      </c>
      <c r="E2531" s="20">
        <f>""</f>
        <v/>
      </c>
      <c r="F2531" s="20">
        <f>IF($C2531="","",Registro_Compras!$S$284)</f>
        <v/>
      </c>
      <c r="G2531">
        <f>IF($C2531="","","Por el deposito de la detraccion en el Banco de la Nacion")</f>
        <v/>
      </c>
      <c r="H2531">
        <f>IF($C2531="","",Registro_Compras!$C$284)</f>
        <v/>
      </c>
    </row>
    <row r="2532">
      <c r="A2532" s="25">
        <f>IF($C2532="","",Registro_Compras!$Y$284)</f>
        <v/>
      </c>
      <c r="B2532">
        <f>IF($C2532="","","C"&amp;TEXT(INT((ROW()-5)/9)+1,"000")&amp;"-4")</f>
        <v/>
      </c>
      <c r="C2532">
        <f>IF(OR(Registro_Compras!$C$284="",Registro_Compras!$O$284="",Registro_Compras!$Y$284="",Registro_Compras!$F$284="NOTA DE CREDITO"),"","4212")</f>
        <v/>
      </c>
      <c r="D2532">
        <f>IF(OR(Registro_Compras!$C$284="",Registro_Compras!$O$284=""),"","Cuentas por Pagar Comerciales - Terceros")</f>
        <v/>
      </c>
      <c r="E2532" s="20">
        <f>IF($C2532="","",IF(Registro_Compras!$F$284="RHE",(ROUND(Registro_Compras!$L$284*Registro_Compras!$N$284,2)-ROUND(Registro_Compras!$V$284*Registro_Compras!$N$284,2)),ROUND(Registro_Compras!$O$284-Registro_Compras!$S$284,2)))</f>
        <v/>
      </c>
      <c r="F2532" s="20">
        <f>""</f>
        <v/>
      </c>
      <c r="G2532">
        <f>IF($C2532="","","Por la cancelacion del saldo al proveedor")</f>
        <v/>
      </c>
      <c r="H2532">
        <f>IF($C2532="","",Registro_Compras!$C$284)</f>
        <v/>
      </c>
    </row>
    <row r="2533">
      <c r="A2533" s="25">
        <f>IF($C2533="","",Registro_Compras!$Y$284)</f>
        <v/>
      </c>
      <c r="B2533">
        <f>IF($C2533="","","C"&amp;TEXT(INT((ROW()-5)/9)+1,"000")&amp;"-4")</f>
        <v/>
      </c>
      <c r="C2533">
        <f>IF(OR(Registro_Compras!$C$284="",Registro_Compras!$O$284="",Registro_Compras!$Y$284="",Registro_Compras!$F$284="NOTA DE CREDITO"),"","10413")</f>
        <v/>
      </c>
      <c r="D2533">
        <f>IF(OR(Registro_Compras!$C$284="",Registro_Compras!$O$284=""),"","Efectivo y Equivalentes - Cta. Cte. Operativa")</f>
        <v/>
      </c>
      <c r="E2533" s="20">
        <f>""</f>
        <v/>
      </c>
      <c r="F2533" s="20">
        <f>IF($C2533="","",IF(Registro_Compras!$F$284="RHE",(ROUND(Registro_Compras!$L$284*Registro_Compras!$N$284,2)-ROUND(Registro_Compras!$V$284*Registro_Compras!$N$284,2)),ROUND(Registro_Compras!$O$284-Registro_Compras!$S$284,2)))</f>
        <v/>
      </c>
      <c r="G2533">
        <f>IF($C2533="","","Por la cancelacion del saldo al proveedor")</f>
        <v/>
      </c>
      <c r="H2533">
        <f>IF($C2533="","",Registro_Compras!$C$284)</f>
        <v/>
      </c>
    </row>
    <row r="2534">
      <c r="A2534" s="25">
        <f>IF($C2534="","",Registro_Compras!$B$285)</f>
        <v/>
      </c>
      <c r="B2534">
        <f>IF($C2534="","","C"&amp;TEXT(INT((ROW()-5)/9)+1,"000")&amp;"-1")</f>
        <v/>
      </c>
      <c r="C2534">
        <f>IF(OR(Registro_Compras!$C$285="",Registro_Compras!$O$285=""),"",IF(Registro_Compras!$F$285="NOTA DE CREDITO","4212",IF(Registro_Compras!$M$285="","63",Registro_Compras!$M$285)))</f>
        <v/>
      </c>
      <c r="D2534">
        <f>IF(OR(Registro_Compras!$C$285="",Registro_Compras!$O$285=""),"",IF(Registro_Compras!$F$285="NOTA DE CREDITO","Cuentas por Pagar Comerciales - Terceros (Emitidas)",IF(Registro_Compras!$F$285="RHE","Honorarios Profesionales - Servicios de Terceros","Gastos de Servicios Prestados por Terceros")))</f>
        <v/>
      </c>
      <c r="E2534" s="20">
        <f>IF($C2534="","",IF(Registro_Compras!$F$285="NOTA DE CREDITO",ABS(Registro_Compras!$O$285),IF(Registro_Compras!$F$285="RHE",ROUND(Registro_Compras!$L$285*Registro_Compras!$N$285,2),ROUND(Registro_Compras!$J$285*Registro_Compras!$N$285,2))))</f>
        <v/>
      </c>
      <c r="F2534" s="20">
        <f>""</f>
        <v/>
      </c>
      <c r="G2534">
        <f>IF($C2534="","",IF(Registro_Compras!$F$285="NOTA DE CREDITO","Por la nota de credito "&amp;Registro_Compras!$C$285&amp;" de "&amp;Registro_Compras!$E$285&amp;" [PATRON POR CONFIRMAR CON CONTADOR]",IF(Registro_Compras!$F$285="RHE","Por el registro del recibo por honorarios "&amp;Registro_Compras!$C$285&amp;" de "&amp;Registro_Compras!$E$285&amp;" [PATRON POR CONFIRMAR CON CONTADOR]","Por el registro de la factura "&amp;Registro_Compras!$C$285&amp;" de "&amp;Registro_Compras!$E$285)))</f>
        <v/>
      </c>
      <c r="H2534">
        <f>IF($C2534="","",Registro_Compras!$C$285)</f>
        <v/>
      </c>
    </row>
    <row r="2535">
      <c r="A2535" s="25">
        <f>IF($C2535="","",Registro_Compras!$B$285)</f>
        <v/>
      </c>
      <c r="B2535">
        <f>IF($C2535="","","C"&amp;TEXT(INT((ROW()-5)/9)+1,"000")&amp;"-1")</f>
        <v/>
      </c>
      <c r="C2535">
        <f>IF(OR(Registro_Compras!$C$285="",Registro_Compras!$O$285=""),"",IF(Registro_Compras!$F$285="RHE",IF(Registro_Compras!$V$285=0,"","40172"),IF(Registro_Compras!$F$285="NOTA DE CREDITO",IF(Registro_Compras!$M$285="","63",Registro_Compras!$M$285),IF(Registro_Compras!$K$285=0,"","40111"))))</f>
        <v/>
      </c>
      <c r="D2535">
        <f>IF(OR(Registro_Compras!$C$285="",Registro_Compras!$O$285=""),"",IF(Registro_Compras!$F$285="RHE","Retencion Renta 4ta Categoria por Pagar",IF(Registro_Compras!$F$285="NOTA DE CREDITO","Gastos de Servicios Prestados por Terceros","IGV - Cuenta Propia (Credito Fiscal)")))</f>
        <v/>
      </c>
      <c r="E2535" s="20">
        <f>IF($C2535="","",IF(Registro_Compras!$F$285="FACTURA",ROUND(Registro_Compras!$K$285*Registro_Compras!$N$285,2),""))</f>
        <v/>
      </c>
      <c r="F2535" s="20">
        <f>IF($C2535="","",IF(Registro_Compras!$F$285="RHE",ROUND(Registro_Compras!$V$285*Registro_Compras!$N$285,2),IF(Registro_Compras!$F$285="NOTA DE CREDITO",ROUND(ABS(Registro_Compras!$J$285*Registro_Compras!$N$285),2),"")))</f>
        <v/>
      </c>
      <c r="G2535">
        <f>IF($C2535="","",IF(Registro_Compras!$F$285="NOTA DE CREDITO","Por la nota de credito "&amp;Registro_Compras!$C$285&amp;" de "&amp;Registro_Compras!$E$285&amp;" [PATRON POR CONFIRMAR CON CONTADOR]",IF(Registro_Compras!$F$285="RHE","Por el registro del recibo por honorarios "&amp;Registro_Compras!$C$285&amp;" de "&amp;Registro_Compras!$E$285&amp;" [PATRON POR CONFIRMAR CON CONTADOR]","Por el registro de la factura "&amp;Registro_Compras!$C$285&amp;" de "&amp;Registro_Compras!$E$285)))</f>
        <v/>
      </c>
      <c r="H2535">
        <f>IF($C2535="","",Registro_Compras!$C$285)</f>
        <v/>
      </c>
    </row>
    <row r="2536">
      <c r="A2536" s="25">
        <f>IF($C2536="","",Registro_Compras!$B$285)</f>
        <v/>
      </c>
      <c r="B2536">
        <f>IF($C2536="","","C"&amp;TEXT(INT((ROW()-5)/9)+1,"000")&amp;"-1")</f>
        <v/>
      </c>
      <c r="C2536">
        <f>IF(OR(Registro_Compras!$C$285="",Registro_Compras!$O$285=""),"",IF(Registro_Compras!$F$285="NOTA DE CREDITO",IF(Registro_Compras!$K$285=0,"","40111"),"4212"))</f>
        <v/>
      </c>
      <c r="D2536">
        <f>IF(OR(Registro_Compras!$C$285="",Registro_Compras!$O$285=""),"",IF(Registro_Compras!$F$285="NOTA DE CREDITO","IGV - Cuenta Propia (Credito Fiscal)","Cuentas por Pagar Comerciales - Terceros (Emitidas)"))</f>
        <v/>
      </c>
      <c r="E2536" s="20">
        <f>""</f>
        <v/>
      </c>
      <c r="F2536" s="20">
        <f>IF($C2536="","",IF(Registro_Compras!$F$285="NOTA DE CREDITO",ROUND(ABS(Registro_Compras!$K$285*Registro_Compras!$N$285),2),IF(Registro_Compras!$F$285="RHE",(ROUND(Registro_Compras!$L$285*Registro_Compras!$N$285,2)-ROUND(Registro_Compras!$V$285*Registro_Compras!$N$285,2)),Registro_Compras!$O$285)))</f>
        <v/>
      </c>
      <c r="G2536">
        <f>IF($C2536="","",IF(Registro_Compras!$F$285="NOTA DE CREDITO","Por la nota de credito "&amp;Registro_Compras!$C$285&amp;" de "&amp;Registro_Compras!$E$285&amp;" [PATRON POR CONFIRMAR CON CONTADOR]",IF(Registro_Compras!$F$285="RHE","Por el registro del recibo por honorarios "&amp;Registro_Compras!$C$285&amp;" de "&amp;Registro_Compras!$E$285&amp;" [PATRON POR CONFIRMAR CON CONTADOR]","Por el registro de la factura "&amp;Registro_Compras!$C$285&amp;" de "&amp;Registro_Compras!$E$285)))</f>
        <v/>
      </c>
      <c r="H2536">
        <f>IF($C2536="","",Registro_Compras!$C$285)</f>
        <v/>
      </c>
    </row>
    <row r="2537">
      <c r="A2537" s="25">
        <f>IF($C2537="","",Registro_Compras!$B$285)</f>
        <v/>
      </c>
      <c r="B2537">
        <f>IF($C2537="","","C"&amp;TEXT(INT((ROW()-5)/9)+1,"000")&amp;"-2")</f>
        <v/>
      </c>
      <c r="C2537">
        <f>IF(OR(Registro_Compras!$C$285="",Registro_Compras!$O$285=""),"",IF(Registro_Compras!$AB$285="ADMINISTRATIVO","94","95"))</f>
        <v/>
      </c>
      <c r="D2537">
        <f>IF(OR(Registro_Compras!$C$285="",Registro_Compras!$O$285=""),"",IF(Registro_Compras!$AB$285="ADMINISTRATIVO","Gastos Administrativos","Gastos de Venta y Operacion"))</f>
        <v/>
      </c>
      <c r="E2537" s="20">
        <f>IF($C2537="","",IF(Registro_Compras!$F$285="NOTA DE CREDITO","",IF(Registro_Compras!$F$285="RHE",ROUND(Registro_Compras!$L$285*Registro_Compras!$N$285,2),ROUND(Registro_Compras!$J$285*Registro_Compras!$N$285,2))))</f>
        <v/>
      </c>
      <c r="F2537" s="20">
        <f>IF($C2537="","",IF(Registro_Compras!$F$285="NOTA DE CREDITO",ROUND(ABS(Registro_Compras!$J$285*Registro_Compras!$N$285),2),""))</f>
        <v/>
      </c>
      <c r="G2537">
        <f>IF($C2537="","","Por el destino del gasto")</f>
        <v/>
      </c>
      <c r="H2537">
        <f>IF($C2537="","",Registro_Compras!$C$285)</f>
        <v/>
      </c>
    </row>
    <row r="2538">
      <c r="A2538" s="25">
        <f>IF($C2538="","",Registro_Compras!$B$285)</f>
        <v/>
      </c>
      <c r="B2538">
        <f>IF($C2538="","","C"&amp;TEXT(INT((ROW()-5)/9)+1,"000")&amp;"-2")</f>
        <v/>
      </c>
      <c r="C2538">
        <f>IF(OR(Registro_Compras!$C$285="",Registro_Compras!$O$285=""),"","79/791")</f>
        <v/>
      </c>
      <c r="D2538">
        <f>IF(OR(Registro_Compras!$C$285="",Registro_Compras!$O$285=""),"","Cargas Imputables a Cuentas de Costos y Gastos")</f>
        <v/>
      </c>
      <c r="E2538" s="20">
        <f>IF($C2538="","",IF(Registro_Compras!$F$285="NOTA DE CREDITO",ROUND(ABS(Registro_Compras!$J$285*Registro_Compras!$N$285),2),""))</f>
        <v/>
      </c>
      <c r="F2538" s="20">
        <f>IF($C2538="","",IF(Registro_Compras!$F$285="NOTA DE CREDITO","",IF(Registro_Compras!$F$285="RHE",ROUND(Registro_Compras!$L$285*Registro_Compras!$N$285,2),ROUND(Registro_Compras!$J$285*Registro_Compras!$N$285,2))))</f>
        <v/>
      </c>
      <c r="G2538">
        <f>IF($C2538="","","Por el destino del gasto")</f>
        <v/>
      </c>
      <c r="H2538">
        <f>IF($C2538="","",Registro_Compras!$C$285)</f>
        <v/>
      </c>
    </row>
    <row r="2539">
      <c r="A2539" s="25">
        <f>IF($C2539="","",Registro_Compras!$X$285)</f>
        <v/>
      </c>
      <c r="B2539">
        <f>IF($C2539="","","C"&amp;TEXT(INT((ROW()-5)/9)+1,"000")&amp;"-3")</f>
        <v/>
      </c>
      <c r="C2539">
        <f>IF(OR(Registro_Compras!$C$285="",Registro_Compras!$O$285="",Registro_Compras!$R$285&lt;&gt;"SI",Registro_Compras!$X$285=""),"","4212")</f>
        <v/>
      </c>
      <c r="D2539">
        <f>IF(OR(Registro_Compras!$C$285="",Registro_Compras!$O$285=""),"","Cuentas por Pagar Comerciales - Terceros")</f>
        <v/>
      </c>
      <c r="E2539" s="20">
        <f>IF($C2539="","",Registro_Compras!$S$285)</f>
        <v/>
      </c>
      <c r="F2539" s="20">
        <f>""</f>
        <v/>
      </c>
      <c r="G2539">
        <f>IF($C2539="","","Por el deposito de la detraccion en el Banco de la Nacion")</f>
        <v/>
      </c>
      <c r="H2539">
        <f>IF($C2539="","",Registro_Compras!$C$285)</f>
        <v/>
      </c>
    </row>
    <row r="2540">
      <c r="A2540" s="25">
        <f>IF($C2540="","",Registro_Compras!$X$285)</f>
        <v/>
      </c>
      <c r="B2540">
        <f>IF($C2540="","","C"&amp;TEXT(INT((ROW()-5)/9)+1,"000")&amp;"-3")</f>
        <v/>
      </c>
      <c r="C2540">
        <f>IF(OR(Registro_Compras!$C$285="",Registro_Compras!$O$285="",Registro_Compras!$R$285&lt;&gt;"SI",Registro_Compras!$X$285=""),"","10413")</f>
        <v/>
      </c>
      <c r="D2540">
        <f>IF(OR(Registro_Compras!$C$285="",Registro_Compras!$O$285=""),"","Efectivo y Equivalentes - Cta. Cte. Operativa")</f>
        <v/>
      </c>
      <c r="E2540" s="20">
        <f>""</f>
        <v/>
      </c>
      <c r="F2540" s="20">
        <f>IF($C2540="","",Registro_Compras!$S$285)</f>
        <v/>
      </c>
      <c r="G2540">
        <f>IF($C2540="","","Por el deposito de la detraccion en el Banco de la Nacion")</f>
        <v/>
      </c>
      <c r="H2540">
        <f>IF($C2540="","",Registro_Compras!$C$285)</f>
        <v/>
      </c>
    </row>
    <row r="2541">
      <c r="A2541" s="25">
        <f>IF($C2541="","",Registro_Compras!$Y$285)</f>
        <v/>
      </c>
      <c r="B2541">
        <f>IF($C2541="","","C"&amp;TEXT(INT((ROW()-5)/9)+1,"000")&amp;"-4")</f>
        <v/>
      </c>
      <c r="C2541">
        <f>IF(OR(Registro_Compras!$C$285="",Registro_Compras!$O$285="",Registro_Compras!$Y$285="",Registro_Compras!$F$285="NOTA DE CREDITO"),"","4212")</f>
        <v/>
      </c>
      <c r="D2541">
        <f>IF(OR(Registro_Compras!$C$285="",Registro_Compras!$O$285=""),"","Cuentas por Pagar Comerciales - Terceros")</f>
        <v/>
      </c>
      <c r="E2541" s="20">
        <f>IF($C2541="","",IF(Registro_Compras!$F$285="RHE",(ROUND(Registro_Compras!$L$285*Registro_Compras!$N$285,2)-ROUND(Registro_Compras!$V$285*Registro_Compras!$N$285,2)),ROUND(Registro_Compras!$O$285-Registro_Compras!$S$285,2)))</f>
        <v/>
      </c>
      <c r="F2541" s="20">
        <f>""</f>
        <v/>
      </c>
      <c r="G2541">
        <f>IF($C2541="","","Por la cancelacion del saldo al proveedor")</f>
        <v/>
      </c>
      <c r="H2541">
        <f>IF($C2541="","",Registro_Compras!$C$285)</f>
        <v/>
      </c>
    </row>
    <row r="2542">
      <c r="A2542" s="25">
        <f>IF($C2542="","",Registro_Compras!$Y$285)</f>
        <v/>
      </c>
      <c r="B2542">
        <f>IF($C2542="","","C"&amp;TEXT(INT((ROW()-5)/9)+1,"000")&amp;"-4")</f>
        <v/>
      </c>
      <c r="C2542">
        <f>IF(OR(Registro_Compras!$C$285="",Registro_Compras!$O$285="",Registro_Compras!$Y$285="",Registro_Compras!$F$285="NOTA DE CREDITO"),"","10413")</f>
        <v/>
      </c>
      <c r="D2542">
        <f>IF(OR(Registro_Compras!$C$285="",Registro_Compras!$O$285=""),"","Efectivo y Equivalentes - Cta. Cte. Operativa")</f>
        <v/>
      </c>
      <c r="E2542" s="20">
        <f>""</f>
        <v/>
      </c>
      <c r="F2542" s="20">
        <f>IF($C2542="","",IF(Registro_Compras!$F$285="RHE",(ROUND(Registro_Compras!$L$285*Registro_Compras!$N$285,2)-ROUND(Registro_Compras!$V$285*Registro_Compras!$N$285,2)),ROUND(Registro_Compras!$O$285-Registro_Compras!$S$285,2)))</f>
        <v/>
      </c>
      <c r="G2542">
        <f>IF($C2542="","","Por la cancelacion del saldo al proveedor")</f>
        <v/>
      </c>
      <c r="H2542">
        <f>IF($C2542="","",Registro_Compras!$C$285)</f>
        <v/>
      </c>
    </row>
    <row r="2543">
      <c r="A2543" s="25">
        <f>IF($C2543="","",Registro_Compras!$B$286)</f>
        <v/>
      </c>
      <c r="B2543">
        <f>IF($C2543="","","C"&amp;TEXT(INT((ROW()-5)/9)+1,"000")&amp;"-1")</f>
        <v/>
      </c>
      <c r="C2543">
        <f>IF(OR(Registro_Compras!$C$286="",Registro_Compras!$O$286=""),"",IF(Registro_Compras!$F$286="NOTA DE CREDITO","4212",IF(Registro_Compras!$M$286="","63",Registro_Compras!$M$286)))</f>
        <v/>
      </c>
      <c r="D2543">
        <f>IF(OR(Registro_Compras!$C$286="",Registro_Compras!$O$286=""),"",IF(Registro_Compras!$F$286="NOTA DE CREDITO","Cuentas por Pagar Comerciales - Terceros (Emitidas)",IF(Registro_Compras!$F$286="RHE","Honorarios Profesionales - Servicios de Terceros","Gastos de Servicios Prestados por Terceros")))</f>
        <v/>
      </c>
      <c r="E2543" s="20">
        <f>IF($C2543="","",IF(Registro_Compras!$F$286="NOTA DE CREDITO",ABS(Registro_Compras!$O$286),IF(Registro_Compras!$F$286="RHE",ROUND(Registro_Compras!$L$286*Registro_Compras!$N$286,2),ROUND(Registro_Compras!$J$286*Registro_Compras!$N$286,2))))</f>
        <v/>
      </c>
      <c r="F2543" s="20">
        <f>""</f>
        <v/>
      </c>
      <c r="G2543">
        <f>IF($C2543="","",IF(Registro_Compras!$F$286="NOTA DE CREDITO","Por la nota de credito "&amp;Registro_Compras!$C$286&amp;" de "&amp;Registro_Compras!$E$286&amp;" [PATRON POR CONFIRMAR CON CONTADOR]",IF(Registro_Compras!$F$286="RHE","Por el registro del recibo por honorarios "&amp;Registro_Compras!$C$286&amp;" de "&amp;Registro_Compras!$E$286&amp;" [PATRON POR CONFIRMAR CON CONTADOR]","Por el registro de la factura "&amp;Registro_Compras!$C$286&amp;" de "&amp;Registro_Compras!$E$286)))</f>
        <v/>
      </c>
      <c r="H2543">
        <f>IF($C2543="","",Registro_Compras!$C$286)</f>
        <v/>
      </c>
    </row>
    <row r="2544">
      <c r="A2544" s="25">
        <f>IF($C2544="","",Registro_Compras!$B$286)</f>
        <v/>
      </c>
      <c r="B2544">
        <f>IF($C2544="","","C"&amp;TEXT(INT((ROW()-5)/9)+1,"000")&amp;"-1")</f>
        <v/>
      </c>
      <c r="C2544">
        <f>IF(OR(Registro_Compras!$C$286="",Registro_Compras!$O$286=""),"",IF(Registro_Compras!$F$286="RHE",IF(Registro_Compras!$V$286=0,"","40172"),IF(Registro_Compras!$F$286="NOTA DE CREDITO",IF(Registro_Compras!$M$286="","63",Registro_Compras!$M$286),IF(Registro_Compras!$K$286=0,"","40111"))))</f>
        <v/>
      </c>
      <c r="D2544">
        <f>IF(OR(Registro_Compras!$C$286="",Registro_Compras!$O$286=""),"",IF(Registro_Compras!$F$286="RHE","Retencion Renta 4ta Categoria por Pagar",IF(Registro_Compras!$F$286="NOTA DE CREDITO","Gastos de Servicios Prestados por Terceros","IGV - Cuenta Propia (Credito Fiscal)")))</f>
        <v/>
      </c>
      <c r="E2544" s="20">
        <f>IF($C2544="","",IF(Registro_Compras!$F$286="FACTURA",ROUND(Registro_Compras!$K$286*Registro_Compras!$N$286,2),""))</f>
        <v/>
      </c>
      <c r="F2544" s="20">
        <f>IF($C2544="","",IF(Registro_Compras!$F$286="RHE",ROUND(Registro_Compras!$V$286*Registro_Compras!$N$286,2),IF(Registro_Compras!$F$286="NOTA DE CREDITO",ROUND(ABS(Registro_Compras!$J$286*Registro_Compras!$N$286),2),"")))</f>
        <v/>
      </c>
      <c r="G2544">
        <f>IF($C2544="","",IF(Registro_Compras!$F$286="NOTA DE CREDITO","Por la nota de credito "&amp;Registro_Compras!$C$286&amp;" de "&amp;Registro_Compras!$E$286&amp;" [PATRON POR CONFIRMAR CON CONTADOR]",IF(Registro_Compras!$F$286="RHE","Por el registro del recibo por honorarios "&amp;Registro_Compras!$C$286&amp;" de "&amp;Registro_Compras!$E$286&amp;" [PATRON POR CONFIRMAR CON CONTADOR]","Por el registro de la factura "&amp;Registro_Compras!$C$286&amp;" de "&amp;Registro_Compras!$E$286)))</f>
        <v/>
      </c>
      <c r="H2544">
        <f>IF($C2544="","",Registro_Compras!$C$286)</f>
        <v/>
      </c>
    </row>
    <row r="2545">
      <c r="A2545" s="25">
        <f>IF($C2545="","",Registro_Compras!$B$286)</f>
        <v/>
      </c>
      <c r="B2545">
        <f>IF($C2545="","","C"&amp;TEXT(INT((ROW()-5)/9)+1,"000")&amp;"-1")</f>
        <v/>
      </c>
      <c r="C2545">
        <f>IF(OR(Registro_Compras!$C$286="",Registro_Compras!$O$286=""),"",IF(Registro_Compras!$F$286="NOTA DE CREDITO",IF(Registro_Compras!$K$286=0,"","40111"),"4212"))</f>
        <v/>
      </c>
      <c r="D2545">
        <f>IF(OR(Registro_Compras!$C$286="",Registro_Compras!$O$286=""),"",IF(Registro_Compras!$F$286="NOTA DE CREDITO","IGV - Cuenta Propia (Credito Fiscal)","Cuentas por Pagar Comerciales - Terceros (Emitidas)"))</f>
        <v/>
      </c>
      <c r="E2545" s="20">
        <f>""</f>
        <v/>
      </c>
      <c r="F2545" s="20">
        <f>IF($C2545="","",IF(Registro_Compras!$F$286="NOTA DE CREDITO",ROUND(ABS(Registro_Compras!$K$286*Registro_Compras!$N$286),2),IF(Registro_Compras!$F$286="RHE",(ROUND(Registro_Compras!$L$286*Registro_Compras!$N$286,2)-ROUND(Registro_Compras!$V$286*Registro_Compras!$N$286,2)),Registro_Compras!$O$286)))</f>
        <v/>
      </c>
      <c r="G2545">
        <f>IF($C2545="","",IF(Registro_Compras!$F$286="NOTA DE CREDITO","Por la nota de credito "&amp;Registro_Compras!$C$286&amp;" de "&amp;Registro_Compras!$E$286&amp;" [PATRON POR CONFIRMAR CON CONTADOR]",IF(Registro_Compras!$F$286="RHE","Por el registro del recibo por honorarios "&amp;Registro_Compras!$C$286&amp;" de "&amp;Registro_Compras!$E$286&amp;" [PATRON POR CONFIRMAR CON CONTADOR]","Por el registro de la factura "&amp;Registro_Compras!$C$286&amp;" de "&amp;Registro_Compras!$E$286)))</f>
        <v/>
      </c>
      <c r="H2545">
        <f>IF($C2545="","",Registro_Compras!$C$286)</f>
        <v/>
      </c>
    </row>
    <row r="2546">
      <c r="A2546" s="25">
        <f>IF($C2546="","",Registro_Compras!$B$286)</f>
        <v/>
      </c>
      <c r="B2546">
        <f>IF($C2546="","","C"&amp;TEXT(INT((ROW()-5)/9)+1,"000")&amp;"-2")</f>
        <v/>
      </c>
      <c r="C2546">
        <f>IF(OR(Registro_Compras!$C$286="",Registro_Compras!$O$286=""),"",IF(Registro_Compras!$AB$286="ADMINISTRATIVO","94","95"))</f>
        <v/>
      </c>
      <c r="D2546">
        <f>IF(OR(Registro_Compras!$C$286="",Registro_Compras!$O$286=""),"",IF(Registro_Compras!$AB$286="ADMINISTRATIVO","Gastos Administrativos","Gastos de Venta y Operacion"))</f>
        <v/>
      </c>
      <c r="E2546" s="20">
        <f>IF($C2546="","",IF(Registro_Compras!$F$286="NOTA DE CREDITO","",IF(Registro_Compras!$F$286="RHE",ROUND(Registro_Compras!$L$286*Registro_Compras!$N$286,2),ROUND(Registro_Compras!$J$286*Registro_Compras!$N$286,2))))</f>
        <v/>
      </c>
      <c r="F2546" s="20">
        <f>IF($C2546="","",IF(Registro_Compras!$F$286="NOTA DE CREDITO",ROUND(ABS(Registro_Compras!$J$286*Registro_Compras!$N$286),2),""))</f>
        <v/>
      </c>
      <c r="G2546">
        <f>IF($C2546="","","Por el destino del gasto")</f>
        <v/>
      </c>
      <c r="H2546">
        <f>IF($C2546="","",Registro_Compras!$C$286)</f>
        <v/>
      </c>
    </row>
    <row r="2547">
      <c r="A2547" s="25">
        <f>IF($C2547="","",Registro_Compras!$B$286)</f>
        <v/>
      </c>
      <c r="B2547">
        <f>IF($C2547="","","C"&amp;TEXT(INT((ROW()-5)/9)+1,"000")&amp;"-2")</f>
        <v/>
      </c>
      <c r="C2547">
        <f>IF(OR(Registro_Compras!$C$286="",Registro_Compras!$O$286=""),"","79/791")</f>
        <v/>
      </c>
      <c r="D2547">
        <f>IF(OR(Registro_Compras!$C$286="",Registro_Compras!$O$286=""),"","Cargas Imputables a Cuentas de Costos y Gastos")</f>
        <v/>
      </c>
      <c r="E2547" s="20">
        <f>IF($C2547="","",IF(Registro_Compras!$F$286="NOTA DE CREDITO",ROUND(ABS(Registro_Compras!$J$286*Registro_Compras!$N$286),2),""))</f>
        <v/>
      </c>
      <c r="F2547" s="20">
        <f>IF($C2547="","",IF(Registro_Compras!$F$286="NOTA DE CREDITO","",IF(Registro_Compras!$F$286="RHE",ROUND(Registro_Compras!$L$286*Registro_Compras!$N$286,2),ROUND(Registro_Compras!$J$286*Registro_Compras!$N$286,2))))</f>
        <v/>
      </c>
      <c r="G2547">
        <f>IF($C2547="","","Por el destino del gasto")</f>
        <v/>
      </c>
      <c r="H2547">
        <f>IF($C2547="","",Registro_Compras!$C$286)</f>
        <v/>
      </c>
    </row>
    <row r="2548">
      <c r="A2548" s="25">
        <f>IF($C2548="","",Registro_Compras!$X$286)</f>
        <v/>
      </c>
      <c r="B2548">
        <f>IF($C2548="","","C"&amp;TEXT(INT((ROW()-5)/9)+1,"000")&amp;"-3")</f>
        <v/>
      </c>
      <c r="C2548">
        <f>IF(OR(Registro_Compras!$C$286="",Registro_Compras!$O$286="",Registro_Compras!$R$286&lt;&gt;"SI",Registro_Compras!$X$286=""),"","4212")</f>
        <v/>
      </c>
      <c r="D2548">
        <f>IF(OR(Registro_Compras!$C$286="",Registro_Compras!$O$286=""),"","Cuentas por Pagar Comerciales - Terceros")</f>
        <v/>
      </c>
      <c r="E2548" s="20">
        <f>IF($C2548="","",Registro_Compras!$S$286)</f>
        <v/>
      </c>
      <c r="F2548" s="20">
        <f>""</f>
        <v/>
      </c>
      <c r="G2548">
        <f>IF($C2548="","","Por el deposito de la detraccion en el Banco de la Nacion")</f>
        <v/>
      </c>
      <c r="H2548">
        <f>IF($C2548="","",Registro_Compras!$C$286)</f>
        <v/>
      </c>
    </row>
    <row r="2549">
      <c r="A2549" s="25">
        <f>IF($C2549="","",Registro_Compras!$X$286)</f>
        <v/>
      </c>
      <c r="B2549">
        <f>IF($C2549="","","C"&amp;TEXT(INT((ROW()-5)/9)+1,"000")&amp;"-3")</f>
        <v/>
      </c>
      <c r="C2549">
        <f>IF(OR(Registro_Compras!$C$286="",Registro_Compras!$O$286="",Registro_Compras!$R$286&lt;&gt;"SI",Registro_Compras!$X$286=""),"","10413")</f>
        <v/>
      </c>
      <c r="D2549">
        <f>IF(OR(Registro_Compras!$C$286="",Registro_Compras!$O$286=""),"","Efectivo y Equivalentes - Cta. Cte. Operativa")</f>
        <v/>
      </c>
      <c r="E2549" s="20">
        <f>""</f>
        <v/>
      </c>
      <c r="F2549" s="20">
        <f>IF($C2549="","",Registro_Compras!$S$286)</f>
        <v/>
      </c>
      <c r="G2549">
        <f>IF($C2549="","","Por el deposito de la detraccion en el Banco de la Nacion")</f>
        <v/>
      </c>
      <c r="H2549">
        <f>IF($C2549="","",Registro_Compras!$C$286)</f>
        <v/>
      </c>
    </row>
    <row r="2550">
      <c r="A2550" s="25">
        <f>IF($C2550="","",Registro_Compras!$Y$286)</f>
        <v/>
      </c>
      <c r="B2550">
        <f>IF($C2550="","","C"&amp;TEXT(INT((ROW()-5)/9)+1,"000")&amp;"-4")</f>
        <v/>
      </c>
      <c r="C2550">
        <f>IF(OR(Registro_Compras!$C$286="",Registro_Compras!$O$286="",Registro_Compras!$Y$286="",Registro_Compras!$F$286="NOTA DE CREDITO"),"","4212")</f>
        <v/>
      </c>
      <c r="D2550">
        <f>IF(OR(Registro_Compras!$C$286="",Registro_Compras!$O$286=""),"","Cuentas por Pagar Comerciales - Terceros")</f>
        <v/>
      </c>
      <c r="E2550" s="20">
        <f>IF($C2550="","",IF(Registro_Compras!$F$286="RHE",(ROUND(Registro_Compras!$L$286*Registro_Compras!$N$286,2)-ROUND(Registro_Compras!$V$286*Registro_Compras!$N$286,2)),ROUND(Registro_Compras!$O$286-Registro_Compras!$S$286,2)))</f>
        <v/>
      </c>
      <c r="F2550" s="20">
        <f>""</f>
        <v/>
      </c>
      <c r="G2550">
        <f>IF($C2550="","","Por la cancelacion del saldo al proveedor")</f>
        <v/>
      </c>
      <c r="H2550">
        <f>IF($C2550="","",Registro_Compras!$C$286)</f>
        <v/>
      </c>
    </row>
    <row r="2551">
      <c r="A2551" s="25">
        <f>IF($C2551="","",Registro_Compras!$Y$286)</f>
        <v/>
      </c>
      <c r="B2551">
        <f>IF($C2551="","","C"&amp;TEXT(INT((ROW()-5)/9)+1,"000")&amp;"-4")</f>
        <v/>
      </c>
      <c r="C2551">
        <f>IF(OR(Registro_Compras!$C$286="",Registro_Compras!$O$286="",Registro_Compras!$Y$286="",Registro_Compras!$F$286="NOTA DE CREDITO"),"","10413")</f>
        <v/>
      </c>
      <c r="D2551">
        <f>IF(OR(Registro_Compras!$C$286="",Registro_Compras!$O$286=""),"","Efectivo y Equivalentes - Cta. Cte. Operativa")</f>
        <v/>
      </c>
      <c r="E2551" s="20">
        <f>""</f>
        <v/>
      </c>
      <c r="F2551" s="20">
        <f>IF($C2551="","",IF(Registro_Compras!$F$286="RHE",(ROUND(Registro_Compras!$L$286*Registro_Compras!$N$286,2)-ROUND(Registro_Compras!$V$286*Registro_Compras!$N$286,2)),ROUND(Registro_Compras!$O$286-Registro_Compras!$S$286,2)))</f>
        <v/>
      </c>
      <c r="G2551">
        <f>IF($C2551="","","Por la cancelacion del saldo al proveedor")</f>
        <v/>
      </c>
      <c r="H2551">
        <f>IF($C2551="","",Registro_Compras!$C$286)</f>
        <v/>
      </c>
    </row>
    <row r="2552">
      <c r="A2552" s="25">
        <f>IF($C2552="","",Registro_Compras!$B$287)</f>
        <v/>
      </c>
      <c r="B2552">
        <f>IF($C2552="","","C"&amp;TEXT(INT((ROW()-5)/9)+1,"000")&amp;"-1")</f>
        <v/>
      </c>
      <c r="C2552">
        <f>IF(OR(Registro_Compras!$C$287="",Registro_Compras!$O$287=""),"",IF(Registro_Compras!$F$287="NOTA DE CREDITO","4212",IF(Registro_Compras!$M$287="","63",Registro_Compras!$M$287)))</f>
        <v/>
      </c>
      <c r="D2552">
        <f>IF(OR(Registro_Compras!$C$287="",Registro_Compras!$O$287=""),"",IF(Registro_Compras!$F$287="NOTA DE CREDITO","Cuentas por Pagar Comerciales - Terceros (Emitidas)",IF(Registro_Compras!$F$287="RHE","Honorarios Profesionales - Servicios de Terceros","Gastos de Servicios Prestados por Terceros")))</f>
        <v/>
      </c>
      <c r="E2552" s="20">
        <f>IF($C2552="","",IF(Registro_Compras!$F$287="NOTA DE CREDITO",ABS(Registro_Compras!$O$287),IF(Registro_Compras!$F$287="RHE",ROUND(Registro_Compras!$L$287*Registro_Compras!$N$287,2),ROUND(Registro_Compras!$J$287*Registro_Compras!$N$287,2))))</f>
        <v/>
      </c>
      <c r="F2552" s="20">
        <f>""</f>
        <v/>
      </c>
      <c r="G2552">
        <f>IF($C2552="","",IF(Registro_Compras!$F$287="NOTA DE CREDITO","Por la nota de credito "&amp;Registro_Compras!$C$287&amp;" de "&amp;Registro_Compras!$E$287&amp;" [PATRON POR CONFIRMAR CON CONTADOR]",IF(Registro_Compras!$F$287="RHE","Por el registro del recibo por honorarios "&amp;Registro_Compras!$C$287&amp;" de "&amp;Registro_Compras!$E$287&amp;" [PATRON POR CONFIRMAR CON CONTADOR]","Por el registro de la factura "&amp;Registro_Compras!$C$287&amp;" de "&amp;Registro_Compras!$E$287)))</f>
        <v/>
      </c>
      <c r="H2552">
        <f>IF($C2552="","",Registro_Compras!$C$287)</f>
        <v/>
      </c>
    </row>
    <row r="2553">
      <c r="A2553" s="25">
        <f>IF($C2553="","",Registro_Compras!$B$287)</f>
        <v/>
      </c>
      <c r="B2553">
        <f>IF($C2553="","","C"&amp;TEXT(INT((ROW()-5)/9)+1,"000")&amp;"-1")</f>
        <v/>
      </c>
      <c r="C2553">
        <f>IF(OR(Registro_Compras!$C$287="",Registro_Compras!$O$287=""),"",IF(Registro_Compras!$F$287="RHE",IF(Registro_Compras!$V$287=0,"","40172"),IF(Registro_Compras!$F$287="NOTA DE CREDITO",IF(Registro_Compras!$M$287="","63",Registro_Compras!$M$287),IF(Registro_Compras!$K$287=0,"","40111"))))</f>
        <v/>
      </c>
      <c r="D2553">
        <f>IF(OR(Registro_Compras!$C$287="",Registro_Compras!$O$287=""),"",IF(Registro_Compras!$F$287="RHE","Retencion Renta 4ta Categoria por Pagar",IF(Registro_Compras!$F$287="NOTA DE CREDITO","Gastos de Servicios Prestados por Terceros","IGV - Cuenta Propia (Credito Fiscal)")))</f>
        <v/>
      </c>
      <c r="E2553" s="20">
        <f>IF($C2553="","",IF(Registro_Compras!$F$287="FACTURA",ROUND(Registro_Compras!$K$287*Registro_Compras!$N$287,2),""))</f>
        <v/>
      </c>
      <c r="F2553" s="20">
        <f>IF($C2553="","",IF(Registro_Compras!$F$287="RHE",ROUND(Registro_Compras!$V$287*Registro_Compras!$N$287,2),IF(Registro_Compras!$F$287="NOTA DE CREDITO",ROUND(ABS(Registro_Compras!$J$287*Registro_Compras!$N$287),2),"")))</f>
        <v/>
      </c>
      <c r="G2553">
        <f>IF($C2553="","",IF(Registro_Compras!$F$287="NOTA DE CREDITO","Por la nota de credito "&amp;Registro_Compras!$C$287&amp;" de "&amp;Registro_Compras!$E$287&amp;" [PATRON POR CONFIRMAR CON CONTADOR]",IF(Registro_Compras!$F$287="RHE","Por el registro del recibo por honorarios "&amp;Registro_Compras!$C$287&amp;" de "&amp;Registro_Compras!$E$287&amp;" [PATRON POR CONFIRMAR CON CONTADOR]","Por el registro de la factura "&amp;Registro_Compras!$C$287&amp;" de "&amp;Registro_Compras!$E$287)))</f>
        <v/>
      </c>
      <c r="H2553">
        <f>IF($C2553="","",Registro_Compras!$C$287)</f>
        <v/>
      </c>
    </row>
    <row r="2554">
      <c r="A2554" s="25">
        <f>IF($C2554="","",Registro_Compras!$B$287)</f>
        <v/>
      </c>
      <c r="B2554">
        <f>IF($C2554="","","C"&amp;TEXT(INT((ROW()-5)/9)+1,"000")&amp;"-1")</f>
        <v/>
      </c>
      <c r="C2554">
        <f>IF(OR(Registro_Compras!$C$287="",Registro_Compras!$O$287=""),"",IF(Registro_Compras!$F$287="NOTA DE CREDITO",IF(Registro_Compras!$K$287=0,"","40111"),"4212"))</f>
        <v/>
      </c>
      <c r="D2554">
        <f>IF(OR(Registro_Compras!$C$287="",Registro_Compras!$O$287=""),"",IF(Registro_Compras!$F$287="NOTA DE CREDITO","IGV - Cuenta Propia (Credito Fiscal)","Cuentas por Pagar Comerciales - Terceros (Emitidas)"))</f>
        <v/>
      </c>
      <c r="E2554" s="20">
        <f>""</f>
        <v/>
      </c>
      <c r="F2554" s="20">
        <f>IF($C2554="","",IF(Registro_Compras!$F$287="NOTA DE CREDITO",ROUND(ABS(Registro_Compras!$K$287*Registro_Compras!$N$287),2),IF(Registro_Compras!$F$287="RHE",(ROUND(Registro_Compras!$L$287*Registro_Compras!$N$287,2)-ROUND(Registro_Compras!$V$287*Registro_Compras!$N$287,2)),Registro_Compras!$O$287)))</f>
        <v/>
      </c>
      <c r="G2554">
        <f>IF($C2554="","",IF(Registro_Compras!$F$287="NOTA DE CREDITO","Por la nota de credito "&amp;Registro_Compras!$C$287&amp;" de "&amp;Registro_Compras!$E$287&amp;" [PATRON POR CONFIRMAR CON CONTADOR]",IF(Registro_Compras!$F$287="RHE","Por el registro del recibo por honorarios "&amp;Registro_Compras!$C$287&amp;" de "&amp;Registro_Compras!$E$287&amp;" [PATRON POR CONFIRMAR CON CONTADOR]","Por el registro de la factura "&amp;Registro_Compras!$C$287&amp;" de "&amp;Registro_Compras!$E$287)))</f>
        <v/>
      </c>
      <c r="H2554">
        <f>IF($C2554="","",Registro_Compras!$C$287)</f>
        <v/>
      </c>
    </row>
    <row r="2555">
      <c r="A2555" s="25">
        <f>IF($C2555="","",Registro_Compras!$B$287)</f>
        <v/>
      </c>
      <c r="B2555">
        <f>IF($C2555="","","C"&amp;TEXT(INT((ROW()-5)/9)+1,"000")&amp;"-2")</f>
        <v/>
      </c>
      <c r="C2555">
        <f>IF(OR(Registro_Compras!$C$287="",Registro_Compras!$O$287=""),"",IF(Registro_Compras!$AB$287="ADMINISTRATIVO","94","95"))</f>
        <v/>
      </c>
      <c r="D2555">
        <f>IF(OR(Registro_Compras!$C$287="",Registro_Compras!$O$287=""),"",IF(Registro_Compras!$AB$287="ADMINISTRATIVO","Gastos Administrativos","Gastos de Venta y Operacion"))</f>
        <v/>
      </c>
      <c r="E2555" s="20">
        <f>IF($C2555="","",IF(Registro_Compras!$F$287="NOTA DE CREDITO","",IF(Registro_Compras!$F$287="RHE",ROUND(Registro_Compras!$L$287*Registro_Compras!$N$287,2),ROUND(Registro_Compras!$J$287*Registro_Compras!$N$287,2))))</f>
        <v/>
      </c>
      <c r="F2555" s="20">
        <f>IF($C2555="","",IF(Registro_Compras!$F$287="NOTA DE CREDITO",ROUND(ABS(Registro_Compras!$J$287*Registro_Compras!$N$287),2),""))</f>
        <v/>
      </c>
      <c r="G2555">
        <f>IF($C2555="","","Por el destino del gasto")</f>
        <v/>
      </c>
      <c r="H2555">
        <f>IF($C2555="","",Registro_Compras!$C$287)</f>
        <v/>
      </c>
    </row>
    <row r="2556">
      <c r="A2556" s="25">
        <f>IF($C2556="","",Registro_Compras!$B$287)</f>
        <v/>
      </c>
      <c r="B2556">
        <f>IF($C2556="","","C"&amp;TEXT(INT((ROW()-5)/9)+1,"000")&amp;"-2")</f>
        <v/>
      </c>
      <c r="C2556">
        <f>IF(OR(Registro_Compras!$C$287="",Registro_Compras!$O$287=""),"","79/791")</f>
        <v/>
      </c>
      <c r="D2556">
        <f>IF(OR(Registro_Compras!$C$287="",Registro_Compras!$O$287=""),"","Cargas Imputables a Cuentas de Costos y Gastos")</f>
        <v/>
      </c>
      <c r="E2556" s="20">
        <f>IF($C2556="","",IF(Registro_Compras!$F$287="NOTA DE CREDITO",ROUND(ABS(Registro_Compras!$J$287*Registro_Compras!$N$287),2),""))</f>
        <v/>
      </c>
      <c r="F2556" s="20">
        <f>IF($C2556="","",IF(Registro_Compras!$F$287="NOTA DE CREDITO","",IF(Registro_Compras!$F$287="RHE",ROUND(Registro_Compras!$L$287*Registro_Compras!$N$287,2),ROUND(Registro_Compras!$J$287*Registro_Compras!$N$287,2))))</f>
        <v/>
      </c>
      <c r="G2556">
        <f>IF($C2556="","","Por el destino del gasto")</f>
        <v/>
      </c>
      <c r="H2556">
        <f>IF($C2556="","",Registro_Compras!$C$287)</f>
        <v/>
      </c>
    </row>
    <row r="2557">
      <c r="A2557" s="25">
        <f>IF($C2557="","",Registro_Compras!$X$287)</f>
        <v/>
      </c>
      <c r="B2557">
        <f>IF($C2557="","","C"&amp;TEXT(INT((ROW()-5)/9)+1,"000")&amp;"-3")</f>
        <v/>
      </c>
      <c r="C2557">
        <f>IF(OR(Registro_Compras!$C$287="",Registro_Compras!$O$287="",Registro_Compras!$R$287&lt;&gt;"SI",Registro_Compras!$X$287=""),"","4212")</f>
        <v/>
      </c>
      <c r="D2557">
        <f>IF(OR(Registro_Compras!$C$287="",Registro_Compras!$O$287=""),"","Cuentas por Pagar Comerciales - Terceros")</f>
        <v/>
      </c>
      <c r="E2557" s="20">
        <f>IF($C2557="","",Registro_Compras!$S$287)</f>
        <v/>
      </c>
      <c r="F2557" s="20">
        <f>""</f>
        <v/>
      </c>
      <c r="G2557">
        <f>IF($C2557="","","Por el deposito de la detraccion en el Banco de la Nacion")</f>
        <v/>
      </c>
      <c r="H2557">
        <f>IF($C2557="","",Registro_Compras!$C$287)</f>
        <v/>
      </c>
    </row>
    <row r="2558">
      <c r="A2558" s="25">
        <f>IF($C2558="","",Registro_Compras!$X$287)</f>
        <v/>
      </c>
      <c r="B2558">
        <f>IF($C2558="","","C"&amp;TEXT(INT((ROW()-5)/9)+1,"000")&amp;"-3")</f>
        <v/>
      </c>
      <c r="C2558">
        <f>IF(OR(Registro_Compras!$C$287="",Registro_Compras!$O$287="",Registro_Compras!$R$287&lt;&gt;"SI",Registro_Compras!$X$287=""),"","10413")</f>
        <v/>
      </c>
      <c r="D2558">
        <f>IF(OR(Registro_Compras!$C$287="",Registro_Compras!$O$287=""),"","Efectivo y Equivalentes - Cta. Cte. Operativa")</f>
        <v/>
      </c>
      <c r="E2558" s="20">
        <f>""</f>
        <v/>
      </c>
      <c r="F2558" s="20">
        <f>IF($C2558="","",Registro_Compras!$S$287)</f>
        <v/>
      </c>
      <c r="G2558">
        <f>IF($C2558="","","Por el deposito de la detraccion en el Banco de la Nacion")</f>
        <v/>
      </c>
      <c r="H2558">
        <f>IF($C2558="","",Registro_Compras!$C$287)</f>
        <v/>
      </c>
    </row>
    <row r="2559">
      <c r="A2559" s="25">
        <f>IF($C2559="","",Registro_Compras!$Y$287)</f>
        <v/>
      </c>
      <c r="B2559">
        <f>IF($C2559="","","C"&amp;TEXT(INT((ROW()-5)/9)+1,"000")&amp;"-4")</f>
        <v/>
      </c>
      <c r="C2559">
        <f>IF(OR(Registro_Compras!$C$287="",Registro_Compras!$O$287="",Registro_Compras!$Y$287="",Registro_Compras!$F$287="NOTA DE CREDITO"),"","4212")</f>
        <v/>
      </c>
      <c r="D2559">
        <f>IF(OR(Registro_Compras!$C$287="",Registro_Compras!$O$287=""),"","Cuentas por Pagar Comerciales - Terceros")</f>
        <v/>
      </c>
      <c r="E2559" s="20">
        <f>IF($C2559="","",IF(Registro_Compras!$F$287="RHE",(ROUND(Registro_Compras!$L$287*Registro_Compras!$N$287,2)-ROUND(Registro_Compras!$V$287*Registro_Compras!$N$287,2)),ROUND(Registro_Compras!$O$287-Registro_Compras!$S$287,2)))</f>
        <v/>
      </c>
      <c r="F2559" s="20">
        <f>""</f>
        <v/>
      </c>
      <c r="G2559">
        <f>IF($C2559="","","Por la cancelacion del saldo al proveedor")</f>
        <v/>
      </c>
      <c r="H2559">
        <f>IF($C2559="","",Registro_Compras!$C$287)</f>
        <v/>
      </c>
    </row>
    <row r="2560">
      <c r="A2560" s="25">
        <f>IF($C2560="","",Registro_Compras!$Y$287)</f>
        <v/>
      </c>
      <c r="B2560">
        <f>IF($C2560="","","C"&amp;TEXT(INT((ROW()-5)/9)+1,"000")&amp;"-4")</f>
        <v/>
      </c>
      <c r="C2560">
        <f>IF(OR(Registro_Compras!$C$287="",Registro_Compras!$O$287="",Registro_Compras!$Y$287="",Registro_Compras!$F$287="NOTA DE CREDITO"),"","10413")</f>
        <v/>
      </c>
      <c r="D2560">
        <f>IF(OR(Registro_Compras!$C$287="",Registro_Compras!$O$287=""),"","Efectivo y Equivalentes - Cta. Cte. Operativa")</f>
        <v/>
      </c>
      <c r="E2560" s="20">
        <f>""</f>
        <v/>
      </c>
      <c r="F2560" s="20">
        <f>IF($C2560="","",IF(Registro_Compras!$F$287="RHE",(ROUND(Registro_Compras!$L$287*Registro_Compras!$N$287,2)-ROUND(Registro_Compras!$V$287*Registro_Compras!$N$287,2)),ROUND(Registro_Compras!$O$287-Registro_Compras!$S$287,2)))</f>
        <v/>
      </c>
      <c r="G2560">
        <f>IF($C2560="","","Por la cancelacion del saldo al proveedor")</f>
        <v/>
      </c>
      <c r="H2560">
        <f>IF($C2560="","",Registro_Compras!$C$287)</f>
        <v/>
      </c>
    </row>
    <row r="2561">
      <c r="A2561" s="25">
        <f>IF($C2561="","",Registro_Compras!$B$288)</f>
        <v/>
      </c>
      <c r="B2561">
        <f>IF($C2561="","","C"&amp;TEXT(INT((ROW()-5)/9)+1,"000")&amp;"-1")</f>
        <v/>
      </c>
      <c r="C2561">
        <f>IF(OR(Registro_Compras!$C$288="",Registro_Compras!$O$288=""),"",IF(Registro_Compras!$F$288="NOTA DE CREDITO","4212",IF(Registro_Compras!$M$288="","63",Registro_Compras!$M$288)))</f>
        <v/>
      </c>
      <c r="D2561">
        <f>IF(OR(Registro_Compras!$C$288="",Registro_Compras!$O$288=""),"",IF(Registro_Compras!$F$288="NOTA DE CREDITO","Cuentas por Pagar Comerciales - Terceros (Emitidas)",IF(Registro_Compras!$F$288="RHE","Honorarios Profesionales - Servicios de Terceros","Gastos de Servicios Prestados por Terceros")))</f>
        <v/>
      </c>
      <c r="E2561" s="20">
        <f>IF($C2561="","",IF(Registro_Compras!$F$288="NOTA DE CREDITO",ABS(Registro_Compras!$O$288),IF(Registro_Compras!$F$288="RHE",ROUND(Registro_Compras!$L$288*Registro_Compras!$N$288,2),ROUND(Registro_Compras!$J$288*Registro_Compras!$N$288,2))))</f>
        <v/>
      </c>
      <c r="F2561" s="20">
        <f>""</f>
        <v/>
      </c>
      <c r="G2561">
        <f>IF($C2561="","",IF(Registro_Compras!$F$288="NOTA DE CREDITO","Por la nota de credito "&amp;Registro_Compras!$C$288&amp;" de "&amp;Registro_Compras!$E$288&amp;" [PATRON POR CONFIRMAR CON CONTADOR]",IF(Registro_Compras!$F$288="RHE","Por el registro del recibo por honorarios "&amp;Registro_Compras!$C$288&amp;" de "&amp;Registro_Compras!$E$288&amp;" [PATRON POR CONFIRMAR CON CONTADOR]","Por el registro de la factura "&amp;Registro_Compras!$C$288&amp;" de "&amp;Registro_Compras!$E$288)))</f>
        <v/>
      </c>
      <c r="H2561">
        <f>IF($C2561="","",Registro_Compras!$C$288)</f>
        <v/>
      </c>
    </row>
    <row r="2562">
      <c r="A2562" s="25">
        <f>IF($C2562="","",Registro_Compras!$B$288)</f>
        <v/>
      </c>
      <c r="B2562">
        <f>IF($C2562="","","C"&amp;TEXT(INT((ROW()-5)/9)+1,"000")&amp;"-1")</f>
        <v/>
      </c>
      <c r="C2562">
        <f>IF(OR(Registro_Compras!$C$288="",Registro_Compras!$O$288=""),"",IF(Registro_Compras!$F$288="RHE",IF(Registro_Compras!$V$288=0,"","40172"),IF(Registro_Compras!$F$288="NOTA DE CREDITO",IF(Registro_Compras!$M$288="","63",Registro_Compras!$M$288),IF(Registro_Compras!$K$288=0,"","40111"))))</f>
        <v/>
      </c>
      <c r="D2562">
        <f>IF(OR(Registro_Compras!$C$288="",Registro_Compras!$O$288=""),"",IF(Registro_Compras!$F$288="RHE","Retencion Renta 4ta Categoria por Pagar",IF(Registro_Compras!$F$288="NOTA DE CREDITO","Gastos de Servicios Prestados por Terceros","IGV - Cuenta Propia (Credito Fiscal)")))</f>
        <v/>
      </c>
      <c r="E2562" s="20">
        <f>IF($C2562="","",IF(Registro_Compras!$F$288="FACTURA",ROUND(Registro_Compras!$K$288*Registro_Compras!$N$288,2),""))</f>
        <v/>
      </c>
      <c r="F2562" s="20">
        <f>IF($C2562="","",IF(Registro_Compras!$F$288="RHE",ROUND(Registro_Compras!$V$288*Registro_Compras!$N$288,2),IF(Registro_Compras!$F$288="NOTA DE CREDITO",ROUND(ABS(Registro_Compras!$J$288*Registro_Compras!$N$288),2),"")))</f>
        <v/>
      </c>
      <c r="G2562">
        <f>IF($C2562="","",IF(Registro_Compras!$F$288="NOTA DE CREDITO","Por la nota de credito "&amp;Registro_Compras!$C$288&amp;" de "&amp;Registro_Compras!$E$288&amp;" [PATRON POR CONFIRMAR CON CONTADOR]",IF(Registro_Compras!$F$288="RHE","Por el registro del recibo por honorarios "&amp;Registro_Compras!$C$288&amp;" de "&amp;Registro_Compras!$E$288&amp;" [PATRON POR CONFIRMAR CON CONTADOR]","Por el registro de la factura "&amp;Registro_Compras!$C$288&amp;" de "&amp;Registro_Compras!$E$288)))</f>
        <v/>
      </c>
      <c r="H2562">
        <f>IF($C2562="","",Registro_Compras!$C$288)</f>
        <v/>
      </c>
    </row>
    <row r="2563">
      <c r="A2563" s="25">
        <f>IF($C2563="","",Registro_Compras!$B$288)</f>
        <v/>
      </c>
      <c r="B2563">
        <f>IF($C2563="","","C"&amp;TEXT(INT((ROW()-5)/9)+1,"000")&amp;"-1")</f>
        <v/>
      </c>
      <c r="C2563">
        <f>IF(OR(Registro_Compras!$C$288="",Registro_Compras!$O$288=""),"",IF(Registro_Compras!$F$288="NOTA DE CREDITO",IF(Registro_Compras!$K$288=0,"","40111"),"4212"))</f>
        <v/>
      </c>
      <c r="D2563">
        <f>IF(OR(Registro_Compras!$C$288="",Registro_Compras!$O$288=""),"",IF(Registro_Compras!$F$288="NOTA DE CREDITO","IGV - Cuenta Propia (Credito Fiscal)","Cuentas por Pagar Comerciales - Terceros (Emitidas)"))</f>
        <v/>
      </c>
      <c r="E2563" s="20">
        <f>""</f>
        <v/>
      </c>
      <c r="F2563" s="20">
        <f>IF($C2563="","",IF(Registro_Compras!$F$288="NOTA DE CREDITO",ROUND(ABS(Registro_Compras!$K$288*Registro_Compras!$N$288),2),IF(Registro_Compras!$F$288="RHE",(ROUND(Registro_Compras!$L$288*Registro_Compras!$N$288,2)-ROUND(Registro_Compras!$V$288*Registro_Compras!$N$288,2)),Registro_Compras!$O$288)))</f>
        <v/>
      </c>
      <c r="G2563">
        <f>IF($C2563="","",IF(Registro_Compras!$F$288="NOTA DE CREDITO","Por la nota de credito "&amp;Registro_Compras!$C$288&amp;" de "&amp;Registro_Compras!$E$288&amp;" [PATRON POR CONFIRMAR CON CONTADOR]",IF(Registro_Compras!$F$288="RHE","Por el registro del recibo por honorarios "&amp;Registro_Compras!$C$288&amp;" de "&amp;Registro_Compras!$E$288&amp;" [PATRON POR CONFIRMAR CON CONTADOR]","Por el registro de la factura "&amp;Registro_Compras!$C$288&amp;" de "&amp;Registro_Compras!$E$288)))</f>
        <v/>
      </c>
      <c r="H2563">
        <f>IF($C2563="","",Registro_Compras!$C$288)</f>
        <v/>
      </c>
    </row>
    <row r="2564">
      <c r="A2564" s="25">
        <f>IF($C2564="","",Registro_Compras!$B$288)</f>
        <v/>
      </c>
      <c r="B2564">
        <f>IF($C2564="","","C"&amp;TEXT(INT((ROW()-5)/9)+1,"000")&amp;"-2")</f>
        <v/>
      </c>
      <c r="C2564">
        <f>IF(OR(Registro_Compras!$C$288="",Registro_Compras!$O$288=""),"",IF(Registro_Compras!$AB$288="ADMINISTRATIVO","94","95"))</f>
        <v/>
      </c>
      <c r="D2564">
        <f>IF(OR(Registro_Compras!$C$288="",Registro_Compras!$O$288=""),"",IF(Registro_Compras!$AB$288="ADMINISTRATIVO","Gastos Administrativos","Gastos de Venta y Operacion"))</f>
        <v/>
      </c>
      <c r="E2564" s="20">
        <f>IF($C2564="","",IF(Registro_Compras!$F$288="NOTA DE CREDITO","",IF(Registro_Compras!$F$288="RHE",ROUND(Registro_Compras!$L$288*Registro_Compras!$N$288,2),ROUND(Registro_Compras!$J$288*Registro_Compras!$N$288,2))))</f>
        <v/>
      </c>
      <c r="F2564" s="20">
        <f>IF($C2564="","",IF(Registro_Compras!$F$288="NOTA DE CREDITO",ROUND(ABS(Registro_Compras!$J$288*Registro_Compras!$N$288),2),""))</f>
        <v/>
      </c>
      <c r="G2564">
        <f>IF($C2564="","","Por el destino del gasto")</f>
        <v/>
      </c>
      <c r="H2564">
        <f>IF($C2564="","",Registro_Compras!$C$288)</f>
        <v/>
      </c>
    </row>
    <row r="2565">
      <c r="A2565" s="25">
        <f>IF($C2565="","",Registro_Compras!$B$288)</f>
        <v/>
      </c>
      <c r="B2565">
        <f>IF($C2565="","","C"&amp;TEXT(INT((ROW()-5)/9)+1,"000")&amp;"-2")</f>
        <v/>
      </c>
      <c r="C2565">
        <f>IF(OR(Registro_Compras!$C$288="",Registro_Compras!$O$288=""),"","79/791")</f>
        <v/>
      </c>
      <c r="D2565">
        <f>IF(OR(Registro_Compras!$C$288="",Registro_Compras!$O$288=""),"","Cargas Imputables a Cuentas de Costos y Gastos")</f>
        <v/>
      </c>
      <c r="E2565" s="20">
        <f>IF($C2565="","",IF(Registro_Compras!$F$288="NOTA DE CREDITO",ROUND(ABS(Registro_Compras!$J$288*Registro_Compras!$N$288),2),""))</f>
        <v/>
      </c>
      <c r="F2565" s="20">
        <f>IF($C2565="","",IF(Registro_Compras!$F$288="NOTA DE CREDITO","",IF(Registro_Compras!$F$288="RHE",ROUND(Registro_Compras!$L$288*Registro_Compras!$N$288,2),ROUND(Registro_Compras!$J$288*Registro_Compras!$N$288,2))))</f>
        <v/>
      </c>
      <c r="G2565">
        <f>IF($C2565="","","Por el destino del gasto")</f>
        <v/>
      </c>
      <c r="H2565">
        <f>IF($C2565="","",Registro_Compras!$C$288)</f>
        <v/>
      </c>
    </row>
    <row r="2566">
      <c r="A2566" s="25">
        <f>IF($C2566="","",Registro_Compras!$X$288)</f>
        <v/>
      </c>
      <c r="B2566">
        <f>IF($C2566="","","C"&amp;TEXT(INT((ROW()-5)/9)+1,"000")&amp;"-3")</f>
        <v/>
      </c>
      <c r="C2566">
        <f>IF(OR(Registro_Compras!$C$288="",Registro_Compras!$O$288="",Registro_Compras!$R$288&lt;&gt;"SI",Registro_Compras!$X$288=""),"","4212")</f>
        <v/>
      </c>
      <c r="D2566">
        <f>IF(OR(Registro_Compras!$C$288="",Registro_Compras!$O$288=""),"","Cuentas por Pagar Comerciales - Terceros")</f>
        <v/>
      </c>
      <c r="E2566" s="20">
        <f>IF($C2566="","",Registro_Compras!$S$288)</f>
        <v/>
      </c>
      <c r="F2566" s="20">
        <f>""</f>
        <v/>
      </c>
      <c r="G2566">
        <f>IF($C2566="","","Por el deposito de la detraccion en el Banco de la Nacion")</f>
        <v/>
      </c>
      <c r="H2566">
        <f>IF($C2566="","",Registro_Compras!$C$288)</f>
        <v/>
      </c>
    </row>
    <row r="2567">
      <c r="A2567" s="25">
        <f>IF($C2567="","",Registro_Compras!$X$288)</f>
        <v/>
      </c>
      <c r="B2567">
        <f>IF($C2567="","","C"&amp;TEXT(INT((ROW()-5)/9)+1,"000")&amp;"-3")</f>
        <v/>
      </c>
      <c r="C2567">
        <f>IF(OR(Registro_Compras!$C$288="",Registro_Compras!$O$288="",Registro_Compras!$R$288&lt;&gt;"SI",Registro_Compras!$X$288=""),"","10413")</f>
        <v/>
      </c>
      <c r="D2567">
        <f>IF(OR(Registro_Compras!$C$288="",Registro_Compras!$O$288=""),"","Efectivo y Equivalentes - Cta. Cte. Operativa")</f>
        <v/>
      </c>
      <c r="E2567" s="20">
        <f>""</f>
        <v/>
      </c>
      <c r="F2567" s="20">
        <f>IF($C2567="","",Registro_Compras!$S$288)</f>
        <v/>
      </c>
      <c r="G2567">
        <f>IF($C2567="","","Por el deposito de la detraccion en el Banco de la Nacion")</f>
        <v/>
      </c>
      <c r="H2567">
        <f>IF($C2567="","",Registro_Compras!$C$288)</f>
        <v/>
      </c>
    </row>
    <row r="2568">
      <c r="A2568" s="25">
        <f>IF($C2568="","",Registro_Compras!$Y$288)</f>
        <v/>
      </c>
      <c r="B2568">
        <f>IF($C2568="","","C"&amp;TEXT(INT((ROW()-5)/9)+1,"000")&amp;"-4")</f>
        <v/>
      </c>
      <c r="C2568">
        <f>IF(OR(Registro_Compras!$C$288="",Registro_Compras!$O$288="",Registro_Compras!$Y$288="",Registro_Compras!$F$288="NOTA DE CREDITO"),"","4212")</f>
        <v/>
      </c>
      <c r="D2568">
        <f>IF(OR(Registro_Compras!$C$288="",Registro_Compras!$O$288=""),"","Cuentas por Pagar Comerciales - Terceros")</f>
        <v/>
      </c>
      <c r="E2568" s="20">
        <f>IF($C2568="","",IF(Registro_Compras!$F$288="RHE",(ROUND(Registro_Compras!$L$288*Registro_Compras!$N$288,2)-ROUND(Registro_Compras!$V$288*Registro_Compras!$N$288,2)),ROUND(Registro_Compras!$O$288-Registro_Compras!$S$288,2)))</f>
        <v/>
      </c>
      <c r="F2568" s="20">
        <f>""</f>
        <v/>
      </c>
      <c r="G2568">
        <f>IF($C2568="","","Por la cancelacion del saldo al proveedor")</f>
        <v/>
      </c>
      <c r="H2568">
        <f>IF($C2568="","",Registro_Compras!$C$288)</f>
        <v/>
      </c>
    </row>
    <row r="2569">
      <c r="A2569" s="25">
        <f>IF($C2569="","",Registro_Compras!$Y$288)</f>
        <v/>
      </c>
      <c r="B2569">
        <f>IF($C2569="","","C"&amp;TEXT(INT((ROW()-5)/9)+1,"000")&amp;"-4")</f>
        <v/>
      </c>
      <c r="C2569">
        <f>IF(OR(Registro_Compras!$C$288="",Registro_Compras!$O$288="",Registro_Compras!$Y$288="",Registro_Compras!$F$288="NOTA DE CREDITO"),"","10413")</f>
        <v/>
      </c>
      <c r="D2569">
        <f>IF(OR(Registro_Compras!$C$288="",Registro_Compras!$O$288=""),"","Efectivo y Equivalentes - Cta. Cte. Operativa")</f>
        <v/>
      </c>
      <c r="E2569" s="20">
        <f>""</f>
        <v/>
      </c>
      <c r="F2569" s="20">
        <f>IF($C2569="","",IF(Registro_Compras!$F$288="RHE",(ROUND(Registro_Compras!$L$288*Registro_Compras!$N$288,2)-ROUND(Registro_Compras!$V$288*Registro_Compras!$N$288,2)),ROUND(Registro_Compras!$O$288-Registro_Compras!$S$288,2)))</f>
        <v/>
      </c>
      <c r="G2569">
        <f>IF($C2569="","","Por la cancelacion del saldo al proveedor")</f>
        <v/>
      </c>
      <c r="H2569">
        <f>IF($C2569="","",Registro_Compras!$C$288)</f>
        <v/>
      </c>
    </row>
    <row r="2570">
      <c r="A2570" s="25">
        <f>IF($C2570="","",Registro_Compras!$B$289)</f>
        <v/>
      </c>
      <c r="B2570">
        <f>IF($C2570="","","C"&amp;TEXT(INT((ROW()-5)/9)+1,"000")&amp;"-1")</f>
        <v/>
      </c>
      <c r="C2570">
        <f>IF(OR(Registro_Compras!$C$289="",Registro_Compras!$O$289=""),"",IF(Registro_Compras!$F$289="NOTA DE CREDITO","4212",IF(Registro_Compras!$M$289="","63",Registro_Compras!$M$289)))</f>
        <v/>
      </c>
      <c r="D2570">
        <f>IF(OR(Registro_Compras!$C$289="",Registro_Compras!$O$289=""),"",IF(Registro_Compras!$F$289="NOTA DE CREDITO","Cuentas por Pagar Comerciales - Terceros (Emitidas)",IF(Registro_Compras!$F$289="RHE","Honorarios Profesionales - Servicios de Terceros","Gastos de Servicios Prestados por Terceros")))</f>
        <v/>
      </c>
      <c r="E2570" s="20">
        <f>IF($C2570="","",IF(Registro_Compras!$F$289="NOTA DE CREDITO",ABS(Registro_Compras!$O$289),IF(Registro_Compras!$F$289="RHE",ROUND(Registro_Compras!$L$289*Registro_Compras!$N$289,2),ROUND(Registro_Compras!$J$289*Registro_Compras!$N$289,2))))</f>
        <v/>
      </c>
      <c r="F2570" s="20">
        <f>""</f>
        <v/>
      </c>
      <c r="G2570">
        <f>IF($C2570="","",IF(Registro_Compras!$F$289="NOTA DE CREDITO","Por la nota de credito "&amp;Registro_Compras!$C$289&amp;" de "&amp;Registro_Compras!$E$289&amp;" [PATRON POR CONFIRMAR CON CONTADOR]",IF(Registro_Compras!$F$289="RHE","Por el registro del recibo por honorarios "&amp;Registro_Compras!$C$289&amp;" de "&amp;Registro_Compras!$E$289&amp;" [PATRON POR CONFIRMAR CON CONTADOR]","Por el registro de la factura "&amp;Registro_Compras!$C$289&amp;" de "&amp;Registro_Compras!$E$289)))</f>
        <v/>
      </c>
      <c r="H2570">
        <f>IF($C2570="","",Registro_Compras!$C$289)</f>
        <v/>
      </c>
    </row>
    <row r="2571">
      <c r="A2571" s="25">
        <f>IF($C2571="","",Registro_Compras!$B$289)</f>
        <v/>
      </c>
      <c r="B2571">
        <f>IF($C2571="","","C"&amp;TEXT(INT((ROW()-5)/9)+1,"000")&amp;"-1")</f>
        <v/>
      </c>
      <c r="C2571">
        <f>IF(OR(Registro_Compras!$C$289="",Registro_Compras!$O$289=""),"",IF(Registro_Compras!$F$289="RHE",IF(Registro_Compras!$V$289=0,"","40172"),IF(Registro_Compras!$F$289="NOTA DE CREDITO",IF(Registro_Compras!$M$289="","63",Registro_Compras!$M$289),IF(Registro_Compras!$K$289=0,"","40111"))))</f>
        <v/>
      </c>
      <c r="D2571">
        <f>IF(OR(Registro_Compras!$C$289="",Registro_Compras!$O$289=""),"",IF(Registro_Compras!$F$289="RHE","Retencion Renta 4ta Categoria por Pagar",IF(Registro_Compras!$F$289="NOTA DE CREDITO","Gastos de Servicios Prestados por Terceros","IGV - Cuenta Propia (Credito Fiscal)")))</f>
        <v/>
      </c>
      <c r="E2571" s="20">
        <f>IF($C2571="","",IF(Registro_Compras!$F$289="FACTURA",ROUND(Registro_Compras!$K$289*Registro_Compras!$N$289,2),""))</f>
        <v/>
      </c>
      <c r="F2571" s="20">
        <f>IF($C2571="","",IF(Registro_Compras!$F$289="RHE",ROUND(Registro_Compras!$V$289*Registro_Compras!$N$289,2),IF(Registro_Compras!$F$289="NOTA DE CREDITO",ROUND(ABS(Registro_Compras!$J$289*Registro_Compras!$N$289),2),"")))</f>
        <v/>
      </c>
      <c r="G2571">
        <f>IF($C2571="","",IF(Registro_Compras!$F$289="NOTA DE CREDITO","Por la nota de credito "&amp;Registro_Compras!$C$289&amp;" de "&amp;Registro_Compras!$E$289&amp;" [PATRON POR CONFIRMAR CON CONTADOR]",IF(Registro_Compras!$F$289="RHE","Por el registro del recibo por honorarios "&amp;Registro_Compras!$C$289&amp;" de "&amp;Registro_Compras!$E$289&amp;" [PATRON POR CONFIRMAR CON CONTADOR]","Por el registro de la factura "&amp;Registro_Compras!$C$289&amp;" de "&amp;Registro_Compras!$E$289)))</f>
        <v/>
      </c>
      <c r="H2571">
        <f>IF($C2571="","",Registro_Compras!$C$289)</f>
        <v/>
      </c>
    </row>
    <row r="2572">
      <c r="A2572" s="25">
        <f>IF($C2572="","",Registro_Compras!$B$289)</f>
        <v/>
      </c>
      <c r="B2572">
        <f>IF($C2572="","","C"&amp;TEXT(INT((ROW()-5)/9)+1,"000")&amp;"-1")</f>
        <v/>
      </c>
      <c r="C2572">
        <f>IF(OR(Registro_Compras!$C$289="",Registro_Compras!$O$289=""),"",IF(Registro_Compras!$F$289="NOTA DE CREDITO",IF(Registro_Compras!$K$289=0,"","40111"),"4212"))</f>
        <v/>
      </c>
      <c r="D2572">
        <f>IF(OR(Registro_Compras!$C$289="",Registro_Compras!$O$289=""),"",IF(Registro_Compras!$F$289="NOTA DE CREDITO","IGV - Cuenta Propia (Credito Fiscal)","Cuentas por Pagar Comerciales - Terceros (Emitidas)"))</f>
        <v/>
      </c>
      <c r="E2572" s="20">
        <f>""</f>
        <v/>
      </c>
      <c r="F2572" s="20">
        <f>IF($C2572="","",IF(Registro_Compras!$F$289="NOTA DE CREDITO",ROUND(ABS(Registro_Compras!$K$289*Registro_Compras!$N$289),2),IF(Registro_Compras!$F$289="RHE",(ROUND(Registro_Compras!$L$289*Registro_Compras!$N$289,2)-ROUND(Registro_Compras!$V$289*Registro_Compras!$N$289,2)),Registro_Compras!$O$289)))</f>
        <v/>
      </c>
      <c r="G2572">
        <f>IF($C2572="","",IF(Registro_Compras!$F$289="NOTA DE CREDITO","Por la nota de credito "&amp;Registro_Compras!$C$289&amp;" de "&amp;Registro_Compras!$E$289&amp;" [PATRON POR CONFIRMAR CON CONTADOR]",IF(Registro_Compras!$F$289="RHE","Por el registro del recibo por honorarios "&amp;Registro_Compras!$C$289&amp;" de "&amp;Registro_Compras!$E$289&amp;" [PATRON POR CONFIRMAR CON CONTADOR]","Por el registro de la factura "&amp;Registro_Compras!$C$289&amp;" de "&amp;Registro_Compras!$E$289)))</f>
        <v/>
      </c>
      <c r="H2572">
        <f>IF($C2572="","",Registro_Compras!$C$289)</f>
        <v/>
      </c>
    </row>
    <row r="2573">
      <c r="A2573" s="25">
        <f>IF($C2573="","",Registro_Compras!$B$289)</f>
        <v/>
      </c>
      <c r="B2573">
        <f>IF($C2573="","","C"&amp;TEXT(INT((ROW()-5)/9)+1,"000")&amp;"-2")</f>
        <v/>
      </c>
      <c r="C2573">
        <f>IF(OR(Registro_Compras!$C$289="",Registro_Compras!$O$289=""),"",IF(Registro_Compras!$AB$289="ADMINISTRATIVO","94","95"))</f>
        <v/>
      </c>
      <c r="D2573">
        <f>IF(OR(Registro_Compras!$C$289="",Registro_Compras!$O$289=""),"",IF(Registro_Compras!$AB$289="ADMINISTRATIVO","Gastos Administrativos","Gastos de Venta y Operacion"))</f>
        <v/>
      </c>
      <c r="E2573" s="20">
        <f>IF($C2573="","",IF(Registro_Compras!$F$289="NOTA DE CREDITO","",IF(Registro_Compras!$F$289="RHE",ROUND(Registro_Compras!$L$289*Registro_Compras!$N$289,2),ROUND(Registro_Compras!$J$289*Registro_Compras!$N$289,2))))</f>
        <v/>
      </c>
      <c r="F2573" s="20">
        <f>IF($C2573="","",IF(Registro_Compras!$F$289="NOTA DE CREDITO",ROUND(ABS(Registro_Compras!$J$289*Registro_Compras!$N$289),2),""))</f>
        <v/>
      </c>
      <c r="G2573">
        <f>IF($C2573="","","Por el destino del gasto")</f>
        <v/>
      </c>
      <c r="H2573">
        <f>IF($C2573="","",Registro_Compras!$C$289)</f>
        <v/>
      </c>
    </row>
    <row r="2574">
      <c r="A2574" s="25">
        <f>IF($C2574="","",Registro_Compras!$B$289)</f>
        <v/>
      </c>
      <c r="B2574">
        <f>IF($C2574="","","C"&amp;TEXT(INT((ROW()-5)/9)+1,"000")&amp;"-2")</f>
        <v/>
      </c>
      <c r="C2574">
        <f>IF(OR(Registro_Compras!$C$289="",Registro_Compras!$O$289=""),"","79/791")</f>
        <v/>
      </c>
      <c r="D2574">
        <f>IF(OR(Registro_Compras!$C$289="",Registro_Compras!$O$289=""),"","Cargas Imputables a Cuentas de Costos y Gastos")</f>
        <v/>
      </c>
      <c r="E2574" s="20">
        <f>IF($C2574="","",IF(Registro_Compras!$F$289="NOTA DE CREDITO",ROUND(ABS(Registro_Compras!$J$289*Registro_Compras!$N$289),2),""))</f>
        <v/>
      </c>
      <c r="F2574" s="20">
        <f>IF($C2574="","",IF(Registro_Compras!$F$289="NOTA DE CREDITO","",IF(Registro_Compras!$F$289="RHE",ROUND(Registro_Compras!$L$289*Registro_Compras!$N$289,2),ROUND(Registro_Compras!$J$289*Registro_Compras!$N$289,2))))</f>
        <v/>
      </c>
      <c r="G2574">
        <f>IF($C2574="","","Por el destino del gasto")</f>
        <v/>
      </c>
      <c r="H2574">
        <f>IF($C2574="","",Registro_Compras!$C$289)</f>
        <v/>
      </c>
    </row>
    <row r="2575">
      <c r="A2575" s="25">
        <f>IF($C2575="","",Registro_Compras!$X$289)</f>
        <v/>
      </c>
      <c r="B2575">
        <f>IF($C2575="","","C"&amp;TEXT(INT((ROW()-5)/9)+1,"000")&amp;"-3")</f>
        <v/>
      </c>
      <c r="C2575">
        <f>IF(OR(Registro_Compras!$C$289="",Registro_Compras!$O$289="",Registro_Compras!$R$289&lt;&gt;"SI",Registro_Compras!$X$289=""),"","4212")</f>
        <v/>
      </c>
      <c r="D2575">
        <f>IF(OR(Registro_Compras!$C$289="",Registro_Compras!$O$289=""),"","Cuentas por Pagar Comerciales - Terceros")</f>
        <v/>
      </c>
      <c r="E2575" s="20">
        <f>IF($C2575="","",Registro_Compras!$S$289)</f>
        <v/>
      </c>
      <c r="F2575" s="20">
        <f>""</f>
        <v/>
      </c>
      <c r="G2575">
        <f>IF($C2575="","","Por el deposito de la detraccion en el Banco de la Nacion")</f>
        <v/>
      </c>
      <c r="H2575">
        <f>IF($C2575="","",Registro_Compras!$C$289)</f>
        <v/>
      </c>
    </row>
    <row r="2576">
      <c r="A2576" s="25">
        <f>IF($C2576="","",Registro_Compras!$X$289)</f>
        <v/>
      </c>
      <c r="B2576">
        <f>IF($C2576="","","C"&amp;TEXT(INT((ROW()-5)/9)+1,"000")&amp;"-3")</f>
        <v/>
      </c>
      <c r="C2576">
        <f>IF(OR(Registro_Compras!$C$289="",Registro_Compras!$O$289="",Registro_Compras!$R$289&lt;&gt;"SI",Registro_Compras!$X$289=""),"","10413")</f>
        <v/>
      </c>
      <c r="D2576">
        <f>IF(OR(Registro_Compras!$C$289="",Registro_Compras!$O$289=""),"","Efectivo y Equivalentes - Cta. Cte. Operativa")</f>
        <v/>
      </c>
      <c r="E2576" s="20">
        <f>""</f>
        <v/>
      </c>
      <c r="F2576" s="20">
        <f>IF($C2576="","",Registro_Compras!$S$289)</f>
        <v/>
      </c>
      <c r="G2576">
        <f>IF($C2576="","","Por el deposito de la detraccion en el Banco de la Nacion")</f>
        <v/>
      </c>
      <c r="H2576">
        <f>IF($C2576="","",Registro_Compras!$C$289)</f>
        <v/>
      </c>
    </row>
    <row r="2577">
      <c r="A2577" s="25">
        <f>IF($C2577="","",Registro_Compras!$Y$289)</f>
        <v/>
      </c>
      <c r="B2577">
        <f>IF($C2577="","","C"&amp;TEXT(INT((ROW()-5)/9)+1,"000")&amp;"-4")</f>
        <v/>
      </c>
      <c r="C2577">
        <f>IF(OR(Registro_Compras!$C$289="",Registro_Compras!$O$289="",Registro_Compras!$Y$289="",Registro_Compras!$F$289="NOTA DE CREDITO"),"","4212")</f>
        <v/>
      </c>
      <c r="D2577">
        <f>IF(OR(Registro_Compras!$C$289="",Registro_Compras!$O$289=""),"","Cuentas por Pagar Comerciales - Terceros")</f>
        <v/>
      </c>
      <c r="E2577" s="20">
        <f>IF($C2577="","",IF(Registro_Compras!$F$289="RHE",(ROUND(Registro_Compras!$L$289*Registro_Compras!$N$289,2)-ROUND(Registro_Compras!$V$289*Registro_Compras!$N$289,2)),ROUND(Registro_Compras!$O$289-Registro_Compras!$S$289,2)))</f>
        <v/>
      </c>
      <c r="F2577" s="20">
        <f>""</f>
        <v/>
      </c>
      <c r="G2577">
        <f>IF($C2577="","","Por la cancelacion del saldo al proveedor")</f>
        <v/>
      </c>
      <c r="H2577">
        <f>IF($C2577="","",Registro_Compras!$C$289)</f>
        <v/>
      </c>
    </row>
    <row r="2578">
      <c r="A2578" s="25">
        <f>IF($C2578="","",Registro_Compras!$Y$289)</f>
        <v/>
      </c>
      <c r="B2578">
        <f>IF($C2578="","","C"&amp;TEXT(INT((ROW()-5)/9)+1,"000")&amp;"-4")</f>
        <v/>
      </c>
      <c r="C2578">
        <f>IF(OR(Registro_Compras!$C$289="",Registro_Compras!$O$289="",Registro_Compras!$Y$289="",Registro_Compras!$F$289="NOTA DE CREDITO"),"","10413")</f>
        <v/>
      </c>
      <c r="D2578">
        <f>IF(OR(Registro_Compras!$C$289="",Registro_Compras!$O$289=""),"","Efectivo y Equivalentes - Cta. Cte. Operativa")</f>
        <v/>
      </c>
      <c r="E2578" s="20">
        <f>""</f>
        <v/>
      </c>
      <c r="F2578" s="20">
        <f>IF($C2578="","",IF(Registro_Compras!$F$289="RHE",(ROUND(Registro_Compras!$L$289*Registro_Compras!$N$289,2)-ROUND(Registro_Compras!$V$289*Registro_Compras!$N$289,2)),ROUND(Registro_Compras!$O$289-Registro_Compras!$S$289,2)))</f>
        <v/>
      </c>
      <c r="G2578">
        <f>IF($C2578="","","Por la cancelacion del saldo al proveedor")</f>
        <v/>
      </c>
      <c r="H2578">
        <f>IF($C2578="","",Registro_Compras!$C$289)</f>
        <v/>
      </c>
    </row>
    <row r="2579">
      <c r="A2579" s="25">
        <f>IF($C2579="","",Registro_Compras!$B$290)</f>
        <v/>
      </c>
      <c r="B2579">
        <f>IF($C2579="","","C"&amp;TEXT(INT((ROW()-5)/9)+1,"000")&amp;"-1")</f>
        <v/>
      </c>
      <c r="C2579">
        <f>IF(OR(Registro_Compras!$C$290="",Registro_Compras!$O$290=""),"",IF(Registro_Compras!$F$290="NOTA DE CREDITO","4212",IF(Registro_Compras!$M$290="","63",Registro_Compras!$M$290)))</f>
        <v/>
      </c>
      <c r="D2579">
        <f>IF(OR(Registro_Compras!$C$290="",Registro_Compras!$O$290=""),"",IF(Registro_Compras!$F$290="NOTA DE CREDITO","Cuentas por Pagar Comerciales - Terceros (Emitidas)",IF(Registro_Compras!$F$290="RHE","Honorarios Profesionales - Servicios de Terceros","Gastos de Servicios Prestados por Terceros")))</f>
        <v/>
      </c>
      <c r="E2579" s="20">
        <f>IF($C2579="","",IF(Registro_Compras!$F$290="NOTA DE CREDITO",ABS(Registro_Compras!$O$290),IF(Registro_Compras!$F$290="RHE",ROUND(Registro_Compras!$L$290*Registro_Compras!$N$290,2),ROUND(Registro_Compras!$J$290*Registro_Compras!$N$290,2))))</f>
        <v/>
      </c>
      <c r="F2579" s="20">
        <f>""</f>
        <v/>
      </c>
      <c r="G2579">
        <f>IF($C2579="","",IF(Registro_Compras!$F$290="NOTA DE CREDITO","Por la nota de credito "&amp;Registro_Compras!$C$290&amp;" de "&amp;Registro_Compras!$E$290&amp;" [PATRON POR CONFIRMAR CON CONTADOR]",IF(Registro_Compras!$F$290="RHE","Por el registro del recibo por honorarios "&amp;Registro_Compras!$C$290&amp;" de "&amp;Registro_Compras!$E$290&amp;" [PATRON POR CONFIRMAR CON CONTADOR]","Por el registro de la factura "&amp;Registro_Compras!$C$290&amp;" de "&amp;Registro_Compras!$E$290)))</f>
        <v/>
      </c>
      <c r="H2579">
        <f>IF($C2579="","",Registro_Compras!$C$290)</f>
        <v/>
      </c>
    </row>
    <row r="2580">
      <c r="A2580" s="25">
        <f>IF($C2580="","",Registro_Compras!$B$290)</f>
        <v/>
      </c>
      <c r="B2580">
        <f>IF($C2580="","","C"&amp;TEXT(INT((ROW()-5)/9)+1,"000")&amp;"-1")</f>
        <v/>
      </c>
      <c r="C2580">
        <f>IF(OR(Registro_Compras!$C$290="",Registro_Compras!$O$290=""),"",IF(Registro_Compras!$F$290="RHE",IF(Registro_Compras!$V$290=0,"","40172"),IF(Registro_Compras!$F$290="NOTA DE CREDITO",IF(Registro_Compras!$M$290="","63",Registro_Compras!$M$290),IF(Registro_Compras!$K$290=0,"","40111"))))</f>
        <v/>
      </c>
      <c r="D2580">
        <f>IF(OR(Registro_Compras!$C$290="",Registro_Compras!$O$290=""),"",IF(Registro_Compras!$F$290="RHE","Retencion Renta 4ta Categoria por Pagar",IF(Registro_Compras!$F$290="NOTA DE CREDITO","Gastos de Servicios Prestados por Terceros","IGV - Cuenta Propia (Credito Fiscal)")))</f>
        <v/>
      </c>
      <c r="E2580" s="20">
        <f>IF($C2580="","",IF(Registro_Compras!$F$290="FACTURA",ROUND(Registro_Compras!$K$290*Registro_Compras!$N$290,2),""))</f>
        <v/>
      </c>
      <c r="F2580" s="20">
        <f>IF($C2580="","",IF(Registro_Compras!$F$290="RHE",ROUND(Registro_Compras!$V$290*Registro_Compras!$N$290,2),IF(Registro_Compras!$F$290="NOTA DE CREDITO",ROUND(ABS(Registro_Compras!$J$290*Registro_Compras!$N$290),2),"")))</f>
        <v/>
      </c>
      <c r="G2580">
        <f>IF($C2580="","",IF(Registro_Compras!$F$290="NOTA DE CREDITO","Por la nota de credito "&amp;Registro_Compras!$C$290&amp;" de "&amp;Registro_Compras!$E$290&amp;" [PATRON POR CONFIRMAR CON CONTADOR]",IF(Registro_Compras!$F$290="RHE","Por el registro del recibo por honorarios "&amp;Registro_Compras!$C$290&amp;" de "&amp;Registro_Compras!$E$290&amp;" [PATRON POR CONFIRMAR CON CONTADOR]","Por el registro de la factura "&amp;Registro_Compras!$C$290&amp;" de "&amp;Registro_Compras!$E$290)))</f>
        <v/>
      </c>
      <c r="H2580">
        <f>IF($C2580="","",Registro_Compras!$C$290)</f>
        <v/>
      </c>
    </row>
    <row r="2581">
      <c r="A2581" s="25">
        <f>IF($C2581="","",Registro_Compras!$B$290)</f>
        <v/>
      </c>
      <c r="B2581">
        <f>IF($C2581="","","C"&amp;TEXT(INT((ROW()-5)/9)+1,"000")&amp;"-1")</f>
        <v/>
      </c>
      <c r="C2581">
        <f>IF(OR(Registro_Compras!$C$290="",Registro_Compras!$O$290=""),"",IF(Registro_Compras!$F$290="NOTA DE CREDITO",IF(Registro_Compras!$K$290=0,"","40111"),"4212"))</f>
        <v/>
      </c>
      <c r="D2581">
        <f>IF(OR(Registro_Compras!$C$290="",Registro_Compras!$O$290=""),"",IF(Registro_Compras!$F$290="NOTA DE CREDITO","IGV - Cuenta Propia (Credito Fiscal)","Cuentas por Pagar Comerciales - Terceros (Emitidas)"))</f>
        <v/>
      </c>
      <c r="E2581" s="20">
        <f>""</f>
        <v/>
      </c>
      <c r="F2581" s="20">
        <f>IF($C2581="","",IF(Registro_Compras!$F$290="NOTA DE CREDITO",ROUND(ABS(Registro_Compras!$K$290*Registro_Compras!$N$290),2),IF(Registro_Compras!$F$290="RHE",(ROUND(Registro_Compras!$L$290*Registro_Compras!$N$290,2)-ROUND(Registro_Compras!$V$290*Registro_Compras!$N$290,2)),Registro_Compras!$O$290)))</f>
        <v/>
      </c>
      <c r="G2581">
        <f>IF($C2581="","",IF(Registro_Compras!$F$290="NOTA DE CREDITO","Por la nota de credito "&amp;Registro_Compras!$C$290&amp;" de "&amp;Registro_Compras!$E$290&amp;" [PATRON POR CONFIRMAR CON CONTADOR]",IF(Registro_Compras!$F$290="RHE","Por el registro del recibo por honorarios "&amp;Registro_Compras!$C$290&amp;" de "&amp;Registro_Compras!$E$290&amp;" [PATRON POR CONFIRMAR CON CONTADOR]","Por el registro de la factura "&amp;Registro_Compras!$C$290&amp;" de "&amp;Registro_Compras!$E$290)))</f>
        <v/>
      </c>
      <c r="H2581">
        <f>IF($C2581="","",Registro_Compras!$C$290)</f>
        <v/>
      </c>
    </row>
    <row r="2582">
      <c r="A2582" s="25">
        <f>IF($C2582="","",Registro_Compras!$B$290)</f>
        <v/>
      </c>
      <c r="B2582">
        <f>IF($C2582="","","C"&amp;TEXT(INT((ROW()-5)/9)+1,"000")&amp;"-2")</f>
        <v/>
      </c>
      <c r="C2582">
        <f>IF(OR(Registro_Compras!$C$290="",Registro_Compras!$O$290=""),"",IF(Registro_Compras!$AB$290="ADMINISTRATIVO","94","95"))</f>
        <v/>
      </c>
      <c r="D2582">
        <f>IF(OR(Registro_Compras!$C$290="",Registro_Compras!$O$290=""),"",IF(Registro_Compras!$AB$290="ADMINISTRATIVO","Gastos Administrativos","Gastos de Venta y Operacion"))</f>
        <v/>
      </c>
      <c r="E2582" s="20">
        <f>IF($C2582="","",IF(Registro_Compras!$F$290="NOTA DE CREDITO","",IF(Registro_Compras!$F$290="RHE",ROUND(Registro_Compras!$L$290*Registro_Compras!$N$290,2),ROUND(Registro_Compras!$J$290*Registro_Compras!$N$290,2))))</f>
        <v/>
      </c>
      <c r="F2582" s="20">
        <f>IF($C2582="","",IF(Registro_Compras!$F$290="NOTA DE CREDITO",ROUND(ABS(Registro_Compras!$J$290*Registro_Compras!$N$290),2),""))</f>
        <v/>
      </c>
      <c r="G2582">
        <f>IF($C2582="","","Por el destino del gasto")</f>
        <v/>
      </c>
      <c r="H2582">
        <f>IF($C2582="","",Registro_Compras!$C$290)</f>
        <v/>
      </c>
    </row>
    <row r="2583">
      <c r="A2583" s="25">
        <f>IF($C2583="","",Registro_Compras!$B$290)</f>
        <v/>
      </c>
      <c r="B2583">
        <f>IF($C2583="","","C"&amp;TEXT(INT((ROW()-5)/9)+1,"000")&amp;"-2")</f>
        <v/>
      </c>
      <c r="C2583">
        <f>IF(OR(Registro_Compras!$C$290="",Registro_Compras!$O$290=""),"","79/791")</f>
        <v/>
      </c>
      <c r="D2583">
        <f>IF(OR(Registro_Compras!$C$290="",Registro_Compras!$O$290=""),"","Cargas Imputables a Cuentas de Costos y Gastos")</f>
        <v/>
      </c>
      <c r="E2583" s="20">
        <f>IF($C2583="","",IF(Registro_Compras!$F$290="NOTA DE CREDITO",ROUND(ABS(Registro_Compras!$J$290*Registro_Compras!$N$290),2),""))</f>
        <v/>
      </c>
      <c r="F2583" s="20">
        <f>IF($C2583="","",IF(Registro_Compras!$F$290="NOTA DE CREDITO","",IF(Registro_Compras!$F$290="RHE",ROUND(Registro_Compras!$L$290*Registro_Compras!$N$290,2),ROUND(Registro_Compras!$J$290*Registro_Compras!$N$290,2))))</f>
        <v/>
      </c>
      <c r="G2583">
        <f>IF($C2583="","","Por el destino del gasto")</f>
        <v/>
      </c>
      <c r="H2583">
        <f>IF($C2583="","",Registro_Compras!$C$290)</f>
        <v/>
      </c>
    </row>
    <row r="2584">
      <c r="A2584" s="25">
        <f>IF($C2584="","",Registro_Compras!$X$290)</f>
        <v/>
      </c>
      <c r="B2584">
        <f>IF($C2584="","","C"&amp;TEXT(INT((ROW()-5)/9)+1,"000")&amp;"-3")</f>
        <v/>
      </c>
      <c r="C2584">
        <f>IF(OR(Registro_Compras!$C$290="",Registro_Compras!$O$290="",Registro_Compras!$R$290&lt;&gt;"SI",Registro_Compras!$X$290=""),"","4212")</f>
        <v/>
      </c>
      <c r="D2584">
        <f>IF(OR(Registro_Compras!$C$290="",Registro_Compras!$O$290=""),"","Cuentas por Pagar Comerciales - Terceros")</f>
        <v/>
      </c>
      <c r="E2584" s="20">
        <f>IF($C2584="","",Registro_Compras!$S$290)</f>
        <v/>
      </c>
      <c r="F2584" s="20">
        <f>""</f>
        <v/>
      </c>
      <c r="G2584">
        <f>IF($C2584="","","Por el deposito de la detraccion en el Banco de la Nacion")</f>
        <v/>
      </c>
      <c r="H2584">
        <f>IF($C2584="","",Registro_Compras!$C$290)</f>
        <v/>
      </c>
    </row>
    <row r="2585">
      <c r="A2585" s="25">
        <f>IF($C2585="","",Registro_Compras!$X$290)</f>
        <v/>
      </c>
      <c r="B2585">
        <f>IF($C2585="","","C"&amp;TEXT(INT((ROW()-5)/9)+1,"000")&amp;"-3")</f>
        <v/>
      </c>
      <c r="C2585">
        <f>IF(OR(Registro_Compras!$C$290="",Registro_Compras!$O$290="",Registro_Compras!$R$290&lt;&gt;"SI",Registro_Compras!$X$290=""),"","10413")</f>
        <v/>
      </c>
      <c r="D2585">
        <f>IF(OR(Registro_Compras!$C$290="",Registro_Compras!$O$290=""),"","Efectivo y Equivalentes - Cta. Cte. Operativa")</f>
        <v/>
      </c>
      <c r="E2585" s="20">
        <f>""</f>
        <v/>
      </c>
      <c r="F2585" s="20">
        <f>IF($C2585="","",Registro_Compras!$S$290)</f>
        <v/>
      </c>
      <c r="G2585">
        <f>IF($C2585="","","Por el deposito de la detraccion en el Banco de la Nacion")</f>
        <v/>
      </c>
      <c r="H2585">
        <f>IF($C2585="","",Registro_Compras!$C$290)</f>
        <v/>
      </c>
    </row>
    <row r="2586">
      <c r="A2586" s="25">
        <f>IF($C2586="","",Registro_Compras!$Y$290)</f>
        <v/>
      </c>
      <c r="B2586">
        <f>IF($C2586="","","C"&amp;TEXT(INT((ROW()-5)/9)+1,"000")&amp;"-4")</f>
        <v/>
      </c>
      <c r="C2586">
        <f>IF(OR(Registro_Compras!$C$290="",Registro_Compras!$O$290="",Registro_Compras!$Y$290="",Registro_Compras!$F$290="NOTA DE CREDITO"),"","4212")</f>
        <v/>
      </c>
      <c r="D2586">
        <f>IF(OR(Registro_Compras!$C$290="",Registro_Compras!$O$290=""),"","Cuentas por Pagar Comerciales - Terceros")</f>
        <v/>
      </c>
      <c r="E2586" s="20">
        <f>IF($C2586="","",IF(Registro_Compras!$F$290="RHE",(ROUND(Registro_Compras!$L$290*Registro_Compras!$N$290,2)-ROUND(Registro_Compras!$V$290*Registro_Compras!$N$290,2)),ROUND(Registro_Compras!$O$290-Registro_Compras!$S$290,2)))</f>
        <v/>
      </c>
      <c r="F2586" s="20">
        <f>""</f>
        <v/>
      </c>
      <c r="G2586">
        <f>IF($C2586="","","Por la cancelacion del saldo al proveedor")</f>
        <v/>
      </c>
      <c r="H2586">
        <f>IF($C2586="","",Registro_Compras!$C$290)</f>
        <v/>
      </c>
    </row>
    <row r="2587">
      <c r="A2587" s="25">
        <f>IF($C2587="","",Registro_Compras!$Y$290)</f>
        <v/>
      </c>
      <c r="B2587">
        <f>IF($C2587="","","C"&amp;TEXT(INT((ROW()-5)/9)+1,"000")&amp;"-4")</f>
        <v/>
      </c>
      <c r="C2587">
        <f>IF(OR(Registro_Compras!$C$290="",Registro_Compras!$O$290="",Registro_Compras!$Y$290="",Registro_Compras!$F$290="NOTA DE CREDITO"),"","10413")</f>
        <v/>
      </c>
      <c r="D2587">
        <f>IF(OR(Registro_Compras!$C$290="",Registro_Compras!$O$290=""),"","Efectivo y Equivalentes - Cta. Cte. Operativa")</f>
        <v/>
      </c>
      <c r="E2587" s="20">
        <f>""</f>
        <v/>
      </c>
      <c r="F2587" s="20">
        <f>IF($C2587="","",IF(Registro_Compras!$F$290="RHE",(ROUND(Registro_Compras!$L$290*Registro_Compras!$N$290,2)-ROUND(Registro_Compras!$V$290*Registro_Compras!$N$290,2)),ROUND(Registro_Compras!$O$290-Registro_Compras!$S$290,2)))</f>
        <v/>
      </c>
      <c r="G2587">
        <f>IF($C2587="","","Por la cancelacion del saldo al proveedor")</f>
        <v/>
      </c>
      <c r="H2587">
        <f>IF($C2587="","",Registro_Compras!$C$290)</f>
        <v/>
      </c>
    </row>
    <row r="2588">
      <c r="A2588" s="25">
        <f>IF($C2588="","",Registro_Compras!$B$291)</f>
        <v/>
      </c>
      <c r="B2588">
        <f>IF($C2588="","","C"&amp;TEXT(INT((ROW()-5)/9)+1,"000")&amp;"-1")</f>
        <v/>
      </c>
      <c r="C2588">
        <f>IF(OR(Registro_Compras!$C$291="",Registro_Compras!$O$291=""),"",IF(Registro_Compras!$F$291="NOTA DE CREDITO","4212",IF(Registro_Compras!$M$291="","63",Registro_Compras!$M$291)))</f>
        <v/>
      </c>
      <c r="D2588">
        <f>IF(OR(Registro_Compras!$C$291="",Registro_Compras!$O$291=""),"",IF(Registro_Compras!$F$291="NOTA DE CREDITO","Cuentas por Pagar Comerciales - Terceros (Emitidas)",IF(Registro_Compras!$F$291="RHE","Honorarios Profesionales - Servicios de Terceros","Gastos de Servicios Prestados por Terceros")))</f>
        <v/>
      </c>
      <c r="E2588" s="20">
        <f>IF($C2588="","",IF(Registro_Compras!$F$291="NOTA DE CREDITO",ABS(Registro_Compras!$O$291),IF(Registro_Compras!$F$291="RHE",ROUND(Registro_Compras!$L$291*Registro_Compras!$N$291,2),ROUND(Registro_Compras!$J$291*Registro_Compras!$N$291,2))))</f>
        <v/>
      </c>
      <c r="F2588" s="20">
        <f>""</f>
        <v/>
      </c>
      <c r="G2588">
        <f>IF($C2588="","",IF(Registro_Compras!$F$291="NOTA DE CREDITO","Por la nota de credito "&amp;Registro_Compras!$C$291&amp;" de "&amp;Registro_Compras!$E$291&amp;" [PATRON POR CONFIRMAR CON CONTADOR]",IF(Registro_Compras!$F$291="RHE","Por el registro del recibo por honorarios "&amp;Registro_Compras!$C$291&amp;" de "&amp;Registro_Compras!$E$291&amp;" [PATRON POR CONFIRMAR CON CONTADOR]","Por el registro de la factura "&amp;Registro_Compras!$C$291&amp;" de "&amp;Registro_Compras!$E$291)))</f>
        <v/>
      </c>
      <c r="H2588">
        <f>IF($C2588="","",Registro_Compras!$C$291)</f>
        <v/>
      </c>
    </row>
    <row r="2589">
      <c r="A2589" s="25">
        <f>IF($C2589="","",Registro_Compras!$B$291)</f>
        <v/>
      </c>
      <c r="B2589">
        <f>IF($C2589="","","C"&amp;TEXT(INT((ROW()-5)/9)+1,"000")&amp;"-1")</f>
        <v/>
      </c>
      <c r="C2589">
        <f>IF(OR(Registro_Compras!$C$291="",Registro_Compras!$O$291=""),"",IF(Registro_Compras!$F$291="RHE",IF(Registro_Compras!$V$291=0,"","40172"),IF(Registro_Compras!$F$291="NOTA DE CREDITO",IF(Registro_Compras!$M$291="","63",Registro_Compras!$M$291),IF(Registro_Compras!$K$291=0,"","40111"))))</f>
        <v/>
      </c>
      <c r="D2589">
        <f>IF(OR(Registro_Compras!$C$291="",Registro_Compras!$O$291=""),"",IF(Registro_Compras!$F$291="RHE","Retencion Renta 4ta Categoria por Pagar",IF(Registro_Compras!$F$291="NOTA DE CREDITO","Gastos de Servicios Prestados por Terceros","IGV - Cuenta Propia (Credito Fiscal)")))</f>
        <v/>
      </c>
      <c r="E2589" s="20">
        <f>IF($C2589="","",IF(Registro_Compras!$F$291="FACTURA",ROUND(Registro_Compras!$K$291*Registro_Compras!$N$291,2),""))</f>
        <v/>
      </c>
      <c r="F2589" s="20">
        <f>IF($C2589="","",IF(Registro_Compras!$F$291="RHE",ROUND(Registro_Compras!$V$291*Registro_Compras!$N$291,2),IF(Registro_Compras!$F$291="NOTA DE CREDITO",ROUND(ABS(Registro_Compras!$J$291*Registro_Compras!$N$291),2),"")))</f>
        <v/>
      </c>
      <c r="G2589">
        <f>IF($C2589="","",IF(Registro_Compras!$F$291="NOTA DE CREDITO","Por la nota de credito "&amp;Registro_Compras!$C$291&amp;" de "&amp;Registro_Compras!$E$291&amp;" [PATRON POR CONFIRMAR CON CONTADOR]",IF(Registro_Compras!$F$291="RHE","Por el registro del recibo por honorarios "&amp;Registro_Compras!$C$291&amp;" de "&amp;Registro_Compras!$E$291&amp;" [PATRON POR CONFIRMAR CON CONTADOR]","Por el registro de la factura "&amp;Registro_Compras!$C$291&amp;" de "&amp;Registro_Compras!$E$291)))</f>
        <v/>
      </c>
      <c r="H2589">
        <f>IF($C2589="","",Registro_Compras!$C$291)</f>
        <v/>
      </c>
    </row>
    <row r="2590">
      <c r="A2590" s="25">
        <f>IF($C2590="","",Registro_Compras!$B$291)</f>
        <v/>
      </c>
      <c r="B2590">
        <f>IF($C2590="","","C"&amp;TEXT(INT((ROW()-5)/9)+1,"000")&amp;"-1")</f>
        <v/>
      </c>
      <c r="C2590">
        <f>IF(OR(Registro_Compras!$C$291="",Registro_Compras!$O$291=""),"",IF(Registro_Compras!$F$291="NOTA DE CREDITO",IF(Registro_Compras!$K$291=0,"","40111"),"4212"))</f>
        <v/>
      </c>
      <c r="D2590">
        <f>IF(OR(Registro_Compras!$C$291="",Registro_Compras!$O$291=""),"",IF(Registro_Compras!$F$291="NOTA DE CREDITO","IGV - Cuenta Propia (Credito Fiscal)","Cuentas por Pagar Comerciales - Terceros (Emitidas)"))</f>
        <v/>
      </c>
      <c r="E2590" s="20">
        <f>""</f>
        <v/>
      </c>
      <c r="F2590" s="20">
        <f>IF($C2590="","",IF(Registro_Compras!$F$291="NOTA DE CREDITO",ROUND(ABS(Registro_Compras!$K$291*Registro_Compras!$N$291),2),IF(Registro_Compras!$F$291="RHE",(ROUND(Registro_Compras!$L$291*Registro_Compras!$N$291,2)-ROUND(Registro_Compras!$V$291*Registro_Compras!$N$291,2)),Registro_Compras!$O$291)))</f>
        <v/>
      </c>
      <c r="G2590">
        <f>IF($C2590="","",IF(Registro_Compras!$F$291="NOTA DE CREDITO","Por la nota de credito "&amp;Registro_Compras!$C$291&amp;" de "&amp;Registro_Compras!$E$291&amp;" [PATRON POR CONFIRMAR CON CONTADOR]",IF(Registro_Compras!$F$291="RHE","Por el registro del recibo por honorarios "&amp;Registro_Compras!$C$291&amp;" de "&amp;Registro_Compras!$E$291&amp;" [PATRON POR CONFIRMAR CON CONTADOR]","Por el registro de la factura "&amp;Registro_Compras!$C$291&amp;" de "&amp;Registro_Compras!$E$291)))</f>
        <v/>
      </c>
      <c r="H2590">
        <f>IF($C2590="","",Registro_Compras!$C$291)</f>
        <v/>
      </c>
    </row>
    <row r="2591">
      <c r="A2591" s="25">
        <f>IF($C2591="","",Registro_Compras!$B$291)</f>
        <v/>
      </c>
      <c r="B2591">
        <f>IF($C2591="","","C"&amp;TEXT(INT((ROW()-5)/9)+1,"000")&amp;"-2")</f>
        <v/>
      </c>
      <c r="C2591">
        <f>IF(OR(Registro_Compras!$C$291="",Registro_Compras!$O$291=""),"",IF(Registro_Compras!$AB$291="ADMINISTRATIVO","94","95"))</f>
        <v/>
      </c>
      <c r="D2591">
        <f>IF(OR(Registro_Compras!$C$291="",Registro_Compras!$O$291=""),"",IF(Registro_Compras!$AB$291="ADMINISTRATIVO","Gastos Administrativos","Gastos de Venta y Operacion"))</f>
        <v/>
      </c>
      <c r="E2591" s="20">
        <f>IF($C2591="","",IF(Registro_Compras!$F$291="NOTA DE CREDITO","",IF(Registro_Compras!$F$291="RHE",ROUND(Registro_Compras!$L$291*Registro_Compras!$N$291,2),ROUND(Registro_Compras!$J$291*Registro_Compras!$N$291,2))))</f>
        <v/>
      </c>
      <c r="F2591" s="20">
        <f>IF($C2591="","",IF(Registro_Compras!$F$291="NOTA DE CREDITO",ROUND(ABS(Registro_Compras!$J$291*Registro_Compras!$N$291),2),""))</f>
        <v/>
      </c>
      <c r="G2591">
        <f>IF($C2591="","","Por el destino del gasto")</f>
        <v/>
      </c>
      <c r="H2591">
        <f>IF($C2591="","",Registro_Compras!$C$291)</f>
        <v/>
      </c>
    </row>
    <row r="2592">
      <c r="A2592" s="25">
        <f>IF($C2592="","",Registro_Compras!$B$291)</f>
        <v/>
      </c>
      <c r="B2592">
        <f>IF($C2592="","","C"&amp;TEXT(INT((ROW()-5)/9)+1,"000")&amp;"-2")</f>
        <v/>
      </c>
      <c r="C2592">
        <f>IF(OR(Registro_Compras!$C$291="",Registro_Compras!$O$291=""),"","79/791")</f>
        <v/>
      </c>
      <c r="D2592">
        <f>IF(OR(Registro_Compras!$C$291="",Registro_Compras!$O$291=""),"","Cargas Imputables a Cuentas de Costos y Gastos")</f>
        <v/>
      </c>
      <c r="E2592" s="20">
        <f>IF($C2592="","",IF(Registro_Compras!$F$291="NOTA DE CREDITO",ROUND(ABS(Registro_Compras!$J$291*Registro_Compras!$N$291),2),""))</f>
        <v/>
      </c>
      <c r="F2592" s="20">
        <f>IF($C2592="","",IF(Registro_Compras!$F$291="NOTA DE CREDITO","",IF(Registro_Compras!$F$291="RHE",ROUND(Registro_Compras!$L$291*Registro_Compras!$N$291,2),ROUND(Registro_Compras!$J$291*Registro_Compras!$N$291,2))))</f>
        <v/>
      </c>
      <c r="G2592">
        <f>IF($C2592="","","Por el destino del gasto")</f>
        <v/>
      </c>
      <c r="H2592">
        <f>IF($C2592="","",Registro_Compras!$C$291)</f>
        <v/>
      </c>
    </row>
    <row r="2593">
      <c r="A2593" s="25">
        <f>IF($C2593="","",Registro_Compras!$X$291)</f>
        <v/>
      </c>
      <c r="B2593">
        <f>IF($C2593="","","C"&amp;TEXT(INT((ROW()-5)/9)+1,"000")&amp;"-3")</f>
        <v/>
      </c>
      <c r="C2593">
        <f>IF(OR(Registro_Compras!$C$291="",Registro_Compras!$O$291="",Registro_Compras!$R$291&lt;&gt;"SI",Registro_Compras!$X$291=""),"","4212")</f>
        <v/>
      </c>
      <c r="D2593">
        <f>IF(OR(Registro_Compras!$C$291="",Registro_Compras!$O$291=""),"","Cuentas por Pagar Comerciales - Terceros")</f>
        <v/>
      </c>
      <c r="E2593" s="20">
        <f>IF($C2593="","",Registro_Compras!$S$291)</f>
        <v/>
      </c>
      <c r="F2593" s="20">
        <f>""</f>
        <v/>
      </c>
      <c r="G2593">
        <f>IF($C2593="","","Por el deposito de la detraccion en el Banco de la Nacion")</f>
        <v/>
      </c>
      <c r="H2593">
        <f>IF($C2593="","",Registro_Compras!$C$291)</f>
        <v/>
      </c>
    </row>
    <row r="2594">
      <c r="A2594" s="25">
        <f>IF($C2594="","",Registro_Compras!$X$291)</f>
        <v/>
      </c>
      <c r="B2594">
        <f>IF($C2594="","","C"&amp;TEXT(INT((ROW()-5)/9)+1,"000")&amp;"-3")</f>
        <v/>
      </c>
      <c r="C2594">
        <f>IF(OR(Registro_Compras!$C$291="",Registro_Compras!$O$291="",Registro_Compras!$R$291&lt;&gt;"SI",Registro_Compras!$X$291=""),"","10413")</f>
        <v/>
      </c>
      <c r="D2594">
        <f>IF(OR(Registro_Compras!$C$291="",Registro_Compras!$O$291=""),"","Efectivo y Equivalentes - Cta. Cte. Operativa")</f>
        <v/>
      </c>
      <c r="E2594" s="20">
        <f>""</f>
        <v/>
      </c>
      <c r="F2594" s="20">
        <f>IF($C2594="","",Registro_Compras!$S$291)</f>
        <v/>
      </c>
      <c r="G2594">
        <f>IF($C2594="","","Por el deposito de la detraccion en el Banco de la Nacion")</f>
        <v/>
      </c>
      <c r="H2594">
        <f>IF($C2594="","",Registro_Compras!$C$291)</f>
        <v/>
      </c>
    </row>
    <row r="2595">
      <c r="A2595" s="25">
        <f>IF($C2595="","",Registro_Compras!$Y$291)</f>
        <v/>
      </c>
      <c r="B2595">
        <f>IF($C2595="","","C"&amp;TEXT(INT((ROW()-5)/9)+1,"000")&amp;"-4")</f>
        <v/>
      </c>
      <c r="C2595">
        <f>IF(OR(Registro_Compras!$C$291="",Registro_Compras!$O$291="",Registro_Compras!$Y$291="",Registro_Compras!$F$291="NOTA DE CREDITO"),"","4212")</f>
        <v/>
      </c>
      <c r="D2595">
        <f>IF(OR(Registro_Compras!$C$291="",Registro_Compras!$O$291=""),"","Cuentas por Pagar Comerciales - Terceros")</f>
        <v/>
      </c>
      <c r="E2595" s="20">
        <f>IF($C2595="","",IF(Registro_Compras!$F$291="RHE",(ROUND(Registro_Compras!$L$291*Registro_Compras!$N$291,2)-ROUND(Registro_Compras!$V$291*Registro_Compras!$N$291,2)),ROUND(Registro_Compras!$O$291-Registro_Compras!$S$291,2)))</f>
        <v/>
      </c>
      <c r="F2595" s="20">
        <f>""</f>
        <v/>
      </c>
      <c r="G2595">
        <f>IF($C2595="","","Por la cancelacion del saldo al proveedor")</f>
        <v/>
      </c>
      <c r="H2595">
        <f>IF($C2595="","",Registro_Compras!$C$291)</f>
        <v/>
      </c>
    </row>
    <row r="2596">
      <c r="A2596" s="25">
        <f>IF($C2596="","",Registro_Compras!$Y$291)</f>
        <v/>
      </c>
      <c r="B2596">
        <f>IF($C2596="","","C"&amp;TEXT(INT((ROW()-5)/9)+1,"000")&amp;"-4")</f>
        <v/>
      </c>
      <c r="C2596">
        <f>IF(OR(Registro_Compras!$C$291="",Registro_Compras!$O$291="",Registro_Compras!$Y$291="",Registro_Compras!$F$291="NOTA DE CREDITO"),"","10413")</f>
        <v/>
      </c>
      <c r="D2596">
        <f>IF(OR(Registro_Compras!$C$291="",Registro_Compras!$O$291=""),"","Efectivo y Equivalentes - Cta. Cte. Operativa")</f>
        <v/>
      </c>
      <c r="E2596" s="20">
        <f>""</f>
        <v/>
      </c>
      <c r="F2596" s="20">
        <f>IF($C2596="","",IF(Registro_Compras!$F$291="RHE",(ROUND(Registro_Compras!$L$291*Registro_Compras!$N$291,2)-ROUND(Registro_Compras!$V$291*Registro_Compras!$N$291,2)),ROUND(Registro_Compras!$O$291-Registro_Compras!$S$291,2)))</f>
        <v/>
      </c>
      <c r="G2596">
        <f>IF($C2596="","","Por la cancelacion del saldo al proveedor")</f>
        <v/>
      </c>
      <c r="H2596">
        <f>IF($C2596="","",Registro_Compras!$C$291)</f>
        <v/>
      </c>
    </row>
    <row r="2597">
      <c r="A2597" s="25">
        <f>IF($C2597="","",Registro_Compras!$B$292)</f>
        <v/>
      </c>
      <c r="B2597">
        <f>IF($C2597="","","C"&amp;TEXT(INT((ROW()-5)/9)+1,"000")&amp;"-1")</f>
        <v/>
      </c>
      <c r="C2597">
        <f>IF(OR(Registro_Compras!$C$292="",Registro_Compras!$O$292=""),"",IF(Registro_Compras!$F$292="NOTA DE CREDITO","4212",IF(Registro_Compras!$M$292="","63",Registro_Compras!$M$292)))</f>
        <v/>
      </c>
      <c r="D2597">
        <f>IF(OR(Registro_Compras!$C$292="",Registro_Compras!$O$292=""),"",IF(Registro_Compras!$F$292="NOTA DE CREDITO","Cuentas por Pagar Comerciales - Terceros (Emitidas)",IF(Registro_Compras!$F$292="RHE","Honorarios Profesionales - Servicios de Terceros","Gastos de Servicios Prestados por Terceros")))</f>
        <v/>
      </c>
      <c r="E2597" s="20">
        <f>IF($C2597="","",IF(Registro_Compras!$F$292="NOTA DE CREDITO",ABS(Registro_Compras!$O$292),IF(Registro_Compras!$F$292="RHE",ROUND(Registro_Compras!$L$292*Registro_Compras!$N$292,2),ROUND(Registro_Compras!$J$292*Registro_Compras!$N$292,2))))</f>
        <v/>
      </c>
      <c r="F2597" s="20">
        <f>""</f>
        <v/>
      </c>
      <c r="G2597">
        <f>IF($C2597="","",IF(Registro_Compras!$F$292="NOTA DE CREDITO","Por la nota de credito "&amp;Registro_Compras!$C$292&amp;" de "&amp;Registro_Compras!$E$292&amp;" [PATRON POR CONFIRMAR CON CONTADOR]",IF(Registro_Compras!$F$292="RHE","Por el registro del recibo por honorarios "&amp;Registro_Compras!$C$292&amp;" de "&amp;Registro_Compras!$E$292&amp;" [PATRON POR CONFIRMAR CON CONTADOR]","Por el registro de la factura "&amp;Registro_Compras!$C$292&amp;" de "&amp;Registro_Compras!$E$292)))</f>
        <v/>
      </c>
      <c r="H2597">
        <f>IF($C2597="","",Registro_Compras!$C$292)</f>
        <v/>
      </c>
    </row>
    <row r="2598">
      <c r="A2598" s="25">
        <f>IF($C2598="","",Registro_Compras!$B$292)</f>
        <v/>
      </c>
      <c r="B2598">
        <f>IF($C2598="","","C"&amp;TEXT(INT((ROW()-5)/9)+1,"000")&amp;"-1")</f>
        <v/>
      </c>
      <c r="C2598">
        <f>IF(OR(Registro_Compras!$C$292="",Registro_Compras!$O$292=""),"",IF(Registro_Compras!$F$292="RHE",IF(Registro_Compras!$V$292=0,"","40172"),IF(Registro_Compras!$F$292="NOTA DE CREDITO",IF(Registro_Compras!$M$292="","63",Registro_Compras!$M$292),IF(Registro_Compras!$K$292=0,"","40111"))))</f>
        <v/>
      </c>
      <c r="D2598">
        <f>IF(OR(Registro_Compras!$C$292="",Registro_Compras!$O$292=""),"",IF(Registro_Compras!$F$292="RHE","Retencion Renta 4ta Categoria por Pagar",IF(Registro_Compras!$F$292="NOTA DE CREDITO","Gastos de Servicios Prestados por Terceros","IGV - Cuenta Propia (Credito Fiscal)")))</f>
        <v/>
      </c>
      <c r="E2598" s="20">
        <f>IF($C2598="","",IF(Registro_Compras!$F$292="FACTURA",ROUND(Registro_Compras!$K$292*Registro_Compras!$N$292,2),""))</f>
        <v/>
      </c>
      <c r="F2598" s="20">
        <f>IF($C2598="","",IF(Registro_Compras!$F$292="RHE",ROUND(Registro_Compras!$V$292*Registro_Compras!$N$292,2),IF(Registro_Compras!$F$292="NOTA DE CREDITO",ROUND(ABS(Registro_Compras!$J$292*Registro_Compras!$N$292),2),"")))</f>
        <v/>
      </c>
      <c r="G2598">
        <f>IF($C2598="","",IF(Registro_Compras!$F$292="NOTA DE CREDITO","Por la nota de credito "&amp;Registro_Compras!$C$292&amp;" de "&amp;Registro_Compras!$E$292&amp;" [PATRON POR CONFIRMAR CON CONTADOR]",IF(Registro_Compras!$F$292="RHE","Por el registro del recibo por honorarios "&amp;Registro_Compras!$C$292&amp;" de "&amp;Registro_Compras!$E$292&amp;" [PATRON POR CONFIRMAR CON CONTADOR]","Por el registro de la factura "&amp;Registro_Compras!$C$292&amp;" de "&amp;Registro_Compras!$E$292)))</f>
        <v/>
      </c>
      <c r="H2598">
        <f>IF($C2598="","",Registro_Compras!$C$292)</f>
        <v/>
      </c>
    </row>
    <row r="2599">
      <c r="A2599" s="25">
        <f>IF($C2599="","",Registro_Compras!$B$292)</f>
        <v/>
      </c>
      <c r="B2599">
        <f>IF($C2599="","","C"&amp;TEXT(INT((ROW()-5)/9)+1,"000")&amp;"-1")</f>
        <v/>
      </c>
      <c r="C2599">
        <f>IF(OR(Registro_Compras!$C$292="",Registro_Compras!$O$292=""),"",IF(Registro_Compras!$F$292="NOTA DE CREDITO",IF(Registro_Compras!$K$292=0,"","40111"),"4212"))</f>
        <v/>
      </c>
      <c r="D2599">
        <f>IF(OR(Registro_Compras!$C$292="",Registro_Compras!$O$292=""),"",IF(Registro_Compras!$F$292="NOTA DE CREDITO","IGV - Cuenta Propia (Credito Fiscal)","Cuentas por Pagar Comerciales - Terceros (Emitidas)"))</f>
        <v/>
      </c>
      <c r="E2599" s="20">
        <f>""</f>
        <v/>
      </c>
      <c r="F2599" s="20">
        <f>IF($C2599="","",IF(Registro_Compras!$F$292="NOTA DE CREDITO",ROUND(ABS(Registro_Compras!$K$292*Registro_Compras!$N$292),2),IF(Registro_Compras!$F$292="RHE",(ROUND(Registro_Compras!$L$292*Registro_Compras!$N$292,2)-ROUND(Registro_Compras!$V$292*Registro_Compras!$N$292,2)),Registro_Compras!$O$292)))</f>
        <v/>
      </c>
      <c r="G2599">
        <f>IF($C2599="","",IF(Registro_Compras!$F$292="NOTA DE CREDITO","Por la nota de credito "&amp;Registro_Compras!$C$292&amp;" de "&amp;Registro_Compras!$E$292&amp;" [PATRON POR CONFIRMAR CON CONTADOR]",IF(Registro_Compras!$F$292="RHE","Por el registro del recibo por honorarios "&amp;Registro_Compras!$C$292&amp;" de "&amp;Registro_Compras!$E$292&amp;" [PATRON POR CONFIRMAR CON CONTADOR]","Por el registro de la factura "&amp;Registro_Compras!$C$292&amp;" de "&amp;Registro_Compras!$E$292)))</f>
        <v/>
      </c>
      <c r="H2599">
        <f>IF($C2599="","",Registro_Compras!$C$292)</f>
        <v/>
      </c>
    </row>
    <row r="2600">
      <c r="A2600" s="25">
        <f>IF($C2600="","",Registro_Compras!$B$292)</f>
        <v/>
      </c>
      <c r="B2600">
        <f>IF($C2600="","","C"&amp;TEXT(INT((ROW()-5)/9)+1,"000")&amp;"-2")</f>
        <v/>
      </c>
      <c r="C2600">
        <f>IF(OR(Registro_Compras!$C$292="",Registro_Compras!$O$292=""),"",IF(Registro_Compras!$AB$292="ADMINISTRATIVO","94","95"))</f>
        <v/>
      </c>
      <c r="D2600">
        <f>IF(OR(Registro_Compras!$C$292="",Registro_Compras!$O$292=""),"",IF(Registro_Compras!$AB$292="ADMINISTRATIVO","Gastos Administrativos","Gastos de Venta y Operacion"))</f>
        <v/>
      </c>
      <c r="E2600" s="20">
        <f>IF($C2600="","",IF(Registro_Compras!$F$292="NOTA DE CREDITO","",IF(Registro_Compras!$F$292="RHE",ROUND(Registro_Compras!$L$292*Registro_Compras!$N$292,2),ROUND(Registro_Compras!$J$292*Registro_Compras!$N$292,2))))</f>
        <v/>
      </c>
      <c r="F2600" s="20">
        <f>IF($C2600="","",IF(Registro_Compras!$F$292="NOTA DE CREDITO",ROUND(ABS(Registro_Compras!$J$292*Registro_Compras!$N$292),2),""))</f>
        <v/>
      </c>
      <c r="G2600">
        <f>IF($C2600="","","Por el destino del gasto")</f>
        <v/>
      </c>
      <c r="H2600">
        <f>IF($C2600="","",Registro_Compras!$C$292)</f>
        <v/>
      </c>
    </row>
    <row r="2601">
      <c r="A2601" s="25">
        <f>IF($C2601="","",Registro_Compras!$B$292)</f>
        <v/>
      </c>
      <c r="B2601">
        <f>IF($C2601="","","C"&amp;TEXT(INT((ROW()-5)/9)+1,"000")&amp;"-2")</f>
        <v/>
      </c>
      <c r="C2601">
        <f>IF(OR(Registro_Compras!$C$292="",Registro_Compras!$O$292=""),"","79/791")</f>
        <v/>
      </c>
      <c r="D2601">
        <f>IF(OR(Registro_Compras!$C$292="",Registro_Compras!$O$292=""),"","Cargas Imputables a Cuentas de Costos y Gastos")</f>
        <v/>
      </c>
      <c r="E2601" s="20">
        <f>IF($C2601="","",IF(Registro_Compras!$F$292="NOTA DE CREDITO",ROUND(ABS(Registro_Compras!$J$292*Registro_Compras!$N$292),2),""))</f>
        <v/>
      </c>
      <c r="F2601" s="20">
        <f>IF($C2601="","",IF(Registro_Compras!$F$292="NOTA DE CREDITO","",IF(Registro_Compras!$F$292="RHE",ROUND(Registro_Compras!$L$292*Registro_Compras!$N$292,2),ROUND(Registro_Compras!$J$292*Registro_Compras!$N$292,2))))</f>
        <v/>
      </c>
      <c r="G2601">
        <f>IF($C2601="","","Por el destino del gasto")</f>
        <v/>
      </c>
      <c r="H2601">
        <f>IF($C2601="","",Registro_Compras!$C$292)</f>
        <v/>
      </c>
    </row>
    <row r="2602">
      <c r="A2602" s="25">
        <f>IF($C2602="","",Registro_Compras!$X$292)</f>
        <v/>
      </c>
      <c r="B2602">
        <f>IF($C2602="","","C"&amp;TEXT(INT((ROW()-5)/9)+1,"000")&amp;"-3")</f>
        <v/>
      </c>
      <c r="C2602">
        <f>IF(OR(Registro_Compras!$C$292="",Registro_Compras!$O$292="",Registro_Compras!$R$292&lt;&gt;"SI",Registro_Compras!$X$292=""),"","4212")</f>
        <v/>
      </c>
      <c r="D2602">
        <f>IF(OR(Registro_Compras!$C$292="",Registro_Compras!$O$292=""),"","Cuentas por Pagar Comerciales - Terceros")</f>
        <v/>
      </c>
      <c r="E2602" s="20">
        <f>IF($C2602="","",Registro_Compras!$S$292)</f>
        <v/>
      </c>
      <c r="F2602" s="20">
        <f>""</f>
        <v/>
      </c>
      <c r="G2602">
        <f>IF($C2602="","","Por el deposito de la detraccion en el Banco de la Nacion")</f>
        <v/>
      </c>
      <c r="H2602">
        <f>IF($C2602="","",Registro_Compras!$C$292)</f>
        <v/>
      </c>
    </row>
    <row r="2603">
      <c r="A2603" s="25">
        <f>IF($C2603="","",Registro_Compras!$X$292)</f>
        <v/>
      </c>
      <c r="B2603">
        <f>IF($C2603="","","C"&amp;TEXT(INT((ROW()-5)/9)+1,"000")&amp;"-3")</f>
        <v/>
      </c>
      <c r="C2603">
        <f>IF(OR(Registro_Compras!$C$292="",Registro_Compras!$O$292="",Registro_Compras!$R$292&lt;&gt;"SI",Registro_Compras!$X$292=""),"","10413")</f>
        <v/>
      </c>
      <c r="D2603">
        <f>IF(OR(Registro_Compras!$C$292="",Registro_Compras!$O$292=""),"","Efectivo y Equivalentes - Cta. Cte. Operativa")</f>
        <v/>
      </c>
      <c r="E2603" s="20">
        <f>""</f>
        <v/>
      </c>
      <c r="F2603" s="20">
        <f>IF($C2603="","",Registro_Compras!$S$292)</f>
        <v/>
      </c>
      <c r="G2603">
        <f>IF($C2603="","","Por el deposito de la detraccion en el Banco de la Nacion")</f>
        <v/>
      </c>
      <c r="H2603">
        <f>IF($C2603="","",Registro_Compras!$C$292)</f>
        <v/>
      </c>
    </row>
    <row r="2604">
      <c r="A2604" s="25">
        <f>IF($C2604="","",Registro_Compras!$Y$292)</f>
        <v/>
      </c>
      <c r="B2604">
        <f>IF($C2604="","","C"&amp;TEXT(INT((ROW()-5)/9)+1,"000")&amp;"-4")</f>
        <v/>
      </c>
      <c r="C2604">
        <f>IF(OR(Registro_Compras!$C$292="",Registro_Compras!$O$292="",Registro_Compras!$Y$292="",Registro_Compras!$F$292="NOTA DE CREDITO"),"","4212")</f>
        <v/>
      </c>
      <c r="D2604">
        <f>IF(OR(Registro_Compras!$C$292="",Registro_Compras!$O$292=""),"","Cuentas por Pagar Comerciales - Terceros")</f>
        <v/>
      </c>
      <c r="E2604" s="20">
        <f>IF($C2604="","",IF(Registro_Compras!$F$292="RHE",(ROUND(Registro_Compras!$L$292*Registro_Compras!$N$292,2)-ROUND(Registro_Compras!$V$292*Registro_Compras!$N$292,2)),ROUND(Registro_Compras!$O$292-Registro_Compras!$S$292,2)))</f>
        <v/>
      </c>
      <c r="F2604" s="20">
        <f>""</f>
        <v/>
      </c>
      <c r="G2604">
        <f>IF($C2604="","","Por la cancelacion del saldo al proveedor")</f>
        <v/>
      </c>
      <c r="H2604">
        <f>IF($C2604="","",Registro_Compras!$C$292)</f>
        <v/>
      </c>
    </row>
    <row r="2605">
      <c r="A2605" s="25">
        <f>IF($C2605="","",Registro_Compras!$Y$292)</f>
        <v/>
      </c>
      <c r="B2605">
        <f>IF($C2605="","","C"&amp;TEXT(INT((ROW()-5)/9)+1,"000")&amp;"-4")</f>
        <v/>
      </c>
      <c r="C2605">
        <f>IF(OR(Registro_Compras!$C$292="",Registro_Compras!$O$292="",Registro_Compras!$Y$292="",Registro_Compras!$F$292="NOTA DE CREDITO"),"","10413")</f>
        <v/>
      </c>
      <c r="D2605">
        <f>IF(OR(Registro_Compras!$C$292="",Registro_Compras!$O$292=""),"","Efectivo y Equivalentes - Cta. Cte. Operativa")</f>
        <v/>
      </c>
      <c r="E2605" s="20">
        <f>""</f>
        <v/>
      </c>
      <c r="F2605" s="20">
        <f>IF($C2605="","",IF(Registro_Compras!$F$292="RHE",(ROUND(Registro_Compras!$L$292*Registro_Compras!$N$292,2)-ROUND(Registro_Compras!$V$292*Registro_Compras!$N$292,2)),ROUND(Registro_Compras!$O$292-Registro_Compras!$S$292,2)))</f>
        <v/>
      </c>
      <c r="G2605">
        <f>IF($C2605="","","Por la cancelacion del saldo al proveedor")</f>
        <v/>
      </c>
      <c r="H2605">
        <f>IF($C2605="","",Registro_Compras!$C$292)</f>
        <v/>
      </c>
    </row>
    <row r="2606">
      <c r="A2606" s="25">
        <f>IF($C2606="","",Registro_Compras!$B$293)</f>
        <v/>
      </c>
      <c r="B2606">
        <f>IF($C2606="","","C"&amp;TEXT(INT((ROW()-5)/9)+1,"000")&amp;"-1")</f>
        <v/>
      </c>
      <c r="C2606">
        <f>IF(OR(Registro_Compras!$C$293="",Registro_Compras!$O$293=""),"",IF(Registro_Compras!$F$293="NOTA DE CREDITO","4212",IF(Registro_Compras!$M$293="","63",Registro_Compras!$M$293)))</f>
        <v/>
      </c>
      <c r="D2606">
        <f>IF(OR(Registro_Compras!$C$293="",Registro_Compras!$O$293=""),"",IF(Registro_Compras!$F$293="NOTA DE CREDITO","Cuentas por Pagar Comerciales - Terceros (Emitidas)",IF(Registro_Compras!$F$293="RHE","Honorarios Profesionales - Servicios de Terceros","Gastos de Servicios Prestados por Terceros")))</f>
        <v/>
      </c>
      <c r="E2606" s="20">
        <f>IF($C2606="","",IF(Registro_Compras!$F$293="NOTA DE CREDITO",ABS(Registro_Compras!$O$293),IF(Registro_Compras!$F$293="RHE",ROUND(Registro_Compras!$L$293*Registro_Compras!$N$293,2),ROUND(Registro_Compras!$J$293*Registro_Compras!$N$293,2))))</f>
        <v/>
      </c>
      <c r="F2606" s="20">
        <f>""</f>
        <v/>
      </c>
      <c r="G2606">
        <f>IF($C2606="","",IF(Registro_Compras!$F$293="NOTA DE CREDITO","Por la nota de credito "&amp;Registro_Compras!$C$293&amp;" de "&amp;Registro_Compras!$E$293&amp;" [PATRON POR CONFIRMAR CON CONTADOR]",IF(Registro_Compras!$F$293="RHE","Por el registro del recibo por honorarios "&amp;Registro_Compras!$C$293&amp;" de "&amp;Registro_Compras!$E$293&amp;" [PATRON POR CONFIRMAR CON CONTADOR]","Por el registro de la factura "&amp;Registro_Compras!$C$293&amp;" de "&amp;Registro_Compras!$E$293)))</f>
        <v/>
      </c>
      <c r="H2606">
        <f>IF($C2606="","",Registro_Compras!$C$293)</f>
        <v/>
      </c>
    </row>
    <row r="2607">
      <c r="A2607" s="25">
        <f>IF($C2607="","",Registro_Compras!$B$293)</f>
        <v/>
      </c>
      <c r="B2607">
        <f>IF($C2607="","","C"&amp;TEXT(INT((ROW()-5)/9)+1,"000")&amp;"-1")</f>
        <v/>
      </c>
      <c r="C2607">
        <f>IF(OR(Registro_Compras!$C$293="",Registro_Compras!$O$293=""),"",IF(Registro_Compras!$F$293="RHE",IF(Registro_Compras!$V$293=0,"","40172"),IF(Registro_Compras!$F$293="NOTA DE CREDITO",IF(Registro_Compras!$M$293="","63",Registro_Compras!$M$293),IF(Registro_Compras!$K$293=0,"","40111"))))</f>
        <v/>
      </c>
      <c r="D2607">
        <f>IF(OR(Registro_Compras!$C$293="",Registro_Compras!$O$293=""),"",IF(Registro_Compras!$F$293="RHE","Retencion Renta 4ta Categoria por Pagar",IF(Registro_Compras!$F$293="NOTA DE CREDITO","Gastos de Servicios Prestados por Terceros","IGV - Cuenta Propia (Credito Fiscal)")))</f>
        <v/>
      </c>
      <c r="E2607" s="20">
        <f>IF($C2607="","",IF(Registro_Compras!$F$293="FACTURA",ROUND(Registro_Compras!$K$293*Registro_Compras!$N$293,2),""))</f>
        <v/>
      </c>
      <c r="F2607" s="20">
        <f>IF($C2607="","",IF(Registro_Compras!$F$293="RHE",ROUND(Registro_Compras!$V$293*Registro_Compras!$N$293,2),IF(Registro_Compras!$F$293="NOTA DE CREDITO",ROUND(ABS(Registro_Compras!$J$293*Registro_Compras!$N$293),2),"")))</f>
        <v/>
      </c>
      <c r="G2607">
        <f>IF($C2607="","",IF(Registro_Compras!$F$293="NOTA DE CREDITO","Por la nota de credito "&amp;Registro_Compras!$C$293&amp;" de "&amp;Registro_Compras!$E$293&amp;" [PATRON POR CONFIRMAR CON CONTADOR]",IF(Registro_Compras!$F$293="RHE","Por el registro del recibo por honorarios "&amp;Registro_Compras!$C$293&amp;" de "&amp;Registro_Compras!$E$293&amp;" [PATRON POR CONFIRMAR CON CONTADOR]","Por el registro de la factura "&amp;Registro_Compras!$C$293&amp;" de "&amp;Registro_Compras!$E$293)))</f>
        <v/>
      </c>
      <c r="H2607">
        <f>IF($C2607="","",Registro_Compras!$C$293)</f>
        <v/>
      </c>
    </row>
    <row r="2608">
      <c r="A2608" s="25">
        <f>IF($C2608="","",Registro_Compras!$B$293)</f>
        <v/>
      </c>
      <c r="B2608">
        <f>IF($C2608="","","C"&amp;TEXT(INT((ROW()-5)/9)+1,"000")&amp;"-1")</f>
        <v/>
      </c>
      <c r="C2608">
        <f>IF(OR(Registro_Compras!$C$293="",Registro_Compras!$O$293=""),"",IF(Registro_Compras!$F$293="NOTA DE CREDITO",IF(Registro_Compras!$K$293=0,"","40111"),"4212"))</f>
        <v/>
      </c>
      <c r="D2608">
        <f>IF(OR(Registro_Compras!$C$293="",Registro_Compras!$O$293=""),"",IF(Registro_Compras!$F$293="NOTA DE CREDITO","IGV - Cuenta Propia (Credito Fiscal)","Cuentas por Pagar Comerciales - Terceros (Emitidas)"))</f>
        <v/>
      </c>
      <c r="E2608" s="20">
        <f>""</f>
        <v/>
      </c>
      <c r="F2608" s="20">
        <f>IF($C2608="","",IF(Registro_Compras!$F$293="NOTA DE CREDITO",ROUND(ABS(Registro_Compras!$K$293*Registro_Compras!$N$293),2),IF(Registro_Compras!$F$293="RHE",(ROUND(Registro_Compras!$L$293*Registro_Compras!$N$293,2)-ROUND(Registro_Compras!$V$293*Registro_Compras!$N$293,2)),Registro_Compras!$O$293)))</f>
        <v/>
      </c>
      <c r="G2608">
        <f>IF($C2608="","",IF(Registro_Compras!$F$293="NOTA DE CREDITO","Por la nota de credito "&amp;Registro_Compras!$C$293&amp;" de "&amp;Registro_Compras!$E$293&amp;" [PATRON POR CONFIRMAR CON CONTADOR]",IF(Registro_Compras!$F$293="RHE","Por el registro del recibo por honorarios "&amp;Registro_Compras!$C$293&amp;" de "&amp;Registro_Compras!$E$293&amp;" [PATRON POR CONFIRMAR CON CONTADOR]","Por el registro de la factura "&amp;Registro_Compras!$C$293&amp;" de "&amp;Registro_Compras!$E$293)))</f>
        <v/>
      </c>
      <c r="H2608">
        <f>IF($C2608="","",Registro_Compras!$C$293)</f>
        <v/>
      </c>
    </row>
    <row r="2609">
      <c r="A2609" s="25">
        <f>IF($C2609="","",Registro_Compras!$B$293)</f>
        <v/>
      </c>
      <c r="B2609">
        <f>IF($C2609="","","C"&amp;TEXT(INT((ROW()-5)/9)+1,"000")&amp;"-2")</f>
        <v/>
      </c>
      <c r="C2609">
        <f>IF(OR(Registro_Compras!$C$293="",Registro_Compras!$O$293=""),"",IF(Registro_Compras!$AB$293="ADMINISTRATIVO","94","95"))</f>
        <v/>
      </c>
      <c r="D2609">
        <f>IF(OR(Registro_Compras!$C$293="",Registro_Compras!$O$293=""),"",IF(Registro_Compras!$AB$293="ADMINISTRATIVO","Gastos Administrativos","Gastos de Venta y Operacion"))</f>
        <v/>
      </c>
      <c r="E2609" s="20">
        <f>IF($C2609="","",IF(Registro_Compras!$F$293="NOTA DE CREDITO","",IF(Registro_Compras!$F$293="RHE",ROUND(Registro_Compras!$L$293*Registro_Compras!$N$293,2),ROUND(Registro_Compras!$J$293*Registro_Compras!$N$293,2))))</f>
        <v/>
      </c>
      <c r="F2609" s="20">
        <f>IF($C2609="","",IF(Registro_Compras!$F$293="NOTA DE CREDITO",ROUND(ABS(Registro_Compras!$J$293*Registro_Compras!$N$293),2),""))</f>
        <v/>
      </c>
      <c r="G2609">
        <f>IF($C2609="","","Por el destino del gasto")</f>
        <v/>
      </c>
      <c r="H2609">
        <f>IF($C2609="","",Registro_Compras!$C$293)</f>
        <v/>
      </c>
    </row>
    <row r="2610">
      <c r="A2610" s="25">
        <f>IF($C2610="","",Registro_Compras!$B$293)</f>
        <v/>
      </c>
      <c r="B2610">
        <f>IF($C2610="","","C"&amp;TEXT(INT((ROW()-5)/9)+1,"000")&amp;"-2")</f>
        <v/>
      </c>
      <c r="C2610">
        <f>IF(OR(Registro_Compras!$C$293="",Registro_Compras!$O$293=""),"","79/791")</f>
        <v/>
      </c>
      <c r="D2610">
        <f>IF(OR(Registro_Compras!$C$293="",Registro_Compras!$O$293=""),"","Cargas Imputables a Cuentas de Costos y Gastos")</f>
        <v/>
      </c>
      <c r="E2610" s="20">
        <f>IF($C2610="","",IF(Registro_Compras!$F$293="NOTA DE CREDITO",ROUND(ABS(Registro_Compras!$J$293*Registro_Compras!$N$293),2),""))</f>
        <v/>
      </c>
      <c r="F2610" s="20">
        <f>IF($C2610="","",IF(Registro_Compras!$F$293="NOTA DE CREDITO","",IF(Registro_Compras!$F$293="RHE",ROUND(Registro_Compras!$L$293*Registro_Compras!$N$293,2),ROUND(Registro_Compras!$J$293*Registro_Compras!$N$293,2))))</f>
        <v/>
      </c>
      <c r="G2610">
        <f>IF($C2610="","","Por el destino del gasto")</f>
        <v/>
      </c>
      <c r="H2610">
        <f>IF($C2610="","",Registro_Compras!$C$293)</f>
        <v/>
      </c>
    </row>
    <row r="2611">
      <c r="A2611" s="25">
        <f>IF($C2611="","",Registro_Compras!$X$293)</f>
        <v/>
      </c>
      <c r="B2611">
        <f>IF($C2611="","","C"&amp;TEXT(INT((ROW()-5)/9)+1,"000")&amp;"-3")</f>
        <v/>
      </c>
      <c r="C2611">
        <f>IF(OR(Registro_Compras!$C$293="",Registro_Compras!$O$293="",Registro_Compras!$R$293&lt;&gt;"SI",Registro_Compras!$X$293=""),"","4212")</f>
        <v/>
      </c>
      <c r="D2611">
        <f>IF(OR(Registro_Compras!$C$293="",Registro_Compras!$O$293=""),"","Cuentas por Pagar Comerciales - Terceros")</f>
        <v/>
      </c>
      <c r="E2611" s="20">
        <f>IF($C2611="","",Registro_Compras!$S$293)</f>
        <v/>
      </c>
      <c r="F2611" s="20">
        <f>""</f>
        <v/>
      </c>
      <c r="G2611">
        <f>IF($C2611="","","Por el deposito de la detraccion en el Banco de la Nacion")</f>
        <v/>
      </c>
      <c r="H2611">
        <f>IF($C2611="","",Registro_Compras!$C$293)</f>
        <v/>
      </c>
    </row>
    <row r="2612">
      <c r="A2612" s="25">
        <f>IF($C2612="","",Registro_Compras!$X$293)</f>
        <v/>
      </c>
      <c r="B2612">
        <f>IF($C2612="","","C"&amp;TEXT(INT((ROW()-5)/9)+1,"000")&amp;"-3")</f>
        <v/>
      </c>
      <c r="C2612">
        <f>IF(OR(Registro_Compras!$C$293="",Registro_Compras!$O$293="",Registro_Compras!$R$293&lt;&gt;"SI",Registro_Compras!$X$293=""),"","10413")</f>
        <v/>
      </c>
      <c r="D2612">
        <f>IF(OR(Registro_Compras!$C$293="",Registro_Compras!$O$293=""),"","Efectivo y Equivalentes - Cta. Cte. Operativa")</f>
        <v/>
      </c>
      <c r="E2612" s="20">
        <f>""</f>
        <v/>
      </c>
      <c r="F2612" s="20">
        <f>IF($C2612="","",Registro_Compras!$S$293)</f>
        <v/>
      </c>
      <c r="G2612">
        <f>IF($C2612="","","Por el deposito de la detraccion en el Banco de la Nacion")</f>
        <v/>
      </c>
      <c r="H2612">
        <f>IF($C2612="","",Registro_Compras!$C$293)</f>
        <v/>
      </c>
    </row>
    <row r="2613">
      <c r="A2613" s="25">
        <f>IF($C2613="","",Registro_Compras!$Y$293)</f>
        <v/>
      </c>
      <c r="B2613">
        <f>IF($C2613="","","C"&amp;TEXT(INT((ROW()-5)/9)+1,"000")&amp;"-4")</f>
        <v/>
      </c>
      <c r="C2613">
        <f>IF(OR(Registro_Compras!$C$293="",Registro_Compras!$O$293="",Registro_Compras!$Y$293="",Registro_Compras!$F$293="NOTA DE CREDITO"),"","4212")</f>
        <v/>
      </c>
      <c r="D2613">
        <f>IF(OR(Registro_Compras!$C$293="",Registro_Compras!$O$293=""),"","Cuentas por Pagar Comerciales - Terceros")</f>
        <v/>
      </c>
      <c r="E2613" s="20">
        <f>IF($C2613="","",IF(Registro_Compras!$F$293="RHE",(ROUND(Registro_Compras!$L$293*Registro_Compras!$N$293,2)-ROUND(Registro_Compras!$V$293*Registro_Compras!$N$293,2)),ROUND(Registro_Compras!$O$293-Registro_Compras!$S$293,2)))</f>
        <v/>
      </c>
      <c r="F2613" s="20">
        <f>""</f>
        <v/>
      </c>
      <c r="G2613">
        <f>IF($C2613="","","Por la cancelacion del saldo al proveedor")</f>
        <v/>
      </c>
      <c r="H2613">
        <f>IF($C2613="","",Registro_Compras!$C$293)</f>
        <v/>
      </c>
    </row>
    <row r="2614">
      <c r="A2614" s="25">
        <f>IF($C2614="","",Registro_Compras!$Y$293)</f>
        <v/>
      </c>
      <c r="B2614">
        <f>IF($C2614="","","C"&amp;TEXT(INT((ROW()-5)/9)+1,"000")&amp;"-4")</f>
        <v/>
      </c>
      <c r="C2614">
        <f>IF(OR(Registro_Compras!$C$293="",Registro_Compras!$O$293="",Registro_Compras!$Y$293="",Registro_Compras!$F$293="NOTA DE CREDITO"),"","10413")</f>
        <v/>
      </c>
      <c r="D2614">
        <f>IF(OR(Registro_Compras!$C$293="",Registro_Compras!$O$293=""),"","Efectivo y Equivalentes - Cta. Cte. Operativa")</f>
        <v/>
      </c>
      <c r="E2614" s="20">
        <f>""</f>
        <v/>
      </c>
      <c r="F2614" s="20">
        <f>IF($C2614="","",IF(Registro_Compras!$F$293="RHE",(ROUND(Registro_Compras!$L$293*Registro_Compras!$N$293,2)-ROUND(Registro_Compras!$V$293*Registro_Compras!$N$293,2)),ROUND(Registro_Compras!$O$293-Registro_Compras!$S$293,2)))</f>
        <v/>
      </c>
      <c r="G2614">
        <f>IF($C2614="","","Por la cancelacion del saldo al proveedor")</f>
        <v/>
      </c>
      <c r="H2614">
        <f>IF($C2614="","",Registro_Compras!$C$293)</f>
        <v/>
      </c>
    </row>
    <row r="2615">
      <c r="A2615" s="25">
        <f>IF($C2615="","",Registro_Compras!$B$294)</f>
        <v/>
      </c>
      <c r="B2615">
        <f>IF($C2615="","","C"&amp;TEXT(INT((ROW()-5)/9)+1,"000")&amp;"-1")</f>
        <v/>
      </c>
      <c r="C2615">
        <f>IF(OR(Registro_Compras!$C$294="",Registro_Compras!$O$294=""),"",IF(Registro_Compras!$F$294="NOTA DE CREDITO","4212",IF(Registro_Compras!$M$294="","63",Registro_Compras!$M$294)))</f>
        <v/>
      </c>
      <c r="D2615">
        <f>IF(OR(Registro_Compras!$C$294="",Registro_Compras!$O$294=""),"",IF(Registro_Compras!$F$294="NOTA DE CREDITO","Cuentas por Pagar Comerciales - Terceros (Emitidas)",IF(Registro_Compras!$F$294="RHE","Honorarios Profesionales - Servicios de Terceros","Gastos de Servicios Prestados por Terceros")))</f>
        <v/>
      </c>
      <c r="E2615" s="20">
        <f>IF($C2615="","",IF(Registro_Compras!$F$294="NOTA DE CREDITO",ABS(Registro_Compras!$O$294),IF(Registro_Compras!$F$294="RHE",ROUND(Registro_Compras!$L$294*Registro_Compras!$N$294,2),ROUND(Registro_Compras!$J$294*Registro_Compras!$N$294,2))))</f>
        <v/>
      </c>
      <c r="F2615" s="20">
        <f>""</f>
        <v/>
      </c>
      <c r="G2615">
        <f>IF($C2615="","",IF(Registro_Compras!$F$294="NOTA DE CREDITO","Por la nota de credito "&amp;Registro_Compras!$C$294&amp;" de "&amp;Registro_Compras!$E$294&amp;" [PATRON POR CONFIRMAR CON CONTADOR]",IF(Registro_Compras!$F$294="RHE","Por el registro del recibo por honorarios "&amp;Registro_Compras!$C$294&amp;" de "&amp;Registro_Compras!$E$294&amp;" [PATRON POR CONFIRMAR CON CONTADOR]","Por el registro de la factura "&amp;Registro_Compras!$C$294&amp;" de "&amp;Registro_Compras!$E$294)))</f>
        <v/>
      </c>
      <c r="H2615">
        <f>IF($C2615="","",Registro_Compras!$C$294)</f>
        <v/>
      </c>
    </row>
    <row r="2616">
      <c r="A2616" s="25">
        <f>IF($C2616="","",Registro_Compras!$B$294)</f>
        <v/>
      </c>
      <c r="B2616">
        <f>IF($C2616="","","C"&amp;TEXT(INT((ROW()-5)/9)+1,"000")&amp;"-1")</f>
        <v/>
      </c>
      <c r="C2616">
        <f>IF(OR(Registro_Compras!$C$294="",Registro_Compras!$O$294=""),"",IF(Registro_Compras!$F$294="RHE",IF(Registro_Compras!$V$294=0,"","40172"),IF(Registro_Compras!$F$294="NOTA DE CREDITO",IF(Registro_Compras!$M$294="","63",Registro_Compras!$M$294),IF(Registro_Compras!$K$294=0,"","40111"))))</f>
        <v/>
      </c>
      <c r="D2616">
        <f>IF(OR(Registro_Compras!$C$294="",Registro_Compras!$O$294=""),"",IF(Registro_Compras!$F$294="RHE","Retencion Renta 4ta Categoria por Pagar",IF(Registro_Compras!$F$294="NOTA DE CREDITO","Gastos de Servicios Prestados por Terceros","IGV - Cuenta Propia (Credito Fiscal)")))</f>
        <v/>
      </c>
      <c r="E2616" s="20">
        <f>IF($C2616="","",IF(Registro_Compras!$F$294="FACTURA",ROUND(Registro_Compras!$K$294*Registro_Compras!$N$294,2),""))</f>
        <v/>
      </c>
      <c r="F2616" s="20">
        <f>IF($C2616="","",IF(Registro_Compras!$F$294="RHE",ROUND(Registro_Compras!$V$294*Registro_Compras!$N$294,2),IF(Registro_Compras!$F$294="NOTA DE CREDITO",ROUND(ABS(Registro_Compras!$J$294*Registro_Compras!$N$294),2),"")))</f>
        <v/>
      </c>
      <c r="G2616">
        <f>IF($C2616="","",IF(Registro_Compras!$F$294="NOTA DE CREDITO","Por la nota de credito "&amp;Registro_Compras!$C$294&amp;" de "&amp;Registro_Compras!$E$294&amp;" [PATRON POR CONFIRMAR CON CONTADOR]",IF(Registro_Compras!$F$294="RHE","Por el registro del recibo por honorarios "&amp;Registro_Compras!$C$294&amp;" de "&amp;Registro_Compras!$E$294&amp;" [PATRON POR CONFIRMAR CON CONTADOR]","Por el registro de la factura "&amp;Registro_Compras!$C$294&amp;" de "&amp;Registro_Compras!$E$294)))</f>
        <v/>
      </c>
      <c r="H2616">
        <f>IF($C2616="","",Registro_Compras!$C$294)</f>
        <v/>
      </c>
    </row>
    <row r="2617">
      <c r="A2617" s="25">
        <f>IF($C2617="","",Registro_Compras!$B$294)</f>
        <v/>
      </c>
      <c r="B2617">
        <f>IF($C2617="","","C"&amp;TEXT(INT((ROW()-5)/9)+1,"000")&amp;"-1")</f>
        <v/>
      </c>
      <c r="C2617">
        <f>IF(OR(Registro_Compras!$C$294="",Registro_Compras!$O$294=""),"",IF(Registro_Compras!$F$294="NOTA DE CREDITO",IF(Registro_Compras!$K$294=0,"","40111"),"4212"))</f>
        <v/>
      </c>
      <c r="D2617">
        <f>IF(OR(Registro_Compras!$C$294="",Registro_Compras!$O$294=""),"",IF(Registro_Compras!$F$294="NOTA DE CREDITO","IGV - Cuenta Propia (Credito Fiscal)","Cuentas por Pagar Comerciales - Terceros (Emitidas)"))</f>
        <v/>
      </c>
      <c r="E2617" s="20">
        <f>""</f>
        <v/>
      </c>
      <c r="F2617" s="20">
        <f>IF($C2617="","",IF(Registro_Compras!$F$294="NOTA DE CREDITO",ROUND(ABS(Registro_Compras!$K$294*Registro_Compras!$N$294),2),IF(Registro_Compras!$F$294="RHE",(ROUND(Registro_Compras!$L$294*Registro_Compras!$N$294,2)-ROUND(Registro_Compras!$V$294*Registro_Compras!$N$294,2)),Registro_Compras!$O$294)))</f>
        <v/>
      </c>
      <c r="G2617">
        <f>IF($C2617="","",IF(Registro_Compras!$F$294="NOTA DE CREDITO","Por la nota de credito "&amp;Registro_Compras!$C$294&amp;" de "&amp;Registro_Compras!$E$294&amp;" [PATRON POR CONFIRMAR CON CONTADOR]",IF(Registro_Compras!$F$294="RHE","Por el registro del recibo por honorarios "&amp;Registro_Compras!$C$294&amp;" de "&amp;Registro_Compras!$E$294&amp;" [PATRON POR CONFIRMAR CON CONTADOR]","Por el registro de la factura "&amp;Registro_Compras!$C$294&amp;" de "&amp;Registro_Compras!$E$294)))</f>
        <v/>
      </c>
      <c r="H2617">
        <f>IF($C2617="","",Registro_Compras!$C$294)</f>
        <v/>
      </c>
    </row>
    <row r="2618">
      <c r="A2618" s="25">
        <f>IF($C2618="","",Registro_Compras!$B$294)</f>
        <v/>
      </c>
      <c r="B2618">
        <f>IF($C2618="","","C"&amp;TEXT(INT((ROW()-5)/9)+1,"000")&amp;"-2")</f>
        <v/>
      </c>
      <c r="C2618">
        <f>IF(OR(Registro_Compras!$C$294="",Registro_Compras!$O$294=""),"",IF(Registro_Compras!$AB$294="ADMINISTRATIVO","94","95"))</f>
        <v/>
      </c>
      <c r="D2618">
        <f>IF(OR(Registro_Compras!$C$294="",Registro_Compras!$O$294=""),"",IF(Registro_Compras!$AB$294="ADMINISTRATIVO","Gastos Administrativos","Gastos de Venta y Operacion"))</f>
        <v/>
      </c>
      <c r="E2618" s="20">
        <f>IF($C2618="","",IF(Registro_Compras!$F$294="NOTA DE CREDITO","",IF(Registro_Compras!$F$294="RHE",ROUND(Registro_Compras!$L$294*Registro_Compras!$N$294,2),ROUND(Registro_Compras!$J$294*Registro_Compras!$N$294,2))))</f>
        <v/>
      </c>
      <c r="F2618" s="20">
        <f>IF($C2618="","",IF(Registro_Compras!$F$294="NOTA DE CREDITO",ROUND(ABS(Registro_Compras!$J$294*Registro_Compras!$N$294),2),""))</f>
        <v/>
      </c>
      <c r="G2618">
        <f>IF($C2618="","","Por el destino del gasto")</f>
        <v/>
      </c>
      <c r="H2618">
        <f>IF($C2618="","",Registro_Compras!$C$294)</f>
        <v/>
      </c>
    </row>
    <row r="2619">
      <c r="A2619" s="25">
        <f>IF($C2619="","",Registro_Compras!$B$294)</f>
        <v/>
      </c>
      <c r="B2619">
        <f>IF($C2619="","","C"&amp;TEXT(INT((ROW()-5)/9)+1,"000")&amp;"-2")</f>
        <v/>
      </c>
      <c r="C2619">
        <f>IF(OR(Registro_Compras!$C$294="",Registro_Compras!$O$294=""),"","79/791")</f>
        <v/>
      </c>
      <c r="D2619">
        <f>IF(OR(Registro_Compras!$C$294="",Registro_Compras!$O$294=""),"","Cargas Imputables a Cuentas de Costos y Gastos")</f>
        <v/>
      </c>
      <c r="E2619" s="20">
        <f>IF($C2619="","",IF(Registro_Compras!$F$294="NOTA DE CREDITO",ROUND(ABS(Registro_Compras!$J$294*Registro_Compras!$N$294),2),""))</f>
        <v/>
      </c>
      <c r="F2619" s="20">
        <f>IF($C2619="","",IF(Registro_Compras!$F$294="NOTA DE CREDITO","",IF(Registro_Compras!$F$294="RHE",ROUND(Registro_Compras!$L$294*Registro_Compras!$N$294,2),ROUND(Registro_Compras!$J$294*Registro_Compras!$N$294,2))))</f>
        <v/>
      </c>
      <c r="G2619">
        <f>IF($C2619="","","Por el destino del gasto")</f>
        <v/>
      </c>
      <c r="H2619">
        <f>IF($C2619="","",Registro_Compras!$C$294)</f>
        <v/>
      </c>
    </row>
    <row r="2620">
      <c r="A2620" s="25">
        <f>IF($C2620="","",Registro_Compras!$X$294)</f>
        <v/>
      </c>
      <c r="B2620">
        <f>IF($C2620="","","C"&amp;TEXT(INT((ROW()-5)/9)+1,"000")&amp;"-3")</f>
        <v/>
      </c>
      <c r="C2620">
        <f>IF(OR(Registro_Compras!$C$294="",Registro_Compras!$O$294="",Registro_Compras!$R$294&lt;&gt;"SI",Registro_Compras!$X$294=""),"","4212")</f>
        <v/>
      </c>
      <c r="D2620">
        <f>IF(OR(Registro_Compras!$C$294="",Registro_Compras!$O$294=""),"","Cuentas por Pagar Comerciales - Terceros")</f>
        <v/>
      </c>
      <c r="E2620" s="20">
        <f>IF($C2620="","",Registro_Compras!$S$294)</f>
        <v/>
      </c>
      <c r="F2620" s="20">
        <f>""</f>
        <v/>
      </c>
      <c r="G2620">
        <f>IF($C2620="","","Por el deposito de la detraccion en el Banco de la Nacion")</f>
        <v/>
      </c>
      <c r="H2620">
        <f>IF($C2620="","",Registro_Compras!$C$294)</f>
        <v/>
      </c>
    </row>
    <row r="2621">
      <c r="A2621" s="25">
        <f>IF($C2621="","",Registro_Compras!$X$294)</f>
        <v/>
      </c>
      <c r="B2621">
        <f>IF($C2621="","","C"&amp;TEXT(INT((ROW()-5)/9)+1,"000")&amp;"-3")</f>
        <v/>
      </c>
      <c r="C2621">
        <f>IF(OR(Registro_Compras!$C$294="",Registro_Compras!$O$294="",Registro_Compras!$R$294&lt;&gt;"SI",Registro_Compras!$X$294=""),"","10413")</f>
        <v/>
      </c>
      <c r="D2621">
        <f>IF(OR(Registro_Compras!$C$294="",Registro_Compras!$O$294=""),"","Efectivo y Equivalentes - Cta. Cte. Operativa")</f>
        <v/>
      </c>
      <c r="E2621" s="20">
        <f>""</f>
        <v/>
      </c>
      <c r="F2621" s="20">
        <f>IF($C2621="","",Registro_Compras!$S$294)</f>
        <v/>
      </c>
      <c r="G2621">
        <f>IF($C2621="","","Por el deposito de la detraccion en el Banco de la Nacion")</f>
        <v/>
      </c>
      <c r="H2621">
        <f>IF($C2621="","",Registro_Compras!$C$294)</f>
        <v/>
      </c>
    </row>
    <row r="2622">
      <c r="A2622" s="25">
        <f>IF($C2622="","",Registro_Compras!$Y$294)</f>
        <v/>
      </c>
      <c r="B2622">
        <f>IF($C2622="","","C"&amp;TEXT(INT((ROW()-5)/9)+1,"000")&amp;"-4")</f>
        <v/>
      </c>
      <c r="C2622">
        <f>IF(OR(Registro_Compras!$C$294="",Registro_Compras!$O$294="",Registro_Compras!$Y$294="",Registro_Compras!$F$294="NOTA DE CREDITO"),"","4212")</f>
        <v/>
      </c>
      <c r="D2622">
        <f>IF(OR(Registro_Compras!$C$294="",Registro_Compras!$O$294=""),"","Cuentas por Pagar Comerciales - Terceros")</f>
        <v/>
      </c>
      <c r="E2622" s="20">
        <f>IF($C2622="","",IF(Registro_Compras!$F$294="RHE",(ROUND(Registro_Compras!$L$294*Registro_Compras!$N$294,2)-ROUND(Registro_Compras!$V$294*Registro_Compras!$N$294,2)),ROUND(Registro_Compras!$O$294-Registro_Compras!$S$294,2)))</f>
        <v/>
      </c>
      <c r="F2622" s="20">
        <f>""</f>
        <v/>
      </c>
      <c r="G2622">
        <f>IF($C2622="","","Por la cancelacion del saldo al proveedor")</f>
        <v/>
      </c>
      <c r="H2622">
        <f>IF($C2622="","",Registro_Compras!$C$294)</f>
        <v/>
      </c>
    </row>
    <row r="2623">
      <c r="A2623" s="25">
        <f>IF($C2623="","",Registro_Compras!$Y$294)</f>
        <v/>
      </c>
      <c r="B2623">
        <f>IF($C2623="","","C"&amp;TEXT(INT((ROW()-5)/9)+1,"000")&amp;"-4")</f>
        <v/>
      </c>
      <c r="C2623">
        <f>IF(OR(Registro_Compras!$C$294="",Registro_Compras!$O$294="",Registro_Compras!$Y$294="",Registro_Compras!$F$294="NOTA DE CREDITO"),"","10413")</f>
        <v/>
      </c>
      <c r="D2623">
        <f>IF(OR(Registro_Compras!$C$294="",Registro_Compras!$O$294=""),"","Efectivo y Equivalentes - Cta. Cte. Operativa")</f>
        <v/>
      </c>
      <c r="E2623" s="20">
        <f>""</f>
        <v/>
      </c>
      <c r="F2623" s="20">
        <f>IF($C2623="","",IF(Registro_Compras!$F$294="RHE",(ROUND(Registro_Compras!$L$294*Registro_Compras!$N$294,2)-ROUND(Registro_Compras!$V$294*Registro_Compras!$N$294,2)),ROUND(Registro_Compras!$O$294-Registro_Compras!$S$294,2)))</f>
        <v/>
      </c>
      <c r="G2623">
        <f>IF($C2623="","","Por la cancelacion del saldo al proveedor")</f>
        <v/>
      </c>
      <c r="H2623">
        <f>IF($C2623="","",Registro_Compras!$C$294)</f>
        <v/>
      </c>
    </row>
    <row r="2624">
      <c r="A2624" s="25">
        <f>IF($C2624="","",Registro_Compras!$B$295)</f>
        <v/>
      </c>
      <c r="B2624">
        <f>IF($C2624="","","C"&amp;TEXT(INT((ROW()-5)/9)+1,"000")&amp;"-1")</f>
        <v/>
      </c>
      <c r="C2624">
        <f>IF(OR(Registro_Compras!$C$295="",Registro_Compras!$O$295=""),"",IF(Registro_Compras!$F$295="NOTA DE CREDITO","4212",IF(Registro_Compras!$M$295="","63",Registro_Compras!$M$295)))</f>
        <v/>
      </c>
      <c r="D2624">
        <f>IF(OR(Registro_Compras!$C$295="",Registro_Compras!$O$295=""),"",IF(Registro_Compras!$F$295="NOTA DE CREDITO","Cuentas por Pagar Comerciales - Terceros (Emitidas)",IF(Registro_Compras!$F$295="RHE","Honorarios Profesionales - Servicios de Terceros","Gastos de Servicios Prestados por Terceros")))</f>
        <v/>
      </c>
      <c r="E2624" s="20">
        <f>IF($C2624="","",IF(Registro_Compras!$F$295="NOTA DE CREDITO",ABS(Registro_Compras!$O$295),IF(Registro_Compras!$F$295="RHE",ROUND(Registro_Compras!$L$295*Registro_Compras!$N$295,2),ROUND(Registro_Compras!$J$295*Registro_Compras!$N$295,2))))</f>
        <v/>
      </c>
      <c r="F2624" s="20">
        <f>""</f>
        <v/>
      </c>
      <c r="G2624">
        <f>IF($C2624="","",IF(Registro_Compras!$F$295="NOTA DE CREDITO","Por la nota de credito "&amp;Registro_Compras!$C$295&amp;" de "&amp;Registro_Compras!$E$295&amp;" [PATRON POR CONFIRMAR CON CONTADOR]",IF(Registro_Compras!$F$295="RHE","Por el registro del recibo por honorarios "&amp;Registro_Compras!$C$295&amp;" de "&amp;Registro_Compras!$E$295&amp;" [PATRON POR CONFIRMAR CON CONTADOR]","Por el registro de la factura "&amp;Registro_Compras!$C$295&amp;" de "&amp;Registro_Compras!$E$295)))</f>
        <v/>
      </c>
      <c r="H2624">
        <f>IF($C2624="","",Registro_Compras!$C$295)</f>
        <v/>
      </c>
    </row>
    <row r="2625">
      <c r="A2625" s="25">
        <f>IF($C2625="","",Registro_Compras!$B$295)</f>
        <v/>
      </c>
      <c r="B2625">
        <f>IF($C2625="","","C"&amp;TEXT(INT((ROW()-5)/9)+1,"000")&amp;"-1")</f>
        <v/>
      </c>
      <c r="C2625">
        <f>IF(OR(Registro_Compras!$C$295="",Registro_Compras!$O$295=""),"",IF(Registro_Compras!$F$295="RHE",IF(Registro_Compras!$V$295=0,"","40172"),IF(Registro_Compras!$F$295="NOTA DE CREDITO",IF(Registro_Compras!$M$295="","63",Registro_Compras!$M$295),IF(Registro_Compras!$K$295=0,"","40111"))))</f>
        <v/>
      </c>
      <c r="D2625">
        <f>IF(OR(Registro_Compras!$C$295="",Registro_Compras!$O$295=""),"",IF(Registro_Compras!$F$295="RHE","Retencion Renta 4ta Categoria por Pagar",IF(Registro_Compras!$F$295="NOTA DE CREDITO","Gastos de Servicios Prestados por Terceros","IGV - Cuenta Propia (Credito Fiscal)")))</f>
        <v/>
      </c>
      <c r="E2625" s="20">
        <f>IF($C2625="","",IF(Registro_Compras!$F$295="FACTURA",ROUND(Registro_Compras!$K$295*Registro_Compras!$N$295,2),""))</f>
        <v/>
      </c>
      <c r="F2625" s="20">
        <f>IF($C2625="","",IF(Registro_Compras!$F$295="RHE",ROUND(Registro_Compras!$V$295*Registro_Compras!$N$295,2),IF(Registro_Compras!$F$295="NOTA DE CREDITO",ROUND(ABS(Registro_Compras!$J$295*Registro_Compras!$N$295),2),"")))</f>
        <v/>
      </c>
      <c r="G2625">
        <f>IF($C2625="","",IF(Registro_Compras!$F$295="NOTA DE CREDITO","Por la nota de credito "&amp;Registro_Compras!$C$295&amp;" de "&amp;Registro_Compras!$E$295&amp;" [PATRON POR CONFIRMAR CON CONTADOR]",IF(Registro_Compras!$F$295="RHE","Por el registro del recibo por honorarios "&amp;Registro_Compras!$C$295&amp;" de "&amp;Registro_Compras!$E$295&amp;" [PATRON POR CONFIRMAR CON CONTADOR]","Por el registro de la factura "&amp;Registro_Compras!$C$295&amp;" de "&amp;Registro_Compras!$E$295)))</f>
        <v/>
      </c>
      <c r="H2625">
        <f>IF($C2625="","",Registro_Compras!$C$295)</f>
        <v/>
      </c>
    </row>
    <row r="2626">
      <c r="A2626" s="25">
        <f>IF($C2626="","",Registro_Compras!$B$295)</f>
        <v/>
      </c>
      <c r="B2626">
        <f>IF($C2626="","","C"&amp;TEXT(INT((ROW()-5)/9)+1,"000")&amp;"-1")</f>
        <v/>
      </c>
      <c r="C2626">
        <f>IF(OR(Registro_Compras!$C$295="",Registro_Compras!$O$295=""),"",IF(Registro_Compras!$F$295="NOTA DE CREDITO",IF(Registro_Compras!$K$295=0,"","40111"),"4212"))</f>
        <v/>
      </c>
      <c r="D2626">
        <f>IF(OR(Registro_Compras!$C$295="",Registro_Compras!$O$295=""),"",IF(Registro_Compras!$F$295="NOTA DE CREDITO","IGV - Cuenta Propia (Credito Fiscal)","Cuentas por Pagar Comerciales - Terceros (Emitidas)"))</f>
        <v/>
      </c>
      <c r="E2626" s="20">
        <f>""</f>
        <v/>
      </c>
      <c r="F2626" s="20">
        <f>IF($C2626="","",IF(Registro_Compras!$F$295="NOTA DE CREDITO",ROUND(ABS(Registro_Compras!$K$295*Registro_Compras!$N$295),2),IF(Registro_Compras!$F$295="RHE",(ROUND(Registro_Compras!$L$295*Registro_Compras!$N$295,2)-ROUND(Registro_Compras!$V$295*Registro_Compras!$N$295,2)),Registro_Compras!$O$295)))</f>
        <v/>
      </c>
      <c r="G2626">
        <f>IF($C2626="","",IF(Registro_Compras!$F$295="NOTA DE CREDITO","Por la nota de credito "&amp;Registro_Compras!$C$295&amp;" de "&amp;Registro_Compras!$E$295&amp;" [PATRON POR CONFIRMAR CON CONTADOR]",IF(Registro_Compras!$F$295="RHE","Por el registro del recibo por honorarios "&amp;Registro_Compras!$C$295&amp;" de "&amp;Registro_Compras!$E$295&amp;" [PATRON POR CONFIRMAR CON CONTADOR]","Por el registro de la factura "&amp;Registro_Compras!$C$295&amp;" de "&amp;Registro_Compras!$E$295)))</f>
        <v/>
      </c>
      <c r="H2626">
        <f>IF($C2626="","",Registro_Compras!$C$295)</f>
        <v/>
      </c>
    </row>
    <row r="2627">
      <c r="A2627" s="25">
        <f>IF($C2627="","",Registro_Compras!$B$295)</f>
        <v/>
      </c>
      <c r="B2627">
        <f>IF($C2627="","","C"&amp;TEXT(INT((ROW()-5)/9)+1,"000")&amp;"-2")</f>
        <v/>
      </c>
      <c r="C2627">
        <f>IF(OR(Registro_Compras!$C$295="",Registro_Compras!$O$295=""),"",IF(Registro_Compras!$AB$295="ADMINISTRATIVO","94","95"))</f>
        <v/>
      </c>
      <c r="D2627">
        <f>IF(OR(Registro_Compras!$C$295="",Registro_Compras!$O$295=""),"",IF(Registro_Compras!$AB$295="ADMINISTRATIVO","Gastos Administrativos","Gastos de Venta y Operacion"))</f>
        <v/>
      </c>
      <c r="E2627" s="20">
        <f>IF($C2627="","",IF(Registro_Compras!$F$295="NOTA DE CREDITO","",IF(Registro_Compras!$F$295="RHE",ROUND(Registro_Compras!$L$295*Registro_Compras!$N$295,2),ROUND(Registro_Compras!$J$295*Registro_Compras!$N$295,2))))</f>
        <v/>
      </c>
      <c r="F2627" s="20">
        <f>IF($C2627="","",IF(Registro_Compras!$F$295="NOTA DE CREDITO",ROUND(ABS(Registro_Compras!$J$295*Registro_Compras!$N$295),2),""))</f>
        <v/>
      </c>
      <c r="G2627">
        <f>IF($C2627="","","Por el destino del gasto")</f>
        <v/>
      </c>
      <c r="H2627">
        <f>IF($C2627="","",Registro_Compras!$C$295)</f>
        <v/>
      </c>
    </row>
    <row r="2628">
      <c r="A2628" s="25">
        <f>IF($C2628="","",Registro_Compras!$B$295)</f>
        <v/>
      </c>
      <c r="B2628">
        <f>IF($C2628="","","C"&amp;TEXT(INT((ROW()-5)/9)+1,"000")&amp;"-2")</f>
        <v/>
      </c>
      <c r="C2628">
        <f>IF(OR(Registro_Compras!$C$295="",Registro_Compras!$O$295=""),"","79/791")</f>
        <v/>
      </c>
      <c r="D2628">
        <f>IF(OR(Registro_Compras!$C$295="",Registro_Compras!$O$295=""),"","Cargas Imputables a Cuentas de Costos y Gastos")</f>
        <v/>
      </c>
      <c r="E2628" s="20">
        <f>IF($C2628="","",IF(Registro_Compras!$F$295="NOTA DE CREDITO",ROUND(ABS(Registro_Compras!$J$295*Registro_Compras!$N$295),2),""))</f>
        <v/>
      </c>
      <c r="F2628" s="20">
        <f>IF($C2628="","",IF(Registro_Compras!$F$295="NOTA DE CREDITO","",IF(Registro_Compras!$F$295="RHE",ROUND(Registro_Compras!$L$295*Registro_Compras!$N$295,2),ROUND(Registro_Compras!$J$295*Registro_Compras!$N$295,2))))</f>
        <v/>
      </c>
      <c r="G2628">
        <f>IF($C2628="","","Por el destino del gasto")</f>
        <v/>
      </c>
      <c r="H2628">
        <f>IF($C2628="","",Registro_Compras!$C$295)</f>
        <v/>
      </c>
    </row>
    <row r="2629">
      <c r="A2629" s="25">
        <f>IF($C2629="","",Registro_Compras!$X$295)</f>
        <v/>
      </c>
      <c r="B2629">
        <f>IF($C2629="","","C"&amp;TEXT(INT((ROW()-5)/9)+1,"000")&amp;"-3")</f>
        <v/>
      </c>
      <c r="C2629">
        <f>IF(OR(Registro_Compras!$C$295="",Registro_Compras!$O$295="",Registro_Compras!$R$295&lt;&gt;"SI",Registro_Compras!$X$295=""),"","4212")</f>
        <v/>
      </c>
      <c r="D2629">
        <f>IF(OR(Registro_Compras!$C$295="",Registro_Compras!$O$295=""),"","Cuentas por Pagar Comerciales - Terceros")</f>
        <v/>
      </c>
      <c r="E2629" s="20">
        <f>IF($C2629="","",Registro_Compras!$S$295)</f>
        <v/>
      </c>
      <c r="F2629" s="20">
        <f>""</f>
        <v/>
      </c>
      <c r="G2629">
        <f>IF($C2629="","","Por el deposito de la detraccion en el Banco de la Nacion")</f>
        <v/>
      </c>
      <c r="H2629">
        <f>IF($C2629="","",Registro_Compras!$C$295)</f>
        <v/>
      </c>
    </row>
    <row r="2630">
      <c r="A2630" s="25">
        <f>IF($C2630="","",Registro_Compras!$X$295)</f>
        <v/>
      </c>
      <c r="B2630">
        <f>IF($C2630="","","C"&amp;TEXT(INT((ROW()-5)/9)+1,"000")&amp;"-3")</f>
        <v/>
      </c>
      <c r="C2630">
        <f>IF(OR(Registro_Compras!$C$295="",Registro_Compras!$O$295="",Registro_Compras!$R$295&lt;&gt;"SI",Registro_Compras!$X$295=""),"","10413")</f>
        <v/>
      </c>
      <c r="D2630">
        <f>IF(OR(Registro_Compras!$C$295="",Registro_Compras!$O$295=""),"","Efectivo y Equivalentes - Cta. Cte. Operativa")</f>
        <v/>
      </c>
      <c r="E2630" s="20">
        <f>""</f>
        <v/>
      </c>
      <c r="F2630" s="20">
        <f>IF($C2630="","",Registro_Compras!$S$295)</f>
        <v/>
      </c>
      <c r="G2630">
        <f>IF($C2630="","","Por el deposito de la detraccion en el Banco de la Nacion")</f>
        <v/>
      </c>
      <c r="H2630">
        <f>IF($C2630="","",Registro_Compras!$C$295)</f>
        <v/>
      </c>
    </row>
    <row r="2631">
      <c r="A2631" s="25">
        <f>IF($C2631="","",Registro_Compras!$Y$295)</f>
        <v/>
      </c>
      <c r="B2631">
        <f>IF($C2631="","","C"&amp;TEXT(INT((ROW()-5)/9)+1,"000")&amp;"-4")</f>
        <v/>
      </c>
      <c r="C2631">
        <f>IF(OR(Registro_Compras!$C$295="",Registro_Compras!$O$295="",Registro_Compras!$Y$295="",Registro_Compras!$F$295="NOTA DE CREDITO"),"","4212")</f>
        <v/>
      </c>
      <c r="D2631">
        <f>IF(OR(Registro_Compras!$C$295="",Registro_Compras!$O$295=""),"","Cuentas por Pagar Comerciales - Terceros")</f>
        <v/>
      </c>
      <c r="E2631" s="20">
        <f>IF($C2631="","",IF(Registro_Compras!$F$295="RHE",(ROUND(Registro_Compras!$L$295*Registro_Compras!$N$295,2)-ROUND(Registro_Compras!$V$295*Registro_Compras!$N$295,2)),ROUND(Registro_Compras!$O$295-Registro_Compras!$S$295,2)))</f>
        <v/>
      </c>
      <c r="F2631" s="20">
        <f>""</f>
        <v/>
      </c>
      <c r="G2631">
        <f>IF($C2631="","","Por la cancelacion del saldo al proveedor")</f>
        <v/>
      </c>
      <c r="H2631">
        <f>IF($C2631="","",Registro_Compras!$C$295)</f>
        <v/>
      </c>
    </row>
    <row r="2632">
      <c r="A2632" s="25">
        <f>IF($C2632="","",Registro_Compras!$Y$295)</f>
        <v/>
      </c>
      <c r="B2632">
        <f>IF($C2632="","","C"&amp;TEXT(INT((ROW()-5)/9)+1,"000")&amp;"-4")</f>
        <v/>
      </c>
      <c r="C2632">
        <f>IF(OR(Registro_Compras!$C$295="",Registro_Compras!$O$295="",Registro_Compras!$Y$295="",Registro_Compras!$F$295="NOTA DE CREDITO"),"","10413")</f>
        <v/>
      </c>
      <c r="D2632">
        <f>IF(OR(Registro_Compras!$C$295="",Registro_Compras!$O$295=""),"","Efectivo y Equivalentes - Cta. Cte. Operativa")</f>
        <v/>
      </c>
      <c r="E2632" s="20">
        <f>""</f>
        <v/>
      </c>
      <c r="F2632" s="20">
        <f>IF($C2632="","",IF(Registro_Compras!$F$295="RHE",(ROUND(Registro_Compras!$L$295*Registro_Compras!$N$295,2)-ROUND(Registro_Compras!$V$295*Registro_Compras!$N$295,2)),ROUND(Registro_Compras!$O$295-Registro_Compras!$S$295,2)))</f>
        <v/>
      </c>
      <c r="G2632">
        <f>IF($C2632="","","Por la cancelacion del saldo al proveedor")</f>
        <v/>
      </c>
      <c r="H2632">
        <f>IF($C2632="","",Registro_Compras!$C$295)</f>
        <v/>
      </c>
    </row>
    <row r="2633">
      <c r="A2633" s="25">
        <f>IF($C2633="","",Registro_Compras!$B$296)</f>
        <v/>
      </c>
      <c r="B2633">
        <f>IF($C2633="","","C"&amp;TEXT(INT((ROW()-5)/9)+1,"000")&amp;"-1")</f>
        <v/>
      </c>
      <c r="C2633">
        <f>IF(OR(Registro_Compras!$C$296="",Registro_Compras!$O$296=""),"",IF(Registro_Compras!$F$296="NOTA DE CREDITO","4212",IF(Registro_Compras!$M$296="","63",Registro_Compras!$M$296)))</f>
        <v/>
      </c>
      <c r="D2633">
        <f>IF(OR(Registro_Compras!$C$296="",Registro_Compras!$O$296=""),"",IF(Registro_Compras!$F$296="NOTA DE CREDITO","Cuentas por Pagar Comerciales - Terceros (Emitidas)",IF(Registro_Compras!$F$296="RHE","Honorarios Profesionales - Servicios de Terceros","Gastos de Servicios Prestados por Terceros")))</f>
        <v/>
      </c>
      <c r="E2633" s="20">
        <f>IF($C2633="","",IF(Registro_Compras!$F$296="NOTA DE CREDITO",ABS(Registro_Compras!$O$296),IF(Registro_Compras!$F$296="RHE",ROUND(Registro_Compras!$L$296*Registro_Compras!$N$296,2),ROUND(Registro_Compras!$J$296*Registro_Compras!$N$296,2))))</f>
        <v/>
      </c>
      <c r="F2633" s="20">
        <f>""</f>
        <v/>
      </c>
      <c r="G2633">
        <f>IF($C2633="","",IF(Registro_Compras!$F$296="NOTA DE CREDITO","Por la nota de credito "&amp;Registro_Compras!$C$296&amp;" de "&amp;Registro_Compras!$E$296&amp;" [PATRON POR CONFIRMAR CON CONTADOR]",IF(Registro_Compras!$F$296="RHE","Por el registro del recibo por honorarios "&amp;Registro_Compras!$C$296&amp;" de "&amp;Registro_Compras!$E$296&amp;" [PATRON POR CONFIRMAR CON CONTADOR]","Por el registro de la factura "&amp;Registro_Compras!$C$296&amp;" de "&amp;Registro_Compras!$E$296)))</f>
        <v/>
      </c>
      <c r="H2633">
        <f>IF($C2633="","",Registro_Compras!$C$296)</f>
        <v/>
      </c>
    </row>
    <row r="2634">
      <c r="A2634" s="25">
        <f>IF($C2634="","",Registro_Compras!$B$296)</f>
        <v/>
      </c>
      <c r="B2634">
        <f>IF($C2634="","","C"&amp;TEXT(INT((ROW()-5)/9)+1,"000")&amp;"-1")</f>
        <v/>
      </c>
      <c r="C2634">
        <f>IF(OR(Registro_Compras!$C$296="",Registro_Compras!$O$296=""),"",IF(Registro_Compras!$F$296="RHE",IF(Registro_Compras!$V$296=0,"","40172"),IF(Registro_Compras!$F$296="NOTA DE CREDITO",IF(Registro_Compras!$M$296="","63",Registro_Compras!$M$296),IF(Registro_Compras!$K$296=0,"","40111"))))</f>
        <v/>
      </c>
      <c r="D2634">
        <f>IF(OR(Registro_Compras!$C$296="",Registro_Compras!$O$296=""),"",IF(Registro_Compras!$F$296="RHE","Retencion Renta 4ta Categoria por Pagar",IF(Registro_Compras!$F$296="NOTA DE CREDITO","Gastos de Servicios Prestados por Terceros","IGV - Cuenta Propia (Credito Fiscal)")))</f>
        <v/>
      </c>
      <c r="E2634" s="20">
        <f>IF($C2634="","",IF(Registro_Compras!$F$296="FACTURA",ROUND(Registro_Compras!$K$296*Registro_Compras!$N$296,2),""))</f>
        <v/>
      </c>
      <c r="F2634" s="20">
        <f>IF($C2634="","",IF(Registro_Compras!$F$296="RHE",ROUND(Registro_Compras!$V$296*Registro_Compras!$N$296,2),IF(Registro_Compras!$F$296="NOTA DE CREDITO",ROUND(ABS(Registro_Compras!$J$296*Registro_Compras!$N$296),2),"")))</f>
        <v/>
      </c>
      <c r="G2634">
        <f>IF($C2634="","",IF(Registro_Compras!$F$296="NOTA DE CREDITO","Por la nota de credito "&amp;Registro_Compras!$C$296&amp;" de "&amp;Registro_Compras!$E$296&amp;" [PATRON POR CONFIRMAR CON CONTADOR]",IF(Registro_Compras!$F$296="RHE","Por el registro del recibo por honorarios "&amp;Registro_Compras!$C$296&amp;" de "&amp;Registro_Compras!$E$296&amp;" [PATRON POR CONFIRMAR CON CONTADOR]","Por el registro de la factura "&amp;Registro_Compras!$C$296&amp;" de "&amp;Registro_Compras!$E$296)))</f>
        <v/>
      </c>
      <c r="H2634">
        <f>IF($C2634="","",Registro_Compras!$C$296)</f>
        <v/>
      </c>
    </row>
    <row r="2635">
      <c r="A2635" s="25">
        <f>IF($C2635="","",Registro_Compras!$B$296)</f>
        <v/>
      </c>
      <c r="B2635">
        <f>IF($C2635="","","C"&amp;TEXT(INT((ROW()-5)/9)+1,"000")&amp;"-1")</f>
        <v/>
      </c>
      <c r="C2635">
        <f>IF(OR(Registro_Compras!$C$296="",Registro_Compras!$O$296=""),"",IF(Registro_Compras!$F$296="NOTA DE CREDITO",IF(Registro_Compras!$K$296=0,"","40111"),"4212"))</f>
        <v/>
      </c>
      <c r="D2635">
        <f>IF(OR(Registro_Compras!$C$296="",Registro_Compras!$O$296=""),"",IF(Registro_Compras!$F$296="NOTA DE CREDITO","IGV - Cuenta Propia (Credito Fiscal)","Cuentas por Pagar Comerciales - Terceros (Emitidas)"))</f>
        <v/>
      </c>
      <c r="E2635" s="20">
        <f>""</f>
        <v/>
      </c>
      <c r="F2635" s="20">
        <f>IF($C2635="","",IF(Registro_Compras!$F$296="NOTA DE CREDITO",ROUND(ABS(Registro_Compras!$K$296*Registro_Compras!$N$296),2),IF(Registro_Compras!$F$296="RHE",(ROUND(Registro_Compras!$L$296*Registro_Compras!$N$296,2)-ROUND(Registro_Compras!$V$296*Registro_Compras!$N$296,2)),Registro_Compras!$O$296)))</f>
        <v/>
      </c>
      <c r="G2635">
        <f>IF($C2635="","",IF(Registro_Compras!$F$296="NOTA DE CREDITO","Por la nota de credito "&amp;Registro_Compras!$C$296&amp;" de "&amp;Registro_Compras!$E$296&amp;" [PATRON POR CONFIRMAR CON CONTADOR]",IF(Registro_Compras!$F$296="RHE","Por el registro del recibo por honorarios "&amp;Registro_Compras!$C$296&amp;" de "&amp;Registro_Compras!$E$296&amp;" [PATRON POR CONFIRMAR CON CONTADOR]","Por el registro de la factura "&amp;Registro_Compras!$C$296&amp;" de "&amp;Registro_Compras!$E$296)))</f>
        <v/>
      </c>
      <c r="H2635">
        <f>IF($C2635="","",Registro_Compras!$C$296)</f>
        <v/>
      </c>
    </row>
    <row r="2636">
      <c r="A2636" s="25">
        <f>IF($C2636="","",Registro_Compras!$B$296)</f>
        <v/>
      </c>
      <c r="B2636">
        <f>IF($C2636="","","C"&amp;TEXT(INT((ROW()-5)/9)+1,"000")&amp;"-2")</f>
        <v/>
      </c>
      <c r="C2636">
        <f>IF(OR(Registro_Compras!$C$296="",Registro_Compras!$O$296=""),"",IF(Registro_Compras!$AB$296="ADMINISTRATIVO","94","95"))</f>
        <v/>
      </c>
      <c r="D2636">
        <f>IF(OR(Registro_Compras!$C$296="",Registro_Compras!$O$296=""),"",IF(Registro_Compras!$AB$296="ADMINISTRATIVO","Gastos Administrativos","Gastos de Venta y Operacion"))</f>
        <v/>
      </c>
      <c r="E2636" s="20">
        <f>IF($C2636="","",IF(Registro_Compras!$F$296="NOTA DE CREDITO","",IF(Registro_Compras!$F$296="RHE",ROUND(Registro_Compras!$L$296*Registro_Compras!$N$296,2),ROUND(Registro_Compras!$J$296*Registro_Compras!$N$296,2))))</f>
        <v/>
      </c>
      <c r="F2636" s="20">
        <f>IF($C2636="","",IF(Registro_Compras!$F$296="NOTA DE CREDITO",ROUND(ABS(Registro_Compras!$J$296*Registro_Compras!$N$296),2),""))</f>
        <v/>
      </c>
      <c r="G2636">
        <f>IF($C2636="","","Por el destino del gasto")</f>
        <v/>
      </c>
      <c r="H2636">
        <f>IF($C2636="","",Registro_Compras!$C$296)</f>
        <v/>
      </c>
    </row>
    <row r="2637">
      <c r="A2637" s="25">
        <f>IF($C2637="","",Registro_Compras!$B$296)</f>
        <v/>
      </c>
      <c r="B2637">
        <f>IF($C2637="","","C"&amp;TEXT(INT((ROW()-5)/9)+1,"000")&amp;"-2")</f>
        <v/>
      </c>
      <c r="C2637">
        <f>IF(OR(Registro_Compras!$C$296="",Registro_Compras!$O$296=""),"","79/791")</f>
        <v/>
      </c>
      <c r="D2637">
        <f>IF(OR(Registro_Compras!$C$296="",Registro_Compras!$O$296=""),"","Cargas Imputables a Cuentas de Costos y Gastos")</f>
        <v/>
      </c>
      <c r="E2637" s="20">
        <f>IF($C2637="","",IF(Registro_Compras!$F$296="NOTA DE CREDITO",ROUND(ABS(Registro_Compras!$J$296*Registro_Compras!$N$296),2),""))</f>
        <v/>
      </c>
      <c r="F2637" s="20">
        <f>IF($C2637="","",IF(Registro_Compras!$F$296="NOTA DE CREDITO","",IF(Registro_Compras!$F$296="RHE",ROUND(Registro_Compras!$L$296*Registro_Compras!$N$296,2),ROUND(Registro_Compras!$J$296*Registro_Compras!$N$296,2))))</f>
        <v/>
      </c>
      <c r="G2637">
        <f>IF($C2637="","","Por el destino del gasto")</f>
        <v/>
      </c>
      <c r="H2637">
        <f>IF($C2637="","",Registro_Compras!$C$296)</f>
        <v/>
      </c>
    </row>
    <row r="2638">
      <c r="A2638" s="25">
        <f>IF($C2638="","",Registro_Compras!$X$296)</f>
        <v/>
      </c>
      <c r="B2638">
        <f>IF($C2638="","","C"&amp;TEXT(INT((ROW()-5)/9)+1,"000")&amp;"-3")</f>
        <v/>
      </c>
      <c r="C2638">
        <f>IF(OR(Registro_Compras!$C$296="",Registro_Compras!$O$296="",Registro_Compras!$R$296&lt;&gt;"SI",Registro_Compras!$X$296=""),"","4212")</f>
        <v/>
      </c>
      <c r="D2638">
        <f>IF(OR(Registro_Compras!$C$296="",Registro_Compras!$O$296=""),"","Cuentas por Pagar Comerciales - Terceros")</f>
        <v/>
      </c>
      <c r="E2638" s="20">
        <f>IF($C2638="","",Registro_Compras!$S$296)</f>
        <v/>
      </c>
      <c r="F2638" s="20">
        <f>""</f>
        <v/>
      </c>
      <c r="G2638">
        <f>IF($C2638="","","Por el deposito de la detraccion en el Banco de la Nacion")</f>
        <v/>
      </c>
      <c r="H2638">
        <f>IF($C2638="","",Registro_Compras!$C$296)</f>
        <v/>
      </c>
    </row>
    <row r="2639">
      <c r="A2639" s="25">
        <f>IF($C2639="","",Registro_Compras!$X$296)</f>
        <v/>
      </c>
      <c r="B2639">
        <f>IF($C2639="","","C"&amp;TEXT(INT((ROW()-5)/9)+1,"000")&amp;"-3")</f>
        <v/>
      </c>
      <c r="C2639">
        <f>IF(OR(Registro_Compras!$C$296="",Registro_Compras!$O$296="",Registro_Compras!$R$296&lt;&gt;"SI",Registro_Compras!$X$296=""),"","10413")</f>
        <v/>
      </c>
      <c r="D2639">
        <f>IF(OR(Registro_Compras!$C$296="",Registro_Compras!$O$296=""),"","Efectivo y Equivalentes - Cta. Cte. Operativa")</f>
        <v/>
      </c>
      <c r="E2639" s="20">
        <f>""</f>
        <v/>
      </c>
      <c r="F2639" s="20">
        <f>IF($C2639="","",Registro_Compras!$S$296)</f>
        <v/>
      </c>
      <c r="G2639">
        <f>IF($C2639="","","Por el deposito de la detraccion en el Banco de la Nacion")</f>
        <v/>
      </c>
      <c r="H2639">
        <f>IF($C2639="","",Registro_Compras!$C$296)</f>
        <v/>
      </c>
    </row>
    <row r="2640">
      <c r="A2640" s="25">
        <f>IF($C2640="","",Registro_Compras!$Y$296)</f>
        <v/>
      </c>
      <c r="B2640">
        <f>IF($C2640="","","C"&amp;TEXT(INT((ROW()-5)/9)+1,"000")&amp;"-4")</f>
        <v/>
      </c>
      <c r="C2640">
        <f>IF(OR(Registro_Compras!$C$296="",Registro_Compras!$O$296="",Registro_Compras!$Y$296="",Registro_Compras!$F$296="NOTA DE CREDITO"),"","4212")</f>
        <v/>
      </c>
      <c r="D2640">
        <f>IF(OR(Registro_Compras!$C$296="",Registro_Compras!$O$296=""),"","Cuentas por Pagar Comerciales - Terceros")</f>
        <v/>
      </c>
      <c r="E2640" s="20">
        <f>IF($C2640="","",IF(Registro_Compras!$F$296="RHE",(ROUND(Registro_Compras!$L$296*Registro_Compras!$N$296,2)-ROUND(Registro_Compras!$V$296*Registro_Compras!$N$296,2)),ROUND(Registro_Compras!$O$296-Registro_Compras!$S$296,2)))</f>
        <v/>
      </c>
      <c r="F2640" s="20">
        <f>""</f>
        <v/>
      </c>
      <c r="G2640">
        <f>IF($C2640="","","Por la cancelacion del saldo al proveedor")</f>
        <v/>
      </c>
      <c r="H2640">
        <f>IF($C2640="","",Registro_Compras!$C$296)</f>
        <v/>
      </c>
    </row>
    <row r="2641">
      <c r="A2641" s="25">
        <f>IF($C2641="","",Registro_Compras!$Y$296)</f>
        <v/>
      </c>
      <c r="B2641">
        <f>IF($C2641="","","C"&amp;TEXT(INT((ROW()-5)/9)+1,"000")&amp;"-4")</f>
        <v/>
      </c>
      <c r="C2641">
        <f>IF(OR(Registro_Compras!$C$296="",Registro_Compras!$O$296="",Registro_Compras!$Y$296="",Registro_Compras!$F$296="NOTA DE CREDITO"),"","10413")</f>
        <v/>
      </c>
      <c r="D2641">
        <f>IF(OR(Registro_Compras!$C$296="",Registro_Compras!$O$296=""),"","Efectivo y Equivalentes - Cta. Cte. Operativa")</f>
        <v/>
      </c>
      <c r="E2641" s="20">
        <f>""</f>
        <v/>
      </c>
      <c r="F2641" s="20">
        <f>IF($C2641="","",IF(Registro_Compras!$F$296="RHE",(ROUND(Registro_Compras!$L$296*Registro_Compras!$N$296,2)-ROUND(Registro_Compras!$V$296*Registro_Compras!$N$296,2)),ROUND(Registro_Compras!$O$296-Registro_Compras!$S$296,2)))</f>
        <v/>
      </c>
      <c r="G2641">
        <f>IF($C2641="","","Por la cancelacion del saldo al proveedor")</f>
        <v/>
      </c>
      <c r="H2641">
        <f>IF($C2641="","",Registro_Compras!$C$296)</f>
        <v/>
      </c>
    </row>
    <row r="2642">
      <c r="A2642" s="25">
        <f>IF($C2642="","",Registro_Compras!$B$297)</f>
        <v/>
      </c>
      <c r="B2642">
        <f>IF($C2642="","","C"&amp;TEXT(INT((ROW()-5)/9)+1,"000")&amp;"-1")</f>
        <v/>
      </c>
      <c r="C2642">
        <f>IF(OR(Registro_Compras!$C$297="",Registro_Compras!$O$297=""),"",IF(Registro_Compras!$F$297="NOTA DE CREDITO","4212",IF(Registro_Compras!$M$297="","63",Registro_Compras!$M$297)))</f>
        <v/>
      </c>
      <c r="D2642">
        <f>IF(OR(Registro_Compras!$C$297="",Registro_Compras!$O$297=""),"",IF(Registro_Compras!$F$297="NOTA DE CREDITO","Cuentas por Pagar Comerciales - Terceros (Emitidas)",IF(Registro_Compras!$F$297="RHE","Honorarios Profesionales - Servicios de Terceros","Gastos de Servicios Prestados por Terceros")))</f>
        <v/>
      </c>
      <c r="E2642" s="20">
        <f>IF($C2642="","",IF(Registro_Compras!$F$297="NOTA DE CREDITO",ABS(Registro_Compras!$O$297),IF(Registro_Compras!$F$297="RHE",ROUND(Registro_Compras!$L$297*Registro_Compras!$N$297,2),ROUND(Registro_Compras!$J$297*Registro_Compras!$N$297,2))))</f>
        <v/>
      </c>
      <c r="F2642" s="20">
        <f>""</f>
        <v/>
      </c>
      <c r="G2642">
        <f>IF($C2642="","",IF(Registro_Compras!$F$297="NOTA DE CREDITO","Por la nota de credito "&amp;Registro_Compras!$C$297&amp;" de "&amp;Registro_Compras!$E$297&amp;" [PATRON POR CONFIRMAR CON CONTADOR]",IF(Registro_Compras!$F$297="RHE","Por el registro del recibo por honorarios "&amp;Registro_Compras!$C$297&amp;" de "&amp;Registro_Compras!$E$297&amp;" [PATRON POR CONFIRMAR CON CONTADOR]","Por el registro de la factura "&amp;Registro_Compras!$C$297&amp;" de "&amp;Registro_Compras!$E$297)))</f>
        <v/>
      </c>
      <c r="H2642">
        <f>IF($C2642="","",Registro_Compras!$C$297)</f>
        <v/>
      </c>
    </row>
    <row r="2643">
      <c r="A2643" s="25">
        <f>IF($C2643="","",Registro_Compras!$B$297)</f>
        <v/>
      </c>
      <c r="B2643">
        <f>IF($C2643="","","C"&amp;TEXT(INT((ROW()-5)/9)+1,"000")&amp;"-1")</f>
        <v/>
      </c>
      <c r="C2643">
        <f>IF(OR(Registro_Compras!$C$297="",Registro_Compras!$O$297=""),"",IF(Registro_Compras!$F$297="RHE",IF(Registro_Compras!$V$297=0,"","40172"),IF(Registro_Compras!$F$297="NOTA DE CREDITO",IF(Registro_Compras!$M$297="","63",Registro_Compras!$M$297),IF(Registro_Compras!$K$297=0,"","40111"))))</f>
        <v/>
      </c>
      <c r="D2643">
        <f>IF(OR(Registro_Compras!$C$297="",Registro_Compras!$O$297=""),"",IF(Registro_Compras!$F$297="RHE","Retencion Renta 4ta Categoria por Pagar",IF(Registro_Compras!$F$297="NOTA DE CREDITO","Gastos de Servicios Prestados por Terceros","IGV - Cuenta Propia (Credito Fiscal)")))</f>
        <v/>
      </c>
      <c r="E2643" s="20">
        <f>IF($C2643="","",IF(Registro_Compras!$F$297="FACTURA",ROUND(Registro_Compras!$K$297*Registro_Compras!$N$297,2),""))</f>
        <v/>
      </c>
      <c r="F2643" s="20">
        <f>IF($C2643="","",IF(Registro_Compras!$F$297="RHE",ROUND(Registro_Compras!$V$297*Registro_Compras!$N$297,2),IF(Registro_Compras!$F$297="NOTA DE CREDITO",ROUND(ABS(Registro_Compras!$J$297*Registro_Compras!$N$297),2),"")))</f>
        <v/>
      </c>
      <c r="G2643">
        <f>IF($C2643="","",IF(Registro_Compras!$F$297="NOTA DE CREDITO","Por la nota de credito "&amp;Registro_Compras!$C$297&amp;" de "&amp;Registro_Compras!$E$297&amp;" [PATRON POR CONFIRMAR CON CONTADOR]",IF(Registro_Compras!$F$297="RHE","Por el registro del recibo por honorarios "&amp;Registro_Compras!$C$297&amp;" de "&amp;Registro_Compras!$E$297&amp;" [PATRON POR CONFIRMAR CON CONTADOR]","Por el registro de la factura "&amp;Registro_Compras!$C$297&amp;" de "&amp;Registro_Compras!$E$297)))</f>
        <v/>
      </c>
      <c r="H2643">
        <f>IF($C2643="","",Registro_Compras!$C$297)</f>
        <v/>
      </c>
    </row>
    <row r="2644">
      <c r="A2644" s="25">
        <f>IF($C2644="","",Registro_Compras!$B$297)</f>
        <v/>
      </c>
      <c r="B2644">
        <f>IF($C2644="","","C"&amp;TEXT(INT((ROW()-5)/9)+1,"000")&amp;"-1")</f>
        <v/>
      </c>
      <c r="C2644">
        <f>IF(OR(Registro_Compras!$C$297="",Registro_Compras!$O$297=""),"",IF(Registro_Compras!$F$297="NOTA DE CREDITO",IF(Registro_Compras!$K$297=0,"","40111"),"4212"))</f>
        <v/>
      </c>
      <c r="D2644">
        <f>IF(OR(Registro_Compras!$C$297="",Registro_Compras!$O$297=""),"",IF(Registro_Compras!$F$297="NOTA DE CREDITO","IGV - Cuenta Propia (Credito Fiscal)","Cuentas por Pagar Comerciales - Terceros (Emitidas)"))</f>
        <v/>
      </c>
      <c r="E2644" s="20">
        <f>""</f>
        <v/>
      </c>
      <c r="F2644" s="20">
        <f>IF($C2644="","",IF(Registro_Compras!$F$297="NOTA DE CREDITO",ROUND(ABS(Registro_Compras!$K$297*Registro_Compras!$N$297),2),IF(Registro_Compras!$F$297="RHE",(ROUND(Registro_Compras!$L$297*Registro_Compras!$N$297,2)-ROUND(Registro_Compras!$V$297*Registro_Compras!$N$297,2)),Registro_Compras!$O$297)))</f>
        <v/>
      </c>
      <c r="G2644">
        <f>IF($C2644="","",IF(Registro_Compras!$F$297="NOTA DE CREDITO","Por la nota de credito "&amp;Registro_Compras!$C$297&amp;" de "&amp;Registro_Compras!$E$297&amp;" [PATRON POR CONFIRMAR CON CONTADOR]",IF(Registro_Compras!$F$297="RHE","Por el registro del recibo por honorarios "&amp;Registro_Compras!$C$297&amp;" de "&amp;Registro_Compras!$E$297&amp;" [PATRON POR CONFIRMAR CON CONTADOR]","Por el registro de la factura "&amp;Registro_Compras!$C$297&amp;" de "&amp;Registro_Compras!$E$297)))</f>
        <v/>
      </c>
      <c r="H2644">
        <f>IF($C2644="","",Registro_Compras!$C$297)</f>
        <v/>
      </c>
    </row>
    <row r="2645">
      <c r="A2645" s="25">
        <f>IF($C2645="","",Registro_Compras!$B$297)</f>
        <v/>
      </c>
      <c r="B2645">
        <f>IF($C2645="","","C"&amp;TEXT(INT((ROW()-5)/9)+1,"000")&amp;"-2")</f>
        <v/>
      </c>
      <c r="C2645">
        <f>IF(OR(Registro_Compras!$C$297="",Registro_Compras!$O$297=""),"",IF(Registro_Compras!$AB$297="ADMINISTRATIVO","94","95"))</f>
        <v/>
      </c>
      <c r="D2645">
        <f>IF(OR(Registro_Compras!$C$297="",Registro_Compras!$O$297=""),"",IF(Registro_Compras!$AB$297="ADMINISTRATIVO","Gastos Administrativos","Gastos de Venta y Operacion"))</f>
        <v/>
      </c>
      <c r="E2645" s="20">
        <f>IF($C2645="","",IF(Registro_Compras!$F$297="NOTA DE CREDITO","",IF(Registro_Compras!$F$297="RHE",ROUND(Registro_Compras!$L$297*Registro_Compras!$N$297,2),ROUND(Registro_Compras!$J$297*Registro_Compras!$N$297,2))))</f>
        <v/>
      </c>
      <c r="F2645" s="20">
        <f>IF($C2645="","",IF(Registro_Compras!$F$297="NOTA DE CREDITO",ROUND(ABS(Registro_Compras!$J$297*Registro_Compras!$N$297),2),""))</f>
        <v/>
      </c>
      <c r="G2645">
        <f>IF($C2645="","","Por el destino del gasto")</f>
        <v/>
      </c>
      <c r="H2645">
        <f>IF($C2645="","",Registro_Compras!$C$297)</f>
        <v/>
      </c>
    </row>
    <row r="2646">
      <c r="A2646" s="25">
        <f>IF($C2646="","",Registro_Compras!$B$297)</f>
        <v/>
      </c>
      <c r="B2646">
        <f>IF($C2646="","","C"&amp;TEXT(INT((ROW()-5)/9)+1,"000")&amp;"-2")</f>
        <v/>
      </c>
      <c r="C2646">
        <f>IF(OR(Registro_Compras!$C$297="",Registro_Compras!$O$297=""),"","79/791")</f>
        <v/>
      </c>
      <c r="D2646">
        <f>IF(OR(Registro_Compras!$C$297="",Registro_Compras!$O$297=""),"","Cargas Imputables a Cuentas de Costos y Gastos")</f>
        <v/>
      </c>
      <c r="E2646" s="20">
        <f>IF($C2646="","",IF(Registro_Compras!$F$297="NOTA DE CREDITO",ROUND(ABS(Registro_Compras!$J$297*Registro_Compras!$N$297),2),""))</f>
        <v/>
      </c>
      <c r="F2646" s="20">
        <f>IF($C2646="","",IF(Registro_Compras!$F$297="NOTA DE CREDITO","",IF(Registro_Compras!$F$297="RHE",ROUND(Registro_Compras!$L$297*Registro_Compras!$N$297,2),ROUND(Registro_Compras!$J$297*Registro_Compras!$N$297,2))))</f>
        <v/>
      </c>
      <c r="G2646">
        <f>IF($C2646="","","Por el destino del gasto")</f>
        <v/>
      </c>
      <c r="H2646">
        <f>IF($C2646="","",Registro_Compras!$C$297)</f>
        <v/>
      </c>
    </row>
    <row r="2647">
      <c r="A2647" s="25">
        <f>IF($C2647="","",Registro_Compras!$X$297)</f>
        <v/>
      </c>
      <c r="B2647">
        <f>IF($C2647="","","C"&amp;TEXT(INT((ROW()-5)/9)+1,"000")&amp;"-3")</f>
        <v/>
      </c>
      <c r="C2647">
        <f>IF(OR(Registro_Compras!$C$297="",Registro_Compras!$O$297="",Registro_Compras!$R$297&lt;&gt;"SI",Registro_Compras!$X$297=""),"","4212")</f>
        <v/>
      </c>
      <c r="D2647">
        <f>IF(OR(Registro_Compras!$C$297="",Registro_Compras!$O$297=""),"","Cuentas por Pagar Comerciales - Terceros")</f>
        <v/>
      </c>
      <c r="E2647" s="20">
        <f>IF($C2647="","",Registro_Compras!$S$297)</f>
        <v/>
      </c>
      <c r="F2647" s="20">
        <f>""</f>
        <v/>
      </c>
      <c r="G2647">
        <f>IF($C2647="","","Por el deposito de la detraccion en el Banco de la Nacion")</f>
        <v/>
      </c>
      <c r="H2647">
        <f>IF($C2647="","",Registro_Compras!$C$297)</f>
        <v/>
      </c>
    </row>
    <row r="2648">
      <c r="A2648" s="25">
        <f>IF($C2648="","",Registro_Compras!$X$297)</f>
        <v/>
      </c>
      <c r="B2648">
        <f>IF($C2648="","","C"&amp;TEXT(INT((ROW()-5)/9)+1,"000")&amp;"-3")</f>
        <v/>
      </c>
      <c r="C2648">
        <f>IF(OR(Registro_Compras!$C$297="",Registro_Compras!$O$297="",Registro_Compras!$R$297&lt;&gt;"SI",Registro_Compras!$X$297=""),"","10413")</f>
        <v/>
      </c>
      <c r="D2648">
        <f>IF(OR(Registro_Compras!$C$297="",Registro_Compras!$O$297=""),"","Efectivo y Equivalentes - Cta. Cte. Operativa")</f>
        <v/>
      </c>
      <c r="E2648" s="20">
        <f>""</f>
        <v/>
      </c>
      <c r="F2648" s="20">
        <f>IF($C2648="","",Registro_Compras!$S$297)</f>
        <v/>
      </c>
      <c r="G2648">
        <f>IF($C2648="","","Por el deposito de la detraccion en el Banco de la Nacion")</f>
        <v/>
      </c>
      <c r="H2648">
        <f>IF($C2648="","",Registro_Compras!$C$297)</f>
        <v/>
      </c>
    </row>
    <row r="2649">
      <c r="A2649" s="25">
        <f>IF($C2649="","",Registro_Compras!$Y$297)</f>
        <v/>
      </c>
      <c r="B2649">
        <f>IF($C2649="","","C"&amp;TEXT(INT((ROW()-5)/9)+1,"000")&amp;"-4")</f>
        <v/>
      </c>
      <c r="C2649">
        <f>IF(OR(Registro_Compras!$C$297="",Registro_Compras!$O$297="",Registro_Compras!$Y$297="",Registro_Compras!$F$297="NOTA DE CREDITO"),"","4212")</f>
        <v/>
      </c>
      <c r="D2649">
        <f>IF(OR(Registro_Compras!$C$297="",Registro_Compras!$O$297=""),"","Cuentas por Pagar Comerciales - Terceros")</f>
        <v/>
      </c>
      <c r="E2649" s="20">
        <f>IF($C2649="","",IF(Registro_Compras!$F$297="RHE",(ROUND(Registro_Compras!$L$297*Registro_Compras!$N$297,2)-ROUND(Registro_Compras!$V$297*Registro_Compras!$N$297,2)),ROUND(Registro_Compras!$O$297-Registro_Compras!$S$297,2)))</f>
        <v/>
      </c>
      <c r="F2649" s="20">
        <f>""</f>
        <v/>
      </c>
      <c r="G2649">
        <f>IF($C2649="","","Por la cancelacion del saldo al proveedor")</f>
        <v/>
      </c>
      <c r="H2649">
        <f>IF($C2649="","",Registro_Compras!$C$297)</f>
        <v/>
      </c>
    </row>
    <row r="2650">
      <c r="A2650" s="25">
        <f>IF($C2650="","",Registro_Compras!$Y$297)</f>
        <v/>
      </c>
      <c r="B2650">
        <f>IF($C2650="","","C"&amp;TEXT(INT((ROW()-5)/9)+1,"000")&amp;"-4")</f>
        <v/>
      </c>
      <c r="C2650">
        <f>IF(OR(Registro_Compras!$C$297="",Registro_Compras!$O$297="",Registro_Compras!$Y$297="",Registro_Compras!$F$297="NOTA DE CREDITO"),"","10413")</f>
        <v/>
      </c>
      <c r="D2650">
        <f>IF(OR(Registro_Compras!$C$297="",Registro_Compras!$O$297=""),"","Efectivo y Equivalentes - Cta. Cte. Operativa")</f>
        <v/>
      </c>
      <c r="E2650" s="20">
        <f>""</f>
        <v/>
      </c>
      <c r="F2650" s="20">
        <f>IF($C2650="","",IF(Registro_Compras!$F$297="RHE",(ROUND(Registro_Compras!$L$297*Registro_Compras!$N$297,2)-ROUND(Registro_Compras!$V$297*Registro_Compras!$N$297,2)),ROUND(Registro_Compras!$O$297-Registro_Compras!$S$297,2)))</f>
        <v/>
      </c>
      <c r="G2650">
        <f>IF($C2650="","","Por la cancelacion del saldo al proveedor")</f>
        <v/>
      </c>
      <c r="H2650">
        <f>IF($C2650="","",Registro_Compras!$C$297)</f>
        <v/>
      </c>
    </row>
    <row r="2651">
      <c r="A2651" s="25">
        <f>IF($C2651="","",Registro_Compras!$B$298)</f>
        <v/>
      </c>
      <c r="B2651">
        <f>IF($C2651="","","C"&amp;TEXT(INT((ROW()-5)/9)+1,"000")&amp;"-1")</f>
        <v/>
      </c>
      <c r="C2651">
        <f>IF(OR(Registro_Compras!$C$298="",Registro_Compras!$O$298=""),"",IF(Registro_Compras!$F$298="NOTA DE CREDITO","4212",IF(Registro_Compras!$M$298="","63",Registro_Compras!$M$298)))</f>
        <v/>
      </c>
      <c r="D2651">
        <f>IF(OR(Registro_Compras!$C$298="",Registro_Compras!$O$298=""),"",IF(Registro_Compras!$F$298="NOTA DE CREDITO","Cuentas por Pagar Comerciales - Terceros (Emitidas)",IF(Registro_Compras!$F$298="RHE","Honorarios Profesionales - Servicios de Terceros","Gastos de Servicios Prestados por Terceros")))</f>
        <v/>
      </c>
      <c r="E2651" s="20">
        <f>IF($C2651="","",IF(Registro_Compras!$F$298="NOTA DE CREDITO",ABS(Registro_Compras!$O$298),IF(Registro_Compras!$F$298="RHE",ROUND(Registro_Compras!$L$298*Registro_Compras!$N$298,2),ROUND(Registro_Compras!$J$298*Registro_Compras!$N$298,2))))</f>
        <v/>
      </c>
      <c r="F2651" s="20">
        <f>""</f>
        <v/>
      </c>
      <c r="G2651">
        <f>IF($C2651="","",IF(Registro_Compras!$F$298="NOTA DE CREDITO","Por la nota de credito "&amp;Registro_Compras!$C$298&amp;" de "&amp;Registro_Compras!$E$298&amp;" [PATRON POR CONFIRMAR CON CONTADOR]",IF(Registro_Compras!$F$298="RHE","Por el registro del recibo por honorarios "&amp;Registro_Compras!$C$298&amp;" de "&amp;Registro_Compras!$E$298&amp;" [PATRON POR CONFIRMAR CON CONTADOR]","Por el registro de la factura "&amp;Registro_Compras!$C$298&amp;" de "&amp;Registro_Compras!$E$298)))</f>
        <v/>
      </c>
      <c r="H2651">
        <f>IF($C2651="","",Registro_Compras!$C$298)</f>
        <v/>
      </c>
    </row>
    <row r="2652">
      <c r="A2652" s="25">
        <f>IF($C2652="","",Registro_Compras!$B$298)</f>
        <v/>
      </c>
      <c r="B2652">
        <f>IF($C2652="","","C"&amp;TEXT(INT((ROW()-5)/9)+1,"000")&amp;"-1")</f>
        <v/>
      </c>
      <c r="C2652">
        <f>IF(OR(Registro_Compras!$C$298="",Registro_Compras!$O$298=""),"",IF(Registro_Compras!$F$298="RHE",IF(Registro_Compras!$V$298=0,"","40172"),IF(Registro_Compras!$F$298="NOTA DE CREDITO",IF(Registro_Compras!$M$298="","63",Registro_Compras!$M$298),IF(Registro_Compras!$K$298=0,"","40111"))))</f>
        <v/>
      </c>
      <c r="D2652">
        <f>IF(OR(Registro_Compras!$C$298="",Registro_Compras!$O$298=""),"",IF(Registro_Compras!$F$298="RHE","Retencion Renta 4ta Categoria por Pagar",IF(Registro_Compras!$F$298="NOTA DE CREDITO","Gastos de Servicios Prestados por Terceros","IGV - Cuenta Propia (Credito Fiscal)")))</f>
        <v/>
      </c>
      <c r="E2652" s="20">
        <f>IF($C2652="","",IF(Registro_Compras!$F$298="FACTURA",ROUND(Registro_Compras!$K$298*Registro_Compras!$N$298,2),""))</f>
        <v/>
      </c>
      <c r="F2652" s="20">
        <f>IF($C2652="","",IF(Registro_Compras!$F$298="RHE",ROUND(Registro_Compras!$V$298*Registro_Compras!$N$298,2),IF(Registro_Compras!$F$298="NOTA DE CREDITO",ROUND(ABS(Registro_Compras!$J$298*Registro_Compras!$N$298),2),"")))</f>
        <v/>
      </c>
      <c r="G2652">
        <f>IF($C2652="","",IF(Registro_Compras!$F$298="NOTA DE CREDITO","Por la nota de credito "&amp;Registro_Compras!$C$298&amp;" de "&amp;Registro_Compras!$E$298&amp;" [PATRON POR CONFIRMAR CON CONTADOR]",IF(Registro_Compras!$F$298="RHE","Por el registro del recibo por honorarios "&amp;Registro_Compras!$C$298&amp;" de "&amp;Registro_Compras!$E$298&amp;" [PATRON POR CONFIRMAR CON CONTADOR]","Por el registro de la factura "&amp;Registro_Compras!$C$298&amp;" de "&amp;Registro_Compras!$E$298)))</f>
        <v/>
      </c>
      <c r="H2652">
        <f>IF($C2652="","",Registro_Compras!$C$298)</f>
        <v/>
      </c>
    </row>
    <row r="2653">
      <c r="A2653" s="25">
        <f>IF($C2653="","",Registro_Compras!$B$298)</f>
        <v/>
      </c>
      <c r="B2653">
        <f>IF($C2653="","","C"&amp;TEXT(INT((ROW()-5)/9)+1,"000")&amp;"-1")</f>
        <v/>
      </c>
      <c r="C2653">
        <f>IF(OR(Registro_Compras!$C$298="",Registro_Compras!$O$298=""),"",IF(Registro_Compras!$F$298="NOTA DE CREDITO",IF(Registro_Compras!$K$298=0,"","40111"),"4212"))</f>
        <v/>
      </c>
      <c r="D2653">
        <f>IF(OR(Registro_Compras!$C$298="",Registro_Compras!$O$298=""),"",IF(Registro_Compras!$F$298="NOTA DE CREDITO","IGV - Cuenta Propia (Credito Fiscal)","Cuentas por Pagar Comerciales - Terceros (Emitidas)"))</f>
        <v/>
      </c>
      <c r="E2653" s="20">
        <f>""</f>
        <v/>
      </c>
      <c r="F2653" s="20">
        <f>IF($C2653="","",IF(Registro_Compras!$F$298="NOTA DE CREDITO",ROUND(ABS(Registro_Compras!$K$298*Registro_Compras!$N$298),2),IF(Registro_Compras!$F$298="RHE",(ROUND(Registro_Compras!$L$298*Registro_Compras!$N$298,2)-ROUND(Registro_Compras!$V$298*Registro_Compras!$N$298,2)),Registro_Compras!$O$298)))</f>
        <v/>
      </c>
      <c r="G2653">
        <f>IF($C2653="","",IF(Registro_Compras!$F$298="NOTA DE CREDITO","Por la nota de credito "&amp;Registro_Compras!$C$298&amp;" de "&amp;Registro_Compras!$E$298&amp;" [PATRON POR CONFIRMAR CON CONTADOR]",IF(Registro_Compras!$F$298="RHE","Por el registro del recibo por honorarios "&amp;Registro_Compras!$C$298&amp;" de "&amp;Registro_Compras!$E$298&amp;" [PATRON POR CONFIRMAR CON CONTADOR]","Por el registro de la factura "&amp;Registro_Compras!$C$298&amp;" de "&amp;Registro_Compras!$E$298)))</f>
        <v/>
      </c>
      <c r="H2653">
        <f>IF($C2653="","",Registro_Compras!$C$298)</f>
        <v/>
      </c>
    </row>
    <row r="2654">
      <c r="A2654" s="25">
        <f>IF($C2654="","",Registro_Compras!$B$298)</f>
        <v/>
      </c>
      <c r="B2654">
        <f>IF($C2654="","","C"&amp;TEXT(INT((ROW()-5)/9)+1,"000")&amp;"-2")</f>
        <v/>
      </c>
      <c r="C2654">
        <f>IF(OR(Registro_Compras!$C$298="",Registro_Compras!$O$298=""),"",IF(Registro_Compras!$AB$298="ADMINISTRATIVO","94","95"))</f>
        <v/>
      </c>
      <c r="D2654">
        <f>IF(OR(Registro_Compras!$C$298="",Registro_Compras!$O$298=""),"",IF(Registro_Compras!$AB$298="ADMINISTRATIVO","Gastos Administrativos","Gastos de Venta y Operacion"))</f>
        <v/>
      </c>
      <c r="E2654" s="20">
        <f>IF($C2654="","",IF(Registro_Compras!$F$298="NOTA DE CREDITO","",IF(Registro_Compras!$F$298="RHE",ROUND(Registro_Compras!$L$298*Registro_Compras!$N$298,2),ROUND(Registro_Compras!$J$298*Registro_Compras!$N$298,2))))</f>
        <v/>
      </c>
      <c r="F2654" s="20">
        <f>IF($C2654="","",IF(Registro_Compras!$F$298="NOTA DE CREDITO",ROUND(ABS(Registro_Compras!$J$298*Registro_Compras!$N$298),2),""))</f>
        <v/>
      </c>
      <c r="G2654">
        <f>IF($C2654="","","Por el destino del gasto")</f>
        <v/>
      </c>
      <c r="H2654">
        <f>IF($C2654="","",Registro_Compras!$C$298)</f>
        <v/>
      </c>
    </row>
    <row r="2655">
      <c r="A2655" s="25">
        <f>IF($C2655="","",Registro_Compras!$B$298)</f>
        <v/>
      </c>
      <c r="B2655">
        <f>IF($C2655="","","C"&amp;TEXT(INT((ROW()-5)/9)+1,"000")&amp;"-2")</f>
        <v/>
      </c>
      <c r="C2655">
        <f>IF(OR(Registro_Compras!$C$298="",Registro_Compras!$O$298=""),"","79/791")</f>
        <v/>
      </c>
      <c r="D2655">
        <f>IF(OR(Registro_Compras!$C$298="",Registro_Compras!$O$298=""),"","Cargas Imputables a Cuentas de Costos y Gastos")</f>
        <v/>
      </c>
      <c r="E2655" s="20">
        <f>IF($C2655="","",IF(Registro_Compras!$F$298="NOTA DE CREDITO",ROUND(ABS(Registro_Compras!$J$298*Registro_Compras!$N$298),2),""))</f>
        <v/>
      </c>
      <c r="F2655" s="20">
        <f>IF($C2655="","",IF(Registro_Compras!$F$298="NOTA DE CREDITO","",IF(Registro_Compras!$F$298="RHE",ROUND(Registro_Compras!$L$298*Registro_Compras!$N$298,2),ROUND(Registro_Compras!$J$298*Registro_Compras!$N$298,2))))</f>
        <v/>
      </c>
      <c r="G2655">
        <f>IF($C2655="","","Por el destino del gasto")</f>
        <v/>
      </c>
      <c r="H2655">
        <f>IF($C2655="","",Registro_Compras!$C$298)</f>
        <v/>
      </c>
    </row>
    <row r="2656">
      <c r="A2656" s="25">
        <f>IF($C2656="","",Registro_Compras!$X$298)</f>
        <v/>
      </c>
      <c r="B2656">
        <f>IF($C2656="","","C"&amp;TEXT(INT((ROW()-5)/9)+1,"000")&amp;"-3")</f>
        <v/>
      </c>
      <c r="C2656">
        <f>IF(OR(Registro_Compras!$C$298="",Registro_Compras!$O$298="",Registro_Compras!$R$298&lt;&gt;"SI",Registro_Compras!$X$298=""),"","4212")</f>
        <v/>
      </c>
      <c r="D2656">
        <f>IF(OR(Registro_Compras!$C$298="",Registro_Compras!$O$298=""),"","Cuentas por Pagar Comerciales - Terceros")</f>
        <v/>
      </c>
      <c r="E2656" s="20">
        <f>IF($C2656="","",Registro_Compras!$S$298)</f>
        <v/>
      </c>
      <c r="F2656" s="20">
        <f>""</f>
        <v/>
      </c>
      <c r="G2656">
        <f>IF($C2656="","","Por el deposito de la detraccion en el Banco de la Nacion")</f>
        <v/>
      </c>
      <c r="H2656">
        <f>IF($C2656="","",Registro_Compras!$C$298)</f>
        <v/>
      </c>
    </row>
    <row r="2657">
      <c r="A2657" s="25">
        <f>IF($C2657="","",Registro_Compras!$X$298)</f>
        <v/>
      </c>
      <c r="B2657">
        <f>IF($C2657="","","C"&amp;TEXT(INT((ROW()-5)/9)+1,"000")&amp;"-3")</f>
        <v/>
      </c>
      <c r="C2657">
        <f>IF(OR(Registro_Compras!$C$298="",Registro_Compras!$O$298="",Registro_Compras!$R$298&lt;&gt;"SI",Registro_Compras!$X$298=""),"","10413")</f>
        <v/>
      </c>
      <c r="D2657">
        <f>IF(OR(Registro_Compras!$C$298="",Registro_Compras!$O$298=""),"","Efectivo y Equivalentes - Cta. Cte. Operativa")</f>
        <v/>
      </c>
      <c r="E2657" s="20">
        <f>""</f>
        <v/>
      </c>
      <c r="F2657" s="20">
        <f>IF($C2657="","",Registro_Compras!$S$298)</f>
        <v/>
      </c>
      <c r="G2657">
        <f>IF($C2657="","","Por el deposito de la detraccion en el Banco de la Nacion")</f>
        <v/>
      </c>
      <c r="H2657">
        <f>IF($C2657="","",Registro_Compras!$C$298)</f>
        <v/>
      </c>
    </row>
    <row r="2658">
      <c r="A2658" s="25">
        <f>IF($C2658="","",Registro_Compras!$Y$298)</f>
        <v/>
      </c>
      <c r="B2658">
        <f>IF($C2658="","","C"&amp;TEXT(INT((ROW()-5)/9)+1,"000")&amp;"-4")</f>
        <v/>
      </c>
      <c r="C2658">
        <f>IF(OR(Registro_Compras!$C$298="",Registro_Compras!$O$298="",Registro_Compras!$Y$298="",Registro_Compras!$F$298="NOTA DE CREDITO"),"","4212")</f>
        <v/>
      </c>
      <c r="D2658">
        <f>IF(OR(Registro_Compras!$C$298="",Registro_Compras!$O$298=""),"","Cuentas por Pagar Comerciales - Terceros")</f>
        <v/>
      </c>
      <c r="E2658" s="20">
        <f>IF($C2658="","",IF(Registro_Compras!$F$298="RHE",(ROUND(Registro_Compras!$L$298*Registro_Compras!$N$298,2)-ROUND(Registro_Compras!$V$298*Registro_Compras!$N$298,2)),ROUND(Registro_Compras!$O$298-Registro_Compras!$S$298,2)))</f>
        <v/>
      </c>
      <c r="F2658" s="20">
        <f>""</f>
        <v/>
      </c>
      <c r="G2658">
        <f>IF($C2658="","","Por la cancelacion del saldo al proveedor")</f>
        <v/>
      </c>
      <c r="H2658">
        <f>IF($C2658="","",Registro_Compras!$C$298)</f>
        <v/>
      </c>
    </row>
    <row r="2659">
      <c r="A2659" s="25">
        <f>IF($C2659="","",Registro_Compras!$Y$298)</f>
        <v/>
      </c>
      <c r="B2659">
        <f>IF($C2659="","","C"&amp;TEXT(INT((ROW()-5)/9)+1,"000")&amp;"-4")</f>
        <v/>
      </c>
      <c r="C2659">
        <f>IF(OR(Registro_Compras!$C$298="",Registro_Compras!$O$298="",Registro_Compras!$Y$298="",Registro_Compras!$F$298="NOTA DE CREDITO"),"","10413")</f>
        <v/>
      </c>
      <c r="D2659">
        <f>IF(OR(Registro_Compras!$C$298="",Registro_Compras!$O$298=""),"","Efectivo y Equivalentes - Cta. Cte. Operativa")</f>
        <v/>
      </c>
      <c r="E2659" s="20">
        <f>""</f>
        <v/>
      </c>
      <c r="F2659" s="20">
        <f>IF($C2659="","",IF(Registro_Compras!$F$298="RHE",(ROUND(Registro_Compras!$L$298*Registro_Compras!$N$298,2)-ROUND(Registro_Compras!$V$298*Registro_Compras!$N$298,2)),ROUND(Registro_Compras!$O$298-Registro_Compras!$S$298,2)))</f>
        <v/>
      </c>
      <c r="G2659">
        <f>IF($C2659="","","Por la cancelacion del saldo al proveedor")</f>
        <v/>
      </c>
      <c r="H2659">
        <f>IF($C2659="","",Registro_Compras!$C$298)</f>
        <v/>
      </c>
    </row>
    <row r="2660">
      <c r="A2660" s="25">
        <f>IF($C2660="","",Registro_Compras!$B$299)</f>
        <v/>
      </c>
      <c r="B2660">
        <f>IF($C2660="","","C"&amp;TEXT(INT((ROW()-5)/9)+1,"000")&amp;"-1")</f>
        <v/>
      </c>
      <c r="C2660">
        <f>IF(OR(Registro_Compras!$C$299="",Registro_Compras!$O$299=""),"",IF(Registro_Compras!$F$299="NOTA DE CREDITO","4212",IF(Registro_Compras!$M$299="","63",Registro_Compras!$M$299)))</f>
        <v/>
      </c>
      <c r="D2660">
        <f>IF(OR(Registro_Compras!$C$299="",Registro_Compras!$O$299=""),"",IF(Registro_Compras!$F$299="NOTA DE CREDITO","Cuentas por Pagar Comerciales - Terceros (Emitidas)",IF(Registro_Compras!$F$299="RHE","Honorarios Profesionales - Servicios de Terceros","Gastos de Servicios Prestados por Terceros")))</f>
        <v/>
      </c>
      <c r="E2660" s="20">
        <f>IF($C2660="","",IF(Registro_Compras!$F$299="NOTA DE CREDITO",ABS(Registro_Compras!$O$299),IF(Registro_Compras!$F$299="RHE",ROUND(Registro_Compras!$L$299*Registro_Compras!$N$299,2),ROUND(Registro_Compras!$J$299*Registro_Compras!$N$299,2))))</f>
        <v/>
      </c>
      <c r="F2660" s="20">
        <f>""</f>
        <v/>
      </c>
      <c r="G2660">
        <f>IF($C2660="","",IF(Registro_Compras!$F$299="NOTA DE CREDITO","Por la nota de credito "&amp;Registro_Compras!$C$299&amp;" de "&amp;Registro_Compras!$E$299&amp;" [PATRON POR CONFIRMAR CON CONTADOR]",IF(Registro_Compras!$F$299="RHE","Por el registro del recibo por honorarios "&amp;Registro_Compras!$C$299&amp;" de "&amp;Registro_Compras!$E$299&amp;" [PATRON POR CONFIRMAR CON CONTADOR]","Por el registro de la factura "&amp;Registro_Compras!$C$299&amp;" de "&amp;Registro_Compras!$E$299)))</f>
        <v/>
      </c>
      <c r="H2660">
        <f>IF($C2660="","",Registro_Compras!$C$299)</f>
        <v/>
      </c>
    </row>
    <row r="2661">
      <c r="A2661" s="25">
        <f>IF($C2661="","",Registro_Compras!$B$299)</f>
        <v/>
      </c>
      <c r="B2661">
        <f>IF($C2661="","","C"&amp;TEXT(INT((ROW()-5)/9)+1,"000")&amp;"-1")</f>
        <v/>
      </c>
      <c r="C2661">
        <f>IF(OR(Registro_Compras!$C$299="",Registro_Compras!$O$299=""),"",IF(Registro_Compras!$F$299="RHE",IF(Registro_Compras!$V$299=0,"","40172"),IF(Registro_Compras!$F$299="NOTA DE CREDITO",IF(Registro_Compras!$M$299="","63",Registro_Compras!$M$299),IF(Registro_Compras!$K$299=0,"","40111"))))</f>
        <v/>
      </c>
      <c r="D2661">
        <f>IF(OR(Registro_Compras!$C$299="",Registro_Compras!$O$299=""),"",IF(Registro_Compras!$F$299="RHE","Retencion Renta 4ta Categoria por Pagar",IF(Registro_Compras!$F$299="NOTA DE CREDITO","Gastos de Servicios Prestados por Terceros","IGV - Cuenta Propia (Credito Fiscal)")))</f>
        <v/>
      </c>
      <c r="E2661" s="20">
        <f>IF($C2661="","",IF(Registro_Compras!$F$299="FACTURA",ROUND(Registro_Compras!$K$299*Registro_Compras!$N$299,2),""))</f>
        <v/>
      </c>
      <c r="F2661" s="20">
        <f>IF($C2661="","",IF(Registro_Compras!$F$299="RHE",ROUND(Registro_Compras!$V$299*Registro_Compras!$N$299,2),IF(Registro_Compras!$F$299="NOTA DE CREDITO",ROUND(ABS(Registro_Compras!$J$299*Registro_Compras!$N$299),2),"")))</f>
        <v/>
      </c>
      <c r="G2661">
        <f>IF($C2661="","",IF(Registro_Compras!$F$299="NOTA DE CREDITO","Por la nota de credito "&amp;Registro_Compras!$C$299&amp;" de "&amp;Registro_Compras!$E$299&amp;" [PATRON POR CONFIRMAR CON CONTADOR]",IF(Registro_Compras!$F$299="RHE","Por el registro del recibo por honorarios "&amp;Registro_Compras!$C$299&amp;" de "&amp;Registro_Compras!$E$299&amp;" [PATRON POR CONFIRMAR CON CONTADOR]","Por el registro de la factura "&amp;Registro_Compras!$C$299&amp;" de "&amp;Registro_Compras!$E$299)))</f>
        <v/>
      </c>
      <c r="H2661">
        <f>IF($C2661="","",Registro_Compras!$C$299)</f>
        <v/>
      </c>
    </row>
    <row r="2662">
      <c r="A2662" s="25">
        <f>IF($C2662="","",Registro_Compras!$B$299)</f>
        <v/>
      </c>
      <c r="B2662">
        <f>IF($C2662="","","C"&amp;TEXT(INT((ROW()-5)/9)+1,"000")&amp;"-1")</f>
        <v/>
      </c>
      <c r="C2662">
        <f>IF(OR(Registro_Compras!$C$299="",Registro_Compras!$O$299=""),"",IF(Registro_Compras!$F$299="NOTA DE CREDITO",IF(Registro_Compras!$K$299=0,"","40111"),"4212"))</f>
        <v/>
      </c>
      <c r="D2662">
        <f>IF(OR(Registro_Compras!$C$299="",Registro_Compras!$O$299=""),"",IF(Registro_Compras!$F$299="NOTA DE CREDITO","IGV - Cuenta Propia (Credito Fiscal)","Cuentas por Pagar Comerciales - Terceros (Emitidas)"))</f>
        <v/>
      </c>
      <c r="E2662" s="20">
        <f>""</f>
        <v/>
      </c>
      <c r="F2662" s="20">
        <f>IF($C2662="","",IF(Registro_Compras!$F$299="NOTA DE CREDITO",ROUND(ABS(Registro_Compras!$K$299*Registro_Compras!$N$299),2),IF(Registro_Compras!$F$299="RHE",(ROUND(Registro_Compras!$L$299*Registro_Compras!$N$299,2)-ROUND(Registro_Compras!$V$299*Registro_Compras!$N$299,2)),Registro_Compras!$O$299)))</f>
        <v/>
      </c>
      <c r="G2662">
        <f>IF($C2662="","",IF(Registro_Compras!$F$299="NOTA DE CREDITO","Por la nota de credito "&amp;Registro_Compras!$C$299&amp;" de "&amp;Registro_Compras!$E$299&amp;" [PATRON POR CONFIRMAR CON CONTADOR]",IF(Registro_Compras!$F$299="RHE","Por el registro del recibo por honorarios "&amp;Registro_Compras!$C$299&amp;" de "&amp;Registro_Compras!$E$299&amp;" [PATRON POR CONFIRMAR CON CONTADOR]","Por el registro de la factura "&amp;Registro_Compras!$C$299&amp;" de "&amp;Registro_Compras!$E$299)))</f>
        <v/>
      </c>
      <c r="H2662">
        <f>IF($C2662="","",Registro_Compras!$C$299)</f>
        <v/>
      </c>
    </row>
    <row r="2663">
      <c r="A2663" s="25">
        <f>IF($C2663="","",Registro_Compras!$B$299)</f>
        <v/>
      </c>
      <c r="B2663">
        <f>IF($C2663="","","C"&amp;TEXT(INT((ROW()-5)/9)+1,"000")&amp;"-2")</f>
        <v/>
      </c>
      <c r="C2663">
        <f>IF(OR(Registro_Compras!$C$299="",Registro_Compras!$O$299=""),"",IF(Registro_Compras!$AB$299="ADMINISTRATIVO","94","95"))</f>
        <v/>
      </c>
      <c r="D2663">
        <f>IF(OR(Registro_Compras!$C$299="",Registro_Compras!$O$299=""),"",IF(Registro_Compras!$AB$299="ADMINISTRATIVO","Gastos Administrativos","Gastos de Venta y Operacion"))</f>
        <v/>
      </c>
      <c r="E2663" s="20">
        <f>IF($C2663="","",IF(Registro_Compras!$F$299="NOTA DE CREDITO","",IF(Registro_Compras!$F$299="RHE",ROUND(Registro_Compras!$L$299*Registro_Compras!$N$299,2),ROUND(Registro_Compras!$J$299*Registro_Compras!$N$299,2))))</f>
        <v/>
      </c>
      <c r="F2663" s="20">
        <f>IF($C2663="","",IF(Registro_Compras!$F$299="NOTA DE CREDITO",ROUND(ABS(Registro_Compras!$J$299*Registro_Compras!$N$299),2),""))</f>
        <v/>
      </c>
      <c r="G2663">
        <f>IF($C2663="","","Por el destino del gasto")</f>
        <v/>
      </c>
      <c r="H2663">
        <f>IF($C2663="","",Registro_Compras!$C$299)</f>
        <v/>
      </c>
    </row>
    <row r="2664">
      <c r="A2664" s="25">
        <f>IF($C2664="","",Registro_Compras!$B$299)</f>
        <v/>
      </c>
      <c r="B2664">
        <f>IF($C2664="","","C"&amp;TEXT(INT((ROW()-5)/9)+1,"000")&amp;"-2")</f>
        <v/>
      </c>
      <c r="C2664">
        <f>IF(OR(Registro_Compras!$C$299="",Registro_Compras!$O$299=""),"","79/791")</f>
        <v/>
      </c>
      <c r="D2664">
        <f>IF(OR(Registro_Compras!$C$299="",Registro_Compras!$O$299=""),"","Cargas Imputables a Cuentas de Costos y Gastos")</f>
        <v/>
      </c>
      <c r="E2664" s="20">
        <f>IF($C2664="","",IF(Registro_Compras!$F$299="NOTA DE CREDITO",ROUND(ABS(Registro_Compras!$J$299*Registro_Compras!$N$299),2),""))</f>
        <v/>
      </c>
      <c r="F2664" s="20">
        <f>IF($C2664="","",IF(Registro_Compras!$F$299="NOTA DE CREDITO","",IF(Registro_Compras!$F$299="RHE",ROUND(Registro_Compras!$L$299*Registro_Compras!$N$299,2),ROUND(Registro_Compras!$J$299*Registro_Compras!$N$299,2))))</f>
        <v/>
      </c>
      <c r="G2664">
        <f>IF($C2664="","","Por el destino del gasto")</f>
        <v/>
      </c>
      <c r="H2664">
        <f>IF($C2664="","",Registro_Compras!$C$299)</f>
        <v/>
      </c>
    </row>
    <row r="2665">
      <c r="A2665" s="25">
        <f>IF($C2665="","",Registro_Compras!$X$299)</f>
        <v/>
      </c>
      <c r="B2665">
        <f>IF($C2665="","","C"&amp;TEXT(INT((ROW()-5)/9)+1,"000")&amp;"-3")</f>
        <v/>
      </c>
      <c r="C2665">
        <f>IF(OR(Registro_Compras!$C$299="",Registro_Compras!$O$299="",Registro_Compras!$R$299&lt;&gt;"SI",Registro_Compras!$X$299=""),"","4212")</f>
        <v/>
      </c>
      <c r="D2665">
        <f>IF(OR(Registro_Compras!$C$299="",Registro_Compras!$O$299=""),"","Cuentas por Pagar Comerciales - Terceros")</f>
        <v/>
      </c>
      <c r="E2665" s="20">
        <f>IF($C2665="","",Registro_Compras!$S$299)</f>
        <v/>
      </c>
      <c r="F2665" s="20">
        <f>""</f>
        <v/>
      </c>
      <c r="G2665">
        <f>IF($C2665="","","Por el deposito de la detraccion en el Banco de la Nacion")</f>
        <v/>
      </c>
      <c r="H2665">
        <f>IF($C2665="","",Registro_Compras!$C$299)</f>
        <v/>
      </c>
    </row>
    <row r="2666">
      <c r="A2666" s="25">
        <f>IF($C2666="","",Registro_Compras!$X$299)</f>
        <v/>
      </c>
      <c r="B2666">
        <f>IF($C2666="","","C"&amp;TEXT(INT((ROW()-5)/9)+1,"000")&amp;"-3")</f>
        <v/>
      </c>
      <c r="C2666">
        <f>IF(OR(Registro_Compras!$C$299="",Registro_Compras!$O$299="",Registro_Compras!$R$299&lt;&gt;"SI",Registro_Compras!$X$299=""),"","10413")</f>
        <v/>
      </c>
      <c r="D2666">
        <f>IF(OR(Registro_Compras!$C$299="",Registro_Compras!$O$299=""),"","Efectivo y Equivalentes - Cta. Cte. Operativa")</f>
        <v/>
      </c>
      <c r="E2666" s="20">
        <f>""</f>
        <v/>
      </c>
      <c r="F2666" s="20">
        <f>IF($C2666="","",Registro_Compras!$S$299)</f>
        <v/>
      </c>
      <c r="G2666">
        <f>IF($C2666="","","Por el deposito de la detraccion en el Banco de la Nacion")</f>
        <v/>
      </c>
      <c r="H2666">
        <f>IF($C2666="","",Registro_Compras!$C$299)</f>
        <v/>
      </c>
    </row>
    <row r="2667">
      <c r="A2667" s="25">
        <f>IF($C2667="","",Registro_Compras!$Y$299)</f>
        <v/>
      </c>
      <c r="B2667">
        <f>IF($C2667="","","C"&amp;TEXT(INT((ROW()-5)/9)+1,"000")&amp;"-4")</f>
        <v/>
      </c>
      <c r="C2667">
        <f>IF(OR(Registro_Compras!$C$299="",Registro_Compras!$O$299="",Registro_Compras!$Y$299="",Registro_Compras!$F$299="NOTA DE CREDITO"),"","4212")</f>
        <v/>
      </c>
      <c r="D2667">
        <f>IF(OR(Registro_Compras!$C$299="",Registro_Compras!$O$299=""),"","Cuentas por Pagar Comerciales - Terceros")</f>
        <v/>
      </c>
      <c r="E2667" s="20">
        <f>IF($C2667="","",IF(Registro_Compras!$F$299="RHE",(ROUND(Registro_Compras!$L$299*Registro_Compras!$N$299,2)-ROUND(Registro_Compras!$V$299*Registro_Compras!$N$299,2)),ROUND(Registro_Compras!$O$299-Registro_Compras!$S$299,2)))</f>
        <v/>
      </c>
      <c r="F2667" s="20">
        <f>""</f>
        <v/>
      </c>
      <c r="G2667">
        <f>IF($C2667="","","Por la cancelacion del saldo al proveedor")</f>
        <v/>
      </c>
      <c r="H2667">
        <f>IF($C2667="","",Registro_Compras!$C$299)</f>
        <v/>
      </c>
    </row>
    <row r="2668">
      <c r="A2668" s="25">
        <f>IF($C2668="","",Registro_Compras!$Y$299)</f>
        <v/>
      </c>
      <c r="B2668">
        <f>IF($C2668="","","C"&amp;TEXT(INT((ROW()-5)/9)+1,"000")&amp;"-4")</f>
        <v/>
      </c>
      <c r="C2668">
        <f>IF(OR(Registro_Compras!$C$299="",Registro_Compras!$O$299="",Registro_Compras!$Y$299="",Registro_Compras!$F$299="NOTA DE CREDITO"),"","10413")</f>
        <v/>
      </c>
      <c r="D2668">
        <f>IF(OR(Registro_Compras!$C$299="",Registro_Compras!$O$299=""),"","Efectivo y Equivalentes - Cta. Cte. Operativa")</f>
        <v/>
      </c>
      <c r="E2668" s="20">
        <f>""</f>
        <v/>
      </c>
      <c r="F2668" s="20">
        <f>IF($C2668="","",IF(Registro_Compras!$F$299="RHE",(ROUND(Registro_Compras!$L$299*Registro_Compras!$N$299,2)-ROUND(Registro_Compras!$V$299*Registro_Compras!$N$299,2)),ROUND(Registro_Compras!$O$299-Registro_Compras!$S$299,2)))</f>
        <v/>
      </c>
      <c r="G2668">
        <f>IF($C2668="","","Por la cancelacion del saldo al proveedor")</f>
        <v/>
      </c>
      <c r="H2668">
        <f>IF($C2668="","",Registro_Compras!$C$299)</f>
        <v/>
      </c>
    </row>
    <row r="2669">
      <c r="A2669" s="25">
        <f>IF($C2669="","",Registro_Compras!$B$300)</f>
        <v/>
      </c>
      <c r="B2669">
        <f>IF($C2669="","","C"&amp;TEXT(INT((ROW()-5)/9)+1,"000")&amp;"-1")</f>
        <v/>
      </c>
      <c r="C2669">
        <f>IF(OR(Registro_Compras!$C$300="",Registro_Compras!$O$300=""),"",IF(Registro_Compras!$F$300="NOTA DE CREDITO","4212",IF(Registro_Compras!$M$300="","63",Registro_Compras!$M$300)))</f>
        <v/>
      </c>
      <c r="D2669">
        <f>IF(OR(Registro_Compras!$C$300="",Registro_Compras!$O$300=""),"",IF(Registro_Compras!$F$300="NOTA DE CREDITO","Cuentas por Pagar Comerciales - Terceros (Emitidas)",IF(Registro_Compras!$F$300="RHE","Honorarios Profesionales - Servicios de Terceros","Gastos de Servicios Prestados por Terceros")))</f>
        <v/>
      </c>
      <c r="E2669" s="20">
        <f>IF($C2669="","",IF(Registro_Compras!$F$300="NOTA DE CREDITO",ABS(Registro_Compras!$O$300),IF(Registro_Compras!$F$300="RHE",ROUND(Registro_Compras!$L$300*Registro_Compras!$N$300,2),ROUND(Registro_Compras!$J$300*Registro_Compras!$N$300,2))))</f>
        <v/>
      </c>
      <c r="F2669" s="20">
        <f>""</f>
        <v/>
      </c>
      <c r="G2669">
        <f>IF($C2669="","",IF(Registro_Compras!$F$300="NOTA DE CREDITO","Por la nota de credito "&amp;Registro_Compras!$C$300&amp;" de "&amp;Registro_Compras!$E$300&amp;" [PATRON POR CONFIRMAR CON CONTADOR]",IF(Registro_Compras!$F$300="RHE","Por el registro del recibo por honorarios "&amp;Registro_Compras!$C$300&amp;" de "&amp;Registro_Compras!$E$300&amp;" [PATRON POR CONFIRMAR CON CONTADOR]","Por el registro de la factura "&amp;Registro_Compras!$C$300&amp;" de "&amp;Registro_Compras!$E$300)))</f>
        <v/>
      </c>
      <c r="H2669">
        <f>IF($C2669="","",Registro_Compras!$C$300)</f>
        <v/>
      </c>
    </row>
    <row r="2670">
      <c r="A2670" s="25">
        <f>IF($C2670="","",Registro_Compras!$B$300)</f>
        <v/>
      </c>
      <c r="B2670">
        <f>IF($C2670="","","C"&amp;TEXT(INT((ROW()-5)/9)+1,"000")&amp;"-1")</f>
        <v/>
      </c>
      <c r="C2670">
        <f>IF(OR(Registro_Compras!$C$300="",Registro_Compras!$O$300=""),"",IF(Registro_Compras!$F$300="RHE",IF(Registro_Compras!$V$300=0,"","40172"),IF(Registro_Compras!$F$300="NOTA DE CREDITO",IF(Registro_Compras!$M$300="","63",Registro_Compras!$M$300),IF(Registro_Compras!$K$300=0,"","40111"))))</f>
        <v/>
      </c>
      <c r="D2670">
        <f>IF(OR(Registro_Compras!$C$300="",Registro_Compras!$O$300=""),"",IF(Registro_Compras!$F$300="RHE","Retencion Renta 4ta Categoria por Pagar",IF(Registro_Compras!$F$300="NOTA DE CREDITO","Gastos de Servicios Prestados por Terceros","IGV - Cuenta Propia (Credito Fiscal)")))</f>
        <v/>
      </c>
      <c r="E2670" s="20">
        <f>IF($C2670="","",IF(Registro_Compras!$F$300="FACTURA",ROUND(Registro_Compras!$K$300*Registro_Compras!$N$300,2),""))</f>
        <v/>
      </c>
      <c r="F2670" s="20">
        <f>IF($C2670="","",IF(Registro_Compras!$F$300="RHE",ROUND(Registro_Compras!$V$300*Registro_Compras!$N$300,2),IF(Registro_Compras!$F$300="NOTA DE CREDITO",ROUND(ABS(Registro_Compras!$J$300*Registro_Compras!$N$300),2),"")))</f>
        <v/>
      </c>
      <c r="G2670">
        <f>IF($C2670="","",IF(Registro_Compras!$F$300="NOTA DE CREDITO","Por la nota de credito "&amp;Registro_Compras!$C$300&amp;" de "&amp;Registro_Compras!$E$300&amp;" [PATRON POR CONFIRMAR CON CONTADOR]",IF(Registro_Compras!$F$300="RHE","Por el registro del recibo por honorarios "&amp;Registro_Compras!$C$300&amp;" de "&amp;Registro_Compras!$E$300&amp;" [PATRON POR CONFIRMAR CON CONTADOR]","Por el registro de la factura "&amp;Registro_Compras!$C$300&amp;" de "&amp;Registro_Compras!$E$300)))</f>
        <v/>
      </c>
      <c r="H2670">
        <f>IF($C2670="","",Registro_Compras!$C$300)</f>
        <v/>
      </c>
    </row>
    <row r="2671">
      <c r="A2671" s="25">
        <f>IF($C2671="","",Registro_Compras!$B$300)</f>
        <v/>
      </c>
      <c r="B2671">
        <f>IF($C2671="","","C"&amp;TEXT(INT((ROW()-5)/9)+1,"000")&amp;"-1")</f>
        <v/>
      </c>
      <c r="C2671">
        <f>IF(OR(Registro_Compras!$C$300="",Registro_Compras!$O$300=""),"",IF(Registro_Compras!$F$300="NOTA DE CREDITO",IF(Registro_Compras!$K$300=0,"","40111"),"4212"))</f>
        <v/>
      </c>
      <c r="D2671">
        <f>IF(OR(Registro_Compras!$C$300="",Registro_Compras!$O$300=""),"",IF(Registro_Compras!$F$300="NOTA DE CREDITO","IGV - Cuenta Propia (Credito Fiscal)","Cuentas por Pagar Comerciales - Terceros (Emitidas)"))</f>
        <v/>
      </c>
      <c r="E2671" s="20">
        <f>""</f>
        <v/>
      </c>
      <c r="F2671" s="20">
        <f>IF($C2671="","",IF(Registro_Compras!$F$300="NOTA DE CREDITO",ROUND(ABS(Registro_Compras!$K$300*Registro_Compras!$N$300),2),IF(Registro_Compras!$F$300="RHE",(ROUND(Registro_Compras!$L$300*Registro_Compras!$N$300,2)-ROUND(Registro_Compras!$V$300*Registro_Compras!$N$300,2)),Registro_Compras!$O$300)))</f>
        <v/>
      </c>
      <c r="G2671">
        <f>IF($C2671="","",IF(Registro_Compras!$F$300="NOTA DE CREDITO","Por la nota de credito "&amp;Registro_Compras!$C$300&amp;" de "&amp;Registro_Compras!$E$300&amp;" [PATRON POR CONFIRMAR CON CONTADOR]",IF(Registro_Compras!$F$300="RHE","Por el registro del recibo por honorarios "&amp;Registro_Compras!$C$300&amp;" de "&amp;Registro_Compras!$E$300&amp;" [PATRON POR CONFIRMAR CON CONTADOR]","Por el registro de la factura "&amp;Registro_Compras!$C$300&amp;" de "&amp;Registro_Compras!$E$300)))</f>
        <v/>
      </c>
      <c r="H2671">
        <f>IF($C2671="","",Registro_Compras!$C$300)</f>
        <v/>
      </c>
    </row>
    <row r="2672">
      <c r="A2672" s="25">
        <f>IF($C2672="","",Registro_Compras!$B$300)</f>
        <v/>
      </c>
      <c r="B2672">
        <f>IF($C2672="","","C"&amp;TEXT(INT((ROW()-5)/9)+1,"000")&amp;"-2")</f>
        <v/>
      </c>
      <c r="C2672">
        <f>IF(OR(Registro_Compras!$C$300="",Registro_Compras!$O$300=""),"",IF(Registro_Compras!$AB$300="ADMINISTRATIVO","94","95"))</f>
        <v/>
      </c>
      <c r="D2672">
        <f>IF(OR(Registro_Compras!$C$300="",Registro_Compras!$O$300=""),"",IF(Registro_Compras!$AB$300="ADMINISTRATIVO","Gastos Administrativos","Gastos de Venta y Operacion"))</f>
        <v/>
      </c>
      <c r="E2672" s="20">
        <f>IF($C2672="","",IF(Registro_Compras!$F$300="NOTA DE CREDITO","",IF(Registro_Compras!$F$300="RHE",ROUND(Registro_Compras!$L$300*Registro_Compras!$N$300,2),ROUND(Registro_Compras!$J$300*Registro_Compras!$N$300,2))))</f>
        <v/>
      </c>
      <c r="F2672" s="20">
        <f>IF($C2672="","",IF(Registro_Compras!$F$300="NOTA DE CREDITO",ROUND(ABS(Registro_Compras!$J$300*Registro_Compras!$N$300),2),""))</f>
        <v/>
      </c>
      <c r="G2672">
        <f>IF($C2672="","","Por el destino del gasto")</f>
        <v/>
      </c>
      <c r="H2672">
        <f>IF($C2672="","",Registro_Compras!$C$300)</f>
        <v/>
      </c>
    </row>
    <row r="2673">
      <c r="A2673" s="25">
        <f>IF($C2673="","",Registro_Compras!$B$300)</f>
        <v/>
      </c>
      <c r="B2673">
        <f>IF($C2673="","","C"&amp;TEXT(INT((ROW()-5)/9)+1,"000")&amp;"-2")</f>
        <v/>
      </c>
      <c r="C2673">
        <f>IF(OR(Registro_Compras!$C$300="",Registro_Compras!$O$300=""),"","79/791")</f>
        <v/>
      </c>
      <c r="D2673">
        <f>IF(OR(Registro_Compras!$C$300="",Registro_Compras!$O$300=""),"","Cargas Imputables a Cuentas de Costos y Gastos")</f>
        <v/>
      </c>
      <c r="E2673" s="20">
        <f>IF($C2673="","",IF(Registro_Compras!$F$300="NOTA DE CREDITO",ROUND(ABS(Registro_Compras!$J$300*Registro_Compras!$N$300),2),""))</f>
        <v/>
      </c>
      <c r="F2673" s="20">
        <f>IF($C2673="","",IF(Registro_Compras!$F$300="NOTA DE CREDITO","",IF(Registro_Compras!$F$300="RHE",ROUND(Registro_Compras!$L$300*Registro_Compras!$N$300,2),ROUND(Registro_Compras!$J$300*Registro_Compras!$N$300,2))))</f>
        <v/>
      </c>
      <c r="G2673">
        <f>IF($C2673="","","Por el destino del gasto")</f>
        <v/>
      </c>
      <c r="H2673">
        <f>IF($C2673="","",Registro_Compras!$C$300)</f>
        <v/>
      </c>
    </row>
    <row r="2674">
      <c r="A2674" s="25">
        <f>IF($C2674="","",Registro_Compras!$X$300)</f>
        <v/>
      </c>
      <c r="B2674">
        <f>IF($C2674="","","C"&amp;TEXT(INT((ROW()-5)/9)+1,"000")&amp;"-3")</f>
        <v/>
      </c>
      <c r="C2674">
        <f>IF(OR(Registro_Compras!$C$300="",Registro_Compras!$O$300="",Registro_Compras!$R$300&lt;&gt;"SI",Registro_Compras!$X$300=""),"","4212")</f>
        <v/>
      </c>
      <c r="D2674">
        <f>IF(OR(Registro_Compras!$C$300="",Registro_Compras!$O$300=""),"","Cuentas por Pagar Comerciales - Terceros")</f>
        <v/>
      </c>
      <c r="E2674" s="20">
        <f>IF($C2674="","",Registro_Compras!$S$300)</f>
        <v/>
      </c>
      <c r="F2674" s="20">
        <f>""</f>
        <v/>
      </c>
      <c r="G2674">
        <f>IF($C2674="","","Por el deposito de la detraccion en el Banco de la Nacion")</f>
        <v/>
      </c>
      <c r="H2674">
        <f>IF($C2674="","",Registro_Compras!$C$300)</f>
        <v/>
      </c>
    </row>
    <row r="2675">
      <c r="A2675" s="25">
        <f>IF($C2675="","",Registro_Compras!$X$300)</f>
        <v/>
      </c>
      <c r="B2675">
        <f>IF($C2675="","","C"&amp;TEXT(INT((ROW()-5)/9)+1,"000")&amp;"-3")</f>
        <v/>
      </c>
      <c r="C2675">
        <f>IF(OR(Registro_Compras!$C$300="",Registro_Compras!$O$300="",Registro_Compras!$R$300&lt;&gt;"SI",Registro_Compras!$X$300=""),"","10413")</f>
        <v/>
      </c>
      <c r="D2675">
        <f>IF(OR(Registro_Compras!$C$300="",Registro_Compras!$O$300=""),"","Efectivo y Equivalentes - Cta. Cte. Operativa")</f>
        <v/>
      </c>
      <c r="E2675" s="20">
        <f>""</f>
        <v/>
      </c>
      <c r="F2675" s="20">
        <f>IF($C2675="","",Registro_Compras!$S$300)</f>
        <v/>
      </c>
      <c r="G2675">
        <f>IF($C2675="","","Por el deposito de la detraccion en el Banco de la Nacion")</f>
        <v/>
      </c>
      <c r="H2675">
        <f>IF($C2675="","",Registro_Compras!$C$300)</f>
        <v/>
      </c>
    </row>
    <row r="2676">
      <c r="A2676" s="25">
        <f>IF($C2676="","",Registro_Compras!$Y$300)</f>
        <v/>
      </c>
      <c r="B2676">
        <f>IF($C2676="","","C"&amp;TEXT(INT((ROW()-5)/9)+1,"000")&amp;"-4")</f>
        <v/>
      </c>
      <c r="C2676">
        <f>IF(OR(Registro_Compras!$C$300="",Registro_Compras!$O$300="",Registro_Compras!$Y$300="",Registro_Compras!$F$300="NOTA DE CREDITO"),"","4212")</f>
        <v/>
      </c>
      <c r="D2676">
        <f>IF(OR(Registro_Compras!$C$300="",Registro_Compras!$O$300=""),"","Cuentas por Pagar Comerciales - Terceros")</f>
        <v/>
      </c>
      <c r="E2676" s="20">
        <f>IF($C2676="","",IF(Registro_Compras!$F$300="RHE",(ROUND(Registro_Compras!$L$300*Registro_Compras!$N$300,2)-ROUND(Registro_Compras!$V$300*Registro_Compras!$N$300,2)),ROUND(Registro_Compras!$O$300-Registro_Compras!$S$300,2)))</f>
        <v/>
      </c>
      <c r="F2676" s="20">
        <f>""</f>
        <v/>
      </c>
      <c r="G2676">
        <f>IF($C2676="","","Por la cancelacion del saldo al proveedor")</f>
        <v/>
      </c>
      <c r="H2676">
        <f>IF($C2676="","",Registro_Compras!$C$300)</f>
        <v/>
      </c>
    </row>
    <row r="2677">
      <c r="A2677" s="25">
        <f>IF($C2677="","",Registro_Compras!$Y$300)</f>
        <v/>
      </c>
      <c r="B2677">
        <f>IF($C2677="","","C"&amp;TEXT(INT((ROW()-5)/9)+1,"000")&amp;"-4")</f>
        <v/>
      </c>
      <c r="C2677">
        <f>IF(OR(Registro_Compras!$C$300="",Registro_Compras!$O$300="",Registro_Compras!$Y$300="",Registro_Compras!$F$300="NOTA DE CREDITO"),"","10413")</f>
        <v/>
      </c>
      <c r="D2677">
        <f>IF(OR(Registro_Compras!$C$300="",Registro_Compras!$O$300=""),"","Efectivo y Equivalentes - Cta. Cte. Operativa")</f>
        <v/>
      </c>
      <c r="E2677" s="20">
        <f>""</f>
        <v/>
      </c>
      <c r="F2677" s="20">
        <f>IF($C2677="","",IF(Registro_Compras!$F$300="RHE",(ROUND(Registro_Compras!$L$300*Registro_Compras!$N$300,2)-ROUND(Registro_Compras!$V$300*Registro_Compras!$N$300,2)),ROUND(Registro_Compras!$O$300-Registro_Compras!$S$300,2)))</f>
        <v/>
      </c>
      <c r="G2677">
        <f>IF($C2677="","","Por la cancelacion del saldo al proveedor")</f>
        <v/>
      </c>
      <c r="H2677">
        <f>IF($C2677="","",Registro_Compras!$C$300)</f>
        <v/>
      </c>
    </row>
    <row r="2678">
      <c r="A2678" s="25">
        <f>IF($C2678="","",Registro_Compras!$B$301)</f>
        <v/>
      </c>
      <c r="B2678">
        <f>IF($C2678="","","C"&amp;TEXT(INT((ROW()-5)/9)+1,"000")&amp;"-1")</f>
        <v/>
      </c>
      <c r="C2678">
        <f>IF(OR(Registro_Compras!$C$301="",Registro_Compras!$O$301=""),"",IF(Registro_Compras!$F$301="NOTA DE CREDITO","4212",IF(Registro_Compras!$M$301="","63",Registro_Compras!$M$301)))</f>
        <v/>
      </c>
      <c r="D2678">
        <f>IF(OR(Registro_Compras!$C$301="",Registro_Compras!$O$301=""),"",IF(Registro_Compras!$F$301="NOTA DE CREDITO","Cuentas por Pagar Comerciales - Terceros (Emitidas)",IF(Registro_Compras!$F$301="RHE","Honorarios Profesionales - Servicios de Terceros","Gastos de Servicios Prestados por Terceros")))</f>
        <v/>
      </c>
      <c r="E2678" s="20">
        <f>IF($C2678="","",IF(Registro_Compras!$F$301="NOTA DE CREDITO",ABS(Registro_Compras!$O$301),IF(Registro_Compras!$F$301="RHE",ROUND(Registro_Compras!$L$301*Registro_Compras!$N$301,2),ROUND(Registro_Compras!$J$301*Registro_Compras!$N$301,2))))</f>
        <v/>
      </c>
      <c r="F2678" s="20">
        <f>""</f>
        <v/>
      </c>
      <c r="G2678">
        <f>IF($C2678="","",IF(Registro_Compras!$F$301="NOTA DE CREDITO","Por la nota de credito "&amp;Registro_Compras!$C$301&amp;" de "&amp;Registro_Compras!$E$301&amp;" [PATRON POR CONFIRMAR CON CONTADOR]",IF(Registro_Compras!$F$301="RHE","Por el registro del recibo por honorarios "&amp;Registro_Compras!$C$301&amp;" de "&amp;Registro_Compras!$E$301&amp;" [PATRON POR CONFIRMAR CON CONTADOR]","Por el registro de la factura "&amp;Registro_Compras!$C$301&amp;" de "&amp;Registro_Compras!$E$301)))</f>
        <v/>
      </c>
      <c r="H2678">
        <f>IF($C2678="","",Registro_Compras!$C$301)</f>
        <v/>
      </c>
    </row>
    <row r="2679">
      <c r="A2679" s="25">
        <f>IF($C2679="","",Registro_Compras!$B$301)</f>
        <v/>
      </c>
      <c r="B2679">
        <f>IF($C2679="","","C"&amp;TEXT(INT((ROW()-5)/9)+1,"000")&amp;"-1")</f>
        <v/>
      </c>
      <c r="C2679">
        <f>IF(OR(Registro_Compras!$C$301="",Registro_Compras!$O$301=""),"",IF(Registro_Compras!$F$301="RHE",IF(Registro_Compras!$V$301=0,"","40172"),IF(Registro_Compras!$F$301="NOTA DE CREDITO",IF(Registro_Compras!$M$301="","63",Registro_Compras!$M$301),IF(Registro_Compras!$K$301=0,"","40111"))))</f>
        <v/>
      </c>
      <c r="D2679">
        <f>IF(OR(Registro_Compras!$C$301="",Registro_Compras!$O$301=""),"",IF(Registro_Compras!$F$301="RHE","Retencion Renta 4ta Categoria por Pagar",IF(Registro_Compras!$F$301="NOTA DE CREDITO","Gastos de Servicios Prestados por Terceros","IGV - Cuenta Propia (Credito Fiscal)")))</f>
        <v/>
      </c>
      <c r="E2679" s="20">
        <f>IF($C2679="","",IF(Registro_Compras!$F$301="FACTURA",ROUND(Registro_Compras!$K$301*Registro_Compras!$N$301,2),""))</f>
        <v/>
      </c>
      <c r="F2679" s="20">
        <f>IF($C2679="","",IF(Registro_Compras!$F$301="RHE",ROUND(Registro_Compras!$V$301*Registro_Compras!$N$301,2),IF(Registro_Compras!$F$301="NOTA DE CREDITO",ROUND(ABS(Registro_Compras!$J$301*Registro_Compras!$N$301),2),"")))</f>
        <v/>
      </c>
      <c r="G2679">
        <f>IF($C2679="","",IF(Registro_Compras!$F$301="NOTA DE CREDITO","Por la nota de credito "&amp;Registro_Compras!$C$301&amp;" de "&amp;Registro_Compras!$E$301&amp;" [PATRON POR CONFIRMAR CON CONTADOR]",IF(Registro_Compras!$F$301="RHE","Por el registro del recibo por honorarios "&amp;Registro_Compras!$C$301&amp;" de "&amp;Registro_Compras!$E$301&amp;" [PATRON POR CONFIRMAR CON CONTADOR]","Por el registro de la factura "&amp;Registro_Compras!$C$301&amp;" de "&amp;Registro_Compras!$E$301)))</f>
        <v/>
      </c>
      <c r="H2679">
        <f>IF($C2679="","",Registro_Compras!$C$301)</f>
        <v/>
      </c>
    </row>
    <row r="2680">
      <c r="A2680" s="25">
        <f>IF($C2680="","",Registro_Compras!$B$301)</f>
        <v/>
      </c>
      <c r="B2680">
        <f>IF($C2680="","","C"&amp;TEXT(INT((ROW()-5)/9)+1,"000")&amp;"-1")</f>
        <v/>
      </c>
      <c r="C2680">
        <f>IF(OR(Registro_Compras!$C$301="",Registro_Compras!$O$301=""),"",IF(Registro_Compras!$F$301="NOTA DE CREDITO",IF(Registro_Compras!$K$301=0,"","40111"),"4212"))</f>
        <v/>
      </c>
      <c r="D2680">
        <f>IF(OR(Registro_Compras!$C$301="",Registro_Compras!$O$301=""),"",IF(Registro_Compras!$F$301="NOTA DE CREDITO","IGV - Cuenta Propia (Credito Fiscal)","Cuentas por Pagar Comerciales - Terceros (Emitidas)"))</f>
        <v/>
      </c>
      <c r="E2680" s="20">
        <f>""</f>
        <v/>
      </c>
      <c r="F2680" s="20">
        <f>IF($C2680="","",IF(Registro_Compras!$F$301="NOTA DE CREDITO",ROUND(ABS(Registro_Compras!$K$301*Registro_Compras!$N$301),2),IF(Registro_Compras!$F$301="RHE",(ROUND(Registro_Compras!$L$301*Registro_Compras!$N$301,2)-ROUND(Registro_Compras!$V$301*Registro_Compras!$N$301,2)),Registro_Compras!$O$301)))</f>
        <v/>
      </c>
      <c r="G2680">
        <f>IF($C2680="","",IF(Registro_Compras!$F$301="NOTA DE CREDITO","Por la nota de credito "&amp;Registro_Compras!$C$301&amp;" de "&amp;Registro_Compras!$E$301&amp;" [PATRON POR CONFIRMAR CON CONTADOR]",IF(Registro_Compras!$F$301="RHE","Por el registro del recibo por honorarios "&amp;Registro_Compras!$C$301&amp;" de "&amp;Registro_Compras!$E$301&amp;" [PATRON POR CONFIRMAR CON CONTADOR]","Por el registro de la factura "&amp;Registro_Compras!$C$301&amp;" de "&amp;Registro_Compras!$E$301)))</f>
        <v/>
      </c>
      <c r="H2680">
        <f>IF($C2680="","",Registro_Compras!$C$301)</f>
        <v/>
      </c>
    </row>
    <row r="2681">
      <c r="A2681" s="25">
        <f>IF($C2681="","",Registro_Compras!$B$301)</f>
        <v/>
      </c>
      <c r="B2681">
        <f>IF($C2681="","","C"&amp;TEXT(INT((ROW()-5)/9)+1,"000")&amp;"-2")</f>
        <v/>
      </c>
      <c r="C2681">
        <f>IF(OR(Registro_Compras!$C$301="",Registro_Compras!$O$301=""),"",IF(Registro_Compras!$AB$301="ADMINISTRATIVO","94","95"))</f>
        <v/>
      </c>
      <c r="D2681">
        <f>IF(OR(Registro_Compras!$C$301="",Registro_Compras!$O$301=""),"",IF(Registro_Compras!$AB$301="ADMINISTRATIVO","Gastos Administrativos","Gastos de Venta y Operacion"))</f>
        <v/>
      </c>
      <c r="E2681" s="20">
        <f>IF($C2681="","",IF(Registro_Compras!$F$301="NOTA DE CREDITO","",IF(Registro_Compras!$F$301="RHE",ROUND(Registro_Compras!$L$301*Registro_Compras!$N$301,2),ROUND(Registro_Compras!$J$301*Registro_Compras!$N$301,2))))</f>
        <v/>
      </c>
      <c r="F2681" s="20">
        <f>IF($C2681="","",IF(Registro_Compras!$F$301="NOTA DE CREDITO",ROUND(ABS(Registro_Compras!$J$301*Registro_Compras!$N$301),2),""))</f>
        <v/>
      </c>
      <c r="G2681">
        <f>IF($C2681="","","Por el destino del gasto")</f>
        <v/>
      </c>
      <c r="H2681">
        <f>IF($C2681="","",Registro_Compras!$C$301)</f>
        <v/>
      </c>
    </row>
    <row r="2682">
      <c r="A2682" s="25">
        <f>IF($C2682="","",Registro_Compras!$B$301)</f>
        <v/>
      </c>
      <c r="B2682">
        <f>IF($C2682="","","C"&amp;TEXT(INT((ROW()-5)/9)+1,"000")&amp;"-2")</f>
        <v/>
      </c>
      <c r="C2682">
        <f>IF(OR(Registro_Compras!$C$301="",Registro_Compras!$O$301=""),"","79/791")</f>
        <v/>
      </c>
      <c r="D2682">
        <f>IF(OR(Registro_Compras!$C$301="",Registro_Compras!$O$301=""),"","Cargas Imputables a Cuentas de Costos y Gastos")</f>
        <v/>
      </c>
      <c r="E2682" s="20">
        <f>IF($C2682="","",IF(Registro_Compras!$F$301="NOTA DE CREDITO",ROUND(ABS(Registro_Compras!$J$301*Registro_Compras!$N$301),2),""))</f>
        <v/>
      </c>
      <c r="F2682" s="20">
        <f>IF($C2682="","",IF(Registro_Compras!$F$301="NOTA DE CREDITO","",IF(Registro_Compras!$F$301="RHE",ROUND(Registro_Compras!$L$301*Registro_Compras!$N$301,2),ROUND(Registro_Compras!$J$301*Registro_Compras!$N$301,2))))</f>
        <v/>
      </c>
      <c r="G2682">
        <f>IF($C2682="","","Por el destino del gasto")</f>
        <v/>
      </c>
      <c r="H2682">
        <f>IF($C2682="","",Registro_Compras!$C$301)</f>
        <v/>
      </c>
    </row>
    <row r="2683">
      <c r="A2683" s="25">
        <f>IF($C2683="","",Registro_Compras!$X$301)</f>
        <v/>
      </c>
      <c r="B2683">
        <f>IF($C2683="","","C"&amp;TEXT(INT((ROW()-5)/9)+1,"000")&amp;"-3")</f>
        <v/>
      </c>
      <c r="C2683">
        <f>IF(OR(Registro_Compras!$C$301="",Registro_Compras!$O$301="",Registro_Compras!$R$301&lt;&gt;"SI",Registro_Compras!$X$301=""),"","4212")</f>
        <v/>
      </c>
      <c r="D2683">
        <f>IF(OR(Registro_Compras!$C$301="",Registro_Compras!$O$301=""),"","Cuentas por Pagar Comerciales - Terceros")</f>
        <v/>
      </c>
      <c r="E2683" s="20">
        <f>IF($C2683="","",Registro_Compras!$S$301)</f>
        <v/>
      </c>
      <c r="F2683" s="20">
        <f>""</f>
        <v/>
      </c>
      <c r="G2683">
        <f>IF($C2683="","","Por el deposito de la detraccion en el Banco de la Nacion")</f>
        <v/>
      </c>
      <c r="H2683">
        <f>IF($C2683="","",Registro_Compras!$C$301)</f>
        <v/>
      </c>
    </row>
    <row r="2684">
      <c r="A2684" s="25">
        <f>IF($C2684="","",Registro_Compras!$X$301)</f>
        <v/>
      </c>
      <c r="B2684">
        <f>IF($C2684="","","C"&amp;TEXT(INT((ROW()-5)/9)+1,"000")&amp;"-3")</f>
        <v/>
      </c>
      <c r="C2684">
        <f>IF(OR(Registro_Compras!$C$301="",Registro_Compras!$O$301="",Registro_Compras!$R$301&lt;&gt;"SI",Registro_Compras!$X$301=""),"","10413")</f>
        <v/>
      </c>
      <c r="D2684">
        <f>IF(OR(Registro_Compras!$C$301="",Registro_Compras!$O$301=""),"","Efectivo y Equivalentes - Cta. Cte. Operativa")</f>
        <v/>
      </c>
      <c r="E2684" s="20">
        <f>""</f>
        <v/>
      </c>
      <c r="F2684" s="20">
        <f>IF($C2684="","",Registro_Compras!$S$301)</f>
        <v/>
      </c>
      <c r="G2684">
        <f>IF($C2684="","","Por el deposito de la detraccion en el Banco de la Nacion")</f>
        <v/>
      </c>
      <c r="H2684">
        <f>IF($C2684="","",Registro_Compras!$C$301)</f>
        <v/>
      </c>
    </row>
    <row r="2685">
      <c r="A2685" s="25">
        <f>IF($C2685="","",Registro_Compras!$Y$301)</f>
        <v/>
      </c>
      <c r="B2685">
        <f>IF($C2685="","","C"&amp;TEXT(INT((ROW()-5)/9)+1,"000")&amp;"-4")</f>
        <v/>
      </c>
      <c r="C2685">
        <f>IF(OR(Registro_Compras!$C$301="",Registro_Compras!$O$301="",Registro_Compras!$Y$301="",Registro_Compras!$F$301="NOTA DE CREDITO"),"","4212")</f>
        <v/>
      </c>
      <c r="D2685">
        <f>IF(OR(Registro_Compras!$C$301="",Registro_Compras!$O$301=""),"","Cuentas por Pagar Comerciales - Terceros")</f>
        <v/>
      </c>
      <c r="E2685" s="20">
        <f>IF($C2685="","",IF(Registro_Compras!$F$301="RHE",(ROUND(Registro_Compras!$L$301*Registro_Compras!$N$301,2)-ROUND(Registro_Compras!$V$301*Registro_Compras!$N$301,2)),ROUND(Registro_Compras!$O$301-Registro_Compras!$S$301,2)))</f>
        <v/>
      </c>
      <c r="F2685" s="20">
        <f>""</f>
        <v/>
      </c>
      <c r="G2685">
        <f>IF($C2685="","","Por la cancelacion del saldo al proveedor")</f>
        <v/>
      </c>
      <c r="H2685">
        <f>IF($C2685="","",Registro_Compras!$C$301)</f>
        <v/>
      </c>
    </row>
    <row r="2686">
      <c r="A2686" s="25">
        <f>IF($C2686="","",Registro_Compras!$Y$301)</f>
        <v/>
      </c>
      <c r="B2686">
        <f>IF($C2686="","","C"&amp;TEXT(INT((ROW()-5)/9)+1,"000")&amp;"-4")</f>
        <v/>
      </c>
      <c r="C2686">
        <f>IF(OR(Registro_Compras!$C$301="",Registro_Compras!$O$301="",Registro_Compras!$Y$301="",Registro_Compras!$F$301="NOTA DE CREDITO"),"","10413")</f>
        <v/>
      </c>
      <c r="D2686">
        <f>IF(OR(Registro_Compras!$C$301="",Registro_Compras!$O$301=""),"","Efectivo y Equivalentes - Cta. Cte. Operativa")</f>
        <v/>
      </c>
      <c r="E2686" s="20">
        <f>""</f>
        <v/>
      </c>
      <c r="F2686" s="20">
        <f>IF($C2686="","",IF(Registro_Compras!$F$301="RHE",(ROUND(Registro_Compras!$L$301*Registro_Compras!$N$301,2)-ROUND(Registro_Compras!$V$301*Registro_Compras!$N$301,2)),ROUND(Registro_Compras!$O$301-Registro_Compras!$S$301,2)))</f>
        <v/>
      </c>
      <c r="G2686">
        <f>IF($C2686="","","Por la cancelacion del saldo al proveedor")</f>
        <v/>
      </c>
      <c r="H2686">
        <f>IF($C2686="","",Registro_Compras!$C$301)</f>
        <v/>
      </c>
    </row>
    <row r="2687">
      <c r="A2687" s="25">
        <f>IF($C2687="","",Registro_Compras!$B$302)</f>
        <v/>
      </c>
      <c r="B2687">
        <f>IF($C2687="","","C"&amp;TEXT(INT((ROW()-5)/9)+1,"000")&amp;"-1")</f>
        <v/>
      </c>
      <c r="C2687">
        <f>IF(OR(Registro_Compras!$C$302="",Registro_Compras!$O$302=""),"",IF(Registro_Compras!$F$302="NOTA DE CREDITO","4212",IF(Registro_Compras!$M$302="","63",Registro_Compras!$M$302)))</f>
        <v/>
      </c>
      <c r="D2687">
        <f>IF(OR(Registro_Compras!$C$302="",Registro_Compras!$O$302=""),"",IF(Registro_Compras!$F$302="NOTA DE CREDITO","Cuentas por Pagar Comerciales - Terceros (Emitidas)",IF(Registro_Compras!$F$302="RHE","Honorarios Profesionales - Servicios de Terceros","Gastos de Servicios Prestados por Terceros")))</f>
        <v/>
      </c>
      <c r="E2687" s="20">
        <f>IF($C2687="","",IF(Registro_Compras!$F$302="NOTA DE CREDITO",ABS(Registro_Compras!$O$302),IF(Registro_Compras!$F$302="RHE",ROUND(Registro_Compras!$L$302*Registro_Compras!$N$302,2),ROUND(Registro_Compras!$J$302*Registro_Compras!$N$302,2))))</f>
        <v/>
      </c>
      <c r="F2687" s="20">
        <f>""</f>
        <v/>
      </c>
      <c r="G2687">
        <f>IF($C2687="","",IF(Registro_Compras!$F$302="NOTA DE CREDITO","Por la nota de credito "&amp;Registro_Compras!$C$302&amp;" de "&amp;Registro_Compras!$E$302&amp;" [PATRON POR CONFIRMAR CON CONTADOR]",IF(Registro_Compras!$F$302="RHE","Por el registro del recibo por honorarios "&amp;Registro_Compras!$C$302&amp;" de "&amp;Registro_Compras!$E$302&amp;" [PATRON POR CONFIRMAR CON CONTADOR]","Por el registro de la factura "&amp;Registro_Compras!$C$302&amp;" de "&amp;Registro_Compras!$E$302)))</f>
        <v/>
      </c>
      <c r="H2687">
        <f>IF($C2687="","",Registro_Compras!$C$302)</f>
        <v/>
      </c>
    </row>
    <row r="2688">
      <c r="A2688" s="25">
        <f>IF($C2688="","",Registro_Compras!$B$302)</f>
        <v/>
      </c>
      <c r="B2688">
        <f>IF($C2688="","","C"&amp;TEXT(INT((ROW()-5)/9)+1,"000")&amp;"-1")</f>
        <v/>
      </c>
      <c r="C2688">
        <f>IF(OR(Registro_Compras!$C$302="",Registro_Compras!$O$302=""),"",IF(Registro_Compras!$F$302="RHE",IF(Registro_Compras!$V$302=0,"","40172"),IF(Registro_Compras!$F$302="NOTA DE CREDITO",IF(Registro_Compras!$M$302="","63",Registro_Compras!$M$302),IF(Registro_Compras!$K$302=0,"","40111"))))</f>
        <v/>
      </c>
      <c r="D2688">
        <f>IF(OR(Registro_Compras!$C$302="",Registro_Compras!$O$302=""),"",IF(Registro_Compras!$F$302="RHE","Retencion Renta 4ta Categoria por Pagar",IF(Registro_Compras!$F$302="NOTA DE CREDITO","Gastos de Servicios Prestados por Terceros","IGV - Cuenta Propia (Credito Fiscal)")))</f>
        <v/>
      </c>
      <c r="E2688" s="20">
        <f>IF($C2688="","",IF(Registro_Compras!$F$302="FACTURA",ROUND(Registro_Compras!$K$302*Registro_Compras!$N$302,2),""))</f>
        <v/>
      </c>
      <c r="F2688" s="20">
        <f>IF($C2688="","",IF(Registro_Compras!$F$302="RHE",ROUND(Registro_Compras!$V$302*Registro_Compras!$N$302,2),IF(Registro_Compras!$F$302="NOTA DE CREDITO",ROUND(ABS(Registro_Compras!$J$302*Registro_Compras!$N$302),2),"")))</f>
        <v/>
      </c>
      <c r="G2688">
        <f>IF($C2688="","",IF(Registro_Compras!$F$302="NOTA DE CREDITO","Por la nota de credito "&amp;Registro_Compras!$C$302&amp;" de "&amp;Registro_Compras!$E$302&amp;" [PATRON POR CONFIRMAR CON CONTADOR]",IF(Registro_Compras!$F$302="RHE","Por el registro del recibo por honorarios "&amp;Registro_Compras!$C$302&amp;" de "&amp;Registro_Compras!$E$302&amp;" [PATRON POR CONFIRMAR CON CONTADOR]","Por el registro de la factura "&amp;Registro_Compras!$C$302&amp;" de "&amp;Registro_Compras!$E$302)))</f>
        <v/>
      </c>
      <c r="H2688">
        <f>IF($C2688="","",Registro_Compras!$C$302)</f>
        <v/>
      </c>
    </row>
    <row r="2689">
      <c r="A2689" s="25">
        <f>IF($C2689="","",Registro_Compras!$B$302)</f>
        <v/>
      </c>
      <c r="B2689">
        <f>IF($C2689="","","C"&amp;TEXT(INT((ROW()-5)/9)+1,"000")&amp;"-1")</f>
        <v/>
      </c>
      <c r="C2689">
        <f>IF(OR(Registro_Compras!$C$302="",Registro_Compras!$O$302=""),"",IF(Registro_Compras!$F$302="NOTA DE CREDITO",IF(Registro_Compras!$K$302=0,"","40111"),"4212"))</f>
        <v/>
      </c>
      <c r="D2689">
        <f>IF(OR(Registro_Compras!$C$302="",Registro_Compras!$O$302=""),"",IF(Registro_Compras!$F$302="NOTA DE CREDITO","IGV - Cuenta Propia (Credito Fiscal)","Cuentas por Pagar Comerciales - Terceros (Emitidas)"))</f>
        <v/>
      </c>
      <c r="E2689" s="20">
        <f>""</f>
        <v/>
      </c>
      <c r="F2689" s="20">
        <f>IF($C2689="","",IF(Registro_Compras!$F$302="NOTA DE CREDITO",ROUND(ABS(Registro_Compras!$K$302*Registro_Compras!$N$302),2),IF(Registro_Compras!$F$302="RHE",(ROUND(Registro_Compras!$L$302*Registro_Compras!$N$302,2)-ROUND(Registro_Compras!$V$302*Registro_Compras!$N$302,2)),Registro_Compras!$O$302)))</f>
        <v/>
      </c>
      <c r="G2689">
        <f>IF($C2689="","",IF(Registro_Compras!$F$302="NOTA DE CREDITO","Por la nota de credito "&amp;Registro_Compras!$C$302&amp;" de "&amp;Registro_Compras!$E$302&amp;" [PATRON POR CONFIRMAR CON CONTADOR]",IF(Registro_Compras!$F$302="RHE","Por el registro del recibo por honorarios "&amp;Registro_Compras!$C$302&amp;" de "&amp;Registro_Compras!$E$302&amp;" [PATRON POR CONFIRMAR CON CONTADOR]","Por el registro de la factura "&amp;Registro_Compras!$C$302&amp;" de "&amp;Registro_Compras!$E$302)))</f>
        <v/>
      </c>
      <c r="H2689">
        <f>IF($C2689="","",Registro_Compras!$C$302)</f>
        <v/>
      </c>
    </row>
    <row r="2690">
      <c r="A2690" s="25">
        <f>IF($C2690="","",Registro_Compras!$B$302)</f>
        <v/>
      </c>
      <c r="B2690">
        <f>IF($C2690="","","C"&amp;TEXT(INT((ROW()-5)/9)+1,"000")&amp;"-2")</f>
        <v/>
      </c>
      <c r="C2690">
        <f>IF(OR(Registro_Compras!$C$302="",Registro_Compras!$O$302=""),"",IF(Registro_Compras!$AB$302="ADMINISTRATIVO","94","95"))</f>
        <v/>
      </c>
      <c r="D2690">
        <f>IF(OR(Registro_Compras!$C$302="",Registro_Compras!$O$302=""),"",IF(Registro_Compras!$AB$302="ADMINISTRATIVO","Gastos Administrativos","Gastos de Venta y Operacion"))</f>
        <v/>
      </c>
      <c r="E2690" s="20">
        <f>IF($C2690="","",IF(Registro_Compras!$F$302="NOTA DE CREDITO","",IF(Registro_Compras!$F$302="RHE",ROUND(Registro_Compras!$L$302*Registro_Compras!$N$302,2),ROUND(Registro_Compras!$J$302*Registro_Compras!$N$302,2))))</f>
        <v/>
      </c>
      <c r="F2690" s="20">
        <f>IF($C2690="","",IF(Registro_Compras!$F$302="NOTA DE CREDITO",ROUND(ABS(Registro_Compras!$J$302*Registro_Compras!$N$302),2),""))</f>
        <v/>
      </c>
      <c r="G2690">
        <f>IF($C2690="","","Por el destino del gasto")</f>
        <v/>
      </c>
      <c r="H2690">
        <f>IF($C2690="","",Registro_Compras!$C$302)</f>
        <v/>
      </c>
    </row>
    <row r="2691">
      <c r="A2691" s="25">
        <f>IF($C2691="","",Registro_Compras!$B$302)</f>
        <v/>
      </c>
      <c r="B2691">
        <f>IF($C2691="","","C"&amp;TEXT(INT((ROW()-5)/9)+1,"000")&amp;"-2")</f>
        <v/>
      </c>
      <c r="C2691">
        <f>IF(OR(Registro_Compras!$C$302="",Registro_Compras!$O$302=""),"","79/791")</f>
        <v/>
      </c>
      <c r="D2691">
        <f>IF(OR(Registro_Compras!$C$302="",Registro_Compras!$O$302=""),"","Cargas Imputables a Cuentas de Costos y Gastos")</f>
        <v/>
      </c>
      <c r="E2691" s="20">
        <f>IF($C2691="","",IF(Registro_Compras!$F$302="NOTA DE CREDITO",ROUND(ABS(Registro_Compras!$J$302*Registro_Compras!$N$302),2),""))</f>
        <v/>
      </c>
      <c r="F2691" s="20">
        <f>IF($C2691="","",IF(Registro_Compras!$F$302="NOTA DE CREDITO","",IF(Registro_Compras!$F$302="RHE",ROUND(Registro_Compras!$L$302*Registro_Compras!$N$302,2),ROUND(Registro_Compras!$J$302*Registro_Compras!$N$302,2))))</f>
        <v/>
      </c>
      <c r="G2691">
        <f>IF($C2691="","","Por el destino del gasto")</f>
        <v/>
      </c>
      <c r="H2691">
        <f>IF($C2691="","",Registro_Compras!$C$302)</f>
        <v/>
      </c>
    </row>
    <row r="2692">
      <c r="A2692" s="25">
        <f>IF($C2692="","",Registro_Compras!$X$302)</f>
        <v/>
      </c>
      <c r="B2692">
        <f>IF($C2692="","","C"&amp;TEXT(INT((ROW()-5)/9)+1,"000")&amp;"-3")</f>
        <v/>
      </c>
      <c r="C2692">
        <f>IF(OR(Registro_Compras!$C$302="",Registro_Compras!$O$302="",Registro_Compras!$R$302&lt;&gt;"SI",Registro_Compras!$X$302=""),"","4212")</f>
        <v/>
      </c>
      <c r="D2692">
        <f>IF(OR(Registro_Compras!$C$302="",Registro_Compras!$O$302=""),"","Cuentas por Pagar Comerciales - Terceros")</f>
        <v/>
      </c>
      <c r="E2692" s="20">
        <f>IF($C2692="","",Registro_Compras!$S$302)</f>
        <v/>
      </c>
      <c r="F2692" s="20">
        <f>""</f>
        <v/>
      </c>
      <c r="G2692">
        <f>IF($C2692="","","Por el deposito de la detraccion en el Banco de la Nacion")</f>
        <v/>
      </c>
      <c r="H2692">
        <f>IF($C2692="","",Registro_Compras!$C$302)</f>
        <v/>
      </c>
    </row>
    <row r="2693">
      <c r="A2693" s="25">
        <f>IF($C2693="","",Registro_Compras!$X$302)</f>
        <v/>
      </c>
      <c r="B2693">
        <f>IF($C2693="","","C"&amp;TEXT(INT((ROW()-5)/9)+1,"000")&amp;"-3")</f>
        <v/>
      </c>
      <c r="C2693">
        <f>IF(OR(Registro_Compras!$C$302="",Registro_Compras!$O$302="",Registro_Compras!$R$302&lt;&gt;"SI",Registro_Compras!$X$302=""),"","10413")</f>
        <v/>
      </c>
      <c r="D2693">
        <f>IF(OR(Registro_Compras!$C$302="",Registro_Compras!$O$302=""),"","Efectivo y Equivalentes - Cta. Cte. Operativa")</f>
        <v/>
      </c>
      <c r="E2693" s="20">
        <f>""</f>
        <v/>
      </c>
      <c r="F2693" s="20">
        <f>IF($C2693="","",Registro_Compras!$S$302)</f>
        <v/>
      </c>
      <c r="G2693">
        <f>IF($C2693="","","Por el deposito de la detraccion en el Banco de la Nacion")</f>
        <v/>
      </c>
      <c r="H2693">
        <f>IF($C2693="","",Registro_Compras!$C$302)</f>
        <v/>
      </c>
    </row>
    <row r="2694">
      <c r="A2694" s="25">
        <f>IF($C2694="","",Registro_Compras!$Y$302)</f>
        <v/>
      </c>
      <c r="B2694">
        <f>IF($C2694="","","C"&amp;TEXT(INT((ROW()-5)/9)+1,"000")&amp;"-4")</f>
        <v/>
      </c>
      <c r="C2694">
        <f>IF(OR(Registro_Compras!$C$302="",Registro_Compras!$O$302="",Registro_Compras!$Y$302="",Registro_Compras!$F$302="NOTA DE CREDITO"),"","4212")</f>
        <v/>
      </c>
      <c r="D2694">
        <f>IF(OR(Registro_Compras!$C$302="",Registro_Compras!$O$302=""),"","Cuentas por Pagar Comerciales - Terceros")</f>
        <v/>
      </c>
      <c r="E2694" s="20">
        <f>IF($C2694="","",IF(Registro_Compras!$F$302="RHE",(ROUND(Registro_Compras!$L$302*Registro_Compras!$N$302,2)-ROUND(Registro_Compras!$V$302*Registro_Compras!$N$302,2)),ROUND(Registro_Compras!$O$302-Registro_Compras!$S$302,2)))</f>
        <v/>
      </c>
      <c r="F2694" s="20">
        <f>""</f>
        <v/>
      </c>
      <c r="G2694">
        <f>IF($C2694="","","Por la cancelacion del saldo al proveedor")</f>
        <v/>
      </c>
      <c r="H2694">
        <f>IF($C2694="","",Registro_Compras!$C$302)</f>
        <v/>
      </c>
    </row>
    <row r="2695">
      <c r="A2695" s="25">
        <f>IF($C2695="","",Registro_Compras!$Y$302)</f>
        <v/>
      </c>
      <c r="B2695">
        <f>IF($C2695="","","C"&amp;TEXT(INT((ROW()-5)/9)+1,"000")&amp;"-4")</f>
        <v/>
      </c>
      <c r="C2695">
        <f>IF(OR(Registro_Compras!$C$302="",Registro_Compras!$O$302="",Registro_Compras!$Y$302="",Registro_Compras!$F$302="NOTA DE CREDITO"),"","10413")</f>
        <v/>
      </c>
      <c r="D2695">
        <f>IF(OR(Registro_Compras!$C$302="",Registro_Compras!$O$302=""),"","Efectivo y Equivalentes - Cta. Cte. Operativa")</f>
        <v/>
      </c>
      <c r="E2695" s="20">
        <f>""</f>
        <v/>
      </c>
      <c r="F2695" s="20">
        <f>IF($C2695="","",IF(Registro_Compras!$F$302="RHE",(ROUND(Registro_Compras!$L$302*Registro_Compras!$N$302,2)-ROUND(Registro_Compras!$V$302*Registro_Compras!$N$302,2)),ROUND(Registro_Compras!$O$302-Registro_Compras!$S$302,2)))</f>
        <v/>
      </c>
      <c r="G2695">
        <f>IF($C2695="","","Por la cancelacion del saldo al proveedor")</f>
        <v/>
      </c>
      <c r="H2695">
        <f>IF($C2695="","",Registro_Compras!$C$302)</f>
        <v/>
      </c>
    </row>
    <row r="2696">
      <c r="A2696" s="25">
        <f>IF($C2696="","",Registro_Compras!$B$303)</f>
        <v/>
      </c>
      <c r="B2696">
        <f>IF($C2696="","","C"&amp;TEXT(INT((ROW()-5)/9)+1,"000")&amp;"-1")</f>
        <v/>
      </c>
      <c r="C2696">
        <f>IF(OR(Registro_Compras!$C$303="",Registro_Compras!$O$303=""),"",IF(Registro_Compras!$F$303="NOTA DE CREDITO","4212",IF(Registro_Compras!$M$303="","63",Registro_Compras!$M$303)))</f>
        <v/>
      </c>
      <c r="D2696">
        <f>IF(OR(Registro_Compras!$C$303="",Registro_Compras!$O$303=""),"",IF(Registro_Compras!$F$303="NOTA DE CREDITO","Cuentas por Pagar Comerciales - Terceros (Emitidas)",IF(Registro_Compras!$F$303="RHE","Honorarios Profesionales - Servicios de Terceros","Gastos de Servicios Prestados por Terceros")))</f>
        <v/>
      </c>
      <c r="E2696" s="20">
        <f>IF($C2696="","",IF(Registro_Compras!$F$303="NOTA DE CREDITO",ABS(Registro_Compras!$O$303),IF(Registro_Compras!$F$303="RHE",ROUND(Registro_Compras!$L$303*Registro_Compras!$N$303,2),ROUND(Registro_Compras!$J$303*Registro_Compras!$N$303,2))))</f>
        <v/>
      </c>
      <c r="F2696" s="20">
        <f>""</f>
        <v/>
      </c>
      <c r="G2696">
        <f>IF($C2696="","",IF(Registro_Compras!$F$303="NOTA DE CREDITO","Por la nota de credito "&amp;Registro_Compras!$C$303&amp;" de "&amp;Registro_Compras!$E$303&amp;" [PATRON POR CONFIRMAR CON CONTADOR]",IF(Registro_Compras!$F$303="RHE","Por el registro del recibo por honorarios "&amp;Registro_Compras!$C$303&amp;" de "&amp;Registro_Compras!$E$303&amp;" [PATRON POR CONFIRMAR CON CONTADOR]","Por el registro de la factura "&amp;Registro_Compras!$C$303&amp;" de "&amp;Registro_Compras!$E$303)))</f>
        <v/>
      </c>
      <c r="H2696">
        <f>IF($C2696="","",Registro_Compras!$C$303)</f>
        <v/>
      </c>
    </row>
    <row r="2697">
      <c r="A2697" s="25">
        <f>IF($C2697="","",Registro_Compras!$B$303)</f>
        <v/>
      </c>
      <c r="B2697">
        <f>IF($C2697="","","C"&amp;TEXT(INT((ROW()-5)/9)+1,"000")&amp;"-1")</f>
        <v/>
      </c>
      <c r="C2697">
        <f>IF(OR(Registro_Compras!$C$303="",Registro_Compras!$O$303=""),"",IF(Registro_Compras!$F$303="RHE",IF(Registro_Compras!$V$303=0,"","40172"),IF(Registro_Compras!$F$303="NOTA DE CREDITO",IF(Registro_Compras!$M$303="","63",Registro_Compras!$M$303),IF(Registro_Compras!$K$303=0,"","40111"))))</f>
        <v/>
      </c>
      <c r="D2697">
        <f>IF(OR(Registro_Compras!$C$303="",Registro_Compras!$O$303=""),"",IF(Registro_Compras!$F$303="RHE","Retencion Renta 4ta Categoria por Pagar",IF(Registro_Compras!$F$303="NOTA DE CREDITO","Gastos de Servicios Prestados por Terceros","IGV - Cuenta Propia (Credito Fiscal)")))</f>
        <v/>
      </c>
      <c r="E2697" s="20">
        <f>IF($C2697="","",IF(Registro_Compras!$F$303="FACTURA",ROUND(Registro_Compras!$K$303*Registro_Compras!$N$303,2),""))</f>
        <v/>
      </c>
      <c r="F2697" s="20">
        <f>IF($C2697="","",IF(Registro_Compras!$F$303="RHE",ROUND(Registro_Compras!$V$303*Registro_Compras!$N$303,2),IF(Registro_Compras!$F$303="NOTA DE CREDITO",ROUND(ABS(Registro_Compras!$J$303*Registro_Compras!$N$303),2),"")))</f>
        <v/>
      </c>
      <c r="G2697">
        <f>IF($C2697="","",IF(Registro_Compras!$F$303="NOTA DE CREDITO","Por la nota de credito "&amp;Registro_Compras!$C$303&amp;" de "&amp;Registro_Compras!$E$303&amp;" [PATRON POR CONFIRMAR CON CONTADOR]",IF(Registro_Compras!$F$303="RHE","Por el registro del recibo por honorarios "&amp;Registro_Compras!$C$303&amp;" de "&amp;Registro_Compras!$E$303&amp;" [PATRON POR CONFIRMAR CON CONTADOR]","Por el registro de la factura "&amp;Registro_Compras!$C$303&amp;" de "&amp;Registro_Compras!$E$303)))</f>
        <v/>
      </c>
      <c r="H2697">
        <f>IF($C2697="","",Registro_Compras!$C$303)</f>
        <v/>
      </c>
    </row>
    <row r="2698">
      <c r="A2698" s="25">
        <f>IF($C2698="","",Registro_Compras!$B$303)</f>
        <v/>
      </c>
      <c r="B2698">
        <f>IF($C2698="","","C"&amp;TEXT(INT((ROW()-5)/9)+1,"000")&amp;"-1")</f>
        <v/>
      </c>
      <c r="C2698">
        <f>IF(OR(Registro_Compras!$C$303="",Registro_Compras!$O$303=""),"",IF(Registro_Compras!$F$303="NOTA DE CREDITO",IF(Registro_Compras!$K$303=0,"","40111"),"4212"))</f>
        <v/>
      </c>
      <c r="D2698">
        <f>IF(OR(Registro_Compras!$C$303="",Registro_Compras!$O$303=""),"",IF(Registro_Compras!$F$303="NOTA DE CREDITO","IGV - Cuenta Propia (Credito Fiscal)","Cuentas por Pagar Comerciales - Terceros (Emitidas)"))</f>
        <v/>
      </c>
      <c r="E2698" s="20">
        <f>""</f>
        <v/>
      </c>
      <c r="F2698" s="20">
        <f>IF($C2698="","",IF(Registro_Compras!$F$303="NOTA DE CREDITO",ROUND(ABS(Registro_Compras!$K$303*Registro_Compras!$N$303),2),IF(Registro_Compras!$F$303="RHE",(ROUND(Registro_Compras!$L$303*Registro_Compras!$N$303,2)-ROUND(Registro_Compras!$V$303*Registro_Compras!$N$303,2)),Registro_Compras!$O$303)))</f>
        <v/>
      </c>
      <c r="G2698">
        <f>IF($C2698="","",IF(Registro_Compras!$F$303="NOTA DE CREDITO","Por la nota de credito "&amp;Registro_Compras!$C$303&amp;" de "&amp;Registro_Compras!$E$303&amp;" [PATRON POR CONFIRMAR CON CONTADOR]",IF(Registro_Compras!$F$303="RHE","Por el registro del recibo por honorarios "&amp;Registro_Compras!$C$303&amp;" de "&amp;Registro_Compras!$E$303&amp;" [PATRON POR CONFIRMAR CON CONTADOR]","Por el registro de la factura "&amp;Registro_Compras!$C$303&amp;" de "&amp;Registro_Compras!$E$303)))</f>
        <v/>
      </c>
      <c r="H2698">
        <f>IF($C2698="","",Registro_Compras!$C$303)</f>
        <v/>
      </c>
    </row>
    <row r="2699">
      <c r="A2699" s="25">
        <f>IF($C2699="","",Registro_Compras!$B$303)</f>
        <v/>
      </c>
      <c r="B2699">
        <f>IF($C2699="","","C"&amp;TEXT(INT((ROW()-5)/9)+1,"000")&amp;"-2")</f>
        <v/>
      </c>
      <c r="C2699">
        <f>IF(OR(Registro_Compras!$C$303="",Registro_Compras!$O$303=""),"",IF(Registro_Compras!$AB$303="ADMINISTRATIVO","94","95"))</f>
        <v/>
      </c>
      <c r="D2699">
        <f>IF(OR(Registro_Compras!$C$303="",Registro_Compras!$O$303=""),"",IF(Registro_Compras!$AB$303="ADMINISTRATIVO","Gastos Administrativos","Gastos de Venta y Operacion"))</f>
        <v/>
      </c>
      <c r="E2699" s="20">
        <f>IF($C2699="","",IF(Registro_Compras!$F$303="NOTA DE CREDITO","",IF(Registro_Compras!$F$303="RHE",ROUND(Registro_Compras!$L$303*Registro_Compras!$N$303,2),ROUND(Registro_Compras!$J$303*Registro_Compras!$N$303,2))))</f>
        <v/>
      </c>
      <c r="F2699" s="20">
        <f>IF($C2699="","",IF(Registro_Compras!$F$303="NOTA DE CREDITO",ROUND(ABS(Registro_Compras!$J$303*Registro_Compras!$N$303),2),""))</f>
        <v/>
      </c>
      <c r="G2699">
        <f>IF($C2699="","","Por el destino del gasto")</f>
        <v/>
      </c>
      <c r="H2699">
        <f>IF($C2699="","",Registro_Compras!$C$303)</f>
        <v/>
      </c>
    </row>
    <row r="2700">
      <c r="A2700" s="25">
        <f>IF($C2700="","",Registro_Compras!$B$303)</f>
        <v/>
      </c>
      <c r="B2700">
        <f>IF($C2700="","","C"&amp;TEXT(INT((ROW()-5)/9)+1,"000")&amp;"-2")</f>
        <v/>
      </c>
      <c r="C2700">
        <f>IF(OR(Registro_Compras!$C$303="",Registro_Compras!$O$303=""),"","79/791")</f>
        <v/>
      </c>
      <c r="D2700">
        <f>IF(OR(Registro_Compras!$C$303="",Registro_Compras!$O$303=""),"","Cargas Imputables a Cuentas de Costos y Gastos")</f>
        <v/>
      </c>
      <c r="E2700" s="20">
        <f>IF($C2700="","",IF(Registro_Compras!$F$303="NOTA DE CREDITO",ROUND(ABS(Registro_Compras!$J$303*Registro_Compras!$N$303),2),""))</f>
        <v/>
      </c>
      <c r="F2700" s="20">
        <f>IF($C2700="","",IF(Registro_Compras!$F$303="NOTA DE CREDITO","",IF(Registro_Compras!$F$303="RHE",ROUND(Registro_Compras!$L$303*Registro_Compras!$N$303,2),ROUND(Registro_Compras!$J$303*Registro_Compras!$N$303,2))))</f>
        <v/>
      </c>
      <c r="G2700">
        <f>IF($C2700="","","Por el destino del gasto")</f>
        <v/>
      </c>
      <c r="H2700">
        <f>IF($C2700="","",Registro_Compras!$C$303)</f>
        <v/>
      </c>
    </row>
    <row r="2701">
      <c r="A2701" s="25">
        <f>IF($C2701="","",Registro_Compras!$X$303)</f>
        <v/>
      </c>
      <c r="B2701">
        <f>IF($C2701="","","C"&amp;TEXT(INT((ROW()-5)/9)+1,"000")&amp;"-3")</f>
        <v/>
      </c>
      <c r="C2701">
        <f>IF(OR(Registro_Compras!$C$303="",Registro_Compras!$O$303="",Registro_Compras!$R$303&lt;&gt;"SI",Registro_Compras!$X$303=""),"","4212")</f>
        <v/>
      </c>
      <c r="D2701">
        <f>IF(OR(Registro_Compras!$C$303="",Registro_Compras!$O$303=""),"","Cuentas por Pagar Comerciales - Terceros")</f>
        <v/>
      </c>
      <c r="E2701" s="20">
        <f>IF($C2701="","",Registro_Compras!$S$303)</f>
        <v/>
      </c>
      <c r="F2701" s="20">
        <f>""</f>
        <v/>
      </c>
      <c r="G2701">
        <f>IF($C2701="","","Por el deposito de la detraccion en el Banco de la Nacion")</f>
        <v/>
      </c>
      <c r="H2701">
        <f>IF($C2701="","",Registro_Compras!$C$303)</f>
        <v/>
      </c>
    </row>
    <row r="2702">
      <c r="A2702" s="25">
        <f>IF($C2702="","",Registro_Compras!$X$303)</f>
        <v/>
      </c>
      <c r="B2702">
        <f>IF($C2702="","","C"&amp;TEXT(INT((ROW()-5)/9)+1,"000")&amp;"-3")</f>
        <v/>
      </c>
      <c r="C2702">
        <f>IF(OR(Registro_Compras!$C$303="",Registro_Compras!$O$303="",Registro_Compras!$R$303&lt;&gt;"SI",Registro_Compras!$X$303=""),"","10413")</f>
        <v/>
      </c>
      <c r="D2702">
        <f>IF(OR(Registro_Compras!$C$303="",Registro_Compras!$O$303=""),"","Efectivo y Equivalentes - Cta. Cte. Operativa")</f>
        <v/>
      </c>
      <c r="E2702" s="20">
        <f>""</f>
        <v/>
      </c>
      <c r="F2702" s="20">
        <f>IF($C2702="","",Registro_Compras!$S$303)</f>
        <v/>
      </c>
      <c r="G2702">
        <f>IF($C2702="","","Por el deposito de la detraccion en el Banco de la Nacion")</f>
        <v/>
      </c>
      <c r="H2702">
        <f>IF($C2702="","",Registro_Compras!$C$303)</f>
        <v/>
      </c>
    </row>
    <row r="2703">
      <c r="A2703" s="25">
        <f>IF($C2703="","",Registro_Compras!$Y$303)</f>
        <v/>
      </c>
      <c r="B2703">
        <f>IF($C2703="","","C"&amp;TEXT(INT((ROW()-5)/9)+1,"000")&amp;"-4")</f>
        <v/>
      </c>
      <c r="C2703">
        <f>IF(OR(Registro_Compras!$C$303="",Registro_Compras!$O$303="",Registro_Compras!$Y$303="",Registro_Compras!$F$303="NOTA DE CREDITO"),"","4212")</f>
        <v/>
      </c>
      <c r="D2703">
        <f>IF(OR(Registro_Compras!$C$303="",Registro_Compras!$O$303=""),"","Cuentas por Pagar Comerciales - Terceros")</f>
        <v/>
      </c>
      <c r="E2703" s="20">
        <f>IF($C2703="","",IF(Registro_Compras!$F$303="RHE",(ROUND(Registro_Compras!$L$303*Registro_Compras!$N$303,2)-ROUND(Registro_Compras!$V$303*Registro_Compras!$N$303,2)),ROUND(Registro_Compras!$O$303-Registro_Compras!$S$303,2)))</f>
        <v/>
      </c>
      <c r="F2703" s="20">
        <f>""</f>
        <v/>
      </c>
      <c r="G2703">
        <f>IF($C2703="","","Por la cancelacion del saldo al proveedor")</f>
        <v/>
      </c>
      <c r="H2703">
        <f>IF($C2703="","",Registro_Compras!$C$303)</f>
        <v/>
      </c>
    </row>
    <row r="2704">
      <c r="A2704" s="25">
        <f>IF($C2704="","",Registro_Compras!$Y$303)</f>
        <v/>
      </c>
      <c r="B2704">
        <f>IF($C2704="","","C"&amp;TEXT(INT((ROW()-5)/9)+1,"000")&amp;"-4")</f>
        <v/>
      </c>
      <c r="C2704">
        <f>IF(OR(Registro_Compras!$C$303="",Registro_Compras!$O$303="",Registro_Compras!$Y$303="",Registro_Compras!$F$303="NOTA DE CREDITO"),"","10413")</f>
        <v/>
      </c>
      <c r="D2704">
        <f>IF(OR(Registro_Compras!$C$303="",Registro_Compras!$O$303=""),"","Efectivo y Equivalentes - Cta. Cte. Operativa")</f>
        <v/>
      </c>
      <c r="E2704" s="20">
        <f>""</f>
        <v/>
      </c>
      <c r="F2704" s="20">
        <f>IF($C2704="","",IF(Registro_Compras!$F$303="RHE",(ROUND(Registro_Compras!$L$303*Registro_Compras!$N$303,2)-ROUND(Registro_Compras!$V$303*Registro_Compras!$N$303,2)),ROUND(Registro_Compras!$O$303-Registro_Compras!$S$303,2)))</f>
        <v/>
      </c>
      <c r="G2704">
        <f>IF($C2704="","","Por la cancelacion del saldo al proveedor")</f>
        <v/>
      </c>
      <c r="H2704">
        <f>IF($C2704="","",Registro_Compras!$C$303)</f>
        <v/>
      </c>
    </row>
    <row r="2705">
      <c r="A2705" s="25">
        <f>IF($C2705="","",Registro_Compras!$B$304)</f>
        <v/>
      </c>
      <c r="B2705">
        <f>IF($C2705="","","C"&amp;TEXT(INT((ROW()-5)/9)+1,"000")&amp;"-1")</f>
        <v/>
      </c>
      <c r="C2705">
        <f>IF(OR(Registro_Compras!$C$304="",Registro_Compras!$O$304=""),"",IF(Registro_Compras!$F$304="NOTA DE CREDITO","4212",IF(Registro_Compras!$M$304="","63",Registro_Compras!$M$304)))</f>
        <v/>
      </c>
      <c r="D2705">
        <f>IF(OR(Registro_Compras!$C$304="",Registro_Compras!$O$304=""),"",IF(Registro_Compras!$F$304="NOTA DE CREDITO","Cuentas por Pagar Comerciales - Terceros (Emitidas)",IF(Registro_Compras!$F$304="RHE","Honorarios Profesionales - Servicios de Terceros","Gastos de Servicios Prestados por Terceros")))</f>
        <v/>
      </c>
      <c r="E2705" s="20">
        <f>IF($C2705="","",IF(Registro_Compras!$F$304="NOTA DE CREDITO",ABS(Registro_Compras!$O$304),IF(Registro_Compras!$F$304="RHE",ROUND(Registro_Compras!$L$304*Registro_Compras!$N$304,2),ROUND(Registro_Compras!$J$304*Registro_Compras!$N$304,2))))</f>
        <v/>
      </c>
      <c r="F2705" s="20">
        <f>""</f>
        <v/>
      </c>
      <c r="G2705">
        <f>IF($C2705="","",IF(Registro_Compras!$F$304="NOTA DE CREDITO","Por la nota de credito "&amp;Registro_Compras!$C$304&amp;" de "&amp;Registro_Compras!$E$304&amp;" [PATRON POR CONFIRMAR CON CONTADOR]",IF(Registro_Compras!$F$304="RHE","Por el registro del recibo por honorarios "&amp;Registro_Compras!$C$304&amp;" de "&amp;Registro_Compras!$E$304&amp;" [PATRON POR CONFIRMAR CON CONTADOR]","Por el registro de la factura "&amp;Registro_Compras!$C$304&amp;" de "&amp;Registro_Compras!$E$304)))</f>
        <v/>
      </c>
      <c r="H2705">
        <f>IF($C2705="","",Registro_Compras!$C$304)</f>
        <v/>
      </c>
    </row>
    <row r="2706">
      <c r="A2706" s="25">
        <f>IF($C2706="","",Registro_Compras!$B$304)</f>
        <v/>
      </c>
      <c r="B2706">
        <f>IF($C2706="","","C"&amp;TEXT(INT((ROW()-5)/9)+1,"000")&amp;"-1")</f>
        <v/>
      </c>
      <c r="C2706">
        <f>IF(OR(Registro_Compras!$C$304="",Registro_Compras!$O$304=""),"",IF(Registro_Compras!$F$304="RHE",IF(Registro_Compras!$V$304=0,"","40172"),IF(Registro_Compras!$F$304="NOTA DE CREDITO",IF(Registro_Compras!$M$304="","63",Registro_Compras!$M$304),IF(Registro_Compras!$K$304=0,"","40111"))))</f>
        <v/>
      </c>
      <c r="D2706">
        <f>IF(OR(Registro_Compras!$C$304="",Registro_Compras!$O$304=""),"",IF(Registro_Compras!$F$304="RHE","Retencion Renta 4ta Categoria por Pagar",IF(Registro_Compras!$F$304="NOTA DE CREDITO","Gastos de Servicios Prestados por Terceros","IGV - Cuenta Propia (Credito Fiscal)")))</f>
        <v/>
      </c>
      <c r="E2706" s="20">
        <f>IF($C2706="","",IF(Registro_Compras!$F$304="FACTURA",ROUND(Registro_Compras!$K$304*Registro_Compras!$N$304,2),""))</f>
        <v/>
      </c>
      <c r="F2706" s="20">
        <f>IF($C2706="","",IF(Registro_Compras!$F$304="RHE",ROUND(Registro_Compras!$V$304*Registro_Compras!$N$304,2),IF(Registro_Compras!$F$304="NOTA DE CREDITO",ROUND(ABS(Registro_Compras!$J$304*Registro_Compras!$N$304),2),"")))</f>
        <v/>
      </c>
      <c r="G2706">
        <f>IF($C2706="","",IF(Registro_Compras!$F$304="NOTA DE CREDITO","Por la nota de credito "&amp;Registro_Compras!$C$304&amp;" de "&amp;Registro_Compras!$E$304&amp;" [PATRON POR CONFIRMAR CON CONTADOR]",IF(Registro_Compras!$F$304="RHE","Por el registro del recibo por honorarios "&amp;Registro_Compras!$C$304&amp;" de "&amp;Registro_Compras!$E$304&amp;" [PATRON POR CONFIRMAR CON CONTADOR]","Por el registro de la factura "&amp;Registro_Compras!$C$304&amp;" de "&amp;Registro_Compras!$E$304)))</f>
        <v/>
      </c>
      <c r="H2706">
        <f>IF($C2706="","",Registro_Compras!$C$304)</f>
        <v/>
      </c>
    </row>
    <row r="2707">
      <c r="A2707" s="25">
        <f>IF($C2707="","",Registro_Compras!$B$304)</f>
        <v/>
      </c>
      <c r="B2707">
        <f>IF($C2707="","","C"&amp;TEXT(INT((ROW()-5)/9)+1,"000")&amp;"-1")</f>
        <v/>
      </c>
      <c r="C2707">
        <f>IF(OR(Registro_Compras!$C$304="",Registro_Compras!$O$304=""),"",IF(Registro_Compras!$F$304="NOTA DE CREDITO",IF(Registro_Compras!$K$304=0,"","40111"),"4212"))</f>
        <v/>
      </c>
      <c r="D2707">
        <f>IF(OR(Registro_Compras!$C$304="",Registro_Compras!$O$304=""),"",IF(Registro_Compras!$F$304="NOTA DE CREDITO","IGV - Cuenta Propia (Credito Fiscal)","Cuentas por Pagar Comerciales - Terceros (Emitidas)"))</f>
        <v/>
      </c>
      <c r="E2707" s="20">
        <f>""</f>
        <v/>
      </c>
      <c r="F2707" s="20">
        <f>IF($C2707="","",IF(Registro_Compras!$F$304="NOTA DE CREDITO",ROUND(ABS(Registro_Compras!$K$304*Registro_Compras!$N$304),2),IF(Registro_Compras!$F$304="RHE",(ROUND(Registro_Compras!$L$304*Registro_Compras!$N$304,2)-ROUND(Registro_Compras!$V$304*Registro_Compras!$N$304,2)),Registro_Compras!$O$304)))</f>
        <v/>
      </c>
      <c r="G2707">
        <f>IF($C2707="","",IF(Registro_Compras!$F$304="NOTA DE CREDITO","Por la nota de credito "&amp;Registro_Compras!$C$304&amp;" de "&amp;Registro_Compras!$E$304&amp;" [PATRON POR CONFIRMAR CON CONTADOR]",IF(Registro_Compras!$F$304="RHE","Por el registro del recibo por honorarios "&amp;Registro_Compras!$C$304&amp;" de "&amp;Registro_Compras!$E$304&amp;" [PATRON POR CONFIRMAR CON CONTADOR]","Por el registro de la factura "&amp;Registro_Compras!$C$304&amp;" de "&amp;Registro_Compras!$E$304)))</f>
        <v/>
      </c>
      <c r="H2707">
        <f>IF($C2707="","",Registro_Compras!$C$304)</f>
        <v/>
      </c>
    </row>
    <row r="2708">
      <c r="A2708" s="25">
        <f>IF($C2708="","",Registro_Compras!$B$304)</f>
        <v/>
      </c>
      <c r="B2708">
        <f>IF($C2708="","","C"&amp;TEXT(INT((ROW()-5)/9)+1,"000")&amp;"-2")</f>
        <v/>
      </c>
      <c r="C2708">
        <f>IF(OR(Registro_Compras!$C$304="",Registro_Compras!$O$304=""),"",IF(Registro_Compras!$AB$304="ADMINISTRATIVO","94","95"))</f>
        <v/>
      </c>
      <c r="D2708">
        <f>IF(OR(Registro_Compras!$C$304="",Registro_Compras!$O$304=""),"",IF(Registro_Compras!$AB$304="ADMINISTRATIVO","Gastos Administrativos","Gastos de Venta y Operacion"))</f>
        <v/>
      </c>
      <c r="E2708" s="20">
        <f>IF($C2708="","",IF(Registro_Compras!$F$304="NOTA DE CREDITO","",IF(Registro_Compras!$F$304="RHE",ROUND(Registro_Compras!$L$304*Registro_Compras!$N$304,2),ROUND(Registro_Compras!$J$304*Registro_Compras!$N$304,2))))</f>
        <v/>
      </c>
      <c r="F2708" s="20">
        <f>IF($C2708="","",IF(Registro_Compras!$F$304="NOTA DE CREDITO",ROUND(ABS(Registro_Compras!$J$304*Registro_Compras!$N$304),2),""))</f>
        <v/>
      </c>
      <c r="G2708">
        <f>IF($C2708="","","Por el destino del gasto")</f>
        <v/>
      </c>
      <c r="H2708">
        <f>IF($C2708="","",Registro_Compras!$C$304)</f>
        <v/>
      </c>
    </row>
    <row r="2709">
      <c r="A2709" s="25">
        <f>IF($C2709="","",Registro_Compras!$B$304)</f>
        <v/>
      </c>
      <c r="B2709">
        <f>IF($C2709="","","C"&amp;TEXT(INT((ROW()-5)/9)+1,"000")&amp;"-2")</f>
        <v/>
      </c>
      <c r="C2709">
        <f>IF(OR(Registro_Compras!$C$304="",Registro_Compras!$O$304=""),"","79/791")</f>
        <v/>
      </c>
      <c r="D2709">
        <f>IF(OR(Registro_Compras!$C$304="",Registro_Compras!$O$304=""),"","Cargas Imputables a Cuentas de Costos y Gastos")</f>
        <v/>
      </c>
      <c r="E2709" s="20">
        <f>IF($C2709="","",IF(Registro_Compras!$F$304="NOTA DE CREDITO",ROUND(ABS(Registro_Compras!$J$304*Registro_Compras!$N$304),2),""))</f>
        <v/>
      </c>
      <c r="F2709" s="20">
        <f>IF($C2709="","",IF(Registro_Compras!$F$304="NOTA DE CREDITO","",IF(Registro_Compras!$F$304="RHE",ROUND(Registro_Compras!$L$304*Registro_Compras!$N$304,2),ROUND(Registro_Compras!$J$304*Registro_Compras!$N$304,2))))</f>
        <v/>
      </c>
      <c r="G2709">
        <f>IF($C2709="","","Por el destino del gasto")</f>
        <v/>
      </c>
      <c r="H2709">
        <f>IF($C2709="","",Registro_Compras!$C$304)</f>
        <v/>
      </c>
    </row>
    <row r="2710">
      <c r="A2710" s="25">
        <f>IF($C2710="","",Registro_Compras!$X$304)</f>
        <v/>
      </c>
      <c r="B2710">
        <f>IF($C2710="","","C"&amp;TEXT(INT((ROW()-5)/9)+1,"000")&amp;"-3")</f>
        <v/>
      </c>
      <c r="C2710">
        <f>IF(OR(Registro_Compras!$C$304="",Registro_Compras!$O$304="",Registro_Compras!$R$304&lt;&gt;"SI",Registro_Compras!$X$304=""),"","4212")</f>
        <v/>
      </c>
      <c r="D2710">
        <f>IF(OR(Registro_Compras!$C$304="",Registro_Compras!$O$304=""),"","Cuentas por Pagar Comerciales - Terceros")</f>
        <v/>
      </c>
      <c r="E2710" s="20">
        <f>IF($C2710="","",Registro_Compras!$S$304)</f>
        <v/>
      </c>
      <c r="F2710" s="20">
        <f>""</f>
        <v/>
      </c>
      <c r="G2710">
        <f>IF($C2710="","","Por el deposito de la detraccion en el Banco de la Nacion")</f>
        <v/>
      </c>
      <c r="H2710">
        <f>IF($C2710="","",Registro_Compras!$C$304)</f>
        <v/>
      </c>
    </row>
    <row r="2711">
      <c r="A2711" s="25">
        <f>IF($C2711="","",Registro_Compras!$X$304)</f>
        <v/>
      </c>
      <c r="B2711">
        <f>IF($C2711="","","C"&amp;TEXT(INT((ROW()-5)/9)+1,"000")&amp;"-3")</f>
        <v/>
      </c>
      <c r="C2711">
        <f>IF(OR(Registro_Compras!$C$304="",Registro_Compras!$O$304="",Registro_Compras!$R$304&lt;&gt;"SI",Registro_Compras!$X$304=""),"","10413")</f>
        <v/>
      </c>
      <c r="D2711">
        <f>IF(OR(Registro_Compras!$C$304="",Registro_Compras!$O$304=""),"","Efectivo y Equivalentes - Cta. Cte. Operativa")</f>
        <v/>
      </c>
      <c r="E2711" s="20">
        <f>""</f>
        <v/>
      </c>
      <c r="F2711" s="20">
        <f>IF($C2711="","",Registro_Compras!$S$304)</f>
        <v/>
      </c>
      <c r="G2711">
        <f>IF($C2711="","","Por el deposito de la detraccion en el Banco de la Nacion")</f>
        <v/>
      </c>
      <c r="H2711">
        <f>IF($C2711="","",Registro_Compras!$C$304)</f>
        <v/>
      </c>
    </row>
    <row r="2712">
      <c r="A2712" s="25">
        <f>IF($C2712="","",Registro_Compras!$Y$304)</f>
        <v/>
      </c>
      <c r="B2712">
        <f>IF($C2712="","","C"&amp;TEXT(INT((ROW()-5)/9)+1,"000")&amp;"-4")</f>
        <v/>
      </c>
      <c r="C2712">
        <f>IF(OR(Registro_Compras!$C$304="",Registro_Compras!$O$304="",Registro_Compras!$Y$304="",Registro_Compras!$F$304="NOTA DE CREDITO"),"","4212")</f>
        <v/>
      </c>
      <c r="D2712">
        <f>IF(OR(Registro_Compras!$C$304="",Registro_Compras!$O$304=""),"","Cuentas por Pagar Comerciales - Terceros")</f>
        <v/>
      </c>
      <c r="E2712" s="20">
        <f>IF($C2712="","",IF(Registro_Compras!$F$304="RHE",(ROUND(Registro_Compras!$L$304*Registro_Compras!$N$304,2)-ROUND(Registro_Compras!$V$304*Registro_Compras!$N$304,2)),ROUND(Registro_Compras!$O$304-Registro_Compras!$S$304,2)))</f>
        <v/>
      </c>
      <c r="F2712" s="20">
        <f>""</f>
        <v/>
      </c>
      <c r="G2712">
        <f>IF($C2712="","","Por la cancelacion del saldo al proveedor")</f>
        <v/>
      </c>
      <c r="H2712">
        <f>IF($C2712="","",Registro_Compras!$C$304)</f>
        <v/>
      </c>
    </row>
    <row r="2713">
      <c r="A2713" s="25">
        <f>IF($C2713="","",Registro_Compras!$Y$304)</f>
        <v/>
      </c>
      <c r="B2713">
        <f>IF($C2713="","","C"&amp;TEXT(INT((ROW()-5)/9)+1,"000")&amp;"-4")</f>
        <v/>
      </c>
      <c r="C2713">
        <f>IF(OR(Registro_Compras!$C$304="",Registro_Compras!$O$304="",Registro_Compras!$Y$304="",Registro_Compras!$F$304="NOTA DE CREDITO"),"","10413")</f>
        <v/>
      </c>
      <c r="D2713">
        <f>IF(OR(Registro_Compras!$C$304="",Registro_Compras!$O$304=""),"","Efectivo y Equivalentes - Cta. Cte. Operativa")</f>
        <v/>
      </c>
      <c r="E2713" s="20">
        <f>""</f>
        <v/>
      </c>
      <c r="F2713" s="20">
        <f>IF($C2713="","",IF(Registro_Compras!$F$304="RHE",(ROUND(Registro_Compras!$L$304*Registro_Compras!$N$304,2)-ROUND(Registro_Compras!$V$304*Registro_Compras!$N$304,2)),ROUND(Registro_Compras!$O$304-Registro_Compras!$S$304,2)))</f>
        <v/>
      </c>
      <c r="G2713">
        <f>IF($C2713="","","Por la cancelacion del saldo al proveedor")</f>
        <v/>
      </c>
      <c r="H2713">
        <f>IF($C2713="","",Registro_Compras!$C$304)</f>
        <v/>
      </c>
    </row>
    <row r="2714">
      <c r="A2714" s="25">
        <f>IF($C2714="","",Registro_Compras!$B$305)</f>
        <v/>
      </c>
      <c r="B2714">
        <f>IF($C2714="","","C"&amp;TEXT(INT((ROW()-5)/9)+1,"000")&amp;"-1")</f>
        <v/>
      </c>
      <c r="C2714">
        <f>IF(OR(Registro_Compras!$C$305="",Registro_Compras!$O$305=""),"",IF(Registro_Compras!$F$305="NOTA DE CREDITO","4212",IF(Registro_Compras!$M$305="","63",Registro_Compras!$M$305)))</f>
        <v/>
      </c>
      <c r="D2714">
        <f>IF(OR(Registro_Compras!$C$305="",Registro_Compras!$O$305=""),"",IF(Registro_Compras!$F$305="NOTA DE CREDITO","Cuentas por Pagar Comerciales - Terceros (Emitidas)",IF(Registro_Compras!$F$305="RHE","Honorarios Profesionales - Servicios de Terceros","Gastos de Servicios Prestados por Terceros")))</f>
        <v/>
      </c>
      <c r="E2714" s="20">
        <f>IF($C2714="","",IF(Registro_Compras!$F$305="NOTA DE CREDITO",ABS(Registro_Compras!$O$305),IF(Registro_Compras!$F$305="RHE",ROUND(Registro_Compras!$L$305*Registro_Compras!$N$305,2),ROUND(Registro_Compras!$J$305*Registro_Compras!$N$305,2))))</f>
        <v/>
      </c>
      <c r="F2714" s="20">
        <f>""</f>
        <v/>
      </c>
      <c r="G2714">
        <f>IF($C2714="","",IF(Registro_Compras!$F$305="NOTA DE CREDITO","Por la nota de credito "&amp;Registro_Compras!$C$305&amp;" de "&amp;Registro_Compras!$E$305&amp;" [PATRON POR CONFIRMAR CON CONTADOR]",IF(Registro_Compras!$F$305="RHE","Por el registro del recibo por honorarios "&amp;Registro_Compras!$C$305&amp;" de "&amp;Registro_Compras!$E$305&amp;" [PATRON POR CONFIRMAR CON CONTADOR]","Por el registro de la factura "&amp;Registro_Compras!$C$305&amp;" de "&amp;Registro_Compras!$E$305)))</f>
        <v/>
      </c>
      <c r="H2714">
        <f>IF($C2714="","",Registro_Compras!$C$305)</f>
        <v/>
      </c>
    </row>
    <row r="2715">
      <c r="A2715" s="25">
        <f>IF($C2715="","",Registro_Compras!$B$305)</f>
        <v/>
      </c>
      <c r="B2715">
        <f>IF($C2715="","","C"&amp;TEXT(INT((ROW()-5)/9)+1,"000")&amp;"-1")</f>
        <v/>
      </c>
      <c r="C2715">
        <f>IF(OR(Registro_Compras!$C$305="",Registro_Compras!$O$305=""),"",IF(Registro_Compras!$F$305="RHE",IF(Registro_Compras!$V$305=0,"","40172"),IF(Registro_Compras!$F$305="NOTA DE CREDITO",IF(Registro_Compras!$M$305="","63",Registro_Compras!$M$305),IF(Registro_Compras!$K$305=0,"","40111"))))</f>
        <v/>
      </c>
      <c r="D2715">
        <f>IF(OR(Registro_Compras!$C$305="",Registro_Compras!$O$305=""),"",IF(Registro_Compras!$F$305="RHE","Retencion Renta 4ta Categoria por Pagar",IF(Registro_Compras!$F$305="NOTA DE CREDITO","Gastos de Servicios Prestados por Terceros","IGV - Cuenta Propia (Credito Fiscal)")))</f>
        <v/>
      </c>
      <c r="E2715" s="20">
        <f>IF($C2715="","",IF(Registro_Compras!$F$305="FACTURA",ROUND(Registro_Compras!$K$305*Registro_Compras!$N$305,2),""))</f>
        <v/>
      </c>
      <c r="F2715" s="20">
        <f>IF($C2715="","",IF(Registro_Compras!$F$305="RHE",ROUND(Registro_Compras!$V$305*Registro_Compras!$N$305,2),IF(Registro_Compras!$F$305="NOTA DE CREDITO",ROUND(ABS(Registro_Compras!$J$305*Registro_Compras!$N$305),2),"")))</f>
        <v/>
      </c>
      <c r="G2715">
        <f>IF($C2715="","",IF(Registro_Compras!$F$305="NOTA DE CREDITO","Por la nota de credito "&amp;Registro_Compras!$C$305&amp;" de "&amp;Registro_Compras!$E$305&amp;" [PATRON POR CONFIRMAR CON CONTADOR]",IF(Registro_Compras!$F$305="RHE","Por el registro del recibo por honorarios "&amp;Registro_Compras!$C$305&amp;" de "&amp;Registro_Compras!$E$305&amp;" [PATRON POR CONFIRMAR CON CONTADOR]","Por el registro de la factura "&amp;Registro_Compras!$C$305&amp;" de "&amp;Registro_Compras!$E$305)))</f>
        <v/>
      </c>
      <c r="H2715">
        <f>IF($C2715="","",Registro_Compras!$C$305)</f>
        <v/>
      </c>
    </row>
    <row r="2716">
      <c r="A2716" s="25">
        <f>IF($C2716="","",Registro_Compras!$B$305)</f>
        <v/>
      </c>
      <c r="B2716">
        <f>IF($C2716="","","C"&amp;TEXT(INT((ROW()-5)/9)+1,"000")&amp;"-1")</f>
        <v/>
      </c>
      <c r="C2716">
        <f>IF(OR(Registro_Compras!$C$305="",Registro_Compras!$O$305=""),"",IF(Registro_Compras!$F$305="NOTA DE CREDITO",IF(Registro_Compras!$K$305=0,"","40111"),"4212"))</f>
        <v/>
      </c>
      <c r="D2716">
        <f>IF(OR(Registro_Compras!$C$305="",Registro_Compras!$O$305=""),"",IF(Registro_Compras!$F$305="NOTA DE CREDITO","IGV - Cuenta Propia (Credito Fiscal)","Cuentas por Pagar Comerciales - Terceros (Emitidas)"))</f>
        <v/>
      </c>
      <c r="E2716" s="20">
        <f>""</f>
        <v/>
      </c>
      <c r="F2716" s="20">
        <f>IF($C2716="","",IF(Registro_Compras!$F$305="NOTA DE CREDITO",ROUND(ABS(Registro_Compras!$K$305*Registro_Compras!$N$305),2),IF(Registro_Compras!$F$305="RHE",(ROUND(Registro_Compras!$L$305*Registro_Compras!$N$305,2)-ROUND(Registro_Compras!$V$305*Registro_Compras!$N$305,2)),Registro_Compras!$O$305)))</f>
        <v/>
      </c>
      <c r="G2716">
        <f>IF($C2716="","",IF(Registro_Compras!$F$305="NOTA DE CREDITO","Por la nota de credito "&amp;Registro_Compras!$C$305&amp;" de "&amp;Registro_Compras!$E$305&amp;" [PATRON POR CONFIRMAR CON CONTADOR]",IF(Registro_Compras!$F$305="RHE","Por el registro del recibo por honorarios "&amp;Registro_Compras!$C$305&amp;" de "&amp;Registro_Compras!$E$305&amp;" [PATRON POR CONFIRMAR CON CONTADOR]","Por el registro de la factura "&amp;Registro_Compras!$C$305&amp;" de "&amp;Registro_Compras!$E$305)))</f>
        <v/>
      </c>
      <c r="H2716">
        <f>IF($C2716="","",Registro_Compras!$C$305)</f>
        <v/>
      </c>
    </row>
    <row r="2717">
      <c r="A2717" s="25">
        <f>IF($C2717="","",Registro_Compras!$B$305)</f>
        <v/>
      </c>
      <c r="B2717">
        <f>IF($C2717="","","C"&amp;TEXT(INT((ROW()-5)/9)+1,"000")&amp;"-2")</f>
        <v/>
      </c>
      <c r="C2717">
        <f>IF(OR(Registro_Compras!$C$305="",Registro_Compras!$O$305=""),"",IF(Registro_Compras!$AB$305="ADMINISTRATIVO","94","95"))</f>
        <v/>
      </c>
      <c r="D2717">
        <f>IF(OR(Registro_Compras!$C$305="",Registro_Compras!$O$305=""),"",IF(Registro_Compras!$AB$305="ADMINISTRATIVO","Gastos Administrativos","Gastos de Venta y Operacion"))</f>
        <v/>
      </c>
      <c r="E2717" s="20">
        <f>IF($C2717="","",IF(Registro_Compras!$F$305="NOTA DE CREDITO","",IF(Registro_Compras!$F$305="RHE",ROUND(Registro_Compras!$L$305*Registro_Compras!$N$305,2),ROUND(Registro_Compras!$J$305*Registro_Compras!$N$305,2))))</f>
        <v/>
      </c>
      <c r="F2717" s="20">
        <f>IF($C2717="","",IF(Registro_Compras!$F$305="NOTA DE CREDITO",ROUND(ABS(Registro_Compras!$J$305*Registro_Compras!$N$305),2),""))</f>
        <v/>
      </c>
      <c r="G2717">
        <f>IF($C2717="","","Por el destino del gasto")</f>
        <v/>
      </c>
      <c r="H2717">
        <f>IF($C2717="","",Registro_Compras!$C$305)</f>
        <v/>
      </c>
    </row>
    <row r="2718">
      <c r="A2718" s="25">
        <f>IF($C2718="","",Registro_Compras!$B$305)</f>
        <v/>
      </c>
      <c r="B2718">
        <f>IF($C2718="","","C"&amp;TEXT(INT((ROW()-5)/9)+1,"000")&amp;"-2")</f>
        <v/>
      </c>
      <c r="C2718">
        <f>IF(OR(Registro_Compras!$C$305="",Registro_Compras!$O$305=""),"","79/791")</f>
        <v/>
      </c>
      <c r="D2718">
        <f>IF(OR(Registro_Compras!$C$305="",Registro_Compras!$O$305=""),"","Cargas Imputables a Cuentas de Costos y Gastos")</f>
        <v/>
      </c>
      <c r="E2718" s="20">
        <f>IF($C2718="","",IF(Registro_Compras!$F$305="NOTA DE CREDITO",ROUND(ABS(Registro_Compras!$J$305*Registro_Compras!$N$305),2),""))</f>
        <v/>
      </c>
      <c r="F2718" s="20">
        <f>IF($C2718="","",IF(Registro_Compras!$F$305="NOTA DE CREDITO","",IF(Registro_Compras!$F$305="RHE",ROUND(Registro_Compras!$L$305*Registro_Compras!$N$305,2),ROUND(Registro_Compras!$J$305*Registro_Compras!$N$305,2))))</f>
        <v/>
      </c>
      <c r="G2718">
        <f>IF($C2718="","","Por el destino del gasto")</f>
        <v/>
      </c>
      <c r="H2718">
        <f>IF($C2718="","",Registro_Compras!$C$305)</f>
        <v/>
      </c>
    </row>
    <row r="2719">
      <c r="A2719" s="25">
        <f>IF($C2719="","",Registro_Compras!$X$305)</f>
        <v/>
      </c>
      <c r="B2719">
        <f>IF($C2719="","","C"&amp;TEXT(INT((ROW()-5)/9)+1,"000")&amp;"-3")</f>
        <v/>
      </c>
      <c r="C2719">
        <f>IF(OR(Registro_Compras!$C$305="",Registro_Compras!$O$305="",Registro_Compras!$R$305&lt;&gt;"SI",Registro_Compras!$X$305=""),"","4212")</f>
        <v/>
      </c>
      <c r="D2719">
        <f>IF(OR(Registro_Compras!$C$305="",Registro_Compras!$O$305=""),"","Cuentas por Pagar Comerciales - Terceros")</f>
        <v/>
      </c>
      <c r="E2719" s="20">
        <f>IF($C2719="","",Registro_Compras!$S$305)</f>
        <v/>
      </c>
      <c r="F2719" s="20">
        <f>""</f>
        <v/>
      </c>
      <c r="G2719">
        <f>IF($C2719="","","Por el deposito de la detraccion en el Banco de la Nacion")</f>
        <v/>
      </c>
      <c r="H2719">
        <f>IF($C2719="","",Registro_Compras!$C$305)</f>
        <v/>
      </c>
    </row>
    <row r="2720">
      <c r="A2720" s="25">
        <f>IF($C2720="","",Registro_Compras!$X$305)</f>
        <v/>
      </c>
      <c r="B2720">
        <f>IF($C2720="","","C"&amp;TEXT(INT((ROW()-5)/9)+1,"000")&amp;"-3")</f>
        <v/>
      </c>
      <c r="C2720">
        <f>IF(OR(Registro_Compras!$C$305="",Registro_Compras!$O$305="",Registro_Compras!$R$305&lt;&gt;"SI",Registro_Compras!$X$305=""),"","10413")</f>
        <v/>
      </c>
      <c r="D2720">
        <f>IF(OR(Registro_Compras!$C$305="",Registro_Compras!$O$305=""),"","Efectivo y Equivalentes - Cta. Cte. Operativa")</f>
        <v/>
      </c>
      <c r="E2720" s="20">
        <f>""</f>
        <v/>
      </c>
      <c r="F2720" s="20">
        <f>IF($C2720="","",Registro_Compras!$S$305)</f>
        <v/>
      </c>
      <c r="G2720">
        <f>IF($C2720="","","Por el deposito de la detraccion en el Banco de la Nacion")</f>
        <v/>
      </c>
      <c r="H2720">
        <f>IF($C2720="","",Registro_Compras!$C$305)</f>
        <v/>
      </c>
    </row>
    <row r="2721">
      <c r="A2721" s="25">
        <f>IF($C2721="","",Registro_Compras!$Y$305)</f>
        <v/>
      </c>
      <c r="B2721">
        <f>IF($C2721="","","C"&amp;TEXT(INT((ROW()-5)/9)+1,"000")&amp;"-4")</f>
        <v/>
      </c>
      <c r="C2721">
        <f>IF(OR(Registro_Compras!$C$305="",Registro_Compras!$O$305="",Registro_Compras!$Y$305="",Registro_Compras!$F$305="NOTA DE CREDITO"),"","4212")</f>
        <v/>
      </c>
      <c r="D2721">
        <f>IF(OR(Registro_Compras!$C$305="",Registro_Compras!$O$305=""),"","Cuentas por Pagar Comerciales - Terceros")</f>
        <v/>
      </c>
      <c r="E2721" s="20">
        <f>IF($C2721="","",IF(Registro_Compras!$F$305="RHE",(ROUND(Registro_Compras!$L$305*Registro_Compras!$N$305,2)-ROUND(Registro_Compras!$V$305*Registro_Compras!$N$305,2)),ROUND(Registro_Compras!$O$305-Registro_Compras!$S$305,2)))</f>
        <v/>
      </c>
      <c r="F2721" s="20">
        <f>""</f>
        <v/>
      </c>
      <c r="G2721">
        <f>IF($C2721="","","Por la cancelacion del saldo al proveedor")</f>
        <v/>
      </c>
      <c r="H2721">
        <f>IF($C2721="","",Registro_Compras!$C$305)</f>
        <v/>
      </c>
    </row>
    <row r="2722">
      <c r="A2722" s="25">
        <f>IF($C2722="","",Registro_Compras!$Y$305)</f>
        <v/>
      </c>
      <c r="B2722">
        <f>IF($C2722="","","C"&amp;TEXT(INT((ROW()-5)/9)+1,"000")&amp;"-4")</f>
        <v/>
      </c>
      <c r="C2722">
        <f>IF(OR(Registro_Compras!$C$305="",Registro_Compras!$O$305="",Registro_Compras!$Y$305="",Registro_Compras!$F$305="NOTA DE CREDITO"),"","10413")</f>
        <v/>
      </c>
      <c r="D2722">
        <f>IF(OR(Registro_Compras!$C$305="",Registro_Compras!$O$305=""),"","Efectivo y Equivalentes - Cta. Cte. Operativa")</f>
        <v/>
      </c>
      <c r="E2722" s="20">
        <f>""</f>
        <v/>
      </c>
      <c r="F2722" s="20">
        <f>IF($C2722="","",IF(Registro_Compras!$F$305="RHE",(ROUND(Registro_Compras!$L$305*Registro_Compras!$N$305,2)-ROUND(Registro_Compras!$V$305*Registro_Compras!$N$305,2)),ROUND(Registro_Compras!$O$305-Registro_Compras!$S$305,2)))</f>
        <v/>
      </c>
      <c r="G2722">
        <f>IF($C2722="","","Por la cancelacion del saldo al proveedor")</f>
        <v/>
      </c>
      <c r="H2722">
        <f>IF($C2722="","",Registro_Compras!$C$305)</f>
        <v/>
      </c>
    </row>
    <row r="2723">
      <c r="A2723" s="25">
        <f>IF($C2723="","",Registro_Compras!$B$306)</f>
        <v/>
      </c>
      <c r="B2723">
        <f>IF($C2723="","","C"&amp;TEXT(INT((ROW()-5)/9)+1,"000")&amp;"-1")</f>
        <v/>
      </c>
      <c r="C2723">
        <f>IF(OR(Registro_Compras!$C$306="",Registro_Compras!$O$306=""),"",IF(Registro_Compras!$F$306="NOTA DE CREDITO","4212",IF(Registro_Compras!$M$306="","63",Registro_Compras!$M$306)))</f>
        <v/>
      </c>
      <c r="D2723">
        <f>IF(OR(Registro_Compras!$C$306="",Registro_Compras!$O$306=""),"",IF(Registro_Compras!$F$306="NOTA DE CREDITO","Cuentas por Pagar Comerciales - Terceros (Emitidas)",IF(Registro_Compras!$F$306="RHE","Honorarios Profesionales - Servicios de Terceros","Gastos de Servicios Prestados por Terceros")))</f>
        <v/>
      </c>
      <c r="E2723" s="20">
        <f>IF($C2723="","",IF(Registro_Compras!$F$306="NOTA DE CREDITO",ABS(Registro_Compras!$O$306),IF(Registro_Compras!$F$306="RHE",ROUND(Registro_Compras!$L$306*Registro_Compras!$N$306,2),ROUND(Registro_Compras!$J$306*Registro_Compras!$N$306,2))))</f>
        <v/>
      </c>
      <c r="F2723" s="20">
        <f>""</f>
        <v/>
      </c>
      <c r="G2723">
        <f>IF($C2723="","",IF(Registro_Compras!$F$306="NOTA DE CREDITO","Por la nota de credito "&amp;Registro_Compras!$C$306&amp;" de "&amp;Registro_Compras!$E$306&amp;" [PATRON POR CONFIRMAR CON CONTADOR]",IF(Registro_Compras!$F$306="RHE","Por el registro del recibo por honorarios "&amp;Registro_Compras!$C$306&amp;" de "&amp;Registro_Compras!$E$306&amp;" [PATRON POR CONFIRMAR CON CONTADOR]","Por el registro de la factura "&amp;Registro_Compras!$C$306&amp;" de "&amp;Registro_Compras!$E$306)))</f>
        <v/>
      </c>
      <c r="H2723">
        <f>IF($C2723="","",Registro_Compras!$C$306)</f>
        <v/>
      </c>
    </row>
    <row r="2724">
      <c r="A2724" s="25">
        <f>IF($C2724="","",Registro_Compras!$B$306)</f>
        <v/>
      </c>
      <c r="B2724">
        <f>IF($C2724="","","C"&amp;TEXT(INT((ROW()-5)/9)+1,"000")&amp;"-1")</f>
        <v/>
      </c>
      <c r="C2724">
        <f>IF(OR(Registro_Compras!$C$306="",Registro_Compras!$O$306=""),"",IF(Registro_Compras!$F$306="RHE",IF(Registro_Compras!$V$306=0,"","40172"),IF(Registro_Compras!$F$306="NOTA DE CREDITO",IF(Registro_Compras!$M$306="","63",Registro_Compras!$M$306),IF(Registro_Compras!$K$306=0,"","40111"))))</f>
        <v/>
      </c>
      <c r="D2724">
        <f>IF(OR(Registro_Compras!$C$306="",Registro_Compras!$O$306=""),"",IF(Registro_Compras!$F$306="RHE","Retencion Renta 4ta Categoria por Pagar",IF(Registro_Compras!$F$306="NOTA DE CREDITO","Gastos de Servicios Prestados por Terceros","IGV - Cuenta Propia (Credito Fiscal)")))</f>
        <v/>
      </c>
      <c r="E2724" s="20">
        <f>IF($C2724="","",IF(Registro_Compras!$F$306="FACTURA",ROUND(Registro_Compras!$K$306*Registro_Compras!$N$306,2),""))</f>
        <v/>
      </c>
      <c r="F2724" s="20">
        <f>IF($C2724="","",IF(Registro_Compras!$F$306="RHE",ROUND(Registro_Compras!$V$306*Registro_Compras!$N$306,2),IF(Registro_Compras!$F$306="NOTA DE CREDITO",ROUND(ABS(Registro_Compras!$J$306*Registro_Compras!$N$306),2),"")))</f>
        <v/>
      </c>
      <c r="G2724">
        <f>IF($C2724="","",IF(Registro_Compras!$F$306="NOTA DE CREDITO","Por la nota de credito "&amp;Registro_Compras!$C$306&amp;" de "&amp;Registro_Compras!$E$306&amp;" [PATRON POR CONFIRMAR CON CONTADOR]",IF(Registro_Compras!$F$306="RHE","Por el registro del recibo por honorarios "&amp;Registro_Compras!$C$306&amp;" de "&amp;Registro_Compras!$E$306&amp;" [PATRON POR CONFIRMAR CON CONTADOR]","Por el registro de la factura "&amp;Registro_Compras!$C$306&amp;" de "&amp;Registro_Compras!$E$306)))</f>
        <v/>
      </c>
      <c r="H2724">
        <f>IF($C2724="","",Registro_Compras!$C$306)</f>
        <v/>
      </c>
    </row>
    <row r="2725">
      <c r="A2725" s="25">
        <f>IF($C2725="","",Registro_Compras!$B$306)</f>
        <v/>
      </c>
      <c r="B2725">
        <f>IF($C2725="","","C"&amp;TEXT(INT((ROW()-5)/9)+1,"000")&amp;"-1")</f>
        <v/>
      </c>
      <c r="C2725">
        <f>IF(OR(Registro_Compras!$C$306="",Registro_Compras!$O$306=""),"",IF(Registro_Compras!$F$306="NOTA DE CREDITO",IF(Registro_Compras!$K$306=0,"","40111"),"4212"))</f>
        <v/>
      </c>
      <c r="D2725">
        <f>IF(OR(Registro_Compras!$C$306="",Registro_Compras!$O$306=""),"",IF(Registro_Compras!$F$306="NOTA DE CREDITO","IGV - Cuenta Propia (Credito Fiscal)","Cuentas por Pagar Comerciales - Terceros (Emitidas)"))</f>
        <v/>
      </c>
      <c r="E2725" s="20">
        <f>""</f>
        <v/>
      </c>
      <c r="F2725" s="20">
        <f>IF($C2725="","",IF(Registro_Compras!$F$306="NOTA DE CREDITO",ROUND(ABS(Registro_Compras!$K$306*Registro_Compras!$N$306),2),IF(Registro_Compras!$F$306="RHE",(ROUND(Registro_Compras!$L$306*Registro_Compras!$N$306,2)-ROUND(Registro_Compras!$V$306*Registro_Compras!$N$306,2)),Registro_Compras!$O$306)))</f>
        <v/>
      </c>
      <c r="G2725">
        <f>IF($C2725="","",IF(Registro_Compras!$F$306="NOTA DE CREDITO","Por la nota de credito "&amp;Registro_Compras!$C$306&amp;" de "&amp;Registro_Compras!$E$306&amp;" [PATRON POR CONFIRMAR CON CONTADOR]",IF(Registro_Compras!$F$306="RHE","Por el registro del recibo por honorarios "&amp;Registro_Compras!$C$306&amp;" de "&amp;Registro_Compras!$E$306&amp;" [PATRON POR CONFIRMAR CON CONTADOR]","Por el registro de la factura "&amp;Registro_Compras!$C$306&amp;" de "&amp;Registro_Compras!$E$306)))</f>
        <v/>
      </c>
      <c r="H2725">
        <f>IF($C2725="","",Registro_Compras!$C$306)</f>
        <v/>
      </c>
    </row>
    <row r="2726">
      <c r="A2726" s="25">
        <f>IF($C2726="","",Registro_Compras!$B$306)</f>
        <v/>
      </c>
      <c r="B2726">
        <f>IF($C2726="","","C"&amp;TEXT(INT((ROW()-5)/9)+1,"000")&amp;"-2")</f>
        <v/>
      </c>
      <c r="C2726">
        <f>IF(OR(Registro_Compras!$C$306="",Registro_Compras!$O$306=""),"",IF(Registro_Compras!$AB$306="ADMINISTRATIVO","94","95"))</f>
        <v/>
      </c>
      <c r="D2726">
        <f>IF(OR(Registro_Compras!$C$306="",Registro_Compras!$O$306=""),"",IF(Registro_Compras!$AB$306="ADMINISTRATIVO","Gastos Administrativos","Gastos de Venta y Operacion"))</f>
        <v/>
      </c>
      <c r="E2726" s="20">
        <f>IF($C2726="","",IF(Registro_Compras!$F$306="NOTA DE CREDITO","",IF(Registro_Compras!$F$306="RHE",ROUND(Registro_Compras!$L$306*Registro_Compras!$N$306,2),ROUND(Registro_Compras!$J$306*Registro_Compras!$N$306,2))))</f>
        <v/>
      </c>
      <c r="F2726" s="20">
        <f>IF($C2726="","",IF(Registro_Compras!$F$306="NOTA DE CREDITO",ROUND(ABS(Registro_Compras!$J$306*Registro_Compras!$N$306),2),""))</f>
        <v/>
      </c>
      <c r="G2726">
        <f>IF($C2726="","","Por el destino del gasto")</f>
        <v/>
      </c>
      <c r="H2726">
        <f>IF($C2726="","",Registro_Compras!$C$306)</f>
        <v/>
      </c>
    </row>
    <row r="2727">
      <c r="A2727" s="25">
        <f>IF($C2727="","",Registro_Compras!$B$306)</f>
        <v/>
      </c>
      <c r="B2727">
        <f>IF($C2727="","","C"&amp;TEXT(INT((ROW()-5)/9)+1,"000")&amp;"-2")</f>
        <v/>
      </c>
      <c r="C2727">
        <f>IF(OR(Registro_Compras!$C$306="",Registro_Compras!$O$306=""),"","79/791")</f>
        <v/>
      </c>
      <c r="D2727">
        <f>IF(OR(Registro_Compras!$C$306="",Registro_Compras!$O$306=""),"","Cargas Imputables a Cuentas de Costos y Gastos")</f>
        <v/>
      </c>
      <c r="E2727" s="20">
        <f>IF($C2727="","",IF(Registro_Compras!$F$306="NOTA DE CREDITO",ROUND(ABS(Registro_Compras!$J$306*Registro_Compras!$N$306),2),""))</f>
        <v/>
      </c>
      <c r="F2727" s="20">
        <f>IF($C2727="","",IF(Registro_Compras!$F$306="NOTA DE CREDITO","",IF(Registro_Compras!$F$306="RHE",ROUND(Registro_Compras!$L$306*Registro_Compras!$N$306,2),ROUND(Registro_Compras!$J$306*Registro_Compras!$N$306,2))))</f>
        <v/>
      </c>
      <c r="G2727">
        <f>IF($C2727="","","Por el destino del gasto")</f>
        <v/>
      </c>
      <c r="H2727">
        <f>IF($C2727="","",Registro_Compras!$C$306)</f>
        <v/>
      </c>
    </row>
    <row r="2728">
      <c r="A2728" s="25">
        <f>IF($C2728="","",Registro_Compras!$X$306)</f>
        <v/>
      </c>
      <c r="B2728">
        <f>IF($C2728="","","C"&amp;TEXT(INT((ROW()-5)/9)+1,"000")&amp;"-3")</f>
        <v/>
      </c>
      <c r="C2728">
        <f>IF(OR(Registro_Compras!$C$306="",Registro_Compras!$O$306="",Registro_Compras!$R$306&lt;&gt;"SI",Registro_Compras!$X$306=""),"","4212")</f>
        <v/>
      </c>
      <c r="D2728">
        <f>IF(OR(Registro_Compras!$C$306="",Registro_Compras!$O$306=""),"","Cuentas por Pagar Comerciales - Terceros")</f>
        <v/>
      </c>
      <c r="E2728" s="20">
        <f>IF($C2728="","",Registro_Compras!$S$306)</f>
        <v/>
      </c>
      <c r="F2728" s="20">
        <f>""</f>
        <v/>
      </c>
      <c r="G2728">
        <f>IF($C2728="","","Por el deposito de la detraccion en el Banco de la Nacion")</f>
        <v/>
      </c>
      <c r="H2728">
        <f>IF($C2728="","",Registro_Compras!$C$306)</f>
        <v/>
      </c>
    </row>
    <row r="2729">
      <c r="A2729" s="25">
        <f>IF($C2729="","",Registro_Compras!$X$306)</f>
        <v/>
      </c>
      <c r="B2729">
        <f>IF($C2729="","","C"&amp;TEXT(INT((ROW()-5)/9)+1,"000")&amp;"-3")</f>
        <v/>
      </c>
      <c r="C2729">
        <f>IF(OR(Registro_Compras!$C$306="",Registro_Compras!$O$306="",Registro_Compras!$R$306&lt;&gt;"SI",Registro_Compras!$X$306=""),"","10413")</f>
        <v/>
      </c>
      <c r="D2729">
        <f>IF(OR(Registro_Compras!$C$306="",Registro_Compras!$O$306=""),"","Efectivo y Equivalentes - Cta. Cte. Operativa")</f>
        <v/>
      </c>
      <c r="E2729" s="20">
        <f>""</f>
        <v/>
      </c>
      <c r="F2729" s="20">
        <f>IF($C2729="","",Registro_Compras!$S$306)</f>
        <v/>
      </c>
      <c r="G2729">
        <f>IF($C2729="","","Por el deposito de la detraccion en el Banco de la Nacion")</f>
        <v/>
      </c>
      <c r="H2729">
        <f>IF($C2729="","",Registro_Compras!$C$306)</f>
        <v/>
      </c>
    </row>
    <row r="2730">
      <c r="A2730" s="25">
        <f>IF($C2730="","",Registro_Compras!$Y$306)</f>
        <v/>
      </c>
      <c r="B2730">
        <f>IF($C2730="","","C"&amp;TEXT(INT((ROW()-5)/9)+1,"000")&amp;"-4")</f>
        <v/>
      </c>
      <c r="C2730">
        <f>IF(OR(Registro_Compras!$C$306="",Registro_Compras!$O$306="",Registro_Compras!$Y$306="",Registro_Compras!$F$306="NOTA DE CREDITO"),"","4212")</f>
        <v/>
      </c>
      <c r="D2730">
        <f>IF(OR(Registro_Compras!$C$306="",Registro_Compras!$O$306=""),"","Cuentas por Pagar Comerciales - Terceros")</f>
        <v/>
      </c>
      <c r="E2730" s="20">
        <f>IF($C2730="","",IF(Registro_Compras!$F$306="RHE",(ROUND(Registro_Compras!$L$306*Registro_Compras!$N$306,2)-ROUND(Registro_Compras!$V$306*Registro_Compras!$N$306,2)),ROUND(Registro_Compras!$O$306-Registro_Compras!$S$306,2)))</f>
        <v/>
      </c>
      <c r="F2730" s="20">
        <f>""</f>
        <v/>
      </c>
      <c r="G2730">
        <f>IF($C2730="","","Por la cancelacion del saldo al proveedor")</f>
        <v/>
      </c>
      <c r="H2730">
        <f>IF($C2730="","",Registro_Compras!$C$306)</f>
        <v/>
      </c>
    </row>
    <row r="2731">
      <c r="A2731" s="25">
        <f>IF($C2731="","",Registro_Compras!$Y$306)</f>
        <v/>
      </c>
      <c r="B2731">
        <f>IF($C2731="","","C"&amp;TEXT(INT((ROW()-5)/9)+1,"000")&amp;"-4")</f>
        <v/>
      </c>
      <c r="C2731">
        <f>IF(OR(Registro_Compras!$C$306="",Registro_Compras!$O$306="",Registro_Compras!$Y$306="",Registro_Compras!$F$306="NOTA DE CREDITO"),"","10413")</f>
        <v/>
      </c>
      <c r="D2731">
        <f>IF(OR(Registro_Compras!$C$306="",Registro_Compras!$O$306=""),"","Efectivo y Equivalentes - Cta. Cte. Operativa")</f>
        <v/>
      </c>
      <c r="E2731" s="20">
        <f>""</f>
        <v/>
      </c>
      <c r="F2731" s="20">
        <f>IF($C2731="","",IF(Registro_Compras!$F$306="RHE",(ROUND(Registro_Compras!$L$306*Registro_Compras!$N$306,2)-ROUND(Registro_Compras!$V$306*Registro_Compras!$N$306,2)),ROUND(Registro_Compras!$O$306-Registro_Compras!$S$306,2)))</f>
        <v/>
      </c>
      <c r="G2731">
        <f>IF($C2731="","","Por la cancelacion del saldo al proveedor")</f>
        <v/>
      </c>
      <c r="H2731">
        <f>IF($C2731="","",Registro_Compras!$C$306)</f>
        <v/>
      </c>
    </row>
    <row r="2732">
      <c r="A2732" s="25">
        <f>IF($C2732="","",Registro_Compras!$B$307)</f>
        <v/>
      </c>
      <c r="B2732">
        <f>IF($C2732="","","C"&amp;TEXT(INT((ROW()-5)/9)+1,"000")&amp;"-1")</f>
        <v/>
      </c>
      <c r="C2732">
        <f>IF(OR(Registro_Compras!$C$307="",Registro_Compras!$O$307=""),"",IF(Registro_Compras!$F$307="NOTA DE CREDITO","4212",IF(Registro_Compras!$M$307="","63",Registro_Compras!$M$307)))</f>
        <v/>
      </c>
      <c r="D2732">
        <f>IF(OR(Registro_Compras!$C$307="",Registro_Compras!$O$307=""),"",IF(Registro_Compras!$F$307="NOTA DE CREDITO","Cuentas por Pagar Comerciales - Terceros (Emitidas)",IF(Registro_Compras!$F$307="RHE","Honorarios Profesionales - Servicios de Terceros","Gastos de Servicios Prestados por Terceros")))</f>
        <v/>
      </c>
      <c r="E2732" s="20">
        <f>IF($C2732="","",IF(Registro_Compras!$F$307="NOTA DE CREDITO",ABS(Registro_Compras!$O$307),IF(Registro_Compras!$F$307="RHE",ROUND(Registro_Compras!$L$307*Registro_Compras!$N$307,2),ROUND(Registro_Compras!$J$307*Registro_Compras!$N$307,2))))</f>
        <v/>
      </c>
      <c r="F2732" s="20">
        <f>""</f>
        <v/>
      </c>
      <c r="G2732">
        <f>IF($C2732="","",IF(Registro_Compras!$F$307="NOTA DE CREDITO","Por la nota de credito "&amp;Registro_Compras!$C$307&amp;" de "&amp;Registro_Compras!$E$307&amp;" [PATRON POR CONFIRMAR CON CONTADOR]",IF(Registro_Compras!$F$307="RHE","Por el registro del recibo por honorarios "&amp;Registro_Compras!$C$307&amp;" de "&amp;Registro_Compras!$E$307&amp;" [PATRON POR CONFIRMAR CON CONTADOR]","Por el registro de la factura "&amp;Registro_Compras!$C$307&amp;" de "&amp;Registro_Compras!$E$307)))</f>
        <v/>
      </c>
      <c r="H2732">
        <f>IF($C2732="","",Registro_Compras!$C$307)</f>
        <v/>
      </c>
    </row>
    <row r="2733">
      <c r="A2733" s="25">
        <f>IF($C2733="","",Registro_Compras!$B$307)</f>
        <v/>
      </c>
      <c r="B2733">
        <f>IF($C2733="","","C"&amp;TEXT(INT((ROW()-5)/9)+1,"000")&amp;"-1")</f>
        <v/>
      </c>
      <c r="C2733">
        <f>IF(OR(Registro_Compras!$C$307="",Registro_Compras!$O$307=""),"",IF(Registro_Compras!$F$307="RHE",IF(Registro_Compras!$V$307=0,"","40172"),IF(Registro_Compras!$F$307="NOTA DE CREDITO",IF(Registro_Compras!$M$307="","63",Registro_Compras!$M$307),IF(Registro_Compras!$K$307=0,"","40111"))))</f>
        <v/>
      </c>
      <c r="D2733">
        <f>IF(OR(Registro_Compras!$C$307="",Registro_Compras!$O$307=""),"",IF(Registro_Compras!$F$307="RHE","Retencion Renta 4ta Categoria por Pagar",IF(Registro_Compras!$F$307="NOTA DE CREDITO","Gastos de Servicios Prestados por Terceros","IGV - Cuenta Propia (Credito Fiscal)")))</f>
        <v/>
      </c>
      <c r="E2733" s="20">
        <f>IF($C2733="","",IF(Registro_Compras!$F$307="FACTURA",ROUND(Registro_Compras!$K$307*Registro_Compras!$N$307,2),""))</f>
        <v/>
      </c>
      <c r="F2733" s="20">
        <f>IF($C2733="","",IF(Registro_Compras!$F$307="RHE",ROUND(Registro_Compras!$V$307*Registro_Compras!$N$307,2),IF(Registro_Compras!$F$307="NOTA DE CREDITO",ROUND(ABS(Registro_Compras!$J$307*Registro_Compras!$N$307),2),"")))</f>
        <v/>
      </c>
      <c r="G2733">
        <f>IF($C2733="","",IF(Registro_Compras!$F$307="NOTA DE CREDITO","Por la nota de credito "&amp;Registro_Compras!$C$307&amp;" de "&amp;Registro_Compras!$E$307&amp;" [PATRON POR CONFIRMAR CON CONTADOR]",IF(Registro_Compras!$F$307="RHE","Por el registro del recibo por honorarios "&amp;Registro_Compras!$C$307&amp;" de "&amp;Registro_Compras!$E$307&amp;" [PATRON POR CONFIRMAR CON CONTADOR]","Por el registro de la factura "&amp;Registro_Compras!$C$307&amp;" de "&amp;Registro_Compras!$E$307)))</f>
        <v/>
      </c>
      <c r="H2733">
        <f>IF($C2733="","",Registro_Compras!$C$307)</f>
        <v/>
      </c>
    </row>
    <row r="2734">
      <c r="A2734" s="25">
        <f>IF($C2734="","",Registro_Compras!$B$307)</f>
        <v/>
      </c>
      <c r="B2734">
        <f>IF($C2734="","","C"&amp;TEXT(INT((ROW()-5)/9)+1,"000")&amp;"-1")</f>
        <v/>
      </c>
      <c r="C2734">
        <f>IF(OR(Registro_Compras!$C$307="",Registro_Compras!$O$307=""),"",IF(Registro_Compras!$F$307="NOTA DE CREDITO",IF(Registro_Compras!$K$307=0,"","40111"),"4212"))</f>
        <v/>
      </c>
      <c r="D2734">
        <f>IF(OR(Registro_Compras!$C$307="",Registro_Compras!$O$307=""),"",IF(Registro_Compras!$F$307="NOTA DE CREDITO","IGV - Cuenta Propia (Credito Fiscal)","Cuentas por Pagar Comerciales - Terceros (Emitidas)"))</f>
        <v/>
      </c>
      <c r="E2734" s="20">
        <f>""</f>
        <v/>
      </c>
      <c r="F2734" s="20">
        <f>IF($C2734="","",IF(Registro_Compras!$F$307="NOTA DE CREDITO",ROUND(ABS(Registro_Compras!$K$307*Registro_Compras!$N$307),2),IF(Registro_Compras!$F$307="RHE",(ROUND(Registro_Compras!$L$307*Registro_Compras!$N$307,2)-ROUND(Registro_Compras!$V$307*Registro_Compras!$N$307,2)),Registro_Compras!$O$307)))</f>
        <v/>
      </c>
      <c r="G2734">
        <f>IF($C2734="","",IF(Registro_Compras!$F$307="NOTA DE CREDITO","Por la nota de credito "&amp;Registro_Compras!$C$307&amp;" de "&amp;Registro_Compras!$E$307&amp;" [PATRON POR CONFIRMAR CON CONTADOR]",IF(Registro_Compras!$F$307="RHE","Por el registro del recibo por honorarios "&amp;Registro_Compras!$C$307&amp;" de "&amp;Registro_Compras!$E$307&amp;" [PATRON POR CONFIRMAR CON CONTADOR]","Por el registro de la factura "&amp;Registro_Compras!$C$307&amp;" de "&amp;Registro_Compras!$E$307)))</f>
        <v/>
      </c>
      <c r="H2734">
        <f>IF($C2734="","",Registro_Compras!$C$307)</f>
        <v/>
      </c>
    </row>
    <row r="2735">
      <c r="A2735" s="25">
        <f>IF($C2735="","",Registro_Compras!$B$307)</f>
        <v/>
      </c>
      <c r="B2735">
        <f>IF($C2735="","","C"&amp;TEXT(INT((ROW()-5)/9)+1,"000")&amp;"-2")</f>
        <v/>
      </c>
      <c r="C2735">
        <f>IF(OR(Registro_Compras!$C$307="",Registro_Compras!$O$307=""),"",IF(Registro_Compras!$AB$307="ADMINISTRATIVO","94","95"))</f>
        <v/>
      </c>
      <c r="D2735">
        <f>IF(OR(Registro_Compras!$C$307="",Registro_Compras!$O$307=""),"",IF(Registro_Compras!$AB$307="ADMINISTRATIVO","Gastos Administrativos","Gastos de Venta y Operacion"))</f>
        <v/>
      </c>
      <c r="E2735" s="20">
        <f>IF($C2735="","",IF(Registro_Compras!$F$307="NOTA DE CREDITO","",IF(Registro_Compras!$F$307="RHE",ROUND(Registro_Compras!$L$307*Registro_Compras!$N$307,2),ROUND(Registro_Compras!$J$307*Registro_Compras!$N$307,2))))</f>
        <v/>
      </c>
      <c r="F2735" s="20">
        <f>IF($C2735="","",IF(Registro_Compras!$F$307="NOTA DE CREDITO",ROUND(ABS(Registro_Compras!$J$307*Registro_Compras!$N$307),2),""))</f>
        <v/>
      </c>
      <c r="G2735">
        <f>IF($C2735="","","Por el destino del gasto")</f>
        <v/>
      </c>
      <c r="H2735">
        <f>IF($C2735="","",Registro_Compras!$C$307)</f>
        <v/>
      </c>
    </row>
    <row r="2736">
      <c r="A2736" s="25">
        <f>IF($C2736="","",Registro_Compras!$B$307)</f>
        <v/>
      </c>
      <c r="B2736">
        <f>IF($C2736="","","C"&amp;TEXT(INT((ROW()-5)/9)+1,"000")&amp;"-2")</f>
        <v/>
      </c>
      <c r="C2736">
        <f>IF(OR(Registro_Compras!$C$307="",Registro_Compras!$O$307=""),"","79/791")</f>
        <v/>
      </c>
      <c r="D2736">
        <f>IF(OR(Registro_Compras!$C$307="",Registro_Compras!$O$307=""),"","Cargas Imputables a Cuentas de Costos y Gastos")</f>
        <v/>
      </c>
      <c r="E2736" s="20">
        <f>IF($C2736="","",IF(Registro_Compras!$F$307="NOTA DE CREDITO",ROUND(ABS(Registro_Compras!$J$307*Registro_Compras!$N$307),2),""))</f>
        <v/>
      </c>
      <c r="F2736" s="20">
        <f>IF($C2736="","",IF(Registro_Compras!$F$307="NOTA DE CREDITO","",IF(Registro_Compras!$F$307="RHE",ROUND(Registro_Compras!$L$307*Registro_Compras!$N$307,2),ROUND(Registro_Compras!$J$307*Registro_Compras!$N$307,2))))</f>
        <v/>
      </c>
      <c r="G2736">
        <f>IF($C2736="","","Por el destino del gasto")</f>
        <v/>
      </c>
      <c r="H2736">
        <f>IF($C2736="","",Registro_Compras!$C$307)</f>
        <v/>
      </c>
    </row>
    <row r="2737">
      <c r="A2737" s="25">
        <f>IF($C2737="","",Registro_Compras!$X$307)</f>
        <v/>
      </c>
      <c r="B2737">
        <f>IF($C2737="","","C"&amp;TEXT(INT((ROW()-5)/9)+1,"000")&amp;"-3")</f>
        <v/>
      </c>
      <c r="C2737">
        <f>IF(OR(Registro_Compras!$C$307="",Registro_Compras!$O$307="",Registro_Compras!$R$307&lt;&gt;"SI",Registro_Compras!$X$307=""),"","4212")</f>
        <v/>
      </c>
      <c r="D2737">
        <f>IF(OR(Registro_Compras!$C$307="",Registro_Compras!$O$307=""),"","Cuentas por Pagar Comerciales - Terceros")</f>
        <v/>
      </c>
      <c r="E2737" s="20">
        <f>IF($C2737="","",Registro_Compras!$S$307)</f>
        <v/>
      </c>
      <c r="F2737" s="20">
        <f>""</f>
        <v/>
      </c>
      <c r="G2737">
        <f>IF($C2737="","","Por el deposito de la detraccion en el Banco de la Nacion")</f>
        <v/>
      </c>
      <c r="H2737">
        <f>IF($C2737="","",Registro_Compras!$C$307)</f>
        <v/>
      </c>
    </row>
    <row r="2738">
      <c r="A2738" s="25">
        <f>IF($C2738="","",Registro_Compras!$X$307)</f>
        <v/>
      </c>
      <c r="B2738">
        <f>IF($C2738="","","C"&amp;TEXT(INT((ROW()-5)/9)+1,"000")&amp;"-3")</f>
        <v/>
      </c>
      <c r="C2738">
        <f>IF(OR(Registro_Compras!$C$307="",Registro_Compras!$O$307="",Registro_Compras!$R$307&lt;&gt;"SI",Registro_Compras!$X$307=""),"","10413")</f>
        <v/>
      </c>
      <c r="D2738">
        <f>IF(OR(Registro_Compras!$C$307="",Registro_Compras!$O$307=""),"","Efectivo y Equivalentes - Cta. Cte. Operativa")</f>
        <v/>
      </c>
      <c r="E2738" s="20">
        <f>""</f>
        <v/>
      </c>
      <c r="F2738" s="20">
        <f>IF($C2738="","",Registro_Compras!$S$307)</f>
        <v/>
      </c>
      <c r="G2738">
        <f>IF($C2738="","","Por el deposito de la detraccion en el Banco de la Nacion")</f>
        <v/>
      </c>
      <c r="H2738">
        <f>IF($C2738="","",Registro_Compras!$C$307)</f>
        <v/>
      </c>
    </row>
    <row r="2739">
      <c r="A2739" s="25">
        <f>IF($C2739="","",Registro_Compras!$Y$307)</f>
        <v/>
      </c>
      <c r="B2739">
        <f>IF($C2739="","","C"&amp;TEXT(INT((ROW()-5)/9)+1,"000")&amp;"-4")</f>
        <v/>
      </c>
      <c r="C2739">
        <f>IF(OR(Registro_Compras!$C$307="",Registro_Compras!$O$307="",Registro_Compras!$Y$307="",Registro_Compras!$F$307="NOTA DE CREDITO"),"","4212")</f>
        <v/>
      </c>
      <c r="D2739">
        <f>IF(OR(Registro_Compras!$C$307="",Registro_Compras!$O$307=""),"","Cuentas por Pagar Comerciales - Terceros")</f>
        <v/>
      </c>
      <c r="E2739" s="20">
        <f>IF($C2739="","",IF(Registro_Compras!$F$307="RHE",(ROUND(Registro_Compras!$L$307*Registro_Compras!$N$307,2)-ROUND(Registro_Compras!$V$307*Registro_Compras!$N$307,2)),ROUND(Registro_Compras!$O$307-Registro_Compras!$S$307,2)))</f>
        <v/>
      </c>
      <c r="F2739" s="20">
        <f>""</f>
        <v/>
      </c>
      <c r="G2739">
        <f>IF($C2739="","","Por la cancelacion del saldo al proveedor")</f>
        <v/>
      </c>
      <c r="H2739">
        <f>IF($C2739="","",Registro_Compras!$C$307)</f>
        <v/>
      </c>
    </row>
    <row r="2740">
      <c r="A2740" s="25">
        <f>IF($C2740="","",Registro_Compras!$Y$307)</f>
        <v/>
      </c>
      <c r="B2740">
        <f>IF($C2740="","","C"&amp;TEXT(INT((ROW()-5)/9)+1,"000")&amp;"-4")</f>
        <v/>
      </c>
      <c r="C2740">
        <f>IF(OR(Registro_Compras!$C$307="",Registro_Compras!$O$307="",Registro_Compras!$Y$307="",Registro_Compras!$F$307="NOTA DE CREDITO"),"","10413")</f>
        <v/>
      </c>
      <c r="D2740">
        <f>IF(OR(Registro_Compras!$C$307="",Registro_Compras!$O$307=""),"","Efectivo y Equivalentes - Cta. Cte. Operativa")</f>
        <v/>
      </c>
      <c r="E2740" s="20">
        <f>""</f>
        <v/>
      </c>
      <c r="F2740" s="20">
        <f>IF($C2740="","",IF(Registro_Compras!$F$307="RHE",(ROUND(Registro_Compras!$L$307*Registro_Compras!$N$307,2)-ROUND(Registro_Compras!$V$307*Registro_Compras!$N$307,2)),ROUND(Registro_Compras!$O$307-Registro_Compras!$S$307,2)))</f>
        <v/>
      </c>
      <c r="G2740">
        <f>IF($C2740="","","Por la cancelacion del saldo al proveedor")</f>
        <v/>
      </c>
      <c r="H2740">
        <f>IF($C2740="","",Registro_Compras!$C$307)</f>
        <v/>
      </c>
    </row>
    <row r="2741">
      <c r="A2741" s="25">
        <f>IF($C2741="","",Registro_Compras!$B$308)</f>
        <v/>
      </c>
      <c r="B2741">
        <f>IF($C2741="","","C"&amp;TEXT(INT((ROW()-5)/9)+1,"000")&amp;"-1")</f>
        <v/>
      </c>
      <c r="C2741">
        <f>IF(OR(Registro_Compras!$C$308="",Registro_Compras!$O$308=""),"",IF(Registro_Compras!$F$308="NOTA DE CREDITO","4212",IF(Registro_Compras!$M$308="","63",Registro_Compras!$M$308)))</f>
        <v/>
      </c>
      <c r="D2741">
        <f>IF(OR(Registro_Compras!$C$308="",Registro_Compras!$O$308=""),"",IF(Registro_Compras!$F$308="NOTA DE CREDITO","Cuentas por Pagar Comerciales - Terceros (Emitidas)",IF(Registro_Compras!$F$308="RHE","Honorarios Profesionales - Servicios de Terceros","Gastos de Servicios Prestados por Terceros")))</f>
        <v/>
      </c>
      <c r="E2741" s="20">
        <f>IF($C2741="","",IF(Registro_Compras!$F$308="NOTA DE CREDITO",ABS(Registro_Compras!$O$308),IF(Registro_Compras!$F$308="RHE",ROUND(Registro_Compras!$L$308*Registro_Compras!$N$308,2),ROUND(Registro_Compras!$J$308*Registro_Compras!$N$308,2))))</f>
        <v/>
      </c>
      <c r="F2741" s="20">
        <f>""</f>
        <v/>
      </c>
      <c r="G2741">
        <f>IF($C2741="","",IF(Registro_Compras!$F$308="NOTA DE CREDITO","Por la nota de credito "&amp;Registro_Compras!$C$308&amp;" de "&amp;Registro_Compras!$E$308&amp;" [PATRON POR CONFIRMAR CON CONTADOR]",IF(Registro_Compras!$F$308="RHE","Por el registro del recibo por honorarios "&amp;Registro_Compras!$C$308&amp;" de "&amp;Registro_Compras!$E$308&amp;" [PATRON POR CONFIRMAR CON CONTADOR]","Por el registro de la factura "&amp;Registro_Compras!$C$308&amp;" de "&amp;Registro_Compras!$E$308)))</f>
        <v/>
      </c>
      <c r="H2741">
        <f>IF($C2741="","",Registro_Compras!$C$308)</f>
        <v/>
      </c>
    </row>
    <row r="2742">
      <c r="A2742" s="25">
        <f>IF($C2742="","",Registro_Compras!$B$308)</f>
        <v/>
      </c>
      <c r="B2742">
        <f>IF($C2742="","","C"&amp;TEXT(INT((ROW()-5)/9)+1,"000")&amp;"-1")</f>
        <v/>
      </c>
      <c r="C2742">
        <f>IF(OR(Registro_Compras!$C$308="",Registro_Compras!$O$308=""),"",IF(Registro_Compras!$F$308="RHE",IF(Registro_Compras!$V$308=0,"","40172"),IF(Registro_Compras!$F$308="NOTA DE CREDITO",IF(Registro_Compras!$M$308="","63",Registro_Compras!$M$308),IF(Registro_Compras!$K$308=0,"","40111"))))</f>
        <v/>
      </c>
      <c r="D2742">
        <f>IF(OR(Registro_Compras!$C$308="",Registro_Compras!$O$308=""),"",IF(Registro_Compras!$F$308="RHE","Retencion Renta 4ta Categoria por Pagar",IF(Registro_Compras!$F$308="NOTA DE CREDITO","Gastos de Servicios Prestados por Terceros","IGV - Cuenta Propia (Credito Fiscal)")))</f>
        <v/>
      </c>
      <c r="E2742" s="20">
        <f>IF($C2742="","",IF(Registro_Compras!$F$308="FACTURA",ROUND(Registro_Compras!$K$308*Registro_Compras!$N$308,2),""))</f>
        <v/>
      </c>
      <c r="F2742" s="20">
        <f>IF($C2742="","",IF(Registro_Compras!$F$308="RHE",ROUND(Registro_Compras!$V$308*Registro_Compras!$N$308,2),IF(Registro_Compras!$F$308="NOTA DE CREDITO",ROUND(ABS(Registro_Compras!$J$308*Registro_Compras!$N$308),2),"")))</f>
        <v/>
      </c>
      <c r="G2742">
        <f>IF($C2742="","",IF(Registro_Compras!$F$308="NOTA DE CREDITO","Por la nota de credito "&amp;Registro_Compras!$C$308&amp;" de "&amp;Registro_Compras!$E$308&amp;" [PATRON POR CONFIRMAR CON CONTADOR]",IF(Registro_Compras!$F$308="RHE","Por el registro del recibo por honorarios "&amp;Registro_Compras!$C$308&amp;" de "&amp;Registro_Compras!$E$308&amp;" [PATRON POR CONFIRMAR CON CONTADOR]","Por el registro de la factura "&amp;Registro_Compras!$C$308&amp;" de "&amp;Registro_Compras!$E$308)))</f>
        <v/>
      </c>
      <c r="H2742">
        <f>IF($C2742="","",Registro_Compras!$C$308)</f>
        <v/>
      </c>
    </row>
    <row r="2743">
      <c r="A2743" s="25">
        <f>IF($C2743="","",Registro_Compras!$B$308)</f>
        <v/>
      </c>
      <c r="B2743">
        <f>IF($C2743="","","C"&amp;TEXT(INT((ROW()-5)/9)+1,"000")&amp;"-1")</f>
        <v/>
      </c>
      <c r="C2743">
        <f>IF(OR(Registro_Compras!$C$308="",Registro_Compras!$O$308=""),"",IF(Registro_Compras!$F$308="NOTA DE CREDITO",IF(Registro_Compras!$K$308=0,"","40111"),"4212"))</f>
        <v/>
      </c>
      <c r="D2743">
        <f>IF(OR(Registro_Compras!$C$308="",Registro_Compras!$O$308=""),"",IF(Registro_Compras!$F$308="NOTA DE CREDITO","IGV - Cuenta Propia (Credito Fiscal)","Cuentas por Pagar Comerciales - Terceros (Emitidas)"))</f>
        <v/>
      </c>
      <c r="E2743" s="20">
        <f>""</f>
        <v/>
      </c>
      <c r="F2743" s="20">
        <f>IF($C2743="","",IF(Registro_Compras!$F$308="NOTA DE CREDITO",ROUND(ABS(Registro_Compras!$K$308*Registro_Compras!$N$308),2),IF(Registro_Compras!$F$308="RHE",(ROUND(Registro_Compras!$L$308*Registro_Compras!$N$308,2)-ROUND(Registro_Compras!$V$308*Registro_Compras!$N$308,2)),Registro_Compras!$O$308)))</f>
        <v/>
      </c>
      <c r="G2743">
        <f>IF($C2743="","",IF(Registro_Compras!$F$308="NOTA DE CREDITO","Por la nota de credito "&amp;Registro_Compras!$C$308&amp;" de "&amp;Registro_Compras!$E$308&amp;" [PATRON POR CONFIRMAR CON CONTADOR]",IF(Registro_Compras!$F$308="RHE","Por el registro del recibo por honorarios "&amp;Registro_Compras!$C$308&amp;" de "&amp;Registro_Compras!$E$308&amp;" [PATRON POR CONFIRMAR CON CONTADOR]","Por el registro de la factura "&amp;Registro_Compras!$C$308&amp;" de "&amp;Registro_Compras!$E$308)))</f>
        <v/>
      </c>
      <c r="H2743">
        <f>IF($C2743="","",Registro_Compras!$C$308)</f>
        <v/>
      </c>
    </row>
    <row r="2744">
      <c r="A2744" s="25">
        <f>IF($C2744="","",Registro_Compras!$B$308)</f>
        <v/>
      </c>
      <c r="B2744">
        <f>IF($C2744="","","C"&amp;TEXT(INT((ROW()-5)/9)+1,"000")&amp;"-2")</f>
        <v/>
      </c>
      <c r="C2744">
        <f>IF(OR(Registro_Compras!$C$308="",Registro_Compras!$O$308=""),"",IF(Registro_Compras!$AB$308="ADMINISTRATIVO","94","95"))</f>
        <v/>
      </c>
      <c r="D2744">
        <f>IF(OR(Registro_Compras!$C$308="",Registro_Compras!$O$308=""),"",IF(Registro_Compras!$AB$308="ADMINISTRATIVO","Gastos Administrativos","Gastos de Venta y Operacion"))</f>
        <v/>
      </c>
      <c r="E2744" s="20">
        <f>IF($C2744="","",IF(Registro_Compras!$F$308="NOTA DE CREDITO","",IF(Registro_Compras!$F$308="RHE",ROUND(Registro_Compras!$L$308*Registro_Compras!$N$308,2),ROUND(Registro_Compras!$J$308*Registro_Compras!$N$308,2))))</f>
        <v/>
      </c>
      <c r="F2744" s="20">
        <f>IF($C2744="","",IF(Registro_Compras!$F$308="NOTA DE CREDITO",ROUND(ABS(Registro_Compras!$J$308*Registro_Compras!$N$308),2),""))</f>
        <v/>
      </c>
      <c r="G2744">
        <f>IF($C2744="","","Por el destino del gasto")</f>
        <v/>
      </c>
      <c r="H2744">
        <f>IF($C2744="","",Registro_Compras!$C$308)</f>
        <v/>
      </c>
    </row>
    <row r="2745">
      <c r="A2745" s="25">
        <f>IF($C2745="","",Registro_Compras!$B$308)</f>
        <v/>
      </c>
      <c r="B2745">
        <f>IF($C2745="","","C"&amp;TEXT(INT((ROW()-5)/9)+1,"000")&amp;"-2")</f>
        <v/>
      </c>
      <c r="C2745">
        <f>IF(OR(Registro_Compras!$C$308="",Registro_Compras!$O$308=""),"","79/791")</f>
        <v/>
      </c>
      <c r="D2745">
        <f>IF(OR(Registro_Compras!$C$308="",Registro_Compras!$O$308=""),"","Cargas Imputables a Cuentas de Costos y Gastos")</f>
        <v/>
      </c>
      <c r="E2745" s="20">
        <f>IF($C2745="","",IF(Registro_Compras!$F$308="NOTA DE CREDITO",ROUND(ABS(Registro_Compras!$J$308*Registro_Compras!$N$308),2),""))</f>
        <v/>
      </c>
      <c r="F2745" s="20">
        <f>IF($C2745="","",IF(Registro_Compras!$F$308="NOTA DE CREDITO","",IF(Registro_Compras!$F$308="RHE",ROUND(Registro_Compras!$L$308*Registro_Compras!$N$308,2),ROUND(Registro_Compras!$J$308*Registro_Compras!$N$308,2))))</f>
        <v/>
      </c>
      <c r="G2745">
        <f>IF($C2745="","","Por el destino del gasto")</f>
        <v/>
      </c>
      <c r="H2745">
        <f>IF($C2745="","",Registro_Compras!$C$308)</f>
        <v/>
      </c>
    </row>
    <row r="2746">
      <c r="A2746" s="25">
        <f>IF($C2746="","",Registro_Compras!$X$308)</f>
        <v/>
      </c>
      <c r="B2746">
        <f>IF($C2746="","","C"&amp;TEXT(INT((ROW()-5)/9)+1,"000")&amp;"-3")</f>
        <v/>
      </c>
      <c r="C2746">
        <f>IF(OR(Registro_Compras!$C$308="",Registro_Compras!$O$308="",Registro_Compras!$R$308&lt;&gt;"SI",Registro_Compras!$X$308=""),"","4212")</f>
        <v/>
      </c>
      <c r="D2746">
        <f>IF(OR(Registro_Compras!$C$308="",Registro_Compras!$O$308=""),"","Cuentas por Pagar Comerciales - Terceros")</f>
        <v/>
      </c>
      <c r="E2746" s="20">
        <f>IF($C2746="","",Registro_Compras!$S$308)</f>
        <v/>
      </c>
      <c r="F2746" s="20">
        <f>""</f>
        <v/>
      </c>
      <c r="G2746">
        <f>IF($C2746="","","Por el deposito de la detraccion en el Banco de la Nacion")</f>
        <v/>
      </c>
      <c r="H2746">
        <f>IF($C2746="","",Registro_Compras!$C$308)</f>
        <v/>
      </c>
    </row>
    <row r="2747">
      <c r="A2747" s="25">
        <f>IF($C2747="","",Registro_Compras!$X$308)</f>
        <v/>
      </c>
      <c r="B2747">
        <f>IF($C2747="","","C"&amp;TEXT(INT((ROW()-5)/9)+1,"000")&amp;"-3")</f>
        <v/>
      </c>
      <c r="C2747">
        <f>IF(OR(Registro_Compras!$C$308="",Registro_Compras!$O$308="",Registro_Compras!$R$308&lt;&gt;"SI",Registro_Compras!$X$308=""),"","10413")</f>
        <v/>
      </c>
      <c r="D2747">
        <f>IF(OR(Registro_Compras!$C$308="",Registro_Compras!$O$308=""),"","Efectivo y Equivalentes - Cta. Cte. Operativa")</f>
        <v/>
      </c>
      <c r="E2747" s="20">
        <f>""</f>
        <v/>
      </c>
      <c r="F2747" s="20">
        <f>IF($C2747="","",Registro_Compras!$S$308)</f>
        <v/>
      </c>
      <c r="G2747">
        <f>IF($C2747="","","Por el deposito de la detraccion en el Banco de la Nacion")</f>
        <v/>
      </c>
      <c r="H2747">
        <f>IF($C2747="","",Registro_Compras!$C$308)</f>
        <v/>
      </c>
    </row>
    <row r="2748">
      <c r="A2748" s="25">
        <f>IF($C2748="","",Registro_Compras!$Y$308)</f>
        <v/>
      </c>
      <c r="B2748">
        <f>IF($C2748="","","C"&amp;TEXT(INT((ROW()-5)/9)+1,"000")&amp;"-4")</f>
        <v/>
      </c>
      <c r="C2748">
        <f>IF(OR(Registro_Compras!$C$308="",Registro_Compras!$O$308="",Registro_Compras!$Y$308="",Registro_Compras!$F$308="NOTA DE CREDITO"),"","4212")</f>
        <v/>
      </c>
      <c r="D2748">
        <f>IF(OR(Registro_Compras!$C$308="",Registro_Compras!$O$308=""),"","Cuentas por Pagar Comerciales - Terceros")</f>
        <v/>
      </c>
      <c r="E2748" s="20">
        <f>IF($C2748="","",IF(Registro_Compras!$F$308="RHE",(ROUND(Registro_Compras!$L$308*Registro_Compras!$N$308,2)-ROUND(Registro_Compras!$V$308*Registro_Compras!$N$308,2)),ROUND(Registro_Compras!$O$308-Registro_Compras!$S$308,2)))</f>
        <v/>
      </c>
      <c r="F2748" s="20">
        <f>""</f>
        <v/>
      </c>
      <c r="G2748">
        <f>IF($C2748="","","Por la cancelacion del saldo al proveedor")</f>
        <v/>
      </c>
      <c r="H2748">
        <f>IF($C2748="","",Registro_Compras!$C$308)</f>
        <v/>
      </c>
    </row>
    <row r="2749">
      <c r="A2749" s="25">
        <f>IF($C2749="","",Registro_Compras!$Y$308)</f>
        <v/>
      </c>
      <c r="B2749">
        <f>IF($C2749="","","C"&amp;TEXT(INT((ROW()-5)/9)+1,"000")&amp;"-4")</f>
        <v/>
      </c>
      <c r="C2749">
        <f>IF(OR(Registro_Compras!$C$308="",Registro_Compras!$O$308="",Registro_Compras!$Y$308="",Registro_Compras!$F$308="NOTA DE CREDITO"),"","10413")</f>
        <v/>
      </c>
      <c r="D2749">
        <f>IF(OR(Registro_Compras!$C$308="",Registro_Compras!$O$308=""),"","Efectivo y Equivalentes - Cta. Cte. Operativa")</f>
        <v/>
      </c>
      <c r="E2749" s="20">
        <f>""</f>
        <v/>
      </c>
      <c r="F2749" s="20">
        <f>IF($C2749="","",IF(Registro_Compras!$F$308="RHE",(ROUND(Registro_Compras!$L$308*Registro_Compras!$N$308,2)-ROUND(Registro_Compras!$V$308*Registro_Compras!$N$308,2)),ROUND(Registro_Compras!$O$308-Registro_Compras!$S$308,2)))</f>
        <v/>
      </c>
      <c r="G2749">
        <f>IF($C2749="","","Por la cancelacion del saldo al proveedor")</f>
        <v/>
      </c>
      <c r="H2749">
        <f>IF($C2749="","",Registro_Compras!$C$308)</f>
        <v/>
      </c>
    </row>
    <row r="2750">
      <c r="A2750" s="25">
        <f>IF($C2750="","",Registro_Compras!$B$309)</f>
        <v/>
      </c>
      <c r="B2750">
        <f>IF($C2750="","","C"&amp;TEXT(INT((ROW()-5)/9)+1,"000")&amp;"-1")</f>
        <v/>
      </c>
      <c r="C2750">
        <f>IF(OR(Registro_Compras!$C$309="",Registro_Compras!$O$309=""),"",IF(Registro_Compras!$F$309="NOTA DE CREDITO","4212",IF(Registro_Compras!$M$309="","63",Registro_Compras!$M$309)))</f>
        <v/>
      </c>
      <c r="D2750">
        <f>IF(OR(Registro_Compras!$C$309="",Registro_Compras!$O$309=""),"",IF(Registro_Compras!$F$309="NOTA DE CREDITO","Cuentas por Pagar Comerciales - Terceros (Emitidas)",IF(Registro_Compras!$F$309="RHE","Honorarios Profesionales - Servicios de Terceros","Gastos de Servicios Prestados por Terceros")))</f>
        <v/>
      </c>
      <c r="E2750" s="20">
        <f>IF($C2750="","",IF(Registro_Compras!$F$309="NOTA DE CREDITO",ABS(Registro_Compras!$O$309),IF(Registro_Compras!$F$309="RHE",ROUND(Registro_Compras!$L$309*Registro_Compras!$N$309,2),ROUND(Registro_Compras!$J$309*Registro_Compras!$N$309,2))))</f>
        <v/>
      </c>
      <c r="F2750" s="20">
        <f>""</f>
        <v/>
      </c>
      <c r="G2750">
        <f>IF($C2750="","",IF(Registro_Compras!$F$309="NOTA DE CREDITO","Por la nota de credito "&amp;Registro_Compras!$C$309&amp;" de "&amp;Registro_Compras!$E$309&amp;" [PATRON POR CONFIRMAR CON CONTADOR]",IF(Registro_Compras!$F$309="RHE","Por el registro del recibo por honorarios "&amp;Registro_Compras!$C$309&amp;" de "&amp;Registro_Compras!$E$309&amp;" [PATRON POR CONFIRMAR CON CONTADOR]","Por el registro de la factura "&amp;Registro_Compras!$C$309&amp;" de "&amp;Registro_Compras!$E$309)))</f>
        <v/>
      </c>
      <c r="H2750">
        <f>IF($C2750="","",Registro_Compras!$C$309)</f>
        <v/>
      </c>
    </row>
    <row r="2751">
      <c r="A2751" s="25">
        <f>IF($C2751="","",Registro_Compras!$B$309)</f>
        <v/>
      </c>
      <c r="B2751">
        <f>IF($C2751="","","C"&amp;TEXT(INT((ROW()-5)/9)+1,"000")&amp;"-1")</f>
        <v/>
      </c>
      <c r="C2751">
        <f>IF(OR(Registro_Compras!$C$309="",Registro_Compras!$O$309=""),"",IF(Registro_Compras!$F$309="RHE",IF(Registro_Compras!$V$309=0,"","40172"),IF(Registro_Compras!$F$309="NOTA DE CREDITO",IF(Registro_Compras!$M$309="","63",Registro_Compras!$M$309),IF(Registro_Compras!$K$309=0,"","40111"))))</f>
        <v/>
      </c>
      <c r="D2751">
        <f>IF(OR(Registro_Compras!$C$309="",Registro_Compras!$O$309=""),"",IF(Registro_Compras!$F$309="RHE","Retencion Renta 4ta Categoria por Pagar",IF(Registro_Compras!$F$309="NOTA DE CREDITO","Gastos de Servicios Prestados por Terceros","IGV - Cuenta Propia (Credito Fiscal)")))</f>
        <v/>
      </c>
      <c r="E2751" s="20">
        <f>IF($C2751="","",IF(Registro_Compras!$F$309="FACTURA",ROUND(Registro_Compras!$K$309*Registro_Compras!$N$309,2),""))</f>
        <v/>
      </c>
      <c r="F2751" s="20">
        <f>IF($C2751="","",IF(Registro_Compras!$F$309="RHE",ROUND(Registro_Compras!$V$309*Registro_Compras!$N$309,2),IF(Registro_Compras!$F$309="NOTA DE CREDITO",ROUND(ABS(Registro_Compras!$J$309*Registro_Compras!$N$309),2),"")))</f>
        <v/>
      </c>
      <c r="G2751">
        <f>IF($C2751="","",IF(Registro_Compras!$F$309="NOTA DE CREDITO","Por la nota de credito "&amp;Registro_Compras!$C$309&amp;" de "&amp;Registro_Compras!$E$309&amp;" [PATRON POR CONFIRMAR CON CONTADOR]",IF(Registro_Compras!$F$309="RHE","Por el registro del recibo por honorarios "&amp;Registro_Compras!$C$309&amp;" de "&amp;Registro_Compras!$E$309&amp;" [PATRON POR CONFIRMAR CON CONTADOR]","Por el registro de la factura "&amp;Registro_Compras!$C$309&amp;" de "&amp;Registro_Compras!$E$309)))</f>
        <v/>
      </c>
      <c r="H2751">
        <f>IF($C2751="","",Registro_Compras!$C$309)</f>
        <v/>
      </c>
    </row>
    <row r="2752">
      <c r="A2752" s="25">
        <f>IF($C2752="","",Registro_Compras!$B$309)</f>
        <v/>
      </c>
      <c r="B2752">
        <f>IF($C2752="","","C"&amp;TEXT(INT((ROW()-5)/9)+1,"000")&amp;"-1")</f>
        <v/>
      </c>
      <c r="C2752">
        <f>IF(OR(Registro_Compras!$C$309="",Registro_Compras!$O$309=""),"",IF(Registro_Compras!$F$309="NOTA DE CREDITO",IF(Registro_Compras!$K$309=0,"","40111"),"4212"))</f>
        <v/>
      </c>
      <c r="D2752">
        <f>IF(OR(Registro_Compras!$C$309="",Registro_Compras!$O$309=""),"",IF(Registro_Compras!$F$309="NOTA DE CREDITO","IGV - Cuenta Propia (Credito Fiscal)","Cuentas por Pagar Comerciales - Terceros (Emitidas)"))</f>
        <v/>
      </c>
      <c r="E2752" s="20">
        <f>""</f>
        <v/>
      </c>
      <c r="F2752" s="20">
        <f>IF($C2752="","",IF(Registro_Compras!$F$309="NOTA DE CREDITO",ROUND(ABS(Registro_Compras!$K$309*Registro_Compras!$N$309),2),IF(Registro_Compras!$F$309="RHE",(ROUND(Registro_Compras!$L$309*Registro_Compras!$N$309,2)-ROUND(Registro_Compras!$V$309*Registro_Compras!$N$309,2)),Registro_Compras!$O$309)))</f>
        <v/>
      </c>
      <c r="G2752">
        <f>IF($C2752="","",IF(Registro_Compras!$F$309="NOTA DE CREDITO","Por la nota de credito "&amp;Registro_Compras!$C$309&amp;" de "&amp;Registro_Compras!$E$309&amp;" [PATRON POR CONFIRMAR CON CONTADOR]",IF(Registro_Compras!$F$309="RHE","Por el registro del recibo por honorarios "&amp;Registro_Compras!$C$309&amp;" de "&amp;Registro_Compras!$E$309&amp;" [PATRON POR CONFIRMAR CON CONTADOR]","Por el registro de la factura "&amp;Registro_Compras!$C$309&amp;" de "&amp;Registro_Compras!$E$309)))</f>
        <v/>
      </c>
      <c r="H2752">
        <f>IF($C2752="","",Registro_Compras!$C$309)</f>
        <v/>
      </c>
    </row>
    <row r="2753">
      <c r="A2753" s="25">
        <f>IF($C2753="","",Registro_Compras!$B$309)</f>
        <v/>
      </c>
      <c r="B2753">
        <f>IF($C2753="","","C"&amp;TEXT(INT((ROW()-5)/9)+1,"000")&amp;"-2")</f>
        <v/>
      </c>
      <c r="C2753">
        <f>IF(OR(Registro_Compras!$C$309="",Registro_Compras!$O$309=""),"",IF(Registro_Compras!$AB$309="ADMINISTRATIVO","94","95"))</f>
        <v/>
      </c>
      <c r="D2753">
        <f>IF(OR(Registro_Compras!$C$309="",Registro_Compras!$O$309=""),"",IF(Registro_Compras!$AB$309="ADMINISTRATIVO","Gastos Administrativos","Gastos de Venta y Operacion"))</f>
        <v/>
      </c>
      <c r="E2753" s="20">
        <f>IF($C2753="","",IF(Registro_Compras!$F$309="NOTA DE CREDITO","",IF(Registro_Compras!$F$309="RHE",ROUND(Registro_Compras!$L$309*Registro_Compras!$N$309,2),ROUND(Registro_Compras!$J$309*Registro_Compras!$N$309,2))))</f>
        <v/>
      </c>
      <c r="F2753" s="20">
        <f>IF($C2753="","",IF(Registro_Compras!$F$309="NOTA DE CREDITO",ROUND(ABS(Registro_Compras!$J$309*Registro_Compras!$N$309),2),""))</f>
        <v/>
      </c>
      <c r="G2753">
        <f>IF($C2753="","","Por el destino del gasto")</f>
        <v/>
      </c>
      <c r="H2753">
        <f>IF($C2753="","",Registro_Compras!$C$309)</f>
        <v/>
      </c>
    </row>
    <row r="2754">
      <c r="A2754" s="25">
        <f>IF($C2754="","",Registro_Compras!$B$309)</f>
        <v/>
      </c>
      <c r="B2754">
        <f>IF($C2754="","","C"&amp;TEXT(INT((ROW()-5)/9)+1,"000")&amp;"-2")</f>
        <v/>
      </c>
      <c r="C2754">
        <f>IF(OR(Registro_Compras!$C$309="",Registro_Compras!$O$309=""),"","79/791")</f>
        <v/>
      </c>
      <c r="D2754">
        <f>IF(OR(Registro_Compras!$C$309="",Registro_Compras!$O$309=""),"","Cargas Imputables a Cuentas de Costos y Gastos")</f>
        <v/>
      </c>
      <c r="E2754" s="20">
        <f>IF($C2754="","",IF(Registro_Compras!$F$309="NOTA DE CREDITO",ROUND(ABS(Registro_Compras!$J$309*Registro_Compras!$N$309),2),""))</f>
        <v/>
      </c>
      <c r="F2754" s="20">
        <f>IF($C2754="","",IF(Registro_Compras!$F$309="NOTA DE CREDITO","",IF(Registro_Compras!$F$309="RHE",ROUND(Registro_Compras!$L$309*Registro_Compras!$N$309,2),ROUND(Registro_Compras!$J$309*Registro_Compras!$N$309,2))))</f>
        <v/>
      </c>
      <c r="G2754">
        <f>IF($C2754="","","Por el destino del gasto")</f>
        <v/>
      </c>
      <c r="H2754">
        <f>IF($C2754="","",Registro_Compras!$C$309)</f>
        <v/>
      </c>
    </row>
    <row r="2755">
      <c r="A2755" s="25">
        <f>IF($C2755="","",Registro_Compras!$X$309)</f>
        <v/>
      </c>
      <c r="B2755">
        <f>IF($C2755="","","C"&amp;TEXT(INT((ROW()-5)/9)+1,"000")&amp;"-3")</f>
        <v/>
      </c>
      <c r="C2755">
        <f>IF(OR(Registro_Compras!$C$309="",Registro_Compras!$O$309="",Registro_Compras!$R$309&lt;&gt;"SI",Registro_Compras!$X$309=""),"","4212")</f>
        <v/>
      </c>
      <c r="D2755">
        <f>IF(OR(Registro_Compras!$C$309="",Registro_Compras!$O$309=""),"","Cuentas por Pagar Comerciales - Terceros")</f>
        <v/>
      </c>
      <c r="E2755" s="20">
        <f>IF($C2755="","",Registro_Compras!$S$309)</f>
        <v/>
      </c>
      <c r="F2755" s="20">
        <f>""</f>
        <v/>
      </c>
      <c r="G2755">
        <f>IF($C2755="","","Por el deposito de la detraccion en el Banco de la Nacion")</f>
        <v/>
      </c>
      <c r="H2755">
        <f>IF($C2755="","",Registro_Compras!$C$309)</f>
        <v/>
      </c>
    </row>
    <row r="2756">
      <c r="A2756" s="25">
        <f>IF($C2756="","",Registro_Compras!$X$309)</f>
        <v/>
      </c>
      <c r="B2756">
        <f>IF($C2756="","","C"&amp;TEXT(INT((ROW()-5)/9)+1,"000")&amp;"-3")</f>
        <v/>
      </c>
      <c r="C2756">
        <f>IF(OR(Registro_Compras!$C$309="",Registro_Compras!$O$309="",Registro_Compras!$R$309&lt;&gt;"SI",Registro_Compras!$X$309=""),"","10413")</f>
        <v/>
      </c>
      <c r="D2756">
        <f>IF(OR(Registro_Compras!$C$309="",Registro_Compras!$O$309=""),"","Efectivo y Equivalentes - Cta. Cte. Operativa")</f>
        <v/>
      </c>
      <c r="E2756" s="20">
        <f>""</f>
        <v/>
      </c>
      <c r="F2756" s="20">
        <f>IF($C2756="","",Registro_Compras!$S$309)</f>
        <v/>
      </c>
      <c r="G2756">
        <f>IF($C2756="","","Por el deposito de la detraccion en el Banco de la Nacion")</f>
        <v/>
      </c>
      <c r="H2756">
        <f>IF($C2756="","",Registro_Compras!$C$309)</f>
        <v/>
      </c>
    </row>
    <row r="2757">
      <c r="A2757" s="25">
        <f>IF($C2757="","",Registro_Compras!$Y$309)</f>
        <v/>
      </c>
      <c r="B2757">
        <f>IF($C2757="","","C"&amp;TEXT(INT((ROW()-5)/9)+1,"000")&amp;"-4")</f>
        <v/>
      </c>
      <c r="C2757">
        <f>IF(OR(Registro_Compras!$C$309="",Registro_Compras!$O$309="",Registro_Compras!$Y$309="",Registro_Compras!$F$309="NOTA DE CREDITO"),"","4212")</f>
        <v/>
      </c>
      <c r="D2757">
        <f>IF(OR(Registro_Compras!$C$309="",Registro_Compras!$O$309=""),"","Cuentas por Pagar Comerciales - Terceros")</f>
        <v/>
      </c>
      <c r="E2757" s="20">
        <f>IF($C2757="","",IF(Registro_Compras!$F$309="RHE",(ROUND(Registro_Compras!$L$309*Registro_Compras!$N$309,2)-ROUND(Registro_Compras!$V$309*Registro_Compras!$N$309,2)),ROUND(Registro_Compras!$O$309-Registro_Compras!$S$309,2)))</f>
        <v/>
      </c>
      <c r="F2757" s="20">
        <f>""</f>
        <v/>
      </c>
      <c r="G2757">
        <f>IF($C2757="","","Por la cancelacion del saldo al proveedor")</f>
        <v/>
      </c>
      <c r="H2757">
        <f>IF($C2757="","",Registro_Compras!$C$309)</f>
        <v/>
      </c>
    </row>
    <row r="2758">
      <c r="A2758" s="25">
        <f>IF($C2758="","",Registro_Compras!$Y$309)</f>
        <v/>
      </c>
      <c r="B2758">
        <f>IF($C2758="","","C"&amp;TEXT(INT((ROW()-5)/9)+1,"000")&amp;"-4")</f>
        <v/>
      </c>
      <c r="C2758">
        <f>IF(OR(Registro_Compras!$C$309="",Registro_Compras!$O$309="",Registro_Compras!$Y$309="",Registro_Compras!$F$309="NOTA DE CREDITO"),"","10413")</f>
        <v/>
      </c>
      <c r="D2758">
        <f>IF(OR(Registro_Compras!$C$309="",Registro_Compras!$O$309=""),"","Efectivo y Equivalentes - Cta. Cte. Operativa")</f>
        <v/>
      </c>
      <c r="E2758" s="20">
        <f>""</f>
        <v/>
      </c>
      <c r="F2758" s="20">
        <f>IF($C2758="","",IF(Registro_Compras!$F$309="RHE",(ROUND(Registro_Compras!$L$309*Registro_Compras!$N$309,2)-ROUND(Registro_Compras!$V$309*Registro_Compras!$N$309,2)),ROUND(Registro_Compras!$O$309-Registro_Compras!$S$309,2)))</f>
        <v/>
      </c>
      <c r="G2758">
        <f>IF($C2758="","","Por la cancelacion del saldo al proveedor")</f>
        <v/>
      </c>
      <c r="H2758">
        <f>IF($C2758="","",Registro_Compras!$C$309)</f>
        <v/>
      </c>
    </row>
    <row r="2759">
      <c r="A2759" s="25">
        <f>IF($C2759="","",Registro_Compras!$B$310)</f>
        <v/>
      </c>
      <c r="B2759">
        <f>IF($C2759="","","C"&amp;TEXT(INT((ROW()-5)/9)+1,"000")&amp;"-1")</f>
        <v/>
      </c>
      <c r="C2759">
        <f>IF(OR(Registro_Compras!$C$310="",Registro_Compras!$O$310=""),"",IF(Registro_Compras!$F$310="NOTA DE CREDITO","4212",IF(Registro_Compras!$M$310="","63",Registro_Compras!$M$310)))</f>
        <v/>
      </c>
      <c r="D2759">
        <f>IF(OR(Registro_Compras!$C$310="",Registro_Compras!$O$310=""),"",IF(Registro_Compras!$F$310="NOTA DE CREDITO","Cuentas por Pagar Comerciales - Terceros (Emitidas)",IF(Registro_Compras!$F$310="RHE","Honorarios Profesionales - Servicios de Terceros","Gastos de Servicios Prestados por Terceros")))</f>
        <v/>
      </c>
      <c r="E2759" s="20">
        <f>IF($C2759="","",IF(Registro_Compras!$F$310="NOTA DE CREDITO",ABS(Registro_Compras!$O$310),IF(Registro_Compras!$F$310="RHE",ROUND(Registro_Compras!$L$310*Registro_Compras!$N$310,2),ROUND(Registro_Compras!$J$310*Registro_Compras!$N$310,2))))</f>
        <v/>
      </c>
      <c r="F2759" s="20">
        <f>""</f>
        <v/>
      </c>
      <c r="G2759">
        <f>IF($C2759="","",IF(Registro_Compras!$F$310="NOTA DE CREDITO","Por la nota de credito "&amp;Registro_Compras!$C$310&amp;" de "&amp;Registro_Compras!$E$310&amp;" [PATRON POR CONFIRMAR CON CONTADOR]",IF(Registro_Compras!$F$310="RHE","Por el registro del recibo por honorarios "&amp;Registro_Compras!$C$310&amp;" de "&amp;Registro_Compras!$E$310&amp;" [PATRON POR CONFIRMAR CON CONTADOR]","Por el registro de la factura "&amp;Registro_Compras!$C$310&amp;" de "&amp;Registro_Compras!$E$310)))</f>
        <v/>
      </c>
      <c r="H2759">
        <f>IF($C2759="","",Registro_Compras!$C$310)</f>
        <v/>
      </c>
    </row>
    <row r="2760">
      <c r="A2760" s="25">
        <f>IF($C2760="","",Registro_Compras!$B$310)</f>
        <v/>
      </c>
      <c r="B2760">
        <f>IF($C2760="","","C"&amp;TEXT(INT((ROW()-5)/9)+1,"000")&amp;"-1")</f>
        <v/>
      </c>
      <c r="C2760">
        <f>IF(OR(Registro_Compras!$C$310="",Registro_Compras!$O$310=""),"",IF(Registro_Compras!$F$310="RHE",IF(Registro_Compras!$V$310=0,"","40172"),IF(Registro_Compras!$F$310="NOTA DE CREDITO",IF(Registro_Compras!$M$310="","63",Registro_Compras!$M$310),IF(Registro_Compras!$K$310=0,"","40111"))))</f>
        <v/>
      </c>
      <c r="D2760">
        <f>IF(OR(Registro_Compras!$C$310="",Registro_Compras!$O$310=""),"",IF(Registro_Compras!$F$310="RHE","Retencion Renta 4ta Categoria por Pagar",IF(Registro_Compras!$F$310="NOTA DE CREDITO","Gastos de Servicios Prestados por Terceros","IGV - Cuenta Propia (Credito Fiscal)")))</f>
        <v/>
      </c>
      <c r="E2760" s="20">
        <f>IF($C2760="","",IF(Registro_Compras!$F$310="FACTURA",ROUND(Registro_Compras!$K$310*Registro_Compras!$N$310,2),""))</f>
        <v/>
      </c>
      <c r="F2760" s="20">
        <f>IF($C2760="","",IF(Registro_Compras!$F$310="RHE",ROUND(Registro_Compras!$V$310*Registro_Compras!$N$310,2),IF(Registro_Compras!$F$310="NOTA DE CREDITO",ROUND(ABS(Registro_Compras!$J$310*Registro_Compras!$N$310),2),"")))</f>
        <v/>
      </c>
      <c r="G2760">
        <f>IF($C2760="","",IF(Registro_Compras!$F$310="NOTA DE CREDITO","Por la nota de credito "&amp;Registro_Compras!$C$310&amp;" de "&amp;Registro_Compras!$E$310&amp;" [PATRON POR CONFIRMAR CON CONTADOR]",IF(Registro_Compras!$F$310="RHE","Por el registro del recibo por honorarios "&amp;Registro_Compras!$C$310&amp;" de "&amp;Registro_Compras!$E$310&amp;" [PATRON POR CONFIRMAR CON CONTADOR]","Por el registro de la factura "&amp;Registro_Compras!$C$310&amp;" de "&amp;Registro_Compras!$E$310)))</f>
        <v/>
      </c>
      <c r="H2760">
        <f>IF($C2760="","",Registro_Compras!$C$310)</f>
        <v/>
      </c>
    </row>
    <row r="2761">
      <c r="A2761" s="25">
        <f>IF($C2761="","",Registro_Compras!$B$310)</f>
        <v/>
      </c>
      <c r="B2761">
        <f>IF($C2761="","","C"&amp;TEXT(INT((ROW()-5)/9)+1,"000")&amp;"-1")</f>
        <v/>
      </c>
      <c r="C2761">
        <f>IF(OR(Registro_Compras!$C$310="",Registro_Compras!$O$310=""),"",IF(Registro_Compras!$F$310="NOTA DE CREDITO",IF(Registro_Compras!$K$310=0,"","40111"),"4212"))</f>
        <v/>
      </c>
      <c r="D2761">
        <f>IF(OR(Registro_Compras!$C$310="",Registro_Compras!$O$310=""),"",IF(Registro_Compras!$F$310="NOTA DE CREDITO","IGV - Cuenta Propia (Credito Fiscal)","Cuentas por Pagar Comerciales - Terceros (Emitidas)"))</f>
        <v/>
      </c>
      <c r="E2761" s="20">
        <f>""</f>
        <v/>
      </c>
      <c r="F2761" s="20">
        <f>IF($C2761="","",IF(Registro_Compras!$F$310="NOTA DE CREDITO",ROUND(ABS(Registro_Compras!$K$310*Registro_Compras!$N$310),2),IF(Registro_Compras!$F$310="RHE",(ROUND(Registro_Compras!$L$310*Registro_Compras!$N$310,2)-ROUND(Registro_Compras!$V$310*Registro_Compras!$N$310,2)),Registro_Compras!$O$310)))</f>
        <v/>
      </c>
      <c r="G2761">
        <f>IF($C2761="","",IF(Registro_Compras!$F$310="NOTA DE CREDITO","Por la nota de credito "&amp;Registro_Compras!$C$310&amp;" de "&amp;Registro_Compras!$E$310&amp;" [PATRON POR CONFIRMAR CON CONTADOR]",IF(Registro_Compras!$F$310="RHE","Por el registro del recibo por honorarios "&amp;Registro_Compras!$C$310&amp;" de "&amp;Registro_Compras!$E$310&amp;" [PATRON POR CONFIRMAR CON CONTADOR]","Por el registro de la factura "&amp;Registro_Compras!$C$310&amp;" de "&amp;Registro_Compras!$E$310)))</f>
        <v/>
      </c>
      <c r="H2761">
        <f>IF($C2761="","",Registro_Compras!$C$310)</f>
        <v/>
      </c>
    </row>
    <row r="2762">
      <c r="A2762" s="25">
        <f>IF($C2762="","",Registro_Compras!$B$310)</f>
        <v/>
      </c>
      <c r="B2762">
        <f>IF($C2762="","","C"&amp;TEXT(INT((ROW()-5)/9)+1,"000")&amp;"-2")</f>
        <v/>
      </c>
      <c r="C2762">
        <f>IF(OR(Registro_Compras!$C$310="",Registro_Compras!$O$310=""),"",IF(Registro_Compras!$AB$310="ADMINISTRATIVO","94","95"))</f>
        <v/>
      </c>
      <c r="D2762">
        <f>IF(OR(Registro_Compras!$C$310="",Registro_Compras!$O$310=""),"",IF(Registro_Compras!$AB$310="ADMINISTRATIVO","Gastos Administrativos","Gastos de Venta y Operacion"))</f>
        <v/>
      </c>
      <c r="E2762" s="20">
        <f>IF($C2762="","",IF(Registro_Compras!$F$310="NOTA DE CREDITO","",IF(Registro_Compras!$F$310="RHE",ROUND(Registro_Compras!$L$310*Registro_Compras!$N$310,2),ROUND(Registro_Compras!$J$310*Registro_Compras!$N$310,2))))</f>
        <v/>
      </c>
      <c r="F2762" s="20">
        <f>IF($C2762="","",IF(Registro_Compras!$F$310="NOTA DE CREDITO",ROUND(ABS(Registro_Compras!$J$310*Registro_Compras!$N$310),2),""))</f>
        <v/>
      </c>
      <c r="G2762">
        <f>IF($C2762="","","Por el destino del gasto")</f>
        <v/>
      </c>
      <c r="H2762">
        <f>IF($C2762="","",Registro_Compras!$C$310)</f>
        <v/>
      </c>
    </row>
    <row r="2763">
      <c r="A2763" s="25">
        <f>IF($C2763="","",Registro_Compras!$B$310)</f>
        <v/>
      </c>
      <c r="B2763">
        <f>IF($C2763="","","C"&amp;TEXT(INT((ROW()-5)/9)+1,"000")&amp;"-2")</f>
        <v/>
      </c>
      <c r="C2763">
        <f>IF(OR(Registro_Compras!$C$310="",Registro_Compras!$O$310=""),"","79/791")</f>
        <v/>
      </c>
      <c r="D2763">
        <f>IF(OR(Registro_Compras!$C$310="",Registro_Compras!$O$310=""),"","Cargas Imputables a Cuentas de Costos y Gastos")</f>
        <v/>
      </c>
      <c r="E2763" s="20">
        <f>IF($C2763="","",IF(Registro_Compras!$F$310="NOTA DE CREDITO",ROUND(ABS(Registro_Compras!$J$310*Registro_Compras!$N$310),2),""))</f>
        <v/>
      </c>
      <c r="F2763" s="20">
        <f>IF($C2763="","",IF(Registro_Compras!$F$310="NOTA DE CREDITO","",IF(Registro_Compras!$F$310="RHE",ROUND(Registro_Compras!$L$310*Registro_Compras!$N$310,2),ROUND(Registro_Compras!$J$310*Registro_Compras!$N$310,2))))</f>
        <v/>
      </c>
      <c r="G2763">
        <f>IF($C2763="","","Por el destino del gasto")</f>
        <v/>
      </c>
      <c r="H2763">
        <f>IF($C2763="","",Registro_Compras!$C$310)</f>
        <v/>
      </c>
    </row>
    <row r="2764">
      <c r="A2764" s="25">
        <f>IF($C2764="","",Registro_Compras!$X$310)</f>
        <v/>
      </c>
      <c r="B2764">
        <f>IF($C2764="","","C"&amp;TEXT(INT((ROW()-5)/9)+1,"000")&amp;"-3")</f>
        <v/>
      </c>
      <c r="C2764">
        <f>IF(OR(Registro_Compras!$C$310="",Registro_Compras!$O$310="",Registro_Compras!$R$310&lt;&gt;"SI",Registro_Compras!$X$310=""),"","4212")</f>
        <v/>
      </c>
      <c r="D2764">
        <f>IF(OR(Registro_Compras!$C$310="",Registro_Compras!$O$310=""),"","Cuentas por Pagar Comerciales - Terceros")</f>
        <v/>
      </c>
      <c r="E2764" s="20">
        <f>IF($C2764="","",Registro_Compras!$S$310)</f>
        <v/>
      </c>
      <c r="F2764" s="20">
        <f>""</f>
        <v/>
      </c>
      <c r="G2764">
        <f>IF($C2764="","","Por el deposito de la detraccion en el Banco de la Nacion")</f>
        <v/>
      </c>
      <c r="H2764">
        <f>IF($C2764="","",Registro_Compras!$C$310)</f>
        <v/>
      </c>
    </row>
    <row r="2765">
      <c r="A2765" s="25">
        <f>IF($C2765="","",Registro_Compras!$X$310)</f>
        <v/>
      </c>
      <c r="B2765">
        <f>IF($C2765="","","C"&amp;TEXT(INT((ROW()-5)/9)+1,"000")&amp;"-3")</f>
        <v/>
      </c>
      <c r="C2765">
        <f>IF(OR(Registro_Compras!$C$310="",Registro_Compras!$O$310="",Registro_Compras!$R$310&lt;&gt;"SI",Registro_Compras!$X$310=""),"","10413")</f>
        <v/>
      </c>
      <c r="D2765">
        <f>IF(OR(Registro_Compras!$C$310="",Registro_Compras!$O$310=""),"","Efectivo y Equivalentes - Cta. Cte. Operativa")</f>
        <v/>
      </c>
      <c r="E2765" s="20">
        <f>""</f>
        <v/>
      </c>
      <c r="F2765" s="20">
        <f>IF($C2765="","",Registro_Compras!$S$310)</f>
        <v/>
      </c>
      <c r="G2765">
        <f>IF($C2765="","","Por el deposito de la detraccion en el Banco de la Nacion")</f>
        <v/>
      </c>
      <c r="H2765">
        <f>IF($C2765="","",Registro_Compras!$C$310)</f>
        <v/>
      </c>
    </row>
    <row r="2766">
      <c r="A2766" s="25">
        <f>IF($C2766="","",Registro_Compras!$Y$310)</f>
        <v/>
      </c>
      <c r="B2766">
        <f>IF($C2766="","","C"&amp;TEXT(INT((ROW()-5)/9)+1,"000")&amp;"-4")</f>
        <v/>
      </c>
      <c r="C2766">
        <f>IF(OR(Registro_Compras!$C$310="",Registro_Compras!$O$310="",Registro_Compras!$Y$310="",Registro_Compras!$F$310="NOTA DE CREDITO"),"","4212")</f>
        <v/>
      </c>
      <c r="D2766">
        <f>IF(OR(Registro_Compras!$C$310="",Registro_Compras!$O$310=""),"","Cuentas por Pagar Comerciales - Terceros")</f>
        <v/>
      </c>
      <c r="E2766" s="20">
        <f>IF($C2766="","",IF(Registro_Compras!$F$310="RHE",(ROUND(Registro_Compras!$L$310*Registro_Compras!$N$310,2)-ROUND(Registro_Compras!$V$310*Registro_Compras!$N$310,2)),ROUND(Registro_Compras!$O$310-Registro_Compras!$S$310,2)))</f>
        <v/>
      </c>
      <c r="F2766" s="20">
        <f>""</f>
        <v/>
      </c>
      <c r="G2766">
        <f>IF($C2766="","","Por la cancelacion del saldo al proveedor")</f>
        <v/>
      </c>
      <c r="H2766">
        <f>IF($C2766="","",Registro_Compras!$C$310)</f>
        <v/>
      </c>
    </row>
    <row r="2767">
      <c r="A2767" s="25">
        <f>IF($C2767="","",Registro_Compras!$Y$310)</f>
        <v/>
      </c>
      <c r="B2767">
        <f>IF($C2767="","","C"&amp;TEXT(INT((ROW()-5)/9)+1,"000")&amp;"-4")</f>
        <v/>
      </c>
      <c r="C2767">
        <f>IF(OR(Registro_Compras!$C$310="",Registro_Compras!$O$310="",Registro_Compras!$Y$310="",Registro_Compras!$F$310="NOTA DE CREDITO"),"","10413")</f>
        <v/>
      </c>
      <c r="D2767">
        <f>IF(OR(Registro_Compras!$C$310="",Registro_Compras!$O$310=""),"","Efectivo y Equivalentes - Cta. Cte. Operativa")</f>
        <v/>
      </c>
      <c r="E2767" s="20">
        <f>""</f>
        <v/>
      </c>
      <c r="F2767" s="20">
        <f>IF($C2767="","",IF(Registro_Compras!$F$310="RHE",(ROUND(Registro_Compras!$L$310*Registro_Compras!$N$310,2)-ROUND(Registro_Compras!$V$310*Registro_Compras!$N$310,2)),ROUND(Registro_Compras!$O$310-Registro_Compras!$S$310,2)))</f>
        <v/>
      </c>
      <c r="G2767">
        <f>IF($C2767="","","Por la cancelacion del saldo al proveedor")</f>
        <v/>
      </c>
      <c r="H2767">
        <f>IF($C2767="","",Registro_Compras!$C$310)</f>
        <v/>
      </c>
    </row>
    <row r="2768">
      <c r="A2768" s="25">
        <f>IF($C2768="","",Registro_Compras!$B$311)</f>
        <v/>
      </c>
      <c r="B2768">
        <f>IF($C2768="","","C"&amp;TEXT(INT((ROW()-5)/9)+1,"000")&amp;"-1")</f>
        <v/>
      </c>
      <c r="C2768">
        <f>IF(OR(Registro_Compras!$C$311="",Registro_Compras!$O$311=""),"",IF(Registro_Compras!$F$311="NOTA DE CREDITO","4212",IF(Registro_Compras!$M$311="","63",Registro_Compras!$M$311)))</f>
        <v/>
      </c>
      <c r="D2768">
        <f>IF(OR(Registro_Compras!$C$311="",Registro_Compras!$O$311=""),"",IF(Registro_Compras!$F$311="NOTA DE CREDITO","Cuentas por Pagar Comerciales - Terceros (Emitidas)",IF(Registro_Compras!$F$311="RHE","Honorarios Profesionales - Servicios de Terceros","Gastos de Servicios Prestados por Terceros")))</f>
        <v/>
      </c>
      <c r="E2768" s="20">
        <f>IF($C2768="","",IF(Registro_Compras!$F$311="NOTA DE CREDITO",ABS(Registro_Compras!$O$311),IF(Registro_Compras!$F$311="RHE",ROUND(Registro_Compras!$L$311*Registro_Compras!$N$311,2),ROUND(Registro_Compras!$J$311*Registro_Compras!$N$311,2))))</f>
        <v/>
      </c>
      <c r="F2768" s="20">
        <f>""</f>
        <v/>
      </c>
      <c r="G2768">
        <f>IF($C2768="","",IF(Registro_Compras!$F$311="NOTA DE CREDITO","Por la nota de credito "&amp;Registro_Compras!$C$311&amp;" de "&amp;Registro_Compras!$E$311&amp;" [PATRON POR CONFIRMAR CON CONTADOR]",IF(Registro_Compras!$F$311="RHE","Por el registro del recibo por honorarios "&amp;Registro_Compras!$C$311&amp;" de "&amp;Registro_Compras!$E$311&amp;" [PATRON POR CONFIRMAR CON CONTADOR]","Por el registro de la factura "&amp;Registro_Compras!$C$311&amp;" de "&amp;Registro_Compras!$E$311)))</f>
        <v/>
      </c>
      <c r="H2768">
        <f>IF($C2768="","",Registro_Compras!$C$311)</f>
        <v/>
      </c>
    </row>
    <row r="2769">
      <c r="A2769" s="25">
        <f>IF($C2769="","",Registro_Compras!$B$311)</f>
        <v/>
      </c>
      <c r="B2769">
        <f>IF($C2769="","","C"&amp;TEXT(INT((ROW()-5)/9)+1,"000")&amp;"-1")</f>
        <v/>
      </c>
      <c r="C2769">
        <f>IF(OR(Registro_Compras!$C$311="",Registro_Compras!$O$311=""),"",IF(Registro_Compras!$F$311="RHE",IF(Registro_Compras!$V$311=0,"","40172"),IF(Registro_Compras!$F$311="NOTA DE CREDITO",IF(Registro_Compras!$M$311="","63",Registro_Compras!$M$311),IF(Registro_Compras!$K$311=0,"","40111"))))</f>
        <v/>
      </c>
      <c r="D2769">
        <f>IF(OR(Registro_Compras!$C$311="",Registro_Compras!$O$311=""),"",IF(Registro_Compras!$F$311="RHE","Retencion Renta 4ta Categoria por Pagar",IF(Registro_Compras!$F$311="NOTA DE CREDITO","Gastos de Servicios Prestados por Terceros","IGV - Cuenta Propia (Credito Fiscal)")))</f>
        <v/>
      </c>
      <c r="E2769" s="20">
        <f>IF($C2769="","",IF(Registro_Compras!$F$311="FACTURA",ROUND(Registro_Compras!$K$311*Registro_Compras!$N$311,2),""))</f>
        <v/>
      </c>
      <c r="F2769" s="20">
        <f>IF($C2769="","",IF(Registro_Compras!$F$311="RHE",ROUND(Registro_Compras!$V$311*Registro_Compras!$N$311,2),IF(Registro_Compras!$F$311="NOTA DE CREDITO",ROUND(ABS(Registro_Compras!$J$311*Registro_Compras!$N$311),2),"")))</f>
        <v/>
      </c>
      <c r="G2769">
        <f>IF($C2769="","",IF(Registro_Compras!$F$311="NOTA DE CREDITO","Por la nota de credito "&amp;Registro_Compras!$C$311&amp;" de "&amp;Registro_Compras!$E$311&amp;" [PATRON POR CONFIRMAR CON CONTADOR]",IF(Registro_Compras!$F$311="RHE","Por el registro del recibo por honorarios "&amp;Registro_Compras!$C$311&amp;" de "&amp;Registro_Compras!$E$311&amp;" [PATRON POR CONFIRMAR CON CONTADOR]","Por el registro de la factura "&amp;Registro_Compras!$C$311&amp;" de "&amp;Registro_Compras!$E$311)))</f>
        <v/>
      </c>
      <c r="H2769">
        <f>IF($C2769="","",Registro_Compras!$C$311)</f>
        <v/>
      </c>
    </row>
    <row r="2770">
      <c r="A2770" s="25">
        <f>IF($C2770="","",Registro_Compras!$B$311)</f>
        <v/>
      </c>
      <c r="B2770">
        <f>IF($C2770="","","C"&amp;TEXT(INT((ROW()-5)/9)+1,"000")&amp;"-1")</f>
        <v/>
      </c>
      <c r="C2770">
        <f>IF(OR(Registro_Compras!$C$311="",Registro_Compras!$O$311=""),"",IF(Registro_Compras!$F$311="NOTA DE CREDITO",IF(Registro_Compras!$K$311=0,"","40111"),"4212"))</f>
        <v/>
      </c>
      <c r="D2770">
        <f>IF(OR(Registro_Compras!$C$311="",Registro_Compras!$O$311=""),"",IF(Registro_Compras!$F$311="NOTA DE CREDITO","IGV - Cuenta Propia (Credito Fiscal)","Cuentas por Pagar Comerciales - Terceros (Emitidas)"))</f>
        <v/>
      </c>
      <c r="E2770" s="20">
        <f>""</f>
        <v/>
      </c>
      <c r="F2770" s="20">
        <f>IF($C2770="","",IF(Registro_Compras!$F$311="NOTA DE CREDITO",ROUND(ABS(Registro_Compras!$K$311*Registro_Compras!$N$311),2),IF(Registro_Compras!$F$311="RHE",(ROUND(Registro_Compras!$L$311*Registro_Compras!$N$311,2)-ROUND(Registro_Compras!$V$311*Registro_Compras!$N$311,2)),Registro_Compras!$O$311)))</f>
        <v/>
      </c>
      <c r="G2770">
        <f>IF($C2770="","",IF(Registro_Compras!$F$311="NOTA DE CREDITO","Por la nota de credito "&amp;Registro_Compras!$C$311&amp;" de "&amp;Registro_Compras!$E$311&amp;" [PATRON POR CONFIRMAR CON CONTADOR]",IF(Registro_Compras!$F$311="RHE","Por el registro del recibo por honorarios "&amp;Registro_Compras!$C$311&amp;" de "&amp;Registro_Compras!$E$311&amp;" [PATRON POR CONFIRMAR CON CONTADOR]","Por el registro de la factura "&amp;Registro_Compras!$C$311&amp;" de "&amp;Registro_Compras!$E$311)))</f>
        <v/>
      </c>
      <c r="H2770">
        <f>IF($C2770="","",Registro_Compras!$C$311)</f>
        <v/>
      </c>
    </row>
    <row r="2771">
      <c r="A2771" s="25">
        <f>IF($C2771="","",Registro_Compras!$B$311)</f>
        <v/>
      </c>
      <c r="B2771">
        <f>IF($C2771="","","C"&amp;TEXT(INT((ROW()-5)/9)+1,"000")&amp;"-2")</f>
        <v/>
      </c>
      <c r="C2771">
        <f>IF(OR(Registro_Compras!$C$311="",Registro_Compras!$O$311=""),"",IF(Registro_Compras!$AB$311="ADMINISTRATIVO","94","95"))</f>
        <v/>
      </c>
      <c r="D2771">
        <f>IF(OR(Registro_Compras!$C$311="",Registro_Compras!$O$311=""),"",IF(Registro_Compras!$AB$311="ADMINISTRATIVO","Gastos Administrativos","Gastos de Venta y Operacion"))</f>
        <v/>
      </c>
      <c r="E2771" s="20">
        <f>IF($C2771="","",IF(Registro_Compras!$F$311="NOTA DE CREDITO","",IF(Registro_Compras!$F$311="RHE",ROUND(Registro_Compras!$L$311*Registro_Compras!$N$311,2),ROUND(Registro_Compras!$J$311*Registro_Compras!$N$311,2))))</f>
        <v/>
      </c>
      <c r="F2771" s="20">
        <f>IF($C2771="","",IF(Registro_Compras!$F$311="NOTA DE CREDITO",ROUND(ABS(Registro_Compras!$J$311*Registro_Compras!$N$311),2),""))</f>
        <v/>
      </c>
      <c r="G2771">
        <f>IF($C2771="","","Por el destino del gasto")</f>
        <v/>
      </c>
      <c r="H2771">
        <f>IF($C2771="","",Registro_Compras!$C$311)</f>
        <v/>
      </c>
    </row>
    <row r="2772">
      <c r="A2772" s="25">
        <f>IF($C2772="","",Registro_Compras!$B$311)</f>
        <v/>
      </c>
      <c r="B2772">
        <f>IF($C2772="","","C"&amp;TEXT(INT((ROW()-5)/9)+1,"000")&amp;"-2")</f>
        <v/>
      </c>
      <c r="C2772">
        <f>IF(OR(Registro_Compras!$C$311="",Registro_Compras!$O$311=""),"","79/791")</f>
        <v/>
      </c>
      <c r="D2772">
        <f>IF(OR(Registro_Compras!$C$311="",Registro_Compras!$O$311=""),"","Cargas Imputables a Cuentas de Costos y Gastos")</f>
        <v/>
      </c>
      <c r="E2772" s="20">
        <f>IF($C2772="","",IF(Registro_Compras!$F$311="NOTA DE CREDITO",ROUND(ABS(Registro_Compras!$J$311*Registro_Compras!$N$311),2),""))</f>
        <v/>
      </c>
      <c r="F2772" s="20">
        <f>IF($C2772="","",IF(Registro_Compras!$F$311="NOTA DE CREDITO","",IF(Registro_Compras!$F$311="RHE",ROUND(Registro_Compras!$L$311*Registro_Compras!$N$311,2),ROUND(Registro_Compras!$J$311*Registro_Compras!$N$311,2))))</f>
        <v/>
      </c>
      <c r="G2772">
        <f>IF($C2772="","","Por el destino del gasto")</f>
        <v/>
      </c>
      <c r="H2772">
        <f>IF($C2772="","",Registro_Compras!$C$311)</f>
        <v/>
      </c>
    </row>
    <row r="2773">
      <c r="A2773" s="25">
        <f>IF($C2773="","",Registro_Compras!$X$311)</f>
        <v/>
      </c>
      <c r="B2773">
        <f>IF($C2773="","","C"&amp;TEXT(INT((ROW()-5)/9)+1,"000")&amp;"-3")</f>
        <v/>
      </c>
      <c r="C2773">
        <f>IF(OR(Registro_Compras!$C$311="",Registro_Compras!$O$311="",Registro_Compras!$R$311&lt;&gt;"SI",Registro_Compras!$X$311=""),"","4212")</f>
        <v/>
      </c>
      <c r="D2773">
        <f>IF(OR(Registro_Compras!$C$311="",Registro_Compras!$O$311=""),"","Cuentas por Pagar Comerciales - Terceros")</f>
        <v/>
      </c>
      <c r="E2773" s="20">
        <f>IF($C2773="","",Registro_Compras!$S$311)</f>
        <v/>
      </c>
      <c r="F2773" s="20">
        <f>""</f>
        <v/>
      </c>
      <c r="G2773">
        <f>IF($C2773="","","Por el deposito de la detraccion en el Banco de la Nacion")</f>
        <v/>
      </c>
      <c r="H2773">
        <f>IF($C2773="","",Registro_Compras!$C$311)</f>
        <v/>
      </c>
    </row>
    <row r="2774">
      <c r="A2774" s="25">
        <f>IF($C2774="","",Registro_Compras!$X$311)</f>
        <v/>
      </c>
      <c r="B2774">
        <f>IF($C2774="","","C"&amp;TEXT(INT((ROW()-5)/9)+1,"000")&amp;"-3")</f>
        <v/>
      </c>
      <c r="C2774">
        <f>IF(OR(Registro_Compras!$C$311="",Registro_Compras!$O$311="",Registro_Compras!$R$311&lt;&gt;"SI",Registro_Compras!$X$311=""),"","10413")</f>
        <v/>
      </c>
      <c r="D2774">
        <f>IF(OR(Registro_Compras!$C$311="",Registro_Compras!$O$311=""),"","Efectivo y Equivalentes - Cta. Cte. Operativa")</f>
        <v/>
      </c>
      <c r="E2774" s="20">
        <f>""</f>
        <v/>
      </c>
      <c r="F2774" s="20">
        <f>IF($C2774="","",Registro_Compras!$S$311)</f>
        <v/>
      </c>
      <c r="G2774">
        <f>IF($C2774="","","Por el deposito de la detraccion en el Banco de la Nacion")</f>
        <v/>
      </c>
      <c r="H2774">
        <f>IF($C2774="","",Registro_Compras!$C$311)</f>
        <v/>
      </c>
    </row>
    <row r="2775">
      <c r="A2775" s="25">
        <f>IF($C2775="","",Registro_Compras!$Y$311)</f>
        <v/>
      </c>
      <c r="B2775">
        <f>IF($C2775="","","C"&amp;TEXT(INT((ROW()-5)/9)+1,"000")&amp;"-4")</f>
        <v/>
      </c>
      <c r="C2775">
        <f>IF(OR(Registro_Compras!$C$311="",Registro_Compras!$O$311="",Registro_Compras!$Y$311="",Registro_Compras!$F$311="NOTA DE CREDITO"),"","4212")</f>
        <v/>
      </c>
      <c r="D2775">
        <f>IF(OR(Registro_Compras!$C$311="",Registro_Compras!$O$311=""),"","Cuentas por Pagar Comerciales - Terceros")</f>
        <v/>
      </c>
      <c r="E2775" s="20">
        <f>IF($C2775="","",IF(Registro_Compras!$F$311="RHE",(ROUND(Registro_Compras!$L$311*Registro_Compras!$N$311,2)-ROUND(Registro_Compras!$V$311*Registro_Compras!$N$311,2)),ROUND(Registro_Compras!$O$311-Registro_Compras!$S$311,2)))</f>
        <v/>
      </c>
      <c r="F2775" s="20">
        <f>""</f>
        <v/>
      </c>
      <c r="G2775">
        <f>IF($C2775="","","Por la cancelacion del saldo al proveedor")</f>
        <v/>
      </c>
      <c r="H2775">
        <f>IF($C2775="","",Registro_Compras!$C$311)</f>
        <v/>
      </c>
    </row>
    <row r="2776">
      <c r="A2776" s="25">
        <f>IF($C2776="","",Registro_Compras!$Y$311)</f>
        <v/>
      </c>
      <c r="B2776">
        <f>IF($C2776="","","C"&amp;TEXT(INT((ROW()-5)/9)+1,"000")&amp;"-4")</f>
        <v/>
      </c>
      <c r="C2776">
        <f>IF(OR(Registro_Compras!$C$311="",Registro_Compras!$O$311="",Registro_Compras!$Y$311="",Registro_Compras!$F$311="NOTA DE CREDITO"),"","10413")</f>
        <v/>
      </c>
      <c r="D2776">
        <f>IF(OR(Registro_Compras!$C$311="",Registro_Compras!$O$311=""),"","Efectivo y Equivalentes - Cta. Cte. Operativa")</f>
        <v/>
      </c>
      <c r="E2776" s="20">
        <f>""</f>
        <v/>
      </c>
      <c r="F2776" s="20">
        <f>IF($C2776="","",IF(Registro_Compras!$F$311="RHE",(ROUND(Registro_Compras!$L$311*Registro_Compras!$N$311,2)-ROUND(Registro_Compras!$V$311*Registro_Compras!$N$311,2)),ROUND(Registro_Compras!$O$311-Registro_Compras!$S$311,2)))</f>
        <v/>
      </c>
      <c r="G2776">
        <f>IF($C2776="","","Por la cancelacion del saldo al proveedor")</f>
        <v/>
      </c>
      <c r="H2776">
        <f>IF($C2776="","",Registro_Compras!$C$311)</f>
        <v/>
      </c>
    </row>
    <row r="2777">
      <c r="A2777" s="25">
        <f>IF($C2777="","",Registro_Compras!$B$312)</f>
        <v/>
      </c>
      <c r="B2777">
        <f>IF($C2777="","","C"&amp;TEXT(INT((ROW()-5)/9)+1,"000")&amp;"-1")</f>
        <v/>
      </c>
      <c r="C2777">
        <f>IF(OR(Registro_Compras!$C$312="",Registro_Compras!$O$312=""),"",IF(Registro_Compras!$F$312="NOTA DE CREDITO","4212",IF(Registro_Compras!$M$312="","63",Registro_Compras!$M$312)))</f>
        <v/>
      </c>
      <c r="D2777">
        <f>IF(OR(Registro_Compras!$C$312="",Registro_Compras!$O$312=""),"",IF(Registro_Compras!$F$312="NOTA DE CREDITO","Cuentas por Pagar Comerciales - Terceros (Emitidas)",IF(Registro_Compras!$F$312="RHE","Honorarios Profesionales - Servicios de Terceros","Gastos de Servicios Prestados por Terceros")))</f>
        <v/>
      </c>
      <c r="E2777" s="20">
        <f>IF($C2777="","",IF(Registro_Compras!$F$312="NOTA DE CREDITO",ABS(Registro_Compras!$O$312),IF(Registro_Compras!$F$312="RHE",ROUND(Registro_Compras!$L$312*Registro_Compras!$N$312,2),ROUND(Registro_Compras!$J$312*Registro_Compras!$N$312,2))))</f>
        <v/>
      </c>
      <c r="F2777" s="20">
        <f>""</f>
        <v/>
      </c>
      <c r="G2777">
        <f>IF($C2777="","",IF(Registro_Compras!$F$312="NOTA DE CREDITO","Por la nota de credito "&amp;Registro_Compras!$C$312&amp;" de "&amp;Registro_Compras!$E$312&amp;" [PATRON POR CONFIRMAR CON CONTADOR]",IF(Registro_Compras!$F$312="RHE","Por el registro del recibo por honorarios "&amp;Registro_Compras!$C$312&amp;" de "&amp;Registro_Compras!$E$312&amp;" [PATRON POR CONFIRMAR CON CONTADOR]","Por el registro de la factura "&amp;Registro_Compras!$C$312&amp;" de "&amp;Registro_Compras!$E$312)))</f>
        <v/>
      </c>
      <c r="H2777">
        <f>IF($C2777="","",Registro_Compras!$C$312)</f>
        <v/>
      </c>
    </row>
    <row r="2778">
      <c r="A2778" s="25">
        <f>IF($C2778="","",Registro_Compras!$B$312)</f>
        <v/>
      </c>
      <c r="B2778">
        <f>IF($C2778="","","C"&amp;TEXT(INT((ROW()-5)/9)+1,"000")&amp;"-1")</f>
        <v/>
      </c>
      <c r="C2778">
        <f>IF(OR(Registro_Compras!$C$312="",Registro_Compras!$O$312=""),"",IF(Registro_Compras!$F$312="RHE",IF(Registro_Compras!$V$312=0,"","40172"),IF(Registro_Compras!$F$312="NOTA DE CREDITO",IF(Registro_Compras!$M$312="","63",Registro_Compras!$M$312),IF(Registro_Compras!$K$312=0,"","40111"))))</f>
        <v/>
      </c>
      <c r="D2778">
        <f>IF(OR(Registro_Compras!$C$312="",Registro_Compras!$O$312=""),"",IF(Registro_Compras!$F$312="RHE","Retencion Renta 4ta Categoria por Pagar",IF(Registro_Compras!$F$312="NOTA DE CREDITO","Gastos de Servicios Prestados por Terceros","IGV - Cuenta Propia (Credito Fiscal)")))</f>
        <v/>
      </c>
      <c r="E2778" s="20">
        <f>IF($C2778="","",IF(Registro_Compras!$F$312="FACTURA",ROUND(Registro_Compras!$K$312*Registro_Compras!$N$312,2),""))</f>
        <v/>
      </c>
      <c r="F2778" s="20">
        <f>IF($C2778="","",IF(Registro_Compras!$F$312="RHE",ROUND(Registro_Compras!$V$312*Registro_Compras!$N$312,2),IF(Registro_Compras!$F$312="NOTA DE CREDITO",ROUND(ABS(Registro_Compras!$J$312*Registro_Compras!$N$312),2),"")))</f>
        <v/>
      </c>
      <c r="G2778">
        <f>IF($C2778="","",IF(Registro_Compras!$F$312="NOTA DE CREDITO","Por la nota de credito "&amp;Registro_Compras!$C$312&amp;" de "&amp;Registro_Compras!$E$312&amp;" [PATRON POR CONFIRMAR CON CONTADOR]",IF(Registro_Compras!$F$312="RHE","Por el registro del recibo por honorarios "&amp;Registro_Compras!$C$312&amp;" de "&amp;Registro_Compras!$E$312&amp;" [PATRON POR CONFIRMAR CON CONTADOR]","Por el registro de la factura "&amp;Registro_Compras!$C$312&amp;" de "&amp;Registro_Compras!$E$312)))</f>
        <v/>
      </c>
      <c r="H2778">
        <f>IF($C2778="","",Registro_Compras!$C$312)</f>
        <v/>
      </c>
    </row>
    <row r="2779">
      <c r="A2779" s="25">
        <f>IF($C2779="","",Registro_Compras!$B$312)</f>
        <v/>
      </c>
      <c r="B2779">
        <f>IF($C2779="","","C"&amp;TEXT(INT((ROW()-5)/9)+1,"000")&amp;"-1")</f>
        <v/>
      </c>
      <c r="C2779">
        <f>IF(OR(Registro_Compras!$C$312="",Registro_Compras!$O$312=""),"",IF(Registro_Compras!$F$312="NOTA DE CREDITO",IF(Registro_Compras!$K$312=0,"","40111"),"4212"))</f>
        <v/>
      </c>
      <c r="D2779">
        <f>IF(OR(Registro_Compras!$C$312="",Registro_Compras!$O$312=""),"",IF(Registro_Compras!$F$312="NOTA DE CREDITO","IGV - Cuenta Propia (Credito Fiscal)","Cuentas por Pagar Comerciales - Terceros (Emitidas)"))</f>
        <v/>
      </c>
      <c r="E2779" s="20">
        <f>""</f>
        <v/>
      </c>
      <c r="F2779" s="20">
        <f>IF($C2779="","",IF(Registro_Compras!$F$312="NOTA DE CREDITO",ROUND(ABS(Registro_Compras!$K$312*Registro_Compras!$N$312),2),IF(Registro_Compras!$F$312="RHE",(ROUND(Registro_Compras!$L$312*Registro_Compras!$N$312,2)-ROUND(Registro_Compras!$V$312*Registro_Compras!$N$312,2)),Registro_Compras!$O$312)))</f>
        <v/>
      </c>
      <c r="G2779">
        <f>IF($C2779="","",IF(Registro_Compras!$F$312="NOTA DE CREDITO","Por la nota de credito "&amp;Registro_Compras!$C$312&amp;" de "&amp;Registro_Compras!$E$312&amp;" [PATRON POR CONFIRMAR CON CONTADOR]",IF(Registro_Compras!$F$312="RHE","Por el registro del recibo por honorarios "&amp;Registro_Compras!$C$312&amp;" de "&amp;Registro_Compras!$E$312&amp;" [PATRON POR CONFIRMAR CON CONTADOR]","Por el registro de la factura "&amp;Registro_Compras!$C$312&amp;" de "&amp;Registro_Compras!$E$312)))</f>
        <v/>
      </c>
      <c r="H2779">
        <f>IF($C2779="","",Registro_Compras!$C$312)</f>
        <v/>
      </c>
    </row>
    <row r="2780">
      <c r="A2780" s="25">
        <f>IF($C2780="","",Registro_Compras!$B$312)</f>
        <v/>
      </c>
      <c r="B2780">
        <f>IF($C2780="","","C"&amp;TEXT(INT((ROW()-5)/9)+1,"000")&amp;"-2")</f>
        <v/>
      </c>
      <c r="C2780">
        <f>IF(OR(Registro_Compras!$C$312="",Registro_Compras!$O$312=""),"",IF(Registro_Compras!$AB$312="ADMINISTRATIVO","94","95"))</f>
        <v/>
      </c>
      <c r="D2780">
        <f>IF(OR(Registro_Compras!$C$312="",Registro_Compras!$O$312=""),"",IF(Registro_Compras!$AB$312="ADMINISTRATIVO","Gastos Administrativos","Gastos de Venta y Operacion"))</f>
        <v/>
      </c>
      <c r="E2780" s="20">
        <f>IF($C2780="","",IF(Registro_Compras!$F$312="NOTA DE CREDITO","",IF(Registro_Compras!$F$312="RHE",ROUND(Registro_Compras!$L$312*Registro_Compras!$N$312,2),ROUND(Registro_Compras!$J$312*Registro_Compras!$N$312,2))))</f>
        <v/>
      </c>
      <c r="F2780" s="20">
        <f>IF($C2780="","",IF(Registro_Compras!$F$312="NOTA DE CREDITO",ROUND(ABS(Registro_Compras!$J$312*Registro_Compras!$N$312),2),""))</f>
        <v/>
      </c>
      <c r="G2780">
        <f>IF($C2780="","","Por el destino del gasto")</f>
        <v/>
      </c>
      <c r="H2780">
        <f>IF($C2780="","",Registro_Compras!$C$312)</f>
        <v/>
      </c>
    </row>
    <row r="2781">
      <c r="A2781" s="25">
        <f>IF($C2781="","",Registro_Compras!$B$312)</f>
        <v/>
      </c>
      <c r="B2781">
        <f>IF($C2781="","","C"&amp;TEXT(INT((ROW()-5)/9)+1,"000")&amp;"-2")</f>
        <v/>
      </c>
      <c r="C2781">
        <f>IF(OR(Registro_Compras!$C$312="",Registro_Compras!$O$312=""),"","79/791")</f>
        <v/>
      </c>
      <c r="D2781">
        <f>IF(OR(Registro_Compras!$C$312="",Registro_Compras!$O$312=""),"","Cargas Imputables a Cuentas de Costos y Gastos")</f>
        <v/>
      </c>
      <c r="E2781" s="20">
        <f>IF($C2781="","",IF(Registro_Compras!$F$312="NOTA DE CREDITO",ROUND(ABS(Registro_Compras!$J$312*Registro_Compras!$N$312),2),""))</f>
        <v/>
      </c>
      <c r="F2781" s="20">
        <f>IF($C2781="","",IF(Registro_Compras!$F$312="NOTA DE CREDITO","",IF(Registro_Compras!$F$312="RHE",ROUND(Registro_Compras!$L$312*Registro_Compras!$N$312,2),ROUND(Registro_Compras!$J$312*Registro_Compras!$N$312,2))))</f>
        <v/>
      </c>
      <c r="G2781">
        <f>IF($C2781="","","Por el destino del gasto")</f>
        <v/>
      </c>
      <c r="H2781">
        <f>IF($C2781="","",Registro_Compras!$C$312)</f>
        <v/>
      </c>
    </row>
    <row r="2782">
      <c r="A2782" s="25">
        <f>IF($C2782="","",Registro_Compras!$X$312)</f>
        <v/>
      </c>
      <c r="B2782">
        <f>IF($C2782="","","C"&amp;TEXT(INT((ROW()-5)/9)+1,"000")&amp;"-3")</f>
        <v/>
      </c>
      <c r="C2782">
        <f>IF(OR(Registro_Compras!$C$312="",Registro_Compras!$O$312="",Registro_Compras!$R$312&lt;&gt;"SI",Registro_Compras!$X$312=""),"","4212")</f>
        <v/>
      </c>
      <c r="D2782">
        <f>IF(OR(Registro_Compras!$C$312="",Registro_Compras!$O$312=""),"","Cuentas por Pagar Comerciales - Terceros")</f>
        <v/>
      </c>
      <c r="E2782" s="20">
        <f>IF($C2782="","",Registro_Compras!$S$312)</f>
        <v/>
      </c>
      <c r="F2782" s="20">
        <f>""</f>
        <v/>
      </c>
      <c r="G2782">
        <f>IF($C2782="","","Por el deposito de la detraccion en el Banco de la Nacion")</f>
        <v/>
      </c>
      <c r="H2782">
        <f>IF($C2782="","",Registro_Compras!$C$312)</f>
        <v/>
      </c>
    </row>
    <row r="2783">
      <c r="A2783" s="25">
        <f>IF($C2783="","",Registro_Compras!$X$312)</f>
        <v/>
      </c>
      <c r="B2783">
        <f>IF($C2783="","","C"&amp;TEXT(INT((ROW()-5)/9)+1,"000")&amp;"-3")</f>
        <v/>
      </c>
      <c r="C2783">
        <f>IF(OR(Registro_Compras!$C$312="",Registro_Compras!$O$312="",Registro_Compras!$R$312&lt;&gt;"SI",Registro_Compras!$X$312=""),"","10413")</f>
        <v/>
      </c>
      <c r="D2783">
        <f>IF(OR(Registro_Compras!$C$312="",Registro_Compras!$O$312=""),"","Efectivo y Equivalentes - Cta. Cte. Operativa")</f>
        <v/>
      </c>
      <c r="E2783" s="20">
        <f>""</f>
        <v/>
      </c>
      <c r="F2783" s="20">
        <f>IF($C2783="","",Registro_Compras!$S$312)</f>
        <v/>
      </c>
      <c r="G2783">
        <f>IF($C2783="","","Por el deposito de la detraccion en el Banco de la Nacion")</f>
        <v/>
      </c>
      <c r="H2783">
        <f>IF($C2783="","",Registro_Compras!$C$312)</f>
        <v/>
      </c>
    </row>
    <row r="2784">
      <c r="A2784" s="25">
        <f>IF($C2784="","",Registro_Compras!$Y$312)</f>
        <v/>
      </c>
      <c r="B2784">
        <f>IF($C2784="","","C"&amp;TEXT(INT((ROW()-5)/9)+1,"000")&amp;"-4")</f>
        <v/>
      </c>
      <c r="C2784">
        <f>IF(OR(Registro_Compras!$C$312="",Registro_Compras!$O$312="",Registro_Compras!$Y$312="",Registro_Compras!$F$312="NOTA DE CREDITO"),"","4212")</f>
        <v/>
      </c>
      <c r="D2784">
        <f>IF(OR(Registro_Compras!$C$312="",Registro_Compras!$O$312=""),"","Cuentas por Pagar Comerciales - Terceros")</f>
        <v/>
      </c>
      <c r="E2784" s="20">
        <f>IF($C2784="","",IF(Registro_Compras!$F$312="RHE",(ROUND(Registro_Compras!$L$312*Registro_Compras!$N$312,2)-ROUND(Registro_Compras!$V$312*Registro_Compras!$N$312,2)),ROUND(Registro_Compras!$O$312-Registro_Compras!$S$312,2)))</f>
        <v/>
      </c>
      <c r="F2784" s="20">
        <f>""</f>
        <v/>
      </c>
      <c r="G2784">
        <f>IF($C2784="","","Por la cancelacion del saldo al proveedor")</f>
        <v/>
      </c>
      <c r="H2784">
        <f>IF($C2784="","",Registro_Compras!$C$312)</f>
        <v/>
      </c>
    </row>
    <row r="2785">
      <c r="A2785" s="25">
        <f>IF($C2785="","",Registro_Compras!$Y$312)</f>
        <v/>
      </c>
      <c r="B2785">
        <f>IF($C2785="","","C"&amp;TEXT(INT((ROW()-5)/9)+1,"000")&amp;"-4")</f>
        <v/>
      </c>
      <c r="C2785">
        <f>IF(OR(Registro_Compras!$C$312="",Registro_Compras!$O$312="",Registro_Compras!$Y$312="",Registro_Compras!$F$312="NOTA DE CREDITO"),"","10413")</f>
        <v/>
      </c>
      <c r="D2785">
        <f>IF(OR(Registro_Compras!$C$312="",Registro_Compras!$O$312=""),"","Efectivo y Equivalentes - Cta. Cte. Operativa")</f>
        <v/>
      </c>
      <c r="E2785" s="20">
        <f>""</f>
        <v/>
      </c>
      <c r="F2785" s="20">
        <f>IF($C2785="","",IF(Registro_Compras!$F$312="RHE",(ROUND(Registro_Compras!$L$312*Registro_Compras!$N$312,2)-ROUND(Registro_Compras!$V$312*Registro_Compras!$N$312,2)),ROUND(Registro_Compras!$O$312-Registro_Compras!$S$312,2)))</f>
        <v/>
      </c>
      <c r="G2785">
        <f>IF($C2785="","","Por la cancelacion del saldo al proveedor")</f>
        <v/>
      </c>
      <c r="H2785">
        <f>IF($C2785="","",Registro_Compras!$C$312)</f>
        <v/>
      </c>
    </row>
    <row r="2786">
      <c r="A2786" s="25">
        <f>IF($C2786="","",Registro_Compras!$B$313)</f>
        <v/>
      </c>
      <c r="B2786">
        <f>IF($C2786="","","C"&amp;TEXT(INT((ROW()-5)/9)+1,"000")&amp;"-1")</f>
        <v/>
      </c>
      <c r="C2786">
        <f>IF(OR(Registro_Compras!$C$313="",Registro_Compras!$O$313=""),"",IF(Registro_Compras!$F$313="NOTA DE CREDITO","4212",IF(Registro_Compras!$M$313="","63",Registro_Compras!$M$313)))</f>
        <v/>
      </c>
      <c r="D2786">
        <f>IF(OR(Registro_Compras!$C$313="",Registro_Compras!$O$313=""),"",IF(Registro_Compras!$F$313="NOTA DE CREDITO","Cuentas por Pagar Comerciales - Terceros (Emitidas)",IF(Registro_Compras!$F$313="RHE","Honorarios Profesionales - Servicios de Terceros","Gastos de Servicios Prestados por Terceros")))</f>
        <v/>
      </c>
      <c r="E2786" s="20">
        <f>IF($C2786="","",IF(Registro_Compras!$F$313="NOTA DE CREDITO",ABS(Registro_Compras!$O$313),IF(Registro_Compras!$F$313="RHE",ROUND(Registro_Compras!$L$313*Registro_Compras!$N$313,2),ROUND(Registro_Compras!$J$313*Registro_Compras!$N$313,2))))</f>
        <v/>
      </c>
      <c r="F2786" s="20">
        <f>""</f>
        <v/>
      </c>
      <c r="G2786">
        <f>IF($C2786="","",IF(Registro_Compras!$F$313="NOTA DE CREDITO","Por la nota de credito "&amp;Registro_Compras!$C$313&amp;" de "&amp;Registro_Compras!$E$313&amp;" [PATRON POR CONFIRMAR CON CONTADOR]",IF(Registro_Compras!$F$313="RHE","Por el registro del recibo por honorarios "&amp;Registro_Compras!$C$313&amp;" de "&amp;Registro_Compras!$E$313&amp;" [PATRON POR CONFIRMAR CON CONTADOR]","Por el registro de la factura "&amp;Registro_Compras!$C$313&amp;" de "&amp;Registro_Compras!$E$313)))</f>
        <v/>
      </c>
      <c r="H2786">
        <f>IF($C2786="","",Registro_Compras!$C$313)</f>
        <v/>
      </c>
    </row>
    <row r="2787">
      <c r="A2787" s="25">
        <f>IF($C2787="","",Registro_Compras!$B$313)</f>
        <v/>
      </c>
      <c r="B2787">
        <f>IF($C2787="","","C"&amp;TEXT(INT((ROW()-5)/9)+1,"000")&amp;"-1")</f>
        <v/>
      </c>
      <c r="C2787">
        <f>IF(OR(Registro_Compras!$C$313="",Registro_Compras!$O$313=""),"",IF(Registro_Compras!$F$313="RHE",IF(Registro_Compras!$V$313=0,"","40172"),IF(Registro_Compras!$F$313="NOTA DE CREDITO",IF(Registro_Compras!$M$313="","63",Registro_Compras!$M$313),IF(Registro_Compras!$K$313=0,"","40111"))))</f>
        <v/>
      </c>
      <c r="D2787">
        <f>IF(OR(Registro_Compras!$C$313="",Registro_Compras!$O$313=""),"",IF(Registro_Compras!$F$313="RHE","Retencion Renta 4ta Categoria por Pagar",IF(Registro_Compras!$F$313="NOTA DE CREDITO","Gastos de Servicios Prestados por Terceros","IGV - Cuenta Propia (Credito Fiscal)")))</f>
        <v/>
      </c>
      <c r="E2787" s="20">
        <f>IF($C2787="","",IF(Registro_Compras!$F$313="FACTURA",ROUND(Registro_Compras!$K$313*Registro_Compras!$N$313,2),""))</f>
        <v/>
      </c>
      <c r="F2787" s="20">
        <f>IF($C2787="","",IF(Registro_Compras!$F$313="RHE",ROUND(Registro_Compras!$V$313*Registro_Compras!$N$313,2),IF(Registro_Compras!$F$313="NOTA DE CREDITO",ROUND(ABS(Registro_Compras!$J$313*Registro_Compras!$N$313),2),"")))</f>
        <v/>
      </c>
      <c r="G2787">
        <f>IF($C2787="","",IF(Registro_Compras!$F$313="NOTA DE CREDITO","Por la nota de credito "&amp;Registro_Compras!$C$313&amp;" de "&amp;Registro_Compras!$E$313&amp;" [PATRON POR CONFIRMAR CON CONTADOR]",IF(Registro_Compras!$F$313="RHE","Por el registro del recibo por honorarios "&amp;Registro_Compras!$C$313&amp;" de "&amp;Registro_Compras!$E$313&amp;" [PATRON POR CONFIRMAR CON CONTADOR]","Por el registro de la factura "&amp;Registro_Compras!$C$313&amp;" de "&amp;Registro_Compras!$E$313)))</f>
        <v/>
      </c>
      <c r="H2787">
        <f>IF($C2787="","",Registro_Compras!$C$313)</f>
        <v/>
      </c>
    </row>
    <row r="2788">
      <c r="A2788" s="25">
        <f>IF($C2788="","",Registro_Compras!$B$313)</f>
        <v/>
      </c>
      <c r="B2788">
        <f>IF($C2788="","","C"&amp;TEXT(INT((ROW()-5)/9)+1,"000")&amp;"-1")</f>
        <v/>
      </c>
      <c r="C2788">
        <f>IF(OR(Registro_Compras!$C$313="",Registro_Compras!$O$313=""),"",IF(Registro_Compras!$F$313="NOTA DE CREDITO",IF(Registro_Compras!$K$313=0,"","40111"),"4212"))</f>
        <v/>
      </c>
      <c r="D2788">
        <f>IF(OR(Registro_Compras!$C$313="",Registro_Compras!$O$313=""),"",IF(Registro_Compras!$F$313="NOTA DE CREDITO","IGV - Cuenta Propia (Credito Fiscal)","Cuentas por Pagar Comerciales - Terceros (Emitidas)"))</f>
        <v/>
      </c>
      <c r="E2788" s="20">
        <f>""</f>
        <v/>
      </c>
      <c r="F2788" s="20">
        <f>IF($C2788="","",IF(Registro_Compras!$F$313="NOTA DE CREDITO",ROUND(ABS(Registro_Compras!$K$313*Registro_Compras!$N$313),2),IF(Registro_Compras!$F$313="RHE",(ROUND(Registro_Compras!$L$313*Registro_Compras!$N$313,2)-ROUND(Registro_Compras!$V$313*Registro_Compras!$N$313,2)),Registro_Compras!$O$313)))</f>
        <v/>
      </c>
      <c r="G2788">
        <f>IF($C2788="","",IF(Registro_Compras!$F$313="NOTA DE CREDITO","Por la nota de credito "&amp;Registro_Compras!$C$313&amp;" de "&amp;Registro_Compras!$E$313&amp;" [PATRON POR CONFIRMAR CON CONTADOR]",IF(Registro_Compras!$F$313="RHE","Por el registro del recibo por honorarios "&amp;Registro_Compras!$C$313&amp;" de "&amp;Registro_Compras!$E$313&amp;" [PATRON POR CONFIRMAR CON CONTADOR]","Por el registro de la factura "&amp;Registro_Compras!$C$313&amp;" de "&amp;Registro_Compras!$E$313)))</f>
        <v/>
      </c>
      <c r="H2788">
        <f>IF($C2788="","",Registro_Compras!$C$313)</f>
        <v/>
      </c>
    </row>
    <row r="2789">
      <c r="A2789" s="25">
        <f>IF($C2789="","",Registro_Compras!$B$313)</f>
        <v/>
      </c>
      <c r="B2789">
        <f>IF($C2789="","","C"&amp;TEXT(INT((ROW()-5)/9)+1,"000")&amp;"-2")</f>
        <v/>
      </c>
      <c r="C2789">
        <f>IF(OR(Registro_Compras!$C$313="",Registro_Compras!$O$313=""),"",IF(Registro_Compras!$AB$313="ADMINISTRATIVO","94","95"))</f>
        <v/>
      </c>
      <c r="D2789">
        <f>IF(OR(Registro_Compras!$C$313="",Registro_Compras!$O$313=""),"",IF(Registro_Compras!$AB$313="ADMINISTRATIVO","Gastos Administrativos","Gastos de Venta y Operacion"))</f>
        <v/>
      </c>
      <c r="E2789" s="20">
        <f>IF($C2789="","",IF(Registro_Compras!$F$313="NOTA DE CREDITO","",IF(Registro_Compras!$F$313="RHE",ROUND(Registro_Compras!$L$313*Registro_Compras!$N$313,2),ROUND(Registro_Compras!$J$313*Registro_Compras!$N$313,2))))</f>
        <v/>
      </c>
      <c r="F2789" s="20">
        <f>IF($C2789="","",IF(Registro_Compras!$F$313="NOTA DE CREDITO",ROUND(ABS(Registro_Compras!$J$313*Registro_Compras!$N$313),2),""))</f>
        <v/>
      </c>
      <c r="G2789">
        <f>IF($C2789="","","Por el destino del gasto")</f>
        <v/>
      </c>
      <c r="H2789">
        <f>IF($C2789="","",Registro_Compras!$C$313)</f>
        <v/>
      </c>
    </row>
    <row r="2790">
      <c r="A2790" s="25">
        <f>IF($C2790="","",Registro_Compras!$B$313)</f>
        <v/>
      </c>
      <c r="B2790">
        <f>IF($C2790="","","C"&amp;TEXT(INT((ROW()-5)/9)+1,"000")&amp;"-2")</f>
        <v/>
      </c>
      <c r="C2790">
        <f>IF(OR(Registro_Compras!$C$313="",Registro_Compras!$O$313=""),"","79/791")</f>
        <v/>
      </c>
      <c r="D2790">
        <f>IF(OR(Registro_Compras!$C$313="",Registro_Compras!$O$313=""),"","Cargas Imputables a Cuentas de Costos y Gastos")</f>
        <v/>
      </c>
      <c r="E2790" s="20">
        <f>IF($C2790="","",IF(Registro_Compras!$F$313="NOTA DE CREDITO",ROUND(ABS(Registro_Compras!$J$313*Registro_Compras!$N$313),2),""))</f>
        <v/>
      </c>
      <c r="F2790" s="20">
        <f>IF($C2790="","",IF(Registro_Compras!$F$313="NOTA DE CREDITO","",IF(Registro_Compras!$F$313="RHE",ROUND(Registro_Compras!$L$313*Registro_Compras!$N$313,2),ROUND(Registro_Compras!$J$313*Registro_Compras!$N$313,2))))</f>
        <v/>
      </c>
      <c r="G2790">
        <f>IF($C2790="","","Por el destino del gasto")</f>
        <v/>
      </c>
      <c r="H2790">
        <f>IF($C2790="","",Registro_Compras!$C$313)</f>
        <v/>
      </c>
    </row>
    <row r="2791">
      <c r="A2791" s="25">
        <f>IF($C2791="","",Registro_Compras!$X$313)</f>
        <v/>
      </c>
      <c r="B2791">
        <f>IF($C2791="","","C"&amp;TEXT(INT((ROW()-5)/9)+1,"000")&amp;"-3")</f>
        <v/>
      </c>
      <c r="C2791">
        <f>IF(OR(Registro_Compras!$C$313="",Registro_Compras!$O$313="",Registro_Compras!$R$313&lt;&gt;"SI",Registro_Compras!$X$313=""),"","4212")</f>
        <v/>
      </c>
      <c r="D2791">
        <f>IF(OR(Registro_Compras!$C$313="",Registro_Compras!$O$313=""),"","Cuentas por Pagar Comerciales - Terceros")</f>
        <v/>
      </c>
      <c r="E2791" s="20">
        <f>IF($C2791="","",Registro_Compras!$S$313)</f>
        <v/>
      </c>
      <c r="F2791" s="20">
        <f>""</f>
        <v/>
      </c>
      <c r="G2791">
        <f>IF($C2791="","","Por el deposito de la detraccion en el Banco de la Nacion")</f>
        <v/>
      </c>
      <c r="H2791">
        <f>IF($C2791="","",Registro_Compras!$C$313)</f>
        <v/>
      </c>
    </row>
    <row r="2792">
      <c r="A2792" s="25">
        <f>IF($C2792="","",Registro_Compras!$X$313)</f>
        <v/>
      </c>
      <c r="B2792">
        <f>IF($C2792="","","C"&amp;TEXT(INT((ROW()-5)/9)+1,"000")&amp;"-3")</f>
        <v/>
      </c>
      <c r="C2792">
        <f>IF(OR(Registro_Compras!$C$313="",Registro_Compras!$O$313="",Registro_Compras!$R$313&lt;&gt;"SI",Registro_Compras!$X$313=""),"","10413")</f>
        <v/>
      </c>
      <c r="D2792">
        <f>IF(OR(Registro_Compras!$C$313="",Registro_Compras!$O$313=""),"","Efectivo y Equivalentes - Cta. Cte. Operativa")</f>
        <v/>
      </c>
      <c r="E2792" s="20">
        <f>""</f>
        <v/>
      </c>
      <c r="F2792" s="20">
        <f>IF($C2792="","",Registro_Compras!$S$313)</f>
        <v/>
      </c>
      <c r="G2792">
        <f>IF($C2792="","","Por el deposito de la detraccion en el Banco de la Nacion")</f>
        <v/>
      </c>
      <c r="H2792">
        <f>IF($C2792="","",Registro_Compras!$C$313)</f>
        <v/>
      </c>
    </row>
    <row r="2793">
      <c r="A2793" s="25">
        <f>IF($C2793="","",Registro_Compras!$Y$313)</f>
        <v/>
      </c>
      <c r="B2793">
        <f>IF($C2793="","","C"&amp;TEXT(INT((ROW()-5)/9)+1,"000")&amp;"-4")</f>
        <v/>
      </c>
      <c r="C2793">
        <f>IF(OR(Registro_Compras!$C$313="",Registro_Compras!$O$313="",Registro_Compras!$Y$313="",Registro_Compras!$F$313="NOTA DE CREDITO"),"","4212")</f>
        <v/>
      </c>
      <c r="D2793">
        <f>IF(OR(Registro_Compras!$C$313="",Registro_Compras!$O$313=""),"","Cuentas por Pagar Comerciales - Terceros")</f>
        <v/>
      </c>
      <c r="E2793" s="20">
        <f>IF($C2793="","",IF(Registro_Compras!$F$313="RHE",(ROUND(Registro_Compras!$L$313*Registro_Compras!$N$313,2)-ROUND(Registro_Compras!$V$313*Registro_Compras!$N$313,2)),ROUND(Registro_Compras!$O$313-Registro_Compras!$S$313,2)))</f>
        <v/>
      </c>
      <c r="F2793" s="20">
        <f>""</f>
        <v/>
      </c>
      <c r="G2793">
        <f>IF($C2793="","","Por la cancelacion del saldo al proveedor")</f>
        <v/>
      </c>
      <c r="H2793">
        <f>IF($C2793="","",Registro_Compras!$C$313)</f>
        <v/>
      </c>
    </row>
    <row r="2794">
      <c r="A2794" s="25">
        <f>IF($C2794="","",Registro_Compras!$Y$313)</f>
        <v/>
      </c>
      <c r="B2794">
        <f>IF($C2794="","","C"&amp;TEXT(INT((ROW()-5)/9)+1,"000")&amp;"-4")</f>
        <v/>
      </c>
      <c r="C2794">
        <f>IF(OR(Registro_Compras!$C$313="",Registro_Compras!$O$313="",Registro_Compras!$Y$313="",Registro_Compras!$F$313="NOTA DE CREDITO"),"","10413")</f>
        <v/>
      </c>
      <c r="D2794">
        <f>IF(OR(Registro_Compras!$C$313="",Registro_Compras!$O$313=""),"","Efectivo y Equivalentes - Cta. Cte. Operativa")</f>
        <v/>
      </c>
      <c r="E2794" s="20">
        <f>""</f>
        <v/>
      </c>
      <c r="F2794" s="20">
        <f>IF($C2794="","",IF(Registro_Compras!$F$313="RHE",(ROUND(Registro_Compras!$L$313*Registro_Compras!$N$313,2)-ROUND(Registro_Compras!$V$313*Registro_Compras!$N$313,2)),ROUND(Registro_Compras!$O$313-Registro_Compras!$S$313,2)))</f>
        <v/>
      </c>
      <c r="G2794">
        <f>IF($C2794="","","Por la cancelacion del saldo al proveedor")</f>
        <v/>
      </c>
      <c r="H2794">
        <f>IF($C2794="","",Registro_Compras!$C$313)</f>
        <v/>
      </c>
    </row>
    <row r="2795">
      <c r="A2795" s="25">
        <f>IF($C2795="","",Registro_Compras!$B$314)</f>
        <v/>
      </c>
      <c r="B2795">
        <f>IF($C2795="","","C"&amp;TEXT(INT((ROW()-5)/9)+1,"000")&amp;"-1")</f>
        <v/>
      </c>
      <c r="C2795">
        <f>IF(OR(Registro_Compras!$C$314="",Registro_Compras!$O$314=""),"",IF(Registro_Compras!$F$314="NOTA DE CREDITO","4212",IF(Registro_Compras!$M$314="","63",Registro_Compras!$M$314)))</f>
        <v/>
      </c>
      <c r="D2795">
        <f>IF(OR(Registro_Compras!$C$314="",Registro_Compras!$O$314=""),"",IF(Registro_Compras!$F$314="NOTA DE CREDITO","Cuentas por Pagar Comerciales - Terceros (Emitidas)",IF(Registro_Compras!$F$314="RHE","Honorarios Profesionales - Servicios de Terceros","Gastos de Servicios Prestados por Terceros")))</f>
        <v/>
      </c>
      <c r="E2795" s="20">
        <f>IF($C2795="","",IF(Registro_Compras!$F$314="NOTA DE CREDITO",ABS(Registro_Compras!$O$314),IF(Registro_Compras!$F$314="RHE",ROUND(Registro_Compras!$L$314*Registro_Compras!$N$314,2),ROUND(Registro_Compras!$J$314*Registro_Compras!$N$314,2))))</f>
        <v/>
      </c>
      <c r="F2795" s="20">
        <f>""</f>
        <v/>
      </c>
      <c r="G2795">
        <f>IF($C2795="","",IF(Registro_Compras!$F$314="NOTA DE CREDITO","Por la nota de credito "&amp;Registro_Compras!$C$314&amp;" de "&amp;Registro_Compras!$E$314&amp;" [PATRON POR CONFIRMAR CON CONTADOR]",IF(Registro_Compras!$F$314="RHE","Por el registro del recibo por honorarios "&amp;Registro_Compras!$C$314&amp;" de "&amp;Registro_Compras!$E$314&amp;" [PATRON POR CONFIRMAR CON CONTADOR]","Por el registro de la factura "&amp;Registro_Compras!$C$314&amp;" de "&amp;Registro_Compras!$E$314)))</f>
        <v/>
      </c>
      <c r="H2795">
        <f>IF($C2795="","",Registro_Compras!$C$314)</f>
        <v/>
      </c>
    </row>
    <row r="2796">
      <c r="A2796" s="25">
        <f>IF($C2796="","",Registro_Compras!$B$314)</f>
        <v/>
      </c>
      <c r="B2796">
        <f>IF($C2796="","","C"&amp;TEXT(INT((ROW()-5)/9)+1,"000")&amp;"-1")</f>
        <v/>
      </c>
      <c r="C2796">
        <f>IF(OR(Registro_Compras!$C$314="",Registro_Compras!$O$314=""),"",IF(Registro_Compras!$F$314="RHE",IF(Registro_Compras!$V$314=0,"","40172"),IF(Registro_Compras!$F$314="NOTA DE CREDITO",IF(Registro_Compras!$M$314="","63",Registro_Compras!$M$314),IF(Registro_Compras!$K$314=0,"","40111"))))</f>
        <v/>
      </c>
      <c r="D2796">
        <f>IF(OR(Registro_Compras!$C$314="",Registro_Compras!$O$314=""),"",IF(Registro_Compras!$F$314="RHE","Retencion Renta 4ta Categoria por Pagar",IF(Registro_Compras!$F$314="NOTA DE CREDITO","Gastos de Servicios Prestados por Terceros","IGV - Cuenta Propia (Credito Fiscal)")))</f>
        <v/>
      </c>
      <c r="E2796" s="20">
        <f>IF($C2796="","",IF(Registro_Compras!$F$314="FACTURA",ROUND(Registro_Compras!$K$314*Registro_Compras!$N$314,2),""))</f>
        <v/>
      </c>
      <c r="F2796" s="20">
        <f>IF($C2796="","",IF(Registro_Compras!$F$314="RHE",ROUND(Registro_Compras!$V$314*Registro_Compras!$N$314,2),IF(Registro_Compras!$F$314="NOTA DE CREDITO",ROUND(ABS(Registro_Compras!$J$314*Registro_Compras!$N$314),2),"")))</f>
        <v/>
      </c>
      <c r="G2796">
        <f>IF($C2796="","",IF(Registro_Compras!$F$314="NOTA DE CREDITO","Por la nota de credito "&amp;Registro_Compras!$C$314&amp;" de "&amp;Registro_Compras!$E$314&amp;" [PATRON POR CONFIRMAR CON CONTADOR]",IF(Registro_Compras!$F$314="RHE","Por el registro del recibo por honorarios "&amp;Registro_Compras!$C$314&amp;" de "&amp;Registro_Compras!$E$314&amp;" [PATRON POR CONFIRMAR CON CONTADOR]","Por el registro de la factura "&amp;Registro_Compras!$C$314&amp;" de "&amp;Registro_Compras!$E$314)))</f>
        <v/>
      </c>
      <c r="H2796">
        <f>IF($C2796="","",Registro_Compras!$C$314)</f>
        <v/>
      </c>
    </row>
    <row r="2797">
      <c r="A2797" s="25">
        <f>IF($C2797="","",Registro_Compras!$B$314)</f>
        <v/>
      </c>
      <c r="B2797">
        <f>IF($C2797="","","C"&amp;TEXT(INT((ROW()-5)/9)+1,"000")&amp;"-1")</f>
        <v/>
      </c>
      <c r="C2797">
        <f>IF(OR(Registro_Compras!$C$314="",Registro_Compras!$O$314=""),"",IF(Registro_Compras!$F$314="NOTA DE CREDITO",IF(Registro_Compras!$K$314=0,"","40111"),"4212"))</f>
        <v/>
      </c>
      <c r="D2797">
        <f>IF(OR(Registro_Compras!$C$314="",Registro_Compras!$O$314=""),"",IF(Registro_Compras!$F$314="NOTA DE CREDITO","IGV - Cuenta Propia (Credito Fiscal)","Cuentas por Pagar Comerciales - Terceros (Emitidas)"))</f>
        <v/>
      </c>
      <c r="E2797" s="20">
        <f>""</f>
        <v/>
      </c>
      <c r="F2797" s="20">
        <f>IF($C2797="","",IF(Registro_Compras!$F$314="NOTA DE CREDITO",ROUND(ABS(Registro_Compras!$K$314*Registro_Compras!$N$314),2),IF(Registro_Compras!$F$314="RHE",(ROUND(Registro_Compras!$L$314*Registro_Compras!$N$314,2)-ROUND(Registro_Compras!$V$314*Registro_Compras!$N$314,2)),Registro_Compras!$O$314)))</f>
        <v/>
      </c>
      <c r="G2797">
        <f>IF($C2797="","",IF(Registro_Compras!$F$314="NOTA DE CREDITO","Por la nota de credito "&amp;Registro_Compras!$C$314&amp;" de "&amp;Registro_Compras!$E$314&amp;" [PATRON POR CONFIRMAR CON CONTADOR]",IF(Registro_Compras!$F$314="RHE","Por el registro del recibo por honorarios "&amp;Registro_Compras!$C$314&amp;" de "&amp;Registro_Compras!$E$314&amp;" [PATRON POR CONFIRMAR CON CONTADOR]","Por el registro de la factura "&amp;Registro_Compras!$C$314&amp;" de "&amp;Registro_Compras!$E$314)))</f>
        <v/>
      </c>
      <c r="H2797">
        <f>IF($C2797="","",Registro_Compras!$C$314)</f>
        <v/>
      </c>
    </row>
    <row r="2798">
      <c r="A2798" s="25">
        <f>IF($C2798="","",Registro_Compras!$B$314)</f>
        <v/>
      </c>
      <c r="B2798">
        <f>IF($C2798="","","C"&amp;TEXT(INT((ROW()-5)/9)+1,"000")&amp;"-2")</f>
        <v/>
      </c>
      <c r="C2798">
        <f>IF(OR(Registro_Compras!$C$314="",Registro_Compras!$O$314=""),"",IF(Registro_Compras!$AB$314="ADMINISTRATIVO","94","95"))</f>
        <v/>
      </c>
      <c r="D2798">
        <f>IF(OR(Registro_Compras!$C$314="",Registro_Compras!$O$314=""),"",IF(Registro_Compras!$AB$314="ADMINISTRATIVO","Gastos Administrativos","Gastos de Venta y Operacion"))</f>
        <v/>
      </c>
      <c r="E2798" s="20">
        <f>IF($C2798="","",IF(Registro_Compras!$F$314="NOTA DE CREDITO","",IF(Registro_Compras!$F$314="RHE",ROUND(Registro_Compras!$L$314*Registro_Compras!$N$314,2),ROUND(Registro_Compras!$J$314*Registro_Compras!$N$314,2))))</f>
        <v/>
      </c>
      <c r="F2798" s="20">
        <f>IF($C2798="","",IF(Registro_Compras!$F$314="NOTA DE CREDITO",ROUND(ABS(Registro_Compras!$J$314*Registro_Compras!$N$314),2),""))</f>
        <v/>
      </c>
      <c r="G2798">
        <f>IF($C2798="","","Por el destino del gasto")</f>
        <v/>
      </c>
      <c r="H2798">
        <f>IF($C2798="","",Registro_Compras!$C$314)</f>
        <v/>
      </c>
    </row>
    <row r="2799">
      <c r="A2799" s="25">
        <f>IF($C2799="","",Registro_Compras!$B$314)</f>
        <v/>
      </c>
      <c r="B2799">
        <f>IF($C2799="","","C"&amp;TEXT(INT((ROW()-5)/9)+1,"000")&amp;"-2")</f>
        <v/>
      </c>
      <c r="C2799">
        <f>IF(OR(Registro_Compras!$C$314="",Registro_Compras!$O$314=""),"","79/791")</f>
        <v/>
      </c>
      <c r="D2799">
        <f>IF(OR(Registro_Compras!$C$314="",Registro_Compras!$O$314=""),"","Cargas Imputables a Cuentas de Costos y Gastos")</f>
        <v/>
      </c>
      <c r="E2799" s="20">
        <f>IF($C2799="","",IF(Registro_Compras!$F$314="NOTA DE CREDITO",ROUND(ABS(Registro_Compras!$J$314*Registro_Compras!$N$314),2),""))</f>
        <v/>
      </c>
      <c r="F2799" s="20">
        <f>IF($C2799="","",IF(Registro_Compras!$F$314="NOTA DE CREDITO","",IF(Registro_Compras!$F$314="RHE",ROUND(Registro_Compras!$L$314*Registro_Compras!$N$314,2),ROUND(Registro_Compras!$J$314*Registro_Compras!$N$314,2))))</f>
        <v/>
      </c>
      <c r="G2799">
        <f>IF($C2799="","","Por el destino del gasto")</f>
        <v/>
      </c>
      <c r="H2799">
        <f>IF($C2799="","",Registro_Compras!$C$314)</f>
        <v/>
      </c>
    </row>
    <row r="2800">
      <c r="A2800" s="25">
        <f>IF($C2800="","",Registro_Compras!$X$314)</f>
        <v/>
      </c>
      <c r="B2800">
        <f>IF($C2800="","","C"&amp;TEXT(INT((ROW()-5)/9)+1,"000")&amp;"-3")</f>
        <v/>
      </c>
      <c r="C2800">
        <f>IF(OR(Registro_Compras!$C$314="",Registro_Compras!$O$314="",Registro_Compras!$R$314&lt;&gt;"SI",Registro_Compras!$X$314=""),"","4212")</f>
        <v/>
      </c>
      <c r="D2800">
        <f>IF(OR(Registro_Compras!$C$314="",Registro_Compras!$O$314=""),"","Cuentas por Pagar Comerciales - Terceros")</f>
        <v/>
      </c>
      <c r="E2800" s="20">
        <f>IF($C2800="","",Registro_Compras!$S$314)</f>
        <v/>
      </c>
      <c r="F2800" s="20">
        <f>""</f>
        <v/>
      </c>
      <c r="G2800">
        <f>IF($C2800="","","Por el deposito de la detraccion en el Banco de la Nacion")</f>
        <v/>
      </c>
      <c r="H2800">
        <f>IF($C2800="","",Registro_Compras!$C$314)</f>
        <v/>
      </c>
    </row>
    <row r="2801">
      <c r="A2801" s="25">
        <f>IF($C2801="","",Registro_Compras!$X$314)</f>
        <v/>
      </c>
      <c r="B2801">
        <f>IF($C2801="","","C"&amp;TEXT(INT((ROW()-5)/9)+1,"000")&amp;"-3")</f>
        <v/>
      </c>
      <c r="C2801">
        <f>IF(OR(Registro_Compras!$C$314="",Registro_Compras!$O$314="",Registro_Compras!$R$314&lt;&gt;"SI",Registro_Compras!$X$314=""),"","10413")</f>
        <v/>
      </c>
      <c r="D2801">
        <f>IF(OR(Registro_Compras!$C$314="",Registro_Compras!$O$314=""),"","Efectivo y Equivalentes - Cta. Cte. Operativa")</f>
        <v/>
      </c>
      <c r="E2801" s="20">
        <f>""</f>
        <v/>
      </c>
      <c r="F2801" s="20">
        <f>IF($C2801="","",Registro_Compras!$S$314)</f>
        <v/>
      </c>
      <c r="G2801">
        <f>IF($C2801="","","Por el deposito de la detraccion en el Banco de la Nacion")</f>
        <v/>
      </c>
      <c r="H2801">
        <f>IF($C2801="","",Registro_Compras!$C$314)</f>
        <v/>
      </c>
    </row>
    <row r="2802">
      <c r="A2802" s="25">
        <f>IF($C2802="","",Registro_Compras!$Y$314)</f>
        <v/>
      </c>
      <c r="B2802">
        <f>IF($C2802="","","C"&amp;TEXT(INT((ROW()-5)/9)+1,"000")&amp;"-4")</f>
        <v/>
      </c>
      <c r="C2802">
        <f>IF(OR(Registro_Compras!$C$314="",Registro_Compras!$O$314="",Registro_Compras!$Y$314="",Registro_Compras!$F$314="NOTA DE CREDITO"),"","4212")</f>
        <v/>
      </c>
      <c r="D2802">
        <f>IF(OR(Registro_Compras!$C$314="",Registro_Compras!$O$314=""),"","Cuentas por Pagar Comerciales - Terceros")</f>
        <v/>
      </c>
      <c r="E2802" s="20">
        <f>IF($C2802="","",IF(Registro_Compras!$F$314="RHE",(ROUND(Registro_Compras!$L$314*Registro_Compras!$N$314,2)-ROUND(Registro_Compras!$V$314*Registro_Compras!$N$314,2)),ROUND(Registro_Compras!$O$314-Registro_Compras!$S$314,2)))</f>
        <v/>
      </c>
      <c r="F2802" s="20">
        <f>""</f>
        <v/>
      </c>
      <c r="G2802">
        <f>IF($C2802="","","Por la cancelacion del saldo al proveedor")</f>
        <v/>
      </c>
      <c r="H2802">
        <f>IF($C2802="","",Registro_Compras!$C$314)</f>
        <v/>
      </c>
    </row>
    <row r="2803">
      <c r="A2803" s="25">
        <f>IF($C2803="","",Registro_Compras!$Y$314)</f>
        <v/>
      </c>
      <c r="B2803">
        <f>IF($C2803="","","C"&amp;TEXT(INT((ROW()-5)/9)+1,"000")&amp;"-4")</f>
        <v/>
      </c>
      <c r="C2803">
        <f>IF(OR(Registro_Compras!$C$314="",Registro_Compras!$O$314="",Registro_Compras!$Y$314="",Registro_Compras!$F$314="NOTA DE CREDITO"),"","10413")</f>
        <v/>
      </c>
      <c r="D2803">
        <f>IF(OR(Registro_Compras!$C$314="",Registro_Compras!$O$314=""),"","Efectivo y Equivalentes - Cta. Cte. Operativa")</f>
        <v/>
      </c>
      <c r="E2803" s="20">
        <f>""</f>
        <v/>
      </c>
      <c r="F2803" s="20">
        <f>IF($C2803="","",IF(Registro_Compras!$F$314="RHE",(ROUND(Registro_Compras!$L$314*Registro_Compras!$N$314,2)-ROUND(Registro_Compras!$V$314*Registro_Compras!$N$314,2)),ROUND(Registro_Compras!$O$314-Registro_Compras!$S$314,2)))</f>
        <v/>
      </c>
      <c r="G2803">
        <f>IF($C2803="","","Por la cancelacion del saldo al proveedor")</f>
        <v/>
      </c>
      <c r="H2803">
        <f>IF($C2803="","",Registro_Compras!$C$314)</f>
        <v/>
      </c>
    </row>
    <row r="2804">
      <c r="A2804" s="25">
        <f>IF($C2804="","",Registro_Compras!$B$315)</f>
        <v/>
      </c>
      <c r="B2804">
        <f>IF($C2804="","","C"&amp;TEXT(INT((ROW()-5)/9)+1,"000")&amp;"-1")</f>
        <v/>
      </c>
      <c r="C2804">
        <f>IF(OR(Registro_Compras!$C$315="",Registro_Compras!$O$315=""),"",IF(Registro_Compras!$F$315="NOTA DE CREDITO","4212",IF(Registro_Compras!$M$315="","63",Registro_Compras!$M$315)))</f>
        <v/>
      </c>
      <c r="D2804">
        <f>IF(OR(Registro_Compras!$C$315="",Registro_Compras!$O$315=""),"",IF(Registro_Compras!$F$315="NOTA DE CREDITO","Cuentas por Pagar Comerciales - Terceros (Emitidas)",IF(Registro_Compras!$F$315="RHE","Honorarios Profesionales - Servicios de Terceros","Gastos de Servicios Prestados por Terceros")))</f>
        <v/>
      </c>
      <c r="E2804" s="20">
        <f>IF($C2804="","",IF(Registro_Compras!$F$315="NOTA DE CREDITO",ABS(Registro_Compras!$O$315),IF(Registro_Compras!$F$315="RHE",ROUND(Registro_Compras!$L$315*Registro_Compras!$N$315,2),ROUND(Registro_Compras!$J$315*Registro_Compras!$N$315,2))))</f>
        <v/>
      </c>
      <c r="F2804" s="20">
        <f>""</f>
        <v/>
      </c>
      <c r="G2804">
        <f>IF($C2804="","",IF(Registro_Compras!$F$315="NOTA DE CREDITO","Por la nota de credito "&amp;Registro_Compras!$C$315&amp;" de "&amp;Registro_Compras!$E$315&amp;" [PATRON POR CONFIRMAR CON CONTADOR]",IF(Registro_Compras!$F$315="RHE","Por el registro del recibo por honorarios "&amp;Registro_Compras!$C$315&amp;" de "&amp;Registro_Compras!$E$315&amp;" [PATRON POR CONFIRMAR CON CONTADOR]","Por el registro de la factura "&amp;Registro_Compras!$C$315&amp;" de "&amp;Registro_Compras!$E$315)))</f>
        <v/>
      </c>
      <c r="H2804">
        <f>IF($C2804="","",Registro_Compras!$C$315)</f>
        <v/>
      </c>
    </row>
    <row r="2805">
      <c r="A2805" s="25">
        <f>IF($C2805="","",Registro_Compras!$B$315)</f>
        <v/>
      </c>
      <c r="B2805">
        <f>IF($C2805="","","C"&amp;TEXT(INT((ROW()-5)/9)+1,"000")&amp;"-1")</f>
        <v/>
      </c>
      <c r="C2805">
        <f>IF(OR(Registro_Compras!$C$315="",Registro_Compras!$O$315=""),"",IF(Registro_Compras!$F$315="RHE",IF(Registro_Compras!$V$315=0,"","40172"),IF(Registro_Compras!$F$315="NOTA DE CREDITO",IF(Registro_Compras!$M$315="","63",Registro_Compras!$M$315),IF(Registro_Compras!$K$315=0,"","40111"))))</f>
        <v/>
      </c>
      <c r="D2805">
        <f>IF(OR(Registro_Compras!$C$315="",Registro_Compras!$O$315=""),"",IF(Registro_Compras!$F$315="RHE","Retencion Renta 4ta Categoria por Pagar",IF(Registro_Compras!$F$315="NOTA DE CREDITO","Gastos de Servicios Prestados por Terceros","IGV - Cuenta Propia (Credito Fiscal)")))</f>
        <v/>
      </c>
      <c r="E2805" s="20">
        <f>IF($C2805="","",IF(Registro_Compras!$F$315="FACTURA",ROUND(Registro_Compras!$K$315*Registro_Compras!$N$315,2),""))</f>
        <v/>
      </c>
      <c r="F2805" s="20">
        <f>IF($C2805="","",IF(Registro_Compras!$F$315="RHE",ROUND(Registro_Compras!$V$315*Registro_Compras!$N$315,2),IF(Registro_Compras!$F$315="NOTA DE CREDITO",ROUND(ABS(Registro_Compras!$J$315*Registro_Compras!$N$315),2),"")))</f>
        <v/>
      </c>
      <c r="G2805">
        <f>IF($C2805="","",IF(Registro_Compras!$F$315="NOTA DE CREDITO","Por la nota de credito "&amp;Registro_Compras!$C$315&amp;" de "&amp;Registro_Compras!$E$315&amp;" [PATRON POR CONFIRMAR CON CONTADOR]",IF(Registro_Compras!$F$315="RHE","Por el registro del recibo por honorarios "&amp;Registro_Compras!$C$315&amp;" de "&amp;Registro_Compras!$E$315&amp;" [PATRON POR CONFIRMAR CON CONTADOR]","Por el registro de la factura "&amp;Registro_Compras!$C$315&amp;" de "&amp;Registro_Compras!$E$315)))</f>
        <v/>
      </c>
      <c r="H2805">
        <f>IF($C2805="","",Registro_Compras!$C$315)</f>
        <v/>
      </c>
    </row>
    <row r="2806">
      <c r="A2806" s="25">
        <f>IF($C2806="","",Registro_Compras!$B$315)</f>
        <v/>
      </c>
      <c r="B2806">
        <f>IF($C2806="","","C"&amp;TEXT(INT((ROW()-5)/9)+1,"000")&amp;"-1")</f>
        <v/>
      </c>
      <c r="C2806">
        <f>IF(OR(Registro_Compras!$C$315="",Registro_Compras!$O$315=""),"",IF(Registro_Compras!$F$315="NOTA DE CREDITO",IF(Registro_Compras!$K$315=0,"","40111"),"4212"))</f>
        <v/>
      </c>
      <c r="D2806">
        <f>IF(OR(Registro_Compras!$C$315="",Registro_Compras!$O$315=""),"",IF(Registro_Compras!$F$315="NOTA DE CREDITO","IGV - Cuenta Propia (Credito Fiscal)","Cuentas por Pagar Comerciales - Terceros (Emitidas)"))</f>
        <v/>
      </c>
      <c r="E2806" s="20">
        <f>""</f>
        <v/>
      </c>
      <c r="F2806" s="20">
        <f>IF($C2806="","",IF(Registro_Compras!$F$315="NOTA DE CREDITO",ROUND(ABS(Registro_Compras!$K$315*Registro_Compras!$N$315),2),IF(Registro_Compras!$F$315="RHE",(ROUND(Registro_Compras!$L$315*Registro_Compras!$N$315,2)-ROUND(Registro_Compras!$V$315*Registro_Compras!$N$315,2)),Registro_Compras!$O$315)))</f>
        <v/>
      </c>
      <c r="G2806">
        <f>IF($C2806="","",IF(Registro_Compras!$F$315="NOTA DE CREDITO","Por la nota de credito "&amp;Registro_Compras!$C$315&amp;" de "&amp;Registro_Compras!$E$315&amp;" [PATRON POR CONFIRMAR CON CONTADOR]",IF(Registro_Compras!$F$315="RHE","Por el registro del recibo por honorarios "&amp;Registro_Compras!$C$315&amp;" de "&amp;Registro_Compras!$E$315&amp;" [PATRON POR CONFIRMAR CON CONTADOR]","Por el registro de la factura "&amp;Registro_Compras!$C$315&amp;" de "&amp;Registro_Compras!$E$315)))</f>
        <v/>
      </c>
      <c r="H2806">
        <f>IF($C2806="","",Registro_Compras!$C$315)</f>
        <v/>
      </c>
    </row>
    <row r="2807">
      <c r="A2807" s="25">
        <f>IF($C2807="","",Registro_Compras!$B$315)</f>
        <v/>
      </c>
      <c r="B2807">
        <f>IF($C2807="","","C"&amp;TEXT(INT((ROW()-5)/9)+1,"000")&amp;"-2")</f>
        <v/>
      </c>
      <c r="C2807">
        <f>IF(OR(Registro_Compras!$C$315="",Registro_Compras!$O$315=""),"",IF(Registro_Compras!$AB$315="ADMINISTRATIVO","94","95"))</f>
        <v/>
      </c>
      <c r="D2807">
        <f>IF(OR(Registro_Compras!$C$315="",Registro_Compras!$O$315=""),"",IF(Registro_Compras!$AB$315="ADMINISTRATIVO","Gastos Administrativos","Gastos de Venta y Operacion"))</f>
        <v/>
      </c>
      <c r="E2807" s="20">
        <f>IF($C2807="","",IF(Registro_Compras!$F$315="NOTA DE CREDITO","",IF(Registro_Compras!$F$315="RHE",ROUND(Registro_Compras!$L$315*Registro_Compras!$N$315,2),ROUND(Registro_Compras!$J$315*Registro_Compras!$N$315,2))))</f>
        <v/>
      </c>
      <c r="F2807" s="20">
        <f>IF($C2807="","",IF(Registro_Compras!$F$315="NOTA DE CREDITO",ROUND(ABS(Registro_Compras!$J$315*Registro_Compras!$N$315),2),""))</f>
        <v/>
      </c>
      <c r="G2807">
        <f>IF($C2807="","","Por el destino del gasto")</f>
        <v/>
      </c>
      <c r="H2807">
        <f>IF($C2807="","",Registro_Compras!$C$315)</f>
        <v/>
      </c>
    </row>
    <row r="2808">
      <c r="A2808" s="25">
        <f>IF($C2808="","",Registro_Compras!$B$315)</f>
        <v/>
      </c>
      <c r="B2808">
        <f>IF($C2808="","","C"&amp;TEXT(INT((ROW()-5)/9)+1,"000")&amp;"-2")</f>
        <v/>
      </c>
      <c r="C2808">
        <f>IF(OR(Registro_Compras!$C$315="",Registro_Compras!$O$315=""),"","79/791")</f>
        <v/>
      </c>
      <c r="D2808">
        <f>IF(OR(Registro_Compras!$C$315="",Registro_Compras!$O$315=""),"","Cargas Imputables a Cuentas de Costos y Gastos")</f>
        <v/>
      </c>
      <c r="E2808" s="20">
        <f>IF($C2808="","",IF(Registro_Compras!$F$315="NOTA DE CREDITO",ROUND(ABS(Registro_Compras!$J$315*Registro_Compras!$N$315),2),""))</f>
        <v/>
      </c>
      <c r="F2808" s="20">
        <f>IF($C2808="","",IF(Registro_Compras!$F$315="NOTA DE CREDITO","",IF(Registro_Compras!$F$315="RHE",ROUND(Registro_Compras!$L$315*Registro_Compras!$N$315,2),ROUND(Registro_Compras!$J$315*Registro_Compras!$N$315,2))))</f>
        <v/>
      </c>
      <c r="G2808">
        <f>IF($C2808="","","Por el destino del gasto")</f>
        <v/>
      </c>
      <c r="H2808">
        <f>IF($C2808="","",Registro_Compras!$C$315)</f>
        <v/>
      </c>
    </row>
    <row r="2809">
      <c r="A2809" s="25">
        <f>IF($C2809="","",Registro_Compras!$X$315)</f>
        <v/>
      </c>
      <c r="B2809">
        <f>IF($C2809="","","C"&amp;TEXT(INT((ROW()-5)/9)+1,"000")&amp;"-3")</f>
        <v/>
      </c>
      <c r="C2809">
        <f>IF(OR(Registro_Compras!$C$315="",Registro_Compras!$O$315="",Registro_Compras!$R$315&lt;&gt;"SI",Registro_Compras!$X$315=""),"","4212")</f>
        <v/>
      </c>
      <c r="D2809">
        <f>IF(OR(Registro_Compras!$C$315="",Registro_Compras!$O$315=""),"","Cuentas por Pagar Comerciales - Terceros")</f>
        <v/>
      </c>
      <c r="E2809" s="20">
        <f>IF($C2809="","",Registro_Compras!$S$315)</f>
        <v/>
      </c>
      <c r="F2809" s="20">
        <f>""</f>
        <v/>
      </c>
      <c r="G2809">
        <f>IF($C2809="","","Por el deposito de la detraccion en el Banco de la Nacion")</f>
        <v/>
      </c>
      <c r="H2809">
        <f>IF($C2809="","",Registro_Compras!$C$315)</f>
        <v/>
      </c>
    </row>
    <row r="2810">
      <c r="A2810" s="25">
        <f>IF($C2810="","",Registro_Compras!$X$315)</f>
        <v/>
      </c>
      <c r="B2810">
        <f>IF($C2810="","","C"&amp;TEXT(INT((ROW()-5)/9)+1,"000")&amp;"-3")</f>
        <v/>
      </c>
      <c r="C2810">
        <f>IF(OR(Registro_Compras!$C$315="",Registro_Compras!$O$315="",Registro_Compras!$R$315&lt;&gt;"SI",Registro_Compras!$X$315=""),"","10413")</f>
        <v/>
      </c>
      <c r="D2810">
        <f>IF(OR(Registro_Compras!$C$315="",Registro_Compras!$O$315=""),"","Efectivo y Equivalentes - Cta. Cte. Operativa")</f>
        <v/>
      </c>
      <c r="E2810" s="20">
        <f>""</f>
        <v/>
      </c>
      <c r="F2810" s="20">
        <f>IF($C2810="","",Registro_Compras!$S$315)</f>
        <v/>
      </c>
      <c r="G2810">
        <f>IF($C2810="","","Por el deposito de la detraccion en el Banco de la Nacion")</f>
        <v/>
      </c>
      <c r="H2810">
        <f>IF($C2810="","",Registro_Compras!$C$315)</f>
        <v/>
      </c>
    </row>
    <row r="2811">
      <c r="A2811" s="25">
        <f>IF($C2811="","",Registro_Compras!$Y$315)</f>
        <v/>
      </c>
      <c r="B2811">
        <f>IF($C2811="","","C"&amp;TEXT(INT((ROW()-5)/9)+1,"000")&amp;"-4")</f>
        <v/>
      </c>
      <c r="C2811">
        <f>IF(OR(Registro_Compras!$C$315="",Registro_Compras!$O$315="",Registro_Compras!$Y$315="",Registro_Compras!$F$315="NOTA DE CREDITO"),"","4212")</f>
        <v/>
      </c>
      <c r="D2811">
        <f>IF(OR(Registro_Compras!$C$315="",Registro_Compras!$O$315=""),"","Cuentas por Pagar Comerciales - Terceros")</f>
        <v/>
      </c>
      <c r="E2811" s="20">
        <f>IF($C2811="","",IF(Registro_Compras!$F$315="RHE",(ROUND(Registro_Compras!$L$315*Registro_Compras!$N$315,2)-ROUND(Registro_Compras!$V$315*Registro_Compras!$N$315,2)),ROUND(Registro_Compras!$O$315-Registro_Compras!$S$315,2)))</f>
        <v/>
      </c>
      <c r="F2811" s="20">
        <f>""</f>
        <v/>
      </c>
      <c r="G2811">
        <f>IF($C2811="","","Por la cancelacion del saldo al proveedor")</f>
        <v/>
      </c>
      <c r="H2811">
        <f>IF($C2811="","",Registro_Compras!$C$315)</f>
        <v/>
      </c>
    </row>
    <row r="2812">
      <c r="A2812" s="25">
        <f>IF($C2812="","",Registro_Compras!$Y$315)</f>
        <v/>
      </c>
      <c r="B2812">
        <f>IF($C2812="","","C"&amp;TEXT(INT((ROW()-5)/9)+1,"000")&amp;"-4")</f>
        <v/>
      </c>
      <c r="C2812">
        <f>IF(OR(Registro_Compras!$C$315="",Registro_Compras!$O$315="",Registro_Compras!$Y$315="",Registro_Compras!$F$315="NOTA DE CREDITO"),"","10413")</f>
        <v/>
      </c>
      <c r="D2812">
        <f>IF(OR(Registro_Compras!$C$315="",Registro_Compras!$O$315=""),"","Efectivo y Equivalentes - Cta. Cte. Operativa")</f>
        <v/>
      </c>
      <c r="E2812" s="20">
        <f>""</f>
        <v/>
      </c>
      <c r="F2812" s="20">
        <f>IF($C2812="","",IF(Registro_Compras!$F$315="RHE",(ROUND(Registro_Compras!$L$315*Registro_Compras!$N$315,2)-ROUND(Registro_Compras!$V$315*Registro_Compras!$N$315,2)),ROUND(Registro_Compras!$O$315-Registro_Compras!$S$315,2)))</f>
        <v/>
      </c>
      <c r="G2812">
        <f>IF($C2812="","","Por la cancelacion del saldo al proveedor")</f>
        <v/>
      </c>
      <c r="H2812">
        <f>IF($C2812="","",Registro_Compras!$C$315)</f>
        <v/>
      </c>
    </row>
    <row r="2813">
      <c r="A2813" s="25">
        <f>IF($C2813="","",Registro_Compras!$B$316)</f>
        <v/>
      </c>
      <c r="B2813">
        <f>IF($C2813="","","C"&amp;TEXT(INT((ROW()-5)/9)+1,"000")&amp;"-1")</f>
        <v/>
      </c>
      <c r="C2813">
        <f>IF(OR(Registro_Compras!$C$316="",Registro_Compras!$O$316=""),"",IF(Registro_Compras!$F$316="NOTA DE CREDITO","4212",IF(Registro_Compras!$M$316="","63",Registro_Compras!$M$316)))</f>
        <v/>
      </c>
      <c r="D2813">
        <f>IF(OR(Registro_Compras!$C$316="",Registro_Compras!$O$316=""),"",IF(Registro_Compras!$F$316="NOTA DE CREDITO","Cuentas por Pagar Comerciales - Terceros (Emitidas)",IF(Registro_Compras!$F$316="RHE","Honorarios Profesionales - Servicios de Terceros","Gastos de Servicios Prestados por Terceros")))</f>
        <v/>
      </c>
      <c r="E2813" s="20">
        <f>IF($C2813="","",IF(Registro_Compras!$F$316="NOTA DE CREDITO",ABS(Registro_Compras!$O$316),IF(Registro_Compras!$F$316="RHE",ROUND(Registro_Compras!$L$316*Registro_Compras!$N$316,2),ROUND(Registro_Compras!$J$316*Registro_Compras!$N$316,2))))</f>
        <v/>
      </c>
      <c r="F2813" s="20">
        <f>""</f>
        <v/>
      </c>
      <c r="G2813">
        <f>IF($C2813="","",IF(Registro_Compras!$F$316="NOTA DE CREDITO","Por la nota de credito "&amp;Registro_Compras!$C$316&amp;" de "&amp;Registro_Compras!$E$316&amp;" [PATRON POR CONFIRMAR CON CONTADOR]",IF(Registro_Compras!$F$316="RHE","Por el registro del recibo por honorarios "&amp;Registro_Compras!$C$316&amp;" de "&amp;Registro_Compras!$E$316&amp;" [PATRON POR CONFIRMAR CON CONTADOR]","Por el registro de la factura "&amp;Registro_Compras!$C$316&amp;" de "&amp;Registro_Compras!$E$316)))</f>
        <v/>
      </c>
      <c r="H2813">
        <f>IF($C2813="","",Registro_Compras!$C$316)</f>
        <v/>
      </c>
    </row>
    <row r="2814">
      <c r="A2814" s="25">
        <f>IF($C2814="","",Registro_Compras!$B$316)</f>
        <v/>
      </c>
      <c r="B2814">
        <f>IF($C2814="","","C"&amp;TEXT(INT((ROW()-5)/9)+1,"000")&amp;"-1")</f>
        <v/>
      </c>
      <c r="C2814">
        <f>IF(OR(Registro_Compras!$C$316="",Registro_Compras!$O$316=""),"",IF(Registro_Compras!$F$316="RHE",IF(Registro_Compras!$V$316=0,"","40172"),IF(Registro_Compras!$F$316="NOTA DE CREDITO",IF(Registro_Compras!$M$316="","63",Registro_Compras!$M$316),IF(Registro_Compras!$K$316=0,"","40111"))))</f>
        <v/>
      </c>
      <c r="D2814">
        <f>IF(OR(Registro_Compras!$C$316="",Registro_Compras!$O$316=""),"",IF(Registro_Compras!$F$316="RHE","Retencion Renta 4ta Categoria por Pagar",IF(Registro_Compras!$F$316="NOTA DE CREDITO","Gastos de Servicios Prestados por Terceros","IGV - Cuenta Propia (Credito Fiscal)")))</f>
        <v/>
      </c>
      <c r="E2814" s="20">
        <f>IF($C2814="","",IF(Registro_Compras!$F$316="FACTURA",ROUND(Registro_Compras!$K$316*Registro_Compras!$N$316,2),""))</f>
        <v/>
      </c>
      <c r="F2814" s="20">
        <f>IF($C2814="","",IF(Registro_Compras!$F$316="RHE",ROUND(Registro_Compras!$V$316*Registro_Compras!$N$316,2),IF(Registro_Compras!$F$316="NOTA DE CREDITO",ROUND(ABS(Registro_Compras!$J$316*Registro_Compras!$N$316),2),"")))</f>
        <v/>
      </c>
      <c r="G2814">
        <f>IF($C2814="","",IF(Registro_Compras!$F$316="NOTA DE CREDITO","Por la nota de credito "&amp;Registro_Compras!$C$316&amp;" de "&amp;Registro_Compras!$E$316&amp;" [PATRON POR CONFIRMAR CON CONTADOR]",IF(Registro_Compras!$F$316="RHE","Por el registro del recibo por honorarios "&amp;Registro_Compras!$C$316&amp;" de "&amp;Registro_Compras!$E$316&amp;" [PATRON POR CONFIRMAR CON CONTADOR]","Por el registro de la factura "&amp;Registro_Compras!$C$316&amp;" de "&amp;Registro_Compras!$E$316)))</f>
        <v/>
      </c>
      <c r="H2814">
        <f>IF($C2814="","",Registro_Compras!$C$316)</f>
        <v/>
      </c>
    </row>
    <row r="2815">
      <c r="A2815" s="25">
        <f>IF($C2815="","",Registro_Compras!$B$316)</f>
        <v/>
      </c>
      <c r="B2815">
        <f>IF($C2815="","","C"&amp;TEXT(INT((ROW()-5)/9)+1,"000")&amp;"-1")</f>
        <v/>
      </c>
      <c r="C2815">
        <f>IF(OR(Registro_Compras!$C$316="",Registro_Compras!$O$316=""),"",IF(Registro_Compras!$F$316="NOTA DE CREDITO",IF(Registro_Compras!$K$316=0,"","40111"),"4212"))</f>
        <v/>
      </c>
      <c r="D2815">
        <f>IF(OR(Registro_Compras!$C$316="",Registro_Compras!$O$316=""),"",IF(Registro_Compras!$F$316="NOTA DE CREDITO","IGV - Cuenta Propia (Credito Fiscal)","Cuentas por Pagar Comerciales - Terceros (Emitidas)"))</f>
        <v/>
      </c>
      <c r="E2815" s="20">
        <f>""</f>
        <v/>
      </c>
      <c r="F2815" s="20">
        <f>IF($C2815="","",IF(Registro_Compras!$F$316="NOTA DE CREDITO",ROUND(ABS(Registro_Compras!$K$316*Registro_Compras!$N$316),2),IF(Registro_Compras!$F$316="RHE",(ROUND(Registro_Compras!$L$316*Registro_Compras!$N$316,2)-ROUND(Registro_Compras!$V$316*Registro_Compras!$N$316,2)),Registro_Compras!$O$316)))</f>
        <v/>
      </c>
      <c r="G2815">
        <f>IF($C2815="","",IF(Registro_Compras!$F$316="NOTA DE CREDITO","Por la nota de credito "&amp;Registro_Compras!$C$316&amp;" de "&amp;Registro_Compras!$E$316&amp;" [PATRON POR CONFIRMAR CON CONTADOR]",IF(Registro_Compras!$F$316="RHE","Por el registro del recibo por honorarios "&amp;Registro_Compras!$C$316&amp;" de "&amp;Registro_Compras!$E$316&amp;" [PATRON POR CONFIRMAR CON CONTADOR]","Por el registro de la factura "&amp;Registro_Compras!$C$316&amp;" de "&amp;Registro_Compras!$E$316)))</f>
        <v/>
      </c>
      <c r="H2815">
        <f>IF($C2815="","",Registro_Compras!$C$316)</f>
        <v/>
      </c>
    </row>
    <row r="2816">
      <c r="A2816" s="25">
        <f>IF($C2816="","",Registro_Compras!$B$316)</f>
        <v/>
      </c>
      <c r="B2816">
        <f>IF($C2816="","","C"&amp;TEXT(INT((ROW()-5)/9)+1,"000")&amp;"-2")</f>
        <v/>
      </c>
      <c r="C2816">
        <f>IF(OR(Registro_Compras!$C$316="",Registro_Compras!$O$316=""),"",IF(Registro_Compras!$AB$316="ADMINISTRATIVO","94","95"))</f>
        <v/>
      </c>
      <c r="D2816">
        <f>IF(OR(Registro_Compras!$C$316="",Registro_Compras!$O$316=""),"",IF(Registro_Compras!$AB$316="ADMINISTRATIVO","Gastos Administrativos","Gastos de Venta y Operacion"))</f>
        <v/>
      </c>
      <c r="E2816" s="20">
        <f>IF($C2816="","",IF(Registro_Compras!$F$316="NOTA DE CREDITO","",IF(Registro_Compras!$F$316="RHE",ROUND(Registro_Compras!$L$316*Registro_Compras!$N$316,2),ROUND(Registro_Compras!$J$316*Registro_Compras!$N$316,2))))</f>
        <v/>
      </c>
      <c r="F2816" s="20">
        <f>IF($C2816="","",IF(Registro_Compras!$F$316="NOTA DE CREDITO",ROUND(ABS(Registro_Compras!$J$316*Registro_Compras!$N$316),2),""))</f>
        <v/>
      </c>
      <c r="G2816">
        <f>IF($C2816="","","Por el destino del gasto")</f>
        <v/>
      </c>
      <c r="H2816">
        <f>IF($C2816="","",Registro_Compras!$C$316)</f>
        <v/>
      </c>
    </row>
    <row r="2817">
      <c r="A2817" s="25">
        <f>IF($C2817="","",Registro_Compras!$B$316)</f>
        <v/>
      </c>
      <c r="B2817">
        <f>IF($C2817="","","C"&amp;TEXT(INT((ROW()-5)/9)+1,"000")&amp;"-2")</f>
        <v/>
      </c>
      <c r="C2817">
        <f>IF(OR(Registro_Compras!$C$316="",Registro_Compras!$O$316=""),"","79/791")</f>
        <v/>
      </c>
      <c r="D2817">
        <f>IF(OR(Registro_Compras!$C$316="",Registro_Compras!$O$316=""),"","Cargas Imputables a Cuentas de Costos y Gastos")</f>
        <v/>
      </c>
      <c r="E2817" s="20">
        <f>IF($C2817="","",IF(Registro_Compras!$F$316="NOTA DE CREDITO",ROUND(ABS(Registro_Compras!$J$316*Registro_Compras!$N$316),2),""))</f>
        <v/>
      </c>
      <c r="F2817" s="20">
        <f>IF($C2817="","",IF(Registro_Compras!$F$316="NOTA DE CREDITO","",IF(Registro_Compras!$F$316="RHE",ROUND(Registro_Compras!$L$316*Registro_Compras!$N$316,2),ROUND(Registro_Compras!$J$316*Registro_Compras!$N$316,2))))</f>
        <v/>
      </c>
      <c r="G2817">
        <f>IF($C2817="","","Por el destino del gasto")</f>
        <v/>
      </c>
      <c r="H2817">
        <f>IF($C2817="","",Registro_Compras!$C$316)</f>
        <v/>
      </c>
    </row>
    <row r="2818">
      <c r="A2818" s="25">
        <f>IF($C2818="","",Registro_Compras!$X$316)</f>
        <v/>
      </c>
      <c r="B2818">
        <f>IF($C2818="","","C"&amp;TEXT(INT((ROW()-5)/9)+1,"000")&amp;"-3")</f>
        <v/>
      </c>
      <c r="C2818">
        <f>IF(OR(Registro_Compras!$C$316="",Registro_Compras!$O$316="",Registro_Compras!$R$316&lt;&gt;"SI",Registro_Compras!$X$316=""),"","4212")</f>
        <v/>
      </c>
      <c r="D2818">
        <f>IF(OR(Registro_Compras!$C$316="",Registro_Compras!$O$316=""),"","Cuentas por Pagar Comerciales - Terceros")</f>
        <v/>
      </c>
      <c r="E2818" s="20">
        <f>IF($C2818="","",Registro_Compras!$S$316)</f>
        <v/>
      </c>
      <c r="F2818" s="20">
        <f>""</f>
        <v/>
      </c>
      <c r="G2818">
        <f>IF($C2818="","","Por el deposito de la detraccion en el Banco de la Nacion")</f>
        <v/>
      </c>
      <c r="H2818">
        <f>IF($C2818="","",Registro_Compras!$C$316)</f>
        <v/>
      </c>
    </row>
    <row r="2819">
      <c r="A2819" s="25">
        <f>IF($C2819="","",Registro_Compras!$X$316)</f>
        <v/>
      </c>
      <c r="B2819">
        <f>IF($C2819="","","C"&amp;TEXT(INT((ROW()-5)/9)+1,"000")&amp;"-3")</f>
        <v/>
      </c>
      <c r="C2819">
        <f>IF(OR(Registro_Compras!$C$316="",Registro_Compras!$O$316="",Registro_Compras!$R$316&lt;&gt;"SI",Registro_Compras!$X$316=""),"","10413")</f>
        <v/>
      </c>
      <c r="D2819">
        <f>IF(OR(Registro_Compras!$C$316="",Registro_Compras!$O$316=""),"","Efectivo y Equivalentes - Cta. Cte. Operativa")</f>
        <v/>
      </c>
      <c r="E2819" s="20">
        <f>""</f>
        <v/>
      </c>
      <c r="F2819" s="20">
        <f>IF($C2819="","",Registro_Compras!$S$316)</f>
        <v/>
      </c>
      <c r="G2819">
        <f>IF($C2819="","","Por el deposito de la detraccion en el Banco de la Nacion")</f>
        <v/>
      </c>
      <c r="H2819">
        <f>IF($C2819="","",Registro_Compras!$C$316)</f>
        <v/>
      </c>
    </row>
    <row r="2820">
      <c r="A2820" s="25">
        <f>IF($C2820="","",Registro_Compras!$Y$316)</f>
        <v/>
      </c>
      <c r="B2820">
        <f>IF($C2820="","","C"&amp;TEXT(INT((ROW()-5)/9)+1,"000")&amp;"-4")</f>
        <v/>
      </c>
      <c r="C2820">
        <f>IF(OR(Registro_Compras!$C$316="",Registro_Compras!$O$316="",Registro_Compras!$Y$316="",Registro_Compras!$F$316="NOTA DE CREDITO"),"","4212")</f>
        <v/>
      </c>
      <c r="D2820">
        <f>IF(OR(Registro_Compras!$C$316="",Registro_Compras!$O$316=""),"","Cuentas por Pagar Comerciales - Terceros")</f>
        <v/>
      </c>
      <c r="E2820" s="20">
        <f>IF($C2820="","",IF(Registro_Compras!$F$316="RHE",(ROUND(Registro_Compras!$L$316*Registro_Compras!$N$316,2)-ROUND(Registro_Compras!$V$316*Registro_Compras!$N$316,2)),ROUND(Registro_Compras!$O$316-Registro_Compras!$S$316,2)))</f>
        <v/>
      </c>
      <c r="F2820" s="20">
        <f>""</f>
        <v/>
      </c>
      <c r="G2820">
        <f>IF($C2820="","","Por la cancelacion del saldo al proveedor")</f>
        <v/>
      </c>
      <c r="H2820">
        <f>IF($C2820="","",Registro_Compras!$C$316)</f>
        <v/>
      </c>
    </row>
    <row r="2821">
      <c r="A2821" s="25">
        <f>IF($C2821="","",Registro_Compras!$Y$316)</f>
        <v/>
      </c>
      <c r="B2821">
        <f>IF($C2821="","","C"&amp;TEXT(INT((ROW()-5)/9)+1,"000")&amp;"-4")</f>
        <v/>
      </c>
      <c r="C2821">
        <f>IF(OR(Registro_Compras!$C$316="",Registro_Compras!$O$316="",Registro_Compras!$Y$316="",Registro_Compras!$F$316="NOTA DE CREDITO"),"","10413")</f>
        <v/>
      </c>
      <c r="D2821">
        <f>IF(OR(Registro_Compras!$C$316="",Registro_Compras!$O$316=""),"","Efectivo y Equivalentes - Cta. Cte. Operativa")</f>
        <v/>
      </c>
      <c r="E2821" s="20">
        <f>""</f>
        <v/>
      </c>
      <c r="F2821" s="20">
        <f>IF($C2821="","",IF(Registro_Compras!$F$316="RHE",(ROUND(Registro_Compras!$L$316*Registro_Compras!$N$316,2)-ROUND(Registro_Compras!$V$316*Registro_Compras!$N$316,2)),ROUND(Registro_Compras!$O$316-Registro_Compras!$S$316,2)))</f>
        <v/>
      </c>
      <c r="G2821">
        <f>IF($C2821="","","Por la cancelacion del saldo al proveedor")</f>
        <v/>
      </c>
      <c r="H2821">
        <f>IF($C2821="","",Registro_Compras!$C$316)</f>
        <v/>
      </c>
    </row>
    <row r="2822">
      <c r="A2822" s="25">
        <f>IF($C2822="","",Registro_Compras!$B$317)</f>
        <v/>
      </c>
      <c r="B2822">
        <f>IF($C2822="","","C"&amp;TEXT(INT((ROW()-5)/9)+1,"000")&amp;"-1")</f>
        <v/>
      </c>
      <c r="C2822">
        <f>IF(OR(Registro_Compras!$C$317="",Registro_Compras!$O$317=""),"",IF(Registro_Compras!$F$317="NOTA DE CREDITO","4212",IF(Registro_Compras!$M$317="","63",Registro_Compras!$M$317)))</f>
        <v/>
      </c>
      <c r="D2822">
        <f>IF(OR(Registro_Compras!$C$317="",Registro_Compras!$O$317=""),"",IF(Registro_Compras!$F$317="NOTA DE CREDITO","Cuentas por Pagar Comerciales - Terceros (Emitidas)",IF(Registro_Compras!$F$317="RHE","Honorarios Profesionales - Servicios de Terceros","Gastos de Servicios Prestados por Terceros")))</f>
        <v/>
      </c>
      <c r="E2822" s="20">
        <f>IF($C2822="","",IF(Registro_Compras!$F$317="NOTA DE CREDITO",ABS(Registro_Compras!$O$317),IF(Registro_Compras!$F$317="RHE",ROUND(Registro_Compras!$L$317*Registro_Compras!$N$317,2),ROUND(Registro_Compras!$J$317*Registro_Compras!$N$317,2))))</f>
        <v/>
      </c>
      <c r="F2822" s="20">
        <f>""</f>
        <v/>
      </c>
      <c r="G2822">
        <f>IF($C2822="","",IF(Registro_Compras!$F$317="NOTA DE CREDITO","Por la nota de credito "&amp;Registro_Compras!$C$317&amp;" de "&amp;Registro_Compras!$E$317&amp;" [PATRON POR CONFIRMAR CON CONTADOR]",IF(Registro_Compras!$F$317="RHE","Por el registro del recibo por honorarios "&amp;Registro_Compras!$C$317&amp;" de "&amp;Registro_Compras!$E$317&amp;" [PATRON POR CONFIRMAR CON CONTADOR]","Por el registro de la factura "&amp;Registro_Compras!$C$317&amp;" de "&amp;Registro_Compras!$E$317)))</f>
        <v/>
      </c>
      <c r="H2822">
        <f>IF($C2822="","",Registro_Compras!$C$317)</f>
        <v/>
      </c>
    </row>
    <row r="2823">
      <c r="A2823" s="25">
        <f>IF($C2823="","",Registro_Compras!$B$317)</f>
        <v/>
      </c>
      <c r="B2823">
        <f>IF($C2823="","","C"&amp;TEXT(INT((ROW()-5)/9)+1,"000")&amp;"-1")</f>
        <v/>
      </c>
      <c r="C2823">
        <f>IF(OR(Registro_Compras!$C$317="",Registro_Compras!$O$317=""),"",IF(Registro_Compras!$F$317="RHE",IF(Registro_Compras!$V$317=0,"","40172"),IF(Registro_Compras!$F$317="NOTA DE CREDITO",IF(Registro_Compras!$M$317="","63",Registro_Compras!$M$317),IF(Registro_Compras!$K$317=0,"","40111"))))</f>
        <v/>
      </c>
      <c r="D2823">
        <f>IF(OR(Registro_Compras!$C$317="",Registro_Compras!$O$317=""),"",IF(Registro_Compras!$F$317="RHE","Retencion Renta 4ta Categoria por Pagar",IF(Registro_Compras!$F$317="NOTA DE CREDITO","Gastos de Servicios Prestados por Terceros","IGV - Cuenta Propia (Credito Fiscal)")))</f>
        <v/>
      </c>
      <c r="E2823" s="20">
        <f>IF($C2823="","",IF(Registro_Compras!$F$317="FACTURA",ROUND(Registro_Compras!$K$317*Registro_Compras!$N$317,2),""))</f>
        <v/>
      </c>
      <c r="F2823" s="20">
        <f>IF($C2823="","",IF(Registro_Compras!$F$317="RHE",ROUND(Registro_Compras!$V$317*Registro_Compras!$N$317,2),IF(Registro_Compras!$F$317="NOTA DE CREDITO",ROUND(ABS(Registro_Compras!$J$317*Registro_Compras!$N$317),2),"")))</f>
        <v/>
      </c>
      <c r="G2823">
        <f>IF($C2823="","",IF(Registro_Compras!$F$317="NOTA DE CREDITO","Por la nota de credito "&amp;Registro_Compras!$C$317&amp;" de "&amp;Registro_Compras!$E$317&amp;" [PATRON POR CONFIRMAR CON CONTADOR]",IF(Registro_Compras!$F$317="RHE","Por el registro del recibo por honorarios "&amp;Registro_Compras!$C$317&amp;" de "&amp;Registro_Compras!$E$317&amp;" [PATRON POR CONFIRMAR CON CONTADOR]","Por el registro de la factura "&amp;Registro_Compras!$C$317&amp;" de "&amp;Registro_Compras!$E$317)))</f>
        <v/>
      </c>
      <c r="H2823">
        <f>IF($C2823="","",Registro_Compras!$C$317)</f>
        <v/>
      </c>
    </row>
    <row r="2824">
      <c r="A2824" s="25">
        <f>IF($C2824="","",Registro_Compras!$B$317)</f>
        <v/>
      </c>
      <c r="B2824">
        <f>IF($C2824="","","C"&amp;TEXT(INT((ROW()-5)/9)+1,"000")&amp;"-1")</f>
        <v/>
      </c>
      <c r="C2824">
        <f>IF(OR(Registro_Compras!$C$317="",Registro_Compras!$O$317=""),"",IF(Registro_Compras!$F$317="NOTA DE CREDITO",IF(Registro_Compras!$K$317=0,"","40111"),"4212"))</f>
        <v/>
      </c>
      <c r="D2824">
        <f>IF(OR(Registro_Compras!$C$317="",Registro_Compras!$O$317=""),"",IF(Registro_Compras!$F$317="NOTA DE CREDITO","IGV - Cuenta Propia (Credito Fiscal)","Cuentas por Pagar Comerciales - Terceros (Emitidas)"))</f>
        <v/>
      </c>
      <c r="E2824" s="20">
        <f>""</f>
        <v/>
      </c>
      <c r="F2824" s="20">
        <f>IF($C2824="","",IF(Registro_Compras!$F$317="NOTA DE CREDITO",ROUND(ABS(Registro_Compras!$K$317*Registro_Compras!$N$317),2),IF(Registro_Compras!$F$317="RHE",(ROUND(Registro_Compras!$L$317*Registro_Compras!$N$317,2)-ROUND(Registro_Compras!$V$317*Registro_Compras!$N$317,2)),Registro_Compras!$O$317)))</f>
        <v/>
      </c>
      <c r="G2824">
        <f>IF($C2824="","",IF(Registro_Compras!$F$317="NOTA DE CREDITO","Por la nota de credito "&amp;Registro_Compras!$C$317&amp;" de "&amp;Registro_Compras!$E$317&amp;" [PATRON POR CONFIRMAR CON CONTADOR]",IF(Registro_Compras!$F$317="RHE","Por el registro del recibo por honorarios "&amp;Registro_Compras!$C$317&amp;" de "&amp;Registro_Compras!$E$317&amp;" [PATRON POR CONFIRMAR CON CONTADOR]","Por el registro de la factura "&amp;Registro_Compras!$C$317&amp;" de "&amp;Registro_Compras!$E$317)))</f>
        <v/>
      </c>
      <c r="H2824">
        <f>IF($C2824="","",Registro_Compras!$C$317)</f>
        <v/>
      </c>
    </row>
    <row r="2825">
      <c r="A2825" s="25">
        <f>IF($C2825="","",Registro_Compras!$B$317)</f>
        <v/>
      </c>
      <c r="B2825">
        <f>IF($C2825="","","C"&amp;TEXT(INT((ROW()-5)/9)+1,"000")&amp;"-2")</f>
        <v/>
      </c>
      <c r="C2825">
        <f>IF(OR(Registro_Compras!$C$317="",Registro_Compras!$O$317=""),"",IF(Registro_Compras!$AB$317="ADMINISTRATIVO","94","95"))</f>
        <v/>
      </c>
      <c r="D2825">
        <f>IF(OR(Registro_Compras!$C$317="",Registro_Compras!$O$317=""),"",IF(Registro_Compras!$AB$317="ADMINISTRATIVO","Gastos Administrativos","Gastos de Venta y Operacion"))</f>
        <v/>
      </c>
      <c r="E2825" s="20">
        <f>IF($C2825="","",IF(Registro_Compras!$F$317="NOTA DE CREDITO","",IF(Registro_Compras!$F$317="RHE",ROUND(Registro_Compras!$L$317*Registro_Compras!$N$317,2),ROUND(Registro_Compras!$J$317*Registro_Compras!$N$317,2))))</f>
        <v/>
      </c>
      <c r="F2825" s="20">
        <f>IF($C2825="","",IF(Registro_Compras!$F$317="NOTA DE CREDITO",ROUND(ABS(Registro_Compras!$J$317*Registro_Compras!$N$317),2),""))</f>
        <v/>
      </c>
      <c r="G2825">
        <f>IF($C2825="","","Por el destino del gasto")</f>
        <v/>
      </c>
      <c r="H2825">
        <f>IF($C2825="","",Registro_Compras!$C$317)</f>
        <v/>
      </c>
    </row>
    <row r="2826">
      <c r="A2826" s="25">
        <f>IF($C2826="","",Registro_Compras!$B$317)</f>
        <v/>
      </c>
      <c r="B2826">
        <f>IF($C2826="","","C"&amp;TEXT(INT((ROW()-5)/9)+1,"000")&amp;"-2")</f>
        <v/>
      </c>
      <c r="C2826">
        <f>IF(OR(Registro_Compras!$C$317="",Registro_Compras!$O$317=""),"","79/791")</f>
        <v/>
      </c>
      <c r="D2826">
        <f>IF(OR(Registro_Compras!$C$317="",Registro_Compras!$O$317=""),"","Cargas Imputables a Cuentas de Costos y Gastos")</f>
        <v/>
      </c>
      <c r="E2826" s="20">
        <f>IF($C2826="","",IF(Registro_Compras!$F$317="NOTA DE CREDITO",ROUND(ABS(Registro_Compras!$J$317*Registro_Compras!$N$317),2),""))</f>
        <v/>
      </c>
      <c r="F2826" s="20">
        <f>IF($C2826="","",IF(Registro_Compras!$F$317="NOTA DE CREDITO","",IF(Registro_Compras!$F$317="RHE",ROUND(Registro_Compras!$L$317*Registro_Compras!$N$317,2),ROUND(Registro_Compras!$J$317*Registro_Compras!$N$317,2))))</f>
        <v/>
      </c>
      <c r="G2826">
        <f>IF($C2826="","","Por el destino del gasto")</f>
        <v/>
      </c>
      <c r="H2826">
        <f>IF($C2826="","",Registro_Compras!$C$317)</f>
        <v/>
      </c>
    </row>
    <row r="2827">
      <c r="A2827" s="25">
        <f>IF($C2827="","",Registro_Compras!$X$317)</f>
        <v/>
      </c>
      <c r="B2827">
        <f>IF($C2827="","","C"&amp;TEXT(INT((ROW()-5)/9)+1,"000")&amp;"-3")</f>
        <v/>
      </c>
      <c r="C2827">
        <f>IF(OR(Registro_Compras!$C$317="",Registro_Compras!$O$317="",Registro_Compras!$R$317&lt;&gt;"SI",Registro_Compras!$X$317=""),"","4212")</f>
        <v/>
      </c>
      <c r="D2827">
        <f>IF(OR(Registro_Compras!$C$317="",Registro_Compras!$O$317=""),"","Cuentas por Pagar Comerciales - Terceros")</f>
        <v/>
      </c>
      <c r="E2827" s="20">
        <f>IF($C2827="","",Registro_Compras!$S$317)</f>
        <v/>
      </c>
      <c r="F2827" s="20">
        <f>""</f>
        <v/>
      </c>
      <c r="G2827">
        <f>IF($C2827="","","Por el deposito de la detraccion en el Banco de la Nacion")</f>
        <v/>
      </c>
      <c r="H2827">
        <f>IF($C2827="","",Registro_Compras!$C$317)</f>
        <v/>
      </c>
    </row>
    <row r="2828">
      <c r="A2828" s="25">
        <f>IF($C2828="","",Registro_Compras!$X$317)</f>
        <v/>
      </c>
      <c r="B2828">
        <f>IF($C2828="","","C"&amp;TEXT(INT((ROW()-5)/9)+1,"000")&amp;"-3")</f>
        <v/>
      </c>
      <c r="C2828">
        <f>IF(OR(Registro_Compras!$C$317="",Registro_Compras!$O$317="",Registro_Compras!$R$317&lt;&gt;"SI",Registro_Compras!$X$317=""),"","10413")</f>
        <v/>
      </c>
      <c r="D2828">
        <f>IF(OR(Registro_Compras!$C$317="",Registro_Compras!$O$317=""),"","Efectivo y Equivalentes - Cta. Cte. Operativa")</f>
        <v/>
      </c>
      <c r="E2828" s="20">
        <f>""</f>
        <v/>
      </c>
      <c r="F2828" s="20">
        <f>IF($C2828="","",Registro_Compras!$S$317)</f>
        <v/>
      </c>
      <c r="G2828">
        <f>IF($C2828="","","Por el deposito de la detraccion en el Banco de la Nacion")</f>
        <v/>
      </c>
      <c r="H2828">
        <f>IF($C2828="","",Registro_Compras!$C$317)</f>
        <v/>
      </c>
    </row>
    <row r="2829">
      <c r="A2829" s="25">
        <f>IF($C2829="","",Registro_Compras!$Y$317)</f>
        <v/>
      </c>
      <c r="B2829">
        <f>IF($C2829="","","C"&amp;TEXT(INT((ROW()-5)/9)+1,"000")&amp;"-4")</f>
        <v/>
      </c>
      <c r="C2829">
        <f>IF(OR(Registro_Compras!$C$317="",Registro_Compras!$O$317="",Registro_Compras!$Y$317="",Registro_Compras!$F$317="NOTA DE CREDITO"),"","4212")</f>
        <v/>
      </c>
      <c r="D2829">
        <f>IF(OR(Registro_Compras!$C$317="",Registro_Compras!$O$317=""),"","Cuentas por Pagar Comerciales - Terceros")</f>
        <v/>
      </c>
      <c r="E2829" s="20">
        <f>IF($C2829="","",IF(Registro_Compras!$F$317="RHE",(ROUND(Registro_Compras!$L$317*Registro_Compras!$N$317,2)-ROUND(Registro_Compras!$V$317*Registro_Compras!$N$317,2)),ROUND(Registro_Compras!$O$317-Registro_Compras!$S$317,2)))</f>
        <v/>
      </c>
      <c r="F2829" s="20">
        <f>""</f>
        <v/>
      </c>
      <c r="G2829">
        <f>IF($C2829="","","Por la cancelacion del saldo al proveedor")</f>
        <v/>
      </c>
      <c r="H2829">
        <f>IF($C2829="","",Registro_Compras!$C$317)</f>
        <v/>
      </c>
    </row>
    <row r="2830">
      <c r="A2830" s="25">
        <f>IF($C2830="","",Registro_Compras!$Y$317)</f>
        <v/>
      </c>
      <c r="B2830">
        <f>IF($C2830="","","C"&amp;TEXT(INT((ROW()-5)/9)+1,"000")&amp;"-4")</f>
        <v/>
      </c>
      <c r="C2830">
        <f>IF(OR(Registro_Compras!$C$317="",Registro_Compras!$O$317="",Registro_Compras!$Y$317="",Registro_Compras!$F$317="NOTA DE CREDITO"),"","10413")</f>
        <v/>
      </c>
      <c r="D2830">
        <f>IF(OR(Registro_Compras!$C$317="",Registro_Compras!$O$317=""),"","Efectivo y Equivalentes - Cta. Cte. Operativa")</f>
        <v/>
      </c>
      <c r="E2830" s="20">
        <f>""</f>
        <v/>
      </c>
      <c r="F2830" s="20">
        <f>IF($C2830="","",IF(Registro_Compras!$F$317="RHE",(ROUND(Registro_Compras!$L$317*Registro_Compras!$N$317,2)-ROUND(Registro_Compras!$V$317*Registro_Compras!$N$317,2)),ROUND(Registro_Compras!$O$317-Registro_Compras!$S$317,2)))</f>
        <v/>
      </c>
      <c r="G2830">
        <f>IF($C2830="","","Por la cancelacion del saldo al proveedor")</f>
        <v/>
      </c>
      <c r="H2830">
        <f>IF($C2830="","",Registro_Compras!$C$317)</f>
        <v/>
      </c>
    </row>
    <row r="2831">
      <c r="A2831" s="25">
        <f>IF($C2831="","",Registro_Compras!$B$318)</f>
        <v/>
      </c>
      <c r="B2831">
        <f>IF($C2831="","","C"&amp;TEXT(INT((ROW()-5)/9)+1,"000")&amp;"-1")</f>
        <v/>
      </c>
      <c r="C2831">
        <f>IF(OR(Registro_Compras!$C$318="",Registro_Compras!$O$318=""),"",IF(Registro_Compras!$F$318="NOTA DE CREDITO","4212",IF(Registro_Compras!$M$318="","63",Registro_Compras!$M$318)))</f>
        <v/>
      </c>
      <c r="D2831">
        <f>IF(OR(Registro_Compras!$C$318="",Registro_Compras!$O$318=""),"",IF(Registro_Compras!$F$318="NOTA DE CREDITO","Cuentas por Pagar Comerciales - Terceros (Emitidas)",IF(Registro_Compras!$F$318="RHE","Honorarios Profesionales - Servicios de Terceros","Gastos de Servicios Prestados por Terceros")))</f>
        <v/>
      </c>
      <c r="E2831" s="20">
        <f>IF($C2831="","",IF(Registro_Compras!$F$318="NOTA DE CREDITO",ABS(Registro_Compras!$O$318),IF(Registro_Compras!$F$318="RHE",ROUND(Registro_Compras!$L$318*Registro_Compras!$N$318,2),ROUND(Registro_Compras!$J$318*Registro_Compras!$N$318,2))))</f>
        <v/>
      </c>
      <c r="F2831" s="20">
        <f>""</f>
        <v/>
      </c>
      <c r="G2831">
        <f>IF($C2831="","",IF(Registro_Compras!$F$318="NOTA DE CREDITO","Por la nota de credito "&amp;Registro_Compras!$C$318&amp;" de "&amp;Registro_Compras!$E$318&amp;" [PATRON POR CONFIRMAR CON CONTADOR]",IF(Registro_Compras!$F$318="RHE","Por el registro del recibo por honorarios "&amp;Registro_Compras!$C$318&amp;" de "&amp;Registro_Compras!$E$318&amp;" [PATRON POR CONFIRMAR CON CONTADOR]","Por el registro de la factura "&amp;Registro_Compras!$C$318&amp;" de "&amp;Registro_Compras!$E$318)))</f>
        <v/>
      </c>
      <c r="H2831">
        <f>IF($C2831="","",Registro_Compras!$C$318)</f>
        <v/>
      </c>
    </row>
    <row r="2832">
      <c r="A2832" s="25">
        <f>IF($C2832="","",Registro_Compras!$B$318)</f>
        <v/>
      </c>
      <c r="B2832">
        <f>IF($C2832="","","C"&amp;TEXT(INT((ROW()-5)/9)+1,"000")&amp;"-1")</f>
        <v/>
      </c>
      <c r="C2832">
        <f>IF(OR(Registro_Compras!$C$318="",Registro_Compras!$O$318=""),"",IF(Registro_Compras!$F$318="RHE",IF(Registro_Compras!$V$318=0,"","40172"),IF(Registro_Compras!$F$318="NOTA DE CREDITO",IF(Registro_Compras!$M$318="","63",Registro_Compras!$M$318),IF(Registro_Compras!$K$318=0,"","40111"))))</f>
        <v/>
      </c>
      <c r="D2832">
        <f>IF(OR(Registro_Compras!$C$318="",Registro_Compras!$O$318=""),"",IF(Registro_Compras!$F$318="RHE","Retencion Renta 4ta Categoria por Pagar",IF(Registro_Compras!$F$318="NOTA DE CREDITO","Gastos de Servicios Prestados por Terceros","IGV - Cuenta Propia (Credito Fiscal)")))</f>
        <v/>
      </c>
      <c r="E2832" s="20">
        <f>IF($C2832="","",IF(Registro_Compras!$F$318="FACTURA",ROUND(Registro_Compras!$K$318*Registro_Compras!$N$318,2),""))</f>
        <v/>
      </c>
      <c r="F2832" s="20">
        <f>IF($C2832="","",IF(Registro_Compras!$F$318="RHE",ROUND(Registro_Compras!$V$318*Registro_Compras!$N$318,2),IF(Registro_Compras!$F$318="NOTA DE CREDITO",ROUND(ABS(Registro_Compras!$J$318*Registro_Compras!$N$318),2),"")))</f>
        <v/>
      </c>
      <c r="G2832">
        <f>IF($C2832="","",IF(Registro_Compras!$F$318="NOTA DE CREDITO","Por la nota de credito "&amp;Registro_Compras!$C$318&amp;" de "&amp;Registro_Compras!$E$318&amp;" [PATRON POR CONFIRMAR CON CONTADOR]",IF(Registro_Compras!$F$318="RHE","Por el registro del recibo por honorarios "&amp;Registro_Compras!$C$318&amp;" de "&amp;Registro_Compras!$E$318&amp;" [PATRON POR CONFIRMAR CON CONTADOR]","Por el registro de la factura "&amp;Registro_Compras!$C$318&amp;" de "&amp;Registro_Compras!$E$318)))</f>
        <v/>
      </c>
      <c r="H2832">
        <f>IF($C2832="","",Registro_Compras!$C$318)</f>
        <v/>
      </c>
    </row>
    <row r="2833">
      <c r="A2833" s="25">
        <f>IF($C2833="","",Registro_Compras!$B$318)</f>
        <v/>
      </c>
      <c r="B2833">
        <f>IF($C2833="","","C"&amp;TEXT(INT((ROW()-5)/9)+1,"000")&amp;"-1")</f>
        <v/>
      </c>
      <c r="C2833">
        <f>IF(OR(Registro_Compras!$C$318="",Registro_Compras!$O$318=""),"",IF(Registro_Compras!$F$318="NOTA DE CREDITO",IF(Registro_Compras!$K$318=0,"","40111"),"4212"))</f>
        <v/>
      </c>
      <c r="D2833">
        <f>IF(OR(Registro_Compras!$C$318="",Registro_Compras!$O$318=""),"",IF(Registro_Compras!$F$318="NOTA DE CREDITO","IGV - Cuenta Propia (Credito Fiscal)","Cuentas por Pagar Comerciales - Terceros (Emitidas)"))</f>
        <v/>
      </c>
      <c r="E2833" s="20">
        <f>""</f>
        <v/>
      </c>
      <c r="F2833" s="20">
        <f>IF($C2833="","",IF(Registro_Compras!$F$318="NOTA DE CREDITO",ROUND(ABS(Registro_Compras!$K$318*Registro_Compras!$N$318),2),IF(Registro_Compras!$F$318="RHE",(ROUND(Registro_Compras!$L$318*Registro_Compras!$N$318,2)-ROUND(Registro_Compras!$V$318*Registro_Compras!$N$318,2)),Registro_Compras!$O$318)))</f>
        <v/>
      </c>
      <c r="G2833">
        <f>IF($C2833="","",IF(Registro_Compras!$F$318="NOTA DE CREDITO","Por la nota de credito "&amp;Registro_Compras!$C$318&amp;" de "&amp;Registro_Compras!$E$318&amp;" [PATRON POR CONFIRMAR CON CONTADOR]",IF(Registro_Compras!$F$318="RHE","Por el registro del recibo por honorarios "&amp;Registro_Compras!$C$318&amp;" de "&amp;Registro_Compras!$E$318&amp;" [PATRON POR CONFIRMAR CON CONTADOR]","Por el registro de la factura "&amp;Registro_Compras!$C$318&amp;" de "&amp;Registro_Compras!$E$318)))</f>
        <v/>
      </c>
      <c r="H2833">
        <f>IF($C2833="","",Registro_Compras!$C$318)</f>
        <v/>
      </c>
    </row>
    <row r="2834">
      <c r="A2834" s="25">
        <f>IF($C2834="","",Registro_Compras!$B$318)</f>
        <v/>
      </c>
      <c r="B2834">
        <f>IF($C2834="","","C"&amp;TEXT(INT((ROW()-5)/9)+1,"000")&amp;"-2")</f>
        <v/>
      </c>
      <c r="C2834">
        <f>IF(OR(Registro_Compras!$C$318="",Registro_Compras!$O$318=""),"",IF(Registro_Compras!$AB$318="ADMINISTRATIVO","94","95"))</f>
        <v/>
      </c>
      <c r="D2834">
        <f>IF(OR(Registro_Compras!$C$318="",Registro_Compras!$O$318=""),"",IF(Registro_Compras!$AB$318="ADMINISTRATIVO","Gastos Administrativos","Gastos de Venta y Operacion"))</f>
        <v/>
      </c>
      <c r="E2834" s="20">
        <f>IF($C2834="","",IF(Registro_Compras!$F$318="NOTA DE CREDITO","",IF(Registro_Compras!$F$318="RHE",ROUND(Registro_Compras!$L$318*Registro_Compras!$N$318,2),ROUND(Registro_Compras!$J$318*Registro_Compras!$N$318,2))))</f>
        <v/>
      </c>
      <c r="F2834" s="20">
        <f>IF($C2834="","",IF(Registro_Compras!$F$318="NOTA DE CREDITO",ROUND(ABS(Registro_Compras!$J$318*Registro_Compras!$N$318),2),""))</f>
        <v/>
      </c>
      <c r="G2834">
        <f>IF($C2834="","","Por el destino del gasto")</f>
        <v/>
      </c>
      <c r="H2834">
        <f>IF($C2834="","",Registro_Compras!$C$318)</f>
        <v/>
      </c>
    </row>
    <row r="2835">
      <c r="A2835" s="25">
        <f>IF($C2835="","",Registro_Compras!$B$318)</f>
        <v/>
      </c>
      <c r="B2835">
        <f>IF($C2835="","","C"&amp;TEXT(INT((ROW()-5)/9)+1,"000")&amp;"-2")</f>
        <v/>
      </c>
      <c r="C2835">
        <f>IF(OR(Registro_Compras!$C$318="",Registro_Compras!$O$318=""),"","79/791")</f>
        <v/>
      </c>
      <c r="D2835">
        <f>IF(OR(Registro_Compras!$C$318="",Registro_Compras!$O$318=""),"","Cargas Imputables a Cuentas de Costos y Gastos")</f>
        <v/>
      </c>
      <c r="E2835" s="20">
        <f>IF($C2835="","",IF(Registro_Compras!$F$318="NOTA DE CREDITO",ROUND(ABS(Registro_Compras!$J$318*Registro_Compras!$N$318),2),""))</f>
        <v/>
      </c>
      <c r="F2835" s="20">
        <f>IF($C2835="","",IF(Registro_Compras!$F$318="NOTA DE CREDITO","",IF(Registro_Compras!$F$318="RHE",ROUND(Registro_Compras!$L$318*Registro_Compras!$N$318,2),ROUND(Registro_Compras!$J$318*Registro_Compras!$N$318,2))))</f>
        <v/>
      </c>
      <c r="G2835">
        <f>IF($C2835="","","Por el destino del gasto")</f>
        <v/>
      </c>
      <c r="H2835">
        <f>IF($C2835="","",Registro_Compras!$C$318)</f>
        <v/>
      </c>
    </row>
    <row r="2836">
      <c r="A2836" s="25">
        <f>IF($C2836="","",Registro_Compras!$X$318)</f>
        <v/>
      </c>
      <c r="B2836">
        <f>IF($C2836="","","C"&amp;TEXT(INT((ROW()-5)/9)+1,"000")&amp;"-3")</f>
        <v/>
      </c>
      <c r="C2836">
        <f>IF(OR(Registro_Compras!$C$318="",Registro_Compras!$O$318="",Registro_Compras!$R$318&lt;&gt;"SI",Registro_Compras!$X$318=""),"","4212")</f>
        <v/>
      </c>
      <c r="D2836">
        <f>IF(OR(Registro_Compras!$C$318="",Registro_Compras!$O$318=""),"","Cuentas por Pagar Comerciales - Terceros")</f>
        <v/>
      </c>
      <c r="E2836" s="20">
        <f>IF($C2836="","",Registro_Compras!$S$318)</f>
        <v/>
      </c>
      <c r="F2836" s="20">
        <f>""</f>
        <v/>
      </c>
      <c r="G2836">
        <f>IF($C2836="","","Por el deposito de la detraccion en el Banco de la Nacion")</f>
        <v/>
      </c>
      <c r="H2836">
        <f>IF($C2836="","",Registro_Compras!$C$318)</f>
        <v/>
      </c>
    </row>
    <row r="2837">
      <c r="A2837" s="25">
        <f>IF($C2837="","",Registro_Compras!$X$318)</f>
        <v/>
      </c>
      <c r="B2837">
        <f>IF($C2837="","","C"&amp;TEXT(INT((ROW()-5)/9)+1,"000")&amp;"-3")</f>
        <v/>
      </c>
      <c r="C2837">
        <f>IF(OR(Registro_Compras!$C$318="",Registro_Compras!$O$318="",Registro_Compras!$R$318&lt;&gt;"SI",Registro_Compras!$X$318=""),"","10413")</f>
        <v/>
      </c>
      <c r="D2837">
        <f>IF(OR(Registro_Compras!$C$318="",Registro_Compras!$O$318=""),"","Efectivo y Equivalentes - Cta. Cte. Operativa")</f>
        <v/>
      </c>
      <c r="E2837" s="20">
        <f>""</f>
        <v/>
      </c>
      <c r="F2837" s="20">
        <f>IF($C2837="","",Registro_Compras!$S$318)</f>
        <v/>
      </c>
      <c r="G2837">
        <f>IF($C2837="","","Por el deposito de la detraccion en el Banco de la Nacion")</f>
        <v/>
      </c>
      <c r="H2837">
        <f>IF($C2837="","",Registro_Compras!$C$318)</f>
        <v/>
      </c>
    </row>
    <row r="2838">
      <c r="A2838" s="25">
        <f>IF($C2838="","",Registro_Compras!$Y$318)</f>
        <v/>
      </c>
      <c r="B2838">
        <f>IF($C2838="","","C"&amp;TEXT(INT((ROW()-5)/9)+1,"000")&amp;"-4")</f>
        <v/>
      </c>
      <c r="C2838">
        <f>IF(OR(Registro_Compras!$C$318="",Registro_Compras!$O$318="",Registro_Compras!$Y$318="",Registro_Compras!$F$318="NOTA DE CREDITO"),"","4212")</f>
        <v/>
      </c>
      <c r="D2838">
        <f>IF(OR(Registro_Compras!$C$318="",Registro_Compras!$O$318=""),"","Cuentas por Pagar Comerciales - Terceros")</f>
        <v/>
      </c>
      <c r="E2838" s="20">
        <f>IF($C2838="","",IF(Registro_Compras!$F$318="RHE",(ROUND(Registro_Compras!$L$318*Registro_Compras!$N$318,2)-ROUND(Registro_Compras!$V$318*Registro_Compras!$N$318,2)),ROUND(Registro_Compras!$O$318-Registro_Compras!$S$318,2)))</f>
        <v/>
      </c>
      <c r="F2838" s="20">
        <f>""</f>
        <v/>
      </c>
      <c r="G2838">
        <f>IF($C2838="","","Por la cancelacion del saldo al proveedor")</f>
        <v/>
      </c>
      <c r="H2838">
        <f>IF($C2838="","",Registro_Compras!$C$318)</f>
        <v/>
      </c>
    </row>
    <row r="2839">
      <c r="A2839" s="25">
        <f>IF($C2839="","",Registro_Compras!$Y$318)</f>
        <v/>
      </c>
      <c r="B2839">
        <f>IF($C2839="","","C"&amp;TEXT(INT((ROW()-5)/9)+1,"000")&amp;"-4")</f>
        <v/>
      </c>
      <c r="C2839">
        <f>IF(OR(Registro_Compras!$C$318="",Registro_Compras!$O$318="",Registro_Compras!$Y$318="",Registro_Compras!$F$318="NOTA DE CREDITO"),"","10413")</f>
        <v/>
      </c>
      <c r="D2839">
        <f>IF(OR(Registro_Compras!$C$318="",Registro_Compras!$O$318=""),"","Efectivo y Equivalentes - Cta. Cte. Operativa")</f>
        <v/>
      </c>
      <c r="E2839" s="20">
        <f>""</f>
        <v/>
      </c>
      <c r="F2839" s="20">
        <f>IF($C2839="","",IF(Registro_Compras!$F$318="RHE",(ROUND(Registro_Compras!$L$318*Registro_Compras!$N$318,2)-ROUND(Registro_Compras!$V$318*Registro_Compras!$N$318,2)),ROUND(Registro_Compras!$O$318-Registro_Compras!$S$318,2)))</f>
        <v/>
      </c>
      <c r="G2839">
        <f>IF($C2839="","","Por la cancelacion del saldo al proveedor")</f>
        <v/>
      </c>
      <c r="H2839">
        <f>IF($C2839="","",Registro_Compras!$C$318)</f>
        <v/>
      </c>
    </row>
    <row r="2840">
      <c r="A2840" s="25">
        <f>IF($C2840="","",Registro_Compras!$B$319)</f>
        <v/>
      </c>
      <c r="B2840">
        <f>IF($C2840="","","C"&amp;TEXT(INT((ROW()-5)/9)+1,"000")&amp;"-1")</f>
        <v/>
      </c>
      <c r="C2840">
        <f>IF(OR(Registro_Compras!$C$319="",Registro_Compras!$O$319=""),"",IF(Registro_Compras!$F$319="NOTA DE CREDITO","4212",IF(Registro_Compras!$M$319="","63",Registro_Compras!$M$319)))</f>
        <v/>
      </c>
      <c r="D2840">
        <f>IF(OR(Registro_Compras!$C$319="",Registro_Compras!$O$319=""),"",IF(Registro_Compras!$F$319="NOTA DE CREDITO","Cuentas por Pagar Comerciales - Terceros (Emitidas)",IF(Registro_Compras!$F$319="RHE","Honorarios Profesionales - Servicios de Terceros","Gastos de Servicios Prestados por Terceros")))</f>
        <v/>
      </c>
      <c r="E2840" s="20">
        <f>IF($C2840="","",IF(Registro_Compras!$F$319="NOTA DE CREDITO",ABS(Registro_Compras!$O$319),IF(Registro_Compras!$F$319="RHE",ROUND(Registro_Compras!$L$319*Registro_Compras!$N$319,2),ROUND(Registro_Compras!$J$319*Registro_Compras!$N$319,2))))</f>
        <v/>
      </c>
      <c r="F2840" s="20">
        <f>""</f>
        <v/>
      </c>
      <c r="G2840">
        <f>IF($C2840="","",IF(Registro_Compras!$F$319="NOTA DE CREDITO","Por la nota de credito "&amp;Registro_Compras!$C$319&amp;" de "&amp;Registro_Compras!$E$319&amp;" [PATRON POR CONFIRMAR CON CONTADOR]",IF(Registro_Compras!$F$319="RHE","Por el registro del recibo por honorarios "&amp;Registro_Compras!$C$319&amp;" de "&amp;Registro_Compras!$E$319&amp;" [PATRON POR CONFIRMAR CON CONTADOR]","Por el registro de la factura "&amp;Registro_Compras!$C$319&amp;" de "&amp;Registro_Compras!$E$319)))</f>
        <v/>
      </c>
      <c r="H2840">
        <f>IF($C2840="","",Registro_Compras!$C$319)</f>
        <v/>
      </c>
    </row>
    <row r="2841">
      <c r="A2841" s="25">
        <f>IF($C2841="","",Registro_Compras!$B$319)</f>
        <v/>
      </c>
      <c r="B2841">
        <f>IF($C2841="","","C"&amp;TEXT(INT((ROW()-5)/9)+1,"000")&amp;"-1")</f>
        <v/>
      </c>
      <c r="C2841">
        <f>IF(OR(Registro_Compras!$C$319="",Registro_Compras!$O$319=""),"",IF(Registro_Compras!$F$319="RHE",IF(Registro_Compras!$V$319=0,"","40172"),IF(Registro_Compras!$F$319="NOTA DE CREDITO",IF(Registro_Compras!$M$319="","63",Registro_Compras!$M$319),IF(Registro_Compras!$K$319=0,"","40111"))))</f>
        <v/>
      </c>
      <c r="D2841">
        <f>IF(OR(Registro_Compras!$C$319="",Registro_Compras!$O$319=""),"",IF(Registro_Compras!$F$319="RHE","Retencion Renta 4ta Categoria por Pagar",IF(Registro_Compras!$F$319="NOTA DE CREDITO","Gastos de Servicios Prestados por Terceros","IGV - Cuenta Propia (Credito Fiscal)")))</f>
        <v/>
      </c>
      <c r="E2841" s="20">
        <f>IF($C2841="","",IF(Registro_Compras!$F$319="FACTURA",ROUND(Registro_Compras!$K$319*Registro_Compras!$N$319,2),""))</f>
        <v/>
      </c>
      <c r="F2841" s="20">
        <f>IF($C2841="","",IF(Registro_Compras!$F$319="RHE",ROUND(Registro_Compras!$V$319*Registro_Compras!$N$319,2),IF(Registro_Compras!$F$319="NOTA DE CREDITO",ROUND(ABS(Registro_Compras!$J$319*Registro_Compras!$N$319),2),"")))</f>
        <v/>
      </c>
      <c r="G2841">
        <f>IF($C2841="","",IF(Registro_Compras!$F$319="NOTA DE CREDITO","Por la nota de credito "&amp;Registro_Compras!$C$319&amp;" de "&amp;Registro_Compras!$E$319&amp;" [PATRON POR CONFIRMAR CON CONTADOR]",IF(Registro_Compras!$F$319="RHE","Por el registro del recibo por honorarios "&amp;Registro_Compras!$C$319&amp;" de "&amp;Registro_Compras!$E$319&amp;" [PATRON POR CONFIRMAR CON CONTADOR]","Por el registro de la factura "&amp;Registro_Compras!$C$319&amp;" de "&amp;Registro_Compras!$E$319)))</f>
        <v/>
      </c>
      <c r="H2841">
        <f>IF($C2841="","",Registro_Compras!$C$319)</f>
        <v/>
      </c>
    </row>
    <row r="2842">
      <c r="A2842" s="25">
        <f>IF($C2842="","",Registro_Compras!$B$319)</f>
        <v/>
      </c>
      <c r="B2842">
        <f>IF($C2842="","","C"&amp;TEXT(INT((ROW()-5)/9)+1,"000")&amp;"-1")</f>
        <v/>
      </c>
      <c r="C2842">
        <f>IF(OR(Registro_Compras!$C$319="",Registro_Compras!$O$319=""),"",IF(Registro_Compras!$F$319="NOTA DE CREDITO",IF(Registro_Compras!$K$319=0,"","40111"),"4212"))</f>
        <v/>
      </c>
      <c r="D2842">
        <f>IF(OR(Registro_Compras!$C$319="",Registro_Compras!$O$319=""),"",IF(Registro_Compras!$F$319="NOTA DE CREDITO","IGV - Cuenta Propia (Credito Fiscal)","Cuentas por Pagar Comerciales - Terceros (Emitidas)"))</f>
        <v/>
      </c>
      <c r="E2842" s="20">
        <f>""</f>
        <v/>
      </c>
      <c r="F2842" s="20">
        <f>IF($C2842="","",IF(Registro_Compras!$F$319="NOTA DE CREDITO",ROUND(ABS(Registro_Compras!$K$319*Registro_Compras!$N$319),2),IF(Registro_Compras!$F$319="RHE",(ROUND(Registro_Compras!$L$319*Registro_Compras!$N$319,2)-ROUND(Registro_Compras!$V$319*Registro_Compras!$N$319,2)),Registro_Compras!$O$319)))</f>
        <v/>
      </c>
      <c r="G2842">
        <f>IF($C2842="","",IF(Registro_Compras!$F$319="NOTA DE CREDITO","Por la nota de credito "&amp;Registro_Compras!$C$319&amp;" de "&amp;Registro_Compras!$E$319&amp;" [PATRON POR CONFIRMAR CON CONTADOR]",IF(Registro_Compras!$F$319="RHE","Por el registro del recibo por honorarios "&amp;Registro_Compras!$C$319&amp;" de "&amp;Registro_Compras!$E$319&amp;" [PATRON POR CONFIRMAR CON CONTADOR]","Por el registro de la factura "&amp;Registro_Compras!$C$319&amp;" de "&amp;Registro_Compras!$E$319)))</f>
        <v/>
      </c>
      <c r="H2842">
        <f>IF($C2842="","",Registro_Compras!$C$319)</f>
        <v/>
      </c>
    </row>
    <row r="2843">
      <c r="A2843" s="25">
        <f>IF($C2843="","",Registro_Compras!$B$319)</f>
        <v/>
      </c>
      <c r="B2843">
        <f>IF($C2843="","","C"&amp;TEXT(INT((ROW()-5)/9)+1,"000")&amp;"-2")</f>
        <v/>
      </c>
      <c r="C2843">
        <f>IF(OR(Registro_Compras!$C$319="",Registro_Compras!$O$319=""),"",IF(Registro_Compras!$AB$319="ADMINISTRATIVO","94","95"))</f>
        <v/>
      </c>
      <c r="D2843">
        <f>IF(OR(Registro_Compras!$C$319="",Registro_Compras!$O$319=""),"",IF(Registro_Compras!$AB$319="ADMINISTRATIVO","Gastos Administrativos","Gastos de Venta y Operacion"))</f>
        <v/>
      </c>
      <c r="E2843" s="20">
        <f>IF($C2843="","",IF(Registro_Compras!$F$319="NOTA DE CREDITO","",IF(Registro_Compras!$F$319="RHE",ROUND(Registro_Compras!$L$319*Registro_Compras!$N$319,2),ROUND(Registro_Compras!$J$319*Registro_Compras!$N$319,2))))</f>
        <v/>
      </c>
      <c r="F2843" s="20">
        <f>IF($C2843="","",IF(Registro_Compras!$F$319="NOTA DE CREDITO",ROUND(ABS(Registro_Compras!$J$319*Registro_Compras!$N$319),2),""))</f>
        <v/>
      </c>
      <c r="G2843">
        <f>IF($C2843="","","Por el destino del gasto")</f>
        <v/>
      </c>
      <c r="H2843">
        <f>IF($C2843="","",Registro_Compras!$C$319)</f>
        <v/>
      </c>
    </row>
    <row r="2844">
      <c r="A2844" s="25">
        <f>IF($C2844="","",Registro_Compras!$B$319)</f>
        <v/>
      </c>
      <c r="B2844">
        <f>IF($C2844="","","C"&amp;TEXT(INT((ROW()-5)/9)+1,"000")&amp;"-2")</f>
        <v/>
      </c>
      <c r="C2844">
        <f>IF(OR(Registro_Compras!$C$319="",Registro_Compras!$O$319=""),"","79/791")</f>
        <v/>
      </c>
      <c r="D2844">
        <f>IF(OR(Registro_Compras!$C$319="",Registro_Compras!$O$319=""),"","Cargas Imputables a Cuentas de Costos y Gastos")</f>
        <v/>
      </c>
      <c r="E2844" s="20">
        <f>IF($C2844="","",IF(Registro_Compras!$F$319="NOTA DE CREDITO",ROUND(ABS(Registro_Compras!$J$319*Registro_Compras!$N$319),2),""))</f>
        <v/>
      </c>
      <c r="F2844" s="20">
        <f>IF($C2844="","",IF(Registro_Compras!$F$319="NOTA DE CREDITO","",IF(Registro_Compras!$F$319="RHE",ROUND(Registro_Compras!$L$319*Registro_Compras!$N$319,2),ROUND(Registro_Compras!$J$319*Registro_Compras!$N$319,2))))</f>
        <v/>
      </c>
      <c r="G2844">
        <f>IF($C2844="","","Por el destino del gasto")</f>
        <v/>
      </c>
      <c r="H2844">
        <f>IF($C2844="","",Registro_Compras!$C$319)</f>
        <v/>
      </c>
    </row>
    <row r="2845">
      <c r="A2845" s="25">
        <f>IF($C2845="","",Registro_Compras!$X$319)</f>
        <v/>
      </c>
      <c r="B2845">
        <f>IF($C2845="","","C"&amp;TEXT(INT((ROW()-5)/9)+1,"000")&amp;"-3")</f>
        <v/>
      </c>
      <c r="C2845">
        <f>IF(OR(Registro_Compras!$C$319="",Registro_Compras!$O$319="",Registro_Compras!$R$319&lt;&gt;"SI",Registro_Compras!$X$319=""),"","4212")</f>
        <v/>
      </c>
      <c r="D2845">
        <f>IF(OR(Registro_Compras!$C$319="",Registro_Compras!$O$319=""),"","Cuentas por Pagar Comerciales - Terceros")</f>
        <v/>
      </c>
      <c r="E2845" s="20">
        <f>IF($C2845="","",Registro_Compras!$S$319)</f>
        <v/>
      </c>
      <c r="F2845" s="20">
        <f>""</f>
        <v/>
      </c>
      <c r="G2845">
        <f>IF($C2845="","","Por el deposito de la detraccion en el Banco de la Nacion")</f>
        <v/>
      </c>
      <c r="H2845">
        <f>IF($C2845="","",Registro_Compras!$C$319)</f>
        <v/>
      </c>
    </row>
    <row r="2846">
      <c r="A2846" s="25">
        <f>IF($C2846="","",Registro_Compras!$X$319)</f>
        <v/>
      </c>
      <c r="B2846">
        <f>IF($C2846="","","C"&amp;TEXT(INT((ROW()-5)/9)+1,"000")&amp;"-3")</f>
        <v/>
      </c>
      <c r="C2846">
        <f>IF(OR(Registro_Compras!$C$319="",Registro_Compras!$O$319="",Registro_Compras!$R$319&lt;&gt;"SI",Registro_Compras!$X$319=""),"","10413")</f>
        <v/>
      </c>
      <c r="D2846">
        <f>IF(OR(Registro_Compras!$C$319="",Registro_Compras!$O$319=""),"","Efectivo y Equivalentes - Cta. Cte. Operativa")</f>
        <v/>
      </c>
      <c r="E2846" s="20">
        <f>""</f>
        <v/>
      </c>
      <c r="F2846" s="20">
        <f>IF($C2846="","",Registro_Compras!$S$319)</f>
        <v/>
      </c>
      <c r="G2846">
        <f>IF($C2846="","","Por el deposito de la detraccion en el Banco de la Nacion")</f>
        <v/>
      </c>
      <c r="H2846">
        <f>IF($C2846="","",Registro_Compras!$C$319)</f>
        <v/>
      </c>
    </row>
    <row r="2847">
      <c r="A2847" s="25">
        <f>IF($C2847="","",Registro_Compras!$Y$319)</f>
        <v/>
      </c>
      <c r="B2847">
        <f>IF($C2847="","","C"&amp;TEXT(INT((ROW()-5)/9)+1,"000")&amp;"-4")</f>
        <v/>
      </c>
      <c r="C2847">
        <f>IF(OR(Registro_Compras!$C$319="",Registro_Compras!$O$319="",Registro_Compras!$Y$319="",Registro_Compras!$F$319="NOTA DE CREDITO"),"","4212")</f>
        <v/>
      </c>
      <c r="D2847">
        <f>IF(OR(Registro_Compras!$C$319="",Registro_Compras!$O$319=""),"","Cuentas por Pagar Comerciales - Terceros")</f>
        <v/>
      </c>
      <c r="E2847" s="20">
        <f>IF($C2847="","",IF(Registro_Compras!$F$319="RHE",(ROUND(Registro_Compras!$L$319*Registro_Compras!$N$319,2)-ROUND(Registro_Compras!$V$319*Registro_Compras!$N$319,2)),ROUND(Registro_Compras!$O$319-Registro_Compras!$S$319,2)))</f>
        <v/>
      </c>
      <c r="F2847" s="20">
        <f>""</f>
        <v/>
      </c>
      <c r="G2847">
        <f>IF($C2847="","","Por la cancelacion del saldo al proveedor")</f>
        <v/>
      </c>
      <c r="H2847">
        <f>IF($C2847="","",Registro_Compras!$C$319)</f>
        <v/>
      </c>
    </row>
    <row r="2848">
      <c r="A2848" s="25">
        <f>IF($C2848="","",Registro_Compras!$Y$319)</f>
        <v/>
      </c>
      <c r="B2848">
        <f>IF($C2848="","","C"&amp;TEXT(INT((ROW()-5)/9)+1,"000")&amp;"-4")</f>
        <v/>
      </c>
      <c r="C2848">
        <f>IF(OR(Registro_Compras!$C$319="",Registro_Compras!$O$319="",Registro_Compras!$Y$319="",Registro_Compras!$F$319="NOTA DE CREDITO"),"","10413")</f>
        <v/>
      </c>
      <c r="D2848">
        <f>IF(OR(Registro_Compras!$C$319="",Registro_Compras!$O$319=""),"","Efectivo y Equivalentes - Cta. Cte. Operativa")</f>
        <v/>
      </c>
      <c r="E2848" s="20">
        <f>""</f>
        <v/>
      </c>
      <c r="F2848" s="20">
        <f>IF($C2848="","",IF(Registro_Compras!$F$319="RHE",(ROUND(Registro_Compras!$L$319*Registro_Compras!$N$319,2)-ROUND(Registro_Compras!$V$319*Registro_Compras!$N$319,2)),ROUND(Registro_Compras!$O$319-Registro_Compras!$S$319,2)))</f>
        <v/>
      </c>
      <c r="G2848">
        <f>IF($C2848="","","Por la cancelacion del saldo al proveedor")</f>
        <v/>
      </c>
      <c r="H2848">
        <f>IF($C2848="","",Registro_Compras!$C$319)</f>
        <v/>
      </c>
    </row>
    <row r="2849">
      <c r="A2849" s="25">
        <f>IF($C2849="","",Registro_Compras!$B$320)</f>
        <v/>
      </c>
      <c r="B2849">
        <f>IF($C2849="","","C"&amp;TEXT(INT((ROW()-5)/9)+1,"000")&amp;"-1")</f>
        <v/>
      </c>
      <c r="C2849">
        <f>IF(OR(Registro_Compras!$C$320="",Registro_Compras!$O$320=""),"",IF(Registro_Compras!$F$320="NOTA DE CREDITO","4212",IF(Registro_Compras!$M$320="","63",Registro_Compras!$M$320)))</f>
        <v/>
      </c>
      <c r="D2849">
        <f>IF(OR(Registro_Compras!$C$320="",Registro_Compras!$O$320=""),"",IF(Registro_Compras!$F$320="NOTA DE CREDITO","Cuentas por Pagar Comerciales - Terceros (Emitidas)",IF(Registro_Compras!$F$320="RHE","Honorarios Profesionales - Servicios de Terceros","Gastos de Servicios Prestados por Terceros")))</f>
        <v/>
      </c>
      <c r="E2849" s="20">
        <f>IF($C2849="","",IF(Registro_Compras!$F$320="NOTA DE CREDITO",ABS(Registro_Compras!$O$320),IF(Registro_Compras!$F$320="RHE",ROUND(Registro_Compras!$L$320*Registro_Compras!$N$320,2),ROUND(Registro_Compras!$J$320*Registro_Compras!$N$320,2))))</f>
        <v/>
      </c>
      <c r="F2849" s="20">
        <f>""</f>
        <v/>
      </c>
      <c r="G2849">
        <f>IF($C2849="","",IF(Registro_Compras!$F$320="NOTA DE CREDITO","Por la nota de credito "&amp;Registro_Compras!$C$320&amp;" de "&amp;Registro_Compras!$E$320&amp;" [PATRON POR CONFIRMAR CON CONTADOR]",IF(Registro_Compras!$F$320="RHE","Por el registro del recibo por honorarios "&amp;Registro_Compras!$C$320&amp;" de "&amp;Registro_Compras!$E$320&amp;" [PATRON POR CONFIRMAR CON CONTADOR]","Por el registro de la factura "&amp;Registro_Compras!$C$320&amp;" de "&amp;Registro_Compras!$E$320)))</f>
        <v/>
      </c>
      <c r="H2849">
        <f>IF($C2849="","",Registro_Compras!$C$320)</f>
        <v/>
      </c>
    </row>
    <row r="2850">
      <c r="A2850" s="25">
        <f>IF($C2850="","",Registro_Compras!$B$320)</f>
        <v/>
      </c>
      <c r="B2850">
        <f>IF($C2850="","","C"&amp;TEXT(INT((ROW()-5)/9)+1,"000")&amp;"-1")</f>
        <v/>
      </c>
      <c r="C2850">
        <f>IF(OR(Registro_Compras!$C$320="",Registro_Compras!$O$320=""),"",IF(Registro_Compras!$F$320="RHE",IF(Registro_Compras!$V$320=0,"","40172"),IF(Registro_Compras!$F$320="NOTA DE CREDITO",IF(Registro_Compras!$M$320="","63",Registro_Compras!$M$320),IF(Registro_Compras!$K$320=0,"","40111"))))</f>
        <v/>
      </c>
      <c r="D2850">
        <f>IF(OR(Registro_Compras!$C$320="",Registro_Compras!$O$320=""),"",IF(Registro_Compras!$F$320="RHE","Retencion Renta 4ta Categoria por Pagar",IF(Registro_Compras!$F$320="NOTA DE CREDITO","Gastos de Servicios Prestados por Terceros","IGV - Cuenta Propia (Credito Fiscal)")))</f>
        <v/>
      </c>
      <c r="E2850" s="20">
        <f>IF($C2850="","",IF(Registro_Compras!$F$320="FACTURA",ROUND(Registro_Compras!$K$320*Registro_Compras!$N$320,2),""))</f>
        <v/>
      </c>
      <c r="F2850" s="20">
        <f>IF($C2850="","",IF(Registro_Compras!$F$320="RHE",ROUND(Registro_Compras!$V$320*Registro_Compras!$N$320,2),IF(Registro_Compras!$F$320="NOTA DE CREDITO",ROUND(ABS(Registro_Compras!$J$320*Registro_Compras!$N$320),2),"")))</f>
        <v/>
      </c>
      <c r="G2850">
        <f>IF($C2850="","",IF(Registro_Compras!$F$320="NOTA DE CREDITO","Por la nota de credito "&amp;Registro_Compras!$C$320&amp;" de "&amp;Registro_Compras!$E$320&amp;" [PATRON POR CONFIRMAR CON CONTADOR]",IF(Registro_Compras!$F$320="RHE","Por el registro del recibo por honorarios "&amp;Registro_Compras!$C$320&amp;" de "&amp;Registro_Compras!$E$320&amp;" [PATRON POR CONFIRMAR CON CONTADOR]","Por el registro de la factura "&amp;Registro_Compras!$C$320&amp;" de "&amp;Registro_Compras!$E$320)))</f>
        <v/>
      </c>
      <c r="H2850">
        <f>IF($C2850="","",Registro_Compras!$C$320)</f>
        <v/>
      </c>
    </row>
    <row r="2851">
      <c r="A2851" s="25">
        <f>IF($C2851="","",Registro_Compras!$B$320)</f>
        <v/>
      </c>
      <c r="B2851">
        <f>IF($C2851="","","C"&amp;TEXT(INT((ROW()-5)/9)+1,"000")&amp;"-1")</f>
        <v/>
      </c>
      <c r="C2851">
        <f>IF(OR(Registro_Compras!$C$320="",Registro_Compras!$O$320=""),"",IF(Registro_Compras!$F$320="NOTA DE CREDITO",IF(Registro_Compras!$K$320=0,"","40111"),"4212"))</f>
        <v/>
      </c>
      <c r="D2851">
        <f>IF(OR(Registro_Compras!$C$320="",Registro_Compras!$O$320=""),"",IF(Registro_Compras!$F$320="NOTA DE CREDITO","IGV - Cuenta Propia (Credito Fiscal)","Cuentas por Pagar Comerciales - Terceros (Emitidas)"))</f>
        <v/>
      </c>
      <c r="E2851" s="20">
        <f>""</f>
        <v/>
      </c>
      <c r="F2851" s="20">
        <f>IF($C2851="","",IF(Registro_Compras!$F$320="NOTA DE CREDITO",ROUND(ABS(Registro_Compras!$K$320*Registro_Compras!$N$320),2),IF(Registro_Compras!$F$320="RHE",(ROUND(Registro_Compras!$L$320*Registro_Compras!$N$320,2)-ROUND(Registro_Compras!$V$320*Registro_Compras!$N$320,2)),Registro_Compras!$O$320)))</f>
        <v/>
      </c>
      <c r="G2851">
        <f>IF($C2851="","",IF(Registro_Compras!$F$320="NOTA DE CREDITO","Por la nota de credito "&amp;Registro_Compras!$C$320&amp;" de "&amp;Registro_Compras!$E$320&amp;" [PATRON POR CONFIRMAR CON CONTADOR]",IF(Registro_Compras!$F$320="RHE","Por el registro del recibo por honorarios "&amp;Registro_Compras!$C$320&amp;" de "&amp;Registro_Compras!$E$320&amp;" [PATRON POR CONFIRMAR CON CONTADOR]","Por el registro de la factura "&amp;Registro_Compras!$C$320&amp;" de "&amp;Registro_Compras!$E$320)))</f>
        <v/>
      </c>
      <c r="H2851">
        <f>IF($C2851="","",Registro_Compras!$C$320)</f>
        <v/>
      </c>
    </row>
    <row r="2852">
      <c r="A2852" s="25">
        <f>IF($C2852="","",Registro_Compras!$B$320)</f>
        <v/>
      </c>
      <c r="B2852">
        <f>IF($C2852="","","C"&amp;TEXT(INT((ROW()-5)/9)+1,"000")&amp;"-2")</f>
        <v/>
      </c>
      <c r="C2852">
        <f>IF(OR(Registro_Compras!$C$320="",Registro_Compras!$O$320=""),"",IF(Registro_Compras!$AB$320="ADMINISTRATIVO","94","95"))</f>
        <v/>
      </c>
      <c r="D2852">
        <f>IF(OR(Registro_Compras!$C$320="",Registro_Compras!$O$320=""),"",IF(Registro_Compras!$AB$320="ADMINISTRATIVO","Gastos Administrativos","Gastos de Venta y Operacion"))</f>
        <v/>
      </c>
      <c r="E2852" s="20">
        <f>IF($C2852="","",IF(Registro_Compras!$F$320="NOTA DE CREDITO","",IF(Registro_Compras!$F$320="RHE",ROUND(Registro_Compras!$L$320*Registro_Compras!$N$320,2),ROUND(Registro_Compras!$J$320*Registro_Compras!$N$320,2))))</f>
        <v/>
      </c>
      <c r="F2852" s="20">
        <f>IF($C2852="","",IF(Registro_Compras!$F$320="NOTA DE CREDITO",ROUND(ABS(Registro_Compras!$J$320*Registro_Compras!$N$320),2),""))</f>
        <v/>
      </c>
      <c r="G2852">
        <f>IF($C2852="","","Por el destino del gasto")</f>
        <v/>
      </c>
      <c r="H2852">
        <f>IF($C2852="","",Registro_Compras!$C$320)</f>
        <v/>
      </c>
    </row>
    <row r="2853">
      <c r="A2853" s="25">
        <f>IF($C2853="","",Registro_Compras!$B$320)</f>
        <v/>
      </c>
      <c r="B2853">
        <f>IF($C2853="","","C"&amp;TEXT(INT((ROW()-5)/9)+1,"000")&amp;"-2")</f>
        <v/>
      </c>
      <c r="C2853">
        <f>IF(OR(Registro_Compras!$C$320="",Registro_Compras!$O$320=""),"","79/791")</f>
        <v/>
      </c>
      <c r="D2853">
        <f>IF(OR(Registro_Compras!$C$320="",Registro_Compras!$O$320=""),"","Cargas Imputables a Cuentas de Costos y Gastos")</f>
        <v/>
      </c>
      <c r="E2853" s="20">
        <f>IF($C2853="","",IF(Registro_Compras!$F$320="NOTA DE CREDITO",ROUND(ABS(Registro_Compras!$J$320*Registro_Compras!$N$320),2),""))</f>
        <v/>
      </c>
      <c r="F2853" s="20">
        <f>IF($C2853="","",IF(Registro_Compras!$F$320="NOTA DE CREDITO","",IF(Registro_Compras!$F$320="RHE",ROUND(Registro_Compras!$L$320*Registro_Compras!$N$320,2),ROUND(Registro_Compras!$J$320*Registro_Compras!$N$320,2))))</f>
        <v/>
      </c>
      <c r="G2853">
        <f>IF($C2853="","","Por el destino del gasto")</f>
        <v/>
      </c>
      <c r="H2853">
        <f>IF($C2853="","",Registro_Compras!$C$320)</f>
        <v/>
      </c>
    </row>
    <row r="2854">
      <c r="A2854" s="25">
        <f>IF($C2854="","",Registro_Compras!$X$320)</f>
        <v/>
      </c>
      <c r="B2854">
        <f>IF($C2854="","","C"&amp;TEXT(INT((ROW()-5)/9)+1,"000")&amp;"-3")</f>
        <v/>
      </c>
      <c r="C2854">
        <f>IF(OR(Registro_Compras!$C$320="",Registro_Compras!$O$320="",Registro_Compras!$R$320&lt;&gt;"SI",Registro_Compras!$X$320=""),"","4212")</f>
        <v/>
      </c>
      <c r="D2854">
        <f>IF(OR(Registro_Compras!$C$320="",Registro_Compras!$O$320=""),"","Cuentas por Pagar Comerciales - Terceros")</f>
        <v/>
      </c>
      <c r="E2854" s="20">
        <f>IF($C2854="","",Registro_Compras!$S$320)</f>
        <v/>
      </c>
      <c r="F2854" s="20">
        <f>""</f>
        <v/>
      </c>
      <c r="G2854">
        <f>IF($C2854="","","Por el deposito de la detraccion en el Banco de la Nacion")</f>
        <v/>
      </c>
      <c r="H2854">
        <f>IF($C2854="","",Registro_Compras!$C$320)</f>
        <v/>
      </c>
    </row>
    <row r="2855">
      <c r="A2855" s="25">
        <f>IF($C2855="","",Registro_Compras!$X$320)</f>
        <v/>
      </c>
      <c r="B2855">
        <f>IF($C2855="","","C"&amp;TEXT(INT((ROW()-5)/9)+1,"000")&amp;"-3")</f>
        <v/>
      </c>
      <c r="C2855">
        <f>IF(OR(Registro_Compras!$C$320="",Registro_Compras!$O$320="",Registro_Compras!$R$320&lt;&gt;"SI",Registro_Compras!$X$320=""),"","10413")</f>
        <v/>
      </c>
      <c r="D2855">
        <f>IF(OR(Registro_Compras!$C$320="",Registro_Compras!$O$320=""),"","Efectivo y Equivalentes - Cta. Cte. Operativa")</f>
        <v/>
      </c>
      <c r="E2855" s="20">
        <f>""</f>
        <v/>
      </c>
      <c r="F2855" s="20">
        <f>IF($C2855="","",Registro_Compras!$S$320)</f>
        <v/>
      </c>
      <c r="G2855">
        <f>IF($C2855="","","Por el deposito de la detraccion en el Banco de la Nacion")</f>
        <v/>
      </c>
      <c r="H2855">
        <f>IF($C2855="","",Registro_Compras!$C$320)</f>
        <v/>
      </c>
    </row>
    <row r="2856">
      <c r="A2856" s="25">
        <f>IF($C2856="","",Registro_Compras!$Y$320)</f>
        <v/>
      </c>
      <c r="B2856">
        <f>IF($C2856="","","C"&amp;TEXT(INT((ROW()-5)/9)+1,"000")&amp;"-4")</f>
        <v/>
      </c>
      <c r="C2856">
        <f>IF(OR(Registro_Compras!$C$320="",Registro_Compras!$O$320="",Registro_Compras!$Y$320="",Registro_Compras!$F$320="NOTA DE CREDITO"),"","4212")</f>
        <v/>
      </c>
      <c r="D2856">
        <f>IF(OR(Registro_Compras!$C$320="",Registro_Compras!$O$320=""),"","Cuentas por Pagar Comerciales - Terceros")</f>
        <v/>
      </c>
      <c r="E2856" s="20">
        <f>IF($C2856="","",IF(Registro_Compras!$F$320="RHE",(ROUND(Registro_Compras!$L$320*Registro_Compras!$N$320,2)-ROUND(Registro_Compras!$V$320*Registro_Compras!$N$320,2)),ROUND(Registro_Compras!$O$320-Registro_Compras!$S$320,2)))</f>
        <v/>
      </c>
      <c r="F2856" s="20">
        <f>""</f>
        <v/>
      </c>
      <c r="G2856">
        <f>IF($C2856="","","Por la cancelacion del saldo al proveedor")</f>
        <v/>
      </c>
      <c r="H2856">
        <f>IF($C2856="","",Registro_Compras!$C$320)</f>
        <v/>
      </c>
    </row>
    <row r="2857">
      <c r="A2857" s="25">
        <f>IF($C2857="","",Registro_Compras!$Y$320)</f>
        <v/>
      </c>
      <c r="B2857">
        <f>IF($C2857="","","C"&amp;TEXT(INT((ROW()-5)/9)+1,"000")&amp;"-4")</f>
        <v/>
      </c>
      <c r="C2857">
        <f>IF(OR(Registro_Compras!$C$320="",Registro_Compras!$O$320="",Registro_Compras!$Y$320="",Registro_Compras!$F$320="NOTA DE CREDITO"),"","10413")</f>
        <v/>
      </c>
      <c r="D2857">
        <f>IF(OR(Registro_Compras!$C$320="",Registro_Compras!$O$320=""),"","Efectivo y Equivalentes - Cta. Cte. Operativa")</f>
        <v/>
      </c>
      <c r="E2857" s="20">
        <f>""</f>
        <v/>
      </c>
      <c r="F2857" s="20">
        <f>IF($C2857="","",IF(Registro_Compras!$F$320="RHE",(ROUND(Registro_Compras!$L$320*Registro_Compras!$N$320,2)-ROUND(Registro_Compras!$V$320*Registro_Compras!$N$320,2)),ROUND(Registro_Compras!$O$320-Registro_Compras!$S$320,2)))</f>
        <v/>
      </c>
      <c r="G2857">
        <f>IF($C2857="","","Por la cancelacion del saldo al proveedor")</f>
        <v/>
      </c>
      <c r="H2857">
        <f>IF($C2857="","",Registro_Compras!$C$320)</f>
        <v/>
      </c>
    </row>
    <row r="2858">
      <c r="A2858" s="25">
        <f>IF($C2858="","",Registro_Compras!$B$321)</f>
        <v/>
      </c>
      <c r="B2858">
        <f>IF($C2858="","","C"&amp;TEXT(INT((ROW()-5)/9)+1,"000")&amp;"-1")</f>
        <v/>
      </c>
      <c r="C2858">
        <f>IF(OR(Registro_Compras!$C$321="",Registro_Compras!$O$321=""),"",IF(Registro_Compras!$F$321="NOTA DE CREDITO","4212",IF(Registro_Compras!$M$321="","63",Registro_Compras!$M$321)))</f>
        <v/>
      </c>
      <c r="D2858">
        <f>IF(OR(Registro_Compras!$C$321="",Registro_Compras!$O$321=""),"",IF(Registro_Compras!$F$321="NOTA DE CREDITO","Cuentas por Pagar Comerciales - Terceros (Emitidas)",IF(Registro_Compras!$F$321="RHE","Honorarios Profesionales - Servicios de Terceros","Gastos de Servicios Prestados por Terceros")))</f>
        <v/>
      </c>
      <c r="E2858" s="20">
        <f>IF($C2858="","",IF(Registro_Compras!$F$321="NOTA DE CREDITO",ABS(Registro_Compras!$O$321),IF(Registro_Compras!$F$321="RHE",ROUND(Registro_Compras!$L$321*Registro_Compras!$N$321,2),ROUND(Registro_Compras!$J$321*Registro_Compras!$N$321,2))))</f>
        <v/>
      </c>
      <c r="F2858" s="20">
        <f>""</f>
        <v/>
      </c>
      <c r="G2858">
        <f>IF($C2858="","",IF(Registro_Compras!$F$321="NOTA DE CREDITO","Por la nota de credito "&amp;Registro_Compras!$C$321&amp;" de "&amp;Registro_Compras!$E$321&amp;" [PATRON POR CONFIRMAR CON CONTADOR]",IF(Registro_Compras!$F$321="RHE","Por el registro del recibo por honorarios "&amp;Registro_Compras!$C$321&amp;" de "&amp;Registro_Compras!$E$321&amp;" [PATRON POR CONFIRMAR CON CONTADOR]","Por el registro de la factura "&amp;Registro_Compras!$C$321&amp;" de "&amp;Registro_Compras!$E$321)))</f>
        <v/>
      </c>
      <c r="H2858">
        <f>IF($C2858="","",Registro_Compras!$C$321)</f>
        <v/>
      </c>
    </row>
    <row r="2859">
      <c r="A2859" s="25">
        <f>IF($C2859="","",Registro_Compras!$B$321)</f>
        <v/>
      </c>
      <c r="B2859">
        <f>IF($C2859="","","C"&amp;TEXT(INT((ROW()-5)/9)+1,"000")&amp;"-1")</f>
        <v/>
      </c>
      <c r="C2859">
        <f>IF(OR(Registro_Compras!$C$321="",Registro_Compras!$O$321=""),"",IF(Registro_Compras!$F$321="RHE",IF(Registro_Compras!$V$321=0,"","40172"),IF(Registro_Compras!$F$321="NOTA DE CREDITO",IF(Registro_Compras!$M$321="","63",Registro_Compras!$M$321),IF(Registro_Compras!$K$321=0,"","40111"))))</f>
        <v/>
      </c>
      <c r="D2859">
        <f>IF(OR(Registro_Compras!$C$321="",Registro_Compras!$O$321=""),"",IF(Registro_Compras!$F$321="RHE","Retencion Renta 4ta Categoria por Pagar",IF(Registro_Compras!$F$321="NOTA DE CREDITO","Gastos de Servicios Prestados por Terceros","IGV - Cuenta Propia (Credito Fiscal)")))</f>
        <v/>
      </c>
      <c r="E2859" s="20">
        <f>IF($C2859="","",IF(Registro_Compras!$F$321="FACTURA",ROUND(Registro_Compras!$K$321*Registro_Compras!$N$321,2),""))</f>
        <v/>
      </c>
      <c r="F2859" s="20">
        <f>IF($C2859="","",IF(Registro_Compras!$F$321="RHE",ROUND(Registro_Compras!$V$321*Registro_Compras!$N$321,2),IF(Registro_Compras!$F$321="NOTA DE CREDITO",ROUND(ABS(Registro_Compras!$J$321*Registro_Compras!$N$321),2),"")))</f>
        <v/>
      </c>
      <c r="G2859">
        <f>IF($C2859="","",IF(Registro_Compras!$F$321="NOTA DE CREDITO","Por la nota de credito "&amp;Registro_Compras!$C$321&amp;" de "&amp;Registro_Compras!$E$321&amp;" [PATRON POR CONFIRMAR CON CONTADOR]",IF(Registro_Compras!$F$321="RHE","Por el registro del recibo por honorarios "&amp;Registro_Compras!$C$321&amp;" de "&amp;Registro_Compras!$E$321&amp;" [PATRON POR CONFIRMAR CON CONTADOR]","Por el registro de la factura "&amp;Registro_Compras!$C$321&amp;" de "&amp;Registro_Compras!$E$321)))</f>
        <v/>
      </c>
      <c r="H2859">
        <f>IF($C2859="","",Registro_Compras!$C$321)</f>
        <v/>
      </c>
    </row>
    <row r="2860">
      <c r="A2860" s="25">
        <f>IF($C2860="","",Registro_Compras!$B$321)</f>
        <v/>
      </c>
      <c r="B2860">
        <f>IF($C2860="","","C"&amp;TEXT(INT((ROW()-5)/9)+1,"000")&amp;"-1")</f>
        <v/>
      </c>
      <c r="C2860">
        <f>IF(OR(Registro_Compras!$C$321="",Registro_Compras!$O$321=""),"",IF(Registro_Compras!$F$321="NOTA DE CREDITO",IF(Registro_Compras!$K$321=0,"","40111"),"4212"))</f>
        <v/>
      </c>
      <c r="D2860">
        <f>IF(OR(Registro_Compras!$C$321="",Registro_Compras!$O$321=""),"",IF(Registro_Compras!$F$321="NOTA DE CREDITO","IGV - Cuenta Propia (Credito Fiscal)","Cuentas por Pagar Comerciales - Terceros (Emitidas)"))</f>
        <v/>
      </c>
      <c r="E2860" s="20">
        <f>""</f>
        <v/>
      </c>
      <c r="F2860" s="20">
        <f>IF($C2860="","",IF(Registro_Compras!$F$321="NOTA DE CREDITO",ROUND(ABS(Registro_Compras!$K$321*Registro_Compras!$N$321),2),IF(Registro_Compras!$F$321="RHE",(ROUND(Registro_Compras!$L$321*Registro_Compras!$N$321,2)-ROUND(Registro_Compras!$V$321*Registro_Compras!$N$321,2)),Registro_Compras!$O$321)))</f>
        <v/>
      </c>
      <c r="G2860">
        <f>IF($C2860="","",IF(Registro_Compras!$F$321="NOTA DE CREDITO","Por la nota de credito "&amp;Registro_Compras!$C$321&amp;" de "&amp;Registro_Compras!$E$321&amp;" [PATRON POR CONFIRMAR CON CONTADOR]",IF(Registro_Compras!$F$321="RHE","Por el registro del recibo por honorarios "&amp;Registro_Compras!$C$321&amp;" de "&amp;Registro_Compras!$E$321&amp;" [PATRON POR CONFIRMAR CON CONTADOR]","Por el registro de la factura "&amp;Registro_Compras!$C$321&amp;" de "&amp;Registro_Compras!$E$321)))</f>
        <v/>
      </c>
      <c r="H2860">
        <f>IF($C2860="","",Registro_Compras!$C$321)</f>
        <v/>
      </c>
    </row>
    <row r="2861">
      <c r="A2861" s="25">
        <f>IF($C2861="","",Registro_Compras!$B$321)</f>
        <v/>
      </c>
      <c r="B2861">
        <f>IF($C2861="","","C"&amp;TEXT(INT((ROW()-5)/9)+1,"000")&amp;"-2")</f>
        <v/>
      </c>
      <c r="C2861">
        <f>IF(OR(Registro_Compras!$C$321="",Registro_Compras!$O$321=""),"",IF(Registro_Compras!$AB$321="ADMINISTRATIVO","94","95"))</f>
        <v/>
      </c>
      <c r="D2861">
        <f>IF(OR(Registro_Compras!$C$321="",Registro_Compras!$O$321=""),"",IF(Registro_Compras!$AB$321="ADMINISTRATIVO","Gastos Administrativos","Gastos de Venta y Operacion"))</f>
        <v/>
      </c>
      <c r="E2861" s="20">
        <f>IF($C2861="","",IF(Registro_Compras!$F$321="NOTA DE CREDITO","",IF(Registro_Compras!$F$321="RHE",ROUND(Registro_Compras!$L$321*Registro_Compras!$N$321,2),ROUND(Registro_Compras!$J$321*Registro_Compras!$N$321,2))))</f>
        <v/>
      </c>
      <c r="F2861" s="20">
        <f>IF($C2861="","",IF(Registro_Compras!$F$321="NOTA DE CREDITO",ROUND(ABS(Registro_Compras!$J$321*Registro_Compras!$N$321),2),""))</f>
        <v/>
      </c>
      <c r="G2861">
        <f>IF($C2861="","","Por el destino del gasto")</f>
        <v/>
      </c>
      <c r="H2861">
        <f>IF($C2861="","",Registro_Compras!$C$321)</f>
        <v/>
      </c>
    </row>
    <row r="2862">
      <c r="A2862" s="25">
        <f>IF($C2862="","",Registro_Compras!$B$321)</f>
        <v/>
      </c>
      <c r="B2862">
        <f>IF($C2862="","","C"&amp;TEXT(INT((ROW()-5)/9)+1,"000")&amp;"-2")</f>
        <v/>
      </c>
      <c r="C2862">
        <f>IF(OR(Registro_Compras!$C$321="",Registro_Compras!$O$321=""),"","79/791")</f>
        <v/>
      </c>
      <c r="D2862">
        <f>IF(OR(Registro_Compras!$C$321="",Registro_Compras!$O$321=""),"","Cargas Imputables a Cuentas de Costos y Gastos")</f>
        <v/>
      </c>
      <c r="E2862" s="20">
        <f>IF($C2862="","",IF(Registro_Compras!$F$321="NOTA DE CREDITO",ROUND(ABS(Registro_Compras!$J$321*Registro_Compras!$N$321),2),""))</f>
        <v/>
      </c>
      <c r="F2862" s="20">
        <f>IF($C2862="","",IF(Registro_Compras!$F$321="NOTA DE CREDITO","",IF(Registro_Compras!$F$321="RHE",ROUND(Registro_Compras!$L$321*Registro_Compras!$N$321,2),ROUND(Registro_Compras!$J$321*Registro_Compras!$N$321,2))))</f>
        <v/>
      </c>
      <c r="G2862">
        <f>IF($C2862="","","Por el destino del gasto")</f>
        <v/>
      </c>
      <c r="H2862">
        <f>IF($C2862="","",Registro_Compras!$C$321)</f>
        <v/>
      </c>
    </row>
    <row r="2863">
      <c r="A2863" s="25">
        <f>IF($C2863="","",Registro_Compras!$X$321)</f>
        <v/>
      </c>
      <c r="B2863">
        <f>IF($C2863="","","C"&amp;TEXT(INT((ROW()-5)/9)+1,"000")&amp;"-3")</f>
        <v/>
      </c>
      <c r="C2863">
        <f>IF(OR(Registro_Compras!$C$321="",Registro_Compras!$O$321="",Registro_Compras!$R$321&lt;&gt;"SI",Registro_Compras!$X$321=""),"","4212")</f>
        <v/>
      </c>
      <c r="D2863">
        <f>IF(OR(Registro_Compras!$C$321="",Registro_Compras!$O$321=""),"","Cuentas por Pagar Comerciales - Terceros")</f>
        <v/>
      </c>
      <c r="E2863" s="20">
        <f>IF($C2863="","",Registro_Compras!$S$321)</f>
        <v/>
      </c>
      <c r="F2863" s="20">
        <f>""</f>
        <v/>
      </c>
      <c r="G2863">
        <f>IF($C2863="","","Por el deposito de la detraccion en el Banco de la Nacion")</f>
        <v/>
      </c>
      <c r="H2863">
        <f>IF($C2863="","",Registro_Compras!$C$321)</f>
        <v/>
      </c>
    </row>
    <row r="2864">
      <c r="A2864" s="25">
        <f>IF($C2864="","",Registro_Compras!$X$321)</f>
        <v/>
      </c>
      <c r="B2864">
        <f>IF($C2864="","","C"&amp;TEXT(INT((ROW()-5)/9)+1,"000")&amp;"-3")</f>
        <v/>
      </c>
      <c r="C2864">
        <f>IF(OR(Registro_Compras!$C$321="",Registro_Compras!$O$321="",Registro_Compras!$R$321&lt;&gt;"SI",Registro_Compras!$X$321=""),"","10413")</f>
        <v/>
      </c>
      <c r="D2864">
        <f>IF(OR(Registro_Compras!$C$321="",Registro_Compras!$O$321=""),"","Efectivo y Equivalentes - Cta. Cte. Operativa")</f>
        <v/>
      </c>
      <c r="E2864" s="20">
        <f>""</f>
        <v/>
      </c>
      <c r="F2864" s="20">
        <f>IF($C2864="","",Registro_Compras!$S$321)</f>
        <v/>
      </c>
      <c r="G2864">
        <f>IF($C2864="","","Por el deposito de la detraccion en el Banco de la Nacion")</f>
        <v/>
      </c>
      <c r="H2864">
        <f>IF($C2864="","",Registro_Compras!$C$321)</f>
        <v/>
      </c>
    </row>
    <row r="2865">
      <c r="A2865" s="25">
        <f>IF($C2865="","",Registro_Compras!$Y$321)</f>
        <v/>
      </c>
      <c r="B2865">
        <f>IF($C2865="","","C"&amp;TEXT(INT((ROW()-5)/9)+1,"000")&amp;"-4")</f>
        <v/>
      </c>
      <c r="C2865">
        <f>IF(OR(Registro_Compras!$C$321="",Registro_Compras!$O$321="",Registro_Compras!$Y$321="",Registro_Compras!$F$321="NOTA DE CREDITO"),"","4212")</f>
        <v/>
      </c>
      <c r="D2865">
        <f>IF(OR(Registro_Compras!$C$321="",Registro_Compras!$O$321=""),"","Cuentas por Pagar Comerciales - Terceros")</f>
        <v/>
      </c>
      <c r="E2865" s="20">
        <f>IF($C2865="","",IF(Registro_Compras!$F$321="RHE",(ROUND(Registro_Compras!$L$321*Registro_Compras!$N$321,2)-ROUND(Registro_Compras!$V$321*Registro_Compras!$N$321,2)),ROUND(Registro_Compras!$O$321-Registro_Compras!$S$321,2)))</f>
        <v/>
      </c>
      <c r="F2865" s="20">
        <f>""</f>
        <v/>
      </c>
      <c r="G2865">
        <f>IF($C2865="","","Por la cancelacion del saldo al proveedor")</f>
        <v/>
      </c>
      <c r="H2865">
        <f>IF($C2865="","",Registro_Compras!$C$321)</f>
        <v/>
      </c>
    </row>
    <row r="2866">
      <c r="A2866" s="25">
        <f>IF($C2866="","",Registro_Compras!$Y$321)</f>
        <v/>
      </c>
      <c r="B2866">
        <f>IF($C2866="","","C"&amp;TEXT(INT((ROW()-5)/9)+1,"000")&amp;"-4")</f>
        <v/>
      </c>
      <c r="C2866">
        <f>IF(OR(Registro_Compras!$C$321="",Registro_Compras!$O$321="",Registro_Compras!$Y$321="",Registro_Compras!$F$321="NOTA DE CREDITO"),"","10413")</f>
        <v/>
      </c>
      <c r="D2866">
        <f>IF(OR(Registro_Compras!$C$321="",Registro_Compras!$O$321=""),"","Efectivo y Equivalentes - Cta. Cte. Operativa")</f>
        <v/>
      </c>
      <c r="E2866" s="20">
        <f>""</f>
        <v/>
      </c>
      <c r="F2866" s="20">
        <f>IF($C2866="","",IF(Registro_Compras!$F$321="RHE",(ROUND(Registro_Compras!$L$321*Registro_Compras!$N$321,2)-ROUND(Registro_Compras!$V$321*Registro_Compras!$N$321,2)),ROUND(Registro_Compras!$O$321-Registro_Compras!$S$321,2)))</f>
        <v/>
      </c>
      <c r="G2866">
        <f>IF($C2866="","","Por la cancelacion del saldo al proveedor")</f>
        <v/>
      </c>
      <c r="H2866">
        <f>IF($C2866="","",Registro_Compras!$C$321)</f>
        <v/>
      </c>
    </row>
    <row r="2867">
      <c r="A2867" s="25">
        <f>IF($C2867="","",Registro_Compras!$B$322)</f>
        <v/>
      </c>
      <c r="B2867">
        <f>IF($C2867="","","C"&amp;TEXT(INT((ROW()-5)/9)+1,"000")&amp;"-1")</f>
        <v/>
      </c>
      <c r="C2867">
        <f>IF(OR(Registro_Compras!$C$322="",Registro_Compras!$O$322=""),"",IF(Registro_Compras!$F$322="NOTA DE CREDITO","4212",IF(Registro_Compras!$M$322="","63",Registro_Compras!$M$322)))</f>
        <v/>
      </c>
      <c r="D2867">
        <f>IF(OR(Registro_Compras!$C$322="",Registro_Compras!$O$322=""),"",IF(Registro_Compras!$F$322="NOTA DE CREDITO","Cuentas por Pagar Comerciales - Terceros (Emitidas)",IF(Registro_Compras!$F$322="RHE","Honorarios Profesionales - Servicios de Terceros","Gastos de Servicios Prestados por Terceros")))</f>
        <v/>
      </c>
      <c r="E2867" s="20">
        <f>IF($C2867="","",IF(Registro_Compras!$F$322="NOTA DE CREDITO",ABS(Registro_Compras!$O$322),IF(Registro_Compras!$F$322="RHE",ROUND(Registro_Compras!$L$322*Registro_Compras!$N$322,2),ROUND(Registro_Compras!$J$322*Registro_Compras!$N$322,2))))</f>
        <v/>
      </c>
      <c r="F2867" s="20">
        <f>""</f>
        <v/>
      </c>
      <c r="G2867">
        <f>IF($C2867="","",IF(Registro_Compras!$F$322="NOTA DE CREDITO","Por la nota de credito "&amp;Registro_Compras!$C$322&amp;" de "&amp;Registro_Compras!$E$322&amp;" [PATRON POR CONFIRMAR CON CONTADOR]",IF(Registro_Compras!$F$322="RHE","Por el registro del recibo por honorarios "&amp;Registro_Compras!$C$322&amp;" de "&amp;Registro_Compras!$E$322&amp;" [PATRON POR CONFIRMAR CON CONTADOR]","Por el registro de la factura "&amp;Registro_Compras!$C$322&amp;" de "&amp;Registro_Compras!$E$322)))</f>
        <v/>
      </c>
      <c r="H2867">
        <f>IF($C2867="","",Registro_Compras!$C$322)</f>
        <v/>
      </c>
    </row>
    <row r="2868">
      <c r="A2868" s="25">
        <f>IF($C2868="","",Registro_Compras!$B$322)</f>
        <v/>
      </c>
      <c r="B2868">
        <f>IF($C2868="","","C"&amp;TEXT(INT((ROW()-5)/9)+1,"000")&amp;"-1")</f>
        <v/>
      </c>
      <c r="C2868">
        <f>IF(OR(Registro_Compras!$C$322="",Registro_Compras!$O$322=""),"",IF(Registro_Compras!$F$322="RHE",IF(Registro_Compras!$V$322=0,"","40172"),IF(Registro_Compras!$F$322="NOTA DE CREDITO",IF(Registro_Compras!$M$322="","63",Registro_Compras!$M$322),IF(Registro_Compras!$K$322=0,"","40111"))))</f>
        <v/>
      </c>
      <c r="D2868">
        <f>IF(OR(Registro_Compras!$C$322="",Registro_Compras!$O$322=""),"",IF(Registro_Compras!$F$322="RHE","Retencion Renta 4ta Categoria por Pagar",IF(Registro_Compras!$F$322="NOTA DE CREDITO","Gastos de Servicios Prestados por Terceros","IGV - Cuenta Propia (Credito Fiscal)")))</f>
        <v/>
      </c>
      <c r="E2868" s="20">
        <f>IF($C2868="","",IF(Registro_Compras!$F$322="FACTURA",ROUND(Registro_Compras!$K$322*Registro_Compras!$N$322,2),""))</f>
        <v/>
      </c>
      <c r="F2868" s="20">
        <f>IF($C2868="","",IF(Registro_Compras!$F$322="RHE",ROUND(Registro_Compras!$V$322*Registro_Compras!$N$322,2),IF(Registro_Compras!$F$322="NOTA DE CREDITO",ROUND(ABS(Registro_Compras!$J$322*Registro_Compras!$N$322),2),"")))</f>
        <v/>
      </c>
      <c r="G2868">
        <f>IF($C2868="","",IF(Registro_Compras!$F$322="NOTA DE CREDITO","Por la nota de credito "&amp;Registro_Compras!$C$322&amp;" de "&amp;Registro_Compras!$E$322&amp;" [PATRON POR CONFIRMAR CON CONTADOR]",IF(Registro_Compras!$F$322="RHE","Por el registro del recibo por honorarios "&amp;Registro_Compras!$C$322&amp;" de "&amp;Registro_Compras!$E$322&amp;" [PATRON POR CONFIRMAR CON CONTADOR]","Por el registro de la factura "&amp;Registro_Compras!$C$322&amp;" de "&amp;Registro_Compras!$E$322)))</f>
        <v/>
      </c>
      <c r="H2868">
        <f>IF($C2868="","",Registro_Compras!$C$322)</f>
        <v/>
      </c>
    </row>
    <row r="2869">
      <c r="A2869" s="25">
        <f>IF($C2869="","",Registro_Compras!$B$322)</f>
        <v/>
      </c>
      <c r="B2869">
        <f>IF($C2869="","","C"&amp;TEXT(INT((ROW()-5)/9)+1,"000")&amp;"-1")</f>
        <v/>
      </c>
      <c r="C2869">
        <f>IF(OR(Registro_Compras!$C$322="",Registro_Compras!$O$322=""),"",IF(Registro_Compras!$F$322="NOTA DE CREDITO",IF(Registro_Compras!$K$322=0,"","40111"),"4212"))</f>
        <v/>
      </c>
      <c r="D2869">
        <f>IF(OR(Registro_Compras!$C$322="",Registro_Compras!$O$322=""),"",IF(Registro_Compras!$F$322="NOTA DE CREDITO","IGV - Cuenta Propia (Credito Fiscal)","Cuentas por Pagar Comerciales - Terceros (Emitidas)"))</f>
        <v/>
      </c>
      <c r="E2869" s="20">
        <f>""</f>
        <v/>
      </c>
      <c r="F2869" s="20">
        <f>IF($C2869="","",IF(Registro_Compras!$F$322="NOTA DE CREDITO",ROUND(ABS(Registro_Compras!$K$322*Registro_Compras!$N$322),2),IF(Registro_Compras!$F$322="RHE",(ROUND(Registro_Compras!$L$322*Registro_Compras!$N$322,2)-ROUND(Registro_Compras!$V$322*Registro_Compras!$N$322,2)),Registro_Compras!$O$322)))</f>
        <v/>
      </c>
      <c r="G2869">
        <f>IF($C2869="","",IF(Registro_Compras!$F$322="NOTA DE CREDITO","Por la nota de credito "&amp;Registro_Compras!$C$322&amp;" de "&amp;Registro_Compras!$E$322&amp;" [PATRON POR CONFIRMAR CON CONTADOR]",IF(Registro_Compras!$F$322="RHE","Por el registro del recibo por honorarios "&amp;Registro_Compras!$C$322&amp;" de "&amp;Registro_Compras!$E$322&amp;" [PATRON POR CONFIRMAR CON CONTADOR]","Por el registro de la factura "&amp;Registro_Compras!$C$322&amp;" de "&amp;Registro_Compras!$E$322)))</f>
        <v/>
      </c>
      <c r="H2869">
        <f>IF($C2869="","",Registro_Compras!$C$322)</f>
        <v/>
      </c>
    </row>
    <row r="2870">
      <c r="A2870" s="25">
        <f>IF($C2870="","",Registro_Compras!$B$322)</f>
        <v/>
      </c>
      <c r="B2870">
        <f>IF($C2870="","","C"&amp;TEXT(INT((ROW()-5)/9)+1,"000")&amp;"-2")</f>
        <v/>
      </c>
      <c r="C2870">
        <f>IF(OR(Registro_Compras!$C$322="",Registro_Compras!$O$322=""),"",IF(Registro_Compras!$AB$322="ADMINISTRATIVO","94","95"))</f>
        <v/>
      </c>
      <c r="D2870">
        <f>IF(OR(Registro_Compras!$C$322="",Registro_Compras!$O$322=""),"",IF(Registro_Compras!$AB$322="ADMINISTRATIVO","Gastos Administrativos","Gastos de Venta y Operacion"))</f>
        <v/>
      </c>
      <c r="E2870" s="20">
        <f>IF($C2870="","",IF(Registro_Compras!$F$322="NOTA DE CREDITO","",IF(Registro_Compras!$F$322="RHE",ROUND(Registro_Compras!$L$322*Registro_Compras!$N$322,2),ROUND(Registro_Compras!$J$322*Registro_Compras!$N$322,2))))</f>
        <v/>
      </c>
      <c r="F2870" s="20">
        <f>IF($C2870="","",IF(Registro_Compras!$F$322="NOTA DE CREDITO",ROUND(ABS(Registro_Compras!$J$322*Registro_Compras!$N$322),2),""))</f>
        <v/>
      </c>
      <c r="G2870">
        <f>IF($C2870="","","Por el destino del gasto")</f>
        <v/>
      </c>
      <c r="H2870">
        <f>IF($C2870="","",Registro_Compras!$C$322)</f>
        <v/>
      </c>
    </row>
    <row r="2871">
      <c r="A2871" s="25">
        <f>IF($C2871="","",Registro_Compras!$B$322)</f>
        <v/>
      </c>
      <c r="B2871">
        <f>IF($C2871="","","C"&amp;TEXT(INT((ROW()-5)/9)+1,"000")&amp;"-2")</f>
        <v/>
      </c>
      <c r="C2871">
        <f>IF(OR(Registro_Compras!$C$322="",Registro_Compras!$O$322=""),"","79/791")</f>
        <v/>
      </c>
      <c r="D2871">
        <f>IF(OR(Registro_Compras!$C$322="",Registro_Compras!$O$322=""),"","Cargas Imputables a Cuentas de Costos y Gastos")</f>
        <v/>
      </c>
      <c r="E2871" s="20">
        <f>IF($C2871="","",IF(Registro_Compras!$F$322="NOTA DE CREDITO",ROUND(ABS(Registro_Compras!$J$322*Registro_Compras!$N$322),2),""))</f>
        <v/>
      </c>
      <c r="F2871" s="20">
        <f>IF($C2871="","",IF(Registro_Compras!$F$322="NOTA DE CREDITO","",IF(Registro_Compras!$F$322="RHE",ROUND(Registro_Compras!$L$322*Registro_Compras!$N$322,2),ROUND(Registro_Compras!$J$322*Registro_Compras!$N$322,2))))</f>
        <v/>
      </c>
      <c r="G2871">
        <f>IF($C2871="","","Por el destino del gasto")</f>
        <v/>
      </c>
      <c r="H2871">
        <f>IF($C2871="","",Registro_Compras!$C$322)</f>
        <v/>
      </c>
    </row>
    <row r="2872">
      <c r="A2872" s="25">
        <f>IF($C2872="","",Registro_Compras!$X$322)</f>
        <v/>
      </c>
      <c r="B2872">
        <f>IF($C2872="","","C"&amp;TEXT(INT((ROW()-5)/9)+1,"000")&amp;"-3")</f>
        <v/>
      </c>
      <c r="C2872">
        <f>IF(OR(Registro_Compras!$C$322="",Registro_Compras!$O$322="",Registro_Compras!$R$322&lt;&gt;"SI",Registro_Compras!$X$322=""),"","4212")</f>
        <v/>
      </c>
      <c r="D2872">
        <f>IF(OR(Registro_Compras!$C$322="",Registro_Compras!$O$322=""),"","Cuentas por Pagar Comerciales - Terceros")</f>
        <v/>
      </c>
      <c r="E2872" s="20">
        <f>IF($C2872="","",Registro_Compras!$S$322)</f>
        <v/>
      </c>
      <c r="F2872" s="20">
        <f>""</f>
        <v/>
      </c>
      <c r="G2872">
        <f>IF($C2872="","","Por el deposito de la detraccion en el Banco de la Nacion")</f>
        <v/>
      </c>
      <c r="H2872">
        <f>IF($C2872="","",Registro_Compras!$C$322)</f>
        <v/>
      </c>
    </row>
    <row r="2873">
      <c r="A2873" s="25">
        <f>IF($C2873="","",Registro_Compras!$X$322)</f>
        <v/>
      </c>
      <c r="B2873">
        <f>IF($C2873="","","C"&amp;TEXT(INT((ROW()-5)/9)+1,"000")&amp;"-3")</f>
        <v/>
      </c>
      <c r="C2873">
        <f>IF(OR(Registro_Compras!$C$322="",Registro_Compras!$O$322="",Registro_Compras!$R$322&lt;&gt;"SI",Registro_Compras!$X$322=""),"","10413")</f>
        <v/>
      </c>
      <c r="D2873">
        <f>IF(OR(Registro_Compras!$C$322="",Registro_Compras!$O$322=""),"","Efectivo y Equivalentes - Cta. Cte. Operativa")</f>
        <v/>
      </c>
      <c r="E2873" s="20">
        <f>""</f>
        <v/>
      </c>
      <c r="F2873" s="20">
        <f>IF($C2873="","",Registro_Compras!$S$322)</f>
        <v/>
      </c>
      <c r="G2873">
        <f>IF($C2873="","","Por el deposito de la detraccion en el Banco de la Nacion")</f>
        <v/>
      </c>
      <c r="H2873">
        <f>IF($C2873="","",Registro_Compras!$C$322)</f>
        <v/>
      </c>
    </row>
    <row r="2874">
      <c r="A2874" s="25">
        <f>IF($C2874="","",Registro_Compras!$Y$322)</f>
        <v/>
      </c>
      <c r="B2874">
        <f>IF($C2874="","","C"&amp;TEXT(INT((ROW()-5)/9)+1,"000")&amp;"-4")</f>
        <v/>
      </c>
      <c r="C2874">
        <f>IF(OR(Registro_Compras!$C$322="",Registro_Compras!$O$322="",Registro_Compras!$Y$322="",Registro_Compras!$F$322="NOTA DE CREDITO"),"","4212")</f>
        <v/>
      </c>
      <c r="D2874">
        <f>IF(OR(Registro_Compras!$C$322="",Registro_Compras!$O$322=""),"","Cuentas por Pagar Comerciales - Terceros")</f>
        <v/>
      </c>
      <c r="E2874" s="20">
        <f>IF($C2874="","",IF(Registro_Compras!$F$322="RHE",(ROUND(Registro_Compras!$L$322*Registro_Compras!$N$322,2)-ROUND(Registro_Compras!$V$322*Registro_Compras!$N$322,2)),ROUND(Registro_Compras!$O$322-Registro_Compras!$S$322,2)))</f>
        <v/>
      </c>
      <c r="F2874" s="20">
        <f>""</f>
        <v/>
      </c>
      <c r="G2874">
        <f>IF($C2874="","","Por la cancelacion del saldo al proveedor")</f>
        <v/>
      </c>
      <c r="H2874">
        <f>IF($C2874="","",Registro_Compras!$C$322)</f>
        <v/>
      </c>
    </row>
    <row r="2875">
      <c r="A2875" s="25">
        <f>IF($C2875="","",Registro_Compras!$Y$322)</f>
        <v/>
      </c>
      <c r="B2875">
        <f>IF($C2875="","","C"&amp;TEXT(INT((ROW()-5)/9)+1,"000")&amp;"-4")</f>
        <v/>
      </c>
      <c r="C2875">
        <f>IF(OR(Registro_Compras!$C$322="",Registro_Compras!$O$322="",Registro_Compras!$Y$322="",Registro_Compras!$F$322="NOTA DE CREDITO"),"","10413")</f>
        <v/>
      </c>
      <c r="D2875">
        <f>IF(OR(Registro_Compras!$C$322="",Registro_Compras!$O$322=""),"","Efectivo y Equivalentes - Cta. Cte. Operativa")</f>
        <v/>
      </c>
      <c r="E2875" s="20">
        <f>""</f>
        <v/>
      </c>
      <c r="F2875" s="20">
        <f>IF($C2875="","",IF(Registro_Compras!$F$322="RHE",(ROUND(Registro_Compras!$L$322*Registro_Compras!$N$322,2)-ROUND(Registro_Compras!$V$322*Registro_Compras!$N$322,2)),ROUND(Registro_Compras!$O$322-Registro_Compras!$S$322,2)))</f>
        <v/>
      </c>
      <c r="G2875">
        <f>IF($C2875="","","Por la cancelacion del saldo al proveedor")</f>
        <v/>
      </c>
      <c r="H2875">
        <f>IF($C2875="","",Registro_Compras!$C$322)</f>
        <v/>
      </c>
    </row>
    <row r="2876">
      <c r="A2876" s="25">
        <f>IF($C2876="","",Registro_Compras!$B$323)</f>
        <v/>
      </c>
      <c r="B2876">
        <f>IF($C2876="","","C"&amp;TEXT(INT((ROW()-5)/9)+1,"000")&amp;"-1")</f>
        <v/>
      </c>
      <c r="C2876">
        <f>IF(OR(Registro_Compras!$C$323="",Registro_Compras!$O$323=""),"",IF(Registro_Compras!$F$323="NOTA DE CREDITO","4212",IF(Registro_Compras!$M$323="","63",Registro_Compras!$M$323)))</f>
        <v/>
      </c>
      <c r="D2876">
        <f>IF(OR(Registro_Compras!$C$323="",Registro_Compras!$O$323=""),"",IF(Registro_Compras!$F$323="NOTA DE CREDITO","Cuentas por Pagar Comerciales - Terceros (Emitidas)",IF(Registro_Compras!$F$323="RHE","Honorarios Profesionales - Servicios de Terceros","Gastos de Servicios Prestados por Terceros")))</f>
        <v/>
      </c>
      <c r="E2876" s="20">
        <f>IF($C2876="","",IF(Registro_Compras!$F$323="NOTA DE CREDITO",ABS(Registro_Compras!$O$323),IF(Registro_Compras!$F$323="RHE",ROUND(Registro_Compras!$L$323*Registro_Compras!$N$323,2),ROUND(Registro_Compras!$J$323*Registro_Compras!$N$323,2))))</f>
        <v/>
      </c>
      <c r="F2876" s="20">
        <f>""</f>
        <v/>
      </c>
      <c r="G2876">
        <f>IF($C2876="","",IF(Registro_Compras!$F$323="NOTA DE CREDITO","Por la nota de credito "&amp;Registro_Compras!$C$323&amp;" de "&amp;Registro_Compras!$E$323&amp;" [PATRON POR CONFIRMAR CON CONTADOR]",IF(Registro_Compras!$F$323="RHE","Por el registro del recibo por honorarios "&amp;Registro_Compras!$C$323&amp;" de "&amp;Registro_Compras!$E$323&amp;" [PATRON POR CONFIRMAR CON CONTADOR]","Por el registro de la factura "&amp;Registro_Compras!$C$323&amp;" de "&amp;Registro_Compras!$E$323)))</f>
        <v/>
      </c>
      <c r="H2876">
        <f>IF($C2876="","",Registro_Compras!$C$323)</f>
        <v/>
      </c>
    </row>
    <row r="2877">
      <c r="A2877" s="25">
        <f>IF($C2877="","",Registro_Compras!$B$323)</f>
        <v/>
      </c>
      <c r="B2877">
        <f>IF($C2877="","","C"&amp;TEXT(INT((ROW()-5)/9)+1,"000")&amp;"-1")</f>
        <v/>
      </c>
      <c r="C2877">
        <f>IF(OR(Registro_Compras!$C$323="",Registro_Compras!$O$323=""),"",IF(Registro_Compras!$F$323="RHE",IF(Registro_Compras!$V$323=0,"","40172"),IF(Registro_Compras!$F$323="NOTA DE CREDITO",IF(Registro_Compras!$M$323="","63",Registro_Compras!$M$323),IF(Registro_Compras!$K$323=0,"","40111"))))</f>
        <v/>
      </c>
      <c r="D2877">
        <f>IF(OR(Registro_Compras!$C$323="",Registro_Compras!$O$323=""),"",IF(Registro_Compras!$F$323="RHE","Retencion Renta 4ta Categoria por Pagar",IF(Registro_Compras!$F$323="NOTA DE CREDITO","Gastos de Servicios Prestados por Terceros","IGV - Cuenta Propia (Credito Fiscal)")))</f>
        <v/>
      </c>
      <c r="E2877" s="20">
        <f>IF($C2877="","",IF(Registro_Compras!$F$323="FACTURA",ROUND(Registro_Compras!$K$323*Registro_Compras!$N$323,2),""))</f>
        <v/>
      </c>
      <c r="F2877" s="20">
        <f>IF($C2877="","",IF(Registro_Compras!$F$323="RHE",ROUND(Registro_Compras!$V$323*Registro_Compras!$N$323,2),IF(Registro_Compras!$F$323="NOTA DE CREDITO",ROUND(ABS(Registro_Compras!$J$323*Registro_Compras!$N$323),2),"")))</f>
        <v/>
      </c>
      <c r="G2877">
        <f>IF($C2877="","",IF(Registro_Compras!$F$323="NOTA DE CREDITO","Por la nota de credito "&amp;Registro_Compras!$C$323&amp;" de "&amp;Registro_Compras!$E$323&amp;" [PATRON POR CONFIRMAR CON CONTADOR]",IF(Registro_Compras!$F$323="RHE","Por el registro del recibo por honorarios "&amp;Registro_Compras!$C$323&amp;" de "&amp;Registro_Compras!$E$323&amp;" [PATRON POR CONFIRMAR CON CONTADOR]","Por el registro de la factura "&amp;Registro_Compras!$C$323&amp;" de "&amp;Registro_Compras!$E$323)))</f>
        <v/>
      </c>
      <c r="H2877">
        <f>IF($C2877="","",Registro_Compras!$C$323)</f>
        <v/>
      </c>
    </row>
    <row r="2878">
      <c r="A2878" s="25">
        <f>IF($C2878="","",Registro_Compras!$B$323)</f>
        <v/>
      </c>
      <c r="B2878">
        <f>IF($C2878="","","C"&amp;TEXT(INT((ROW()-5)/9)+1,"000")&amp;"-1")</f>
        <v/>
      </c>
      <c r="C2878">
        <f>IF(OR(Registro_Compras!$C$323="",Registro_Compras!$O$323=""),"",IF(Registro_Compras!$F$323="NOTA DE CREDITO",IF(Registro_Compras!$K$323=0,"","40111"),"4212"))</f>
        <v/>
      </c>
      <c r="D2878">
        <f>IF(OR(Registro_Compras!$C$323="",Registro_Compras!$O$323=""),"",IF(Registro_Compras!$F$323="NOTA DE CREDITO","IGV - Cuenta Propia (Credito Fiscal)","Cuentas por Pagar Comerciales - Terceros (Emitidas)"))</f>
        <v/>
      </c>
      <c r="E2878" s="20">
        <f>""</f>
        <v/>
      </c>
      <c r="F2878" s="20">
        <f>IF($C2878="","",IF(Registro_Compras!$F$323="NOTA DE CREDITO",ROUND(ABS(Registro_Compras!$K$323*Registro_Compras!$N$323),2),IF(Registro_Compras!$F$323="RHE",(ROUND(Registro_Compras!$L$323*Registro_Compras!$N$323,2)-ROUND(Registro_Compras!$V$323*Registro_Compras!$N$323,2)),Registro_Compras!$O$323)))</f>
        <v/>
      </c>
      <c r="G2878">
        <f>IF($C2878="","",IF(Registro_Compras!$F$323="NOTA DE CREDITO","Por la nota de credito "&amp;Registro_Compras!$C$323&amp;" de "&amp;Registro_Compras!$E$323&amp;" [PATRON POR CONFIRMAR CON CONTADOR]",IF(Registro_Compras!$F$323="RHE","Por el registro del recibo por honorarios "&amp;Registro_Compras!$C$323&amp;" de "&amp;Registro_Compras!$E$323&amp;" [PATRON POR CONFIRMAR CON CONTADOR]","Por el registro de la factura "&amp;Registro_Compras!$C$323&amp;" de "&amp;Registro_Compras!$E$323)))</f>
        <v/>
      </c>
      <c r="H2878">
        <f>IF($C2878="","",Registro_Compras!$C$323)</f>
        <v/>
      </c>
    </row>
    <row r="2879">
      <c r="A2879" s="25">
        <f>IF($C2879="","",Registro_Compras!$B$323)</f>
        <v/>
      </c>
      <c r="B2879">
        <f>IF($C2879="","","C"&amp;TEXT(INT((ROW()-5)/9)+1,"000")&amp;"-2")</f>
        <v/>
      </c>
      <c r="C2879">
        <f>IF(OR(Registro_Compras!$C$323="",Registro_Compras!$O$323=""),"",IF(Registro_Compras!$AB$323="ADMINISTRATIVO","94","95"))</f>
        <v/>
      </c>
      <c r="D2879">
        <f>IF(OR(Registro_Compras!$C$323="",Registro_Compras!$O$323=""),"",IF(Registro_Compras!$AB$323="ADMINISTRATIVO","Gastos Administrativos","Gastos de Venta y Operacion"))</f>
        <v/>
      </c>
      <c r="E2879" s="20">
        <f>IF($C2879="","",IF(Registro_Compras!$F$323="NOTA DE CREDITO","",IF(Registro_Compras!$F$323="RHE",ROUND(Registro_Compras!$L$323*Registro_Compras!$N$323,2),ROUND(Registro_Compras!$J$323*Registro_Compras!$N$323,2))))</f>
        <v/>
      </c>
      <c r="F2879" s="20">
        <f>IF($C2879="","",IF(Registro_Compras!$F$323="NOTA DE CREDITO",ROUND(ABS(Registro_Compras!$J$323*Registro_Compras!$N$323),2),""))</f>
        <v/>
      </c>
      <c r="G2879">
        <f>IF($C2879="","","Por el destino del gasto")</f>
        <v/>
      </c>
      <c r="H2879">
        <f>IF($C2879="","",Registro_Compras!$C$323)</f>
        <v/>
      </c>
    </row>
    <row r="2880">
      <c r="A2880" s="25">
        <f>IF($C2880="","",Registro_Compras!$B$323)</f>
        <v/>
      </c>
      <c r="B2880">
        <f>IF($C2880="","","C"&amp;TEXT(INT((ROW()-5)/9)+1,"000")&amp;"-2")</f>
        <v/>
      </c>
      <c r="C2880">
        <f>IF(OR(Registro_Compras!$C$323="",Registro_Compras!$O$323=""),"","79/791")</f>
        <v/>
      </c>
      <c r="D2880">
        <f>IF(OR(Registro_Compras!$C$323="",Registro_Compras!$O$323=""),"","Cargas Imputables a Cuentas de Costos y Gastos")</f>
        <v/>
      </c>
      <c r="E2880" s="20">
        <f>IF($C2880="","",IF(Registro_Compras!$F$323="NOTA DE CREDITO",ROUND(ABS(Registro_Compras!$J$323*Registro_Compras!$N$323),2),""))</f>
        <v/>
      </c>
      <c r="F2880" s="20">
        <f>IF($C2880="","",IF(Registro_Compras!$F$323="NOTA DE CREDITO","",IF(Registro_Compras!$F$323="RHE",ROUND(Registro_Compras!$L$323*Registro_Compras!$N$323,2),ROUND(Registro_Compras!$J$323*Registro_Compras!$N$323,2))))</f>
        <v/>
      </c>
      <c r="G2880">
        <f>IF($C2880="","","Por el destino del gasto")</f>
        <v/>
      </c>
      <c r="H2880">
        <f>IF($C2880="","",Registro_Compras!$C$323)</f>
        <v/>
      </c>
    </row>
    <row r="2881">
      <c r="A2881" s="25">
        <f>IF($C2881="","",Registro_Compras!$X$323)</f>
        <v/>
      </c>
      <c r="B2881">
        <f>IF($C2881="","","C"&amp;TEXT(INT((ROW()-5)/9)+1,"000")&amp;"-3")</f>
        <v/>
      </c>
      <c r="C2881">
        <f>IF(OR(Registro_Compras!$C$323="",Registro_Compras!$O$323="",Registro_Compras!$R$323&lt;&gt;"SI",Registro_Compras!$X$323=""),"","4212")</f>
        <v/>
      </c>
      <c r="D2881">
        <f>IF(OR(Registro_Compras!$C$323="",Registro_Compras!$O$323=""),"","Cuentas por Pagar Comerciales - Terceros")</f>
        <v/>
      </c>
      <c r="E2881" s="20">
        <f>IF($C2881="","",Registro_Compras!$S$323)</f>
        <v/>
      </c>
      <c r="F2881" s="20">
        <f>""</f>
        <v/>
      </c>
      <c r="G2881">
        <f>IF($C2881="","","Por el deposito de la detraccion en el Banco de la Nacion")</f>
        <v/>
      </c>
      <c r="H2881">
        <f>IF($C2881="","",Registro_Compras!$C$323)</f>
        <v/>
      </c>
    </row>
    <row r="2882">
      <c r="A2882" s="25">
        <f>IF($C2882="","",Registro_Compras!$X$323)</f>
        <v/>
      </c>
      <c r="B2882">
        <f>IF($C2882="","","C"&amp;TEXT(INT((ROW()-5)/9)+1,"000")&amp;"-3")</f>
        <v/>
      </c>
      <c r="C2882">
        <f>IF(OR(Registro_Compras!$C$323="",Registro_Compras!$O$323="",Registro_Compras!$R$323&lt;&gt;"SI",Registro_Compras!$X$323=""),"","10413")</f>
        <v/>
      </c>
      <c r="D2882">
        <f>IF(OR(Registro_Compras!$C$323="",Registro_Compras!$O$323=""),"","Efectivo y Equivalentes - Cta. Cte. Operativa")</f>
        <v/>
      </c>
      <c r="E2882" s="20">
        <f>""</f>
        <v/>
      </c>
      <c r="F2882" s="20">
        <f>IF($C2882="","",Registro_Compras!$S$323)</f>
        <v/>
      </c>
      <c r="G2882">
        <f>IF($C2882="","","Por el deposito de la detraccion en el Banco de la Nacion")</f>
        <v/>
      </c>
      <c r="H2882">
        <f>IF($C2882="","",Registro_Compras!$C$323)</f>
        <v/>
      </c>
    </row>
    <row r="2883">
      <c r="A2883" s="25">
        <f>IF($C2883="","",Registro_Compras!$Y$323)</f>
        <v/>
      </c>
      <c r="B2883">
        <f>IF($C2883="","","C"&amp;TEXT(INT((ROW()-5)/9)+1,"000")&amp;"-4")</f>
        <v/>
      </c>
      <c r="C2883">
        <f>IF(OR(Registro_Compras!$C$323="",Registro_Compras!$O$323="",Registro_Compras!$Y$323="",Registro_Compras!$F$323="NOTA DE CREDITO"),"","4212")</f>
        <v/>
      </c>
      <c r="D2883">
        <f>IF(OR(Registro_Compras!$C$323="",Registro_Compras!$O$323=""),"","Cuentas por Pagar Comerciales - Terceros")</f>
        <v/>
      </c>
      <c r="E2883" s="20">
        <f>IF($C2883="","",IF(Registro_Compras!$F$323="RHE",(ROUND(Registro_Compras!$L$323*Registro_Compras!$N$323,2)-ROUND(Registro_Compras!$V$323*Registro_Compras!$N$323,2)),ROUND(Registro_Compras!$O$323-Registro_Compras!$S$323,2)))</f>
        <v/>
      </c>
      <c r="F2883" s="20">
        <f>""</f>
        <v/>
      </c>
      <c r="G2883">
        <f>IF($C2883="","","Por la cancelacion del saldo al proveedor")</f>
        <v/>
      </c>
      <c r="H2883">
        <f>IF($C2883="","",Registro_Compras!$C$323)</f>
        <v/>
      </c>
    </row>
    <row r="2884">
      <c r="A2884" s="25">
        <f>IF($C2884="","",Registro_Compras!$Y$323)</f>
        <v/>
      </c>
      <c r="B2884">
        <f>IF($C2884="","","C"&amp;TEXT(INT((ROW()-5)/9)+1,"000")&amp;"-4")</f>
        <v/>
      </c>
      <c r="C2884">
        <f>IF(OR(Registro_Compras!$C$323="",Registro_Compras!$O$323="",Registro_Compras!$Y$323="",Registro_Compras!$F$323="NOTA DE CREDITO"),"","10413")</f>
        <v/>
      </c>
      <c r="D2884">
        <f>IF(OR(Registro_Compras!$C$323="",Registro_Compras!$O$323=""),"","Efectivo y Equivalentes - Cta. Cte. Operativa")</f>
        <v/>
      </c>
      <c r="E2884" s="20">
        <f>""</f>
        <v/>
      </c>
      <c r="F2884" s="20">
        <f>IF($C2884="","",IF(Registro_Compras!$F$323="RHE",(ROUND(Registro_Compras!$L$323*Registro_Compras!$N$323,2)-ROUND(Registro_Compras!$V$323*Registro_Compras!$N$323,2)),ROUND(Registro_Compras!$O$323-Registro_Compras!$S$323,2)))</f>
        <v/>
      </c>
      <c r="G2884">
        <f>IF($C2884="","","Por la cancelacion del saldo al proveedor")</f>
        <v/>
      </c>
      <c r="H2884">
        <f>IF($C2884="","",Registro_Compras!$C$323)</f>
        <v/>
      </c>
    </row>
    <row r="2885">
      <c r="A2885" s="25">
        <f>IF($C2885="","",Registro_Compras!$B$324)</f>
        <v/>
      </c>
      <c r="B2885">
        <f>IF($C2885="","","C"&amp;TEXT(INT((ROW()-5)/9)+1,"000")&amp;"-1")</f>
        <v/>
      </c>
      <c r="C2885">
        <f>IF(OR(Registro_Compras!$C$324="",Registro_Compras!$O$324=""),"",IF(Registro_Compras!$F$324="NOTA DE CREDITO","4212",IF(Registro_Compras!$M$324="","63",Registro_Compras!$M$324)))</f>
        <v/>
      </c>
      <c r="D2885">
        <f>IF(OR(Registro_Compras!$C$324="",Registro_Compras!$O$324=""),"",IF(Registro_Compras!$F$324="NOTA DE CREDITO","Cuentas por Pagar Comerciales - Terceros (Emitidas)",IF(Registro_Compras!$F$324="RHE","Honorarios Profesionales - Servicios de Terceros","Gastos de Servicios Prestados por Terceros")))</f>
        <v/>
      </c>
      <c r="E2885" s="20">
        <f>IF($C2885="","",IF(Registro_Compras!$F$324="NOTA DE CREDITO",ABS(Registro_Compras!$O$324),IF(Registro_Compras!$F$324="RHE",ROUND(Registro_Compras!$L$324*Registro_Compras!$N$324,2),ROUND(Registro_Compras!$J$324*Registro_Compras!$N$324,2))))</f>
        <v/>
      </c>
      <c r="F2885" s="20">
        <f>""</f>
        <v/>
      </c>
      <c r="G2885">
        <f>IF($C2885="","",IF(Registro_Compras!$F$324="NOTA DE CREDITO","Por la nota de credito "&amp;Registro_Compras!$C$324&amp;" de "&amp;Registro_Compras!$E$324&amp;" [PATRON POR CONFIRMAR CON CONTADOR]",IF(Registro_Compras!$F$324="RHE","Por el registro del recibo por honorarios "&amp;Registro_Compras!$C$324&amp;" de "&amp;Registro_Compras!$E$324&amp;" [PATRON POR CONFIRMAR CON CONTADOR]","Por el registro de la factura "&amp;Registro_Compras!$C$324&amp;" de "&amp;Registro_Compras!$E$324)))</f>
        <v/>
      </c>
      <c r="H2885">
        <f>IF($C2885="","",Registro_Compras!$C$324)</f>
        <v/>
      </c>
    </row>
    <row r="2886">
      <c r="A2886" s="25">
        <f>IF($C2886="","",Registro_Compras!$B$324)</f>
        <v/>
      </c>
      <c r="B2886">
        <f>IF($C2886="","","C"&amp;TEXT(INT((ROW()-5)/9)+1,"000")&amp;"-1")</f>
        <v/>
      </c>
      <c r="C2886">
        <f>IF(OR(Registro_Compras!$C$324="",Registro_Compras!$O$324=""),"",IF(Registro_Compras!$F$324="RHE",IF(Registro_Compras!$V$324=0,"","40172"),IF(Registro_Compras!$F$324="NOTA DE CREDITO",IF(Registro_Compras!$M$324="","63",Registro_Compras!$M$324),IF(Registro_Compras!$K$324=0,"","40111"))))</f>
        <v/>
      </c>
      <c r="D2886">
        <f>IF(OR(Registro_Compras!$C$324="",Registro_Compras!$O$324=""),"",IF(Registro_Compras!$F$324="RHE","Retencion Renta 4ta Categoria por Pagar",IF(Registro_Compras!$F$324="NOTA DE CREDITO","Gastos de Servicios Prestados por Terceros","IGV - Cuenta Propia (Credito Fiscal)")))</f>
        <v/>
      </c>
      <c r="E2886" s="20">
        <f>IF($C2886="","",IF(Registro_Compras!$F$324="FACTURA",ROUND(Registro_Compras!$K$324*Registro_Compras!$N$324,2),""))</f>
        <v/>
      </c>
      <c r="F2886" s="20">
        <f>IF($C2886="","",IF(Registro_Compras!$F$324="RHE",ROUND(Registro_Compras!$V$324*Registro_Compras!$N$324,2),IF(Registro_Compras!$F$324="NOTA DE CREDITO",ROUND(ABS(Registro_Compras!$J$324*Registro_Compras!$N$324),2),"")))</f>
        <v/>
      </c>
      <c r="G2886">
        <f>IF($C2886="","",IF(Registro_Compras!$F$324="NOTA DE CREDITO","Por la nota de credito "&amp;Registro_Compras!$C$324&amp;" de "&amp;Registro_Compras!$E$324&amp;" [PATRON POR CONFIRMAR CON CONTADOR]",IF(Registro_Compras!$F$324="RHE","Por el registro del recibo por honorarios "&amp;Registro_Compras!$C$324&amp;" de "&amp;Registro_Compras!$E$324&amp;" [PATRON POR CONFIRMAR CON CONTADOR]","Por el registro de la factura "&amp;Registro_Compras!$C$324&amp;" de "&amp;Registro_Compras!$E$324)))</f>
        <v/>
      </c>
      <c r="H2886">
        <f>IF($C2886="","",Registro_Compras!$C$324)</f>
        <v/>
      </c>
    </row>
    <row r="2887">
      <c r="A2887" s="25">
        <f>IF($C2887="","",Registro_Compras!$B$324)</f>
        <v/>
      </c>
      <c r="B2887">
        <f>IF($C2887="","","C"&amp;TEXT(INT((ROW()-5)/9)+1,"000")&amp;"-1")</f>
        <v/>
      </c>
      <c r="C2887">
        <f>IF(OR(Registro_Compras!$C$324="",Registro_Compras!$O$324=""),"",IF(Registro_Compras!$F$324="NOTA DE CREDITO",IF(Registro_Compras!$K$324=0,"","40111"),"4212"))</f>
        <v/>
      </c>
      <c r="D2887">
        <f>IF(OR(Registro_Compras!$C$324="",Registro_Compras!$O$324=""),"",IF(Registro_Compras!$F$324="NOTA DE CREDITO","IGV - Cuenta Propia (Credito Fiscal)","Cuentas por Pagar Comerciales - Terceros (Emitidas)"))</f>
        <v/>
      </c>
      <c r="E2887" s="20">
        <f>""</f>
        <v/>
      </c>
      <c r="F2887" s="20">
        <f>IF($C2887="","",IF(Registro_Compras!$F$324="NOTA DE CREDITO",ROUND(ABS(Registro_Compras!$K$324*Registro_Compras!$N$324),2),IF(Registro_Compras!$F$324="RHE",(ROUND(Registro_Compras!$L$324*Registro_Compras!$N$324,2)-ROUND(Registro_Compras!$V$324*Registro_Compras!$N$324,2)),Registro_Compras!$O$324)))</f>
        <v/>
      </c>
      <c r="G2887">
        <f>IF($C2887="","",IF(Registro_Compras!$F$324="NOTA DE CREDITO","Por la nota de credito "&amp;Registro_Compras!$C$324&amp;" de "&amp;Registro_Compras!$E$324&amp;" [PATRON POR CONFIRMAR CON CONTADOR]",IF(Registro_Compras!$F$324="RHE","Por el registro del recibo por honorarios "&amp;Registro_Compras!$C$324&amp;" de "&amp;Registro_Compras!$E$324&amp;" [PATRON POR CONFIRMAR CON CONTADOR]","Por el registro de la factura "&amp;Registro_Compras!$C$324&amp;" de "&amp;Registro_Compras!$E$324)))</f>
        <v/>
      </c>
      <c r="H2887">
        <f>IF($C2887="","",Registro_Compras!$C$324)</f>
        <v/>
      </c>
    </row>
    <row r="2888">
      <c r="A2888" s="25">
        <f>IF($C2888="","",Registro_Compras!$B$324)</f>
        <v/>
      </c>
      <c r="B2888">
        <f>IF($C2888="","","C"&amp;TEXT(INT((ROW()-5)/9)+1,"000")&amp;"-2")</f>
        <v/>
      </c>
      <c r="C2888">
        <f>IF(OR(Registro_Compras!$C$324="",Registro_Compras!$O$324=""),"",IF(Registro_Compras!$AB$324="ADMINISTRATIVO","94","95"))</f>
        <v/>
      </c>
      <c r="D2888">
        <f>IF(OR(Registro_Compras!$C$324="",Registro_Compras!$O$324=""),"",IF(Registro_Compras!$AB$324="ADMINISTRATIVO","Gastos Administrativos","Gastos de Venta y Operacion"))</f>
        <v/>
      </c>
      <c r="E2888" s="20">
        <f>IF($C2888="","",IF(Registro_Compras!$F$324="NOTA DE CREDITO","",IF(Registro_Compras!$F$324="RHE",ROUND(Registro_Compras!$L$324*Registro_Compras!$N$324,2),ROUND(Registro_Compras!$J$324*Registro_Compras!$N$324,2))))</f>
        <v/>
      </c>
      <c r="F2888" s="20">
        <f>IF($C2888="","",IF(Registro_Compras!$F$324="NOTA DE CREDITO",ROUND(ABS(Registro_Compras!$J$324*Registro_Compras!$N$324),2),""))</f>
        <v/>
      </c>
      <c r="G2888">
        <f>IF($C2888="","","Por el destino del gasto")</f>
        <v/>
      </c>
      <c r="H2888">
        <f>IF($C2888="","",Registro_Compras!$C$324)</f>
        <v/>
      </c>
    </row>
    <row r="2889">
      <c r="A2889" s="25">
        <f>IF($C2889="","",Registro_Compras!$B$324)</f>
        <v/>
      </c>
      <c r="B2889">
        <f>IF($C2889="","","C"&amp;TEXT(INT((ROW()-5)/9)+1,"000")&amp;"-2")</f>
        <v/>
      </c>
      <c r="C2889">
        <f>IF(OR(Registro_Compras!$C$324="",Registro_Compras!$O$324=""),"","79/791")</f>
        <v/>
      </c>
      <c r="D2889">
        <f>IF(OR(Registro_Compras!$C$324="",Registro_Compras!$O$324=""),"","Cargas Imputables a Cuentas de Costos y Gastos")</f>
        <v/>
      </c>
      <c r="E2889" s="20">
        <f>IF($C2889="","",IF(Registro_Compras!$F$324="NOTA DE CREDITO",ROUND(ABS(Registro_Compras!$J$324*Registro_Compras!$N$324),2),""))</f>
        <v/>
      </c>
      <c r="F2889" s="20">
        <f>IF($C2889="","",IF(Registro_Compras!$F$324="NOTA DE CREDITO","",IF(Registro_Compras!$F$324="RHE",ROUND(Registro_Compras!$L$324*Registro_Compras!$N$324,2),ROUND(Registro_Compras!$J$324*Registro_Compras!$N$324,2))))</f>
        <v/>
      </c>
      <c r="G2889">
        <f>IF($C2889="","","Por el destino del gasto")</f>
        <v/>
      </c>
      <c r="H2889">
        <f>IF($C2889="","",Registro_Compras!$C$324)</f>
        <v/>
      </c>
    </row>
    <row r="2890">
      <c r="A2890" s="25">
        <f>IF($C2890="","",Registro_Compras!$X$324)</f>
        <v/>
      </c>
      <c r="B2890">
        <f>IF($C2890="","","C"&amp;TEXT(INT((ROW()-5)/9)+1,"000")&amp;"-3")</f>
        <v/>
      </c>
      <c r="C2890">
        <f>IF(OR(Registro_Compras!$C$324="",Registro_Compras!$O$324="",Registro_Compras!$R$324&lt;&gt;"SI",Registro_Compras!$X$324=""),"","4212")</f>
        <v/>
      </c>
      <c r="D2890">
        <f>IF(OR(Registro_Compras!$C$324="",Registro_Compras!$O$324=""),"","Cuentas por Pagar Comerciales - Terceros")</f>
        <v/>
      </c>
      <c r="E2890" s="20">
        <f>IF($C2890="","",Registro_Compras!$S$324)</f>
        <v/>
      </c>
      <c r="F2890" s="20">
        <f>""</f>
        <v/>
      </c>
      <c r="G2890">
        <f>IF($C2890="","","Por el deposito de la detraccion en el Banco de la Nacion")</f>
        <v/>
      </c>
      <c r="H2890">
        <f>IF($C2890="","",Registro_Compras!$C$324)</f>
        <v/>
      </c>
    </row>
    <row r="2891">
      <c r="A2891" s="25">
        <f>IF($C2891="","",Registro_Compras!$X$324)</f>
        <v/>
      </c>
      <c r="B2891">
        <f>IF($C2891="","","C"&amp;TEXT(INT((ROW()-5)/9)+1,"000")&amp;"-3")</f>
        <v/>
      </c>
      <c r="C2891">
        <f>IF(OR(Registro_Compras!$C$324="",Registro_Compras!$O$324="",Registro_Compras!$R$324&lt;&gt;"SI",Registro_Compras!$X$324=""),"","10413")</f>
        <v/>
      </c>
      <c r="D2891">
        <f>IF(OR(Registro_Compras!$C$324="",Registro_Compras!$O$324=""),"","Efectivo y Equivalentes - Cta. Cte. Operativa")</f>
        <v/>
      </c>
      <c r="E2891" s="20">
        <f>""</f>
        <v/>
      </c>
      <c r="F2891" s="20">
        <f>IF($C2891="","",Registro_Compras!$S$324)</f>
        <v/>
      </c>
      <c r="G2891">
        <f>IF($C2891="","","Por el deposito de la detraccion en el Banco de la Nacion")</f>
        <v/>
      </c>
      <c r="H2891">
        <f>IF($C2891="","",Registro_Compras!$C$324)</f>
        <v/>
      </c>
    </row>
    <row r="2892">
      <c r="A2892" s="25">
        <f>IF($C2892="","",Registro_Compras!$Y$324)</f>
        <v/>
      </c>
      <c r="B2892">
        <f>IF($C2892="","","C"&amp;TEXT(INT((ROW()-5)/9)+1,"000")&amp;"-4")</f>
        <v/>
      </c>
      <c r="C2892">
        <f>IF(OR(Registro_Compras!$C$324="",Registro_Compras!$O$324="",Registro_Compras!$Y$324="",Registro_Compras!$F$324="NOTA DE CREDITO"),"","4212")</f>
        <v/>
      </c>
      <c r="D2892">
        <f>IF(OR(Registro_Compras!$C$324="",Registro_Compras!$O$324=""),"","Cuentas por Pagar Comerciales - Terceros")</f>
        <v/>
      </c>
      <c r="E2892" s="20">
        <f>IF($C2892="","",IF(Registro_Compras!$F$324="RHE",(ROUND(Registro_Compras!$L$324*Registro_Compras!$N$324,2)-ROUND(Registro_Compras!$V$324*Registro_Compras!$N$324,2)),ROUND(Registro_Compras!$O$324-Registro_Compras!$S$324,2)))</f>
        <v/>
      </c>
      <c r="F2892" s="20">
        <f>""</f>
        <v/>
      </c>
      <c r="G2892">
        <f>IF($C2892="","","Por la cancelacion del saldo al proveedor")</f>
        <v/>
      </c>
      <c r="H2892">
        <f>IF($C2892="","",Registro_Compras!$C$324)</f>
        <v/>
      </c>
    </row>
    <row r="2893">
      <c r="A2893" s="25">
        <f>IF($C2893="","",Registro_Compras!$Y$324)</f>
        <v/>
      </c>
      <c r="B2893">
        <f>IF($C2893="","","C"&amp;TEXT(INT((ROW()-5)/9)+1,"000")&amp;"-4")</f>
        <v/>
      </c>
      <c r="C2893">
        <f>IF(OR(Registro_Compras!$C$324="",Registro_Compras!$O$324="",Registro_Compras!$Y$324="",Registro_Compras!$F$324="NOTA DE CREDITO"),"","10413")</f>
        <v/>
      </c>
      <c r="D2893">
        <f>IF(OR(Registro_Compras!$C$324="",Registro_Compras!$O$324=""),"","Efectivo y Equivalentes - Cta. Cte. Operativa")</f>
        <v/>
      </c>
      <c r="E2893" s="20">
        <f>""</f>
        <v/>
      </c>
      <c r="F2893" s="20">
        <f>IF($C2893="","",IF(Registro_Compras!$F$324="RHE",(ROUND(Registro_Compras!$L$324*Registro_Compras!$N$324,2)-ROUND(Registro_Compras!$V$324*Registro_Compras!$N$324,2)),ROUND(Registro_Compras!$O$324-Registro_Compras!$S$324,2)))</f>
        <v/>
      </c>
      <c r="G2893">
        <f>IF($C2893="","","Por la cancelacion del saldo al proveedor")</f>
        <v/>
      </c>
      <c r="H2893">
        <f>IF($C2893="","",Registro_Compras!$C$324)</f>
        <v/>
      </c>
    </row>
    <row r="2894">
      <c r="A2894" s="25">
        <f>IF($C2894="","",Registro_Compras!$B$325)</f>
        <v/>
      </c>
      <c r="B2894">
        <f>IF($C2894="","","C"&amp;TEXT(INT((ROW()-5)/9)+1,"000")&amp;"-1")</f>
        <v/>
      </c>
      <c r="C2894">
        <f>IF(OR(Registro_Compras!$C$325="",Registro_Compras!$O$325=""),"",IF(Registro_Compras!$F$325="NOTA DE CREDITO","4212",IF(Registro_Compras!$M$325="","63",Registro_Compras!$M$325)))</f>
        <v/>
      </c>
      <c r="D2894">
        <f>IF(OR(Registro_Compras!$C$325="",Registro_Compras!$O$325=""),"",IF(Registro_Compras!$F$325="NOTA DE CREDITO","Cuentas por Pagar Comerciales - Terceros (Emitidas)",IF(Registro_Compras!$F$325="RHE","Honorarios Profesionales - Servicios de Terceros","Gastos de Servicios Prestados por Terceros")))</f>
        <v/>
      </c>
      <c r="E2894" s="20">
        <f>IF($C2894="","",IF(Registro_Compras!$F$325="NOTA DE CREDITO",ABS(Registro_Compras!$O$325),IF(Registro_Compras!$F$325="RHE",ROUND(Registro_Compras!$L$325*Registro_Compras!$N$325,2),ROUND(Registro_Compras!$J$325*Registro_Compras!$N$325,2))))</f>
        <v/>
      </c>
      <c r="F2894" s="20">
        <f>""</f>
        <v/>
      </c>
      <c r="G2894">
        <f>IF($C2894="","",IF(Registro_Compras!$F$325="NOTA DE CREDITO","Por la nota de credito "&amp;Registro_Compras!$C$325&amp;" de "&amp;Registro_Compras!$E$325&amp;" [PATRON POR CONFIRMAR CON CONTADOR]",IF(Registro_Compras!$F$325="RHE","Por el registro del recibo por honorarios "&amp;Registro_Compras!$C$325&amp;" de "&amp;Registro_Compras!$E$325&amp;" [PATRON POR CONFIRMAR CON CONTADOR]","Por el registro de la factura "&amp;Registro_Compras!$C$325&amp;" de "&amp;Registro_Compras!$E$325)))</f>
        <v/>
      </c>
      <c r="H2894">
        <f>IF($C2894="","",Registro_Compras!$C$325)</f>
        <v/>
      </c>
    </row>
    <row r="2895">
      <c r="A2895" s="25">
        <f>IF($C2895="","",Registro_Compras!$B$325)</f>
        <v/>
      </c>
      <c r="B2895">
        <f>IF($C2895="","","C"&amp;TEXT(INT((ROW()-5)/9)+1,"000")&amp;"-1")</f>
        <v/>
      </c>
      <c r="C2895">
        <f>IF(OR(Registro_Compras!$C$325="",Registro_Compras!$O$325=""),"",IF(Registro_Compras!$F$325="RHE",IF(Registro_Compras!$V$325=0,"","40172"),IF(Registro_Compras!$F$325="NOTA DE CREDITO",IF(Registro_Compras!$M$325="","63",Registro_Compras!$M$325),IF(Registro_Compras!$K$325=0,"","40111"))))</f>
        <v/>
      </c>
      <c r="D2895">
        <f>IF(OR(Registro_Compras!$C$325="",Registro_Compras!$O$325=""),"",IF(Registro_Compras!$F$325="RHE","Retencion Renta 4ta Categoria por Pagar",IF(Registro_Compras!$F$325="NOTA DE CREDITO","Gastos de Servicios Prestados por Terceros","IGV - Cuenta Propia (Credito Fiscal)")))</f>
        <v/>
      </c>
      <c r="E2895" s="20">
        <f>IF($C2895="","",IF(Registro_Compras!$F$325="FACTURA",ROUND(Registro_Compras!$K$325*Registro_Compras!$N$325,2),""))</f>
        <v/>
      </c>
      <c r="F2895" s="20">
        <f>IF($C2895="","",IF(Registro_Compras!$F$325="RHE",ROUND(Registro_Compras!$V$325*Registro_Compras!$N$325,2),IF(Registro_Compras!$F$325="NOTA DE CREDITO",ROUND(ABS(Registro_Compras!$J$325*Registro_Compras!$N$325),2),"")))</f>
        <v/>
      </c>
      <c r="G2895">
        <f>IF($C2895="","",IF(Registro_Compras!$F$325="NOTA DE CREDITO","Por la nota de credito "&amp;Registro_Compras!$C$325&amp;" de "&amp;Registro_Compras!$E$325&amp;" [PATRON POR CONFIRMAR CON CONTADOR]",IF(Registro_Compras!$F$325="RHE","Por el registro del recibo por honorarios "&amp;Registro_Compras!$C$325&amp;" de "&amp;Registro_Compras!$E$325&amp;" [PATRON POR CONFIRMAR CON CONTADOR]","Por el registro de la factura "&amp;Registro_Compras!$C$325&amp;" de "&amp;Registro_Compras!$E$325)))</f>
        <v/>
      </c>
      <c r="H2895">
        <f>IF($C2895="","",Registro_Compras!$C$325)</f>
        <v/>
      </c>
    </row>
    <row r="2896">
      <c r="A2896" s="25">
        <f>IF($C2896="","",Registro_Compras!$B$325)</f>
        <v/>
      </c>
      <c r="B2896">
        <f>IF($C2896="","","C"&amp;TEXT(INT((ROW()-5)/9)+1,"000")&amp;"-1")</f>
        <v/>
      </c>
      <c r="C2896">
        <f>IF(OR(Registro_Compras!$C$325="",Registro_Compras!$O$325=""),"",IF(Registro_Compras!$F$325="NOTA DE CREDITO",IF(Registro_Compras!$K$325=0,"","40111"),"4212"))</f>
        <v/>
      </c>
      <c r="D2896">
        <f>IF(OR(Registro_Compras!$C$325="",Registro_Compras!$O$325=""),"",IF(Registro_Compras!$F$325="NOTA DE CREDITO","IGV - Cuenta Propia (Credito Fiscal)","Cuentas por Pagar Comerciales - Terceros (Emitidas)"))</f>
        <v/>
      </c>
      <c r="E2896" s="20">
        <f>""</f>
        <v/>
      </c>
      <c r="F2896" s="20">
        <f>IF($C2896="","",IF(Registro_Compras!$F$325="NOTA DE CREDITO",ROUND(ABS(Registro_Compras!$K$325*Registro_Compras!$N$325),2),IF(Registro_Compras!$F$325="RHE",(ROUND(Registro_Compras!$L$325*Registro_Compras!$N$325,2)-ROUND(Registro_Compras!$V$325*Registro_Compras!$N$325,2)),Registro_Compras!$O$325)))</f>
        <v/>
      </c>
      <c r="G2896">
        <f>IF($C2896="","",IF(Registro_Compras!$F$325="NOTA DE CREDITO","Por la nota de credito "&amp;Registro_Compras!$C$325&amp;" de "&amp;Registro_Compras!$E$325&amp;" [PATRON POR CONFIRMAR CON CONTADOR]",IF(Registro_Compras!$F$325="RHE","Por el registro del recibo por honorarios "&amp;Registro_Compras!$C$325&amp;" de "&amp;Registro_Compras!$E$325&amp;" [PATRON POR CONFIRMAR CON CONTADOR]","Por el registro de la factura "&amp;Registro_Compras!$C$325&amp;" de "&amp;Registro_Compras!$E$325)))</f>
        <v/>
      </c>
      <c r="H2896">
        <f>IF($C2896="","",Registro_Compras!$C$325)</f>
        <v/>
      </c>
    </row>
    <row r="2897">
      <c r="A2897" s="25">
        <f>IF($C2897="","",Registro_Compras!$B$325)</f>
        <v/>
      </c>
      <c r="B2897">
        <f>IF($C2897="","","C"&amp;TEXT(INT((ROW()-5)/9)+1,"000")&amp;"-2")</f>
        <v/>
      </c>
      <c r="C2897">
        <f>IF(OR(Registro_Compras!$C$325="",Registro_Compras!$O$325=""),"",IF(Registro_Compras!$AB$325="ADMINISTRATIVO","94","95"))</f>
        <v/>
      </c>
      <c r="D2897">
        <f>IF(OR(Registro_Compras!$C$325="",Registro_Compras!$O$325=""),"",IF(Registro_Compras!$AB$325="ADMINISTRATIVO","Gastos Administrativos","Gastos de Venta y Operacion"))</f>
        <v/>
      </c>
      <c r="E2897" s="20">
        <f>IF($C2897="","",IF(Registro_Compras!$F$325="NOTA DE CREDITO","",IF(Registro_Compras!$F$325="RHE",ROUND(Registro_Compras!$L$325*Registro_Compras!$N$325,2),ROUND(Registro_Compras!$J$325*Registro_Compras!$N$325,2))))</f>
        <v/>
      </c>
      <c r="F2897" s="20">
        <f>IF($C2897="","",IF(Registro_Compras!$F$325="NOTA DE CREDITO",ROUND(ABS(Registro_Compras!$J$325*Registro_Compras!$N$325),2),""))</f>
        <v/>
      </c>
      <c r="G2897">
        <f>IF($C2897="","","Por el destino del gasto")</f>
        <v/>
      </c>
      <c r="H2897">
        <f>IF($C2897="","",Registro_Compras!$C$325)</f>
        <v/>
      </c>
    </row>
    <row r="2898">
      <c r="A2898" s="25">
        <f>IF($C2898="","",Registro_Compras!$B$325)</f>
        <v/>
      </c>
      <c r="B2898">
        <f>IF($C2898="","","C"&amp;TEXT(INT((ROW()-5)/9)+1,"000")&amp;"-2")</f>
        <v/>
      </c>
      <c r="C2898">
        <f>IF(OR(Registro_Compras!$C$325="",Registro_Compras!$O$325=""),"","79/791")</f>
        <v/>
      </c>
      <c r="D2898">
        <f>IF(OR(Registro_Compras!$C$325="",Registro_Compras!$O$325=""),"","Cargas Imputables a Cuentas de Costos y Gastos")</f>
        <v/>
      </c>
      <c r="E2898" s="20">
        <f>IF($C2898="","",IF(Registro_Compras!$F$325="NOTA DE CREDITO",ROUND(ABS(Registro_Compras!$J$325*Registro_Compras!$N$325),2),""))</f>
        <v/>
      </c>
      <c r="F2898" s="20">
        <f>IF($C2898="","",IF(Registro_Compras!$F$325="NOTA DE CREDITO","",IF(Registro_Compras!$F$325="RHE",ROUND(Registro_Compras!$L$325*Registro_Compras!$N$325,2),ROUND(Registro_Compras!$J$325*Registro_Compras!$N$325,2))))</f>
        <v/>
      </c>
      <c r="G2898">
        <f>IF($C2898="","","Por el destino del gasto")</f>
        <v/>
      </c>
      <c r="H2898">
        <f>IF($C2898="","",Registro_Compras!$C$325)</f>
        <v/>
      </c>
    </row>
    <row r="2899">
      <c r="A2899" s="25">
        <f>IF($C2899="","",Registro_Compras!$X$325)</f>
        <v/>
      </c>
      <c r="B2899">
        <f>IF($C2899="","","C"&amp;TEXT(INT((ROW()-5)/9)+1,"000")&amp;"-3")</f>
        <v/>
      </c>
      <c r="C2899">
        <f>IF(OR(Registro_Compras!$C$325="",Registro_Compras!$O$325="",Registro_Compras!$R$325&lt;&gt;"SI",Registro_Compras!$X$325=""),"","4212")</f>
        <v/>
      </c>
      <c r="D2899">
        <f>IF(OR(Registro_Compras!$C$325="",Registro_Compras!$O$325=""),"","Cuentas por Pagar Comerciales - Terceros")</f>
        <v/>
      </c>
      <c r="E2899" s="20">
        <f>IF($C2899="","",Registro_Compras!$S$325)</f>
        <v/>
      </c>
      <c r="F2899" s="20">
        <f>""</f>
        <v/>
      </c>
      <c r="G2899">
        <f>IF($C2899="","","Por el deposito de la detraccion en el Banco de la Nacion")</f>
        <v/>
      </c>
      <c r="H2899">
        <f>IF($C2899="","",Registro_Compras!$C$325)</f>
        <v/>
      </c>
    </row>
    <row r="2900">
      <c r="A2900" s="25">
        <f>IF($C2900="","",Registro_Compras!$X$325)</f>
        <v/>
      </c>
      <c r="B2900">
        <f>IF($C2900="","","C"&amp;TEXT(INT((ROW()-5)/9)+1,"000")&amp;"-3")</f>
        <v/>
      </c>
      <c r="C2900">
        <f>IF(OR(Registro_Compras!$C$325="",Registro_Compras!$O$325="",Registro_Compras!$R$325&lt;&gt;"SI",Registro_Compras!$X$325=""),"","10413")</f>
        <v/>
      </c>
      <c r="D2900">
        <f>IF(OR(Registro_Compras!$C$325="",Registro_Compras!$O$325=""),"","Efectivo y Equivalentes - Cta. Cte. Operativa")</f>
        <v/>
      </c>
      <c r="E2900" s="20">
        <f>""</f>
        <v/>
      </c>
      <c r="F2900" s="20">
        <f>IF($C2900="","",Registro_Compras!$S$325)</f>
        <v/>
      </c>
      <c r="G2900">
        <f>IF($C2900="","","Por el deposito de la detraccion en el Banco de la Nacion")</f>
        <v/>
      </c>
      <c r="H2900">
        <f>IF($C2900="","",Registro_Compras!$C$325)</f>
        <v/>
      </c>
    </row>
    <row r="2901">
      <c r="A2901" s="25">
        <f>IF($C2901="","",Registro_Compras!$Y$325)</f>
        <v/>
      </c>
      <c r="B2901">
        <f>IF($C2901="","","C"&amp;TEXT(INT((ROW()-5)/9)+1,"000")&amp;"-4")</f>
        <v/>
      </c>
      <c r="C2901">
        <f>IF(OR(Registro_Compras!$C$325="",Registro_Compras!$O$325="",Registro_Compras!$Y$325="",Registro_Compras!$F$325="NOTA DE CREDITO"),"","4212")</f>
        <v/>
      </c>
      <c r="D2901">
        <f>IF(OR(Registro_Compras!$C$325="",Registro_Compras!$O$325=""),"","Cuentas por Pagar Comerciales - Terceros")</f>
        <v/>
      </c>
      <c r="E2901" s="20">
        <f>IF($C2901="","",IF(Registro_Compras!$F$325="RHE",(ROUND(Registro_Compras!$L$325*Registro_Compras!$N$325,2)-ROUND(Registro_Compras!$V$325*Registro_Compras!$N$325,2)),ROUND(Registro_Compras!$O$325-Registro_Compras!$S$325,2)))</f>
        <v/>
      </c>
      <c r="F2901" s="20">
        <f>""</f>
        <v/>
      </c>
      <c r="G2901">
        <f>IF($C2901="","","Por la cancelacion del saldo al proveedor")</f>
        <v/>
      </c>
      <c r="H2901">
        <f>IF($C2901="","",Registro_Compras!$C$325)</f>
        <v/>
      </c>
    </row>
    <row r="2902">
      <c r="A2902" s="25">
        <f>IF($C2902="","",Registro_Compras!$Y$325)</f>
        <v/>
      </c>
      <c r="B2902">
        <f>IF($C2902="","","C"&amp;TEXT(INT((ROW()-5)/9)+1,"000")&amp;"-4")</f>
        <v/>
      </c>
      <c r="C2902">
        <f>IF(OR(Registro_Compras!$C$325="",Registro_Compras!$O$325="",Registro_Compras!$Y$325="",Registro_Compras!$F$325="NOTA DE CREDITO"),"","10413")</f>
        <v/>
      </c>
      <c r="D2902">
        <f>IF(OR(Registro_Compras!$C$325="",Registro_Compras!$O$325=""),"","Efectivo y Equivalentes - Cta. Cte. Operativa")</f>
        <v/>
      </c>
      <c r="E2902" s="20">
        <f>""</f>
        <v/>
      </c>
      <c r="F2902" s="20">
        <f>IF($C2902="","",IF(Registro_Compras!$F$325="RHE",(ROUND(Registro_Compras!$L$325*Registro_Compras!$N$325,2)-ROUND(Registro_Compras!$V$325*Registro_Compras!$N$325,2)),ROUND(Registro_Compras!$O$325-Registro_Compras!$S$325,2)))</f>
        <v/>
      </c>
      <c r="G2902">
        <f>IF($C2902="","","Por la cancelacion del saldo al proveedor")</f>
        <v/>
      </c>
      <c r="H2902">
        <f>IF($C2902="","",Registro_Compras!$C$325)</f>
        <v/>
      </c>
    </row>
    <row r="2903">
      <c r="A2903" s="25">
        <f>IF($C2903="","",Registro_Compras!$B$326)</f>
        <v/>
      </c>
      <c r="B2903">
        <f>IF($C2903="","","C"&amp;TEXT(INT((ROW()-5)/9)+1,"000")&amp;"-1")</f>
        <v/>
      </c>
      <c r="C2903">
        <f>IF(OR(Registro_Compras!$C$326="",Registro_Compras!$O$326=""),"",IF(Registro_Compras!$F$326="NOTA DE CREDITO","4212",IF(Registro_Compras!$M$326="","63",Registro_Compras!$M$326)))</f>
        <v/>
      </c>
      <c r="D2903">
        <f>IF(OR(Registro_Compras!$C$326="",Registro_Compras!$O$326=""),"",IF(Registro_Compras!$F$326="NOTA DE CREDITO","Cuentas por Pagar Comerciales - Terceros (Emitidas)",IF(Registro_Compras!$F$326="RHE","Honorarios Profesionales - Servicios de Terceros","Gastos de Servicios Prestados por Terceros")))</f>
        <v/>
      </c>
      <c r="E2903" s="20">
        <f>IF($C2903="","",IF(Registro_Compras!$F$326="NOTA DE CREDITO",ABS(Registro_Compras!$O$326),IF(Registro_Compras!$F$326="RHE",ROUND(Registro_Compras!$L$326*Registro_Compras!$N$326,2),ROUND(Registro_Compras!$J$326*Registro_Compras!$N$326,2))))</f>
        <v/>
      </c>
      <c r="F2903" s="20">
        <f>""</f>
        <v/>
      </c>
      <c r="G2903">
        <f>IF($C2903="","",IF(Registro_Compras!$F$326="NOTA DE CREDITO","Por la nota de credito "&amp;Registro_Compras!$C$326&amp;" de "&amp;Registro_Compras!$E$326&amp;" [PATRON POR CONFIRMAR CON CONTADOR]",IF(Registro_Compras!$F$326="RHE","Por el registro del recibo por honorarios "&amp;Registro_Compras!$C$326&amp;" de "&amp;Registro_Compras!$E$326&amp;" [PATRON POR CONFIRMAR CON CONTADOR]","Por el registro de la factura "&amp;Registro_Compras!$C$326&amp;" de "&amp;Registro_Compras!$E$326)))</f>
        <v/>
      </c>
      <c r="H2903">
        <f>IF($C2903="","",Registro_Compras!$C$326)</f>
        <v/>
      </c>
    </row>
    <row r="2904">
      <c r="A2904" s="25">
        <f>IF($C2904="","",Registro_Compras!$B$326)</f>
        <v/>
      </c>
      <c r="B2904">
        <f>IF($C2904="","","C"&amp;TEXT(INT((ROW()-5)/9)+1,"000")&amp;"-1")</f>
        <v/>
      </c>
      <c r="C2904">
        <f>IF(OR(Registro_Compras!$C$326="",Registro_Compras!$O$326=""),"",IF(Registro_Compras!$F$326="RHE",IF(Registro_Compras!$V$326=0,"","40172"),IF(Registro_Compras!$F$326="NOTA DE CREDITO",IF(Registro_Compras!$M$326="","63",Registro_Compras!$M$326),IF(Registro_Compras!$K$326=0,"","40111"))))</f>
        <v/>
      </c>
      <c r="D2904">
        <f>IF(OR(Registro_Compras!$C$326="",Registro_Compras!$O$326=""),"",IF(Registro_Compras!$F$326="RHE","Retencion Renta 4ta Categoria por Pagar",IF(Registro_Compras!$F$326="NOTA DE CREDITO","Gastos de Servicios Prestados por Terceros","IGV - Cuenta Propia (Credito Fiscal)")))</f>
        <v/>
      </c>
      <c r="E2904" s="20">
        <f>IF($C2904="","",IF(Registro_Compras!$F$326="FACTURA",ROUND(Registro_Compras!$K$326*Registro_Compras!$N$326,2),""))</f>
        <v/>
      </c>
      <c r="F2904" s="20">
        <f>IF($C2904="","",IF(Registro_Compras!$F$326="RHE",ROUND(Registro_Compras!$V$326*Registro_Compras!$N$326,2),IF(Registro_Compras!$F$326="NOTA DE CREDITO",ROUND(ABS(Registro_Compras!$J$326*Registro_Compras!$N$326),2),"")))</f>
        <v/>
      </c>
      <c r="G2904">
        <f>IF($C2904="","",IF(Registro_Compras!$F$326="NOTA DE CREDITO","Por la nota de credito "&amp;Registro_Compras!$C$326&amp;" de "&amp;Registro_Compras!$E$326&amp;" [PATRON POR CONFIRMAR CON CONTADOR]",IF(Registro_Compras!$F$326="RHE","Por el registro del recibo por honorarios "&amp;Registro_Compras!$C$326&amp;" de "&amp;Registro_Compras!$E$326&amp;" [PATRON POR CONFIRMAR CON CONTADOR]","Por el registro de la factura "&amp;Registro_Compras!$C$326&amp;" de "&amp;Registro_Compras!$E$326)))</f>
        <v/>
      </c>
      <c r="H2904">
        <f>IF($C2904="","",Registro_Compras!$C$326)</f>
        <v/>
      </c>
    </row>
    <row r="2905">
      <c r="A2905" s="25">
        <f>IF($C2905="","",Registro_Compras!$B$326)</f>
        <v/>
      </c>
      <c r="B2905">
        <f>IF($C2905="","","C"&amp;TEXT(INT((ROW()-5)/9)+1,"000")&amp;"-1")</f>
        <v/>
      </c>
      <c r="C2905">
        <f>IF(OR(Registro_Compras!$C$326="",Registro_Compras!$O$326=""),"",IF(Registro_Compras!$F$326="NOTA DE CREDITO",IF(Registro_Compras!$K$326=0,"","40111"),"4212"))</f>
        <v/>
      </c>
      <c r="D2905">
        <f>IF(OR(Registro_Compras!$C$326="",Registro_Compras!$O$326=""),"",IF(Registro_Compras!$F$326="NOTA DE CREDITO","IGV - Cuenta Propia (Credito Fiscal)","Cuentas por Pagar Comerciales - Terceros (Emitidas)"))</f>
        <v/>
      </c>
      <c r="E2905" s="20">
        <f>""</f>
        <v/>
      </c>
      <c r="F2905" s="20">
        <f>IF($C2905="","",IF(Registro_Compras!$F$326="NOTA DE CREDITO",ROUND(ABS(Registro_Compras!$K$326*Registro_Compras!$N$326),2),IF(Registro_Compras!$F$326="RHE",(ROUND(Registro_Compras!$L$326*Registro_Compras!$N$326,2)-ROUND(Registro_Compras!$V$326*Registro_Compras!$N$326,2)),Registro_Compras!$O$326)))</f>
        <v/>
      </c>
      <c r="G2905">
        <f>IF($C2905="","",IF(Registro_Compras!$F$326="NOTA DE CREDITO","Por la nota de credito "&amp;Registro_Compras!$C$326&amp;" de "&amp;Registro_Compras!$E$326&amp;" [PATRON POR CONFIRMAR CON CONTADOR]",IF(Registro_Compras!$F$326="RHE","Por el registro del recibo por honorarios "&amp;Registro_Compras!$C$326&amp;" de "&amp;Registro_Compras!$E$326&amp;" [PATRON POR CONFIRMAR CON CONTADOR]","Por el registro de la factura "&amp;Registro_Compras!$C$326&amp;" de "&amp;Registro_Compras!$E$326)))</f>
        <v/>
      </c>
      <c r="H2905">
        <f>IF($C2905="","",Registro_Compras!$C$326)</f>
        <v/>
      </c>
    </row>
    <row r="2906">
      <c r="A2906" s="25">
        <f>IF($C2906="","",Registro_Compras!$B$326)</f>
        <v/>
      </c>
      <c r="B2906">
        <f>IF($C2906="","","C"&amp;TEXT(INT((ROW()-5)/9)+1,"000")&amp;"-2")</f>
        <v/>
      </c>
      <c r="C2906">
        <f>IF(OR(Registro_Compras!$C$326="",Registro_Compras!$O$326=""),"",IF(Registro_Compras!$AB$326="ADMINISTRATIVO","94","95"))</f>
        <v/>
      </c>
      <c r="D2906">
        <f>IF(OR(Registro_Compras!$C$326="",Registro_Compras!$O$326=""),"",IF(Registro_Compras!$AB$326="ADMINISTRATIVO","Gastos Administrativos","Gastos de Venta y Operacion"))</f>
        <v/>
      </c>
      <c r="E2906" s="20">
        <f>IF($C2906="","",IF(Registro_Compras!$F$326="NOTA DE CREDITO","",IF(Registro_Compras!$F$326="RHE",ROUND(Registro_Compras!$L$326*Registro_Compras!$N$326,2),ROUND(Registro_Compras!$J$326*Registro_Compras!$N$326,2))))</f>
        <v/>
      </c>
      <c r="F2906" s="20">
        <f>IF($C2906="","",IF(Registro_Compras!$F$326="NOTA DE CREDITO",ROUND(ABS(Registro_Compras!$J$326*Registro_Compras!$N$326),2),""))</f>
        <v/>
      </c>
      <c r="G2906">
        <f>IF($C2906="","","Por el destino del gasto")</f>
        <v/>
      </c>
      <c r="H2906">
        <f>IF($C2906="","",Registro_Compras!$C$326)</f>
        <v/>
      </c>
    </row>
    <row r="2907">
      <c r="A2907" s="25">
        <f>IF($C2907="","",Registro_Compras!$B$326)</f>
        <v/>
      </c>
      <c r="B2907">
        <f>IF($C2907="","","C"&amp;TEXT(INT((ROW()-5)/9)+1,"000")&amp;"-2")</f>
        <v/>
      </c>
      <c r="C2907">
        <f>IF(OR(Registro_Compras!$C$326="",Registro_Compras!$O$326=""),"","79/791")</f>
        <v/>
      </c>
      <c r="D2907">
        <f>IF(OR(Registro_Compras!$C$326="",Registro_Compras!$O$326=""),"","Cargas Imputables a Cuentas de Costos y Gastos")</f>
        <v/>
      </c>
      <c r="E2907" s="20">
        <f>IF($C2907="","",IF(Registro_Compras!$F$326="NOTA DE CREDITO",ROUND(ABS(Registro_Compras!$J$326*Registro_Compras!$N$326),2),""))</f>
        <v/>
      </c>
      <c r="F2907" s="20">
        <f>IF($C2907="","",IF(Registro_Compras!$F$326="NOTA DE CREDITO","",IF(Registro_Compras!$F$326="RHE",ROUND(Registro_Compras!$L$326*Registro_Compras!$N$326,2),ROUND(Registro_Compras!$J$326*Registro_Compras!$N$326,2))))</f>
        <v/>
      </c>
      <c r="G2907">
        <f>IF($C2907="","","Por el destino del gasto")</f>
        <v/>
      </c>
      <c r="H2907">
        <f>IF($C2907="","",Registro_Compras!$C$326)</f>
        <v/>
      </c>
    </row>
    <row r="2908">
      <c r="A2908" s="25">
        <f>IF($C2908="","",Registro_Compras!$X$326)</f>
        <v/>
      </c>
      <c r="B2908">
        <f>IF($C2908="","","C"&amp;TEXT(INT((ROW()-5)/9)+1,"000")&amp;"-3")</f>
        <v/>
      </c>
      <c r="C2908">
        <f>IF(OR(Registro_Compras!$C$326="",Registro_Compras!$O$326="",Registro_Compras!$R$326&lt;&gt;"SI",Registro_Compras!$X$326=""),"","4212")</f>
        <v/>
      </c>
      <c r="D2908">
        <f>IF(OR(Registro_Compras!$C$326="",Registro_Compras!$O$326=""),"","Cuentas por Pagar Comerciales - Terceros")</f>
        <v/>
      </c>
      <c r="E2908" s="20">
        <f>IF($C2908="","",Registro_Compras!$S$326)</f>
        <v/>
      </c>
      <c r="F2908" s="20">
        <f>""</f>
        <v/>
      </c>
      <c r="G2908">
        <f>IF($C2908="","","Por el deposito de la detraccion en el Banco de la Nacion")</f>
        <v/>
      </c>
      <c r="H2908">
        <f>IF($C2908="","",Registro_Compras!$C$326)</f>
        <v/>
      </c>
    </row>
    <row r="2909">
      <c r="A2909" s="25">
        <f>IF($C2909="","",Registro_Compras!$X$326)</f>
        <v/>
      </c>
      <c r="B2909">
        <f>IF($C2909="","","C"&amp;TEXT(INT((ROW()-5)/9)+1,"000")&amp;"-3")</f>
        <v/>
      </c>
      <c r="C2909">
        <f>IF(OR(Registro_Compras!$C$326="",Registro_Compras!$O$326="",Registro_Compras!$R$326&lt;&gt;"SI",Registro_Compras!$X$326=""),"","10413")</f>
        <v/>
      </c>
      <c r="D2909">
        <f>IF(OR(Registro_Compras!$C$326="",Registro_Compras!$O$326=""),"","Efectivo y Equivalentes - Cta. Cte. Operativa")</f>
        <v/>
      </c>
      <c r="E2909" s="20">
        <f>""</f>
        <v/>
      </c>
      <c r="F2909" s="20">
        <f>IF($C2909="","",Registro_Compras!$S$326)</f>
        <v/>
      </c>
      <c r="G2909">
        <f>IF($C2909="","","Por el deposito de la detraccion en el Banco de la Nacion")</f>
        <v/>
      </c>
      <c r="H2909">
        <f>IF($C2909="","",Registro_Compras!$C$326)</f>
        <v/>
      </c>
    </row>
    <row r="2910">
      <c r="A2910" s="25">
        <f>IF($C2910="","",Registro_Compras!$Y$326)</f>
        <v/>
      </c>
      <c r="B2910">
        <f>IF($C2910="","","C"&amp;TEXT(INT((ROW()-5)/9)+1,"000")&amp;"-4")</f>
        <v/>
      </c>
      <c r="C2910">
        <f>IF(OR(Registro_Compras!$C$326="",Registro_Compras!$O$326="",Registro_Compras!$Y$326="",Registro_Compras!$F$326="NOTA DE CREDITO"),"","4212")</f>
        <v/>
      </c>
      <c r="D2910">
        <f>IF(OR(Registro_Compras!$C$326="",Registro_Compras!$O$326=""),"","Cuentas por Pagar Comerciales - Terceros")</f>
        <v/>
      </c>
      <c r="E2910" s="20">
        <f>IF($C2910="","",IF(Registro_Compras!$F$326="RHE",(ROUND(Registro_Compras!$L$326*Registro_Compras!$N$326,2)-ROUND(Registro_Compras!$V$326*Registro_Compras!$N$326,2)),ROUND(Registro_Compras!$O$326-Registro_Compras!$S$326,2)))</f>
        <v/>
      </c>
      <c r="F2910" s="20">
        <f>""</f>
        <v/>
      </c>
      <c r="G2910">
        <f>IF($C2910="","","Por la cancelacion del saldo al proveedor")</f>
        <v/>
      </c>
      <c r="H2910">
        <f>IF($C2910="","",Registro_Compras!$C$326)</f>
        <v/>
      </c>
    </row>
    <row r="2911">
      <c r="A2911" s="25">
        <f>IF($C2911="","",Registro_Compras!$Y$326)</f>
        <v/>
      </c>
      <c r="B2911">
        <f>IF($C2911="","","C"&amp;TEXT(INT((ROW()-5)/9)+1,"000")&amp;"-4")</f>
        <v/>
      </c>
      <c r="C2911">
        <f>IF(OR(Registro_Compras!$C$326="",Registro_Compras!$O$326="",Registro_Compras!$Y$326="",Registro_Compras!$F$326="NOTA DE CREDITO"),"","10413")</f>
        <v/>
      </c>
      <c r="D2911">
        <f>IF(OR(Registro_Compras!$C$326="",Registro_Compras!$O$326=""),"","Efectivo y Equivalentes - Cta. Cte. Operativa")</f>
        <v/>
      </c>
      <c r="E2911" s="20">
        <f>""</f>
        <v/>
      </c>
      <c r="F2911" s="20">
        <f>IF($C2911="","",IF(Registro_Compras!$F$326="RHE",(ROUND(Registro_Compras!$L$326*Registro_Compras!$N$326,2)-ROUND(Registro_Compras!$V$326*Registro_Compras!$N$326,2)),ROUND(Registro_Compras!$O$326-Registro_Compras!$S$326,2)))</f>
        <v/>
      </c>
      <c r="G2911">
        <f>IF($C2911="","","Por la cancelacion del saldo al proveedor")</f>
        <v/>
      </c>
      <c r="H2911">
        <f>IF($C2911="","",Registro_Compras!$C$326)</f>
        <v/>
      </c>
    </row>
    <row r="2912">
      <c r="A2912" s="25">
        <f>IF($C2912="","",Registro_Compras!$B$327)</f>
        <v/>
      </c>
      <c r="B2912">
        <f>IF($C2912="","","C"&amp;TEXT(INT((ROW()-5)/9)+1,"000")&amp;"-1")</f>
        <v/>
      </c>
      <c r="C2912">
        <f>IF(OR(Registro_Compras!$C$327="",Registro_Compras!$O$327=""),"",IF(Registro_Compras!$F$327="NOTA DE CREDITO","4212",IF(Registro_Compras!$M$327="","63",Registro_Compras!$M$327)))</f>
        <v/>
      </c>
      <c r="D2912">
        <f>IF(OR(Registro_Compras!$C$327="",Registro_Compras!$O$327=""),"",IF(Registro_Compras!$F$327="NOTA DE CREDITO","Cuentas por Pagar Comerciales - Terceros (Emitidas)",IF(Registro_Compras!$F$327="RHE","Honorarios Profesionales - Servicios de Terceros","Gastos de Servicios Prestados por Terceros")))</f>
        <v/>
      </c>
      <c r="E2912" s="20">
        <f>IF($C2912="","",IF(Registro_Compras!$F$327="NOTA DE CREDITO",ABS(Registro_Compras!$O$327),IF(Registro_Compras!$F$327="RHE",ROUND(Registro_Compras!$L$327*Registro_Compras!$N$327,2),ROUND(Registro_Compras!$J$327*Registro_Compras!$N$327,2))))</f>
        <v/>
      </c>
      <c r="F2912" s="20">
        <f>""</f>
        <v/>
      </c>
      <c r="G2912">
        <f>IF($C2912="","",IF(Registro_Compras!$F$327="NOTA DE CREDITO","Por la nota de credito "&amp;Registro_Compras!$C$327&amp;" de "&amp;Registro_Compras!$E$327&amp;" [PATRON POR CONFIRMAR CON CONTADOR]",IF(Registro_Compras!$F$327="RHE","Por el registro del recibo por honorarios "&amp;Registro_Compras!$C$327&amp;" de "&amp;Registro_Compras!$E$327&amp;" [PATRON POR CONFIRMAR CON CONTADOR]","Por el registro de la factura "&amp;Registro_Compras!$C$327&amp;" de "&amp;Registro_Compras!$E$327)))</f>
        <v/>
      </c>
      <c r="H2912">
        <f>IF($C2912="","",Registro_Compras!$C$327)</f>
        <v/>
      </c>
    </row>
    <row r="2913">
      <c r="A2913" s="25">
        <f>IF($C2913="","",Registro_Compras!$B$327)</f>
        <v/>
      </c>
      <c r="B2913">
        <f>IF($C2913="","","C"&amp;TEXT(INT((ROW()-5)/9)+1,"000")&amp;"-1")</f>
        <v/>
      </c>
      <c r="C2913">
        <f>IF(OR(Registro_Compras!$C$327="",Registro_Compras!$O$327=""),"",IF(Registro_Compras!$F$327="RHE",IF(Registro_Compras!$V$327=0,"","40172"),IF(Registro_Compras!$F$327="NOTA DE CREDITO",IF(Registro_Compras!$M$327="","63",Registro_Compras!$M$327),IF(Registro_Compras!$K$327=0,"","40111"))))</f>
        <v/>
      </c>
      <c r="D2913">
        <f>IF(OR(Registro_Compras!$C$327="",Registro_Compras!$O$327=""),"",IF(Registro_Compras!$F$327="RHE","Retencion Renta 4ta Categoria por Pagar",IF(Registro_Compras!$F$327="NOTA DE CREDITO","Gastos de Servicios Prestados por Terceros","IGV - Cuenta Propia (Credito Fiscal)")))</f>
        <v/>
      </c>
      <c r="E2913" s="20">
        <f>IF($C2913="","",IF(Registro_Compras!$F$327="FACTURA",ROUND(Registro_Compras!$K$327*Registro_Compras!$N$327,2),""))</f>
        <v/>
      </c>
      <c r="F2913" s="20">
        <f>IF($C2913="","",IF(Registro_Compras!$F$327="RHE",ROUND(Registro_Compras!$V$327*Registro_Compras!$N$327,2),IF(Registro_Compras!$F$327="NOTA DE CREDITO",ROUND(ABS(Registro_Compras!$J$327*Registro_Compras!$N$327),2),"")))</f>
        <v/>
      </c>
      <c r="G2913">
        <f>IF($C2913="","",IF(Registro_Compras!$F$327="NOTA DE CREDITO","Por la nota de credito "&amp;Registro_Compras!$C$327&amp;" de "&amp;Registro_Compras!$E$327&amp;" [PATRON POR CONFIRMAR CON CONTADOR]",IF(Registro_Compras!$F$327="RHE","Por el registro del recibo por honorarios "&amp;Registro_Compras!$C$327&amp;" de "&amp;Registro_Compras!$E$327&amp;" [PATRON POR CONFIRMAR CON CONTADOR]","Por el registro de la factura "&amp;Registro_Compras!$C$327&amp;" de "&amp;Registro_Compras!$E$327)))</f>
        <v/>
      </c>
      <c r="H2913">
        <f>IF($C2913="","",Registro_Compras!$C$327)</f>
        <v/>
      </c>
    </row>
    <row r="2914">
      <c r="A2914" s="25">
        <f>IF($C2914="","",Registro_Compras!$B$327)</f>
        <v/>
      </c>
      <c r="B2914">
        <f>IF($C2914="","","C"&amp;TEXT(INT((ROW()-5)/9)+1,"000")&amp;"-1")</f>
        <v/>
      </c>
      <c r="C2914">
        <f>IF(OR(Registro_Compras!$C$327="",Registro_Compras!$O$327=""),"",IF(Registro_Compras!$F$327="NOTA DE CREDITO",IF(Registro_Compras!$K$327=0,"","40111"),"4212"))</f>
        <v/>
      </c>
      <c r="D2914">
        <f>IF(OR(Registro_Compras!$C$327="",Registro_Compras!$O$327=""),"",IF(Registro_Compras!$F$327="NOTA DE CREDITO","IGV - Cuenta Propia (Credito Fiscal)","Cuentas por Pagar Comerciales - Terceros (Emitidas)"))</f>
        <v/>
      </c>
      <c r="E2914" s="20">
        <f>""</f>
        <v/>
      </c>
      <c r="F2914" s="20">
        <f>IF($C2914="","",IF(Registro_Compras!$F$327="NOTA DE CREDITO",ROUND(ABS(Registro_Compras!$K$327*Registro_Compras!$N$327),2),IF(Registro_Compras!$F$327="RHE",(ROUND(Registro_Compras!$L$327*Registro_Compras!$N$327,2)-ROUND(Registro_Compras!$V$327*Registro_Compras!$N$327,2)),Registro_Compras!$O$327)))</f>
        <v/>
      </c>
      <c r="G2914">
        <f>IF($C2914="","",IF(Registro_Compras!$F$327="NOTA DE CREDITO","Por la nota de credito "&amp;Registro_Compras!$C$327&amp;" de "&amp;Registro_Compras!$E$327&amp;" [PATRON POR CONFIRMAR CON CONTADOR]",IF(Registro_Compras!$F$327="RHE","Por el registro del recibo por honorarios "&amp;Registro_Compras!$C$327&amp;" de "&amp;Registro_Compras!$E$327&amp;" [PATRON POR CONFIRMAR CON CONTADOR]","Por el registro de la factura "&amp;Registro_Compras!$C$327&amp;" de "&amp;Registro_Compras!$E$327)))</f>
        <v/>
      </c>
      <c r="H2914">
        <f>IF($C2914="","",Registro_Compras!$C$327)</f>
        <v/>
      </c>
    </row>
    <row r="2915">
      <c r="A2915" s="25">
        <f>IF($C2915="","",Registro_Compras!$B$327)</f>
        <v/>
      </c>
      <c r="B2915">
        <f>IF($C2915="","","C"&amp;TEXT(INT((ROW()-5)/9)+1,"000")&amp;"-2")</f>
        <v/>
      </c>
      <c r="C2915">
        <f>IF(OR(Registro_Compras!$C$327="",Registro_Compras!$O$327=""),"",IF(Registro_Compras!$AB$327="ADMINISTRATIVO","94","95"))</f>
        <v/>
      </c>
      <c r="D2915">
        <f>IF(OR(Registro_Compras!$C$327="",Registro_Compras!$O$327=""),"",IF(Registro_Compras!$AB$327="ADMINISTRATIVO","Gastos Administrativos","Gastos de Venta y Operacion"))</f>
        <v/>
      </c>
      <c r="E2915" s="20">
        <f>IF($C2915="","",IF(Registro_Compras!$F$327="NOTA DE CREDITO","",IF(Registro_Compras!$F$327="RHE",ROUND(Registro_Compras!$L$327*Registro_Compras!$N$327,2),ROUND(Registro_Compras!$J$327*Registro_Compras!$N$327,2))))</f>
        <v/>
      </c>
      <c r="F2915" s="20">
        <f>IF($C2915="","",IF(Registro_Compras!$F$327="NOTA DE CREDITO",ROUND(ABS(Registro_Compras!$J$327*Registro_Compras!$N$327),2),""))</f>
        <v/>
      </c>
      <c r="G2915">
        <f>IF($C2915="","","Por el destino del gasto")</f>
        <v/>
      </c>
      <c r="H2915">
        <f>IF($C2915="","",Registro_Compras!$C$327)</f>
        <v/>
      </c>
    </row>
    <row r="2916">
      <c r="A2916" s="25">
        <f>IF($C2916="","",Registro_Compras!$B$327)</f>
        <v/>
      </c>
      <c r="B2916">
        <f>IF($C2916="","","C"&amp;TEXT(INT((ROW()-5)/9)+1,"000")&amp;"-2")</f>
        <v/>
      </c>
      <c r="C2916">
        <f>IF(OR(Registro_Compras!$C$327="",Registro_Compras!$O$327=""),"","79/791")</f>
        <v/>
      </c>
      <c r="D2916">
        <f>IF(OR(Registro_Compras!$C$327="",Registro_Compras!$O$327=""),"","Cargas Imputables a Cuentas de Costos y Gastos")</f>
        <v/>
      </c>
      <c r="E2916" s="20">
        <f>IF($C2916="","",IF(Registro_Compras!$F$327="NOTA DE CREDITO",ROUND(ABS(Registro_Compras!$J$327*Registro_Compras!$N$327),2),""))</f>
        <v/>
      </c>
      <c r="F2916" s="20">
        <f>IF($C2916="","",IF(Registro_Compras!$F$327="NOTA DE CREDITO","",IF(Registro_Compras!$F$327="RHE",ROUND(Registro_Compras!$L$327*Registro_Compras!$N$327,2),ROUND(Registro_Compras!$J$327*Registro_Compras!$N$327,2))))</f>
        <v/>
      </c>
      <c r="G2916">
        <f>IF($C2916="","","Por el destino del gasto")</f>
        <v/>
      </c>
      <c r="H2916">
        <f>IF($C2916="","",Registro_Compras!$C$327)</f>
        <v/>
      </c>
    </row>
    <row r="2917">
      <c r="A2917" s="25">
        <f>IF($C2917="","",Registro_Compras!$X$327)</f>
        <v/>
      </c>
      <c r="B2917">
        <f>IF($C2917="","","C"&amp;TEXT(INT((ROW()-5)/9)+1,"000")&amp;"-3")</f>
        <v/>
      </c>
      <c r="C2917">
        <f>IF(OR(Registro_Compras!$C$327="",Registro_Compras!$O$327="",Registro_Compras!$R$327&lt;&gt;"SI",Registro_Compras!$X$327=""),"","4212")</f>
        <v/>
      </c>
      <c r="D2917">
        <f>IF(OR(Registro_Compras!$C$327="",Registro_Compras!$O$327=""),"","Cuentas por Pagar Comerciales - Terceros")</f>
        <v/>
      </c>
      <c r="E2917" s="20">
        <f>IF($C2917="","",Registro_Compras!$S$327)</f>
        <v/>
      </c>
      <c r="F2917" s="20">
        <f>""</f>
        <v/>
      </c>
      <c r="G2917">
        <f>IF($C2917="","","Por el deposito de la detraccion en el Banco de la Nacion")</f>
        <v/>
      </c>
      <c r="H2917">
        <f>IF($C2917="","",Registro_Compras!$C$327)</f>
        <v/>
      </c>
    </row>
    <row r="2918">
      <c r="A2918" s="25">
        <f>IF($C2918="","",Registro_Compras!$X$327)</f>
        <v/>
      </c>
      <c r="B2918">
        <f>IF($C2918="","","C"&amp;TEXT(INT((ROW()-5)/9)+1,"000")&amp;"-3")</f>
        <v/>
      </c>
      <c r="C2918">
        <f>IF(OR(Registro_Compras!$C$327="",Registro_Compras!$O$327="",Registro_Compras!$R$327&lt;&gt;"SI",Registro_Compras!$X$327=""),"","10413")</f>
        <v/>
      </c>
      <c r="D2918">
        <f>IF(OR(Registro_Compras!$C$327="",Registro_Compras!$O$327=""),"","Efectivo y Equivalentes - Cta. Cte. Operativa")</f>
        <v/>
      </c>
      <c r="E2918" s="20">
        <f>""</f>
        <v/>
      </c>
      <c r="F2918" s="20">
        <f>IF($C2918="","",Registro_Compras!$S$327)</f>
        <v/>
      </c>
      <c r="G2918">
        <f>IF($C2918="","","Por el deposito de la detraccion en el Banco de la Nacion")</f>
        <v/>
      </c>
      <c r="H2918">
        <f>IF($C2918="","",Registro_Compras!$C$327)</f>
        <v/>
      </c>
    </row>
    <row r="2919">
      <c r="A2919" s="25">
        <f>IF($C2919="","",Registro_Compras!$Y$327)</f>
        <v/>
      </c>
      <c r="B2919">
        <f>IF($C2919="","","C"&amp;TEXT(INT((ROW()-5)/9)+1,"000")&amp;"-4")</f>
        <v/>
      </c>
      <c r="C2919">
        <f>IF(OR(Registro_Compras!$C$327="",Registro_Compras!$O$327="",Registro_Compras!$Y$327="",Registro_Compras!$F$327="NOTA DE CREDITO"),"","4212")</f>
        <v/>
      </c>
      <c r="D2919">
        <f>IF(OR(Registro_Compras!$C$327="",Registro_Compras!$O$327=""),"","Cuentas por Pagar Comerciales - Terceros")</f>
        <v/>
      </c>
      <c r="E2919" s="20">
        <f>IF($C2919="","",IF(Registro_Compras!$F$327="RHE",(ROUND(Registro_Compras!$L$327*Registro_Compras!$N$327,2)-ROUND(Registro_Compras!$V$327*Registro_Compras!$N$327,2)),ROUND(Registro_Compras!$O$327-Registro_Compras!$S$327,2)))</f>
        <v/>
      </c>
      <c r="F2919" s="20">
        <f>""</f>
        <v/>
      </c>
      <c r="G2919">
        <f>IF($C2919="","","Por la cancelacion del saldo al proveedor")</f>
        <v/>
      </c>
      <c r="H2919">
        <f>IF($C2919="","",Registro_Compras!$C$327)</f>
        <v/>
      </c>
    </row>
    <row r="2920">
      <c r="A2920" s="25">
        <f>IF($C2920="","",Registro_Compras!$Y$327)</f>
        <v/>
      </c>
      <c r="B2920">
        <f>IF($C2920="","","C"&amp;TEXT(INT((ROW()-5)/9)+1,"000")&amp;"-4")</f>
        <v/>
      </c>
      <c r="C2920">
        <f>IF(OR(Registro_Compras!$C$327="",Registro_Compras!$O$327="",Registro_Compras!$Y$327="",Registro_Compras!$F$327="NOTA DE CREDITO"),"","10413")</f>
        <v/>
      </c>
      <c r="D2920">
        <f>IF(OR(Registro_Compras!$C$327="",Registro_Compras!$O$327=""),"","Efectivo y Equivalentes - Cta. Cte. Operativa")</f>
        <v/>
      </c>
      <c r="E2920" s="20">
        <f>""</f>
        <v/>
      </c>
      <c r="F2920" s="20">
        <f>IF($C2920="","",IF(Registro_Compras!$F$327="RHE",(ROUND(Registro_Compras!$L$327*Registro_Compras!$N$327,2)-ROUND(Registro_Compras!$V$327*Registro_Compras!$N$327,2)),ROUND(Registro_Compras!$O$327-Registro_Compras!$S$327,2)))</f>
        <v/>
      </c>
      <c r="G2920">
        <f>IF($C2920="","","Por la cancelacion del saldo al proveedor")</f>
        <v/>
      </c>
      <c r="H2920">
        <f>IF($C2920="","",Registro_Compras!$C$327)</f>
        <v/>
      </c>
    </row>
    <row r="2921">
      <c r="A2921" s="25">
        <f>IF($C2921="","",Registro_Compras!$B$328)</f>
        <v/>
      </c>
      <c r="B2921">
        <f>IF($C2921="","","C"&amp;TEXT(INT((ROW()-5)/9)+1,"000")&amp;"-1")</f>
        <v/>
      </c>
      <c r="C2921">
        <f>IF(OR(Registro_Compras!$C$328="",Registro_Compras!$O$328=""),"",IF(Registro_Compras!$F$328="NOTA DE CREDITO","4212",IF(Registro_Compras!$M$328="","63",Registro_Compras!$M$328)))</f>
        <v/>
      </c>
      <c r="D2921">
        <f>IF(OR(Registro_Compras!$C$328="",Registro_Compras!$O$328=""),"",IF(Registro_Compras!$F$328="NOTA DE CREDITO","Cuentas por Pagar Comerciales - Terceros (Emitidas)",IF(Registro_Compras!$F$328="RHE","Honorarios Profesionales - Servicios de Terceros","Gastos de Servicios Prestados por Terceros")))</f>
        <v/>
      </c>
      <c r="E2921" s="20">
        <f>IF($C2921="","",IF(Registro_Compras!$F$328="NOTA DE CREDITO",ABS(Registro_Compras!$O$328),IF(Registro_Compras!$F$328="RHE",ROUND(Registro_Compras!$L$328*Registro_Compras!$N$328,2),ROUND(Registro_Compras!$J$328*Registro_Compras!$N$328,2))))</f>
        <v/>
      </c>
      <c r="F2921" s="20">
        <f>""</f>
        <v/>
      </c>
      <c r="G2921">
        <f>IF($C2921="","",IF(Registro_Compras!$F$328="NOTA DE CREDITO","Por la nota de credito "&amp;Registro_Compras!$C$328&amp;" de "&amp;Registro_Compras!$E$328&amp;" [PATRON POR CONFIRMAR CON CONTADOR]",IF(Registro_Compras!$F$328="RHE","Por el registro del recibo por honorarios "&amp;Registro_Compras!$C$328&amp;" de "&amp;Registro_Compras!$E$328&amp;" [PATRON POR CONFIRMAR CON CONTADOR]","Por el registro de la factura "&amp;Registro_Compras!$C$328&amp;" de "&amp;Registro_Compras!$E$328)))</f>
        <v/>
      </c>
      <c r="H2921">
        <f>IF($C2921="","",Registro_Compras!$C$328)</f>
        <v/>
      </c>
    </row>
    <row r="2922">
      <c r="A2922" s="25">
        <f>IF($C2922="","",Registro_Compras!$B$328)</f>
        <v/>
      </c>
      <c r="B2922">
        <f>IF($C2922="","","C"&amp;TEXT(INT((ROW()-5)/9)+1,"000")&amp;"-1")</f>
        <v/>
      </c>
      <c r="C2922">
        <f>IF(OR(Registro_Compras!$C$328="",Registro_Compras!$O$328=""),"",IF(Registro_Compras!$F$328="RHE",IF(Registro_Compras!$V$328=0,"","40172"),IF(Registro_Compras!$F$328="NOTA DE CREDITO",IF(Registro_Compras!$M$328="","63",Registro_Compras!$M$328),IF(Registro_Compras!$K$328=0,"","40111"))))</f>
        <v/>
      </c>
      <c r="D2922">
        <f>IF(OR(Registro_Compras!$C$328="",Registro_Compras!$O$328=""),"",IF(Registro_Compras!$F$328="RHE","Retencion Renta 4ta Categoria por Pagar",IF(Registro_Compras!$F$328="NOTA DE CREDITO","Gastos de Servicios Prestados por Terceros","IGV - Cuenta Propia (Credito Fiscal)")))</f>
        <v/>
      </c>
      <c r="E2922" s="20">
        <f>IF($C2922="","",IF(Registro_Compras!$F$328="FACTURA",ROUND(Registro_Compras!$K$328*Registro_Compras!$N$328,2),""))</f>
        <v/>
      </c>
      <c r="F2922" s="20">
        <f>IF($C2922="","",IF(Registro_Compras!$F$328="RHE",ROUND(Registro_Compras!$V$328*Registro_Compras!$N$328,2),IF(Registro_Compras!$F$328="NOTA DE CREDITO",ROUND(ABS(Registro_Compras!$J$328*Registro_Compras!$N$328),2),"")))</f>
        <v/>
      </c>
      <c r="G2922">
        <f>IF($C2922="","",IF(Registro_Compras!$F$328="NOTA DE CREDITO","Por la nota de credito "&amp;Registro_Compras!$C$328&amp;" de "&amp;Registro_Compras!$E$328&amp;" [PATRON POR CONFIRMAR CON CONTADOR]",IF(Registro_Compras!$F$328="RHE","Por el registro del recibo por honorarios "&amp;Registro_Compras!$C$328&amp;" de "&amp;Registro_Compras!$E$328&amp;" [PATRON POR CONFIRMAR CON CONTADOR]","Por el registro de la factura "&amp;Registro_Compras!$C$328&amp;" de "&amp;Registro_Compras!$E$328)))</f>
        <v/>
      </c>
      <c r="H2922">
        <f>IF($C2922="","",Registro_Compras!$C$328)</f>
        <v/>
      </c>
    </row>
    <row r="2923">
      <c r="A2923" s="25">
        <f>IF($C2923="","",Registro_Compras!$B$328)</f>
        <v/>
      </c>
      <c r="B2923">
        <f>IF($C2923="","","C"&amp;TEXT(INT((ROW()-5)/9)+1,"000")&amp;"-1")</f>
        <v/>
      </c>
      <c r="C2923">
        <f>IF(OR(Registro_Compras!$C$328="",Registro_Compras!$O$328=""),"",IF(Registro_Compras!$F$328="NOTA DE CREDITO",IF(Registro_Compras!$K$328=0,"","40111"),"4212"))</f>
        <v/>
      </c>
      <c r="D2923">
        <f>IF(OR(Registro_Compras!$C$328="",Registro_Compras!$O$328=""),"",IF(Registro_Compras!$F$328="NOTA DE CREDITO","IGV - Cuenta Propia (Credito Fiscal)","Cuentas por Pagar Comerciales - Terceros (Emitidas)"))</f>
        <v/>
      </c>
      <c r="E2923" s="20">
        <f>""</f>
        <v/>
      </c>
      <c r="F2923" s="20">
        <f>IF($C2923="","",IF(Registro_Compras!$F$328="NOTA DE CREDITO",ROUND(ABS(Registro_Compras!$K$328*Registro_Compras!$N$328),2),IF(Registro_Compras!$F$328="RHE",(ROUND(Registro_Compras!$L$328*Registro_Compras!$N$328,2)-ROUND(Registro_Compras!$V$328*Registro_Compras!$N$328,2)),Registro_Compras!$O$328)))</f>
        <v/>
      </c>
      <c r="G2923">
        <f>IF($C2923="","",IF(Registro_Compras!$F$328="NOTA DE CREDITO","Por la nota de credito "&amp;Registro_Compras!$C$328&amp;" de "&amp;Registro_Compras!$E$328&amp;" [PATRON POR CONFIRMAR CON CONTADOR]",IF(Registro_Compras!$F$328="RHE","Por el registro del recibo por honorarios "&amp;Registro_Compras!$C$328&amp;" de "&amp;Registro_Compras!$E$328&amp;" [PATRON POR CONFIRMAR CON CONTADOR]","Por el registro de la factura "&amp;Registro_Compras!$C$328&amp;" de "&amp;Registro_Compras!$E$328)))</f>
        <v/>
      </c>
      <c r="H2923">
        <f>IF($C2923="","",Registro_Compras!$C$328)</f>
        <v/>
      </c>
    </row>
    <row r="2924">
      <c r="A2924" s="25">
        <f>IF($C2924="","",Registro_Compras!$B$328)</f>
        <v/>
      </c>
      <c r="B2924">
        <f>IF($C2924="","","C"&amp;TEXT(INT((ROW()-5)/9)+1,"000")&amp;"-2")</f>
        <v/>
      </c>
      <c r="C2924">
        <f>IF(OR(Registro_Compras!$C$328="",Registro_Compras!$O$328=""),"",IF(Registro_Compras!$AB$328="ADMINISTRATIVO","94","95"))</f>
        <v/>
      </c>
      <c r="D2924">
        <f>IF(OR(Registro_Compras!$C$328="",Registro_Compras!$O$328=""),"",IF(Registro_Compras!$AB$328="ADMINISTRATIVO","Gastos Administrativos","Gastos de Venta y Operacion"))</f>
        <v/>
      </c>
      <c r="E2924" s="20">
        <f>IF($C2924="","",IF(Registro_Compras!$F$328="NOTA DE CREDITO","",IF(Registro_Compras!$F$328="RHE",ROUND(Registro_Compras!$L$328*Registro_Compras!$N$328,2),ROUND(Registro_Compras!$J$328*Registro_Compras!$N$328,2))))</f>
        <v/>
      </c>
      <c r="F2924" s="20">
        <f>IF($C2924="","",IF(Registro_Compras!$F$328="NOTA DE CREDITO",ROUND(ABS(Registro_Compras!$J$328*Registro_Compras!$N$328),2),""))</f>
        <v/>
      </c>
      <c r="G2924">
        <f>IF($C2924="","","Por el destino del gasto")</f>
        <v/>
      </c>
      <c r="H2924">
        <f>IF($C2924="","",Registro_Compras!$C$328)</f>
        <v/>
      </c>
    </row>
    <row r="2925">
      <c r="A2925" s="25">
        <f>IF($C2925="","",Registro_Compras!$B$328)</f>
        <v/>
      </c>
      <c r="B2925">
        <f>IF($C2925="","","C"&amp;TEXT(INT((ROW()-5)/9)+1,"000")&amp;"-2")</f>
        <v/>
      </c>
      <c r="C2925">
        <f>IF(OR(Registro_Compras!$C$328="",Registro_Compras!$O$328=""),"","79/791")</f>
        <v/>
      </c>
      <c r="D2925">
        <f>IF(OR(Registro_Compras!$C$328="",Registro_Compras!$O$328=""),"","Cargas Imputables a Cuentas de Costos y Gastos")</f>
        <v/>
      </c>
      <c r="E2925" s="20">
        <f>IF($C2925="","",IF(Registro_Compras!$F$328="NOTA DE CREDITO",ROUND(ABS(Registro_Compras!$J$328*Registro_Compras!$N$328),2),""))</f>
        <v/>
      </c>
      <c r="F2925" s="20">
        <f>IF($C2925="","",IF(Registro_Compras!$F$328="NOTA DE CREDITO","",IF(Registro_Compras!$F$328="RHE",ROUND(Registro_Compras!$L$328*Registro_Compras!$N$328,2),ROUND(Registro_Compras!$J$328*Registro_Compras!$N$328,2))))</f>
        <v/>
      </c>
      <c r="G2925">
        <f>IF($C2925="","","Por el destino del gasto")</f>
        <v/>
      </c>
      <c r="H2925">
        <f>IF($C2925="","",Registro_Compras!$C$328)</f>
        <v/>
      </c>
    </row>
    <row r="2926">
      <c r="A2926" s="25">
        <f>IF($C2926="","",Registro_Compras!$X$328)</f>
        <v/>
      </c>
      <c r="B2926">
        <f>IF($C2926="","","C"&amp;TEXT(INT((ROW()-5)/9)+1,"000")&amp;"-3")</f>
        <v/>
      </c>
      <c r="C2926">
        <f>IF(OR(Registro_Compras!$C$328="",Registro_Compras!$O$328="",Registro_Compras!$R$328&lt;&gt;"SI",Registro_Compras!$X$328=""),"","4212")</f>
        <v/>
      </c>
      <c r="D2926">
        <f>IF(OR(Registro_Compras!$C$328="",Registro_Compras!$O$328=""),"","Cuentas por Pagar Comerciales - Terceros")</f>
        <v/>
      </c>
      <c r="E2926" s="20">
        <f>IF($C2926="","",Registro_Compras!$S$328)</f>
        <v/>
      </c>
      <c r="F2926" s="20">
        <f>""</f>
        <v/>
      </c>
      <c r="G2926">
        <f>IF($C2926="","","Por el deposito de la detraccion en el Banco de la Nacion")</f>
        <v/>
      </c>
      <c r="H2926">
        <f>IF($C2926="","",Registro_Compras!$C$328)</f>
        <v/>
      </c>
    </row>
    <row r="2927">
      <c r="A2927" s="25">
        <f>IF($C2927="","",Registro_Compras!$X$328)</f>
        <v/>
      </c>
      <c r="B2927">
        <f>IF($C2927="","","C"&amp;TEXT(INT((ROW()-5)/9)+1,"000")&amp;"-3")</f>
        <v/>
      </c>
      <c r="C2927">
        <f>IF(OR(Registro_Compras!$C$328="",Registro_Compras!$O$328="",Registro_Compras!$R$328&lt;&gt;"SI",Registro_Compras!$X$328=""),"","10413")</f>
        <v/>
      </c>
      <c r="D2927">
        <f>IF(OR(Registro_Compras!$C$328="",Registro_Compras!$O$328=""),"","Efectivo y Equivalentes - Cta. Cte. Operativa")</f>
        <v/>
      </c>
      <c r="E2927" s="20">
        <f>""</f>
        <v/>
      </c>
      <c r="F2927" s="20">
        <f>IF($C2927="","",Registro_Compras!$S$328)</f>
        <v/>
      </c>
      <c r="G2927">
        <f>IF($C2927="","","Por el deposito de la detraccion en el Banco de la Nacion")</f>
        <v/>
      </c>
      <c r="H2927">
        <f>IF($C2927="","",Registro_Compras!$C$328)</f>
        <v/>
      </c>
    </row>
    <row r="2928">
      <c r="A2928" s="25">
        <f>IF($C2928="","",Registro_Compras!$Y$328)</f>
        <v/>
      </c>
      <c r="B2928">
        <f>IF($C2928="","","C"&amp;TEXT(INT((ROW()-5)/9)+1,"000")&amp;"-4")</f>
        <v/>
      </c>
      <c r="C2928">
        <f>IF(OR(Registro_Compras!$C$328="",Registro_Compras!$O$328="",Registro_Compras!$Y$328="",Registro_Compras!$F$328="NOTA DE CREDITO"),"","4212")</f>
        <v/>
      </c>
      <c r="D2928">
        <f>IF(OR(Registro_Compras!$C$328="",Registro_Compras!$O$328=""),"","Cuentas por Pagar Comerciales - Terceros")</f>
        <v/>
      </c>
      <c r="E2928" s="20">
        <f>IF($C2928="","",IF(Registro_Compras!$F$328="RHE",(ROUND(Registro_Compras!$L$328*Registro_Compras!$N$328,2)-ROUND(Registro_Compras!$V$328*Registro_Compras!$N$328,2)),ROUND(Registro_Compras!$O$328-Registro_Compras!$S$328,2)))</f>
        <v/>
      </c>
      <c r="F2928" s="20">
        <f>""</f>
        <v/>
      </c>
      <c r="G2928">
        <f>IF($C2928="","","Por la cancelacion del saldo al proveedor")</f>
        <v/>
      </c>
      <c r="H2928">
        <f>IF($C2928="","",Registro_Compras!$C$328)</f>
        <v/>
      </c>
    </row>
    <row r="2929">
      <c r="A2929" s="25">
        <f>IF($C2929="","",Registro_Compras!$Y$328)</f>
        <v/>
      </c>
      <c r="B2929">
        <f>IF($C2929="","","C"&amp;TEXT(INT((ROW()-5)/9)+1,"000")&amp;"-4")</f>
        <v/>
      </c>
      <c r="C2929">
        <f>IF(OR(Registro_Compras!$C$328="",Registro_Compras!$O$328="",Registro_Compras!$Y$328="",Registro_Compras!$F$328="NOTA DE CREDITO"),"","10413")</f>
        <v/>
      </c>
      <c r="D2929">
        <f>IF(OR(Registro_Compras!$C$328="",Registro_Compras!$O$328=""),"","Efectivo y Equivalentes - Cta. Cte. Operativa")</f>
        <v/>
      </c>
      <c r="E2929" s="20">
        <f>""</f>
        <v/>
      </c>
      <c r="F2929" s="20">
        <f>IF($C2929="","",IF(Registro_Compras!$F$328="RHE",(ROUND(Registro_Compras!$L$328*Registro_Compras!$N$328,2)-ROUND(Registro_Compras!$V$328*Registro_Compras!$N$328,2)),ROUND(Registro_Compras!$O$328-Registro_Compras!$S$328,2)))</f>
        <v/>
      </c>
      <c r="G2929">
        <f>IF($C2929="","","Por la cancelacion del saldo al proveedor")</f>
        <v/>
      </c>
      <c r="H2929">
        <f>IF($C2929="","",Registro_Compras!$C$328)</f>
        <v/>
      </c>
    </row>
    <row r="2930">
      <c r="A2930" s="25">
        <f>IF($C2930="","",Registro_Compras!$B$329)</f>
        <v/>
      </c>
      <c r="B2930">
        <f>IF($C2930="","","C"&amp;TEXT(INT((ROW()-5)/9)+1,"000")&amp;"-1")</f>
        <v/>
      </c>
      <c r="C2930">
        <f>IF(OR(Registro_Compras!$C$329="",Registro_Compras!$O$329=""),"",IF(Registro_Compras!$F$329="NOTA DE CREDITO","4212",IF(Registro_Compras!$M$329="","63",Registro_Compras!$M$329)))</f>
        <v/>
      </c>
      <c r="D2930">
        <f>IF(OR(Registro_Compras!$C$329="",Registro_Compras!$O$329=""),"",IF(Registro_Compras!$F$329="NOTA DE CREDITO","Cuentas por Pagar Comerciales - Terceros (Emitidas)",IF(Registro_Compras!$F$329="RHE","Honorarios Profesionales - Servicios de Terceros","Gastos de Servicios Prestados por Terceros")))</f>
        <v/>
      </c>
      <c r="E2930" s="20">
        <f>IF($C2930="","",IF(Registro_Compras!$F$329="NOTA DE CREDITO",ABS(Registro_Compras!$O$329),IF(Registro_Compras!$F$329="RHE",ROUND(Registro_Compras!$L$329*Registro_Compras!$N$329,2),ROUND(Registro_Compras!$J$329*Registro_Compras!$N$329,2))))</f>
        <v/>
      </c>
      <c r="F2930" s="20">
        <f>""</f>
        <v/>
      </c>
      <c r="G2930">
        <f>IF($C2930="","",IF(Registro_Compras!$F$329="NOTA DE CREDITO","Por la nota de credito "&amp;Registro_Compras!$C$329&amp;" de "&amp;Registro_Compras!$E$329&amp;" [PATRON POR CONFIRMAR CON CONTADOR]",IF(Registro_Compras!$F$329="RHE","Por el registro del recibo por honorarios "&amp;Registro_Compras!$C$329&amp;" de "&amp;Registro_Compras!$E$329&amp;" [PATRON POR CONFIRMAR CON CONTADOR]","Por el registro de la factura "&amp;Registro_Compras!$C$329&amp;" de "&amp;Registro_Compras!$E$329)))</f>
        <v/>
      </c>
      <c r="H2930">
        <f>IF($C2930="","",Registro_Compras!$C$329)</f>
        <v/>
      </c>
    </row>
    <row r="2931">
      <c r="A2931" s="25">
        <f>IF($C2931="","",Registro_Compras!$B$329)</f>
        <v/>
      </c>
      <c r="B2931">
        <f>IF($C2931="","","C"&amp;TEXT(INT((ROW()-5)/9)+1,"000")&amp;"-1")</f>
        <v/>
      </c>
      <c r="C2931">
        <f>IF(OR(Registro_Compras!$C$329="",Registro_Compras!$O$329=""),"",IF(Registro_Compras!$F$329="RHE",IF(Registro_Compras!$V$329=0,"","40172"),IF(Registro_Compras!$F$329="NOTA DE CREDITO",IF(Registro_Compras!$M$329="","63",Registro_Compras!$M$329),IF(Registro_Compras!$K$329=0,"","40111"))))</f>
        <v/>
      </c>
      <c r="D2931">
        <f>IF(OR(Registro_Compras!$C$329="",Registro_Compras!$O$329=""),"",IF(Registro_Compras!$F$329="RHE","Retencion Renta 4ta Categoria por Pagar",IF(Registro_Compras!$F$329="NOTA DE CREDITO","Gastos de Servicios Prestados por Terceros","IGV - Cuenta Propia (Credito Fiscal)")))</f>
        <v/>
      </c>
      <c r="E2931" s="20">
        <f>IF($C2931="","",IF(Registro_Compras!$F$329="FACTURA",ROUND(Registro_Compras!$K$329*Registro_Compras!$N$329,2),""))</f>
        <v/>
      </c>
      <c r="F2931" s="20">
        <f>IF($C2931="","",IF(Registro_Compras!$F$329="RHE",ROUND(Registro_Compras!$V$329*Registro_Compras!$N$329,2),IF(Registro_Compras!$F$329="NOTA DE CREDITO",ROUND(ABS(Registro_Compras!$J$329*Registro_Compras!$N$329),2),"")))</f>
        <v/>
      </c>
      <c r="G2931">
        <f>IF($C2931="","",IF(Registro_Compras!$F$329="NOTA DE CREDITO","Por la nota de credito "&amp;Registro_Compras!$C$329&amp;" de "&amp;Registro_Compras!$E$329&amp;" [PATRON POR CONFIRMAR CON CONTADOR]",IF(Registro_Compras!$F$329="RHE","Por el registro del recibo por honorarios "&amp;Registro_Compras!$C$329&amp;" de "&amp;Registro_Compras!$E$329&amp;" [PATRON POR CONFIRMAR CON CONTADOR]","Por el registro de la factura "&amp;Registro_Compras!$C$329&amp;" de "&amp;Registro_Compras!$E$329)))</f>
        <v/>
      </c>
      <c r="H2931">
        <f>IF($C2931="","",Registro_Compras!$C$329)</f>
        <v/>
      </c>
    </row>
    <row r="2932">
      <c r="A2932" s="25">
        <f>IF($C2932="","",Registro_Compras!$B$329)</f>
        <v/>
      </c>
      <c r="B2932">
        <f>IF($C2932="","","C"&amp;TEXT(INT((ROW()-5)/9)+1,"000")&amp;"-1")</f>
        <v/>
      </c>
      <c r="C2932">
        <f>IF(OR(Registro_Compras!$C$329="",Registro_Compras!$O$329=""),"",IF(Registro_Compras!$F$329="NOTA DE CREDITO",IF(Registro_Compras!$K$329=0,"","40111"),"4212"))</f>
        <v/>
      </c>
      <c r="D2932">
        <f>IF(OR(Registro_Compras!$C$329="",Registro_Compras!$O$329=""),"",IF(Registro_Compras!$F$329="NOTA DE CREDITO","IGV - Cuenta Propia (Credito Fiscal)","Cuentas por Pagar Comerciales - Terceros (Emitidas)"))</f>
        <v/>
      </c>
      <c r="E2932" s="20">
        <f>""</f>
        <v/>
      </c>
      <c r="F2932" s="20">
        <f>IF($C2932="","",IF(Registro_Compras!$F$329="NOTA DE CREDITO",ROUND(ABS(Registro_Compras!$K$329*Registro_Compras!$N$329),2),IF(Registro_Compras!$F$329="RHE",(ROUND(Registro_Compras!$L$329*Registro_Compras!$N$329,2)-ROUND(Registro_Compras!$V$329*Registro_Compras!$N$329,2)),Registro_Compras!$O$329)))</f>
        <v/>
      </c>
      <c r="G2932">
        <f>IF($C2932="","",IF(Registro_Compras!$F$329="NOTA DE CREDITO","Por la nota de credito "&amp;Registro_Compras!$C$329&amp;" de "&amp;Registro_Compras!$E$329&amp;" [PATRON POR CONFIRMAR CON CONTADOR]",IF(Registro_Compras!$F$329="RHE","Por el registro del recibo por honorarios "&amp;Registro_Compras!$C$329&amp;" de "&amp;Registro_Compras!$E$329&amp;" [PATRON POR CONFIRMAR CON CONTADOR]","Por el registro de la factura "&amp;Registro_Compras!$C$329&amp;" de "&amp;Registro_Compras!$E$329)))</f>
        <v/>
      </c>
      <c r="H2932">
        <f>IF($C2932="","",Registro_Compras!$C$329)</f>
        <v/>
      </c>
    </row>
    <row r="2933">
      <c r="A2933" s="25">
        <f>IF($C2933="","",Registro_Compras!$B$329)</f>
        <v/>
      </c>
      <c r="B2933">
        <f>IF($C2933="","","C"&amp;TEXT(INT((ROW()-5)/9)+1,"000")&amp;"-2")</f>
        <v/>
      </c>
      <c r="C2933">
        <f>IF(OR(Registro_Compras!$C$329="",Registro_Compras!$O$329=""),"",IF(Registro_Compras!$AB$329="ADMINISTRATIVO","94","95"))</f>
        <v/>
      </c>
      <c r="D2933">
        <f>IF(OR(Registro_Compras!$C$329="",Registro_Compras!$O$329=""),"",IF(Registro_Compras!$AB$329="ADMINISTRATIVO","Gastos Administrativos","Gastos de Venta y Operacion"))</f>
        <v/>
      </c>
      <c r="E2933" s="20">
        <f>IF($C2933="","",IF(Registro_Compras!$F$329="NOTA DE CREDITO","",IF(Registro_Compras!$F$329="RHE",ROUND(Registro_Compras!$L$329*Registro_Compras!$N$329,2),ROUND(Registro_Compras!$J$329*Registro_Compras!$N$329,2))))</f>
        <v/>
      </c>
      <c r="F2933" s="20">
        <f>IF($C2933="","",IF(Registro_Compras!$F$329="NOTA DE CREDITO",ROUND(ABS(Registro_Compras!$J$329*Registro_Compras!$N$329),2),""))</f>
        <v/>
      </c>
      <c r="G2933">
        <f>IF($C2933="","","Por el destino del gasto")</f>
        <v/>
      </c>
      <c r="H2933">
        <f>IF($C2933="","",Registro_Compras!$C$329)</f>
        <v/>
      </c>
    </row>
    <row r="2934">
      <c r="A2934" s="25">
        <f>IF($C2934="","",Registro_Compras!$B$329)</f>
        <v/>
      </c>
      <c r="B2934">
        <f>IF($C2934="","","C"&amp;TEXT(INT((ROW()-5)/9)+1,"000")&amp;"-2")</f>
        <v/>
      </c>
      <c r="C2934">
        <f>IF(OR(Registro_Compras!$C$329="",Registro_Compras!$O$329=""),"","79/791")</f>
        <v/>
      </c>
      <c r="D2934">
        <f>IF(OR(Registro_Compras!$C$329="",Registro_Compras!$O$329=""),"","Cargas Imputables a Cuentas de Costos y Gastos")</f>
        <v/>
      </c>
      <c r="E2934" s="20">
        <f>IF($C2934="","",IF(Registro_Compras!$F$329="NOTA DE CREDITO",ROUND(ABS(Registro_Compras!$J$329*Registro_Compras!$N$329),2),""))</f>
        <v/>
      </c>
      <c r="F2934" s="20">
        <f>IF($C2934="","",IF(Registro_Compras!$F$329="NOTA DE CREDITO","",IF(Registro_Compras!$F$329="RHE",ROUND(Registro_Compras!$L$329*Registro_Compras!$N$329,2),ROUND(Registro_Compras!$J$329*Registro_Compras!$N$329,2))))</f>
        <v/>
      </c>
      <c r="G2934">
        <f>IF($C2934="","","Por el destino del gasto")</f>
        <v/>
      </c>
      <c r="H2934">
        <f>IF($C2934="","",Registro_Compras!$C$329)</f>
        <v/>
      </c>
    </row>
    <row r="2935">
      <c r="A2935" s="25">
        <f>IF($C2935="","",Registro_Compras!$X$329)</f>
        <v/>
      </c>
      <c r="B2935">
        <f>IF($C2935="","","C"&amp;TEXT(INT((ROW()-5)/9)+1,"000")&amp;"-3")</f>
        <v/>
      </c>
      <c r="C2935">
        <f>IF(OR(Registro_Compras!$C$329="",Registro_Compras!$O$329="",Registro_Compras!$R$329&lt;&gt;"SI",Registro_Compras!$X$329=""),"","4212")</f>
        <v/>
      </c>
      <c r="D2935">
        <f>IF(OR(Registro_Compras!$C$329="",Registro_Compras!$O$329=""),"","Cuentas por Pagar Comerciales - Terceros")</f>
        <v/>
      </c>
      <c r="E2935" s="20">
        <f>IF($C2935="","",Registro_Compras!$S$329)</f>
        <v/>
      </c>
      <c r="F2935" s="20">
        <f>""</f>
        <v/>
      </c>
      <c r="G2935">
        <f>IF($C2935="","","Por el deposito de la detraccion en el Banco de la Nacion")</f>
        <v/>
      </c>
      <c r="H2935">
        <f>IF($C2935="","",Registro_Compras!$C$329)</f>
        <v/>
      </c>
    </row>
    <row r="2936">
      <c r="A2936" s="25">
        <f>IF($C2936="","",Registro_Compras!$X$329)</f>
        <v/>
      </c>
      <c r="B2936">
        <f>IF($C2936="","","C"&amp;TEXT(INT((ROW()-5)/9)+1,"000")&amp;"-3")</f>
        <v/>
      </c>
      <c r="C2936">
        <f>IF(OR(Registro_Compras!$C$329="",Registro_Compras!$O$329="",Registro_Compras!$R$329&lt;&gt;"SI",Registro_Compras!$X$329=""),"","10413")</f>
        <v/>
      </c>
      <c r="D2936">
        <f>IF(OR(Registro_Compras!$C$329="",Registro_Compras!$O$329=""),"","Efectivo y Equivalentes - Cta. Cte. Operativa")</f>
        <v/>
      </c>
      <c r="E2936" s="20">
        <f>""</f>
        <v/>
      </c>
      <c r="F2936" s="20">
        <f>IF($C2936="","",Registro_Compras!$S$329)</f>
        <v/>
      </c>
      <c r="G2936">
        <f>IF($C2936="","","Por el deposito de la detraccion en el Banco de la Nacion")</f>
        <v/>
      </c>
      <c r="H2936">
        <f>IF($C2936="","",Registro_Compras!$C$329)</f>
        <v/>
      </c>
    </row>
    <row r="2937">
      <c r="A2937" s="25">
        <f>IF($C2937="","",Registro_Compras!$Y$329)</f>
        <v/>
      </c>
      <c r="B2937">
        <f>IF($C2937="","","C"&amp;TEXT(INT((ROW()-5)/9)+1,"000")&amp;"-4")</f>
        <v/>
      </c>
      <c r="C2937">
        <f>IF(OR(Registro_Compras!$C$329="",Registro_Compras!$O$329="",Registro_Compras!$Y$329="",Registro_Compras!$F$329="NOTA DE CREDITO"),"","4212")</f>
        <v/>
      </c>
      <c r="D2937">
        <f>IF(OR(Registro_Compras!$C$329="",Registro_Compras!$O$329=""),"","Cuentas por Pagar Comerciales - Terceros")</f>
        <v/>
      </c>
      <c r="E2937" s="20">
        <f>IF($C2937="","",IF(Registro_Compras!$F$329="RHE",(ROUND(Registro_Compras!$L$329*Registro_Compras!$N$329,2)-ROUND(Registro_Compras!$V$329*Registro_Compras!$N$329,2)),ROUND(Registro_Compras!$O$329-Registro_Compras!$S$329,2)))</f>
        <v/>
      </c>
      <c r="F2937" s="20">
        <f>""</f>
        <v/>
      </c>
      <c r="G2937">
        <f>IF($C2937="","","Por la cancelacion del saldo al proveedor")</f>
        <v/>
      </c>
      <c r="H2937">
        <f>IF($C2937="","",Registro_Compras!$C$329)</f>
        <v/>
      </c>
    </row>
    <row r="2938">
      <c r="A2938" s="25">
        <f>IF($C2938="","",Registro_Compras!$Y$329)</f>
        <v/>
      </c>
      <c r="B2938">
        <f>IF($C2938="","","C"&amp;TEXT(INT((ROW()-5)/9)+1,"000")&amp;"-4")</f>
        <v/>
      </c>
      <c r="C2938">
        <f>IF(OR(Registro_Compras!$C$329="",Registro_Compras!$O$329="",Registro_Compras!$Y$329="",Registro_Compras!$F$329="NOTA DE CREDITO"),"","10413")</f>
        <v/>
      </c>
      <c r="D2938">
        <f>IF(OR(Registro_Compras!$C$329="",Registro_Compras!$O$329=""),"","Efectivo y Equivalentes - Cta. Cte. Operativa")</f>
        <v/>
      </c>
      <c r="E2938" s="20">
        <f>""</f>
        <v/>
      </c>
      <c r="F2938" s="20">
        <f>IF($C2938="","",IF(Registro_Compras!$F$329="RHE",(ROUND(Registro_Compras!$L$329*Registro_Compras!$N$329,2)-ROUND(Registro_Compras!$V$329*Registro_Compras!$N$329,2)),ROUND(Registro_Compras!$O$329-Registro_Compras!$S$329,2)))</f>
        <v/>
      </c>
      <c r="G2938">
        <f>IF($C2938="","","Por la cancelacion del saldo al proveedor")</f>
        <v/>
      </c>
      <c r="H2938">
        <f>IF($C2938="","",Registro_Compras!$C$329)</f>
        <v/>
      </c>
    </row>
    <row r="2939">
      <c r="A2939" s="25">
        <f>IF($C2939="","",Registro_Compras!$B$330)</f>
        <v/>
      </c>
      <c r="B2939">
        <f>IF($C2939="","","C"&amp;TEXT(INT((ROW()-5)/9)+1,"000")&amp;"-1")</f>
        <v/>
      </c>
      <c r="C2939">
        <f>IF(OR(Registro_Compras!$C$330="",Registro_Compras!$O$330=""),"",IF(Registro_Compras!$F$330="NOTA DE CREDITO","4212",IF(Registro_Compras!$M$330="","63",Registro_Compras!$M$330)))</f>
        <v/>
      </c>
      <c r="D2939">
        <f>IF(OR(Registro_Compras!$C$330="",Registro_Compras!$O$330=""),"",IF(Registro_Compras!$F$330="NOTA DE CREDITO","Cuentas por Pagar Comerciales - Terceros (Emitidas)",IF(Registro_Compras!$F$330="RHE","Honorarios Profesionales - Servicios de Terceros","Gastos de Servicios Prestados por Terceros")))</f>
        <v/>
      </c>
      <c r="E2939" s="20">
        <f>IF($C2939="","",IF(Registro_Compras!$F$330="NOTA DE CREDITO",ABS(Registro_Compras!$O$330),IF(Registro_Compras!$F$330="RHE",ROUND(Registro_Compras!$L$330*Registro_Compras!$N$330,2),ROUND(Registro_Compras!$J$330*Registro_Compras!$N$330,2))))</f>
        <v/>
      </c>
      <c r="F2939" s="20">
        <f>""</f>
        <v/>
      </c>
      <c r="G2939">
        <f>IF($C2939="","",IF(Registro_Compras!$F$330="NOTA DE CREDITO","Por la nota de credito "&amp;Registro_Compras!$C$330&amp;" de "&amp;Registro_Compras!$E$330&amp;" [PATRON POR CONFIRMAR CON CONTADOR]",IF(Registro_Compras!$F$330="RHE","Por el registro del recibo por honorarios "&amp;Registro_Compras!$C$330&amp;" de "&amp;Registro_Compras!$E$330&amp;" [PATRON POR CONFIRMAR CON CONTADOR]","Por el registro de la factura "&amp;Registro_Compras!$C$330&amp;" de "&amp;Registro_Compras!$E$330)))</f>
        <v/>
      </c>
      <c r="H2939">
        <f>IF($C2939="","",Registro_Compras!$C$330)</f>
        <v/>
      </c>
    </row>
    <row r="2940">
      <c r="A2940" s="25">
        <f>IF($C2940="","",Registro_Compras!$B$330)</f>
        <v/>
      </c>
      <c r="B2940">
        <f>IF($C2940="","","C"&amp;TEXT(INT((ROW()-5)/9)+1,"000")&amp;"-1")</f>
        <v/>
      </c>
      <c r="C2940">
        <f>IF(OR(Registro_Compras!$C$330="",Registro_Compras!$O$330=""),"",IF(Registro_Compras!$F$330="RHE",IF(Registro_Compras!$V$330=0,"","40172"),IF(Registro_Compras!$F$330="NOTA DE CREDITO",IF(Registro_Compras!$M$330="","63",Registro_Compras!$M$330),IF(Registro_Compras!$K$330=0,"","40111"))))</f>
        <v/>
      </c>
      <c r="D2940">
        <f>IF(OR(Registro_Compras!$C$330="",Registro_Compras!$O$330=""),"",IF(Registro_Compras!$F$330="RHE","Retencion Renta 4ta Categoria por Pagar",IF(Registro_Compras!$F$330="NOTA DE CREDITO","Gastos de Servicios Prestados por Terceros","IGV - Cuenta Propia (Credito Fiscal)")))</f>
        <v/>
      </c>
      <c r="E2940" s="20">
        <f>IF($C2940="","",IF(Registro_Compras!$F$330="FACTURA",ROUND(Registro_Compras!$K$330*Registro_Compras!$N$330,2),""))</f>
        <v/>
      </c>
      <c r="F2940" s="20">
        <f>IF($C2940="","",IF(Registro_Compras!$F$330="RHE",ROUND(Registro_Compras!$V$330*Registro_Compras!$N$330,2),IF(Registro_Compras!$F$330="NOTA DE CREDITO",ROUND(ABS(Registro_Compras!$J$330*Registro_Compras!$N$330),2),"")))</f>
        <v/>
      </c>
      <c r="G2940">
        <f>IF($C2940="","",IF(Registro_Compras!$F$330="NOTA DE CREDITO","Por la nota de credito "&amp;Registro_Compras!$C$330&amp;" de "&amp;Registro_Compras!$E$330&amp;" [PATRON POR CONFIRMAR CON CONTADOR]",IF(Registro_Compras!$F$330="RHE","Por el registro del recibo por honorarios "&amp;Registro_Compras!$C$330&amp;" de "&amp;Registro_Compras!$E$330&amp;" [PATRON POR CONFIRMAR CON CONTADOR]","Por el registro de la factura "&amp;Registro_Compras!$C$330&amp;" de "&amp;Registro_Compras!$E$330)))</f>
        <v/>
      </c>
      <c r="H2940">
        <f>IF($C2940="","",Registro_Compras!$C$330)</f>
        <v/>
      </c>
    </row>
    <row r="2941">
      <c r="A2941" s="25">
        <f>IF($C2941="","",Registro_Compras!$B$330)</f>
        <v/>
      </c>
      <c r="B2941">
        <f>IF($C2941="","","C"&amp;TEXT(INT((ROW()-5)/9)+1,"000")&amp;"-1")</f>
        <v/>
      </c>
      <c r="C2941">
        <f>IF(OR(Registro_Compras!$C$330="",Registro_Compras!$O$330=""),"",IF(Registro_Compras!$F$330="NOTA DE CREDITO",IF(Registro_Compras!$K$330=0,"","40111"),"4212"))</f>
        <v/>
      </c>
      <c r="D2941">
        <f>IF(OR(Registro_Compras!$C$330="",Registro_Compras!$O$330=""),"",IF(Registro_Compras!$F$330="NOTA DE CREDITO","IGV - Cuenta Propia (Credito Fiscal)","Cuentas por Pagar Comerciales - Terceros (Emitidas)"))</f>
        <v/>
      </c>
      <c r="E2941" s="20">
        <f>""</f>
        <v/>
      </c>
      <c r="F2941" s="20">
        <f>IF($C2941="","",IF(Registro_Compras!$F$330="NOTA DE CREDITO",ROUND(ABS(Registro_Compras!$K$330*Registro_Compras!$N$330),2),IF(Registro_Compras!$F$330="RHE",(ROUND(Registro_Compras!$L$330*Registro_Compras!$N$330,2)-ROUND(Registro_Compras!$V$330*Registro_Compras!$N$330,2)),Registro_Compras!$O$330)))</f>
        <v/>
      </c>
      <c r="G2941">
        <f>IF($C2941="","",IF(Registro_Compras!$F$330="NOTA DE CREDITO","Por la nota de credito "&amp;Registro_Compras!$C$330&amp;" de "&amp;Registro_Compras!$E$330&amp;" [PATRON POR CONFIRMAR CON CONTADOR]",IF(Registro_Compras!$F$330="RHE","Por el registro del recibo por honorarios "&amp;Registro_Compras!$C$330&amp;" de "&amp;Registro_Compras!$E$330&amp;" [PATRON POR CONFIRMAR CON CONTADOR]","Por el registro de la factura "&amp;Registro_Compras!$C$330&amp;" de "&amp;Registro_Compras!$E$330)))</f>
        <v/>
      </c>
      <c r="H2941">
        <f>IF($C2941="","",Registro_Compras!$C$330)</f>
        <v/>
      </c>
    </row>
    <row r="2942">
      <c r="A2942" s="25">
        <f>IF($C2942="","",Registro_Compras!$B$330)</f>
        <v/>
      </c>
      <c r="B2942">
        <f>IF($C2942="","","C"&amp;TEXT(INT((ROW()-5)/9)+1,"000")&amp;"-2")</f>
        <v/>
      </c>
      <c r="C2942">
        <f>IF(OR(Registro_Compras!$C$330="",Registro_Compras!$O$330=""),"",IF(Registro_Compras!$AB$330="ADMINISTRATIVO","94","95"))</f>
        <v/>
      </c>
      <c r="D2942">
        <f>IF(OR(Registro_Compras!$C$330="",Registro_Compras!$O$330=""),"",IF(Registro_Compras!$AB$330="ADMINISTRATIVO","Gastos Administrativos","Gastos de Venta y Operacion"))</f>
        <v/>
      </c>
      <c r="E2942" s="20">
        <f>IF($C2942="","",IF(Registro_Compras!$F$330="NOTA DE CREDITO","",IF(Registro_Compras!$F$330="RHE",ROUND(Registro_Compras!$L$330*Registro_Compras!$N$330,2),ROUND(Registro_Compras!$J$330*Registro_Compras!$N$330,2))))</f>
        <v/>
      </c>
      <c r="F2942" s="20">
        <f>IF($C2942="","",IF(Registro_Compras!$F$330="NOTA DE CREDITO",ROUND(ABS(Registro_Compras!$J$330*Registro_Compras!$N$330),2),""))</f>
        <v/>
      </c>
      <c r="G2942">
        <f>IF($C2942="","","Por el destino del gasto")</f>
        <v/>
      </c>
      <c r="H2942">
        <f>IF($C2942="","",Registro_Compras!$C$330)</f>
        <v/>
      </c>
    </row>
    <row r="2943">
      <c r="A2943" s="25">
        <f>IF($C2943="","",Registro_Compras!$B$330)</f>
        <v/>
      </c>
      <c r="B2943">
        <f>IF($C2943="","","C"&amp;TEXT(INT((ROW()-5)/9)+1,"000")&amp;"-2")</f>
        <v/>
      </c>
      <c r="C2943">
        <f>IF(OR(Registro_Compras!$C$330="",Registro_Compras!$O$330=""),"","79/791")</f>
        <v/>
      </c>
      <c r="D2943">
        <f>IF(OR(Registro_Compras!$C$330="",Registro_Compras!$O$330=""),"","Cargas Imputables a Cuentas de Costos y Gastos")</f>
        <v/>
      </c>
      <c r="E2943" s="20">
        <f>IF($C2943="","",IF(Registro_Compras!$F$330="NOTA DE CREDITO",ROUND(ABS(Registro_Compras!$J$330*Registro_Compras!$N$330),2),""))</f>
        <v/>
      </c>
      <c r="F2943" s="20">
        <f>IF($C2943="","",IF(Registro_Compras!$F$330="NOTA DE CREDITO","",IF(Registro_Compras!$F$330="RHE",ROUND(Registro_Compras!$L$330*Registro_Compras!$N$330,2),ROUND(Registro_Compras!$J$330*Registro_Compras!$N$330,2))))</f>
        <v/>
      </c>
      <c r="G2943">
        <f>IF($C2943="","","Por el destino del gasto")</f>
        <v/>
      </c>
      <c r="H2943">
        <f>IF($C2943="","",Registro_Compras!$C$330)</f>
        <v/>
      </c>
    </row>
    <row r="2944">
      <c r="A2944" s="25">
        <f>IF($C2944="","",Registro_Compras!$X$330)</f>
        <v/>
      </c>
      <c r="B2944">
        <f>IF($C2944="","","C"&amp;TEXT(INT((ROW()-5)/9)+1,"000")&amp;"-3")</f>
        <v/>
      </c>
      <c r="C2944">
        <f>IF(OR(Registro_Compras!$C$330="",Registro_Compras!$O$330="",Registro_Compras!$R$330&lt;&gt;"SI",Registro_Compras!$X$330=""),"","4212")</f>
        <v/>
      </c>
      <c r="D2944">
        <f>IF(OR(Registro_Compras!$C$330="",Registro_Compras!$O$330=""),"","Cuentas por Pagar Comerciales - Terceros")</f>
        <v/>
      </c>
      <c r="E2944" s="20">
        <f>IF($C2944="","",Registro_Compras!$S$330)</f>
        <v/>
      </c>
      <c r="F2944" s="20">
        <f>""</f>
        <v/>
      </c>
      <c r="G2944">
        <f>IF($C2944="","","Por el deposito de la detraccion en el Banco de la Nacion")</f>
        <v/>
      </c>
      <c r="H2944">
        <f>IF($C2944="","",Registro_Compras!$C$330)</f>
        <v/>
      </c>
    </row>
    <row r="2945">
      <c r="A2945" s="25">
        <f>IF($C2945="","",Registro_Compras!$X$330)</f>
        <v/>
      </c>
      <c r="B2945">
        <f>IF($C2945="","","C"&amp;TEXT(INT((ROW()-5)/9)+1,"000")&amp;"-3")</f>
        <v/>
      </c>
      <c r="C2945">
        <f>IF(OR(Registro_Compras!$C$330="",Registro_Compras!$O$330="",Registro_Compras!$R$330&lt;&gt;"SI",Registro_Compras!$X$330=""),"","10413")</f>
        <v/>
      </c>
      <c r="D2945">
        <f>IF(OR(Registro_Compras!$C$330="",Registro_Compras!$O$330=""),"","Efectivo y Equivalentes - Cta. Cte. Operativa")</f>
        <v/>
      </c>
      <c r="E2945" s="20">
        <f>""</f>
        <v/>
      </c>
      <c r="F2945" s="20">
        <f>IF($C2945="","",Registro_Compras!$S$330)</f>
        <v/>
      </c>
      <c r="G2945">
        <f>IF($C2945="","","Por el deposito de la detraccion en el Banco de la Nacion")</f>
        <v/>
      </c>
      <c r="H2945">
        <f>IF($C2945="","",Registro_Compras!$C$330)</f>
        <v/>
      </c>
    </row>
    <row r="2946">
      <c r="A2946" s="25">
        <f>IF($C2946="","",Registro_Compras!$Y$330)</f>
        <v/>
      </c>
      <c r="B2946">
        <f>IF($C2946="","","C"&amp;TEXT(INT((ROW()-5)/9)+1,"000")&amp;"-4")</f>
        <v/>
      </c>
      <c r="C2946">
        <f>IF(OR(Registro_Compras!$C$330="",Registro_Compras!$O$330="",Registro_Compras!$Y$330="",Registro_Compras!$F$330="NOTA DE CREDITO"),"","4212")</f>
        <v/>
      </c>
      <c r="D2946">
        <f>IF(OR(Registro_Compras!$C$330="",Registro_Compras!$O$330=""),"","Cuentas por Pagar Comerciales - Terceros")</f>
        <v/>
      </c>
      <c r="E2946" s="20">
        <f>IF($C2946="","",IF(Registro_Compras!$F$330="RHE",(ROUND(Registro_Compras!$L$330*Registro_Compras!$N$330,2)-ROUND(Registro_Compras!$V$330*Registro_Compras!$N$330,2)),ROUND(Registro_Compras!$O$330-Registro_Compras!$S$330,2)))</f>
        <v/>
      </c>
      <c r="F2946" s="20">
        <f>""</f>
        <v/>
      </c>
      <c r="G2946">
        <f>IF($C2946="","","Por la cancelacion del saldo al proveedor")</f>
        <v/>
      </c>
      <c r="H2946">
        <f>IF($C2946="","",Registro_Compras!$C$330)</f>
        <v/>
      </c>
    </row>
    <row r="2947">
      <c r="A2947" s="25">
        <f>IF($C2947="","",Registro_Compras!$Y$330)</f>
        <v/>
      </c>
      <c r="B2947">
        <f>IF($C2947="","","C"&amp;TEXT(INT((ROW()-5)/9)+1,"000")&amp;"-4")</f>
        <v/>
      </c>
      <c r="C2947">
        <f>IF(OR(Registro_Compras!$C$330="",Registro_Compras!$O$330="",Registro_Compras!$Y$330="",Registro_Compras!$F$330="NOTA DE CREDITO"),"","10413")</f>
        <v/>
      </c>
      <c r="D2947">
        <f>IF(OR(Registro_Compras!$C$330="",Registro_Compras!$O$330=""),"","Efectivo y Equivalentes - Cta. Cte. Operativa")</f>
        <v/>
      </c>
      <c r="E2947" s="20">
        <f>""</f>
        <v/>
      </c>
      <c r="F2947" s="20">
        <f>IF($C2947="","",IF(Registro_Compras!$F$330="RHE",(ROUND(Registro_Compras!$L$330*Registro_Compras!$N$330,2)-ROUND(Registro_Compras!$V$330*Registro_Compras!$N$330,2)),ROUND(Registro_Compras!$O$330-Registro_Compras!$S$330,2)))</f>
        <v/>
      </c>
      <c r="G2947">
        <f>IF($C2947="","","Por la cancelacion del saldo al proveedor")</f>
        <v/>
      </c>
      <c r="H2947">
        <f>IF($C2947="","",Registro_Compras!$C$330)</f>
        <v/>
      </c>
    </row>
    <row r="2948">
      <c r="A2948" s="25">
        <f>IF($C2948="","",Registro_Compras!$B$331)</f>
        <v/>
      </c>
      <c r="B2948">
        <f>IF($C2948="","","C"&amp;TEXT(INT((ROW()-5)/9)+1,"000")&amp;"-1")</f>
        <v/>
      </c>
      <c r="C2948">
        <f>IF(OR(Registro_Compras!$C$331="",Registro_Compras!$O$331=""),"",IF(Registro_Compras!$F$331="NOTA DE CREDITO","4212",IF(Registro_Compras!$M$331="","63",Registro_Compras!$M$331)))</f>
        <v/>
      </c>
      <c r="D2948">
        <f>IF(OR(Registro_Compras!$C$331="",Registro_Compras!$O$331=""),"",IF(Registro_Compras!$F$331="NOTA DE CREDITO","Cuentas por Pagar Comerciales - Terceros (Emitidas)",IF(Registro_Compras!$F$331="RHE","Honorarios Profesionales - Servicios de Terceros","Gastos de Servicios Prestados por Terceros")))</f>
        <v/>
      </c>
      <c r="E2948" s="20">
        <f>IF($C2948="","",IF(Registro_Compras!$F$331="NOTA DE CREDITO",ABS(Registro_Compras!$O$331),IF(Registro_Compras!$F$331="RHE",ROUND(Registro_Compras!$L$331*Registro_Compras!$N$331,2),ROUND(Registro_Compras!$J$331*Registro_Compras!$N$331,2))))</f>
        <v/>
      </c>
      <c r="F2948" s="20">
        <f>""</f>
        <v/>
      </c>
      <c r="G2948">
        <f>IF($C2948="","",IF(Registro_Compras!$F$331="NOTA DE CREDITO","Por la nota de credito "&amp;Registro_Compras!$C$331&amp;" de "&amp;Registro_Compras!$E$331&amp;" [PATRON POR CONFIRMAR CON CONTADOR]",IF(Registro_Compras!$F$331="RHE","Por el registro del recibo por honorarios "&amp;Registro_Compras!$C$331&amp;" de "&amp;Registro_Compras!$E$331&amp;" [PATRON POR CONFIRMAR CON CONTADOR]","Por el registro de la factura "&amp;Registro_Compras!$C$331&amp;" de "&amp;Registro_Compras!$E$331)))</f>
        <v/>
      </c>
      <c r="H2948">
        <f>IF($C2948="","",Registro_Compras!$C$331)</f>
        <v/>
      </c>
    </row>
    <row r="2949">
      <c r="A2949" s="25">
        <f>IF($C2949="","",Registro_Compras!$B$331)</f>
        <v/>
      </c>
      <c r="B2949">
        <f>IF($C2949="","","C"&amp;TEXT(INT((ROW()-5)/9)+1,"000")&amp;"-1")</f>
        <v/>
      </c>
      <c r="C2949">
        <f>IF(OR(Registro_Compras!$C$331="",Registro_Compras!$O$331=""),"",IF(Registro_Compras!$F$331="RHE",IF(Registro_Compras!$V$331=0,"","40172"),IF(Registro_Compras!$F$331="NOTA DE CREDITO",IF(Registro_Compras!$M$331="","63",Registro_Compras!$M$331),IF(Registro_Compras!$K$331=0,"","40111"))))</f>
        <v/>
      </c>
      <c r="D2949">
        <f>IF(OR(Registro_Compras!$C$331="",Registro_Compras!$O$331=""),"",IF(Registro_Compras!$F$331="RHE","Retencion Renta 4ta Categoria por Pagar",IF(Registro_Compras!$F$331="NOTA DE CREDITO","Gastos de Servicios Prestados por Terceros","IGV - Cuenta Propia (Credito Fiscal)")))</f>
        <v/>
      </c>
      <c r="E2949" s="20">
        <f>IF($C2949="","",IF(Registro_Compras!$F$331="FACTURA",ROUND(Registro_Compras!$K$331*Registro_Compras!$N$331,2),""))</f>
        <v/>
      </c>
      <c r="F2949" s="20">
        <f>IF($C2949="","",IF(Registro_Compras!$F$331="RHE",ROUND(Registro_Compras!$V$331*Registro_Compras!$N$331,2),IF(Registro_Compras!$F$331="NOTA DE CREDITO",ROUND(ABS(Registro_Compras!$J$331*Registro_Compras!$N$331),2),"")))</f>
        <v/>
      </c>
      <c r="G2949">
        <f>IF($C2949="","",IF(Registro_Compras!$F$331="NOTA DE CREDITO","Por la nota de credito "&amp;Registro_Compras!$C$331&amp;" de "&amp;Registro_Compras!$E$331&amp;" [PATRON POR CONFIRMAR CON CONTADOR]",IF(Registro_Compras!$F$331="RHE","Por el registro del recibo por honorarios "&amp;Registro_Compras!$C$331&amp;" de "&amp;Registro_Compras!$E$331&amp;" [PATRON POR CONFIRMAR CON CONTADOR]","Por el registro de la factura "&amp;Registro_Compras!$C$331&amp;" de "&amp;Registro_Compras!$E$331)))</f>
        <v/>
      </c>
      <c r="H2949">
        <f>IF($C2949="","",Registro_Compras!$C$331)</f>
        <v/>
      </c>
    </row>
    <row r="2950">
      <c r="A2950" s="25">
        <f>IF($C2950="","",Registro_Compras!$B$331)</f>
        <v/>
      </c>
      <c r="B2950">
        <f>IF($C2950="","","C"&amp;TEXT(INT((ROW()-5)/9)+1,"000")&amp;"-1")</f>
        <v/>
      </c>
      <c r="C2950">
        <f>IF(OR(Registro_Compras!$C$331="",Registro_Compras!$O$331=""),"",IF(Registro_Compras!$F$331="NOTA DE CREDITO",IF(Registro_Compras!$K$331=0,"","40111"),"4212"))</f>
        <v/>
      </c>
      <c r="D2950">
        <f>IF(OR(Registro_Compras!$C$331="",Registro_Compras!$O$331=""),"",IF(Registro_Compras!$F$331="NOTA DE CREDITO","IGV - Cuenta Propia (Credito Fiscal)","Cuentas por Pagar Comerciales - Terceros (Emitidas)"))</f>
        <v/>
      </c>
      <c r="E2950" s="20">
        <f>""</f>
        <v/>
      </c>
      <c r="F2950" s="20">
        <f>IF($C2950="","",IF(Registro_Compras!$F$331="NOTA DE CREDITO",ROUND(ABS(Registro_Compras!$K$331*Registro_Compras!$N$331),2),IF(Registro_Compras!$F$331="RHE",(ROUND(Registro_Compras!$L$331*Registro_Compras!$N$331,2)-ROUND(Registro_Compras!$V$331*Registro_Compras!$N$331,2)),Registro_Compras!$O$331)))</f>
        <v/>
      </c>
      <c r="G2950">
        <f>IF($C2950="","",IF(Registro_Compras!$F$331="NOTA DE CREDITO","Por la nota de credito "&amp;Registro_Compras!$C$331&amp;" de "&amp;Registro_Compras!$E$331&amp;" [PATRON POR CONFIRMAR CON CONTADOR]",IF(Registro_Compras!$F$331="RHE","Por el registro del recibo por honorarios "&amp;Registro_Compras!$C$331&amp;" de "&amp;Registro_Compras!$E$331&amp;" [PATRON POR CONFIRMAR CON CONTADOR]","Por el registro de la factura "&amp;Registro_Compras!$C$331&amp;" de "&amp;Registro_Compras!$E$331)))</f>
        <v/>
      </c>
      <c r="H2950">
        <f>IF($C2950="","",Registro_Compras!$C$331)</f>
        <v/>
      </c>
    </row>
    <row r="2951">
      <c r="A2951" s="25">
        <f>IF($C2951="","",Registro_Compras!$B$331)</f>
        <v/>
      </c>
      <c r="B2951">
        <f>IF($C2951="","","C"&amp;TEXT(INT((ROW()-5)/9)+1,"000")&amp;"-2")</f>
        <v/>
      </c>
      <c r="C2951">
        <f>IF(OR(Registro_Compras!$C$331="",Registro_Compras!$O$331=""),"",IF(Registro_Compras!$AB$331="ADMINISTRATIVO","94","95"))</f>
        <v/>
      </c>
      <c r="D2951">
        <f>IF(OR(Registro_Compras!$C$331="",Registro_Compras!$O$331=""),"",IF(Registro_Compras!$AB$331="ADMINISTRATIVO","Gastos Administrativos","Gastos de Venta y Operacion"))</f>
        <v/>
      </c>
      <c r="E2951" s="20">
        <f>IF($C2951="","",IF(Registro_Compras!$F$331="NOTA DE CREDITO","",IF(Registro_Compras!$F$331="RHE",ROUND(Registro_Compras!$L$331*Registro_Compras!$N$331,2),ROUND(Registro_Compras!$J$331*Registro_Compras!$N$331,2))))</f>
        <v/>
      </c>
      <c r="F2951" s="20">
        <f>IF($C2951="","",IF(Registro_Compras!$F$331="NOTA DE CREDITO",ROUND(ABS(Registro_Compras!$J$331*Registro_Compras!$N$331),2),""))</f>
        <v/>
      </c>
      <c r="G2951">
        <f>IF($C2951="","","Por el destino del gasto")</f>
        <v/>
      </c>
      <c r="H2951">
        <f>IF($C2951="","",Registro_Compras!$C$331)</f>
        <v/>
      </c>
    </row>
    <row r="2952">
      <c r="A2952" s="25">
        <f>IF($C2952="","",Registro_Compras!$B$331)</f>
        <v/>
      </c>
      <c r="B2952">
        <f>IF($C2952="","","C"&amp;TEXT(INT((ROW()-5)/9)+1,"000")&amp;"-2")</f>
        <v/>
      </c>
      <c r="C2952">
        <f>IF(OR(Registro_Compras!$C$331="",Registro_Compras!$O$331=""),"","79/791")</f>
        <v/>
      </c>
      <c r="D2952">
        <f>IF(OR(Registro_Compras!$C$331="",Registro_Compras!$O$331=""),"","Cargas Imputables a Cuentas de Costos y Gastos")</f>
        <v/>
      </c>
      <c r="E2952" s="20">
        <f>IF($C2952="","",IF(Registro_Compras!$F$331="NOTA DE CREDITO",ROUND(ABS(Registro_Compras!$J$331*Registro_Compras!$N$331),2),""))</f>
        <v/>
      </c>
      <c r="F2952" s="20">
        <f>IF($C2952="","",IF(Registro_Compras!$F$331="NOTA DE CREDITO","",IF(Registro_Compras!$F$331="RHE",ROUND(Registro_Compras!$L$331*Registro_Compras!$N$331,2),ROUND(Registro_Compras!$J$331*Registro_Compras!$N$331,2))))</f>
        <v/>
      </c>
      <c r="G2952">
        <f>IF($C2952="","","Por el destino del gasto")</f>
        <v/>
      </c>
      <c r="H2952">
        <f>IF($C2952="","",Registro_Compras!$C$331)</f>
        <v/>
      </c>
    </row>
    <row r="2953">
      <c r="A2953" s="25">
        <f>IF($C2953="","",Registro_Compras!$X$331)</f>
        <v/>
      </c>
      <c r="B2953">
        <f>IF($C2953="","","C"&amp;TEXT(INT((ROW()-5)/9)+1,"000")&amp;"-3")</f>
        <v/>
      </c>
      <c r="C2953">
        <f>IF(OR(Registro_Compras!$C$331="",Registro_Compras!$O$331="",Registro_Compras!$R$331&lt;&gt;"SI",Registro_Compras!$X$331=""),"","4212")</f>
        <v/>
      </c>
      <c r="D2953">
        <f>IF(OR(Registro_Compras!$C$331="",Registro_Compras!$O$331=""),"","Cuentas por Pagar Comerciales - Terceros")</f>
        <v/>
      </c>
      <c r="E2953" s="20">
        <f>IF($C2953="","",Registro_Compras!$S$331)</f>
        <v/>
      </c>
      <c r="F2953" s="20">
        <f>""</f>
        <v/>
      </c>
      <c r="G2953">
        <f>IF($C2953="","","Por el deposito de la detraccion en el Banco de la Nacion")</f>
        <v/>
      </c>
      <c r="H2953">
        <f>IF($C2953="","",Registro_Compras!$C$331)</f>
        <v/>
      </c>
    </row>
    <row r="2954">
      <c r="A2954" s="25">
        <f>IF($C2954="","",Registro_Compras!$X$331)</f>
        <v/>
      </c>
      <c r="B2954">
        <f>IF($C2954="","","C"&amp;TEXT(INT((ROW()-5)/9)+1,"000")&amp;"-3")</f>
        <v/>
      </c>
      <c r="C2954">
        <f>IF(OR(Registro_Compras!$C$331="",Registro_Compras!$O$331="",Registro_Compras!$R$331&lt;&gt;"SI",Registro_Compras!$X$331=""),"","10413")</f>
        <v/>
      </c>
      <c r="D2954">
        <f>IF(OR(Registro_Compras!$C$331="",Registro_Compras!$O$331=""),"","Efectivo y Equivalentes - Cta. Cte. Operativa")</f>
        <v/>
      </c>
      <c r="E2954" s="20">
        <f>""</f>
        <v/>
      </c>
      <c r="F2954" s="20">
        <f>IF($C2954="","",Registro_Compras!$S$331)</f>
        <v/>
      </c>
      <c r="G2954">
        <f>IF($C2954="","","Por el deposito de la detraccion en el Banco de la Nacion")</f>
        <v/>
      </c>
      <c r="H2954">
        <f>IF($C2954="","",Registro_Compras!$C$331)</f>
        <v/>
      </c>
    </row>
    <row r="2955">
      <c r="A2955" s="25">
        <f>IF($C2955="","",Registro_Compras!$Y$331)</f>
        <v/>
      </c>
      <c r="B2955">
        <f>IF($C2955="","","C"&amp;TEXT(INT((ROW()-5)/9)+1,"000")&amp;"-4")</f>
        <v/>
      </c>
      <c r="C2955">
        <f>IF(OR(Registro_Compras!$C$331="",Registro_Compras!$O$331="",Registro_Compras!$Y$331="",Registro_Compras!$F$331="NOTA DE CREDITO"),"","4212")</f>
        <v/>
      </c>
      <c r="D2955">
        <f>IF(OR(Registro_Compras!$C$331="",Registro_Compras!$O$331=""),"","Cuentas por Pagar Comerciales - Terceros")</f>
        <v/>
      </c>
      <c r="E2955" s="20">
        <f>IF($C2955="","",IF(Registro_Compras!$F$331="RHE",(ROUND(Registro_Compras!$L$331*Registro_Compras!$N$331,2)-ROUND(Registro_Compras!$V$331*Registro_Compras!$N$331,2)),ROUND(Registro_Compras!$O$331-Registro_Compras!$S$331,2)))</f>
        <v/>
      </c>
      <c r="F2955" s="20">
        <f>""</f>
        <v/>
      </c>
      <c r="G2955">
        <f>IF($C2955="","","Por la cancelacion del saldo al proveedor")</f>
        <v/>
      </c>
      <c r="H2955">
        <f>IF($C2955="","",Registro_Compras!$C$331)</f>
        <v/>
      </c>
    </row>
    <row r="2956">
      <c r="A2956" s="25">
        <f>IF($C2956="","",Registro_Compras!$Y$331)</f>
        <v/>
      </c>
      <c r="B2956">
        <f>IF($C2956="","","C"&amp;TEXT(INT((ROW()-5)/9)+1,"000")&amp;"-4")</f>
        <v/>
      </c>
      <c r="C2956">
        <f>IF(OR(Registro_Compras!$C$331="",Registro_Compras!$O$331="",Registro_Compras!$Y$331="",Registro_Compras!$F$331="NOTA DE CREDITO"),"","10413")</f>
        <v/>
      </c>
      <c r="D2956">
        <f>IF(OR(Registro_Compras!$C$331="",Registro_Compras!$O$331=""),"","Efectivo y Equivalentes - Cta. Cte. Operativa")</f>
        <v/>
      </c>
      <c r="E2956" s="20">
        <f>""</f>
        <v/>
      </c>
      <c r="F2956" s="20">
        <f>IF($C2956="","",IF(Registro_Compras!$F$331="RHE",(ROUND(Registro_Compras!$L$331*Registro_Compras!$N$331,2)-ROUND(Registro_Compras!$V$331*Registro_Compras!$N$331,2)),ROUND(Registro_Compras!$O$331-Registro_Compras!$S$331,2)))</f>
        <v/>
      </c>
      <c r="G2956">
        <f>IF($C2956="","","Por la cancelacion del saldo al proveedor")</f>
        <v/>
      </c>
      <c r="H2956">
        <f>IF($C2956="","",Registro_Compras!$C$331)</f>
        <v/>
      </c>
    </row>
    <row r="2957">
      <c r="A2957" s="25">
        <f>IF($C2957="","",Registro_Compras!$B$332)</f>
        <v/>
      </c>
      <c r="B2957">
        <f>IF($C2957="","","C"&amp;TEXT(INT((ROW()-5)/9)+1,"000")&amp;"-1")</f>
        <v/>
      </c>
      <c r="C2957">
        <f>IF(OR(Registro_Compras!$C$332="",Registro_Compras!$O$332=""),"",IF(Registro_Compras!$F$332="NOTA DE CREDITO","4212",IF(Registro_Compras!$M$332="","63",Registro_Compras!$M$332)))</f>
        <v/>
      </c>
      <c r="D2957">
        <f>IF(OR(Registro_Compras!$C$332="",Registro_Compras!$O$332=""),"",IF(Registro_Compras!$F$332="NOTA DE CREDITO","Cuentas por Pagar Comerciales - Terceros (Emitidas)",IF(Registro_Compras!$F$332="RHE","Honorarios Profesionales - Servicios de Terceros","Gastos de Servicios Prestados por Terceros")))</f>
        <v/>
      </c>
      <c r="E2957" s="20">
        <f>IF($C2957="","",IF(Registro_Compras!$F$332="NOTA DE CREDITO",ABS(Registro_Compras!$O$332),IF(Registro_Compras!$F$332="RHE",ROUND(Registro_Compras!$L$332*Registro_Compras!$N$332,2),ROUND(Registro_Compras!$J$332*Registro_Compras!$N$332,2))))</f>
        <v/>
      </c>
      <c r="F2957" s="20">
        <f>""</f>
        <v/>
      </c>
      <c r="G2957">
        <f>IF($C2957="","",IF(Registro_Compras!$F$332="NOTA DE CREDITO","Por la nota de credito "&amp;Registro_Compras!$C$332&amp;" de "&amp;Registro_Compras!$E$332&amp;" [PATRON POR CONFIRMAR CON CONTADOR]",IF(Registro_Compras!$F$332="RHE","Por el registro del recibo por honorarios "&amp;Registro_Compras!$C$332&amp;" de "&amp;Registro_Compras!$E$332&amp;" [PATRON POR CONFIRMAR CON CONTADOR]","Por el registro de la factura "&amp;Registro_Compras!$C$332&amp;" de "&amp;Registro_Compras!$E$332)))</f>
        <v/>
      </c>
      <c r="H2957">
        <f>IF($C2957="","",Registro_Compras!$C$332)</f>
        <v/>
      </c>
    </row>
    <row r="2958">
      <c r="A2958" s="25">
        <f>IF($C2958="","",Registro_Compras!$B$332)</f>
        <v/>
      </c>
      <c r="B2958">
        <f>IF($C2958="","","C"&amp;TEXT(INT((ROW()-5)/9)+1,"000")&amp;"-1")</f>
        <v/>
      </c>
      <c r="C2958">
        <f>IF(OR(Registro_Compras!$C$332="",Registro_Compras!$O$332=""),"",IF(Registro_Compras!$F$332="RHE",IF(Registro_Compras!$V$332=0,"","40172"),IF(Registro_Compras!$F$332="NOTA DE CREDITO",IF(Registro_Compras!$M$332="","63",Registro_Compras!$M$332),IF(Registro_Compras!$K$332=0,"","40111"))))</f>
        <v/>
      </c>
      <c r="D2958">
        <f>IF(OR(Registro_Compras!$C$332="",Registro_Compras!$O$332=""),"",IF(Registro_Compras!$F$332="RHE","Retencion Renta 4ta Categoria por Pagar",IF(Registro_Compras!$F$332="NOTA DE CREDITO","Gastos de Servicios Prestados por Terceros","IGV - Cuenta Propia (Credito Fiscal)")))</f>
        <v/>
      </c>
      <c r="E2958" s="20">
        <f>IF($C2958="","",IF(Registro_Compras!$F$332="FACTURA",ROUND(Registro_Compras!$K$332*Registro_Compras!$N$332,2),""))</f>
        <v/>
      </c>
      <c r="F2958" s="20">
        <f>IF($C2958="","",IF(Registro_Compras!$F$332="RHE",ROUND(Registro_Compras!$V$332*Registro_Compras!$N$332,2),IF(Registro_Compras!$F$332="NOTA DE CREDITO",ROUND(ABS(Registro_Compras!$J$332*Registro_Compras!$N$332),2),"")))</f>
        <v/>
      </c>
      <c r="G2958">
        <f>IF($C2958="","",IF(Registro_Compras!$F$332="NOTA DE CREDITO","Por la nota de credito "&amp;Registro_Compras!$C$332&amp;" de "&amp;Registro_Compras!$E$332&amp;" [PATRON POR CONFIRMAR CON CONTADOR]",IF(Registro_Compras!$F$332="RHE","Por el registro del recibo por honorarios "&amp;Registro_Compras!$C$332&amp;" de "&amp;Registro_Compras!$E$332&amp;" [PATRON POR CONFIRMAR CON CONTADOR]","Por el registro de la factura "&amp;Registro_Compras!$C$332&amp;" de "&amp;Registro_Compras!$E$332)))</f>
        <v/>
      </c>
      <c r="H2958">
        <f>IF($C2958="","",Registro_Compras!$C$332)</f>
        <v/>
      </c>
    </row>
    <row r="2959">
      <c r="A2959" s="25">
        <f>IF($C2959="","",Registro_Compras!$B$332)</f>
        <v/>
      </c>
      <c r="B2959">
        <f>IF($C2959="","","C"&amp;TEXT(INT((ROW()-5)/9)+1,"000")&amp;"-1")</f>
        <v/>
      </c>
      <c r="C2959">
        <f>IF(OR(Registro_Compras!$C$332="",Registro_Compras!$O$332=""),"",IF(Registro_Compras!$F$332="NOTA DE CREDITO",IF(Registro_Compras!$K$332=0,"","40111"),"4212"))</f>
        <v/>
      </c>
      <c r="D2959">
        <f>IF(OR(Registro_Compras!$C$332="",Registro_Compras!$O$332=""),"",IF(Registro_Compras!$F$332="NOTA DE CREDITO","IGV - Cuenta Propia (Credito Fiscal)","Cuentas por Pagar Comerciales - Terceros (Emitidas)"))</f>
        <v/>
      </c>
      <c r="E2959" s="20">
        <f>""</f>
        <v/>
      </c>
      <c r="F2959" s="20">
        <f>IF($C2959="","",IF(Registro_Compras!$F$332="NOTA DE CREDITO",ROUND(ABS(Registro_Compras!$K$332*Registro_Compras!$N$332),2),IF(Registro_Compras!$F$332="RHE",(ROUND(Registro_Compras!$L$332*Registro_Compras!$N$332,2)-ROUND(Registro_Compras!$V$332*Registro_Compras!$N$332,2)),Registro_Compras!$O$332)))</f>
        <v/>
      </c>
      <c r="G2959">
        <f>IF($C2959="","",IF(Registro_Compras!$F$332="NOTA DE CREDITO","Por la nota de credito "&amp;Registro_Compras!$C$332&amp;" de "&amp;Registro_Compras!$E$332&amp;" [PATRON POR CONFIRMAR CON CONTADOR]",IF(Registro_Compras!$F$332="RHE","Por el registro del recibo por honorarios "&amp;Registro_Compras!$C$332&amp;" de "&amp;Registro_Compras!$E$332&amp;" [PATRON POR CONFIRMAR CON CONTADOR]","Por el registro de la factura "&amp;Registro_Compras!$C$332&amp;" de "&amp;Registro_Compras!$E$332)))</f>
        <v/>
      </c>
      <c r="H2959">
        <f>IF($C2959="","",Registro_Compras!$C$332)</f>
        <v/>
      </c>
    </row>
    <row r="2960">
      <c r="A2960" s="25">
        <f>IF($C2960="","",Registro_Compras!$B$332)</f>
        <v/>
      </c>
      <c r="B2960">
        <f>IF($C2960="","","C"&amp;TEXT(INT((ROW()-5)/9)+1,"000")&amp;"-2")</f>
        <v/>
      </c>
      <c r="C2960">
        <f>IF(OR(Registro_Compras!$C$332="",Registro_Compras!$O$332=""),"",IF(Registro_Compras!$AB$332="ADMINISTRATIVO","94","95"))</f>
        <v/>
      </c>
      <c r="D2960">
        <f>IF(OR(Registro_Compras!$C$332="",Registro_Compras!$O$332=""),"",IF(Registro_Compras!$AB$332="ADMINISTRATIVO","Gastos Administrativos","Gastos de Venta y Operacion"))</f>
        <v/>
      </c>
      <c r="E2960" s="20">
        <f>IF($C2960="","",IF(Registro_Compras!$F$332="NOTA DE CREDITO","",IF(Registro_Compras!$F$332="RHE",ROUND(Registro_Compras!$L$332*Registro_Compras!$N$332,2),ROUND(Registro_Compras!$J$332*Registro_Compras!$N$332,2))))</f>
        <v/>
      </c>
      <c r="F2960" s="20">
        <f>IF($C2960="","",IF(Registro_Compras!$F$332="NOTA DE CREDITO",ROUND(ABS(Registro_Compras!$J$332*Registro_Compras!$N$332),2),""))</f>
        <v/>
      </c>
      <c r="G2960">
        <f>IF($C2960="","","Por el destino del gasto")</f>
        <v/>
      </c>
      <c r="H2960">
        <f>IF($C2960="","",Registro_Compras!$C$332)</f>
        <v/>
      </c>
    </row>
    <row r="2961">
      <c r="A2961" s="25">
        <f>IF($C2961="","",Registro_Compras!$B$332)</f>
        <v/>
      </c>
      <c r="B2961">
        <f>IF($C2961="","","C"&amp;TEXT(INT((ROW()-5)/9)+1,"000")&amp;"-2")</f>
        <v/>
      </c>
      <c r="C2961">
        <f>IF(OR(Registro_Compras!$C$332="",Registro_Compras!$O$332=""),"","79/791")</f>
        <v/>
      </c>
      <c r="D2961">
        <f>IF(OR(Registro_Compras!$C$332="",Registro_Compras!$O$332=""),"","Cargas Imputables a Cuentas de Costos y Gastos")</f>
        <v/>
      </c>
      <c r="E2961" s="20">
        <f>IF($C2961="","",IF(Registro_Compras!$F$332="NOTA DE CREDITO",ROUND(ABS(Registro_Compras!$J$332*Registro_Compras!$N$332),2),""))</f>
        <v/>
      </c>
      <c r="F2961" s="20">
        <f>IF($C2961="","",IF(Registro_Compras!$F$332="NOTA DE CREDITO","",IF(Registro_Compras!$F$332="RHE",ROUND(Registro_Compras!$L$332*Registro_Compras!$N$332,2),ROUND(Registro_Compras!$J$332*Registro_Compras!$N$332,2))))</f>
        <v/>
      </c>
      <c r="G2961">
        <f>IF($C2961="","","Por el destino del gasto")</f>
        <v/>
      </c>
      <c r="H2961">
        <f>IF($C2961="","",Registro_Compras!$C$332)</f>
        <v/>
      </c>
    </row>
    <row r="2962">
      <c r="A2962" s="25">
        <f>IF($C2962="","",Registro_Compras!$X$332)</f>
        <v/>
      </c>
      <c r="B2962">
        <f>IF($C2962="","","C"&amp;TEXT(INT((ROW()-5)/9)+1,"000")&amp;"-3")</f>
        <v/>
      </c>
      <c r="C2962">
        <f>IF(OR(Registro_Compras!$C$332="",Registro_Compras!$O$332="",Registro_Compras!$R$332&lt;&gt;"SI",Registro_Compras!$X$332=""),"","4212")</f>
        <v/>
      </c>
      <c r="D2962">
        <f>IF(OR(Registro_Compras!$C$332="",Registro_Compras!$O$332=""),"","Cuentas por Pagar Comerciales - Terceros")</f>
        <v/>
      </c>
      <c r="E2962" s="20">
        <f>IF($C2962="","",Registro_Compras!$S$332)</f>
        <v/>
      </c>
      <c r="F2962" s="20">
        <f>""</f>
        <v/>
      </c>
      <c r="G2962">
        <f>IF($C2962="","","Por el deposito de la detraccion en el Banco de la Nacion")</f>
        <v/>
      </c>
      <c r="H2962">
        <f>IF($C2962="","",Registro_Compras!$C$332)</f>
        <v/>
      </c>
    </row>
    <row r="2963">
      <c r="A2963" s="25">
        <f>IF($C2963="","",Registro_Compras!$X$332)</f>
        <v/>
      </c>
      <c r="B2963">
        <f>IF($C2963="","","C"&amp;TEXT(INT((ROW()-5)/9)+1,"000")&amp;"-3")</f>
        <v/>
      </c>
      <c r="C2963">
        <f>IF(OR(Registro_Compras!$C$332="",Registro_Compras!$O$332="",Registro_Compras!$R$332&lt;&gt;"SI",Registro_Compras!$X$332=""),"","10413")</f>
        <v/>
      </c>
      <c r="D2963">
        <f>IF(OR(Registro_Compras!$C$332="",Registro_Compras!$O$332=""),"","Efectivo y Equivalentes - Cta. Cte. Operativa")</f>
        <v/>
      </c>
      <c r="E2963" s="20">
        <f>""</f>
        <v/>
      </c>
      <c r="F2963" s="20">
        <f>IF($C2963="","",Registro_Compras!$S$332)</f>
        <v/>
      </c>
      <c r="G2963">
        <f>IF($C2963="","","Por el deposito de la detraccion en el Banco de la Nacion")</f>
        <v/>
      </c>
      <c r="H2963">
        <f>IF($C2963="","",Registro_Compras!$C$332)</f>
        <v/>
      </c>
    </row>
    <row r="2964">
      <c r="A2964" s="25">
        <f>IF($C2964="","",Registro_Compras!$Y$332)</f>
        <v/>
      </c>
      <c r="B2964">
        <f>IF($C2964="","","C"&amp;TEXT(INT((ROW()-5)/9)+1,"000")&amp;"-4")</f>
        <v/>
      </c>
      <c r="C2964">
        <f>IF(OR(Registro_Compras!$C$332="",Registro_Compras!$O$332="",Registro_Compras!$Y$332="",Registro_Compras!$F$332="NOTA DE CREDITO"),"","4212")</f>
        <v/>
      </c>
      <c r="D2964">
        <f>IF(OR(Registro_Compras!$C$332="",Registro_Compras!$O$332=""),"","Cuentas por Pagar Comerciales - Terceros")</f>
        <v/>
      </c>
      <c r="E2964" s="20">
        <f>IF($C2964="","",IF(Registro_Compras!$F$332="RHE",(ROUND(Registro_Compras!$L$332*Registro_Compras!$N$332,2)-ROUND(Registro_Compras!$V$332*Registro_Compras!$N$332,2)),ROUND(Registro_Compras!$O$332-Registro_Compras!$S$332,2)))</f>
        <v/>
      </c>
      <c r="F2964" s="20">
        <f>""</f>
        <v/>
      </c>
      <c r="G2964">
        <f>IF($C2964="","","Por la cancelacion del saldo al proveedor")</f>
        <v/>
      </c>
      <c r="H2964">
        <f>IF($C2964="","",Registro_Compras!$C$332)</f>
        <v/>
      </c>
    </row>
    <row r="2965">
      <c r="A2965" s="25">
        <f>IF($C2965="","",Registro_Compras!$Y$332)</f>
        <v/>
      </c>
      <c r="B2965">
        <f>IF($C2965="","","C"&amp;TEXT(INT((ROW()-5)/9)+1,"000")&amp;"-4")</f>
        <v/>
      </c>
      <c r="C2965">
        <f>IF(OR(Registro_Compras!$C$332="",Registro_Compras!$O$332="",Registro_Compras!$Y$332="",Registro_Compras!$F$332="NOTA DE CREDITO"),"","10413")</f>
        <v/>
      </c>
      <c r="D2965">
        <f>IF(OR(Registro_Compras!$C$332="",Registro_Compras!$O$332=""),"","Efectivo y Equivalentes - Cta. Cte. Operativa")</f>
        <v/>
      </c>
      <c r="E2965" s="20">
        <f>""</f>
        <v/>
      </c>
      <c r="F2965" s="20">
        <f>IF($C2965="","",IF(Registro_Compras!$F$332="RHE",(ROUND(Registro_Compras!$L$332*Registro_Compras!$N$332,2)-ROUND(Registro_Compras!$V$332*Registro_Compras!$N$332,2)),ROUND(Registro_Compras!$O$332-Registro_Compras!$S$332,2)))</f>
        <v/>
      </c>
      <c r="G2965">
        <f>IF($C2965="","","Por la cancelacion del saldo al proveedor")</f>
        <v/>
      </c>
      <c r="H2965">
        <f>IF($C2965="","",Registro_Compras!$C$332)</f>
        <v/>
      </c>
    </row>
    <row r="2966">
      <c r="A2966" s="25">
        <f>IF($C2966="","",Registro_Compras!$B$333)</f>
        <v/>
      </c>
      <c r="B2966">
        <f>IF($C2966="","","C"&amp;TEXT(INT((ROW()-5)/9)+1,"000")&amp;"-1")</f>
        <v/>
      </c>
      <c r="C2966">
        <f>IF(OR(Registro_Compras!$C$333="",Registro_Compras!$O$333=""),"",IF(Registro_Compras!$F$333="NOTA DE CREDITO","4212",IF(Registro_Compras!$M$333="","63",Registro_Compras!$M$333)))</f>
        <v/>
      </c>
      <c r="D2966">
        <f>IF(OR(Registro_Compras!$C$333="",Registro_Compras!$O$333=""),"",IF(Registro_Compras!$F$333="NOTA DE CREDITO","Cuentas por Pagar Comerciales - Terceros (Emitidas)",IF(Registro_Compras!$F$333="RHE","Honorarios Profesionales - Servicios de Terceros","Gastos de Servicios Prestados por Terceros")))</f>
        <v/>
      </c>
      <c r="E2966" s="20">
        <f>IF($C2966="","",IF(Registro_Compras!$F$333="NOTA DE CREDITO",ABS(Registro_Compras!$O$333),IF(Registro_Compras!$F$333="RHE",ROUND(Registro_Compras!$L$333*Registro_Compras!$N$333,2),ROUND(Registro_Compras!$J$333*Registro_Compras!$N$333,2))))</f>
        <v/>
      </c>
      <c r="F2966" s="20">
        <f>""</f>
        <v/>
      </c>
      <c r="G2966">
        <f>IF($C2966="","",IF(Registro_Compras!$F$333="NOTA DE CREDITO","Por la nota de credito "&amp;Registro_Compras!$C$333&amp;" de "&amp;Registro_Compras!$E$333&amp;" [PATRON POR CONFIRMAR CON CONTADOR]",IF(Registro_Compras!$F$333="RHE","Por el registro del recibo por honorarios "&amp;Registro_Compras!$C$333&amp;" de "&amp;Registro_Compras!$E$333&amp;" [PATRON POR CONFIRMAR CON CONTADOR]","Por el registro de la factura "&amp;Registro_Compras!$C$333&amp;" de "&amp;Registro_Compras!$E$333)))</f>
        <v/>
      </c>
      <c r="H2966">
        <f>IF($C2966="","",Registro_Compras!$C$333)</f>
        <v/>
      </c>
    </row>
    <row r="2967">
      <c r="A2967" s="25">
        <f>IF($C2967="","",Registro_Compras!$B$333)</f>
        <v/>
      </c>
      <c r="B2967">
        <f>IF($C2967="","","C"&amp;TEXT(INT((ROW()-5)/9)+1,"000")&amp;"-1")</f>
        <v/>
      </c>
      <c r="C2967">
        <f>IF(OR(Registro_Compras!$C$333="",Registro_Compras!$O$333=""),"",IF(Registro_Compras!$F$333="RHE",IF(Registro_Compras!$V$333=0,"","40172"),IF(Registro_Compras!$F$333="NOTA DE CREDITO",IF(Registro_Compras!$M$333="","63",Registro_Compras!$M$333),IF(Registro_Compras!$K$333=0,"","40111"))))</f>
        <v/>
      </c>
      <c r="D2967">
        <f>IF(OR(Registro_Compras!$C$333="",Registro_Compras!$O$333=""),"",IF(Registro_Compras!$F$333="RHE","Retencion Renta 4ta Categoria por Pagar",IF(Registro_Compras!$F$333="NOTA DE CREDITO","Gastos de Servicios Prestados por Terceros","IGV - Cuenta Propia (Credito Fiscal)")))</f>
        <v/>
      </c>
      <c r="E2967" s="20">
        <f>IF($C2967="","",IF(Registro_Compras!$F$333="FACTURA",ROUND(Registro_Compras!$K$333*Registro_Compras!$N$333,2),""))</f>
        <v/>
      </c>
      <c r="F2967" s="20">
        <f>IF($C2967="","",IF(Registro_Compras!$F$333="RHE",ROUND(Registro_Compras!$V$333*Registro_Compras!$N$333,2),IF(Registro_Compras!$F$333="NOTA DE CREDITO",ROUND(ABS(Registro_Compras!$J$333*Registro_Compras!$N$333),2),"")))</f>
        <v/>
      </c>
      <c r="G2967">
        <f>IF($C2967="","",IF(Registro_Compras!$F$333="NOTA DE CREDITO","Por la nota de credito "&amp;Registro_Compras!$C$333&amp;" de "&amp;Registro_Compras!$E$333&amp;" [PATRON POR CONFIRMAR CON CONTADOR]",IF(Registro_Compras!$F$333="RHE","Por el registro del recibo por honorarios "&amp;Registro_Compras!$C$333&amp;" de "&amp;Registro_Compras!$E$333&amp;" [PATRON POR CONFIRMAR CON CONTADOR]","Por el registro de la factura "&amp;Registro_Compras!$C$333&amp;" de "&amp;Registro_Compras!$E$333)))</f>
        <v/>
      </c>
      <c r="H2967">
        <f>IF($C2967="","",Registro_Compras!$C$333)</f>
        <v/>
      </c>
    </row>
    <row r="2968">
      <c r="A2968" s="25">
        <f>IF($C2968="","",Registro_Compras!$B$333)</f>
        <v/>
      </c>
      <c r="B2968">
        <f>IF($C2968="","","C"&amp;TEXT(INT((ROW()-5)/9)+1,"000")&amp;"-1")</f>
        <v/>
      </c>
      <c r="C2968">
        <f>IF(OR(Registro_Compras!$C$333="",Registro_Compras!$O$333=""),"",IF(Registro_Compras!$F$333="NOTA DE CREDITO",IF(Registro_Compras!$K$333=0,"","40111"),"4212"))</f>
        <v/>
      </c>
      <c r="D2968">
        <f>IF(OR(Registro_Compras!$C$333="",Registro_Compras!$O$333=""),"",IF(Registro_Compras!$F$333="NOTA DE CREDITO","IGV - Cuenta Propia (Credito Fiscal)","Cuentas por Pagar Comerciales - Terceros (Emitidas)"))</f>
        <v/>
      </c>
      <c r="E2968" s="20">
        <f>""</f>
        <v/>
      </c>
      <c r="F2968" s="20">
        <f>IF($C2968="","",IF(Registro_Compras!$F$333="NOTA DE CREDITO",ROUND(ABS(Registro_Compras!$K$333*Registro_Compras!$N$333),2),IF(Registro_Compras!$F$333="RHE",(ROUND(Registro_Compras!$L$333*Registro_Compras!$N$333,2)-ROUND(Registro_Compras!$V$333*Registro_Compras!$N$333,2)),Registro_Compras!$O$333)))</f>
        <v/>
      </c>
      <c r="G2968">
        <f>IF($C2968="","",IF(Registro_Compras!$F$333="NOTA DE CREDITO","Por la nota de credito "&amp;Registro_Compras!$C$333&amp;" de "&amp;Registro_Compras!$E$333&amp;" [PATRON POR CONFIRMAR CON CONTADOR]",IF(Registro_Compras!$F$333="RHE","Por el registro del recibo por honorarios "&amp;Registro_Compras!$C$333&amp;" de "&amp;Registro_Compras!$E$333&amp;" [PATRON POR CONFIRMAR CON CONTADOR]","Por el registro de la factura "&amp;Registro_Compras!$C$333&amp;" de "&amp;Registro_Compras!$E$333)))</f>
        <v/>
      </c>
      <c r="H2968">
        <f>IF($C2968="","",Registro_Compras!$C$333)</f>
        <v/>
      </c>
    </row>
    <row r="2969">
      <c r="A2969" s="25">
        <f>IF($C2969="","",Registro_Compras!$B$333)</f>
        <v/>
      </c>
      <c r="B2969">
        <f>IF($C2969="","","C"&amp;TEXT(INT((ROW()-5)/9)+1,"000")&amp;"-2")</f>
        <v/>
      </c>
      <c r="C2969">
        <f>IF(OR(Registro_Compras!$C$333="",Registro_Compras!$O$333=""),"",IF(Registro_Compras!$AB$333="ADMINISTRATIVO","94","95"))</f>
        <v/>
      </c>
      <c r="D2969">
        <f>IF(OR(Registro_Compras!$C$333="",Registro_Compras!$O$333=""),"",IF(Registro_Compras!$AB$333="ADMINISTRATIVO","Gastos Administrativos","Gastos de Venta y Operacion"))</f>
        <v/>
      </c>
      <c r="E2969" s="20">
        <f>IF($C2969="","",IF(Registro_Compras!$F$333="NOTA DE CREDITO","",IF(Registro_Compras!$F$333="RHE",ROUND(Registro_Compras!$L$333*Registro_Compras!$N$333,2),ROUND(Registro_Compras!$J$333*Registro_Compras!$N$333,2))))</f>
        <v/>
      </c>
      <c r="F2969" s="20">
        <f>IF($C2969="","",IF(Registro_Compras!$F$333="NOTA DE CREDITO",ROUND(ABS(Registro_Compras!$J$333*Registro_Compras!$N$333),2),""))</f>
        <v/>
      </c>
      <c r="G2969">
        <f>IF($C2969="","","Por el destino del gasto")</f>
        <v/>
      </c>
      <c r="H2969">
        <f>IF($C2969="","",Registro_Compras!$C$333)</f>
        <v/>
      </c>
    </row>
    <row r="2970">
      <c r="A2970" s="25">
        <f>IF($C2970="","",Registro_Compras!$B$333)</f>
        <v/>
      </c>
      <c r="B2970">
        <f>IF($C2970="","","C"&amp;TEXT(INT((ROW()-5)/9)+1,"000")&amp;"-2")</f>
        <v/>
      </c>
      <c r="C2970">
        <f>IF(OR(Registro_Compras!$C$333="",Registro_Compras!$O$333=""),"","79/791")</f>
        <v/>
      </c>
      <c r="D2970">
        <f>IF(OR(Registro_Compras!$C$333="",Registro_Compras!$O$333=""),"","Cargas Imputables a Cuentas de Costos y Gastos")</f>
        <v/>
      </c>
      <c r="E2970" s="20">
        <f>IF($C2970="","",IF(Registro_Compras!$F$333="NOTA DE CREDITO",ROUND(ABS(Registro_Compras!$J$333*Registro_Compras!$N$333),2),""))</f>
        <v/>
      </c>
      <c r="F2970" s="20">
        <f>IF($C2970="","",IF(Registro_Compras!$F$333="NOTA DE CREDITO","",IF(Registro_Compras!$F$333="RHE",ROUND(Registro_Compras!$L$333*Registro_Compras!$N$333,2),ROUND(Registro_Compras!$J$333*Registro_Compras!$N$333,2))))</f>
        <v/>
      </c>
      <c r="G2970">
        <f>IF($C2970="","","Por el destino del gasto")</f>
        <v/>
      </c>
      <c r="H2970">
        <f>IF($C2970="","",Registro_Compras!$C$333)</f>
        <v/>
      </c>
    </row>
    <row r="2971">
      <c r="A2971" s="25">
        <f>IF($C2971="","",Registro_Compras!$X$333)</f>
        <v/>
      </c>
      <c r="B2971">
        <f>IF($C2971="","","C"&amp;TEXT(INT((ROW()-5)/9)+1,"000")&amp;"-3")</f>
        <v/>
      </c>
      <c r="C2971">
        <f>IF(OR(Registro_Compras!$C$333="",Registro_Compras!$O$333="",Registro_Compras!$R$333&lt;&gt;"SI",Registro_Compras!$X$333=""),"","4212")</f>
        <v/>
      </c>
      <c r="D2971">
        <f>IF(OR(Registro_Compras!$C$333="",Registro_Compras!$O$333=""),"","Cuentas por Pagar Comerciales - Terceros")</f>
        <v/>
      </c>
      <c r="E2971" s="20">
        <f>IF($C2971="","",Registro_Compras!$S$333)</f>
        <v/>
      </c>
      <c r="F2971" s="20">
        <f>""</f>
        <v/>
      </c>
      <c r="G2971">
        <f>IF($C2971="","","Por el deposito de la detraccion en el Banco de la Nacion")</f>
        <v/>
      </c>
      <c r="H2971">
        <f>IF($C2971="","",Registro_Compras!$C$333)</f>
        <v/>
      </c>
    </row>
    <row r="2972">
      <c r="A2972" s="25">
        <f>IF($C2972="","",Registro_Compras!$X$333)</f>
        <v/>
      </c>
      <c r="B2972">
        <f>IF($C2972="","","C"&amp;TEXT(INT((ROW()-5)/9)+1,"000")&amp;"-3")</f>
        <v/>
      </c>
      <c r="C2972">
        <f>IF(OR(Registro_Compras!$C$333="",Registro_Compras!$O$333="",Registro_Compras!$R$333&lt;&gt;"SI",Registro_Compras!$X$333=""),"","10413")</f>
        <v/>
      </c>
      <c r="D2972">
        <f>IF(OR(Registro_Compras!$C$333="",Registro_Compras!$O$333=""),"","Efectivo y Equivalentes - Cta. Cte. Operativa")</f>
        <v/>
      </c>
      <c r="E2972" s="20">
        <f>""</f>
        <v/>
      </c>
      <c r="F2972" s="20">
        <f>IF($C2972="","",Registro_Compras!$S$333)</f>
        <v/>
      </c>
      <c r="G2972">
        <f>IF($C2972="","","Por el deposito de la detraccion en el Banco de la Nacion")</f>
        <v/>
      </c>
      <c r="H2972">
        <f>IF($C2972="","",Registro_Compras!$C$333)</f>
        <v/>
      </c>
    </row>
    <row r="2973">
      <c r="A2973" s="25">
        <f>IF($C2973="","",Registro_Compras!$Y$333)</f>
        <v/>
      </c>
      <c r="B2973">
        <f>IF($C2973="","","C"&amp;TEXT(INT((ROW()-5)/9)+1,"000")&amp;"-4")</f>
        <v/>
      </c>
      <c r="C2973">
        <f>IF(OR(Registro_Compras!$C$333="",Registro_Compras!$O$333="",Registro_Compras!$Y$333="",Registro_Compras!$F$333="NOTA DE CREDITO"),"","4212")</f>
        <v/>
      </c>
      <c r="D2973">
        <f>IF(OR(Registro_Compras!$C$333="",Registro_Compras!$O$333=""),"","Cuentas por Pagar Comerciales - Terceros")</f>
        <v/>
      </c>
      <c r="E2973" s="20">
        <f>IF($C2973="","",IF(Registro_Compras!$F$333="RHE",(ROUND(Registro_Compras!$L$333*Registro_Compras!$N$333,2)-ROUND(Registro_Compras!$V$333*Registro_Compras!$N$333,2)),ROUND(Registro_Compras!$O$333-Registro_Compras!$S$333,2)))</f>
        <v/>
      </c>
      <c r="F2973" s="20">
        <f>""</f>
        <v/>
      </c>
      <c r="G2973">
        <f>IF($C2973="","","Por la cancelacion del saldo al proveedor")</f>
        <v/>
      </c>
      <c r="H2973">
        <f>IF($C2973="","",Registro_Compras!$C$333)</f>
        <v/>
      </c>
    </row>
    <row r="2974">
      <c r="A2974" s="25">
        <f>IF($C2974="","",Registro_Compras!$Y$333)</f>
        <v/>
      </c>
      <c r="B2974">
        <f>IF($C2974="","","C"&amp;TEXT(INT((ROW()-5)/9)+1,"000")&amp;"-4")</f>
        <v/>
      </c>
      <c r="C2974">
        <f>IF(OR(Registro_Compras!$C$333="",Registro_Compras!$O$333="",Registro_Compras!$Y$333="",Registro_Compras!$F$333="NOTA DE CREDITO"),"","10413")</f>
        <v/>
      </c>
      <c r="D2974">
        <f>IF(OR(Registro_Compras!$C$333="",Registro_Compras!$O$333=""),"","Efectivo y Equivalentes - Cta. Cte. Operativa")</f>
        <v/>
      </c>
      <c r="E2974" s="20">
        <f>""</f>
        <v/>
      </c>
      <c r="F2974" s="20">
        <f>IF($C2974="","",IF(Registro_Compras!$F$333="RHE",(ROUND(Registro_Compras!$L$333*Registro_Compras!$N$333,2)-ROUND(Registro_Compras!$V$333*Registro_Compras!$N$333,2)),ROUND(Registro_Compras!$O$333-Registro_Compras!$S$333,2)))</f>
        <v/>
      </c>
      <c r="G2974">
        <f>IF($C2974="","","Por la cancelacion del saldo al proveedor")</f>
        <v/>
      </c>
      <c r="H2974">
        <f>IF($C2974="","",Registro_Compras!$C$333)</f>
        <v/>
      </c>
    </row>
    <row r="2975">
      <c r="A2975" s="25">
        <f>IF($C2975="","",Registro_Compras!$B$334)</f>
        <v/>
      </c>
      <c r="B2975">
        <f>IF($C2975="","","C"&amp;TEXT(INT((ROW()-5)/9)+1,"000")&amp;"-1")</f>
        <v/>
      </c>
      <c r="C2975">
        <f>IF(OR(Registro_Compras!$C$334="",Registro_Compras!$O$334=""),"",IF(Registro_Compras!$F$334="NOTA DE CREDITO","4212",IF(Registro_Compras!$M$334="","63",Registro_Compras!$M$334)))</f>
        <v/>
      </c>
      <c r="D2975">
        <f>IF(OR(Registro_Compras!$C$334="",Registro_Compras!$O$334=""),"",IF(Registro_Compras!$F$334="NOTA DE CREDITO","Cuentas por Pagar Comerciales - Terceros (Emitidas)",IF(Registro_Compras!$F$334="RHE","Honorarios Profesionales - Servicios de Terceros","Gastos de Servicios Prestados por Terceros")))</f>
        <v/>
      </c>
      <c r="E2975" s="20">
        <f>IF($C2975="","",IF(Registro_Compras!$F$334="NOTA DE CREDITO",ABS(Registro_Compras!$O$334),IF(Registro_Compras!$F$334="RHE",ROUND(Registro_Compras!$L$334*Registro_Compras!$N$334,2),ROUND(Registro_Compras!$J$334*Registro_Compras!$N$334,2))))</f>
        <v/>
      </c>
      <c r="F2975" s="20">
        <f>""</f>
        <v/>
      </c>
      <c r="G2975">
        <f>IF($C2975="","",IF(Registro_Compras!$F$334="NOTA DE CREDITO","Por la nota de credito "&amp;Registro_Compras!$C$334&amp;" de "&amp;Registro_Compras!$E$334&amp;" [PATRON POR CONFIRMAR CON CONTADOR]",IF(Registro_Compras!$F$334="RHE","Por el registro del recibo por honorarios "&amp;Registro_Compras!$C$334&amp;" de "&amp;Registro_Compras!$E$334&amp;" [PATRON POR CONFIRMAR CON CONTADOR]","Por el registro de la factura "&amp;Registro_Compras!$C$334&amp;" de "&amp;Registro_Compras!$E$334)))</f>
        <v/>
      </c>
      <c r="H2975">
        <f>IF($C2975="","",Registro_Compras!$C$334)</f>
        <v/>
      </c>
    </row>
    <row r="2976">
      <c r="A2976" s="25">
        <f>IF($C2976="","",Registro_Compras!$B$334)</f>
        <v/>
      </c>
      <c r="B2976">
        <f>IF($C2976="","","C"&amp;TEXT(INT((ROW()-5)/9)+1,"000")&amp;"-1")</f>
        <v/>
      </c>
      <c r="C2976">
        <f>IF(OR(Registro_Compras!$C$334="",Registro_Compras!$O$334=""),"",IF(Registro_Compras!$F$334="RHE",IF(Registro_Compras!$V$334=0,"","40172"),IF(Registro_Compras!$F$334="NOTA DE CREDITO",IF(Registro_Compras!$M$334="","63",Registro_Compras!$M$334),IF(Registro_Compras!$K$334=0,"","40111"))))</f>
        <v/>
      </c>
      <c r="D2976">
        <f>IF(OR(Registro_Compras!$C$334="",Registro_Compras!$O$334=""),"",IF(Registro_Compras!$F$334="RHE","Retencion Renta 4ta Categoria por Pagar",IF(Registro_Compras!$F$334="NOTA DE CREDITO","Gastos de Servicios Prestados por Terceros","IGV - Cuenta Propia (Credito Fiscal)")))</f>
        <v/>
      </c>
      <c r="E2976" s="20">
        <f>IF($C2976="","",IF(Registro_Compras!$F$334="FACTURA",ROUND(Registro_Compras!$K$334*Registro_Compras!$N$334,2),""))</f>
        <v/>
      </c>
      <c r="F2976" s="20">
        <f>IF($C2976="","",IF(Registro_Compras!$F$334="RHE",ROUND(Registro_Compras!$V$334*Registro_Compras!$N$334,2),IF(Registro_Compras!$F$334="NOTA DE CREDITO",ROUND(ABS(Registro_Compras!$J$334*Registro_Compras!$N$334),2),"")))</f>
        <v/>
      </c>
      <c r="G2976">
        <f>IF($C2976="","",IF(Registro_Compras!$F$334="NOTA DE CREDITO","Por la nota de credito "&amp;Registro_Compras!$C$334&amp;" de "&amp;Registro_Compras!$E$334&amp;" [PATRON POR CONFIRMAR CON CONTADOR]",IF(Registro_Compras!$F$334="RHE","Por el registro del recibo por honorarios "&amp;Registro_Compras!$C$334&amp;" de "&amp;Registro_Compras!$E$334&amp;" [PATRON POR CONFIRMAR CON CONTADOR]","Por el registro de la factura "&amp;Registro_Compras!$C$334&amp;" de "&amp;Registro_Compras!$E$334)))</f>
        <v/>
      </c>
      <c r="H2976">
        <f>IF($C2976="","",Registro_Compras!$C$334)</f>
        <v/>
      </c>
    </row>
    <row r="2977">
      <c r="A2977" s="25">
        <f>IF($C2977="","",Registro_Compras!$B$334)</f>
        <v/>
      </c>
      <c r="B2977">
        <f>IF($C2977="","","C"&amp;TEXT(INT((ROW()-5)/9)+1,"000")&amp;"-1")</f>
        <v/>
      </c>
      <c r="C2977">
        <f>IF(OR(Registro_Compras!$C$334="",Registro_Compras!$O$334=""),"",IF(Registro_Compras!$F$334="NOTA DE CREDITO",IF(Registro_Compras!$K$334=0,"","40111"),"4212"))</f>
        <v/>
      </c>
      <c r="D2977">
        <f>IF(OR(Registro_Compras!$C$334="",Registro_Compras!$O$334=""),"",IF(Registro_Compras!$F$334="NOTA DE CREDITO","IGV - Cuenta Propia (Credito Fiscal)","Cuentas por Pagar Comerciales - Terceros (Emitidas)"))</f>
        <v/>
      </c>
      <c r="E2977" s="20">
        <f>""</f>
        <v/>
      </c>
      <c r="F2977" s="20">
        <f>IF($C2977="","",IF(Registro_Compras!$F$334="NOTA DE CREDITO",ROUND(ABS(Registro_Compras!$K$334*Registro_Compras!$N$334),2),IF(Registro_Compras!$F$334="RHE",(ROUND(Registro_Compras!$L$334*Registro_Compras!$N$334,2)-ROUND(Registro_Compras!$V$334*Registro_Compras!$N$334,2)),Registro_Compras!$O$334)))</f>
        <v/>
      </c>
      <c r="G2977">
        <f>IF($C2977="","",IF(Registro_Compras!$F$334="NOTA DE CREDITO","Por la nota de credito "&amp;Registro_Compras!$C$334&amp;" de "&amp;Registro_Compras!$E$334&amp;" [PATRON POR CONFIRMAR CON CONTADOR]",IF(Registro_Compras!$F$334="RHE","Por el registro del recibo por honorarios "&amp;Registro_Compras!$C$334&amp;" de "&amp;Registro_Compras!$E$334&amp;" [PATRON POR CONFIRMAR CON CONTADOR]","Por el registro de la factura "&amp;Registro_Compras!$C$334&amp;" de "&amp;Registro_Compras!$E$334)))</f>
        <v/>
      </c>
      <c r="H2977">
        <f>IF($C2977="","",Registro_Compras!$C$334)</f>
        <v/>
      </c>
    </row>
    <row r="2978">
      <c r="A2978" s="25">
        <f>IF($C2978="","",Registro_Compras!$B$334)</f>
        <v/>
      </c>
      <c r="B2978">
        <f>IF($C2978="","","C"&amp;TEXT(INT((ROW()-5)/9)+1,"000")&amp;"-2")</f>
        <v/>
      </c>
      <c r="C2978">
        <f>IF(OR(Registro_Compras!$C$334="",Registro_Compras!$O$334=""),"",IF(Registro_Compras!$AB$334="ADMINISTRATIVO","94","95"))</f>
        <v/>
      </c>
      <c r="D2978">
        <f>IF(OR(Registro_Compras!$C$334="",Registro_Compras!$O$334=""),"",IF(Registro_Compras!$AB$334="ADMINISTRATIVO","Gastos Administrativos","Gastos de Venta y Operacion"))</f>
        <v/>
      </c>
      <c r="E2978" s="20">
        <f>IF($C2978="","",IF(Registro_Compras!$F$334="NOTA DE CREDITO","",IF(Registro_Compras!$F$334="RHE",ROUND(Registro_Compras!$L$334*Registro_Compras!$N$334,2),ROUND(Registro_Compras!$J$334*Registro_Compras!$N$334,2))))</f>
        <v/>
      </c>
      <c r="F2978" s="20">
        <f>IF($C2978="","",IF(Registro_Compras!$F$334="NOTA DE CREDITO",ROUND(ABS(Registro_Compras!$J$334*Registro_Compras!$N$334),2),""))</f>
        <v/>
      </c>
      <c r="G2978">
        <f>IF($C2978="","","Por el destino del gasto")</f>
        <v/>
      </c>
      <c r="H2978">
        <f>IF($C2978="","",Registro_Compras!$C$334)</f>
        <v/>
      </c>
    </row>
    <row r="2979">
      <c r="A2979" s="25">
        <f>IF($C2979="","",Registro_Compras!$B$334)</f>
        <v/>
      </c>
      <c r="B2979">
        <f>IF($C2979="","","C"&amp;TEXT(INT((ROW()-5)/9)+1,"000")&amp;"-2")</f>
        <v/>
      </c>
      <c r="C2979">
        <f>IF(OR(Registro_Compras!$C$334="",Registro_Compras!$O$334=""),"","79/791")</f>
        <v/>
      </c>
      <c r="D2979">
        <f>IF(OR(Registro_Compras!$C$334="",Registro_Compras!$O$334=""),"","Cargas Imputables a Cuentas de Costos y Gastos")</f>
        <v/>
      </c>
      <c r="E2979" s="20">
        <f>IF($C2979="","",IF(Registro_Compras!$F$334="NOTA DE CREDITO",ROUND(ABS(Registro_Compras!$J$334*Registro_Compras!$N$334),2),""))</f>
        <v/>
      </c>
      <c r="F2979" s="20">
        <f>IF($C2979="","",IF(Registro_Compras!$F$334="NOTA DE CREDITO","",IF(Registro_Compras!$F$334="RHE",ROUND(Registro_Compras!$L$334*Registro_Compras!$N$334,2),ROUND(Registro_Compras!$J$334*Registro_Compras!$N$334,2))))</f>
        <v/>
      </c>
      <c r="G2979">
        <f>IF($C2979="","","Por el destino del gasto")</f>
        <v/>
      </c>
      <c r="H2979">
        <f>IF($C2979="","",Registro_Compras!$C$334)</f>
        <v/>
      </c>
    </row>
    <row r="2980">
      <c r="A2980" s="25">
        <f>IF($C2980="","",Registro_Compras!$X$334)</f>
        <v/>
      </c>
      <c r="B2980">
        <f>IF($C2980="","","C"&amp;TEXT(INT((ROW()-5)/9)+1,"000")&amp;"-3")</f>
        <v/>
      </c>
      <c r="C2980">
        <f>IF(OR(Registro_Compras!$C$334="",Registro_Compras!$O$334="",Registro_Compras!$R$334&lt;&gt;"SI",Registro_Compras!$X$334=""),"","4212")</f>
        <v/>
      </c>
      <c r="D2980">
        <f>IF(OR(Registro_Compras!$C$334="",Registro_Compras!$O$334=""),"","Cuentas por Pagar Comerciales - Terceros")</f>
        <v/>
      </c>
      <c r="E2980" s="20">
        <f>IF($C2980="","",Registro_Compras!$S$334)</f>
        <v/>
      </c>
      <c r="F2980" s="20">
        <f>""</f>
        <v/>
      </c>
      <c r="G2980">
        <f>IF($C2980="","","Por el deposito de la detraccion en el Banco de la Nacion")</f>
        <v/>
      </c>
      <c r="H2980">
        <f>IF($C2980="","",Registro_Compras!$C$334)</f>
        <v/>
      </c>
    </row>
    <row r="2981">
      <c r="A2981" s="25">
        <f>IF($C2981="","",Registro_Compras!$X$334)</f>
        <v/>
      </c>
      <c r="B2981">
        <f>IF($C2981="","","C"&amp;TEXT(INT((ROW()-5)/9)+1,"000")&amp;"-3")</f>
        <v/>
      </c>
      <c r="C2981">
        <f>IF(OR(Registro_Compras!$C$334="",Registro_Compras!$O$334="",Registro_Compras!$R$334&lt;&gt;"SI",Registro_Compras!$X$334=""),"","10413")</f>
        <v/>
      </c>
      <c r="D2981">
        <f>IF(OR(Registro_Compras!$C$334="",Registro_Compras!$O$334=""),"","Efectivo y Equivalentes - Cta. Cte. Operativa")</f>
        <v/>
      </c>
      <c r="E2981" s="20">
        <f>""</f>
        <v/>
      </c>
      <c r="F2981" s="20">
        <f>IF($C2981="","",Registro_Compras!$S$334)</f>
        <v/>
      </c>
      <c r="G2981">
        <f>IF($C2981="","","Por el deposito de la detraccion en el Banco de la Nacion")</f>
        <v/>
      </c>
      <c r="H2981">
        <f>IF($C2981="","",Registro_Compras!$C$334)</f>
        <v/>
      </c>
    </row>
    <row r="2982">
      <c r="A2982" s="25">
        <f>IF($C2982="","",Registro_Compras!$Y$334)</f>
        <v/>
      </c>
      <c r="B2982">
        <f>IF($C2982="","","C"&amp;TEXT(INT((ROW()-5)/9)+1,"000")&amp;"-4")</f>
        <v/>
      </c>
      <c r="C2982">
        <f>IF(OR(Registro_Compras!$C$334="",Registro_Compras!$O$334="",Registro_Compras!$Y$334="",Registro_Compras!$F$334="NOTA DE CREDITO"),"","4212")</f>
        <v/>
      </c>
      <c r="D2982">
        <f>IF(OR(Registro_Compras!$C$334="",Registro_Compras!$O$334=""),"","Cuentas por Pagar Comerciales - Terceros")</f>
        <v/>
      </c>
      <c r="E2982" s="20">
        <f>IF($C2982="","",IF(Registro_Compras!$F$334="RHE",(ROUND(Registro_Compras!$L$334*Registro_Compras!$N$334,2)-ROUND(Registro_Compras!$V$334*Registro_Compras!$N$334,2)),ROUND(Registro_Compras!$O$334-Registro_Compras!$S$334,2)))</f>
        <v/>
      </c>
      <c r="F2982" s="20">
        <f>""</f>
        <v/>
      </c>
      <c r="G2982">
        <f>IF($C2982="","","Por la cancelacion del saldo al proveedor")</f>
        <v/>
      </c>
      <c r="H2982">
        <f>IF($C2982="","",Registro_Compras!$C$334)</f>
        <v/>
      </c>
    </row>
    <row r="2983">
      <c r="A2983" s="25">
        <f>IF($C2983="","",Registro_Compras!$Y$334)</f>
        <v/>
      </c>
      <c r="B2983">
        <f>IF($C2983="","","C"&amp;TEXT(INT((ROW()-5)/9)+1,"000")&amp;"-4")</f>
        <v/>
      </c>
      <c r="C2983">
        <f>IF(OR(Registro_Compras!$C$334="",Registro_Compras!$O$334="",Registro_Compras!$Y$334="",Registro_Compras!$F$334="NOTA DE CREDITO"),"","10413")</f>
        <v/>
      </c>
      <c r="D2983">
        <f>IF(OR(Registro_Compras!$C$334="",Registro_Compras!$O$334=""),"","Efectivo y Equivalentes - Cta. Cte. Operativa")</f>
        <v/>
      </c>
      <c r="E2983" s="20">
        <f>""</f>
        <v/>
      </c>
      <c r="F2983" s="20">
        <f>IF($C2983="","",IF(Registro_Compras!$F$334="RHE",(ROUND(Registro_Compras!$L$334*Registro_Compras!$N$334,2)-ROUND(Registro_Compras!$V$334*Registro_Compras!$N$334,2)),ROUND(Registro_Compras!$O$334-Registro_Compras!$S$334,2)))</f>
        <v/>
      </c>
      <c r="G2983">
        <f>IF($C2983="","","Por la cancelacion del saldo al proveedor")</f>
        <v/>
      </c>
      <c r="H2983">
        <f>IF($C2983="","",Registro_Compras!$C$334)</f>
        <v/>
      </c>
    </row>
    <row r="2984">
      <c r="A2984" s="25">
        <f>IF($C2984="","",Registro_Compras!$B$335)</f>
        <v/>
      </c>
      <c r="B2984">
        <f>IF($C2984="","","C"&amp;TEXT(INT((ROW()-5)/9)+1,"000")&amp;"-1")</f>
        <v/>
      </c>
      <c r="C2984">
        <f>IF(OR(Registro_Compras!$C$335="",Registro_Compras!$O$335=""),"",IF(Registro_Compras!$F$335="NOTA DE CREDITO","4212",IF(Registro_Compras!$M$335="","63",Registro_Compras!$M$335)))</f>
        <v/>
      </c>
      <c r="D2984">
        <f>IF(OR(Registro_Compras!$C$335="",Registro_Compras!$O$335=""),"",IF(Registro_Compras!$F$335="NOTA DE CREDITO","Cuentas por Pagar Comerciales - Terceros (Emitidas)",IF(Registro_Compras!$F$335="RHE","Honorarios Profesionales - Servicios de Terceros","Gastos de Servicios Prestados por Terceros")))</f>
        <v/>
      </c>
      <c r="E2984" s="20">
        <f>IF($C2984="","",IF(Registro_Compras!$F$335="NOTA DE CREDITO",ABS(Registro_Compras!$O$335),IF(Registro_Compras!$F$335="RHE",ROUND(Registro_Compras!$L$335*Registro_Compras!$N$335,2),ROUND(Registro_Compras!$J$335*Registro_Compras!$N$335,2))))</f>
        <v/>
      </c>
      <c r="F2984" s="20">
        <f>""</f>
        <v/>
      </c>
      <c r="G2984">
        <f>IF($C2984="","",IF(Registro_Compras!$F$335="NOTA DE CREDITO","Por la nota de credito "&amp;Registro_Compras!$C$335&amp;" de "&amp;Registro_Compras!$E$335&amp;" [PATRON POR CONFIRMAR CON CONTADOR]",IF(Registro_Compras!$F$335="RHE","Por el registro del recibo por honorarios "&amp;Registro_Compras!$C$335&amp;" de "&amp;Registro_Compras!$E$335&amp;" [PATRON POR CONFIRMAR CON CONTADOR]","Por el registro de la factura "&amp;Registro_Compras!$C$335&amp;" de "&amp;Registro_Compras!$E$335)))</f>
        <v/>
      </c>
      <c r="H2984">
        <f>IF($C2984="","",Registro_Compras!$C$335)</f>
        <v/>
      </c>
    </row>
    <row r="2985">
      <c r="A2985" s="25">
        <f>IF($C2985="","",Registro_Compras!$B$335)</f>
        <v/>
      </c>
      <c r="B2985">
        <f>IF($C2985="","","C"&amp;TEXT(INT((ROW()-5)/9)+1,"000")&amp;"-1")</f>
        <v/>
      </c>
      <c r="C2985">
        <f>IF(OR(Registro_Compras!$C$335="",Registro_Compras!$O$335=""),"",IF(Registro_Compras!$F$335="RHE",IF(Registro_Compras!$V$335=0,"","40172"),IF(Registro_Compras!$F$335="NOTA DE CREDITO",IF(Registro_Compras!$M$335="","63",Registro_Compras!$M$335),IF(Registro_Compras!$K$335=0,"","40111"))))</f>
        <v/>
      </c>
      <c r="D2985">
        <f>IF(OR(Registro_Compras!$C$335="",Registro_Compras!$O$335=""),"",IF(Registro_Compras!$F$335="RHE","Retencion Renta 4ta Categoria por Pagar",IF(Registro_Compras!$F$335="NOTA DE CREDITO","Gastos de Servicios Prestados por Terceros","IGV - Cuenta Propia (Credito Fiscal)")))</f>
        <v/>
      </c>
      <c r="E2985" s="20">
        <f>IF($C2985="","",IF(Registro_Compras!$F$335="FACTURA",ROUND(Registro_Compras!$K$335*Registro_Compras!$N$335,2),""))</f>
        <v/>
      </c>
      <c r="F2985" s="20">
        <f>IF($C2985="","",IF(Registro_Compras!$F$335="RHE",ROUND(Registro_Compras!$V$335*Registro_Compras!$N$335,2),IF(Registro_Compras!$F$335="NOTA DE CREDITO",ROUND(ABS(Registro_Compras!$J$335*Registro_Compras!$N$335),2),"")))</f>
        <v/>
      </c>
      <c r="G2985">
        <f>IF($C2985="","",IF(Registro_Compras!$F$335="NOTA DE CREDITO","Por la nota de credito "&amp;Registro_Compras!$C$335&amp;" de "&amp;Registro_Compras!$E$335&amp;" [PATRON POR CONFIRMAR CON CONTADOR]",IF(Registro_Compras!$F$335="RHE","Por el registro del recibo por honorarios "&amp;Registro_Compras!$C$335&amp;" de "&amp;Registro_Compras!$E$335&amp;" [PATRON POR CONFIRMAR CON CONTADOR]","Por el registro de la factura "&amp;Registro_Compras!$C$335&amp;" de "&amp;Registro_Compras!$E$335)))</f>
        <v/>
      </c>
      <c r="H2985">
        <f>IF($C2985="","",Registro_Compras!$C$335)</f>
        <v/>
      </c>
    </row>
    <row r="2986">
      <c r="A2986" s="25">
        <f>IF($C2986="","",Registro_Compras!$B$335)</f>
        <v/>
      </c>
      <c r="B2986">
        <f>IF($C2986="","","C"&amp;TEXT(INT((ROW()-5)/9)+1,"000")&amp;"-1")</f>
        <v/>
      </c>
      <c r="C2986">
        <f>IF(OR(Registro_Compras!$C$335="",Registro_Compras!$O$335=""),"",IF(Registro_Compras!$F$335="NOTA DE CREDITO",IF(Registro_Compras!$K$335=0,"","40111"),"4212"))</f>
        <v/>
      </c>
      <c r="D2986">
        <f>IF(OR(Registro_Compras!$C$335="",Registro_Compras!$O$335=""),"",IF(Registro_Compras!$F$335="NOTA DE CREDITO","IGV - Cuenta Propia (Credito Fiscal)","Cuentas por Pagar Comerciales - Terceros (Emitidas)"))</f>
        <v/>
      </c>
      <c r="E2986" s="20">
        <f>""</f>
        <v/>
      </c>
      <c r="F2986" s="20">
        <f>IF($C2986="","",IF(Registro_Compras!$F$335="NOTA DE CREDITO",ROUND(ABS(Registro_Compras!$K$335*Registro_Compras!$N$335),2),IF(Registro_Compras!$F$335="RHE",(ROUND(Registro_Compras!$L$335*Registro_Compras!$N$335,2)-ROUND(Registro_Compras!$V$335*Registro_Compras!$N$335,2)),Registro_Compras!$O$335)))</f>
        <v/>
      </c>
      <c r="G2986">
        <f>IF($C2986="","",IF(Registro_Compras!$F$335="NOTA DE CREDITO","Por la nota de credito "&amp;Registro_Compras!$C$335&amp;" de "&amp;Registro_Compras!$E$335&amp;" [PATRON POR CONFIRMAR CON CONTADOR]",IF(Registro_Compras!$F$335="RHE","Por el registro del recibo por honorarios "&amp;Registro_Compras!$C$335&amp;" de "&amp;Registro_Compras!$E$335&amp;" [PATRON POR CONFIRMAR CON CONTADOR]","Por el registro de la factura "&amp;Registro_Compras!$C$335&amp;" de "&amp;Registro_Compras!$E$335)))</f>
        <v/>
      </c>
      <c r="H2986">
        <f>IF($C2986="","",Registro_Compras!$C$335)</f>
        <v/>
      </c>
    </row>
    <row r="2987">
      <c r="A2987" s="25">
        <f>IF($C2987="","",Registro_Compras!$B$335)</f>
        <v/>
      </c>
      <c r="B2987">
        <f>IF($C2987="","","C"&amp;TEXT(INT((ROW()-5)/9)+1,"000")&amp;"-2")</f>
        <v/>
      </c>
      <c r="C2987">
        <f>IF(OR(Registro_Compras!$C$335="",Registro_Compras!$O$335=""),"",IF(Registro_Compras!$AB$335="ADMINISTRATIVO","94","95"))</f>
        <v/>
      </c>
      <c r="D2987">
        <f>IF(OR(Registro_Compras!$C$335="",Registro_Compras!$O$335=""),"",IF(Registro_Compras!$AB$335="ADMINISTRATIVO","Gastos Administrativos","Gastos de Venta y Operacion"))</f>
        <v/>
      </c>
      <c r="E2987" s="20">
        <f>IF($C2987="","",IF(Registro_Compras!$F$335="NOTA DE CREDITO","",IF(Registro_Compras!$F$335="RHE",ROUND(Registro_Compras!$L$335*Registro_Compras!$N$335,2),ROUND(Registro_Compras!$J$335*Registro_Compras!$N$335,2))))</f>
        <v/>
      </c>
      <c r="F2987" s="20">
        <f>IF($C2987="","",IF(Registro_Compras!$F$335="NOTA DE CREDITO",ROUND(ABS(Registro_Compras!$J$335*Registro_Compras!$N$335),2),""))</f>
        <v/>
      </c>
      <c r="G2987">
        <f>IF($C2987="","","Por el destino del gasto")</f>
        <v/>
      </c>
      <c r="H2987">
        <f>IF($C2987="","",Registro_Compras!$C$335)</f>
        <v/>
      </c>
    </row>
    <row r="2988">
      <c r="A2988" s="25">
        <f>IF($C2988="","",Registro_Compras!$B$335)</f>
        <v/>
      </c>
      <c r="B2988">
        <f>IF($C2988="","","C"&amp;TEXT(INT((ROW()-5)/9)+1,"000")&amp;"-2")</f>
        <v/>
      </c>
      <c r="C2988">
        <f>IF(OR(Registro_Compras!$C$335="",Registro_Compras!$O$335=""),"","79/791")</f>
        <v/>
      </c>
      <c r="D2988">
        <f>IF(OR(Registro_Compras!$C$335="",Registro_Compras!$O$335=""),"","Cargas Imputables a Cuentas de Costos y Gastos")</f>
        <v/>
      </c>
      <c r="E2988" s="20">
        <f>IF($C2988="","",IF(Registro_Compras!$F$335="NOTA DE CREDITO",ROUND(ABS(Registro_Compras!$J$335*Registro_Compras!$N$335),2),""))</f>
        <v/>
      </c>
      <c r="F2988" s="20">
        <f>IF($C2988="","",IF(Registro_Compras!$F$335="NOTA DE CREDITO","",IF(Registro_Compras!$F$335="RHE",ROUND(Registro_Compras!$L$335*Registro_Compras!$N$335,2),ROUND(Registro_Compras!$J$335*Registro_Compras!$N$335,2))))</f>
        <v/>
      </c>
      <c r="G2988">
        <f>IF($C2988="","","Por el destino del gasto")</f>
        <v/>
      </c>
      <c r="H2988">
        <f>IF($C2988="","",Registro_Compras!$C$335)</f>
        <v/>
      </c>
    </row>
    <row r="2989">
      <c r="A2989" s="25">
        <f>IF($C2989="","",Registro_Compras!$X$335)</f>
        <v/>
      </c>
      <c r="B2989">
        <f>IF($C2989="","","C"&amp;TEXT(INT((ROW()-5)/9)+1,"000")&amp;"-3")</f>
        <v/>
      </c>
      <c r="C2989">
        <f>IF(OR(Registro_Compras!$C$335="",Registro_Compras!$O$335="",Registro_Compras!$R$335&lt;&gt;"SI",Registro_Compras!$X$335=""),"","4212")</f>
        <v/>
      </c>
      <c r="D2989">
        <f>IF(OR(Registro_Compras!$C$335="",Registro_Compras!$O$335=""),"","Cuentas por Pagar Comerciales - Terceros")</f>
        <v/>
      </c>
      <c r="E2989" s="20">
        <f>IF($C2989="","",Registro_Compras!$S$335)</f>
        <v/>
      </c>
      <c r="F2989" s="20">
        <f>""</f>
        <v/>
      </c>
      <c r="G2989">
        <f>IF($C2989="","","Por el deposito de la detraccion en el Banco de la Nacion")</f>
        <v/>
      </c>
      <c r="H2989">
        <f>IF($C2989="","",Registro_Compras!$C$335)</f>
        <v/>
      </c>
    </row>
    <row r="2990">
      <c r="A2990" s="25">
        <f>IF($C2990="","",Registro_Compras!$X$335)</f>
        <v/>
      </c>
      <c r="B2990">
        <f>IF($C2990="","","C"&amp;TEXT(INT((ROW()-5)/9)+1,"000")&amp;"-3")</f>
        <v/>
      </c>
      <c r="C2990">
        <f>IF(OR(Registro_Compras!$C$335="",Registro_Compras!$O$335="",Registro_Compras!$R$335&lt;&gt;"SI",Registro_Compras!$X$335=""),"","10413")</f>
        <v/>
      </c>
      <c r="D2990">
        <f>IF(OR(Registro_Compras!$C$335="",Registro_Compras!$O$335=""),"","Efectivo y Equivalentes - Cta. Cte. Operativa")</f>
        <v/>
      </c>
      <c r="E2990" s="20">
        <f>""</f>
        <v/>
      </c>
      <c r="F2990" s="20">
        <f>IF($C2990="","",Registro_Compras!$S$335)</f>
        <v/>
      </c>
      <c r="G2990">
        <f>IF($C2990="","","Por el deposito de la detraccion en el Banco de la Nacion")</f>
        <v/>
      </c>
      <c r="H2990">
        <f>IF($C2990="","",Registro_Compras!$C$335)</f>
        <v/>
      </c>
    </row>
    <row r="2991">
      <c r="A2991" s="25">
        <f>IF($C2991="","",Registro_Compras!$Y$335)</f>
        <v/>
      </c>
      <c r="B2991">
        <f>IF($C2991="","","C"&amp;TEXT(INT((ROW()-5)/9)+1,"000")&amp;"-4")</f>
        <v/>
      </c>
      <c r="C2991">
        <f>IF(OR(Registro_Compras!$C$335="",Registro_Compras!$O$335="",Registro_Compras!$Y$335="",Registro_Compras!$F$335="NOTA DE CREDITO"),"","4212")</f>
        <v/>
      </c>
      <c r="D2991">
        <f>IF(OR(Registro_Compras!$C$335="",Registro_Compras!$O$335=""),"","Cuentas por Pagar Comerciales - Terceros")</f>
        <v/>
      </c>
      <c r="E2991" s="20">
        <f>IF($C2991="","",IF(Registro_Compras!$F$335="RHE",(ROUND(Registro_Compras!$L$335*Registro_Compras!$N$335,2)-ROUND(Registro_Compras!$V$335*Registro_Compras!$N$335,2)),ROUND(Registro_Compras!$O$335-Registro_Compras!$S$335,2)))</f>
        <v/>
      </c>
      <c r="F2991" s="20">
        <f>""</f>
        <v/>
      </c>
      <c r="G2991">
        <f>IF($C2991="","","Por la cancelacion del saldo al proveedor")</f>
        <v/>
      </c>
      <c r="H2991">
        <f>IF($C2991="","",Registro_Compras!$C$335)</f>
        <v/>
      </c>
    </row>
    <row r="2992">
      <c r="A2992" s="25">
        <f>IF($C2992="","",Registro_Compras!$Y$335)</f>
        <v/>
      </c>
      <c r="B2992">
        <f>IF($C2992="","","C"&amp;TEXT(INT((ROW()-5)/9)+1,"000")&amp;"-4")</f>
        <v/>
      </c>
      <c r="C2992">
        <f>IF(OR(Registro_Compras!$C$335="",Registro_Compras!$O$335="",Registro_Compras!$Y$335="",Registro_Compras!$F$335="NOTA DE CREDITO"),"","10413")</f>
        <v/>
      </c>
      <c r="D2992">
        <f>IF(OR(Registro_Compras!$C$335="",Registro_Compras!$O$335=""),"","Efectivo y Equivalentes - Cta. Cte. Operativa")</f>
        <v/>
      </c>
      <c r="E2992" s="20">
        <f>""</f>
        <v/>
      </c>
      <c r="F2992" s="20">
        <f>IF($C2992="","",IF(Registro_Compras!$F$335="RHE",(ROUND(Registro_Compras!$L$335*Registro_Compras!$N$335,2)-ROUND(Registro_Compras!$V$335*Registro_Compras!$N$335,2)),ROUND(Registro_Compras!$O$335-Registro_Compras!$S$335,2)))</f>
        <v/>
      </c>
      <c r="G2992">
        <f>IF($C2992="","","Por la cancelacion del saldo al proveedor")</f>
        <v/>
      </c>
      <c r="H2992">
        <f>IF($C2992="","",Registro_Compras!$C$335)</f>
        <v/>
      </c>
    </row>
    <row r="2993">
      <c r="A2993" s="25">
        <f>IF($C2993="","",Registro_Compras!$B$336)</f>
        <v/>
      </c>
      <c r="B2993">
        <f>IF($C2993="","","C"&amp;TEXT(INT((ROW()-5)/9)+1,"000")&amp;"-1")</f>
        <v/>
      </c>
      <c r="C2993">
        <f>IF(OR(Registro_Compras!$C$336="",Registro_Compras!$O$336=""),"",IF(Registro_Compras!$F$336="NOTA DE CREDITO","4212",IF(Registro_Compras!$M$336="","63",Registro_Compras!$M$336)))</f>
        <v/>
      </c>
      <c r="D2993">
        <f>IF(OR(Registro_Compras!$C$336="",Registro_Compras!$O$336=""),"",IF(Registro_Compras!$F$336="NOTA DE CREDITO","Cuentas por Pagar Comerciales - Terceros (Emitidas)",IF(Registro_Compras!$F$336="RHE","Honorarios Profesionales - Servicios de Terceros","Gastos de Servicios Prestados por Terceros")))</f>
        <v/>
      </c>
      <c r="E2993" s="20">
        <f>IF($C2993="","",IF(Registro_Compras!$F$336="NOTA DE CREDITO",ABS(Registro_Compras!$O$336),IF(Registro_Compras!$F$336="RHE",ROUND(Registro_Compras!$L$336*Registro_Compras!$N$336,2),ROUND(Registro_Compras!$J$336*Registro_Compras!$N$336,2))))</f>
        <v/>
      </c>
      <c r="F2993" s="20">
        <f>""</f>
        <v/>
      </c>
      <c r="G2993">
        <f>IF($C2993="","",IF(Registro_Compras!$F$336="NOTA DE CREDITO","Por la nota de credito "&amp;Registro_Compras!$C$336&amp;" de "&amp;Registro_Compras!$E$336&amp;" [PATRON POR CONFIRMAR CON CONTADOR]",IF(Registro_Compras!$F$336="RHE","Por el registro del recibo por honorarios "&amp;Registro_Compras!$C$336&amp;" de "&amp;Registro_Compras!$E$336&amp;" [PATRON POR CONFIRMAR CON CONTADOR]","Por el registro de la factura "&amp;Registro_Compras!$C$336&amp;" de "&amp;Registro_Compras!$E$336)))</f>
        <v/>
      </c>
      <c r="H2993">
        <f>IF($C2993="","",Registro_Compras!$C$336)</f>
        <v/>
      </c>
    </row>
    <row r="2994">
      <c r="A2994" s="25">
        <f>IF($C2994="","",Registro_Compras!$B$336)</f>
        <v/>
      </c>
      <c r="B2994">
        <f>IF($C2994="","","C"&amp;TEXT(INT((ROW()-5)/9)+1,"000")&amp;"-1")</f>
        <v/>
      </c>
      <c r="C2994">
        <f>IF(OR(Registro_Compras!$C$336="",Registro_Compras!$O$336=""),"",IF(Registro_Compras!$F$336="RHE",IF(Registro_Compras!$V$336=0,"","40172"),IF(Registro_Compras!$F$336="NOTA DE CREDITO",IF(Registro_Compras!$M$336="","63",Registro_Compras!$M$336),IF(Registro_Compras!$K$336=0,"","40111"))))</f>
        <v/>
      </c>
      <c r="D2994">
        <f>IF(OR(Registro_Compras!$C$336="",Registro_Compras!$O$336=""),"",IF(Registro_Compras!$F$336="RHE","Retencion Renta 4ta Categoria por Pagar",IF(Registro_Compras!$F$336="NOTA DE CREDITO","Gastos de Servicios Prestados por Terceros","IGV - Cuenta Propia (Credito Fiscal)")))</f>
        <v/>
      </c>
      <c r="E2994" s="20">
        <f>IF($C2994="","",IF(Registro_Compras!$F$336="FACTURA",ROUND(Registro_Compras!$K$336*Registro_Compras!$N$336,2),""))</f>
        <v/>
      </c>
      <c r="F2994" s="20">
        <f>IF($C2994="","",IF(Registro_Compras!$F$336="RHE",ROUND(Registro_Compras!$V$336*Registro_Compras!$N$336,2),IF(Registro_Compras!$F$336="NOTA DE CREDITO",ROUND(ABS(Registro_Compras!$J$336*Registro_Compras!$N$336),2),"")))</f>
        <v/>
      </c>
      <c r="G2994">
        <f>IF($C2994="","",IF(Registro_Compras!$F$336="NOTA DE CREDITO","Por la nota de credito "&amp;Registro_Compras!$C$336&amp;" de "&amp;Registro_Compras!$E$336&amp;" [PATRON POR CONFIRMAR CON CONTADOR]",IF(Registro_Compras!$F$336="RHE","Por el registro del recibo por honorarios "&amp;Registro_Compras!$C$336&amp;" de "&amp;Registro_Compras!$E$336&amp;" [PATRON POR CONFIRMAR CON CONTADOR]","Por el registro de la factura "&amp;Registro_Compras!$C$336&amp;" de "&amp;Registro_Compras!$E$336)))</f>
        <v/>
      </c>
      <c r="H2994">
        <f>IF($C2994="","",Registro_Compras!$C$336)</f>
        <v/>
      </c>
    </row>
    <row r="2995">
      <c r="A2995" s="25">
        <f>IF($C2995="","",Registro_Compras!$B$336)</f>
        <v/>
      </c>
      <c r="B2995">
        <f>IF($C2995="","","C"&amp;TEXT(INT((ROW()-5)/9)+1,"000")&amp;"-1")</f>
        <v/>
      </c>
      <c r="C2995">
        <f>IF(OR(Registro_Compras!$C$336="",Registro_Compras!$O$336=""),"",IF(Registro_Compras!$F$336="NOTA DE CREDITO",IF(Registro_Compras!$K$336=0,"","40111"),"4212"))</f>
        <v/>
      </c>
      <c r="D2995">
        <f>IF(OR(Registro_Compras!$C$336="",Registro_Compras!$O$336=""),"",IF(Registro_Compras!$F$336="NOTA DE CREDITO","IGV - Cuenta Propia (Credito Fiscal)","Cuentas por Pagar Comerciales - Terceros (Emitidas)"))</f>
        <v/>
      </c>
      <c r="E2995" s="20">
        <f>""</f>
        <v/>
      </c>
      <c r="F2995" s="20">
        <f>IF($C2995="","",IF(Registro_Compras!$F$336="NOTA DE CREDITO",ROUND(ABS(Registro_Compras!$K$336*Registro_Compras!$N$336),2),IF(Registro_Compras!$F$336="RHE",(ROUND(Registro_Compras!$L$336*Registro_Compras!$N$336,2)-ROUND(Registro_Compras!$V$336*Registro_Compras!$N$336,2)),Registro_Compras!$O$336)))</f>
        <v/>
      </c>
      <c r="G2995">
        <f>IF($C2995="","",IF(Registro_Compras!$F$336="NOTA DE CREDITO","Por la nota de credito "&amp;Registro_Compras!$C$336&amp;" de "&amp;Registro_Compras!$E$336&amp;" [PATRON POR CONFIRMAR CON CONTADOR]",IF(Registro_Compras!$F$336="RHE","Por el registro del recibo por honorarios "&amp;Registro_Compras!$C$336&amp;" de "&amp;Registro_Compras!$E$336&amp;" [PATRON POR CONFIRMAR CON CONTADOR]","Por el registro de la factura "&amp;Registro_Compras!$C$336&amp;" de "&amp;Registro_Compras!$E$336)))</f>
        <v/>
      </c>
      <c r="H2995">
        <f>IF($C2995="","",Registro_Compras!$C$336)</f>
        <v/>
      </c>
    </row>
    <row r="2996">
      <c r="A2996" s="25">
        <f>IF($C2996="","",Registro_Compras!$B$336)</f>
        <v/>
      </c>
      <c r="B2996">
        <f>IF($C2996="","","C"&amp;TEXT(INT((ROW()-5)/9)+1,"000")&amp;"-2")</f>
        <v/>
      </c>
      <c r="C2996">
        <f>IF(OR(Registro_Compras!$C$336="",Registro_Compras!$O$336=""),"",IF(Registro_Compras!$AB$336="ADMINISTRATIVO","94","95"))</f>
        <v/>
      </c>
      <c r="D2996">
        <f>IF(OR(Registro_Compras!$C$336="",Registro_Compras!$O$336=""),"",IF(Registro_Compras!$AB$336="ADMINISTRATIVO","Gastos Administrativos","Gastos de Venta y Operacion"))</f>
        <v/>
      </c>
      <c r="E2996" s="20">
        <f>IF($C2996="","",IF(Registro_Compras!$F$336="NOTA DE CREDITO","",IF(Registro_Compras!$F$336="RHE",ROUND(Registro_Compras!$L$336*Registro_Compras!$N$336,2),ROUND(Registro_Compras!$J$336*Registro_Compras!$N$336,2))))</f>
        <v/>
      </c>
      <c r="F2996" s="20">
        <f>IF($C2996="","",IF(Registro_Compras!$F$336="NOTA DE CREDITO",ROUND(ABS(Registro_Compras!$J$336*Registro_Compras!$N$336),2),""))</f>
        <v/>
      </c>
      <c r="G2996">
        <f>IF($C2996="","","Por el destino del gasto")</f>
        <v/>
      </c>
      <c r="H2996">
        <f>IF($C2996="","",Registro_Compras!$C$336)</f>
        <v/>
      </c>
    </row>
    <row r="2997">
      <c r="A2997" s="25">
        <f>IF($C2997="","",Registro_Compras!$B$336)</f>
        <v/>
      </c>
      <c r="B2997">
        <f>IF($C2997="","","C"&amp;TEXT(INT((ROW()-5)/9)+1,"000")&amp;"-2")</f>
        <v/>
      </c>
      <c r="C2997">
        <f>IF(OR(Registro_Compras!$C$336="",Registro_Compras!$O$336=""),"","79/791")</f>
        <v/>
      </c>
      <c r="D2997">
        <f>IF(OR(Registro_Compras!$C$336="",Registro_Compras!$O$336=""),"","Cargas Imputables a Cuentas de Costos y Gastos")</f>
        <v/>
      </c>
      <c r="E2997" s="20">
        <f>IF($C2997="","",IF(Registro_Compras!$F$336="NOTA DE CREDITO",ROUND(ABS(Registro_Compras!$J$336*Registro_Compras!$N$336),2),""))</f>
        <v/>
      </c>
      <c r="F2997" s="20">
        <f>IF($C2997="","",IF(Registro_Compras!$F$336="NOTA DE CREDITO","",IF(Registro_Compras!$F$336="RHE",ROUND(Registro_Compras!$L$336*Registro_Compras!$N$336,2),ROUND(Registro_Compras!$J$336*Registro_Compras!$N$336,2))))</f>
        <v/>
      </c>
      <c r="G2997">
        <f>IF($C2997="","","Por el destino del gasto")</f>
        <v/>
      </c>
      <c r="H2997">
        <f>IF($C2997="","",Registro_Compras!$C$336)</f>
        <v/>
      </c>
    </row>
    <row r="2998">
      <c r="A2998" s="25">
        <f>IF($C2998="","",Registro_Compras!$X$336)</f>
        <v/>
      </c>
      <c r="B2998">
        <f>IF($C2998="","","C"&amp;TEXT(INT((ROW()-5)/9)+1,"000")&amp;"-3")</f>
        <v/>
      </c>
      <c r="C2998">
        <f>IF(OR(Registro_Compras!$C$336="",Registro_Compras!$O$336="",Registro_Compras!$R$336&lt;&gt;"SI",Registro_Compras!$X$336=""),"","4212")</f>
        <v/>
      </c>
      <c r="D2998">
        <f>IF(OR(Registro_Compras!$C$336="",Registro_Compras!$O$336=""),"","Cuentas por Pagar Comerciales - Terceros")</f>
        <v/>
      </c>
      <c r="E2998" s="20">
        <f>IF($C2998="","",Registro_Compras!$S$336)</f>
        <v/>
      </c>
      <c r="F2998" s="20">
        <f>""</f>
        <v/>
      </c>
      <c r="G2998">
        <f>IF($C2998="","","Por el deposito de la detraccion en el Banco de la Nacion")</f>
        <v/>
      </c>
      <c r="H2998">
        <f>IF($C2998="","",Registro_Compras!$C$336)</f>
        <v/>
      </c>
    </row>
    <row r="2999">
      <c r="A2999" s="25">
        <f>IF($C2999="","",Registro_Compras!$X$336)</f>
        <v/>
      </c>
      <c r="B2999">
        <f>IF($C2999="","","C"&amp;TEXT(INT((ROW()-5)/9)+1,"000")&amp;"-3")</f>
        <v/>
      </c>
      <c r="C2999">
        <f>IF(OR(Registro_Compras!$C$336="",Registro_Compras!$O$336="",Registro_Compras!$R$336&lt;&gt;"SI",Registro_Compras!$X$336=""),"","10413")</f>
        <v/>
      </c>
      <c r="D2999">
        <f>IF(OR(Registro_Compras!$C$336="",Registro_Compras!$O$336=""),"","Efectivo y Equivalentes - Cta. Cte. Operativa")</f>
        <v/>
      </c>
      <c r="E2999" s="20">
        <f>""</f>
        <v/>
      </c>
      <c r="F2999" s="20">
        <f>IF($C2999="","",Registro_Compras!$S$336)</f>
        <v/>
      </c>
      <c r="G2999">
        <f>IF($C2999="","","Por el deposito de la detraccion en el Banco de la Nacion")</f>
        <v/>
      </c>
      <c r="H2999">
        <f>IF($C2999="","",Registro_Compras!$C$336)</f>
        <v/>
      </c>
    </row>
    <row r="3000">
      <c r="A3000" s="25">
        <f>IF($C3000="","",Registro_Compras!$Y$336)</f>
        <v/>
      </c>
      <c r="B3000">
        <f>IF($C3000="","","C"&amp;TEXT(INT((ROW()-5)/9)+1,"000")&amp;"-4")</f>
        <v/>
      </c>
      <c r="C3000">
        <f>IF(OR(Registro_Compras!$C$336="",Registro_Compras!$O$336="",Registro_Compras!$Y$336="",Registro_Compras!$F$336="NOTA DE CREDITO"),"","4212")</f>
        <v/>
      </c>
      <c r="D3000">
        <f>IF(OR(Registro_Compras!$C$336="",Registro_Compras!$O$336=""),"","Cuentas por Pagar Comerciales - Terceros")</f>
        <v/>
      </c>
      <c r="E3000" s="20">
        <f>IF($C3000="","",IF(Registro_Compras!$F$336="RHE",(ROUND(Registro_Compras!$L$336*Registro_Compras!$N$336,2)-ROUND(Registro_Compras!$V$336*Registro_Compras!$N$336,2)),ROUND(Registro_Compras!$O$336-Registro_Compras!$S$336,2)))</f>
        <v/>
      </c>
      <c r="F3000" s="20">
        <f>""</f>
        <v/>
      </c>
      <c r="G3000">
        <f>IF($C3000="","","Por la cancelacion del saldo al proveedor")</f>
        <v/>
      </c>
      <c r="H3000">
        <f>IF($C3000="","",Registro_Compras!$C$336)</f>
        <v/>
      </c>
    </row>
    <row r="3001">
      <c r="A3001" s="25">
        <f>IF($C3001="","",Registro_Compras!$Y$336)</f>
        <v/>
      </c>
      <c r="B3001">
        <f>IF($C3001="","","C"&amp;TEXT(INT((ROW()-5)/9)+1,"000")&amp;"-4")</f>
        <v/>
      </c>
      <c r="C3001">
        <f>IF(OR(Registro_Compras!$C$336="",Registro_Compras!$O$336="",Registro_Compras!$Y$336="",Registro_Compras!$F$336="NOTA DE CREDITO"),"","10413")</f>
        <v/>
      </c>
      <c r="D3001">
        <f>IF(OR(Registro_Compras!$C$336="",Registro_Compras!$O$336=""),"","Efectivo y Equivalentes - Cta. Cte. Operativa")</f>
        <v/>
      </c>
      <c r="E3001" s="20">
        <f>""</f>
        <v/>
      </c>
      <c r="F3001" s="20">
        <f>IF($C3001="","",IF(Registro_Compras!$F$336="RHE",(ROUND(Registro_Compras!$L$336*Registro_Compras!$N$336,2)-ROUND(Registro_Compras!$V$336*Registro_Compras!$N$336,2)),ROUND(Registro_Compras!$O$336-Registro_Compras!$S$336,2)))</f>
        <v/>
      </c>
      <c r="G3001">
        <f>IF($C3001="","","Por la cancelacion del saldo al proveedor")</f>
        <v/>
      </c>
      <c r="H3001">
        <f>IF($C3001="","",Registro_Compras!$C$336)</f>
        <v/>
      </c>
    </row>
    <row r="3002">
      <c r="A3002" s="25">
        <f>IF($C3002="","",Registro_Compras!$B$337)</f>
        <v/>
      </c>
      <c r="B3002">
        <f>IF($C3002="","","C"&amp;TEXT(INT((ROW()-5)/9)+1,"000")&amp;"-1")</f>
        <v/>
      </c>
      <c r="C3002">
        <f>IF(OR(Registro_Compras!$C$337="",Registro_Compras!$O$337=""),"",IF(Registro_Compras!$F$337="NOTA DE CREDITO","4212",IF(Registro_Compras!$M$337="","63",Registro_Compras!$M$337)))</f>
        <v/>
      </c>
      <c r="D3002">
        <f>IF(OR(Registro_Compras!$C$337="",Registro_Compras!$O$337=""),"",IF(Registro_Compras!$F$337="NOTA DE CREDITO","Cuentas por Pagar Comerciales - Terceros (Emitidas)",IF(Registro_Compras!$F$337="RHE","Honorarios Profesionales - Servicios de Terceros","Gastos de Servicios Prestados por Terceros")))</f>
        <v/>
      </c>
      <c r="E3002" s="20">
        <f>IF($C3002="","",IF(Registro_Compras!$F$337="NOTA DE CREDITO",ABS(Registro_Compras!$O$337),IF(Registro_Compras!$F$337="RHE",ROUND(Registro_Compras!$L$337*Registro_Compras!$N$337,2),ROUND(Registro_Compras!$J$337*Registro_Compras!$N$337,2))))</f>
        <v/>
      </c>
      <c r="F3002" s="20">
        <f>""</f>
        <v/>
      </c>
      <c r="G3002">
        <f>IF($C3002="","",IF(Registro_Compras!$F$337="NOTA DE CREDITO","Por la nota de credito "&amp;Registro_Compras!$C$337&amp;" de "&amp;Registro_Compras!$E$337&amp;" [PATRON POR CONFIRMAR CON CONTADOR]",IF(Registro_Compras!$F$337="RHE","Por el registro del recibo por honorarios "&amp;Registro_Compras!$C$337&amp;" de "&amp;Registro_Compras!$E$337&amp;" [PATRON POR CONFIRMAR CON CONTADOR]","Por el registro de la factura "&amp;Registro_Compras!$C$337&amp;" de "&amp;Registro_Compras!$E$337)))</f>
        <v/>
      </c>
      <c r="H3002">
        <f>IF($C3002="","",Registro_Compras!$C$337)</f>
        <v/>
      </c>
    </row>
    <row r="3003">
      <c r="A3003" s="25">
        <f>IF($C3003="","",Registro_Compras!$B$337)</f>
        <v/>
      </c>
      <c r="B3003">
        <f>IF($C3003="","","C"&amp;TEXT(INT((ROW()-5)/9)+1,"000")&amp;"-1")</f>
        <v/>
      </c>
      <c r="C3003">
        <f>IF(OR(Registro_Compras!$C$337="",Registro_Compras!$O$337=""),"",IF(Registro_Compras!$F$337="RHE",IF(Registro_Compras!$V$337=0,"","40172"),IF(Registro_Compras!$F$337="NOTA DE CREDITO",IF(Registro_Compras!$M$337="","63",Registro_Compras!$M$337),IF(Registro_Compras!$K$337=0,"","40111"))))</f>
        <v/>
      </c>
      <c r="D3003">
        <f>IF(OR(Registro_Compras!$C$337="",Registro_Compras!$O$337=""),"",IF(Registro_Compras!$F$337="RHE","Retencion Renta 4ta Categoria por Pagar",IF(Registro_Compras!$F$337="NOTA DE CREDITO","Gastos de Servicios Prestados por Terceros","IGV - Cuenta Propia (Credito Fiscal)")))</f>
        <v/>
      </c>
      <c r="E3003" s="20">
        <f>IF($C3003="","",IF(Registro_Compras!$F$337="FACTURA",ROUND(Registro_Compras!$K$337*Registro_Compras!$N$337,2),""))</f>
        <v/>
      </c>
      <c r="F3003" s="20">
        <f>IF($C3003="","",IF(Registro_Compras!$F$337="RHE",ROUND(Registro_Compras!$V$337*Registro_Compras!$N$337,2),IF(Registro_Compras!$F$337="NOTA DE CREDITO",ROUND(ABS(Registro_Compras!$J$337*Registro_Compras!$N$337),2),"")))</f>
        <v/>
      </c>
      <c r="G3003">
        <f>IF($C3003="","",IF(Registro_Compras!$F$337="NOTA DE CREDITO","Por la nota de credito "&amp;Registro_Compras!$C$337&amp;" de "&amp;Registro_Compras!$E$337&amp;" [PATRON POR CONFIRMAR CON CONTADOR]",IF(Registro_Compras!$F$337="RHE","Por el registro del recibo por honorarios "&amp;Registro_Compras!$C$337&amp;" de "&amp;Registro_Compras!$E$337&amp;" [PATRON POR CONFIRMAR CON CONTADOR]","Por el registro de la factura "&amp;Registro_Compras!$C$337&amp;" de "&amp;Registro_Compras!$E$337)))</f>
        <v/>
      </c>
      <c r="H3003">
        <f>IF($C3003="","",Registro_Compras!$C$337)</f>
        <v/>
      </c>
    </row>
    <row r="3004">
      <c r="A3004" s="25">
        <f>IF($C3004="","",Registro_Compras!$B$337)</f>
        <v/>
      </c>
      <c r="B3004">
        <f>IF($C3004="","","C"&amp;TEXT(INT((ROW()-5)/9)+1,"000")&amp;"-1")</f>
        <v/>
      </c>
      <c r="C3004">
        <f>IF(OR(Registro_Compras!$C$337="",Registro_Compras!$O$337=""),"",IF(Registro_Compras!$F$337="NOTA DE CREDITO",IF(Registro_Compras!$K$337=0,"","40111"),"4212"))</f>
        <v/>
      </c>
      <c r="D3004">
        <f>IF(OR(Registro_Compras!$C$337="",Registro_Compras!$O$337=""),"",IF(Registro_Compras!$F$337="NOTA DE CREDITO","IGV - Cuenta Propia (Credito Fiscal)","Cuentas por Pagar Comerciales - Terceros (Emitidas)"))</f>
        <v/>
      </c>
      <c r="E3004" s="20">
        <f>""</f>
        <v/>
      </c>
      <c r="F3004" s="20">
        <f>IF($C3004="","",IF(Registro_Compras!$F$337="NOTA DE CREDITO",ROUND(ABS(Registro_Compras!$K$337*Registro_Compras!$N$337),2),IF(Registro_Compras!$F$337="RHE",(ROUND(Registro_Compras!$L$337*Registro_Compras!$N$337,2)-ROUND(Registro_Compras!$V$337*Registro_Compras!$N$337,2)),Registro_Compras!$O$337)))</f>
        <v/>
      </c>
      <c r="G3004">
        <f>IF($C3004="","",IF(Registro_Compras!$F$337="NOTA DE CREDITO","Por la nota de credito "&amp;Registro_Compras!$C$337&amp;" de "&amp;Registro_Compras!$E$337&amp;" [PATRON POR CONFIRMAR CON CONTADOR]",IF(Registro_Compras!$F$337="RHE","Por el registro del recibo por honorarios "&amp;Registro_Compras!$C$337&amp;" de "&amp;Registro_Compras!$E$337&amp;" [PATRON POR CONFIRMAR CON CONTADOR]","Por el registro de la factura "&amp;Registro_Compras!$C$337&amp;" de "&amp;Registro_Compras!$E$337)))</f>
        <v/>
      </c>
      <c r="H3004">
        <f>IF($C3004="","",Registro_Compras!$C$337)</f>
        <v/>
      </c>
    </row>
    <row r="3005">
      <c r="A3005" s="25">
        <f>IF($C3005="","",Registro_Compras!$B$337)</f>
        <v/>
      </c>
      <c r="B3005">
        <f>IF($C3005="","","C"&amp;TEXT(INT((ROW()-5)/9)+1,"000")&amp;"-2")</f>
        <v/>
      </c>
      <c r="C3005">
        <f>IF(OR(Registro_Compras!$C$337="",Registro_Compras!$O$337=""),"",IF(Registro_Compras!$AB$337="ADMINISTRATIVO","94","95"))</f>
        <v/>
      </c>
      <c r="D3005">
        <f>IF(OR(Registro_Compras!$C$337="",Registro_Compras!$O$337=""),"",IF(Registro_Compras!$AB$337="ADMINISTRATIVO","Gastos Administrativos","Gastos de Venta y Operacion"))</f>
        <v/>
      </c>
      <c r="E3005" s="20">
        <f>IF($C3005="","",IF(Registro_Compras!$F$337="NOTA DE CREDITO","",IF(Registro_Compras!$F$337="RHE",ROUND(Registro_Compras!$L$337*Registro_Compras!$N$337,2),ROUND(Registro_Compras!$J$337*Registro_Compras!$N$337,2))))</f>
        <v/>
      </c>
      <c r="F3005" s="20">
        <f>IF($C3005="","",IF(Registro_Compras!$F$337="NOTA DE CREDITO",ROUND(ABS(Registro_Compras!$J$337*Registro_Compras!$N$337),2),""))</f>
        <v/>
      </c>
      <c r="G3005">
        <f>IF($C3005="","","Por el destino del gasto")</f>
        <v/>
      </c>
      <c r="H3005">
        <f>IF($C3005="","",Registro_Compras!$C$337)</f>
        <v/>
      </c>
    </row>
    <row r="3006">
      <c r="A3006" s="25">
        <f>IF($C3006="","",Registro_Compras!$B$337)</f>
        <v/>
      </c>
      <c r="B3006">
        <f>IF($C3006="","","C"&amp;TEXT(INT((ROW()-5)/9)+1,"000")&amp;"-2")</f>
        <v/>
      </c>
      <c r="C3006">
        <f>IF(OR(Registro_Compras!$C$337="",Registro_Compras!$O$337=""),"","79/791")</f>
        <v/>
      </c>
      <c r="D3006">
        <f>IF(OR(Registro_Compras!$C$337="",Registro_Compras!$O$337=""),"","Cargas Imputables a Cuentas de Costos y Gastos")</f>
        <v/>
      </c>
      <c r="E3006" s="20">
        <f>IF($C3006="","",IF(Registro_Compras!$F$337="NOTA DE CREDITO",ROUND(ABS(Registro_Compras!$J$337*Registro_Compras!$N$337),2),""))</f>
        <v/>
      </c>
      <c r="F3006" s="20">
        <f>IF($C3006="","",IF(Registro_Compras!$F$337="NOTA DE CREDITO","",IF(Registro_Compras!$F$337="RHE",ROUND(Registro_Compras!$L$337*Registro_Compras!$N$337,2),ROUND(Registro_Compras!$J$337*Registro_Compras!$N$337,2))))</f>
        <v/>
      </c>
      <c r="G3006">
        <f>IF($C3006="","","Por el destino del gasto")</f>
        <v/>
      </c>
      <c r="H3006">
        <f>IF($C3006="","",Registro_Compras!$C$337)</f>
        <v/>
      </c>
    </row>
    <row r="3007">
      <c r="A3007" s="25">
        <f>IF($C3007="","",Registro_Compras!$X$337)</f>
        <v/>
      </c>
      <c r="B3007">
        <f>IF($C3007="","","C"&amp;TEXT(INT((ROW()-5)/9)+1,"000")&amp;"-3")</f>
        <v/>
      </c>
      <c r="C3007">
        <f>IF(OR(Registro_Compras!$C$337="",Registro_Compras!$O$337="",Registro_Compras!$R$337&lt;&gt;"SI",Registro_Compras!$X$337=""),"","4212")</f>
        <v/>
      </c>
      <c r="D3007">
        <f>IF(OR(Registro_Compras!$C$337="",Registro_Compras!$O$337=""),"","Cuentas por Pagar Comerciales - Terceros")</f>
        <v/>
      </c>
      <c r="E3007" s="20">
        <f>IF($C3007="","",Registro_Compras!$S$337)</f>
        <v/>
      </c>
      <c r="F3007" s="20">
        <f>""</f>
        <v/>
      </c>
      <c r="G3007">
        <f>IF($C3007="","","Por el deposito de la detraccion en el Banco de la Nacion")</f>
        <v/>
      </c>
      <c r="H3007">
        <f>IF($C3007="","",Registro_Compras!$C$337)</f>
        <v/>
      </c>
    </row>
    <row r="3008">
      <c r="A3008" s="25">
        <f>IF($C3008="","",Registro_Compras!$X$337)</f>
        <v/>
      </c>
      <c r="B3008">
        <f>IF($C3008="","","C"&amp;TEXT(INT((ROW()-5)/9)+1,"000")&amp;"-3")</f>
        <v/>
      </c>
      <c r="C3008">
        <f>IF(OR(Registro_Compras!$C$337="",Registro_Compras!$O$337="",Registro_Compras!$R$337&lt;&gt;"SI",Registro_Compras!$X$337=""),"","10413")</f>
        <v/>
      </c>
      <c r="D3008">
        <f>IF(OR(Registro_Compras!$C$337="",Registro_Compras!$O$337=""),"","Efectivo y Equivalentes - Cta. Cte. Operativa")</f>
        <v/>
      </c>
      <c r="E3008" s="20">
        <f>""</f>
        <v/>
      </c>
      <c r="F3008" s="20">
        <f>IF($C3008="","",Registro_Compras!$S$337)</f>
        <v/>
      </c>
      <c r="G3008">
        <f>IF($C3008="","","Por el deposito de la detraccion en el Banco de la Nacion")</f>
        <v/>
      </c>
      <c r="H3008">
        <f>IF($C3008="","",Registro_Compras!$C$337)</f>
        <v/>
      </c>
    </row>
    <row r="3009">
      <c r="A3009" s="25">
        <f>IF($C3009="","",Registro_Compras!$Y$337)</f>
        <v/>
      </c>
      <c r="B3009">
        <f>IF($C3009="","","C"&amp;TEXT(INT((ROW()-5)/9)+1,"000")&amp;"-4")</f>
        <v/>
      </c>
      <c r="C3009">
        <f>IF(OR(Registro_Compras!$C$337="",Registro_Compras!$O$337="",Registro_Compras!$Y$337="",Registro_Compras!$F$337="NOTA DE CREDITO"),"","4212")</f>
        <v/>
      </c>
      <c r="D3009">
        <f>IF(OR(Registro_Compras!$C$337="",Registro_Compras!$O$337=""),"","Cuentas por Pagar Comerciales - Terceros")</f>
        <v/>
      </c>
      <c r="E3009" s="20">
        <f>IF($C3009="","",IF(Registro_Compras!$F$337="RHE",(ROUND(Registro_Compras!$L$337*Registro_Compras!$N$337,2)-ROUND(Registro_Compras!$V$337*Registro_Compras!$N$337,2)),ROUND(Registro_Compras!$O$337-Registro_Compras!$S$337,2)))</f>
        <v/>
      </c>
      <c r="F3009" s="20">
        <f>""</f>
        <v/>
      </c>
      <c r="G3009">
        <f>IF($C3009="","","Por la cancelacion del saldo al proveedor")</f>
        <v/>
      </c>
      <c r="H3009">
        <f>IF($C3009="","",Registro_Compras!$C$337)</f>
        <v/>
      </c>
    </row>
    <row r="3010">
      <c r="A3010" s="25">
        <f>IF($C3010="","",Registro_Compras!$Y$337)</f>
        <v/>
      </c>
      <c r="B3010">
        <f>IF($C3010="","","C"&amp;TEXT(INT((ROW()-5)/9)+1,"000")&amp;"-4")</f>
        <v/>
      </c>
      <c r="C3010">
        <f>IF(OR(Registro_Compras!$C$337="",Registro_Compras!$O$337="",Registro_Compras!$Y$337="",Registro_Compras!$F$337="NOTA DE CREDITO"),"","10413")</f>
        <v/>
      </c>
      <c r="D3010">
        <f>IF(OR(Registro_Compras!$C$337="",Registro_Compras!$O$337=""),"","Efectivo y Equivalentes - Cta. Cte. Operativa")</f>
        <v/>
      </c>
      <c r="E3010" s="20">
        <f>""</f>
        <v/>
      </c>
      <c r="F3010" s="20">
        <f>IF($C3010="","",IF(Registro_Compras!$F$337="RHE",(ROUND(Registro_Compras!$L$337*Registro_Compras!$N$337,2)-ROUND(Registro_Compras!$V$337*Registro_Compras!$N$337,2)),ROUND(Registro_Compras!$O$337-Registro_Compras!$S$337,2)))</f>
        <v/>
      </c>
      <c r="G3010">
        <f>IF($C3010="","","Por la cancelacion del saldo al proveedor")</f>
        <v/>
      </c>
      <c r="H3010">
        <f>IF($C3010="","",Registro_Compras!$C$337)</f>
        <v/>
      </c>
    </row>
    <row r="3011">
      <c r="A3011" s="25">
        <f>IF($C3011="","",Registro_Compras!$B$338)</f>
        <v/>
      </c>
      <c r="B3011">
        <f>IF($C3011="","","C"&amp;TEXT(INT((ROW()-5)/9)+1,"000")&amp;"-1")</f>
        <v/>
      </c>
      <c r="C3011">
        <f>IF(OR(Registro_Compras!$C$338="",Registro_Compras!$O$338=""),"",IF(Registro_Compras!$F$338="NOTA DE CREDITO","4212",IF(Registro_Compras!$M$338="","63",Registro_Compras!$M$338)))</f>
        <v/>
      </c>
      <c r="D3011">
        <f>IF(OR(Registro_Compras!$C$338="",Registro_Compras!$O$338=""),"",IF(Registro_Compras!$F$338="NOTA DE CREDITO","Cuentas por Pagar Comerciales - Terceros (Emitidas)",IF(Registro_Compras!$F$338="RHE","Honorarios Profesionales - Servicios de Terceros","Gastos de Servicios Prestados por Terceros")))</f>
        <v/>
      </c>
      <c r="E3011" s="20">
        <f>IF($C3011="","",IF(Registro_Compras!$F$338="NOTA DE CREDITO",ABS(Registro_Compras!$O$338),IF(Registro_Compras!$F$338="RHE",ROUND(Registro_Compras!$L$338*Registro_Compras!$N$338,2),ROUND(Registro_Compras!$J$338*Registro_Compras!$N$338,2))))</f>
        <v/>
      </c>
      <c r="F3011" s="20">
        <f>""</f>
        <v/>
      </c>
      <c r="G3011">
        <f>IF($C3011="","",IF(Registro_Compras!$F$338="NOTA DE CREDITO","Por la nota de credito "&amp;Registro_Compras!$C$338&amp;" de "&amp;Registro_Compras!$E$338&amp;" [PATRON POR CONFIRMAR CON CONTADOR]",IF(Registro_Compras!$F$338="RHE","Por el registro del recibo por honorarios "&amp;Registro_Compras!$C$338&amp;" de "&amp;Registro_Compras!$E$338&amp;" [PATRON POR CONFIRMAR CON CONTADOR]","Por el registro de la factura "&amp;Registro_Compras!$C$338&amp;" de "&amp;Registro_Compras!$E$338)))</f>
        <v/>
      </c>
      <c r="H3011">
        <f>IF($C3011="","",Registro_Compras!$C$338)</f>
        <v/>
      </c>
    </row>
    <row r="3012">
      <c r="A3012" s="25">
        <f>IF($C3012="","",Registro_Compras!$B$338)</f>
        <v/>
      </c>
      <c r="B3012">
        <f>IF($C3012="","","C"&amp;TEXT(INT((ROW()-5)/9)+1,"000")&amp;"-1")</f>
        <v/>
      </c>
      <c r="C3012">
        <f>IF(OR(Registro_Compras!$C$338="",Registro_Compras!$O$338=""),"",IF(Registro_Compras!$F$338="RHE",IF(Registro_Compras!$V$338=0,"","40172"),IF(Registro_Compras!$F$338="NOTA DE CREDITO",IF(Registro_Compras!$M$338="","63",Registro_Compras!$M$338),IF(Registro_Compras!$K$338=0,"","40111"))))</f>
        <v/>
      </c>
      <c r="D3012">
        <f>IF(OR(Registro_Compras!$C$338="",Registro_Compras!$O$338=""),"",IF(Registro_Compras!$F$338="RHE","Retencion Renta 4ta Categoria por Pagar",IF(Registro_Compras!$F$338="NOTA DE CREDITO","Gastos de Servicios Prestados por Terceros","IGV - Cuenta Propia (Credito Fiscal)")))</f>
        <v/>
      </c>
      <c r="E3012" s="20">
        <f>IF($C3012="","",IF(Registro_Compras!$F$338="FACTURA",ROUND(Registro_Compras!$K$338*Registro_Compras!$N$338,2),""))</f>
        <v/>
      </c>
      <c r="F3012" s="20">
        <f>IF($C3012="","",IF(Registro_Compras!$F$338="RHE",ROUND(Registro_Compras!$V$338*Registro_Compras!$N$338,2),IF(Registro_Compras!$F$338="NOTA DE CREDITO",ROUND(ABS(Registro_Compras!$J$338*Registro_Compras!$N$338),2),"")))</f>
        <v/>
      </c>
      <c r="G3012">
        <f>IF($C3012="","",IF(Registro_Compras!$F$338="NOTA DE CREDITO","Por la nota de credito "&amp;Registro_Compras!$C$338&amp;" de "&amp;Registro_Compras!$E$338&amp;" [PATRON POR CONFIRMAR CON CONTADOR]",IF(Registro_Compras!$F$338="RHE","Por el registro del recibo por honorarios "&amp;Registro_Compras!$C$338&amp;" de "&amp;Registro_Compras!$E$338&amp;" [PATRON POR CONFIRMAR CON CONTADOR]","Por el registro de la factura "&amp;Registro_Compras!$C$338&amp;" de "&amp;Registro_Compras!$E$338)))</f>
        <v/>
      </c>
      <c r="H3012">
        <f>IF($C3012="","",Registro_Compras!$C$338)</f>
        <v/>
      </c>
    </row>
    <row r="3013">
      <c r="A3013" s="25">
        <f>IF($C3013="","",Registro_Compras!$B$338)</f>
        <v/>
      </c>
      <c r="B3013">
        <f>IF($C3013="","","C"&amp;TEXT(INT((ROW()-5)/9)+1,"000")&amp;"-1")</f>
        <v/>
      </c>
      <c r="C3013">
        <f>IF(OR(Registro_Compras!$C$338="",Registro_Compras!$O$338=""),"",IF(Registro_Compras!$F$338="NOTA DE CREDITO",IF(Registro_Compras!$K$338=0,"","40111"),"4212"))</f>
        <v/>
      </c>
      <c r="D3013">
        <f>IF(OR(Registro_Compras!$C$338="",Registro_Compras!$O$338=""),"",IF(Registro_Compras!$F$338="NOTA DE CREDITO","IGV - Cuenta Propia (Credito Fiscal)","Cuentas por Pagar Comerciales - Terceros (Emitidas)"))</f>
        <v/>
      </c>
      <c r="E3013" s="20">
        <f>""</f>
        <v/>
      </c>
      <c r="F3013" s="20">
        <f>IF($C3013="","",IF(Registro_Compras!$F$338="NOTA DE CREDITO",ROUND(ABS(Registro_Compras!$K$338*Registro_Compras!$N$338),2),IF(Registro_Compras!$F$338="RHE",(ROUND(Registro_Compras!$L$338*Registro_Compras!$N$338,2)-ROUND(Registro_Compras!$V$338*Registro_Compras!$N$338,2)),Registro_Compras!$O$338)))</f>
        <v/>
      </c>
      <c r="G3013">
        <f>IF($C3013="","",IF(Registro_Compras!$F$338="NOTA DE CREDITO","Por la nota de credito "&amp;Registro_Compras!$C$338&amp;" de "&amp;Registro_Compras!$E$338&amp;" [PATRON POR CONFIRMAR CON CONTADOR]",IF(Registro_Compras!$F$338="RHE","Por el registro del recibo por honorarios "&amp;Registro_Compras!$C$338&amp;" de "&amp;Registro_Compras!$E$338&amp;" [PATRON POR CONFIRMAR CON CONTADOR]","Por el registro de la factura "&amp;Registro_Compras!$C$338&amp;" de "&amp;Registro_Compras!$E$338)))</f>
        <v/>
      </c>
      <c r="H3013">
        <f>IF($C3013="","",Registro_Compras!$C$338)</f>
        <v/>
      </c>
    </row>
    <row r="3014">
      <c r="A3014" s="25">
        <f>IF($C3014="","",Registro_Compras!$B$338)</f>
        <v/>
      </c>
      <c r="B3014">
        <f>IF($C3014="","","C"&amp;TEXT(INT((ROW()-5)/9)+1,"000")&amp;"-2")</f>
        <v/>
      </c>
      <c r="C3014">
        <f>IF(OR(Registro_Compras!$C$338="",Registro_Compras!$O$338=""),"",IF(Registro_Compras!$AB$338="ADMINISTRATIVO","94","95"))</f>
        <v/>
      </c>
      <c r="D3014">
        <f>IF(OR(Registro_Compras!$C$338="",Registro_Compras!$O$338=""),"",IF(Registro_Compras!$AB$338="ADMINISTRATIVO","Gastos Administrativos","Gastos de Venta y Operacion"))</f>
        <v/>
      </c>
      <c r="E3014" s="20">
        <f>IF($C3014="","",IF(Registro_Compras!$F$338="NOTA DE CREDITO","",IF(Registro_Compras!$F$338="RHE",ROUND(Registro_Compras!$L$338*Registro_Compras!$N$338,2),ROUND(Registro_Compras!$J$338*Registro_Compras!$N$338,2))))</f>
        <v/>
      </c>
      <c r="F3014" s="20">
        <f>IF($C3014="","",IF(Registro_Compras!$F$338="NOTA DE CREDITO",ROUND(ABS(Registro_Compras!$J$338*Registro_Compras!$N$338),2),""))</f>
        <v/>
      </c>
      <c r="G3014">
        <f>IF($C3014="","","Por el destino del gasto")</f>
        <v/>
      </c>
      <c r="H3014">
        <f>IF($C3014="","",Registro_Compras!$C$338)</f>
        <v/>
      </c>
    </row>
    <row r="3015">
      <c r="A3015" s="25">
        <f>IF($C3015="","",Registro_Compras!$B$338)</f>
        <v/>
      </c>
      <c r="B3015">
        <f>IF($C3015="","","C"&amp;TEXT(INT((ROW()-5)/9)+1,"000")&amp;"-2")</f>
        <v/>
      </c>
      <c r="C3015">
        <f>IF(OR(Registro_Compras!$C$338="",Registro_Compras!$O$338=""),"","79/791")</f>
        <v/>
      </c>
      <c r="D3015">
        <f>IF(OR(Registro_Compras!$C$338="",Registro_Compras!$O$338=""),"","Cargas Imputables a Cuentas de Costos y Gastos")</f>
        <v/>
      </c>
      <c r="E3015" s="20">
        <f>IF($C3015="","",IF(Registro_Compras!$F$338="NOTA DE CREDITO",ROUND(ABS(Registro_Compras!$J$338*Registro_Compras!$N$338),2),""))</f>
        <v/>
      </c>
      <c r="F3015" s="20">
        <f>IF($C3015="","",IF(Registro_Compras!$F$338="NOTA DE CREDITO","",IF(Registro_Compras!$F$338="RHE",ROUND(Registro_Compras!$L$338*Registro_Compras!$N$338,2),ROUND(Registro_Compras!$J$338*Registro_Compras!$N$338,2))))</f>
        <v/>
      </c>
      <c r="G3015">
        <f>IF($C3015="","","Por el destino del gasto")</f>
        <v/>
      </c>
      <c r="H3015">
        <f>IF($C3015="","",Registro_Compras!$C$338)</f>
        <v/>
      </c>
    </row>
    <row r="3016">
      <c r="A3016" s="25">
        <f>IF($C3016="","",Registro_Compras!$X$338)</f>
        <v/>
      </c>
      <c r="B3016">
        <f>IF($C3016="","","C"&amp;TEXT(INT((ROW()-5)/9)+1,"000")&amp;"-3")</f>
        <v/>
      </c>
      <c r="C3016">
        <f>IF(OR(Registro_Compras!$C$338="",Registro_Compras!$O$338="",Registro_Compras!$R$338&lt;&gt;"SI",Registro_Compras!$X$338=""),"","4212")</f>
        <v/>
      </c>
      <c r="D3016">
        <f>IF(OR(Registro_Compras!$C$338="",Registro_Compras!$O$338=""),"","Cuentas por Pagar Comerciales - Terceros")</f>
        <v/>
      </c>
      <c r="E3016" s="20">
        <f>IF($C3016="","",Registro_Compras!$S$338)</f>
        <v/>
      </c>
      <c r="F3016" s="20">
        <f>""</f>
        <v/>
      </c>
      <c r="G3016">
        <f>IF($C3016="","","Por el deposito de la detraccion en el Banco de la Nacion")</f>
        <v/>
      </c>
      <c r="H3016">
        <f>IF($C3016="","",Registro_Compras!$C$338)</f>
        <v/>
      </c>
    </row>
    <row r="3017">
      <c r="A3017" s="25">
        <f>IF($C3017="","",Registro_Compras!$X$338)</f>
        <v/>
      </c>
      <c r="B3017">
        <f>IF($C3017="","","C"&amp;TEXT(INT((ROW()-5)/9)+1,"000")&amp;"-3")</f>
        <v/>
      </c>
      <c r="C3017">
        <f>IF(OR(Registro_Compras!$C$338="",Registro_Compras!$O$338="",Registro_Compras!$R$338&lt;&gt;"SI",Registro_Compras!$X$338=""),"","10413")</f>
        <v/>
      </c>
      <c r="D3017">
        <f>IF(OR(Registro_Compras!$C$338="",Registro_Compras!$O$338=""),"","Efectivo y Equivalentes - Cta. Cte. Operativa")</f>
        <v/>
      </c>
      <c r="E3017" s="20">
        <f>""</f>
        <v/>
      </c>
      <c r="F3017" s="20">
        <f>IF($C3017="","",Registro_Compras!$S$338)</f>
        <v/>
      </c>
      <c r="G3017">
        <f>IF($C3017="","","Por el deposito de la detraccion en el Banco de la Nacion")</f>
        <v/>
      </c>
      <c r="H3017">
        <f>IF($C3017="","",Registro_Compras!$C$338)</f>
        <v/>
      </c>
    </row>
    <row r="3018">
      <c r="A3018" s="25">
        <f>IF($C3018="","",Registro_Compras!$Y$338)</f>
        <v/>
      </c>
      <c r="B3018">
        <f>IF($C3018="","","C"&amp;TEXT(INT((ROW()-5)/9)+1,"000")&amp;"-4")</f>
        <v/>
      </c>
      <c r="C3018">
        <f>IF(OR(Registro_Compras!$C$338="",Registro_Compras!$O$338="",Registro_Compras!$Y$338="",Registro_Compras!$F$338="NOTA DE CREDITO"),"","4212")</f>
        <v/>
      </c>
      <c r="D3018">
        <f>IF(OR(Registro_Compras!$C$338="",Registro_Compras!$O$338=""),"","Cuentas por Pagar Comerciales - Terceros")</f>
        <v/>
      </c>
      <c r="E3018" s="20">
        <f>IF($C3018="","",IF(Registro_Compras!$F$338="RHE",(ROUND(Registro_Compras!$L$338*Registro_Compras!$N$338,2)-ROUND(Registro_Compras!$V$338*Registro_Compras!$N$338,2)),ROUND(Registro_Compras!$O$338-Registro_Compras!$S$338,2)))</f>
        <v/>
      </c>
      <c r="F3018" s="20">
        <f>""</f>
        <v/>
      </c>
      <c r="G3018">
        <f>IF($C3018="","","Por la cancelacion del saldo al proveedor")</f>
        <v/>
      </c>
      <c r="H3018">
        <f>IF($C3018="","",Registro_Compras!$C$338)</f>
        <v/>
      </c>
    </row>
    <row r="3019">
      <c r="A3019" s="25">
        <f>IF($C3019="","",Registro_Compras!$Y$338)</f>
        <v/>
      </c>
      <c r="B3019">
        <f>IF($C3019="","","C"&amp;TEXT(INT((ROW()-5)/9)+1,"000")&amp;"-4")</f>
        <v/>
      </c>
      <c r="C3019">
        <f>IF(OR(Registro_Compras!$C$338="",Registro_Compras!$O$338="",Registro_Compras!$Y$338="",Registro_Compras!$F$338="NOTA DE CREDITO"),"","10413")</f>
        <v/>
      </c>
      <c r="D3019">
        <f>IF(OR(Registro_Compras!$C$338="",Registro_Compras!$O$338=""),"","Efectivo y Equivalentes - Cta. Cte. Operativa")</f>
        <v/>
      </c>
      <c r="E3019" s="20">
        <f>""</f>
        <v/>
      </c>
      <c r="F3019" s="20">
        <f>IF($C3019="","",IF(Registro_Compras!$F$338="RHE",(ROUND(Registro_Compras!$L$338*Registro_Compras!$N$338,2)-ROUND(Registro_Compras!$V$338*Registro_Compras!$N$338,2)),ROUND(Registro_Compras!$O$338-Registro_Compras!$S$338,2)))</f>
        <v/>
      </c>
      <c r="G3019">
        <f>IF($C3019="","","Por la cancelacion del saldo al proveedor")</f>
        <v/>
      </c>
      <c r="H3019">
        <f>IF($C3019="","",Registro_Compras!$C$338)</f>
        <v/>
      </c>
    </row>
    <row r="3020">
      <c r="A3020" s="25">
        <f>IF($C3020="","",Registro_Compras!$B$339)</f>
        <v/>
      </c>
      <c r="B3020">
        <f>IF($C3020="","","C"&amp;TEXT(INT((ROW()-5)/9)+1,"000")&amp;"-1")</f>
        <v/>
      </c>
      <c r="C3020">
        <f>IF(OR(Registro_Compras!$C$339="",Registro_Compras!$O$339=""),"",IF(Registro_Compras!$F$339="NOTA DE CREDITO","4212",IF(Registro_Compras!$M$339="","63",Registro_Compras!$M$339)))</f>
        <v/>
      </c>
      <c r="D3020">
        <f>IF(OR(Registro_Compras!$C$339="",Registro_Compras!$O$339=""),"",IF(Registro_Compras!$F$339="NOTA DE CREDITO","Cuentas por Pagar Comerciales - Terceros (Emitidas)",IF(Registro_Compras!$F$339="RHE","Honorarios Profesionales - Servicios de Terceros","Gastos de Servicios Prestados por Terceros")))</f>
        <v/>
      </c>
      <c r="E3020" s="20">
        <f>IF($C3020="","",IF(Registro_Compras!$F$339="NOTA DE CREDITO",ABS(Registro_Compras!$O$339),IF(Registro_Compras!$F$339="RHE",ROUND(Registro_Compras!$L$339*Registro_Compras!$N$339,2),ROUND(Registro_Compras!$J$339*Registro_Compras!$N$339,2))))</f>
        <v/>
      </c>
      <c r="F3020" s="20">
        <f>""</f>
        <v/>
      </c>
      <c r="G3020">
        <f>IF($C3020="","",IF(Registro_Compras!$F$339="NOTA DE CREDITO","Por la nota de credito "&amp;Registro_Compras!$C$339&amp;" de "&amp;Registro_Compras!$E$339&amp;" [PATRON POR CONFIRMAR CON CONTADOR]",IF(Registro_Compras!$F$339="RHE","Por el registro del recibo por honorarios "&amp;Registro_Compras!$C$339&amp;" de "&amp;Registro_Compras!$E$339&amp;" [PATRON POR CONFIRMAR CON CONTADOR]","Por el registro de la factura "&amp;Registro_Compras!$C$339&amp;" de "&amp;Registro_Compras!$E$339)))</f>
        <v/>
      </c>
      <c r="H3020">
        <f>IF($C3020="","",Registro_Compras!$C$339)</f>
        <v/>
      </c>
    </row>
    <row r="3021">
      <c r="A3021" s="25">
        <f>IF($C3021="","",Registro_Compras!$B$339)</f>
        <v/>
      </c>
      <c r="B3021">
        <f>IF($C3021="","","C"&amp;TEXT(INT((ROW()-5)/9)+1,"000")&amp;"-1")</f>
        <v/>
      </c>
      <c r="C3021">
        <f>IF(OR(Registro_Compras!$C$339="",Registro_Compras!$O$339=""),"",IF(Registro_Compras!$F$339="RHE",IF(Registro_Compras!$V$339=0,"","40172"),IF(Registro_Compras!$F$339="NOTA DE CREDITO",IF(Registro_Compras!$M$339="","63",Registro_Compras!$M$339),IF(Registro_Compras!$K$339=0,"","40111"))))</f>
        <v/>
      </c>
      <c r="D3021">
        <f>IF(OR(Registro_Compras!$C$339="",Registro_Compras!$O$339=""),"",IF(Registro_Compras!$F$339="RHE","Retencion Renta 4ta Categoria por Pagar",IF(Registro_Compras!$F$339="NOTA DE CREDITO","Gastos de Servicios Prestados por Terceros","IGV - Cuenta Propia (Credito Fiscal)")))</f>
        <v/>
      </c>
      <c r="E3021" s="20">
        <f>IF($C3021="","",IF(Registro_Compras!$F$339="FACTURA",ROUND(Registro_Compras!$K$339*Registro_Compras!$N$339,2),""))</f>
        <v/>
      </c>
      <c r="F3021" s="20">
        <f>IF($C3021="","",IF(Registro_Compras!$F$339="RHE",ROUND(Registro_Compras!$V$339*Registro_Compras!$N$339,2),IF(Registro_Compras!$F$339="NOTA DE CREDITO",ROUND(ABS(Registro_Compras!$J$339*Registro_Compras!$N$339),2),"")))</f>
        <v/>
      </c>
      <c r="G3021">
        <f>IF($C3021="","",IF(Registro_Compras!$F$339="NOTA DE CREDITO","Por la nota de credito "&amp;Registro_Compras!$C$339&amp;" de "&amp;Registro_Compras!$E$339&amp;" [PATRON POR CONFIRMAR CON CONTADOR]",IF(Registro_Compras!$F$339="RHE","Por el registro del recibo por honorarios "&amp;Registro_Compras!$C$339&amp;" de "&amp;Registro_Compras!$E$339&amp;" [PATRON POR CONFIRMAR CON CONTADOR]","Por el registro de la factura "&amp;Registro_Compras!$C$339&amp;" de "&amp;Registro_Compras!$E$339)))</f>
        <v/>
      </c>
      <c r="H3021">
        <f>IF($C3021="","",Registro_Compras!$C$339)</f>
        <v/>
      </c>
    </row>
    <row r="3022">
      <c r="A3022" s="25">
        <f>IF($C3022="","",Registro_Compras!$B$339)</f>
        <v/>
      </c>
      <c r="B3022">
        <f>IF($C3022="","","C"&amp;TEXT(INT((ROW()-5)/9)+1,"000")&amp;"-1")</f>
        <v/>
      </c>
      <c r="C3022">
        <f>IF(OR(Registro_Compras!$C$339="",Registro_Compras!$O$339=""),"",IF(Registro_Compras!$F$339="NOTA DE CREDITO",IF(Registro_Compras!$K$339=0,"","40111"),"4212"))</f>
        <v/>
      </c>
      <c r="D3022">
        <f>IF(OR(Registro_Compras!$C$339="",Registro_Compras!$O$339=""),"",IF(Registro_Compras!$F$339="NOTA DE CREDITO","IGV - Cuenta Propia (Credito Fiscal)","Cuentas por Pagar Comerciales - Terceros (Emitidas)"))</f>
        <v/>
      </c>
      <c r="E3022" s="20">
        <f>""</f>
        <v/>
      </c>
      <c r="F3022" s="20">
        <f>IF($C3022="","",IF(Registro_Compras!$F$339="NOTA DE CREDITO",ROUND(ABS(Registro_Compras!$K$339*Registro_Compras!$N$339),2),IF(Registro_Compras!$F$339="RHE",(ROUND(Registro_Compras!$L$339*Registro_Compras!$N$339,2)-ROUND(Registro_Compras!$V$339*Registro_Compras!$N$339,2)),Registro_Compras!$O$339)))</f>
        <v/>
      </c>
      <c r="G3022">
        <f>IF($C3022="","",IF(Registro_Compras!$F$339="NOTA DE CREDITO","Por la nota de credito "&amp;Registro_Compras!$C$339&amp;" de "&amp;Registro_Compras!$E$339&amp;" [PATRON POR CONFIRMAR CON CONTADOR]",IF(Registro_Compras!$F$339="RHE","Por el registro del recibo por honorarios "&amp;Registro_Compras!$C$339&amp;" de "&amp;Registro_Compras!$E$339&amp;" [PATRON POR CONFIRMAR CON CONTADOR]","Por el registro de la factura "&amp;Registro_Compras!$C$339&amp;" de "&amp;Registro_Compras!$E$339)))</f>
        <v/>
      </c>
      <c r="H3022">
        <f>IF($C3022="","",Registro_Compras!$C$339)</f>
        <v/>
      </c>
    </row>
    <row r="3023">
      <c r="A3023" s="25">
        <f>IF($C3023="","",Registro_Compras!$B$339)</f>
        <v/>
      </c>
      <c r="B3023">
        <f>IF($C3023="","","C"&amp;TEXT(INT((ROW()-5)/9)+1,"000")&amp;"-2")</f>
        <v/>
      </c>
      <c r="C3023">
        <f>IF(OR(Registro_Compras!$C$339="",Registro_Compras!$O$339=""),"",IF(Registro_Compras!$AB$339="ADMINISTRATIVO","94","95"))</f>
        <v/>
      </c>
      <c r="D3023">
        <f>IF(OR(Registro_Compras!$C$339="",Registro_Compras!$O$339=""),"",IF(Registro_Compras!$AB$339="ADMINISTRATIVO","Gastos Administrativos","Gastos de Venta y Operacion"))</f>
        <v/>
      </c>
      <c r="E3023" s="20">
        <f>IF($C3023="","",IF(Registro_Compras!$F$339="NOTA DE CREDITO","",IF(Registro_Compras!$F$339="RHE",ROUND(Registro_Compras!$L$339*Registro_Compras!$N$339,2),ROUND(Registro_Compras!$J$339*Registro_Compras!$N$339,2))))</f>
        <v/>
      </c>
      <c r="F3023" s="20">
        <f>IF($C3023="","",IF(Registro_Compras!$F$339="NOTA DE CREDITO",ROUND(ABS(Registro_Compras!$J$339*Registro_Compras!$N$339),2),""))</f>
        <v/>
      </c>
      <c r="G3023">
        <f>IF($C3023="","","Por el destino del gasto")</f>
        <v/>
      </c>
      <c r="H3023">
        <f>IF($C3023="","",Registro_Compras!$C$339)</f>
        <v/>
      </c>
    </row>
    <row r="3024">
      <c r="A3024" s="25">
        <f>IF($C3024="","",Registro_Compras!$B$339)</f>
        <v/>
      </c>
      <c r="B3024">
        <f>IF($C3024="","","C"&amp;TEXT(INT((ROW()-5)/9)+1,"000")&amp;"-2")</f>
        <v/>
      </c>
      <c r="C3024">
        <f>IF(OR(Registro_Compras!$C$339="",Registro_Compras!$O$339=""),"","79/791")</f>
        <v/>
      </c>
      <c r="D3024">
        <f>IF(OR(Registro_Compras!$C$339="",Registro_Compras!$O$339=""),"","Cargas Imputables a Cuentas de Costos y Gastos")</f>
        <v/>
      </c>
      <c r="E3024" s="20">
        <f>IF($C3024="","",IF(Registro_Compras!$F$339="NOTA DE CREDITO",ROUND(ABS(Registro_Compras!$J$339*Registro_Compras!$N$339),2),""))</f>
        <v/>
      </c>
      <c r="F3024" s="20">
        <f>IF($C3024="","",IF(Registro_Compras!$F$339="NOTA DE CREDITO","",IF(Registro_Compras!$F$339="RHE",ROUND(Registro_Compras!$L$339*Registro_Compras!$N$339,2),ROUND(Registro_Compras!$J$339*Registro_Compras!$N$339,2))))</f>
        <v/>
      </c>
      <c r="G3024">
        <f>IF($C3024="","","Por el destino del gasto")</f>
        <v/>
      </c>
      <c r="H3024">
        <f>IF($C3024="","",Registro_Compras!$C$339)</f>
        <v/>
      </c>
    </row>
    <row r="3025">
      <c r="A3025" s="25">
        <f>IF($C3025="","",Registro_Compras!$X$339)</f>
        <v/>
      </c>
      <c r="B3025">
        <f>IF($C3025="","","C"&amp;TEXT(INT((ROW()-5)/9)+1,"000")&amp;"-3")</f>
        <v/>
      </c>
      <c r="C3025">
        <f>IF(OR(Registro_Compras!$C$339="",Registro_Compras!$O$339="",Registro_Compras!$R$339&lt;&gt;"SI",Registro_Compras!$X$339=""),"","4212")</f>
        <v/>
      </c>
      <c r="D3025">
        <f>IF(OR(Registro_Compras!$C$339="",Registro_Compras!$O$339=""),"","Cuentas por Pagar Comerciales - Terceros")</f>
        <v/>
      </c>
      <c r="E3025" s="20">
        <f>IF($C3025="","",Registro_Compras!$S$339)</f>
        <v/>
      </c>
      <c r="F3025" s="20">
        <f>""</f>
        <v/>
      </c>
      <c r="G3025">
        <f>IF($C3025="","","Por el deposito de la detraccion en el Banco de la Nacion")</f>
        <v/>
      </c>
      <c r="H3025">
        <f>IF($C3025="","",Registro_Compras!$C$339)</f>
        <v/>
      </c>
    </row>
    <row r="3026">
      <c r="A3026" s="25">
        <f>IF($C3026="","",Registro_Compras!$X$339)</f>
        <v/>
      </c>
      <c r="B3026">
        <f>IF($C3026="","","C"&amp;TEXT(INT((ROW()-5)/9)+1,"000")&amp;"-3")</f>
        <v/>
      </c>
      <c r="C3026">
        <f>IF(OR(Registro_Compras!$C$339="",Registro_Compras!$O$339="",Registro_Compras!$R$339&lt;&gt;"SI",Registro_Compras!$X$339=""),"","10413")</f>
        <v/>
      </c>
      <c r="D3026">
        <f>IF(OR(Registro_Compras!$C$339="",Registro_Compras!$O$339=""),"","Efectivo y Equivalentes - Cta. Cte. Operativa")</f>
        <v/>
      </c>
      <c r="E3026" s="20">
        <f>""</f>
        <v/>
      </c>
      <c r="F3026" s="20">
        <f>IF($C3026="","",Registro_Compras!$S$339)</f>
        <v/>
      </c>
      <c r="G3026">
        <f>IF($C3026="","","Por el deposito de la detraccion en el Banco de la Nacion")</f>
        <v/>
      </c>
      <c r="H3026">
        <f>IF($C3026="","",Registro_Compras!$C$339)</f>
        <v/>
      </c>
    </row>
    <row r="3027">
      <c r="A3027" s="25">
        <f>IF($C3027="","",Registro_Compras!$Y$339)</f>
        <v/>
      </c>
      <c r="B3027">
        <f>IF($C3027="","","C"&amp;TEXT(INT((ROW()-5)/9)+1,"000")&amp;"-4")</f>
        <v/>
      </c>
      <c r="C3027">
        <f>IF(OR(Registro_Compras!$C$339="",Registro_Compras!$O$339="",Registro_Compras!$Y$339="",Registro_Compras!$F$339="NOTA DE CREDITO"),"","4212")</f>
        <v/>
      </c>
      <c r="D3027">
        <f>IF(OR(Registro_Compras!$C$339="",Registro_Compras!$O$339=""),"","Cuentas por Pagar Comerciales - Terceros")</f>
        <v/>
      </c>
      <c r="E3027" s="20">
        <f>IF($C3027="","",IF(Registro_Compras!$F$339="RHE",(ROUND(Registro_Compras!$L$339*Registro_Compras!$N$339,2)-ROUND(Registro_Compras!$V$339*Registro_Compras!$N$339,2)),ROUND(Registro_Compras!$O$339-Registro_Compras!$S$339,2)))</f>
        <v/>
      </c>
      <c r="F3027" s="20">
        <f>""</f>
        <v/>
      </c>
      <c r="G3027">
        <f>IF($C3027="","","Por la cancelacion del saldo al proveedor")</f>
        <v/>
      </c>
      <c r="H3027">
        <f>IF($C3027="","",Registro_Compras!$C$339)</f>
        <v/>
      </c>
    </row>
    <row r="3028">
      <c r="A3028" s="25">
        <f>IF($C3028="","",Registro_Compras!$Y$339)</f>
        <v/>
      </c>
      <c r="B3028">
        <f>IF($C3028="","","C"&amp;TEXT(INT((ROW()-5)/9)+1,"000")&amp;"-4")</f>
        <v/>
      </c>
      <c r="C3028">
        <f>IF(OR(Registro_Compras!$C$339="",Registro_Compras!$O$339="",Registro_Compras!$Y$339="",Registro_Compras!$F$339="NOTA DE CREDITO"),"","10413")</f>
        <v/>
      </c>
      <c r="D3028">
        <f>IF(OR(Registro_Compras!$C$339="",Registro_Compras!$O$339=""),"","Efectivo y Equivalentes - Cta. Cte. Operativa")</f>
        <v/>
      </c>
      <c r="E3028" s="20">
        <f>""</f>
        <v/>
      </c>
      <c r="F3028" s="20">
        <f>IF($C3028="","",IF(Registro_Compras!$F$339="RHE",(ROUND(Registro_Compras!$L$339*Registro_Compras!$N$339,2)-ROUND(Registro_Compras!$V$339*Registro_Compras!$N$339,2)),ROUND(Registro_Compras!$O$339-Registro_Compras!$S$339,2)))</f>
        <v/>
      </c>
      <c r="G3028">
        <f>IF($C3028="","","Por la cancelacion del saldo al proveedor")</f>
        <v/>
      </c>
      <c r="H3028">
        <f>IF($C3028="","",Registro_Compras!$C$339)</f>
        <v/>
      </c>
    </row>
    <row r="3029">
      <c r="A3029" s="25">
        <f>IF($C3029="","",Registro_Compras!$B$340)</f>
        <v/>
      </c>
      <c r="B3029">
        <f>IF($C3029="","","C"&amp;TEXT(INT((ROW()-5)/9)+1,"000")&amp;"-1")</f>
        <v/>
      </c>
      <c r="C3029">
        <f>IF(OR(Registro_Compras!$C$340="",Registro_Compras!$O$340=""),"",IF(Registro_Compras!$F$340="NOTA DE CREDITO","4212",IF(Registro_Compras!$M$340="","63",Registro_Compras!$M$340)))</f>
        <v/>
      </c>
      <c r="D3029">
        <f>IF(OR(Registro_Compras!$C$340="",Registro_Compras!$O$340=""),"",IF(Registro_Compras!$F$340="NOTA DE CREDITO","Cuentas por Pagar Comerciales - Terceros (Emitidas)",IF(Registro_Compras!$F$340="RHE","Honorarios Profesionales - Servicios de Terceros","Gastos de Servicios Prestados por Terceros")))</f>
        <v/>
      </c>
      <c r="E3029" s="20">
        <f>IF($C3029="","",IF(Registro_Compras!$F$340="NOTA DE CREDITO",ABS(Registro_Compras!$O$340),IF(Registro_Compras!$F$340="RHE",ROUND(Registro_Compras!$L$340*Registro_Compras!$N$340,2),ROUND(Registro_Compras!$J$340*Registro_Compras!$N$340,2))))</f>
        <v/>
      </c>
      <c r="F3029" s="20">
        <f>""</f>
        <v/>
      </c>
      <c r="G3029">
        <f>IF($C3029="","",IF(Registro_Compras!$F$340="NOTA DE CREDITO","Por la nota de credito "&amp;Registro_Compras!$C$340&amp;" de "&amp;Registro_Compras!$E$340&amp;" [PATRON POR CONFIRMAR CON CONTADOR]",IF(Registro_Compras!$F$340="RHE","Por el registro del recibo por honorarios "&amp;Registro_Compras!$C$340&amp;" de "&amp;Registro_Compras!$E$340&amp;" [PATRON POR CONFIRMAR CON CONTADOR]","Por el registro de la factura "&amp;Registro_Compras!$C$340&amp;" de "&amp;Registro_Compras!$E$340)))</f>
        <v/>
      </c>
      <c r="H3029">
        <f>IF($C3029="","",Registro_Compras!$C$340)</f>
        <v/>
      </c>
    </row>
    <row r="3030">
      <c r="A3030" s="25">
        <f>IF($C3030="","",Registro_Compras!$B$340)</f>
        <v/>
      </c>
      <c r="B3030">
        <f>IF($C3030="","","C"&amp;TEXT(INT((ROW()-5)/9)+1,"000")&amp;"-1")</f>
        <v/>
      </c>
      <c r="C3030">
        <f>IF(OR(Registro_Compras!$C$340="",Registro_Compras!$O$340=""),"",IF(Registro_Compras!$F$340="RHE",IF(Registro_Compras!$V$340=0,"","40172"),IF(Registro_Compras!$F$340="NOTA DE CREDITO",IF(Registro_Compras!$M$340="","63",Registro_Compras!$M$340),IF(Registro_Compras!$K$340=0,"","40111"))))</f>
        <v/>
      </c>
      <c r="D3030">
        <f>IF(OR(Registro_Compras!$C$340="",Registro_Compras!$O$340=""),"",IF(Registro_Compras!$F$340="RHE","Retencion Renta 4ta Categoria por Pagar",IF(Registro_Compras!$F$340="NOTA DE CREDITO","Gastos de Servicios Prestados por Terceros","IGV - Cuenta Propia (Credito Fiscal)")))</f>
        <v/>
      </c>
      <c r="E3030" s="20">
        <f>IF($C3030="","",IF(Registro_Compras!$F$340="FACTURA",ROUND(Registro_Compras!$K$340*Registro_Compras!$N$340,2),""))</f>
        <v/>
      </c>
      <c r="F3030" s="20">
        <f>IF($C3030="","",IF(Registro_Compras!$F$340="RHE",ROUND(Registro_Compras!$V$340*Registro_Compras!$N$340,2),IF(Registro_Compras!$F$340="NOTA DE CREDITO",ROUND(ABS(Registro_Compras!$J$340*Registro_Compras!$N$340),2),"")))</f>
        <v/>
      </c>
      <c r="G3030">
        <f>IF($C3030="","",IF(Registro_Compras!$F$340="NOTA DE CREDITO","Por la nota de credito "&amp;Registro_Compras!$C$340&amp;" de "&amp;Registro_Compras!$E$340&amp;" [PATRON POR CONFIRMAR CON CONTADOR]",IF(Registro_Compras!$F$340="RHE","Por el registro del recibo por honorarios "&amp;Registro_Compras!$C$340&amp;" de "&amp;Registro_Compras!$E$340&amp;" [PATRON POR CONFIRMAR CON CONTADOR]","Por el registro de la factura "&amp;Registro_Compras!$C$340&amp;" de "&amp;Registro_Compras!$E$340)))</f>
        <v/>
      </c>
      <c r="H3030">
        <f>IF($C3030="","",Registro_Compras!$C$340)</f>
        <v/>
      </c>
    </row>
    <row r="3031">
      <c r="A3031" s="25">
        <f>IF($C3031="","",Registro_Compras!$B$340)</f>
        <v/>
      </c>
      <c r="B3031">
        <f>IF($C3031="","","C"&amp;TEXT(INT((ROW()-5)/9)+1,"000")&amp;"-1")</f>
        <v/>
      </c>
      <c r="C3031">
        <f>IF(OR(Registro_Compras!$C$340="",Registro_Compras!$O$340=""),"",IF(Registro_Compras!$F$340="NOTA DE CREDITO",IF(Registro_Compras!$K$340=0,"","40111"),"4212"))</f>
        <v/>
      </c>
      <c r="D3031">
        <f>IF(OR(Registro_Compras!$C$340="",Registro_Compras!$O$340=""),"",IF(Registro_Compras!$F$340="NOTA DE CREDITO","IGV - Cuenta Propia (Credito Fiscal)","Cuentas por Pagar Comerciales - Terceros (Emitidas)"))</f>
        <v/>
      </c>
      <c r="E3031" s="20">
        <f>""</f>
        <v/>
      </c>
      <c r="F3031" s="20">
        <f>IF($C3031="","",IF(Registro_Compras!$F$340="NOTA DE CREDITO",ROUND(ABS(Registro_Compras!$K$340*Registro_Compras!$N$340),2),IF(Registro_Compras!$F$340="RHE",(ROUND(Registro_Compras!$L$340*Registro_Compras!$N$340,2)-ROUND(Registro_Compras!$V$340*Registro_Compras!$N$340,2)),Registro_Compras!$O$340)))</f>
        <v/>
      </c>
      <c r="G3031">
        <f>IF($C3031="","",IF(Registro_Compras!$F$340="NOTA DE CREDITO","Por la nota de credito "&amp;Registro_Compras!$C$340&amp;" de "&amp;Registro_Compras!$E$340&amp;" [PATRON POR CONFIRMAR CON CONTADOR]",IF(Registro_Compras!$F$340="RHE","Por el registro del recibo por honorarios "&amp;Registro_Compras!$C$340&amp;" de "&amp;Registro_Compras!$E$340&amp;" [PATRON POR CONFIRMAR CON CONTADOR]","Por el registro de la factura "&amp;Registro_Compras!$C$340&amp;" de "&amp;Registro_Compras!$E$340)))</f>
        <v/>
      </c>
      <c r="H3031">
        <f>IF($C3031="","",Registro_Compras!$C$340)</f>
        <v/>
      </c>
    </row>
    <row r="3032">
      <c r="A3032" s="25">
        <f>IF($C3032="","",Registro_Compras!$B$340)</f>
        <v/>
      </c>
      <c r="B3032">
        <f>IF($C3032="","","C"&amp;TEXT(INT((ROW()-5)/9)+1,"000")&amp;"-2")</f>
        <v/>
      </c>
      <c r="C3032">
        <f>IF(OR(Registro_Compras!$C$340="",Registro_Compras!$O$340=""),"",IF(Registro_Compras!$AB$340="ADMINISTRATIVO","94","95"))</f>
        <v/>
      </c>
      <c r="D3032">
        <f>IF(OR(Registro_Compras!$C$340="",Registro_Compras!$O$340=""),"",IF(Registro_Compras!$AB$340="ADMINISTRATIVO","Gastos Administrativos","Gastos de Venta y Operacion"))</f>
        <v/>
      </c>
      <c r="E3032" s="20">
        <f>IF($C3032="","",IF(Registro_Compras!$F$340="NOTA DE CREDITO","",IF(Registro_Compras!$F$340="RHE",ROUND(Registro_Compras!$L$340*Registro_Compras!$N$340,2),ROUND(Registro_Compras!$J$340*Registro_Compras!$N$340,2))))</f>
        <v/>
      </c>
      <c r="F3032" s="20">
        <f>IF($C3032="","",IF(Registro_Compras!$F$340="NOTA DE CREDITO",ROUND(ABS(Registro_Compras!$J$340*Registro_Compras!$N$340),2),""))</f>
        <v/>
      </c>
      <c r="G3032">
        <f>IF($C3032="","","Por el destino del gasto")</f>
        <v/>
      </c>
      <c r="H3032">
        <f>IF($C3032="","",Registro_Compras!$C$340)</f>
        <v/>
      </c>
    </row>
    <row r="3033">
      <c r="A3033" s="25">
        <f>IF($C3033="","",Registro_Compras!$B$340)</f>
        <v/>
      </c>
      <c r="B3033">
        <f>IF($C3033="","","C"&amp;TEXT(INT((ROW()-5)/9)+1,"000")&amp;"-2")</f>
        <v/>
      </c>
      <c r="C3033">
        <f>IF(OR(Registro_Compras!$C$340="",Registro_Compras!$O$340=""),"","79/791")</f>
        <v/>
      </c>
      <c r="D3033">
        <f>IF(OR(Registro_Compras!$C$340="",Registro_Compras!$O$340=""),"","Cargas Imputables a Cuentas de Costos y Gastos")</f>
        <v/>
      </c>
      <c r="E3033" s="20">
        <f>IF($C3033="","",IF(Registro_Compras!$F$340="NOTA DE CREDITO",ROUND(ABS(Registro_Compras!$J$340*Registro_Compras!$N$340),2),""))</f>
        <v/>
      </c>
      <c r="F3033" s="20">
        <f>IF($C3033="","",IF(Registro_Compras!$F$340="NOTA DE CREDITO","",IF(Registro_Compras!$F$340="RHE",ROUND(Registro_Compras!$L$340*Registro_Compras!$N$340,2),ROUND(Registro_Compras!$J$340*Registro_Compras!$N$340,2))))</f>
        <v/>
      </c>
      <c r="G3033">
        <f>IF($C3033="","","Por el destino del gasto")</f>
        <v/>
      </c>
      <c r="H3033">
        <f>IF($C3033="","",Registro_Compras!$C$340)</f>
        <v/>
      </c>
    </row>
    <row r="3034">
      <c r="A3034" s="25">
        <f>IF($C3034="","",Registro_Compras!$X$340)</f>
        <v/>
      </c>
      <c r="B3034">
        <f>IF($C3034="","","C"&amp;TEXT(INT((ROW()-5)/9)+1,"000")&amp;"-3")</f>
        <v/>
      </c>
      <c r="C3034">
        <f>IF(OR(Registro_Compras!$C$340="",Registro_Compras!$O$340="",Registro_Compras!$R$340&lt;&gt;"SI",Registro_Compras!$X$340=""),"","4212")</f>
        <v/>
      </c>
      <c r="D3034">
        <f>IF(OR(Registro_Compras!$C$340="",Registro_Compras!$O$340=""),"","Cuentas por Pagar Comerciales - Terceros")</f>
        <v/>
      </c>
      <c r="E3034" s="20">
        <f>IF($C3034="","",Registro_Compras!$S$340)</f>
        <v/>
      </c>
      <c r="F3034" s="20">
        <f>""</f>
        <v/>
      </c>
      <c r="G3034">
        <f>IF($C3034="","","Por el deposito de la detraccion en el Banco de la Nacion")</f>
        <v/>
      </c>
      <c r="H3034">
        <f>IF($C3034="","",Registro_Compras!$C$340)</f>
        <v/>
      </c>
    </row>
    <row r="3035">
      <c r="A3035" s="25">
        <f>IF($C3035="","",Registro_Compras!$X$340)</f>
        <v/>
      </c>
      <c r="B3035">
        <f>IF($C3035="","","C"&amp;TEXT(INT((ROW()-5)/9)+1,"000")&amp;"-3")</f>
        <v/>
      </c>
      <c r="C3035">
        <f>IF(OR(Registro_Compras!$C$340="",Registro_Compras!$O$340="",Registro_Compras!$R$340&lt;&gt;"SI",Registro_Compras!$X$340=""),"","10413")</f>
        <v/>
      </c>
      <c r="D3035">
        <f>IF(OR(Registro_Compras!$C$340="",Registro_Compras!$O$340=""),"","Efectivo y Equivalentes - Cta. Cte. Operativa")</f>
        <v/>
      </c>
      <c r="E3035" s="20">
        <f>""</f>
        <v/>
      </c>
      <c r="F3035" s="20">
        <f>IF($C3035="","",Registro_Compras!$S$340)</f>
        <v/>
      </c>
      <c r="G3035">
        <f>IF($C3035="","","Por el deposito de la detraccion en el Banco de la Nacion")</f>
        <v/>
      </c>
      <c r="H3035">
        <f>IF($C3035="","",Registro_Compras!$C$340)</f>
        <v/>
      </c>
    </row>
    <row r="3036">
      <c r="A3036" s="25">
        <f>IF($C3036="","",Registro_Compras!$Y$340)</f>
        <v/>
      </c>
      <c r="B3036">
        <f>IF($C3036="","","C"&amp;TEXT(INT((ROW()-5)/9)+1,"000")&amp;"-4")</f>
        <v/>
      </c>
      <c r="C3036">
        <f>IF(OR(Registro_Compras!$C$340="",Registro_Compras!$O$340="",Registro_Compras!$Y$340="",Registro_Compras!$F$340="NOTA DE CREDITO"),"","4212")</f>
        <v/>
      </c>
      <c r="D3036">
        <f>IF(OR(Registro_Compras!$C$340="",Registro_Compras!$O$340=""),"","Cuentas por Pagar Comerciales - Terceros")</f>
        <v/>
      </c>
      <c r="E3036" s="20">
        <f>IF($C3036="","",IF(Registro_Compras!$F$340="RHE",(ROUND(Registro_Compras!$L$340*Registro_Compras!$N$340,2)-ROUND(Registro_Compras!$V$340*Registro_Compras!$N$340,2)),ROUND(Registro_Compras!$O$340-Registro_Compras!$S$340,2)))</f>
        <v/>
      </c>
      <c r="F3036" s="20">
        <f>""</f>
        <v/>
      </c>
      <c r="G3036">
        <f>IF($C3036="","","Por la cancelacion del saldo al proveedor")</f>
        <v/>
      </c>
      <c r="H3036">
        <f>IF($C3036="","",Registro_Compras!$C$340)</f>
        <v/>
      </c>
    </row>
    <row r="3037">
      <c r="A3037" s="25">
        <f>IF($C3037="","",Registro_Compras!$Y$340)</f>
        <v/>
      </c>
      <c r="B3037">
        <f>IF($C3037="","","C"&amp;TEXT(INT((ROW()-5)/9)+1,"000")&amp;"-4")</f>
        <v/>
      </c>
      <c r="C3037">
        <f>IF(OR(Registro_Compras!$C$340="",Registro_Compras!$O$340="",Registro_Compras!$Y$340="",Registro_Compras!$F$340="NOTA DE CREDITO"),"","10413")</f>
        <v/>
      </c>
      <c r="D3037">
        <f>IF(OR(Registro_Compras!$C$340="",Registro_Compras!$O$340=""),"","Efectivo y Equivalentes - Cta. Cte. Operativa")</f>
        <v/>
      </c>
      <c r="E3037" s="20">
        <f>""</f>
        <v/>
      </c>
      <c r="F3037" s="20">
        <f>IF($C3037="","",IF(Registro_Compras!$F$340="RHE",(ROUND(Registro_Compras!$L$340*Registro_Compras!$N$340,2)-ROUND(Registro_Compras!$V$340*Registro_Compras!$N$340,2)),ROUND(Registro_Compras!$O$340-Registro_Compras!$S$340,2)))</f>
        <v/>
      </c>
      <c r="G3037">
        <f>IF($C3037="","","Por la cancelacion del saldo al proveedor")</f>
        <v/>
      </c>
      <c r="H3037">
        <f>IF($C3037="","",Registro_Compras!$C$340)</f>
        <v/>
      </c>
    </row>
    <row r="3038">
      <c r="A3038" s="25">
        <f>IF($C3038="","",Registro_Compras!$B$341)</f>
        <v/>
      </c>
      <c r="B3038">
        <f>IF($C3038="","","C"&amp;TEXT(INT((ROW()-5)/9)+1,"000")&amp;"-1")</f>
        <v/>
      </c>
      <c r="C3038">
        <f>IF(OR(Registro_Compras!$C$341="",Registro_Compras!$O$341=""),"",IF(Registro_Compras!$F$341="NOTA DE CREDITO","4212",IF(Registro_Compras!$M$341="","63",Registro_Compras!$M$341)))</f>
        <v/>
      </c>
      <c r="D3038">
        <f>IF(OR(Registro_Compras!$C$341="",Registro_Compras!$O$341=""),"",IF(Registro_Compras!$F$341="NOTA DE CREDITO","Cuentas por Pagar Comerciales - Terceros (Emitidas)",IF(Registro_Compras!$F$341="RHE","Honorarios Profesionales - Servicios de Terceros","Gastos de Servicios Prestados por Terceros")))</f>
        <v/>
      </c>
      <c r="E3038" s="20">
        <f>IF($C3038="","",IF(Registro_Compras!$F$341="NOTA DE CREDITO",ABS(Registro_Compras!$O$341),IF(Registro_Compras!$F$341="RHE",ROUND(Registro_Compras!$L$341*Registro_Compras!$N$341,2),ROUND(Registro_Compras!$J$341*Registro_Compras!$N$341,2))))</f>
        <v/>
      </c>
      <c r="F3038" s="20">
        <f>""</f>
        <v/>
      </c>
      <c r="G3038">
        <f>IF($C3038="","",IF(Registro_Compras!$F$341="NOTA DE CREDITO","Por la nota de credito "&amp;Registro_Compras!$C$341&amp;" de "&amp;Registro_Compras!$E$341&amp;" [PATRON POR CONFIRMAR CON CONTADOR]",IF(Registro_Compras!$F$341="RHE","Por el registro del recibo por honorarios "&amp;Registro_Compras!$C$341&amp;" de "&amp;Registro_Compras!$E$341&amp;" [PATRON POR CONFIRMAR CON CONTADOR]","Por el registro de la factura "&amp;Registro_Compras!$C$341&amp;" de "&amp;Registro_Compras!$E$341)))</f>
        <v/>
      </c>
      <c r="H3038">
        <f>IF($C3038="","",Registro_Compras!$C$341)</f>
        <v/>
      </c>
    </row>
    <row r="3039">
      <c r="A3039" s="25">
        <f>IF($C3039="","",Registro_Compras!$B$341)</f>
        <v/>
      </c>
      <c r="B3039">
        <f>IF($C3039="","","C"&amp;TEXT(INT((ROW()-5)/9)+1,"000")&amp;"-1")</f>
        <v/>
      </c>
      <c r="C3039">
        <f>IF(OR(Registro_Compras!$C$341="",Registro_Compras!$O$341=""),"",IF(Registro_Compras!$F$341="RHE",IF(Registro_Compras!$V$341=0,"","40172"),IF(Registro_Compras!$F$341="NOTA DE CREDITO",IF(Registro_Compras!$M$341="","63",Registro_Compras!$M$341),IF(Registro_Compras!$K$341=0,"","40111"))))</f>
        <v/>
      </c>
      <c r="D3039">
        <f>IF(OR(Registro_Compras!$C$341="",Registro_Compras!$O$341=""),"",IF(Registro_Compras!$F$341="RHE","Retencion Renta 4ta Categoria por Pagar",IF(Registro_Compras!$F$341="NOTA DE CREDITO","Gastos de Servicios Prestados por Terceros","IGV - Cuenta Propia (Credito Fiscal)")))</f>
        <v/>
      </c>
      <c r="E3039" s="20">
        <f>IF($C3039="","",IF(Registro_Compras!$F$341="FACTURA",ROUND(Registro_Compras!$K$341*Registro_Compras!$N$341,2),""))</f>
        <v/>
      </c>
      <c r="F3039" s="20">
        <f>IF($C3039="","",IF(Registro_Compras!$F$341="RHE",ROUND(Registro_Compras!$V$341*Registro_Compras!$N$341,2),IF(Registro_Compras!$F$341="NOTA DE CREDITO",ROUND(ABS(Registro_Compras!$J$341*Registro_Compras!$N$341),2),"")))</f>
        <v/>
      </c>
      <c r="G3039">
        <f>IF($C3039="","",IF(Registro_Compras!$F$341="NOTA DE CREDITO","Por la nota de credito "&amp;Registro_Compras!$C$341&amp;" de "&amp;Registro_Compras!$E$341&amp;" [PATRON POR CONFIRMAR CON CONTADOR]",IF(Registro_Compras!$F$341="RHE","Por el registro del recibo por honorarios "&amp;Registro_Compras!$C$341&amp;" de "&amp;Registro_Compras!$E$341&amp;" [PATRON POR CONFIRMAR CON CONTADOR]","Por el registro de la factura "&amp;Registro_Compras!$C$341&amp;" de "&amp;Registro_Compras!$E$341)))</f>
        <v/>
      </c>
      <c r="H3039">
        <f>IF($C3039="","",Registro_Compras!$C$341)</f>
        <v/>
      </c>
    </row>
    <row r="3040">
      <c r="A3040" s="25">
        <f>IF($C3040="","",Registro_Compras!$B$341)</f>
        <v/>
      </c>
      <c r="B3040">
        <f>IF($C3040="","","C"&amp;TEXT(INT((ROW()-5)/9)+1,"000")&amp;"-1")</f>
        <v/>
      </c>
      <c r="C3040">
        <f>IF(OR(Registro_Compras!$C$341="",Registro_Compras!$O$341=""),"",IF(Registro_Compras!$F$341="NOTA DE CREDITO",IF(Registro_Compras!$K$341=0,"","40111"),"4212"))</f>
        <v/>
      </c>
      <c r="D3040">
        <f>IF(OR(Registro_Compras!$C$341="",Registro_Compras!$O$341=""),"",IF(Registro_Compras!$F$341="NOTA DE CREDITO","IGV - Cuenta Propia (Credito Fiscal)","Cuentas por Pagar Comerciales - Terceros (Emitidas)"))</f>
        <v/>
      </c>
      <c r="E3040" s="20">
        <f>""</f>
        <v/>
      </c>
      <c r="F3040" s="20">
        <f>IF($C3040="","",IF(Registro_Compras!$F$341="NOTA DE CREDITO",ROUND(ABS(Registro_Compras!$K$341*Registro_Compras!$N$341),2),IF(Registro_Compras!$F$341="RHE",(ROUND(Registro_Compras!$L$341*Registro_Compras!$N$341,2)-ROUND(Registro_Compras!$V$341*Registro_Compras!$N$341,2)),Registro_Compras!$O$341)))</f>
        <v/>
      </c>
      <c r="G3040">
        <f>IF($C3040="","",IF(Registro_Compras!$F$341="NOTA DE CREDITO","Por la nota de credito "&amp;Registro_Compras!$C$341&amp;" de "&amp;Registro_Compras!$E$341&amp;" [PATRON POR CONFIRMAR CON CONTADOR]",IF(Registro_Compras!$F$341="RHE","Por el registro del recibo por honorarios "&amp;Registro_Compras!$C$341&amp;" de "&amp;Registro_Compras!$E$341&amp;" [PATRON POR CONFIRMAR CON CONTADOR]","Por el registro de la factura "&amp;Registro_Compras!$C$341&amp;" de "&amp;Registro_Compras!$E$341)))</f>
        <v/>
      </c>
      <c r="H3040">
        <f>IF($C3040="","",Registro_Compras!$C$341)</f>
        <v/>
      </c>
    </row>
    <row r="3041">
      <c r="A3041" s="25">
        <f>IF($C3041="","",Registro_Compras!$B$341)</f>
        <v/>
      </c>
      <c r="B3041">
        <f>IF($C3041="","","C"&amp;TEXT(INT((ROW()-5)/9)+1,"000")&amp;"-2")</f>
        <v/>
      </c>
      <c r="C3041">
        <f>IF(OR(Registro_Compras!$C$341="",Registro_Compras!$O$341=""),"",IF(Registro_Compras!$AB$341="ADMINISTRATIVO","94","95"))</f>
        <v/>
      </c>
      <c r="D3041">
        <f>IF(OR(Registro_Compras!$C$341="",Registro_Compras!$O$341=""),"",IF(Registro_Compras!$AB$341="ADMINISTRATIVO","Gastos Administrativos","Gastos de Venta y Operacion"))</f>
        <v/>
      </c>
      <c r="E3041" s="20">
        <f>IF($C3041="","",IF(Registro_Compras!$F$341="NOTA DE CREDITO","",IF(Registro_Compras!$F$341="RHE",ROUND(Registro_Compras!$L$341*Registro_Compras!$N$341,2),ROUND(Registro_Compras!$J$341*Registro_Compras!$N$341,2))))</f>
        <v/>
      </c>
      <c r="F3041" s="20">
        <f>IF($C3041="","",IF(Registro_Compras!$F$341="NOTA DE CREDITO",ROUND(ABS(Registro_Compras!$J$341*Registro_Compras!$N$341),2),""))</f>
        <v/>
      </c>
      <c r="G3041">
        <f>IF($C3041="","","Por el destino del gasto")</f>
        <v/>
      </c>
      <c r="H3041">
        <f>IF($C3041="","",Registro_Compras!$C$341)</f>
        <v/>
      </c>
    </row>
    <row r="3042">
      <c r="A3042" s="25">
        <f>IF($C3042="","",Registro_Compras!$B$341)</f>
        <v/>
      </c>
      <c r="B3042">
        <f>IF($C3042="","","C"&amp;TEXT(INT((ROW()-5)/9)+1,"000")&amp;"-2")</f>
        <v/>
      </c>
      <c r="C3042">
        <f>IF(OR(Registro_Compras!$C$341="",Registro_Compras!$O$341=""),"","79/791")</f>
        <v/>
      </c>
      <c r="D3042">
        <f>IF(OR(Registro_Compras!$C$341="",Registro_Compras!$O$341=""),"","Cargas Imputables a Cuentas de Costos y Gastos")</f>
        <v/>
      </c>
      <c r="E3042" s="20">
        <f>IF($C3042="","",IF(Registro_Compras!$F$341="NOTA DE CREDITO",ROUND(ABS(Registro_Compras!$J$341*Registro_Compras!$N$341),2),""))</f>
        <v/>
      </c>
      <c r="F3042" s="20">
        <f>IF($C3042="","",IF(Registro_Compras!$F$341="NOTA DE CREDITO","",IF(Registro_Compras!$F$341="RHE",ROUND(Registro_Compras!$L$341*Registro_Compras!$N$341,2),ROUND(Registro_Compras!$J$341*Registro_Compras!$N$341,2))))</f>
        <v/>
      </c>
      <c r="G3042">
        <f>IF($C3042="","","Por el destino del gasto")</f>
        <v/>
      </c>
      <c r="H3042">
        <f>IF($C3042="","",Registro_Compras!$C$341)</f>
        <v/>
      </c>
    </row>
    <row r="3043">
      <c r="A3043" s="25">
        <f>IF($C3043="","",Registro_Compras!$X$341)</f>
        <v/>
      </c>
      <c r="B3043">
        <f>IF($C3043="","","C"&amp;TEXT(INT((ROW()-5)/9)+1,"000")&amp;"-3")</f>
        <v/>
      </c>
      <c r="C3043">
        <f>IF(OR(Registro_Compras!$C$341="",Registro_Compras!$O$341="",Registro_Compras!$R$341&lt;&gt;"SI",Registro_Compras!$X$341=""),"","4212")</f>
        <v/>
      </c>
      <c r="D3043">
        <f>IF(OR(Registro_Compras!$C$341="",Registro_Compras!$O$341=""),"","Cuentas por Pagar Comerciales - Terceros")</f>
        <v/>
      </c>
      <c r="E3043" s="20">
        <f>IF($C3043="","",Registro_Compras!$S$341)</f>
        <v/>
      </c>
      <c r="F3043" s="20">
        <f>""</f>
        <v/>
      </c>
      <c r="G3043">
        <f>IF($C3043="","","Por el deposito de la detraccion en el Banco de la Nacion")</f>
        <v/>
      </c>
      <c r="H3043">
        <f>IF($C3043="","",Registro_Compras!$C$341)</f>
        <v/>
      </c>
    </row>
    <row r="3044">
      <c r="A3044" s="25">
        <f>IF($C3044="","",Registro_Compras!$X$341)</f>
        <v/>
      </c>
      <c r="B3044">
        <f>IF($C3044="","","C"&amp;TEXT(INT((ROW()-5)/9)+1,"000")&amp;"-3")</f>
        <v/>
      </c>
      <c r="C3044">
        <f>IF(OR(Registro_Compras!$C$341="",Registro_Compras!$O$341="",Registro_Compras!$R$341&lt;&gt;"SI",Registro_Compras!$X$341=""),"","10413")</f>
        <v/>
      </c>
      <c r="D3044">
        <f>IF(OR(Registro_Compras!$C$341="",Registro_Compras!$O$341=""),"","Efectivo y Equivalentes - Cta. Cte. Operativa")</f>
        <v/>
      </c>
      <c r="E3044" s="20">
        <f>""</f>
        <v/>
      </c>
      <c r="F3044" s="20">
        <f>IF($C3044="","",Registro_Compras!$S$341)</f>
        <v/>
      </c>
      <c r="G3044">
        <f>IF($C3044="","","Por el deposito de la detraccion en el Banco de la Nacion")</f>
        <v/>
      </c>
      <c r="H3044">
        <f>IF($C3044="","",Registro_Compras!$C$341)</f>
        <v/>
      </c>
    </row>
    <row r="3045">
      <c r="A3045" s="25">
        <f>IF($C3045="","",Registro_Compras!$Y$341)</f>
        <v/>
      </c>
      <c r="B3045">
        <f>IF($C3045="","","C"&amp;TEXT(INT((ROW()-5)/9)+1,"000")&amp;"-4")</f>
        <v/>
      </c>
      <c r="C3045">
        <f>IF(OR(Registro_Compras!$C$341="",Registro_Compras!$O$341="",Registro_Compras!$Y$341="",Registro_Compras!$F$341="NOTA DE CREDITO"),"","4212")</f>
        <v/>
      </c>
      <c r="D3045">
        <f>IF(OR(Registro_Compras!$C$341="",Registro_Compras!$O$341=""),"","Cuentas por Pagar Comerciales - Terceros")</f>
        <v/>
      </c>
      <c r="E3045" s="20">
        <f>IF($C3045="","",IF(Registro_Compras!$F$341="RHE",(ROUND(Registro_Compras!$L$341*Registro_Compras!$N$341,2)-ROUND(Registro_Compras!$V$341*Registro_Compras!$N$341,2)),ROUND(Registro_Compras!$O$341-Registro_Compras!$S$341,2)))</f>
        <v/>
      </c>
      <c r="F3045" s="20">
        <f>""</f>
        <v/>
      </c>
      <c r="G3045">
        <f>IF($C3045="","","Por la cancelacion del saldo al proveedor")</f>
        <v/>
      </c>
      <c r="H3045">
        <f>IF($C3045="","",Registro_Compras!$C$341)</f>
        <v/>
      </c>
    </row>
    <row r="3046">
      <c r="A3046" s="25">
        <f>IF($C3046="","",Registro_Compras!$Y$341)</f>
        <v/>
      </c>
      <c r="B3046">
        <f>IF($C3046="","","C"&amp;TEXT(INT((ROW()-5)/9)+1,"000")&amp;"-4")</f>
        <v/>
      </c>
      <c r="C3046">
        <f>IF(OR(Registro_Compras!$C$341="",Registro_Compras!$O$341="",Registro_Compras!$Y$341="",Registro_Compras!$F$341="NOTA DE CREDITO"),"","10413")</f>
        <v/>
      </c>
      <c r="D3046">
        <f>IF(OR(Registro_Compras!$C$341="",Registro_Compras!$O$341=""),"","Efectivo y Equivalentes - Cta. Cte. Operativa")</f>
        <v/>
      </c>
      <c r="E3046" s="20">
        <f>""</f>
        <v/>
      </c>
      <c r="F3046" s="20">
        <f>IF($C3046="","",IF(Registro_Compras!$F$341="RHE",(ROUND(Registro_Compras!$L$341*Registro_Compras!$N$341,2)-ROUND(Registro_Compras!$V$341*Registro_Compras!$N$341,2)),ROUND(Registro_Compras!$O$341-Registro_Compras!$S$341,2)))</f>
        <v/>
      </c>
      <c r="G3046">
        <f>IF($C3046="","","Por la cancelacion del saldo al proveedor")</f>
        <v/>
      </c>
      <c r="H3046">
        <f>IF($C3046="","",Registro_Compras!$C$341)</f>
        <v/>
      </c>
    </row>
    <row r="3047">
      <c r="A3047" s="25">
        <f>IF($C3047="","",Registro_Compras!$B$342)</f>
        <v/>
      </c>
      <c r="B3047">
        <f>IF($C3047="","","C"&amp;TEXT(INT((ROW()-5)/9)+1,"000")&amp;"-1")</f>
        <v/>
      </c>
      <c r="C3047">
        <f>IF(OR(Registro_Compras!$C$342="",Registro_Compras!$O$342=""),"",IF(Registro_Compras!$F$342="NOTA DE CREDITO","4212",IF(Registro_Compras!$M$342="","63",Registro_Compras!$M$342)))</f>
        <v/>
      </c>
      <c r="D3047">
        <f>IF(OR(Registro_Compras!$C$342="",Registro_Compras!$O$342=""),"",IF(Registro_Compras!$F$342="NOTA DE CREDITO","Cuentas por Pagar Comerciales - Terceros (Emitidas)",IF(Registro_Compras!$F$342="RHE","Honorarios Profesionales - Servicios de Terceros","Gastos de Servicios Prestados por Terceros")))</f>
        <v/>
      </c>
      <c r="E3047" s="20">
        <f>IF($C3047="","",IF(Registro_Compras!$F$342="NOTA DE CREDITO",ABS(Registro_Compras!$O$342),IF(Registro_Compras!$F$342="RHE",ROUND(Registro_Compras!$L$342*Registro_Compras!$N$342,2),ROUND(Registro_Compras!$J$342*Registro_Compras!$N$342,2))))</f>
        <v/>
      </c>
      <c r="F3047" s="20">
        <f>""</f>
        <v/>
      </c>
      <c r="G3047">
        <f>IF($C3047="","",IF(Registro_Compras!$F$342="NOTA DE CREDITO","Por la nota de credito "&amp;Registro_Compras!$C$342&amp;" de "&amp;Registro_Compras!$E$342&amp;" [PATRON POR CONFIRMAR CON CONTADOR]",IF(Registro_Compras!$F$342="RHE","Por el registro del recibo por honorarios "&amp;Registro_Compras!$C$342&amp;" de "&amp;Registro_Compras!$E$342&amp;" [PATRON POR CONFIRMAR CON CONTADOR]","Por el registro de la factura "&amp;Registro_Compras!$C$342&amp;" de "&amp;Registro_Compras!$E$342)))</f>
        <v/>
      </c>
      <c r="H3047">
        <f>IF($C3047="","",Registro_Compras!$C$342)</f>
        <v/>
      </c>
    </row>
    <row r="3048">
      <c r="A3048" s="25">
        <f>IF($C3048="","",Registro_Compras!$B$342)</f>
        <v/>
      </c>
      <c r="B3048">
        <f>IF($C3048="","","C"&amp;TEXT(INT((ROW()-5)/9)+1,"000")&amp;"-1")</f>
        <v/>
      </c>
      <c r="C3048">
        <f>IF(OR(Registro_Compras!$C$342="",Registro_Compras!$O$342=""),"",IF(Registro_Compras!$F$342="RHE",IF(Registro_Compras!$V$342=0,"","40172"),IF(Registro_Compras!$F$342="NOTA DE CREDITO",IF(Registro_Compras!$M$342="","63",Registro_Compras!$M$342),IF(Registro_Compras!$K$342=0,"","40111"))))</f>
        <v/>
      </c>
      <c r="D3048">
        <f>IF(OR(Registro_Compras!$C$342="",Registro_Compras!$O$342=""),"",IF(Registro_Compras!$F$342="RHE","Retencion Renta 4ta Categoria por Pagar",IF(Registro_Compras!$F$342="NOTA DE CREDITO","Gastos de Servicios Prestados por Terceros","IGV - Cuenta Propia (Credito Fiscal)")))</f>
        <v/>
      </c>
      <c r="E3048" s="20">
        <f>IF($C3048="","",IF(Registro_Compras!$F$342="FACTURA",ROUND(Registro_Compras!$K$342*Registro_Compras!$N$342,2),""))</f>
        <v/>
      </c>
      <c r="F3048" s="20">
        <f>IF($C3048="","",IF(Registro_Compras!$F$342="RHE",ROUND(Registro_Compras!$V$342*Registro_Compras!$N$342,2),IF(Registro_Compras!$F$342="NOTA DE CREDITO",ROUND(ABS(Registro_Compras!$J$342*Registro_Compras!$N$342),2),"")))</f>
        <v/>
      </c>
      <c r="G3048">
        <f>IF($C3048="","",IF(Registro_Compras!$F$342="NOTA DE CREDITO","Por la nota de credito "&amp;Registro_Compras!$C$342&amp;" de "&amp;Registro_Compras!$E$342&amp;" [PATRON POR CONFIRMAR CON CONTADOR]",IF(Registro_Compras!$F$342="RHE","Por el registro del recibo por honorarios "&amp;Registro_Compras!$C$342&amp;" de "&amp;Registro_Compras!$E$342&amp;" [PATRON POR CONFIRMAR CON CONTADOR]","Por el registro de la factura "&amp;Registro_Compras!$C$342&amp;" de "&amp;Registro_Compras!$E$342)))</f>
        <v/>
      </c>
      <c r="H3048">
        <f>IF($C3048="","",Registro_Compras!$C$342)</f>
        <v/>
      </c>
    </row>
    <row r="3049">
      <c r="A3049" s="25">
        <f>IF($C3049="","",Registro_Compras!$B$342)</f>
        <v/>
      </c>
      <c r="B3049">
        <f>IF($C3049="","","C"&amp;TEXT(INT((ROW()-5)/9)+1,"000")&amp;"-1")</f>
        <v/>
      </c>
      <c r="C3049">
        <f>IF(OR(Registro_Compras!$C$342="",Registro_Compras!$O$342=""),"",IF(Registro_Compras!$F$342="NOTA DE CREDITO",IF(Registro_Compras!$K$342=0,"","40111"),"4212"))</f>
        <v/>
      </c>
      <c r="D3049">
        <f>IF(OR(Registro_Compras!$C$342="",Registro_Compras!$O$342=""),"",IF(Registro_Compras!$F$342="NOTA DE CREDITO","IGV - Cuenta Propia (Credito Fiscal)","Cuentas por Pagar Comerciales - Terceros (Emitidas)"))</f>
        <v/>
      </c>
      <c r="E3049" s="20">
        <f>""</f>
        <v/>
      </c>
      <c r="F3049" s="20">
        <f>IF($C3049="","",IF(Registro_Compras!$F$342="NOTA DE CREDITO",ROUND(ABS(Registro_Compras!$K$342*Registro_Compras!$N$342),2),IF(Registro_Compras!$F$342="RHE",(ROUND(Registro_Compras!$L$342*Registro_Compras!$N$342,2)-ROUND(Registro_Compras!$V$342*Registro_Compras!$N$342,2)),Registro_Compras!$O$342)))</f>
        <v/>
      </c>
      <c r="G3049">
        <f>IF($C3049="","",IF(Registro_Compras!$F$342="NOTA DE CREDITO","Por la nota de credito "&amp;Registro_Compras!$C$342&amp;" de "&amp;Registro_Compras!$E$342&amp;" [PATRON POR CONFIRMAR CON CONTADOR]",IF(Registro_Compras!$F$342="RHE","Por el registro del recibo por honorarios "&amp;Registro_Compras!$C$342&amp;" de "&amp;Registro_Compras!$E$342&amp;" [PATRON POR CONFIRMAR CON CONTADOR]","Por el registro de la factura "&amp;Registro_Compras!$C$342&amp;" de "&amp;Registro_Compras!$E$342)))</f>
        <v/>
      </c>
      <c r="H3049">
        <f>IF($C3049="","",Registro_Compras!$C$342)</f>
        <v/>
      </c>
    </row>
    <row r="3050">
      <c r="A3050" s="25">
        <f>IF($C3050="","",Registro_Compras!$B$342)</f>
        <v/>
      </c>
      <c r="B3050">
        <f>IF($C3050="","","C"&amp;TEXT(INT((ROW()-5)/9)+1,"000")&amp;"-2")</f>
        <v/>
      </c>
      <c r="C3050">
        <f>IF(OR(Registro_Compras!$C$342="",Registro_Compras!$O$342=""),"",IF(Registro_Compras!$AB$342="ADMINISTRATIVO","94","95"))</f>
        <v/>
      </c>
      <c r="D3050">
        <f>IF(OR(Registro_Compras!$C$342="",Registro_Compras!$O$342=""),"",IF(Registro_Compras!$AB$342="ADMINISTRATIVO","Gastos Administrativos","Gastos de Venta y Operacion"))</f>
        <v/>
      </c>
      <c r="E3050" s="20">
        <f>IF($C3050="","",IF(Registro_Compras!$F$342="NOTA DE CREDITO","",IF(Registro_Compras!$F$342="RHE",ROUND(Registro_Compras!$L$342*Registro_Compras!$N$342,2),ROUND(Registro_Compras!$J$342*Registro_Compras!$N$342,2))))</f>
        <v/>
      </c>
      <c r="F3050" s="20">
        <f>IF($C3050="","",IF(Registro_Compras!$F$342="NOTA DE CREDITO",ROUND(ABS(Registro_Compras!$J$342*Registro_Compras!$N$342),2),""))</f>
        <v/>
      </c>
      <c r="G3050">
        <f>IF($C3050="","","Por el destino del gasto")</f>
        <v/>
      </c>
      <c r="H3050">
        <f>IF($C3050="","",Registro_Compras!$C$342)</f>
        <v/>
      </c>
    </row>
    <row r="3051">
      <c r="A3051" s="25">
        <f>IF($C3051="","",Registro_Compras!$B$342)</f>
        <v/>
      </c>
      <c r="B3051">
        <f>IF($C3051="","","C"&amp;TEXT(INT((ROW()-5)/9)+1,"000")&amp;"-2")</f>
        <v/>
      </c>
      <c r="C3051">
        <f>IF(OR(Registro_Compras!$C$342="",Registro_Compras!$O$342=""),"","79/791")</f>
        <v/>
      </c>
      <c r="D3051">
        <f>IF(OR(Registro_Compras!$C$342="",Registro_Compras!$O$342=""),"","Cargas Imputables a Cuentas de Costos y Gastos")</f>
        <v/>
      </c>
      <c r="E3051" s="20">
        <f>IF($C3051="","",IF(Registro_Compras!$F$342="NOTA DE CREDITO",ROUND(ABS(Registro_Compras!$J$342*Registro_Compras!$N$342),2),""))</f>
        <v/>
      </c>
      <c r="F3051" s="20">
        <f>IF($C3051="","",IF(Registro_Compras!$F$342="NOTA DE CREDITO","",IF(Registro_Compras!$F$342="RHE",ROUND(Registro_Compras!$L$342*Registro_Compras!$N$342,2),ROUND(Registro_Compras!$J$342*Registro_Compras!$N$342,2))))</f>
        <v/>
      </c>
      <c r="G3051">
        <f>IF($C3051="","","Por el destino del gasto")</f>
        <v/>
      </c>
      <c r="H3051">
        <f>IF($C3051="","",Registro_Compras!$C$342)</f>
        <v/>
      </c>
    </row>
    <row r="3052">
      <c r="A3052" s="25">
        <f>IF($C3052="","",Registro_Compras!$X$342)</f>
        <v/>
      </c>
      <c r="B3052">
        <f>IF($C3052="","","C"&amp;TEXT(INT((ROW()-5)/9)+1,"000")&amp;"-3")</f>
        <v/>
      </c>
      <c r="C3052">
        <f>IF(OR(Registro_Compras!$C$342="",Registro_Compras!$O$342="",Registro_Compras!$R$342&lt;&gt;"SI",Registro_Compras!$X$342=""),"","4212")</f>
        <v/>
      </c>
      <c r="D3052">
        <f>IF(OR(Registro_Compras!$C$342="",Registro_Compras!$O$342=""),"","Cuentas por Pagar Comerciales - Terceros")</f>
        <v/>
      </c>
      <c r="E3052" s="20">
        <f>IF($C3052="","",Registro_Compras!$S$342)</f>
        <v/>
      </c>
      <c r="F3052" s="20">
        <f>""</f>
        <v/>
      </c>
      <c r="G3052">
        <f>IF($C3052="","","Por el deposito de la detraccion en el Banco de la Nacion")</f>
        <v/>
      </c>
      <c r="H3052">
        <f>IF($C3052="","",Registro_Compras!$C$342)</f>
        <v/>
      </c>
    </row>
    <row r="3053">
      <c r="A3053" s="25">
        <f>IF($C3053="","",Registro_Compras!$X$342)</f>
        <v/>
      </c>
      <c r="B3053">
        <f>IF($C3053="","","C"&amp;TEXT(INT((ROW()-5)/9)+1,"000")&amp;"-3")</f>
        <v/>
      </c>
      <c r="C3053">
        <f>IF(OR(Registro_Compras!$C$342="",Registro_Compras!$O$342="",Registro_Compras!$R$342&lt;&gt;"SI",Registro_Compras!$X$342=""),"","10413")</f>
        <v/>
      </c>
      <c r="D3053">
        <f>IF(OR(Registro_Compras!$C$342="",Registro_Compras!$O$342=""),"","Efectivo y Equivalentes - Cta. Cte. Operativa")</f>
        <v/>
      </c>
      <c r="E3053" s="20">
        <f>""</f>
        <v/>
      </c>
      <c r="F3053" s="20">
        <f>IF($C3053="","",Registro_Compras!$S$342)</f>
        <v/>
      </c>
      <c r="G3053">
        <f>IF($C3053="","","Por el deposito de la detraccion en el Banco de la Nacion")</f>
        <v/>
      </c>
      <c r="H3053">
        <f>IF($C3053="","",Registro_Compras!$C$342)</f>
        <v/>
      </c>
    </row>
    <row r="3054">
      <c r="A3054" s="25">
        <f>IF($C3054="","",Registro_Compras!$Y$342)</f>
        <v/>
      </c>
      <c r="B3054">
        <f>IF($C3054="","","C"&amp;TEXT(INT((ROW()-5)/9)+1,"000")&amp;"-4")</f>
        <v/>
      </c>
      <c r="C3054">
        <f>IF(OR(Registro_Compras!$C$342="",Registro_Compras!$O$342="",Registro_Compras!$Y$342="",Registro_Compras!$F$342="NOTA DE CREDITO"),"","4212")</f>
        <v/>
      </c>
      <c r="D3054">
        <f>IF(OR(Registro_Compras!$C$342="",Registro_Compras!$O$342=""),"","Cuentas por Pagar Comerciales - Terceros")</f>
        <v/>
      </c>
      <c r="E3054" s="20">
        <f>IF($C3054="","",IF(Registro_Compras!$F$342="RHE",(ROUND(Registro_Compras!$L$342*Registro_Compras!$N$342,2)-ROUND(Registro_Compras!$V$342*Registro_Compras!$N$342,2)),ROUND(Registro_Compras!$O$342-Registro_Compras!$S$342,2)))</f>
        <v/>
      </c>
      <c r="F3054" s="20">
        <f>""</f>
        <v/>
      </c>
      <c r="G3054">
        <f>IF($C3054="","","Por la cancelacion del saldo al proveedor")</f>
        <v/>
      </c>
      <c r="H3054">
        <f>IF($C3054="","",Registro_Compras!$C$342)</f>
        <v/>
      </c>
    </row>
    <row r="3055">
      <c r="A3055" s="25">
        <f>IF($C3055="","",Registro_Compras!$Y$342)</f>
        <v/>
      </c>
      <c r="B3055">
        <f>IF($C3055="","","C"&amp;TEXT(INT((ROW()-5)/9)+1,"000")&amp;"-4")</f>
        <v/>
      </c>
      <c r="C3055">
        <f>IF(OR(Registro_Compras!$C$342="",Registro_Compras!$O$342="",Registro_Compras!$Y$342="",Registro_Compras!$F$342="NOTA DE CREDITO"),"","10413")</f>
        <v/>
      </c>
      <c r="D3055">
        <f>IF(OR(Registro_Compras!$C$342="",Registro_Compras!$O$342=""),"","Efectivo y Equivalentes - Cta. Cte. Operativa")</f>
        <v/>
      </c>
      <c r="E3055" s="20">
        <f>""</f>
        <v/>
      </c>
      <c r="F3055" s="20">
        <f>IF($C3055="","",IF(Registro_Compras!$F$342="RHE",(ROUND(Registro_Compras!$L$342*Registro_Compras!$N$342,2)-ROUND(Registro_Compras!$V$342*Registro_Compras!$N$342,2)),ROUND(Registro_Compras!$O$342-Registro_Compras!$S$342,2)))</f>
        <v/>
      </c>
      <c r="G3055">
        <f>IF($C3055="","","Por la cancelacion del saldo al proveedor")</f>
        <v/>
      </c>
      <c r="H3055">
        <f>IF($C3055="","",Registro_Compras!$C$342)</f>
        <v/>
      </c>
    </row>
    <row r="3056">
      <c r="A3056" s="25">
        <f>IF($C3056="","",Registro_Compras!$B$343)</f>
        <v/>
      </c>
      <c r="B3056">
        <f>IF($C3056="","","C"&amp;TEXT(INT((ROW()-5)/9)+1,"000")&amp;"-1")</f>
        <v/>
      </c>
      <c r="C3056">
        <f>IF(OR(Registro_Compras!$C$343="",Registro_Compras!$O$343=""),"",IF(Registro_Compras!$F$343="NOTA DE CREDITO","4212",IF(Registro_Compras!$M$343="","63",Registro_Compras!$M$343)))</f>
        <v/>
      </c>
      <c r="D3056">
        <f>IF(OR(Registro_Compras!$C$343="",Registro_Compras!$O$343=""),"",IF(Registro_Compras!$F$343="NOTA DE CREDITO","Cuentas por Pagar Comerciales - Terceros (Emitidas)",IF(Registro_Compras!$F$343="RHE","Honorarios Profesionales - Servicios de Terceros","Gastos de Servicios Prestados por Terceros")))</f>
        <v/>
      </c>
      <c r="E3056" s="20">
        <f>IF($C3056="","",IF(Registro_Compras!$F$343="NOTA DE CREDITO",ABS(Registro_Compras!$O$343),IF(Registro_Compras!$F$343="RHE",ROUND(Registro_Compras!$L$343*Registro_Compras!$N$343,2),ROUND(Registro_Compras!$J$343*Registro_Compras!$N$343,2))))</f>
        <v/>
      </c>
      <c r="F3056" s="20">
        <f>""</f>
        <v/>
      </c>
      <c r="G3056">
        <f>IF($C3056="","",IF(Registro_Compras!$F$343="NOTA DE CREDITO","Por la nota de credito "&amp;Registro_Compras!$C$343&amp;" de "&amp;Registro_Compras!$E$343&amp;" [PATRON POR CONFIRMAR CON CONTADOR]",IF(Registro_Compras!$F$343="RHE","Por el registro del recibo por honorarios "&amp;Registro_Compras!$C$343&amp;" de "&amp;Registro_Compras!$E$343&amp;" [PATRON POR CONFIRMAR CON CONTADOR]","Por el registro de la factura "&amp;Registro_Compras!$C$343&amp;" de "&amp;Registro_Compras!$E$343)))</f>
        <v/>
      </c>
      <c r="H3056">
        <f>IF($C3056="","",Registro_Compras!$C$343)</f>
        <v/>
      </c>
    </row>
    <row r="3057">
      <c r="A3057" s="25">
        <f>IF($C3057="","",Registro_Compras!$B$343)</f>
        <v/>
      </c>
      <c r="B3057">
        <f>IF($C3057="","","C"&amp;TEXT(INT((ROW()-5)/9)+1,"000")&amp;"-1")</f>
        <v/>
      </c>
      <c r="C3057">
        <f>IF(OR(Registro_Compras!$C$343="",Registro_Compras!$O$343=""),"",IF(Registro_Compras!$F$343="RHE",IF(Registro_Compras!$V$343=0,"","40172"),IF(Registro_Compras!$F$343="NOTA DE CREDITO",IF(Registro_Compras!$M$343="","63",Registro_Compras!$M$343),IF(Registro_Compras!$K$343=0,"","40111"))))</f>
        <v/>
      </c>
      <c r="D3057">
        <f>IF(OR(Registro_Compras!$C$343="",Registro_Compras!$O$343=""),"",IF(Registro_Compras!$F$343="RHE","Retencion Renta 4ta Categoria por Pagar",IF(Registro_Compras!$F$343="NOTA DE CREDITO","Gastos de Servicios Prestados por Terceros","IGV - Cuenta Propia (Credito Fiscal)")))</f>
        <v/>
      </c>
      <c r="E3057" s="20">
        <f>IF($C3057="","",IF(Registro_Compras!$F$343="FACTURA",ROUND(Registro_Compras!$K$343*Registro_Compras!$N$343,2),""))</f>
        <v/>
      </c>
      <c r="F3057" s="20">
        <f>IF($C3057="","",IF(Registro_Compras!$F$343="RHE",ROUND(Registro_Compras!$V$343*Registro_Compras!$N$343,2),IF(Registro_Compras!$F$343="NOTA DE CREDITO",ROUND(ABS(Registro_Compras!$J$343*Registro_Compras!$N$343),2),"")))</f>
        <v/>
      </c>
      <c r="G3057">
        <f>IF($C3057="","",IF(Registro_Compras!$F$343="NOTA DE CREDITO","Por la nota de credito "&amp;Registro_Compras!$C$343&amp;" de "&amp;Registro_Compras!$E$343&amp;" [PATRON POR CONFIRMAR CON CONTADOR]",IF(Registro_Compras!$F$343="RHE","Por el registro del recibo por honorarios "&amp;Registro_Compras!$C$343&amp;" de "&amp;Registro_Compras!$E$343&amp;" [PATRON POR CONFIRMAR CON CONTADOR]","Por el registro de la factura "&amp;Registro_Compras!$C$343&amp;" de "&amp;Registro_Compras!$E$343)))</f>
        <v/>
      </c>
      <c r="H3057">
        <f>IF($C3057="","",Registro_Compras!$C$343)</f>
        <v/>
      </c>
    </row>
    <row r="3058">
      <c r="A3058" s="25">
        <f>IF($C3058="","",Registro_Compras!$B$343)</f>
        <v/>
      </c>
      <c r="B3058">
        <f>IF($C3058="","","C"&amp;TEXT(INT((ROW()-5)/9)+1,"000")&amp;"-1")</f>
        <v/>
      </c>
      <c r="C3058">
        <f>IF(OR(Registro_Compras!$C$343="",Registro_Compras!$O$343=""),"",IF(Registro_Compras!$F$343="NOTA DE CREDITO",IF(Registro_Compras!$K$343=0,"","40111"),"4212"))</f>
        <v/>
      </c>
      <c r="D3058">
        <f>IF(OR(Registro_Compras!$C$343="",Registro_Compras!$O$343=""),"",IF(Registro_Compras!$F$343="NOTA DE CREDITO","IGV - Cuenta Propia (Credito Fiscal)","Cuentas por Pagar Comerciales - Terceros (Emitidas)"))</f>
        <v/>
      </c>
      <c r="E3058" s="20">
        <f>""</f>
        <v/>
      </c>
      <c r="F3058" s="20">
        <f>IF($C3058="","",IF(Registro_Compras!$F$343="NOTA DE CREDITO",ROUND(ABS(Registro_Compras!$K$343*Registro_Compras!$N$343),2),IF(Registro_Compras!$F$343="RHE",(ROUND(Registro_Compras!$L$343*Registro_Compras!$N$343,2)-ROUND(Registro_Compras!$V$343*Registro_Compras!$N$343,2)),Registro_Compras!$O$343)))</f>
        <v/>
      </c>
      <c r="G3058">
        <f>IF($C3058="","",IF(Registro_Compras!$F$343="NOTA DE CREDITO","Por la nota de credito "&amp;Registro_Compras!$C$343&amp;" de "&amp;Registro_Compras!$E$343&amp;" [PATRON POR CONFIRMAR CON CONTADOR]",IF(Registro_Compras!$F$343="RHE","Por el registro del recibo por honorarios "&amp;Registro_Compras!$C$343&amp;" de "&amp;Registro_Compras!$E$343&amp;" [PATRON POR CONFIRMAR CON CONTADOR]","Por el registro de la factura "&amp;Registro_Compras!$C$343&amp;" de "&amp;Registro_Compras!$E$343)))</f>
        <v/>
      </c>
      <c r="H3058">
        <f>IF($C3058="","",Registro_Compras!$C$343)</f>
        <v/>
      </c>
    </row>
    <row r="3059">
      <c r="A3059" s="25">
        <f>IF($C3059="","",Registro_Compras!$B$343)</f>
        <v/>
      </c>
      <c r="B3059">
        <f>IF($C3059="","","C"&amp;TEXT(INT((ROW()-5)/9)+1,"000")&amp;"-2")</f>
        <v/>
      </c>
      <c r="C3059">
        <f>IF(OR(Registro_Compras!$C$343="",Registro_Compras!$O$343=""),"",IF(Registro_Compras!$AB$343="ADMINISTRATIVO","94","95"))</f>
        <v/>
      </c>
      <c r="D3059">
        <f>IF(OR(Registro_Compras!$C$343="",Registro_Compras!$O$343=""),"",IF(Registro_Compras!$AB$343="ADMINISTRATIVO","Gastos Administrativos","Gastos de Venta y Operacion"))</f>
        <v/>
      </c>
      <c r="E3059" s="20">
        <f>IF($C3059="","",IF(Registro_Compras!$F$343="NOTA DE CREDITO","",IF(Registro_Compras!$F$343="RHE",ROUND(Registro_Compras!$L$343*Registro_Compras!$N$343,2),ROUND(Registro_Compras!$J$343*Registro_Compras!$N$343,2))))</f>
        <v/>
      </c>
      <c r="F3059" s="20">
        <f>IF($C3059="","",IF(Registro_Compras!$F$343="NOTA DE CREDITO",ROUND(ABS(Registro_Compras!$J$343*Registro_Compras!$N$343),2),""))</f>
        <v/>
      </c>
      <c r="G3059">
        <f>IF($C3059="","","Por el destino del gasto")</f>
        <v/>
      </c>
      <c r="H3059">
        <f>IF($C3059="","",Registro_Compras!$C$343)</f>
        <v/>
      </c>
    </row>
    <row r="3060">
      <c r="A3060" s="25">
        <f>IF($C3060="","",Registro_Compras!$B$343)</f>
        <v/>
      </c>
      <c r="B3060">
        <f>IF($C3060="","","C"&amp;TEXT(INT((ROW()-5)/9)+1,"000")&amp;"-2")</f>
        <v/>
      </c>
      <c r="C3060">
        <f>IF(OR(Registro_Compras!$C$343="",Registro_Compras!$O$343=""),"","79/791")</f>
        <v/>
      </c>
      <c r="D3060">
        <f>IF(OR(Registro_Compras!$C$343="",Registro_Compras!$O$343=""),"","Cargas Imputables a Cuentas de Costos y Gastos")</f>
        <v/>
      </c>
      <c r="E3060" s="20">
        <f>IF($C3060="","",IF(Registro_Compras!$F$343="NOTA DE CREDITO",ROUND(ABS(Registro_Compras!$J$343*Registro_Compras!$N$343),2),""))</f>
        <v/>
      </c>
      <c r="F3060" s="20">
        <f>IF($C3060="","",IF(Registro_Compras!$F$343="NOTA DE CREDITO","",IF(Registro_Compras!$F$343="RHE",ROUND(Registro_Compras!$L$343*Registro_Compras!$N$343,2),ROUND(Registro_Compras!$J$343*Registro_Compras!$N$343,2))))</f>
        <v/>
      </c>
      <c r="G3060">
        <f>IF($C3060="","","Por el destino del gasto")</f>
        <v/>
      </c>
      <c r="H3060">
        <f>IF($C3060="","",Registro_Compras!$C$343)</f>
        <v/>
      </c>
    </row>
    <row r="3061">
      <c r="A3061" s="25">
        <f>IF($C3061="","",Registro_Compras!$X$343)</f>
        <v/>
      </c>
      <c r="B3061">
        <f>IF($C3061="","","C"&amp;TEXT(INT((ROW()-5)/9)+1,"000")&amp;"-3")</f>
        <v/>
      </c>
      <c r="C3061">
        <f>IF(OR(Registro_Compras!$C$343="",Registro_Compras!$O$343="",Registro_Compras!$R$343&lt;&gt;"SI",Registro_Compras!$X$343=""),"","4212")</f>
        <v/>
      </c>
      <c r="D3061">
        <f>IF(OR(Registro_Compras!$C$343="",Registro_Compras!$O$343=""),"","Cuentas por Pagar Comerciales - Terceros")</f>
        <v/>
      </c>
      <c r="E3061" s="20">
        <f>IF($C3061="","",Registro_Compras!$S$343)</f>
        <v/>
      </c>
      <c r="F3061" s="20">
        <f>""</f>
        <v/>
      </c>
      <c r="G3061">
        <f>IF($C3061="","","Por el deposito de la detraccion en el Banco de la Nacion")</f>
        <v/>
      </c>
      <c r="H3061">
        <f>IF($C3061="","",Registro_Compras!$C$343)</f>
        <v/>
      </c>
    </row>
    <row r="3062">
      <c r="A3062" s="25">
        <f>IF($C3062="","",Registro_Compras!$X$343)</f>
        <v/>
      </c>
      <c r="B3062">
        <f>IF($C3062="","","C"&amp;TEXT(INT((ROW()-5)/9)+1,"000")&amp;"-3")</f>
        <v/>
      </c>
      <c r="C3062">
        <f>IF(OR(Registro_Compras!$C$343="",Registro_Compras!$O$343="",Registro_Compras!$R$343&lt;&gt;"SI",Registro_Compras!$X$343=""),"","10413")</f>
        <v/>
      </c>
      <c r="D3062">
        <f>IF(OR(Registro_Compras!$C$343="",Registro_Compras!$O$343=""),"","Efectivo y Equivalentes - Cta. Cte. Operativa")</f>
        <v/>
      </c>
      <c r="E3062" s="20">
        <f>""</f>
        <v/>
      </c>
      <c r="F3062" s="20">
        <f>IF($C3062="","",Registro_Compras!$S$343)</f>
        <v/>
      </c>
      <c r="G3062">
        <f>IF($C3062="","","Por el deposito de la detraccion en el Banco de la Nacion")</f>
        <v/>
      </c>
      <c r="H3062">
        <f>IF($C3062="","",Registro_Compras!$C$343)</f>
        <v/>
      </c>
    </row>
    <row r="3063">
      <c r="A3063" s="25">
        <f>IF($C3063="","",Registro_Compras!$Y$343)</f>
        <v/>
      </c>
      <c r="B3063">
        <f>IF($C3063="","","C"&amp;TEXT(INT((ROW()-5)/9)+1,"000")&amp;"-4")</f>
        <v/>
      </c>
      <c r="C3063">
        <f>IF(OR(Registro_Compras!$C$343="",Registro_Compras!$O$343="",Registro_Compras!$Y$343="",Registro_Compras!$F$343="NOTA DE CREDITO"),"","4212")</f>
        <v/>
      </c>
      <c r="D3063">
        <f>IF(OR(Registro_Compras!$C$343="",Registro_Compras!$O$343=""),"","Cuentas por Pagar Comerciales - Terceros")</f>
        <v/>
      </c>
      <c r="E3063" s="20">
        <f>IF($C3063="","",IF(Registro_Compras!$F$343="RHE",(ROUND(Registro_Compras!$L$343*Registro_Compras!$N$343,2)-ROUND(Registro_Compras!$V$343*Registro_Compras!$N$343,2)),ROUND(Registro_Compras!$O$343-Registro_Compras!$S$343,2)))</f>
        <v/>
      </c>
      <c r="F3063" s="20">
        <f>""</f>
        <v/>
      </c>
      <c r="G3063">
        <f>IF($C3063="","","Por la cancelacion del saldo al proveedor")</f>
        <v/>
      </c>
      <c r="H3063">
        <f>IF($C3063="","",Registro_Compras!$C$343)</f>
        <v/>
      </c>
    </row>
    <row r="3064">
      <c r="A3064" s="25">
        <f>IF($C3064="","",Registro_Compras!$Y$343)</f>
        <v/>
      </c>
      <c r="B3064">
        <f>IF($C3064="","","C"&amp;TEXT(INT((ROW()-5)/9)+1,"000")&amp;"-4")</f>
        <v/>
      </c>
      <c r="C3064">
        <f>IF(OR(Registro_Compras!$C$343="",Registro_Compras!$O$343="",Registro_Compras!$Y$343="",Registro_Compras!$F$343="NOTA DE CREDITO"),"","10413")</f>
        <v/>
      </c>
      <c r="D3064">
        <f>IF(OR(Registro_Compras!$C$343="",Registro_Compras!$O$343=""),"","Efectivo y Equivalentes - Cta. Cte. Operativa")</f>
        <v/>
      </c>
      <c r="E3064" s="20">
        <f>""</f>
        <v/>
      </c>
      <c r="F3064" s="20">
        <f>IF($C3064="","",IF(Registro_Compras!$F$343="RHE",(ROUND(Registro_Compras!$L$343*Registro_Compras!$N$343,2)-ROUND(Registro_Compras!$V$343*Registro_Compras!$N$343,2)),ROUND(Registro_Compras!$O$343-Registro_Compras!$S$343,2)))</f>
        <v/>
      </c>
      <c r="G3064">
        <f>IF($C3064="","","Por la cancelacion del saldo al proveedor")</f>
        <v/>
      </c>
      <c r="H3064">
        <f>IF($C3064="","",Registro_Compras!$C$343)</f>
        <v/>
      </c>
    </row>
    <row r="3065">
      <c r="A3065" s="25">
        <f>IF($C3065="","",Registro_Compras!$B$344)</f>
        <v/>
      </c>
      <c r="B3065">
        <f>IF($C3065="","","C"&amp;TEXT(INT((ROW()-5)/9)+1,"000")&amp;"-1")</f>
        <v/>
      </c>
      <c r="C3065">
        <f>IF(OR(Registro_Compras!$C$344="",Registro_Compras!$O$344=""),"",IF(Registro_Compras!$F$344="NOTA DE CREDITO","4212",IF(Registro_Compras!$M$344="","63",Registro_Compras!$M$344)))</f>
        <v/>
      </c>
      <c r="D3065">
        <f>IF(OR(Registro_Compras!$C$344="",Registro_Compras!$O$344=""),"",IF(Registro_Compras!$F$344="NOTA DE CREDITO","Cuentas por Pagar Comerciales - Terceros (Emitidas)",IF(Registro_Compras!$F$344="RHE","Honorarios Profesionales - Servicios de Terceros","Gastos de Servicios Prestados por Terceros")))</f>
        <v/>
      </c>
      <c r="E3065" s="20">
        <f>IF($C3065="","",IF(Registro_Compras!$F$344="NOTA DE CREDITO",ABS(Registro_Compras!$O$344),IF(Registro_Compras!$F$344="RHE",ROUND(Registro_Compras!$L$344*Registro_Compras!$N$344,2),ROUND(Registro_Compras!$J$344*Registro_Compras!$N$344,2))))</f>
        <v/>
      </c>
      <c r="F3065" s="20">
        <f>""</f>
        <v/>
      </c>
      <c r="G3065">
        <f>IF($C3065="","",IF(Registro_Compras!$F$344="NOTA DE CREDITO","Por la nota de credito "&amp;Registro_Compras!$C$344&amp;" de "&amp;Registro_Compras!$E$344&amp;" [PATRON POR CONFIRMAR CON CONTADOR]",IF(Registro_Compras!$F$344="RHE","Por el registro del recibo por honorarios "&amp;Registro_Compras!$C$344&amp;" de "&amp;Registro_Compras!$E$344&amp;" [PATRON POR CONFIRMAR CON CONTADOR]","Por el registro de la factura "&amp;Registro_Compras!$C$344&amp;" de "&amp;Registro_Compras!$E$344)))</f>
        <v/>
      </c>
      <c r="H3065">
        <f>IF($C3065="","",Registro_Compras!$C$344)</f>
        <v/>
      </c>
    </row>
    <row r="3066">
      <c r="A3066" s="25">
        <f>IF($C3066="","",Registro_Compras!$B$344)</f>
        <v/>
      </c>
      <c r="B3066">
        <f>IF($C3066="","","C"&amp;TEXT(INT((ROW()-5)/9)+1,"000")&amp;"-1")</f>
        <v/>
      </c>
      <c r="C3066">
        <f>IF(OR(Registro_Compras!$C$344="",Registro_Compras!$O$344=""),"",IF(Registro_Compras!$F$344="RHE",IF(Registro_Compras!$V$344=0,"","40172"),IF(Registro_Compras!$F$344="NOTA DE CREDITO",IF(Registro_Compras!$M$344="","63",Registro_Compras!$M$344),IF(Registro_Compras!$K$344=0,"","40111"))))</f>
        <v/>
      </c>
      <c r="D3066">
        <f>IF(OR(Registro_Compras!$C$344="",Registro_Compras!$O$344=""),"",IF(Registro_Compras!$F$344="RHE","Retencion Renta 4ta Categoria por Pagar",IF(Registro_Compras!$F$344="NOTA DE CREDITO","Gastos de Servicios Prestados por Terceros","IGV - Cuenta Propia (Credito Fiscal)")))</f>
        <v/>
      </c>
      <c r="E3066" s="20">
        <f>IF($C3066="","",IF(Registro_Compras!$F$344="FACTURA",ROUND(Registro_Compras!$K$344*Registro_Compras!$N$344,2),""))</f>
        <v/>
      </c>
      <c r="F3066" s="20">
        <f>IF($C3066="","",IF(Registro_Compras!$F$344="RHE",ROUND(Registro_Compras!$V$344*Registro_Compras!$N$344,2),IF(Registro_Compras!$F$344="NOTA DE CREDITO",ROUND(ABS(Registro_Compras!$J$344*Registro_Compras!$N$344),2),"")))</f>
        <v/>
      </c>
      <c r="G3066">
        <f>IF($C3066="","",IF(Registro_Compras!$F$344="NOTA DE CREDITO","Por la nota de credito "&amp;Registro_Compras!$C$344&amp;" de "&amp;Registro_Compras!$E$344&amp;" [PATRON POR CONFIRMAR CON CONTADOR]",IF(Registro_Compras!$F$344="RHE","Por el registro del recibo por honorarios "&amp;Registro_Compras!$C$344&amp;" de "&amp;Registro_Compras!$E$344&amp;" [PATRON POR CONFIRMAR CON CONTADOR]","Por el registro de la factura "&amp;Registro_Compras!$C$344&amp;" de "&amp;Registro_Compras!$E$344)))</f>
        <v/>
      </c>
      <c r="H3066">
        <f>IF($C3066="","",Registro_Compras!$C$344)</f>
        <v/>
      </c>
    </row>
    <row r="3067">
      <c r="A3067" s="25">
        <f>IF($C3067="","",Registro_Compras!$B$344)</f>
        <v/>
      </c>
      <c r="B3067">
        <f>IF($C3067="","","C"&amp;TEXT(INT((ROW()-5)/9)+1,"000")&amp;"-1")</f>
        <v/>
      </c>
      <c r="C3067">
        <f>IF(OR(Registro_Compras!$C$344="",Registro_Compras!$O$344=""),"",IF(Registro_Compras!$F$344="NOTA DE CREDITO",IF(Registro_Compras!$K$344=0,"","40111"),"4212"))</f>
        <v/>
      </c>
      <c r="D3067">
        <f>IF(OR(Registro_Compras!$C$344="",Registro_Compras!$O$344=""),"",IF(Registro_Compras!$F$344="NOTA DE CREDITO","IGV - Cuenta Propia (Credito Fiscal)","Cuentas por Pagar Comerciales - Terceros (Emitidas)"))</f>
        <v/>
      </c>
      <c r="E3067" s="20">
        <f>""</f>
        <v/>
      </c>
      <c r="F3067" s="20">
        <f>IF($C3067="","",IF(Registro_Compras!$F$344="NOTA DE CREDITO",ROUND(ABS(Registro_Compras!$K$344*Registro_Compras!$N$344),2),IF(Registro_Compras!$F$344="RHE",(ROUND(Registro_Compras!$L$344*Registro_Compras!$N$344,2)-ROUND(Registro_Compras!$V$344*Registro_Compras!$N$344,2)),Registro_Compras!$O$344)))</f>
        <v/>
      </c>
      <c r="G3067">
        <f>IF($C3067="","",IF(Registro_Compras!$F$344="NOTA DE CREDITO","Por la nota de credito "&amp;Registro_Compras!$C$344&amp;" de "&amp;Registro_Compras!$E$344&amp;" [PATRON POR CONFIRMAR CON CONTADOR]",IF(Registro_Compras!$F$344="RHE","Por el registro del recibo por honorarios "&amp;Registro_Compras!$C$344&amp;" de "&amp;Registro_Compras!$E$344&amp;" [PATRON POR CONFIRMAR CON CONTADOR]","Por el registro de la factura "&amp;Registro_Compras!$C$344&amp;" de "&amp;Registro_Compras!$E$344)))</f>
        <v/>
      </c>
      <c r="H3067">
        <f>IF($C3067="","",Registro_Compras!$C$344)</f>
        <v/>
      </c>
    </row>
    <row r="3068">
      <c r="A3068" s="25">
        <f>IF($C3068="","",Registro_Compras!$B$344)</f>
        <v/>
      </c>
      <c r="B3068">
        <f>IF($C3068="","","C"&amp;TEXT(INT((ROW()-5)/9)+1,"000")&amp;"-2")</f>
        <v/>
      </c>
      <c r="C3068">
        <f>IF(OR(Registro_Compras!$C$344="",Registro_Compras!$O$344=""),"",IF(Registro_Compras!$AB$344="ADMINISTRATIVO","94","95"))</f>
        <v/>
      </c>
      <c r="D3068">
        <f>IF(OR(Registro_Compras!$C$344="",Registro_Compras!$O$344=""),"",IF(Registro_Compras!$AB$344="ADMINISTRATIVO","Gastos Administrativos","Gastos de Venta y Operacion"))</f>
        <v/>
      </c>
      <c r="E3068" s="20">
        <f>IF($C3068="","",IF(Registro_Compras!$F$344="NOTA DE CREDITO","",IF(Registro_Compras!$F$344="RHE",ROUND(Registro_Compras!$L$344*Registro_Compras!$N$344,2),ROUND(Registro_Compras!$J$344*Registro_Compras!$N$344,2))))</f>
        <v/>
      </c>
      <c r="F3068" s="20">
        <f>IF($C3068="","",IF(Registro_Compras!$F$344="NOTA DE CREDITO",ROUND(ABS(Registro_Compras!$J$344*Registro_Compras!$N$344),2),""))</f>
        <v/>
      </c>
      <c r="G3068">
        <f>IF($C3068="","","Por el destino del gasto")</f>
        <v/>
      </c>
      <c r="H3068">
        <f>IF($C3068="","",Registro_Compras!$C$344)</f>
        <v/>
      </c>
    </row>
    <row r="3069">
      <c r="A3069" s="25">
        <f>IF($C3069="","",Registro_Compras!$B$344)</f>
        <v/>
      </c>
      <c r="B3069">
        <f>IF($C3069="","","C"&amp;TEXT(INT((ROW()-5)/9)+1,"000")&amp;"-2")</f>
        <v/>
      </c>
      <c r="C3069">
        <f>IF(OR(Registro_Compras!$C$344="",Registro_Compras!$O$344=""),"","79/791")</f>
        <v/>
      </c>
      <c r="D3069">
        <f>IF(OR(Registro_Compras!$C$344="",Registro_Compras!$O$344=""),"","Cargas Imputables a Cuentas de Costos y Gastos")</f>
        <v/>
      </c>
      <c r="E3069" s="20">
        <f>IF($C3069="","",IF(Registro_Compras!$F$344="NOTA DE CREDITO",ROUND(ABS(Registro_Compras!$J$344*Registro_Compras!$N$344),2),""))</f>
        <v/>
      </c>
      <c r="F3069" s="20">
        <f>IF($C3069="","",IF(Registro_Compras!$F$344="NOTA DE CREDITO","",IF(Registro_Compras!$F$344="RHE",ROUND(Registro_Compras!$L$344*Registro_Compras!$N$344,2),ROUND(Registro_Compras!$J$344*Registro_Compras!$N$344,2))))</f>
        <v/>
      </c>
      <c r="G3069">
        <f>IF($C3069="","","Por el destino del gasto")</f>
        <v/>
      </c>
      <c r="H3069">
        <f>IF($C3069="","",Registro_Compras!$C$344)</f>
        <v/>
      </c>
    </row>
    <row r="3070">
      <c r="A3070" s="25">
        <f>IF($C3070="","",Registro_Compras!$X$344)</f>
        <v/>
      </c>
      <c r="B3070">
        <f>IF($C3070="","","C"&amp;TEXT(INT((ROW()-5)/9)+1,"000")&amp;"-3")</f>
        <v/>
      </c>
      <c r="C3070">
        <f>IF(OR(Registro_Compras!$C$344="",Registro_Compras!$O$344="",Registro_Compras!$R$344&lt;&gt;"SI",Registro_Compras!$X$344=""),"","4212")</f>
        <v/>
      </c>
      <c r="D3070">
        <f>IF(OR(Registro_Compras!$C$344="",Registro_Compras!$O$344=""),"","Cuentas por Pagar Comerciales - Terceros")</f>
        <v/>
      </c>
      <c r="E3070" s="20">
        <f>IF($C3070="","",Registro_Compras!$S$344)</f>
        <v/>
      </c>
      <c r="F3070" s="20">
        <f>""</f>
        <v/>
      </c>
      <c r="G3070">
        <f>IF($C3070="","","Por el deposito de la detraccion en el Banco de la Nacion")</f>
        <v/>
      </c>
      <c r="H3070">
        <f>IF($C3070="","",Registro_Compras!$C$344)</f>
        <v/>
      </c>
    </row>
    <row r="3071">
      <c r="A3071" s="25">
        <f>IF($C3071="","",Registro_Compras!$X$344)</f>
        <v/>
      </c>
      <c r="B3071">
        <f>IF($C3071="","","C"&amp;TEXT(INT((ROW()-5)/9)+1,"000")&amp;"-3")</f>
        <v/>
      </c>
      <c r="C3071">
        <f>IF(OR(Registro_Compras!$C$344="",Registro_Compras!$O$344="",Registro_Compras!$R$344&lt;&gt;"SI",Registro_Compras!$X$344=""),"","10413")</f>
        <v/>
      </c>
      <c r="D3071">
        <f>IF(OR(Registro_Compras!$C$344="",Registro_Compras!$O$344=""),"","Efectivo y Equivalentes - Cta. Cte. Operativa")</f>
        <v/>
      </c>
      <c r="E3071" s="20">
        <f>""</f>
        <v/>
      </c>
      <c r="F3071" s="20">
        <f>IF($C3071="","",Registro_Compras!$S$344)</f>
        <v/>
      </c>
      <c r="G3071">
        <f>IF($C3071="","","Por el deposito de la detraccion en el Banco de la Nacion")</f>
        <v/>
      </c>
      <c r="H3071">
        <f>IF($C3071="","",Registro_Compras!$C$344)</f>
        <v/>
      </c>
    </row>
    <row r="3072">
      <c r="A3072" s="25">
        <f>IF($C3072="","",Registro_Compras!$Y$344)</f>
        <v/>
      </c>
      <c r="B3072">
        <f>IF($C3072="","","C"&amp;TEXT(INT((ROW()-5)/9)+1,"000")&amp;"-4")</f>
        <v/>
      </c>
      <c r="C3072">
        <f>IF(OR(Registro_Compras!$C$344="",Registro_Compras!$O$344="",Registro_Compras!$Y$344="",Registro_Compras!$F$344="NOTA DE CREDITO"),"","4212")</f>
        <v/>
      </c>
      <c r="D3072">
        <f>IF(OR(Registro_Compras!$C$344="",Registro_Compras!$O$344=""),"","Cuentas por Pagar Comerciales - Terceros")</f>
        <v/>
      </c>
      <c r="E3072" s="20">
        <f>IF($C3072="","",IF(Registro_Compras!$F$344="RHE",(ROUND(Registro_Compras!$L$344*Registro_Compras!$N$344,2)-ROUND(Registro_Compras!$V$344*Registro_Compras!$N$344,2)),ROUND(Registro_Compras!$O$344-Registro_Compras!$S$344,2)))</f>
        <v/>
      </c>
      <c r="F3072" s="20">
        <f>""</f>
        <v/>
      </c>
      <c r="G3072">
        <f>IF($C3072="","","Por la cancelacion del saldo al proveedor")</f>
        <v/>
      </c>
      <c r="H3072">
        <f>IF($C3072="","",Registro_Compras!$C$344)</f>
        <v/>
      </c>
    </row>
    <row r="3073">
      <c r="A3073" s="25">
        <f>IF($C3073="","",Registro_Compras!$Y$344)</f>
        <v/>
      </c>
      <c r="B3073">
        <f>IF($C3073="","","C"&amp;TEXT(INT((ROW()-5)/9)+1,"000")&amp;"-4")</f>
        <v/>
      </c>
      <c r="C3073">
        <f>IF(OR(Registro_Compras!$C$344="",Registro_Compras!$O$344="",Registro_Compras!$Y$344="",Registro_Compras!$F$344="NOTA DE CREDITO"),"","10413")</f>
        <v/>
      </c>
      <c r="D3073">
        <f>IF(OR(Registro_Compras!$C$344="",Registro_Compras!$O$344=""),"","Efectivo y Equivalentes - Cta. Cte. Operativa")</f>
        <v/>
      </c>
      <c r="E3073" s="20">
        <f>""</f>
        <v/>
      </c>
      <c r="F3073" s="20">
        <f>IF($C3073="","",IF(Registro_Compras!$F$344="RHE",(ROUND(Registro_Compras!$L$344*Registro_Compras!$N$344,2)-ROUND(Registro_Compras!$V$344*Registro_Compras!$N$344,2)),ROUND(Registro_Compras!$O$344-Registro_Compras!$S$344,2)))</f>
        <v/>
      </c>
      <c r="G3073">
        <f>IF($C3073="","","Por la cancelacion del saldo al proveedor")</f>
        <v/>
      </c>
      <c r="H3073">
        <f>IF($C3073="","",Registro_Compras!$C$344)</f>
        <v/>
      </c>
    </row>
    <row r="3074">
      <c r="A3074" s="25">
        <f>IF($C3074="","",Registro_Compras!$B$345)</f>
        <v/>
      </c>
      <c r="B3074">
        <f>IF($C3074="","","C"&amp;TEXT(INT((ROW()-5)/9)+1,"000")&amp;"-1")</f>
        <v/>
      </c>
      <c r="C3074">
        <f>IF(OR(Registro_Compras!$C$345="",Registro_Compras!$O$345=""),"",IF(Registro_Compras!$F$345="NOTA DE CREDITO","4212",IF(Registro_Compras!$M$345="","63",Registro_Compras!$M$345)))</f>
        <v/>
      </c>
      <c r="D3074">
        <f>IF(OR(Registro_Compras!$C$345="",Registro_Compras!$O$345=""),"",IF(Registro_Compras!$F$345="NOTA DE CREDITO","Cuentas por Pagar Comerciales - Terceros (Emitidas)",IF(Registro_Compras!$F$345="RHE","Honorarios Profesionales - Servicios de Terceros","Gastos de Servicios Prestados por Terceros")))</f>
        <v/>
      </c>
      <c r="E3074" s="20">
        <f>IF($C3074="","",IF(Registro_Compras!$F$345="NOTA DE CREDITO",ABS(Registro_Compras!$O$345),IF(Registro_Compras!$F$345="RHE",ROUND(Registro_Compras!$L$345*Registro_Compras!$N$345,2),ROUND(Registro_Compras!$J$345*Registro_Compras!$N$345,2))))</f>
        <v/>
      </c>
      <c r="F3074" s="20">
        <f>""</f>
        <v/>
      </c>
      <c r="G3074">
        <f>IF($C3074="","",IF(Registro_Compras!$F$345="NOTA DE CREDITO","Por la nota de credito "&amp;Registro_Compras!$C$345&amp;" de "&amp;Registro_Compras!$E$345&amp;" [PATRON POR CONFIRMAR CON CONTADOR]",IF(Registro_Compras!$F$345="RHE","Por el registro del recibo por honorarios "&amp;Registro_Compras!$C$345&amp;" de "&amp;Registro_Compras!$E$345&amp;" [PATRON POR CONFIRMAR CON CONTADOR]","Por el registro de la factura "&amp;Registro_Compras!$C$345&amp;" de "&amp;Registro_Compras!$E$345)))</f>
        <v/>
      </c>
      <c r="H3074">
        <f>IF($C3074="","",Registro_Compras!$C$345)</f>
        <v/>
      </c>
    </row>
    <row r="3075">
      <c r="A3075" s="25">
        <f>IF($C3075="","",Registro_Compras!$B$345)</f>
        <v/>
      </c>
      <c r="B3075">
        <f>IF($C3075="","","C"&amp;TEXT(INT((ROW()-5)/9)+1,"000")&amp;"-1")</f>
        <v/>
      </c>
      <c r="C3075">
        <f>IF(OR(Registro_Compras!$C$345="",Registro_Compras!$O$345=""),"",IF(Registro_Compras!$F$345="RHE",IF(Registro_Compras!$V$345=0,"","40172"),IF(Registro_Compras!$F$345="NOTA DE CREDITO",IF(Registro_Compras!$M$345="","63",Registro_Compras!$M$345),IF(Registro_Compras!$K$345=0,"","40111"))))</f>
        <v/>
      </c>
      <c r="D3075">
        <f>IF(OR(Registro_Compras!$C$345="",Registro_Compras!$O$345=""),"",IF(Registro_Compras!$F$345="RHE","Retencion Renta 4ta Categoria por Pagar",IF(Registro_Compras!$F$345="NOTA DE CREDITO","Gastos de Servicios Prestados por Terceros","IGV - Cuenta Propia (Credito Fiscal)")))</f>
        <v/>
      </c>
      <c r="E3075" s="20">
        <f>IF($C3075="","",IF(Registro_Compras!$F$345="FACTURA",ROUND(Registro_Compras!$K$345*Registro_Compras!$N$345,2),""))</f>
        <v/>
      </c>
      <c r="F3075" s="20">
        <f>IF($C3075="","",IF(Registro_Compras!$F$345="RHE",ROUND(Registro_Compras!$V$345*Registro_Compras!$N$345,2),IF(Registro_Compras!$F$345="NOTA DE CREDITO",ROUND(ABS(Registro_Compras!$J$345*Registro_Compras!$N$345),2),"")))</f>
        <v/>
      </c>
      <c r="G3075">
        <f>IF($C3075="","",IF(Registro_Compras!$F$345="NOTA DE CREDITO","Por la nota de credito "&amp;Registro_Compras!$C$345&amp;" de "&amp;Registro_Compras!$E$345&amp;" [PATRON POR CONFIRMAR CON CONTADOR]",IF(Registro_Compras!$F$345="RHE","Por el registro del recibo por honorarios "&amp;Registro_Compras!$C$345&amp;" de "&amp;Registro_Compras!$E$345&amp;" [PATRON POR CONFIRMAR CON CONTADOR]","Por el registro de la factura "&amp;Registro_Compras!$C$345&amp;" de "&amp;Registro_Compras!$E$345)))</f>
        <v/>
      </c>
      <c r="H3075">
        <f>IF($C3075="","",Registro_Compras!$C$345)</f>
        <v/>
      </c>
    </row>
    <row r="3076">
      <c r="A3076" s="25">
        <f>IF($C3076="","",Registro_Compras!$B$345)</f>
        <v/>
      </c>
      <c r="B3076">
        <f>IF($C3076="","","C"&amp;TEXT(INT((ROW()-5)/9)+1,"000")&amp;"-1")</f>
        <v/>
      </c>
      <c r="C3076">
        <f>IF(OR(Registro_Compras!$C$345="",Registro_Compras!$O$345=""),"",IF(Registro_Compras!$F$345="NOTA DE CREDITO",IF(Registro_Compras!$K$345=0,"","40111"),"4212"))</f>
        <v/>
      </c>
      <c r="D3076">
        <f>IF(OR(Registro_Compras!$C$345="",Registro_Compras!$O$345=""),"",IF(Registro_Compras!$F$345="NOTA DE CREDITO","IGV - Cuenta Propia (Credito Fiscal)","Cuentas por Pagar Comerciales - Terceros (Emitidas)"))</f>
        <v/>
      </c>
      <c r="E3076" s="20">
        <f>""</f>
        <v/>
      </c>
      <c r="F3076" s="20">
        <f>IF($C3076="","",IF(Registro_Compras!$F$345="NOTA DE CREDITO",ROUND(ABS(Registro_Compras!$K$345*Registro_Compras!$N$345),2),IF(Registro_Compras!$F$345="RHE",(ROUND(Registro_Compras!$L$345*Registro_Compras!$N$345,2)-ROUND(Registro_Compras!$V$345*Registro_Compras!$N$345,2)),Registro_Compras!$O$345)))</f>
        <v/>
      </c>
      <c r="G3076">
        <f>IF($C3076="","",IF(Registro_Compras!$F$345="NOTA DE CREDITO","Por la nota de credito "&amp;Registro_Compras!$C$345&amp;" de "&amp;Registro_Compras!$E$345&amp;" [PATRON POR CONFIRMAR CON CONTADOR]",IF(Registro_Compras!$F$345="RHE","Por el registro del recibo por honorarios "&amp;Registro_Compras!$C$345&amp;" de "&amp;Registro_Compras!$E$345&amp;" [PATRON POR CONFIRMAR CON CONTADOR]","Por el registro de la factura "&amp;Registro_Compras!$C$345&amp;" de "&amp;Registro_Compras!$E$345)))</f>
        <v/>
      </c>
      <c r="H3076">
        <f>IF($C3076="","",Registro_Compras!$C$345)</f>
        <v/>
      </c>
    </row>
    <row r="3077">
      <c r="A3077" s="25">
        <f>IF($C3077="","",Registro_Compras!$B$345)</f>
        <v/>
      </c>
      <c r="B3077">
        <f>IF($C3077="","","C"&amp;TEXT(INT((ROW()-5)/9)+1,"000")&amp;"-2")</f>
        <v/>
      </c>
      <c r="C3077">
        <f>IF(OR(Registro_Compras!$C$345="",Registro_Compras!$O$345=""),"",IF(Registro_Compras!$AB$345="ADMINISTRATIVO","94","95"))</f>
        <v/>
      </c>
      <c r="D3077">
        <f>IF(OR(Registro_Compras!$C$345="",Registro_Compras!$O$345=""),"",IF(Registro_Compras!$AB$345="ADMINISTRATIVO","Gastos Administrativos","Gastos de Venta y Operacion"))</f>
        <v/>
      </c>
      <c r="E3077" s="20">
        <f>IF($C3077="","",IF(Registro_Compras!$F$345="NOTA DE CREDITO","",IF(Registro_Compras!$F$345="RHE",ROUND(Registro_Compras!$L$345*Registro_Compras!$N$345,2),ROUND(Registro_Compras!$J$345*Registro_Compras!$N$345,2))))</f>
        <v/>
      </c>
      <c r="F3077" s="20">
        <f>IF($C3077="","",IF(Registro_Compras!$F$345="NOTA DE CREDITO",ROUND(ABS(Registro_Compras!$J$345*Registro_Compras!$N$345),2),""))</f>
        <v/>
      </c>
      <c r="G3077">
        <f>IF($C3077="","","Por el destino del gasto")</f>
        <v/>
      </c>
      <c r="H3077">
        <f>IF($C3077="","",Registro_Compras!$C$345)</f>
        <v/>
      </c>
    </row>
    <row r="3078">
      <c r="A3078" s="25">
        <f>IF($C3078="","",Registro_Compras!$B$345)</f>
        <v/>
      </c>
      <c r="B3078">
        <f>IF($C3078="","","C"&amp;TEXT(INT((ROW()-5)/9)+1,"000")&amp;"-2")</f>
        <v/>
      </c>
      <c r="C3078">
        <f>IF(OR(Registro_Compras!$C$345="",Registro_Compras!$O$345=""),"","79/791")</f>
        <v/>
      </c>
      <c r="D3078">
        <f>IF(OR(Registro_Compras!$C$345="",Registro_Compras!$O$345=""),"","Cargas Imputables a Cuentas de Costos y Gastos")</f>
        <v/>
      </c>
      <c r="E3078" s="20">
        <f>IF($C3078="","",IF(Registro_Compras!$F$345="NOTA DE CREDITO",ROUND(ABS(Registro_Compras!$J$345*Registro_Compras!$N$345),2),""))</f>
        <v/>
      </c>
      <c r="F3078" s="20">
        <f>IF($C3078="","",IF(Registro_Compras!$F$345="NOTA DE CREDITO","",IF(Registro_Compras!$F$345="RHE",ROUND(Registro_Compras!$L$345*Registro_Compras!$N$345,2),ROUND(Registro_Compras!$J$345*Registro_Compras!$N$345,2))))</f>
        <v/>
      </c>
      <c r="G3078">
        <f>IF($C3078="","","Por el destino del gasto")</f>
        <v/>
      </c>
      <c r="H3078">
        <f>IF($C3078="","",Registro_Compras!$C$345)</f>
        <v/>
      </c>
    </row>
    <row r="3079">
      <c r="A3079" s="25">
        <f>IF($C3079="","",Registro_Compras!$X$345)</f>
        <v/>
      </c>
      <c r="B3079">
        <f>IF($C3079="","","C"&amp;TEXT(INT((ROW()-5)/9)+1,"000")&amp;"-3")</f>
        <v/>
      </c>
      <c r="C3079">
        <f>IF(OR(Registro_Compras!$C$345="",Registro_Compras!$O$345="",Registro_Compras!$R$345&lt;&gt;"SI",Registro_Compras!$X$345=""),"","4212")</f>
        <v/>
      </c>
      <c r="D3079">
        <f>IF(OR(Registro_Compras!$C$345="",Registro_Compras!$O$345=""),"","Cuentas por Pagar Comerciales - Terceros")</f>
        <v/>
      </c>
      <c r="E3079" s="20">
        <f>IF($C3079="","",Registro_Compras!$S$345)</f>
        <v/>
      </c>
      <c r="F3079" s="20">
        <f>""</f>
        <v/>
      </c>
      <c r="G3079">
        <f>IF($C3079="","","Por el deposito de la detraccion en el Banco de la Nacion")</f>
        <v/>
      </c>
      <c r="H3079">
        <f>IF($C3079="","",Registro_Compras!$C$345)</f>
        <v/>
      </c>
    </row>
    <row r="3080">
      <c r="A3080" s="25">
        <f>IF($C3080="","",Registro_Compras!$X$345)</f>
        <v/>
      </c>
      <c r="B3080">
        <f>IF($C3080="","","C"&amp;TEXT(INT((ROW()-5)/9)+1,"000")&amp;"-3")</f>
        <v/>
      </c>
      <c r="C3080">
        <f>IF(OR(Registro_Compras!$C$345="",Registro_Compras!$O$345="",Registro_Compras!$R$345&lt;&gt;"SI",Registro_Compras!$X$345=""),"","10413")</f>
        <v/>
      </c>
      <c r="D3080">
        <f>IF(OR(Registro_Compras!$C$345="",Registro_Compras!$O$345=""),"","Efectivo y Equivalentes - Cta. Cte. Operativa")</f>
        <v/>
      </c>
      <c r="E3080" s="20">
        <f>""</f>
        <v/>
      </c>
      <c r="F3080" s="20">
        <f>IF($C3080="","",Registro_Compras!$S$345)</f>
        <v/>
      </c>
      <c r="G3080">
        <f>IF($C3080="","","Por el deposito de la detraccion en el Banco de la Nacion")</f>
        <v/>
      </c>
      <c r="H3080">
        <f>IF($C3080="","",Registro_Compras!$C$345)</f>
        <v/>
      </c>
    </row>
    <row r="3081">
      <c r="A3081" s="25">
        <f>IF($C3081="","",Registro_Compras!$Y$345)</f>
        <v/>
      </c>
      <c r="B3081">
        <f>IF($C3081="","","C"&amp;TEXT(INT((ROW()-5)/9)+1,"000")&amp;"-4")</f>
        <v/>
      </c>
      <c r="C3081">
        <f>IF(OR(Registro_Compras!$C$345="",Registro_Compras!$O$345="",Registro_Compras!$Y$345="",Registro_Compras!$F$345="NOTA DE CREDITO"),"","4212")</f>
        <v/>
      </c>
      <c r="D3081">
        <f>IF(OR(Registro_Compras!$C$345="",Registro_Compras!$O$345=""),"","Cuentas por Pagar Comerciales - Terceros")</f>
        <v/>
      </c>
      <c r="E3081" s="20">
        <f>IF($C3081="","",IF(Registro_Compras!$F$345="RHE",(ROUND(Registro_Compras!$L$345*Registro_Compras!$N$345,2)-ROUND(Registro_Compras!$V$345*Registro_Compras!$N$345,2)),ROUND(Registro_Compras!$O$345-Registro_Compras!$S$345,2)))</f>
        <v/>
      </c>
      <c r="F3081" s="20">
        <f>""</f>
        <v/>
      </c>
      <c r="G3081">
        <f>IF($C3081="","","Por la cancelacion del saldo al proveedor")</f>
        <v/>
      </c>
      <c r="H3081">
        <f>IF($C3081="","",Registro_Compras!$C$345)</f>
        <v/>
      </c>
    </row>
    <row r="3082">
      <c r="A3082" s="25">
        <f>IF($C3082="","",Registro_Compras!$Y$345)</f>
        <v/>
      </c>
      <c r="B3082">
        <f>IF($C3082="","","C"&amp;TEXT(INT((ROW()-5)/9)+1,"000")&amp;"-4")</f>
        <v/>
      </c>
      <c r="C3082">
        <f>IF(OR(Registro_Compras!$C$345="",Registro_Compras!$O$345="",Registro_Compras!$Y$345="",Registro_Compras!$F$345="NOTA DE CREDITO"),"","10413")</f>
        <v/>
      </c>
      <c r="D3082">
        <f>IF(OR(Registro_Compras!$C$345="",Registro_Compras!$O$345=""),"","Efectivo y Equivalentes - Cta. Cte. Operativa")</f>
        <v/>
      </c>
      <c r="E3082" s="20">
        <f>""</f>
        <v/>
      </c>
      <c r="F3082" s="20">
        <f>IF($C3082="","",IF(Registro_Compras!$F$345="RHE",(ROUND(Registro_Compras!$L$345*Registro_Compras!$N$345,2)-ROUND(Registro_Compras!$V$345*Registro_Compras!$N$345,2)),ROUND(Registro_Compras!$O$345-Registro_Compras!$S$345,2)))</f>
        <v/>
      </c>
      <c r="G3082">
        <f>IF($C3082="","","Por la cancelacion del saldo al proveedor")</f>
        <v/>
      </c>
      <c r="H3082">
        <f>IF($C3082="","",Registro_Compras!$C$345)</f>
        <v/>
      </c>
    </row>
    <row r="3083">
      <c r="A3083" s="25">
        <f>IF($C3083="","",Registro_Compras!$B$346)</f>
        <v/>
      </c>
      <c r="B3083">
        <f>IF($C3083="","","C"&amp;TEXT(INT((ROW()-5)/9)+1,"000")&amp;"-1")</f>
        <v/>
      </c>
      <c r="C3083">
        <f>IF(OR(Registro_Compras!$C$346="",Registro_Compras!$O$346=""),"",IF(Registro_Compras!$F$346="NOTA DE CREDITO","4212",IF(Registro_Compras!$M$346="","63",Registro_Compras!$M$346)))</f>
        <v/>
      </c>
      <c r="D3083">
        <f>IF(OR(Registro_Compras!$C$346="",Registro_Compras!$O$346=""),"",IF(Registro_Compras!$F$346="NOTA DE CREDITO","Cuentas por Pagar Comerciales - Terceros (Emitidas)",IF(Registro_Compras!$F$346="RHE","Honorarios Profesionales - Servicios de Terceros","Gastos de Servicios Prestados por Terceros")))</f>
        <v/>
      </c>
      <c r="E3083" s="20">
        <f>IF($C3083="","",IF(Registro_Compras!$F$346="NOTA DE CREDITO",ABS(Registro_Compras!$O$346),IF(Registro_Compras!$F$346="RHE",ROUND(Registro_Compras!$L$346*Registro_Compras!$N$346,2),ROUND(Registro_Compras!$J$346*Registro_Compras!$N$346,2))))</f>
        <v/>
      </c>
      <c r="F3083" s="20">
        <f>""</f>
        <v/>
      </c>
      <c r="G3083">
        <f>IF($C3083="","",IF(Registro_Compras!$F$346="NOTA DE CREDITO","Por la nota de credito "&amp;Registro_Compras!$C$346&amp;" de "&amp;Registro_Compras!$E$346&amp;" [PATRON POR CONFIRMAR CON CONTADOR]",IF(Registro_Compras!$F$346="RHE","Por el registro del recibo por honorarios "&amp;Registro_Compras!$C$346&amp;" de "&amp;Registro_Compras!$E$346&amp;" [PATRON POR CONFIRMAR CON CONTADOR]","Por el registro de la factura "&amp;Registro_Compras!$C$346&amp;" de "&amp;Registro_Compras!$E$346)))</f>
        <v/>
      </c>
      <c r="H3083">
        <f>IF($C3083="","",Registro_Compras!$C$346)</f>
        <v/>
      </c>
    </row>
    <row r="3084">
      <c r="A3084" s="25">
        <f>IF($C3084="","",Registro_Compras!$B$346)</f>
        <v/>
      </c>
      <c r="B3084">
        <f>IF($C3084="","","C"&amp;TEXT(INT((ROW()-5)/9)+1,"000")&amp;"-1")</f>
        <v/>
      </c>
      <c r="C3084">
        <f>IF(OR(Registro_Compras!$C$346="",Registro_Compras!$O$346=""),"",IF(Registro_Compras!$F$346="RHE",IF(Registro_Compras!$V$346=0,"","40172"),IF(Registro_Compras!$F$346="NOTA DE CREDITO",IF(Registro_Compras!$M$346="","63",Registro_Compras!$M$346),IF(Registro_Compras!$K$346=0,"","40111"))))</f>
        <v/>
      </c>
      <c r="D3084">
        <f>IF(OR(Registro_Compras!$C$346="",Registro_Compras!$O$346=""),"",IF(Registro_Compras!$F$346="RHE","Retencion Renta 4ta Categoria por Pagar",IF(Registro_Compras!$F$346="NOTA DE CREDITO","Gastos de Servicios Prestados por Terceros","IGV - Cuenta Propia (Credito Fiscal)")))</f>
        <v/>
      </c>
      <c r="E3084" s="20">
        <f>IF($C3084="","",IF(Registro_Compras!$F$346="FACTURA",ROUND(Registro_Compras!$K$346*Registro_Compras!$N$346,2),""))</f>
        <v/>
      </c>
      <c r="F3084" s="20">
        <f>IF($C3084="","",IF(Registro_Compras!$F$346="RHE",ROUND(Registro_Compras!$V$346*Registro_Compras!$N$346,2),IF(Registro_Compras!$F$346="NOTA DE CREDITO",ROUND(ABS(Registro_Compras!$J$346*Registro_Compras!$N$346),2),"")))</f>
        <v/>
      </c>
      <c r="G3084">
        <f>IF($C3084="","",IF(Registro_Compras!$F$346="NOTA DE CREDITO","Por la nota de credito "&amp;Registro_Compras!$C$346&amp;" de "&amp;Registro_Compras!$E$346&amp;" [PATRON POR CONFIRMAR CON CONTADOR]",IF(Registro_Compras!$F$346="RHE","Por el registro del recibo por honorarios "&amp;Registro_Compras!$C$346&amp;" de "&amp;Registro_Compras!$E$346&amp;" [PATRON POR CONFIRMAR CON CONTADOR]","Por el registro de la factura "&amp;Registro_Compras!$C$346&amp;" de "&amp;Registro_Compras!$E$346)))</f>
        <v/>
      </c>
      <c r="H3084">
        <f>IF($C3084="","",Registro_Compras!$C$346)</f>
        <v/>
      </c>
    </row>
    <row r="3085">
      <c r="A3085" s="25">
        <f>IF($C3085="","",Registro_Compras!$B$346)</f>
        <v/>
      </c>
      <c r="B3085">
        <f>IF($C3085="","","C"&amp;TEXT(INT((ROW()-5)/9)+1,"000")&amp;"-1")</f>
        <v/>
      </c>
      <c r="C3085">
        <f>IF(OR(Registro_Compras!$C$346="",Registro_Compras!$O$346=""),"",IF(Registro_Compras!$F$346="NOTA DE CREDITO",IF(Registro_Compras!$K$346=0,"","40111"),"4212"))</f>
        <v/>
      </c>
      <c r="D3085">
        <f>IF(OR(Registro_Compras!$C$346="",Registro_Compras!$O$346=""),"",IF(Registro_Compras!$F$346="NOTA DE CREDITO","IGV - Cuenta Propia (Credito Fiscal)","Cuentas por Pagar Comerciales - Terceros (Emitidas)"))</f>
        <v/>
      </c>
      <c r="E3085" s="20">
        <f>""</f>
        <v/>
      </c>
      <c r="F3085" s="20">
        <f>IF($C3085="","",IF(Registro_Compras!$F$346="NOTA DE CREDITO",ROUND(ABS(Registro_Compras!$K$346*Registro_Compras!$N$346),2),IF(Registro_Compras!$F$346="RHE",(ROUND(Registro_Compras!$L$346*Registro_Compras!$N$346,2)-ROUND(Registro_Compras!$V$346*Registro_Compras!$N$346,2)),Registro_Compras!$O$346)))</f>
        <v/>
      </c>
      <c r="G3085">
        <f>IF($C3085="","",IF(Registro_Compras!$F$346="NOTA DE CREDITO","Por la nota de credito "&amp;Registro_Compras!$C$346&amp;" de "&amp;Registro_Compras!$E$346&amp;" [PATRON POR CONFIRMAR CON CONTADOR]",IF(Registro_Compras!$F$346="RHE","Por el registro del recibo por honorarios "&amp;Registro_Compras!$C$346&amp;" de "&amp;Registro_Compras!$E$346&amp;" [PATRON POR CONFIRMAR CON CONTADOR]","Por el registro de la factura "&amp;Registro_Compras!$C$346&amp;" de "&amp;Registro_Compras!$E$346)))</f>
        <v/>
      </c>
      <c r="H3085">
        <f>IF($C3085="","",Registro_Compras!$C$346)</f>
        <v/>
      </c>
    </row>
    <row r="3086">
      <c r="A3086" s="25">
        <f>IF($C3086="","",Registro_Compras!$B$346)</f>
        <v/>
      </c>
      <c r="B3086">
        <f>IF($C3086="","","C"&amp;TEXT(INT((ROW()-5)/9)+1,"000")&amp;"-2")</f>
        <v/>
      </c>
      <c r="C3086">
        <f>IF(OR(Registro_Compras!$C$346="",Registro_Compras!$O$346=""),"",IF(Registro_Compras!$AB$346="ADMINISTRATIVO","94","95"))</f>
        <v/>
      </c>
      <c r="D3086">
        <f>IF(OR(Registro_Compras!$C$346="",Registro_Compras!$O$346=""),"",IF(Registro_Compras!$AB$346="ADMINISTRATIVO","Gastos Administrativos","Gastos de Venta y Operacion"))</f>
        <v/>
      </c>
      <c r="E3086" s="20">
        <f>IF($C3086="","",IF(Registro_Compras!$F$346="NOTA DE CREDITO","",IF(Registro_Compras!$F$346="RHE",ROUND(Registro_Compras!$L$346*Registro_Compras!$N$346,2),ROUND(Registro_Compras!$J$346*Registro_Compras!$N$346,2))))</f>
        <v/>
      </c>
      <c r="F3086" s="20">
        <f>IF($C3086="","",IF(Registro_Compras!$F$346="NOTA DE CREDITO",ROUND(ABS(Registro_Compras!$J$346*Registro_Compras!$N$346),2),""))</f>
        <v/>
      </c>
      <c r="G3086">
        <f>IF($C3086="","","Por el destino del gasto")</f>
        <v/>
      </c>
      <c r="H3086">
        <f>IF($C3086="","",Registro_Compras!$C$346)</f>
        <v/>
      </c>
    </row>
    <row r="3087">
      <c r="A3087" s="25">
        <f>IF($C3087="","",Registro_Compras!$B$346)</f>
        <v/>
      </c>
      <c r="B3087">
        <f>IF($C3087="","","C"&amp;TEXT(INT((ROW()-5)/9)+1,"000")&amp;"-2")</f>
        <v/>
      </c>
      <c r="C3087">
        <f>IF(OR(Registro_Compras!$C$346="",Registro_Compras!$O$346=""),"","79/791")</f>
        <v/>
      </c>
      <c r="D3087">
        <f>IF(OR(Registro_Compras!$C$346="",Registro_Compras!$O$346=""),"","Cargas Imputables a Cuentas de Costos y Gastos")</f>
        <v/>
      </c>
      <c r="E3087" s="20">
        <f>IF($C3087="","",IF(Registro_Compras!$F$346="NOTA DE CREDITO",ROUND(ABS(Registro_Compras!$J$346*Registro_Compras!$N$346),2),""))</f>
        <v/>
      </c>
      <c r="F3087" s="20">
        <f>IF($C3087="","",IF(Registro_Compras!$F$346="NOTA DE CREDITO","",IF(Registro_Compras!$F$346="RHE",ROUND(Registro_Compras!$L$346*Registro_Compras!$N$346,2),ROUND(Registro_Compras!$J$346*Registro_Compras!$N$346,2))))</f>
        <v/>
      </c>
      <c r="G3087">
        <f>IF($C3087="","","Por el destino del gasto")</f>
        <v/>
      </c>
      <c r="H3087">
        <f>IF($C3087="","",Registro_Compras!$C$346)</f>
        <v/>
      </c>
    </row>
    <row r="3088">
      <c r="A3088" s="25">
        <f>IF($C3088="","",Registro_Compras!$X$346)</f>
        <v/>
      </c>
      <c r="B3088">
        <f>IF($C3088="","","C"&amp;TEXT(INT((ROW()-5)/9)+1,"000")&amp;"-3")</f>
        <v/>
      </c>
      <c r="C3088">
        <f>IF(OR(Registro_Compras!$C$346="",Registro_Compras!$O$346="",Registro_Compras!$R$346&lt;&gt;"SI",Registro_Compras!$X$346=""),"","4212")</f>
        <v/>
      </c>
      <c r="D3088">
        <f>IF(OR(Registro_Compras!$C$346="",Registro_Compras!$O$346=""),"","Cuentas por Pagar Comerciales - Terceros")</f>
        <v/>
      </c>
      <c r="E3088" s="20">
        <f>IF($C3088="","",Registro_Compras!$S$346)</f>
        <v/>
      </c>
      <c r="F3088" s="20">
        <f>""</f>
        <v/>
      </c>
      <c r="G3088">
        <f>IF($C3088="","","Por el deposito de la detraccion en el Banco de la Nacion")</f>
        <v/>
      </c>
      <c r="H3088">
        <f>IF($C3088="","",Registro_Compras!$C$346)</f>
        <v/>
      </c>
    </row>
    <row r="3089">
      <c r="A3089" s="25">
        <f>IF($C3089="","",Registro_Compras!$X$346)</f>
        <v/>
      </c>
      <c r="B3089">
        <f>IF($C3089="","","C"&amp;TEXT(INT((ROW()-5)/9)+1,"000")&amp;"-3")</f>
        <v/>
      </c>
      <c r="C3089">
        <f>IF(OR(Registro_Compras!$C$346="",Registro_Compras!$O$346="",Registro_Compras!$R$346&lt;&gt;"SI",Registro_Compras!$X$346=""),"","10413")</f>
        <v/>
      </c>
      <c r="D3089">
        <f>IF(OR(Registro_Compras!$C$346="",Registro_Compras!$O$346=""),"","Efectivo y Equivalentes - Cta. Cte. Operativa")</f>
        <v/>
      </c>
      <c r="E3089" s="20">
        <f>""</f>
        <v/>
      </c>
      <c r="F3089" s="20">
        <f>IF($C3089="","",Registro_Compras!$S$346)</f>
        <v/>
      </c>
      <c r="G3089">
        <f>IF($C3089="","","Por el deposito de la detraccion en el Banco de la Nacion")</f>
        <v/>
      </c>
      <c r="H3089">
        <f>IF($C3089="","",Registro_Compras!$C$346)</f>
        <v/>
      </c>
    </row>
    <row r="3090">
      <c r="A3090" s="25">
        <f>IF($C3090="","",Registro_Compras!$Y$346)</f>
        <v/>
      </c>
      <c r="B3090">
        <f>IF($C3090="","","C"&amp;TEXT(INT((ROW()-5)/9)+1,"000")&amp;"-4")</f>
        <v/>
      </c>
      <c r="C3090">
        <f>IF(OR(Registro_Compras!$C$346="",Registro_Compras!$O$346="",Registro_Compras!$Y$346="",Registro_Compras!$F$346="NOTA DE CREDITO"),"","4212")</f>
        <v/>
      </c>
      <c r="D3090">
        <f>IF(OR(Registro_Compras!$C$346="",Registro_Compras!$O$346=""),"","Cuentas por Pagar Comerciales - Terceros")</f>
        <v/>
      </c>
      <c r="E3090" s="20">
        <f>IF($C3090="","",IF(Registro_Compras!$F$346="RHE",(ROUND(Registro_Compras!$L$346*Registro_Compras!$N$346,2)-ROUND(Registro_Compras!$V$346*Registro_Compras!$N$346,2)),ROUND(Registro_Compras!$O$346-Registro_Compras!$S$346,2)))</f>
        <v/>
      </c>
      <c r="F3090" s="20">
        <f>""</f>
        <v/>
      </c>
      <c r="G3090">
        <f>IF($C3090="","","Por la cancelacion del saldo al proveedor")</f>
        <v/>
      </c>
      <c r="H3090">
        <f>IF($C3090="","",Registro_Compras!$C$346)</f>
        <v/>
      </c>
    </row>
    <row r="3091">
      <c r="A3091" s="25">
        <f>IF($C3091="","",Registro_Compras!$Y$346)</f>
        <v/>
      </c>
      <c r="B3091">
        <f>IF($C3091="","","C"&amp;TEXT(INT((ROW()-5)/9)+1,"000")&amp;"-4")</f>
        <v/>
      </c>
      <c r="C3091">
        <f>IF(OR(Registro_Compras!$C$346="",Registro_Compras!$O$346="",Registro_Compras!$Y$346="",Registro_Compras!$F$346="NOTA DE CREDITO"),"","10413")</f>
        <v/>
      </c>
      <c r="D3091">
        <f>IF(OR(Registro_Compras!$C$346="",Registro_Compras!$O$346=""),"","Efectivo y Equivalentes - Cta. Cte. Operativa")</f>
        <v/>
      </c>
      <c r="E3091" s="20">
        <f>""</f>
        <v/>
      </c>
      <c r="F3091" s="20">
        <f>IF($C3091="","",IF(Registro_Compras!$F$346="RHE",(ROUND(Registro_Compras!$L$346*Registro_Compras!$N$346,2)-ROUND(Registro_Compras!$V$346*Registro_Compras!$N$346,2)),ROUND(Registro_Compras!$O$346-Registro_Compras!$S$346,2)))</f>
        <v/>
      </c>
      <c r="G3091">
        <f>IF($C3091="","","Por la cancelacion del saldo al proveedor")</f>
        <v/>
      </c>
      <c r="H3091">
        <f>IF($C3091="","",Registro_Compras!$C$346)</f>
        <v/>
      </c>
    </row>
    <row r="3092">
      <c r="A3092" s="25">
        <f>IF($C3092="","",Registro_Compras!$B$347)</f>
        <v/>
      </c>
      <c r="B3092">
        <f>IF($C3092="","","C"&amp;TEXT(INT((ROW()-5)/9)+1,"000")&amp;"-1")</f>
        <v/>
      </c>
      <c r="C3092">
        <f>IF(OR(Registro_Compras!$C$347="",Registro_Compras!$O$347=""),"",IF(Registro_Compras!$F$347="NOTA DE CREDITO","4212",IF(Registro_Compras!$M$347="","63",Registro_Compras!$M$347)))</f>
        <v/>
      </c>
      <c r="D3092">
        <f>IF(OR(Registro_Compras!$C$347="",Registro_Compras!$O$347=""),"",IF(Registro_Compras!$F$347="NOTA DE CREDITO","Cuentas por Pagar Comerciales - Terceros (Emitidas)",IF(Registro_Compras!$F$347="RHE","Honorarios Profesionales - Servicios de Terceros","Gastos de Servicios Prestados por Terceros")))</f>
        <v/>
      </c>
      <c r="E3092" s="20">
        <f>IF($C3092="","",IF(Registro_Compras!$F$347="NOTA DE CREDITO",ABS(Registro_Compras!$O$347),IF(Registro_Compras!$F$347="RHE",ROUND(Registro_Compras!$L$347*Registro_Compras!$N$347,2),ROUND(Registro_Compras!$J$347*Registro_Compras!$N$347,2))))</f>
        <v/>
      </c>
      <c r="F3092" s="20">
        <f>""</f>
        <v/>
      </c>
      <c r="G3092">
        <f>IF($C3092="","",IF(Registro_Compras!$F$347="NOTA DE CREDITO","Por la nota de credito "&amp;Registro_Compras!$C$347&amp;" de "&amp;Registro_Compras!$E$347&amp;" [PATRON POR CONFIRMAR CON CONTADOR]",IF(Registro_Compras!$F$347="RHE","Por el registro del recibo por honorarios "&amp;Registro_Compras!$C$347&amp;" de "&amp;Registro_Compras!$E$347&amp;" [PATRON POR CONFIRMAR CON CONTADOR]","Por el registro de la factura "&amp;Registro_Compras!$C$347&amp;" de "&amp;Registro_Compras!$E$347)))</f>
        <v/>
      </c>
      <c r="H3092">
        <f>IF($C3092="","",Registro_Compras!$C$347)</f>
        <v/>
      </c>
    </row>
    <row r="3093">
      <c r="A3093" s="25">
        <f>IF($C3093="","",Registro_Compras!$B$347)</f>
        <v/>
      </c>
      <c r="B3093">
        <f>IF($C3093="","","C"&amp;TEXT(INT((ROW()-5)/9)+1,"000")&amp;"-1")</f>
        <v/>
      </c>
      <c r="C3093">
        <f>IF(OR(Registro_Compras!$C$347="",Registro_Compras!$O$347=""),"",IF(Registro_Compras!$F$347="RHE",IF(Registro_Compras!$V$347=0,"","40172"),IF(Registro_Compras!$F$347="NOTA DE CREDITO",IF(Registro_Compras!$M$347="","63",Registro_Compras!$M$347),IF(Registro_Compras!$K$347=0,"","40111"))))</f>
        <v/>
      </c>
      <c r="D3093">
        <f>IF(OR(Registro_Compras!$C$347="",Registro_Compras!$O$347=""),"",IF(Registro_Compras!$F$347="RHE","Retencion Renta 4ta Categoria por Pagar",IF(Registro_Compras!$F$347="NOTA DE CREDITO","Gastos de Servicios Prestados por Terceros","IGV - Cuenta Propia (Credito Fiscal)")))</f>
        <v/>
      </c>
      <c r="E3093" s="20">
        <f>IF($C3093="","",IF(Registro_Compras!$F$347="FACTURA",ROUND(Registro_Compras!$K$347*Registro_Compras!$N$347,2),""))</f>
        <v/>
      </c>
      <c r="F3093" s="20">
        <f>IF($C3093="","",IF(Registro_Compras!$F$347="RHE",ROUND(Registro_Compras!$V$347*Registro_Compras!$N$347,2),IF(Registro_Compras!$F$347="NOTA DE CREDITO",ROUND(ABS(Registro_Compras!$J$347*Registro_Compras!$N$347),2),"")))</f>
        <v/>
      </c>
      <c r="G3093">
        <f>IF($C3093="","",IF(Registro_Compras!$F$347="NOTA DE CREDITO","Por la nota de credito "&amp;Registro_Compras!$C$347&amp;" de "&amp;Registro_Compras!$E$347&amp;" [PATRON POR CONFIRMAR CON CONTADOR]",IF(Registro_Compras!$F$347="RHE","Por el registro del recibo por honorarios "&amp;Registro_Compras!$C$347&amp;" de "&amp;Registro_Compras!$E$347&amp;" [PATRON POR CONFIRMAR CON CONTADOR]","Por el registro de la factura "&amp;Registro_Compras!$C$347&amp;" de "&amp;Registro_Compras!$E$347)))</f>
        <v/>
      </c>
      <c r="H3093">
        <f>IF($C3093="","",Registro_Compras!$C$347)</f>
        <v/>
      </c>
    </row>
    <row r="3094">
      <c r="A3094" s="25">
        <f>IF($C3094="","",Registro_Compras!$B$347)</f>
        <v/>
      </c>
      <c r="B3094">
        <f>IF($C3094="","","C"&amp;TEXT(INT((ROW()-5)/9)+1,"000")&amp;"-1")</f>
        <v/>
      </c>
      <c r="C3094">
        <f>IF(OR(Registro_Compras!$C$347="",Registro_Compras!$O$347=""),"",IF(Registro_Compras!$F$347="NOTA DE CREDITO",IF(Registro_Compras!$K$347=0,"","40111"),"4212"))</f>
        <v/>
      </c>
      <c r="D3094">
        <f>IF(OR(Registro_Compras!$C$347="",Registro_Compras!$O$347=""),"",IF(Registro_Compras!$F$347="NOTA DE CREDITO","IGV - Cuenta Propia (Credito Fiscal)","Cuentas por Pagar Comerciales - Terceros (Emitidas)"))</f>
        <v/>
      </c>
      <c r="E3094" s="20">
        <f>""</f>
        <v/>
      </c>
      <c r="F3094" s="20">
        <f>IF($C3094="","",IF(Registro_Compras!$F$347="NOTA DE CREDITO",ROUND(ABS(Registro_Compras!$K$347*Registro_Compras!$N$347),2),IF(Registro_Compras!$F$347="RHE",(ROUND(Registro_Compras!$L$347*Registro_Compras!$N$347,2)-ROUND(Registro_Compras!$V$347*Registro_Compras!$N$347,2)),Registro_Compras!$O$347)))</f>
        <v/>
      </c>
      <c r="G3094">
        <f>IF($C3094="","",IF(Registro_Compras!$F$347="NOTA DE CREDITO","Por la nota de credito "&amp;Registro_Compras!$C$347&amp;" de "&amp;Registro_Compras!$E$347&amp;" [PATRON POR CONFIRMAR CON CONTADOR]",IF(Registro_Compras!$F$347="RHE","Por el registro del recibo por honorarios "&amp;Registro_Compras!$C$347&amp;" de "&amp;Registro_Compras!$E$347&amp;" [PATRON POR CONFIRMAR CON CONTADOR]","Por el registro de la factura "&amp;Registro_Compras!$C$347&amp;" de "&amp;Registro_Compras!$E$347)))</f>
        <v/>
      </c>
      <c r="H3094">
        <f>IF($C3094="","",Registro_Compras!$C$347)</f>
        <v/>
      </c>
    </row>
    <row r="3095">
      <c r="A3095" s="25">
        <f>IF($C3095="","",Registro_Compras!$B$347)</f>
        <v/>
      </c>
      <c r="B3095">
        <f>IF($C3095="","","C"&amp;TEXT(INT((ROW()-5)/9)+1,"000")&amp;"-2")</f>
        <v/>
      </c>
      <c r="C3095">
        <f>IF(OR(Registro_Compras!$C$347="",Registro_Compras!$O$347=""),"",IF(Registro_Compras!$AB$347="ADMINISTRATIVO","94","95"))</f>
        <v/>
      </c>
      <c r="D3095">
        <f>IF(OR(Registro_Compras!$C$347="",Registro_Compras!$O$347=""),"",IF(Registro_Compras!$AB$347="ADMINISTRATIVO","Gastos Administrativos","Gastos de Venta y Operacion"))</f>
        <v/>
      </c>
      <c r="E3095" s="20">
        <f>IF($C3095="","",IF(Registro_Compras!$F$347="NOTA DE CREDITO","",IF(Registro_Compras!$F$347="RHE",ROUND(Registro_Compras!$L$347*Registro_Compras!$N$347,2),ROUND(Registro_Compras!$J$347*Registro_Compras!$N$347,2))))</f>
        <v/>
      </c>
      <c r="F3095" s="20">
        <f>IF($C3095="","",IF(Registro_Compras!$F$347="NOTA DE CREDITO",ROUND(ABS(Registro_Compras!$J$347*Registro_Compras!$N$347),2),""))</f>
        <v/>
      </c>
      <c r="G3095">
        <f>IF($C3095="","","Por el destino del gasto")</f>
        <v/>
      </c>
      <c r="H3095">
        <f>IF($C3095="","",Registro_Compras!$C$347)</f>
        <v/>
      </c>
    </row>
    <row r="3096">
      <c r="A3096" s="25">
        <f>IF($C3096="","",Registro_Compras!$B$347)</f>
        <v/>
      </c>
      <c r="B3096">
        <f>IF($C3096="","","C"&amp;TEXT(INT((ROW()-5)/9)+1,"000")&amp;"-2")</f>
        <v/>
      </c>
      <c r="C3096">
        <f>IF(OR(Registro_Compras!$C$347="",Registro_Compras!$O$347=""),"","79/791")</f>
        <v/>
      </c>
      <c r="D3096">
        <f>IF(OR(Registro_Compras!$C$347="",Registro_Compras!$O$347=""),"","Cargas Imputables a Cuentas de Costos y Gastos")</f>
        <v/>
      </c>
      <c r="E3096" s="20">
        <f>IF($C3096="","",IF(Registro_Compras!$F$347="NOTA DE CREDITO",ROUND(ABS(Registro_Compras!$J$347*Registro_Compras!$N$347),2),""))</f>
        <v/>
      </c>
      <c r="F3096" s="20">
        <f>IF($C3096="","",IF(Registro_Compras!$F$347="NOTA DE CREDITO","",IF(Registro_Compras!$F$347="RHE",ROUND(Registro_Compras!$L$347*Registro_Compras!$N$347,2),ROUND(Registro_Compras!$J$347*Registro_Compras!$N$347,2))))</f>
        <v/>
      </c>
      <c r="G3096">
        <f>IF($C3096="","","Por el destino del gasto")</f>
        <v/>
      </c>
      <c r="H3096">
        <f>IF($C3096="","",Registro_Compras!$C$347)</f>
        <v/>
      </c>
    </row>
    <row r="3097">
      <c r="A3097" s="25">
        <f>IF($C3097="","",Registro_Compras!$X$347)</f>
        <v/>
      </c>
      <c r="B3097">
        <f>IF($C3097="","","C"&amp;TEXT(INT((ROW()-5)/9)+1,"000")&amp;"-3")</f>
        <v/>
      </c>
      <c r="C3097">
        <f>IF(OR(Registro_Compras!$C$347="",Registro_Compras!$O$347="",Registro_Compras!$R$347&lt;&gt;"SI",Registro_Compras!$X$347=""),"","4212")</f>
        <v/>
      </c>
      <c r="D3097">
        <f>IF(OR(Registro_Compras!$C$347="",Registro_Compras!$O$347=""),"","Cuentas por Pagar Comerciales - Terceros")</f>
        <v/>
      </c>
      <c r="E3097" s="20">
        <f>IF($C3097="","",Registro_Compras!$S$347)</f>
        <v/>
      </c>
      <c r="F3097" s="20">
        <f>""</f>
        <v/>
      </c>
      <c r="G3097">
        <f>IF($C3097="","","Por el deposito de la detraccion en el Banco de la Nacion")</f>
        <v/>
      </c>
      <c r="H3097">
        <f>IF($C3097="","",Registro_Compras!$C$347)</f>
        <v/>
      </c>
    </row>
    <row r="3098">
      <c r="A3098" s="25">
        <f>IF($C3098="","",Registro_Compras!$X$347)</f>
        <v/>
      </c>
      <c r="B3098">
        <f>IF($C3098="","","C"&amp;TEXT(INT((ROW()-5)/9)+1,"000")&amp;"-3")</f>
        <v/>
      </c>
      <c r="C3098">
        <f>IF(OR(Registro_Compras!$C$347="",Registro_Compras!$O$347="",Registro_Compras!$R$347&lt;&gt;"SI",Registro_Compras!$X$347=""),"","10413")</f>
        <v/>
      </c>
      <c r="D3098">
        <f>IF(OR(Registro_Compras!$C$347="",Registro_Compras!$O$347=""),"","Efectivo y Equivalentes - Cta. Cte. Operativa")</f>
        <v/>
      </c>
      <c r="E3098" s="20">
        <f>""</f>
        <v/>
      </c>
      <c r="F3098" s="20">
        <f>IF($C3098="","",Registro_Compras!$S$347)</f>
        <v/>
      </c>
      <c r="G3098">
        <f>IF($C3098="","","Por el deposito de la detraccion en el Banco de la Nacion")</f>
        <v/>
      </c>
      <c r="H3098">
        <f>IF($C3098="","",Registro_Compras!$C$347)</f>
        <v/>
      </c>
    </row>
    <row r="3099">
      <c r="A3099" s="25">
        <f>IF($C3099="","",Registro_Compras!$Y$347)</f>
        <v/>
      </c>
      <c r="B3099">
        <f>IF($C3099="","","C"&amp;TEXT(INT((ROW()-5)/9)+1,"000")&amp;"-4")</f>
        <v/>
      </c>
      <c r="C3099">
        <f>IF(OR(Registro_Compras!$C$347="",Registro_Compras!$O$347="",Registro_Compras!$Y$347="",Registro_Compras!$F$347="NOTA DE CREDITO"),"","4212")</f>
        <v/>
      </c>
      <c r="D3099">
        <f>IF(OR(Registro_Compras!$C$347="",Registro_Compras!$O$347=""),"","Cuentas por Pagar Comerciales - Terceros")</f>
        <v/>
      </c>
      <c r="E3099" s="20">
        <f>IF($C3099="","",IF(Registro_Compras!$F$347="RHE",(ROUND(Registro_Compras!$L$347*Registro_Compras!$N$347,2)-ROUND(Registro_Compras!$V$347*Registro_Compras!$N$347,2)),ROUND(Registro_Compras!$O$347-Registro_Compras!$S$347,2)))</f>
        <v/>
      </c>
      <c r="F3099" s="20">
        <f>""</f>
        <v/>
      </c>
      <c r="G3099">
        <f>IF($C3099="","","Por la cancelacion del saldo al proveedor")</f>
        <v/>
      </c>
      <c r="H3099">
        <f>IF($C3099="","",Registro_Compras!$C$347)</f>
        <v/>
      </c>
    </row>
    <row r="3100">
      <c r="A3100" s="25">
        <f>IF($C3100="","",Registro_Compras!$Y$347)</f>
        <v/>
      </c>
      <c r="B3100">
        <f>IF($C3100="","","C"&amp;TEXT(INT((ROW()-5)/9)+1,"000")&amp;"-4")</f>
        <v/>
      </c>
      <c r="C3100">
        <f>IF(OR(Registro_Compras!$C$347="",Registro_Compras!$O$347="",Registro_Compras!$Y$347="",Registro_Compras!$F$347="NOTA DE CREDITO"),"","10413")</f>
        <v/>
      </c>
      <c r="D3100">
        <f>IF(OR(Registro_Compras!$C$347="",Registro_Compras!$O$347=""),"","Efectivo y Equivalentes - Cta. Cte. Operativa")</f>
        <v/>
      </c>
      <c r="E3100" s="20">
        <f>""</f>
        <v/>
      </c>
      <c r="F3100" s="20">
        <f>IF($C3100="","",IF(Registro_Compras!$F$347="RHE",(ROUND(Registro_Compras!$L$347*Registro_Compras!$N$347,2)-ROUND(Registro_Compras!$V$347*Registro_Compras!$N$347,2)),ROUND(Registro_Compras!$O$347-Registro_Compras!$S$347,2)))</f>
        <v/>
      </c>
      <c r="G3100">
        <f>IF($C3100="","","Por la cancelacion del saldo al proveedor")</f>
        <v/>
      </c>
      <c r="H3100">
        <f>IF($C3100="","",Registro_Compras!$C$347)</f>
        <v/>
      </c>
    </row>
    <row r="3101">
      <c r="A3101" s="25">
        <f>IF($C3101="","",Registro_Compras!$B$348)</f>
        <v/>
      </c>
      <c r="B3101">
        <f>IF($C3101="","","C"&amp;TEXT(INT((ROW()-5)/9)+1,"000")&amp;"-1")</f>
        <v/>
      </c>
      <c r="C3101">
        <f>IF(OR(Registro_Compras!$C$348="",Registro_Compras!$O$348=""),"",IF(Registro_Compras!$F$348="NOTA DE CREDITO","4212",IF(Registro_Compras!$M$348="","63",Registro_Compras!$M$348)))</f>
        <v/>
      </c>
      <c r="D3101">
        <f>IF(OR(Registro_Compras!$C$348="",Registro_Compras!$O$348=""),"",IF(Registro_Compras!$F$348="NOTA DE CREDITO","Cuentas por Pagar Comerciales - Terceros (Emitidas)",IF(Registro_Compras!$F$348="RHE","Honorarios Profesionales - Servicios de Terceros","Gastos de Servicios Prestados por Terceros")))</f>
        <v/>
      </c>
      <c r="E3101" s="20">
        <f>IF($C3101="","",IF(Registro_Compras!$F$348="NOTA DE CREDITO",ABS(Registro_Compras!$O$348),IF(Registro_Compras!$F$348="RHE",ROUND(Registro_Compras!$L$348*Registro_Compras!$N$348,2),ROUND(Registro_Compras!$J$348*Registro_Compras!$N$348,2))))</f>
        <v/>
      </c>
      <c r="F3101" s="20">
        <f>""</f>
        <v/>
      </c>
      <c r="G3101">
        <f>IF($C3101="","",IF(Registro_Compras!$F$348="NOTA DE CREDITO","Por la nota de credito "&amp;Registro_Compras!$C$348&amp;" de "&amp;Registro_Compras!$E$348&amp;" [PATRON POR CONFIRMAR CON CONTADOR]",IF(Registro_Compras!$F$348="RHE","Por el registro del recibo por honorarios "&amp;Registro_Compras!$C$348&amp;" de "&amp;Registro_Compras!$E$348&amp;" [PATRON POR CONFIRMAR CON CONTADOR]","Por el registro de la factura "&amp;Registro_Compras!$C$348&amp;" de "&amp;Registro_Compras!$E$348)))</f>
        <v/>
      </c>
      <c r="H3101">
        <f>IF($C3101="","",Registro_Compras!$C$348)</f>
        <v/>
      </c>
    </row>
    <row r="3102">
      <c r="A3102" s="25">
        <f>IF($C3102="","",Registro_Compras!$B$348)</f>
        <v/>
      </c>
      <c r="B3102">
        <f>IF($C3102="","","C"&amp;TEXT(INT((ROW()-5)/9)+1,"000")&amp;"-1")</f>
        <v/>
      </c>
      <c r="C3102">
        <f>IF(OR(Registro_Compras!$C$348="",Registro_Compras!$O$348=""),"",IF(Registro_Compras!$F$348="RHE",IF(Registro_Compras!$V$348=0,"","40172"),IF(Registro_Compras!$F$348="NOTA DE CREDITO",IF(Registro_Compras!$M$348="","63",Registro_Compras!$M$348),IF(Registro_Compras!$K$348=0,"","40111"))))</f>
        <v/>
      </c>
      <c r="D3102">
        <f>IF(OR(Registro_Compras!$C$348="",Registro_Compras!$O$348=""),"",IF(Registro_Compras!$F$348="RHE","Retencion Renta 4ta Categoria por Pagar",IF(Registro_Compras!$F$348="NOTA DE CREDITO","Gastos de Servicios Prestados por Terceros","IGV - Cuenta Propia (Credito Fiscal)")))</f>
        <v/>
      </c>
      <c r="E3102" s="20">
        <f>IF($C3102="","",IF(Registro_Compras!$F$348="FACTURA",ROUND(Registro_Compras!$K$348*Registro_Compras!$N$348,2),""))</f>
        <v/>
      </c>
      <c r="F3102" s="20">
        <f>IF($C3102="","",IF(Registro_Compras!$F$348="RHE",ROUND(Registro_Compras!$V$348*Registro_Compras!$N$348,2),IF(Registro_Compras!$F$348="NOTA DE CREDITO",ROUND(ABS(Registro_Compras!$J$348*Registro_Compras!$N$348),2),"")))</f>
        <v/>
      </c>
      <c r="G3102">
        <f>IF($C3102="","",IF(Registro_Compras!$F$348="NOTA DE CREDITO","Por la nota de credito "&amp;Registro_Compras!$C$348&amp;" de "&amp;Registro_Compras!$E$348&amp;" [PATRON POR CONFIRMAR CON CONTADOR]",IF(Registro_Compras!$F$348="RHE","Por el registro del recibo por honorarios "&amp;Registro_Compras!$C$348&amp;" de "&amp;Registro_Compras!$E$348&amp;" [PATRON POR CONFIRMAR CON CONTADOR]","Por el registro de la factura "&amp;Registro_Compras!$C$348&amp;" de "&amp;Registro_Compras!$E$348)))</f>
        <v/>
      </c>
      <c r="H3102">
        <f>IF($C3102="","",Registro_Compras!$C$348)</f>
        <v/>
      </c>
    </row>
    <row r="3103">
      <c r="A3103" s="25">
        <f>IF($C3103="","",Registro_Compras!$B$348)</f>
        <v/>
      </c>
      <c r="B3103">
        <f>IF($C3103="","","C"&amp;TEXT(INT((ROW()-5)/9)+1,"000")&amp;"-1")</f>
        <v/>
      </c>
      <c r="C3103">
        <f>IF(OR(Registro_Compras!$C$348="",Registro_Compras!$O$348=""),"",IF(Registro_Compras!$F$348="NOTA DE CREDITO",IF(Registro_Compras!$K$348=0,"","40111"),"4212"))</f>
        <v/>
      </c>
      <c r="D3103">
        <f>IF(OR(Registro_Compras!$C$348="",Registro_Compras!$O$348=""),"",IF(Registro_Compras!$F$348="NOTA DE CREDITO","IGV - Cuenta Propia (Credito Fiscal)","Cuentas por Pagar Comerciales - Terceros (Emitidas)"))</f>
        <v/>
      </c>
      <c r="E3103" s="20">
        <f>""</f>
        <v/>
      </c>
      <c r="F3103" s="20">
        <f>IF($C3103="","",IF(Registro_Compras!$F$348="NOTA DE CREDITO",ROUND(ABS(Registro_Compras!$K$348*Registro_Compras!$N$348),2),IF(Registro_Compras!$F$348="RHE",(ROUND(Registro_Compras!$L$348*Registro_Compras!$N$348,2)-ROUND(Registro_Compras!$V$348*Registro_Compras!$N$348,2)),Registro_Compras!$O$348)))</f>
        <v/>
      </c>
      <c r="G3103">
        <f>IF($C3103="","",IF(Registro_Compras!$F$348="NOTA DE CREDITO","Por la nota de credito "&amp;Registro_Compras!$C$348&amp;" de "&amp;Registro_Compras!$E$348&amp;" [PATRON POR CONFIRMAR CON CONTADOR]",IF(Registro_Compras!$F$348="RHE","Por el registro del recibo por honorarios "&amp;Registro_Compras!$C$348&amp;" de "&amp;Registro_Compras!$E$348&amp;" [PATRON POR CONFIRMAR CON CONTADOR]","Por el registro de la factura "&amp;Registro_Compras!$C$348&amp;" de "&amp;Registro_Compras!$E$348)))</f>
        <v/>
      </c>
      <c r="H3103">
        <f>IF($C3103="","",Registro_Compras!$C$348)</f>
        <v/>
      </c>
    </row>
    <row r="3104">
      <c r="A3104" s="25">
        <f>IF($C3104="","",Registro_Compras!$B$348)</f>
        <v/>
      </c>
      <c r="B3104">
        <f>IF($C3104="","","C"&amp;TEXT(INT((ROW()-5)/9)+1,"000")&amp;"-2")</f>
        <v/>
      </c>
      <c r="C3104">
        <f>IF(OR(Registro_Compras!$C$348="",Registro_Compras!$O$348=""),"",IF(Registro_Compras!$AB$348="ADMINISTRATIVO","94","95"))</f>
        <v/>
      </c>
      <c r="D3104">
        <f>IF(OR(Registro_Compras!$C$348="",Registro_Compras!$O$348=""),"",IF(Registro_Compras!$AB$348="ADMINISTRATIVO","Gastos Administrativos","Gastos de Venta y Operacion"))</f>
        <v/>
      </c>
      <c r="E3104" s="20">
        <f>IF($C3104="","",IF(Registro_Compras!$F$348="NOTA DE CREDITO","",IF(Registro_Compras!$F$348="RHE",ROUND(Registro_Compras!$L$348*Registro_Compras!$N$348,2),ROUND(Registro_Compras!$J$348*Registro_Compras!$N$348,2))))</f>
        <v/>
      </c>
      <c r="F3104" s="20">
        <f>IF($C3104="","",IF(Registro_Compras!$F$348="NOTA DE CREDITO",ROUND(ABS(Registro_Compras!$J$348*Registro_Compras!$N$348),2),""))</f>
        <v/>
      </c>
      <c r="G3104">
        <f>IF($C3104="","","Por el destino del gasto")</f>
        <v/>
      </c>
      <c r="H3104">
        <f>IF($C3104="","",Registro_Compras!$C$348)</f>
        <v/>
      </c>
    </row>
    <row r="3105">
      <c r="A3105" s="25">
        <f>IF($C3105="","",Registro_Compras!$B$348)</f>
        <v/>
      </c>
      <c r="B3105">
        <f>IF($C3105="","","C"&amp;TEXT(INT((ROW()-5)/9)+1,"000")&amp;"-2")</f>
        <v/>
      </c>
      <c r="C3105">
        <f>IF(OR(Registro_Compras!$C$348="",Registro_Compras!$O$348=""),"","79/791")</f>
        <v/>
      </c>
      <c r="D3105">
        <f>IF(OR(Registro_Compras!$C$348="",Registro_Compras!$O$348=""),"","Cargas Imputables a Cuentas de Costos y Gastos")</f>
        <v/>
      </c>
      <c r="E3105" s="20">
        <f>IF($C3105="","",IF(Registro_Compras!$F$348="NOTA DE CREDITO",ROUND(ABS(Registro_Compras!$J$348*Registro_Compras!$N$348),2),""))</f>
        <v/>
      </c>
      <c r="F3105" s="20">
        <f>IF($C3105="","",IF(Registro_Compras!$F$348="NOTA DE CREDITO","",IF(Registro_Compras!$F$348="RHE",ROUND(Registro_Compras!$L$348*Registro_Compras!$N$348,2),ROUND(Registro_Compras!$J$348*Registro_Compras!$N$348,2))))</f>
        <v/>
      </c>
      <c r="G3105">
        <f>IF($C3105="","","Por el destino del gasto")</f>
        <v/>
      </c>
      <c r="H3105">
        <f>IF($C3105="","",Registro_Compras!$C$348)</f>
        <v/>
      </c>
    </row>
    <row r="3106">
      <c r="A3106" s="25">
        <f>IF($C3106="","",Registro_Compras!$X$348)</f>
        <v/>
      </c>
      <c r="B3106">
        <f>IF($C3106="","","C"&amp;TEXT(INT((ROW()-5)/9)+1,"000")&amp;"-3")</f>
        <v/>
      </c>
      <c r="C3106">
        <f>IF(OR(Registro_Compras!$C$348="",Registro_Compras!$O$348="",Registro_Compras!$R$348&lt;&gt;"SI",Registro_Compras!$X$348=""),"","4212")</f>
        <v/>
      </c>
      <c r="D3106">
        <f>IF(OR(Registro_Compras!$C$348="",Registro_Compras!$O$348=""),"","Cuentas por Pagar Comerciales - Terceros")</f>
        <v/>
      </c>
      <c r="E3106" s="20">
        <f>IF($C3106="","",Registro_Compras!$S$348)</f>
        <v/>
      </c>
      <c r="F3106" s="20">
        <f>""</f>
        <v/>
      </c>
      <c r="G3106">
        <f>IF($C3106="","","Por el deposito de la detraccion en el Banco de la Nacion")</f>
        <v/>
      </c>
      <c r="H3106">
        <f>IF($C3106="","",Registro_Compras!$C$348)</f>
        <v/>
      </c>
    </row>
    <row r="3107">
      <c r="A3107" s="25">
        <f>IF($C3107="","",Registro_Compras!$X$348)</f>
        <v/>
      </c>
      <c r="B3107">
        <f>IF($C3107="","","C"&amp;TEXT(INT((ROW()-5)/9)+1,"000")&amp;"-3")</f>
        <v/>
      </c>
      <c r="C3107">
        <f>IF(OR(Registro_Compras!$C$348="",Registro_Compras!$O$348="",Registro_Compras!$R$348&lt;&gt;"SI",Registro_Compras!$X$348=""),"","10413")</f>
        <v/>
      </c>
      <c r="D3107">
        <f>IF(OR(Registro_Compras!$C$348="",Registro_Compras!$O$348=""),"","Efectivo y Equivalentes - Cta. Cte. Operativa")</f>
        <v/>
      </c>
      <c r="E3107" s="20">
        <f>""</f>
        <v/>
      </c>
      <c r="F3107" s="20">
        <f>IF($C3107="","",Registro_Compras!$S$348)</f>
        <v/>
      </c>
      <c r="G3107">
        <f>IF($C3107="","","Por el deposito de la detraccion en el Banco de la Nacion")</f>
        <v/>
      </c>
      <c r="H3107">
        <f>IF($C3107="","",Registro_Compras!$C$348)</f>
        <v/>
      </c>
    </row>
    <row r="3108">
      <c r="A3108" s="25">
        <f>IF($C3108="","",Registro_Compras!$Y$348)</f>
        <v/>
      </c>
      <c r="B3108">
        <f>IF($C3108="","","C"&amp;TEXT(INT((ROW()-5)/9)+1,"000")&amp;"-4")</f>
        <v/>
      </c>
      <c r="C3108">
        <f>IF(OR(Registro_Compras!$C$348="",Registro_Compras!$O$348="",Registro_Compras!$Y$348="",Registro_Compras!$F$348="NOTA DE CREDITO"),"","4212")</f>
        <v/>
      </c>
      <c r="D3108">
        <f>IF(OR(Registro_Compras!$C$348="",Registro_Compras!$O$348=""),"","Cuentas por Pagar Comerciales - Terceros")</f>
        <v/>
      </c>
      <c r="E3108" s="20">
        <f>IF($C3108="","",IF(Registro_Compras!$F$348="RHE",(ROUND(Registro_Compras!$L$348*Registro_Compras!$N$348,2)-ROUND(Registro_Compras!$V$348*Registro_Compras!$N$348,2)),ROUND(Registro_Compras!$O$348-Registro_Compras!$S$348,2)))</f>
        <v/>
      </c>
      <c r="F3108" s="20">
        <f>""</f>
        <v/>
      </c>
      <c r="G3108">
        <f>IF($C3108="","","Por la cancelacion del saldo al proveedor")</f>
        <v/>
      </c>
      <c r="H3108">
        <f>IF($C3108="","",Registro_Compras!$C$348)</f>
        <v/>
      </c>
    </row>
    <row r="3109">
      <c r="A3109" s="25">
        <f>IF($C3109="","",Registro_Compras!$Y$348)</f>
        <v/>
      </c>
      <c r="B3109">
        <f>IF($C3109="","","C"&amp;TEXT(INT((ROW()-5)/9)+1,"000")&amp;"-4")</f>
        <v/>
      </c>
      <c r="C3109">
        <f>IF(OR(Registro_Compras!$C$348="",Registro_Compras!$O$348="",Registro_Compras!$Y$348="",Registro_Compras!$F$348="NOTA DE CREDITO"),"","10413")</f>
        <v/>
      </c>
      <c r="D3109">
        <f>IF(OR(Registro_Compras!$C$348="",Registro_Compras!$O$348=""),"","Efectivo y Equivalentes - Cta. Cte. Operativa")</f>
        <v/>
      </c>
      <c r="E3109" s="20">
        <f>""</f>
        <v/>
      </c>
      <c r="F3109" s="20">
        <f>IF($C3109="","",IF(Registro_Compras!$F$348="RHE",(ROUND(Registro_Compras!$L$348*Registro_Compras!$N$348,2)-ROUND(Registro_Compras!$V$348*Registro_Compras!$N$348,2)),ROUND(Registro_Compras!$O$348-Registro_Compras!$S$348,2)))</f>
        <v/>
      </c>
      <c r="G3109">
        <f>IF($C3109="","","Por la cancelacion del saldo al proveedor")</f>
        <v/>
      </c>
      <c r="H3109">
        <f>IF($C3109="","",Registro_Compras!$C$348)</f>
        <v/>
      </c>
    </row>
    <row r="3110">
      <c r="A3110" s="25">
        <f>IF($C3110="","",Registro_Compras!$B$349)</f>
        <v/>
      </c>
      <c r="B3110">
        <f>IF($C3110="","","C"&amp;TEXT(INT((ROW()-5)/9)+1,"000")&amp;"-1")</f>
        <v/>
      </c>
      <c r="C3110">
        <f>IF(OR(Registro_Compras!$C$349="",Registro_Compras!$O$349=""),"",IF(Registro_Compras!$F$349="NOTA DE CREDITO","4212",IF(Registro_Compras!$M$349="","63",Registro_Compras!$M$349)))</f>
        <v/>
      </c>
      <c r="D3110">
        <f>IF(OR(Registro_Compras!$C$349="",Registro_Compras!$O$349=""),"",IF(Registro_Compras!$F$349="NOTA DE CREDITO","Cuentas por Pagar Comerciales - Terceros (Emitidas)",IF(Registro_Compras!$F$349="RHE","Honorarios Profesionales - Servicios de Terceros","Gastos de Servicios Prestados por Terceros")))</f>
        <v/>
      </c>
      <c r="E3110" s="20">
        <f>IF($C3110="","",IF(Registro_Compras!$F$349="NOTA DE CREDITO",ABS(Registro_Compras!$O$349),IF(Registro_Compras!$F$349="RHE",ROUND(Registro_Compras!$L$349*Registro_Compras!$N$349,2),ROUND(Registro_Compras!$J$349*Registro_Compras!$N$349,2))))</f>
        <v/>
      </c>
      <c r="F3110" s="20">
        <f>""</f>
        <v/>
      </c>
      <c r="G3110">
        <f>IF($C3110="","",IF(Registro_Compras!$F$349="NOTA DE CREDITO","Por la nota de credito "&amp;Registro_Compras!$C$349&amp;" de "&amp;Registro_Compras!$E$349&amp;" [PATRON POR CONFIRMAR CON CONTADOR]",IF(Registro_Compras!$F$349="RHE","Por el registro del recibo por honorarios "&amp;Registro_Compras!$C$349&amp;" de "&amp;Registro_Compras!$E$349&amp;" [PATRON POR CONFIRMAR CON CONTADOR]","Por el registro de la factura "&amp;Registro_Compras!$C$349&amp;" de "&amp;Registro_Compras!$E$349)))</f>
        <v/>
      </c>
      <c r="H3110">
        <f>IF($C3110="","",Registro_Compras!$C$349)</f>
        <v/>
      </c>
    </row>
    <row r="3111">
      <c r="A3111" s="25">
        <f>IF($C3111="","",Registro_Compras!$B$349)</f>
        <v/>
      </c>
      <c r="B3111">
        <f>IF($C3111="","","C"&amp;TEXT(INT((ROW()-5)/9)+1,"000")&amp;"-1")</f>
        <v/>
      </c>
      <c r="C3111">
        <f>IF(OR(Registro_Compras!$C$349="",Registro_Compras!$O$349=""),"",IF(Registro_Compras!$F$349="RHE",IF(Registro_Compras!$V$349=0,"","40172"),IF(Registro_Compras!$F$349="NOTA DE CREDITO",IF(Registro_Compras!$M$349="","63",Registro_Compras!$M$349),IF(Registro_Compras!$K$349=0,"","40111"))))</f>
        <v/>
      </c>
      <c r="D3111">
        <f>IF(OR(Registro_Compras!$C$349="",Registro_Compras!$O$349=""),"",IF(Registro_Compras!$F$349="RHE","Retencion Renta 4ta Categoria por Pagar",IF(Registro_Compras!$F$349="NOTA DE CREDITO","Gastos de Servicios Prestados por Terceros","IGV - Cuenta Propia (Credito Fiscal)")))</f>
        <v/>
      </c>
      <c r="E3111" s="20">
        <f>IF($C3111="","",IF(Registro_Compras!$F$349="FACTURA",ROUND(Registro_Compras!$K$349*Registro_Compras!$N$349,2),""))</f>
        <v/>
      </c>
      <c r="F3111" s="20">
        <f>IF($C3111="","",IF(Registro_Compras!$F$349="RHE",ROUND(Registro_Compras!$V$349*Registro_Compras!$N$349,2),IF(Registro_Compras!$F$349="NOTA DE CREDITO",ROUND(ABS(Registro_Compras!$J$349*Registro_Compras!$N$349),2),"")))</f>
        <v/>
      </c>
      <c r="G3111">
        <f>IF($C3111="","",IF(Registro_Compras!$F$349="NOTA DE CREDITO","Por la nota de credito "&amp;Registro_Compras!$C$349&amp;" de "&amp;Registro_Compras!$E$349&amp;" [PATRON POR CONFIRMAR CON CONTADOR]",IF(Registro_Compras!$F$349="RHE","Por el registro del recibo por honorarios "&amp;Registro_Compras!$C$349&amp;" de "&amp;Registro_Compras!$E$349&amp;" [PATRON POR CONFIRMAR CON CONTADOR]","Por el registro de la factura "&amp;Registro_Compras!$C$349&amp;" de "&amp;Registro_Compras!$E$349)))</f>
        <v/>
      </c>
      <c r="H3111">
        <f>IF($C3111="","",Registro_Compras!$C$349)</f>
        <v/>
      </c>
    </row>
    <row r="3112">
      <c r="A3112" s="25">
        <f>IF($C3112="","",Registro_Compras!$B$349)</f>
        <v/>
      </c>
      <c r="B3112">
        <f>IF($C3112="","","C"&amp;TEXT(INT((ROW()-5)/9)+1,"000")&amp;"-1")</f>
        <v/>
      </c>
      <c r="C3112">
        <f>IF(OR(Registro_Compras!$C$349="",Registro_Compras!$O$349=""),"",IF(Registro_Compras!$F$349="NOTA DE CREDITO",IF(Registro_Compras!$K$349=0,"","40111"),"4212"))</f>
        <v/>
      </c>
      <c r="D3112">
        <f>IF(OR(Registro_Compras!$C$349="",Registro_Compras!$O$349=""),"",IF(Registro_Compras!$F$349="NOTA DE CREDITO","IGV - Cuenta Propia (Credito Fiscal)","Cuentas por Pagar Comerciales - Terceros (Emitidas)"))</f>
        <v/>
      </c>
      <c r="E3112" s="20">
        <f>""</f>
        <v/>
      </c>
      <c r="F3112" s="20">
        <f>IF($C3112="","",IF(Registro_Compras!$F$349="NOTA DE CREDITO",ROUND(ABS(Registro_Compras!$K$349*Registro_Compras!$N$349),2),IF(Registro_Compras!$F$349="RHE",(ROUND(Registro_Compras!$L$349*Registro_Compras!$N$349,2)-ROUND(Registro_Compras!$V$349*Registro_Compras!$N$349,2)),Registro_Compras!$O$349)))</f>
        <v/>
      </c>
      <c r="G3112">
        <f>IF($C3112="","",IF(Registro_Compras!$F$349="NOTA DE CREDITO","Por la nota de credito "&amp;Registro_Compras!$C$349&amp;" de "&amp;Registro_Compras!$E$349&amp;" [PATRON POR CONFIRMAR CON CONTADOR]",IF(Registro_Compras!$F$349="RHE","Por el registro del recibo por honorarios "&amp;Registro_Compras!$C$349&amp;" de "&amp;Registro_Compras!$E$349&amp;" [PATRON POR CONFIRMAR CON CONTADOR]","Por el registro de la factura "&amp;Registro_Compras!$C$349&amp;" de "&amp;Registro_Compras!$E$349)))</f>
        <v/>
      </c>
      <c r="H3112">
        <f>IF($C3112="","",Registro_Compras!$C$349)</f>
        <v/>
      </c>
    </row>
    <row r="3113">
      <c r="A3113" s="25">
        <f>IF($C3113="","",Registro_Compras!$B$349)</f>
        <v/>
      </c>
      <c r="B3113">
        <f>IF($C3113="","","C"&amp;TEXT(INT((ROW()-5)/9)+1,"000")&amp;"-2")</f>
        <v/>
      </c>
      <c r="C3113">
        <f>IF(OR(Registro_Compras!$C$349="",Registro_Compras!$O$349=""),"",IF(Registro_Compras!$AB$349="ADMINISTRATIVO","94","95"))</f>
        <v/>
      </c>
      <c r="D3113">
        <f>IF(OR(Registro_Compras!$C$349="",Registro_Compras!$O$349=""),"",IF(Registro_Compras!$AB$349="ADMINISTRATIVO","Gastos Administrativos","Gastos de Venta y Operacion"))</f>
        <v/>
      </c>
      <c r="E3113" s="20">
        <f>IF($C3113="","",IF(Registro_Compras!$F$349="NOTA DE CREDITO","",IF(Registro_Compras!$F$349="RHE",ROUND(Registro_Compras!$L$349*Registro_Compras!$N$349,2),ROUND(Registro_Compras!$J$349*Registro_Compras!$N$349,2))))</f>
        <v/>
      </c>
      <c r="F3113" s="20">
        <f>IF($C3113="","",IF(Registro_Compras!$F$349="NOTA DE CREDITO",ROUND(ABS(Registro_Compras!$J$349*Registro_Compras!$N$349),2),""))</f>
        <v/>
      </c>
      <c r="G3113">
        <f>IF($C3113="","","Por el destino del gasto")</f>
        <v/>
      </c>
      <c r="H3113">
        <f>IF($C3113="","",Registro_Compras!$C$349)</f>
        <v/>
      </c>
    </row>
    <row r="3114">
      <c r="A3114" s="25">
        <f>IF($C3114="","",Registro_Compras!$B$349)</f>
        <v/>
      </c>
      <c r="B3114">
        <f>IF($C3114="","","C"&amp;TEXT(INT((ROW()-5)/9)+1,"000")&amp;"-2")</f>
        <v/>
      </c>
      <c r="C3114">
        <f>IF(OR(Registro_Compras!$C$349="",Registro_Compras!$O$349=""),"","79/791")</f>
        <v/>
      </c>
      <c r="D3114">
        <f>IF(OR(Registro_Compras!$C$349="",Registro_Compras!$O$349=""),"","Cargas Imputables a Cuentas de Costos y Gastos")</f>
        <v/>
      </c>
      <c r="E3114" s="20">
        <f>IF($C3114="","",IF(Registro_Compras!$F$349="NOTA DE CREDITO",ROUND(ABS(Registro_Compras!$J$349*Registro_Compras!$N$349),2),""))</f>
        <v/>
      </c>
      <c r="F3114" s="20">
        <f>IF($C3114="","",IF(Registro_Compras!$F$349="NOTA DE CREDITO","",IF(Registro_Compras!$F$349="RHE",ROUND(Registro_Compras!$L$349*Registro_Compras!$N$349,2),ROUND(Registro_Compras!$J$349*Registro_Compras!$N$349,2))))</f>
        <v/>
      </c>
      <c r="G3114">
        <f>IF($C3114="","","Por el destino del gasto")</f>
        <v/>
      </c>
      <c r="H3114">
        <f>IF($C3114="","",Registro_Compras!$C$349)</f>
        <v/>
      </c>
    </row>
    <row r="3115">
      <c r="A3115" s="25">
        <f>IF($C3115="","",Registro_Compras!$X$349)</f>
        <v/>
      </c>
      <c r="B3115">
        <f>IF($C3115="","","C"&amp;TEXT(INT((ROW()-5)/9)+1,"000")&amp;"-3")</f>
        <v/>
      </c>
      <c r="C3115">
        <f>IF(OR(Registro_Compras!$C$349="",Registro_Compras!$O$349="",Registro_Compras!$R$349&lt;&gt;"SI",Registro_Compras!$X$349=""),"","4212")</f>
        <v/>
      </c>
      <c r="D3115">
        <f>IF(OR(Registro_Compras!$C$349="",Registro_Compras!$O$349=""),"","Cuentas por Pagar Comerciales - Terceros")</f>
        <v/>
      </c>
      <c r="E3115" s="20">
        <f>IF($C3115="","",Registro_Compras!$S$349)</f>
        <v/>
      </c>
      <c r="F3115" s="20">
        <f>""</f>
        <v/>
      </c>
      <c r="G3115">
        <f>IF($C3115="","","Por el deposito de la detraccion en el Banco de la Nacion")</f>
        <v/>
      </c>
      <c r="H3115">
        <f>IF($C3115="","",Registro_Compras!$C$349)</f>
        <v/>
      </c>
    </row>
    <row r="3116">
      <c r="A3116" s="25">
        <f>IF($C3116="","",Registro_Compras!$X$349)</f>
        <v/>
      </c>
      <c r="B3116">
        <f>IF($C3116="","","C"&amp;TEXT(INT((ROW()-5)/9)+1,"000")&amp;"-3")</f>
        <v/>
      </c>
      <c r="C3116">
        <f>IF(OR(Registro_Compras!$C$349="",Registro_Compras!$O$349="",Registro_Compras!$R$349&lt;&gt;"SI",Registro_Compras!$X$349=""),"","10413")</f>
        <v/>
      </c>
      <c r="D3116">
        <f>IF(OR(Registro_Compras!$C$349="",Registro_Compras!$O$349=""),"","Efectivo y Equivalentes - Cta. Cte. Operativa")</f>
        <v/>
      </c>
      <c r="E3116" s="20">
        <f>""</f>
        <v/>
      </c>
      <c r="F3116" s="20">
        <f>IF($C3116="","",Registro_Compras!$S$349)</f>
        <v/>
      </c>
      <c r="G3116">
        <f>IF($C3116="","","Por el deposito de la detraccion en el Banco de la Nacion")</f>
        <v/>
      </c>
      <c r="H3116">
        <f>IF($C3116="","",Registro_Compras!$C$349)</f>
        <v/>
      </c>
    </row>
    <row r="3117">
      <c r="A3117" s="25">
        <f>IF($C3117="","",Registro_Compras!$Y$349)</f>
        <v/>
      </c>
      <c r="B3117">
        <f>IF($C3117="","","C"&amp;TEXT(INT((ROW()-5)/9)+1,"000")&amp;"-4")</f>
        <v/>
      </c>
      <c r="C3117">
        <f>IF(OR(Registro_Compras!$C$349="",Registro_Compras!$O$349="",Registro_Compras!$Y$349="",Registro_Compras!$F$349="NOTA DE CREDITO"),"","4212")</f>
        <v/>
      </c>
      <c r="D3117">
        <f>IF(OR(Registro_Compras!$C$349="",Registro_Compras!$O$349=""),"","Cuentas por Pagar Comerciales - Terceros")</f>
        <v/>
      </c>
      <c r="E3117" s="20">
        <f>IF($C3117="","",IF(Registro_Compras!$F$349="RHE",(ROUND(Registro_Compras!$L$349*Registro_Compras!$N$349,2)-ROUND(Registro_Compras!$V$349*Registro_Compras!$N$349,2)),ROUND(Registro_Compras!$O$349-Registro_Compras!$S$349,2)))</f>
        <v/>
      </c>
      <c r="F3117" s="20">
        <f>""</f>
        <v/>
      </c>
      <c r="G3117">
        <f>IF($C3117="","","Por la cancelacion del saldo al proveedor")</f>
        <v/>
      </c>
      <c r="H3117">
        <f>IF($C3117="","",Registro_Compras!$C$349)</f>
        <v/>
      </c>
    </row>
    <row r="3118">
      <c r="A3118" s="25">
        <f>IF($C3118="","",Registro_Compras!$Y$349)</f>
        <v/>
      </c>
      <c r="B3118">
        <f>IF($C3118="","","C"&amp;TEXT(INT((ROW()-5)/9)+1,"000")&amp;"-4")</f>
        <v/>
      </c>
      <c r="C3118">
        <f>IF(OR(Registro_Compras!$C$349="",Registro_Compras!$O$349="",Registro_Compras!$Y$349="",Registro_Compras!$F$349="NOTA DE CREDITO"),"","10413")</f>
        <v/>
      </c>
      <c r="D3118">
        <f>IF(OR(Registro_Compras!$C$349="",Registro_Compras!$O$349=""),"","Efectivo y Equivalentes - Cta. Cte. Operativa")</f>
        <v/>
      </c>
      <c r="E3118" s="20">
        <f>""</f>
        <v/>
      </c>
      <c r="F3118" s="20">
        <f>IF($C3118="","",IF(Registro_Compras!$F$349="RHE",(ROUND(Registro_Compras!$L$349*Registro_Compras!$N$349,2)-ROUND(Registro_Compras!$V$349*Registro_Compras!$N$349,2)),ROUND(Registro_Compras!$O$349-Registro_Compras!$S$349,2)))</f>
        <v/>
      </c>
      <c r="G3118">
        <f>IF($C3118="","","Por la cancelacion del saldo al proveedor")</f>
        <v/>
      </c>
      <c r="H3118">
        <f>IF($C3118="","",Registro_Compras!$C$349)</f>
        <v/>
      </c>
    </row>
    <row r="3119">
      <c r="A3119" s="25">
        <f>IF($C3119="","",Registro_Compras!$B$350)</f>
        <v/>
      </c>
      <c r="B3119">
        <f>IF($C3119="","","C"&amp;TEXT(INT((ROW()-5)/9)+1,"000")&amp;"-1")</f>
        <v/>
      </c>
      <c r="C3119">
        <f>IF(OR(Registro_Compras!$C$350="",Registro_Compras!$O$350=""),"",IF(Registro_Compras!$F$350="NOTA DE CREDITO","4212",IF(Registro_Compras!$M$350="","63",Registro_Compras!$M$350)))</f>
        <v/>
      </c>
      <c r="D3119">
        <f>IF(OR(Registro_Compras!$C$350="",Registro_Compras!$O$350=""),"",IF(Registro_Compras!$F$350="NOTA DE CREDITO","Cuentas por Pagar Comerciales - Terceros (Emitidas)",IF(Registro_Compras!$F$350="RHE","Honorarios Profesionales - Servicios de Terceros","Gastos de Servicios Prestados por Terceros")))</f>
        <v/>
      </c>
      <c r="E3119" s="20">
        <f>IF($C3119="","",IF(Registro_Compras!$F$350="NOTA DE CREDITO",ABS(Registro_Compras!$O$350),IF(Registro_Compras!$F$350="RHE",ROUND(Registro_Compras!$L$350*Registro_Compras!$N$350,2),ROUND(Registro_Compras!$J$350*Registro_Compras!$N$350,2))))</f>
        <v/>
      </c>
      <c r="F3119" s="20">
        <f>""</f>
        <v/>
      </c>
      <c r="G3119">
        <f>IF($C3119="","",IF(Registro_Compras!$F$350="NOTA DE CREDITO","Por la nota de credito "&amp;Registro_Compras!$C$350&amp;" de "&amp;Registro_Compras!$E$350&amp;" [PATRON POR CONFIRMAR CON CONTADOR]",IF(Registro_Compras!$F$350="RHE","Por el registro del recibo por honorarios "&amp;Registro_Compras!$C$350&amp;" de "&amp;Registro_Compras!$E$350&amp;" [PATRON POR CONFIRMAR CON CONTADOR]","Por el registro de la factura "&amp;Registro_Compras!$C$350&amp;" de "&amp;Registro_Compras!$E$350)))</f>
        <v/>
      </c>
      <c r="H3119">
        <f>IF($C3119="","",Registro_Compras!$C$350)</f>
        <v/>
      </c>
    </row>
    <row r="3120">
      <c r="A3120" s="25">
        <f>IF($C3120="","",Registro_Compras!$B$350)</f>
        <v/>
      </c>
      <c r="B3120">
        <f>IF($C3120="","","C"&amp;TEXT(INT((ROW()-5)/9)+1,"000")&amp;"-1")</f>
        <v/>
      </c>
      <c r="C3120">
        <f>IF(OR(Registro_Compras!$C$350="",Registro_Compras!$O$350=""),"",IF(Registro_Compras!$F$350="RHE",IF(Registro_Compras!$V$350=0,"","40172"),IF(Registro_Compras!$F$350="NOTA DE CREDITO",IF(Registro_Compras!$M$350="","63",Registro_Compras!$M$350),IF(Registro_Compras!$K$350=0,"","40111"))))</f>
        <v/>
      </c>
      <c r="D3120">
        <f>IF(OR(Registro_Compras!$C$350="",Registro_Compras!$O$350=""),"",IF(Registro_Compras!$F$350="RHE","Retencion Renta 4ta Categoria por Pagar",IF(Registro_Compras!$F$350="NOTA DE CREDITO","Gastos de Servicios Prestados por Terceros","IGV - Cuenta Propia (Credito Fiscal)")))</f>
        <v/>
      </c>
      <c r="E3120" s="20">
        <f>IF($C3120="","",IF(Registro_Compras!$F$350="FACTURA",ROUND(Registro_Compras!$K$350*Registro_Compras!$N$350,2),""))</f>
        <v/>
      </c>
      <c r="F3120" s="20">
        <f>IF($C3120="","",IF(Registro_Compras!$F$350="RHE",ROUND(Registro_Compras!$V$350*Registro_Compras!$N$350,2),IF(Registro_Compras!$F$350="NOTA DE CREDITO",ROUND(ABS(Registro_Compras!$J$350*Registro_Compras!$N$350),2),"")))</f>
        <v/>
      </c>
      <c r="G3120">
        <f>IF($C3120="","",IF(Registro_Compras!$F$350="NOTA DE CREDITO","Por la nota de credito "&amp;Registro_Compras!$C$350&amp;" de "&amp;Registro_Compras!$E$350&amp;" [PATRON POR CONFIRMAR CON CONTADOR]",IF(Registro_Compras!$F$350="RHE","Por el registro del recibo por honorarios "&amp;Registro_Compras!$C$350&amp;" de "&amp;Registro_Compras!$E$350&amp;" [PATRON POR CONFIRMAR CON CONTADOR]","Por el registro de la factura "&amp;Registro_Compras!$C$350&amp;" de "&amp;Registro_Compras!$E$350)))</f>
        <v/>
      </c>
      <c r="H3120">
        <f>IF($C3120="","",Registro_Compras!$C$350)</f>
        <v/>
      </c>
    </row>
    <row r="3121">
      <c r="A3121" s="25">
        <f>IF($C3121="","",Registro_Compras!$B$350)</f>
        <v/>
      </c>
      <c r="B3121">
        <f>IF($C3121="","","C"&amp;TEXT(INT((ROW()-5)/9)+1,"000")&amp;"-1")</f>
        <v/>
      </c>
      <c r="C3121">
        <f>IF(OR(Registro_Compras!$C$350="",Registro_Compras!$O$350=""),"",IF(Registro_Compras!$F$350="NOTA DE CREDITO",IF(Registro_Compras!$K$350=0,"","40111"),"4212"))</f>
        <v/>
      </c>
      <c r="D3121">
        <f>IF(OR(Registro_Compras!$C$350="",Registro_Compras!$O$350=""),"",IF(Registro_Compras!$F$350="NOTA DE CREDITO","IGV - Cuenta Propia (Credito Fiscal)","Cuentas por Pagar Comerciales - Terceros (Emitidas)"))</f>
        <v/>
      </c>
      <c r="E3121" s="20">
        <f>""</f>
        <v/>
      </c>
      <c r="F3121" s="20">
        <f>IF($C3121="","",IF(Registro_Compras!$F$350="NOTA DE CREDITO",ROUND(ABS(Registro_Compras!$K$350*Registro_Compras!$N$350),2),IF(Registro_Compras!$F$350="RHE",(ROUND(Registro_Compras!$L$350*Registro_Compras!$N$350,2)-ROUND(Registro_Compras!$V$350*Registro_Compras!$N$350,2)),Registro_Compras!$O$350)))</f>
        <v/>
      </c>
      <c r="G3121">
        <f>IF($C3121="","",IF(Registro_Compras!$F$350="NOTA DE CREDITO","Por la nota de credito "&amp;Registro_Compras!$C$350&amp;" de "&amp;Registro_Compras!$E$350&amp;" [PATRON POR CONFIRMAR CON CONTADOR]",IF(Registro_Compras!$F$350="RHE","Por el registro del recibo por honorarios "&amp;Registro_Compras!$C$350&amp;" de "&amp;Registro_Compras!$E$350&amp;" [PATRON POR CONFIRMAR CON CONTADOR]","Por el registro de la factura "&amp;Registro_Compras!$C$350&amp;" de "&amp;Registro_Compras!$E$350)))</f>
        <v/>
      </c>
      <c r="H3121">
        <f>IF($C3121="","",Registro_Compras!$C$350)</f>
        <v/>
      </c>
    </row>
    <row r="3122">
      <c r="A3122" s="25">
        <f>IF($C3122="","",Registro_Compras!$B$350)</f>
        <v/>
      </c>
      <c r="B3122">
        <f>IF($C3122="","","C"&amp;TEXT(INT((ROW()-5)/9)+1,"000")&amp;"-2")</f>
        <v/>
      </c>
      <c r="C3122">
        <f>IF(OR(Registro_Compras!$C$350="",Registro_Compras!$O$350=""),"",IF(Registro_Compras!$AB$350="ADMINISTRATIVO","94","95"))</f>
        <v/>
      </c>
      <c r="D3122">
        <f>IF(OR(Registro_Compras!$C$350="",Registro_Compras!$O$350=""),"",IF(Registro_Compras!$AB$350="ADMINISTRATIVO","Gastos Administrativos","Gastos de Venta y Operacion"))</f>
        <v/>
      </c>
      <c r="E3122" s="20">
        <f>IF($C3122="","",IF(Registro_Compras!$F$350="NOTA DE CREDITO","",IF(Registro_Compras!$F$350="RHE",ROUND(Registro_Compras!$L$350*Registro_Compras!$N$350,2),ROUND(Registro_Compras!$J$350*Registro_Compras!$N$350,2))))</f>
        <v/>
      </c>
      <c r="F3122" s="20">
        <f>IF($C3122="","",IF(Registro_Compras!$F$350="NOTA DE CREDITO",ROUND(ABS(Registro_Compras!$J$350*Registro_Compras!$N$350),2),""))</f>
        <v/>
      </c>
      <c r="G3122">
        <f>IF($C3122="","","Por el destino del gasto")</f>
        <v/>
      </c>
      <c r="H3122">
        <f>IF($C3122="","",Registro_Compras!$C$350)</f>
        <v/>
      </c>
    </row>
    <row r="3123">
      <c r="A3123" s="25">
        <f>IF($C3123="","",Registro_Compras!$B$350)</f>
        <v/>
      </c>
      <c r="B3123">
        <f>IF($C3123="","","C"&amp;TEXT(INT((ROW()-5)/9)+1,"000")&amp;"-2")</f>
        <v/>
      </c>
      <c r="C3123">
        <f>IF(OR(Registro_Compras!$C$350="",Registro_Compras!$O$350=""),"","79/791")</f>
        <v/>
      </c>
      <c r="D3123">
        <f>IF(OR(Registro_Compras!$C$350="",Registro_Compras!$O$350=""),"","Cargas Imputables a Cuentas de Costos y Gastos")</f>
        <v/>
      </c>
      <c r="E3123" s="20">
        <f>IF($C3123="","",IF(Registro_Compras!$F$350="NOTA DE CREDITO",ROUND(ABS(Registro_Compras!$J$350*Registro_Compras!$N$350),2),""))</f>
        <v/>
      </c>
      <c r="F3123" s="20">
        <f>IF($C3123="","",IF(Registro_Compras!$F$350="NOTA DE CREDITO","",IF(Registro_Compras!$F$350="RHE",ROUND(Registro_Compras!$L$350*Registro_Compras!$N$350,2),ROUND(Registro_Compras!$J$350*Registro_Compras!$N$350,2))))</f>
        <v/>
      </c>
      <c r="G3123">
        <f>IF($C3123="","","Por el destino del gasto")</f>
        <v/>
      </c>
      <c r="H3123">
        <f>IF($C3123="","",Registro_Compras!$C$350)</f>
        <v/>
      </c>
    </row>
    <row r="3124">
      <c r="A3124" s="25">
        <f>IF($C3124="","",Registro_Compras!$X$350)</f>
        <v/>
      </c>
      <c r="B3124">
        <f>IF($C3124="","","C"&amp;TEXT(INT((ROW()-5)/9)+1,"000")&amp;"-3")</f>
        <v/>
      </c>
      <c r="C3124">
        <f>IF(OR(Registro_Compras!$C$350="",Registro_Compras!$O$350="",Registro_Compras!$R$350&lt;&gt;"SI",Registro_Compras!$X$350=""),"","4212")</f>
        <v/>
      </c>
      <c r="D3124">
        <f>IF(OR(Registro_Compras!$C$350="",Registro_Compras!$O$350=""),"","Cuentas por Pagar Comerciales - Terceros")</f>
        <v/>
      </c>
      <c r="E3124" s="20">
        <f>IF($C3124="","",Registro_Compras!$S$350)</f>
        <v/>
      </c>
      <c r="F3124" s="20">
        <f>""</f>
        <v/>
      </c>
      <c r="G3124">
        <f>IF($C3124="","","Por el deposito de la detraccion en el Banco de la Nacion")</f>
        <v/>
      </c>
      <c r="H3124">
        <f>IF($C3124="","",Registro_Compras!$C$350)</f>
        <v/>
      </c>
    </row>
    <row r="3125">
      <c r="A3125" s="25">
        <f>IF($C3125="","",Registro_Compras!$X$350)</f>
        <v/>
      </c>
      <c r="B3125">
        <f>IF($C3125="","","C"&amp;TEXT(INT((ROW()-5)/9)+1,"000")&amp;"-3")</f>
        <v/>
      </c>
      <c r="C3125">
        <f>IF(OR(Registro_Compras!$C$350="",Registro_Compras!$O$350="",Registro_Compras!$R$350&lt;&gt;"SI",Registro_Compras!$X$350=""),"","10413")</f>
        <v/>
      </c>
      <c r="D3125">
        <f>IF(OR(Registro_Compras!$C$350="",Registro_Compras!$O$350=""),"","Efectivo y Equivalentes - Cta. Cte. Operativa")</f>
        <v/>
      </c>
      <c r="E3125" s="20">
        <f>""</f>
        <v/>
      </c>
      <c r="F3125" s="20">
        <f>IF($C3125="","",Registro_Compras!$S$350)</f>
        <v/>
      </c>
      <c r="G3125">
        <f>IF($C3125="","","Por el deposito de la detraccion en el Banco de la Nacion")</f>
        <v/>
      </c>
      <c r="H3125">
        <f>IF($C3125="","",Registro_Compras!$C$350)</f>
        <v/>
      </c>
    </row>
    <row r="3126">
      <c r="A3126" s="25">
        <f>IF($C3126="","",Registro_Compras!$Y$350)</f>
        <v/>
      </c>
      <c r="B3126">
        <f>IF($C3126="","","C"&amp;TEXT(INT((ROW()-5)/9)+1,"000")&amp;"-4")</f>
        <v/>
      </c>
      <c r="C3126">
        <f>IF(OR(Registro_Compras!$C$350="",Registro_Compras!$O$350="",Registro_Compras!$Y$350="",Registro_Compras!$F$350="NOTA DE CREDITO"),"","4212")</f>
        <v/>
      </c>
      <c r="D3126">
        <f>IF(OR(Registro_Compras!$C$350="",Registro_Compras!$O$350=""),"","Cuentas por Pagar Comerciales - Terceros")</f>
        <v/>
      </c>
      <c r="E3126" s="20">
        <f>IF($C3126="","",IF(Registro_Compras!$F$350="RHE",(ROUND(Registro_Compras!$L$350*Registro_Compras!$N$350,2)-ROUND(Registro_Compras!$V$350*Registro_Compras!$N$350,2)),ROUND(Registro_Compras!$O$350-Registro_Compras!$S$350,2)))</f>
        <v/>
      </c>
      <c r="F3126" s="20">
        <f>""</f>
        <v/>
      </c>
      <c r="G3126">
        <f>IF($C3126="","","Por la cancelacion del saldo al proveedor")</f>
        <v/>
      </c>
      <c r="H3126">
        <f>IF($C3126="","",Registro_Compras!$C$350)</f>
        <v/>
      </c>
    </row>
    <row r="3127">
      <c r="A3127" s="25">
        <f>IF($C3127="","",Registro_Compras!$Y$350)</f>
        <v/>
      </c>
      <c r="B3127">
        <f>IF($C3127="","","C"&amp;TEXT(INT((ROW()-5)/9)+1,"000")&amp;"-4")</f>
        <v/>
      </c>
      <c r="C3127">
        <f>IF(OR(Registro_Compras!$C$350="",Registro_Compras!$O$350="",Registro_Compras!$Y$350="",Registro_Compras!$F$350="NOTA DE CREDITO"),"","10413")</f>
        <v/>
      </c>
      <c r="D3127">
        <f>IF(OR(Registro_Compras!$C$350="",Registro_Compras!$O$350=""),"","Efectivo y Equivalentes - Cta. Cte. Operativa")</f>
        <v/>
      </c>
      <c r="E3127" s="20">
        <f>""</f>
        <v/>
      </c>
      <c r="F3127" s="20">
        <f>IF($C3127="","",IF(Registro_Compras!$F$350="RHE",(ROUND(Registro_Compras!$L$350*Registro_Compras!$N$350,2)-ROUND(Registro_Compras!$V$350*Registro_Compras!$N$350,2)),ROUND(Registro_Compras!$O$350-Registro_Compras!$S$350,2)))</f>
        <v/>
      </c>
      <c r="G3127">
        <f>IF($C3127="","","Por la cancelacion del saldo al proveedor")</f>
        <v/>
      </c>
      <c r="H3127">
        <f>IF($C3127="","",Registro_Compras!$C$350)</f>
        <v/>
      </c>
    </row>
    <row r="3128">
      <c r="A3128" s="25">
        <f>IF($C3128="","",Registro_Compras!$B$351)</f>
        <v/>
      </c>
      <c r="B3128">
        <f>IF($C3128="","","C"&amp;TEXT(INT((ROW()-5)/9)+1,"000")&amp;"-1")</f>
        <v/>
      </c>
      <c r="C3128">
        <f>IF(OR(Registro_Compras!$C$351="",Registro_Compras!$O$351=""),"",IF(Registro_Compras!$F$351="NOTA DE CREDITO","4212",IF(Registro_Compras!$M$351="","63",Registro_Compras!$M$351)))</f>
        <v/>
      </c>
      <c r="D3128">
        <f>IF(OR(Registro_Compras!$C$351="",Registro_Compras!$O$351=""),"",IF(Registro_Compras!$F$351="NOTA DE CREDITO","Cuentas por Pagar Comerciales - Terceros (Emitidas)",IF(Registro_Compras!$F$351="RHE","Honorarios Profesionales - Servicios de Terceros","Gastos de Servicios Prestados por Terceros")))</f>
        <v/>
      </c>
      <c r="E3128" s="20">
        <f>IF($C3128="","",IF(Registro_Compras!$F$351="NOTA DE CREDITO",ABS(Registro_Compras!$O$351),IF(Registro_Compras!$F$351="RHE",ROUND(Registro_Compras!$L$351*Registro_Compras!$N$351,2),ROUND(Registro_Compras!$J$351*Registro_Compras!$N$351,2))))</f>
        <v/>
      </c>
      <c r="F3128" s="20">
        <f>""</f>
        <v/>
      </c>
      <c r="G3128">
        <f>IF($C3128="","",IF(Registro_Compras!$F$351="NOTA DE CREDITO","Por la nota de credito "&amp;Registro_Compras!$C$351&amp;" de "&amp;Registro_Compras!$E$351&amp;" [PATRON POR CONFIRMAR CON CONTADOR]",IF(Registro_Compras!$F$351="RHE","Por el registro del recibo por honorarios "&amp;Registro_Compras!$C$351&amp;" de "&amp;Registro_Compras!$E$351&amp;" [PATRON POR CONFIRMAR CON CONTADOR]","Por el registro de la factura "&amp;Registro_Compras!$C$351&amp;" de "&amp;Registro_Compras!$E$351)))</f>
        <v/>
      </c>
      <c r="H3128">
        <f>IF($C3128="","",Registro_Compras!$C$351)</f>
        <v/>
      </c>
    </row>
    <row r="3129">
      <c r="A3129" s="25">
        <f>IF($C3129="","",Registro_Compras!$B$351)</f>
        <v/>
      </c>
      <c r="B3129">
        <f>IF($C3129="","","C"&amp;TEXT(INT((ROW()-5)/9)+1,"000")&amp;"-1")</f>
        <v/>
      </c>
      <c r="C3129">
        <f>IF(OR(Registro_Compras!$C$351="",Registro_Compras!$O$351=""),"",IF(Registro_Compras!$F$351="RHE",IF(Registro_Compras!$V$351=0,"","40172"),IF(Registro_Compras!$F$351="NOTA DE CREDITO",IF(Registro_Compras!$M$351="","63",Registro_Compras!$M$351),IF(Registro_Compras!$K$351=0,"","40111"))))</f>
        <v/>
      </c>
      <c r="D3129">
        <f>IF(OR(Registro_Compras!$C$351="",Registro_Compras!$O$351=""),"",IF(Registro_Compras!$F$351="RHE","Retencion Renta 4ta Categoria por Pagar",IF(Registro_Compras!$F$351="NOTA DE CREDITO","Gastos de Servicios Prestados por Terceros","IGV - Cuenta Propia (Credito Fiscal)")))</f>
        <v/>
      </c>
      <c r="E3129" s="20">
        <f>IF($C3129="","",IF(Registro_Compras!$F$351="FACTURA",ROUND(Registro_Compras!$K$351*Registro_Compras!$N$351,2),""))</f>
        <v/>
      </c>
      <c r="F3129" s="20">
        <f>IF($C3129="","",IF(Registro_Compras!$F$351="RHE",ROUND(Registro_Compras!$V$351*Registro_Compras!$N$351,2),IF(Registro_Compras!$F$351="NOTA DE CREDITO",ROUND(ABS(Registro_Compras!$J$351*Registro_Compras!$N$351),2),"")))</f>
        <v/>
      </c>
      <c r="G3129">
        <f>IF($C3129="","",IF(Registro_Compras!$F$351="NOTA DE CREDITO","Por la nota de credito "&amp;Registro_Compras!$C$351&amp;" de "&amp;Registro_Compras!$E$351&amp;" [PATRON POR CONFIRMAR CON CONTADOR]",IF(Registro_Compras!$F$351="RHE","Por el registro del recibo por honorarios "&amp;Registro_Compras!$C$351&amp;" de "&amp;Registro_Compras!$E$351&amp;" [PATRON POR CONFIRMAR CON CONTADOR]","Por el registro de la factura "&amp;Registro_Compras!$C$351&amp;" de "&amp;Registro_Compras!$E$351)))</f>
        <v/>
      </c>
      <c r="H3129">
        <f>IF($C3129="","",Registro_Compras!$C$351)</f>
        <v/>
      </c>
    </row>
    <row r="3130">
      <c r="A3130" s="25">
        <f>IF($C3130="","",Registro_Compras!$B$351)</f>
        <v/>
      </c>
      <c r="B3130">
        <f>IF($C3130="","","C"&amp;TEXT(INT((ROW()-5)/9)+1,"000")&amp;"-1")</f>
        <v/>
      </c>
      <c r="C3130">
        <f>IF(OR(Registro_Compras!$C$351="",Registro_Compras!$O$351=""),"",IF(Registro_Compras!$F$351="NOTA DE CREDITO",IF(Registro_Compras!$K$351=0,"","40111"),"4212"))</f>
        <v/>
      </c>
      <c r="D3130">
        <f>IF(OR(Registro_Compras!$C$351="",Registro_Compras!$O$351=""),"",IF(Registro_Compras!$F$351="NOTA DE CREDITO","IGV - Cuenta Propia (Credito Fiscal)","Cuentas por Pagar Comerciales - Terceros (Emitidas)"))</f>
        <v/>
      </c>
      <c r="E3130" s="20">
        <f>""</f>
        <v/>
      </c>
      <c r="F3130" s="20">
        <f>IF($C3130="","",IF(Registro_Compras!$F$351="NOTA DE CREDITO",ROUND(ABS(Registro_Compras!$K$351*Registro_Compras!$N$351),2),IF(Registro_Compras!$F$351="RHE",(ROUND(Registro_Compras!$L$351*Registro_Compras!$N$351,2)-ROUND(Registro_Compras!$V$351*Registro_Compras!$N$351,2)),Registro_Compras!$O$351)))</f>
        <v/>
      </c>
      <c r="G3130">
        <f>IF($C3130="","",IF(Registro_Compras!$F$351="NOTA DE CREDITO","Por la nota de credito "&amp;Registro_Compras!$C$351&amp;" de "&amp;Registro_Compras!$E$351&amp;" [PATRON POR CONFIRMAR CON CONTADOR]",IF(Registro_Compras!$F$351="RHE","Por el registro del recibo por honorarios "&amp;Registro_Compras!$C$351&amp;" de "&amp;Registro_Compras!$E$351&amp;" [PATRON POR CONFIRMAR CON CONTADOR]","Por el registro de la factura "&amp;Registro_Compras!$C$351&amp;" de "&amp;Registro_Compras!$E$351)))</f>
        <v/>
      </c>
      <c r="H3130">
        <f>IF($C3130="","",Registro_Compras!$C$351)</f>
        <v/>
      </c>
    </row>
    <row r="3131">
      <c r="A3131" s="25">
        <f>IF($C3131="","",Registro_Compras!$B$351)</f>
        <v/>
      </c>
      <c r="B3131">
        <f>IF($C3131="","","C"&amp;TEXT(INT((ROW()-5)/9)+1,"000")&amp;"-2")</f>
        <v/>
      </c>
      <c r="C3131">
        <f>IF(OR(Registro_Compras!$C$351="",Registro_Compras!$O$351=""),"",IF(Registro_Compras!$AB$351="ADMINISTRATIVO","94","95"))</f>
        <v/>
      </c>
      <c r="D3131">
        <f>IF(OR(Registro_Compras!$C$351="",Registro_Compras!$O$351=""),"",IF(Registro_Compras!$AB$351="ADMINISTRATIVO","Gastos Administrativos","Gastos de Venta y Operacion"))</f>
        <v/>
      </c>
      <c r="E3131" s="20">
        <f>IF($C3131="","",IF(Registro_Compras!$F$351="NOTA DE CREDITO","",IF(Registro_Compras!$F$351="RHE",ROUND(Registro_Compras!$L$351*Registro_Compras!$N$351,2),ROUND(Registro_Compras!$J$351*Registro_Compras!$N$351,2))))</f>
        <v/>
      </c>
      <c r="F3131" s="20">
        <f>IF($C3131="","",IF(Registro_Compras!$F$351="NOTA DE CREDITO",ROUND(ABS(Registro_Compras!$J$351*Registro_Compras!$N$351),2),""))</f>
        <v/>
      </c>
      <c r="G3131">
        <f>IF($C3131="","","Por el destino del gasto")</f>
        <v/>
      </c>
      <c r="H3131">
        <f>IF($C3131="","",Registro_Compras!$C$351)</f>
        <v/>
      </c>
    </row>
    <row r="3132">
      <c r="A3132" s="25">
        <f>IF($C3132="","",Registro_Compras!$B$351)</f>
        <v/>
      </c>
      <c r="B3132">
        <f>IF($C3132="","","C"&amp;TEXT(INT((ROW()-5)/9)+1,"000")&amp;"-2")</f>
        <v/>
      </c>
      <c r="C3132">
        <f>IF(OR(Registro_Compras!$C$351="",Registro_Compras!$O$351=""),"","79/791")</f>
        <v/>
      </c>
      <c r="D3132">
        <f>IF(OR(Registro_Compras!$C$351="",Registro_Compras!$O$351=""),"","Cargas Imputables a Cuentas de Costos y Gastos")</f>
        <v/>
      </c>
      <c r="E3132" s="20">
        <f>IF($C3132="","",IF(Registro_Compras!$F$351="NOTA DE CREDITO",ROUND(ABS(Registro_Compras!$J$351*Registro_Compras!$N$351),2),""))</f>
        <v/>
      </c>
      <c r="F3132" s="20">
        <f>IF($C3132="","",IF(Registro_Compras!$F$351="NOTA DE CREDITO","",IF(Registro_Compras!$F$351="RHE",ROUND(Registro_Compras!$L$351*Registro_Compras!$N$351,2),ROUND(Registro_Compras!$J$351*Registro_Compras!$N$351,2))))</f>
        <v/>
      </c>
      <c r="G3132">
        <f>IF($C3132="","","Por el destino del gasto")</f>
        <v/>
      </c>
      <c r="H3132">
        <f>IF($C3132="","",Registro_Compras!$C$351)</f>
        <v/>
      </c>
    </row>
    <row r="3133">
      <c r="A3133" s="25">
        <f>IF($C3133="","",Registro_Compras!$X$351)</f>
        <v/>
      </c>
      <c r="B3133">
        <f>IF($C3133="","","C"&amp;TEXT(INT((ROW()-5)/9)+1,"000")&amp;"-3")</f>
        <v/>
      </c>
      <c r="C3133">
        <f>IF(OR(Registro_Compras!$C$351="",Registro_Compras!$O$351="",Registro_Compras!$R$351&lt;&gt;"SI",Registro_Compras!$X$351=""),"","4212")</f>
        <v/>
      </c>
      <c r="D3133">
        <f>IF(OR(Registro_Compras!$C$351="",Registro_Compras!$O$351=""),"","Cuentas por Pagar Comerciales - Terceros")</f>
        <v/>
      </c>
      <c r="E3133" s="20">
        <f>IF($C3133="","",Registro_Compras!$S$351)</f>
        <v/>
      </c>
      <c r="F3133" s="20">
        <f>""</f>
        <v/>
      </c>
      <c r="G3133">
        <f>IF($C3133="","","Por el deposito de la detraccion en el Banco de la Nacion")</f>
        <v/>
      </c>
      <c r="H3133">
        <f>IF($C3133="","",Registro_Compras!$C$351)</f>
        <v/>
      </c>
    </row>
    <row r="3134">
      <c r="A3134" s="25">
        <f>IF($C3134="","",Registro_Compras!$X$351)</f>
        <v/>
      </c>
      <c r="B3134">
        <f>IF($C3134="","","C"&amp;TEXT(INT((ROW()-5)/9)+1,"000")&amp;"-3")</f>
        <v/>
      </c>
      <c r="C3134">
        <f>IF(OR(Registro_Compras!$C$351="",Registro_Compras!$O$351="",Registro_Compras!$R$351&lt;&gt;"SI",Registro_Compras!$X$351=""),"","10413")</f>
        <v/>
      </c>
      <c r="D3134">
        <f>IF(OR(Registro_Compras!$C$351="",Registro_Compras!$O$351=""),"","Efectivo y Equivalentes - Cta. Cte. Operativa")</f>
        <v/>
      </c>
      <c r="E3134" s="20">
        <f>""</f>
        <v/>
      </c>
      <c r="F3134" s="20">
        <f>IF($C3134="","",Registro_Compras!$S$351)</f>
        <v/>
      </c>
      <c r="G3134">
        <f>IF($C3134="","","Por el deposito de la detraccion en el Banco de la Nacion")</f>
        <v/>
      </c>
      <c r="H3134">
        <f>IF($C3134="","",Registro_Compras!$C$351)</f>
        <v/>
      </c>
    </row>
    <row r="3135">
      <c r="A3135" s="25">
        <f>IF($C3135="","",Registro_Compras!$Y$351)</f>
        <v/>
      </c>
      <c r="B3135">
        <f>IF($C3135="","","C"&amp;TEXT(INT((ROW()-5)/9)+1,"000")&amp;"-4")</f>
        <v/>
      </c>
      <c r="C3135">
        <f>IF(OR(Registro_Compras!$C$351="",Registro_Compras!$O$351="",Registro_Compras!$Y$351="",Registro_Compras!$F$351="NOTA DE CREDITO"),"","4212")</f>
        <v/>
      </c>
      <c r="D3135">
        <f>IF(OR(Registro_Compras!$C$351="",Registro_Compras!$O$351=""),"","Cuentas por Pagar Comerciales - Terceros")</f>
        <v/>
      </c>
      <c r="E3135" s="20">
        <f>IF($C3135="","",IF(Registro_Compras!$F$351="RHE",(ROUND(Registro_Compras!$L$351*Registro_Compras!$N$351,2)-ROUND(Registro_Compras!$V$351*Registro_Compras!$N$351,2)),ROUND(Registro_Compras!$O$351-Registro_Compras!$S$351,2)))</f>
        <v/>
      </c>
      <c r="F3135" s="20">
        <f>""</f>
        <v/>
      </c>
      <c r="G3135">
        <f>IF($C3135="","","Por la cancelacion del saldo al proveedor")</f>
        <v/>
      </c>
      <c r="H3135">
        <f>IF($C3135="","",Registro_Compras!$C$351)</f>
        <v/>
      </c>
    </row>
    <row r="3136">
      <c r="A3136" s="25">
        <f>IF($C3136="","",Registro_Compras!$Y$351)</f>
        <v/>
      </c>
      <c r="B3136">
        <f>IF($C3136="","","C"&amp;TEXT(INT((ROW()-5)/9)+1,"000")&amp;"-4")</f>
        <v/>
      </c>
      <c r="C3136">
        <f>IF(OR(Registro_Compras!$C$351="",Registro_Compras!$O$351="",Registro_Compras!$Y$351="",Registro_Compras!$F$351="NOTA DE CREDITO"),"","10413")</f>
        <v/>
      </c>
      <c r="D3136">
        <f>IF(OR(Registro_Compras!$C$351="",Registro_Compras!$O$351=""),"","Efectivo y Equivalentes - Cta. Cte. Operativa")</f>
        <v/>
      </c>
      <c r="E3136" s="20">
        <f>""</f>
        <v/>
      </c>
      <c r="F3136" s="20">
        <f>IF($C3136="","",IF(Registro_Compras!$F$351="RHE",(ROUND(Registro_Compras!$L$351*Registro_Compras!$N$351,2)-ROUND(Registro_Compras!$V$351*Registro_Compras!$N$351,2)),ROUND(Registro_Compras!$O$351-Registro_Compras!$S$351,2)))</f>
        <v/>
      </c>
      <c r="G3136">
        <f>IF($C3136="","","Por la cancelacion del saldo al proveedor")</f>
        <v/>
      </c>
      <c r="H3136">
        <f>IF($C3136="","",Registro_Compras!$C$351)</f>
        <v/>
      </c>
    </row>
    <row r="3137">
      <c r="A3137" s="25">
        <f>IF($C3137="","",Registro_Compras!$B$352)</f>
        <v/>
      </c>
      <c r="B3137">
        <f>IF($C3137="","","C"&amp;TEXT(INT((ROW()-5)/9)+1,"000")&amp;"-1")</f>
        <v/>
      </c>
      <c r="C3137">
        <f>IF(OR(Registro_Compras!$C$352="",Registro_Compras!$O$352=""),"",IF(Registro_Compras!$F$352="NOTA DE CREDITO","4212",IF(Registro_Compras!$M$352="","63",Registro_Compras!$M$352)))</f>
        <v/>
      </c>
      <c r="D3137">
        <f>IF(OR(Registro_Compras!$C$352="",Registro_Compras!$O$352=""),"",IF(Registro_Compras!$F$352="NOTA DE CREDITO","Cuentas por Pagar Comerciales - Terceros (Emitidas)",IF(Registro_Compras!$F$352="RHE","Honorarios Profesionales - Servicios de Terceros","Gastos de Servicios Prestados por Terceros")))</f>
        <v/>
      </c>
      <c r="E3137" s="20">
        <f>IF($C3137="","",IF(Registro_Compras!$F$352="NOTA DE CREDITO",ABS(Registro_Compras!$O$352),IF(Registro_Compras!$F$352="RHE",ROUND(Registro_Compras!$L$352*Registro_Compras!$N$352,2),ROUND(Registro_Compras!$J$352*Registro_Compras!$N$352,2))))</f>
        <v/>
      </c>
      <c r="F3137" s="20">
        <f>""</f>
        <v/>
      </c>
      <c r="G3137">
        <f>IF($C3137="","",IF(Registro_Compras!$F$352="NOTA DE CREDITO","Por la nota de credito "&amp;Registro_Compras!$C$352&amp;" de "&amp;Registro_Compras!$E$352&amp;" [PATRON POR CONFIRMAR CON CONTADOR]",IF(Registro_Compras!$F$352="RHE","Por el registro del recibo por honorarios "&amp;Registro_Compras!$C$352&amp;" de "&amp;Registro_Compras!$E$352&amp;" [PATRON POR CONFIRMAR CON CONTADOR]","Por el registro de la factura "&amp;Registro_Compras!$C$352&amp;" de "&amp;Registro_Compras!$E$352)))</f>
        <v/>
      </c>
      <c r="H3137">
        <f>IF($C3137="","",Registro_Compras!$C$352)</f>
        <v/>
      </c>
    </row>
    <row r="3138">
      <c r="A3138" s="25">
        <f>IF($C3138="","",Registro_Compras!$B$352)</f>
        <v/>
      </c>
      <c r="B3138">
        <f>IF($C3138="","","C"&amp;TEXT(INT((ROW()-5)/9)+1,"000")&amp;"-1")</f>
        <v/>
      </c>
      <c r="C3138">
        <f>IF(OR(Registro_Compras!$C$352="",Registro_Compras!$O$352=""),"",IF(Registro_Compras!$F$352="RHE",IF(Registro_Compras!$V$352=0,"","40172"),IF(Registro_Compras!$F$352="NOTA DE CREDITO",IF(Registro_Compras!$M$352="","63",Registro_Compras!$M$352),IF(Registro_Compras!$K$352=0,"","40111"))))</f>
        <v/>
      </c>
      <c r="D3138">
        <f>IF(OR(Registro_Compras!$C$352="",Registro_Compras!$O$352=""),"",IF(Registro_Compras!$F$352="RHE","Retencion Renta 4ta Categoria por Pagar",IF(Registro_Compras!$F$352="NOTA DE CREDITO","Gastos de Servicios Prestados por Terceros","IGV - Cuenta Propia (Credito Fiscal)")))</f>
        <v/>
      </c>
      <c r="E3138" s="20">
        <f>IF($C3138="","",IF(Registro_Compras!$F$352="FACTURA",ROUND(Registro_Compras!$K$352*Registro_Compras!$N$352,2),""))</f>
        <v/>
      </c>
      <c r="F3138" s="20">
        <f>IF($C3138="","",IF(Registro_Compras!$F$352="RHE",ROUND(Registro_Compras!$V$352*Registro_Compras!$N$352,2),IF(Registro_Compras!$F$352="NOTA DE CREDITO",ROUND(ABS(Registro_Compras!$J$352*Registro_Compras!$N$352),2),"")))</f>
        <v/>
      </c>
      <c r="G3138">
        <f>IF($C3138="","",IF(Registro_Compras!$F$352="NOTA DE CREDITO","Por la nota de credito "&amp;Registro_Compras!$C$352&amp;" de "&amp;Registro_Compras!$E$352&amp;" [PATRON POR CONFIRMAR CON CONTADOR]",IF(Registro_Compras!$F$352="RHE","Por el registro del recibo por honorarios "&amp;Registro_Compras!$C$352&amp;" de "&amp;Registro_Compras!$E$352&amp;" [PATRON POR CONFIRMAR CON CONTADOR]","Por el registro de la factura "&amp;Registro_Compras!$C$352&amp;" de "&amp;Registro_Compras!$E$352)))</f>
        <v/>
      </c>
      <c r="H3138">
        <f>IF($C3138="","",Registro_Compras!$C$352)</f>
        <v/>
      </c>
    </row>
    <row r="3139">
      <c r="A3139" s="25">
        <f>IF($C3139="","",Registro_Compras!$B$352)</f>
        <v/>
      </c>
      <c r="B3139">
        <f>IF($C3139="","","C"&amp;TEXT(INT((ROW()-5)/9)+1,"000")&amp;"-1")</f>
        <v/>
      </c>
      <c r="C3139">
        <f>IF(OR(Registro_Compras!$C$352="",Registro_Compras!$O$352=""),"",IF(Registro_Compras!$F$352="NOTA DE CREDITO",IF(Registro_Compras!$K$352=0,"","40111"),"4212"))</f>
        <v/>
      </c>
      <c r="D3139">
        <f>IF(OR(Registro_Compras!$C$352="",Registro_Compras!$O$352=""),"",IF(Registro_Compras!$F$352="NOTA DE CREDITO","IGV - Cuenta Propia (Credito Fiscal)","Cuentas por Pagar Comerciales - Terceros (Emitidas)"))</f>
        <v/>
      </c>
      <c r="E3139" s="20">
        <f>""</f>
        <v/>
      </c>
      <c r="F3139" s="20">
        <f>IF($C3139="","",IF(Registro_Compras!$F$352="NOTA DE CREDITO",ROUND(ABS(Registro_Compras!$K$352*Registro_Compras!$N$352),2),IF(Registro_Compras!$F$352="RHE",(ROUND(Registro_Compras!$L$352*Registro_Compras!$N$352,2)-ROUND(Registro_Compras!$V$352*Registro_Compras!$N$352,2)),Registro_Compras!$O$352)))</f>
        <v/>
      </c>
      <c r="G3139">
        <f>IF($C3139="","",IF(Registro_Compras!$F$352="NOTA DE CREDITO","Por la nota de credito "&amp;Registro_Compras!$C$352&amp;" de "&amp;Registro_Compras!$E$352&amp;" [PATRON POR CONFIRMAR CON CONTADOR]",IF(Registro_Compras!$F$352="RHE","Por el registro del recibo por honorarios "&amp;Registro_Compras!$C$352&amp;" de "&amp;Registro_Compras!$E$352&amp;" [PATRON POR CONFIRMAR CON CONTADOR]","Por el registro de la factura "&amp;Registro_Compras!$C$352&amp;" de "&amp;Registro_Compras!$E$352)))</f>
        <v/>
      </c>
      <c r="H3139">
        <f>IF($C3139="","",Registro_Compras!$C$352)</f>
        <v/>
      </c>
    </row>
    <row r="3140">
      <c r="A3140" s="25">
        <f>IF($C3140="","",Registro_Compras!$B$352)</f>
        <v/>
      </c>
      <c r="B3140">
        <f>IF($C3140="","","C"&amp;TEXT(INT((ROW()-5)/9)+1,"000")&amp;"-2")</f>
        <v/>
      </c>
      <c r="C3140">
        <f>IF(OR(Registro_Compras!$C$352="",Registro_Compras!$O$352=""),"",IF(Registro_Compras!$AB$352="ADMINISTRATIVO","94","95"))</f>
        <v/>
      </c>
      <c r="D3140">
        <f>IF(OR(Registro_Compras!$C$352="",Registro_Compras!$O$352=""),"",IF(Registro_Compras!$AB$352="ADMINISTRATIVO","Gastos Administrativos","Gastos de Venta y Operacion"))</f>
        <v/>
      </c>
      <c r="E3140" s="20">
        <f>IF($C3140="","",IF(Registro_Compras!$F$352="NOTA DE CREDITO","",IF(Registro_Compras!$F$352="RHE",ROUND(Registro_Compras!$L$352*Registro_Compras!$N$352,2),ROUND(Registro_Compras!$J$352*Registro_Compras!$N$352,2))))</f>
        <v/>
      </c>
      <c r="F3140" s="20">
        <f>IF($C3140="","",IF(Registro_Compras!$F$352="NOTA DE CREDITO",ROUND(ABS(Registro_Compras!$J$352*Registro_Compras!$N$352),2),""))</f>
        <v/>
      </c>
      <c r="G3140">
        <f>IF($C3140="","","Por el destino del gasto")</f>
        <v/>
      </c>
      <c r="H3140">
        <f>IF($C3140="","",Registro_Compras!$C$352)</f>
        <v/>
      </c>
    </row>
    <row r="3141">
      <c r="A3141" s="25">
        <f>IF($C3141="","",Registro_Compras!$B$352)</f>
        <v/>
      </c>
      <c r="B3141">
        <f>IF($C3141="","","C"&amp;TEXT(INT((ROW()-5)/9)+1,"000")&amp;"-2")</f>
        <v/>
      </c>
      <c r="C3141">
        <f>IF(OR(Registro_Compras!$C$352="",Registro_Compras!$O$352=""),"","79/791")</f>
        <v/>
      </c>
      <c r="D3141">
        <f>IF(OR(Registro_Compras!$C$352="",Registro_Compras!$O$352=""),"","Cargas Imputables a Cuentas de Costos y Gastos")</f>
        <v/>
      </c>
      <c r="E3141" s="20">
        <f>IF($C3141="","",IF(Registro_Compras!$F$352="NOTA DE CREDITO",ROUND(ABS(Registro_Compras!$J$352*Registro_Compras!$N$352),2),""))</f>
        <v/>
      </c>
      <c r="F3141" s="20">
        <f>IF($C3141="","",IF(Registro_Compras!$F$352="NOTA DE CREDITO","",IF(Registro_Compras!$F$352="RHE",ROUND(Registro_Compras!$L$352*Registro_Compras!$N$352,2),ROUND(Registro_Compras!$J$352*Registro_Compras!$N$352,2))))</f>
        <v/>
      </c>
      <c r="G3141">
        <f>IF($C3141="","","Por el destino del gasto")</f>
        <v/>
      </c>
      <c r="H3141">
        <f>IF($C3141="","",Registro_Compras!$C$352)</f>
        <v/>
      </c>
    </row>
    <row r="3142">
      <c r="A3142" s="25">
        <f>IF($C3142="","",Registro_Compras!$X$352)</f>
        <v/>
      </c>
      <c r="B3142">
        <f>IF($C3142="","","C"&amp;TEXT(INT((ROW()-5)/9)+1,"000")&amp;"-3")</f>
        <v/>
      </c>
      <c r="C3142">
        <f>IF(OR(Registro_Compras!$C$352="",Registro_Compras!$O$352="",Registro_Compras!$R$352&lt;&gt;"SI",Registro_Compras!$X$352=""),"","4212")</f>
        <v/>
      </c>
      <c r="D3142">
        <f>IF(OR(Registro_Compras!$C$352="",Registro_Compras!$O$352=""),"","Cuentas por Pagar Comerciales - Terceros")</f>
        <v/>
      </c>
      <c r="E3142" s="20">
        <f>IF($C3142="","",Registro_Compras!$S$352)</f>
        <v/>
      </c>
      <c r="F3142" s="20">
        <f>""</f>
        <v/>
      </c>
      <c r="G3142">
        <f>IF($C3142="","","Por el deposito de la detraccion en el Banco de la Nacion")</f>
        <v/>
      </c>
      <c r="H3142">
        <f>IF($C3142="","",Registro_Compras!$C$352)</f>
        <v/>
      </c>
    </row>
    <row r="3143">
      <c r="A3143" s="25">
        <f>IF($C3143="","",Registro_Compras!$X$352)</f>
        <v/>
      </c>
      <c r="B3143">
        <f>IF($C3143="","","C"&amp;TEXT(INT((ROW()-5)/9)+1,"000")&amp;"-3")</f>
        <v/>
      </c>
      <c r="C3143">
        <f>IF(OR(Registro_Compras!$C$352="",Registro_Compras!$O$352="",Registro_Compras!$R$352&lt;&gt;"SI",Registro_Compras!$X$352=""),"","10413")</f>
        <v/>
      </c>
      <c r="D3143">
        <f>IF(OR(Registro_Compras!$C$352="",Registro_Compras!$O$352=""),"","Efectivo y Equivalentes - Cta. Cte. Operativa")</f>
        <v/>
      </c>
      <c r="E3143" s="20">
        <f>""</f>
        <v/>
      </c>
      <c r="F3143" s="20">
        <f>IF($C3143="","",Registro_Compras!$S$352)</f>
        <v/>
      </c>
      <c r="G3143">
        <f>IF($C3143="","","Por el deposito de la detraccion en el Banco de la Nacion")</f>
        <v/>
      </c>
      <c r="H3143">
        <f>IF($C3143="","",Registro_Compras!$C$352)</f>
        <v/>
      </c>
    </row>
    <row r="3144">
      <c r="A3144" s="25">
        <f>IF($C3144="","",Registro_Compras!$Y$352)</f>
        <v/>
      </c>
      <c r="B3144">
        <f>IF($C3144="","","C"&amp;TEXT(INT((ROW()-5)/9)+1,"000")&amp;"-4")</f>
        <v/>
      </c>
      <c r="C3144">
        <f>IF(OR(Registro_Compras!$C$352="",Registro_Compras!$O$352="",Registro_Compras!$Y$352="",Registro_Compras!$F$352="NOTA DE CREDITO"),"","4212")</f>
        <v/>
      </c>
      <c r="D3144">
        <f>IF(OR(Registro_Compras!$C$352="",Registro_Compras!$O$352=""),"","Cuentas por Pagar Comerciales - Terceros")</f>
        <v/>
      </c>
      <c r="E3144" s="20">
        <f>IF($C3144="","",IF(Registro_Compras!$F$352="RHE",(ROUND(Registro_Compras!$L$352*Registro_Compras!$N$352,2)-ROUND(Registro_Compras!$V$352*Registro_Compras!$N$352,2)),ROUND(Registro_Compras!$O$352-Registro_Compras!$S$352,2)))</f>
        <v/>
      </c>
      <c r="F3144" s="20">
        <f>""</f>
        <v/>
      </c>
      <c r="G3144">
        <f>IF($C3144="","","Por la cancelacion del saldo al proveedor")</f>
        <v/>
      </c>
      <c r="H3144">
        <f>IF($C3144="","",Registro_Compras!$C$352)</f>
        <v/>
      </c>
    </row>
    <row r="3145">
      <c r="A3145" s="25">
        <f>IF($C3145="","",Registro_Compras!$Y$352)</f>
        <v/>
      </c>
      <c r="B3145">
        <f>IF($C3145="","","C"&amp;TEXT(INT((ROW()-5)/9)+1,"000")&amp;"-4")</f>
        <v/>
      </c>
      <c r="C3145">
        <f>IF(OR(Registro_Compras!$C$352="",Registro_Compras!$O$352="",Registro_Compras!$Y$352="",Registro_Compras!$F$352="NOTA DE CREDITO"),"","10413")</f>
        <v/>
      </c>
      <c r="D3145">
        <f>IF(OR(Registro_Compras!$C$352="",Registro_Compras!$O$352=""),"","Efectivo y Equivalentes - Cta. Cte. Operativa")</f>
        <v/>
      </c>
      <c r="E3145" s="20">
        <f>""</f>
        <v/>
      </c>
      <c r="F3145" s="20">
        <f>IF($C3145="","",IF(Registro_Compras!$F$352="RHE",(ROUND(Registro_Compras!$L$352*Registro_Compras!$N$352,2)-ROUND(Registro_Compras!$V$352*Registro_Compras!$N$352,2)),ROUND(Registro_Compras!$O$352-Registro_Compras!$S$352,2)))</f>
        <v/>
      </c>
      <c r="G3145">
        <f>IF($C3145="","","Por la cancelacion del saldo al proveedor")</f>
        <v/>
      </c>
      <c r="H3145">
        <f>IF($C3145="","",Registro_Compras!$C$352)</f>
        <v/>
      </c>
    </row>
    <row r="3146">
      <c r="A3146" s="25">
        <f>IF($C3146="","",Registro_Compras!$B$353)</f>
        <v/>
      </c>
      <c r="B3146">
        <f>IF($C3146="","","C"&amp;TEXT(INT((ROW()-5)/9)+1,"000")&amp;"-1")</f>
        <v/>
      </c>
      <c r="C3146">
        <f>IF(OR(Registro_Compras!$C$353="",Registro_Compras!$O$353=""),"",IF(Registro_Compras!$F$353="NOTA DE CREDITO","4212",IF(Registro_Compras!$M$353="","63",Registro_Compras!$M$353)))</f>
        <v/>
      </c>
      <c r="D3146">
        <f>IF(OR(Registro_Compras!$C$353="",Registro_Compras!$O$353=""),"",IF(Registro_Compras!$F$353="NOTA DE CREDITO","Cuentas por Pagar Comerciales - Terceros (Emitidas)",IF(Registro_Compras!$F$353="RHE","Honorarios Profesionales - Servicios de Terceros","Gastos de Servicios Prestados por Terceros")))</f>
        <v/>
      </c>
      <c r="E3146" s="20">
        <f>IF($C3146="","",IF(Registro_Compras!$F$353="NOTA DE CREDITO",ABS(Registro_Compras!$O$353),IF(Registro_Compras!$F$353="RHE",ROUND(Registro_Compras!$L$353*Registro_Compras!$N$353,2),ROUND(Registro_Compras!$J$353*Registro_Compras!$N$353,2))))</f>
        <v/>
      </c>
      <c r="F3146" s="20">
        <f>""</f>
        <v/>
      </c>
      <c r="G3146">
        <f>IF($C3146="","",IF(Registro_Compras!$F$353="NOTA DE CREDITO","Por la nota de credito "&amp;Registro_Compras!$C$353&amp;" de "&amp;Registro_Compras!$E$353&amp;" [PATRON POR CONFIRMAR CON CONTADOR]",IF(Registro_Compras!$F$353="RHE","Por el registro del recibo por honorarios "&amp;Registro_Compras!$C$353&amp;" de "&amp;Registro_Compras!$E$353&amp;" [PATRON POR CONFIRMAR CON CONTADOR]","Por el registro de la factura "&amp;Registro_Compras!$C$353&amp;" de "&amp;Registro_Compras!$E$353)))</f>
        <v/>
      </c>
      <c r="H3146">
        <f>IF($C3146="","",Registro_Compras!$C$353)</f>
        <v/>
      </c>
    </row>
    <row r="3147">
      <c r="A3147" s="25">
        <f>IF($C3147="","",Registro_Compras!$B$353)</f>
        <v/>
      </c>
      <c r="B3147">
        <f>IF($C3147="","","C"&amp;TEXT(INT((ROW()-5)/9)+1,"000")&amp;"-1")</f>
        <v/>
      </c>
      <c r="C3147">
        <f>IF(OR(Registro_Compras!$C$353="",Registro_Compras!$O$353=""),"",IF(Registro_Compras!$F$353="RHE",IF(Registro_Compras!$V$353=0,"","40172"),IF(Registro_Compras!$F$353="NOTA DE CREDITO",IF(Registro_Compras!$M$353="","63",Registro_Compras!$M$353),IF(Registro_Compras!$K$353=0,"","40111"))))</f>
        <v/>
      </c>
      <c r="D3147">
        <f>IF(OR(Registro_Compras!$C$353="",Registro_Compras!$O$353=""),"",IF(Registro_Compras!$F$353="RHE","Retencion Renta 4ta Categoria por Pagar",IF(Registro_Compras!$F$353="NOTA DE CREDITO","Gastos de Servicios Prestados por Terceros","IGV - Cuenta Propia (Credito Fiscal)")))</f>
        <v/>
      </c>
      <c r="E3147" s="20">
        <f>IF($C3147="","",IF(Registro_Compras!$F$353="FACTURA",ROUND(Registro_Compras!$K$353*Registro_Compras!$N$353,2),""))</f>
        <v/>
      </c>
      <c r="F3147" s="20">
        <f>IF($C3147="","",IF(Registro_Compras!$F$353="RHE",ROUND(Registro_Compras!$V$353*Registro_Compras!$N$353,2),IF(Registro_Compras!$F$353="NOTA DE CREDITO",ROUND(ABS(Registro_Compras!$J$353*Registro_Compras!$N$353),2),"")))</f>
        <v/>
      </c>
      <c r="G3147">
        <f>IF($C3147="","",IF(Registro_Compras!$F$353="NOTA DE CREDITO","Por la nota de credito "&amp;Registro_Compras!$C$353&amp;" de "&amp;Registro_Compras!$E$353&amp;" [PATRON POR CONFIRMAR CON CONTADOR]",IF(Registro_Compras!$F$353="RHE","Por el registro del recibo por honorarios "&amp;Registro_Compras!$C$353&amp;" de "&amp;Registro_Compras!$E$353&amp;" [PATRON POR CONFIRMAR CON CONTADOR]","Por el registro de la factura "&amp;Registro_Compras!$C$353&amp;" de "&amp;Registro_Compras!$E$353)))</f>
        <v/>
      </c>
      <c r="H3147">
        <f>IF($C3147="","",Registro_Compras!$C$353)</f>
        <v/>
      </c>
    </row>
    <row r="3148">
      <c r="A3148" s="25">
        <f>IF($C3148="","",Registro_Compras!$B$353)</f>
        <v/>
      </c>
      <c r="B3148">
        <f>IF($C3148="","","C"&amp;TEXT(INT((ROW()-5)/9)+1,"000")&amp;"-1")</f>
        <v/>
      </c>
      <c r="C3148">
        <f>IF(OR(Registro_Compras!$C$353="",Registro_Compras!$O$353=""),"",IF(Registro_Compras!$F$353="NOTA DE CREDITO",IF(Registro_Compras!$K$353=0,"","40111"),"4212"))</f>
        <v/>
      </c>
      <c r="D3148">
        <f>IF(OR(Registro_Compras!$C$353="",Registro_Compras!$O$353=""),"",IF(Registro_Compras!$F$353="NOTA DE CREDITO","IGV - Cuenta Propia (Credito Fiscal)","Cuentas por Pagar Comerciales - Terceros (Emitidas)"))</f>
        <v/>
      </c>
      <c r="E3148" s="20">
        <f>""</f>
        <v/>
      </c>
      <c r="F3148" s="20">
        <f>IF($C3148="","",IF(Registro_Compras!$F$353="NOTA DE CREDITO",ROUND(ABS(Registro_Compras!$K$353*Registro_Compras!$N$353),2),IF(Registro_Compras!$F$353="RHE",(ROUND(Registro_Compras!$L$353*Registro_Compras!$N$353,2)-ROUND(Registro_Compras!$V$353*Registro_Compras!$N$353,2)),Registro_Compras!$O$353)))</f>
        <v/>
      </c>
      <c r="G3148">
        <f>IF($C3148="","",IF(Registro_Compras!$F$353="NOTA DE CREDITO","Por la nota de credito "&amp;Registro_Compras!$C$353&amp;" de "&amp;Registro_Compras!$E$353&amp;" [PATRON POR CONFIRMAR CON CONTADOR]",IF(Registro_Compras!$F$353="RHE","Por el registro del recibo por honorarios "&amp;Registro_Compras!$C$353&amp;" de "&amp;Registro_Compras!$E$353&amp;" [PATRON POR CONFIRMAR CON CONTADOR]","Por el registro de la factura "&amp;Registro_Compras!$C$353&amp;" de "&amp;Registro_Compras!$E$353)))</f>
        <v/>
      </c>
      <c r="H3148">
        <f>IF($C3148="","",Registro_Compras!$C$353)</f>
        <v/>
      </c>
    </row>
    <row r="3149">
      <c r="A3149" s="25">
        <f>IF($C3149="","",Registro_Compras!$B$353)</f>
        <v/>
      </c>
      <c r="B3149">
        <f>IF($C3149="","","C"&amp;TEXT(INT((ROW()-5)/9)+1,"000")&amp;"-2")</f>
        <v/>
      </c>
      <c r="C3149">
        <f>IF(OR(Registro_Compras!$C$353="",Registro_Compras!$O$353=""),"",IF(Registro_Compras!$AB$353="ADMINISTRATIVO","94","95"))</f>
        <v/>
      </c>
      <c r="D3149">
        <f>IF(OR(Registro_Compras!$C$353="",Registro_Compras!$O$353=""),"",IF(Registro_Compras!$AB$353="ADMINISTRATIVO","Gastos Administrativos","Gastos de Venta y Operacion"))</f>
        <v/>
      </c>
      <c r="E3149" s="20">
        <f>IF($C3149="","",IF(Registro_Compras!$F$353="NOTA DE CREDITO","",IF(Registro_Compras!$F$353="RHE",ROUND(Registro_Compras!$L$353*Registro_Compras!$N$353,2),ROUND(Registro_Compras!$J$353*Registro_Compras!$N$353,2))))</f>
        <v/>
      </c>
      <c r="F3149" s="20">
        <f>IF($C3149="","",IF(Registro_Compras!$F$353="NOTA DE CREDITO",ROUND(ABS(Registro_Compras!$J$353*Registro_Compras!$N$353),2),""))</f>
        <v/>
      </c>
      <c r="G3149">
        <f>IF($C3149="","","Por el destino del gasto")</f>
        <v/>
      </c>
      <c r="H3149">
        <f>IF($C3149="","",Registro_Compras!$C$353)</f>
        <v/>
      </c>
    </row>
    <row r="3150">
      <c r="A3150" s="25">
        <f>IF($C3150="","",Registro_Compras!$B$353)</f>
        <v/>
      </c>
      <c r="B3150">
        <f>IF($C3150="","","C"&amp;TEXT(INT((ROW()-5)/9)+1,"000")&amp;"-2")</f>
        <v/>
      </c>
      <c r="C3150">
        <f>IF(OR(Registro_Compras!$C$353="",Registro_Compras!$O$353=""),"","79/791")</f>
        <v/>
      </c>
      <c r="D3150">
        <f>IF(OR(Registro_Compras!$C$353="",Registro_Compras!$O$353=""),"","Cargas Imputables a Cuentas de Costos y Gastos")</f>
        <v/>
      </c>
      <c r="E3150" s="20">
        <f>IF($C3150="","",IF(Registro_Compras!$F$353="NOTA DE CREDITO",ROUND(ABS(Registro_Compras!$J$353*Registro_Compras!$N$353),2),""))</f>
        <v/>
      </c>
      <c r="F3150" s="20">
        <f>IF($C3150="","",IF(Registro_Compras!$F$353="NOTA DE CREDITO","",IF(Registro_Compras!$F$353="RHE",ROUND(Registro_Compras!$L$353*Registro_Compras!$N$353,2),ROUND(Registro_Compras!$J$353*Registro_Compras!$N$353,2))))</f>
        <v/>
      </c>
      <c r="G3150">
        <f>IF($C3150="","","Por el destino del gasto")</f>
        <v/>
      </c>
      <c r="H3150">
        <f>IF($C3150="","",Registro_Compras!$C$353)</f>
        <v/>
      </c>
    </row>
    <row r="3151">
      <c r="A3151" s="25">
        <f>IF($C3151="","",Registro_Compras!$X$353)</f>
        <v/>
      </c>
      <c r="B3151">
        <f>IF($C3151="","","C"&amp;TEXT(INT((ROW()-5)/9)+1,"000")&amp;"-3")</f>
        <v/>
      </c>
      <c r="C3151">
        <f>IF(OR(Registro_Compras!$C$353="",Registro_Compras!$O$353="",Registro_Compras!$R$353&lt;&gt;"SI",Registro_Compras!$X$353=""),"","4212")</f>
        <v/>
      </c>
      <c r="D3151">
        <f>IF(OR(Registro_Compras!$C$353="",Registro_Compras!$O$353=""),"","Cuentas por Pagar Comerciales - Terceros")</f>
        <v/>
      </c>
      <c r="E3151" s="20">
        <f>IF($C3151="","",Registro_Compras!$S$353)</f>
        <v/>
      </c>
      <c r="F3151" s="20">
        <f>""</f>
        <v/>
      </c>
      <c r="G3151">
        <f>IF($C3151="","","Por el deposito de la detraccion en el Banco de la Nacion")</f>
        <v/>
      </c>
      <c r="H3151">
        <f>IF($C3151="","",Registro_Compras!$C$353)</f>
        <v/>
      </c>
    </row>
    <row r="3152">
      <c r="A3152" s="25">
        <f>IF($C3152="","",Registro_Compras!$X$353)</f>
        <v/>
      </c>
      <c r="B3152">
        <f>IF($C3152="","","C"&amp;TEXT(INT((ROW()-5)/9)+1,"000")&amp;"-3")</f>
        <v/>
      </c>
      <c r="C3152">
        <f>IF(OR(Registro_Compras!$C$353="",Registro_Compras!$O$353="",Registro_Compras!$R$353&lt;&gt;"SI",Registro_Compras!$X$353=""),"","10413")</f>
        <v/>
      </c>
      <c r="D3152">
        <f>IF(OR(Registro_Compras!$C$353="",Registro_Compras!$O$353=""),"","Efectivo y Equivalentes - Cta. Cte. Operativa")</f>
        <v/>
      </c>
      <c r="E3152" s="20">
        <f>""</f>
        <v/>
      </c>
      <c r="F3152" s="20">
        <f>IF($C3152="","",Registro_Compras!$S$353)</f>
        <v/>
      </c>
      <c r="G3152">
        <f>IF($C3152="","","Por el deposito de la detraccion en el Banco de la Nacion")</f>
        <v/>
      </c>
      <c r="H3152">
        <f>IF($C3152="","",Registro_Compras!$C$353)</f>
        <v/>
      </c>
    </row>
    <row r="3153">
      <c r="A3153" s="25">
        <f>IF($C3153="","",Registro_Compras!$Y$353)</f>
        <v/>
      </c>
      <c r="B3153">
        <f>IF($C3153="","","C"&amp;TEXT(INT((ROW()-5)/9)+1,"000")&amp;"-4")</f>
        <v/>
      </c>
      <c r="C3153">
        <f>IF(OR(Registro_Compras!$C$353="",Registro_Compras!$O$353="",Registro_Compras!$Y$353="",Registro_Compras!$F$353="NOTA DE CREDITO"),"","4212")</f>
        <v/>
      </c>
      <c r="D3153">
        <f>IF(OR(Registro_Compras!$C$353="",Registro_Compras!$O$353=""),"","Cuentas por Pagar Comerciales - Terceros")</f>
        <v/>
      </c>
      <c r="E3153" s="20">
        <f>IF($C3153="","",IF(Registro_Compras!$F$353="RHE",(ROUND(Registro_Compras!$L$353*Registro_Compras!$N$353,2)-ROUND(Registro_Compras!$V$353*Registro_Compras!$N$353,2)),ROUND(Registro_Compras!$O$353-Registro_Compras!$S$353,2)))</f>
        <v/>
      </c>
      <c r="F3153" s="20">
        <f>""</f>
        <v/>
      </c>
      <c r="G3153">
        <f>IF($C3153="","","Por la cancelacion del saldo al proveedor")</f>
        <v/>
      </c>
      <c r="H3153">
        <f>IF($C3153="","",Registro_Compras!$C$353)</f>
        <v/>
      </c>
    </row>
    <row r="3154">
      <c r="A3154" s="25">
        <f>IF($C3154="","",Registro_Compras!$Y$353)</f>
        <v/>
      </c>
      <c r="B3154">
        <f>IF($C3154="","","C"&amp;TEXT(INT((ROW()-5)/9)+1,"000")&amp;"-4")</f>
        <v/>
      </c>
      <c r="C3154">
        <f>IF(OR(Registro_Compras!$C$353="",Registro_Compras!$O$353="",Registro_Compras!$Y$353="",Registro_Compras!$F$353="NOTA DE CREDITO"),"","10413")</f>
        <v/>
      </c>
      <c r="D3154">
        <f>IF(OR(Registro_Compras!$C$353="",Registro_Compras!$O$353=""),"","Efectivo y Equivalentes - Cta. Cte. Operativa")</f>
        <v/>
      </c>
      <c r="E3154" s="20">
        <f>""</f>
        <v/>
      </c>
      <c r="F3154" s="20">
        <f>IF($C3154="","",IF(Registro_Compras!$F$353="RHE",(ROUND(Registro_Compras!$L$353*Registro_Compras!$N$353,2)-ROUND(Registro_Compras!$V$353*Registro_Compras!$N$353,2)),ROUND(Registro_Compras!$O$353-Registro_Compras!$S$353,2)))</f>
        <v/>
      </c>
      <c r="G3154">
        <f>IF($C3154="","","Por la cancelacion del saldo al proveedor")</f>
        <v/>
      </c>
      <c r="H3154">
        <f>IF($C3154="","",Registro_Compras!$C$353)</f>
        <v/>
      </c>
    </row>
    <row r="3155">
      <c r="A3155" s="25">
        <f>IF($C3155="","",Registro_Compras!$B$354)</f>
        <v/>
      </c>
      <c r="B3155">
        <f>IF($C3155="","","C"&amp;TEXT(INT((ROW()-5)/9)+1,"000")&amp;"-1")</f>
        <v/>
      </c>
      <c r="C3155">
        <f>IF(OR(Registro_Compras!$C$354="",Registro_Compras!$O$354=""),"",IF(Registro_Compras!$F$354="NOTA DE CREDITO","4212",IF(Registro_Compras!$M$354="","63",Registro_Compras!$M$354)))</f>
        <v/>
      </c>
      <c r="D3155">
        <f>IF(OR(Registro_Compras!$C$354="",Registro_Compras!$O$354=""),"",IF(Registro_Compras!$F$354="NOTA DE CREDITO","Cuentas por Pagar Comerciales - Terceros (Emitidas)",IF(Registro_Compras!$F$354="RHE","Honorarios Profesionales - Servicios de Terceros","Gastos de Servicios Prestados por Terceros")))</f>
        <v/>
      </c>
      <c r="E3155" s="20">
        <f>IF($C3155="","",IF(Registro_Compras!$F$354="NOTA DE CREDITO",ABS(Registro_Compras!$O$354),IF(Registro_Compras!$F$354="RHE",ROUND(Registro_Compras!$L$354*Registro_Compras!$N$354,2),ROUND(Registro_Compras!$J$354*Registro_Compras!$N$354,2))))</f>
        <v/>
      </c>
      <c r="F3155" s="20">
        <f>""</f>
        <v/>
      </c>
      <c r="G3155">
        <f>IF($C3155="","",IF(Registro_Compras!$F$354="NOTA DE CREDITO","Por la nota de credito "&amp;Registro_Compras!$C$354&amp;" de "&amp;Registro_Compras!$E$354&amp;" [PATRON POR CONFIRMAR CON CONTADOR]",IF(Registro_Compras!$F$354="RHE","Por el registro del recibo por honorarios "&amp;Registro_Compras!$C$354&amp;" de "&amp;Registro_Compras!$E$354&amp;" [PATRON POR CONFIRMAR CON CONTADOR]","Por el registro de la factura "&amp;Registro_Compras!$C$354&amp;" de "&amp;Registro_Compras!$E$354)))</f>
        <v/>
      </c>
      <c r="H3155">
        <f>IF($C3155="","",Registro_Compras!$C$354)</f>
        <v/>
      </c>
    </row>
    <row r="3156">
      <c r="A3156" s="25">
        <f>IF($C3156="","",Registro_Compras!$B$354)</f>
        <v/>
      </c>
      <c r="B3156">
        <f>IF($C3156="","","C"&amp;TEXT(INT((ROW()-5)/9)+1,"000")&amp;"-1")</f>
        <v/>
      </c>
      <c r="C3156">
        <f>IF(OR(Registro_Compras!$C$354="",Registro_Compras!$O$354=""),"",IF(Registro_Compras!$F$354="RHE",IF(Registro_Compras!$V$354=0,"","40172"),IF(Registro_Compras!$F$354="NOTA DE CREDITO",IF(Registro_Compras!$M$354="","63",Registro_Compras!$M$354),IF(Registro_Compras!$K$354=0,"","40111"))))</f>
        <v/>
      </c>
      <c r="D3156">
        <f>IF(OR(Registro_Compras!$C$354="",Registro_Compras!$O$354=""),"",IF(Registro_Compras!$F$354="RHE","Retencion Renta 4ta Categoria por Pagar",IF(Registro_Compras!$F$354="NOTA DE CREDITO","Gastos de Servicios Prestados por Terceros","IGV - Cuenta Propia (Credito Fiscal)")))</f>
        <v/>
      </c>
      <c r="E3156" s="20">
        <f>IF($C3156="","",IF(Registro_Compras!$F$354="FACTURA",ROUND(Registro_Compras!$K$354*Registro_Compras!$N$354,2),""))</f>
        <v/>
      </c>
      <c r="F3156" s="20">
        <f>IF($C3156="","",IF(Registro_Compras!$F$354="RHE",ROUND(Registro_Compras!$V$354*Registro_Compras!$N$354,2),IF(Registro_Compras!$F$354="NOTA DE CREDITO",ROUND(ABS(Registro_Compras!$J$354*Registro_Compras!$N$354),2),"")))</f>
        <v/>
      </c>
      <c r="G3156">
        <f>IF($C3156="","",IF(Registro_Compras!$F$354="NOTA DE CREDITO","Por la nota de credito "&amp;Registro_Compras!$C$354&amp;" de "&amp;Registro_Compras!$E$354&amp;" [PATRON POR CONFIRMAR CON CONTADOR]",IF(Registro_Compras!$F$354="RHE","Por el registro del recibo por honorarios "&amp;Registro_Compras!$C$354&amp;" de "&amp;Registro_Compras!$E$354&amp;" [PATRON POR CONFIRMAR CON CONTADOR]","Por el registro de la factura "&amp;Registro_Compras!$C$354&amp;" de "&amp;Registro_Compras!$E$354)))</f>
        <v/>
      </c>
      <c r="H3156">
        <f>IF($C3156="","",Registro_Compras!$C$354)</f>
        <v/>
      </c>
    </row>
    <row r="3157">
      <c r="A3157" s="25">
        <f>IF($C3157="","",Registro_Compras!$B$354)</f>
        <v/>
      </c>
      <c r="B3157">
        <f>IF($C3157="","","C"&amp;TEXT(INT((ROW()-5)/9)+1,"000")&amp;"-1")</f>
        <v/>
      </c>
      <c r="C3157">
        <f>IF(OR(Registro_Compras!$C$354="",Registro_Compras!$O$354=""),"",IF(Registro_Compras!$F$354="NOTA DE CREDITO",IF(Registro_Compras!$K$354=0,"","40111"),"4212"))</f>
        <v/>
      </c>
      <c r="D3157">
        <f>IF(OR(Registro_Compras!$C$354="",Registro_Compras!$O$354=""),"",IF(Registro_Compras!$F$354="NOTA DE CREDITO","IGV - Cuenta Propia (Credito Fiscal)","Cuentas por Pagar Comerciales - Terceros (Emitidas)"))</f>
        <v/>
      </c>
      <c r="E3157" s="20">
        <f>""</f>
        <v/>
      </c>
      <c r="F3157" s="20">
        <f>IF($C3157="","",IF(Registro_Compras!$F$354="NOTA DE CREDITO",ROUND(ABS(Registro_Compras!$K$354*Registro_Compras!$N$354),2),IF(Registro_Compras!$F$354="RHE",(ROUND(Registro_Compras!$L$354*Registro_Compras!$N$354,2)-ROUND(Registro_Compras!$V$354*Registro_Compras!$N$354,2)),Registro_Compras!$O$354)))</f>
        <v/>
      </c>
      <c r="G3157">
        <f>IF($C3157="","",IF(Registro_Compras!$F$354="NOTA DE CREDITO","Por la nota de credito "&amp;Registro_Compras!$C$354&amp;" de "&amp;Registro_Compras!$E$354&amp;" [PATRON POR CONFIRMAR CON CONTADOR]",IF(Registro_Compras!$F$354="RHE","Por el registro del recibo por honorarios "&amp;Registro_Compras!$C$354&amp;" de "&amp;Registro_Compras!$E$354&amp;" [PATRON POR CONFIRMAR CON CONTADOR]","Por el registro de la factura "&amp;Registro_Compras!$C$354&amp;" de "&amp;Registro_Compras!$E$354)))</f>
        <v/>
      </c>
      <c r="H3157">
        <f>IF($C3157="","",Registro_Compras!$C$354)</f>
        <v/>
      </c>
    </row>
    <row r="3158">
      <c r="A3158" s="25">
        <f>IF($C3158="","",Registro_Compras!$B$354)</f>
        <v/>
      </c>
      <c r="B3158">
        <f>IF($C3158="","","C"&amp;TEXT(INT((ROW()-5)/9)+1,"000")&amp;"-2")</f>
        <v/>
      </c>
      <c r="C3158">
        <f>IF(OR(Registro_Compras!$C$354="",Registro_Compras!$O$354=""),"",IF(Registro_Compras!$AB$354="ADMINISTRATIVO","94","95"))</f>
        <v/>
      </c>
      <c r="D3158">
        <f>IF(OR(Registro_Compras!$C$354="",Registro_Compras!$O$354=""),"",IF(Registro_Compras!$AB$354="ADMINISTRATIVO","Gastos Administrativos","Gastos de Venta y Operacion"))</f>
        <v/>
      </c>
      <c r="E3158" s="20">
        <f>IF($C3158="","",IF(Registro_Compras!$F$354="NOTA DE CREDITO","",IF(Registro_Compras!$F$354="RHE",ROUND(Registro_Compras!$L$354*Registro_Compras!$N$354,2),ROUND(Registro_Compras!$J$354*Registro_Compras!$N$354,2))))</f>
        <v/>
      </c>
      <c r="F3158" s="20">
        <f>IF($C3158="","",IF(Registro_Compras!$F$354="NOTA DE CREDITO",ROUND(ABS(Registro_Compras!$J$354*Registro_Compras!$N$354),2),""))</f>
        <v/>
      </c>
      <c r="G3158">
        <f>IF($C3158="","","Por el destino del gasto")</f>
        <v/>
      </c>
      <c r="H3158">
        <f>IF($C3158="","",Registro_Compras!$C$354)</f>
        <v/>
      </c>
    </row>
    <row r="3159">
      <c r="A3159" s="25">
        <f>IF($C3159="","",Registro_Compras!$B$354)</f>
        <v/>
      </c>
      <c r="B3159">
        <f>IF($C3159="","","C"&amp;TEXT(INT((ROW()-5)/9)+1,"000")&amp;"-2")</f>
        <v/>
      </c>
      <c r="C3159">
        <f>IF(OR(Registro_Compras!$C$354="",Registro_Compras!$O$354=""),"","79/791")</f>
        <v/>
      </c>
      <c r="D3159">
        <f>IF(OR(Registro_Compras!$C$354="",Registro_Compras!$O$354=""),"","Cargas Imputables a Cuentas de Costos y Gastos")</f>
        <v/>
      </c>
      <c r="E3159" s="20">
        <f>IF($C3159="","",IF(Registro_Compras!$F$354="NOTA DE CREDITO",ROUND(ABS(Registro_Compras!$J$354*Registro_Compras!$N$354),2),""))</f>
        <v/>
      </c>
      <c r="F3159" s="20">
        <f>IF($C3159="","",IF(Registro_Compras!$F$354="NOTA DE CREDITO","",IF(Registro_Compras!$F$354="RHE",ROUND(Registro_Compras!$L$354*Registro_Compras!$N$354,2),ROUND(Registro_Compras!$J$354*Registro_Compras!$N$354,2))))</f>
        <v/>
      </c>
      <c r="G3159">
        <f>IF($C3159="","","Por el destino del gasto")</f>
        <v/>
      </c>
      <c r="H3159">
        <f>IF($C3159="","",Registro_Compras!$C$354)</f>
        <v/>
      </c>
    </row>
    <row r="3160">
      <c r="A3160" s="25">
        <f>IF($C3160="","",Registro_Compras!$X$354)</f>
        <v/>
      </c>
      <c r="B3160">
        <f>IF($C3160="","","C"&amp;TEXT(INT((ROW()-5)/9)+1,"000")&amp;"-3")</f>
        <v/>
      </c>
      <c r="C3160">
        <f>IF(OR(Registro_Compras!$C$354="",Registro_Compras!$O$354="",Registro_Compras!$R$354&lt;&gt;"SI",Registro_Compras!$X$354=""),"","4212")</f>
        <v/>
      </c>
      <c r="D3160">
        <f>IF(OR(Registro_Compras!$C$354="",Registro_Compras!$O$354=""),"","Cuentas por Pagar Comerciales - Terceros")</f>
        <v/>
      </c>
      <c r="E3160" s="20">
        <f>IF($C3160="","",Registro_Compras!$S$354)</f>
        <v/>
      </c>
      <c r="F3160" s="20">
        <f>""</f>
        <v/>
      </c>
      <c r="G3160">
        <f>IF($C3160="","","Por el deposito de la detraccion en el Banco de la Nacion")</f>
        <v/>
      </c>
      <c r="H3160">
        <f>IF($C3160="","",Registro_Compras!$C$354)</f>
        <v/>
      </c>
    </row>
    <row r="3161">
      <c r="A3161" s="25">
        <f>IF($C3161="","",Registro_Compras!$X$354)</f>
        <v/>
      </c>
      <c r="B3161">
        <f>IF($C3161="","","C"&amp;TEXT(INT((ROW()-5)/9)+1,"000")&amp;"-3")</f>
        <v/>
      </c>
      <c r="C3161">
        <f>IF(OR(Registro_Compras!$C$354="",Registro_Compras!$O$354="",Registro_Compras!$R$354&lt;&gt;"SI",Registro_Compras!$X$354=""),"","10413")</f>
        <v/>
      </c>
      <c r="D3161">
        <f>IF(OR(Registro_Compras!$C$354="",Registro_Compras!$O$354=""),"","Efectivo y Equivalentes - Cta. Cte. Operativa")</f>
        <v/>
      </c>
      <c r="E3161" s="20">
        <f>""</f>
        <v/>
      </c>
      <c r="F3161" s="20">
        <f>IF($C3161="","",Registro_Compras!$S$354)</f>
        <v/>
      </c>
      <c r="G3161">
        <f>IF($C3161="","","Por el deposito de la detraccion en el Banco de la Nacion")</f>
        <v/>
      </c>
      <c r="H3161">
        <f>IF($C3161="","",Registro_Compras!$C$354)</f>
        <v/>
      </c>
    </row>
    <row r="3162">
      <c r="A3162" s="25">
        <f>IF($C3162="","",Registro_Compras!$Y$354)</f>
        <v/>
      </c>
      <c r="B3162">
        <f>IF($C3162="","","C"&amp;TEXT(INT((ROW()-5)/9)+1,"000")&amp;"-4")</f>
        <v/>
      </c>
      <c r="C3162">
        <f>IF(OR(Registro_Compras!$C$354="",Registro_Compras!$O$354="",Registro_Compras!$Y$354="",Registro_Compras!$F$354="NOTA DE CREDITO"),"","4212")</f>
        <v/>
      </c>
      <c r="D3162">
        <f>IF(OR(Registro_Compras!$C$354="",Registro_Compras!$O$354=""),"","Cuentas por Pagar Comerciales - Terceros")</f>
        <v/>
      </c>
      <c r="E3162" s="20">
        <f>IF($C3162="","",IF(Registro_Compras!$F$354="RHE",(ROUND(Registro_Compras!$L$354*Registro_Compras!$N$354,2)-ROUND(Registro_Compras!$V$354*Registro_Compras!$N$354,2)),ROUND(Registro_Compras!$O$354-Registro_Compras!$S$354,2)))</f>
        <v/>
      </c>
      <c r="F3162" s="20">
        <f>""</f>
        <v/>
      </c>
      <c r="G3162">
        <f>IF($C3162="","","Por la cancelacion del saldo al proveedor")</f>
        <v/>
      </c>
      <c r="H3162">
        <f>IF($C3162="","",Registro_Compras!$C$354)</f>
        <v/>
      </c>
    </row>
    <row r="3163">
      <c r="A3163" s="25">
        <f>IF($C3163="","",Registro_Compras!$Y$354)</f>
        <v/>
      </c>
      <c r="B3163">
        <f>IF($C3163="","","C"&amp;TEXT(INT((ROW()-5)/9)+1,"000")&amp;"-4")</f>
        <v/>
      </c>
      <c r="C3163">
        <f>IF(OR(Registro_Compras!$C$354="",Registro_Compras!$O$354="",Registro_Compras!$Y$354="",Registro_Compras!$F$354="NOTA DE CREDITO"),"","10413")</f>
        <v/>
      </c>
      <c r="D3163">
        <f>IF(OR(Registro_Compras!$C$354="",Registro_Compras!$O$354=""),"","Efectivo y Equivalentes - Cta. Cte. Operativa")</f>
        <v/>
      </c>
      <c r="E3163" s="20">
        <f>""</f>
        <v/>
      </c>
      <c r="F3163" s="20">
        <f>IF($C3163="","",IF(Registro_Compras!$F$354="RHE",(ROUND(Registro_Compras!$L$354*Registro_Compras!$N$354,2)-ROUND(Registro_Compras!$V$354*Registro_Compras!$N$354,2)),ROUND(Registro_Compras!$O$354-Registro_Compras!$S$354,2)))</f>
        <v/>
      </c>
      <c r="G3163">
        <f>IF($C3163="","","Por la cancelacion del saldo al proveedor")</f>
        <v/>
      </c>
      <c r="H3163">
        <f>IF($C3163="","",Registro_Compras!$C$354)</f>
        <v/>
      </c>
    </row>
    <row r="3164">
      <c r="A3164" s="25">
        <f>IF($C3164="","",Registro_Compras!$B$355)</f>
        <v/>
      </c>
      <c r="B3164">
        <f>IF($C3164="","","C"&amp;TEXT(INT((ROW()-5)/9)+1,"000")&amp;"-1")</f>
        <v/>
      </c>
      <c r="C3164">
        <f>IF(OR(Registro_Compras!$C$355="",Registro_Compras!$O$355=""),"",IF(Registro_Compras!$F$355="NOTA DE CREDITO","4212",IF(Registro_Compras!$M$355="","63",Registro_Compras!$M$355)))</f>
        <v/>
      </c>
      <c r="D3164">
        <f>IF(OR(Registro_Compras!$C$355="",Registro_Compras!$O$355=""),"",IF(Registro_Compras!$F$355="NOTA DE CREDITO","Cuentas por Pagar Comerciales - Terceros (Emitidas)",IF(Registro_Compras!$F$355="RHE","Honorarios Profesionales - Servicios de Terceros","Gastos de Servicios Prestados por Terceros")))</f>
        <v/>
      </c>
      <c r="E3164" s="20">
        <f>IF($C3164="","",IF(Registro_Compras!$F$355="NOTA DE CREDITO",ABS(Registro_Compras!$O$355),IF(Registro_Compras!$F$355="RHE",ROUND(Registro_Compras!$L$355*Registro_Compras!$N$355,2),ROUND(Registro_Compras!$J$355*Registro_Compras!$N$355,2))))</f>
        <v/>
      </c>
      <c r="F3164" s="20">
        <f>""</f>
        <v/>
      </c>
      <c r="G3164">
        <f>IF($C3164="","",IF(Registro_Compras!$F$355="NOTA DE CREDITO","Por la nota de credito "&amp;Registro_Compras!$C$355&amp;" de "&amp;Registro_Compras!$E$355&amp;" [PATRON POR CONFIRMAR CON CONTADOR]",IF(Registro_Compras!$F$355="RHE","Por el registro del recibo por honorarios "&amp;Registro_Compras!$C$355&amp;" de "&amp;Registro_Compras!$E$355&amp;" [PATRON POR CONFIRMAR CON CONTADOR]","Por el registro de la factura "&amp;Registro_Compras!$C$355&amp;" de "&amp;Registro_Compras!$E$355)))</f>
        <v/>
      </c>
      <c r="H3164">
        <f>IF($C3164="","",Registro_Compras!$C$355)</f>
        <v/>
      </c>
    </row>
    <row r="3165">
      <c r="A3165" s="25">
        <f>IF($C3165="","",Registro_Compras!$B$355)</f>
        <v/>
      </c>
      <c r="B3165">
        <f>IF($C3165="","","C"&amp;TEXT(INT((ROW()-5)/9)+1,"000")&amp;"-1")</f>
        <v/>
      </c>
      <c r="C3165">
        <f>IF(OR(Registro_Compras!$C$355="",Registro_Compras!$O$355=""),"",IF(Registro_Compras!$F$355="RHE",IF(Registro_Compras!$V$355=0,"","40172"),IF(Registro_Compras!$F$355="NOTA DE CREDITO",IF(Registro_Compras!$M$355="","63",Registro_Compras!$M$355),IF(Registro_Compras!$K$355=0,"","40111"))))</f>
        <v/>
      </c>
      <c r="D3165">
        <f>IF(OR(Registro_Compras!$C$355="",Registro_Compras!$O$355=""),"",IF(Registro_Compras!$F$355="RHE","Retencion Renta 4ta Categoria por Pagar",IF(Registro_Compras!$F$355="NOTA DE CREDITO","Gastos de Servicios Prestados por Terceros","IGV - Cuenta Propia (Credito Fiscal)")))</f>
        <v/>
      </c>
      <c r="E3165" s="20">
        <f>IF($C3165="","",IF(Registro_Compras!$F$355="FACTURA",ROUND(Registro_Compras!$K$355*Registro_Compras!$N$355,2),""))</f>
        <v/>
      </c>
      <c r="F3165" s="20">
        <f>IF($C3165="","",IF(Registro_Compras!$F$355="RHE",ROUND(Registro_Compras!$V$355*Registro_Compras!$N$355,2),IF(Registro_Compras!$F$355="NOTA DE CREDITO",ROUND(ABS(Registro_Compras!$J$355*Registro_Compras!$N$355),2),"")))</f>
        <v/>
      </c>
      <c r="G3165">
        <f>IF($C3165="","",IF(Registro_Compras!$F$355="NOTA DE CREDITO","Por la nota de credito "&amp;Registro_Compras!$C$355&amp;" de "&amp;Registro_Compras!$E$355&amp;" [PATRON POR CONFIRMAR CON CONTADOR]",IF(Registro_Compras!$F$355="RHE","Por el registro del recibo por honorarios "&amp;Registro_Compras!$C$355&amp;" de "&amp;Registro_Compras!$E$355&amp;" [PATRON POR CONFIRMAR CON CONTADOR]","Por el registro de la factura "&amp;Registro_Compras!$C$355&amp;" de "&amp;Registro_Compras!$E$355)))</f>
        <v/>
      </c>
      <c r="H3165">
        <f>IF($C3165="","",Registro_Compras!$C$355)</f>
        <v/>
      </c>
    </row>
    <row r="3166">
      <c r="A3166" s="25">
        <f>IF($C3166="","",Registro_Compras!$B$355)</f>
        <v/>
      </c>
      <c r="B3166">
        <f>IF($C3166="","","C"&amp;TEXT(INT((ROW()-5)/9)+1,"000")&amp;"-1")</f>
        <v/>
      </c>
      <c r="C3166">
        <f>IF(OR(Registro_Compras!$C$355="",Registro_Compras!$O$355=""),"",IF(Registro_Compras!$F$355="NOTA DE CREDITO",IF(Registro_Compras!$K$355=0,"","40111"),"4212"))</f>
        <v/>
      </c>
      <c r="D3166">
        <f>IF(OR(Registro_Compras!$C$355="",Registro_Compras!$O$355=""),"",IF(Registro_Compras!$F$355="NOTA DE CREDITO","IGV - Cuenta Propia (Credito Fiscal)","Cuentas por Pagar Comerciales - Terceros (Emitidas)"))</f>
        <v/>
      </c>
      <c r="E3166" s="20">
        <f>""</f>
        <v/>
      </c>
      <c r="F3166" s="20">
        <f>IF($C3166="","",IF(Registro_Compras!$F$355="NOTA DE CREDITO",ROUND(ABS(Registro_Compras!$K$355*Registro_Compras!$N$355),2),IF(Registro_Compras!$F$355="RHE",(ROUND(Registro_Compras!$L$355*Registro_Compras!$N$355,2)-ROUND(Registro_Compras!$V$355*Registro_Compras!$N$355,2)),Registro_Compras!$O$355)))</f>
        <v/>
      </c>
      <c r="G3166">
        <f>IF($C3166="","",IF(Registro_Compras!$F$355="NOTA DE CREDITO","Por la nota de credito "&amp;Registro_Compras!$C$355&amp;" de "&amp;Registro_Compras!$E$355&amp;" [PATRON POR CONFIRMAR CON CONTADOR]",IF(Registro_Compras!$F$355="RHE","Por el registro del recibo por honorarios "&amp;Registro_Compras!$C$355&amp;" de "&amp;Registro_Compras!$E$355&amp;" [PATRON POR CONFIRMAR CON CONTADOR]","Por el registro de la factura "&amp;Registro_Compras!$C$355&amp;" de "&amp;Registro_Compras!$E$355)))</f>
        <v/>
      </c>
      <c r="H3166">
        <f>IF($C3166="","",Registro_Compras!$C$355)</f>
        <v/>
      </c>
    </row>
    <row r="3167">
      <c r="A3167" s="25">
        <f>IF($C3167="","",Registro_Compras!$B$355)</f>
        <v/>
      </c>
      <c r="B3167">
        <f>IF($C3167="","","C"&amp;TEXT(INT((ROW()-5)/9)+1,"000")&amp;"-2")</f>
        <v/>
      </c>
      <c r="C3167">
        <f>IF(OR(Registro_Compras!$C$355="",Registro_Compras!$O$355=""),"",IF(Registro_Compras!$AB$355="ADMINISTRATIVO","94","95"))</f>
        <v/>
      </c>
      <c r="D3167">
        <f>IF(OR(Registro_Compras!$C$355="",Registro_Compras!$O$355=""),"",IF(Registro_Compras!$AB$355="ADMINISTRATIVO","Gastos Administrativos","Gastos de Venta y Operacion"))</f>
        <v/>
      </c>
      <c r="E3167" s="20">
        <f>IF($C3167="","",IF(Registro_Compras!$F$355="NOTA DE CREDITO","",IF(Registro_Compras!$F$355="RHE",ROUND(Registro_Compras!$L$355*Registro_Compras!$N$355,2),ROUND(Registro_Compras!$J$355*Registro_Compras!$N$355,2))))</f>
        <v/>
      </c>
      <c r="F3167" s="20">
        <f>IF($C3167="","",IF(Registro_Compras!$F$355="NOTA DE CREDITO",ROUND(ABS(Registro_Compras!$J$355*Registro_Compras!$N$355),2),""))</f>
        <v/>
      </c>
      <c r="G3167">
        <f>IF($C3167="","","Por el destino del gasto")</f>
        <v/>
      </c>
      <c r="H3167">
        <f>IF($C3167="","",Registro_Compras!$C$355)</f>
        <v/>
      </c>
    </row>
    <row r="3168">
      <c r="A3168" s="25">
        <f>IF($C3168="","",Registro_Compras!$B$355)</f>
        <v/>
      </c>
      <c r="B3168">
        <f>IF($C3168="","","C"&amp;TEXT(INT((ROW()-5)/9)+1,"000")&amp;"-2")</f>
        <v/>
      </c>
      <c r="C3168">
        <f>IF(OR(Registro_Compras!$C$355="",Registro_Compras!$O$355=""),"","79/791")</f>
        <v/>
      </c>
      <c r="D3168">
        <f>IF(OR(Registro_Compras!$C$355="",Registro_Compras!$O$355=""),"","Cargas Imputables a Cuentas de Costos y Gastos")</f>
        <v/>
      </c>
      <c r="E3168" s="20">
        <f>IF($C3168="","",IF(Registro_Compras!$F$355="NOTA DE CREDITO",ROUND(ABS(Registro_Compras!$J$355*Registro_Compras!$N$355),2),""))</f>
        <v/>
      </c>
      <c r="F3168" s="20">
        <f>IF($C3168="","",IF(Registro_Compras!$F$355="NOTA DE CREDITO","",IF(Registro_Compras!$F$355="RHE",ROUND(Registro_Compras!$L$355*Registro_Compras!$N$355,2),ROUND(Registro_Compras!$J$355*Registro_Compras!$N$355,2))))</f>
        <v/>
      </c>
      <c r="G3168">
        <f>IF($C3168="","","Por el destino del gasto")</f>
        <v/>
      </c>
      <c r="H3168">
        <f>IF($C3168="","",Registro_Compras!$C$355)</f>
        <v/>
      </c>
    </row>
    <row r="3169">
      <c r="A3169" s="25">
        <f>IF($C3169="","",Registro_Compras!$X$355)</f>
        <v/>
      </c>
      <c r="B3169">
        <f>IF($C3169="","","C"&amp;TEXT(INT((ROW()-5)/9)+1,"000")&amp;"-3")</f>
        <v/>
      </c>
      <c r="C3169">
        <f>IF(OR(Registro_Compras!$C$355="",Registro_Compras!$O$355="",Registro_Compras!$R$355&lt;&gt;"SI",Registro_Compras!$X$355=""),"","4212")</f>
        <v/>
      </c>
      <c r="D3169">
        <f>IF(OR(Registro_Compras!$C$355="",Registro_Compras!$O$355=""),"","Cuentas por Pagar Comerciales - Terceros")</f>
        <v/>
      </c>
      <c r="E3169" s="20">
        <f>IF($C3169="","",Registro_Compras!$S$355)</f>
        <v/>
      </c>
      <c r="F3169" s="20">
        <f>""</f>
        <v/>
      </c>
      <c r="G3169">
        <f>IF($C3169="","","Por el deposito de la detraccion en el Banco de la Nacion")</f>
        <v/>
      </c>
      <c r="H3169">
        <f>IF($C3169="","",Registro_Compras!$C$355)</f>
        <v/>
      </c>
    </row>
    <row r="3170">
      <c r="A3170" s="25">
        <f>IF($C3170="","",Registro_Compras!$X$355)</f>
        <v/>
      </c>
      <c r="B3170">
        <f>IF($C3170="","","C"&amp;TEXT(INT((ROW()-5)/9)+1,"000")&amp;"-3")</f>
        <v/>
      </c>
      <c r="C3170">
        <f>IF(OR(Registro_Compras!$C$355="",Registro_Compras!$O$355="",Registro_Compras!$R$355&lt;&gt;"SI",Registro_Compras!$X$355=""),"","10413")</f>
        <v/>
      </c>
      <c r="D3170">
        <f>IF(OR(Registro_Compras!$C$355="",Registro_Compras!$O$355=""),"","Efectivo y Equivalentes - Cta. Cte. Operativa")</f>
        <v/>
      </c>
      <c r="E3170" s="20">
        <f>""</f>
        <v/>
      </c>
      <c r="F3170" s="20">
        <f>IF($C3170="","",Registro_Compras!$S$355)</f>
        <v/>
      </c>
      <c r="G3170">
        <f>IF($C3170="","","Por el deposito de la detraccion en el Banco de la Nacion")</f>
        <v/>
      </c>
      <c r="H3170">
        <f>IF($C3170="","",Registro_Compras!$C$355)</f>
        <v/>
      </c>
    </row>
    <row r="3171">
      <c r="A3171" s="25">
        <f>IF($C3171="","",Registro_Compras!$Y$355)</f>
        <v/>
      </c>
      <c r="B3171">
        <f>IF($C3171="","","C"&amp;TEXT(INT((ROW()-5)/9)+1,"000")&amp;"-4")</f>
        <v/>
      </c>
      <c r="C3171">
        <f>IF(OR(Registro_Compras!$C$355="",Registro_Compras!$O$355="",Registro_Compras!$Y$355="",Registro_Compras!$F$355="NOTA DE CREDITO"),"","4212")</f>
        <v/>
      </c>
      <c r="D3171">
        <f>IF(OR(Registro_Compras!$C$355="",Registro_Compras!$O$355=""),"","Cuentas por Pagar Comerciales - Terceros")</f>
        <v/>
      </c>
      <c r="E3171" s="20">
        <f>IF($C3171="","",IF(Registro_Compras!$F$355="RHE",(ROUND(Registro_Compras!$L$355*Registro_Compras!$N$355,2)-ROUND(Registro_Compras!$V$355*Registro_Compras!$N$355,2)),ROUND(Registro_Compras!$O$355-Registro_Compras!$S$355,2)))</f>
        <v/>
      </c>
      <c r="F3171" s="20">
        <f>""</f>
        <v/>
      </c>
      <c r="G3171">
        <f>IF($C3171="","","Por la cancelacion del saldo al proveedor")</f>
        <v/>
      </c>
      <c r="H3171">
        <f>IF($C3171="","",Registro_Compras!$C$355)</f>
        <v/>
      </c>
    </row>
    <row r="3172">
      <c r="A3172" s="25">
        <f>IF($C3172="","",Registro_Compras!$Y$355)</f>
        <v/>
      </c>
      <c r="B3172">
        <f>IF($C3172="","","C"&amp;TEXT(INT((ROW()-5)/9)+1,"000")&amp;"-4")</f>
        <v/>
      </c>
      <c r="C3172">
        <f>IF(OR(Registro_Compras!$C$355="",Registro_Compras!$O$355="",Registro_Compras!$Y$355="",Registro_Compras!$F$355="NOTA DE CREDITO"),"","10413")</f>
        <v/>
      </c>
      <c r="D3172">
        <f>IF(OR(Registro_Compras!$C$355="",Registro_Compras!$O$355=""),"","Efectivo y Equivalentes - Cta. Cte. Operativa")</f>
        <v/>
      </c>
      <c r="E3172" s="20">
        <f>""</f>
        <v/>
      </c>
      <c r="F3172" s="20">
        <f>IF($C3172="","",IF(Registro_Compras!$F$355="RHE",(ROUND(Registro_Compras!$L$355*Registro_Compras!$N$355,2)-ROUND(Registro_Compras!$V$355*Registro_Compras!$N$355,2)),ROUND(Registro_Compras!$O$355-Registro_Compras!$S$355,2)))</f>
        <v/>
      </c>
      <c r="G3172">
        <f>IF($C3172="","","Por la cancelacion del saldo al proveedor")</f>
        <v/>
      </c>
      <c r="H3172">
        <f>IF($C3172="","",Registro_Compras!$C$355)</f>
        <v/>
      </c>
    </row>
    <row r="3173">
      <c r="A3173" s="25">
        <f>IF($C3173="","",Registro_Compras!$B$356)</f>
        <v/>
      </c>
      <c r="B3173">
        <f>IF($C3173="","","C"&amp;TEXT(INT((ROW()-5)/9)+1,"000")&amp;"-1")</f>
        <v/>
      </c>
      <c r="C3173">
        <f>IF(OR(Registro_Compras!$C$356="",Registro_Compras!$O$356=""),"",IF(Registro_Compras!$F$356="NOTA DE CREDITO","4212",IF(Registro_Compras!$M$356="","63",Registro_Compras!$M$356)))</f>
        <v/>
      </c>
      <c r="D3173">
        <f>IF(OR(Registro_Compras!$C$356="",Registro_Compras!$O$356=""),"",IF(Registro_Compras!$F$356="NOTA DE CREDITO","Cuentas por Pagar Comerciales - Terceros (Emitidas)",IF(Registro_Compras!$F$356="RHE","Honorarios Profesionales - Servicios de Terceros","Gastos de Servicios Prestados por Terceros")))</f>
        <v/>
      </c>
      <c r="E3173" s="20">
        <f>IF($C3173="","",IF(Registro_Compras!$F$356="NOTA DE CREDITO",ABS(Registro_Compras!$O$356),IF(Registro_Compras!$F$356="RHE",ROUND(Registro_Compras!$L$356*Registro_Compras!$N$356,2),ROUND(Registro_Compras!$J$356*Registro_Compras!$N$356,2))))</f>
        <v/>
      </c>
      <c r="F3173" s="20">
        <f>""</f>
        <v/>
      </c>
      <c r="G3173">
        <f>IF($C3173="","",IF(Registro_Compras!$F$356="NOTA DE CREDITO","Por la nota de credito "&amp;Registro_Compras!$C$356&amp;" de "&amp;Registro_Compras!$E$356&amp;" [PATRON POR CONFIRMAR CON CONTADOR]",IF(Registro_Compras!$F$356="RHE","Por el registro del recibo por honorarios "&amp;Registro_Compras!$C$356&amp;" de "&amp;Registro_Compras!$E$356&amp;" [PATRON POR CONFIRMAR CON CONTADOR]","Por el registro de la factura "&amp;Registro_Compras!$C$356&amp;" de "&amp;Registro_Compras!$E$356)))</f>
        <v/>
      </c>
      <c r="H3173">
        <f>IF($C3173="","",Registro_Compras!$C$356)</f>
        <v/>
      </c>
    </row>
    <row r="3174">
      <c r="A3174" s="25">
        <f>IF($C3174="","",Registro_Compras!$B$356)</f>
        <v/>
      </c>
      <c r="B3174">
        <f>IF($C3174="","","C"&amp;TEXT(INT((ROW()-5)/9)+1,"000")&amp;"-1")</f>
        <v/>
      </c>
      <c r="C3174">
        <f>IF(OR(Registro_Compras!$C$356="",Registro_Compras!$O$356=""),"",IF(Registro_Compras!$F$356="RHE",IF(Registro_Compras!$V$356=0,"","40172"),IF(Registro_Compras!$F$356="NOTA DE CREDITO",IF(Registro_Compras!$M$356="","63",Registro_Compras!$M$356),IF(Registro_Compras!$K$356=0,"","40111"))))</f>
        <v/>
      </c>
      <c r="D3174">
        <f>IF(OR(Registro_Compras!$C$356="",Registro_Compras!$O$356=""),"",IF(Registro_Compras!$F$356="RHE","Retencion Renta 4ta Categoria por Pagar",IF(Registro_Compras!$F$356="NOTA DE CREDITO","Gastos de Servicios Prestados por Terceros","IGV - Cuenta Propia (Credito Fiscal)")))</f>
        <v/>
      </c>
      <c r="E3174" s="20">
        <f>IF($C3174="","",IF(Registro_Compras!$F$356="FACTURA",ROUND(Registro_Compras!$K$356*Registro_Compras!$N$356,2),""))</f>
        <v/>
      </c>
      <c r="F3174" s="20">
        <f>IF($C3174="","",IF(Registro_Compras!$F$356="RHE",ROUND(Registro_Compras!$V$356*Registro_Compras!$N$356,2),IF(Registro_Compras!$F$356="NOTA DE CREDITO",ROUND(ABS(Registro_Compras!$J$356*Registro_Compras!$N$356),2),"")))</f>
        <v/>
      </c>
      <c r="G3174">
        <f>IF($C3174="","",IF(Registro_Compras!$F$356="NOTA DE CREDITO","Por la nota de credito "&amp;Registro_Compras!$C$356&amp;" de "&amp;Registro_Compras!$E$356&amp;" [PATRON POR CONFIRMAR CON CONTADOR]",IF(Registro_Compras!$F$356="RHE","Por el registro del recibo por honorarios "&amp;Registro_Compras!$C$356&amp;" de "&amp;Registro_Compras!$E$356&amp;" [PATRON POR CONFIRMAR CON CONTADOR]","Por el registro de la factura "&amp;Registro_Compras!$C$356&amp;" de "&amp;Registro_Compras!$E$356)))</f>
        <v/>
      </c>
      <c r="H3174">
        <f>IF($C3174="","",Registro_Compras!$C$356)</f>
        <v/>
      </c>
    </row>
    <row r="3175">
      <c r="A3175" s="25">
        <f>IF($C3175="","",Registro_Compras!$B$356)</f>
        <v/>
      </c>
      <c r="B3175">
        <f>IF($C3175="","","C"&amp;TEXT(INT((ROW()-5)/9)+1,"000")&amp;"-1")</f>
        <v/>
      </c>
      <c r="C3175">
        <f>IF(OR(Registro_Compras!$C$356="",Registro_Compras!$O$356=""),"",IF(Registro_Compras!$F$356="NOTA DE CREDITO",IF(Registro_Compras!$K$356=0,"","40111"),"4212"))</f>
        <v/>
      </c>
      <c r="D3175">
        <f>IF(OR(Registro_Compras!$C$356="",Registro_Compras!$O$356=""),"",IF(Registro_Compras!$F$356="NOTA DE CREDITO","IGV - Cuenta Propia (Credito Fiscal)","Cuentas por Pagar Comerciales - Terceros (Emitidas)"))</f>
        <v/>
      </c>
      <c r="E3175" s="20">
        <f>""</f>
        <v/>
      </c>
      <c r="F3175" s="20">
        <f>IF($C3175="","",IF(Registro_Compras!$F$356="NOTA DE CREDITO",ROUND(ABS(Registro_Compras!$K$356*Registro_Compras!$N$356),2),IF(Registro_Compras!$F$356="RHE",(ROUND(Registro_Compras!$L$356*Registro_Compras!$N$356,2)-ROUND(Registro_Compras!$V$356*Registro_Compras!$N$356,2)),Registro_Compras!$O$356)))</f>
        <v/>
      </c>
      <c r="G3175">
        <f>IF($C3175="","",IF(Registro_Compras!$F$356="NOTA DE CREDITO","Por la nota de credito "&amp;Registro_Compras!$C$356&amp;" de "&amp;Registro_Compras!$E$356&amp;" [PATRON POR CONFIRMAR CON CONTADOR]",IF(Registro_Compras!$F$356="RHE","Por el registro del recibo por honorarios "&amp;Registro_Compras!$C$356&amp;" de "&amp;Registro_Compras!$E$356&amp;" [PATRON POR CONFIRMAR CON CONTADOR]","Por el registro de la factura "&amp;Registro_Compras!$C$356&amp;" de "&amp;Registro_Compras!$E$356)))</f>
        <v/>
      </c>
      <c r="H3175">
        <f>IF($C3175="","",Registro_Compras!$C$356)</f>
        <v/>
      </c>
    </row>
    <row r="3176">
      <c r="A3176" s="25">
        <f>IF($C3176="","",Registro_Compras!$B$356)</f>
        <v/>
      </c>
      <c r="B3176">
        <f>IF($C3176="","","C"&amp;TEXT(INT((ROW()-5)/9)+1,"000")&amp;"-2")</f>
        <v/>
      </c>
      <c r="C3176">
        <f>IF(OR(Registro_Compras!$C$356="",Registro_Compras!$O$356=""),"",IF(Registro_Compras!$AB$356="ADMINISTRATIVO","94","95"))</f>
        <v/>
      </c>
      <c r="D3176">
        <f>IF(OR(Registro_Compras!$C$356="",Registro_Compras!$O$356=""),"",IF(Registro_Compras!$AB$356="ADMINISTRATIVO","Gastos Administrativos","Gastos de Venta y Operacion"))</f>
        <v/>
      </c>
      <c r="E3176" s="20">
        <f>IF($C3176="","",IF(Registro_Compras!$F$356="NOTA DE CREDITO","",IF(Registro_Compras!$F$356="RHE",ROUND(Registro_Compras!$L$356*Registro_Compras!$N$356,2),ROUND(Registro_Compras!$J$356*Registro_Compras!$N$356,2))))</f>
        <v/>
      </c>
      <c r="F3176" s="20">
        <f>IF($C3176="","",IF(Registro_Compras!$F$356="NOTA DE CREDITO",ROUND(ABS(Registro_Compras!$J$356*Registro_Compras!$N$356),2),""))</f>
        <v/>
      </c>
      <c r="G3176">
        <f>IF($C3176="","","Por el destino del gasto")</f>
        <v/>
      </c>
      <c r="H3176">
        <f>IF($C3176="","",Registro_Compras!$C$356)</f>
        <v/>
      </c>
    </row>
    <row r="3177">
      <c r="A3177" s="25">
        <f>IF($C3177="","",Registro_Compras!$B$356)</f>
        <v/>
      </c>
      <c r="B3177">
        <f>IF($C3177="","","C"&amp;TEXT(INT((ROW()-5)/9)+1,"000")&amp;"-2")</f>
        <v/>
      </c>
      <c r="C3177">
        <f>IF(OR(Registro_Compras!$C$356="",Registro_Compras!$O$356=""),"","79/791")</f>
        <v/>
      </c>
      <c r="D3177">
        <f>IF(OR(Registro_Compras!$C$356="",Registro_Compras!$O$356=""),"","Cargas Imputables a Cuentas de Costos y Gastos")</f>
        <v/>
      </c>
      <c r="E3177" s="20">
        <f>IF($C3177="","",IF(Registro_Compras!$F$356="NOTA DE CREDITO",ROUND(ABS(Registro_Compras!$J$356*Registro_Compras!$N$356),2),""))</f>
        <v/>
      </c>
      <c r="F3177" s="20">
        <f>IF($C3177="","",IF(Registro_Compras!$F$356="NOTA DE CREDITO","",IF(Registro_Compras!$F$356="RHE",ROUND(Registro_Compras!$L$356*Registro_Compras!$N$356,2),ROUND(Registro_Compras!$J$356*Registro_Compras!$N$356,2))))</f>
        <v/>
      </c>
      <c r="G3177">
        <f>IF($C3177="","","Por el destino del gasto")</f>
        <v/>
      </c>
      <c r="H3177">
        <f>IF($C3177="","",Registro_Compras!$C$356)</f>
        <v/>
      </c>
    </row>
    <row r="3178">
      <c r="A3178" s="25">
        <f>IF($C3178="","",Registro_Compras!$X$356)</f>
        <v/>
      </c>
      <c r="B3178">
        <f>IF($C3178="","","C"&amp;TEXT(INT((ROW()-5)/9)+1,"000")&amp;"-3")</f>
        <v/>
      </c>
      <c r="C3178">
        <f>IF(OR(Registro_Compras!$C$356="",Registro_Compras!$O$356="",Registro_Compras!$R$356&lt;&gt;"SI",Registro_Compras!$X$356=""),"","4212")</f>
        <v/>
      </c>
      <c r="D3178">
        <f>IF(OR(Registro_Compras!$C$356="",Registro_Compras!$O$356=""),"","Cuentas por Pagar Comerciales - Terceros")</f>
        <v/>
      </c>
      <c r="E3178" s="20">
        <f>IF($C3178="","",Registro_Compras!$S$356)</f>
        <v/>
      </c>
      <c r="F3178" s="20">
        <f>""</f>
        <v/>
      </c>
      <c r="G3178">
        <f>IF($C3178="","","Por el deposito de la detraccion en el Banco de la Nacion")</f>
        <v/>
      </c>
      <c r="H3178">
        <f>IF($C3178="","",Registro_Compras!$C$356)</f>
        <v/>
      </c>
    </row>
    <row r="3179">
      <c r="A3179" s="25">
        <f>IF($C3179="","",Registro_Compras!$X$356)</f>
        <v/>
      </c>
      <c r="B3179">
        <f>IF($C3179="","","C"&amp;TEXT(INT((ROW()-5)/9)+1,"000")&amp;"-3")</f>
        <v/>
      </c>
      <c r="C3179">
        <f>IF(OR(Registro_Compras!$C$356="",Registro_Compras!$O$356="",Registro_Compras!$R$356&lt;&gt;"SI",Registro_Compras!$X$356=""),"","10413")</f>
        <v/>
      </c>
      <c r="D3179">
        <f>IF(OR(Registro_Compras!$C$356="",Registro_Compras!$O$356=""),"","Efectivo y Equivalentes - Cta. Cte. Operativa")</f>
        <v/>
      </c>
      <c r="E3179" s="20">
        <f>""</f>
        <v/>
      </c>
      <c r="F3179" s="20">
        <f>IF($C3179="","",Registro_Compras!$S$356)</f>
        <v/>
      </c>
      <c r="G3179">
        <f>IF($C3179="","","Por el deposito de la detraccion en el Banco de la Nacion")</f>
        <v/>
      </c>
      <c r="H3179">
        <f>IF($C3179="","",Registro_Compras!$C$356)</f>
        <v/>
      </c>
    </row>
    <row r="3180">
      <c r="A3180" s="25">
        <f>IF($C3180="","",Registro_Compras!$Y$356)</f>
        <v/>
      </c>
      <c r="B3180">
        <f>IF($C3180="","","C"&amp;TEXT(INT((ROW()-5)/9)+1,"000")&amp;"-4")</f>
        <v/>
      </c>
      <c r="C3180">
        <f>IF(OR(Registro_Compras!$C$356="",Registro_Compras!$O$356="",Registro_Compras!$Y$356="",Registro_Compras!$F$356="NOTA DE CREDITO"),"","4212")</f>
        <v/>
      </c>
      <c r="D3180">
        <f>IF(OR(Registro_Compras!$C$356="",Registro_Compras!$O$356=""),"","Cuentas por Pagar Comerciales - Terceros")</f>
        <v/>
      </c>
      <c r="E3180" s="20">
        <f>IF($C3180="","",IF(Registro_Compras!$F$356="RHE",(ROUND(Registro_Compras!$L$356*Registro_Compras!$N$356,2)-ROUND(Registro_Compras!$V$356*Registro_Compras!$N$356,2)),ROUND(Registro_Compras!$O$356-Registro_Compras!$S$356,2)))</f>
        <v/>
      </c>
      <c r="F3180" s="20">
        <f>""</f>
        <v/>
      </c>
      <c r="G3180">
        <f>IF($C3180="","","Por la cancelacion del saldo al proveedor")</f>
        <v/>
      </c>
      <c r="H3180">
        <f>IF($C3180="","",Registro_Compras!$C$356)</f>
        <v/>
      </c>
    </row>
    <row r="3181">
      <c r="A3181" s="25">
        <f>IF($C3181="","",Registro_Compras!$Y$356)</f>
        <v/>
      </c>
      <c r="B3181">
        <f>IF($C3181="","","C"&amp;TEXT(INT((ROW()-5)/9)+1,"000")&amp;"-4")</f>
        <v/>
      </c>
      <c r="C3181">
        <f>IF(OR(Registro_Compras!$C$356="",Registro_Compras!$O$356="",Registro_Compras!$Y$356="",Registro_Compras!$F$356="NOTA DE CREDITO"),"","10413")</f>
        <v/>
      </c>
      <c r="D3181">
        <f>IF(OR(Registro_Compras!$C$356="",Registro_Compras!$O$356=""),"","Efectivo y Equivalentes - Cta. Cte. Operativa")</f>
        <v/>
      </c>
      <c r="E3181" s="20">
        <f>""</f>
        <v/>
      </c>
      <c r="F3181" s="20">
        <f>IF($C3181="","",IF(Registro_Compras!$F$356="RHE",(ROUND(Registro_Compras!$L$356*Registro_Compras!$N$356,2)-ROUND(Registro_Compras!$V$356*Registro_Compras!$N$356,2)),ROUND(Registro_Compras!$O$356-Registro_Compras!$S$356,2)))</f>
        <v/>
      </c>
      <c r="G3181">
        <f>IF($C3181="","","Por la cancelacion del saldo al proveedor")</f>
        <v/>
      </c>
      <c r="H3181">
        <f>IF($C3181="","",Registro_Compras!$C$356)</f>
        <v/>
      </c>
    </row>
    <row r="3182">
      <c r="A3182" s="25">
        <f>IF($C3182="","",Registro_Compras!$B$357)</f>
        <v/>
      </c>
      <c r="B3182">
        <f>IF($C3182="","","C"&amp;TEXT(INT((ROW()-5)/9)+1,"000")&amp;"-1")</f>
        <v/>
      </c>
      <c r="C3182">
        <f>IF(OR(Registro_Compras!$C$357="",Registro_Compras!$O$357=""),"",IF(Registro_Compras!$F$357="NOTA DE CREDITO","4212",IF(Registro_Compras!$M$357="","63",Registro_Compras!$M$357)))</f>
        <v/>
      </c>
      <c r="D3182">
        <f>IF(OR(Registro_Compras!$C$357="",Registro_Compras!$O$357=""),"",IF(Registro_Compras!$F$357="NOTA DE CREDITO","Cuentas por Pagar Comerciales - Terceros (Emitidas)",IF(Registro_Compras!$F$357="RHE","Honorarios Profesionales - Servicios de Terceros","Gastos de Servicios Prestados por Terceros")))</f>
        <v/>
      </c>
      <c r="E3182" s="20">
        <f>IF($C3182="","",IF(Registro_Compras!$F$357="NOTA DE CREDITO",ABS(Registro_Compras!$O$357),IF(Registro_Compras!$F$357="RHE",ROUND(Registro_Compras!$L$357*Registro_Compras!$N$357,2),ROUND(Registro_Compras!$J$357*Registro_Compras!$N$357,2))))</f>
        <v/>
      </c>
      <c r="F3182" s="20">
        <f>""</f>
        <v/>
      </c>
      <c r="G3182">
        <f>IF($C3182="","",IF(Registro_Compras!$F$357="NOTA DE CREDITO","Por la nota de credito "&amp;Registro_Compras!$C$357&amp;" de "&amp;Registro_Compras!$E$357&amp;" [PATRON POR CONFIRMAR CON CONTADOR]",IF(Registro_Compras!$F$357="RHE","Por el registro del recibo por honorarios "&amp;Registro_Compras!$C$357&amp;" de "&amp;Registro_Compras!$E$357&amp;" [PATRON POR CONFIRMAR CON CONTADOR]","Por el registro de la factura "&amp;Registro_Compras!$C$357&amp;" de "&amp;Registro_Compras!$E$357)))</f>
        <v/>
      </c>
      <c r="H3182">
        <f>IF($C3182="","",Registro_Compras!$C$357)</f>
        <v/>
      </c>
    </row>
    <row r="3183">
      <c r="A3183" s="25">
        <f>IF($C3183="","",Registro_Compras!$B$357)</f>
        <v/>
      </c>
      <c r="B3183">
        <f>IF($C3183="","","C"&amp;TEXT(INT((ROW()-5)/9)+1,"000")&amp;"-1")</f>
        <v/>
      </c>
      <c r="C3183">
        <f>IF(OR(Registro_Compras!$C$357="",Registro_Compras!$O$357=""),"",IF(Registro_Compras!$F$357="RHE",IF(Registro_Compras!$V$357=0,"","40172"),IF(Registro_Compras!$F$357="NOTA DE CREDITO",IF(Registro_Compras!$M$357="","63",Registro_Compras!$M$357),IF(Registro_Compras!$K$357=0,"","40111"))))</f>
        <v/>
      </c>
      <c r="D3183">
        <f>IF(OR(Registro_Compras!$C$357="",Registro_Compras!$O$357=""),"",IF(Registro_Compras!$F$357="RHE","Retencion Renta 4ta Categoria por Pagar",IF(Registro_Compras!$F$357="NOTA DE CREDITO","Gastos de Servicios Prestados por Terceros","IGV - Cuenta Propia (Credito Fiscal)")))</f>
        <v/>
      </c>
      <c r="E3183" s="20">
        <f>IF($C3183="","",IF(Registro_Compras!$F$357="FACTURA",ROUND(Registro_Compras!$K$357*Registro_Compras!$N$357,2),""))</f>
        <v/>
      </c>
      <c r="F3183" s="20">
        <f>IF($C3183="","",IF(Registro_Compras!$F$357="RHE",ROUND(Registro_Compras!$V$357*Registro_Compras!$N$357,2),IF(Registro_Compras!$F$357="NOTA DE CREDITO",ROUND(ABS(Registro_Compras!$J$357*Registro_Compras!$N$357),2),"")))</f>
        <v/>
      </c>
      <c r="G3183">
        <f>IF($C3183="","",IF(Registro_Compras!$F$357="NOTA DE CREDITO","Por la nota de credito "&amp;Registro_Compras!$C$357&amp;" de "&amp;Registro_Compras!$E$357&amp;" [PATRON POR CONFIRMAR CON CONTADOR]",IF(Registro_Compras!$F$357="RHE","Por el registro del recibo por honorarios "&amp;Registro_Compras!$C$357&amp;" de "&amp;Registro_Compras!$E$357&amp;" [PATRON POR CONFIRMAR CON CONTADOR]","Por el registro de la factura "&amp;Registro_Compras!$C$357&amp;" de "&amp;Registro_Compras!$E$357)))</f>
        <v/>
      </c>
      <c r="H3183">
        <f>IF($C3183="","",Registro_Compras!$C$357)</f>
        <v/>
      </c>
    </row>
    <row r="3184">
      <c r="A3184" s="25">
        <f>IF($C3184="","",Registro_Compras!$B$357)</f>
        <v/>
      </c>
      <c r="B3184">
        <f>IF($C3184="","","C"&amp;TEXT(INT((ROW()-5)/9)+1,"000")&amp;"-1")</f>
        <v/>
      </c>
      <c r="C3184">
        <f>IF(OR(Registro_Compras!$C$357="",Registro_Compras!$O$357=""),"",IF(Registro_Compras!$F$357="NOTA DE CREDITO",IF(Registro_Compras!$K$357=0,"","40111"),"4212"))</f>
        <v/>
      </c>
      <c r="D3184">
        <f>IF(OR(Registro_Compras!$C$357="",Registro_Compras!$O$357=""),"",IF(Registro_Compras!$F$357="NOTA DE CREDITO","IGV - Cuenta Propia (Credito Fiscal)","Cuentas por Pagar Comerciales - Terceros (Emitidas)"))</f>
        <v/>
      </c>
      <c r="E3184" s="20">
        <f>""</f>
        <v/>
      </c>
      <c r="F3184" s="20">
        <f>IF($C3184="","",IF(Registro_Compras!$F$357="NOTA DE CREDITO",ROUND(ABS(Registro_Compras!$K$357*Registro_Compras!$N$357),2),IF(Registro_Compras!$F$357="RHE",(ROUND(Registro_Compras!$L$357*Registro_Compras!$N$357,2)-ROUND(Registro_Compras!$V$357*Registro_Compras!$N$357,2)),Registro_Compras!$O$357)))</f>
        <v/>
      </c>
      <c r="G3184">
        <f>IF($C3184="","",IF(Registro_Compras!$F$357="NOTA DE CREDITO","Por la nota de credito "&amp;Registro_Compras!$C$357&amp;" de "&amp;Registro_Compras!$E$357&amp;" [PATRON POR CONFIRMAR CON CONTADOR]",IF(Registro_Compras!$F$357="RHE","Por el registro del recibo por honorarios "&amp;Registro_Compras!$C$357&amp;" de "&amp;Registro_Compras!$E$357&amp;" [PATRON POR CONFIRMAR CON CONTADOR]","Por el registro de la factura "&amp;Registro_Compras!$C$357&amp;" de "&amp;Registro_Compras!$E$357)))</f>
        <v/>
      </c>
      <c r="H3184">
        <f>IF($C3184="","",Registro_Compras!$C$357)</f>
        <v/>
      </c>
    </row>
    <row r="3185">
      <c r="A3185" s="25">
        <f>IF($C3185="","",Registro_Compras!$B$357)</f>
        <v/>
      </c>
      <c r="B3185">
        <f>IF($C3185="","","C"&amp;TEXT(INT((ROW()-5)/9)+1,"000")&amp;"-2")</f>
        <v/>
      </c>
      <c r="C3185">
        <f>IF(OR(Registro_Compras!$C$357="",Registro_Compras!$O$357=""),"",IF(Registro_Compras!$AB$357="ADMINISTRATIVO","94","95"))</f>
        <v/>
      </c>
      <c r="D3185">
        <f>IF(OR(Registro_Compras!$C$357="",Registro_Compras!$O$357=""),"",IF(Registro_Compras!$AB$357="ADMINISTRATIVO","Gastos Administrativos","Gastos de Venta y Operacion"))</f>
        <v/>
      </c>
      <c r="E3185" s="20">
        <f>IF($C3185="","",IF(Registro_Compras!$F$357="NOTA DE CREDITO","",IF(Registro_Compras!$F$357="RHE",ROUND(Registro_Compras!$L$357*Registro_Compras!$N$357,2),ROUND(Registro_Compras!$J$357*Registro_Compras!$N$357,2))))</f>
        <v/>
      </c>
      <c r="F3185" s="20">
        <f>IF($C3185="","",IF(Registro_Compras!$F$357="NOTA DE CREDITO",ROUND(ABS(Registro_Compras!$J$357*Registro_Compras!$N$357),2),""))</f>
        <v/>
      </c>
      <c r="G3185">
        <f>IF($C3185="","","Por el destino del gasto")</f>
        <v/>
      </c>
      <c r="H3185">
        <f>IF($C3185="","",Registro_Compras!$C$357)</f>
        <v/>
      </c>
    </row>
    <row r="3186">
      <c r="A3186" s="25">
        <f>IF($C3186="","",Registro_Compras!$B$357)</f>
        <v/>
      </c>
      <c r="B3186">
        <f>IF($C3186="","","C"&amp;TEXT(INT((ROW()-5)/9)+1,"000")&amp;"-2")</f>
        <v/>
      </c>
      <c r="C3186">
        <f>IF(OR(Registro_Compras!$C$357="",Registro_Compras!$O$357=""),"","79/791")</f>
        <v/>
      </c>
      <c r="D3186">
        <f>IF(OR(Registro_Compras!$C$357="",Registro_Compras!$O$357=""),"","Cargas Imputables a Cuentas de Costos y Gastos")</f>
        <v/>
      </c>
      <c r="E3186" s="20">
        <f>IF($C3186="","",IF(Registro_Compras!$F$357="NOTA DE CREDITO",ROUND(ABS(Registro_Compras!$J$357*Registro_Compras!$N$357),2),""))</f>
        <v/>
      </c>
      <c r="F3186" s="20">
        <f>IF($C3186="","",IF(Registro_Compras!$F$357="NOTA DE CREDITO","",IF(Registro_Compras!$F$357="RHE",ROUND(Registro_Compras!$L$357*Registro_Compras!$N$357,2),ROUND(Registro_Compras!$J$357*Registro_Compras!$N$357,2))))</f>
        <v/>
      </c>
      <c r="G3186">
        <f>IF($C3186="","","Por el destino del gasto")</f>
        <v/>
      </c>
      <c r="H3186">
        <f>IF($C3186="","",Registro_Compras!$C$357)</f>
        <v/>
      </c>
    </row>
    <row r="3187">
      <c r="A3187" s="25">
        <f>IF($C3187="","",Registro_Compras!$X$357)</f>
        <v/>
      </c>
      <c r="B3187">
        <f>IF($C3187="","","C"&amp;TEXT(INT((ROW()-5)/9)+1,"000")&amp;"-3")</f>
        <v/>
      </c>
      <c r="C3187">
        <f>IF(OR(Registro_Compras!$C$357="",Registro_Compras!$O$357="",Registro_Compras!$R$357&lt;&gt;"SI",Registro_Compras!$X$357=""),"","4212")</f>
        <v/>
      </c>
      <c r="D3187">
        <f>IF(OR(Registro_Compras!$C$357="",Registro_Compras!$O$357=""),"","Cuentas por Pagar Comerciales - Terceros")</f>
        <v/>
      </c>
      <c r="E3187" s="20">
        <f>IF($C3187="","",Registro_Compras!$S$357)</f>
        <v/>
      </c>
      <c r="F3187" s="20">
        <f>""</f>
        <v/>
      </c>
      <c r="G3187">
        <f>IF($C3187="","","Por el deposito de la detraccion en el Banco de la Nacion")</f>
        <v/>
      </c>
      <c r="H3187">
        <f>IF($C3187="","",Registro_Compras!$C$357)</f>
        <v/>
      </c>
    </row>
    <row r="3188">
      <c r="A3188" s="25">
        <f>IF($C3188="","",Registro_Compras!$X$357)</f>
        <v/>
      </c>
      <c r="B3188">
        <f>IF($C3188="","","C"&amp;TEXT(INT((ROW()-5)/9)+1,"000")&amp;"-3")</f>
        <v/>
      </c>
      <c r="C3188">
        <f>IF(OR(Registro_Compras!$C$357="",Registro_Compras!$O$357="",Registro_Compras!$R$357&lt;&gt;"SI",Registro_Compras!$X$357=""),"","10413")</f>
        <v/>
      </c>
      <c r="D3188">
        <f>IF(OR(Registro_Compras!$C$357="",Registro_Compras!$O$357=""),"","Efectivo y Equivalentes - Cta. Cte. Operativa")</f>
        <v/>
      </c>
      <c r="E3188" s="20">
        <f>""</f>
        <v/>
      </c>
      <c r="F3188" s="20">
        <f>IF($C3188="","",Registro_Compras!$S$357)</f>
        <v/>
      </c>
      <c r="G3188">
        <f>IF($C3188="","","Por el deposito de la detraccion en el Banco de la Nacion")</f>
        <v/>
      </c>
      <c r="H3188">
        <f>IF($C3188="","",Registro_Compras!$C$357)</f>
        <v/>
      </c>
    </row>
    <row r="3189">
      <c r="A3189" s="25">
        <f>IF($C3189="","",Registro_Compras!$Y$357)</f>
        <v/>
      </c>
      <c r="B3189">
        <f>IF($C3189="","","C"&amp;TEXT(INT((ROW()-5)/9)+1,"000")&amp;"-4")</f>
        <v/>
      </c>
      <c r="C3189">
        <f>IF(OR(Registro_Compras!$C$357="",Registro_Compras!$O$357="",Registro_Compras!$Y$357="",Registro_Compras!$F$357="NOTA DE CREDITO"),"","4212")</f>
        <v/>
      </c>
      <c r="D3189">
        <f>IF(OR(Registro_Compras!$C$357="",Registro_Compras!$O$357=""),"","Cuentas por Pagar Comerciales - Terceros")</f>
        <v/>
      </c>
      <c r="E3189" s="20">
        <f>IF($C3189="","",IF(Registro_Compras!$F$357="RHE",(ROUND(Registro_Compras!$L$357*Registro_Compras!$N$357,2)-ROUND(Registro_Compras!$V$357*Registro_Compras!$N$357,2)),ROUND(Registro_Compras!$O$357-Registro_Compras!$S$357,2)))</f>
        <v/>
      </c>
      <c r="F3189" s="20">
        <f>""</f>
        <v/>
      </c>
      <c r="G3189">
        <f>IF($C3189="","","Por la cancelacion del saldo al proveedor")</f>
        <v/>
      </c>
      <c r="H3189">
        <f>IF($C3189="","",Registro_Compras!$C$357)</f>
        <v/>
      </c>
    </row>
    <row r="3190">
      <c r="A3190" s="25">
        <f>IF($C3190="","",Registro_Compras!$Y$357)</f>
        <v/>
      </c>
      <c r="B3190">
        <f>IF($C3190="","","C"&amp;TEXT(INT((ROW()-5)/9)+1,"000")&amp;"-4")</f>
        <v/>
      </c>
      <c r="C3190">
        <f>IF(OR(Registro_Compras!$C$357="",Registro_Compras!$O$357="",Registro_Compras!$Y$357="",Registro_Compras!$F$357="NOTA DE CREDITO"),"","10413")</f>
        <v/>
      </c>
      <c r="D3190">
        <f>IF(OR(Registro_Compras!$C$357="",Registro_Compras!$O$357=""),"","Efectivo y Equivalentes - Cta. Cte. Operativa")</f>
        <v/>
      </c>
      <c r="E3190" s="20">
        <f>""</f>
        <v/>
      </c>
      <c r="F3190" s="20">
        <f>IF($C3190="","",IF(Registro_Compras!$F$357="RHE",(ROUND(Registro_Compras!$L$357*Registro_Compras!$N$357,2)-ROUND(Registro_Compras!$V$357*Registro_Compras!$N$357,2)),ROUND(Registro_Compras!$O$357-Registro_Compras!$S$357,2)))</f>
        <v/>
      </c>
      <c r="G3190">
        <f>IF($C3190="","","Por la cancelacion del saldo al proveedor")</f>
        <v/>
      </c>
      <c r="H3190">
        <f>IF($C3190="","",Registro_Compras!$C$357)</f>
        <v/>
      </c>
    </row>
    <row r="3191">
      <c r="A3191" s="25">
        <f>IF($C3191="","",Registro_Compras!$B$358)</f>
        <v/>
      </c>
      <c r="B3191">
        <f>IF($C3191="","","C"&amp;TEXT(INT((ROW()-5)/9)+1,"000")&amp;"-1")</f>
        <v/>
      </c>
      <c r="C3191">
        <f>IF(OR(Registro_Compras!$C$358="",Registro_Compras!$O$358=""),"",IF(Registro_Compras!$F$358="NOTA DE CREDITO","4212",IF(Registro_Compras!$M$358="","63",Registro_Compras!$M$358)))</f>
        <v/>
      </c>
      <c r="D3191">
        <f>IF(OR(Registro_Compras!$C$358="",Registro_Compras!$O$358=""),"",IF(Registro_Compras!$F$358="NOTA DE CREDITO","Cuentas por Pagar Comerciales - Terceros (Emitidas)",IF(Registro_Compras!$F$358="RHE","Honorarios Profesionales - Servicios de Terceros","Gastos de Servicios Prestados por Terceros")))</f>
        <v/>
      </c>
      <c r="E3191" s="20">
        <f>IF($C3191="","",IF(Registro_Compras!$F$358="NOTA DE CREDITO",ABS(Registro_Compras!$O$358),IF(Registro_Compras!$F$358="RHE",ROUND(Registro_Compras!$L$358*Registro_Compras!$N$358,2),ROUND(Registro_Compras!$J$358*Registro_Compras!$N$358,2))))</f>
        <v/>
      </c>
      <c r="F3191" s="20">
        <f>""</f>
        <v/>
      </c>
      <c r="G3191">
        <f>IF($C3191="","",IF(Registro_Compras!$F$358="NOTA DE CREDITO","Por la nota de credito "&amp;Registro_Compras!$C$358&amp;" de "&amp;Registro_Compras!$E$358&amp;" [PATRON POR CONFIRMAR CON CONTADOR]",IF(Registro_Compras!$F$358="RHE","Por el registro del recibo por honorarios "&amp;Registro_Compras!$C$358&amp;" de "&amp;Registro_Compras!$E$358&amp;" [PATRON POR CONFIRMAR CON CONTADOR]","Por el registro de la factura "&amp;Registro_Compras!$C$358&amp;" de "&amp;Registro_Compras!$E$358)))</f>
        <v/>
      </c>
      <c r="H3191">
        <f>IF($C3191="","",Registro_Compras!$C$358)</f>
        <v/>
      </c>
    </row>
    <row r="3192">
      <c r="A3192" s="25">
        <f>IF($C3192="","",Registro_Compras!$B$358)</f>
        <v/>
      </c>
      <c r="B3192">
        <f>IF($C3192="","","C"&amp;TEXT(INT((ROW()-5)/9)+1,"000")&amp;"-1")</f>
        <v/>
      </c>
      <c r="C3192">
        <f>IF(OR(Registro_Compras!$C$358="",Registro_Compras!$O$358=""),"",IF(Registro_Compras!$F$358="RHE",IF(Registro_Compras!$V$358=0,"","40172"),IF(Registro_Compras!$F$358="NOTA DE CREDITO",IF(Registro_Compras!$M$358="","63",Registro_Compras!$M$358),IF(Registro_Compras!$K$358=0,"","40111"))))</f>
        <v/>
      </c>
      <c r="D3192">
        <f>IF(OR(Registro_Compras!$C$358="",Registro_Compras!$O$358=""),"",IF(Registro_Compras!$F$358="RHE","Retencion Renta 4ta Categoria por Pagar",IF(Registro_Compras!$F$358="NOTA DE CREDITO","Gastos de Servicios Prestados por Terceros","IGV - Cuenta Propia (Credito Fiscal)")))</f>
        <v/>
      </c>
      <c r="E3192" s="20">
        <f>IF($C3192="","",IF(Registro_Compras!$F$358="FACTURA",ROUND(Registro_Compras!$K$358*Registro_Compras!$N$358,2),""))</f>
        <v/>
      </c>
      <c r="F3192" s="20">
        <f>IF($C3192="","",IF(Registro_Compras!$F$358="RHE",ROUND(Registro_Compras!$V$358*Registro_Compras!$N$358,2),IF(Registro_Compras!$F$358="NOTA DE CREDITO",ROUND(ABS(Registro_Compras!$J$358*Registro_Compras!$N$358),2),"")))</f>
        <v/>
      </c>
      <c r="G3192">
        <f>IF($C3192="","",IF(Registro_Compras!$F$358="NOTA DE CREDITO","Por la nota de credito "&amp;Registro_Compras!$C$358&amp;" de "&amp;Registro_Compras!$E$358&amp;" [PATRON POR CONFIRMAR CON CONTADOR]",IF(Registro_Compras!$F$358="RHE","Por el registro del recibo por honorarios "&amp;Registro_Compras!$C$358&amp;" de "&amp;Registro_Compras!$E$358&amp;" [PATRON POR CONFIRMAR CON CONTADOR]","Por el registro de la factura "&amp;Registro_Compras!$C$358&amp;" de "&amp;Registro_Compras!$E$358)))</f>
        <v/>
      </c>
      <c r="H3192">
        <f>IF($C3192="","",Registro_Compras!$C$358)</f>
        <v/>
      </c>
    </row>
    <row r="3193">
      <c r="A3193" s="25">
        <f>IF($C3193="","",Registro_Compras!$B$358)</f>
        <v/>
      </c>
      <c r="B3193">
        <f>IF($C3193="","","C"&amp;TEXT(INT((ROW()-5)/9)+1,"000")&amp;"-1")</f>
        <v/>
      </c>
      <c r="C3193">
        <f>IF(OR(Registro_Compras!$C$358="",Registro_Compras!$O$358=""),"",IF(Registro_Compras!$F$358="NOTA DE CREDITO",IF(Registro_Compras!$K$358=0,"","40111"),"4212"))</f>
        <v/>
      </c>
      <c r="D3193">
        <f>IF(OR(Registro_Compras!$C$358="",Registro_Compras!$O$358=""),"",IF(Registro_Compras!$F$358="NOTA DE CREDITO","IGV - Cuenta Propia (Credito Fiscal)","Cuentas por Pagar Comerciales - Terceros (Emitidas)"))</f>
        <v/>
      </c>
      <c r="E3193" s="20">
        <f>""</f>
        <v/>
      </c>
      <c r="F3193" s="20">
        <f>IF($C3193="","",IF(Registro_Compras!$F$358="NOTA DE CREDITO",ROUND(ABS(Registro_Compras!$K$358*Registro_Compras!$N$358),2),IF(Registro_Compras!$F$358="RHE",(ROUND(Registro_Compras!$L$358*Registro_Compras!$N$358,2)-ROUND(Registro_Compras!$V$358*Registro_Compras!$N$358,2)),Registro_Compras!$O$358)))</f>
        <v/>
      </c>
      <c r="G3193">
        <f>IF($C3193="","",IF(Registro_Compras!$F$358="NOTA DE CREDITO","Por la nota de credito "&amp;Registro_Compras!$C$358&amp;" de "&amp;Registro_Compras!$E$358&amp;" [PATRON POR CONFIRMAR CON CONTADOR]",IF(Registro_Compras!$F$358="RHE","Por el registro del recibo por honorarios "&amp;Registro_Compras!$C$358&amp;" de "&amp;Registro_Compras!$E$358&amp;" [PATRON POR CONFIRMAR CON CONTADOR]","Por el registro de la factura "&amp;Registro_Compras!$C$358&amp;" de "&amp;Registro_Compras!$E$358)))</f>
        <v/>
      </c>
      <c r="H3193">
        <f>IF($C3193="","",Registro_Compras!$C$358)</f>
        <v/>
      </c>
    </row>
    <row r="3194">
      <c r="A3194" s="25">
        <f>IF($C3194="","",Registro_Compras!$B$358)</f>
        <v/>
      </c>
      <c r="B3194">
        <f>IF($C3194="","","C"&amp;TEXT(INT((ROW()-5)/9)+1,"000")&amp;"-2")</f>
        <v/>
      </c>
      <c r="C3194">
        <f>IF(OR(Registro_Compras!$C$358="",Registro_Compras!$O$358=""),"",IF(Registro_Compras!$AB$358="ADMINISTRATIVO","94","95"))</f>
        <v/>
      </c>
      <c r="D3194">
        <f>IF(OR(Registro_Compras!$C$358="",Registro_Compras!$O$358=""),"",IF(Registro_Compras!$AB$358="ADMINISTRATIVO","Gastos Administrativos","Gastos de Venta y Operacion"))</f>
        <v/>
      </c>
      <c r="E3194" s="20">
        <f>IF($C3194="","",IF(Registro_Compras!$F$358="NOTA DE CREDITO","",IF(Registro_Compras!$F$358="RHE",ROUND(Registro_Compras!$L$358*Registro_Compras!$N$358,2),ROUND(Registro_Compras!$J$358*Registro_Compras!$N$358,2))))</f>
        <v/>
      </c>
      <c r="F3194" s="20">
        <f>IF($C3194="","",IF(Registro_Compras!$F$358="NOTA DE CREDITO",ROUND(ABS(Registro_Compras!$J$358*Registro_Compras!$N$358),2),""))</f>
        <v/>
      </c>
      <c r="G3194">
        <f>IF($C3194="","","Por el destino del gasto")</f>
        <v/>
      </c>
      <c r="H3194">
        <f>IF($C3194="","",Registro_Compras!$C$358)</f>
        <v/>
      </c>
    </row>
    <row r="3195">
      <c r="A3195" s="25">
        <f>IF($C3195="","",Registro_Compras!$B$358)</f>
        <v/>
      </c>
      <c r="B3195">
        <f>IF($C3195="","","C"&amp;TEXT(INT((ROW()-5)/9)+1,"000")&amp;"-2")</f>
        <v/>
      </c>
      <c r="C3195">
        <f>IF(OR(Registro_Compras!$C$358="",Registro_Compras!$O$358=""),"","79/791")</f>
        <v/>
      </c>
      <c r="D3195">
        <f>IF(OR(Registro_Compras!$C$358="",Registro_Compras!$O$358=""),"","Cargas Imputables a Cuentas de Costos y Gastos")</f>
        <v/>
      </c>
      <c r="E3195" s="20">
        <f>IF($C3195="","",IF(Registro_Compras!$F$358="NOTA DE CREDITO",ROUND(ABS(Registro_Compras!$J$358*Registro_Compras!$N$358),2),""))</f>
        <v/>
      </c>
      <c r="F3195" s="20">
        <f>IF($C3195="","",IF(Registro_Compras!$F$358="NOTA DE CREDITO","",IF(Registro_Compras!$F$358="RHE",ROUND(Registro_Compras!$L$358*Registro_Compras!$N$358,2),ROUND(Registro_Compras!$J$358*Registro_Compras!$N$358,2))))</f>
        <v/>
      </c>
      <c r="G3195">
        <f>IF($C3195="","","Por el destino del gasto")</f>
        <v/>
      </c>
      <c r="H3195">
        <f>IF($C3195="","",Registro_Compras!$C$358)</f>
        <v/>
      </c>
    </row>
    <row r="3196">
      <c r="A3196" s="25">
        <f>IF($C3196="","",Registro_Compras!$X$358)</f>
        <v/>
      </c>
      <c r="B3196">
        <f>IF($C3196="","","C"&amp;TEXT(INT((ROW()-5)/9)+1,"000")&amp;"-3")</f>
        <v/>
      </c>
      <c r="C3196">
        <f>IF(OR(Registro_Compras!$C$358="",Registro_Compras!$O$358="",Registro_Compras!$R$358&lt;&gt;"SI",Registro_Compras!$X$358=""),"","4212")</f>
        <v/>
      </c>
      <c r="D3196">
        <f>IF(OR(Registro_Compras!$C$358="",Registro_Compras!$O$358=""),"","Cuentas por Pagar Comerciales - Terceros")</f>
        <v/>
      </c>
      <c r="E3196" s="20">
        <f>IF($C3196="","",Registro_Compras!$S$358)</f>
        <v/>
      </c>
      <c r="F3196" s="20">
        <f>""</f>
        <v/>
      </c>
      <c r="G3196">
        <f>IF($C3196="","","Por el deposito de la detraccion en el Banco de la Nacion")</f>
        <v/>
      </c>
      <c r="H3196">
        <f>IF($C3196="","",Registro_Compras!$C$358)</f>
        <v/>
      </c>
    </row>
    <row r="3197">
      <c r="A3197" s="25">
        <f>IF($C3197="","",Registro_Compras!$X$358)</f>
        <v/>
      </c>
      <c r="B3197">
        <f>IF($C3197="","","C"&amp;TEXT(INT((ROW()-5)/9)+1,"000")&amp;"-3")</f>
        <v/>
      </c>
      <c r="C3197">
        <f>IF(OR(Registro_Compras!$C$358="",Registro_Compras!$O$358="",Registro_Compras!$R$358&lt;&gt;"SI",Registro_Compras!$X$358=""),"","10413")</f>
        <v/>
      </c>
      <c r="D3197">
        <f>IF(OR(Registro_Compras!$C$358="",Registro_Compras!$O$358=""),"","Efectivo y Equivalentes - Cta. Cte. Operativa")</f>
        <v/>
      </c>
      <c r="E3197" s="20">
        <f>""</f>
        <v/>
      </c>
      <c r="F3197" s="20">
        <f>IF($C3197="","",Registro_Compras!$S$358)</f>
        <v/>
      </c>
      <c r="G3197">
        <f>IF($C3197="","","Por el deposito de la detraccion en el Banco de la Nacion")</f>
        <v/>
      </c>
      <c r="H3197">
        <f>IF($C3197="","",Registro_Compras!$C$358)</f>
        <v/>
      </c>
    </row>
    <row r="3198">
      <c r="A3198" s="25">
        <f>IF($C3198="","",Registro_Compras!$Y$358)</f>
        <v/>
      </c>
      <c r="B3198">
        <f>IF($C3198="","","C"&amp;TEXT(INT((ROW()-5)/9)+1,"000")&amp;"-4")</f>
        <v/>
      </c>
      <c r="C3198">
        <f>IF(OR(Registro_Compras!$C$358="",Registro_Compras!$O$358="",Registro_Compras!$Y$358="",Registro_Compras!$F$358="NOTA DE CREDITO"),"","4212")</f>
        <v/>
      </c>
      <c r="D3198">
        <f>IF(OR(Registro_Compras!$C$358="",Registro_Compras!$O$358=""),"","Cuentas por Pagar Comerciales - Terceros")</f>
        <v/>
      </c>
      <c r="E3198" s="20">
        <f>IF($C3198="","",IF(Registro_Compras!$F$358="RHE",(ROUND(Registro_Compras!$L$358*Registro_Compras!$N$358,2)-ROUND(Registro_Compras!$V$358*Registro_Compras!$N$358,2)),ROUND(Registro_Compras!$O$358-Registro_Compras!$S$358,2)))</f>
        <v/>
      </c>
      <c r="F3198" s="20">
        <f>""</f>
        <v/>
      </c>
      <c r="G3198">
        <f>IF($C3198="","","Por la cancelacion del saldo al proveedor")</f>
        <v/>
      </c>
      <c r="H3198">
        <f>IF($C3198="","",Registro_Compras!$C$358)</f>
        <v/>
      </c>
    </row>
    <row r="3199">
      <c r="A3199" s="25">
        <f>IF($C3199="","",Registro_Compras!$Y$358)</f>
        <v/>
      </c>
      <c r="B3199">
        <f>IF($C3199="","","C"&amp;TEXT(INT((ROW()-5)/9)+1,"000")&amp;"-4")</f>
        <v/>
      </c>
      <c r="C3199">
        <f>IF(OR(Registro_Compras!$C$358="",Registro_Compras!$O$358="",Registro_Compras!$Y$358="",Registro_Compras!$F$358="NOTA DE CREDITO"),"","10413")</f>
        <v/>
      </c>
      <c r="D3199">
        <f>IF(OR(Registro_Compras!$C$358="",Registro_Compras!$O$358=""),"","Efectivo y Equivalentes - Cta. Cte. Operativa")</f>
        <v/>
      </c>
      <c r="E3199" s="20">
        <f>""</f>
        <v/>
      </c>
      <c r="F3199" s="20">
        <f>IF($C3199="","",IF(Registro_Compras!$F$358="RHE",(ROUND(Registro_Compras!$L$358*Registro_Compras!$N$358,2)-ROUND(Registro_Compras!$V$358*Registro_Compras!$N$358,2)),ROUND(Registro_Compras!$O$358-Registro_Compras!$S$358,2)))</f>
        <v/>
      </c>
      <c r="G3199">
        <f>IF($C3199="","","Por la cancelacion del saldo al proveedor")</f>
        <v/>
      </c>
      <c r="H3199">
        <f>IF($C3199="","",Registro_Compras!$C$358)</f>
        <v/>
      </c>
    </row>
    <row r="3200">
      <c r="A3200" s="25">
        <f>IF($C3200="","",Registro_Compras!$B$359)</f>
        <v/>
      </c>
      <c r="B3200">
        <f>IF($C3200="","","C"&amp;TEXT(INT((ROW()-5)/9)+1,"000")&amp;"-1")</f>
        <v/>
      </c>
      <c r="C3200">
        <f>IF(OR(Registro_Compras!$C$359="",Registro_Compras!$O$359=""),"",IF(Registro_Compras!$F$359="NOTA DE CREDITO","4212",IF(Registro_Compras!$M$359="","63",Registro_Compras!$M$359)))</f>
        <v/>
      </c>
      <c r="D3200">
        <f>IF(OR(Registro_Compras!$C$359="",Registro_Compras!$O$359=""),"",IF(Registro_Compras!$F$359="NOTA DE CREDITO","Cuentas por Pagar Comerciales - Terceros (Emitidas)",IF(Registro_Compras!$F$359="RHE","Honorarios Profesionales - Servicios de Terceros","Gastos de Servicios Prestados por Terceros")))</f>
        <v/>
      </c>
      <c r="E3200" s="20">
        <f>IF($C3200="","",IF(Registro_Compras!$F$359="NOTA DE CREDITO",ABS(Registro_Compras!$O$359),IF(Registro_Compras!$F$359="RHE",ROUND(Registro_Compras!$L$359*Registro_Compras!$N$359,2),ROUND(Registro_Compras!$J$359*Registro_Compras!$N$359,2))))</f>
        <v/>
      </c>
      <c r="F3200" s="20">
        <f>""</f>
        <v/>
      </c>
      <c r="G3200">
        <f>IF($C3200="","",IF(Registro_Compras!$F$359="NOTA DE CREDITO","Por la nota de credito "&amp;Registro_Compras!$C$359&amp;" de "&amp;Registro_Compras!$E$359&amp;" [PATRON POR CONFIRMAR CON CONTADOR]",IF(Registro_Compras!$F$359="RHE","Por el registro del recibo por honorarios "&amp;Registro_Compras!$C$359&amp;" de "&amp;Registro_Compras!$E$359&amp;" [PATRON POR CONFIRMAR CON CONTADOR]","Por el registro de la factura "&amp;Registro_Compras!$C$359&amp;" de "&amp;Registro_Compras!$E$359)))</f>
        <v/>
      </c>
      <c r="H3200">
        <f>IF($C3200="","",Registro_Compras!$C$359)</f>
        <v/>
      </c>
    </row>
    <row r="3201">
      <c r="A3201" s="25">
        <f>IF($C3201="","",Registro_Compras!$B$359)</f>
        <v/>
      </c>
      <c r="B3201">
        <f>IF($C3201="","","C"&amp;TEXT(INT((ROW()-5)/9)+1,"000")&amp;"-1")</f>
        <v/>
      </c>
      <c r="C3201">
        <f>IF(OR(Registro_Compras!$C$359="",Registro_Compras!$O$359=""),"",IF(Registro_Compras!$F$359="RHE",IF(Registro_Compras!$V$359=0,"","40172"),IF(Registro_Compras!$F$359="NOTA DE CREDITO",IF(Registro_Compras!$M$359="","63",Registro_Compras!$M$359),IF(Registro_Compras!$K$359=0,"","40111"))))</f>
        <v/>
      </c>
      <c r="D3201">
        <f>IF(OR(Registro_Compras!$C$359="",Registro_Compras!$O$359=""),"",IF(Registro_Compras!$F$359="RHE","Retencion Renta 4ta Categoria por Pagar",IF(Registro_Compras!$F$359="NOTA DE CREDITO","Gastos de Servicios Prestados por Terceros","IGV - Cuenta Propia (Credito Fiscal)")))</f>
        <v/>
      </c>
      <c r="E3201" s="20">
        <f>IF($C3201="","",IF(Registro_Compras!$F$359="FACTURA",ROUND(Registro_Compras!$K$359*Registro_Compras!$N$359,2),""))</f>
        <v/>
      </c>
      <c r="F3201" s="20">
        <f>IF($C3201="","",IF(Registro_Compras!$F$359="RHE",ROUND(Registro_Compras!$V$359*Registro_Compras!$N$359,2),IF(Registro_Compras!$F$359="NOTA DE CREDITO",ROUND(ABS(Registro_Compras!$J$359*Registro_Compras!$N$359),2),"")))</f>
        <v/>
      </c>
      <c r="G3201">
        <f>IF($C3201="","",IF(Registro_Compras!$F$359="NOTA DE CREDITO","Por la nota de credito "&amp;Registro_Compras!$C$359&amp;" de "&amp;Registro_Compras!$E$359&amp;" [PATRON POR CONFIRMAR CON CONTADOR]",IF(Registro_Compras!$F$359="RHE","Por el registro del recibo por honorarios "&amp;Registro_Compras!$C$359&amp;" de "&amp;Registro_Compras!$E$359&amp;" [PATRON POR CONFIRMAR CON CONTADOR]","Por el registro de la factura "&amp;Registro_Compras!$C$359&amp;" de "&amp;Registro_Compras!$E$359)))</f>
        <v/>
      </c>
      <c r="H3201">
        <f>IF($C3201="","",Registro_Compras!$C$359)</f>
        <v/>
      </c>
    </row>
    <row r="3202">
      <c r="A3202" s="25">
        <f>IF($C3202="","",Registro_Compras!$B$359)</f>
        <v/>
      </c>
      <c r="B3202">
        <f>IF($C3202="","","C"&amp;TEXT(INT((ROW()-5)/9)+1,"000")&amp;"-1")</f>
        <v/>
      </c>
      <c r="C3202">
        <f>IF(OR(Registro_Compras!$C$359="",Registro_Compras!$O$359=""),"",IF(Registro_Compras!$F$359="NOTA DE CREDITO",IF(Registro_Compras!$K$359=0,"","40111"),"4212"))</f>
        <v/>
      </c>
      <c r="D3202">
        <f>IF(OR(Registro_Compras!$C$359="",Registro_Compras!$O$359=""),"",IF(Registro_Compras!$F$359="NOTA DE CREDITO","IGV - Cuenta Propia (Credito Fiscal)","Cuentas por Pagar Comerciales - Terceros (Emitidas)"))</f>
        <v/>
      </c>
      <c r="E3202" s="20">
        <f>""</f>
        <v/>
      </c>
      <c r="F3202" s="20">
        <f>IF($C3202="","",IF(Registro_Compras!$F$359="NOTA DE CREDITO",ROUND(ABS(Registro_Compras!$K$359*Registro_Compras!$N$359),2),IF(Registro_Compras!$F$359="RHE",(ROUND(Registro_Compras!$L$359*Registro_Compras!$N$359,2)-ROUND(Registro_Compras!$V$359*Registro_Compras!$N$359,2)),Registro_Compras!$O$359)))</f>
        <v/>
      </c>
      <c r="G3202">
        <f>IF($C3202="","",IF(Registro_Compras!$F$359="NOTA DE CREDITO","Por la nota de credito "&amp;Registro_Compras!$C$359&amp;" de "&amp;Registro_Compras!$E$359&amp;" [PATRON POR CONFIRMAR CON CONTADOR]",IF(Registro_Compras!$F$359="RHE","Por el registro del recibo por honorarios "&amp;Registro_Compras!$C$359&amp;" de "&amp;Registro_Compras!$E$359&amp;" [PATRON POR CONFIRMAR CON CONTADOR]","Por el registro de la factura "&amp;Registro_Compras!$C$359&amp;" de "&amp;Registro_Compras!$E$359)))</f>
        <v/>
      </c>
      <c r="H3202">
        <f>IF($C3202="","",Registro_Compras!$C$359)</f>
        <v/>
      </c>
    </row>
    <row r="3203">
      <c r="A3203" s="25">
        <f>IF($C3203="","",Registro_Compras!$B$359)</f>
        <v/>
      </c>
      <c r="B3203">
        <f>IF($C3203="","","C"&amp;TEXT(INT((ROW()-5)/9)+1,"000")&amp;"-2")</f>
        <v/>
      </c>
      <c r="C3203">
        <f>IF(OR(Registro_Compras!$C$359="",Registro_Compras!$O$359=""),"",IF(Registro_Compras!$AB$359="ADMINISTRATIVO","94","95"))</f>
        <v/>
      </c>
      <c r="D3203">
        <f>IF(OR(Registro_Compras!$C$359="",Registro_Compras!$O$359=""),"",IF(Registro_Compras!$AB$359="ADMINISTRATIVO","Gastos Administrativos","Gastos de Venta y Operacion"))</f>
        <v/>
      </c>
      <c r="E3203" s="20">
        <f>IF($C3203="","",IF(Registro_Compras!$F$359="NOTA DE CREDITO","",IF(Registro_Compras!$F$359="RHE",ROUND(Registro_Compras!$L$359*Registro_Compras!$N$359,2),ROUND(Registro_Compras!$J$359*Registro_Compras!$N$359,2))))</f>
        <v/>
      </c>
      <c r="F3203" s="20">
        <f>IF($C3203="","",IF(Registro_Compras!$F$359="NOTA DE CREDITO",ROUND(ABS(Registro_Compras!$J$359*Registro_Compras!$N$359),2),""))</f>
        <v/>
      </c>
      <c r="G3203">
        <f>IF($C3203="","","Por el destino del gasto")</f>
        <v/>
      </c>
      <c r="H3203">
        <f>IF($C3203="","",Registro_Compras!$C$359)</f>
        <v/>
      </c>
    </row>
    <row r="3204">
      <c r="A3204" s="25">
        <f>IF($C3204="","",Registro_Compras!$B$359)</f>
        <v/>
      </c>
      <c r="B3204">
        <f>IF($C3204="","","C"&amp;TEXT(INT((ROW()-5)/9)+1,"000")&amp;"-2")</f>
        <v/>
      </c>
      <c r="C3204">
        <f>IF(OR(Registro_Compras!$C$359="",Registro_Compras!$O$359=""),"","79/791")</f>
        <v/>
      </c>
      <c r="D3204">
        <f>IF(OR(Registro_Compras!$C$359="",Registro_Compras!$O$359=""),"","Cargas Imputables a Cuentas de Costos y Gastos")</f>
        <v/>
      </c>
      <c r="E3204" s="20">
        <f>IF($C3204="","",IF(Registro_Compras!$F$359="NOTA DE CREDITO",ROUND(ABS(Registro_Compras!$J$359*Registro_Compras!$N$359),2),""))</f>
        <v/>
      </c>
      <c r="F3204" s="20">
        <f>IF($C3204="","",IF(Registro_Compras!$F$359="NOTA DE CREDITO","",IF(Registro_Compras!$F$359="RHE",ROUND(Registro_Compras!$L$359*Registro_Compras!$N$359,2),ROUND(Registro_Compras!$J$359*Registro_Compras!$N$359,2))))</f>
        <v/>
      </c>
      <c r="G3204">
        <f>IF($C3204="","","Por el destino del gasto")</f>
        <v/>
      </c>
      <c r="H3204">
        <f>IF($C3204="","",Registro_Compras!$C$359)</f>
        <v/>
      </c>
    </row>
    <row r="3205">
      <c r="A3205" s="25">
        <f>IF($C3205="","",Registro_Compras!$X$359)</f>
        <v/>
      </c>
      <c r="B3205">
        <f>IF($C3205="","","C"&amp;TEXT(INT((ROW()-5)/9)+1,"000")&amp;"-3")</f>
        <v/>
      </c>
      <c r="C3205">
        <f>IF(OR(Registro_Compras!$C$359="",Registro_Compras!$O$359="",Registro_Compras!$R$359&lt;&gt;"SI",Registro_Compras!$X$359=""),"","4212")</f>
        <v/>
      </c>
      <c r="D3205">
        <f>IF(OR(Registro_Compras!$C$359="",Registro_Compras!$O$359=""),"","Cuentas por Pagar Comerciales - Terceros")</f>
        <v/>
      </c>
      <c r="E3205" s="20">
        <f>IF($C3205="","",Registro_Compras!$S$359)</f>
        <v/>
      </c>
      <c r="F3205" s="20">
        <f>""</f>
        <v/>
      </c>
      <c r="G3205">
        <f>IF($C3205="","","Por el deposito de la detraccion en el Banco de la Nacion")</f>
        <v/>
      </c>
      <c r="H3205">
        <f>IF($C3205="","",Registro_Compras!$C$359)</f>
        <v/>
      </c>
    </row>
    <row r="3206">
      <c r="A3206" s="25">
        <f>IF($C3206="","",Registro_Compras!$X$359)</f>
        <v/>
      </c>
      <c r="B3206">
        <f>IF($C3206="","","C"&amp;TEXT(INT((ROW()-5)/9)+1,"000")&amp;"-3")</f>
        <v/>
      </c>
      <c r="C3206">
        <f>IF(OR(Registro_Compras!$C$359="",Registro_Compras!$O$359="",Registro_Compras!$R$359&lt;&gt;"SI",Registro_Compras!$X$359=""),"","10413")</f>
        <v/>
      </c>
      <c r="D3206">
        <f>IF(OR(Registro_Compras!$C$359="",Registro_Compras!$O$359=""),"","Efectivo y Equivalentes - Cta. Cte. Operativa")</f>
        <v/>
      </c>
      <c r="E3206" s="20">
        <f>""</f>
        <v/>
      </c>
      <c r="F3206" s="20">
        <f>IF($C3206="","",Registro_Compras!$S$359)</f>
        <v/>
      </c>
      <c r="G3206">
        <f>IF($C3206="","","Por el deposito de la detraccion en el Banco de la Nacion")</f>
        <v/>
      </c>
      <c r="H3206">
        <f>IF($C3206="","",Registro_Compras!$C$359)</f>
        <v/>
      </c>
    </row>
    <row r="3207">
      <c r="A3207" s="25">
        <f>IF($C3207="","",Registro_Compras!$Y$359)</f>
        <v/>
      </c>
      <c r="B3207">
        <f>IF($C3207="","","C"&amp;TEXT(INT((ROW()-5)/9)+1,"000")&amp;"-4")</f>
        <v/>
      </c>
      <c r="C3207">
        <f>IF(OR(Registro_Compras!$C$359="",Registro_Compras!$O$359="",Registro_Compras!$Y$359="",Registro_Compras!$F$359="NOTA DE CREDITO"),"","4212")</f>
        <v/>
      </c>
      <c r="D3207">
        <f>IF(OR(Registro_Compras!$C$359="",Registro_Compras!$O$359=""),"","Cuentas por Pagar Comerciales - Terceros")</f>
        <v/>
      </c>
      <c r="E3207" s="20">
        <f>IF($C3207="","",IF(Registro_Compras!$F$359="RHE",(ROUND(Registro_Compras!$L$359*Registro_Compras!$N$359,2)-ROUND(Registro_Compras!$V$359*Registro_Compras!$N$359,2)),ROUND(Registro_Compras!$O$359-Registro_Compras!$S$359,2)))</f>
        <v/>
      </c>
      <c r="F3207" s="20">
        <f>""</f>
        <v/>
      </c>
      <c r="G3207">
        <f>IF($C3207="","","Por la cancelacion del saldo al proveedor")</f>
        <v/>
      </c>
      <c r="H3207">
        <f>IF($C3207="","",Registro_Compras!$C$359)</f>
        <v/>
      </c>
    </row>
    <row r="3208">
      <c r="A3208" s="25">
        <f>IF($C3208="","",Registro_Compras!$Y$359)</f>
        <v/>
      </c>
      <c r="B3208">
        <f>IF($C3208="","","C"&amp;TEXT(INT((ROW()-5)/9)+1,"000")&amp;"-4")</f>
        <v/>
      </c>
      <c r="C3208">
        <f>IF(OR(Registro_Compras!$C$359="",Registro_Compras!$O$359="",Registro_Compras!$Y$359="",Registro_Compras!$F$359="NOTA DE CREDITO"),"","10413")</f>
        <v/>
      </c>
      <c r="D3208">
        <f>IF(OR(Registro_Compras!$C$359="",Registro_Compras!$O$359=""),"","Efectivo y Equivalentes - Cta. Cte. Operativa")</f>
        <v/>
      </c>
      <c r="E3208" s="20">
        <f>""</f>
        <v/>
      </c>
      <c r="F3208" s="20">
        <f>IF($C3208="","",IF(Registro_Compras!$F$359="RHE",(ROUND(Registro_Compras!$L$359*Registro_Compras!$N$359,2)-ROUND(Registro_Compras!$V$359*Registro_Compras!$N$359,2)),ROUND(Registro_Compras!$O$359-Registro_Compras!$S$359,2)))</f>
        <v/>
      </c>
      <c r="G3208">
        <f>IF($C3208="","","Por la cancelacion del saldo al proveedor")</f>
        <v/>
      </c>
      <c r="H3208">
        <f>IF($C3208="","",Registro_Compras!$C$359)</f>
        <v/>
      </c>
    </row>
    <row r="3209">
      <c r="A3209" s="25">
        <f>IF($C3209="","",Registro_Compras!$B$360)</f>
        <v/>
      </c>
      <c r="B3209">
        <f>IF($C3209="","","C"&amp;TEXT(INT((ROW()-5)/9)+1,"000")&amp;"-1")</f>
        <v/>
      </c>
      <c r="C3209">
        <f>IF(OR(Registro_Compras!$C$360="",Registro_Compras!$O$360=""),"",IF(Registro_Compras!$F$360="NOTA DE CREDITO","4212",IF(Registro_Compras!$M$360="","63",Registro_Compras!$M$360)))</f>
        <v/>
      </c>
      <c r="D3209">
        <f>IF(OR(Registro_Compras!$C$360="",Registro_Compras!$O$360=""),"",IF(Registro_Compras!$F$360="NOTA DE CREDITO","Cuentas por Pagar Comerciales - Terceros (Emitidas)",IF(Registro_Compras!$F$360="RHE","Honorarios Profesionales - Servicios de Terceros","Gastos de Servicios Prestados por Terceros")))</f>
        <v/>
      </c>
      <c r="E3209" s="20">
        <f>IF($C3209="","",IF(Registro_Compras!$F$360="NOTA DE CREDITO",ABS(Registro_Compras!$O$360),IF(Registro_Compras!$F$360="RHE",ROUND(Registro_Compras!$L$360*Registro_Compras!$N$360,2),ROUND(Registro_Compras!$J$360*Registro_Compras!$N$360,2))))</f>
        <v/>
      </c>
      <c r="F3209" s="20">
        <f>""</f>
        <v/>
      </c>
      <c r="G3209">
        <f>IF($C3209="","",IF(Registro_Compras!$F$360="NOTA DE CREDITO","Por la nota de credito "&amp;Registro_Compras!$C$360&amp;" de "&amp;Registro_Compras!$E$360&amp;" [PATRON POR CONFIRMAR CON CONTADOR]",IF(Registro_Compras!$F$360="RHE","Por el registro del recibo por honorarios "&amp;Registro_Compras!$C$360&amp;" de "&amp;Registro_Compras!$E$360&amp;" [PATRON POR CONFIRMAR CON CONTADOR]","Por el registro de la factura "&amp;Registro_Compras!$C$360&amp;" de "&amp;Registro_Compras!$E$360)))</f>
        <v/>
      </c>
      <c r="H3209">
        <f>IF($C3209="","",Registro_Compras!$C$360)</f>
        <v/>
      </c>
    </row>
    <row r="3210">
      <c r="A3210" s="25">
        <f>IF($C3210="","",Registro_Compras!$B$360)</f>
        <v/>
      </c>
      <c r="B3210">
        <f>IF($C3210="","","C"&amp;TEXT(INT((ROW()-5)/9)+1,"000")&amp;"-1")</f>
        <v/>
      </c>
      <c r="C3210">
        <f>IF(OR(Registro_Compras!$C$360="",Registro_Compras!$O$360=""),"",IF(Registro_Compras!$F$360="RHE",IF(Registro_Compras!$V$360=0,"","40172"),IF(Registro_Compras!$F$360="NOTA DE CREDITO",IF(Registro_Compras!$M$360="","63",Registro_Compras!$M$360),IF(Registro_Compras!$K$360=0,"","40111"))))</f>
        <v/>
      </c>
      <c r="D3210">
        <f>IF(OR(Registro_Compras!$C$360="",Registro_Compras!$O$360=""),"",IF(Registro_Compras!$F$360="RHE","Retencion Renta 4ta Categoria por Pagar",IF(Registro_Compras!$F$360="NOTA DE CREDITO","Gastos de Servicios Prestados por Terceros","IGV - Cuenta Propia (Credito Fiscal)")))</f>
        <v/>
      </c>
      <c r="E3210" s="20">
        <f>IF($C3210="","",IF(Registro_Compras!$F$360="FACTURA",ROUND(Registro_Compras!$K$360*Registro_Compras!$N$360,2),""))</f>
        <v/>
      </c>
      <c r="F3210" s="20">
        <f>IF($C3210="","",IF(Registro_Compras!$F$360="RHE",ROUND(Registro_Compras!$V$360*Registro_Compras!$N$360,2),IF(Registro_Compras!$F$360="NOTA DE CREDITO",ROUND(ABS(Registro_Compras!$J$360*Registro_Compras!$N$360),2),"")))</f>
        <v/>
      </c>
      <c r="G3210">
        <f>IF($C3210="","",IF(Registro_Compras!$F$360="NOTA DE CREDITO","Por la nota de credito "&amp;Registro_Compras!$C$360&amp;" de "&amp;Registro_Compras!$E$360&amp;" [PATRON POR CONFIRMAR CON CONTADOR]",IF(Registro_Compras!$F$360="RHE","Por el registro del recibo por honorarios "&amp;Registro_Compras!$C$360&amp;" de "&amp;Registro_Compras!$E$360&amp;" [PATRON POR CONFIRMAR CON CONTADOR]","Por el registro de la factura "&amp;Registro_Compras!$C$360&amp;" de "&amp;Registro_Compras!$E$360)))</f>
        <v/>
      </c>
      <c r="H3210">
        <f>IF($C3210="","",Registro_Compras!$C$360)</f>
        <v/>
      </c>
    </row>
    <row r="3211">
      <c r="A3211" s="25">
        <f>IF($C3211="","",Registro_Compras!$B$360)</f>
        <v/>
      </c>
      <c r="B3211">
        <f>IF($C3211="","","C"&amp;TEXT(INT((ROW()-5)/9)+1,"000")&amp;"-1")</f>
        <v/>
      </c>
      <c r="C3211">
        <f>IF(OR(Registro_Compras!$C$360="",Registro_Compras!$O$360=""),"",IF(Registro_Compras!$F$360="NOTA DE CREDITO",IF(Registro_Compras!$K$360=0,"","40111"),"4212"))</f>
        <v/>
      </c>
      <c r="D3211">
        <f>IF(OR(Registro_Compras!$C$360="",Registro_Compras!$O$360=""),"",IF(Registro_Compras!$F$360="NOTA DE CREDITO","IGV - Cuenta Propia (Credito Fiscal)","Cuentas por Pagar Comerciales - Terceros (Emitidas)"))</f>
        <v/>
      </c>
      <c r="E3211" s="20">
        <f>""</f>
        <v/>
      </c>
      <c r="F3211" s="20">
        <f>IF($C3211="","",IF(Registro_Compras!$F$360="NOTA DE CREDITO",ROUND(ABS(Registro_Compras!$K$360*Registro_Compras!$N$360),2),IF(Registro_Compras!$F$360="RHE",(ROUND(Registro_Compras!$L$360*Registro_Compras!$N$360,2)-ROUND(Registro_Compras!$V$360*Registro_Compras!$N$360,2)),Registro_Compras!$O$360)))</f>
        <v/>
      </c>
      <c r="G3211">
        <f>IF($C3211="","",IF(Registro_Compras!$F$360="NOTA DE CREDITO","Por la nota de credito "&amp;Registro_Compras!$C$360&amp;" de "&amp;Registro_Compras!$E$360&amp;" [PATRON POR CONFIRMAR CON CONTADOR]",IF(Registro_Compras!$F$360="RHE","Por el registro del recibo por honorarios "&amp;Registro_Compras!$C$360&amp;" de "&amp;Registro_Compras!$E$360&amp;" [PATRON POR CONFIRMAR CON CONTADOR]","Por el registro de la factura "&amp;Registro_Compras!$C$360&amp;" de "&amp;Registro_Compras!$E$360)))</f>
        <v/>
      </c>
      <c r="H3211">
        <f>IF($C3211="","",Registro_Compras!$C$360)</f>
        <v/>
      </c>
    </row>
    <row r="3212">
      <c r="A3212" s="25">
        <f>IF($C3212="","",Registro_Compras!$B$360)</f>
        <v/>
      </c>
      <c r="B3212">
        <f>IF($C3212="","","C"&amp;TEXT(INT((ROW()-5)/9)+1,"000")&amp;"-2")</f>
        <v/>
      </c>
      <c r="C3212">
        <f>IF(OR(Registro_Compras!$C$360="",Registro_Compras!$O$360=""),"",IF(Registro_Compras!$AB$360="ADMINISTRATIVO","94","95"))</f>
        <v/>
      </c>
      <c r="D3212">
        <f>IF(OR(Registro_Compras!$C$360="",Registro_Compras!$O$360=""),"",IF(Registro_Compras!$AB$360="ADMINISTRATIVO","Gastos Administrativos","Gastos de Venta y Operacion"))</f>
        <v/>
      </c>
      <c r="E3212" s="20">
        <f>IF($C3212="","",IF(Registro_Compras!$F$360="NOTA DE CREDITO","",IF(Registro_Compras!$F$360="RHE",ROUND(Registro_Compras!$L$360*Registro_Compras!$N$360,2),ROUND(Registro_Compras!$J$360*Registro_Compras!$N$360,2))))</f>
        <v/>
      </c>
      <c r="F3212" s="20">
        <f>IF($C3212="","",IF(Registro_Compras!$F$360="NOTA DE CREDITO",ROUND(ABS(Registro_Compras!$J$360*Registro_Compras!$N$360),2),""))</f>
        <v/>
      </c>
      <c r="G3212">
        <f>IF($C3212="","","Por el destino del gasto")</f>
        <v/>
      </c>
      <c r="H3212">
        <f>IF($C3212="","",Registro_Compras!$C$360)</f>
        <v/>
      </c>
    </row>
    <row r="3213">
      <c r="A3213" s="25">
        <f>IF($C3213="","",Registro_Compras!$B$360)</f>
        <v/>
      </c>
      <c r="B3213">
        <f>IF($C3213="","","C"&amp;TEXT(INT((ROW()-5)/9)+1,"000")&amp;"-2")</f>
        <v/>
      </c>
      <c r="C3213">
        <f>IF(OR(Registro_Compras!$C$360="",Registro_Compras!$O$360=""),"","79/791")</f>
        <v/>
      </c>
      <c r="D3213">
        <f>IF(OR(Registro_Compras!$C$360="",Registro_Compras!$O$360=""),"","Cargas Imputables a Cuentas de Costos y Gastos")</f>
        <v/>
      </c>
      <c r="E3213" s="20">
        <f>IF($C3213="","",IF(Registro_Compras!$F$360="NOTA DE CREDITO",ROUND(ABS(Registro_Compras!$J$360*Registro_Compras!$N$360),2),""))</f>
        <v/>
      </c>
      <c r="F3213" s="20">
        <f>IF($C3213="","",IF(Registro_Compras!$F$360="NOTA DE CREDITO","",IF(Registro_Compras!$F$360="RHE",ROUND(Registro_Compras!$L$360*Registro_Compras!$N$360,2),ROUND(Registro_Compras!$J$360*Registro_Compras!$N$360,2))))</f>
        <v/>
      </c>
      <c r="G3213">
        <f>IF($C3213="","","Por el destino del gasto")</f>
        <v/>
      </c>
      <c r="H3213">
        <f>IF($C3213="","",Registro_Compras!$C$360)</f>
        <v/>
      </c>
    </row>
    <row r="3214">
      <c r="A3214" s="25">
        <f>IF($C3214="","",Registro_Compras!$X$360)</f>
        <v/>
      </c>
      <c r="B3214">
        <f>IF($C3214="","","C"&amp;TEXT(INT((ROW()-5)/9)+1,"000")&amp;"-3")</f>
        <v/>
      </c>
      <c r="C3214">
        <f>IF(OR(Registro_Compras!$C$360="",Registro_Compras!$O$360="",Registro_Compras!$R$360&lt;&gt;"SI",Registro_Compras!$X$360=""),"","4212")</f>
        <v/>
      </c>
      <c r="D3214">
        <f>IF(OR(Registro_Compras!$C$360="",Registro_Compras!$O$360=""),"","Cuentas por Pagar Comerciales - Terceros")</f>
        <v/>
      </c>
      <c r="E3214" s="20">
        <f>IF($C3214="","",Registro_Compras!$S$360)</f>
        <v/>
      </c>
      <c r="F3214" s="20">
        <f>""</f>
        <v/>
      </c>
      <c r="G3214">
        <f>IF($C3214="","","Por el deposito de la detraccion en el Banco de la Nacion")</f>
        <v/>
      </c>
      <c r="H3214">
        <f>IF($C3214="","",Registro_Compras!$C$360)</f>
        <v/>
      </c>
    </row>
    <row r="3215">
      <c r="A3215" s="25">
        <f>IF($C3215="","",Registro_Compras!$X$360)</f>
        <v/>
      </c>
      <c r="B3215">
        <f>IF($C3215="","","C"&amp;TEXT(INT((ROW()-5)/9)+1,"000")&amp;"-3")</f>
        <v/>
      </c>
      <c r="C3215">
        <f>IF(OR(Registro_Compras!$C$360="",Registro_Compras!$O$360="",Registro_Compras!$R$360&lt;&gt;"SI",Registro_Compras!$X$360=""),"","10413")</f>
        <v/>
      </c>
      <c r="D3215">
        <f>IF(OR(Registro_Compras!$C$360="",Registro_Compras!$O$360=""),"","Efectivo y Equivalentes - Cta. Cte. Operativa")</f>
        <v/>
      </c>
      <c r="E3215" s="20">
        <f>""</f>
        <v/>
      </c>
      <c r="F3215" s="20">
        <f>IF($C3215="","",Registro_Compras!$S$360)</f>
        <v/>
      </c>
      <c r="G3215">
        <f>IF($C3215="","","Por el deposito de la detraccion en el Banco de la Nacion")</f>
        <v/>
      </c>
      <c r="H3215">
        <f>IF($C3215="","",Registro_Compras!$C$360)</f>
        <v/>
      </c>
    </row>
    <row r="3216">
      <c r="A3216" s="25">
        <f>IF($C3216="","",Registro_Compras!$Y$360)</f>
        <v/>
      </c>
      <c r="B3216">
        <f>IF($C3216="","","C"&amp;TEXT(INT((ROW()-5)/9)+1,"000")&amp;"-4")</f>
        <v/>
      </c>
      <c r="C3216">
        <f>IF(OR(Registro_Compras!$C$360="",Registro_Compras!$O$360="",Registro_Compras!$Y$360="",Registro_Compras!$F$360="NOTA DE CREDITO"),"","4212")</f>
        <v/>
      </c>
      <c r="D3216">
        <f>IF(OR(Registro_Compras!$C$360="",Registro_Compras!$O$360=""),"","Cuentas por Pagar Comerciales - Terceros")</f>
        <v/>
      </c>
      <c r="E3216" s="20">
        <f>IF($C3216="","",IF(Registro_Compras!$F$360="RHE",(ROUND(Registro_Compras!$L$360*Registro_Compras!$N$360,2)-ROUND(Registro_Compras!$V$360*Registro_Compras!$N$360,2)),ROUND(Registro_Compras!$O$360-Registro_Compras!$S$360,2)))</f>
        <v/>
      </c>
      <c r="F3216" s="20">
        <f>""</f>
        <v/>
      </c>
      <c r="G3216">
        <f>IF($C3216="","","Por la cancelacion del saldo al proveedor")</f>
        <v/>
      </c>
      <c r="H3216">
        <f>IF($C3216="","",Registro_Compras!$C$360)</f>
        <v/>
      </c>
    </row>
    <row r="3217">
      <c r="A3217" s="25">
        <f>IF($C3217="","",Registro_Compras!$Y$360)</f>
        <v/>
      </c>
      <c r="B3217">
        <f>IF($C3217="","","C"&amp;TEXT(INT((ROW()-5)/9)+1,"000")&amp;"-4")</f>
        <v/>
      </c>
      <c r="C3217">
        <f>IF(OR(Registro_Compras!$C$360="",Registro_Compras!$O$360="",Registro_Compras!$Y$360="",Registro_Compras!$F$360="NOTA DE CREDITO"),"","10413")</f>
        <v/>
      </c>
      <c r="D3217">
        <f>IF(OR(Registro_Compras!$C$360="",Registro_Compras!$O$360=""),"","Efectivo y Equivalentes - Cta. Cte. Operativa")</f>
        <v/>
      </c>
      <c r="E3217" s="20">
        <f>""</f>
        <v/>
      </c>
      <c r="F3217" s="20">
        <f>IF($C3217="","",IF(Registro_Compras!$F$360="RHE",(ROUND(Registro_Compras!$L$360*Registro_Compras!$N$360,2)-ROUND(Registro_Compras!$V$360*Registro_Compras!$N$360,2)),ROUND(Registro_Compras!$O$360-Registro_Compras!$S$360,2)))</f>
        <v/>
      </c>
      <c r="G3217">
        <f>IF($C3217="","","Por la cancelacion del saldo al proveedor")</f>
        <v/>
      </c>
      <c r="H3217">
        <f>IF($C3217="","",Registro_Compras!$C$360)</f>
        <v/>
      </c>
    </row>
    <row r="3218">
      <c r="A3218" s="25">
        <f>IF($C3218="","",Registro_Compras!$B$361)</f>
        <v/>
      </c>
      <c r="B3218">
        <f>IF($C3218="","","C"&amp;TEXT(INT((ROW()-5)/9)+1,"000")&amp;"-1")</f>
        <v/>
      </c>
      <c r="C3218">
        <f>IF(OR(Registro_Compras!$C$361="",Registro_Compras!$O$361=""),"",IF(Registro_Compras!$F$361="NOTA DE CREDITO","4212",IF(Registro_Compras!$M$361="","63",Registro_Compras!$M$361)))</f>
        <v/>
      </c>
      <c r="D3218">
        <f>IF(OR(Registro_Compras!$C$361="",Registro_Compras!$O$361=""),"",IF(Registro_Compras!$F$361="NOTA DE CREDITO","Cuentas por Pagar Comerciales - Terceros (Emitidas)",IF(Registro_Compras!$F$361="RHE","Honorarios Profesionales - Servicios de Terceros","Gastos de Servicios Prestados por Terceros")))</f>
        <v/>
      </c>
      <c r="E3218" s="20">
        <f>IF($C3218="","",IF(Registro_Compras!$F$361="NOTA DE CREDITO",ABS(Registro_Compras!$O$361),IF(Registro_Compras!$F$361="RHE",ROUND(Registro_Compras!$L$361*Registro_Compras!$N$361,2),ROUND(Registro_Compras!$J$361*Registro_Compras!$N$361,2))))</f>
        <v/>
      </c>
      <c r="F3218" s="20">
        <f>""</f>
        <v/>
      </c>
      <c r="G3218">
        <f>IF($C3218="","",IF(Registro_Compras!$F$361="NOTA DE CREDITO","Por la nota de credito "&amp;Registro_Compras!$C$361&amp;" de "&amp;Registro_Compras!$E$361&amp;" [PATRON POR CONFIRMAR CON CONTADOR]",IF(Registro_Compras!$F$361="RHE","Por el registro del recibo por honorarios "&amp;Registro_Compras!$C$361&amp;" de "&amp;Registro_Compras!$E$361&amp;" [PATRON POR CONFIRMAR CON CONTADOR]","Por el registro de la factura "&amp;Registro_Compras!$C$361&amp;" de "&amp;Registro_Compras!$E$361)))</f>
        <v/>
      </c>
      <c r="H3218">
        <f>IF($C3218="","",Registro_Compras!$C$361)</f>
        <v/>
      </c>
    </row>
    <row r="3219">
      <c r="A3219" s="25">
        <f>IF($C3219="","",Registro_Compras!$B$361)</f>
        <v/>
      </c>
      <c r="B3219">
        <f>IF($C3219="","","C"&amp;TEXT(INT((ROW()-5)/9)+1,"000")&amp;"-1")</f>
        <v/>
      </c>
      <c r="C3219">
        <f>IF(OR(Registro_Compras!$C$361="",Registro_Compras!$O$361=""),"",IF(Registro_Compras!$F$361="RHE",IF(Registro_Compras!$V$361=0,"","40172"),IF(Registro_Compras!$F$361="NOTA DE CREDITO",IF(Registro_Compras!$M$361="","63",Registro_Compras!$M$361),IF(Registro_Compras!$K$361=0,"","40111"))))</f>
        <v/>
      </c>
      <c r="D3219">
        <f>IF(OR(Registro_Compras!$C$361="",Registro_Compras!$O$361=""),"",IF(Registro_Compras!$F$361="RHE","Retencion Renta 4ta Categoria por Pagar",IF(Registro_Compras!$F$361="NOTA DE CREDITO","Gastos de Servicios Prestados por Terceros","IGV - Cuenta Propia (Credito Fiscal)")))</f>
        <v/>
      </c>
      <c r="E3219" s="20">
        <f>IF($C3219="","",IF(Registro_Compras!$F$361="FACTURA",ROUND(Registro_Compras!$K$361*Registro_Compras!$N$361,2),""))</f>
        <v/>
      </c>
      <c r="F3219" s="20">
        <f>IF($C3219="","",IF(Registro_Compras!$F$361="RHE",ROUND(Registro_Compras!$V$361*Registro_Compras!$N$361,2),IF(Registro_Compras!$F$361="NOTA DE CREDITO",ROUND(ABS(Registro_Compras!$J$361*Registro_Compras!$N$361),2),"")))</f>
        <v/>
      </c>
      <c r="G3219">
        <f>IF($C3219="","",IF(Registro_Compras!$F$361="NOTA DE CREDITO","Por la nota de credito "&amp;Registro_Compras!$C$361&amp;" de "&amp;Registro_Compras!$E$361&amp;" [PATRON POR CONFIRMAR CON CONTADOR]",IF(Registro_Compras!$F$361="RHE","Por el registro del recibo por honorarios "&amp;Registro_Compras!$C$361&amp;" de "&amp;Registro_Compras!$E$361&amp;" [PATRON POR CONFIRMAR CON CONTADOR]","Por el registro de la factura "&amp;Registro_Compras!$C$361&amp;" de "&amp;Registro_Compras!$E$361)))</f>
        <v/>
      </c>
      <c r="H3219">
        <f>IF($C3219="","",Registro_Compras!$C$361)</f>
        <v/>
      </c>
    </row>
    <row r="3220">
      <c r="A3220" s="25">
        <f>IF($C3220="","",Registro_Compras!$B$361)</f>
        <v/>
      </c>
      <c r="B3220">
        <f>IF($C3220="","","C"&amp;TEXT(INT((ROW()-5)/9)+1,"000")&amp;"-1")</f>
        <v/>
      </c>
      <c r="C3220">
        <f>IF(OR(Registro_Compras!$C$361="",Registro_Compras!$O$361=""),"",IF(Registro_Compras!$F$361="NOTA DE CREDITO",IF(Registro_Compras!$K$361=0,"","40111"),"4212"))</f>
        <v/>
      </c>
      <c r="D3220">
        <f>IF(OR(Registro_Compras!$C$361="",Registro_Compras!$O$361=""),"",IF(Registro_Compras!$F$361="NOTA DE CREDITO","IGV - Cuenta Propia (Credito Fiscal)","Cuentas por Pagar Comerciales - Terceros (Emitidas)"))</f>
        <v/>
      </c>
      <c r="E3220" s="20">
        <f>""</f>
        <v/>
      </c>
      <c r="F3220" s="20">
        <f>IF($C3220="","",IF(Registro_Compras!$F$361="NOTA DE CREDITO",ROUND(ABS(Registro_Compras!$K$361*Registro_Compras!$N$361),2),IF(Registro_Compras!$F$361="RHE",(ROUND(Registro_Compras!$L$361*Registro_Compras!$N$361,2)-ROUND(Registro_Compras!$V$361*Registro_Compras!$N$361,2)),Registro_Compras!$O$361)))</f>
        <v/>
      </c>
      <c r="G3220">
        <f>IF($C3220="","",IF(Registro_Compras!$F$361="NOTA DE CREDITO","Por la nota de credito "&amp;Registro_Compras!$C$361&amp;" de "&amp;Registro_Compras!$E$361&amp;" [PATRON POR CONFIRMAR CON CONTADOR]",IF(Registro_Compras!$F$361="RHE","Por el registro del recibo por honorarios "&amp;Registro_Compras!$C$361&amp;" de "&amp;Registro_Compras!$E$361&amp;" [PATRON POR CONFIRMAR CON CONTADOR]","Por el registro de la factura "&amp;Registro_Compras!$C$361&amp;" de "&amp;Registro_Compras!$E$361)))</f>
        <v/>
      </c>
      <c r="H3220">
        <f>IF($C3220="","",Registro_Compras!$C$361)</f>
        <v/>
      </c>
    </row>
    <row r="3221">
      <c r="A3221" s="25">
        <f>IF($C3221="","",Registro_Compras!$B$361)</f>
        <v/>
      </c>
      <c r="B3221">
        <f>IF($C3221="","","C"&amp;TEXT(INT((ROW()-5)/9)+1,"000")&amp;"-2")</f>
        <v/>
      </c>
      <c r="C3221">
        <f>IF(OR(Registro_Compras!$C$361="",Registro_Compras!$O$361=""),"",IF(Registro_Compras!$AB$361="ADMINISTRATIVO","94","95"))</f>
        <v/>
      </c>
      <c r="D3221">
        <f>IF(OR(Registro_Compras!$C$361="",Registro_Compras!$O$361=""),"",IF(Registro_Compras!$AB$361="ADMINISTRATIVO","Gastos Administrativos","Gastos de Venta y Operacion"))</f>
        <v/>
      </c>
      <c r="E3221" s="20">
        <f>IF($C3221="","",IF(Registro_Compras!$F$361="NOTA DE CREDITO","",IF(Registro_Compras!$F$361="RHE",ROUND(Registro_Compras!$L$361*Registro_Compras!$N$361,2),ROUND(Registro_Compras!$J$361*Registro_Compras!$N$361,2))))</f>
        <v/>
      </c>
      <c r="F3221" s="20">
        <f>IF($C3221="","",IF(Registro_Compras!$F$361="NOTA DE CREDITO",ROUND(ABS(Registro_Compras!$J$361*Registro_Compras!$N$361),2),""))</f>
        <v/>
      </c>
      <c r="G3221">
        <f>IF($C3221="","","Por el destino del gasto")</f>
        <v/>
      </c>
      <c r="H3221">
        <f>IF($C3221="","",Registro_Compras!$C$361)</f>
        <v/>
      </c>
    </row>
    <row r="3222">
      <c r="A3222" s="25">
        <f>IF($C3222="","",Registro_Compras!$B$361)</f>
        <v/>
      </c>
      <c r="B3222">
        <f>IF($C3222="","","C"&amp;TEXT(INT((ROW()-5)/9)+1,"000")&amp;"-2")</f>
        <v/>
      </c>
      <c r="C3222">
        <f>IF(OR(Registro_Compras!$C$361="",Registro_Compras!$O$361=""),"","79/791")</f>
        <v/>
      </c>
      <c r="D3222">
        <f>IF(OR(Registro_Compras!$C$361="",Registro_Compras!$O$361=""),"","Cargas Imputables a Cuentas de Costos y Gastos")</f>
        <v/>
      </c>
      <c r="E3222" s="20">
        <f>IF($C3222="","",IF(Registro_Compras!$F$361="NOTA DE CREDITO",ROUND(ABS(Registro_Compras!$J$361*Registro_Compras!$N$361),2),""))</f>
        <v/>
      </c>
      <c r="F3222" s="20">
        <f>IF($C3222="","",IF(Registro_Compras!$F$361="NOTA DE CREDITO","",IF(Registro_Compras!$F$361="RHE",ROUND(Registro_Compras!$L$361*Registro_Compras!$N$361,2),ROUND(Registro_Compras!$J$361*Registro_Compras!$N$361,2))))</f>
        <v/>
      </c>
      <c r="G3222">
        <f>IF($C3222="","","Por el destino del gasto")</f>
        <v/>
      </c>
      <c r="H3222">
        <f>IF($C3222="","",Registro_Compras!$C$361)</f>
        <v/>
      </c>
    </row>
    <row r="3223">
      <c r="A3223" s="25">
        <f>IF($C3223="","",Registro_Compras!$X$361)</f>
        <v/>
      </c>
      <c r="B3223">
        <f>IF($C3223="","","C"&amp;TEXT(INT((ROW()-5)/9)+1,"000")&amp;"-3")</f>
        <v/>
      </c>
      <c r="C3223">
        <f>IF(OR(Registro_Compras!$C$361="",Registro_Compras!$O$361="",Registro_Compras!$R$361&lt;&gt;"SI",Registro_Compras!$X$361=""),"","4212")</f>
        <v/>
      </c>
      <c r="D3223">
        <f>IF(OR(Registro_Compras!$C$361="",Registro_Compras!$O$361=""),"","Cuentas por Pagar Comerciales - Terceros")</f>
        <v/>
      </c>
      <c r="E3223" s="20">
        <f>IF($C3223="","",Registro_Compras!$S$361)</f>
        <v/>
      </c>
      <c r="F3223" s="20">
        <f>""</f>
        <v/>
      </c>
      <c r="G3223">
        <f>IF($C3223="","","Por el deposito de la detraccion en el Banco de la Nacion")</f>
        <v/>
      </c>
      <c r="H3223">
        <f>IF($C3223="","",Registro_Compras!$C$361)</f>
        <v/>
      </c>
    </row>
    <row r="3224">
      <c r="A3224" s="25">
        <f>IF($C3224="","",Registro_Compras!$X$361)</f>
        <v/>
      </c>
      <c r="B3224">
        <f>IF($C3224="","","C"&amp;TEXT(INT((ROW()-5)/9)+1,"000")&amp;"-3")</f>
        <v/>
      </c>
      <c r="C3224">
        <f>IF(OR(Registro_Compras!$C$361="",Registro_Compras!$O$361="",Registro_Compras!$R$361&lt;&gt;"SI",Registro_Compras!$X$361=""),"","10413")</f>
        <v/>
      </c>
      <c r="D3224">
        <f>IF(OR(Registro_Compras!$C$361="",Registro_Compras!$O$361=""),"","Efectivo y Equivalentes - Cta. Cte. Operativa")</f>
        <v/>
      </c>
      <c r="E3224" s="20">
        <f>""</f>
        <v/>
      </c>
      <c r="F3224" s="20">
        <f>IF($C3224="","",Registro_Compras!$S$361)</f>
        <v/>
      </c>
      <c r="G3224">
        <f>IF($C3224="","","Por el deposito de la detraccion en el Banco de la Nacion")</f>
        <v/>
      </c>
      <c r="H3224">
        <f>IF($C3224="","",Registro_Compras!$C$361)</f>
        <v/>
      </c>
    </row>
    <row r="3225">
      <c r="A3225" s="25">
        <f>IF($C3225="","",Registro_Compras!$Y$361)</f>
        <v/>
      </c>
      <c r="B3225">
        <f>IF($C3225="","","C"&amp;TEXT(INT((ROW()-5)/9)+1,"000")&amp;"-4")</f>
        <v/>
      </c>
      <c r="C3225">
        <f>IF(OR(Registro_Compras!$C$361="",Registro_Compras!$O$361="",Registro_Compras!$Y$361="",Registro_Compras!$F$361="NOTA DE CREDITO"),"","4212")</f>
        <v/>
      </c>
      <c r="D3225">
        <f>IF(OR(Registro_Compras!$C$361="",Registro_Compras!$O$361=""),"","Cuentas por Pagar Comerciales - Terceros")</f>
        <v/>
      </c>
      <c r="E3225" s="20">
        <f>IF($C3225="","",IF(Registro_Compras!$F$361="RHE",(ROUND(Registro_Compras!$L$361*Registro_Compras!$N$361,2)-ROUND(Registro_Compras!$V$361*Registro_Compras!$N$361,2)),ROUND(Registro_Compras!$O$361-Registro_Compras!$S$361,2)))</f>
        <v/>
      </c>
      <c r="F3225" s="20">
        <f>""</f>
        <v/>
      </c>
      <c r="G3225">
        <f>IF($C3225="","","Por la cancelacion del saldo al proveedor")</f>
        <v/>
      </c>
      <c r="H3225">
        <f>IF($C3225="","",Registro_Compras!$C$361)</f>
        <v/>
      </c>
    </row>
    <row r="3226">
      <c r="A3226" s="25">
        <f>IF($C3226="","",Registro_Compras!$Y$361)</f>
        <v/>
      </c>
      <c r="B3226">
        <f>IF($C3226="","","C"&amp;TEXT(INT((ROW()-5)/9)+1,"000")&amp;"-4")</f>
        <v/>
      </c>
      <c r="C3226">
        <f>IF(OR(Registro_Compras!$C$361="",Registro_Compras!$O$361="",Registro_Compras!$Y$361="",Registro_Compras!$F$361="NOTA DE CREDITO"),"","10413")</f>
        <v/>
      </c>
      <c r="D3226">
        <f>IF(OR(Registro_Compras!$C$361="",Registro_Compras!$O$361=""),"","Efectivo y Equivalentes - Cta. Cte. Operativa")</f>
        <v/>
      </c>
      <c r="E3226" s="20">
        <f>""</f>
        <v/>
      </c>
      <c r="F3226" s="20">
        <f>IF($C3226="","",IF(Registro_Compras!$F$361="RHE",(ROUND(Registro_Compras!$L$361*Registro_Compras!$N$361,2)-ROUND(Registro_Compras!$V$361*Registro_Compras!$N$361,2)),ROUND(Registro_Compras!$O$361-Registro_Compras!$S$361,2)))</f>
        <v/>
      </c>
      <c r="G3226">
        <f>IF($C3226="","","Por la cancelacion del saldo al proveedor")</f>
        <v/>
      </c>
      <c r="H3226">
        <f>IF($C3226="","",Registro_Compras!$C$361)</f>
        <v/>
      </c>
    </row>
    <row r="3227">
      <c r="A3227" s="25">
        <f>IF($C3227="","",Registro_Compras!$B$362)</f>
        <v/>
      </c>
      <c r="B3227">
        <f>IF($C3227="","","C"&amp;TEXT(INT((ROW()-5)/9)+1,"000")&amp;"-1")</f>
        <v/>
      </c>
      <c r="C3227">
        <f>IF(OR(Registro_Compras!$C$362="",Registro_Compras!$O$362=""),"",IF(Registro_Compras!$F$362="NOTA DE CREDITO","4212",IF(Registro_Compras!$M$362="","63",Registro_Compras!$M$362)))</f>
        <v/>
      </c>
      <c r="D3227">
        <f>IF(OR(Registro_Compras!$C$362="",Registro_Compras!$O$362=""),"",IF(Registro_Compras!$F$362="NOTA DE CREDITO","Cuentas por Pagar Comerciales - Terceros (Emitidas)",IF(Registro_Compras!$F$362="RHE","Honorarios Profesionales - Servicios de Terceros","Gastos de Servicios Prestados por Terceros")))</f>
        <v/>
      </c>
      <c r="E3227" s="20">
        <f>IF($C3227="","",IF(Registro_Compras!$F$362="NOTA DE CREDITO",ABS(Registro_Compras!$O$362),IF(Registro_Compras!$F$362="RHE",ROUND(Registro_Compras!$L$362*Registro_Compras!$N$362,2),ROUND(Registro_Compras!$J$362*Registro_Compras!$N$362,2))))</f>
        <v/>
      </c>
      <c r="F3227" s="20">
        <f>""</f>
        <v/>
      </c>
      <c r="G3227">
        <f>IF($C3227="","",IF(Registro_Compras!$F$362="NOTA DE CREDITO","Por la nota de credito "&amp;Registro_Compras!$C$362&amp;" de "&amp;Registro_Compras!$E$362&amp;" [PATRON POR CONFIRMAR CON CONTADOR]",IF(Registro_Compras!$F$362="RHE","Por el registro del recibo por honorarios "&amp;Registro_Compras!$C$362&amp;" de "&amp;Registro_Compras!$E$362&amp;" [PATRON POR CONFIRMAR CON CONTADOR]","Por el registro de la factura "&amp;Registro_Compras!$C$362&amp;" de "&amp;Registro_Compras!$E$362)))</f>
        <v/>
      </c>
      <c r="H3227">
        <f>IF($C3227="","",Registro_Compras!$C$362)</f>
        <v/>
      </c>
    </row>
    <row r="3228">
      <c r="A3228" s="25">
        <f>IF($C3228="","",Registro_Compras!$B$362)</f>
        <v/>
      </c>
      <c r="B3228">
        <f>IF($C3228="","","C"&amp;TEXT(INT((ROW()-5)/9)+1,"000")&amp;"-1")</f>
        <v/>
      </c>
      <c r="C3228">
        <f>IF(OR(Registro_Compras!$C$362="",Registro_Compras!$O$362=""),"",IF(Registro_Compras!$F$362="RHE",IF(Registro_Compras!$V$362=0,"","40172"),IF(Registro_Compras!$F$362="NOTA DE CREDITO",IF(Registro_Compras!$M$362="","63",Registro_Compras!$M$362),IF(Registro_Compras!$K$362=0,"","40111"))))</f>
        <v/>
      </c>
      <c r="D3228">
        <f>IF(OR(Registro_Compras!$C$362="",Registro_Compras!$O$362=""),"",IF(Registro_Compras!$F$362="RHE","Retencion Renta 4ta Categoria por Pagar",IF(Registro_Compras!$F$362="NOTA DE CREDITO","Gastos de Servicios Prestados por Terceros","IGV - Cuenta Propia (Credito Fiscal)")))</f>
        <v/>
      </c>
      <c r="E3228" s="20">
        <f>IF($C3228="","",IF(Registro_Compras!$F$362="FACTURA",ROUND(Registro_Compras!$K$362*Registro_Compras!$N$362,2),""))</f>
        <v/>
      </c>
      <c r="F3228" s="20">
        <f>IF($C3228="","",IF(Registro_Compras!$F$362="RHE",ROUND(Registro_Compras!$V$362*Registro_Compras!$N$362,2),IF(Registro_Compras!$F$362="NOTA DE CREDITO",ROUND(ABS(Registro_Compras!$J$362*Registro_Compras!$N$362),2),"")))</f>
        <v/>
      </c>
      <c r="G3228">
        <f>IF($C3228="","",IF(Registro_Compras!$F$362="NOTA DE CREDITO","Por la nota de credito "&amp;Registro_Compras!$C$362&amp;" de "&amp;Registro_Compras!$E$362&amp;" [PATRON POR CONFIRMAR CON CONTADOR]",IF(Registro_Compras!$F$362="RHE","Por el registro del recibo por honorarios "&amp;Registro_Compras!$C$362&amp;" de "&amp;Registro_Compras!$E$362&amp;" [PATRON POR CONFIRMAR CON CONTADOR]","Por el registro de la factura "&amp;Registro_Compras!$C$362&amp;" de "&amp;Registro_Compras!$E$362)))</f>
        <v/>
      </c>
      <c r="H3228">
        <f>IF($C3228="","",Registro_Compras!$C$362)</f>
        <v/>
      </c>
    </row>
    <row r="3229">
      <c r="A3229" s="25">
        <f>IF($C3229="","",Registro_Compras!$B$362)</f>
        <v/>
      </c>
      <c r="B3229">
        <f>IF($C3229="","","C"&amp;TEXT(INT((ROW()-5)/9)+1,"000")&amp;"-1")</f>
        <v/>
      </c>
      <c r="C3229">
        <f>IF(OR(Registro_Compras!$C$362="",Registro_Compras!$O$362=""),"",IF(Registro_Compras!$F$362="NOTA DE CREDITO",IF(Registro_Compras!$K$362=0,"","40111"),"4212"))</f>
        <v/>
      </c>
      <c r="D3229">
        <f>IF(OR(Registro_Compras!$C$362="",Registro_Compras!$O$362=""),"",IF(Registro_Compras!$F$362="NOTA DE CREDITO","IGV - Cuenta Propia (Credito Fiscal)","Cuentas por Pagar Comerciales - Terceros (Emitidas)"))</f>
        <v/>
      </c>
      <c r="E3229" s="20">
        <f>""</f>
        <v/>
      </c>
      <c r="F3229" s="20">
        <f>IF($C3229="","",IF(Registro_Compras!$F$362="NOTA DE CREDITO",ROUND(ABS(Registro_Compras!$K$362*Registro_Compras!$N$362),2),IF(Registro_Compras!$F$362="RHE",(ROUND(Registro_Compras!$L$362*Registro_Compras!$N$362,2)-ROUND(Registro_Compras!$V$362*Registro_Compras!$N$362,2)),Registro_Compras!$O$362)))</f>
        <v/>
      </c>
      <c r="G3229">
        <f>IF($C3229="","",IF(Registro_Compras!$F$362="NOTA DE CREDITO","Por la nota de credito "&amp;Registro_Compras!$C$362&amp;" de "&amp;Registro_Compras!$E$362&amp;" [PATRON POR CONFIRMAR CON CONTADOR]",IF(Registro_Compras!$F$362="RHE","Por el registro del recibo por honorarios "&amp;Registro_Compras!$C$362&amp;" de "&amp;Registro_Compras!$E$362&amp;" [PATRON POR CONFIRMAR CON CONTADOR]","Por el registro de la factura "&amp;Registro_Compras!$C$362&amp;" de "&amp;Registro_Compras!$E$362)))</f>
        <v/>
      </c>
      <c r="H3229">
        <f>IF($C3229="","",Registro_Compras!$C$362)</f>
        <v/>
      </c>
    </row>
    <row r="3230">
      <c r="A3230" s="25">
        <f>IF($C3230="","",Registro_Compras!$B$362)</f>
        <v/>
      </c>
      <c r="B3230">
        <f>IF($C3230="","","C"&amp;TEXT(INT((ROW()-5)/9)+1,"000")&amp;"-2")</f>
        <v/>
      </c>
      <c r="C3230">
        <f>IF(OR(Registro_Compras!$C$362="",Registro_Compras!$O$362=""),"",IF(Registro_Compras!$AB$362="ADMINISTRATIVO","94","95"))</f>
        <v/>
      </c>
      <c r="D3230">
        <f>IF(OR(Registro_Compras!$C$362="",Registro_Compras!$O$362=""),"",IF(Registro_Compras!$AB$362="ADMINISTRATIVO","Gastos Administrativos","Gastos de Venta y Operacion"))</f>
        <v/>
      </c>
      <c r="E3230" s="20">
        <f>IF($C3230="","",IF(Registro_Compras!$F$362="NOTA DE CREDITO","",IF(Registro_Compras!$F$362="RHE",ROUND(Registro_Compras!$L$362*Registro_Compras!$N$362,2),ROUND(Registro_Compras!$J$362*Registro_Compras!$N$362,2))))</f>
        <v/>
      </c>
      <c r="F3230" s="20">
        <f>IF($C3230="","",IF(Registro_Compras!$F$362="NOTA DE CREDITO",ROUND(ABS(Registro_Compras!$J$362*Registro_Compras!$N$362),2),""))</f>
        <v/>
      </c>
      <c r="G3230">
        <f>IF($C3230="","","Por el destino del gasto")</f>
        <v/>
      </c>
      <c r="H3230">
        <f>IF($C3230="","",Registro_Compras!$C$362)</f>
        <v/>
      </c>
    </row>
    <row r="3231">
      <c r="A3231" s="25">
        <f>IF($C3231="","",Registro_Compras!$B$362)</f>
        <v/>
      </c>
      <c r="B3231">
        <f>IF($C3231="","","C"&amp;TEXT(INT((ROW()-5)/9)+1,"000")&amp;"-2")</f>
        <v/>
      </c>
      <c r="C3231">
        <f>IF(OR(Registro_Compras!$C$362="",Registro_Compras!$O$362=""),"","79/791")</f>
        <v/>
      </c>
      <c r="D3231">
        <f>IF(OR(Registro_Compras!$C$362="",Registro_Compras!$O$362=""),"","Cargas Imputables a Cuentas de Costos y Gastos")</f>
        <v/>
      </c>
      <c r="E3231" s="20">
        <f>IF($C3231="","",IF(Registro_Compras!$F$362="NOTA DE CREDITO",ROUND(ABS(Registro_Compras!$J$362*Registro_Compras!$N$362),2),""))</f>
        <v/>
      </c>
      <c r="F3231" s="20">
        <f>IF($C3231="","",IF(Registro_Compras!$F$362="NOTA DE CREDITO","",IF(Registro_Compras!$F$362="RHE",ROUND(Registro_Compras!$L$362*Registro_Compras!$N$362,2),ROUND(Registro_Compras!$J$362*Registro_Compras!$N$362,2))))</f>
        <v/>
      </c>
      <c r="G3231">
        <f>IF($C3231="","","Por el destino del gasto")</f>
        <v/>
      </c>
      <c r="H3231">
        <f>IF($C3231="","",Registro_Compras!$C$362)</f>
        <v/>
      </c>
    </row>
    <row r="3232">
      <c r="A3232" s="25">
        <f>IF($C3232="","",Registro_Compras!$X$362)</f>
        <v/>
      </c>
      <c r="B3232">
        <f>IF($C3232="","","C"&amp;TEXT(INT((ROW()-5)/9)+1,"000")&amp;"-3")</f>
        <v/>
      </c>
      <c r="C3232">
        <f>IF(OR(Registro_Compras!$C$362="",Registro_Compras!$O$362="",Registro_Compras!$R$362&lt;&gt;"SI",Registro_Compras!$X$362=""),"","4212")</f>
        <v/>
      </c>
      <c r="D3232">
        <f>IF(OR(Registro_Compras!$C$362="",Registro_Compras!$O$362=""),"","Cuentas por Pagar Comerciales - Terceros")</f>
        <v/>
      </c>
      <c r="E3232" s="20">
        <f>IF($C3232="","",Registro_Compras!$S$362)</f>
        <v/>
      </c>
      <c r="F3232" s="20">
        <f>""</f>
        <v/>
      </c>
      <c r="G3232">
        <f>IF($C3232="","","Por el deposito de la detraccion en el Banco de la Nacion")</f>
        <v/>
      </c>
      <c r="H3232">
        <f>IF($C3232="","",Registro_Compras!$C$362)</f>
        <v/>
      </c>
    </row>
    <row r="3233">
      <c r="A3233" s="25">
        <f>IF($C3233="","",Registro_Compras!$X$362)</f>
        <v/>
      </c>
      <c r="B3233">
        <f>IF($C3233="","","C"&amp;TEXT(INT((ROW()-5)/9)+1,"000")&amp;"-3")</f>
        <v/>
      </c>
      <c r="C3233">
        <f>IF(OR(Registro_Compras!$C$362="",Registro_Compras!$O$362="",Registro_Compras!$R$362&lt;&gt;"SI",Registro_Compras!$X$362=""),"","10413")</f>
        <v/>
      </c>
      <c r="D3233">
        <f>IF(OR(Registro_Compras!$C$362="",Registro_Compras!$O$362=""),"","Efectivo y Equivalentes - Cta. Cte. Operativa")</f>
        <v/>
      </c>
      <c r="E3233" s="20">
        <f>""</f>
        <v/>
      </c>
      <c r="F3233" s="20">
        <f>IF($C3233="","",Registro_Compras!$S$362)</f>
        <v/>
      </c>
      <c r="G3233">
        <f>IF($C3233="","","Por el deposito de la detraccion en el Banco de la Nacion")</f>
        <v/>
      </c>
      <c r="H3233">
        <f>IF($C3233="","",Registro_Compras!$C$362)</f>
        <v/>
      </c>
    </row>
    <row r="3234">
      <c r="A3234" s="25">
        <f>IF($C3234="","",Registro_Compras!$Y$362)</f>
        <v/>
      </c>
      <c r="B3234">
        <f>IF($C3234="","","C"&amp;TEXT(INT((ROW()-5)/9)+1,"000")&amp;"-4")</f>
        <v/>
      </c>
      <c r="C3234">
        <f>IF(OR(Registro_Compras!$C$362="",Registro_Compras!$O$362="",Registro_Compras!$Y$362="",Registro_Compras!$F$362="NOTA DE CREDITO"),"","4212")</f>
        <v/>
      </c>
      <c r="D3234">
        <f>IF(OR(Registro_Compras!$C$362="",Registro_Compras!$O$362=""),"","Cuentas por Pagar Comerciales - Terceros")</f>
        <v/>
      </c>
      <c r="E3234" s="20">
        <f>IF($C3234="","",IF(Registro_Compras!$F$362="RHE",(ROUND(Registro_Compras!$L$362*Registro_Compras!$N$362,2)-ROUND(Registro_Compras!$V$362*Registro_Compras!$N$362,2)),ROUND(Registro_Compras!$O$362-Registro_Compras!$S$362,2)))</f>
        <v/>
      </c>
      <c r="F3234" s="20">
        <f>""</f>
        <v/>
      </c>
      <c r="G3234">
        <f>IF($C3234="","","Por la cancelacion del saldo al proveedor")</f>
        <v/>
      </c>
      <c r="H3234">
        <f>IF($C3234="","",Registro_Compras!$C$362)</f>
        <v/>
      </c>
    </row>
    <row r="3235">
      <c r="A3235" s="25">
        <f>IF($C3235="","",Registro_Compras!$Y$362)</f>
        <v/>
      </c>
      <c r="B3235">
        <f>IF($C3235="","","C"&amp;TEXT(INT((ROW()-5)/9)+1,"000")&amp;"-4")</f>
        <v/>
      </c>
      <c r="C3235">
        <f>IF(OR(Registro_Compras!$C$362="",Registro_Compras!$O$362="",Registro_Compras!$Y$362="",Registro_Compras!$F$362="NOTA DE CREDITO"),"","10413")</f>
        <v/>
      </c>
      <c r="D3235">
        <f>IF(OR(Registro_Compras!$C$362="",Registro_Compras!$O$362=""),"","Efectivo y Equivalentes - Cta. Cte. Operativa")</f>
        <v/>
      </c>
      <c r="E3235" s="20">
        <f>""</f>
        <v/>
      </c>
      <c r="F3235" s="20">
        <f>IF($C3235="","",IF(Registro_Compras!$F$362="RHE",(ROUND(Registro_Compras!$L$362*Registro_Compras!$N$362,2)-ROUND(Registro_Compras!$V$362*Registro_Compras!$N$362,2)),ROUND(Registro_Compras!$O$362-Registro_Compras!$S$362,2)))</f>
        <v/>
      </c>
      <c r="G3235">
        <f>IF($C3235="","","Por la cancelacion del saldo al proveedor")</f>
        <v/>
      </c>
      <c r="H3235">
        <f>IF($C3235="","",Registro_Compras!$C$362)</f>
        <v/>
      </c>
    </row>
    <row r="3236">
      <c r="A3236" s="25">
        <f>IF($C3236="","",Registro_Compras!$B$363)</f>
        <v/>
      </c>
      <c r="B3236">
        <f>IF($C3236="","","C"&amp;TEXT(INT((ROW()-5)/9)+1,"000")&amp;"-1")</f>
        <v/>
      </c>
      <c r="C3236">
        <f>IF(OR(Registro_Compras!$C$363="",Registro_Compras!$O$363=""),"",IF(Registro_Compras!$F$363="NOTA DE CREDITO","4212",IF(Registro_Compras!$M$363="","63",Registro_Compras!$M$363)))</f>
        <v/>
      </c>
      <c r="D3236">
        <f>IF(OR(Registro_Compras!$C$363="",Registro_Compras!$O$363=""),"",IF(Registro_Compras!$F$363="NOTA DE CREDITO","Cuentas por Pagar Comerciales - Terceros (Emitidas)",IF(Registro_Compras!$F$363="RHE","Honorarios Profesionales - Servicios de Terceros","Gastos de Servicios Prestados por Terceros")))</f>
        <v/>
      </c>
      <c r="E3236" s="20">
        <f>IF($C3236="","",IF(Registro_Compras!$F$363="NOTA DE CREDITO",ABS(Registro_Compras!$O$363),IF(Registro_Compras!$F$363="RHE",ROUND(Registro_Compras!$L$363*Registro_Compras!$N$363,2),ROUND(Registro_Compras!$J$363*Registro_Compras!$N$363,2))))</f>
        <v/>
      </c>
      <c r="F3236" s="20">
        <f>""</f>
        <v/>
      </c>
      <c r="G3236">
        <f>IF($C3236="","",IF(Registro_Compras!$F$363="NOTA DE CREDITO","Por la nota de credito "&amp;Registro_Compras!$C$363&amp;" de "&amp;Registro_Compras!$E$363&amp;" [PATRON POR CONFIRMAR CON CONTADOR]",IF(Registro_Compras!$F$363="RHE","Por el registro del recibo por honorarios "&amp;Registro_Compras!$C$363&amp;" de "&amp;Registro_Compras!$E$363&amp;" [PATRON POR CONFIRMAR CON CONTADOR]","Por el registro de la factura "&amp;Registro_Compras!$C$363&amp;" de "&amp;Registro_Compras!$E$363)))</f>
        <v/>
      </c>
      <c r="H3236">
        <f>IF($C3236="","",Registro_Compras!$C$363)</f>
        <v/>
      </c>
    </row>
    <row r="3237">
      <c r="A3237" s="25">
        <f>IF($C3237="","",Registro_Compras!$B$363)</f>
        <v/>
      </c>
      <c r="B3237">
        <f>IF($C3237="","","C"&amp;TEXT(INT((ROW()-5)/9)+1,"000")&amp;"-1")</f>
        <v/>
      </c>
      <c r="C3237">
        <f>IF(OR(Registro_Compras!$C$363="",Registro_Compras!$O$363=""),"",IF(Registro_Compras!$F$363="RHE",IF(Registro_Compras!$V$363=0,"","40172"),IF(Registro_Compras!$F$363="NOTA DE CREDITO",IF(Registro_Compras!$M$363="","63",Registro_Compras!$M$363),IF(Registro_Compras!$K$363=0,"","40111"))))</f>
        <v/>
      </c>
      <c r="D3237">
        <f>IF(OR(Registro_Compras!$C$363="",Registro_Compras!$O$363=""),"",IF(Registro_Compras!$F$363="RHE","Retencion Renta 4ta Categoria por Pagar",IF(Registro_Compras!$F$363="NOTA DE CREDITO","Gastos de Servicios Prestados por Terceros","IGV - Cuenta Propia (Credito Fiscal)")))</f>
        <v/>
      </c>
      <c r="E3237" s="20">
        <f>IF($C3237="","",IF(Registro_Compras!$F$363="FACTURA",ROUND(Registro_Compras!$K$363*Registro_Compras!$N$363,2),""))</f>
        <v/>
      </c>
      <c r="F3237" s="20">
        <f>IF($C3237="","",IF(Registro_Compras!$F$363="RHE",ROUND(Registro_Compras!$V$363*Registro_Compras!$N$363,2),IF(Registro_Compras!$F$363="NOTA DE CREDITO",ROUND(ABS(Registro_Compras!$J$363*Registro_Compras!$N$363),2),"")))</f>
        <v/>
      </c>
      <c r="G3237">
        <f>IF($C3237="","",IF(Registro_Compras!$F$363="NOTA DE CREDITO","Por la nota de credito "&amp;Registro_Compras!$C$363&amp;" de "&amp;Registro_Compras!$E$363&amp;" [PATRON POR CONFIRMAR CON CONTADOR]",IF(Registro_Compras!$F$363="RHE","Por el registro del recibo por honorarios "&amp;Registro_Compras!$C$363&amp;" de "&amp;Registro_Compras!$E$363&amp;" [PATRON POR CONFIRMAR CON CONTADOR]","Por el registro de la factura "&amp;Registro_Compras!$C$363&amp;" de "&amp;Registro_Compras!$E$363)))</f>
        <v/>
      </c>
      <c r="H3237">
        <f>IF($C3237="","",Registro_Compras!$C$363)</f>
        <v/>
      </c>
    </row>
    <row r="3238">
      <c r="A3238" s="25">
        <f>IF($C3238="","",Registro_Compras!$B$363)</f>
        <v/>
      </c>
      <c r="B3238">
        <f>IF($C3238="","","C"&amp;TEXT(INT((ROW()-5)/9)+1,"000")&amp;"-1")</f>
        <v/>
      </c>
      <c r="C3238">
        <f>IF(OR(Registro_Compras!$C$363="",Registro_Compras!$O$363=""),"",IF(Registro_Compras!$F$363="NOTA DE CREDITO",IF(Registro_Compras!$K$363=0,"","40111"),"4212"))</f>
        <v/>
      </c>
      <c r="D3238">
        <f>IF(OR(Registro_Compras!$C$363="",Registro_Compras!$O$363=""),"",IF(Registro_Compras!$F$363="NOTA DE CREDITO","IGV - Cuenta Propia (Credito Fiscal)","Cuentas por Pagar Comerciales - Terceros (Emitidas)"))</f>
        <v/>
      </c>
      <c r="E3238" s="20">
        <f>""</f>
        <v/>
      </c>
      <c r="F3238" s="20">
        <f>IF($C3238="","",IF(Registro_Compras!$F$363="NOTA DE CREDITO",ROUND(ABS(Registro_Compras!$K$363*Registro_Compras!$N$363),2),IF(Registro_Compras!$F$363="RHE",(ROUND(Registro_Compras!$L$363*Registro_Compras!$N$363,2)-ROUND(Registro_Compras!$V$363*Registro_Compras!$N$363,2)),Registro_Compras!$O$363)))</f>
        <v/>
      </c>
      <c r="G3238">
        <f>IF($C3238="","",IF(Registro_Compras!$F$363="NOTA DE CREDITO","Por la nota de credito "&amp;Registro_Compras!$C$363&amp;" de "&amp;Registro_Compras!$E$363&amp;" [PATRON POR CONFIRMAR CON CONTADOR]",IF(Registro_Compras!$F$363="RHE","Por el registro del recibo por honorarios "&amp;Registro_Compras!$C$363&amp;" de "&amp;Registro_Compras!$E$363&amp;" [PATRON POR CONFIRMAR CON CONTADOR]","Por el registro de la factura "&amp;Registro_Compras!$C$363&amp;" de "&amp;Registro_Compras!$E$363)))</f>
        <v/>
      </c>
      <c r="H3238">
        <f>IF($C3238="","",Registro_Compras!$C$363)</f>
        <v/>
      </c>
    </row>
    <row r="3239">
      <c r="A3239" s="25">
        <f>IF($C3239="","",Registro_Compras!$B$363)</f>
        <v/>
      </c>
      <c r="B3239">
        <f>IF($C3239="","","C"&amp;TEXT(INT((ROW()-5)/9)+1,"000")&amp;"-2")</f>
        <v/>
      </c>
      <c r="C3239">
        <f>IF(OR(Registro_Compras!$C$363="",Registro_Compras!$O$363=""),"",IF(Registro_Compras!$AB$363="ADMINISTRATIVO","94","95"))</f>
        <v/>
      </c>
      <c r="D3239">
        <f>IF(OR(Registro_Compras!$C$363="",Registro_Compras!$O$363=""),"",IF(Registro_Compras!$AB$363="ADMINISTRATIVO","Gastos Administrativos","Gastos de Venta y Operacion"))</f>
        <v/>
      </c>
      <c r="E3239" s="20">
        <f>IF($C3239="","",IF(Registro_Compras!$F$363="NOTA DE CREDITO","",IF(Registro_Compras!$F$363="RHE",ROUND(Registro_Compras!$L$363*Registro_Compras!$N$363,2),ROUND(Registro_Compras!$J$363*Registro_Compras!$N$363,2))))</f>
        <v/>
      </c>
      <c r="F3239" s="20">
        <f>IF($C3239="","",IF(Registro_Compras!$F$363="NOTA DE CREDITO",ROUND(ABS(Registro_Compras!$J$363*Registro_Compras!$N$363),2),""))</f>
        <v/>
      </c>
      <c r="G3239">
        <f>IF($C3239="","","Por el destino del gasto")</f>
        <v/>
      </c>
      <c r="H3239">
        <f>IF($C3239="","",Registro_Compras!$C$363)</f>
        <v/>
      </c>
    </row>
    <row r="3240">
      <c r="A3240" s="25">
        <f>IF($C3240="","",Registro_Compras!$B$363)</f>
        <v/>
      </c>
      <c r="B3240">
        <f>IF($C3240="","","C"&amp;TEXT(INT((ROW()-5)/9)+1,"000")&amp;"-2")</f>
        <v/>
      </c>
      <c r="C3240">
        <f>IF(OR(Registro_Compras!$C$363="",Registro_Compras!$O$363=""),"","79/791")</f>
        <v/>
      </c>
      <c r="D3240">
        <f>IF(OR(Registro_Compras!$C$363="",Registro_Compras!$O$363=""),"","Cargas Imputables a Cuentas de Costos y Gastos")</f>
        <v/>
      </c>
      <c r="E3240" s="20">
        <f>IF($C3240="","",IF(Registro_Compras!$F$363="NOTA DE CREDITO",ROUND(ABS(Registro_Compras!$J$363*Registro_Compras!$N$363),2),""))</f>
        <v/>
      </c>
      <c r="F3240" s="20">
        <f>IF($C3240="","",IF(Registro_Compras!$F$363="NOTA DE CREDITO","",IF(Registro_Compras!$F$363="RHE",ROUND(Registro_Compras!$L$363*Registro_Compras!$N$363,2),ROUND(Registro_Compras!$J$363*Registro_Compras!$N$363,2))))</f>
        <v/>
      </c>
      <c r="G3240">
        <f>IF($C3240="","","Por el destino del gasto")</f>
        <v/>
      </c>
      <c r="H3240">
        <f>IF($C3240="","",Registro_Compras!$C$363)</f>
        <v/>
      </c>
    </row>
    <row r="3241">
      <c r="A3241" s="25">
        <f>IF($C3241="","",Registro_Compras!$X$363)</f>
        <v/>
      </c>
      <c r="B3241">
        <f>IF($C3241="","","C"&amp;TEXT(INT((ROW()-5)/9)+1,"000")&amp;"-3")</f>
        <v/>
      </c>
      <c r="C3241">
        <f>IF(OR(Registro_Compras!$C$363="",Registro_Compras!$O$363="",Registro_Compras!$R$363&lt;&gt;"SI",Registro_Compras!$X$363=""),"","4212")</f>
        <v/>
      </c>
      <c r="D3241">
        <f>IF(OR(Registro_Compras!$C$363="",Registro_Compras!$O$363=""),"","Cuentas por Pagar Comerciales - Terceros")</f>
        <v/>
      </c>
      <c r="E3241" s="20">
        <f>IF($C3241="","",Registro_Compras!$S$363)</f>
        <v/>
      </c>
      <c r="F3241" s="20">
        <f>""</f>
        <v/>
      </c>
      <c r="G3241">
        <f>IF($C3241="","","Por el deposito de la detraccion en el Banco de la Nacion")</f>
        <v/>
      </c>
      <c r="H3241">
        <f>IF($C3241="","",Registro_Compras!$C$363)</f>
        <v/>
      </c>
    </row>
    <row r="3242">
      <c r="A3242" s="25">
        <f>IF($C3242="","",Registro_Compras!$X$363)</f>
        <v/>
      </c>
      <c r="B3242">
        <f>IF($C3242="","","C"&amp;TEXT(INT((ROW()-5)/9)+1,"000")&amp;"-3")</f>
        <v/>
      </c>
      <c r="C3242">
        <f>IF(OR(Registro_Compras!$C$363="",Registro_Compras!$O$363="",Registro_Compras!$R$363&lt;&gt;"SI",Registro_Compras!$X$363=""),"","10413")</f>
        <v/>
      </c>
      <c r="D3242">
        <f>IF(OR(Registro_Compras!$C$363="",Registro_Compras!$O$363=""),"","Efectivo y Equivalentes - Cta. Cte. Operativa")</f>
        <v/>
      </c>
      <c r="E3242" s="20">
        <f>""</f>
        <v/>
      </c>
      <c r="F3242" s="20">
        <f>IF($C3242="","",Registro_Compras!$S$363)</f>
        <v/>
      </c>
      <c r="G3242">
        <f>IF($C3242="","","Por el deposito de la detraccion en el Banco de la Nacion")</f>
        <v/>
      </c>
      <c r="H3242">
        <f>IF($C3242="","",Registro_Compras!$C$363)</f>
        <v/>
      </c>
    </row>
    <row r="3243">
      <c r="A3243" s="25">
        <f>IF($C3243="","",Registro_Compras!$Y$363)</f>
        <v/>
      </c>
      <c r="B3243">
        <f>IF($C3243="","","C"&amp;TEXT(INT((ROW()-5)/9)+1,"000")&amp;"-4")</f>
        <v/>
      </c>
      <c r="C3243">
        <f>IF(OR(Registro_Compras!$C$363="",Registro_Compras!$O$363="",Registro_Compras!$Y$363="",Registro_Compras!$F$363="NOTA DE CREDITO"),"","4212")</f>
        <v/>
      </c>
      <c r="D3243">
        <f>IF(OR(Registro_Compras!$C$363="",Registro_Compras!$O$363=""),"","Cuentas por Pagar Comerciales - Terceros")</f>
        <v/>
      </c>
      <c r="E3243" s="20">
        <f>IF($C3243="","",IF(Registro_Compras!$F$363="RHE",(ROUND(Registro_Compras!$L$363*Registro_Compras!$N$363,2)-ROUND(Registro_Compras!$V$363*Registro_Compras!$N$363,2)),ROUND(Registro_Compras!$O$363-Registro_Compras!$S$363,2)))</f>
        <v/>
      </c>
      <c r="F3243" s="20">
        <f>""</f>
        <v/>
      </c>
      <c r="G3243">
        <f>IF($C3243="","","Por la cancelacion del saldo al proveedor")</f>
        <v/>
      </c>
      <c r="H3243">
        <f>IF($C3243="","",Registro_Compras!$C$363)</f>
        <v/>
      </c>
    </row>
    <row r="3244">
      <c r="A3244" s="25">
        <f>IF($C3244="","",Registro_Compras!$Y$363)</f>
        <v/>
      </c>
      <c r="B3244">
        <f>IF($C3244="","","C"&amp;TEXT(INT((ROW()-5)/9)+1,"000")&amp;"-4")</f>
        <v/>
      </c>
      <c r="C3244">
        <f>IF(OR(Registro_Compras!$C$363="",Registro_Compras!$O$363="",Registro_Compras!$Y$363="",Registro_Compras!$F$363="NOTA DE CREDITO"),"","10413")</f>
        <v/>
      </c>
      <c r="D3244">
        <f>IF(OR(Registro_Compras!$C$363="",Registro_Compras!$O$363=""),"","Efectivo y Equivalentes - Cta. Cte. Operativa")</f>
        <v/>
      </c>
      <c r="E3244" s="20">
        <f>""</f>
        <v/>
      </c>
      <c r="F3244" s="20">
        <f>IF($C3244="","",IF(Registro_Compras!$F$363="RHE",(ROUND(Registro_Compras!$L$363*Registro_Compras!$N$363,2)-ROUND(Registro_Compras!$V$363*Registro_Compras!$N$363,2)),ROUND(Registro_Compras!$O$363-Registro_Compras!$S$363,2)))</f>
        <v/>
      </c>
      <c r="G3244">
        <f>IF($C3244="","","Por la cancelacion del saldo al proveedor")</f>
        <v/>
      </c>
      <c r="H3244">
        <f>IF($C3244="","",Registro_Compras!$C$363)</f>
        <v/>
      </c>
    </row>
    <row r="3245">
      <c r="A3245" s="25">
        <f>IF($C3245="","",Registro_Compras!$B$364)</f>
        <v/>
      </c>
      <c r="B3245">
        <f>IF($C3245="","","C"&amp;TEXT(INT((ROW()-5)/9)+1,"000")&amp;"-1")</f>
        <v/>
      </c>
      <c r="C3245">
        <f>IF(OR(Registro_Compras!$C$364="",Registro_Compras!$O$364=""),"",IF(Registro_Compras!$F$364="NOTA DE CREDITO","4212",IF(Registro_Compras!$M$364="","63",Registro_Compras!$M$364)))</f>
        <v/>
      </c>
      <c r="D3245">
        <f>IF(OR(Registro_Compras!$C$364="",Registro_Compras!$O$364=""),"",IF(Registro_Compras!$F$364="NOTA DE CREDITO","Cuentas por Pagar Comerciales - Terceros (Emitidas)",IF(Registro_Compras!$F$364="RHE","Honorarios Profesionales - Servicios de Terceros","Gastos de Servicios Prestados por Terceros")))</f>
        <v/>
      </c>
      <c r="E3245" s="20">
        <f>IF($C3245="","",IF(Registro_Compras!$F$364="NOTA DE CREDITO",ABS(Registro_Compras!$O$364),IF(Registro_Compras!$F$364="RHE",ROUND(Registro_Compras!$L$364*Registro_Compras!$N$364,2),ROUND(Registro_Compras!$J$364*Registro_Compras!$N$364,2))))</f>
        <v/>
      </c>
      <c r="F3245" s="20">
        <f>""</f>
        <v/>
      </c>
      <c r="G3245">
        <f>IF($C3245="","",IF(Registro_Compras!$F$364="NOTA DE CREDITO","Por la nota de credito "&amp;Registro_Compras!$C$364&amp;" de "&amp;Registro_Compras!$E$364&amp;" [PATRON POR CONFIRMAR CON CONTADOR]",IF(Registro_Compras!$F$364="RHE","Por el registro del recibo por honorarios "&amp;Registro_Compras!$C$364&amp;" de "&amp;Registro_Compras!$E$364&amp;" [PATRON POR CONFIRMAR CON CONTADOR]","Por el registro de la factura "&amp;Registro_Compras!$C$364&amp;" de "&amp;Registro_Compras!$E$364)))</f>
        <v/>
      </c>
      <c r="H3245">
        <f>IF($C3245="","",Registro_Compras!$C$364)</f>
        <v/>
      </c>
    </row>
    <row r="3246">
      <c r="A3246" s="25">
        <f>IF($C3246="","",Registro_Compras!$B$364)</f>
        <v/>
      </c>
      <c r="B3246">
        <f>IF($C3246="","","C"&amp;TEXT(INT((ROW()-5)/9)+1,"000")&amp;"-1")</f>
        <v/>
      </c>
      <c r="C3246">
        <f>IF(OR(Registro_Compras!$C$364="",Registro_Compras!$O$364=""),"",IF(Registro_Compras!$F$364="RHE",IF(Registro_Compras!$V$364=0,"","40172"),IF(Registro_Compras!$F$364="NOTA DE CREDITO",IF(Registro_Compras!$M$364="","63",Registro_Compras!$M$364),IF(Registro_Compras!$K$364=0,"","40111"))))</f>
        <v/>
      </c>
      <c r="D3246">
        <f>IF(OR(Registro_Compras!$C$364="",Registro_Compras!$O$364=""),"",IF(Registro_Compras!$F$364="RHE","Retencion Renta 4ta Categoria por Pagar",IF(Registro_Compras!$F$364="NOTA DE CREDITO","Gastos de Servicios Prestados por Terceros","IGV - Cuenta Propia (Credito Fiscal)")))</f>
        <v/>
      </c>
      <c r="E3246" s="20">
        <f>IF($C3246="","",IF(Registro_Compras!$F$364="FACTURA",ROUND(Registro_Compras!$K$364*Registro_Compras!$N$364,2),""))</f>
        <v/>
      </c>
      <c r="F3246" s="20">
        <f>IF($C3246="","",IF(Registro_Compras!$F$364="RHE",ROUND(Registro_Compras!$V$364*Registro_Compras!$N$364,2),IF(Registro_Compras!$F$364="NOTA DE CREDITO",ROUND(ABS(Registro_Compras!$J$364*Registro_Compras!$N$364),2),"")))</f>
        <v/>
      </c>
      <c r="G3246">
        <f>IF($C3246="","",IF(Registro_Compras!$F$364="NOTA DE CREDITO","Por la nota de credito "&amp;Registro_Compras!$C$364&amp;" de "&amp;Registro_Compras!$E$364&amp;" [PATRON POR CONFIRMAR CON CONTADOR]",IF(Registro_Compras!$F$364="RHE","Por el registro del recibo por honorarios "&amp;Registro_Compras!$C$364&amp;" de "&amp;Registro_Compras!$E$364&amp;" [PATRON POR CONFIRMAR CON CONTADOR]","Por el registro de la factura "&amp;Registro_Compras!$C$364&amp;" de "&amp;Registro_Compras!$E$364)))</f>
        <v/>
      </c>
      <c r="H3246">
        <f>IF($C3246="","",Registro_Compras!$C$364)</f>
        <v/>
      </c>
    </row>
    <row r="3247">
      <c r="A3247" s="25">
        <f>IF($C3247="","",Registro_Compras!$B$364)</f>
        <v/>
      </c>
      <c r="B3247">
        <f>IF($C3247="","","C"&amp;TEXT(INT((ROW()-5)/9)+1,"000")&amp;"-1")</f>
        <v/>
      </c>
      <c r="C3247">
        <f>IF(OR(Registro_Compras!$C$364="",Registro_Compras!$O$364=""),"",IF(Registro_Compras!$F$364="NOTA DE CREDITO",IF(Registro_Compras!$K$364=0,"","40111"),"4212"))</f>
        <v/>
      </c>
      <c r="D3247">
        <f>IF(OR(Registro_Compras!$C$364="",Registro_Compras!$O$364=""),"",IF(Registro_Compras!$F$364="NOTA DE CREDITO","IGV - Cuenta Propia (Credito Fiscal)","Cuentas por Pagar Comerciales - Terceros (Emitidas)"))</f>
        <v/>
      </c>
      <c r="E3247" s="20">
        <f>""</f>
        <v/>
      </c>
      <c r="F3247" s="20">
        <f>IF($C3247="","",IF(Registro_Compras!$F$364="NOTA DE CREDITO",ROUND(ABS(Registro_Compras!$K$364*Registro_Compras!$N$364),2),IF(Registro_Compras!$F$364="RHE",(ROUND(Registro_Compras!$L$364*Registro_Compras!$N$364,2)-ROUND(Registro_Compras!$V$364*Registro_Compras!$N$364,2)),Registro_Compras!$O$364)))</f>
        <v/>
      </c>
      <c r="G3247">
        <f>IF($C3247="","",IF(Registro_Compras!$F$364="NOTA DE CREDITO","Por la nota de credito "&amp;Registro_Compras!$C$364&amp;" de "&amp;Registro_Compras!$E$364&amp;" [PATRON POR CONFIRMAR CON CONTADOR]",IF(Registro_Compras!$F$364="RHE","Por el registro del recibo por honorarios "&amp;Registro_Compras!$C$364&amp;" de "&amp;Registro_Compras!$E$364&amp;" [PATRON POR CONFIRMAR CON CONTADOR]","Por el registro de la factura "&amp;Registro_Compras!$C$364&amp;" de "&amp;Registro_Compras!$E$364)))</f>
        <v/>
      </c>
      <c r="H3247">
        <f>IF($C3247="","",Registro_Compras!$C$364)</f>
        <v/>
      </c>
    </row>
    <row r="3248">
      <c r="A3248" s="25">
        <f>IF($C3248="","",Registro_Compras!$B$364)</f>
        <v/>
      </c>
      <c r="B3248">
        <f>IF($C3248="","","C"&amp;TEXT(INT((ROW()-5)/9)+1,"000")&amp;"-2")</f>
        <v/>
      </c>
      <c r="C3248">
        <f>IF(OR(Registro_Compras!$C$364="",Registro_Compras!$O$364=""),"",IF(Registro_Compras!$AB$364="ADMINISTRATIVO","94","95"))</f>
        <v/>
      </c>
      <c r="D3248">
        <f>IF(OR(Registro_Compras!$C$364="",Registro_Compras!$O$364=""),"",IF(Registro_Compras!$AB$364="ADMINISTRATIVO","Gastos Administrativos","Gastos de Venta y Operacion"))</f>
        <v/>
      </c>
      <c r="E3248" s="20">
        <f>IF($C3248="","",IF(Registro_Compras!$F$364="NOTA DE CREDITO","",IF(Registro_Compras!$F$364="RHE",ROUND(Registro_Compras!$L$364*Registro_Compras!$N$364,2),ROUND(Registro_Compras!$J$364*Registro_Compras!$N$364,2))))</f>
        <v/>
      </c>
      <c r="F3248" s="20">
        <f>IF($C3248="","",IF(Registro_Compras!$F$364="NOTA DE CREDITO",ROUND(ABS(Registro_Compras!$J$364*Registro_Compras!$N$364),2),""))</f>
        <v/>
      </c>
      <c r="G3248">
        <f>IF($C3248="","","Por el destino del gasto")</f>
        <v/>
      </c>
      <c r="H3248">
        <f>IF($C3248="","",Registro_Compras!$C$364)</f>
        <v/>
      </c>
    </row>
    <row r="3249">
      <c r="A3249" s="25">
        <f>IF($C3249="","",Registro_Compras!$B$364)</f>
        <v/>
      </c>
      <c r="B3249">
        <f>IF($C3249="","","C"&amp;TEXT(INT((ROW()-5)/9)+1,"000")&amp;"-2")</f>
        <v/>
      </c>
      <c r="C3249">
        <f>IF(OR(Registro_Compras!$C$364="",Registro_Compras!$O$364=""),"","79/791")</f>
        <v/>
      </c>
      <c r="D3249">
        <f>IF(OR(Registro_Compras!$C$364="",Registro_Compras!$O$364=""),"","Cargas Imputables a Cuentas de Costos y Gastos")</f>
        <v/>
      </c>
      <c r="E3249" s="20">
        <f>IF($C3249="","",IF(Registro_Compras!$F$364="NOTA DE CREDITO",ROUND(ABS(Registro_Compras!$J$364*Registro_Compras!$N$364),2),""))</f>
        <v/>
      </c>
      <c r="F3249" s="20">
        <f>IF($C3249="","",IF(Registro_Compras!$F$364="NOTA DE CREDITO","",IF(Registro_Compras!$F$364="RHE",ROUND(Registro_Compras!$L$364*Registro_Compras!$N$364,2),ROUND(Registro_Compras!$J$364*Registro_Compras!$N$364,2))))</f>
        <v/>
      </c>
      <c r="G3249">
        <f>IF($C3249="","","Por el destino del gasto")</f>
        <v/>
      </c>
      <c r="H3249">
        <f>IF($C3249="","",Registro_Compras!$C$364)</f>
        <v/>
      </c>
    </row>
    <row r="3250">
      <c r="A3250" s="25">
        <f>IF($C3250="","",Registro_Compras!$X$364)</f>
        <v/>
      </c>
      <c r="B3250">
        <f>IF($C3250="","","C"&amp;TEXT(INT((ROW()-5)/9)+1,"000")&amp;"-3")</f>
        <v/>
      </c>
      <c r="C3250">
        <f>IF(OR(Registro_Compras!$C$364="",Registro_Compras!$O$364="",Registro_Compras!$R$364&lt;&gt;"SI",Registro_Compras!$X$364=""),"","4212")</f>
        <v/>
      </c>
      <c r="D3250">
        <f>IF(OR(Registro_Compras!$C$364="",Registro_Compras!$O$364=""),"","Cuentas por Pagar Comerciales - Terceros")</f>
        <v/>
      </c>
      <c r="E3250" s="20">
        <f>IF($C3250="","",Registro_Compras!$S$364)</f>
        <v/>
      </c>
      <c r="F3250" s="20">
        <f>""</f>
        <v/>
      </c>
      <c r="G3250">
        <f>IF($C3250="","","Por el deposito de la detraccion en el Banco de la Nacion")</f>
        <v/>
      </c>
      <c r="H3250">
        <f>IF($C3250="","",Registro_Compras!$C$364)</f>
        <v/>
      </c>
    </row>
    <row r="3251">
      <c r="A3251" s="25">
        <f>IF($C3251="","",Registro_Compras!$X$364)</f>
        <v/>
      </c>
      <c r="B3251">
        <f>IF($C3251="","","C"&amp;TEXT(INT((ROW()-5)/9)+1,"000")&amp;"-3")</f>
        <v/>
      </c>
      <c r="C3251">
        <f>IF(OR(Registro_Compras!$C$364="",Registro_Compras!$O$364="",Registro_Compras!$R$364&lt;&gt;"SI",Registro_Compras!$X$364=""),"","10413")</f>
        <v/>
      </c>
      <c r="D3251">
        <f>IF(OR(Registro_Compras!$C$364="",Registro_Compras!$O$364=""),"","Efectivo y Equivalentes - Cta. Cte. Operativa")</f>
        <v/>
      </c>
      <c r="E3251" s="20">
        <f>""</f>
        <v/>
      </c>
      <c r="F3251" s="20">
        <f>IF($C3251="","",Registro_Compras!$S$364)</f>
        <v/>
      </c>
      <c r="G3251">
        <f>IF($C3251="","","Por el deposito de la detraccion en el Banco de la Nacion")</f>
        <v/>
      </c>
      <c r="H3251">
        <f>IF($C3251="","",Registro_Compras!$C$364)</f>
        <v/>
      </c>
    </row>
    <row r="3252">
      <c r="A3252" s="25">
        <f>IF($C3252="","",Registro_Compras!$Y$364)</f>
        <v/>
      </c>
      <c r="B3252">
        <f>IF($C3252="","","C"&amp;TEXT(INT((ROW()-5)/9)+1,"000")&amp;"-4")</f>
        <v/>
      </c>
      <c r="C3252">
        <f>IF(OR(Registro_Compras!$C$364="",Registro_Compras!$O$364="",Registro_Compras!$Y$364="",Registro_Compras!$F$364="NOTA DE CREDITO"),"","4212")</f>
        <v/>
      </c>
      <c r="D3252">
        <f>IF(OR(Registro_Compras!$C$364="",Registro_Compras!$O$364=""),"","Cuentas por Pagar Comerciales - Terceros")</f>
        <v/>
      </c>
      <c r="E3252" s="20">
        <f>IF($C3252="","",IF(Registro_Compras!$F$364="RHE",(ROUND(Registro_Compras!$L$364*Registro_Compras!$N$364,2)-ROUND(Registro_Compras!$V$364*Registro_Compras!$N$364,2)),ROUND(Registro_Compras!$O$364-Registro_Compras!$S$364,2)))</f>
        <v/>
      </c>
      <c r="F3252" s="20">
        <f>""</f>
        <v/>
      </c>
      <c r="G3252">
        <f>IF($C3252="","","Por la cancelacion del saldo al proveedor")</f>
        <v/>
      </c>
      <c r="H3252">
        <f>IF($C3252="","",Registro_Compras!$C$364)</f>
        <v/>
      </c>
    </row>
    <row r="3253">
      <c r="A3253" s="25">
        <f>IF($C3253="","",Registro_Compras!$Y$364)</f>
        <v/>
      </c>
      <c r="B3253">
        <f>IF($C3253="","","C"&amp;TEXT(INT((ROW()-5)/9)+1,"000")&amp;"-4")</f>
        <v/>
      </c>
      <c r="C3253">
        <f>IF(OR(Registro_Compras!$C$364="",Registro_Compras!$O$364="",Registro_Compras!$Y$364="",Registro_Compras!$F$364="NOTA DE CREDITO"),"","10413")</f>
        <v/>
      </c>
      <c r="D3253">
        <f>IF(OR(Registro_Compras!$C$364="",Registro_Compras!$O$364=""),"","Efectivo y Equivalentes - Cta. Cte. Operativa")</f>
        <v/>
      </c>
      <c r="E3253" s="20">
        <f>""</f>
        <v/>
      </c>
      <c r="F3253" s="20">
        <f>IF($C3253="","",IF(Registro_Compras!$F$364="RHE",(ROUND(Registro_Compras!$L$364*Registro_Compras!$N$364,2)-ROUND(Registro_Compras!$V$364*Registro_Compras!$N$364,2)),ROUND(Registro_Compras!$O$364-Registro_Compras!$S$364,2)))</f>
        <v/>
      </c>
      <c r="G3253">
        <f>IF($C3253="","","Por la cancelacion del saldo al proveedor")</f>
        <v/>
      </c>
      <c r="H3253">
        <f>IF($C3253="","",Registro_Compras!$C$364)</f>
        <v/>
      </c>
    </row>
    <row r="3254">
      <c r="A3254" s="25">
        <f>IF($C3254="","",Registro_Compras!$B$365)</f>
        <v/>
      </c>
      <c r="B3254">
        <f>IF($C3254="","","C"&amp;TEXT(INT((ROW()-5)/9)+1,"000")&amp;"-1")</f>
        <v/>
      </c>
      <c r="C3254">
        <f>IF(OR(Registro_Compras!$C$365="",Registro_Compras!$O$365=""),"",IF(Registro_Compras!$F$365="NOTA DE CREDITO","4212",IF(Registro_Compras!$M$365="","63",Registro_Compras!$M$365)))</f>
        <v/>
      </c>
      <c r="D3254">
        <f>IF(OR(Registro_Compras!$C$365="",Registro_Compras!$O$365=""),"",IF(Registro_Compras!$F$365="NOTA DE CREDITO","Cuentas por Pagar Comerciales - Terceros (Emitidas)",IF(Registro_Compras!$F$365="RHE","Honorarios Profesionales - Servicios de Terceros","Gastos de Servicios Prestados por Terceros")))</f>
        <v/>
      </c>
      <c r="E3254" s="20">
        <f>IF($C3254="","",IF(Registro_Compras!$F$365="NOTA DE CREDITO",ABS(Registro_Compras!$O$365),IF(Registro_Compras!$F$365="RHE",ROUND(Registro_Compras!$L$365*Registro_Compras!$N$365,2),ROUND(Registro_Compras!$J$365*Registro_Compras!$N$365,2))))</f>
        <v/>
      </c>
      <c r="F3254" s="20">
        <f>""</f>
        <v/>
      </c>
      <c r="G3254">
        <f>IF($C3254="","",IF(Registro_Compras!$F$365="NOTA DE CREDITO","Por la nota de credito "&amp;Registro_Compras!$C$365&amp;" de "&amp;Registro_Compras!$E$365&amp;" [PATRON POR CONFIRMAR CON CONTADOR]",IF(Registro_Compras!$F$365="RHE","Por el registro del recibo por honorarios "&amp;Registro_Compras!$C$365&amp;" de "&amp;Registro_Compras!$E$365&amp;" [PATRON POR CONFIRMAR CON CONTADOR]","Por el registro de la factura "&amp;Registro_Compras!$C$365&amp;" de "&amp;Registro_Compras!$E$365)))</f>
        <v/>
      </c>
      <c r="H3254">
        <f>IF($C3254="","",Registro_Compras!$C$365)</f>
        <v/>
      </c>
    </row>
    <row r="3255">
      <c r="A3255" s="25">
        <f>IF($C3255="","",Registro_Compras!$B$365)</f>
        <v/>
      </c>
      <c r="B3255">
        <f>IF($C3255="","","C"&amp;TEXT(INT((ROW()-5)/9)+1,"000")&amp;"-1")</f>
        <v/>
      </c>
      <c r="C3255">
        <f>IF(OR(Registro_Compras!$C$365="",Registro_Compras!$O$365=""),"",IF(Registro_Compras!$F$365="RHE",IF(Registro_Compras!$V$365=0,"","40172"),IF(Registro_Compras!$F$365="NOTA DE CREDITO",IF(Registro_Compras!$M$365="","63",Registro_Compras!$M$365),IF(Registro_Compras!$K$365=0,"","40111"))))</f>
        <v/>
      </c>
      <c r="D3255">
        <f>IF(OR(Registro_Compras!$C$365="",Registro_Compras!$O$365=""),"",IF(Registro_Compras!$F$365="RHE","Retencion Renta 4ta Categoria por Pagar",IF(Registro_Compras!$F$365="NOTA DE CREDITO","Gastos de Servicios Prestados por Terceros","IGV - Cuenta Propia (Credito Fiscal)")))</f>
        <v/>
      </c>
      <c r="E3255" s="20">
        <f>IF($C3255="","",IF(Registro_Compras!$F$365="FACTURA",ROUND(Registro_Compras!$K$365*Registro_Compras!$N$365,2),""))</f>
        <v/>
      </c>
      <c r="F3255" s="20">
        <f>IF($C3255="","",IF(Registro_Compras!$F$365="RHE",ROUND(Registro_Compras!$V$365*Registro_Compras!$N$365,2),IF(Registro_Compras!$F$365="NOTA DE CREDITO",ROUND(ABS(Registro_Compras!$J$365*Registro_Compras!$N$365),2),"")))</f>
        <v/>
      </c>
      <c r="G3255">
        <f>IF($C3255="","",IF(Registro_Compras!$F$365="NOTA DE CREDITO","Por la nota de credito "&amp;Registro_Compras!$C$365&amp;" de "&amp;Registro_Compras!$E$365&amp;" [PATRON POR CONFIRMAR CON CONTADOR]",IF(Registro_Compras!$F$365="RHE","Por el registro del recibo por honorarios "&amp;Registro_Compras!$C$365&amp;" de "&amp;Registro_Compras!$E$365&amp;" [PATRON POR CONFIRMAR CON CONTADOR]","Por el registro de la factura "&amp;Registro_Compras!$C$365&amp;" de "&amp;Registro_Compras!$E$365)))</f>
        <v/>
      </c>
      <c r="H3255">
        <f>IF($C3255="","",Registro_Compras!$C$365)</f>
        <v/>
      </c>
    </row>
    <row r="3256">
      <c r="A3256" s="25">
        <f>IF($C3256="","",Registro_Compras!$B$365)</f>
        <v/>
      </c>
      <c r="B3256">
        <f>IF($C3256="","","C"&amp;TEXT(INT((ROW()-5)/9)+1,"000")&amp;"-1")</f>
        <v/>
      </c>
      <c r="C3256">
        <f>IF(OR(Registro_Compras!$C$365="",Registro_Compras!$O$365=""),"",IF(Registro_Compras!$F$365="NOTA DE CREDITO",IF(Registro_Compras!$K$365=0,"","40111"),"4212"))</f>
        <v/>
      </c>
      <c r="D3256">
        <f>IF(OR(Registro_Compras!$C$365="",Registro_Compras!$O$365=""),"",IF(Registro_Compras!$F$365="NOTA DE CREDITO","IGV - Cuenta Propia (Credito Fiscal)","Cuentas por Pagar Comerciales - Terceros (Emitidas)"))</f>
        <v/>
      </c>
      <c r="E3256" s="20">
        <f>""</f>
        <v/>
      </c>
      <c r="F3256" s="20">
        <f>IF($C3256="","",IF(Registro_Compras!$F$365="NOTA DE CREDITO",ROUND(ABS(Registro_Compras!$K$365*Registro_Compras!$N$365),2),IF(Registro_Compras!$F$365="RHE",(ROUND(Registro_Compras!$L$365*Registro_Compras!$N$365,2)-ROUND(Registro_Compras!$V$365*Registro_Compras!$N$365,2)),Registro_Compras!$O$365)))</f>
        <v/>
      </c>
      <c r="G3256">
        <f>IF($C3256="","",IF(Registro_Compras!$F$365="NOTA DE CREDITO","Por la nota de credito "&amp;Registro_Compras!$C$365&amp;" de "&amp;Registro_Compras!$E$365&amp;" [PATRON POR CONFIRMAR CON CONTADOR]",IF(Registro_Compras!$F$365="RHE","Por el registro del recibo por honorarios "&amp;Registro_Compras!$C$365&amp;" de "&amp;Registro_Compras!$E$365&amp;" [PATRON POR CONFIRMAR CON CONTADOR]","Por el registro de la factura "&amp;Registro_Compras!$C$365&amp;" de "&amp;Registro_Compras!$E$365)))</f>
        <v/>
      </c>
      <c r="H3256">
        <f>IF($C3256="","",Registro_Compras!$C$365)</f>
        <v/>
      </c>
    </row>
    <row r="3257">
      <c r="A3257" s="25">
        <f>IF($C3257="","",Registro_Compras!$B$365)</f>
        <v/>
      </c>
      <c r="B3257">
        <f>IF($C3257="","","C"&amp;TEXT(INT((ROW()-5)/9)+1,"000")&amp;"-2")</f>
        <v/>
      </c>
      <c r="C3257">
        <f>IF(OR(Registro_Compras!$C$365="",Registro_Compras!$O$365=""),"",IF(Registro_Compras!$AB$365="ADMINISTRATIVO","94","95"))</f>
        <v/>
      </c>
      <c r="D3257">
        <f>IF(OR(Registro_Compras!$C$365="",Registro_Compras!$O$365=""),"",IF(Registro_Compras!$AB$365="ADMINISTRATIVO","Gastos Administrativos","Gastos de Venta y Operacion"))</f>
        <v/>
      </c>
      <c r="E3257" s="20">
        <f>IF($C3257="","",IF(Registro_Compras!$F$365="NOTA DE CREDITO","",IF(Registro_Compras!$F$365="RHE",ROUND(Registro_Compras!$L$365*Registro_Compras!$N$365,2),ROUND(Registro_Compras!$J$365*Registro_Compras!$N$365,2))))</f>
        <v/>
      </c>
      <c r="F3257" s="20">
        <f>IF($C3257="","",IF(Registro_Compras!$F$365="NOTA DE CREDITO",ROUND(ABS(Registro_Compras!$J$365*Registro_Compras!$N$365),2),""))</f>
        <v/>
      </c>
      <c r="G3257">
        <f>IF($C3257="","","Por el destino del gasto")</f>
        <v/>
      </c>
      <c r="H3257">
        <f>IF($C3257="","",Registro_Compras!$C$365)</f>
        <v/>
      </c>
    </row>
    <row r="3258">
      <c r="A3258" s="25">
        <f>IF($C3258="","",Registro_Compras!$B$365)</f>
        <v/>
      </c>
      <c r="B3258">
        <f>IF($C3258="","","C"&amp;TEXT(INT((ROW()-5)/9)+1,"000")&amp;"-2")</f>
        <v/>
      </c>
      <c r="C3258">
        <f>IF(OR(Registro_Compras!$C$365="",Registro_Compras!$O$365=""),"","79/791")</f>
        <v/>
      </c>
      <c r="D3258">
        <f>IF(OR(Registro_Compras!$C$365="",Registro_Compras!$O$365=""),"","Cargas Imputables a Cuentas de Costos y Gastos")</f>
        <v/>
      </c>
      <c r="E3258" s="20">
        <f>IF($C3258="","",IF(Registro_Compras!$F$365="NOTA DE CREDITO",ROUND(ABS(Registro_Compras!$J$365*Registro_Compras!$N$365),2),""))</f>
        <v/>
      </c>
      <c r="F3258" s="20">
        <f>IF($C3258="","",IF(Registro_Compras!$F$365="NOTA DE CREDITO","",IF(Registro_Compras!$F$365="RHE",ROUND(Registro_Compras!$L$365*Registro_Compras!$N$365,2),ROUND(Registro_Compras!$J$365*Registro_Compras!$N$365,2))))</f>
        <v/>
      </c>
      <c r="G3258">
        <f>IF($C3258="","","Por el destino del gasto")</f>
        <v/>
      </c>
      <c r="H3258">
        <f>IF($C3258="","",Registro_Compras!$C$365)</f>
        <v/>
      </c>
    </row>
    <row r="3259">
      <c r="A3259" s="25">
        <f>IF($C3259="","",Registro_Compras!$X$365)</f>
        <v/>
      </c>
      <c r="B3259">
        <f>IF($C3259="","","C"&amp;TEXT(INT((ROW()-5)/9)+1,"000")&amp;"-3")</f>
        <v/>
      </c>
      <c r="C3259">
        <f>IF(OR(Registro_Compras!$C$365="",Registro_Compras!$O$365="",Registro_Compras!$R$365&lt;&gt;"SI",Registro_Compras!$X$365=""),"","4212")</f>
        <v/>
      </c>
      <c r="D3259">
        <f>IF(OR(Registro_Compras!$C$365="",Registro_Compras!$O$365=""),"","Cuentas por Pagar Comerciales - Terceros")</f>
        <v/>
      </c>
      <c r="E3259" s="20">
        <f>IF($C3259="","",Registro_Compras!$S$365)</f>
        <v/>
      </c>
      <c r="F3259" s="20">
        <f>""</f>
        <v/>
      </c>
      <c r="G3259">
        <f>IF($C3259="","","Por el deposito de la detraccion en el Banco de la Nacion")</f>
        <v/>
      </c>
      <c r="H3259">
        <f>IF($C3259="","",Registro_Compras!$C$365)</f>
        <v/>
      </c>
    </row>
    <row r="3260">
      <c r="A3260" s="25">
        <f>IF($C3260="","",Registro_Compras!$X$365)</f>
        <v/>
      </c>
      <c r="B3260">
        <f>IF($C3260="","","C"&amp;TEXT(INT((ROW()-5)/9)+1,"000")&amp;"-3")</f>
        <v/>
      </c>
      <c r="C3260">
        <f>IF(OR(Registro_Compras!$C$365="",Registro_Compras!$O$365="",Registro_Compras!$R$365&lt;&gt;"SI",Registro_Compras!$X$365=""),"","10413")</f>
        <v/>
      </c>
      <c r="D3260">
        <f>IF(OR(Registro_Compras!$C$365="",Registro_Compras!$O$365=""),"","Efectivo y Equivalentes - Cta. Cte. Operativa")</f>
        <v/>
      </c>
      <c r="E3260" s="20">
        <f>""</f>
        <v/>
      </c>
      <c r="F3260" s="20">
        <f>IF($C3260="","",Registro_Compras!$S$365)</f>
        <v/>
      </c>
      <c r="G3260">
        <f>IF($C3260="","","Por el deposito de la detraccion en el Banco de la Nacion")</f>
        <v/>
      </c>
      <c r="H3260">
        <f>IF($C3260="","",Registro_Compras!$C$365)</f>
        <v/>
      </c>
    </row>
    <row r="3261">
      <c r="A3261" s="25">
        <f>IF($C3261="","",Registro_Compras!$Y$365)</f>
        <v/>
      </c>
      <c r="B3261">
        <f>IF($C3261="","","C"&amp;TEXT(INT((ROW()-5)/9)+1,"000")&amp;"-4")</f>
        <v/>
      </c>
      <c r="C3261">
        <f>IF(OR(Registro_Compras!$C$365="",Registro_Compras!$O$365="",Registro_Compras!$Y$365="",Registro_Compras!$F$365="NOTA DE CREDITO"),"","4212")</f>
        <v/>
      </c>
      <c r="D3261">
        <f>IF(OR(Registro_Compras!$C$365="",Registro_Compras!$O$365=""),"","Cuentas por Pagar Comerciales - Terceros")</f>
        <v/>
      </c>
      <c r="E3261" s="20">
        <f>IF($C3261="","",IF(Registro_Compras!$F$365="RHE",(ROUND(Registro_Compras!$L$365*Registro_Compras!$N$365,2)-ROUND(Registro_Compras!$V$365*Registro_Compras!$N$365,2)),ROUND(Registro_Compras!$O$365-Registro_Compras!$S$365,2)))</f>
        <v/>
      </c>
      <c r="F3261" s="20">
        <f>""</f>
        <v/>
      </c>
      <c r="G3261">
        <f>IF($C3261="","","Por la cancelacion del saldo al proveedor")</f>
        <v/>
      </c>
      <c r="H3261">
        <f>IF($C3261="","",Registro_Compras!$C$365)</f>
        <v/>
      </c>
    </row>
    <row r="3262">
      <c r="A3262" s="25">
        <f>IF($C3262="","",Registro_Compras!$Y$365)</f>
        <v/>
      </c>
      <c r="B3262">
        <f>IF($C3262="","","C"&amp;TEXT(INT((ROW()-5)/9)+1,"000")&amp;"-4")</f>
        <v/>
      </c>
      <c r="C3262">
        <f>IF(OR(Registro_Compras!$C$365="",Registro_Compras!$O$365="",Registro_Compras!$Y$365="",Registro_Compras!$F$365="NOTA DE CREDITO"),"","10413")</f>
        <v/>
      </c>
      <c r="D3262">
        <f>IF(OR(Registro_Compras!$C$365="",Registro_Compras!$O$365=""),"","Efectivo y Equivalentes - Cta. Cte. Operativa")</f>
        <v/>
      </c>
      <c r="E3262" s="20">
        <f>""</f>
        <v/>
      </c>
      <c r="F3262" s="20">
        <f>IF($C3262="","",IF(Registro_Compras!$F$365="RHE",(ROUND(Registro_Compras!$L$365*Registro_Compras!$N$365,2)-ROUND(Registro_Compras!$V$365*Registro_Compras!$N$365,2)),ROUND(Registro_Compras!$O$365-Registro_Compras!$S$365,2)))</f>
        <v/>
      </c>
      <c r="G3262">
        <f>IF($C3262="","","Por la cancelacion del saldo al proveedor")</f>
        <v/>
      </c>
      <c r="H3262">
        <f>IF($C3262="","",Registro_Compras!$C$365)</f>
        <v/>
      </c>
    </row>
    <row r="3263">
      <c r="A3263" s="25">
        <f>IF($C3263="","",Registro_Compras!$B$366)</f>
        <v/>
      </c>
      <c r="B3263">
        <f>IF($C3263="","","C"&amp;TEXT(INT((ROW()-5)/9)+1,"000")&amp;"-1")</f>
        <v/>
      </c>
      <c r="C3263">
        <f>IF(OR(Registro_Compras!$C$366="",Registro_Compras!$O$366=""),"",IF(Registro_Compras!$F$366="NOTA DE CREDITO","4212",IF(Registro_Compras!$M$366="","63",Registro_Compras!$M$366)))</f>
        <v/>
      </c>
      <c r="D3263">
        <f>IF(OR(Registro_Compras!$C$366="",Registro_Compras!$O$366=""),"",IF(Registro_Compras!$F$366="NOTA DE CREDITO","Cuentas por Pagar Comerciales - Terceros (Emitidas)",IF(Registro_Compras!$F$366="RHE","Honorarios Profesionales - Servicios de Terceros","Gastos de Servicios Prestados por Terceros")))</f>
        <v/>
      </c>
      <c r="E3263" s="20">
        <f>IF($C3263="","",IF(Registro_Compras!$F$366="NOTA DE CREDITO",ABS(Registro_Compras!$O$366),IF(Registro_Compras!$F$366="RHE",ROUND(Registro_Compras!$L$366*Registro_Compras!$N$366,2),ROUND(Registro_Compras!$J$366*Registro_Compras!$N$366,2))))</f>
        <v/>
      </c>
      <c r="F3263" s="20">
        <f>""</f>
        <v/>
      </c>
      <c r="G3263">
        <f>IF($C3263="","",IF(Registro_Compras!$F$366="NOTA DE CREDITO","Por la nota de credito "&amp;Registro_Compras!$C$366&amp;" de "&amp;Registro_Compras!$E$366&amp;" [PATRON POR CONFIRMAR CON CONTADOR]",IF(Registro_Compras!$F$366="RHE","Por el registro del recibo por honorarios "&amp;Registro_Compras!$C$366&amp;" de "&amp;Registro_Compras!$E$366&amp;" [PATRON POR CONFIRMAR CON CONTADOR]","Por el registro de la factura "&amp;Registro_Compras!$C$366&amp;" de "&amp;Registro_Compras!$E$366)))</f>
        <v/>
      </c>
      <c r="H3263">
        <f>IF($C3263="","",Registro_Compras!$C$366)</f>
        <v/>
      </c>
    </row>
    <row r="3264">
      <c r="A3264" s="25">
        <f>IF($C3264="","",Registro_Compras!$B$366)</f>
        <v/>
      </c>
      <c r="B3264">
        <f>IF($C3264="","","C"&amp;TEXT(INT((ROW()-5)/9)+1,"000")&amp;"-1")</f>
        <v/>
      </c>
      <c r="C3264">
        <f>IF(OR(Registro_Compras!$C$366="",Registro_Compras!$O$366=""),"",IF(Registro_Compras!$F$366="RHE",IF(Registro_Compras!$V$366=0,"","40172"),IF(Registro_Compras!$F$366="NOTA DE CREDITO",IF(Registro_Compras!$M$366="","63",Registro_Compras!$M$366),IF(Registro_Compras!$K$366=0,"","40111"))))</f>
        <v/>
      </c>
      <c r="D3264">
        <f>IF(OR(Registro_Compras!$C$366="",Registro_Compras!$O$366=""),"",IF(Registro_Compras!$F$366="RHE","Retencion Renta 4ta Categoria por Pagar",IF(Registro_Compras!$F$366="NOTA DE CREDITO","Gastos de Servicios Prestados por Terceros","IGV - Cuenta Propia (Credito Fiscal)")))</f>
        <v/>
      </c>
      <c r="E3264" s="20">
        <f>IF($C3264="","",IF(Registro_Compras!$F$366="FACTURA",ROUND(Registro_Compras!$K$366*Registro_Compras!$N$366,2),""))</f>
        <v/>
      </c>
      <c r="F3264" s="20">
        <f>IF($C3264="","",IF(Registro_Compras!$F$366="RHE",ROUND(Registro_Compras!$V$366*Registro_Compras!$N$366,2),IF(Registro_Compras!$F$366="NOTA DE CREDITO",ROUND(ABS(Registro_Compras!$J$366*Registro_Compras!$N$366),2),"")))</f>
        <v/>
      </c>
      <c r="G3264">
        <f>IF($C3264="","",IF(Registro_Compras!$F$366="NOTA DE CREDITO","Por la nota de credito "&amp;Registro_Compras!$C$366&amp;" de "&amp;Registro_Compras!$E$366&amp;" [PATRON POR CONFIRMAR CON CONTADOR]",IF(Registro_Compras!$F$366="RHE","Por el registro del recibo por honorarios "&amp;Registro_Compras!$C$366&amp;" de "&amp;Registro_Compras!$E$366&amp;" [PATRON POR CONFIRMAR CON CONTADOR]","Por el registro de la factura "&amp;Registro_Compras!$C$366&amp;" de "&amp;Registro_Compras!$E$366)))</f>
        <v/>
      </c>
      <c r="H3264">
        <f>IF($C3264="","",Registro_Compras!$C$366)</f>
        <v/>
      </c>
    </row>
    <row r="3265">
      <c r="A3265" s="25">
        <f>IF($C3265="","",Registro_Compras!$B$366)</f>
        <v/>
      </c>
      <c r="B3265">
        <f>IF($C3265="","","C"&amp;TEXT(INT((ROW()-5)/9)+1,"000")&amp;"-1")</f>
        <v/>
      </c>
      <c r="C3265">
        <f>IF(OR(Registro_Compras!$C$366="",Registro_Compras!$O$366=""),"",IF(Registro_Compras!$F$366="NOTA DE CREDITO",IF(Registro_Compras!$K$366=0,"","40111"),"4212"))</f>
        <v/>
      </c>
      <c r="D3265">
        <f>IF(OR(Registro_Compras!$C$366="",Registro_Compras!$O$366=""),"",IF(Registro_Compras!$F$366="NOTA DE CREDITO","IGV - Cuenta Propia (Credito Fiscal)","Cuentas por Pagar Comerciales - Terceros (Emitidas)"))</f>
        <v/>
      </c>
      <c r="E3265" s="20">
        <f>""</f>
        <v/>
      </c>
      <c r="F3265" s="20">
        <f>IF($C3265="","",IF(Registro_Compras!$F$366="NOTA DE CREDITO",ROUND(ABS(Registro_Compras!$K$366*Registro_Compras!$N$366),2),IF(Registro_Compras!$F$366="RHE",(ROUND(Registro_Compras!$L$366*Registro_Compras!$N$366,2)-ROUND(Registro_Compras!$V$366*Registro_Compras!$N$366,2)),Registro_Compras!$O$366)))</f>
        <v/>
      </c>
      <c r="G3265">
        <f>IF($C3265="","",IF(Registro_Compras!$F$366="NOTA DE CREDITO","Por la nota de credito "&amp;Registro_Compras!$C$366&amp;" de "&amp;Registro_Compras!$E$366&amp;" [PATRON POR CONFIRMAR CON CONTADOR]",IF(Registro_Compras!$F$366="RHE","Por el registro del recibo por honorarios "&amp;Registro_Compras!$C$366&amp;" de "&amp;Registro_Compras!$E$366&amp;" [PATRON POR CONFIRMAR CON CONTADOR]","Por el registro de la factura "&amp;Registro_Compras!$C$366&amp;" de "&amp;Registro_Compras!$E$366)))</f>
        <v/>
      </c>
      <c r="H3265">
        <f>IF($C3265="","",Registro_Compras!$C$366)</f>
        <v/>
      </c>
    </row>
    <row r="3266">
      <c r="A3266" s="25">
        <f>IF($C3266="","",Registro_Compras!$B$366)</f>
        <v/>
      </c>
      <c r="B3266">
        <f>IF($C3266="","","C"&amp;TEXT(INT((ROW()-5)/9)+1,"000")&amp;"-2")</f>
        <v/>
      </c>
      <c r="C3266">
        <f>IF(OR(Registro_Compras!$C$366="",Registro_Compras!$O$366=""),"",IF(Registro_Compras!$AB$366="ADMINISTRATIVO","94","95"))</f>
        <v/>
      </c>
      <c r="D3266">
        <f>IF(OR(Registro_Compras!$C$366="",Registro_Compras!$O$366=""),"",IF(Registro_Compras!$AB$366="ADMINISTRATIVO","Gastos Administrativos","Gastos de Venta y Operacion"))</f>
        <v/>
      </c>
      <c r="E3266" s="20">
        <f>IF($C3266="","",IF(Registro_Compras!$F$366="NOTA DE CREDITO","",IF(Registro_Compras!$F$366="RHE",ROUND(Registro_Compras!$L$366*Registro_Compras!$N$366,2),ROUND(Registro_Compras!$J$366*Registro_Compras!$N$366,2))))</f>
        <v/>
      </c>
      <c r="F3266" s="20">
        <f>IF($C3266="","",IF(Registro_Compras!$F$366="NOTA DE CREDITO",ROUND(ABS(Registro_Compras!$J$366*Registro_Compras!$N$366),2),""))</f>
        <v/>
      </c>
      <c r="G3266">
        <f>IF($C3266="","","Por el destino del gasto")</f>
        <v/>
      </c>
      <c r="H3266">
        <f>IF($C3266="","",Registro_Compras!$C$366)</f>
        <v/>
      </c>
    </row>
    <row r="3267">
      <c r="A3267" s="25">
        <f>IF($C3267="","",Registro_Compras!$B$366)</f>
        <v/>
      </c>
      <c r="B3267">
        <f>IF($C3267="","","C"&amp;TEXT(INT((ROW()-5)/9)+1,"000")&amp;"-2")</f>
        <v/>
      </c>
      <c r="C3267">
        <f>IF(OR(Registro_Compras!$C$366="",Registro_Compras!$O$366=""),"","79/791")</f>
        <v/>
      </c>
      <c r="D3267">
        <f>IF(OR(Registro_Compras!$C$366="",Registro_Compras!$O$366=""),"","Cargas Imputables a Cuentas de Costos y Gastos")</f>
        <v/>
      </c>
      <c r="E3267" s="20">
        <f>IF($C3267="","",IF(Registro_Compras!$F$366="NOTA DE CREDITO",ROUND(ABS(Registro_Compras!$J$366*Registro_Compras!$N$366),2),""))</f>
        <v/>
      </c>
      <c r="F3267" s="20">
        <f>IF($C3267="","",IF(Registro_Compras!$F$366="NOTA DE CREDITO","",IF(Registro_Compras!$F$366="RHE",ROUND(Registro_Compras!$L$366*Registro_Compras!$N$366,2),ROUND(Registro_Compras!$J$366*Registro_Compras!$N$366,2))))</f>
        <v/>
      </c>
      <c r="G3267">
        <f>IF($C3267="","","Por el destino del gasto")</f>
        <v/>
      </c>
      <c r="H3267">
        <f>IF($C3267="","",Registro_Compras!$C$366)</f>
        <v/>
      </c>
    </row>
    <row r="3268">
      <c r="A3268" s="25">
        <f>IF($C3268="","",Registro_Compras!$X$366)</f>
        <v/>
      </c>
      <c r="B3268">
        <f>IF($C3268="","","C"&amp;TEXT(INT((ROW()-5)/9)+1,"000")&amp;"-3")</f>
        <v/>
      </c>
      <c r="C3268">
        <f>IF(OR(Registro_Compras!$C$366="",Registro_Compras!$O$366="",Registro_Compras!$R$366&lt;&gt;"SI",Registro_Compras!$X$366=""),"","4212")</f>
        <v/>
      </c>
      <c r="D3268">
        <f>IF(OR(Registro_Compras!$C$366="",Registro_Compras!$O$366=""),"","Cuentas por Pagar Comerciales - Terceros")</f>
        <v/>
      </c>
      <c r="E3268" s="20">
        <f>IF($C3268="","",Registro_Compras!$S$366)</f>
        <v/>
      </c>
      <c r="F3268" s="20">
        <f>""</f>
        <v/>
      </c>
      <c r="G3268">
        <f>IF($C3268="","","Por el deposito de la detraccion en el Banco de la Nacion")</f>
        <v/>
      </c>
      <c r="H3268">
        <f>IF($C3268="","",Registro_Compras!$C$366)</f>
        <v/>
      </c>
    </row>
    <row r="3269">
      <c r="A3269" s="25">
        <f>IF($C3269="","",Registro_Compras!$X$366)</f>
        <v/>
      </c>
      <c r="B3269">
        <f>IF($C3269="","","C"&amp;TEXT(INT((ROW()-5)/9)+1,"000")&amp;"-3")</f>
        <v/>
      </c>
      <c r="C3269">
        <f>IF(OR(Registro_Compras!$C$366="",Registro_Compras!$O$366="",Registro_Compras!$R$366&lt;&gt;"SI",Registro_Compras!$X$366=""),"","10413")</f>
        <v/>
      </c>
      <c r="D3269">
        <f>IF(OR(Registro_Compras!$C$366="",Registro_Compras!$O$366=""),"","Efectivo y Equivalentes - Cta. Cte. Operativa")</f>
        <v/>
      </c>
      <c r="E3269" s="20">
        <f>""</f>
        <v/>
      </c>
      <c r="F3269" s="20">
        <f>IF($C3269="","",Registro_Compras!$S$366)</f>
        <v/>
      </c>
      <c r="G3269">
        <f>IF($C3269="","","Por el deposito de la detraccion en el Banco de la Nacion")</f>
        <v/>
      </c>
      <c r="H3269">
        <f>IF($C3269="","",Registro_Compras!$C$366)</f>
        <v/>
      </c>
    </row>
    <row r="3270">
      <c r="A3270" s="25">
        <f>IF($C3270="","",Registro_Compras!$Y$366)</f>
        <v/>
      </c>
      <c r="B3270">
        <f>IF($C3270="","","C"&amp;TEXT(INT((ROW()-5)/9)+1,"000")&amp;"-4")</f>
        <v/>
      </c>
      <c r="C3270">
        <f>IF(OR(Registro_Compras!$C$366="",Registro_Compras!$O$366="",Registro_Compras!$Y$366="",Registro_Compras!$F$366="NOTA DE CREDITO"),"","4212")</f>
        <v/>
      </c>
      <c r="D3270">
        <f>IF(OR(Registro_Compras!$C$366="",Registro_Compras!$O$366=""),"","Cuentas por Pagar Comerciales - Terceros")</f>
        <v/>
      </c>
      <c r="E3270" s="20">
        <f>IF($C3270="","",IF(Registro_Compras!$F$366="RHE",(ROUND(Registro_Compras!$L$366*Registro_Compras!$N$366,2)-ROUND(Registro_Compras!$V$366*Registro_Compras!$N$366,2)),ROUND(Registro_Compras!$O$366-Registro_Compras!$S$366,2)))</f>
        <v/>
      </c>
      <c r="F3270" s="20">
        <f>""</f>
        <v/>
      </c>
      <c r="G3270">
        <f>IF($C3270="","","Por la cancelacion del saldo al proveedor")</f>
        <v/>
      </c>
      <c r="H3270">
        <f>IF($C3270="","",Registro_Compras!$C$366)</f>
        <v/>
      </c>
    </row>
    <row r="3271">
      <c r="A3271" s="25">
        <f>IF($C3271="","",Registro_Compras!$Y$366)</f>
        <v/>
      </c>
      <c r="B3271">
        <f>IF($C3271="","","C"&amp;TEXT(INT((ROW()-5)/9)+1,"000")&amp;"-4")</f>
        <v/>
      </c>
      <c r="C3271">
        <f>IF(OR(Registro_Compras!$C$366="",Registro_Compras!$O$366="",Registro_Compras!$Y$366="",Registro_Compras!$F$366="NOTA DE CREDITO"),"","10413")</f>
        <v/>
      </c>
      <c r="D3271">
        <f>IF(OR(Registro_Compras!$C$366="",Registro_Compras!$O$366=""),"","Efectivo y Equivalentes - Cta. Cte. Operativa")</f>
        <v/>
      </c>
      <c r="E3271" s="20">
        <f>""</f>
        <v/>
      </c>
      <c r="F3271" s="20">
        <f>IF($C3271="","",IF(Registro_Compras!$F$366="RHE",(ROUND(Registro_Compras!$L$366*Registro_Compras!$N$366,2)-ROUND(Registro_Compras!$V$366*Registro_Compras!$N$366,2)),ROUND(Registro_Compras!$O$366-Registro_Compras!$S$366,2)))</f>
        <v/>
      </c>
      <c r="G3271">
        <f>IF($C3271="","","Por la cancelacion del saldo al proveedor")</f>
        <v/>
      </c>
      <c r="H3271">
        <f>IF($C3271="","",Registro_Compras!$C$366)</f>
        <v/>
      </c>
    </row>
    <row r="3272">
      <c r="A3272" s="25">
        <f>IF($C3272="","",Registro_Compras!$B$367)</f>
        <v/>
      </c>
      <c r="B3272">
        <f>IF($C3272="","","C"&amp;TEXT(INT((ROW()-5)/9)+1,"000")&amp;"-1")</f>
        <v/>
      </c>
      <c r="C3272">
        <f>IF(OR(Registro_Compras!$C$367="",Registro_Compras!$O$367=""),"",IF(Registro_Compras!$F$367="NOTA DE CREDITO","4212",IF(Registro_Compras!$M$367="","63",Registro_Compras!$M$367)))</f>
        <v/>
      </c>
      <c r="D3272">
        <f>IF(OR(Registro_Compras!$C$367="",Registro_Compras!$O$367=""),"",IF(Registro_Compras!$F$367="NOTA DE CREDITO","Cuentas por Pagar Comerciales - Terceros (Emitidas)",IF(Registro_Compras!$F$367="RHE","Honorarios Profesionales - Servicios de Terceros","Gastos de Servicios Prestados por Terceros")))</f>
        <v/>
      </c>
      <c r="E3272" s="20">
        <f>IF($C3272="","",IF(Registro_Compras!$F$367="NOTA DE CREDITO",ABS(Registro_Compras!$O$367),IF(Registro_Compras!$F$367="RHE",ROUND(Registro_Compras!$L$367*Registro_Compras!$N$367,2),ROUND(Registro_Compras!$J$367*Registro_Compras!$N$367,2))))</f>
        <v/>
      </c>
      <c r="F3272" s="20">
        <f>""</f>
        <v/>
      </c>
      <c r="G3272">
        <f>IF($C3272="","",IF(Registro_Compras!$F$367="NOTA DE CREDITO","Por la nota de credito "&amp;Registro_Compras!$C$367&amp;" de "&amp;Registro_Compras!$E$367&amp;" [PATRON POR CONFIRMAR CON CONTADOR]",IF(Registro_Compras!$F$367="RHE","Por el registro del recibo por honorarios "&amp;Registro_Compras!$C$367&amp;" de "&amp;Registro_Compras!$E$367&amp;" [PATRON POR CONFIRMAR CON CONTADOR]","Por el registro de la factura "&amp;Registro_Compras!$C$367&amp;" de "&amp;Registro_Compras!$E$367)))</f>
        <v/>
      </c>
      <c r="H3272">
        <f>IF($C3272="","",Registro_Compras!$C$367)</f>
        <v/>
      </c>
    </row>
    <row r="3273">
      <c r="A3273" s="25">
        <f>IF($C3273="","",Registro_Compras!$B$367)</f>
        <v/>
      </c>
      <c r="B3273">
        <f>IF($C3273="","","C"&amp;TEXT(INT((ROW()-5)/9)+1,"000")&amp;"-1")</f>
        <v/>
      </c>
      <c r="C3273">
        <f>IF(OR(Registro_Compras!$C$367="",Registro_Compras!$O$367=""),"",IF(Registro_Compras!$F$367="RHE",IF(Registro_Compras!$V$367=0,"","40172"),IF(Registro_Compras!$F$367="NOTA DE CREDITO",IF(Registro_Compras!$M$367="","63",Registro_Compras!$M$367),IF(Registro_Compras!$K$367=0,"","40111"))))</f>
        <v/>
      </c>
      <c r="D3273">
        <f>IF(OR(Registro_Compras!$C$367="",Registro_Compras!$O$367=""),"",IF(Registro_Compras!$F$367="RHE","Retencion Renta 4ta Categoria por Pagar",IF(Registro_Compras!$F$367="NOTA DE CREDITO","Gastos de Servicios Prestados por Terceros","IGV - Cuenta Propia (Credito Fiscal)")))</f>
        <v/>
      </c>
      <c r="E3273" s="20">
        <f>IF($C3273="","",IF(Registro_Compras!$F$367="FACTURA",ROUND(Registro_Compras!$K$367*Registro_Compras!$N$367,2),""))</f>
        <v/>
      </c>
      <c r="F3273" s="20">
        <f>IF($C3273="","",IF(Registro_Compras!$F$367="RHE",ROUND(Registro_Compras!$V$367*Registro_Compras!$N$367,2),IF(Registro_Compras!$F$367="NOTA DE CREDITO",ROUND(ABS(Registro_Compras!$J$367*Registro_Compras!$N$367),2),"")))</f>
        <v/>
      </c>
      <c r="G3273">
        <f>IF($C3273="","",IF(Registro_Compras!$F$367="NOTA DE CREDITO","Por la nota de credito "&amp;Registro_Compras!$C$367&amp;" de "&amp;Registro_Compras!$E$367&amp;" [PATRON POR CONFIRMAR CON CONTADOR]",IF(Registro_Compras!$F$367="RHE","Por el registro del recibo por honorarios "&amp;Registro_Compras!$C$367&amp;" de "&amp;Registro_Compras!$E$367&amp;" [PATRON POR CONFIRMAR CON CONTADOR]","Por el registro de la factura "&amp;Registro_Compras!$C$367&amp;" de "&amp;Registro_Compras!$E$367)))</f>
        <v/>
      </c>
      <c r="H3273">
        <f>IF($C3273="","",Registro_Compras!$C$367)</f>
        <v/>
      </c>
    </row>
    <row r="3274">
      <c r="A3274" s="25">
        <f>IF($C3274="","",Registro_Compras!$B$367)</f>
        <v/>
      </c>
      <c r="B3274">
        <f>IF($C3274="","","C"&amp;TEXT(INT((ROW()-5)/9)+1,"000")&amp;"-1")</f>
        <v/>
      </c>
      <c r="C3274">
        <f>IF(OR(Registro_Compras!$C$367="",Registro_Compras!$O$367=""),"",IF(Registro_Compras!$F$367="NOTA DE CREDITO",IF(Registro_Compras!$K$367=0,"","40111"),"4212"))</f>
        <v/>
      </c>
      <c r="D3274">
        <f>IF(OR(Registro_Compras!$C$367="",Registro_Compras!$O$367=""),"",IF(Registro_Compras!$F$367="NOTA DE CREDITO","IGV - Cuenta Propia (Credito Fiscal)","Cuentas por Pagar Comerciales - Terceros (Emitidas)"))</f>
        <v/>
      </c>
      <c r="E3274" s="20">
        <f>""</f>
        <v/>
      </c>
      <c r="F3274" s="20">
        <f>IF($C3274="","",IF(Registro_Compras!$F$367="NOTA DE CREDITO",ROUND(ABS(Registro_Compras!$K$367*Registro_Compras!$N$367),2),IF(Registro_Compras!$F$367="RHE",(ROUND(Registro_Compras!$L$367*Registro_Compras!$N$367,2)-ROUND(Registro_Compras!$V$367*Registro_Compras!$N$367,2)),Registro_Compras!$O$367)))</f>
        <v/>
      </c>
      <c r="G3274">
        <f>IF($C3274="","",IF(Registro_Compras!$F$367="NOTA DE CREDITO","Por la nota de credito "&amp;Registro_Compras!$C$367&amp;" de "&amp;Registro_Compras!$E$367&amp;" [PATRON POR CONFIRMAR CON CONTADOR]",IF(Registro_Compras!$F$367="RHE","Por el registro del recibo por honorarios "&amp;Registro_Compras!$C$367&amp;" de "&amp;Registro_Compras!$E$367&amp;" [PATRON POR CONFIRMAR CON CONTADOR]","Por el registro de la factura "&amp;Registro_Compras!$C$367&amp;" de "&amp;Registro_Compras!$E$367)))</f>
        <v/>
      </c>
      <c r="H3274">
        <f>IF($C3274="","",Registro_Compras!$C$367)</f>
        <v/>
      </c>
    </row>
    <row r="3275">
      <c r="A3275" s="25">
        <f>IF($C3275="","",Registro_Compras!$B$367)</f>
        <v/>
      </c>
      <c r="B3275">
        <f>IF($C3275="","","C"&amp;TEXT(INT((ROW()-5)/9)+1,"000")&amp;"-2")</f>
        <v/>
      </c>
      <c r="C3275">
        <f>IF(OR(Registro_Compras!$C$367="",Registro_Compras!$O$367=""),"",IF(Registro_Compras!$AB$367="ADMINISTRATIVO","94","95"))</f>
        <v/>
      </c>
      <c r="D3275">
        <f>IF(OR(Registro_Compras!$C$367="",Registro_Compras!$O$367=""),"",IF(Registro_Compras!$AB$367="ADMINISTRATIVO","Gastos Administrativos","Gastos de Venta y Operacion"))</f>
        <v/>
      </c>
      <c r="E3275" s="20">
        <f>IF($C3275="","",IF(Registro_Compras!$F$367="NOTA DE CREDITO","",IF(Registro_Compras!$F$367="RHE",ROUND(Registro_Compras!$L$367*Registro_Compras!$N$367,2),ROUND(Registro_Compras!$J$367*Registro_Compras!$N$367,2))))</f>
        <v/>
      </c>
      <c r="F3275" s="20">
        <f>IF($C3275="","",IF(Registro_Compras!$F$367="NOTA DE CREDITO",ROUND(ABS(Registro_Compras!$J$367*Registro_Compras!$N$367),2),""))</f>
        <v/>
      </c>
      <c r="G3275">
        <f>IF($C3275="","","Por el destino del gasto")</f>
        <v/>
      </c>
      <c r="H3275">
        <f>IF($C3275="","",Registro_Compras!$C$367)</f>
        <v/>
      </c>
    </row>
    <row r="3276">
      <c r="A3276" s="25">
        <f>IF($C3276="","",Registro_Compras!$B$367)</f>
        <v/>
      </c>
      <c r="B3276">
        <f>IF($C3276="","","C"&amp;TEXT(INT((ROW()-5)/9)+1,"000")&amp;"-2")</f>
        <v/>
      </c>
      <c r="C3276">
        <f>IF(OR(Registro_Compras!$C$367="",Registro_Compras!$O$367=""),"","79/791")</f>
        <v/>
      </c>
      <c r="D3276">
        <f>IF(OR(Registro_Compras!$C$367="",Registro_Compras!$O$367=""),"","Cargas Imputables a Cuentas de Costos y Gastos")</f>
        <v/>
      </c>
      <c r="E3276" s="20">
        <f>IF($C3276="","",IF(Registro_Compras!$F$367="NOTA DE CREDITO",ROUND(ABS(Registro_Compras!$J$367*Registro_Compras!$N$367),2),""))</f>
        <v/>
      </c>
      <c r="F3276" s="20">
        <f>IF($C3276="","",IF(Registro_Compras!$F$367="NOTA DE CREDITO","",IF(Registro_Compras!$F$367="RHE",ROUND(Registro_Compras!$L$367*Registro_Compras!$N$367,2),ROUND(Registro_Compras!$J$367*Registro_Compras!$N$367,2))))</f>
        <v/>
      </c>
      <c r="G3276">
        <f>IF($C3276="","","Por el destino del gasto")</f>
        <v/>
      </c>
      <c r="H3276">
        <f>IF($C3276="","",Registro_Compras!$C$367)</f>
        <v/>
      </c>
    </row>
    <row r="3277">
      <c r="A3277" s="25">
        <f>IF($C3277="","",Registro_Compras!$X$367)</f>
        <v/>
      </c>
      <c r="B3277">
        <f>IF($C3277="","","C"&amp;TEXT(INT((ROW()-5)/9)+1,"000")&amp;"-3")</f>
        <v/>
      </c>
      <c r="C3277">
        <f>IF(OR(Registro_Compras!$C$367="",Registro_Compras!$O$367="",Registro_Compras!$R$367&lt;&gt;"SI",Registro_Compras!$X$367=""),"","4212")</f>
        <v/>
      </c>
      <c r="D3277">
        <f>IF(OR(Registro_Compras!$C$367="",Registro_Compras!$O$367=""),"","Cuentas por Pagar Comerciales - Terceros")</f>
        <v/>
      </c>
      <c r="E3277" s="20">
        <f>IF($C3277="","",Registro_Compras!$S$367)</f>
        <v/>
      </c>
      <c r="F3277" s="20">
        <f>""</f>
        <v/>
      </c>
      <c r="G3277">
        <f>IF($C3277="","","Por el deposito de la detraccion en el Banco de la Nacion")</f>
        <v/>
      </c>
      <c r="H3277">
        <f>IF($C3277="","",Registro_Compras!$C$367)</f>
        <v/>
      </c>
    </row>
    <row r="3278">
      <c r="A3278" s="25">
        <f>IF($C3278="","",Registro_Compras!$X$367)</f>
        <v/>
      </c>
      <c r="B3278">
        <f>IF($C3278="","","C"&amp;TEXT(INT((ROW()-5)/9)+1,"000")&amp;"-3")</f>
        <v/>
      </c>
      <c r="C3278">
        <f>IF(OR(Registro_Compras!$C$367="",Registro_Compras!$O$367="",Registro_Compras!$R$367&lt;&gt;"SI",Registro_Compras!$X$367=""),"","10413")</f>
        <v/>
      </c>
      <c r="D3278">
        <f>IF(OR(Registro_Compras!$C$367="",Registro_Compras!$O$367=""),"","Efectivo y Equivalentes - Cta. Cte. Operativa")</f>
        <v/>
      </c>
      <c r="E3278" s="20">
        <f>""</f>
        <v/>
      </c>
      <c r="F3278" s="20">
        <f>IF($C3278="","",Registro_Compras!$S$367)</f>
        <v/>
      </c>
      <c r="G3278">
        <f>IF($C3278="","","Por el deposito de la detraccion en el Banco de la Nacion")</f>
        <v/>
      </c>
      <c r="H3278">
        <f>IF($C3278="","",Registro_Compras!$C$367)</f>
        <v/>
      </c>
    </row>
    <row r="3279">
      <c r="A3279" s="25">
        <f>IF($C3279="","",Registro_Compras!$Y$367)</f>
        <v/>
      </c>
      <c r="B3279">
        <f>IF($C3279="","","C"&amp;TEXT(INT((ROW()-5)/9)+1,"000")&amp;"-4")</f>
        <v/>
      </c>
      <c r="C3279">
        <f>IF(OR(Registro_Compras!$C$367="",Registro_Compras!$O$367="",Registro_Compras!$Y$367="",Registro_Compras!$F$367="NOTA DE CREDITO"),"","4212")</f>
        <v/>
      </c>
      <c r="D3279">
        <f>IF(OR(Registro_Compras!$C$367="",Registro_Compras!$O$367=""),"","Cuentas por Pagar Comerciales - Terceros")</f>
        <v/>
      </c>
      <c r="E3279" s="20">
        <f>IF($C3279="","",IF(Registro_Compras!$F$367="RHE",(ROUND(Registro_Compras!$L$367*Registro_Compras!$N$367,2)-ROUND(Registro_Compras!$V$367*Registro_Compras!$N$367,2)),ROUND(Registro_Compras!$O$367-Registro_Compras!$S$367,2)))</f>
        <v/>
      </c>
      <c r="F3279" s="20">
        <f>""</f>
        <v/>
      </c>
      <c r="G3279">
        <f>IF($C3279="","","Por la cancelacion del saldo al proveedor")</f>
        <v/>
      </c>
      <c r="H3279">
        <f>IF($C3279="","",Registro_Compras!$C$367)</f>
        <v/>
      </c>
    </row>
    <row r="3280">
      <c r="A3280" s="25">
        <f>IF($C3280="","",Registro_Compras!$Y$367)</f>
        <v/>
      </c>
      <c r="B3280">
        <f>IF($C3280="","","C"&amp;TEXT(INT((ROW()-5)/9)+1,"000")&amp;"-4")</f>
        <v/>
      </c>
      <c r="C3280">
        <f>IF(OR(Registro_Compras!$C$367="",Registro_Compras!$O$367="",Registro_Compras!$Y$367="",Registro_Compras!$F$367="NOTA DE CREDITO"),"","10413")</f>
        <v/>
      </c>
      <c r="D3280">
        <f>IF(OR(Registro_Compras!$C$367="",Registro_Compras!$O$367=""),"","Efectivo y Equivalentes - Cta. Cte. Operativa")</f>
        <v/>
      </c>
      <c r="E3280" s="20">
        <f>""</f>
        <v/>
      </c>
      <c r="F3280" s="20">
        <f>IF($C3280="","",IF(Registro_Compras!$F$367="RHE",(ROUND(Registro_Compras!$L$367*Registro_Compras!$N$367,2)-ROUND(Registro_Compras!$V$367*Registro_Compras!$N$367,2)),ROUND(Registro_Compras!$O$367-Registro_Compras!$S$367,2)))</f>
        <v/>
      </c>
      <c r="G3280">
        <f>IF($C3280="","","Por la cancelacion del saldo al proveedor")</f>
        <v/>
      </c>
      <c r="H3280">
        <f>IF($C3280="","",Registro_Compras!$C$367)</f>
        <v/>
      </c>
    </row>
    <row r="3281">
      <c r="A3281" s="25">
        <f>IF($C3281="","",Registro_Compras!$B$368)</f>
        <v/>
      </c>
      <c r="B3281">
        <f>IF($C3281="","","C"&amp;TEXT(INT((ROW()-5)/9)+1,"000")&amp;"-1")</f>
        <v/>
      </c>
      <c r="C3281">
        <f>IF(OR(Registro_Compras!$C$368="",Registro_Compras!$O$368=""),"",IF(Registro_Compras!$F$368="NOTA DE CREDITO","4212",IF(Registro_Compras!$M$368="","63",Registro_Compras!$M$368)))</f>
        <v/>
      </c>
      <c r="D3281">
        <f>IF(OR(Registro_Compras!$C$368="",Registro_Compras!$O$368=""),"",IF(Registro_Compras!$F$368="NOTA DE CREDITO","Cuentas por Pagar Comerciales - Terceros (Emitidas)",IF(Registro_Compras!$F$368="RHE","Honorarios Profesionales - Servicios de Terceros","Gastos de Servicios Prestados por Terceros")))</f>
        <v/>
      </c>
      <c r="E3281" s="20">
        <f>IF($C3281="","",IF(Registro_Compras!$F$368="NOTA DE CREDITO",ABS(Registro_Compras!$O$368),IF(Registro_Compras!$F$368="RHE",ROUND(Registro_Compras!$L$368*Registro_Compras!$N$368,2),ROUND(Registro_Compras!$J$368*Registro_Compras!$N$368,2))))</f>
        <v/>
      </c>
      <c r="F3281" s="20">
        <f>""</f>
        <v/>
      </c>
      <c r="G3281">
        <f>IF($C3281="","",IF(Registro_Compras!$F$368="NOTA DE CREDITO","Por la nota de credito "&amp;Registro_Compras!$C$368&amp;" de "&amp;Registro_Compras!$E$368&amp;" [PATRON POR CONFIRMAR CON CONTADOR]",IF(Registro_Compras!$F$368="RHE","Por el registro del recibo por honorarios "&amp;Registro_Compras!$C$368&amp;" de "&amp;Registro_Compras!$E$368&amp;" [PATRON POR CONFIRMAR CON CONTADOR]","Por el registro de la factura "&amp;Registro_Compras!$C$368&amp;" de "&amp;Registro_Compras!$E$368)))</f>
        <v/>
      </c>
      <c r="H3281">
        <f>IF($C3281="","",Registro_Compras!$C$368)</f>
        <v/>
      </c>
    </row>
    <row r="3282">
      <c r="A3282" s="25">
        <f>IF($C3282="","",Registro_Compras!$B$368)</f>
        <v/>
      </c>
      <c r="B3282">
        <f>IF($C3282="","","C"&amp;TEXT(INT((ROW()-5)/9)+1,"000")&amp;"-1")</f>
        <v/>
      </c>
      <c r="C3282">
        <f>IF(OR(Registro_Compras!$C$368="",Registro_Compras!$O$368=""),"",IF(Registro_Compras!$F$368="RHE",IF(Registro_Compras!$V$368=0,"","40172"),IF(Registro_Compras!$F$368="NOTA DE CREDITO",IF(Registro_Compras!$M$368="","63",Registro_Compras!$M$368),IF(Registro_Compras!$K$368=0,"","40111"))))</f>
        <v/>
      </c>
      <c r="D3282">
        <f>IF(OR(Registro_Compras!$C$368="",Registro_Compras!$O$368=""),"",IF(Registro_Compras!$F$368="RHE","Retencion Renta 4ta Categoria por Pagar",IF(Registro_Compras!$F$368="NOTA DE CREDITO","Gastos de Servicios Prestados por Terceros","IGV - Cuenta Propia (Credito Fiscal)")))</f>
        <v/>
      </c>
      <c r="E3282" s="20">
        <f>IF($C3282="","",IF(Registro_Compras!$F$368="FACTURA",ROUND(Registro_Compras!$K$368*Registro_Compras!$N$368,2),""))</f>
        <v/>
      </c>
      <c r="F3282" s="20">
        <f>IF($C3282="","",IF(Registro_Compras!$F$368="RHE",ROUND(Registro_Compras!$V$368*Registro_Compras!$N$368,2),IF(Registro_Compras!$F$368="NOTA DE CREDITO",ROUND(ABS(Registro_Compras!$J$368*Registro_Compras!$N$368),2),"")))</f>
        <v/>
      </c>
      <c r="G3282">
        <f>IF($C3282="","",IF(Registro_Compras!$F$368="NOTA DE CREDITO","Por la nota de credito "&amp;Registro_Compras!$C$368&amp;" de "&amp;Registro_Compras!$E$368&amp;" [PATRON POR CONFIRMAR CON CONTADOR]",IF(Registro_Compras!$F$368="RHE","Por el registro del recibo por honorarios "&amp;Registro_Compras!$C$368&amp;" de "&amp;Registro_Compras!$E$368&amp;" [PATRON POR CONFIRMAR CON CONTADOR]","Por el registro de la factura "&amp;Registro_Compras!$C$368&amp;" de "&amp;Registro_Compras!$E$368)))</f>
        <v/>
      </c>
      <c r="H3282">
        <f>IF($C3282="","",Registro_Compras!$C$368)</f>
        <v/>
      </c>
    </row>
    <row r="3283">
      <c r="A3283" s="25">
        <f>IF($C3283="","",Registro_Compras!$B$368)</f>
        <v/>
      </c>
      <c r="B3283">
        <f>IF($C3283="","","C"&amp;TEXT(INT((ROW()-5)/9)+1,"000")&amp;"-1")</f>
        <v/>
      </c>
      <c r="C3283">
        <f>IF(OR(Registro_Compras!$C$368="",Registro_Compras!$O$368=""),"",IF(Registro_Compras!$F$368="NOTA DE CREDITO",IF(Registro_Compras!$K$368=0,"","40111"),"4212"))</f>
        <v/>
      </c>
      <c r="D3283">
        <f>IF(OR(Registro_Compras!$C$368="",Registro_Compras!$O$368=""),"",IF(Registro_Compras!$F$368="NOTA DE CREDITO","IGV - Cuenta Propia (Credito Fiscal)","Cuentas por Pagar Comerciales - Terceros (Emitidas)"))</f>
        <v/>
      </c>
      <c r="E3283" s="20">
        <f>""</f>
        <v/>
      </c>
      <c r="F3283" s="20">
        <f>IF($C3283="","",IF(Registro_Compras!$F$368="NOTA DE CREDITO",ROUND(ABS(Registro_Compras!$K$368*Registro_Compras!$N$368),2),IF(Registro_Compras!$F$368="RHE",(ROUND(Registro_Compras!$L$368*Registro_Compras!$N$368,2)-ROUND(Registro_Compras!$V$368*Registro_Compras!$N$368,2)),Registro_Compras!$O$368)))</f>
        <v/>
      </c>
      <c r="G3283">
        <f>IF($C3283="","",IF(Registro_Compras!$F$368="NOTA DE CREDITO","Por la nota de credito "&amp;Registro_Compras!$C$368&amp;" de "&amp;Registro_Compras!$E$368&amp;" [PATRON POR CONFIRMAR CON CONTADOR]",IF(Registro_Compras!$F$368="RHE","Por el registro del recibo por honorarios "&amp;Registro_Compras!$C$368&amp;" de "&amp;Registro_Compras!$E$368&amp;" [PATRON POR CONFIRMAR CON CONTADOR]","Por el registro de la factura "&amp;Registro_Compras!$C$368&amp;" de "&amp;Registro_Compras!$E$368)))</f>
        <v/>
      </c>
      <c r="H3283">
        <f>IF($C3283="","",Registro_Compras!$C$368)</f>
        <v/>
      </c>
    </row>
    <row r="3284">
      <c r="A3284" s="25">
        <f>IF($C3284="","",Registro_Compras!$B$368)</f>
        <v/>
      </c>
      <c r="B3284">
        <f>IF($C3284="","","C"&amp;TEXT(INT((ROW()-5)/9)+1,"000")&amp;"-2")</f>
        <v/>
      </c>
      <c r="C3284">
        <f>IF(OR(Registro_Compras!$C$368="",Registro_Compras!$O$368=""),"",IF(Registro_Compras!$AB$368="ADMINISTRATIVO","94","95"))</f>
        <v/>
      </c>
      <c r="D3284">
        <f>IF(OR(Registro_Compras!$C$368="",Registro_Compras!$O$368=""),"",IF(Registro_Compras!$AB$368="ADMINISTRATIVO","Gastos Administrativos","Gastos de Venta y Operacion"))</f>
        <v/>
      </c>
      <c r="E3284" s="20">
        <f>IF($C3284="","",IF(Registro_Compras!$F$368="NOTA DE CREDITO","",IF(Registro_Compras!$F$368="RHE",ROUND(Registro_Compras!$L$368*Registro_Compras!$N$368,2),ROUND(Registro_Compras!$J$368*Registro_Compras!$N$368,2))))</f>
        <v/>
      </c>
      <c r="F3284" s="20">
        <f>IF($C3284="","",IF(Registro_Compras!$F$368="NOTA DE CREDITO",ROUND(ABS(Registro_Compras!$J$368*Registro_Compras!$N$368),2),""))</f>
        <v/>
      </c>
      <c r="G3284">
        <f>IF($C3284="","","Por el destino del gasto")</f>
        <v/>
      </c>
      <c r="H3284">
        <f>IF($C3284="","",Registro_Compras!$C$368)</f>
        <v/>
      </c>
    </row>
    <row r="3285">
      <c r="A3285" s="25">
        <f>IF($C3285="","",Registro_Compras!$B$368)</f>
        <v/>
      </c>
      <c r="B3285">
        <f>IF($C3285="","","C"&amp;TEXT(INT((ROW()-5)/9)+1,"000")&amp;"-2")</f>
        <v/>
      </c>
      <c r="C3285">
        <f>IF(OR(Registro_Compras!$C$368="",Registro_Compras!$O$368=""),"","79/791")</f>
        <v/>
      </c>
      <c r="D3285">
        <f>IF(OR(Registro_Compras!$C$368="",Registro_Compras!$O$368=""),"","Cargas Imputables a Cuentas de Costos y Gastos")</f>
        <v/>
      </c>
      <c r="E3285" s="20">
        <f>IF($C3285="","",IF(Registro_Compras!$F$368="NOTA DE CREDITO",ROUND(ABS(Registro_Compras!$J$368*Registro_Compras!$N$368),2),""))</f>
        <v/>
      </c>
      <c r="F3285" s="20">
        <f>IF($C3285="","",IF(Registro_Compras!$F$368="NOTA DE CREDITO","",IF(Registro_Compras!$F$368="RHE",ROUND(Registro_Compras!$L$368*Registro_Compras!$N$368,2),ROUND(Registro_Compras!$J$368*Registro_Compras!$N$368,2))))</f>
        <v/>
      </c>
      <c r="G3285">
        <f>IF($C3285="","","Por el destino del gasto")</f>
        <v/>
      </c>
      <c r="H3285">
        <f>IF($C3285="","",Registro_Compras!$C$368)</f>
        <v/>
      </c>
    </row>
    <row r="3286">
      <c r="A3286" s="25">
        <f>IF($C3286="","",Registro_Compras!$X$368)</f>
        <v/>
      </c>
      <c r="B3286">
        <f>IF($C3286="","","C"&amp;TEXT(INT((ROW()-5)/9)+1,"000")&amp;"-3")</f>
        <v/>
      </c>
      <c r="C3286">
        <f>IF(OR(Registro_Compras!$C$368="",Registro_Compras!$O$368="",Registro_Compras!$R$368&lt;&gt;"SI",Registro_Compras!$X$368=""),"","4212")</f>
        <v/>
      </c>
      <c r="D3286">
        <f>IF(OR(Registro_Compras!$C$368="",Registro_Compras!$O$368=""),"","Cuentas por Pagar Comerciales - Terceros")</f>
        <v/>
      </c>
      <c r="E3286" s="20">
        <f>IF($C3286="","",Registro_Compras!$S$368)</f>
        <v/>
      </c>
      <c r="F3286" s="20">
        <f>""</f>
        <v/>
      </c>
      <c r="G3286">
        <f>IF($C3286="","","Por el deposito de la detraccion en el Banco de la Nacion")</f>
        <v/>
      </c>
      <c r="H3286">
        <f>IF($C3286="","",Registro_Compras!$C$368)</f>
        <v/>
      </c>
    </row>
    <row r="3287">
      <c r="A3287" s="25">
        <f>IF($C3287="","",Registro_Compras!$X$368)</f>
        <v/>
      </c>
      <c r="B3287">
        <f>IF($C3287="","","C"&amp;TEXT(INT((ROW()-5)/9)+1,"000")&amp;"-3")</f>
        <v/>
      </c>
      <c r="C3287">
        <f>IF(OR(Registro_Compras!$C$368="",Registro_Compras!$O$368="",Registro_Compras!$R$368&lt;&gt;"SI",Registro_Compras!$X$368=""),"","10413")</f>
        <v/>
      </c>
      <c r="D3287">
        <f>IF(OR(Registro_Compras!$C$368="",Registro_Compras!$O$368=""),"","Efectivo y Equivalentes - Cta. Cte. Operativa")</f>
        <v/>
      </c>
      <c r="E3287" s="20">
        <f>""</f>
        <v/>
      </c>
      <c r="F3287" s="20">
        <f>IF($C3287="","",Registro_Compras!$S$368)</f>
        <v/>
      </c>
      <c r="G3287">
        <f>IF($C3287="","","Por el deposito de la detraccion en el Banco de la Nacion")</f>
        <v/>
      </c>
      <c r="H3287">
        <f>IF($C3287="","",Registro_Compras!$C$368)</f>
        <v/>
      </c>
    </row>
    <row r="3288">
      <c r="A3288" s="25">
        <f>IF($C3288="","",Registro_Compras!$Y$368)</f>
        <v/>
      </c>
      <c r="B3288">
        <f>IF($C3288="","","C"&amp;TEXT(INT((ROW()-5)/9)+1,"000")&amp;"-4")</f>
        <v/>
      </c>
      <c r="C3288">
        <f>IF(OR(Registro_Compras!$C$368="",Registro_Compras!$O$368="",Registro_Compras!$Y$368="",Registro_Compras!$F$368="NOTA DE CREDITO"),"","4212")</f>
        <v/>
      </c>
      <c r="D3288">
        <f>IF(OR(Registro_Compras!$C$368="",Registro_Compras!$O$368=""),"","Cuentas por Pagar Comerciales - Terceros")</f>
        <v/>
      </c>
      <c r="E3288" s="20">
        <f>IF($C3288="","",IF(Registro_Compras!$F$368="RHE",(ROUND(Registro_Compras!$L$368*Registro_Compras!$N$368,2)-ROUND(Registro_Compras!$V$368*Registro_Compras!$N$368,2)),ROUND(Registro_Compras!$O$368-Registro_Compras!$S$368,2)))</f>
        <v/>
      </c>
      <c r="F3288" s="20">
        <f>""</f>
        <v/>
      </c>
      <c r="G3288">
        <f>IF($C3288="","","Por la cancelacion del saldo al proveedor")</f>
        <v/>
      </c>
      <c r="H3288">
        <f>IF($C3288="","",Registro_Compras!$C$368)</f>
        <v/>
      </c>
    </row>
    <row r="3289">
      <c r="A3289" s="25">
        <f>IF($C3289="","",Registro_Compras!$Y$368)</f>
        <v/>
      </c>
      <c r="B3289">
        <f>IF($C3289="","","C"&amp;TEXT(INT((ROW()-5)/9)+1,"000")&amp;"-4")</f>
        <v/>
      </c>
      <c r="C3289">
        <f>IF(OR(Registro_Compras!$C$368="",Registro_Compras!$O$368="",Registro_Compras!$Y$368="",Registro_Compras!$F$368="NOTA DE CREDITO"),"","10413")</f>
        <v/>
      </c>
      <c r="D3289">
        <f>IF(OR(Registro_Compras!$C$368="",Registro_Compras!$O$368=""),"","Efectivo y Equivalentes - Cta. Cte. Operativa")</f>
        <v/>
      </c>
      <c r="E3289" s="20">
        <f>""</f>
        <v/>
      </c>
      <c r="F3289" s="20">
        <f>IF($C3289="","",IF(Registro_Compras!$F$368="RHE",(ROUND(Registro_Compras!$L$368*Registro_Compras!$N$368,2)-ROUND(Registro_Compras!$V$368*Registro_Compras!$N$368,2)),ROUND(Registro_Compras!$O$368-Registro_Compras!$S$368,2)))</f>
        <v/>
      </c>
      <c r="G3289">
        <f>IF($C3289="","","Por la cancelacion del saldo al proveedor")</f>
        <v/>
      </c>
      <c r="H3289">
        <f>IF($C3289="","",Registro_Compras!$C$368)</f>
        <v/>
      </c>
    </row>
    <row r="3290">
      <c r="A3290" s="25">
        <f>IF($C3290="","",Registro_Compras!$B$369)</f>
        <v/>
      </c>
      <c r="B3290">
        <f>IF($C3290="","","C"&amp;TEXT(INT((ROW()-5)/9)+1,"000")&amp;"-1")</f>
        <v/>
      </c>
      <c r="C3290">
        <f>IF(OR(Registro_Compras!$C$369="",Registro_Compras!$O$369=""),"",IF(Registro_Compras!$F$369="NOTA DE CREDITO","4212",IF(Registro_Compras!$M$369="","63",Registro_Compras!$M$369)))</f>
        <v/>
      </c>
      <c r="D3290">
        <f>IF(OR(Registro_Compras!$C$369="",Registro_Compras!$O$369=""),"",IF(Registro_Compras!$F$369="NOTA DE CREDITO","Cuentas por Pagar Comerciales - Terceros (Emitidas)",IF(Registro_Compras!$F$369="RHE","Honorarios Profesionales - Servicios de Terceros","Gastos de Servicios Prestados por Terceros")))</f>
        <v/>
      </c>
      <c r="E3290" s="20">
        <f>IF($C3290="","",IF(Registro_Compras!$F$369="NOTA DE CREDITO",ABS(Registro_Compras!$O$369),IF(Registro_Compras!$F$369="RHE",ROUND(Registro_Compras!$L$369*Registro_Compras!$N$369,2),ROUND(Registro_Compras!$J$369*Registro_Compras!$N$369,2))))</f>
        <v/>
      </c>
      <c r="F3290" s="20">
        <f>""</f>
        <v/>
      </c>
      <c r="G3290">
        <f>IF($C3290="","",IF(Registro_Compras!$F$369="NOTA DE CREDITO","Por la nota de credito "&amp;Registro_Compras!$C$369&amp;" de "&amp;Registro_Compras!$E$369&amp;" [PATRON POR CONFIRMAR CON CONTADOR]",IF(Registro_Compras!$F$369="RHE","Por el registro del recibo por honorarios "&amp;Registro_Compras!$C$369&amp;" de "&amp;Registro_Compras!$E$369&amp;" [PATRON POR CONFIRMAR CON CONTADOR]","Por el registro de la factura "&amp;Registro_Compras!$C$369&amp;" de "&amp;Registro_Compras!$E$369)))</f>
        <v/>
      </c>
      <c r="H3290">
        <f>IF($C3290="","",Registro_Compras!$C$369)</f>
        <v/>
      </c>
    </row>
    <row r="3291">
      <c r="A3291" s="25">
        <f>IF($C3291="","",Registro_Compras!$B$369)</f>
        <v/>
      </c>
      <c r="B3291">
        <f>IF($C3291="","","C"&amp;TEXT(INT((ROW()-5)/9)+1,"000")&amp;"-1")</f>
        <v/>
      </c>
      <c r="C3291">
        <f>IF(OR(Registro_Compras!$C$369="",Registro_Compras!$O$369=""),"",IF(Registro_Compras!$F$369="RHE",IF(Registro_Compras!$V$369=0,"","40172"),IF(Registro_Compras!$F$369="NOTA DE CREDITO",IF(Registro_Compras!$M$369="","63",Registro_Compras!$M$369),IF(Registro_Compras!$K$369=0,"","40111"))))</f>
        <v/>
      </c>
      <c r="D3291">
        <f>IF(OR(Registro_Compras!$C$369="",Registro_Compras!$O$369=""),"",IF(Registro_Compras!$F$369="RHE","Retencion Renta 4ta Categoria por Pagar",IF(Registro_Compras!$F$369="NOTA DE CREDITO","Gastos de Servicios Prestados por Terceros","IGV - Cuenta Propia (Credito Fiscal)")))</f>
        <v/>
      </c>
      <c r="E3291" s="20">
        <f>IF($C3291="","",IF(Registro_Compras!$F$369="FACTURA",ROUND(Registro_Compras!$K$369*Registro_Compras!$N$369,2),""))</f>
        <v/>
      </c>
      <c r="F3291" s="20">
        <f>IF($C3291="","",IF(Registro_Compras!$F$369="RHE",ROUND(Registro_Compras!$V$369*Registro_Compras!$N$369,2),IF(Registro_Compras!$F$369="NOTA DE CREDITO",ROUND(ABS(Registro_Compras!$J$369*Registro_Compras!$N$369),2),"")))</f>
        <v/>
      </c>
      <c r="G3291">
        <f>IF($C3291="","",IF(Registro_Compras!$F$369="NOTA DE CREDITO","Por la nota de credito "&amp;Registro_Compras!$C$369&amp;" de "&amp;Registro_Compras!$E$369&amp;" [PATRON POR CONFIRMAR CON CONTADOR]",IF(Registro_Compras!$F$369="RHE","Por el registro del recibo por honorarios "&amp;Registro_Compras!$C$369&amp;" de "&amp;Registro_Compras!$E$369&amp;" [PATRON POR CONFIRMAR CON CONTADOR]","Por el registro de la factura "&amp;Registro_Compras!$C$369&amp;" de "&amp;Registro_Compras!$E$369)))</f>
        <v/>
      </c>
      <c r="H3291">
        <f>IF($C3291="","",Registro_Compras!$C$369)</f>
        <v/>
      </c>
    </row>
    <row r="3292">
      <c r="A3292" s="25">
        <f>IF($C3292="","",Registro_Compras!$B$369)</f>
        <v/>
      </c>
      <c r="B3292">
        <f>IF($C3292="","","C"&amp;TEXT(INT((ROW()-5)/9)+1,"000")&amp;"-1")</f>
        <v/>
      </c>
      <c r="C3292">
        <f>IF(OR(Registro_Compras!$C$369="",Registro_Compras!$O$369=""),"",IF(Registro_Compras!$F$369="NOTA DE CREDITO",IF(Registro_Compras!$K$369=0,"","40111"),"4212"))</f>
        <v/>
      </c>
      <c r="D3292">
        <f>IF(OR(Registro_Compras!$C$369="",Registro_Compras!$O$369=""),"",IF(Registro_Compras!$F$369="NOTA DE CREDITO","IGV - Cuenta Propia (Credito Fiscal)","Cuentas por Pagar Comerciales - Terceros (Emitidas)"))</f>
        <v/>
      </c>
      <c r="E3292" s="20">
        <f>""</f>
        <v/>
      </c>
      <c r="F3292" s="20">
        <f>IF($C3292="","",IF(Registro_Compras!$F$369="NOTA DE CREDITO",ROUND(ABS(Registro_Compras!$K$369*Registro_Compras!$N$369),2),IF(Registro_Compras!$F$369="RHE",(ROUND(Registro_Compras!$L$369*Registro_Compras!$N$369,2)-ROUND(Registro_Compras!$V$369*Registro_Compras!$N$369,2)),Registro_Compras!$O$369)))</f>
        <v/>
      </c>
      <c r="G3292">
        <f>IF($C3292="","",IF(Registro_Compras!$F$369="NOTA DE CREDITO","Por la nota de credito "&amp;Registro_Compras!$C$369&amp;" de "&amp;Registro_Compras!$E$369&amp;" [PATRON POR CONFIRMAR CON CONTADOR]",IF(Registro_Compras!$F$369="RHE","Por el registro del recibo por honorarios "&amp;Registro_Compras!$C$369&amp;" de "&amp;Registro_Compras!$E$369&amp;" [PATRON POR CONFIRMAR CON CONTADOR]","Por el registro de la factura "&amp;Registro_Compras!$C$369&amp;" de "&amp;Registro_Compras!$E$369)))</f>
        <v/>
      </c>
      <c r="H3292">
        <f>IF($C3292="","",Registro_Compras!$C$369)</f>
        <v/>
      </c>
    </row>
    <row r="3293">
      <c r="A3293" s="25">
        <f>IF($C3293="","",Registro_Compras!$B$369)</f>
        <v/>
      </c>
      <c r="B3293">
        <f>IF($C3293="","","C"&amp;TEXT(INT((ROW()-5)/9)+1,"000")&amp;"-2")</f>
        <v/>
      </c>
      <c r="C3293">
        <f>IF(OR(Registro_Compras!$C$369="",Registro_Compras!$O$369=""),"",IF(Registro_Compras!$AB$369="ADMINISTRATIVO","94","95"))</f>
        <v/>
      </c>
      <c r="D3293">
        <f>IF(OR(Registro_Compras!$C$369="",Registro_Compras!$O$369=""),"",IF(Registro_Compras!$AB$369="ADMINISTRATIVO","Gastos Administrativos","Gastos de Venta y Operacion"))</f>
        <v/>
      </c>
      <c r="E3293" s="20">
        <f>IF($C3293="","",IF(Registro_Compras!$F$369="NOTA DE CREDITO","",IF(Registro_Compras!$F$369="RHE",ROUND(Registro_Compras!$L$369*Registro_Compras!$N$369,2),ROUND(Registro_Compras!$J$369*Registro_Compras!$N$369,2))))</f>
        <v/>
      </c>
      <c r="F3293" s="20">
        <f>IF($C3293="","",IF(Registro_Compras!$F$369="NOTA DE CREDITO",ROUND(ABS(Registro_Compras!$J$369*Registro_Compras!$N$369),2),""))</f>
        <v/>
      </c>
      <c r="G3293">
        <f>IF($C3293="","","Por el destino del gasto")</f>
        <v/>
      </c>
      <c r="H3293">
        <f>IF($C3293="","",Registro_Compras!$C$369)</f>
        <v/>
      </c>
    </row>
    <row r="3294">
      <c r="A3294" s="25">
        <f>IF($C3294="","",Registro_Compras!$B$369)</f>
        <v/>
      </c>
      <c r="B3294">
        <f>IF($C3294="","","C"&amp;TEXT(INT((ROW()-5)/9)+1,"000")&amp;"-2")</f>
        <v/>
      </c>
      <c r="C3294">
        <f>IF(OR(Registro_Compras!$C$369="",Registro_Compras!$O$369=""),"","79/791")</f>
        <v/>
      </c>
      <c r="D3294">
        <f>IF(OR(Registro_Compras!$C$369="",Registro_Compras!$O$369=""),"","Cargas Imputables a Cuentas de Costos y Gastos")</f>
        <v/>
      </c>
      <c r="E3294" s="20">
        <f>IF($C3294="","",IF(Registro_Compras!$F$369="NOTA DE CREDITO",ROUND(ABS(Registro_Compras!$J$369*Registro_Compras!$N$369),2),""))</f>
        <v/>
      </c>
      <c r="F3294" s="20">
        <f>IF($C3294="","",IF(Registro_Compras!$F$369="NOTA DE CREDITO","",IF(Registro_Compras!$F$369="RHE",ROUND(Registro_Compras!$L$369*Registro_Compras!$N$369,2),ROUND(Registro_Compras!$J$369*Registro_Compras!$N$369,2))))</f>
        <v/>
      </c>
      <c r="G3294">
        <f>IF($C3294="","","Por el destino del gasto")</f>
        <v/>
      </c>
      <c r="H3294">
        <f>IF($C3294="","",Registro_Compras!$C$369)</f>
        <v/>
      </c>
    </row>
    <row r="3295">
      <c r="A3295" s="25">
        <f>IF($C3295="","",Registro_Compras!$X$369)</f>
        <v/>
      </c>
      <c r="B3295">
        <f>IF($C3295="","","C"&amp;TEXT(INT((ROW()-5)/9)+1,"000")&amp;"-3")</f>
        <v/>
      </c>
      <c r="C3295">
        <f>IF(OR(Registro_Compras!$C$369="",Registro_Compras!$O$369="",Registro_Compras!$R$369&lt;&gt;"SI",Registro_Compras!$X$369=""),"","4212")</f>
        <v/>
      </c>
      <c r="D3295">
        <f>IF(OR(Registro_Compras!$C$369="",Registro_Compras!$O$369=""),"","Cuentas por Pagar Comerciales - Terceros")</f>
        <v/>
      </c>
      <c r="E3295" s="20">
        <f>IF($C3295="","",Registro_Compras!$S$369)</f>
        <v/>
      </c>
      <c r="F3295" s="20">
        <f>""</f>
        <v/>
      </c>
      <c r="G3295">
        <f>IF($C3295="","","Por el deposito de la detraccion en el Banco de la Nacion")</f>
        <v/>
      </c>
      <c r="H3295">
        <f>IF($C3295="","",Registro_Compras!$C$369)</f>
        <v/>
      </c>
    </row>
    <row r="3296">
      <c r="A3296" s="25">
        <f>IF($C3296="","",Registro_Compras!$X$369)</f>
        <v/>
      </c>
      <c r="B3296">
        <f>IF($C3296="","","C"&amp;TEXT(INT((ROW()-5)/9)+1,"000")&amp;"-3")</f>
        <v/>
      </c>
      <c r="C3296">
        <f>IF(OR(Registro_Compras!$C$369="",Registro_Compras!$O$369="",Registro_Compras!$R$369&lt;&gt;"SI",Registro_Compras!$X$369=""),"","10413")</f>
        <v/>
      </c>
      <c r="D3296">
        <f>IF(OR(Registro_Compras!$C$369="",Registro_Compras!$O$369=""),"","Efectivo y Equivalentes - Cta. Cte. Operativa")</f>
        <v/>
      </c>
      <c r="E3296" s="20">
        <f>""</f>
        <v/>
      </c>
      <c r="F3296" s="20">
        <f>IF($C3296="","",Registro_Compras!$S$369)</f>
        <v/>
      </c>
      <c r="G3296">
        <f>IF($C3296="","","Por el deposito de la detraccion en el Banco de la Nacion")</f>
        <v/>
      </c>
      <c r="H3296">
        <f>IF($C3296="","",Registro_Compras!$C$369)</f>
        <v/>
      </c>
    </row>
    <row r="3297">
      <c r="A3297" s="25">
        <f>IF($C3297="","",Registro_Compras!$Y$369)</f>
        <v/>
      </c>
      <c r="B3297">
        <f>IF($C3297="","","C"&amp;TEXT(INT((ROW()-5)/9)+1,"000")&amp;"-4")</f>
        <v/>
      </c>
      <c r="C3297">
        <f>IF(OR(Registro_Compras!$C$369="",Registro_Compras!$O$369="",Registro_Compras!$Y$369="",Registro_Compras!$F$369="NOTA DE CREDITO"),"","4212")</f>
        <v/>
      </c>
      <c r="D3297">
        <f>IF(OR(Registro_Compras!$C$369="",Registro_Compras!$O$369=""),"","Cuentas por Pagar Comerciales - Terceros")</f>
        <v/>
      </c>
      <c r="E3297" s="20">
        <f>IF($C3297="","",IF(Registro_Compras!$F$369="RHE",(ROUND(Registro_Compras!$L$369*Registro_Compras!$N$369,2)-ROUND(Registro_Compras!$V$369*Registro_Compras!$N$369,2)),ROUND(Registro_Compras!$O$369-Registro_Compras!$S$369,2)))</f>
        <v/>
      </c>
      <c r="F3297" s="20">
        <f>""</f>
        <v/>
      </c>
      <c r="G3297">
        <f>IF($C3297="","","Por la cancelacion del saldo al proveedor")</f>
        <v/>
      </c>
      <c r="H3297">
        <f>IF($C3297="","",Registro_Compras!$C$369)</f>
        <v/>
      </c>
    </row>
    <row r="3298">
      <c r="A3298" s="25">
        <f>IF($C3298="","",Registro_Compras!$Y$369)</f>
        <v/>
      </c>
      <c r="B3298">
        <f>IF($C3298="","","C"&amp;TEXT(INT((ROW()-5)/9)+1,"000")&amp;"-4")</f>
        <v/>
      </c>
      <c r="C3298">
        <f>IF(OR(Registro_Compras!$C$369="",Registro_Compras!$O$369="",Registro_Compras!$Y$369="",Registro_Compras!$F$369="NOTA DE CREDITO"),"","10413")</f>
        <v/>
      </c>
      <c r="D3298">
        <f>IF(OR(Registro_Compras!$C$369="",Registro_Compras!$O$369=""),"","Efectivo y Equivalentes - Cta. Cte. Operativa")</f>
        <v/>
      </c>
      <c r="E3298" s="20">
        <f>""</f>
        <v/>
      </c>
      <c r="F3298" s="20">
        <f>IF($C3298="","",IF(Registro_Compras!$F$369="RHE",(ROUND(Registro_Compras!$L$369*Registro_Compras!$N$369,2)-ROUND(Registro_Compras!$V$369*Registro_Compras!$N$369,2)),ROUND(Registro_Compras!$O$369-Registro_Compras!$S$369,2)))</f>
        <v/>
      </c>
      <c r="G3298">
        <f>IF($C3298="","","Por la cancelacion del saldo al proveedor")</f>
        <v/>
      </c>
      <c r="H3298">
        <f>IF($C3298="","",Registro_Compras!$C$369)</f>
        <v/>
      </c>
    </row>
    <row r="3299">
      <c r="A3299" s="25">
        <f>IF($C3299="","",Registro_Compras!$B$370)</f>
        <v/>
      </c>
      <c r="B3299">
        <f>IF($C3299="","","C"&amp;TEXT(INT((ROW()-5)/9)+1,"000")&amp;"-1")</f>
        <v/>
      </c>
      <c r="C3299">
        <f>IF(OR(Registro_Compras!$C$370="",Registro_Compras!$O$370=""),"",IF(Registro_Compras!$F$370="NOTA DE CREDITO","4212",IF(Registro_Compras!$M$370="","63",Registro_Compras!$M$370)))</f>
        <v/>
      </c>
      <c r="D3299">
        <f>IF(OR(Registro_Compras!$C$370="",Registro_Compras!$O$370=""),"",IF(Registro_Compras!$F$370="NOTA DE CREDITO","Cuentas por Pagar Comerciales - Terceros (Emitidas)",IF(Registro_Compras!$F$370="RHE","Honorarios Profesionales - Servicios de Terceros","Gastos de Servicios Prestados por Terceros")))</f>
        <v/>
      </c>
      <c r="E3299" s="20">
        <f>IF($C3299="","",IF(Registro_Compras!$F$370="NOTA DE CREDITO",ABS(Registro_Compras!$O$370),IF(Registro_Compras!$F$370="RHE",ROUND(Registro_Compras!$L$370*Registro_Compras!$N$370,2),ROUND(Registro_Compras!$J$370*Registro_Compras!$N$370,2))))</f>
        <v/>
      </c>
      <c r="F3299" s="20">
        <f>""</f>
        <v/>
      </c>
      <c r="G3299">
        <f>IF($C3299="","",IF(Registro_Compras!$F$370="NOTA DE CREDITO","Por la nota de credito "&amp;Registro_Compras!$C$370&amp;" de "&amp;Registro_Compras!$E$370&amp;" [PATRON POR CONFIRMAR CON CONTADOR]",IF(Registro_Compras!$F$370="RHE","Por el registro del recibo por honorarios "&amp;Registro_Compras!$C$370&amp;" de "&amp;Registro_Compras!$E$370&amp;" [PATRON POR CONFIRMAR CON CONTADOR]","Por el registro de la factura "&amp;Registro_Compras!$C$370&amp;" de "&amp;Registro_Compras!$E$370)))</f>
        <v/>
      </c>
      <c r="H3299">
        <f>IF($C3299="","",Registro_Compras!$C$370)</f>
        <v/>
      </c>
    </row>
    <row r="3300">
      <c r="A3300" s="25">
        <f>IF($C3300="","",Registro_Compras!$B$370)</f>
        <v/>
      </c>
      <c r="B3300">
        <f>IF($C3300="","","C"&amp;TEXT(INT((ROW()-5)/9)+1,"000")&amp;"-1")</f>
        <v/>
      </c>
      <c r="C3300">
        <f>IF(OR(Registro_Compras!$C$370="",Registro_Compras!$O$370=""),"",IF(Registro_Compras!$F$370="RHE",IF(Registro_Compras!$V$370=0,"","40172"),IF(Registro_Compras!$F$370="NOTA DE CREDITO",IF(Registro_Compras!$M$370="","63",Registro_Compras!$M$370),IF(Registro_Compras!$K$370=0,"","40111"))))</f>
        <v/>
      </c>
      <c r="D3300">
        <f>IF(OR(Registro_Compras!$C$370="",Registro_Compras!$O$370=""),"",IF(Registro_Compras!$F$370="RHE","Retencion Renta 4ta Categoria por Pagar",IF(Registro_Compras!$F$370="NOTA DE CREDITO","Gastos de Servicios Prestados por Terceros","IGV - Cuenta Propia (Credito Fiscal)")))</f>
        <v/>
      </c>
      <c r="E3300" s="20">
        <f>IF($C3300="","",IF(Registro_Compras!$F$370="FACTURA",ROUND(Registro_Compras!$K$370*Registro_Compras!$N$370,2),""))</f>
        <v/>
      </c>
      <c r="F3300" s="20">
        <f>IF($C3300="","",IF(Registro_Compras!$F$370="RHE",ROUND(Registro_Compras!$V$370*Registro_Compras!$N$370,2),IF(Registro_Compras!$F$370="NOTA DE CREDITO",ROUND(ABS(Registro_Compras!$J$370*Registro_Compras!$N$370),2),"")))</f>
        <v/>
      </c>
      <c r="G3300">
        <f>IF($C3300="","",IF(Registro_Compras!$F$370="NOTA DE CREDITO","Por la nota de credito "&amp;Registro_Compras!$C$370&amp;" de "&amp;Registro_Compras!$E$370&amp;" [PATRON POR CONFIRMAR CON CONTADOR]",IF(Registro_Compras!$F$370="RHE","Por el registro del recibo por honorarios "&amp;Registro_Compras!$C$370&amp;" de "&amp;Registro_Compras!$E$370&amp;" [PATRON POR CONFIRMAR CON CONTADOR]","Por el registro de la factura "&amp;Registro_Compras!$C$370&amp;" de "&amp;Registro_Compras!$E$370)))</f>
        <v/>
      </c>
      <c r="H3300">
        <f>IF($C3300="","",Registro_Compras!$C$370)</f>
        <v/>
      </c>
    </row>
    <row r="3301">
      <c r="A3301" s="25">
        <f>IF($C3301="","",Registro_Compras!$B$370)</f>
        <v/>
      </c>
      <c r="B3301">
        <f>IF($C3301="","","C"&amp;TEXT(INT((ROW()-5)/9)+1,"000")&amp;"-1")</f>
        <v/>
      </c>
      <c r="C3301">
        <f>IF(OR(Registro_Compras!$C$370="",Registro_Compras!$O$370=""),"",IF(Registro_Compras!$F$370="NOTA DE CREDITO",IF(Registro_Compras!$K$370=0,"","40111"),"4212"))</f>
        <v/>
      </c>
      <c r="D3301">
        <f>IF(OR(Registro_Compras!$C$370="",Registro_Compras!$O$370=""),"",IF(Registro_Compras!$F$370="NOTA DE CREDITO","IGV - Cuenta Propia (Credito Fiscal)","Cuentas por Pagar Comerciales - Terceros (Emitidas)"))</f>
        <v/>
      </c>
      <c r="E3301" s="20">
        <f>""</f>
        <v/>
      </c>
      <c r="F3301" s="20">
        <f>IF($C3301="","",IF(Registro_Compras!$F$370="NOTA DE CREDITO",ROUND(ABS(Registro_Compras!$K$370*Registro_Compras!$N$370),2),IF(Registro_Compras!$F$370="RHE",(ROUND(Registro_Compras!$L$370*Registro_Compras!$N$370,2)-ROUND(Registro_Compras!$V$370*Registro_Compras!$N$370,2)),Registro_Compras!$O$370)))</f>
        <v/>
      </c>
      <c r="G3301">
        <f>IF($C3301="","",IF(Registro_Compras!$F$370="NOTA DE CREDITO","Por la nota de credito "&amp;Registro_Compras!$C$370&amp;" de "&amp;Registro_Compras!$E$370&amp;" [PATRON POR CONFIRMAR CON CONTADOR]",IF(Registro_Compras!$F$370="RHE","Por el registro del recibo por honorarios "&amp;Registro_Compras!$C$370&amp;" de "&amp;Registro_Compras!$E$370&amp;" [PATRON POR CONFIRMAR CON CONTADOR]","Por el registro de la factura "&amp;Registro_Compras!$C$370&amp;" de "&amp;Registro_Compras!$E$370)))</f>
        <v/>
      </c>
      <c r="H3301">
        <f>IF($C3301="","",Registro_Compras!$C$370)</f>
        <v/>
      </c>
    </row>
    <row r="3302">
      <c r="A3302" s="25">
        <f>IF($C3302="","",Registro_Compras!$B$370)</f>
        <v/>
      </c>
      <c r="B3302">
        <f>IF($C3302="","","C"&amp;TEXT(INT((ROW()-5)/9)+1,"000")&amp;"-2")</f>
        <v/>
      </c>
      <c r="C3302">
        <f>IF(OR(Registro_Compras!$C$370="",Registro_Compras!$O$370=""),"",IF(Registro_Compras!$AB$370="ADMINISTRATIVO","94","95"))</f>
        <v/>
      </c>
      <c r="D3302">
        <f>IF(OR(Registro_Compras!$C$370="",Registro_Compras!$O$370=""),"",IF(Registro_Compras!$AB$370="ADMINISTRATIVO","Gastos Administrativos","Gastos de Venta y Operacion"))</f>
        <v/>
      </c>
      <c r="E3302" s="20">
        <f>IF($C3302="","",IF(Registro_Compras!$F$370="NOTA DE CREDITO","",IF(Registro_Compras!$F$370="RHE",ROUND(Registro_Compras!$L$370*Registro_Compras!$N$370,2),ROUND(Registro_Compras!$J$370*Registro_Compras!$N$370,2))))</f>
        <v/>
      </c>
      <c r="F3302" s="20">
        <f>IF($C3302="","",IF(Registro_Compras!$F$370="NOTA DE CREDITO",ROUND(ABS(Registro_Compras!$J$370*Registro_Compras!$N$370),2),""))</f>
        <v/>
      </c>
      <c r="G3302">
        <f>IF($C3302="","","Por el destino del gasto")</f>
        <v/>
      </c>
      <c r="H3302">
        <f>IF($C3302="","",Registro_Compras!$C$370)</f>
        <v/>
      </c>
    </row>
    <row r="3303">
      <c r="A3303" s="25">
        <f>IF($C3303="","",Registro_Compras!$B$370)</f>
        <v/>
      </c>
      <c r="B3303">
        <f>IF($C3303="","","C"&amp;TEXT(INT((ROW()-5)/9)+1,"000")&amp;"-2")</f>
        <v/>
      </c>
      <c r="C3303">
        <f>IF(OR(Registro_Compras!$C$370="",Registro_Compras!$O$370=""),"","79/791")</f>
        <v/>
      </c>
      <c r="D3303">
        <f>IF(OR(Registro_Compras!$C$370="",Registro_Compras!$O$370=""),"","Cargas Imputables a Cuentas de Costos y Gastos")</f>
        <v/>
      </c>
      <c r="E3303" s="20">
        <f>IF($C3303="","",IF(Registro_Compras!$F$370="NOTA DE CREDITO",ROUND(ABS(Registro_Compras!$J$370*Registro_Compras!$N$370),2),""))</f>
        <v/>
      </c>
      <c r="F3303" s="20">
        <f>IF($C3303="","",IF(Registro_Compras!$F$370="NOTA DE CREDITO","",IF(Registro_Compras!$F$370="RHE",ROUND(Registro_Compras!$L$370*Registro_Compras!$N$370,2),ROUND(Registro_Compras!$J$370*Registro_Compras!$N$370,2))))</f>
        <v/>
      </c>
      <c r="G3303">
        <f>IF($C3303="","","Por el destino del gasto")</f>
        <v/>
      </c>
      <c r="H3303">
        <f>IF($C3303="","",Registro_Compras!$C$370)</f>
        <v/>
      </c>
    </row>
    <row r="3304">
      <c r="A3304" s="25">
        <f>IF($C3304="","",Registro_Compras!$X$370)</f>
        <v/>
      </c>
      <c r="B3304">
        <f>IF($C3304="","","C"&amp;TEXT(INT((ROW()-5)/9)+1,"000")&amp;"-3")</f>
        <v/>
      </c>
      <c r="C3304">
        <f>IF(OR(Registro_Compras!$C$370="",Registro_Compras!$O$370="",Registro_Compras!$R$370&lt;&gt;"SI",Registro_Compras!$X$370=""),"","4212")</f>
        <v/>
      </c>
      <c r="D3304">
        <f>IF(OR(Registro_Compras!$C$370="",Registro_Compras!$O$370=""),"","Cuentas por Pagar Comerciales - Terceros")</f>
        <v/>
      </c>
      <c r="E3304" s="20">
        <f>IF($C3304="","",Registro_Compras!$S$370)</f>
        <v/>
      </c>
      <c r="F3304" s="20">
        <f>""</f>
        <v/>
      </c>
      <c r="G3304">
        <f>IF($C3304="","","Por el deposito de la detraccion en el Banco de la Nacion")</f>
        <v/>
      </c>
      <c r="H3304">
        <f>IF($C3304="","",Registro_Compras!$C$370)</f>
        <v/>
      </c>
    </row>
    <row r="3305">
      <c r="A3305" s="25">
        <f>IF($C3305="","",Registro_Compras!$X$370)</f>
        <v/>
      </c>
      <c r="B3305">
        <f>IF($C3305="","","C"&amp;TEXT(INT((ROW()-5)/9)+1,"000")&amp;"-3")</f>
        <v/>
      </c>
      <c r="C3305">
        <f>IF(OR(Registro_Compras!$C$370="",Registro_Compras!$O$370="",Registro_Compras!$R$370&lt;&gt;"SI",Registro_Compras!$X$370=""),"","10413")</f>
        <v/>
      </c>
      <c r="D3305">
        <f>IF(OR(Registro_Compras!$C$370="",Registro_Compras!$O$370=""),"","Efectivo y Equivalentes - Cta. Cte. Operativa")</f>
        <v/>
      </c>
      <c r="E3305" s="20">
        <f>""</f>
        <v/>
      </c>
      <c r="F3305" s="20">
        <f>IF($C3305="","",Registro_Compras!$S$370)</f>
        <v/>
      </c>
      <c r="G3305">
        <f>IF($C3305="","","Por el deposito de la detraccion en el Banco de la Nacion")</f>
        <v/>
      </c>
      <c r="H3305">
        <f>IF($C3305="","",Registro_Compras!$C$370)</f>
        <v/>
      </c>
    </row>
    <row r="3306">
      <c r="A3306" s="25">
        <f>IF($C3306="","",Registro_Compras!$Y$370)</f>
        <v/>
      </c>
      <c r="B3306">
        <f>IF($C3306="","","C"&amp;TEXT(INT((ROW()-5)/9)+1,"000")&amp;"-4")</f>
        <v/>
      </c>
      <c r="C3306">
        <f>IF(OR(Registro_Compras!$C$370="",Registro_Compras!$O$370="",Registro_Compras!$Y$370="",Registro_Compras!$F$370="NOTA DE CREDITO"),"","4212")</f>
        <v/>
      </c>
      <c r="D3306">
        <f>IF(OR(Registro_Compras!$C$370="",Registro_Compras!$O$370=""),"","Cuentas por Pagar Comerciales - Terceros")</f>
        <v/>
      </c>
      <c r="E3306" s="20">
        <f>IF($C3306="","",IF(Registro_Compras!$F$370="RHE",(ROUND(Registro_Compras!$L$370*Registro_Compras!$N$370,2)-ROUND(Registro_Compras!$V$370*Registro_Compras!$N$370,2)),ROUND(Registro_Compras!$O$370-Registro_Compras!$S$370,2)))</f>
        <v/>
      </c>
      <c r="F3306" s="20">
        <f>""</f>
        <v/>
      </c>
      <c r="G3306">
        <f>IF($C3306="","","Por la cancelacion del saldo al proveedor")</f>
        <v/>
      </c>
      <c r="H3306">
        <f>IF($C3306="","",Registro_Compras!$C$370)</f>
        <v/>
      </c>
    </row>
    <row r="3307">
      <c r="A3307" s="25">
        <f>IF($C3307="","",Registro_Compras!$Y$370)</f>
        <v/>
      </c>
      <c r="B3307">
        <f>IF($C3307="","","C"&amp;TEXT(INT((ROW()-5)/9)+1,"000")&amp;"-4")</f>
        <v/>
      </c>
      <c r="C3307">
        <f>IF(OR(Registro_Compras!$C$370="",Registro_Compras!$O$370="",Registro_Compras!$Y$370="",Registro_Compras!$F$370="NOTA DE CREDITO"),"","10413")</f>
        <v/>
      </c>
      <c r="D3307">
        <f>IF(OR(Registro_Compras!$C$370="",Registro_Compras!$O$370=""),"","Efectivo y Equivalentes - Cta. Cte. Operativa")</f>
        <v/>
      </c>
      <c r="E3307" s="20">
        <f>""</f>
        <v/>
      </c>
      <c r="F3307" s="20">
        <f>IF($C3307="","",IF(Registro_Compras!$F$370="RHE",(ROUND(Registro_Compras!$L$370*Registro_Compras!$N$370,2)-ROUND(Registro_Compras!$V$370*Registro_Compras!$N$370,2)),ROUND(Registro_Compras!$O$370-Registro_Compras!$S$370,2)))</f>
        <v/>
      </c>
      <c r="G3307">
        <f>IF($C3307="","","Por la cancelacion del saldo al proveedor")</f>
        <v/>
      </c>
      <c r="H3307">
        <f>IF($C3307="","",Registro_Compras!$C$370)</f>
        <v/>
      </c>
    </row>
    <row r="3308">
      <c r="A3308" s="25">
        <f>IF($C3308="","",Registro_Compras!$B$371)</f>
        <v/>
      </c>
      <c r="B3308">
        <f>IF($C3308="","","C"&amp;TEXT(INT((ROW()-5)/9)+1,"000")&amp;"-1")</f>
        <v/>
      </c>
      <c r="C3308">
        <f>IF(OR(Registro_Compras!$C$371="",Registro_Compras!$O$371=""),"",IF(Registro_Compras!$F$371="NOTA DE CREDITO","4212",IF(Registro_Compras!$M$371="","63",Registro_Compras!$M$371)))</f>
        <v/>
      </c>
      <c r="D3308">
        <f>IF(OR(Registro_Compras!$C$371="",Registro_Compras!$O$371=""),"",IF(Registro_Compras!$F$371="NOTA DE CREDITO","Cuentas por Pagar Comerciales - Terceros (Emitidas)",IF(Registro_Compras!$F$371="RHE","Honorarios Profesionales - Servicios de Terceros","Gastos de Servicios Prestados por Terceros")))</f>
        <v/>
      </c>
      <c r="E3308" s="20">
        <f>IF($C3308="","",IF(Registro_Compras!$F$371="NOTA DE CREDITO",ABS(Registro_Compras!$O$371),IF(Registro_Compras!$F$371="RHE",ROUND(Registro_Compras!$L$371*Registro_Compras!$N$371,2),ROUND(Registro_Compras!$J$371*Registro_Compras!$N$371,2))))</f>
        <v/>
      </c>
      <c r="F3308" s="20">
        <f>""</f>
        <v/>
      </c>
      <c r="G3308">
        <f>IF($C3308="","",IF(Registro_Compras!$F$371="NOTA DE CREDITO","Por la nota de credito "&amp;Registro_Compras!$C$371&amp;" de "&amp;Registro_Compras!$E$371&amp;" [PATRON POR CONFIRMAR CON CONTADOR]",IF(Registro_Compras!$F$371="RHE","Por el registro del recibo por honorarios "&amp;Registro_Compras!$C$371&amp;" de "&amp;Registro_Compras!$E$371&amp;" [PATRON POR CONFIRMAR CON CONTADOR]","Por el registro de la factura "&amp;Registro_Compras!$C$371&amp;" de "&amp;Registro_Compras!$E$371)))</f>
        <v/>
      </c>
      <c r="H3308">
        <f>IF($C3308="","",Registro_Compras!$C$371)</f>
        <v/>
      </c>
    </row>
    <row r="3309">
      <c r="A3309" s="25">
        <f>IF($C3309="","",Registro_Compras!$B$371)</f>
        <v/>
      </c>
      <c r="B3309">
        <f>IF($C3309="","","C"&amp;TEXT(INT((ROW()-5)/9)+1,"000")&amp;"-1")</f>
        <v/>
      </c>
      <c r="C3309">
        <f>IF(OR(Registro_Compras!$C$371="",Registro_Compras!$O$371=""),"",IF(Registro_Compras!$F$371="RHE",IF(Registro_Compras!$V$371=0,"","40172"),IF(Registro_Compras!$F$371="NOTA DE CREDITO",IF(Registro_Compras!$M$371="","63",Registro_Compras!$M$371),IF(Registro_Compras!$K$371=0,"","40111"))))</f>
        <v/>
      </c>
      <c r="D3309">
        <f>IF(OR(Registro_Compras!$C$371="",Registro_Compras!$O$371=""),"",IF(Registro_Compras!$F$371="RHE","Retencion Renta 4ta Categoria por Pagar",IF(Registro_Compras!$F$371="NOTA DE CREDITO","Gastos de Servicios Prestados por Terceros","IGV - Cuenta Propia (Credito Fiscal)")))</f>
        <v/>
      </c>
      <c r="E3309" s="20">
        <f>IF($C3309="","",IF(Registro_Compras!$F$371="FACTURA",ROUND(Registro_Compras!$K$371*Registro_Compras!$N$371,2),""))</f>
        <v/>
      </c>
      <c r="F3309" s="20">
        <f>IF($C3309="","",IF(Registro_Compras!$F$371="RHE",ROUND(Registro_Compras!$V$371*Registro_Compras!$N$371,2),IF(Registro_Compras!$F$371="NOTA DE CREDITO",ROUND(ABS(Registro_Compras!$J$371*Registro_Compras!$N$371),2),"")))</f>
        <v/>
      </c>
      <c r="G3309">
        <f>IF($C3309="","",IF(Registro_Compras!$F$371="NOTA DE CREDITO","Por la nota de credito "&amp;Registro_Compras!$C$371&amp;" de "&amp;Registro_Compras!$E$371&amp;" [PATRON POR CONFIRMAR CON CONTADOR]",IF(Registro_Compras!$F$371="RHE","Por el registro del recibo por honorarios "&amp;Registro_Compras!$C$371&amp;" de "&amp;Registro_Compras!$E$371&amp;" [PATRON POR CONFIRMAR CON CONTADOR]","Por el registro de la factura "&amp;Registro_Compras!$C$371&amp;" de "&amp;Registro_Compras!$E$371)))</f>
        <v/>
      </c>
      <c r="H3309">
        <f>IF($C3309="","",Registro_Compras!$C$371)</f>
        <v/>
      </c>
    </row>
    <row r="3310">
      <c r="A3310" s="25">
        <f>IF($C3310="","",Registro_Compras!$B$371)</f>
        <v/>
      </c>
      <c r="B3310">
        <f>IF($C3310="","","C"&amp;TEXT(INT((ROW()-5)/9)+1,"000")&amp;"-1")</f>
        <v/>
      </c>
      <c r="C3310">
        <f>IF(OR(Registro_Compras!$C$371="",Registro_Compras!$O$371=""),"",IF(Registro_Compras!$F$371="NOTA DE CREDITO",IF(Registro_Compras!$K$371=0,"","40111"),"4212"))</f>
        <v/>
      </c>
      <c r="D3310">
        <f>IF(OR(Registro_Compras!$C$371="",Registro_Compras!$O$371=""),"",IF(Registro_Compras!$F$371="NOTA DE CREDITO","IGV - Cuenta Propia (Credito Fiscal)","Cuentas por Pagar Comerciales - Terceros (Emitidas)"))</f>
        <v/>
      </c>
      <c r="E3310" s="20">
        <f>""</f>
        <v/>
      </c>
      <c r="F3310" s="20">
        <f>IF($C3310="","",IF(Registro_Compras!$F$371="NOTA DE CREDITO",ROUND(ABS(Registro_Compras!$K$371*Registro_Compras!$N$371),2),IF(Registro_Compras!$F$371="RHE",(ROUND(Registro_Compras!$L$371*Registro_Compras!$N$371,2)-ROUND(Registro_Compras!$V$371*Registro_Compras!$N$371,2)),Registro_Compras!$O$371)))</f>
        <v/>
      </c>
      <c r="G3310">
        <f>IF($C3310="","",IF(Registro_Compras!$F$371="NOTA DE CREDITO","Por la nota de credito "&amp;Registro_Compras!$C$371&amp;" de "&amp;Registro_Compras!$E$371&amp;" [PATRON POR CONFIRMAR CON CONTADOR]",IF(Registro_Compras!$F$371="RHE","Por el registro del recibo por honorarios "&amp;Registro_Compras!$C$371&amp;" de "&amp;Registro_Compras!$E$371&amp;" [PATRON POR CONFIRMAR CON CONTADOR]","Por el registro de la factura "&amp;Registro_Compras!$C$371&amp;" de "&amp;Registro_Compras!$E$371)))</f>
        <v/>
      </c>
      <c r="H3310">
        <f>IF($C3310="","",Registro_Compras!$C$371)</f>
        <v/>
      </c>
    </row>
    <row r="3311">
      <c r="A3311" s="25">
        <f>IF($C3311="","",Registro_Compras!$B$371)</f>
        <v/>
      </c>
      <c r="B3311">
        <f>IF($C3311="","","C"&amp;TEXT(INT((ROW()-5)/9)+1,"000")&amp;"-2")</f>
        <v/>
      </c>
      <c r="C3311">
        <f>IF(OR(Registro_Compras!$C$371="",Registro_Compras!$O$371=""),"",IF(Registro_Compras!$AB$371="ADMINISTRATIVO","94","95"))</f>
        <v/>
      </c>
      <c r="D3311">
        <f>IF(OR(Registro_Compras!$C$371="",Registro_Compras!$O$371=""),"",IF(Registro_Compras!$AB$371="ADMINISTRATIVO","Gastos Administrativos","Gastos de Venta y Operacion"))</f>
        <v/>
      </c>
      <c r="E3311" s="20">
        <f>IF($C3311="","",IF(Registro_Compras!$F$371="NOTA DE CREDITO","",IF(Registro_Compras!$F$371="RHE",ROUND(Registro_Compras!$L$371*Registro_Compras!$N$371,2),ROUND(Registro_Compras!$J$371*Registro_Compras!$N$371,2))))</f>
        <v/>
      </c>
      <c r="F3311" s="20">
        <f>IF($C3311="","",IF(Registro_Compras!$F$371="NOTA DE CREDITO",ROUND(ABS(Registro_Compras!$J$371*Registro_Compras!$N$371),2),""))</f>
        <v/>
      </c>
      <c r="G3311">
        <f>IF($C3311="","","Por el destino del gasto")</f>
        <v/>
      </c>
      <c r="H3311">
        <f>IF($C3311="","",Registro_Compras!$C$371)</f>
        <v/>
      </c>
    </row>
    <row r="3312">
      <c r="A3312" s="25">
        <f>IF($C3312="","",Registro_Compras!$B$371)</f>
        <v/>
      </c>
      <c r="B3312">
        <f>IF($C3312="","","C"&amp;TEXT(INT((ROW()-5)/9)+1,"000")&amp;"-2")</f>
        <v/>
      </c>
      <c r="C3312">
        <f>IF(OR(Registro_Compras!$C$371="",Registro_Compras!$O$371=""),"","79/791")</f>
        <v/>
      </c>
      <c r="D3312">
        <f>IF(OR(Registro_Compras!$C$371="",Registro_Compras!$O$371=""),"","Cargas Imputables a Cuentas de Costos y Gastos")</f>
        <v/>
      </c>
      <c r="E3312" s="20">
        <f>IF($C3312="","",IF(Registro_Compras!$F$371="NOTA DE CREDITO",ROUND(ABS(Registro_Compras!$J$371*Registro_Compras!$N$371),2),""))</f>
        <v/>
      </c>
      <c r="F3312" s="20">
        <f>IF($C3312="","",IF(Registro_Compras!$F$371="NOTA DE CREDITO","",IF(Registro_Compras!$F$371="RHE",ROUND(Registro_Compras!$L$371*Registro_Compras!$N$371,2),ROUND(Registro_Compras!$J$371*Registro_Compras!$N$371,2))))</f>
        <v/>
      </c>
      <c r="G3312">
        <f>IF($C3312="","","Por el destino del gasto")</f>
        <v/>
      </c>
      <c r="H3312">
        <f>IF($C3312="","",Registro_Compras!$C$371)</f>
        <v/>
      </c>
    </row>
    <row r="3313">
      <c r="A3313" s="25">
        <f>IF($C3313="","",Registro_Compras!$X$371)</f>
        <v/>
      </c>
      <c r="B3313">
        <f>IF($C3313="","","C"&amp;TEXT(INT((ROW()-5)/9)+1,"000")&amp;"-3")</f>
        <v/>
      </c>
      <c r="C3313">
        <f>IF(OR(Registro_Compras!$C$371="",Registro_Compras!$O$371="",Registro_Compras!$R$371&lt;&gt;"SI",Registro_Compras!$X$371=""),"","4212")</f>
        <v/>
      </c>
      <c r="D3313">
        <f>IF(OR(Registro_Compras!$C$371="",Registro_Compras!$O$371=""),"","Cuentas por Pagar Comerciales - Terceros")</f>
        <v/>
      </c>
      <c r="E3313" s="20">
        <f>IF($C3313="","",Registro_Compras!$S$371)</f>
        <v/>
      </c>
      <c r="F3313" s="20">
        <f>""</f>
        <v/>
      </c>
      <c r="G3313">
        <f>IF($C3313="","","Por el deposito de la detraccion en el Banco de la Nacion")</f>
        <v/>
      </c>
      <c r="H3313">
        <f>IF($C3313="","",Registro_Compras!$C$371)</f>
        <v/>
      </c>
    </row>
    <row r="3314">
      <c r="A3314" s="25">
        <f>IF($C3314="","",Registro_Compras!$X$371)</f>
        <v/>
      </c>
      <c r="B3314">
        <f>IF($C3314="","","C"&amp;TEXT(INT((ROW()-5)/9)+1,"000")&amp;"-3")</f>
        <v/>
      </c>
      <c r="C3314">
        <f>IF(OR(Registro_Compras!$C$371="",Registro_Compras!$O$371="",Registro_Compras!$R$371&lt;&gt;"SI",Registro_Compras!$X$371=""),"","10413")</f>
        <v/>
      </c>
      <c r="D3314">
        <f>IF(OR(Registro_Compras!$C$371="",Registro_Compras!$O$371=""),"","Efectivo y Equivalentes - Cta. Cte. Operativa")</f>
        <v/>
      </c>
      <c r="E3314" s="20">
        <f>""</f>
        <v/>
      </c>
      <c r="F3314" s="20">
        <f>IF($C3314="","",Registro_Compras!$S$371)</f>
        <v/>
      </c>
      <c r="G3314">
        <f>IF($C3314="","","Por el deposito de la detraccion en el Banco de la Nacion")</f>
        <v/>
      </c>
      <c r="H3314">
        <f>IF($C3314="","",Registro_Compras!$C$371)</f>
        <v/>
      </c>
    </row>
    <row r="3315">
      <c r="A3315" s="25">
        <f>IF($C3315="","",Registro_Compras!$Y$371)</f>
        <v/>
      </c>
      <c r="B3315">
        <f>IF($C3315="","","C"&amp;TEXT(INT((ROW()-5)/9)+1,"000")&amp;"-4")</f>
        <v/>
      </c>
      <c r="C3315">
        <f>IF(OR(Registro_Compras!$C$371="",Registro_Compras!$O$371="",Registro_Compras!$Y$371="",Registro_Compras!$F$371="NOTA DE CREDITO"),"","4212")</f>
        <v/>
      </c>
      <c r="D3315">
        <f>IF(OR(Registro_Compras!$C$371="",Registro_Compras!$O$371=""),"","Cuentas por Pagar Comerciales - Terceros")</f>
        <v/>
      </c>
      <c r="E3315" s="20">
        <f>IF($C3315="","",IF(Registro_Compras!$F$371="RHE",(ROUND(Registro_Compras!$L$371*Registro_Compras!$N$371,2)-ROUND(Registro_Compras!$V$371*Registro_Compras!$N$371,2)),ROUND(Registro_Compras!$O$371-Registro_Compras!$S$371,2)))</f>
        <v/>
      </c>
      <c r="F3315" s="20">
        <f>""</f>
        <v/>
      </c>
      <c r="G3315">
        <f>IF($C3315="","","Por la cancelacion del saldo al proveedor")</f>
        <v/>
      </c>
      <c r="H3315">
        <f>IF($C3315="","",Registro_Compras!$C$371)</f>
        <v/>
      </c>
    </row>
    <row r="3316">
      <c r="A3316" s="25">
        <f>IF($C3316="","",Registro_Compras!$Y$371)</f>
        <v/>
      </c>
      <c r="B3316">
        <f>IF($C3316="","","C"&amp;TEXT(INT((ROW()-5)/9)+1,"000")&amp;"-4")</f>
        <v/>
      </c>
      <c r="C3316">
        <f>IF(OR(Registro_Compras!$C$371="",Registro_Compras!$O$371="",Registro_Compras!$Y$371="",Registro_Compras!$F$371="NOTA DE CREDITO"),"","10413")</f>
        <v/>
      </c>
      <c r="D3316">
        <f>IF(OR(Registro_Compras!$C$371="",Registro_Compras!$O$371=""),"","Efectivo y Equivalentes - Cta. Cte. Operativa")</f>
        <v/>
      </c>
      <c r="E3316" s="20">
        <f>""</f>
        <v/>
      </c>
      <c r="F3316" s="20">
        <f>IF($C3316="","",IF(Registro_Compras!$F$371="RHE",(ROUND(Registro_Compras!$L$371*Registro_Compras!$N$371,2)-ROUND(Registro_Compras!$V$371*Registro_Compras!$N$371,2)),ROUND(Registro_Compras!$O$371-Registro_Compras!$S$371,2)))</f>
        <v/>
      </c>
      <c r="G3316">
        <f>IF($C3316="","","Por la cancelacion del saldo al proveedor")</f>
        <v/>
      </c>
      <c r="H3316">
        <f>IF($C3316="","",Registro_Compras!$C$371)</f>
        <v/>
      </c>
    </row>
    <row r="3317">
      <c r="A3317" s="25">
        <f>IF($C3317="","",Registro_Compras!$B$372)</f>
        <v/>
      </c>
      <c r="B3317">
        <f>IF($C3317="","","C"&amp;TEXT(INT((ROW()-5)/9)+1,"000")&amp;"-1")</f>
        <v/>
      </c>
      <c r="C3317">
        <f>IF(OR(Registro_Compras!$C$372="",Registro_Compras!$O$372=""),"",IF(Registro_Compras!$F$372="NOTA DE CREDITO","4212",IF(Registro_Compras!$M$372="","63",Registro_Compras!$M$372)))</f>
        <v/>
      </c>
      <c r="D3317">
        <f>IF(OR(Registro_Compras!$C$372="",Registro_Compras!$O$372=""),"",IF(Registro_Compras!$F$372="NOTA DE CREDITO","Cuentas por Pagar Comerciales - Terceros (Emitidas)",IF(Registro_Compras!$F$372="RHE","Honorarios Profesionales - Servicios de Terceros","Gastos de Servicios Prestados por Terceros")))</f>
        <v/>
      </c>
      <c r="E3317" s="20">
        <f>IF($C3317="","",IF(Registro_Compras!$F$372="NOTA DE CREDITO",ABS(Registro_Compras!$O$372),IF(Registro_Compras!$F$372="RHE",ROUND(Registro_Compras!$L$372*Registro_Compras!$N$372,2),ROUND(Registro_Compras!$J$372*Registro_Compras!$N$372,2))))</f>
        <v/>
      </c>
      <c r="F3317" s="20">
        <f>""</f>
        <v/>
      </c>
      <c r="G3317">
        <f>IF($C3317="","",IF(Registro_Compras!$F$372="NOTA DE CREDITO","Por la nota de credito "&amp;Registro_Compras!$C$372&amp;" de "&amp;Registro_Compras!$E$372&amp;" [PATRON POR CONFIRMAR CON CONTADOR]",IF(Registro_Compras!$F$372="RHE","Por el registro del recibo por honorarios "&amp;Registro_Compras!$C$372&amp;" de "&amp;Registro_Compras!$E$372&amp;" [PATRON POR CONFIRMAR CON CONTADOR]","Por el registro de la factura "&amp;Registro_Compras!$C$372&amp;" de "&amp;Registro_Compras!$E$372)))</f>
        <v/>
      </c>
      <c r="H3317">
        <f>IF($C3317="","",Registro_Compras!$C$372)</f>
        <v/>
      </c>
    </row>
    <row r="3318">
      <c r="A3318" s="25">
        <f>IF($C3318="","",Registro_Compras!$B$372)</f>
        <v/>
      </c>
      <c r="B3318">
        <f>IF($C3318="","","C"&amp;TEXT(INT((ROW()-5)/9)+1,"000")&amp;"-1")</f>
        <v/>
      </c>
      <c r="C3318">
        <f>IF(OR(Registro_Compras!$C$372="",Registro_Compras!$O$372=""),"",IF(Registro_Compras!$F$372="RHE",IF(Registro_Compras!$V$372=0,"","40172"),IF(Registro_Compras!$F$372="NOTA DE CREDITO",IF(Registro_Compras!$M$372="","63",Registro_Compras!$M$372),IF(Registro_Compras!$K$372=0,"","40111"))))</f>
        <v/>
      </c>
      <c r="D3318">
        <f>IF(OR(Registro_Compras!$C$372="",Registro_Compras!$O$372=""),"",IF(Registro_Compras!$F$372="RHE","Retencion Renta 4ta Categoria por Pagar",IF(Registro_Compras!$F$372="NOTA DE CREDITO","Gastos de Servicios Prestados por Terceros","IGV - Cuenta Propia (Credito Fiscal)")))</f>
        <v/>
      </c>
      <c r="E3318" s="20">
        <f>IF($C3318="","",IF(Registro_Compras!$F$372="FACTURA",ROUND(Registro_Compras!$K$372*Registro_Compras!$N$372,2),""))</f>
        <v/>
      </c>
      <c r="F3318" s="20">
        <f>IF($C3318="","",IF(Registro_Compras!$F$372="RHE",ROUND(Registro_Compras!$V$372*Registro_Compras!$N$372,2),IF(Registro_Compras!$F$372="NOTA DE CREDITO",ROUND(ABS(Registro_Compras!$J$372*Registro_Compras!$N$372),2),"")))</f>
        <v/>
      </c>
      <c r="G3318">
        <f>IF($C3318="","",IF(Registro_Compras!$F$372="NOTA DE CREDITO","Por la nota de credito "&amp;Registro_Compras!$C$372&amp;" de "&amp;Registro_Compras!$E$372&amp;" [PATRON POR CONFIRMAR CON CONTADOR]",IF(Registro_Compras!$F$372="RHE","Por el registro del recibo por honorarios "&amp;Registro_Compras!$C$372&amp;" de "&amp;Registro_Compras!$E$372&amp;" [PATRON POR CONFIRMAR CON CONTADOR]","Por el registro de la factura "&amp;Registro_Compras!$C$372&amp;" de "&amp;Registro_Compras!$E$372)))</f>
        <v/>
      </c>
      <c r="H3318">
        <f>IF($C3318="","",Registro_Compras!$C$372)</f>
        <v/>
      </c>
    </row>
    <row r="3319">
      <c r="A3319" s="25">
        <f>IF($C3319="","",Registro_Compras!$B$372)</f>
        <v/>
      </c>
      <c r="B3319">
        <f>IF($C3319="","","C"&amp;TEXT(INT((ROW()-5)/9)+1,"000")&amp;"-1")</f>
        <v/>
      </c>
      <c r="C3319">
        <f>IF(OR(Registro_Compras!$C$372="",Registro_Compras!$O$372=""),"",IF(Registro_Compras!$F$372="NOTA DE CREDITO",IF(Registro_Compras!$K$372=0,"","40111"),"4212"))</f>
        <v/>
      </c>
      <c r="D3319">
        <f>IF(OR(Registro_Compras!$C$372="",Registro_Compras!$O$372=""),"",IF(Registro_Compras!$F$372="NOTA DE CREDITO","IGV - Cuenta Propia (Credito Fiscal)","Cuentas por Pagar Comerciales - Terceros (Emitidas)"))</f>
        <v/>
      </c>
      <c r="E3319" s="20">
        <f>""</f>
        <v/>
      </c>
      <c r="F3319" s="20">
        <f>IF($C3319="","",IF(Registro_Compras!$F$372="NOTA DE CREDITO",ROUND(ABS(Registro_Compras!$K$372*Registro_Compras!$N$372),2),IF(Registro_Compras!$F$372="RHE",(ROUND(Registro_Compras!$L$372*Registro_Compras!$N$372,2)-ROUND(Registro_Compras!$V$372*Registro_Compras!$N$372,2)),Registro_Compras!$O$372)))</f>
        <v/>
      </c>
      <c r="G3319">
        <f>IF($C3319="","",IF(Registro_Compras!$F$372="NOTA DE CREDITO","Por la nota de credito "&amp;Registro_Compras!$C$372&amp;" de "&amp;Registro_Compras!$E$372&amp;" [PATRON POR CONFIRMAR CON CONTADOR]",IF(Registro_Compras!$F$372="RHE","Por el registro del recibo por honorarios "&amp;Registro_Compras!$C$372&amp;" de "&amp;Registro_Compras!$E$372&amp;" [PATRON POR CONFIRMAR CON CONTADOR]","Por el registro de la factura "&amp;Registro_Compras!$C$372&amp;" de "&amp;Registro_Compras!$E$372)))</f>
        <v/>
      </c>
      <c r="H3319">
        <f>IF($C3319="","",Registro_Compras!$C$372)</f>
        <v/>
      </c>
    </row>
    <row r="3320">
      <c r="A3320" s="25">
        <f>IF($C3320="","",Registro_Compras!$B$372)</f>
        <v/>
      </c>
      <c r="B3320">
        <f>IF($C3320="","","C"&amp;TEXT(INT((ROW()-5)/9)+1,"000")&amp;"-2")</f>
        <v/>
      </c>
      <c r="C3320">
        <f>IF(OR(Registro_Compras!$C$372="",Registro_Compras!$O$372=""),"",IF(Registro_Compras!$AB$372="ADMINISTRATIVO","94","95"))</f>
        <v/>
      </c>
      <c r="D3320">
        <f>IF(OR(Registro_Compras!$C$372="",Registro_Compras!$O$372=""),"",IF(Registro_Compras!$AB$372="ADMINISTRATIVO","Gastos Administrativos","Gastos de Venta y Operacion"))</f>
        <v/>
      </c>
      <c r="E3320" s="20">
        <f>IF($C3320="","",IF(Registro_Compras!$F$372="NOTA DE CREDITO","",IF(Registro_Compras!$F$372="RHE",ROUND(Registro_Compras!$L$372*Registro_Compras!$N$372,2),ROUND(Registro_Compras!$J$372*Registro_Compras!$N$372,2))))</f>
        <v/>
      </c>
      <c r="F3320" s="20">
        <f>IF($C3320="","",IF(Registro_Compras!$F$372="NOTA DE CREDITO",ROUND(ABS(Registro_Compras!$J$372*Registro_Compras!$N$372),2),""))</f>
        <v/>
      </c>
      <c r="G3320">
        <f>IF($C3320="","","Por el destino del gasto")</f>
        <v/>
      </c>
      <c r="H3320">
        <f>IF($C3320="","",Registro_Compras!$C$372)</f>
        <v/>
      </c>
    </row>
    <row r="3321">
      <c r="A3321" s="25">
        <f>IF($C3321="","",Registro_Compras!$B$372)</f>
        <v/>
      </c>
      <c r="B3321">
        <f>IF($C3321="","","C"&amp;TEXT(INT((ROW()-5)/9)+1,"000")&amp;"-2")</f>
        <v/>
      </c>
      <c r="C3321">
        <f>IF(OR(Registro_Compras!$C$372="",Registro_Compras!$O$372=""),"","79/791")</f>
        <v/>
      </c>
      <c r="D3321">
        <f>IF(OR(Registro_Compras!$C$372="",Registro_Compras!$O$372=""),"","Cargas Imputables a Cuentas de Costos y Gastos")</f>
        <v/>
      </c>
      <c r="E3321" s="20">
        <f>IF($C3321="","",IF(Registro_Compras!$F$372="NOTA DE CREDITO",ROUND(ABS(Registro_Compras!$J$372*Registro_Compras!$N$372),2),""))</f>
        <v/>
      </c>
      <c r="F3321" s="20">
        <f>IF($C3321="","",IF(Registro_Compras!$F$372="NOTA DE CREDITO","",IF(Registro_Compras!$F$372="RHE",ROUND(Registro_Compras!$L$372*Registro_Compras!$N$372,2),ROUND(Registro_Compras!$J$372*Registro_Compras!$N$372,2))))</f>
        <v/>
      </c>
      <c r="G3321">
        <f>IF($C3321="","","Por el destino del gasto")</f>
        <v/>
      </c>
      <c r="H3321">
        <f>IF($C3321="","",Registro_Compras!$C$372)</f>
        <v/>
      </c>
    </row>
    <row r="3322">
      <c r="A3322" s="25">
        <f>IF($C3322="","",Registro_Compras!$X$372)</f>
        <v/>
      </c>
      <c r="B3322">
        <f>IF($C3322="","","C"&amp;TEXT(INT((ROW()-5)/9)+1,"000")&amp;"-3")</f>
        <v/>
      </c>
      <c r="C3322">
        <f>IF(OR(Registro_Compras!$C$372="",Registro_Compras!$O$372="",Registro_Compras!$R$372&lt;&gt;"SI",Registro_Compras!$X$372=""),"","4212")</f>
        <v/>
      </c>
      <c r="D3322">
        <f>IF(OR(Registro_Compras!$C$372="",Registro_Compras!$O$372=""),"","Cuentas por Pagar Comerciales - Terceros")</f>
        <v/>
      </c>
      <c r="E3322" s="20">
        <f>IF($C3322="","",Registro_Compras!$S$372)</f>
        <v/>
      </c>
      <c r="F3322" s="20">
        <f>""</f>
        <v/>
      </c>
      <c r="G3322">
        <f>IF($C3322="","","Por el deposito de la detraccion en el Banco de la Nacion")</f>
        <v/>
      </c>
      <c r="H3322">
        <f>IF($C3322="","",Registro_Compras!$C$372)</f>
        <v/>
      </c>
    </row>
    <row r="3323">
      <c r="A3323" s="25">
        <f>IF($C3323="","",Registro_Compras!$X$372)</f>
        <v/>
      </c>
      <c r="B3323">
        <f>IF($C3323="","","C"&amp;TEXT(INT((ROW()-5)/9)+1,"000")&amp;"-3")</f>
        <v/>
      </c>
      <c r="C3323">
        <f>IF(OR(Registro_Compras!$C$372="",Registro_Compras!$O$372="",Registro_Compras!$R$372&lt;&gt;"SI",Registro_Compras!$X$372=""),"","10413")</f>
        <v/>
      </c>
      <c r="D3323">
        <f>IF(OR(Registro_Compras!$C$372="",Registro_Compras!$O$372=""),"","Efectivo y Equivalentes - Cta. Cte. Operativa")</f>
        <v/>
      </c>
      <c r="E3323" s="20">
        <f>""</f>
        <v/>
      </c>
      <c r="F3323" s="20">
        <f>IF($C3323="","",Registro_Compras!$S$372)</f>
        <v/>
      </c>
      <c r="G3323">
        <f>IF($C3323="","","Por el deposito de la detraccion en el Banco de la Nacion")</f>
        <v/>
      </c>
      <c r="H3323">
        <f>IF($C3323="","",Registro_Compras!$C$372)</f>
        <v/>
      </c>
    </row>
    <row r="3324">
      <c r="A3324" s="25">
        <f>IF($C3324="","",Registro_Compras!$Y$372)</f>
        <v/>
      </c>
      <c r="B3324">
        <f>IF($C3324="","","C"&amp;TEXT(INT((ROW()-5)/9)+1,"000")&amp;"-4")</f>
        <v/>
      </c>
      <c r="C3324">
        <f>IF(OR(Registro_Compras!$C$372="",Registro_Compras!$O$372="",Registro_Compras!$Y$372="",Registro_Compras!$F$372="NOTA DE CREDITO"),"","4212")</f>
        <v/>
      </c>
      <c r="D3324">
        <f>IF(OR(Registro_Compras!$C$372="",Registro_Compras!$O$372=""),"","Cuentas por Pagar Comerciales - Terceros")</f>
        <v/>
      </c>
      <c r="E3324" s="20">
        <f>IF($C3324="","",IF(Registro_Compras!$F$372="RHE",(ROUND(Registro_Compras!$L$372*Registro_Compras!$N$372,2)-ROUND(Registro_Compras!$V$372*Registro_Compras!$N$372,2)),ROUND(Registro_Compras!$O$372-Registro_Compras!$S$372,2)))</f>
        <v/>
      </c>
      <c r="F3324" s="20">
        <f>""</f>
        <v/>
      </c>
      <c r="G3324">
        <f>IF($C3324="","","Por la cancelacion del saldo al proveedor")</f>
        <v/>
      </c>
      <c r="H3324">
        <f>IF($C3324="","",Registro_Compras!$C$372)</f>
        <v/>
      </c>
    </row>
    <row r="3325">
      <c r="A3325" s="25">
        <f>IF($C3325="","",Registro_Compras!$Y$372)</f>
        <v/>
      </c>
      <c r="B3325">
        <f>IF($C3325="","","C"&amp;TEXT(INT((ROW()-5)/9)+1,"000")&amp;"-4")</f>
        <v/>
      </c>
      <c r="C3325">
        <f>IF(OR(Registro_Compras!$C$372="",Registro_Compras!$O$372="",Registro_Compras!$Y$372="",Registro_Compras!$F$372="NOTA DE CREDITO"),"","10413")</f>
        <v/>
      </c>
      <c r="D3325">
        <f>IF(OR(Registro_Compras!$C$372="",Registro_Compras!$O$372=""),"","Efectivo y Equivalentes - Cta. Cte. Operativa")</f>
        <v/>
      </c>
      <c r="E3325" s="20">
        <f>""</f>
        <v/>
      </c>
      <c r="F3325" s="20">
        <f>IF($C3325="","",IF(Registro_Compras!$F$372="RHE",(ROUND(Registro_Compras!$L$372*Registro_Compras!$N$372,2)-ROUND(Registro_Compras!$V$372*Registro_Compras!$N$372,2)),ROUND(Registro_Compras!$O$372-Registro_Compras!$S$372,2)))</f>
        <v/>
      </c>
      <c r="G3325">
        <f>IF($C3325="","","Por la cancelacion del saldo al proveedor")</f>
        <v/>
      </c>
      <c r="H3325">
        <f>IF($C3325="","",Registro_Compras!$C$372)</f>
        <v/>
      </c>
    </row>
    <row r="3326">
      <c r="A3326" s="25">
        <f>IF($C3326="","",Registro_Compras!$B$373)</f>
        <v/>
      </c>
      <c r="B3326">
        <f>IF($C3326="","","C"&amp;TEXT(INT((ROW()-5)/9)+1,"000")&amp;"-1")</f>
        <v/>
      </c>
      <c r="C3326">
        <f>IF(OR(Registro_Compras!$C$373="",Registro_Compras!$O$373=""),"",IF(Registro_Compras!$F$373="NOTA DE CREDITO","4212",IF(Registro_Compras!$M$373="","63",Registro_Compras!$M$373)))</f>
        <v/>
      </c>
      <c r="D3326">
        <f>IF(OR(Registro_Compras!$C$373="",Registro_Compras!$O$373=""),"",IF(Registro_Compras!$F$373="NOTA DE CREDITO","Cuentas por Pagar Comerciales - Terceros (Emitidas)",IF(Registro_Compras!$F$373="RHE","Honorarios Profesionales - Servicios de Terceros","Gastos de Servicios Prestados por Terceros")))</f>
        <v/>
      </c>
      <c r="E3326" s="20">
        <f>IF($C3326="","",IF(Registro_Compras!$F$373="NOTA DE CREDITO",ABS(Registro_Compras!$O$373),IF(Registro_Compras!$F$373="RHE",ROUND(Registro_Compras!$L$373*Registro_Compras!$N$373,2),ROUND(Registro_Compras!$J$373*Registro_Compras!$N$373,2))))</f>
        <v/>
      </c>
      <c r="F3326" s="20">
        <f>""</f>
        <v/>
      </c>
      <c r="G3326">
        <f>IF($C3326="","",IF(Registro_Compras!$F$373="NOTA DE CREDITO","Por la nota de credito "&amp;Registro_Compras!$C$373&amp;" de "&amp;Registro_Compras!$E$373&amp;" [PATRON POR CONFIRMAR CON CONTADOR]",IF(Registro_Compras!$F$373="RHE","Por el registro del recibo por honorarios "&amp;Registro_Compras!$C$373&amp;" de "&amp;Registro_Compras!$E$373&amp;" [PATRON POR CONFIRMAR CON CONTADOR]","Por el registro de la factura "&amp;Registro_Compras!$C$373&amp;" de "&amp;Registro_Compras!$E$373)))</f>
        <v/>
      </c>
      <c r="H3326">
        <f>IF($C3326="","",Registro_Compras!$C$373)</f>
        <v/>
      </c>
    </row>
    <row r="3327">
      <c r="A3327" s="25">
        <f>IF($C3327="","",Registro_Compras!$B$373)</f>
        <v/>
      </c>
      <c r="B3327">
        <f>IF($C3327="","","C"&amp;TEXT(INT((ROW()-5)/9)+1,"000")&amp;"-1")</f>
        <v/>
      </c>
      <c r="C3327">
        <f>IF(OR(Registro_Compras!$C$373="",Registro_Compras!$O$373=""),"",IF(Registro_Compras!$F$373="RHE",IF(Registro_Compras!$V$373=0,"","40172"),IF(Registro_Compras!$F$373="NOTA DE CREDITO",IF(Registro_Compras!$M$373="","63",Registro_Compras!$M$373),IF(Registro_Compras!$K$373=0,"","40111"))))</f>
        <v/>
      </c>
      <c r="D3327">
        <f>IF(OR(Registro_Compras!$C$373="",Registro_Compras!$O$373=""),"",IF(Registro_Compras!$F$373="RHE","Retencion Renta 4ta Categoria por Pagar",IF(Registro_Compras!$F$373="NOTA DE CREDITO","Gastos de Servicios Prestados por Terceros","IGV - Cuenta Propia (Credito Fiscal)")))</f>
        <v/>
      </c>
      <c r="E3327" s="20">
        <f>IF($C3327="","",IF(Registro_Compras!$F$373="FACTURA",ROUND(Registro_Compras!$K$373*Registro_Compras!$N$373,2),""))</f>
        <v/>
      </c>
      <c r="F3327" s="20">
        <f>IF($C3327="","",IF(Registro_Compras!$F$373="RHE",ROUND(Registro_Compras!$V$373*Registro_Compras!$N$373,2),IF(Registro_Compras!$F$373="NOTA DE CREDITO",ROUND(ABS(Registro_Compras!$J$373*Registro_Compras!$N$373),2),"")))</f>
        <v/>
      </c>
      <c r="G3327">
        <f>IF($C3327="","",IF(Registro_Compras!$F$373="NOTA DE CREDITO","Por la nota de credito "&amp;Registro_Compras!$C$373&amp;" de "&amp;Registro_Compras!$E$373&amp;" [PATRON POR CONFIRMAR CON CONTADOR]",IF(Registro_Compras!$F$373="RHE","Por el registro del recibo por honorarios "&amp;Registro_Compras!$C$373&amp;" de "&amp;Registro_Compras!$E$373&amp;" [PATRON POR CONFIRMAR CON CONTADOR]","Por el registro de la factura "&amp;Registro_Compras!$C$373&amp;" de "&amp;Registro_Compras!$E$373)))</f>
        <v/>
      </c>
      <c r="H3327">
        <f>IF($C3327="","",Registro_Compras!$C$373)</f>
        <v/>
      </c>
    </row>
    <row r="3328">
      <c r="A3328" s="25">
        <f>IF($C3328="","",Registro_Compras!$B$373)</f>
        <v/>
      </c>
      <c r="B3328">
        <f>IF($C3328="","","C"&amp;TEXT(INT((ROW()-5)/9)+1,"000")&amp;"-1")</f>
        <v/>
      </c>
      <c r="C3328">
        <f>IF(OR(Registro_Compras!$C$373="",Registro_Compras!$O$373=""),"",IF(Registro_Compras!$F$373="NOTA DE CREDITO",IF(Registro_Compras!$K$373=0,"","40111"),"4212"))</f>
        <v/>
      </c>
      <c r="D3328">
        <f>IF(OR(Registro_Compras!$C$373="",Registro_Compras!$O$373=""),"",IF(Registro_Compras!$F$373="NOTA DE CREDITO","IGV - Cuenta Propia (Credito Fiscal)","Cuentas por Pagar Comerciales - Terceros (Emitidas)"))</f>
        <v/>
      </c>
      <c r="E3328" s="20">
        <f>""</f>
        <v/>
      </c>
      <c r="F3328" s="20">
        <f>IF($C3328="","",IF(Registro_Compras!$F$373="NOTA DE CREDITO",ROUND(ABS(Registro_Compras!$K$373*Registro_Compras!$N$373),2),IF(Registro_Compras!$F$373="RHE",(ROUND(Registro_Compras!$L$373*Registro_Compras!$N$373,2)-ROUND(Registro_Compras!$V$373*Registro_Compras!$N$373,2)),Registro_Compras!$O$373)))</f>
        <v/>
      </c>
      <c r="G3328">
        <f>IF($C3328="","",IF(Registro_Compras!$F$373="NOTA DE CREDITO","Por la nota de credito "&amp;Registro_Compras!$C$373&amp;" de "&amp;Registro_Compras!$E$373&amp;" [PATRON POR CONFIRMAR CON CONTADOR]",IF(Registro_Compras!$F$373="RHE","Por el registro del recibo por honorarios "&amp;Registro_Compras!$C$373&amp;" de "&amp;Registro_Compras!$E$373&amp;" [PATRON POR CONFIRMAR CON CONTADOR]","Por el registro de la factura "&amp;Registro_Compras!$C$373&amp;" de "&amp;Registro_Compras!$E$373)))</f>
        <v/>
      </c>
      <c r="H3328">
        <f>IF($C3328="","",Registro_Compras!$C$373)</f>
        <v/>
      </c>
    </row>
    <row r="3329">
      <c r="A3329" s="25">
        <f>IF($C3329="","",Registro_Compras!$B$373)</f>
        <v/>
      </c>
      <c r="B3329">
        <f>IF($C3329="","","C"&amp;TEXT(INT((ROW()-5)/9)+1,"000")&amp;"-2")</f>
        <v/>
      </c>
      <c r="C3329">
        <f>IF(OR(Registro_Compras!$C$373="",Registro_Compras!$O$373=""),"",IF(Registro_Compras!$AB$373="ADMINISTRATIVO","94","95"))</f>
        <v/>
      </c>
      <c r="D3329">
        <f>IF(OR(Registro_Compras!$C$373="",Registro_Compras!$O$373=""),"",IF(Registro_Compras!$AB$373="ADMINISTRATIVO","Gastos Administrativos","Gastos de Venta y Operacion"))</f>
        <v/>
      </c>
      <c r="E3329" s="20">
        <f>IF($C3329="","",IF(Registro_Compras!$F$373="NOTA DE CREDITO","",IF(Registro_Compras!$F$373="RHE",ROUND(Registro_Compras!$L$373*Registro_Compras!$N$373,2),ROUND(Registro_Compras!$J$373*Registro_Compras!$N$373,2))))</f>
        <v/>
      </c>
      <c r="F3329" s="20">
        <f>IF($C3329="","",IF(Registro_Compras!$F$373="NOTA DE CREDITO",ROUND(ABS(Registro_Compras!$J$373*Registro_Compras!$N$373),2),""))</f>
        <v/>
      </c>
      <c r="G3329">
        <f>IF($C3329="","","Por el destino del gasto")</f>
        <v/>
      </c>
      <c r="H3329">
        <f>IF($C3329="","",Registro_Compras!$C$373)</f>
        <v/>
      </c>
    </row>
    <row r="3330">
      <c r="A3330" s="25">
        <f>IF($C3330="","",Registro_Compras!$B$373)</f>
        <v/>
      </c>
      <c r="B3330">
        <f>IF($C3330="","","C"&amp;TEXT(INT((ROW()-5)/9)+1,"000")&amp;"-2")</f>
        <v/>
      </c>
      <c r="C3330">
        <f>IF(OR(Registro_Compras!$C$373="",Registro_Compras!$O$373=""),"","79/791")</f>
        <v/>
      </c>
      <c r="D3330">
        <f>IF(OR(Registro_Compras!$C$373="",Registro_Compras!$O$373=""),"","Cargas Imputables a Cuentas de Costos y Gastos")</f>
        <v/>
      </c>
      <c r="E3330" s="20">
        <f>IF($C3330="","",IF(Registro_Compras!$F$373="NOTA DE CREDITO",ROUND(ABS(Registro_Compras!$J$373*Registro_Compras!$N$373),2),""))</f>
        <v/>
      </c>
      <c r="F3330" s="20">
        <f>IF($C3330="","",IF(Registro_Compras!$F$373="NOTA DE CREDITO","",IF(Registro_Compras!$F$373="RHE",ROUND(Registro_Compras!$L$373*Registro_Compras!$N$373,2),ROUND(Registro_Compras!$J$373*Registro_Compras!$N$373,2))))</f>
        <v/>
      </c>
      <c r="G3330">
        <f>IF($C3330="","","Por el destino del gasto")</f>
        <v/>
      </c>
      <c r="H3330">
        <f>IF($C3330="","",Registro_Compras!$C$373)</f>
        <v/>
      </c>
    </row>
    <row r="3331">
      <c r="A3331" s="25">
        <f>IF($C3331="","",Registro_Compras!$X$373)</f>
        <v/>
      </c>
      <c r="B3331">
        <f>IF($C3331="","","C"&amp;TEXT(INT((ROW()-5)/9)+1,"000")&amp;"-3")</f>
        <v/>
      </c>
      <c r="C3331">
        <f>IF(OR(Registro_Compras!$C$373="",Registro_Compras!$O$373="",Registro_Compras!$R$373&lt;&gt;"SI",Registro_Compras!$X$373=""),"","4212")</f>
        <v/>
      </c>
      <c r="D3331">
        <f>IF(OR(Registro_Compras!$C$373="",Registro_Compras!$O$373=""),"","Cuentas por Pagar Comerciales - Terceros")</f>
        <v/>
      </c>
      <c r="E3331" s="20">
        <f>IF($C3331="","",Registro_Compras!$S$373)</f>
        <v/>
      </c>
      <c r="F3331" s="20">
        <f>""</f>
        <v/>
      </c>
      <c r="G3331">
        <f>IF($C3331="","","Por el deposito de la detraccion en el Banco de la Nacion")</f>
        <v/>
      </c>
      <c r="H3331">
        <f>IF($C3331="","",Registro_Compras!$C$373)</f>
        <v/>
      </c>
    </row>
    <row r="3332">
      <c r="A3332" s="25">
        <f>IF($C3332="","",Registro_Compras!$X$373)</f>
        <v/>
      </c>
      <c r="B3332">
        <f>IF($C3332="","","C"&amp;TEXT(INT((ROW()-5)/9)+1,"000")&amp;"-3")</f>
        <v/>
      </c>
      <c r="C3332">
        <f>IF(OR(Registro_Compras!$C$373="",Registro_Compras!$O$373="",Registro_Compras!$R$373&lt;&gt;"SI",Registro_Compras!$X$373=""),"","10413")</f>
        <v/>
      </c>
      <c r="D3332">
        <f>IF(OR(Registro_Compras!$C$373="",Registro_Compras!$O$373=""),"","Efectivo y Equivalentes - Cta. Cte. Operativa")</f>
        <v/>
      </c>
      <c r="E3332" s="20">
        <f>""</f>
        <v/>
      </c>
      <c r="F3332" s="20">
        <f>IF($C3332="","",Registro_Compras!$S$373)</f>
        <v/>
      </c>
      <c r="G3332">
        <f>IF($C3332="","","Por el deposito de la detraccion en el Banco de la Nacion")</f>
        <v/>
      </c>
      <c r="H3332">
        <f>IF($C3332="","",Registro_Compras!$C$373)</f>
        <v/>
      </c>
    </row>
    <row r="3333">
      <c r="A3333" s="25">
        <f>IF($C3333="","",Registro_Compras!$Y$373)</f>
        <v/>
      </c>
      <c r="B3333">
        <f>IF($C3333="","","C"&amp;TEXT(INT((ROW()-5)/9)+1,"000")&amp;"-4")</f>
        <v/>
      </c>
      <c r="C3333">
        <f>IF(OR(Registro_Compras!$C$373="",Registro_Compras!$O$373="",Registro_Compras!$Y$373="",Registro_Compras!$F$373="NOTA DE CREDITO"),"","4212")</f>
        <v/>
      </c>
      <c r="D3333">
        <f>IF(OR(Registro_Compras!$C$373="",Registro_Compras!$O$373=""),"","Cuentas por Pagar Comerciales - Terceros")</f>
        <v/>
      </c>
      <c r="E3333" s="20">
        <f>IF($C3333="","",IF(Registro_Compras!$F$373="RHE",(ROUND(Registro_Compras!$L$373*Registro_Compras!$N$373,2)-ROUND(Registro_Compras!$V$373*Registro_Compras!$N$373,2)),ROUND(Registro_Compras!$O$373-Registro_Compras!$S$373,2)))</f>
        <v/>
      </c>
      <c r="F3333" s="20">
        <f>""</f>
        <v/>
      </c>
      <c r="G3333">
        <f>IF($C3333="","","Por la cancelacion del saldo al proveedor")</f>
        <v/>
      </c>
      <c r="H3333">
        <f>IF($C3333="","",Registro_Compras!$C$373)</f>
        <v/>
      </c>
    </row>
    <row r="3334">
      <c r="A3334" s="25">
        <f>IF($C3334="","",Registro_Compras!$Y$373)</f>
        <v/>
      </c>
      <c r="B3334">
        <f>IF($C3334="","","C"&amp;TEXT(INT((ROW()-5)/9)+1,"000")&amp;"-4")</f>
        <v/>
      </c>
      <c r="C3334">
        <f>IF(OR(Registro_Compras!$C$373="",Registro_Compras!$O$373="",Registro_Compras!$Y$373="",Registro_Compras!$F$373="NOTA DE CREDITO"),"","10413")</f>
        <v/>
      </c>
      <c r="D3334">
        <f>IF(OR(Registro_Compras!$C$373="",Registro_Compras!$O$373=""),"","Efectivo y Equivalentes - Cta. Cte. Operativa")</f>
        <v/>
      </c>
      <c r="E3334" s="20">
        <f>""</f>
        <v/>
      </c>
      <c r="F3334" s="20">
        <f>IF($C3334="","",IF(Registro_Compras!$F$373="RHE",(ROUND(Registro_Compras!$L$373*Registro_Compras!$N$373,2)-ROUND(Registro_Compras!$V$373*Registro_Compras!$N$373,2)),ROUND(Registro_Compras!$O$373-Registro_Compras!$S$373,2)))</f>
        <v/>
      </c>
      <c r="G3334">
        <f>IF($C3334="","","Por la cancelacion del saldo al proveedor")</f>
        <v/>
      </c>
      <c r="H3334">
        <f>IF($C3334="","",Registro_Compras!$C$373)</f>
        <v/>
      </c>
    </row>
    <row r="3335">
      <c r="A3335" s="25">
        <f>IF($C3335="","",Registro_Compras!$B$374)</f>
        <v/>
      </c>
      <c r="B3335">
        <f>IF($C3335="","","C"&amp;TEXT(INT((ROW()-5)/9)+1,"000")&amp;"-1")</f>
        <v/>
      </c>
      <c r="C3335">
        <f>IF(OR(Registro_Compras!$C$374="",Registro_Compras!$O$374=""),"",IF(Registro_Compras!$F$374="NOTA DE CREDITO","4212",IF(Registro_Compras!$M$374="","63",Registro_Compras!$M$374)))</f>
        <v/>
      </c>
      <c r="D3335">
        <f>IF(OR(Registro_Compras!$C$374="",Registro_Compras!$O$374=""),"",IF(Registro_Compras!$F$374="NOTA DE CREDITO","Cuentas por Pagar Comerciales - Terceros (Emitidas)",IF(Registro_Compras!$F$374="RHE","Honorarios Profesionales - Servicios de Terceros","Gastos de Servicios Prestados por Terceros")))</f>
        <v/>
      </c>
      <c r="E3335" s="20">
        <f>IF($C3335="","",IF(Registro_Compras!$F$374="NOTA DE CREDITO",ABS(Registro_Compras!$O$374),IF(Registro_Compras!$F$374="RHE",ROUND(Registro_Compras!$L$374*Registro_Compras!$N$374,2),ROUND(Registro_Compras!$J$374*Registro_Compras!$N$374,2))))</f>
        <v/>
      </c>
      <c r="F3335" s="20">
        <f>""</f>
        <v/>
      </c>
      <c r="G3335">
        <f>IF($C3335="","",IF(Registro_Compras!$F$374="NOTA DE CREDITO","Por la nota de credito "&amp;Registro_Compras!$C$374&amp;" de "&amp;Registro_Compras!$E$374&amp;" [PATRON POR CONFIRMAR CON CONTADOR]",IF(Registro_Compras!$F$374="RHE","Por el registro del recibo por honorarios "&amp;Registro_Compras!$C$374&amp;" de "&amp;Registro_Compras!$E$374&amp;" [PATRON POR CONFIRMAR CON CONTADOR]","Por el registro de la factura "&amp;Registro_Compras!$C$374&amp;" de "&amp;Registro_Compras!$E$374)))</f>
        <v/>
      </c>
      <c r="H3335">
        <f>IF($C3335="","",Registro_Compras!$C$374)</f>
        <v/>
      </c>
    </row>
    <row r="3336">
      <c r="A3336" s="25">
        <f>IF($C3336="","",Registro_Compras!$B$374)</f>
        <v/>
      </c>
      <c r="B3336">
        <f>IF($C3336="","","C"&amp;TEXT(INT((ROW()-5)/9)+1,"000")&amp;"-1")</f>
        <v/>
      </c>
      <c r="C3336">
        <f>IF(OR(Registro_Compras!$C$374="",Registro_Compras!$O$374=""),"",IF(Registro_Compras!$F$374="RHE",IF(Registro_Compras!$V$374=0,"","40172"),IF(Registro_Compras!$F$374="NOTA DE CREDITO",IF(Registro_Compras!$M$374="","63",Registro_Compras!$M$374),IF(Registro_Compras!$K$374=0,"","40111"))))</f>
        <v/>
      </c>
      <c r="D3336">
        <f>IF(OR(Registro_Compras!$C$374="",Registro_Compras!$O$374=""),"",IF(Registro_Compras!$F$374="RHE","Retencion Renta 4ta Categoria por Pagar",IF(Registro_Compras!$F$374="NOTA DE CREDITO","Gastos de Servicios Prestados por Terceros","IGV - Cuenta Propia (Credito Fiscal)")))</f>
        <v/>
      </c>
      <c r="E3336" s="20">
        <f>IF($C3336="","",IF(Registro_Compras!$F$374="FACTURA",ROUND(Registro_Compras!$K$374*Registro_Compras!$N$374,2),""))</f>
        <v/>
      </c>
      <c r="F3336" s="20">
        <f>IF($C3336="","",IF(Registro_Compras!$F$374="RHE",ROUND(Registro_Compras!$V$374*Registro_Compras!$N$374,2),IF(Registro_Compras!$F$374="NOTA DE CREDITO",ROUND(ABS(Registro_Compras!$J$374*Registro_Compras!$N$374),2),"")))</f>
        <v/>
      </c>
      <c r="G3336">
        <f>IF($C3336="","",IF(Registro_Compras!$F$374="NOTA DE CREDITO","Por la nota de credito "&amp;Registro_Compras!$C$374&amp;" de "&amp;Registro_Compras!$E$374&amp;" [PATRON POR CONFIRMAR CON CONTADOR]",IF(Registro_Compras!$F$374="RHE","Por el registro del recibo por honorarios "&amp;Registro_Compras!$C$374&amp;" de "&amp;Registro_Compras!$E$374&amp;" [PATRON POR CONFIRMAR CON CONTADOR]","Por el registro de la factura "&amp;Registro_Compras!$C$374&amp;" de "&amp;Registro_Compras!$E$374)))</f>
        <v/>
      </c>
      <c r="H3336">
        <f>IF($C3336="","",Registro_Compras!$C$374)</f>
        <v/>
      </c>
    </row>
    <row r="3337">
      <c r="A3337" s="25">
        <f>IF($C3337="","",Registro_Compras!$B$374)</f>
        <v/>
      </c>
      <c r="B3337">
        <f>IF($C3337="","","C"&amp;TEXT(INT((ROW()-5)/9)+1,"000")&amp;"-1")</f>
        <v/>
      </c>
      <c r="C3337">
        <f>IF(OR(Registro_Compras!$C$374="",Registro_Compras!$O$374=""),"",IF(Registro_Compras!$F$374="NOTA DE CREDITO",IF(Registro_Compras!$K$374=0,"","40111"),"4212"))</f>
        <v/>
      </c>
      <c r="D3337">
        <f>IF(OR(Registro_Compras!$C$374="",Registro_Compras!$O$374=""),"",IF(Registro_Compras!$F$374="NOTA DE CREDITO","IGV - Cuenta Propia (Credito Fiscal)","Cuentas por Pagar Comerciales - Terceros (Emitidas)"))</f>
        <v/>
      </c>
      <c r="E3337" s="20">
        <f>""</f>
        <v/>
      </c>
      <c r="F3337" s="20">
        <f>IF($C3337="","",IF(Registro_Compras!$F$374="NOTA DE CREDITO",ROUND(ABS(Registro_Compras!$K$374*Registro_Compras!$N$374),2),IF(Registro_Compras!$F$374="RHE",(ROUND(Registro_Compras!$L$374*Registro_Compras!$N$374,2)-ROUND(Registro_Compras!$V$374*Registro_Compras!$N$374,2)),Registro_Compras!$O$374)))</f>
        <v/>
      </c>
      <c r="G3337">
        <f>IF($C3337="","",IF(Registro_Compras!$F$374="NOTA DE CREDITO","Por la nota de credito "&amp;Registro_Compras!$C$374&amp;" de "&amp;Registro_Compras!$E$374&amp;" [PATRON POR CONFIRMAR CON CONTADOR]",IF(Registro_Compras!$F$374="RHE","Por el registro del recibo por honorarios "&amp;Registro_Compras!$C$374&amp;" de "&amp;Registro_Compras!$E$374&amp;" [PATRON POR CONFIRMAR CON CONTADOR]","Por el registro de la factura "&amp;Registro_Compras!$C$374&amp;" de "&amp;Registro_Compras!$E$374)))</f>
        <v/>
      </c>
      <c r="H3337">
        <f>IF($C3337="","",Registro_Compras!$C$374)</f>
        <v/>
      </c>
    </row>
    <row r="3338">
      <c r="A3338" s="25">
        <f>IF($C3338="","",Registro_Compras!$B$374)</f>
        <v/>
      </c>
      <c r="B3338">
        <f>IF($C3338="","","C"&amp;TEXT(INT((ROW()-5)/9)+1,"000")&amp;"-2")</f>
        <v/>
      </c>
      <c r="C3338">
        <f>IF(OR(Registro_Compras!$C$374="",Registro_Compras!$O$374=""),"",IF(Registro_Compras!$AB$374="ADMINISTRATIVO","94","95"))</f>
        <v/>
      </c>
      <c r="D3338">
        <f>IF(OR(Registro_Compras!$C$374="",Registro_Compras!$O$374=""),"",IF(Registro_Compras!$AB$374="ADMINISTRATIVO","Gastos Administrativos","Gastos de Venta y Operacion"))</f>
        <v/>
      </c>
      <c r="E3338" s="20">
        <f>IF($C3338="","",IF(Registro_Compras!$F$374="NOTA DE CREDITO","",IF(Registro_Compras!$F$374="RHE",ROUND(Registro_Compras!$L$374*Registro_Compras!$N$374,2),ROUND(Registro_Compras!$J$374*Registro_Compras!$N$374,2))))</f>
        <v/>
      </c>
      <c r="F3338" s="20">
        <f>IF($C3338="","",IF(Registro_Compras!$F$374="NOTA DE CREDITO",ROUND(ABS(Registro_Compras!$J$374*Registro_Compras!$N$374),2),""))</f>
        <v/>
      </c>
      <c r="G3338">
        <f>IF($C3338="","","Por el destino del gasto")</f>
        <v/>
      </c>
      <c r="H3338">
        <f>IF($C3338="","",Registro_Compras!$C$374)</f>
        <v/>
      </c>
    </row>
    <row r="3339">
      <c r="A3339" s="25">
        <f>IF($C3339="","",Registro_Compras!$B$374)</f>
        <v/>
      </c>
      <c r="B3339">
        <f>IF($C3339="","","C"&amp;TEXT(INT((ROW()-5)/9)+1,"000")&amp;"-2")</f>
        <v/>
      </c>
      <c r="C3339">
        <f>IF(OR(Registro_Compras!$C$374="",Registro_Compras!$O$374=""),"","79/791")</f>
        <v/>
      </c>
      <c r="D3339">
        <f>IF(OR(Registro_Compras!$C$374="",Registro_Compras!$O$374=""),"","Cargas Imputables a Cuentas de Costos y Gastos")</f>
        <v/>
      </c>
      <c r="E3339" s="20">
        <f>IF($C3339="","",IF(Registro_Compras!$F$374="NOTA DE CREDITO",ROUND(ABS(Registro_Compras!$J$374*Registro_Compras!$N$374),2),""))</f>
        <v/>
      </c>
      <c r="F3339" s="20">
        <f>IF($C3339="","",IF(Registro_Compras!$F$374="NOTA DE CREDITO","",IF(Registro_Compras!$F$374="RHE",ROUND(Registro_Compras!$L$374*Registro_Compras!$N$374,2),ROUND(Registro_Compras!$J$374*Registro_Compras!$N$374,2))))</f>
        <v/>
      </c>
      <c r="G3339">
        <f>IF($C3339="","","Por el destino del gasto")</f>
        <v/>
      </c>
      <c r="H3339">
        <f>IF($C3339="","",Registro_Compras!$C$374)</f>
        <v/>
      </c>
    </row>
    <row r="3340">
      <c r="A3340" s="25">
        <f>IF($C3340="","",Registro_Compras!$X$374)</f>
        <v/>
      </c>
      <c r="B3340">
        <f>IF($C3340="","","C"&amp;TEXT(INT((ROW()-5)/9)+1,"000")&amp;"-3")</f>
        <v/>
      </c>
      <c r="C3340">
        <f>IF(OR(Registro_Compras!$C$374="",Registro_Compras!$O$374="",Registro_Compras!$R$374&lt;&gt;"SI",Registro_Compras!$X$374=""),"","4212")</f>
        <v/>
      </c>
      <c r="D3340">
        <f>IF(OR(Registro_Compras!$C$374="",Registro_Compras!$O$374=""),"","Cuentas por Pagar Comerciales - Terceros")</f>
        <v/>
      </c>
      <c r="E3340" s="20">
        <f>IF($C3340="","",Registro_Compras!$S$374)</f>
        <v/>
      </c>
      <c r="F3340" s="20">
        <f>""</f>
        <v/>
      </c>
      <c r="G3340">
        <f>IF($C3340="","","Por el deposito de la detraccion en el Banco de la Nacion")</f>
        <v/>
      </c>
      <c r="H3340">
        <f>IF($C3340="","",Registro_Compras!$C$374)</f>
        <v/>
      </c>
    </row>
    <row r="3341">
      <c r="A3341" s="25">
        <f>IF($C3341="","",Registro_Compras!$X$374)</f>
        <v/>
      </c>
      <c r="B3341">
        <f>IF($C3341="","","C"&amp;TEXT(INT((ROW()-5)/9)+1,"000")&amp;"-3")</f>
        <v/>
      </c>
      <c r="C3341">
        <f>IF(OR(Registro_Compras!$C$374="",Registro_Compras!$O$374="",Registro_Compras!$R$374&lt;&gt;"SI",Registro_Compras!$X$374=""),"","10413")</f>
        <v/>
      </c>
      <c r="D3341">
        <f>IF(OR(Registro_Compras!$C$374="",Registro_Compras!$O$374=""),"","Efectivo y Equivalentes - Cta. Cte. Operativa")</f>
        <v/>
      </c>
      <c r="E3341" s="20">
        <f>""</f>
        <v/>
      </c>
      <c r="F3341" s="20">
        <f>IF($C3341="","",Registro_Compras!$S$374)</f>
        <v/>
      </c>
      <c r="G3341">
        <f>IF($C3341="","","Por el deposito de la detraccion en el Banco de la Nacion")</f>
        <v/>
      </c>
      <c r="H3341">
        <f>IF($C3341="","",Registro_Compras!$C$374)</f>
        <v/>
      </c>
    </row>
    <row r="3342">
      <c r="A3342" s="25">
        <f>IF($C3342="","",Registro_Compras!$Y$374)</f>
        <v/>
      </c>
      <c r="B3342">
        <f>IF($C3342="","","C"&amp;TEXT(INT((ROW()-5)/9)+1,"000")&amp;"-4")</f>
        <v/>
      </c>
      <c r="C3342">
        <f>IF(OR(Registro_Compras!$C$374="",Registro_Compras!$O$374="",Registro_Compras!$Y$374="",Registro_Compras!$F$374="NOTA DE CREDITO"),"","4212")</f>
        <v/>
      </c>
      <c r="D3342">
        <f>IF(OR(Registro_Compras!$C$374="",Registro_Compras!$O$374=""),"","Cuentas por Pagar Comerciales - Terceros")</f>
        <v/>
      </c>
      <c r="E3342" s="20">
        <f>IF($C3342="","",IF(Registro_Compras!$F$374="RHE",(ROUND(Registro_Compras!$L$374*Registro_Compras!$N$374,2)-ROUND(Registro_Compras!$V$374*Registro_Compras!$N$374,2)),ROUND(Registro_Compras!$O$374-Registro_Compras!$S$374,2)))</f>
        <v/>
      </c>
      <c r="F3342" s="20">
        <f>""</f>
        <v/>
      </c>
      <c r="G3342">
        <f>IF($C3342="","","Por la cancelacion del saldo al proveedor")</f>
        <v/>
      </c>
      <c r="H3342">
        <f>IF($C3342="","",Registro_Compras!$C$374)</f>
        <v/>
      </c>
    </row>
    <row r="3343">
      <c r="A3343" s="25">
        <f>IF($C3343="","",Registro_Compras!$Y$374)</f>
        <v/>
      </c>
      <c r="B3343">
        <f>IF($C3343="","","C"&amp;TEXT(INT((ROW()-5)/9)+1,"000")&amp;"-4")</f>
        <v/>
      </c>
      <c r="C3343">
        <f>IF(OR(Registro_Compras!$C$374="",Registro_Compras!$O$374="",Registro_Compras!$Y$374="",Registro_Compras!$F$374="NOTA DE CREDITO"),"","10413")</f>
        <v/>
      </c>
      <c r="D3343">
        <f>IF(OR(Registro_Compras!$C$374="",Registro_Compras!$O$374=""),"","Efectivo y Equivalentes - Cta. Cte. Operativa")</f>
        <v/>
      </c>
      <c r="E3343" s="20">
        <f>""</f>
        <v/>
      </c>
      <c r="F3343" s="20">
        <f>IF($C3343="","",IF(Registro_Compras!$F$374="RHE",(ROUND(Registro_Compras!$L$374*Registro_Compras!$N$374,2)-ROUND(Registro_Compras!$V$374*Registro_Compras!$N$374,2)),ROUND(Registro_Compras!$O$374-Registro_Compras!$S$374,2)))</f>
        <v/>
      </c>
      <c r="G3343">
        <f>IF($C3343="","","Por la cancelacion del saldo al proveedor")</f>
        <v/>
      </c>
      <c r="H3343">
        <f>IF($C3343="","",Registro_Compras!$C$374)</f>
        <v/>
      </c>
    </row>
    <row r="3344">
      <c r="A3344" s="25">
        <f>IF($C3344="","",Registro_Compras!$B$375)</f>
        <v/>
      </c>
      <c r="B3344">
        <f>IF($C3344="","","C"&amp;TEXT(INT((ROW()-5)/9)+1,"000")&amp;"-1")</f>
        <v/>
      </c>
      <c r="C3344">
        <f>IF(OR(Registro_Compras!$C$375="",Registro_Compras!$O$375=""),"",IF(Registro_Compras!$F$375="NOTA DE CREDITO","4212",IF(Registro_Compras!$M$375="","63",Registro_Compras!$M$375)))</f>
        <v/>
      </c>
      <c r="D3344">
        <f>IF(OR(Registro_Compras!$C$375="",Registro_Compras!$O$375=""),"",IF(Registro_Compras!$F$375="NOTA DE CREDITO","Cuentas por Pagar Comerciales - Terceros (Emitidas)",IF(Registro_Compras!$F$375="RHE","Honorarios Profesionales - Servicios de Terceros","Gastos de Servicios Prestados por Terceros")))</f>
        <v/>
      </c>
      <c r="E3344" s="20">
        <f>IF($C3344="","",IF(Registro_Compras!$F$375="NOTA DE CREDITO",ABS(Registro_Compras!$O$375),IF(Registro_Compras!$F$375="RHE",ROUND(Registro_Compras!$L$375*Registro_Compras!$N$375,2),ROUND(Registro_Compras!$J$375*Registro_Compras!$N$375,2))))</f>
        <v/>
      </c>
      <c r="F3344" s="20">
        <f>""</f>
        <v/>
      </c>
      <c r="G3344">
        <f>IF($C3344="","",IF(Registro_Compras!$F$375="NOTA DE CREDITO","Por la nota de credito "&amp;Registro_Compras!$C$375&amp;" de "&amp;Registro_Compras!$E$375&amp;" [PATRON POR CONFIRMAR CON CONTADOR]",IF(Registro_Compras!$F$375="RHE","Por el registro del recibo por honorarios "&amp;Registro_Compras!$C$375&amp;" de "&amp;Registro_Compras!$E$375&amp;" [PATRON POR CONFIRMAR CON CONTADOR]","Por el registro de la factura "&amp;Registro_Compras!$C$375&amp;" de "&amp;Registro_Compras!$E$375)))</f>
        <v/>
      </c>
      <c r="H3344">
        <f>IF($C3344="","",Registro_Compras!$C$375)</f>
        <v/>
      </c>
    </row>
    <row r="3345">
      <c r="A3345" s="25">
        <f>IF($C3345="","",Registro_Compras!$B$375)</f>
        <v/>
      </c>
      <c r="B3345">
        <f>IF($C3345="","","C"&amp;TEXT(INT((ROW()-5)/9)+1,"000")&amp;"-1")</f>
        <v/>
      </c>
      <c r="C3345">
        <f>IF(OR(Registro_Compras!$C$375="",Registro_Compras!$O$375=""),"",IF(Registro_Compras!$F$375="RHE",IF(Registro_Compras!$V$375=0,"","40172"),IF(Registro_Compras!$F$375="NOTA DE CREDITO",IF(Registro_Compras!$M$375="","63",Registro_Compras!$M$375),IF(Registro_Compras!$K$375=0,"","40111"))))</f>
        <v/>
      </c>
      <c r="D3345">
        <f>IF(OR(Registro_Compras!$C$375="",Registro_Compras!$O$375=""),"",IF(Registro_Compras!$F$375="RHE","Retencion Renta 4ta Categoria por Pagar",IF(Registro_Compras!$F$375="NOTA DE CREDITO","Gastos de Servicios Prestados por Terceros","IGV - Cuenta Propia (Credito Fiscal)")))</f>
        <v/>
      </c>
      <c r="E3345" s="20">
        <f>IF($C3345="","",IF(Registro_Compras!$F$375="FACTURA",ROUND(Registro_Compras!$K$375*Registro_Compras!$N$375,2),""))</f>
        <v/>
      </c>
      <c r="F3345" s="20">
        <f>IF($C3345="","",IF(Registro_Compras!$F$375="RHE",ROUND(Registro_Compras!$V$375*Registro_Compras!$N$375,2),IF(Registro_Compras!$F$375="NOTA DE CREDITO",ROUND(ABS(Registro_Compras!$J$375*Registro_Compras!$N$375),2),"")))</f>
        <v/>
      </c>
      <c r="G3345">
        <f>IF($C3345="","",IF(Registro_Compras!$F$375="NOTA DE CREDITO","Por la nota de credito "&amp;Registro_Compras!$C$375&amp;" de "&amp;Registro_Compras!$E$375&amp;" [PATRON POR CONFIRMAR CON CONTADOR]",IF(Registro_Compras!$F$375="RHE","Por el registro del recibo por honorarios "&amp;Registro_Compras!$C$375&amp;" de "&amp;Registro_Compras!$E$375&amp;" [PATRON POR CONFIRMAR CON CONTADOR]","Por el registro de la factura "&amp;Registro_Compras!$C$375&amp;" de "&amp;Registro_Compras!$E$375)))</f>
        <v/>
      </c>
      <c r="H3345">
        <f>IF($C3345="","",Registro_Compras!$C$375)</f>
        <v/>
      </c>
    </row>
    <row r="3346">
      <c r="A3346" s="25">
        <f>IF($C3346="","",Registro_Compras!$B$375)</f>
        <v/>
      </c>
      <c r="B3346">
        <f>IF($C3346="","","C"&amp;TEXT(INT((ROW()-5)/9)+1,"000")&amp;"-1")</f>
        <v/>
      </c>
      <c r="C3346">
        <f>IF(OR(Registro_Compras!$C$375="",Registro_Compras!$O$375=""),"",IF(Registro_Compras!$F$375="NOTA DE CREDITO",IF(Registro_Compras!$K$375=0,"","40111"),"4212"))</f>
        <v/>
      </c>
      <c r="D3346">
        <f>IF(OR(Registro_Compras!$C$375="",Registro_Compras!$O$375=""),"",IF(Registro_Compras!$F$375="NOTA DE CREDITO","IGV - Cuenta Propia (Credito Fiscal)","Cuentas por Pagar Comerciales - Terceros (Emitidas)"))</f>
        <v/>
      </c>
      <c r="E3346" s="20">
        <f>""</f>
        <v/>
      </c>
      <c r="F3346" s="20">
        <f>IF($C3346="","",IF(Registro_Compras!$F$375="NOTA DE CREDITO",ROUND(ABS(Registro_Compras!$K$375*Registro_Compras!$N$375),2),IF(Registro_Compras!$F$375="RHE",(ROUND(Registro_Compras!$L$375*Registro_Compras!$N$375,2)-ROUND(Registro_Compras!$V$375*Registro_Compras!$N$375,2)),Registro_Compras!$O$375)))</f>
        <v/>
      </c>
      <c r="G3346">
        <f>IF($C3346="","",IF(Registro_Compras!$F$375="NOTA DE CREDITO","Por la nota de credito "&amp;Registro_Compras!$C$375&amp;" de "&amp;Registro_Compras!$E$375&amp;" [PATRON POR CONFIRMAR CON CONTADOR]",IF(Registro_Compras!$F$375="RHE","Por el registro del recibo por honorarios "&amp;Registro_Compras!$C$375&amp;" de "&amp;Registro_Compras!$E$375&amp;" [PATRON POR CONFIRMAR CON CONTADOR]","Por el registro de la factura "&amp;Registro_Compras!$C$375&amp;" de "&amp;Registro_Compras!$E$375)))</f>
        <v/>
      </c>
      <c r="H3346">
        <f>IF($C3346="","",Registro_Compras!$C$375)</f>
        <v/>
      </c>
    </row>
    <row r="3347">
      <c r="A3347" s="25">
        <f>IF($C3347="","",Registro_Compras!$B$375)</f>
        <v/>
      </c>
      <c r="B3347">
        <f>IF($C3347="","","C"&amp;TEXT(INT((ROW()-5)/9)+1,"000")&amp;"-2")</f>
        <v/>
      </c>
      <c r="C3347">
        <f>IF(OR(Registro_Compras!$C$375="",Registro_Compras!$O$375=""),"",IF(Registro_Compras!$AB$375="ADMINISTRATIVO","94","95"))</f>
        <v/>
      </c>
      <c r="D3347">
        <f>IF(OR(Registro_Compras!$C$375="",Registro_Compras!$O$375=""),"",IF(Registro_Compras!$AB$375="ADMINISTRATIVO","Gastos Administrativos","Gastos de Venta y Operacion"))</f>
        <v/>
      </c>
      <c r="E3347" s="20">
        <f>IF($C3347="","",IF(Registro_Compras!$F$375="NOTA DE CREDITO","",IF(Registro_Compras!$F$375="RHE",ROUND(Registro_Compras!$L$375*Registro_Compras!$N$375,2),ROUND(Registro_Compras!$J$375*Registro_Compras!$N$375,2))))</f>
        <v/>
      </c>
      <c r="F3347" s="20">
        <f>IF($C3347="","",IF(Registro_Compras!$F$375="NOTA DE CREDITO",ROUND(ABS(Registro_Compras!$J$375*Registro_Compras!$N$375),2),""))</f>
        <v/>
      </c>
      <c r="G3347">
        <f>IF($C3347="","","Por el destino del gasto")</f>
        <v/>
      </c>
      <c r="H3347">
        <f>IF($C3347="","",Registro_Compras!$C$375)</f>
        <v/>
      </c>
    </row>
    <row r="3348">
      <c r="A3348" s="25">
        <f>IF($C3348="","",Registro_Compras!$B$375)</f>
        <v/>
      </c>
      <c r="B3348">
        <f>IF($C3348="","","C"&amp;TEXT(INT((ROW()-5)/9)+1,"000")&amp;"-2")</f>
        <v/>
      </c>
      <c r="C3348">
        <f>IF(OR(Registro_Compras!$C$375="",Registro_Compras!$O$375=""),"","79/791")</f>
        <v/>
      </c>
      <c r="D3348">
        <f>IF(OR(Registro_Compras!$C$375="",Registro_Compras!$O$375=""),"","Cargas Imputables a Cuentas de Costos y Gastos")</f>
        <v/>
      </c>
      <c r="E3348" s="20">
        <f>IF($C3348="","",IF(Registro_Compras!$F$375="NOTA DE CREDITO",ROUND(ABS(Registro_Compras!$J$375*Registro_Compras!$N$375),2),""))</f>
        <v/>
      </c>
      <c r="F3348" s="20">
        <f>IF($C3348="","",IF(Registro_Compras!$F$375="NOTA DE CREDITO","",IF(Registro_Compras!$F$375="RHE",ROUND(Registro_Compras!$L$375*Registro_Compras!$N$375,2),ROUND(Registro_Compras!$J$375*Registro_Compras!$N$375,2))))</f>
        <v/>
      </c>
      <c r="G3348">
        <f>IF($C3348="","","Por el destino del gasto")</f>
        <v/>
      </c>
      <c r="H3348">
        <f>IF($C3348="","",Registro_Compras!$C$375)</f>
        <v/>
      </c>
    </row>
    <row r="3349">
      <c r="A3349" s="25">
        <f>IF($C3349="","",Registro_Compras!$X$375)</f>
        <v/>
      </c>
      <c r="B3349">
        <f>IF($C3349="","","C"&amp;TEXT(INT((ROW()-5)/9)+1,"000")&amp;"-3")</f>
        <v/>
      </c>
      <c r="C3349">
        <f>IF(OR(Registro_Compras!$C$375="",Registro_Compras!$O$375="",Registro_Compras!$R$375&lt;&gt;"SI",Registro_Compras!$X$375=""),"","4212")</f>
        <v/>
      </c>
      <c r="D3349">
        <f>IF(OR(Registro_Compras!$C$375="",Registro_Compras!$O$375=""),"","Cuentas por Pagar Comerciales - Terceros")</f>
        <v/>
      </c>
      <c r="E3349" s="20">
        <f>IF($C3349="","",Registro_Compras!$S$375)</f>
        <v/>
      </c>
      <c r="F3349" s="20">
        <f>""</f>
        <v/>
      </c>
      <c r="G3349">
        <f>IF($C3349="","","Por el deposito de la detraccion en el Banco de la Nacion")</f>
        <v/>
      </c>
      <c r="H3349">
        <f>IF($C3349="","",Registro_Compras!$C$375)</f>
        <v/>
      </c>
    </row>
    <row r="3350">
      <c r="A3350" s="25">
        <f>IF($C3350="","",Registro_Compras!$X$375)</f>
        <v/>
      </c>
      <c r="B3350">
        <f>IF($C3350="","","C"&amp;TEXT(INT((ROW()-5)/9)+1,"000")&amp;"-3")</f>
        <v/>
      </c>
      <c r="C3350">
        <f>IF(OR(Registro_Compras!$C$375="",Registro_Compras!$O$375="",Registro_Compras!$R$375&lt;&gt;"SI",Registro_Compras!$X$375=""),"","10413")</f>
        <v/>
      </c>
      <c r="D3350">
        <f>IF(OR(Registro_Compras!$C$375="",Registro_Compras!$O$375=""),"","Efectivo y Equivalentes - Cta. Cte. Operativa")</f>
        <v/>
      </c>
      <c r="E3350" s="20">
        <f>""</f>
        <v/>
      </c>
      <c r="F3350" s="20">
        <f>IF($C3350="","",Registro_Compras!$S$375)</f>
        <v/>
      </c>
      <c r="G3350">
        <f>IF($C3350="","","Por el deposito de la detraccion en el Banco de la Nacion")</f>
        <v/>
      </c>
      <c r="H3350">
        <f>IF($C3350="","",Registro_Compras!$C$375)</f>
        <v/>
      </c>
    </row>
    <row r="3351">
      <c r="A3351" s="25">
        <f>IF($C3351="","",Registro_Compras!$Y$375)</f>
        <v/>
      </c>
      <c r="B3351">
        <f>IF($C3351="","","C"&amp;TEXT(INT((ROW()-5)/9)+1,"000")&amp;"-4")</f>
        <v/>
      </c>
      <c r="C3351">
        <f>IF(OR(Registro_Compras!$C$375="",Registro_Compras!$O$375="",Registro_Compras!$Y$375="",Registro_Compras!$F$375="NOTA DE CREDITO"),"","4212")</f>
        <v/>
      </c>
      <c r="D3351">
        <f>IF(OR(Registro_Compras!$C$375="",Registro_Compras!$O$375=""),"","Cuentas por Pagar Comerciales - Terceros")</f>
        <v/>
      </c>
      <c r="E3351" s="20">
        <f>IF($C3351="","",IF(Registro_Compras!$F$375="RHE",(ROUND(Registro_Compras!$L$375*Registro_Compras!$N$375,2)-ROUND(Registro_Compras!$V$375*Registro_Compras!$N$375,2)),ROUND(Registro_Compras!$O$375-Registro_Compras!$S$375,2)))</f>
        <v/>
      </c>
      <c r="F3351" s="20">
        <f>""</f>
        <v/>
      </c>
      <c r="G3351">
        <f>IF($C3351="","","Por la cancelacion del saldo al proveedor")</f>
        <v/>
      </c>
      <c r="H3351">
        <f>IF($C3351="","",Registro_Compras!$C$375)</f>
        <v/>
      </c>
    </row>
    <row r="3352">
      <c r="A3352" s="25">
        <f>IF($C3352="","",Registro_Compras!$Y$375)</f>
        <v/>
      </c>
      <c r="B3352">
        <f>IF($C3352="","","C"&amp;TEXT(INT((ROW()-5)/9)+1,"000")&amp;"-4")</f>
        <v/>
      </c>
      <c r="C3352">
        <f>IF(OR(Registro_Compras!$C$375="",Registro_Compras!$O$375="",Registro_Compras!$Y$375="",Registro_Compras!$F$375="NOTA DE CREDITO"),"","10413")</f>
        <v/>
      </c>
      <c r="D3352">
        <f>IF(OR(Registro_Compras!$C$375="",Registro_Compras!$O$375=""),"","Efectivo y Equivalentes - Cta. Cte. Operativa")</f>
        <v/>
      </c>
      <c r="E3352" s="20">
        <f>""</f>
        <v/>
      </c>
      <c r="F3352" s="20">
        <f>IF($C3352="","",IF(Registro_Compras!$F$375="RHE",(ROUND(Registro_Compras!$L$375*Registro_Compras!$N$375,2)-ROUND(Registro_Compras!$V$375*Registro_Compras!$N$375,2)),ROUND(Registro_Compras!$O$375-Registro_Compras!$S$375,2)))</f>
        <v/>
      </c>
      <c r="G3352">
        <f>IF($C3352="","","Por la cancelacion del saldo al proveedor")</f>
        <v/>
      </c>
      <c r="H3352">
        <f>IF($C3352="","",Registro_Compras!$C$375)</f>
        <v/>
      </c>
    </row>
    <row r="3353">
      <c r="A3353" s="25">
        <f>IF($C3353="","",Registro_Compras!$B$376)</f>
        <v/>
      </c>
      <c r="B3353">
        <f>IF($C3353="","","C"&amp;TEXT(INT((ROW()-5)/9)+1,"000")&amp;"-1")</f>
        <v/>
      </c>
      <c r="C3353">
        <f>IF(OR(Registro_Compras!$C$376="",Registro_Compras!$O$376=""),"",IF(Registro_Compras!$F$376="NOTA DE CREDITO","4212",IF(Registro_Compras!$M$376="","63",Registro_Compras!$M$376)))</f>
        <v/>
      </c>
      <c r="D3353">
        <f>IF(OR(Registro_Compras!$C$376="",Registro_Compras!$O$376=""),"",IF(Registro_Compras!$F$376="NOTA DE CREDITO","Cuentas por Pagar Comerciales - Terceros (Emitidas)",IF(Registro_Compras!$F$376="RHE","Honorarios Profesionales - Servicios de Terceros","Gastos de Servicios Prestados por Terceros")))</f>
        <v/>
      </c>
      <c r="E3353" s="20">
        <f>IF($C3353="","",IF(Registro_Compras!$F$376="NOTA DE CREDITO",ABS(Registro_Compras!$O$376),IF(Registro_Compras!$F$376="RHE",ROUND(Registro_Compras!$L$376*Registro_Compras!$N$376,2),ROUND(Registro_Compras!$J$376*Registro_Compras!$N$376,2))))</f>
        <v/>
      </c>
      <c r="F3353" s="20">
        <f>""</f>
        <v/>
      </c>
      <c r="G3353">
        <f>IF($C3353="","",IF(Registro_Compras!$F$376="NOTA DE CREDITO","Por la nota de credito "&amp;Registro_Compras!$C$376&amp;" de "&amp;Registro_Compras!$E$376&amp;" [PATRON POR CONFIRMAR CON CONTADOR]",IF(Registro_Compras!$F$376="RHE","Por el registro del recibo por honorarios "&amp;Registro_Compras!$C$376&amp;" de "&amp;Registro_Compras!$E$376&amp;" [PATRON POR CONFIRMAR CON CONTADOR]","Por el registro de la factura "&amp;Registro_Compras!$C$376&amp;" de "&amp;Registro_Compras!$E$376)))</f>
        <v/>
      </c>
      <c r="H3353">
        <f>IF($C3353="","",Registro_Compras!$C$376)</f>
        <v/>
      </c>
    </row>
    <row r="3354">
      <c r="A3354" s="25">
        <f>IF($C3354="","",Registro_Compras!$B$376)</f>
        <v/>
      </c>
      <c r="B3354">
        <f>IF($C3354="","","C"&amp;TEXT(INT((ROW()-5)/9)+1,"000")&amp;"-1")</f>
        <v/>
      </c>
      <c r="C3354">
        <f>IF(OR(Registro_Compras!$C$376="",Registro_Compras!$O$376=""),"",IF(Registro_Compras!$F$376="RHE",IF(Registro_Compras!$V$376=0,"","40172"),IF(Registro_Compras!$F$376="NOTA DE CREDITO",IF(Registro_Compras!$M$376="","63",Registro_Compras!$M$376),IF(Registro_Compras!$K$376=0,"","40111"))))</f>
        <v/>
      </c>
      <c r="D3354">
        <f>IF(OR(Registro_Compras!$C$376="",Registro_Compras!$O$376=""),"",IF(Registro_Compras!$F$376="RHE","Retencion Renta 4ta Categoria por Pagar",IF(Registro_Compras!$F$376="NOTA DE CREDITO","Gastos de Servicios Prestados por Terceros","IGV - Cuenta Propia (Credito Fiscal)")))</f>
        <v/>
      </c>
      <c r="E3354" s="20">
        <f>IF($C3354="","",IF(Registro_Compras!$F$376="FACTURA",ROUND(Registro_Compras!$K$376*Registro_Compras!$N$376,2),""))</f>
        <v/>
      </c>
      <c r="F3354" s="20">
        <f>IF($C3354="","",IF(Registro_Compras!$F$376="RHE",ROUND(Registro_Compras!$V$376*Registro_Compras!$N$376,2),IF(Registro_Compras!$F$376="NOTA DE CREDITO",ROUND(ABS(Registro_Compras!$J$376*Registro_Compras!$N$376),2),"")))</f>
        <v/>
      </c>
      <c r="G3354">
        <f>IF($C3354="","",IF(Registro_Compras!$F$376="NOTA DE CREDITO","Por la nota de credito "&amp;Registro_Compras!$C$376&amp;" de "&amp;Registro_Compras!$E$376&amp;" [PATRON POR CONFIRMAR CON CONTADOR]",IF(Registro_Compras!$F$376="RHE","Por el registro del recibo por honorarios "&amp;Registro_Compras!$C$376&amp;" de "&amp;Registro_Compras!$E$376&amp;" [PATRON POR CONFIRMAR CON CONTADOR]","Por el registro de la factura "&amp;Registro_Compras!$C$376&amp;" de "&amp;Registro_Compras!$E$376)))</f>
        <v/>
      </c>
      <c r="H3354">
        <f>IF($C3354="","",Registro_Compras!$C$376)</f>
        <v/>
      </c>
    </row>
    <row r="3355">
      <c r="A3355" s="25">
        <f>IF($C3355="","",Registro_Compras!$B$376)</f>
        <v/>
      </c>
      <c r="B3355">
        <f>IF($C3355="","","C"&amp;TEXT(INT((ROW()-5)/9)+1,"000")&amp;"-1")</f>
        <v/>
      </c>
      <c r="C3355">
        <f>IF(OR(Registro_Compras!$C$376="",Registro_Compras!$O$376=""),"",IF(Registro_Compras!$F$376="NOTA DE CREDITO",IF(Registro_Compras!$K$376=0,"","40111"),"4212"))</f>
        <v/>
      </c>
      <c r="D3355">
        <f>IF(OR(Registro_Compras!$C$376="",Registro_Compras!$O$376=""),"",IF(Registro_Compras!$F$376="NOTA DE CREDITO","IGV - Cuenta Propia (Credito Fiscal)","Cuentas por Pagar Comerciales - Terceros (Emitidas)"))</f>
        <v/>
      </c>
      <c r="E3355" s="20">
        <f>""</f>
        <v/>
      </c>
      <c r="F3355" s="20">
        <f>IF($C3355="","",IF(Registro_Compras!$F$376="NOTA DE CREDITO",ROUND(ABS(Registro_Compras!$K$376*Registro_Compras!$N$376),2),IF(Registro_Compras!$F$376="RHE",(ROUND(Registro_Compras!$L$376*Registro_Compras!$N$376,2)-ROUND(Registro_Compras!$V$376*Registro_Compras!$N$376,2)),Registro_Compras!$O$376)))</f>
        <v/>
      </c>
      <c r="G3355">
        <f>IF($C3355="","",IF(Registro_Compras!$F$376="NOTA DE CREDITO","Por la nota de credito "&amp;Registro_Compras!$C$376&amp;" de "&amp;Registro_Compras!$E$376&amp;" [PATRON POR CONFIRMAR CON CONTADOR]",IF(Registro_Compras!$F$376="RHE","Por el registro del recibo por honorarios "&amp;Registro_Compras!$C$376&amp;" de "&amp;Registro_Compras!$E$376&amp;" [PATRON POR CONFIRMAR CON CONTADOR]","Por el registro de la factura "&amp;Registro_Compras!$C$376&amp;" de "&amp;Registro_Compras!$E$376)))</f>
        <v/>
      </c>
      <c r="H3355">
        <f>IF($C3355="","",Registro_Compras!$C$376)</f>
        <v/>
      </c>
    </row>
    <row r="3356">
      <c r="A3356" s="25">
        <f>IF($C3356="","",Registro_Compras!$B$376)</f>
        <v/>
      </c>
      <c r="B3356">
        <f>IF($C3356="","","C"&amp;TEXT(INT((ROW()-5)/9)+1,"000")&amp;"-2")</f>
        <v/>
      </c>
      <c r="C3356">
        <f>IF(OR(Registro_Compras!$C$376="",Registro_Compras!$O$376=""),"",IF(Registro_Compras!$AB$376="ADMINISTRATIVO","94","95"))</f>
        <v/>
      </c>
      <c r="D3356">
        <f>IF(OR(Registro_Compras!$C$376="",Registro_Compras!$O$376=""),"",IF(Registro_Compras!$AB$376="ADMINISTRATIVO","Gastos Administrativos","Gastos de Venta y Operacion"))</f>
        <v/>
      </c>
      <c r="E3356" s="20">
        <f>IF($C3356="","",IF(Registro_Compras!$F$376="NOTA DE CREDITO","",IF(Registro_Compras!$F$376="RHE",ROUND(Registro_Compras!$L$376*Registro_Compras!$N$376,2),ROUND(Registro_Compras!$J$376*Registro_Compras!$N$376,2))))</f>
        <v/>
      </c>
      <c r="F3356" s="20">
        <f>IF($C3356="","",IF(Registro_Compras!$F$376="NOTA DE CREDITO",ROUND(ABS(Registro_Compras!$J$376*Registro_Compras!$N$376),2),""))</f>
        <v/>
      </c>
      <c r="G3356">
        <f>IF($C3356="","","Por el destino del gasto")</f>
        <v/>
      </c>
      <c r="H3356">
        <f>IF($C3356="","",Registro_Compras!$C$376)</f>
        <v/>
      </c>
    </row>
    <row r="3357">
      <c r="A3357" s="25">
        <f>IF($C3357="","",Registro_Compras!$B$376)</f>
        <v/>
      </c>
      <c r="B3357">
        <f>IF($C3357="","","C"&amp;TEXT(INT((ROW()-5)/9)+1,"000")&amp;"-2")</f>
        <v/>
      </c>
      <c r="C3357">
        <f>IF(OR(Registro_Compras!$C$376="",Registro_Compras!$O$376=""),"","79/791")</f>
        <v/>
      </c>
      <c r="D3357">
        <f>IF(OR(Registro_Compras!$C$376="",Registro_Compras!$O$376=""),"","Cargas Imputables a Cuentas de Costos y Gastos")</f>
        <v/>
      </c>
      <c r="E3357" s="20">
        <f>IF($C3357="","",IF(Registro_Compras!$F$376="NOTA DE CREDITO",ROUND(ABS(Registro_Compras!$J$376*Registro_Compras!$N$376),2),""))</f>
        <v/>
      </c>
      <c r="F3357" s="20">
        <f>IF($C3357="","",IF(Registro_Compras!$F$376="NOTA DE CREDITO","",IF(Registro_Compras!$F$376="RHE",ROUND(Registro_Compras!$L$376*Registro_Compras!$N$376,2),ROUND(Registro_Compras!$J$376*Registro_Compras!$N$376,2))))</f>
        <v/>
      </c>
      <c r="G3357">
        <f>IF($C3357="","","Por el destino del gasto")</f>
        <v/>
      </c>
      <c r="H3357">
        <f>IF($C3357="","",Registro_Compras!$C$376)</f>
        <v/>
      </c>
    </row>
    <row r="3358">
      <c r="A3358" s="25">
        <f>IF($C3358="","",Registro_Compras!$X$376)</f>
        <v/>
      </c>
      <c r="B3358">
        <f>IF($C3358="","","C"&amp;TEXT(INT((ROW()-5)/9)+1,"000")&amp;"-3")</f>
        <v/>
      </c>
      <c r="C3358">
        <f>IF(OR(Registro_Compras!$C$376="",Registro_Compras!$O$376="",Registro_Compras!$R$376&lt;&gt;"SI",Registro_Compras!$X$376=""),"","4212")</f>
        <v/>
      </c>
      <c r="D3358">
        <f>IF(OR(Registro_Compras!$C$376="",Registro_Compras!$O$376=""),"","Cuentas por Pagar Comerciales - Terceros")</f>
        <v/>
      </c>
      <c r="E3358" s="20">
        <f>IF($C3358="","",Registro_Compras!$S$376)</f>
        <v/>
      </c>
      <c r="F3358" s="20">
        <f>""</f>
        <v/>
      </c>
      <c r="G3358">
        <f>IF($C3358="","","Por el deposito de la detraccion en el Banco de la Nacion")</f>
        <v/>
      </c>
      <c r="H3358">
        <f>IF($C3358="","",Registro_Compras!$C$376)</f>
        <v/>
      </c>
    </row>
    <row r="3359">
      <c r="A3359" s="25">
        <f>IF($C3359="","",Registro_Compras!$X$376)</f>
        <v/>
      </c>
      <c r="B3359">
        <f>IF($C3359="","","C"&amp;TEXT(INT((ROW()-5)/9)+1,"000")&amp;"-3")</f>
        <v/>
      </c>
      <c r="C3359">
        <f>IF(OR(Registro_Compras!$C$376="",Registro_Compras!$O$376="",Registro_Compras!$R$376&lt;&gt;"SI",Registro_Compras!$X$376=""),"","10413")</f>
        <v/>
      </c>
      <c r="D3359">
        <f>IF(OR(Registro_Compras!$C$376="",Registro_Compras!$O$376=""),"","Efectivo y Equivalentes - Cta. Cte. Operativa")</f>
        <v/>
      </c>
      <c r="E3359" s="20">
        <f>""</f>
        <v/>
      </c>
      <c r="F3359" s="20">
        <f>IF($C3359="","",Registro_Compras!$S$376)</f>
        <v/>
      </c>
      <c r="G3359">
        <f>IF($C3359="","","Por el deposito de la detraccion en el Banco de la Nacion")</f>
        <v/>
      </c>
      <c r="H3359">
        <f>IF($C3359="","",Registro_Compras!$C$376)</f>
        <v/>
      </c>
    </row>
    <row r="3360">
      <c r="A3360" s="25">
        <f>IF($C3360="","",Registro_Compras!$Y$376)</f>
        <v/>
      </c>
      <c r="B3360">
        <f>IF($C3360="","","C"&amp;TEXT(INT((ROW()-5)/9)+1,"000")&amp;"-4")</f>
        <v/>
      </c>
      <c r="C3360">
        <f>IF(OR(Registro_Compras!$C$376="",Registro_Compras!$O$376="",Registro_Compras!$Y$376="",Registro_Compras!$F$376="NOTA DE CREDITO"),"","4212")</f>
        <v/>
      </c>
      <c r="D3360">
        <f>IF(OR(Registro_Compras!$C$376="",Registro_Compras!$O$376=""),"","Cuentas por Pagar Comerciales - Terceros")</f>
        <v/>
      </c>
      <c r="E3360" s="20">
        <f>IF($C3360="","",IF(Registro_Compras!$F$376="RHE",(ROUND(Registro_Compras!$L$376*Registro_Compras!$N$376,2)-ROUND(Registro_Compras!$V$376*Registro_Compras!$N$376,2)),ROUND(Registro_Compras!$O$376-Registro_Compras!$S$376,2)))</f>
        <v/>
      </c>
      <c r="F3360" s="20">
        <f>""</f>
        <v/>
      </c>
      <c r="G3360">
        <f>IF($C3360="","","Por la cancelacion del saldo al proveedor")</f>
        <v/>
      </c>
      <c r="H3360">
        <f>IF($C3360="","",Registro_Compras!$C$376)</f>
        <v/>
      </c>
    </row>
    <row r="3361">
      <c r="A3361" s="25">
        <f>IF($C3361="","",Registro_Compras!$Y$376)</f>
        <v/>
      </c>
      <c r="B3361">
        <f>IF($C3361="","","C"&amp;TEXT(INT((ROW()-5)/9)+1,"000")&amp;"-4")</f>
        <v/>
      </c>
      <c r="C3361">
        <f>IF(OR(Registro_Compras!$C$376="",Registro_Compras!$O$376="",Registro_Compras!$Y$376="",Registro_Compras!$F$376="NOTA DE CREDITO"),"","10413")</f>
        <v/>
      </c>
      <c r="D3361">
        <f>IF(OR(Registro_Compras!$C$376="",Registro_Compras!$O$376=""),"","Efectivo y Equivalentes - Cta. Cte. Operativa")</f>
        <v/>
      </c>
      <c r="E3361" s="20">
        <f>""</f>
        <v/>
      </c>
      <c r="F3361" s="20">
        <f>IF($C3361="","",IF(Registro_Compras!$F$376="RHE",(ROUND(Registro_Compras!$L$376*Registro_Compras!$N$376,2)-ROUND(Registro_Compras!$V$376*Registro_Compras!$N$376,2)),ROUND(Registro_Compras!$O$376-Registro_Compras!$S$376,2)))</f>
        <v/>
      </c>
      <c r="G3361">
        <f>IF($C3361="","","Por la cancelacion del saldo al proveedor")</f>
        <v/>
      </c>
      <c r="H3361">
        <f>IF($C3361="","",Registro_Compras!$C$376)</f>
        <v/>
      </c>
    </row>
    <row r="3362">
      <c r="A3362" s="25">
        <f>IF($C3362="","",Registro_Compras!$B$377)</f>
        <v/>
      </c>
      <c r="B3362">
        <f>IF($C3362="","","C"&amp;TEXT(INT((ROW()-5)/9)+1,"000")&amp;"-1")</f>
        <v/>
      </c>
      <c r="C3362">
        <f>IF(OR(Registro_Compras!$C$377="",Registro_Compras!$O$377=""),"",IF(Registro_Compras!$F$377="NOTA DE CREDITO","4212",IF(Registro_Compras!$M$377="","63",Registro_Compras!$M$377)))</f>
        <v/>
      </c>
      <c r="D3362">
        <f>IF(OR(Registro_Compras!$C$377="",Registro_Compras!$O$377=""),"",IF(Registro_Compras!$F$377="NOTA DE CREDITO","Cuentas por Pagar Comerciales - Terceros (Emitidas)",IF(Registro_Compras!$F$377="RHE","Honorarios Profesionales - Servicios de Terceros","Gastos de Servicios Prestados por Terceros")))</f>
        <v/>
      </c>
      <c r="E3362" s="20">
        <f>IF($C3362="","",IF(Registro_Compras!$F$377="NOTA DE CREDITO",ABS(Registro_Compras!$O$377),IF(Registro_Compras!$F$377="RHE",ROUND(Registro_Compras!$L$377*Registro_Compras!$N$377,2),ROUND(Registro_Compras!$J$377*Registro_Compras!$N$377,2))))</f>
        <v/>
      </c>
      <c r="F3362" s="20">
        <f>""</f>
        <v/>
      </c>
      <c r="G3362">
        <f>IF($C3362="","",IF(Registro_Compras!$F$377="NOTA DE CREDITO","Por la nota de credito "&amp;Registro_Compras!$C$377&amp;" de "&amp;Registro_Compras!$E$377&amp;" [PATRON POR CONFIRMAR CON CONTADOR]",IF(Registro_Compras!$F$377="RHE","Por el registro del recibo por honorarios "&amp;Registro_Compras!$C$377&amp;" de "&amp;Registro_Compras!$E$377&amp;" [PATRON POR CONFIRMAR CON CONTADOR]","Por el registro de la factura "&amp;Registro_Compras!$C$377&amp;" de "&amp;Registro_Compras!$E$377)))</f>
        <v/>
      </c>
      <c r="H3362">
        <f>IF($C3362="","",Registro_Compras!$C$377)</f>
        <v/>
      </c>
    </row>
    <row r="3363">
      <c r="A3363" s="25">
        <f>IF($C3363="","",Registro_Compras!$B$377)</f>
        <v/>
      </c>
      <c r="B3363">
        <f>IF($C3363="","","C"&amp;TEXT(INT((ROW()-5)/9)+1,"000")&amp;"-1")</f>
        <v/>
      </c>
      <c r="C3363">
        <f>IF(OR(Registro_Compras!$C$377="",Registro_Compras!$O$377=""),"",IF(Registro_Compras!$F$377="RHE",IF(Registro_Compras!$V$377=0,"","40172"),IF(Registro_Compras!$F$377="NOTA DE CREDITO",IF(Registro_Compras!$M$377="","63",Registro_Compras!$M$377),IF(Registro_Compras!$K$377=0,"","40111"))))</f>
        <v/>
      </c>
      <c r="D3363">
        <f>IF(OR(Registro_Compras!$C$377="",Registro_Compras!$O$377=""),"",IF(Registro_Compras!$F$377="RHE","Retencion Renta 4ta Categoria por Pagar",IF(Registro_Compras!$F$377="NOTA DE CREDITO","Gastos de Servicios Prestados por Terceros","IGV - Cuenta Propia (Credito Fiscal)")))</f>
        <v/>
      </c>
      <c r="E3363" s="20">
        <f>IF($C3363="","",IF(Registro_Compras!$F$377="FACTURA",ROUND(Registro_Compras!$K$377*Registro_Compras!$N$377,2),""))</f>
        <v/>
      </c>
      <c r="F3363" s="20">
        <f>IF($C3363="","",IF(Registro_Compras!$F$377="RHE",ROUND(Registro_Compras!$V$377*Registro_Compras!$N$377,2),IF(Registro_Compras!$F$377="NOTA DE CREDITO",ROUND(ABS(Registro_Compras!$J$377*Registro_Compras!$N$377),2),"")))</f>
        <v/>
      </c>
      <c r="G3363">
        <f>IF($C3363="","",IF(Registro_Compras!$F$377="NOTA DE CREDITO","Por la nota de credito "&amp;Registro_Compras!$C$377&amp;" de "&amp;Registro_Compras!$E$377&amp;" [PATRON POR CONFIRMAR CON CONTADOR]",IF(Registro_Compras!$F$377="RHE","Por el registro del recibo por honorarios "&amp;Registro_Compras!$C$377&amp;" de "&amp;Registro_Compras!$E$377&amp;" [PATRON POR CONFIRMAR CON CONTADOR]","Por el registro de la factura "&amp;Registro_Compras!$C$377&amp;" de "&amp;Registro_Compras!$E$377)))</f>
        <v/>
      </c>
      <c r="H3363">
        <f>IF($C3363="","",Registro_Compras!$C$377)</f>
        <v/>
      </c>
    </row>
    <row r="3364">
      <c r="A3364" s="25">
        <f>IF($C3364="","",Registro_Compras!$B$377)</f>
        <v/>
      </c>
      <c r="B3364">
        <f>IF($C3364="","","C"&amp;TEXT(INT((ROW()-5)/9)+1,"000")&amp;"-1")</f>
        <v/>
      </c>
      <c r="C3364">
        <f>IF(OR(Registro_Compras!$C$377="",Registro_Compras!$O$377=""),"",IF(Registro_Compras!$F$377="NOTA DE CREDITO",IF(Registro_Compras!$K$377=0,"","40111"),"4212"))</f>
        <v/>
      </c>
      <c r="D3364">
        <f>IF(OR(Registro_Compras!$C$377="",Registro_Compras!$O$377=""),"",IF(Registro_Compras!$F$377="NOTA DE CREDITO","IGV - Cuenta Propia (Credito Fiscal)","Cuentas por Pagar Comerciales - Terceros (Emitidas)"))</f>
        <v/>
      </c>
      <c r="E3364" s="20">
        <f>""</f>
        <v/>
      </c>
      <c r="F3364" s="20">
        <f>IF($C3364="","",IF(Registro_Compras!$F$377="NOTA DE CREDITO",ROUND(ABS(Registro_Compras!$K$377*Registro_Compras!$N$377),2),IF(Registro_Compras!$F$377="RHE",(ROUND(Registro_Compras!$L$377*Registro_Compras!$N$377,2)-ROUND(Registro_Compras!$V$377*Registro_Compras!$N$377,2)),Registro_Compras!$O$377)))</f>
        <v/>
      </c>
      <c r="G3364">
        <f>IF($C3364="","",IF(Registro_Compras!$F$377="NOTA DE CREDITO","Por la nota de credito "&amp;Registro_Compras!$C$377&amp;" de "&amp;Registro_Compras!$E$377&amp;" [PATRON POR CONFIRMAR CON CONTADOR]",IF(Registro_Compras!$F$377="RHE","Por el registro del recibo por honorarios "&amp;Registro_Compras!$C$377&amp;" de "&amp;Registro_Compras!$E$377&amp;" [PATRON POR CONFIRMAR CON CONTADOR]","Por el registro de la factura "&amp;Registro_Compras!$C$377&amp;" de "&amp;Registro_Compras!$E$377)))</f>
        <v/>
      </c>
      <c r="H3364">
        <f>IF($C3364="","",Registro_Compras!$C$377)</f>
        <v/>
      </c>
    </row>
    <row r="3365">
      <c r="A3365" s="25">
        <f>IF($C3365="","",Registro_Compras!$B$377)</f>
        <v/>
      </c>
      <c r="B3365">
        <f>IF($C3365="","","C"&amp;TEXT(INT((ROW()-5)/9)+1,"000")&amp;"-2")</f>
        <v/>
      </c>
      <c r="C3365">
        <f>IF(OR(Registro_Compras!$C$377="",Registro_Compras!$O$377=""),"",IF(Registro_Compras!$AB$377="ADMINISTRATIVO","94","95"))</f>
        <v/>
      </c>
      <c r="D3365">
        <f>IF(OR(Registro_Compras!$C$377="",Registro_Compras!$O$377=""),"",IF(Registro_Compras!$AB$377="ADMINISTRATIVO","Gastos Administrativos","Gastos de Venta y Operacion"))</f>
        <v/>
      </c>
      <c r="E3365" s="20">
        <f>IF($C3365="","",IF(Registro_Compras!$F$377="NOTA DE CREDITO","",IF(Registro_Compras!$F$377="RHE",ROUND(Registro_Compras!$L$377*Registro_Compras!$N$377,2),ROUND(Registro_Compras!$J$377*Registro_Compras!$N$377,2))))</f>
        <v/>
      </c>
      <c r="F3365" s="20">
        <f>IF($C3365="","",IF(Registro_Compras!$F$377="NOTA DE CREDITO",ROUND(ABS(Registro_Compras!$J$377*Registro_Compras!$N$377),2),""))</f>
        <v/>
      </c>
      <c r="G3365">
        <f>IF($C3365="","","Por el destino del gasto")</f>
        <v/>
      </c>
      <c r="H3365">
        <f>IF($C3365="","",Registro_Compras!$C$377)</f>
        <v/>
      </c>
    </row>
    <row r="3366">
      <c r="A3366" s="25">
        <f>IF($C3366="","",Registro_Compras!$B$377)</f>
        <v/>
      </c>
      <c r="B3366">
        <f>IF($C3366="","","C"&amp;TEXT(INT((ROW()-5)/9)+1,"000")&amp;"-2")</f>
        <v/>
      </c>
      <c r="C3366">
        <f>IF(OR(Registro_Compras!$C$377="",Registro_Compras!$O$377=""),"","79/791")</f>
        <v/>
      </c>
      <c r="D3366">
        <f>IF(OR(Registro_Compras!$C$377="",Registro_Compras!$O$377=""),"","Cargas Imputables a Cuentas de Costos y Gastos")</f>
        <v/>
      </c>
      <c r="E3366" s="20">
        <f>IF($C3366="","",IF(Registro_Compras!$F$377="NOTA DE CREDITO",ROUND(ABS(Registro_Compras!$J$377*Registro_Compras!$N$377),2),""))</f>
        <v/>
      </c>
      <c r="F3366" s="20">
        <f>IF($C3366="","",IF(Registro_Compras!$F$377="NOTA DE CREDITO","",IF(Registro_Compras!$F$377="RHE",ROUND(Registro_Compras!$L$377*Registro_Compras!$N$377,2),ROUND(Registro_Compras!$J$377*Registro_Compras!$N$377,2))))</f>
        <v/>
      </c>
      <c r="G3366">
        <f>IF($C3366="","","Por el destino del gasto")</f>
        <v/>
      </c>
      <c r="H3366">
        <f>IF($C3366="","",Registro_Compras!$C$377)</f>
        <v/>
      </c>
    </row>
    <row r="3367">
      <c r="A3367" s="25">
        <f>IF($C3367="","",Registro_Compras!$X$377)</f>
        <v/>
      </c>
      <c r="B3367">
        <f>IF($C3367="","","C"&amp;TEXT(INT((ROW()-5)/9)+1,"000")&amp;"-3")</f>
        <v/>
      </c>
      <c r="C3367">
        <f>IF(OR(Registro_Compras!$C$377="",Registro_Compras!$O$377="",Registro_Compras!$R$377&lt;&gt;"SI",Registro_Compras!$X$377=""),"","4212")</f>
        <v/>
      </c>
      <c r="D3367">
        <f>IF(OR(Registro_Compras!$C$377="",Registro_Compras!$O$377=""),"","Cuentas por Pagar Comerciales - Terceros")</f>
        <v/>
      </c>
      <c r="E3367" s="20">
        <f>IF($C3367="","",Registro_Compras!$S$377)</f>
        <v/>
      </c>
      <c r="F3367" s="20">
        <f>""</f>
        <v/>
      </c>
      <c r="G3367">
        <f>IF($C3367="","","Por el deposito de la detraccion en el Banco de la Nacion")</f>
        <v/>
      </c>
      <c r="H3367">
        <f>IF($C3367="","",Registro_Compras!$C$377)</f>
        <v/>
      </c>
    </row>
    <row r="3368">
      <c r="A3368" s="25">
        <f>IF($C3368="","",Registro_Compras!$X$377)</f>
        <v/>
      </c>
      <c r="B3368">
        <f>IF($C3368="","","C"&amp;TEXT(INT((ROW()-5)/9)+1,"000")&amp;"-3")</f>
        <v/>
      </c>
      <c r="C3368">
        <f>IF(OR(Registro_Compras!$C$377="",Registro_Compras!$O$377="",Registro_Compras!$R$377&lt;&gt;"SI",Registro_Compras!$X$377=""),"","10413")</f>
        <v/>
      </c>
      <c r="D3368">
        <f>IF(OR(Registro_Compras!$C$377="",Registro_Compras!$O$377=""),"","Efectivo y Equivalentes - Cta. Cte. Operativa")</f>
        <v/>
      </c>
      <c r="E3368" s="20">
        <f>""</f>
        <v/>
      </c>
      <c r="F3368" s="20">
        <f>IF($C3368="","",Registro_Compras!$S$377)</f>
        <v/>
      </c>
      <c r="G3368">
        <f>IF($C3368="","","Por el deposito de la detraccion en el Banco de la Nacion")</f>
        <v/>
      </c>
      <c r="H3368">
        <f>IF($C3368="","",Registro_Compras!$C$377)</f>
        <v/>
      </c>
    </row>
    <row r="3369">
      <c r="A3369" s="25">
        <f>IF($C3369="","",Registro_Compras!$Y$377)</f>
        <v/>
      </c>
      <c r="B3369">
        <f>IF($C3369="","","C"&amp;TEXT(INT((ROW()-5)/9)+1,"000")&amp;"-4")</f>
        <v/>
      </c>
      <c r="C3369">
        <f>IF(OR(Registro_Compras!$C$377="",Registro_Compras!$O$377="",Registro_Compras!$Y$377="",Registro_Compras!$F$377="NOTA DE CREDITO"),"","4212")</f>
        <v/>
      </c>
      <c r="D3369">
        <f>IF(OR(Registro_Compras!$C$377="",Registro_Compras!$O$377=""),"","Cuentas por Pagar Comerciales - Terceros")</f>
        <v/>
      </c>
      <c r="E3369" s="20">
        <f>IF($C3369="","",IF(Registro_Compras!$F$377="RHE",(ROUND(Registro_Compras!$L$377*Registro_Compras!$N$377,2)-ROUND(Registro_Compras!$V$377*Registro_Compras!$N$377,2)),ROUND(Registro_Compras!$O$377-Registro_Compras!$S$377,2)))</f>
        <v/>
      </c>
      <c r="F3369" s="20">
        <f>""</f>
        <v/>
      </c>
      <c r="G3369">
        <f>IF($C3369="","","Por la cancelacion del saldo al proveedor")</f>
        <v/>
      </c>
      <c r="H3369">
        <f>IF($C3369="","",Registro_Compras!$C$377)</f>
        <v/>
      </c>
    </row>
    <row r="3370">
      <c r="A3370" s="25">
        <f>IF($C3370="","",Registro_Compras!$Y$377)</f>
        <v/>
      </c>
      <c r="B3370">
        <f>IF($C3370="","","C"&amp;TEXT(INT((ROW()-5)/9)+1,"000")&amp;"-4")</f>
        <v/>
      </c>
      <c r="C3370">
        <f>IF(OR(Registro_Compras!$C$377="",Registro_Compras!$O$377="",Registro_Compras!$Y$377="",Registro_Compras!$F$377="NOTA DE CREDITO"),"","10413")</f>
        <v/>
      </c>
      <c r="D3370">
        <f>IF(OR(Registro_Compras!$C$377="",Registro_Compras!$O$377=""),"","Efectivo y Equivalentes - Cta. Cte. Operativa")</f>
        <v/>
      </c>
      <c r="E3370" s="20">
        <f>""</f>
        <v/>
      </c>
      <c r="F3370" s="20">
        <f>IF($C3370="","",IF(Registro_Compras!$F$377="RHE",(ROUND(Registro_Compras!$L$377*Registro_Compras!$N$377,2)-ROUND(Registro_Compras!$V$377*Registro_Compras!$N$377,2)),ROUND(Registro_Compras!$O$377-Registro_Compras!$S$377,2)))</f>
        <v/>
      </c>
      <c r="G3370">
        <f>IF($C3370="","","Por la cancelacion del saldo al proveedor")</f>
        <v/>
      </c>
      <c r="H3370">
        <f>IF($C3370="","",Registro_Compras!$C$377)</f>
        <v/>
      </c>
    </row>
    <row r="3371">
      <c r="A3371" s="25">
        <f>IF($C3371="","",Registro_Compras!$B$378)</f>
        <v/>
      </c>
      <c r="B3371">
        <f>IF($C3371="","","C"&amp;TEXT(INT((ROW()-5)/9)+1,"000")&amp;"-1")</f>
        <v/>
      </c>
      <c r="C3371">
        <f>IF(OR(Registro_Compras!$C$378="",Registro_Compras!$O$378=""),"",IF(Registro_Compras!$F$378="NOTA DE CREDITO","4212",IF(Registro_Compras!$M$378="","63",Registro_Compras!$M$378)))</f>
        <v/>
      </c>
      <c r="D3371">
        <f>IF(OR(Registro_Compras!$C$378="",Registro_Compras!$O$378=""),"",IF(Registro_Compras!$F$378="NOTA DE CREDITO","Cuentas por Pagar Comerciales - Terceros (Emitidas)",IF(Registro_Compras!$F$378="RHE","Honorarios Profesionales - Servicios de Terceros","Gastos de Servicios Prestados por Terceros")))</f>
        <v/>
      </c>
      <c r="E3371" s="20">
        <f>IF($C3371="","",IF(Registro_Compras!$F$378="NOTA DE CREDITO",ABS(Registro_Compras!$O$378),IF(Registro_Compras!$F$378="RHE",ROUND(Registro_Compras!$L$378*Registro_Compras!$N$378,2),ROUND(Registro_Compras!$J$378*Registro_Compras!$N$378,2))))</f>
        <v/>
      </c>
      <c r="F3371" s="20">
        <f>""</f>
        <v/>
      </c>
      <c r="G3371">
        <f>IF($C3371="","",IF(Registro_Compras!$F$378="NOTA DE CREDITO","Por la nota de credito "&amp;Registro_Compras!$C$378&amp;" de "&amp;Registro_Compras!$E$378&amp;" [PATRON POR CONFIRMAR CON CONTADOR]",IF(Registro_Compras!$F$378="RHE","Por el registro del recibo por honorarios "&amp;Registro_Compras!$C$378&amp;" de "&amp;Registro_Compras!$E$378&amp;" [PATRON POR CONFIRMAR CON CONTADOR]","Por el registro de la factura "&amp;Registro_Compras!$C$378&amp;" de "&amp;Registro_Compras!$E$378)))</f>
        <v/>
      </c>
      <c r="H3371">
        <f>IF($C3371="","",Registro_Compras!$C$378)</f>
        <v/>
      </c>
    </row>
    <row r="3372">
      <c r="A3372" s="25">
        <f>IF($C3372="","",Registro_Compras!$B$378)</f>
        <v/>
      </c>
      <c r="B3372">
        <f>IF($C3372="","","C"&amp;TEXT(INT((ROW()-5)/9)+1,"000")&amp;"-1")</f>
        <v/>
      </c>
      <c r="C3372">
        <f>IF(OR(Registro_Compras!$C$378="",Registro_Compras!$O$378=""),"",IF(Registro_Compras!$F$378="RHE",IF(Registro_Compras!$V$378=0,"","40172"),IF(Registro_Compras!$F$378="NOTA DE CREDITO",IF(Registro_Compras!$M$378="","63",Registro_Compras!$M$378),IF(Registro_Compras!$K$378=0,"","40111"))))</f>
        <v/>
      </c>
      <c r="D3372">
        <f>IF(OR(Registro_Compras!$C$378="",Registro_Compras!$O$378=""),"",IF(Registro_Compras!$F$378="RHE","Retencion Renta 4ta Categoria por Pagar",IF(Registro_Compras!$F$378="NOTA DE CREDITO","Gastos de Servicios Prestados por Terceros","IGV - Cuenta Propia (Credito Fiscal)")))</f>
        <v/>
      </c>
      <c r="E3372" s="20">
        <f>IF($C3372="","",IF(Registro_Compras!$F$378="FACTURA",ROUND(Registro_Compras!$K$378*Registro_Compras!$N$378,2),""))</f>
        <v/>
      </c>
      <c r="F3372" s="20">
        <f>IF($C3372="","",IF(Registro_Compras!$F$378="RHE",ROUND(Registro_Compras!$V$378*Registro_Compras!$N$378,2),IF(Registro_Compras!$F$378="NOTA DE CREDITO",ROUND(ABS(Registro_Compras!$J$378*Registro_Compras!$N$378),2),"")))</f>
        <v/>
      </c>
      <c r="G3372">
        <f>IF($C3372="","",IF(Registro_Compras!$F$378="NOTA DE CREDITO","Por la nota de credito "&amp;Registro_Compras!$C$378&amp;" de "&amp;Registro_Compras!$E$378&amp;" [PATRON POR CONFIRMAR CON CONTADOR]",IF(Registro_Compras!$F$378="RHE","Por el registro del recibo por honorarios "&amp;Registro_Compras!$C$378&amp;" de "&amp;Registro_Compras!$E$378&amp;" [PATRON POR CONFIRMAR CON CONTADOR]","Por el registro de la factura "&amp;Registro_Compras!$C$378&amp;" de "&amp;Registro_Compras!$E$378)))</f>
        <v/>
      </c>
      <c r="H3372">
        <f>IF($C3372="","",Registro_Compras!$C$378)</f>
        <v/>
      </c>
    </row>
    <row r="3373">
      <c r="A3373" s="25">
        <f>IF($C3373="","",Registro_Compras!$B$378)</f>
        <v/>
      </c>
      <c r="B3373">
        <f>IF($C3373="","","C"&amp;TEXT(INT((ROW()-5)/9)+1,"000")&amp;"-1")</f>
        <v/>
      </c>
      <c r="C3373">
        <f>IF(OR(Registro_Compras!$C$378="",Registro_Compras!$O$378=""),"",IF(Registro_Compras!$F$378="NOTA DE CREDITO",IF(Registro_Compras!$K$378=0,"","40111"),"4212"))</f>
        <v/>
      </c>
      <c r="D3373">
        <f>IF(OR(Registro_Compras!$C$378="",Registro_Compras!$O$378=""),"",IF(Registro_Compras!$F$378="NOTA DE CREDITO","IGV - Cuenta Propia (Credito Fiscal)","Cuentas por Pagar Comerciales - Terceros (Emitidas)"))</f>
        <v/>
      </c>
      <c r="E3373" s="20">
        <f>""</f>
        <v/>
      </c>
      <c r="F3373" s="20">
        <f>IF($C3373="","",IF(Registro_Compras!$F$378="NOTA DE CREDITO",ROUND(ABS(Registro_Compras!$K$378*Registro_Compras!$N$378),2),IF(Registro_Compras!$F$378="RHE",(ROUND(Registro_Compras!$L$378*Registro_Compras!$N$378,2)-ROUND(Registro_Compras!$V$378*Registro_Compras!$N$378,2)),Registro_Compras!$O$378)))</f>
        <v/>
      </c>
      <c r="G3373">
        <f>IF($C3373="","",IF(Registro_Compras!$F$378="NOTA DE CREDITO","Por la nota de credito "&amp;Registro_Compras!$C$378&amp;" de "&amp;Registro_Compras!$E$378&amp;" [PATRON POR CONFIRMAR CON CONTADOR]",IF(Registro_Compras!$F$378="RHE","Por el registro del recibo por honorarios "&amp;Registro_Compras!$C$378&amp;" de "&amp;Registro_Compras!$E$378&amp;" [PATRON POR CONFIRMAR CON CONTADOR]","Por el registro de la factura "&amp;Registro_Compras!$C$378&amp;" de "&amp;Registro_Compras!$E$378)))</f>
        <v/>
      </c>
      <c r="H3373">
        <f>IF($C3373="","",Registro_Compras!$C$378)</f>
        <v/>
      </c>
    </row>
    <row r="3374">
      <c r="A3374" s="25">
        <f>IF($C3374="","",Registro_Compras!$B$378)</f>
        <v/>
      </c>
      <c r="B3374">
        <f>IF($C3374="","","C"&amp;TEXT(INT((ROW()-5)/9)+1,"000")&amp;"-2")</f>
        <v/>
      </c>
      <c r="C3374">
        <f>IF(OR(Registro_Compras!$C$378="",Registro_Compras!$O$378=""),"",IF(Registro_Compras!$AB$378="ADMINISTRATIVO","94","95"))</f>
        <v/>
      </c>
      <c r="D3374">
        <f>IF(OR(Registro_Compras!$C$378="",Registro_Compras!$O$378=""),"",IF(Registro_Compras!$AB$378="ADMINISTRATIVO","Gastos Administrativos","Gastos de Venta y Operacion"))</f>
        <v/>
      </c>
      <c r="E3374" s="20">
        <f>IF($C3374="","",IF(Registro_Compras!$F$378="NOTA DE CREDITO","",IF(Registro_Compras!$F$378="RHE",ROUND(Registro_Compras!$L$378*Registro_Compras!$N$378,2),ROUND(Registro_Compras!$J$378*Registro_Compras!$N$378,2))))</f>
        <v/>
      </c>
      <c r="F3374" s="20">
        <f>IF($C3374="","",IF(Registro_Compras!$F$378="NOTA DE CREDITO",ROUND(ABS(Registro_Compras!$J$378*Registro_Compras!$N$378),2),""))</f>
        <v/>
      </c>
      <c r="G3374">
        <f>IF($C3374="","","Por el destino del gasto")</f>
        <v/>
      </c>
      <c r="H3374">
        <f>IF($C3374="","",Registro_Compras!$C$378)</f>
        <v/>
      </c>
    </row>
    <row r="3375">
      <c r="A3375" s="25">
        <f>IF($C3375="","",Registro_Compras!$B$378)</f>
        <v/>
      </c>
      <c r="B3375">
        <f>IF($C3375="","","C"&amp;TEXT(INT((ROW()-5)/9)+1,"000")&amp;"-2")</f>
        <v/>
      </c>
      <c r="C3375">
        <f>IF(OR(Registro_Compras!$C$378="",Registro_Compras!$O$378=""),"","79/791")</f>
        <v/>
      </c>
      <c r="D3375">
        <f>IF(OR(Registro_Compras!$C$378="",Registro_Compras!$O$378=""),"","Cargas Imputables a Cuentas de Costos y Gastos")</f>
        <v/>
      </c>
      <c r="E3375" s="20">
        <f>IF($C3375="","",IF(Registro_Compras!$F$378="NOTA DE CREDITO",ROUND(ABS(Registro_Compras!$J$378*Registro_Compras!$N$378),2),""))</f>
        <v/>
      </c>
      <c r="F3375" s="20">
        <f>IF($C3375="","",IF(Registro_Compras!$F$378="NOTA DE CREDITO","",IF(Registro_Compras!$F$378="RHE",ROUND(Registro_Compras!$L$378*Registro_Compras!$N$378,2),ROUND(Registro_Compras!$J$378*Registro_Compras!$N$378,2))))</f>
        <v/>
      </c>
      <c r="G3375">
        <f>IF($C3375="","","Por el destino del gasto")</f>
        <v/>
      </c>
      <c r="H3375">
        <f>IF($C3375="","",Registro_Compras!$C$378)</f>
        <v/>
      </c>
    </row>
    <row r="3376">
      <c r="A3376" s="25">
        <f>IF($C3376="","",Registro_Compras!$X$378)</f>
        <v/>
      </c>
      <c r="B3376">
        <f>IF($C3376="","","C"&amp;TEXT(INT((ROW()-5)/9)+1,"000")&amp;"-3")</f>
        <v/>
      </c>
      <c r="C3376">
        <f>IF(OR(Registro_Compras!$C$378="",Registro_Compras!$O$378="",Registro_Compras!$R$378&lt;&gt;"SI",Registro_Compras!$X$378=""),"","4212")</f>
        <v/>
      </c>
      <c r="D3376">
        <f>IF(OR(Registro_Compras!$C$378="",Registro_Compras!$O$378=""),"","Cuentas por Pagar Comerciales - Terceros")</f>
        <v/>
      </c>
      <c r="E3376" s="20">
        <f>IF($C3376="","",Registro_Compras!$S$378)</f>
        <v/>
      </c>
      <c r="F3376" s="20">
        <f>""</f>
        <v/>
      </c>
      <c r="G3376">
        <f>IF($C3376="","","Por el deposito de la detraccion en el Banco de la Nacion")</f>
        <v/>
      </c>
      <c r="H3376">
        <f>IF($C3376="","",Registro_Compras!$C$378)</f>
        <v/>
      </c>
    </row>
    <row r="3377">
      <c r="A3377" s="25">
        <f>IF($C3377="","",Registro_Compras!$X$378)</f>
        <v/>
      </c>
      <c r="B3377">
        <f>IF($C3377="","","C"&amp;TEXT(INT((ROW()-5)/9)+1,"000")&amp;"-3")</f>
        <v/>
      </c>
      <c r="C3377">
        <f>IF(OR(Registro_Compras!$C$378="",Registro_Compras!$O$378="",Registro_Compras!$R$378&lt;&gt;"SI",Registro_Compras!$X$378=""),"","10413")</f>
        <v/>
      </c>
      <c r="D3377">
        <f>IF(OR(Registro_Compras!$C$378="",Registro_Compras!$O$378=""),"","Efectivo y Equivalentes - Cta. Cte. Operativa")</f>
        <v/>
      </c>
      <c r="E3377" s="20">
        <f>""</f>
        <v/>
      </c>
      <c r="F3377" s="20">
        <f>IF($C3377="","",Registro_Compras!$S$378)</f>
        <v/>
      </c>
      <c r="G3377">
        <f>IF($C3377="","","Por el deposito de la detraccion en el Banco de la Nacion")</f>
        <v/>
      </c>
      <c r="H3377">
        <f>IF($C3377="","",Registro_Compras!$C$378)</f>
        <v/>
      </c>
    </row>
    <row r="3378">
      <c r="A3378" s="25">
        <f>IF($C3378="","",Registro_Compras!$Y$378)</f>
        <v/>
      </c>
      <c r="B3378">
        <f>IF($C3378="","","C"&amp;TEXT(INT((ROW()-5)/9)+1,"000")&amp;"-4")</f>
        <v/>
      </c>
      <c r="C3378">
        <f>IF(OR(Registro_Compras!$C$378="",Registro_Compras!$O$378="",Registro_Compras!$Y$378="",Registro_Compras!$F$378="NOTA DE CREDITO"),"","4212")</f>
        <v/>
      </c>
      <c r="D3378">
        <f>IF(OR(Registro_Compras!$C$378="",Registro_Compras!$O$378=""),"","Cuentas por Pagar Comerciales - Terceros")</f>
        <v/>
      </c>
      <c r="E3378" s="20">
        <f>IF($C3378="","",IF(Registro_Compras!$F$378="RHE",(ROUND(Registro_Compras!$L$378*Registro_Compras!$N$378,2)-ROUND(Registro_Compras!$V$378*Registro_Compras!$N$378,2)),ROUND(Registro_Compras!$O$378-Registro_Compras!$S$378,2)))</f>
        <v/>
      </c>
      <c r="F3378" s="20">
        <f>""</f>
        <v/>
      </c>
      <c r="G3378">
        <f>IF($C3378="","","Por la cancelacion del saldo al proveedor")</f>
        <v/>
      </c>
      <c r="H3378">
        <f>IF($C3378="","",Registro_Compras!$C$378)</f>
        <v/>
      </c>
    </row>
    <row r="3379">
      <c r="A3379" s="25">
        <f>IF($C3379="","",Registro_Compras!$Y$378)</f>
        <v/>
      </c>
      <c r="B3379">
        <f>IF($C3379="","","C"&amp;TEXT(INT((ROW()-5)/9)+1,"000")&amp;"-4")</f>
        <v/>
      </c>
      <c r="C3379">
        <f>IF(OR(Registro_Compras!$C$378="",Registro_Compras!$O$378="",Registro_Compras!$Y$378="",Registro_Compras!$F$378="NOTA DE CREDITO"),"","10413")</f>
        <v/>
      </c>
      <c r="D3379">
        <f>IF(OR(Registro_Compras!$C$378="",Registro_Compras!$O$378=""),"","Efectivo y Equivalentes - Cta. Cte. Operativa")</f>
        <v/>
      </c>
      <c r="E3379" s="20">
        <f>""</f>
        <v/>
      </c>
      <c r="F3379" s="20">
        <f>IF($C3379="","",IF(Registro_Compras!$F$378="RHE",(ROUND(Registro_Compras!$L$378*Registro_Compras!$N$378,2)-ROUND(Registro_Compras!$V$378*Registro_Compras!$N$378,2)),ROUND(Registro_Compras!$O$378-Registro_Compras!$S$378,2)))</f>
        <v/>
      </c>
      <c r="G3379">
        <f>IF($C3379="","","Por la cancelacion del saldo al proveedor")</f>
        <v/>
      </c>
      <c r="H3379">
        <f>IF($C3379="","",Registro_Compras!$C$378)</f>
        <v/>
      </c>
    </row>
    <row r="3380">
      <c r="A3380" s="25">
        <f>IF($C3380="","",Registro_Compras!$B$379)</f>
        <v/>
      </c>
      <c r="B3380">
        <f>IF($C3380="","","C"&amp;TEXT(INT((ROW()-5)/9)+1,"000")&amp;"-1")</f>
        <v/>
      </c>
      <c r="C3380">
        <f>IF(OR(Registro_Compras!$C$379="",Registro_Compras!$O$379=""),"",IF(Registro_Compras!$F$379="NOTA DE CREDITO","4212",IF(Registro_Compras!$M$379="","63",Registro_Compras!$M$379)))</f>
        <v/>
      </c>
      <c r="D3380">
        <f>IF(OR(Registro_Compras!$C$379="",Registro_Compras!$O$379=""),"",IF(Registro_Compras!$F$379="NOTA DE CREDITO","Cuentas por Pagar Comerciales - Terceros (Emitidas)",IF(Registro_Compras!$F$379="RHE","Honorarios Profesionales - Servicios de Terceros","Gastos de Servicios Prestados por Terceros")))</f>
        <v/>
      </c>
      <c r="E3380" s="20">
        <f>IF($C3380="","",IF(Registro_Compras!$F$379="NOTA DE CREDITO",ABS(Registro_Compras!$O$379),IF(Registro_Compras!$F$379="RHE",ROUND(Registro_Compras!$L$379*Registro_Compras!$N$379,2),ROUND(Registro_Compras!$J$379*Registro_Compras!$N$379,2))))</f>
        <v/>
      </c>
      <c r="F3380" s="20">
        <f>""</f>
        <v/>
      </c>
      <c r="G3380">
        <f>IF($C3380="","",IF(Registro_Compras!$F$379="NOTA DE CREDITO","Por la nota de credito "&amp;Registro_Compras!$C$379&amp;" de "&amp;Registro_Compras!$E$379&amp;" [PATRON POR CONFIRMAR CON CONTADOR]",IF(Registro_Compras!$F$379="RHE","Por el registro del recibo por honorarios "&amp;Registro_Compras!$C$379&amp;" de "&amp;Registro_Compras!$E$379&amp;" [PATRON POR CONFIRMAR CON CONTADOR]","Por el registro de la factura "&amp;Registro_Compras!$C$379&amp;" de "&amp;Registro_Compras!$E$379)))</f>
        <v/>
      </c>
      <c r="H3380">
        <f>IF($C3380="","",Registro_Compras!$C$379)</f>
        <v/>
      </c>
    </row>
    <row r="3381">
      <c r="A3381" s="25">
        <f>IF($C3381="","",Registro_Compras!$B$379)</f>
        <v/>
      </c>
      <c r="B3381">
        <f>IF($C3381="","","C"&amp;TEXT(INT((ROW()-5)/9)+1,"000")&amp;"-1")</f>
        <v/>
      </c>
      <c r="C3381">
        <f>IF(OR(Registro_Compras!$C$379="",Registro_Compras!$O$379=""),"",IF(Registro_Compras!$F$379="RHE",IF(Registro_Compras!$V$379=0,"","40172"),IF(Registro_Compras!$F$379="NOTA DE CREDITO",IF(Registro_Compras!$M$379="","63",Registro_Compras!$M$379),IF(Registro_Compras!$K$379=0,"","40111"))))</f>
        <v/>
      </c>
      <c r="D3381">
        <f>IF(OR(Registro_Compras!$C$379="",Registro_Compras!$O$379=""),"",IF(Registro_Compras!$F$379="RHE","Retencion Renta 4ta Categoria por Pagar",IF(Registro_Compras!$F$379="NOTA DE CREDITO","Gastos de Servicios Prestados por Terceros","IGV - Cuenta Propia (Credito Fiscal)")))</f>
        <v/>
      </c>
      <c r="E3381" s="20">
        <f>IF($C3381="","",IF(Registro_Compras!$F$379="FACTURA",ROUND(Registro_Compras!$K$379*Registro_Compras!$N$379,2),""))</f>
        <v/>
      </c>
      <c r="F3381" s="20">
        <f>IF($C3381="","",IF(Registro_Compras!$F$379="RHE",ROUND(Registro_Compras!$V$379*Registro_Compras!$N$379,2),IF(Registro_Compras!$F$379="NOTA DE CREDITO",ROUND(ABS(Registro_Compras!$J$379*Registro_Compras!$N$379),2),"")))</f>
        <v/>
      </c>
      <c r="G3381">
        <f>IF($C3381="","",IF(Registro_Compras!$F$379="NOTA DE CREDITO","Por la nota de credito "&amp;Registro_Compras!$C$379&amp;" de "&amp;Registro_Compras!$E$379&amp;" [PATRON POR CONFIRMAR CON CONTADOR]",IF(Registro_Compras!$F$379="RHE","Por el registro del recibo por honorarios "&amp;Registro_Compras!$C$379&amp;" de "&amp;Registro_Compras!$E$379&amp;" [PATRON POR CONFIRMAR CON CONTADOR]","Por el registro de la factura "&amp;Registro_Compras!$C$379&amp;" de "&amp;Registro_Compras!$E$379)))</f>
        <v/>
      </c>
      <c r="H3381">
        <f>IF($C3381="","",Registro_Compras!$C$379)</f>
        <v/>
      </c>
    </row>
    <row r="3382">
      <c r="A3382" s="25">
        <f>IF($C3382="","",Registro_Compras!$B$379)</f>
        <v/>
      </c>
      <c r="B3382">
        <f>IF($C3382="","","C"&amp;TEXT(INT((ROW()-5)/9)+1,"000")&amp;"-1")</f>
        <v/>
      </c>
      <c r="C3382">
        <f>IF(OR(Registro_Compras!$C$379="",Registro_Compras!$O$379=""),"",IF(Registro_Compras!$F$379="NOTA DE CREDITO",IF(Registro_Compras!$K$379=0,"","40111"),"4212"))</f>
        <v/>
      </c>
      <c r="D3382">
        <f>IF(OR(Registro_Compras!$C$379="",Registro_Compras!$O$379=""),"",IF(Registro_Compras!$F$379="NOTA DE CREDITO","IGV - Cuenta Propia (Credito Fiscal)","Cuentas por Pagar Comerciales - Terceros (Emitidas)"))</f>
        <v/>
      </c>
      <c r="E3382" s="20">
        <f>""</f>
        <v/>
      </c>
      <c r="F3382" s="20">
        <f>IF($C3382="","",IF(Registro_Compras!$F$379="NOTA DE CREDITO",ROUND(ABS(Registro_Compras!$K$379*Registro_Compras!$N$379),2),IF(Registro_Compras!$F$379="RHE",(ROUND(Registro_Compras!$L$379*Registro_Compras!$N$379,2)-ROUND(Registro_Compras!$V$379*Registro_Compras!$N$379,2)),Registro_Compras!$O$379)))</f>
        <v/>
      </c>
      <c r="G3382">
        <f>IF($C3382="","",IF(Registro_Compras!$F$379="NOTA DE CREDITO","Por la nota de credito "&amp;Registro_Compras!$C$379&amp;" de "&amp;Registro_Compras!$E$379&amp;" [PATRON POR CONFIRMAR CON CONTADOR]",IF(Registro_Compras!$F$379="RHE","Por el registro del recibo por honorarios "&amp;Registro_Compras!$C$379&amp;" de "&amp;Registro_Compras!$E$379&amp;" [PATRON POR CONFIRMAR CON CONTADOR]","Por el registro de la factura "&amp;Registro_Compras!$C$379&amp;" de "&amp;Registro_Compras!$E$379)))</f>
        <v/>
      </c>
      <c r="H3382">
        <f>IF($C3382="","",Registro_Compras!$C$379)</f>
        <v/>
      </c>
    </row>
    <row r="3383">
      <c r="A3383" s="25">
        <f>IF($C3383="","",Registro_Compras!$B$379)</f>
        <v/>
      </c>
      <c r="B3383">
        <f>IF($C3383="","","C"&amp;TEXT(INT((ROW()-5)/9)+1,"000")&amp;"-2")</f>
        <v/>
      </c>
      <c r="C3383">
        <f>IF(OR(Registro_Compras!$C$379="",Registro_Compras!$O$379=""),"",IF(Registro_Compras!$AB$379="ADMINISTRATIVO","94","95"))</f>
        <v/>
      </c>
      <c r="D3383">
        <f>IF(OR(Registro_Compras!$C$379="",Registro_Compras!$O$379=""),"",IF(Registro_Compras!$AB$379="ADMINISTRATIVO","Gastos Administrativos","Gastos de Venta y Operacion"))</f>
        <v/>
      </c>
      <c r="E3383" s="20">
        <f>IF($C3383="","",IF(Registro_Compras!$F$379="NOTA DE CREDITO","",IF(Registro_Compras!$F$379="RHE",ROUND(Registro_Compras!$L$379*Registro_Compras!$N$379,2),ROUND(Registro_Compras!$J$379*Registro_Compras!$N$379,2))))</f>
        <v/>
      </c>
      <c r="F3383" s="20">
        <f>IF($C3383="","",IF(Registro_Compras!$F$379="NOTA DE CREDITO",ROUND(ABS(Registro_Compras!$J$379*Registro_Compras!$N$379),2),""))</f>
        <v/>
      </c>
      <c r="G3383">
        <f>IF($C3383="","","Por el destino del gasto")</f>
        <v/>
      </c>
      <c r="H3383">
        <f>IF($C3383="","",Registro_Compras!$C$379)</f>
        <v/>
      </c>
    </row>
    <row r="3384">
      <c r="A3384" s="25">
        <f>IF($C3384="","",Registro_Compras!$B$379)</f>
        <v/>
      </c>
      <c r="B3384">
        <f>IF($C3384="","","C"&amp;TEXT(INT((ROW()-5)/9)+1,"000")&amp;"-2")</f>
        <v/>
      </c>
      <c r="C3384">
        <f>IF(OR(Registro_Compras!$C$379="",Registro_Compras!$O$379=""),"","79/791")</f>
        <v/>
      </c>
      <c r="D3384">
        <f>IF(OR(Registro_Compras!$C$379="",Registro_Compras!$O$379=""),"","Cargas Imputables a Cuentas de Costos y Gastos")</f>
        <v/>
      </c>
      <c r="E3384" s="20">
        <f>IF($C3384="","",IF(Registro_Compras!$F$379="NOTA DE CREDITO",ROUND(ABS(Registro_Compras!$J$379*Registro_Compras!$N$379),2),""))</f>
        <v/>
      </c>
      <c r="F3384" s="20">
        <f>IF($C3384="","",IF(Registro_Compras!$F$379="NOTA DE CREDITO","",IF(Registro_Compras!$F$379="RHE",ROUND(Registro_Compras!$L$379*Registro_Compras!$N$379,2),ROUND(Registro_Compras!$J$379*Registro_Compras!$N$379,2))))</f>
        <v/>
      </c>
      <c r="G3384">
        <f>IF($C3384="","","Por el destino del gasto")</f>
        <v/>
      </c>
      <c r="H3384">
        <f>IF($C3384="","",Registro_Compras!$C$379)</f>
        <v/>
      </c>
    </row>
    <row r="3385">
      <c r="A3385" s="25">
        <f>IF($C3385="","",Registro_Compras!$X$379)</f>
        <v/>
      </c>
      <c r="B3385">
        <f>IF($C3385="","","C"&amp;TEXT(INT((ROW()-5)/9)+1,"000")&amp;"-3")</f>
        <v/>
      </c>
      <c r="C3385">
        <f>IF(OR(Registro_Compras!$C$379="",Registro_Compras!$O$379="",Registro_Compras!$R$379&lt;&gt;"SI",Registro_Compras!$X$379=""),"","4212")</f>
        <v/>
      </c>
      <c r="D3385">
        <f>IF(OR(Registro_Compras!$C$379="",Registro_Compras!$O$379=""),"","Cuentas por Pagar Comerciales - Terceros")</f>
        <v/>
      </c>
      <c r="E3385" s="20">
        <f>IF($C3385="","",Registro_Compras!$S$379)</f>
        <v/>
      </c>
      <c r="F3385" s="20">
        <f>""</f>
        <v/>
      </c>
      <c r="G3385">
        <f>IF($C3385="","","Por el deposito de la detraccion en el Banco de la Nacion")</f>
        <v/>
      </c>
      <c r="H3385">
        <f>IF($C3385="","",Registro_Compras!$C$379)</f>
        <v/>
      </c>
    </row>
    <row r="3386">
      <c r="A3386" s="25">
        <f>IF($C3386="","",Registro_Compras!$X$379)</f>
        <v/>
      </c>
      <c r="B3386">
        <f>IF($C3386="","","C"&amp;TEXT(INT((ROW()-5)/9)+1,"000")&amp;"-3")</f>
        <v/>
      </c>
      <c r="C3386">
        <f>IF(OR(Registro_Compras!$C$379="",Registro_Compras!$O$379="",Registro_Compras!$R$379&lt;&gt;"SI",Registro_Compras!$X$379=""),"","10413")</f>
        <v/>
      </c>
      <c r="D3386">
        <f>IF(OR(Registro_Compras!$C$379="",Registro_Compras!$O$379=""),"","Efectivo y Equivalentes - Cta. Cte. Operativa")</f>
        <v/>
      </c>
      <c r="E3386" s="20">
        <f>""</f>
        <v/>
      </c>
      <c r="F3386" s="20">
        <f>IF($C3386="","",Registro_Compras!$S$379)</f>
        <v/>
      </c>
      <c r="G3386">
        <f>IF($C3386="","","Por el deposito de la detraccion en el Banco de la Nacion")</f>
        <v/>
      </c>
      <c r="H3386">
        <f>IF($C3386="","",Registro_Compras!$C$379)</f>
        <v/>
      </c>
    </row>
    <row r="3387">
      <c r="A3387" s="25">
        <f>IF($C3387="","",Registro_Compras!$Y$379)</f>
        <v/>
      </c>
      <c r="B3387">
        <f>IF($C3387="","","C"&amp;TEXT(INT((ROW()-5)/9)+1,"000")&amp;"-4")</f>
        <v/>
      </c>
      <c r="C3387">
        <f>IF(OR(Registro_Compras!$C$379="",Registro_Compras!$O$379="",Registro_Compras!$Y$379="",Registro_Compras!$F$379="NOTA DE CREDITO"),"","4212")</f>
        <v/>
      </c>
      <c r="D3387">
        <f>IF(OR(Registro_Compras!$C$379="",Registro_Compras!$O$379=""),"","Cuentas por Pagar Comerciales - Terceros")</f>
        <v/>
      </c>
      <c r="E3387" s="20">
        <f>IF($C3387="","",IF(Registro_Compras!$F$379="RHE",(ROUND(Registro_Compras!$L$379*Registro_Compras!$N$379,2)-ROUND(Registro_Compras!$V$379*Registro_Compras!$N$379,2)),ROUND(Registro_Compras!$O$379-Registro_Compras!$S$379,2)))</f>
        <v/>
      </c>
      <c r="F3387" s="20">
        <f>""</f>
        <v/>
      </c>
      <c r="G3387">
        <f>IF($C3387="","","Por la cancelacion del saldo al proveedor")</f>
        <v/>
      </c>
      <c r="H3387">
        <f>IF($C3387="","",Registro_Compras!$C$379)</f>
        <v/>
      </c>
    </row>
    <row r="3388">
      <c r="A3388" s="25">
        <f>IF($C3388="","",Registro_Compras!$Y$379)</f>
        <v/>
      </c>
      <c r="B3388">
        <f>IF($C3388="","","C"&amp;TEXT(INT((ROW()-5)/9)+1,"000")&amp;"-4")</f>
        <v/>
      </c>
      <c r="C3388">
        <f>IF(OR(Registro_Compras!$C$379="",Registro_Compras!$O$379="",Registro_Compras!$Y$379="",Registro_Compras!$F$379="NOTA DE CREDITO"),"","10413")</f>
        <v/>
      </c>
      <c r="D3388">
        <f>IF(OR(Registro_Compras!$C$379="",Registro_Compras!$O$379=""),"","Efectivo y Equivalentes - Cta. Cte. Operativa")</f>
        <v/>
      </c>
      <c r="E3388" s="20">
        <f>""</f>
        <v/>
      </c>
      <c r="F3388" s="20">
        <f>IF($C3388="","",IF(Registro_Compras!$F$379="RHE",(ROUND(Registro_Compras!$L$379*Registro_Compras!$N$379,2)-ROUND(Registro_Compras!$V$379*Registro_Compras!$N$379,2)),ROUND(Registro_Compras!$O$379-Registro_Compras!$S$379,2)))</f>
        <v/>
      </c>
      <c r="G3388">
        <f>IF($C3388="","","Por la cancelacion del saldo al proveedor")</f>
        <v/>
      </c>
      <c r="H3388">
        <f>IF($C3388="","",Registro_Compras!$C$379)</f>
        <v/>
      </c>
    </row>
    <row r="3389">
      <c r="A3389" s="25">
        <f>IF($C3389="","",Registro_Compras!$B$380)</f>
        <v/>
      </c>
      <c r="B3389">
        <f>IF($C3389="","","C"&amp;TEXT(INT((ROW()-5)/9)+1,"000")&amp;"-1")</f>
        <v/>
      </c>
      <c r="C3389">
        <f>IF(OR(Registro_Compras!$C$380="",Registro_Compras!$O$380=""),"",IF(Registro_Compras!$F$380="NOTA DE CREDITO","4212",IF(Registro_Compras!$M$380="","63",Registro_Compras!$M$380)))</f>
        <v/>
      </c>
      <c r="D3389">
        <f>IF(OR(Registro_Compras!$C$380="",Registro_Compras!$O$380=""),"",IF(Registro_Compras!$F$380="NOTA DE CREDITO","Cuentas por Pagar Comerciales - Terceros (Emitidas)",IF(Registro_Compras!$F$380="RHE","Honorarios Profesionales - Servicios de Terceros","Gastos de Servicios Prestados por Terceros")))</f>
        <v/>
      </c>
      <c r="E3389" s="20">
        <f>IF($C3389="","",IF(Registro_Compras!$F$380="NOTA DE CREDITO",ABS(Registro_Compras!$O$380),IF(Registro_Compras!$F$380="RHE",ROUND(Registro_Compras!$L$380*Registro_Compras!$N$380,2),ROUND(Registro_Compras!$J$380*Registro_Compras!$N$380,2))))</f>
        <v/>
      </c>
      <c r="F3389" s="20">
        <f>""</f>
        <v/>
      </c>
      <c r="G3389">
        <f>IF($C3389="","",IF(Registro_Compras!$F$380="NOTA DE CREDITO","Por la nota de credito "&amp;Registro_Compras!$C$380&amp;" de "&amp;Registro_Compras!$E$380&amp;" [PATRON POR CONFIRMAR CON CONTADOR]",IF(Registro_Compras!$F$380="RHE","Por el registro del recibo por honorarios "&amp;Registro_Compras!$C$380&amp;" de "&amp;Registro_Compras!$E$380&amp;" [PATRON POR CONFIRMAR CON CONTADOR]","Por el registro de la factura "&amp;Registro_Compras!$C$380&amp;" de "&amp;Registro_Compras!$E$380)))</f>
        <v/>
      </c>
      <c r="H3389">
        <f>IF($C3389="","",Registro_Compras!$C$380)</f>
        <v/>
      </c>
    </row>
    <row r="3390">
      <c r="A3390" s="25">
        <f>IF($C3390="","",Registro_Compras!$B$380)</f>
        <v/>
      </c>
      <c r="B3390">
        <f>IF($C3390="","","C"&amp;TEXT(INT((ROW()-5)/9)+1,"000")&amp;"-1")</f>
        <v/>
      </c>
      <c r="C3390">
        <f>IF(OR(Registro_Compras!$C$380="",Registro_Compras!$O$380=""),"",IF(Registro_Compras!$F$380="RHE",IF(Registro_Compras!$V$380=0,"","40172"),IF(Registro_Compras!$F$380="NOTA DE CREDITO",IF(Registro_Compras!$M$380="","63",Registro_Compras!$M$380),IF(Registro_Compras!$K$380=0,"","40111"))))</f>
        <v/>
      </c>
      <c r="D3390">
        <f>IF(OR(Registro_Compras!$C$380="",Registro_Compras!$O$380=""),"",IF(Registro_Compras!$F$380="RHE","Retencion Renta 4ta Categoria por Pagar",IF(Registro_Compras!$F$380="NOTA DE CREDITO","Gastos de Servicios Prestados por Terceros","IGV - Cuenta Propia (Credito Fiscal)")))</f>
        <v/>
      </c>
      <c r="E3390" s="20">
        <f>IF($C3390="","",IF(Registro_Compras!$F$380="FACTURA",ROUND(Registro_Compras!$K$380*Registro_Compras!$N$380,2),""))</f>
        <v/>
      </c>
      <c r="F3390" s="20">
        <f>IF($C3390="","",IF(Registro_Compras!$F$380="RHE",ROUND(Registro_Compras!$V$380*Registro_Compras!$N$380,2),IF(Registro_Compras!$F$380="NOTA DE CREDITO",ROUND(ABS(Registro_Compras!$J$380*Registro_Compras!$N$380),2),"")))</f>
        <v/>
      </c>
      <c r="G3390">
        <f>IF($C3390="","",IF(Registro_Compras!$F$380="NOTA DE CREDITO","Por la nota de credito "&amp;Registro_Compras!$C$380&amp;" de "&amp;Registro_Compras!$E$380&amp;" [PATRON POR CONFIRMAR CON CONTADOR]",IF(Registro_Compras!$F$380="RHE","Por el registro del recibo por honorarios "&amp;Registro_Compras!$C$380&amp;" de "&amp;Registro_Compras!$E$380&amp;" [PATRON POR CONFIRMAR CON CONTADOR]","Por el registro de la factura "&amp;Registro_Compras!$C$380&amp;" de "&amp;Registro_Compras!$E$380)))</f>
        <v/>
      </c>
      <c r="H3390">
        <f>IF($C3390="","",Registro_Compras!$C$380)</f>
        <v/>
      </c>
    </row>
    <row r="3391">
      <c r="A3391" s="25">
        <f>IF($C3391="","",Registro_Compras!$B$380)</f>
        <v/>
      </c>
      <c r="B3391">
        <f>IF($C3391="","","C"&amp;TEXT(INT((ROW()-5)/9)+1,"000")&amp;"-1")</f>
        <v/>
      </c>
      <c r="C3391">
        <f>IF(OR(Registro_Compras!$C$380="",Registro_Compras!$O$380=""),"",IF(Registro_Compras!$F$380="NOTA DE CREDITO",IF(Registro_Compras!$K$380=0,"","40111"),"4212"))</f>
        <v/>
      </c>
      <c r="D3391">
        <f>IF(OR(Registro_Compras!$C$380="",Registro_Compras!$O$380=""),"",IF(Registro_Compras!$F$380="NOTA DE CREDITO","IGV - Cuenta Propia (Credito Fiscal)","Cuentas por Pagar Comerciales - Terceros (Emitidas)"))</f>
        <v/>
      </c>
      <c r="E3391" s="20">
        <f>""</f>
        <v/>
      </c>
      <c r="F3391" s="20">
        <f>IF($C3391="","",IF(Registro_Compras!$F$380="NOTA DE CREDITO",ROUND(ABS(Registro_Compras!$K$380*Registro_Compras!$N$380),2),IF(Registro_Compras!$F$380="RHE",(ROUND(Registro_Compras!$L$380*Registro_Compras!$N$380,2)-ROUND(Registro_Compras!$V$380*Registro_Compras!$N$380,2)),Registro_Compras!$O$380)))</f>
        <v/>
      </c>
      <c r="G3391">
        <f>IF($C3391="","",IF(Registro_Compras!$F$380="NOTA DE CREDITO","Por la nota de credito "&amp;Registro_Compras!$C$380&amp;" de "&amp;Registro_Compras!$E$380&amp;" [PATRON POR CONFIRMAR CON CONTADOR]",IF(Registro_Compras!$F$380="RHE","Por el registro del recibo por honorarios "&amp;Registro_Compras!$C$380&amp;" de "&amp;Registro_Compras!$E$380&amp;" [PATRON POR CONFIRMAR CON CONTADOR]","Por el registro de la factura "&amp;Registro_Compras!$C$380&amp;" de "&amp;Registro_Compras!$E$380)))</f>
        <v/>
      </c>
      <c r="H3391">
        <f>IF($C3391="","",Registro_Compras!$C$380)</f>
        <v/>
      </c>
    </row>
    <row r="3392">
      <c r="A3392" s="25">
        <f>IF($C3392="","",Registro_Compras!$B$380)</f>
        <v/>
      </c>
      <c r="B3392">
        <f>IF($C3392="","","C"&amp;TEXT(INT((ROW()-5)/9)+1,"000")&amp;"-2")</f>
        <v/>
      </c>
      <c r="C3392">
        <f>IF(OR(Registro_Compras!$C$380="",Registro_Compras!$O$380=""),"",IF(Registro_Compras!$AB$380="ADMINISTRATIVO","94","95"))</f>
        <v/>
      </c>
      <c r="D3392">
        <f>IF(OR(Registro_Compras!$C$380="",Registro_Compras!$O$380=""),"",IF(Registro_Compras!$AB$380="ADMINISTRATIVO","Gastos Administrativos","Gastos de Venta y Operacion"))</f>
        <v/>
      </c>
      <c r="E3392" s="20">
        <f>IF($C3392="","",IF(Registro_Compras!$F$380="NOTA DE CREDITO","",IF(Registro_Compras!$F$380="RHE",ROUND(Registro_Compras!$L$380*Registro_Compras!$N$380,2),ROUND(Registro_Compras!$J$380*Registro_Compras!$N$380,2))))</f>
        <v/>
      </c>
      <c r="F3392" s="20">
        <f>IF($C3392="","",IF(Registro_Compras!$F$380="NOTA DE CREDITO",ROUND(ABS(Registro_Compras!$J$380*Registro_Compras!$N$380),2),""))</f>
        <v/>
      </c>
      <c r="G3392">
        <f>IF($C3392="","","Por el destino del gasto")</f>
        <v/>
      </c>
      <c r="H3392">
        <f>IF($C3392="","",Registro_Compras!$C$380)</f>
        <v/>
      </c>
    </row>
    <row r="3393">
      <c r="A3393" s="25">
        <f>IF($C3393="","",Registro_Compras!$B$380)</f>
        <v/>
      </c>
      <c r="B3393">
        <f>IF($C3393="","","C"&amp;TEXT(INT((ROW()-5)/9)+1,"000")&amp;"-2")</f>
        <v/>
      </c>
      <c r="C3393">
        <f>IF(OR(Registro_Compras!$C$380="",Registro_Compras!$O$380=""),"","79/791")</f>
        <v/>
      </c>
      <c r="D3393">
        <f>IF(OR(Registro_Compras!$C$380="",Registro_Compras!$O$380=""),"","Cargas Imputables a Cuentas de Costos y Gastos")</f>
        <v/>
      </c>
      <c r="E3393" s="20">
        <f>IF($C3393="","",IF(Registro_Compras!$F$380="NOTA DE CREDITO",ROUND(ABS(Registro_Compras!$J$380*Registro_Compras!$N$380),2),""))</f>
        <v/>
      </c>
      <c r="F3393" s="20">
        <f>IF($C3393="","",IF(Registro_Compras!$F$380="NOTA DE CREDITO","",IF(Registro_Compras!$F$380="RHE",ROUND(Registro_Compras!$L$380*Registro_Compras!$N$380,2),ROUND(Registro_Compras!$J$380*Registro_Compras!$N$380,2))))</f>
        <v/>
      </c>
      <c r="G3393">
        <f>IF($C3393="","","Por el destino del gasto")</f>
        <v/>
      </c>
      <c r="H3393">
        <f>IF($C3393="","",Registro_Compras!$C$380)</f>
        <v/>
      </c>
    </row>
    <row r="3394">
      <c r="A3394" s="25">
        <f>IF($C3394="","",Registro_Compras!$X$380)</f>
        <v/>
      </c>
      <c r="B3394">
        <f>IF($C3394="","","C"&amp;TEXT(INT((ROW()-5)/9)+1,"000")&amp;"-3")</f>
        <v/>
      </c>
      <c r="C3394">
        <f>IF(OR(Registro_Compras!$C$380="",Registro_Compras!$O$380="",Registro_Compras!$R$380&lt;&gt;"SI",Registro_Compras!$X$380=""),"","4212")</f>
        <v/>
      </c>
      <c r="D3394">
        <f>IF(OR(Registro_Compras!$C$380="",Registro_Compras!$O$380=""),"","Cuentas por Pagar Comerciales - Terceros")</f>
        <v/>
      </c>
      <c r="E3394" s="20">
        <f>IF($C3394="","",Registro_Compras!$S$380)</f>
        <v/>
      </c>
      <c r="F3394" s="20">
        <f>""</f>
        <v/>
      </c>
      <c r="G3394">
        <f>IF($C3394="","","Por el deposito de la detraccion en el Banco de la Nacion")</f>
        <v/>
      </c>
      <c r="H3394">
        <f>IF($C3394="","",Registro_Compras!$C$380)</f>
        <v/>
      </c>
    </row>
    <row r="3395">
      <c r="A3395" s="25">
        <f>IF($C3395="","",Registro_Compras!$X$380)</f>
        <v/>
      </c>
      <c r="B3395">
        <f>IF($C3395="","","C"&amp;TEXT(INT((ROW()-5)/9)+1,"000")&amp;"-3")</f>
        <v/>
      </c>
      <c r="C3395">
        <f>IF(OR(Registro_Compras!$C$380="",Registro_Compras!$O$380="",Registro_Compras!$R$380&lt;&gt;"SI",Registro_Compras!$X$380=""),"","10413")</f>
        <v/>
      </c>
      <c r="D3395">
        <f>IF(OR(Registro_Compras!$C$380="",Registro_Compras!$O$380=""),"","Efectivo y Equivalentes - Cta. Cte. Operativa")</f>
        <v/>
      </c>
      <c r="E3395" s="20">
        <f>""</f>
        <v/>
      </c>
      <c r="F3395" s="20">
        <f>IF($C3395="","",Registro_Compras!$S$380)</f>
        <v/>
      </c>
      <c r="G3395">
        <f>IF($C3395="","","Por el deposito de la detraccion en el Banco de la Nacion")</f>
        <v/>
      </c>
      <c r="H3395">
        <f>IF($C3395="","",Registro_Compras!$C$380)</f>
        <v/>
      </c>
    </row>
    <row r="3396">
      <c r="A3396" s="25">
        <f>IF($C3396="","",Registro_Compras!$Y$380)</f>
        <v/>
      </c>
      <c r="B3396">
        <f>IF($C3396="","","C"&amp;TEXT(INT((ROW()-5)/9)+1,"000")&amp;"-4")</f>
        <v/>
      </c>
      <c r="C3396">
        <f>IF(OR(Registro_Compras!$C$380="",Registro_Compras!$O$380="",Registro_Compras!$Y$380="",Registro_Compras!$F$380="NOTA DE CREDITO"),"","4212")</f>
        <v/>
      </c>
      <c r="D3396">
        <f>IF(OR(Registro_Compras!$C$380="",Registro_Compras!$O$380=""),"","Cuentas por Pagar Comerciales - Terceros")</f>
        <v/>
      </c>
      <c r="E3396" s="20">
        <f>IF($C3396="","",IF(Registro_Compras!$F$380="RHE",(ROUND(Registro_Compras!$L$380*Registro_Compras!$N$380,2)-ROUND(Registro_Compras!$V$380*Registro_Compras!$N$380,2)),ROUND(Registro_Compras!$O$380-Registro_Compras!$S$380,2)))</f>
        <v/>
      </c>
      <c r="F3396" s="20">
        <f>""</f>
        <v/>
      </c>
      <c r="G3396">
        <f>IF($C3396="","","Por la cancelacion del saldo al proveedor")</f>
        <v/>
      </c>
      <c r="H3396">
        <f>IF($C3396="","",Registro_Compras!$C$380)</f>
        <v/>
      </c>
    </row>
    <row r="3397">
      <c r="A3397" s="25">
        <f>IF($C3397="","",Registro_Compras!$Y$380)</f>
        <v/>
      </c>
      <c r="B3397">
        <f>IF($C3397="","","C"&amp;TEXT(INT((ROW()-5)/9)+1,"000")&amp;"-4")</f>
        <v/>
      </c>
      <c r="C3397">
        <f>IF(OR(Registro_Compras!$C$380="",Registro_Compras!$O$380="",Registro_Compras!$Y$380="",Registro_Compras!$F$380="NOTA DE CREDITO"),"","10413")</f>
        <v/>
      </c>
      <c r="D3397">
        <f>IF(OR(Registro_Compras!$C$380="",Registro_Compras!$O$380=""),"","Efectivo y Equivalentes - Cta. Cte. Operativa")</f>
        <v/>
      </c>
      <c r="E3397" s="20">
        <f>""</f>
        <v/>
      </c>
      <c r="F3397" s="20">
        <f>IF($C3397="","",IF(Registro_Compras!$F$380="RHE",(ROUND(Registro_Compras!$L$380*Registro_Compras!$N$380,2)-ROUND(Registro_Compras!$V$380*Registro_Compras!$N$380,2)),ROUND(Registro_Compras!$O$380-Registro_Compras!$S$380,2)))</f>
        <v/>
      </c>
      <c r="G3397">
        <f>IF($C3397="","","Por la cancelacion del saldo al proveedor")</f>
        <v/>
      </c>
      <c r="H3397">
        <f>IF($C3397="","",Registro_Compras!$C$380)</f>
        <v/>
      </c>
    </row>
    <row r="3398">
      <c r="A3398" s="25">
        <f>IF($C3398="","",Registro_Compras!$B$381)</f>
        <v/>
      </c>
      <c r="B3398">
        <f>IF($C3398="","","C"&amp;TEXT(INT((ROW()-5)/9)+1,"000")&amp;"-1")</f>
        <v/>
      </c>
      <c r="C3398">
        <f>IF(OR(Registro_Compras!$C$381="",Registro_Compras!$O$381=""),"",IF(Registro_Compras!$F$381="NOTA DE CREDITO","4212",IF(Registro_Compras!$M$381="","63",Registro_Compras!$M$381)))</f>
        <v/>
      </c>
      <c r="D3398">
        <f>IF(OR(Registro_Compras!$C$381="",Registro_Compras!$O$381=""),"",IF(Registro_Compras!$F$381="NOTA DE CREDITO","Cuentas por Pagar Comerciales - Terceros (Emitidas)",IF(Registro_Compras!$F$381="RHE","Honorarios Profesionales - Servicios de Terceros","Gastos de Servicios Prestados por Terceros")))</f>
        <v/>
      </c>
      <c r="E3398" s="20">
        <f>IF($C3398="","",IF(Registro_Compras!$F$381="NOTA DE CREDITO",ABS(Registro_Compras!$O$381),IF(Registro_Compras!$F$381="RHE",ROUND(Registro_Compras!$L$381*Registro_Compras!$N$381,2),ROUND(Registro_Compras!$J$381*Registro_Compras!$N$381,2))))</f>
        <v/>
      </c>
      <c r="F3398" s="20">
        <f>""</f>
        <v/>
      </c>
      <c r="G3398">
        <f>IF($C3398="","",IF(Registro_Compras!$F$381="NOTA DE CREDITO","Por la nota de credito "&amp;Registro_Compras!$C$381&amp;" de "&amp;Registro_Compras!$E$381&amp;" [PATRON POR CONFIRMAR CON CONTADOR]",IF(Registro_Compras!$F$381="RHE","Por el registro del recibo por honorarios "&amp;Registro_Compras!$C$381&amp;" de "&amp;Registro_Compras!$E$381&amp;" [PATRON POR CONFIRMAR CON CONTADOR]","Por el registro de la factura "&amp;Registro_Compras!$C$381&amp;" de "&amp;Registro_Compras!$E$381)))</f>
        <v/>
      </c>
      <c r="H3398">
        <f>IF($C3398="","",Registro_Compras!$C$381)</f>
        <v/>
      </c>
    </row>
    <row r="3399">
      <c r="A3399" s="25">
        <f>IF($C3399="","",Registro_Compras!$B$381)</f>
        <v/>
      </c>
      <c r="B3399">
        <f>IF($C3399="","","C"&amp;TEXT(INT((ROW()-5)/9)+1,"000")&amp;"-1")</f>
        <v/>
      </c>
      <c r="C3399">
        <f>IF(OR(Registro_Compras!$C$381="",Registro_Compras!$O$381=""),"",IF(Registro_Compras!$F$381="RHE",IF(Registro_Compras!$V$381=0,"","40172"),IF(Registro_Compras!$F$381="NOTA DE CREDITO",IF(Registro_Compras!$M$381="","63",Registro_Compras!$M$381),IF(Registro_Compras!$K$381=0,"","40111"))))</f>
        <v/>
      </c>
      <c r="D3399">
        <f>IF(OR(Registro_Compras!$C$381="",Registro_Compras!$O$381=""),"",IF(Registro_Compras!$F$381="RHE","Retencion Renta 4ta Categoria por Pagar",IF(Registro_Compras!$F$381="NOTA DE CREDITO","Gastos de Servicios Prestados por Terceros","IGV - Cuenta Propia (Credito Fiscal)")))</f>
        <v/>
      </c>
      <c r="E3399" s="20">
        <f>IF($C3399="","",IF(Registro_Compras!$F$381="FACTURA",ROUND(Registro_Compras!$K$381*Registro_Compras!$N$381,2),""))</f>
        <v/>
      </c>
      <c r="F3399" s="20">
        <f>IF($C3399="","",IF(Registro_Compras!$F$381="RHE",ROUND(Registro_Compras!$V$381*Registro_Compras!$N$381,2),IF(Registro_Compras!$F$381="NOTA DE CREDITO",ROUND(ABS(Registro_Compras!$J$381*Registro_Compras!$N$381),2),"")))</f>
        <v/>
      </c>
      <c r="G3399">
        <f>IF($C3399="","",IF(Registro_Compras!$F$381="NOTA DE CREDITO","Por la nota de credito "&amp;Registro_Compras!$C$381&amp;" de "&amp;Registro_Compras!$E$381&amp;" [PATRON POR CONFIRMAR CON CONTADOR]",IF(Registro_Compras!$F$381="RHE","Por el registro del recibo por honorarios "&amp;Registro_Compras!$C$381&amp;" de "&amp;Registro_Compras!$E$381&amp;" [PATRON POR CONFIRMAR CON CONTADOR]","Por el registro de la factura "&amp;Registro_Compras!$C$381&amp;" de "&amp;Registro_Compras!$E$381)))</f>
        <v/>
      </c>
      <c r="H3399">
        <f>IF($C3399="","",Registro_Compras!$C$381)</f>
        <v/>
      </c>
    </row>
    <row r="3400">
      <c r="A3400" s="25">
        <f>IF($C3400="","",Registro_Compras!$B$381)</f>
        <v/>
      </c>
      <c r="B3400">
        <f>IF($C3400="","","C"&amp;TEXT(INT((ROW()-5)/9)+1,"000")&amp;"-1")</f>
        <v/>
      </c>
      <c r="C3400">
        <f>IF(OR(Registro_Compras!$C$381="",Registro_Compras!$O$381=""),"",IF(Registro_Compras!$F$381="NOTA DE CREDITO",IF(Registro_Compras!$K$381=0,"","40111"),"4212"))</f>
        <v/>
      </c>
      <c r="D3400">
        <f>IF(OR(Registro_Compras!$C$381="",Registro_Compras!$O$381=""),"",IF(Registro_Compras!$F$381="NOTA DE CREDITO","IGV - Cuenta Propia (Credito Fiscal)","Cuentas por Pagar Comerciales - Terceros (Emitidas)"))</f>
        <v/>
      </c>
      <c r="E3400" s="20">
        <f>""</f>
        <v/>
      </c>
      <c r="F3400" s="20">
        <f>IF($C3400="","",IF(Registro_Compras!$F$381="NOTA DE CREDITO",ROUND(ABS(Registro_Compras!$K$381*Registro_Compras!$N$381),2),IF(Registro_Compras!$F$381="RHE",(ROUND(Registro_Compras!$L$381*Registro_Compras!$N$381,2)-ROUND(Registro_Compras!$V$381*Registro_Compras!$N$381,2)),Registro_Compras!$O$381)))</f>
        <v/>
      </c>
      <c r="G3400">
        <f>IF($C3400="","",IF(Registro_Compras!$F$381="NOTA DE CREDITO","Por la nota de credito "&amp;Registro_Compras!$C$381&amp;" de "&amp;Registro_Compras!$E$381&amp;" [PATRON POR CONFIRMAR CON CONTADOR]",IF(Registro_Compras!$F$381="RHE","Por el registro del recibo por honorarios "&amp;Registro_Compras!$C$381&amp;" de "&amp;Registro_Compras!$E$381&amp;" [PATRON POR CONFIRMAR CON CONTADOR]","Por el registro de la factura "&amp;Registro_Compras!$C$381&amp;" de "&amp;Registro_Compras!$E$381)))</f>
        <v/>
      </c>
      <c r="H3400">
        <f>IF($C3400="","",Registro_Compras!$C$381)</f>
        <v/>
      </c>
    </row>
    <row r="3401">
      <c r="A3401" s="25">
        <f>IF($C3401="","",Registro_Compras!$B$381)</f>
        <v/>
      </c>
      <c r="B3401">
        <f>IF($C3401="","","C"&amp;TEXT(INT((ROW()-5)/9)+1,"000")&amp;"-2")</f>
        <v/>
      </c>
      <c r="C3401">
        <f>IF(OR(Registro_Compras!$C$381="",Registro_Compras!$O$381=""),"",IF(Registro_Compras!$AB$381="ADMINISTRATIVO","94","95"))</f>
        <v/>
      </c>
      <c r="D3401">
        <f>IF(OR(Registro_Compras!$C$381="",Registro_Compras!$O$381=""),"",IF(Registro_Compras!$AB$381="ADMINISTRATIVO","Gastos Administrativos","Gastos de Venta y Operacion"))</f>
        <v/>
      </c>
      <c r="E3401" s="20">
        <f>IF($C3401="","",IF(Registro_Compras!$F$381="NOTA DE CREDITO","",IF(Registro_Compras!$F$381="RHE",ROUND(Registro_Compras!$L$381*Registro_Compras!$N$381,2),ROUND(Registro_Compras!$J$381*Registro_Compras!$N$381,2))))</f>
        <v/>
      </c>
      <c r="F3401" s="20">
        <f>IF($C3401="","",IF(Registro_Compras!$F$381="NOTA DE CREDITO",ROUND(ABS(Registro_Compras!$J$381*Registro_Compras!$N$381),2),""))</f>
        <v/>
      </c>
      <c r="G3401">
        <f>IF($C3401="","","Por el destino del gasto")</f>
        <v/>
      </c>
      <c r="H3401">
        <f>IF($C3401="","",Registro_Compras!$C$381)</f>
        <v/>
      </c>
    </row>
    <row r="3402">
      <c r="A3402" s="25">
        <f>IF($C3402="","",Registro_Compras!$B$381)</f>
        <v/>
      </c>
      <c r="B3402">
        <f>IF($C3402="","","C"&amp;TEXT(INT((ROW()-5)/9)+1,"000")&amp;"-2")</f>
        <v/>
      </c>
      <c r="C3402">
        <f>IF(OR(Registro_Compras!$C$381="",Registro_Compras!$O$381=""),"","79/791")</f>
        <v/>
      </c>
      <c r="D3402">
        <f>IF(OR(Registro_Compras!$C$381="",Registro_Compras!$O$381=""),"","Cargas Imputables a Cuentas de Costos y Gastos")</f>
        <v/>
      </c>
      <c r="E3402" s="20">
        <f>IF($C3402="","",IF(Registro_Compras!$F$381="NOTA DE CREDITO",ROUND(ABS(Registro_Compras!$J$381*Registro_Compras!$N$381),2),""))</f>
        <v/>
      </c>
      <c r="F3402" s="20">
        <f>IF($C3402="","",IF(Registro_Compras!$F$381="NOTA DE CREDITO","",IF(Registro_Compras!$F$381="RHE",ROUND(Registro_Compras!$L$381*Registro_Compras!$N$381,2),ROUND(Registro_Compras!$J$381*Registro_Compras!$N$381,2))))</f>
        <v/>
      </c>
      <c r="G3402">
        <f>IF($C3402="","","Por el destino del gasto")</f>
        <v/>
      </c>
      <c r="H3402">
        <f>IF($C3402="","",Registro_Compras!$C$381)</f>
        <v/>
      </c>
    </row>
    <row r="3403">
      <c r="A3403" s="25">
        <f>IF($C3403="","",Registro_Compras!$X$381)</f>
        <v/>
      </c>
      <c r="B3403">
        <f>IF($C3403="","","C"&amp;TEXT(INT((ROW()-5)/9)+1,"000")&amp;"-3")</f>
        <v/>
      </c>
      <c r="C3403">
        <f>IF(OR(Registro_Compras!$C$381="",Registro_Compras!$O$381="",Registro_Compras!$R$381&lt;&gt;"SI",Registro_Compras!$X$381=""),"","4212")</f>
        <v/>
      </c>
      <c r="D3403">
        <f>IF(OR(Registro_Compras!$C$381="",Registro_Compras!$O$381=""),"","Cuentas por Pagar Comerciales - Terceros")</f>
        <v/>
      </c>
      <c r="E3403" s="20">
        <f>IF($C3403="","",Registro_Compras!$S$381)</f>
        <v/>
      </c>
      <c r="F3403" s="20">
        <f>""</f>
        <v/>
      </c>
      <c r="G3403">
        <f>IF($C3403="","","Por el deposito de la detraccion en el Banco de la Nacion")</f>
        <v/>
      </c>
      <c r="H3403">
        <f>IF($C3403="","",Registro_Compras!$C$381)</f>
        <v/>
      </c>
    </row>
    <row r="3404">
      <c r="A3404" s="25">
        <f>IF($C3404="","",Registro_Compras!$X$381)</f>
        <v/>
      </c>
      <c r="B3404">
        <f>IF($C3404="","","C"&amp;TEXT(INT((ROW()-5)/9)+1,"000")&amp;"-3")</f>
        <v/>
      </c>
      <c r="C3404">
        <f>IF(OR(Registro_Compras!$C$381="",Registro_Compras!$O$381="",Registro_Compras!$R$381&lt;&gt;"SI",Registro_Compras!$X$381=""),"","10413")</f>
        <v/>
      </c>
      <c r="D3404">
        <f>IF(OR(Registro_Compras!$C$381="",Registro_Compras!$O$381=""),"","Efectivo y Equivalentes - Cta. Cte. Operativa")</f>
        <v/>
      </c>
      <c r="E3404" s="20">
        <f>""</f>
        <v/>
      </c>
      <c r="F3404" s="20">
        <f>IF($C3404="","",Registro_Compras!$S$381)</f>
        <v/>
      </c>
      <c r="G3404">
        <f>IF($C3404="","","Por el deposito de la detraccion en el Banco de la Nacion")</f>
        <v/>
      </c>
      <c r="H3404">
        <f>IF($C3404="","",Registro_Compras!$C$381)</f>
        <v/>
      </c>
    </row>
    <row r="3405">
      <c r="A3405" s="25">
        <f>IF($C3405="","",Registro_Compras!$Y$381)</f>
        <v/>
      </c>
      <c r="B3405">
        <f>IF($C3405="","","C"&amp;TEXT(INT((ROW()-5)/9)+1,"000")&amp;"-4")</f>
        <v/>
      </c>
      <c r="C3405">
        <f>IF(OR(Registro_Compras!$C$381="",Registro_Compras!$O$381="",Registro_Compras!$Y$381="",Registro_Compras!$F$381="NOTA DE CREDITO"),"","4212")</f>
        <v/>
      </c>
      <c r="D3405">
        <f>IF(OR(Registro_Compras!$C$381="",Registro_Compras!$O$381=""),"","Cuentas por Pagar Comerciales - Terceros")</f>
        <v/>
      </c>
      <c r="E3405" s="20">
        <f>IF($C3405="","",IF(Registro_Compras!$F$381="RHE",(ROUND(Registro_Compras!$L$381*Registro_Compras!$N$381,2)-ROUND(Registro_Compras!$V$381*Registro_Compras!$N$381,2)),ROUND(Registro_Compras!$O$381-Registro_Compras!$S$381,2)))</f>
        <v/>
      </c>
      <c r="F3405" s="20">
        <f>""</f>
        <v/>
      </c>
      <c r="G3405">
        <f>IF($C3405="","","Por la cancelacion del saldo al proveedor")</f>
        <v/>
      </c>
      <c r="H3405">
        <f>IF($C3405="","",Registro_Compras!$C$381)</f>
        <v/>
      </c>
    </row>
    <row r="3406">
      <c r="A3406" s="25">
        <f>IF($C3406="","",Registro_Compras!$Y$381)</f>
        <v/>
      </c>
      <c r="B3406">
        <f>IF($C3406="","","C"&amp;TEXT(INT((ROW()-5)/9)+1,"000")&amp;"-4")</f>
        <v/>
      </c>
      <c r="C3406">
        <f>IF(OR(Registro_Compras!$C$381="",Registro_Compras!$O$381="",Registro_Compras!$Y$381="",Registro_Compras!$F$381="NOTA DE CREDITO"),"","10413")</f>
        <v/>
      </c>
      <c r="D3406">
        <f>IF(OR(Registro_Compras!$C$381="",Registro_Compras!$O$381=""),"","Efectivo y Equivalentes - Cta. Cte. Operativa")</f>
        <v/>
      </c>
      <c r="E3406" s="20">
        <f>""</f>
        <v/>
      </c>
      <c r="F3406" s="20">
        <f>IF($C3406="","",IF(Registro_Compras!$F$381="RHE",(ROUND(Registro_Compras!$L$381*Registro_Compras!$N$381,2)-ROUND(Registro_Compras!$V$381*Registro_Compras!$N$381,2)),ROUND(Registro_Compras!$O$381-Registro_Compras!$S$381,2)))</f>
        <v/>
      </c>
      <c r="G3406">
        <f>IF($C3406="","","Por la cancelacion del saldo al proveedor")</f>
        <v/>
      </c>
      <c r="H3406">
        <f>IF($C3406="","",Registro_Compras!$C$381)</f>
        <v/>
      </c>
    </row>
    <row r="3407">
      <c r="A3407" s="25">
        <f>IF($C3407="","",Registro_Compras!$B$382)</f>
        <v/>
      </c>
      <c r="B3407">
        <f>IF($C3407="","","C"&amp;TEXT(INT((ROW()-5)/9)+1,"000")&amp;"-1")</f>
        <v/>
      </c>
      <c r="C3407">
        <f>IF(OR(Registro_Compras!$C$382="",Registro_Compras!$O$382=""),"",IF(Registro_Compras!$F$382="NOTA DE CREDITO","4212",IF(Registro_Compras!$M$382="","63",Registro_Compras!$M$382)))</f>
        <v/>
      </c>
      <c r="D3407">
        <f>IF(OR(Registro_Compras!$C$382="",Registro_Compras!$O$382=""),"",IF(Registro_Compras!$F$382="NOTA DE CREDITO","Cuentas por Pagar Comerciales - Terceros (Emitidas)",IF(Registro_Compras!$F$382="RHE","Honorarios Profesionales - Servicios de Terceros","Gastos de Servicios Prestados por Terceros")))</f>
        <v/>
      </c>
      <c r="E3407" s="20">
        <f>IF($C3407="","",IF(Registro_Compras!$F$382="NOTA DE CREDITO",ABS(Registro_Compras!$O$382),IF(Registro_Compras!$F$382="RHE",ROUND(Registro_Compras!$L$382*Registro_Compras!$N$382,2),ROUND(Registro_Compras!$J$382*Registro_Compras!$N$382,2))))</f>
        <v/>
      </c>
      <c r="F3407" s="20">
        <f>""</f>
        <v/>
      </c>
      <c r="G3407">
        <f>IF($C3407="","",IF(Registro_Compras!$F$382="NOTA DE CREDITO","Por la nota de credito "&amp;Registro_Compras!$C$382&amp;" de "&amp;Registro_Compras!$E$382&amp;" [PATRON POR CONFIRMAR CON CONTADOR]",IF(Registro_Compras!$F$382="RHE","Por el registro del recibo por honorarios "&amp;Registro_Compras!$C$382&amp;" de "&amp;Registro_Compras!$E$382&amp;" [PATRON POR CONFIRMAR CON CONTADOR]","Por el registro de la factura "&amp;Registro_Compras!$C$382&amp;" de "&amp;Registro_Compras!$E$382)))</f>
        <v/>
      </c>
      <c r="H3407">
        <f>IF($C3407="","",Registro_Compras!$C$382)</f>
        <v/>
      </c>
    </row>
    <row r="3408">
      <c r="A3408" s="25">
        <f>IF($C3408="","",Registro_Compras!$B$382)</f>
        <v/>
      </c>
      <c r="B3408">
        <f>IF($C3408="","","C"&amp;TEXT(INT((ROW()-5)/9)+1,"000")&amp;"-1")</f>
        <v/>
      </c>
      <c r="C3408">
        <f>IF(OR(Registro_Compras!$C$382="",Registro_Compras!$O$382=""),"",IF(Registro_Compras!$F$382="RHE",IF(Registro_Compras!$V$382=0,"","40172"),IF(Registro_Compras!$F$382="NOTA DE CREDITO",IF(Registro_Compras!$M$382="","63",Registro_Compras!$M$382),IF(Registro_Compras!$K$382=0,"","40111"))))</f>
        <v/>
      </c>
      <c r="D3408">
        <f>IF(OR(Registro_Compras!$C$382="",Registro_Compras!$O$382=""),"",IF(Registro_Compras!$F$382="RHE","Retencion Renta 4ta Categoria por Pagar",IF(Registro_Compras!$F$382="NOTA DE CREDITO","Gastos de Servicios Prestados por Terceros","IGV - Cuenta Propia (Credito Fiscal)")))</f>
        <v/>
      </c>
      <c r="E3408" s="20">
        <f>IF($C3408="","",IF(Registro_Compras!$F$382="FACTURA",ROUND(Registro_Compras!$K$382*Registro_Compras!$N$382,2),""))</f>
        <v/>
      </c>
      <c r="F3408" s="20">
        <f>IF($C3408="","",IF(Registro_Compras!$F$382="RHE",ROUND(Registro_Compras!$V$382*Registro_Compras!$N$382,2),IF(Registro_Compras!$F$382="NOTA DE CREDITO",ROUND(ABS(Registro_Compras!$J$382*Registro_Compras!$N$382),2),"")))</f>
        <v/>
      </c>
      <c r="G3408">
        <f>IF($C3408="","",IF(Registro_Compras!$F$382="NOTA DE CREDITO","Por la nota de credito "&amp;Registro_Compras!$C$382&amp;" de "&amp;Registro_Compras!$E$382&amp;" [PATRON POR CONFIRMAR CON CONTADOR]",IF(Registro_Compras!$F$382="RHE","Por el registro del recibo por honorarios "&amp;Registro_Compras!$C$382&amp;" de "&amp;Registro_Compras!$E$382&amp;" [PATRON POR CONFIRMAR CON CONTADOR]","Por el registro de la factura "&amp;Registro_Compras!$C$382&amp;" de "&amp;Registro_Compras!$E$382)))</f>
        <v/>
      </c>
      <c r="H3408">
        <f>IF($C3408="","",Registro_Compras!$C$382)</f>
        <v/>
      </c>
    </row>
    <row r="3409">
      <c r="A3409" s="25">
        <f>IF($C3409="","",Registro_Compras!$B$382)</f>
        <v/>
      </c>
      <c r="B3409">
        <f>IF($C3409="","","C"&amp;TEXT(INT((ROW()-5)/9)+1,"000")&amp;"-1")</f>
        <v/>
      </c>
      <c r="C3409">
        <f>IF(OR(Registro_Compras!$C$382="",Registro_Compras!$O$382=""),"",IF(Registro_Compras!$F$382="NOTA DE CREDITO",IF(Registro_Compras!$K$382=0,"","40111"),"4212"))</f>
        <v/>
      </c>
      <c r="D3409">
        <f>IF(OR(Registro_Compras!$C$382="",Registro_Compras!$O$382=""),"",IF(Registro_Compras!$F$382="NOTA DE CREDITO","IGV - Cuenta Propia (Credito Fiscal)","Cuentas por Pagar Comerciales - Terceros (Emitidas)"))</f>
        <v/>
      </c>
      <c r="E3409" s="20">
        <f>""</f>
        <v/>
      </c>
      <c r="F3409" s="20">
        <f>IF($C3409="","",IF(Registro_Compras!$F$382="NOTA DE CREDITO",ROUND(ABS(Registro_Compras!$K$382*Registro_Compras!$N$382),2),IF(Registro_Compras!$F$382="RHE",(ROUND(Registro_Compras!$L$382*Registro_Compras!$N$382,2)-ROUND(Registro_Compras!$V$382*Registro_Compras!$N$382,2)),Registro_Compras!$O$382)))</f>
        <v/>
      </c>
      <c r="G3409">
        <f>IF($C3409="","",IF(Registro_Compras!$F$382="NOTA DE CREDITO","Por la nota de credito "&amp;Registro_Compras!$C$382&amp;" de "&amp;Registro_Compras!$E$382&amp;" [PATRON POR CONFIRMAR CON CONTADOR]",IF(Registro_Compras!$F$382="RHE","Por el registro del recibo por honorarios "&amp;Registro_Compras!$C$382&amp;" de "&amp;Registro_Compras!$E$382&amp;" [PATRON POR CONFIRMAR CON CONTADOR]","Por el registro de la factura "&amp;Registro_Compras!$C$382&amp;" de "&amp;Registro_Compras!$E$382)))</f>
        <v/>
      </c>
      <c r="H3409">
        <f>IF($C3409="","",Registro_Compras!$C$382)</f>
        <v/>
      </c>
    </row>
    <row r="3410">
      <c r="A3410" s="25">
        <f>IF($C3410="","",Registro_Compras!$B$382)</f>
        <v/>
      </c>
      <c r="B3410">
        <f>IF($C3410="","","C"&amp;TEXT(INT((ROW()-5)/9)+1,"000")&amp;"-2")</f>
        <v/>
      </c>
      <c r="C3410">
        <f>IF(OR(Registro_Compras!$C$382="",Registro_Compras!$O$382=""),"",IF(Registro_Compras!$AB$382="ADMINISTRATIVO","94","95"))</f>
        <v/>
      </c>
      <c r="D3410">
        <f>IF(OR(Registro_Compras!$C$382="",Registro_Compras!$O$382=""),"",IF(Registro_Compras!$AB$382="ADMINISTRATIVO","Gastos Administrativos","Gastos de Venta y Operacion"))</f>
        <v/>
      </c>
      <c r="E3410" s="20">
        <f>IF($C3410="","",IF(Registro_Compras!$F$382="NOTA DE CREDITO","",IF(Registro_Compras!$F$382="RHE",ROUND(Registro_Compras!$L$382*Registro_Compras!$N$382,2),ROUND(Registro_Compras!$J$382*Registro_Compras!$N$382,2))))</f>
        <v/>
      </c>
      <c r="F3410" s="20">
        <f>IF($C3410="","",IF(Registro_Compras!$F$382="NOTA DE CREDITO",ROUND(ABS(Registro_Compras!$J$382*Registro_Compras!$N$382),2),""))</f>
        <v/>
      </c>
      <c r="G3410">
        <f>IF($C3410="","","Por el destino del gasto")</f>
        <v/>
      </c>
      <c r="H3410">
        <f>IF($C3410="","",Registro_Compras!$C$382)</f>
        <v/>
      </c>
    </row>
    <row r="3411">
      <c r="A3411" s="25">
        <f>IF($C3411="","",Registro_Compras!$B$382)</f>
        <v/>
      </c>
      <c r="B3411">
        <f>IF($C3411="","","C"&amp;TEXT(INT((ROW()-5)/9)+1,"000")&amp;"-2")</f>
        <v/>
      </c>
      <c r="C3411">
        <f>IF(OR(Registro_Compras!$C$382="",Registro_Compras!$O$382=""),"","79/791")</f>
        <v/>
      </c>
      <c r="D3411">
        <f>IF(OR(Registro_Compras!$C$382="",Registro_Compras!$O$382=""),"","Cargas Imputables a Cuentas de Costos y Gastos")</f>
        <v/>
      </c>
      <c r="E3411" s="20">
        <f>IF($C3411="","",IF(Registro_Compras!$F$382="NOTA DE CREDITO",ROUND(ABS(Registro_Compras!$J$382*Registro_Compras!$N$382),2),""))</f>
        <v/>
      </c>
      <c r="F3411" s="20">
        <f>IF($C3411="","",IF(Registro_Compras!$F$382="NOTA DE CREDITO","",IF(Registro_Compras!$F$382="RHE",ROUND(Registro_Compras!$L$382*Registro_Compras!$N$382,2),ROUND(Registro_Compras!$J$382*Registro_Compras!$N$382,2))))</f>
        <v/>
      </c>
      <c r="G3411">
        <f>IF($C3411="","","Por el destino del gasto")</f>
        <v/>
      </c>
      <c r="H3411">
        <f>IF($C3411="","",Registro_Compras!$C$382)</f>
        <v/>
      </c>
    </row>
    <row r="3412">
      <c r="A3412" s="25">
        <f>IF($C3412="","",Registro_Compras!$X$382)</f>
        <v/>
      </c>
      <c r="B3412">
        <f>IF($C3412="","","C"&amp;TEXT(INT((ROW()-5)/9)+1,"000")&amp;"-3")</f>
        <v/>
      </c>
      <c r="C3412">
        <f>IF(OR(Registro_Compras!$C$382="",Registro_Compras!$O$382="",Registro_Compras!$R$382&lt;&gt;"SI",Registro_Compras!$X$382=""),"","4212")</f>
        <v/>
      </c>
      <c r="D3412">
        <f>IF(OR(Registro_Compras!$C$382="",Registro_Compras!$O$382=""),"","Cuentas por Pagar Comerciales - Terceros")</f>
        <v/>
      </c>
      <c r="E3412" s="20">
        <f>IF($C3412="","",Registro_Compras!$S$382)</f>
        <v/>
      </c>
      <c r="F3412" s="20">
        <f>""</f>
        <v/>
      </c>
      <c r="G3412">
        <f>IF($C3412="","","Por el deposito de la detraccion en el Banco de la Nacion")</f>
        <v/>
      </c>
      <c r="H3412">
        <f>IF($C3412="","",Registro_Compras!$C$382)</f>
        <v/>
      </c>
    </row>
    <row r="3413">
      <c r="A3413" s="25">
        <f>IF($C3413="","",Registro_Compras!$X$382)</f>
        <v/>
      </c>
      <c r="B3413">
        <f>IF($C3413="","","C"&amp;TEXT(INT((ROW()-5)/9)+1,"000")&amp;"-3")</f>
        <v/>
      </c>
      <c r="C3413">
        <f>IF(OR(Registro_Compras!$C$382="",Registro_Compras!$O$382="",Registro_Compras!$R$382&lt;&gt;"SI",Registro_Compras!$X$382=""),"","10413")</f>
        <v/>
      </c>
      <c r="D3413">
        <f>IF(OR(Registro_Compras!$C$382="",Registro_Compras!$O$382=""),"","Efectivo y Equivalentes - Cta. Cte. Operativa")</f>
        <v/>
      </c>
      <c r="E3413" s="20">
        <f>""</f>
        <v/>
      </c>
      <c r="F3413" s="20">
        <f>IF($C3413="","",Registro_Compras!$S$382)</f>
        <v/>
      </c>
      <c r="G3413">
        <f>IF($C3413="","","Por el deposito de la detraccion en el Banco de la Nacion")</f>
        <v/>
      </c>
      <c r="H3413">
        <f>IF($C3413="","",Registro_Compras!$C$382)</f>
        <v/>
      </c>
    </row>
    <row r="3414">
      <c r="A3414" s="25">
        <f>IF($C3414="","",Registro_Compras!$Y$382)</f>
        <v/>
      </c>
      <c r="B3414">
        <f>IF($C3414="","","C"&amp;TEXT(INT((ROW()-5)/9)+1,"000")&amp;"-4")</f>
        <v/>
      </c>
      <c r="C3414">
        <f>IF(OR(Registro_Compras!$C$382="",Registro_Compras!$O$382="",Registro_Compras!$Y$382="",Registro_Compras!$F$382="NOTA DE CREDITO"),"","4212")</f>
        <v/>
      </c>
      <c r="D3414">
        <f>IF(OR(Registro_Compras!$C$382="",Registro_Compras!$O$382=""),"","Cuentas por Pagar Comerciales - Terceros")</f>
        <v/>
      </c>
      <c r="E3414" s="20">
        <f>IF($C3414="","",IF(Registro_Compras!$F$382="RHE",(ROUND(Registro_Compras!$L$382*Registro_Compras!$N$382,2)-ROUND(Registro_Compras!$V$382*Registro_Compras!$N$382,2)),ROUND(Registro_Compras!$O$382-Registro_Compras!$S$382,2)))</f>
        <v/>
      </c>
      <c r="F3414" s="20">
        <f>""</f>
        <v/>
      </c>
      <c r="G3414">
        <f>IF($C3414="","","Por la cancelacion del saldo al proveedor")</f>
        <v/>
      </c>
      <c r="H3414">
        <f>IF($C3414="","",Registro_Compras!$C$382)</f>
        <v/>
      </c>
    </row>
    <row r="3415">
      <c r="A3415" s="25">
        <f>IF($C3415="","",Registro_Compras!$Y$382)</f>
        <v/>
      </c>
      <c r="B3415">
        <f>IF($C3415="","","C"&amp;TEXT(INT((ROW()-5)/9)+1,"000")&amp;"-4")</f>
        <v/>
      </c>
      <c r="C3415">
        <f>IF(OR(Registro_Compras!$C$382="",Registro_Compras!$O$382="",Registro_Compras!$Y$382="",Registro_Compras!$F$382="NOTA DE CREDITO"),"","10413")</f>
        <v/>
      </c>
      <c r="D3415">
        <f>IF(OR(Registro_Compras!$C$382="",Registro_Compras!$O$382=""),"","Efectivo y Equivalentes - Cta. Cte. Operativa")</f>
        <v/>
      </c>
      <c r="E3415" s="20">
        <f>""</f>
        <v/>
      </c>
      <c r="F3415" s="20">
        <f>IF($C3415="","",IF(Registro_Compras!$F$382="RHE",(ROUND(Registro_Compras!$L$382*Registro_Compras!$N$382,2)-ROUND(Registro_Compras!$V$382*Registro_Compras!$N$382,2)),ROUND(Registro_Compras!$O$382-Registro_Compras!$S$382,2)))</f>
        <v/>
      </c>
      <c r="G3415">
        <f>IF($C3415="","","Por la cancelacion del saldo al proveedor")</f>
        <v/>
      </c>
      <c r="H3415">
        <f>IF($C3415="","",Registro_Compras!$C$382)</f>
        <v/>
      </c>
    </row>
    <row r="3416">
      <c r="A3416" s="25">
        <f>IF($C3416="","",Registro_Compras!$B$383)</f>
        <v/>
      </c>
      <c r="B3416">
        <f>IF($C3416="","","C"&amp;TEXT(INT((ROW()-5)/9)+1,"000")&amp;"-1")</f>
        <v/>
      </c>
      <c r="C3416">
        <f>IF(OR(Registro_Compras!$C$383="",Registro_Compras!$O$383=""),"",IF(Registro_Compras!$F$383="NOTA DE CREDITO","4212",IF(Registro_Compras!$M$383="","63",Registro_Compras!$M$383)))</f>
        <v/>
      </c>
      <c r="D3416">
        <f>IF(OR(Registro_Compras!$C$383="",Registro_Compras!$O$383=""),"",IF(Registro_Compras!$F$383="NOTA DE CREDITO","Cuentas por Pagar Comerciales - Terceros (Emitidas)",IF(Registro_Compras!$F$383="RHE","Honorarios Profesionales - Servicios de Terceros","Gastos de Servicios Prestados por Terceros")))</f>
        <v/>
      </c>
      <c r="E3416" s="20">
        <f>IF($C3416="","",IF(Registro_Compras!$F$383="NOTA DE CREDITO",ABS(Registro_Compras!$O$383),IF(Registro_Compras!$F$383="RHE",ROUND(Registro_Compras!$L$383*Registro_Compras!$N$383,2),ROUND(Registro_Compras!$J$383*Registro_Compras!$N$383,2))))</f>
        <v/>
      </c>
      <c r="F3416" s="20">
        <f>""</f>
        <v/>
      </c>
      <c r="G3416">
        <f>IF($C3416="","",IF(Registro_Compras!$F$383="NOTA DE CREDITO","Por la nota de credito "&amp;Registro_Compras!$C$383&amp;" de "&amp;Registro_Compras!$E$383&amp;" [PATRON POR CONFIRMAR CON CONTADOR]",IF(Registro_Compras!$F$383="RHE","Por el registro del recibo por honorarios "&amp;Registro_Compras!$C$383&amp;" de "&amp;Registro_Compras!$E$383&amp;" [PATRON POR CONFIRMAR CON CONTADOR]","Por el registro de la factura "&amp;Registro_Compras!$C$383&amp;" de "&amp;Registro_Compras!$E$383)))</f>
        <v/>
      </c>
      <c r="H3416">
        <f>IF($C3416="","",Registro_Compras!$C$383)</f>
        <v/>
      </c>
    </row>
    <row r="3417">
      <c r="A3417" s="25">
        <f>IF($C3417="","",Registro_Compras!$B$383)</f>
        <v/>
      </c>
      <c r="B3417">
        <f>IF($C3417="","","C"&amp;TEXT(INT((ROW()-5)/9)+1,"000")&amp;"-1")</f>
        <v/>
      </c>
      <c r="C3417">
        <f>IF(OR(Registro_Compras!$C$383="",Registro_Compras!$O$383=""),"",IF(Registro_Compras!$F$383="RHE",IF(Registro_Compras!$V$383=0,"","40172"),IF(Registro_Compras!$F$383="NOTA DE CREDITO",IF(Registro_Compras!$M$383="","63",Registro_Compras!$M$383),IF(Registro_Compras!$K$383=0,"","40111"))))</f>
        <v/>
      </c>
      <c r="D3417">
        <f>IF(OR(Registro_Compras!$C$383="",Registro_Compras!$O$383=""),"",IF(Registro_Compras!$F$383="RHE","Retencion Renta 4ta Categoria por Pagar",IF(Registro_Compras!$F$383="NOTA DE CREDITO","Gastos de Servicios Prestados por Terceros","IGV - Cuenta Propia (Credito Fiscal)")))</f>
        <v/>
      </c>
      <c r="E3417" s="20">
        <f>IF($C3417="","",IF(Registro_Compras!$F$383="FACTURA",ROUND(Registro_Compras!$K$383*Registro_Compras!$N$383,2),""))</f>
        <v/>
      </c>
      <c r="F3417" s="20">
        <f>IF($C3417="","",IF(Registro_Compras!$F$383="RHE",ROUND(Registro_Compras!$V$383*Registro_Compras!$N$383,2),IF(Registro_Compras!$F$383="NOTA DE CREDITO",ROUND(ABS(Registro_Compras!$J$383*Registro_Compras!$N$383),2),"")))</f>
        <v/>
      </c>
      <c r="G3417">
        <f>IF($C3417="","",IF(Registro_Compras!$F$383="NOTA DE CREDITO","Por la nota de credito "&amp;Registro_Compras!$C$383&amp;" de "&amp;Registro_Compras!$E$383&amp;" [PATRON POR CONFIRMAR CON CONTADOR]",IF(Registro_Compras!$F$383="RHE","Por el registro del recibo por honorarios "&amp;Registro_Compras!$C$383&amp;" de "&amp;Registro_Compras!$E$383&amp;" [PATRON POR CONFIRMAR CON CONTADOR]","Por el registro de la factura "&amp;Registro_Compras!$C$383&amp;" de "&amp;Registro_Compras!$E$383)))</f>
        <v/>
      </c>
      <c r="H3417">
        <f>IF($C3417="","",Registro_Compras!$C$383)</f>
        <v/>
      </c>
    </row>
    <row r="3418">
      <c r="A3418" s="25">
        <f>IF($C3418="","",Registro_Compras!$B$383)</f>
        <v/>
      </c>
      <c r="B3418">
        <f>IF($C3418="","","C"&amp;TEXT(INT((ROW()-5)/9)+1,"000")&amp;"-1")</f>
        <v/>
      </c>
      <c r="C3418">
        <f>IF(OR(Registro_Compras!$C$383="",Registro_Compras!$O$383=""),"",IF(Registro_Compras!$F$383="NOTA DE CREDITO",IF(Registro_Compras!$K$383=0,"","40111"),"4212"))</f>
        <v/>
      </c>
      <c r="D3418">
        <f>IF(OR(Registro_Compras!$C$383="",Registro_Compras!$O$383=""),"",IF(Registro_Compras!$F$383="NOTA DE CREDITO","IGV - Cuenta Propia (Credito Fiscal)","Cuentas por Pagar Comerciales - Terceros (Emitidas)"))</f>
        <v/>
      </c>
      <c r="E3418" s="20">
        <f>""</f>
        <v/>
      </c>
      <c r="F3418" s="20">
        <f>IF($C3418="","",IF(Registro_Compras!$F$383="NOTA DE CREDITO",ROUND(ABS(Registro_Compras!$K$383*Registro_Compras!$N$383),2),IF(Registro_Compras!$F$383="RHE",(ROUND(Registro_Compras!$L$383*Registro_Compras!$N$383,2)-ROUND(Registro_Compras!$V$383*Registro_Compras!$N$383,2)),Registro_Compras!$O$383)))</f>
        <v/>
      </c>
      <c r="G3418">
        <f>IF($C3418="","",IF(Registro_Compras!$F$383="NOTA DE CREDITO","Por la nota de credito "&amp;Registro_Compras!$C$383&amp;" de "&amp;Registro_Compras!$E$383&amp;" [PATRON POR CONFIRMAR CON CONTADOR]",IF(Registro_Compras!$F$383="RHE","Por el registro del recibo por honorarios "&amp;Registro_Compras!$C$383&amp;" de "&amp;Registro_Compras!$E$383&amp;" [PATRON POR CONFIRMAR CON CONTADOR]","Por el registro de la factura "&amp;Registro_Compras!$C$383&amp;" de "&amp;Registro_Compras!$E$383)))</f>
        <v/>
      </c>
      <c r="H3418">
        <f>IF($C3418="","",Registro_Compras!$C$383)</f>
        <v/>
      </c>
    </row>
    <row r="3419">
      <c r="A3419" s="25">
        <f>IF($C3419="","",Registro_Compras!$B$383)</f>
        <v/>
      </c>
      <c r="B3419">
        <f>IF($C3419="","","C"&amp;TEXT(INT((ROW()-5)/9)+1,"000")&amp;"-2")</f>
        <v/>
      </c>
      <c r="C3419">
        <f>IF(OR(Registro_Compras!$C$383="",Registro_Compras!$O$383=""),"",IF(Registro_Compras!$AB$383="ADMINISTRATIVO","94","95"))</f>
        <v/>
      </c>
      <c r="D3419">
        <f>IF(OR(Registro_Compras!$C$383="",Registro_Compras!$O$383=""),"",IF(Registro_Compras!$AB$383="ADMINISTRATIVO","Gastos Administrativos","Gastos de Venta y Operacion"))</f>
        <v/>
      </c>
      <c r="E3419" s="20">
        <f>IF($C3419="","",IF(Registro_Compras!$F$383="NOTA DE CREDITO","",IF(Registro_Compras!$F$383="RHE",ROUND(Registro_Compras!$L$383*Registro_Compras!$N$383,2),ROUND(Registro_Compras!$J$383*Registro_Compras!$N$383,2))))</f>
        <v/>
      </c>
      <c r="F3419" s="20">
        <f>IF($C3419="","",IF(Registro_Compras!$F$383="NOTA DE CREDITO",ROUND(ABS(Registro_Compras!$J$383*Registro_Compras!$N$383),2),""))</f>
        <v/>
      </c>
      <c r="G3419">
        <f>IF($C3419="","","Por el destino del gasto")</f>
        <v/>
      </c>
      <c r="H3419">
        <f>IF($C3419="","",Registro_Compras!$C$383)</f>
        <v/>
      </c>
    </row>
    <row r="3420">
      <c r="A3420" s="25">
        <f>IF($C3420="","",Registro_Compras!$B$383)</f>
        <v/>
      </c>
      <c r="B3420">
        <f>IF($C3420="","","C"&amp;TEXT(INT((ROW()-5)/9)+1,"000")&amp;"-2")</f>
        <v/>
      </c>
      <c r="C3420">
        <f>IF(OR(Registro_Compras!$C$383="",Registro_Compras!$O$383=""),"","79/791")</f>
        <v/>
      </c>
      <c r="D3420">
        <f>IF(OR(Registro_Compras!$C$383="",Registro_Compras!$O$383=""),"","Cargas Imputables a Cuentas de Costos y Gastos")</f>
        <v/>
      </c>
      <c r="E3420" s="20">
        <f>IF($C3420="","",IF(Registro_Compras!$F$383="NOTA DE CREDITO",ROUND(ABS(Registro_Compras!$J$383*Registro_Compras!$N$383),2),""))</f>
        <v/>
      </c>
      <c r="F3420" s="20">
        <f>IF($C3420="","",IF(Registro_Compras!$F$383="NOTA DE CREDITO","",IF(Registro_Compras!$F$383="RHE",ROUND(Registro_Compras!$L$383*Registro_Compras!$N$383,2),ROUND(Registro_Compras!$J$383*Registro_Compras!$N$383,2))))</f>
        <v/>
      </c>
      <c r="G3420">
        <f>IF($C3420="","","Por el destino del gasto")</f>
        <v/>
      </c>
      <c r="H3420">
        <f>IF($C3420="","",Registro_Compras!$C$383)</f>
        <v/>
      </c>
    </row>
    <row r="3421">
      <c r="A3421" s="25">
        <f>IF($C3421="","",Registro_Compras!$X$383)</f>
        <v/>
      </c>
      <c r="B3421">
        <f>IF($C3421="","","C"&amp;TEXT(INT((ROW()-5)/9)+1,"000")&amp;"-3")</f>
        <v/>
      </c>
      <c r="C3421">
        <f>IF(OR(Registro_Compras!$C$383="",Registro_Compras!$O$383="",Registro_Compras!$R$383&lt;&gt;"SI",Registro_Compras!$X$383=""),"","4212")</f>
        <v/>
      </c>
      <c r="D3421">
        <f>IF(OR(Registro_Compras!$C$383="",Registro_Compras!$O$383=""),"","Cuentas por Pagar Comerciales - Terceros")</f>
        <v/>
      </c>
      <c r="E3421" s="20">
        <f>IF($C3421="","",Registro_Compras!$S$383)</f>
        <v/>
      </c>
      <c r="F3421" s="20">
        <f>""</f>
        <v/>
      </c>
      <c r="G3421">
        <f>IF($C3421="","","Por el deposito de la detraccion en el Banco de la Nacion")</f>
        <v/>
      </c>
      <c r="H3421">
        <f>IF($C3421="","",Registro_Compras!$C$383)</f>
        <v/>
      </c>
    </row>
    <row r="3422">
      <c r="A3422" s="25">
        <f>IF($C3422="","",Registro_Compras!$X$383)</f>
        <v/>
      </c>
      <c r="B3422">
        <f>IF($C3422="","","C"&amp;TEXT(INT((ROW()-5)/9)+1,"000")&amp;"-3")</f>
        <v/>
      </c>
      <c r="C3422">
        <f>IF(OR(Registro_Compras!$C$383="",Registro_Compras!$O$383="",Registro_Compras!$R$383&lt;&gt;"SI",Registro_Compras!$X$383=""),"","10413")</f>
        <v/>
      </c>
      <c r="D3422">
        <f>IF(OR(Registro_Compras!$C$383="",Registro_Compras!$O$383=""),"","Efectivo y Equivalentes - Cta. Cte. Operativa")</f>
        <v/>
      </c>
      <c r="E3422" s="20">
        <f>""</f>
        <v/>
      </c>
      <c r="F3422" s="20">
        <f>IF($C3422="","",Registro_Compras!$S$383)</f>
        <v/>
      </c>
      <c r="G3422">
        <f>IF($C3422="","","Por el deposito de la detraccion en el Banco de la Nacion")</f>
        <v/>
      </c>
      <c r="H3422">
        <f>IF($C3422="","",Registro_Compras!$C$383)</f>
        <v/>
      </c>
    </row>
    <row r="3423">
      <c r="A3423" s="25">
        <f>IF($C3423="","",Registro_Compras!$Y$383)</f>
        <v/>
      </c>
      <c r="B3423">
        <f>IF($C3423="","","C"&amp;TEXT(INT((ROW()-5)/9)+1,"000")&amp;"-4")</f>
        <v/>
      </c>
      <c r="C3423">
        <f>IF(OR(Registro_Compras!$C$383="",Registro_Compras!$O$383="",Registro_Compras!$Y$383="",Registro_Compras!$F$383="NOTA DE CREDITO"),"","4212")</f>
        <v/>
      </c>
      <c r="D3423">
        <f>IF(OR(Registro_Compras!$C$383="",Registro_Compras!$O$383=""),"","Cuentas por Pagar Comerciales - Terceros")</f>
        <v/>
      </c>
      <c r="E3423" s="20">
        <f>IF($C3423="","",IF(Registro_Compras!$F$383="RHE",(ROUND(Registro_Compras!$L$383*Registro_Compras!$N$383,2)-ROUND(Registro_Compras!$V$383*Registro_Compras!$N$383,2)),ROUND(Registro_Compras!$O$383-Registro_Compras!$S$383,2)))</f>
        <v/>
      </c>
      <c r="F3423" s="20">
        <f>""</f>
        <v/>
      </c>
      <c r="G3423">
        <f>IF($C3423="","","Por la cancelacion del saldo al proveedor")</f>
        <v/>
      </c>
      <c r="H3423">
        <f>IF($C3423="","",Registro_Compras!$C$383)</f>
        <v/>
      </c>
    </row>
    <row r="3424">
      <c r="A3424" s="25">
        <f>IF($C3424="","",Registro_Compras!$Y$383)</f>
        <v/>
      </c>
      <c r="B3424">
        <f>IF($C3424="","","C"&amp;TEXT(INT((ROW()-5)/9)+1,"000")&amp;"-4")</f>
        <v/>
      </c>
      <c r="C3424">
        <f>IF(OR(Registro_Compras!$C$383="",Registro_Compras!$O$383="",Registro_Compras!$Y$383="",Registro_Compras!$F$383="NOTA DE CREDITO"),"","10413")</f>
        <v/>
      </c>
      <c r="D3424">
        <f>IF(OR(Registro_Compras!$C$383="",Registro_Compras!$O$383=""),"","Efectivo y Equivalentes - Cta. Cte. Operativa")</f>
        <v/>
      </c>
      <c r="E3424" s="20">
        <f>""</f>
        <v/>
      </c>
      <c r="F3424" s="20">
        <f>IF($C3424="","",IF(Registro_Compras!$F$383="RHE",(ROUND(Registro_Compras!$L$383*Registro_Compras!$N$383,2)-ROUND(Registro_Compras!$V$383*Registro_Compras!$N$383,2)),ROUND(Registro_Compras!$O$383-Registro_Compras!$S$383,2)))</f>
        <v/>
      </c>
      <c r="G3424">
        <f>IF($C3424="","","Por la cancelacion del saldo al proveedor")</f>
        <v/>
      </c>
      <c r="H3424">
        <f>IF($C3424="","",Registro_Compras!$C$383)</f>
        <v/>
      </c>
    </row>
    <row r="3425">
      <c r="A3425" s="25">
        <f>IF($C3425="","",Registro_Compras!$B$384)</f>
        <v/>
      </c>
      <c r="B3425">
        <f>IF($C3425="","","C"&amp;TEXT(INT((ROW()-5)/9)+1,"000")&amp;"-1")</f>
        <v/>
      </c>
      <c r="C3425">
        <f>IF(OR(Registro_Compras!$C$384="",Registro_Compras!$O$384=""),"",IF(Registro_Compras!$F$384="NOTA DE CREDITO","4212",IF(Registro_Compras!$M$384="","63",Registro_Compras!$M$384)))</f>
        <v/>
      </c>
      <c r="D3425">
        <f>IF(OR(Registro_Compras!$C$384="",Registro_Compras!$O$384=""),"",IF(Registro_Compras!$F$384="NOTA DE CREDITO","Cuentas por Pagar Comerciales - Terceros (Emitidas)",IF(Registro_Compras!$F$384="RHE","Honorarios Profesionales - Servicios de Terceros","Gastos de Servicios Prestados por Terceros")))</f>
        <v/>
      </c>
      <c r="E3425" s="20">
        <f>IF($C3425="","",IF(Registro_Compras!$F$384="NOTA DE CREDITO",ABS(Registro_Compras!$O$384),IF(Registro_Compras!$F$384="RHE",ROUND(Registro_Compras!$L$384*Registro_Compras!$N$384,2),ROUND(Registro_Compras!$J$384*Registro_Compras!$N$384,2))))</f>
        <v/>
      </c>
      <c r="F3425" s="20">
        <f>""</f>
        <v/>
      </c>
      <c r="G3425">
        <f>IF($C3425="","",IF(Registro_Compras!$F$384="NOTA DE CREDITO","Por la nota de credito "&amp;Registro_Compras!$C$384&amp;" de "&amp;Registro_Compras!$E$384&amp;" [PATRON POR CONFIRMAR CON CONTADOR]",IF(Registro_Compras!$F$384="RHE","Por el registro del recibo por honorarios "&amp;Registro_Compras!$C$384&amp;" de "&amp;Registro_Compras!$E$384&amp;" [PATRON POR CONFIRMAR CON CONTADOR]","Por el registro de la factura "&amp;Registro_Compras!$C$384&amp;" de "&amp;Registro_Compras!$E$384)))</f>
        <v/>
      </c>
      <c r="H3425">
        <f>IF($C3425="","",Registro_Compras!$C$384)</f>
        <v/>
      </c>
    </row>
    <row r="3426">
      <c r="A3426" s="25">
        <f>IF($C3426="","",Registro_Compras!$B$384)</f>
        <v/>
      </c>
      <c r="B3426">
        <f>IF($C3426="","","C"&amp;TEXT(INT((ROW()-5)/9)+1,"000")&amp;"-1")</f>
        <v/>
      </c>
      <c r="C3426">
        <f>IF(OR(Registro_Compras!$C$384="",Registro_Compras!$O$384=""),"",IF(Registro_Compras!$F$384="RHE",IF(Registro_Compras!$V$384=0,"","40172"),IF(Registro_Compras!$F$384="NOTA DE CREDITO",IF(Registro_Compras!$M$384="","63",Registro_Compras!$M$384),IF(Registro_Compras!$K$384=0,"","40111"))))</f>
        <v/>
      </c>
      <c r="D3426">
        <f>IF(OR(Registro_Compras!$C$384="",Registro_Compras!$O$384=""),"",IF(Registro_Compras!$F$384="RHE","Retencion Renta 4ta Categoria por Pagar",IF(Registro_Compras!$F$384="NOTA DE CREDITO","Gastos de Servicios Prestados por Terceros","IGV - Cuenta Propia (Credito Fiscal)")))</f>
        <v/>
      </c>
      <c r="E3426" s="20">
        <f>IF($C3426="","",IF(Registro_Compras!$F$384="FACTURA",ROUND(Registro_Compras!$K$384*Registro_Compras!$N$384,2),""))</f>
        <v/>
      </c>
      <c r="F3426" s="20">
        <f>IF($C3426="","",IF(Registro_Compras!$F$384="RHE",ROUND(Registro_Compras!$V$384*Registro_Compras!$N$384,2),IF(Registro_Compras!$F$384="NOTA DE CREDITO",ROUND(ABS(Registro_Compras!$J$384*Registro_Compras!$N$384),2),"")))</f>
        <v/>
      </c>
      <c r="G3426">
        <f>IF($C3426="","",IF(Registro_Compras!$F$384="NOTA DE CREDITO","Por la nota de credito "&amp;Registro_Compras!$C$384&amp;" de "&amp;Registro_Compras!$E$384&amp;" [PATRON POR CONFIRMAR CON CONTADOR]",IF(Registro_Compras!$F$384="RHE","Por el registro del recibo por honorarios "&amp;Registro_Compras!$C$384&amp;" de "&amp;Registro_Compras!$E$384&amp;" [PATRON POR CONFIRMAR CON CONTADOR]","Por el registro de la factura "&amp;Registro_Compras!$C$384&amp;" de "&amp;Registro_Compras!$E$384)))</f>
        <v/>
      </c>
      <c r="H3426">
        <f>IF($C3426="","",Registro_Compras!$C$384)</f>
        <v/>
      </c>
    </row>
    <row r="3427">
      <c r="A3427" s="25">
        <f>IF($C3427="","",Registro_Compras!$B$384)</f>
        <v/>
      </c>
      <c r="B3427">
        <f>IF($C3427="","","C"&amp;TEXT(INT((ROW()-5)/9)+1,"000")&amp;"-1")</f>
        <v/>
      </c>
      <c r="C3427">
        <f>IF(OR(Registro_Compras!$C$384="",Registro_Compras!$O$384=""),"",IF(Registro_Compras!$F$384="NOTA DE CREDITO",IF(Registro_Compras!$K$384=0,"","40111"),"4212"))</f>
        <v/>
      </c>
      <c r="D3427">
        <f>IF(OR(Registro_Compras!$C$384="",Registro_Compras!$O$384=""),"",IF(Registro_Compras!$F$384="NOTA DE CREDITO","IGV - Cuenta Propia (Credito Fiscal)","Cuentas por Pagar Comerciales - Terceros (Emitidas)"))</f>
        <v/>
      </c>
      <c r="E3427" s="20">
        <f>""</f>
        <v/>
      </c>
      <c r="F3427" s="20">
        <f>IF($C3427="","",IF(Registro_Compras!$F$384="NOTA DE CREDITO",ROUND(ABS(Registro_Compras!$K$384*Registro_Compras!$N$384),2),IF(Registro_Compras!$F$384="RHE",(ROUND(Registro_Compras!$L$384*Registro_Compras!$N$384,2)-ROUND(Registro_Compras!$V$384*Registro_Compras!$N$384,2)),Registro_Compras!$O$384)))</f>
        <v/>
      </c>
      <c r="G3427">
        <f>IF($C3427="","",IF(Registro_Compras!$F$384="NOTA DE CREDITO","Por la nota de credito "&amp;Registro_Compras!$C$384&amp;" de "&amp;Registro_Compras!$E$384&amp;" [PATRON POR CONFIRMAR CON CONTADOR]",IF(Registro_Compras!$F$384="RHE","Por el registro del recibo por honorarios "&amp;Registro_Compras!$C$384&amp;" de "&amp;Registro_Compras!$E$384&amp;" [PATRON POR CONFIRMAR CON CONTADOR]","Por el registro de la factura "&amp;Registro_Compras!$C$384&amp;" de "&amp;Registro_Compras!$E$384)))</f>
        <v/>
      </c>
      <c r="H3427">
        <f>IF($C3427="","",Registro_Compras!$C$384)</f>
        <v/>
      </c>
    </row>
    <row r="3428">
      <c r="A3428" s="25">
        <f>IF($C3428="","",Registro_Compras!$B$384)</f>
        <v/>
      </c>
      <c r="B3428">
        <f>IF($C3428="","","C"&amp;TEXT(INT((ROW()-5)/9)+1,"000")&amp;"-2")</f>
        <v/>
      </c>
      <c r="C3428">
        <f>IF(OR(Registro_Compras!$C$384="",Registro_Compras!$O$384=""),"",IF(Registro_Compras!$AB$384="ADMINISTRATIVO","94","95"))</f>
        <v/>
      </c>
      <c r="D3428">
        <f>IF(OR(Registro_Compras!$C$384="",Registro_Compras!$O$384=""),"",IF(Registro_Compras!$AB$384="ADMINISTRATIVO","Gastos Administrativos","Gastos de Venta y Operacion"))</f>
        <v/>
      </c>
      <c r="E3428" s="20">
        <f>IF($C3428="","",IF(Registro_Compras!$F$384="NOTA DE CREDITO","",IF(Registro_Compras!$F$384="RHE",ROUND(Registro_Compras!$L$384*Registro_Compras!$N$384,2),ROUND(Registro_Compras!$J$384*Registro_Compras!$N$384,2))))</f>
        <v/>
      </c>
      <c r="F3428" s="20">
        <f>IF($C3428="","",IF(Registro_Compras!$F$384="NOTA DE CREDITO",ROUND(ABS(Registro_Compras!$J$384*Registro_Compras!$N$384),2),""))</f>
        <v/>
      </c>
      <c r="G3428">
        <f>IF($C3428="","","Por el destino del gasto")</f>
        <v/>
      </c>
      <c r="H3428">
        <f>IF($C3428="","",Registro_Compras!$C$384)</f>
        <v/>
      </c>
    </row>
    <row r="3429">
      <c r="A3429" s="25">
        <f>IF($C3429="","",Registro_Compras!$B$384)</f>
        <v/>
      </c>
      <c r="B3429">
        <f>IF($C3429="","","C"&amp;TEXT(INT((ROW()-5)/9)+1,"000")&amp;"-2")</f>
        <v/>
      </c>
      <c r="C3429">
        <f>IF(OR(Registro_Compras!$C$384="",Registro_Compras!$O$384=""),"","79/791")</f>
        <v/>
      </c>
      <c r="D3429">
        <f>IF(OR(Registro_Compras!$C$384="",Registro_Compras!$O$384=""),"","Cargas Imputables a Cuentas de Costos y Gastos")</f>
        <v/>
      </c>
      <c r="E3429" s="20">
        <f>IF($C3429="","",IF(Registro_Compras!$F$384="NOTA DE CREDITO",ROUND(ABS(Registro_Compras!$J$384*Registro_Compras!$N$384),2),""))</f>
        <v/>
      </c>
      <c r="F3429" s="20">
        <f>IF($C3429="","",IF(Registro_Compras!$F$384="NOTA DE CREDITO","",IF(Registro_Compras!$F$384="RHE",ROUND(Registro_Compras!$L$384*Registro_Compras!$N$384,2),ROUND(Registro_Compras!$J$384*Registro_Compras!$N$384,2))))</f>
        <v/>
      </c>
      <c r="G3429">
        <f>IF($C3429="","","Por el destino del gasto")</f>
        <v/>
      </c>
      <c r="H3429">
        <f>IF($C3429="","",Registro_Compras!$C$384)</f>
        <v/>
      </c>
    </row>
    <row r="3430">
      <c r="A3430" s="25">
        <f>IF($C3430="","",Registro_Compras!$X$384)</f>
        <v/>
      </c>
      <c r="B3430">
        <f>IF($C3430="","","C"&amp;TEXT(INT((ROW()-5)/9)+1,"000")&amp;"-3")</f>
        <v/>
      </c>
      <c r="C3430">
        <f>IF(OR(Registro_Compras!$C$384="",Registro_Compras!$O$384="",Registro_Compras!$R$384&lt;&gt;"SI",Registro_Compras!$X$384=""),"","4212")</f>
        <v/>
      </c>
      <c r="D3430">
        <f>IF(OR(Registro_Compras!$C$384="",Registro_Compras!$O$384=""),"","Cuentas por Pagar Comerciales - Terceros")</f>
        <v/>
      </c>
      <c r="E3430" s="20">
        <f>IF($C3430="","",Registro_Compras!$S$384)</f>
        <v/>
      </c>
      <c r="F3430" s="20">
        <f>""</f>
        <v/>
      </c>
      <c r="G3430">
        <f>IF($C3430="","","Por el deposito de la detraccion en el Banco de la Nacion")</f>
        <v/>
      </c>
      <c r="H3430">
        <f>IF($C3430="","",Registro_Compras!$C$384)</f>
        <v/>
      </c>
    </row>
    <row r="3431">
      <c r="A3431" s="25">
        <f>IF($C3431="","",Registro_Compras!$X$384)</f>
        <v/>
      </c>
      <c r="B3431">
        <f>IF($C3431="","","C"&amp;TEXT(INT((ROW()-5)/9)+1,"000")&amp;"-3")</f>
        <v/>
      </c>
      <c r="C3431">
        <f>IF(OR(Registro_Compras!$C$384="",Registro_Compras!$O$384="",Registro_Compras!$R$384&lt;&gt;"SI",Registro_Compras!$X$384=""),"","10413")</f>
        <v/>
      </c>
      <c r="D3431">
        <f>IF(OR(Registro_Compras!$C$384="",Registro_Compras!$O$384=""),"","Efectivo y Equivalentes - Cta. Cte. Operativa")</f>
        <v/>
      </c>
      <c r="E3431" s="20">
        <f>""</f>
        <v/>
      </c>
      <c r="F3431" s="20">
        <f>IF($C3431="","",Registro_Compras!$S$384)</f>
        <v/>
      </c>
      <c r="G3431">
        <f>IF($C3431="","","Por el deposito de la detraccion en el Banco de la Nacion")</f>
        <v/>
      </c>
      <c r="H3431">
        <f>IF($C3431="","",Registro_Compras!$C$384)</f>
        <v/>
      </c>
    </row>
    <row r="3432">
      <c r="A3432" s="25">
        <f>IF($C3432="","",Registro_Compras!$Y$384)</f>
        <v/>
      </c>
      <c r="B3432">
        <f>IF($C3432="","","C"&amp;TEXT(INT((ROW()-5)/9)+1,"000")&amp;"-4")</f>
        <v/>
      </c>
      <c r="C3432">
        <f>IF(OR(Registro_Compras!$C$384="",Registro_Compras!$O$384="",Registro_Compras!$Y$384="",Registro_Compras!$F$384="NOTA DE CREDITO"),"","4212")</f>
        <v/>
      </c>
      <c r="D3432">
        <f>IF(OR(Registro_Compras!$C$384="",Registro_Compras!$O$384=""),"","Cuentas por Pagar Comerciales - Terceros")</f>
        <v/>
      </c>
      <c r="E3432" s="20">
        <f>IF($C3432="","",IF(Registro_Compras!$F$384="RHE",(ROUND(Registro_Compras!$L$384*Registro_Compras!$N$384,2)-ROUND(Registro_Compras!$V$384*Registro_Compras!$N$384,2)),ROUND(Registro_Compras!$O$384-Registro_Compras!$S$384,2)))</f>
        <v/>
      </c>
      <c r="F3432" s="20">
        <f>""</f>
        <v/>
      </c>
      <c r="G3432">
        <f>IF($C3432="","","Por la cancelacion del saldo al proveedor")</f>
        <v/>
      </c>
      <c r="H3432">
        <f>IF($C3432="","",Registro_Compras!$C$384)</f>
        <v/>
      </c>
    </row>
    <row r="3433">
      <c r="A3433" s="25">
        <f>IF($C3433="","",Registro_Compras!$Y$384)</f>
        <v/>
      </c>
      <c r="B3433">
        <f>IF($C3433="","","C"&amp;TEXT(INT((ROW()-5)/9)+1,"000")&amp;"-4")</f>
        <v/>
      </c>
      <c r="C3433">
        <f>IF(OR(Registro_Compras!$C$384="",Registro_Compras!$O$384="",Registro_Compras!$Y$384="",Registro_Compras!$F$384="NOTA DE CREDITO"),"","10413")</f>
        <v/>
      </c>
      <c r="D3433">
        <f>IF(OR(Registro_Compras!$C$384="",Registro_Compras!$O$384=""),"","Efectivo y Equivalentes - Cta. Cte. Operativa")</f>
        <v/>
      </c>
      <c r="E3433" s="20">
        <f>""</f>
        <v/>
      </c>
      <c r="F3433" s="20">
        <f>IF($C3433="","",IF(Registro_Compras!$F$384="RHE",(ROUND(Registro_Compras!$L$384*Registro_Compras!$N$384,2)-ROUND(Registro_Compras!$V$384*Registro_Compras!$N$384,2)),ROUND(Registro_Compras!$O$384-Registro_Compras!$S$384,2)))</f>
        <v/>
      </c>
      <c r="G3433">
        <f>IF($C3433="","","Por la cancelacion del saldo al proveedor")</f>
        <v/>
      </c>
      <c r="H3433">
        <f>IF($C3433="","",Registro_Compras!$C$384)</f>
        <v/>
      </c>
    </row>
    <row r="3434">
      <c r="A3434" s="25">
        <f>IF($C3434="","",Registro_Compras!$B$385)</f>
        <v/>
      </c>
      <c r="B3434">
        <f>IF($C3434="","","C"&amp;TEXT(INT((ROW()-5)/9)+1,"000")&amp;"-1")</f>
        <v/>
      </c>
      <c r="C3434">
        <f>IF(OR(Registro_Compras!$C$385="",Registro_Compras!$O$385=""),"",IF(Registro_Compras!$F$385="NOTA DE CREDITO","4212",IF(Registro_Compras!$M$385="","63",Registro_Compras!$M$385)))</f>
        <v/>
      </c>
      <c r="D3434">
        <f>IF(OR(Registro_Compras!$C$385="",Registro_Compras!$O$385=""),"",IF(Registro_Compras!$F$385="NOTA DE CREDITO","Cuentas por Pagar Comerciales - Terceros (Emitidas)",IF(Registro_Compras!$F$385="RHE","Honorarios Profesionales - Servicios de Terceros","Gastos de Servicios Prestados por Terceros")))</f>
        <v/>
      </c>
      <c r="E3434" s="20">
        <f>IF($C3434="","",IF(Registro_Compras!$F$385="NOTA DE CREDITO",ABS(Registro_Compras!$O$385),IF(Registro_Compras!$F$385="RHE",ROUND(Registro_Compras!$L$385*Registro_Compras!$N$385,2),ROUND(Registro_Compras!$J$385*Registro_Compras!$N$385,2))))</f>
        <v/>
      </c>
      <c r="F3434" s="20">
        <f>""</f>
        <v/>
      </c>
      <c r="G3434">
        <f>IF($C3434="","",IF(Registro_Compras!$F$385="NOTA DE CREDITO","Por la nota de credito "&amp;Registro_Compras!$C$385&amp;" de "&amp;Registro_Compras!$E$385&amp;" [PATRON POR CONFIRMAR CON CONTADOR]",IF(Registro_Compras!$F$385="RHE","Por el registro del recibo por honorarios "&amp;Registro_Compras!$C$385&amp;" de "&amp;Registro_Compras!$E$385&amp;" [PATRON POR CONFIRMAR CON CONTADOR]","Por el registro de la factura "&amp;Registro_Compras!$C$385&amp;" de "&amp;Registro_Compras!$E$385)))</f>
        <v/>
      </c>
      <c r="H3434">
        <f>IF($C3434="","",Registro_Compras!$C$385)</f>
        <v/>
      </c>
    </row>
    <row r="3435">
      <c r="A3435" s="25">
        <f>IF($C3435="","",Registro_Compras!$B$385)</f>
        <v/>
      </c>
      <c r="B3435">
        <f>IF($C3435="","","C"&amp;TEXT(INT((ROW()-5)/9)+1,"000")&amp;"-1")</f>
        <v/>
      </c>
      <c r="C3435">
        <f>IF(OR(Registro_Compras!$C$385="",Registro_Compras!$O$385=""),"",IF(Registro_Compras!$F$385="RHE",IF(Registro_Compras!$V$385=0,"","40172"),IF(Registro_Compras!$F$385="NOTA DE CREDITO",IF(Registro_Compras!$M$385="","63",Registro_Compras!$M$385),IF(Registro_Compras!$K$385=0,"","40111"))))</f>
        <v/>
      </c>
      <c r="D3435">
        <f>IF(OR(Registro_Compras!$C$385="",Registro_Compras!$O$385=""),"",IF(Registro_Compras!$F$385="RHE","Retencion Renta 4ta Categoria por Pagar",IF(Registro_Compras!$F$385="NOTA DE CREDITO","Gastos de Servicios Prestados por Terceros","IGV - Cuenta Propia (Credito Fiscal)")))</f>
        <v/>
      </c>
      <c r="E3435" s="20">
        <f>IF($C3435="","",IF(Registro_Compras!$F$385="FACTURA",ROUND(Registro_Compras!$K$385*Registro_Compras!$N$385,2),""))</f>
        <v/>
      </c>
      <c r="F3435" s="20">
        <f>IF($C3435="","",IF(Registro_Compras!$F$385="RHE",ROUND(Registro_Compras!$V$385*Registro_Compras!$N$385,2),IF(Registro_Compras!$F$385="NOTA DE CREDITO",ROUND(ABS(Registro_Compras!$J$385*Registro_Compras!$N$385),2),"")))</f>
        <v/>
      </c>
      <c r="G3435">
        <f>IF($C3435="","",IF(Registro_Compras!$F$385="NOTA DE CREDITO","Por la nota de credito "&amp;Registro_Compras!$C$385&amp;" de "&amp;Registro_Compras!$E$385&amp;" [PATRON POR CONFIRMAR CON CONTADOR]",IF(Registro_Compras!$F$385="RHE","Por el registro del recibo por honorarios "&amp;Registro_Compras!$C$385&amp;" de "&amp;Registro_Compras!$E$385&amp;" [PATRON POR CONFIRMAR CON CONTADOR]","Por el registro de la factura "&amp;Registro_Compras!$C$385&amp;" de "&amp;Registro_Compras!$E$385)))</f>
        <v/>
      </c>
      <c r="H3435">
        <f>IF($C3435="","",Registro_Compras!$C$385)</f>
        <v/>
      </c>
    </row>
    <row r="3436">
      <c r="A3436" s="25">
        <f>IF($C3436="","",Registro_Compras!$B$385)</f>
        <v/>
      </c>
      <c r="B3436">
        <f>IF($C3436="","","C"&amp;TEXT(INT((ROW()-5)/9)+1,"000")&amp;"-1")</f>
        <v/>
      </c>
      <c r="C3436">
        <f>IF(OR(Registro_Compras!$C$385="",Registro_Compras!$O$385=""),"",IF(Registro_Compras!$F$385="NOTA DE CREDITO",IF(Registro_Compras!$K$385=0,"","40111"),"4212"))</f>
        <v/>
      </c>
      <c r="D3436">
        <f>IF(OR(Registro_Compras!$C$385="",Registro_Compras!$O$385=""),"",IF(Registro_Compras!$F$385="NOTA DE CREDITO","IGV - Cuenta Propia (Credito Fiscal)","Cuentas por Pagar Comerciales - Terceros (Emitidas)"))</f>
        <v/>
      </c>
      <c r="E3436" s="20">
        <f>""</f>
        <v/>
      </c>
      <c r="F3436" s="20">
        <f>IF($C3436="","",IF(Registro_Compras!$F$385="NOTA DE CREDITO",ROUND(ABS(Registro_Compras!$K$385*Registro_Compras!$N$385),2),IF(Registro_Compras!$F$385="RHE",(ROUND(Registro_Compras!$L$385*Registro_Compras!$N$385,2)-ROUND(Registro_Compras!$V$385*Registro_Compras!$N$385,2)),Registro_Compras!$O$385)))</f>
        <v/>
      </c>
      <c r="G3436">
        <f>IF($C3436="","",IF(Registro_Compras!$F$385="NOTA DE CREDITO","Por la nota de credito "&amp;Registro_Compras!$C$385&amp;" de "&amp;Registro_Compras!$E$385&amp;" [PATRON POR CONFIRMAR CON CONTADOR]",IF(Registro_Compras!$F$385="RHE","Por el registro del recibo por honorarios "&amp;Registro_Compras!$C$385&amp;" de "&amp;Registro_Compras!$E$385&amp;" [PATRON POR CONFIRMAR CON CONTADOR]","Por el registro de la factura "&amp;Registro_Compras!$C$385&amp;" de "&amp;Registro_Compras!$E$385)))</f>
        <v/>
      </c>
      <c r="H3436">
        <f>IF($C3436="","",Registro_Compras!$C$385)</f>
        <v/>
      </c>
    </row>
    <row r="3437">
      <c r="A3437" s="25">
        <f>IF($C3437="","",Registro_Compras!$B$385)</f>
        <v/>
      </c>
      <c r="B3437">
        <f>IF($C3437="","","C"&amp;TEXT(INT((ROW()-5)/9)+1,"000")&amp;"-2")</f>
        <v/>
      </c>
      <c r="C3437">
        <f>IF(OR(Registro_Compras!$C$385="",Registro_Compras!$O$385=""),"",IF(Registro_Compras!$AB$385="ADMINISTRATIVO","94","95"))</f>
        <v/>
      </c>
      <c r="D3437">
        <f>IF(OR(Registro_Compras!$C$385="",Registro_Compras!$O$385=""),"",IF(Registro_Compras!$AB$385="ADMINISTRATIVO","Gastos Administrativos","Gastos de Venta y Operacion"))</f>
        <v/>
      </c>
      <c r="E3437" s="20">
        <f>IF($C3437="","",IF(Registro_Compras!$F$385="NOTA DE CREDITO","",IF(Registro_Compras!$F$385="RHE",ROUND(Registro_Compras!$L$385*Registro_Compras!$N$385,2),ROUND(Registro_Compras!$J$385*Registro_Compras!$N$385,2))))</f>
        <v/>
      </c>
      <c r="F3437" s="20">
        <f>IF($C3437="","",IF(Registro_Compras!$F$385="NOTA DE CREDITO",ROUND(ABS(Registro_Compras!$J$385*Registro_Compras!$N$385),2),""))</f>
        <v/>
      </c>
      <c r="G3437">
        <f>IF($C3437="","","Por el destino del gasto")</f>
        <v/>
      </c>
      <c r="H3437">
        <f>IF($C3437="","",Registro_Compras!$C$385)</f>
        <v/>
      </c>
    </row>
    <row r="3438">
      <c r="A3438" s="25">
        <f>IF($C3438="","",Registro_Compras!$B$385)</f>
        <v/>
      </c>
      <c r="B3438">
        <f>IF($C3438="","","C"&amp;TEXT(INT((ROW()-5)/9)+1,"000")&amp;"-2")</f>
        <v/>
      </c>
      <c r="C3438">
        <f>IF(OR(Registro_Compras!$C$385="",Registro_Compras!$O$385=""),"","79/791")</f>
        <v/>
      </c>
      <c r="D3438">
        <f>IF(OR(Registro_Compras!$C$385="",Registro_Compras!$O$385=""),"","Cargas Imputables a Cuentas de Costos y Gastos")</f>
        <v/>
      </c>
      <c r="E3438" s="20">
        <f>IF($C3438="","",IF(Registro_Compras!$F$385="NOTA DE CREDITO",ROUND(ABS(Registro_Compras!$J$385*Registro_Compras!$N$385),2),""))</f>
        <v/>
      </c>
      <c r="F3438" s="20">
        <f>IF($C3438="","",IF(Registro_Compras!$F$385="NOTA DE CREDITO","",IF(Registro_Compras!$F$385="RHE",ROUND(Registro_Compras!$L$385*Registro_Compras!$N$385,2),ROUND(Registro_Compras!$J$385*Registro_Compras!$N$385,2))))</f>
        <v/>
      </c>
      <c r="G3438">
        <f>IF($C3438="","","Por el destino del gasto")</f>
        <v/>
      </c>
      <c r="H3438">
        <f>IF($C3438="","",Registro_Compras!$C$385)</f>
        <v/>
      </c>
    </row>
    <row r="3439">
      <c r="A3439" s="25">
        <f>IF($C3439="","",Registro_Compras!$X$385)</f>
        <v/>
      </c>
      <c r="B3439">
        <f>IF($C3439="","","C"&amp;TEXT(INT((ROW()-5)/9)+1,"000")&amp;"-3")</f>
        <v/>
      </c>
      <c r="C3439">
        <f>IF(OR(Registro_Compras!$C$385="",Registro_Compras!$O$385="",Registro_Compras!$R$385&lt;&gt;"SI",Registro_Compras!$X$385=""),"","4212")</f>
        <v/>
      </c>
      <c r="D3439">
        <f>IF(OR(Registro_Compras!$C$385="",Registro_Compras!$O$385=""),"","Cuentas por Pagar Comerciales - Terceros")</f>
        <v/>
      </c>
      <c r="E3439" s="20">
        <f>IF($C3439="","",Registro_Compras!$S$385)</f>
        <v/>
      </c>
      <c r="F3439" s="20">
        <f>""</f>
        <v/>
      </c>
      <c r="G3439">
        <f>IF($C3439="","","Por el deposito de la detraccion en el Banco de la Nacion")</f>
        <v/>
      </c>
      <c r="H3439">
        <f>IF($C3439="","",Registro_Compras!$C$385)</f>
        <v/>
      </c>
    </row>
    <row r="3440">
      <c r="A3440" s="25">
        <f>IF($C3440="","",Registro_Compras!$X$385)</f>
        <v/>
      </c>
      <c r="B3440">
        <f>IF($C3440="","","C"&amp;TEXT(INT((ROW()-5)/9)+1,"000")&amp;"-3")</f>
        <v/>
      </c>
      <c r="C3440">
        <f>IF(OR(Registro_Compras!$C$385="",Registro_Compras!$O$385="",Registro_Compras!$R$385&lt;&gt;"SI",Registro_Compras!$X$385=""),"","10413")</f>
        <v/>
      </c>
      <c r="D3440">
        <f>IF(OR(Registro_Compras!$C$385="",Registro_Compras!$O$385=""),"","Efectivo y Equivalentes - Cta. Cte. Operativa")</f>
        <v/>
      </c>
      <c r="E3440" s="20">
        <f>""</f>
        <v/>
      </c>
      <c r="F3440" s="20">
        <f>IF($C3440="","",Registro_Compras!$S$385)</f>
        <v/>
      </c>
      <c r="G3440">
        <f>IF($C3440="","","Por el deposito de la detraccion en el Banco de la Nacion")</f>
        <v/>
      </c>
      <c r="H3440">
        <f>IF($C3440="","",Registro_Compras!$C$385)</f>
        <v/>
      </c>
    </row>
    <row r="3441">
      <c r="A3441" s="25">
        <f>IF($C3441="","",Registro_Compras!$Y$385)</f>
        <v/>
      </c>
      <c r="B3441">
        <f>IF($C3441="","","C"&amp;TEXT(INT((ROW()-5)/9)+1,"000")&amp;"-4")</f>
        <v/>
      </c>
      <c r="C3441">
        <f>IF(OR(Registro_Compras!$C$385="",Registro_Compras!$O$385="",Registro_Compras!$Y$385="",Registro_Compras!$F$385="NOTA DE CREDITO"),"","4212")</f>
        <v/>
      </c>
      <c r="D3441">
        <f>IF(OR(Registro_Compras!$C$385="",Registro_Compras!$O$385=""),"","Cuentas por Pagar Comerciales - Terceros")</f>
        <v/>
      </c>
      <c r="E3441" s="20">
        <f>IF($C3441="","",IF(Registro_Compras!$F$385="RHE",(ROUND(Registro_Compras!$L$385*Registro_Compras!$N$385,2)-ROUND(Registro_Compras!$V$385*Registro_Compras!$N$385,2)),ROUND(Registro_Compras!$O$385-Registro_Compras!$S$385,2)))</f>
        <v/>
      </c>
      <c r="F3441" s="20">
        <f>""</f>
        <v/>
      </c>
      <c r="G3441">
        <f>IF($C3441="","","Por la cancelacion del saldo al proveedor")</f>
        <v/>
      </c>
      <c r="H3441">
        <f>IF($C3441="","",Registro_Compras!$C$385)</f>
        <v/>
      </c>
    </row>
    <row r="3442">
      <c r="A3442" s="25">
        <f>IF($C3442="","",Registro_Compras!$Y$385)</f>
        <v/>
      </c>
      <c r="B3442">
        <f>IF($C3442="","","C"&amp;TEXT(INT((ROW()-5)/9)+1,"000")&amp;"-4")</f>
        <v/>
      </c>
      <c r="C3442">
        <f>IF(OR(Registro_Compras!$C$385="",Registro_Compras!$O$385="",Registro_Compras!$Y$385="",Registro_Compras!$F$385="NOTA DE CREDITO"),"","10413")</f>
        <v/>
      </c>
      <c r="D3442">
        <f>IF(OR(Registro_Compras!$C$385="",Registro_Compras!$O$385=""),"","Efectivo y Equivalentes - Cta. Cte. Operativa")</f>
        <v/>
      </c>
      <c r="E3442" s="20">
        <f>""</f>
        <v/>
      </c>
      <c r="F3442" s="20">
        <f>IF($C3442="","",IF(Registro_Compras!$F$385="RHE",(ROUND(Registro_Compras!$L$385*Registro_Compras!$N$385,2)-ROUND(Registro_Compras!$V$385*Registro_Compras!$N$385,2)),ROUND(Registro_Compras!$O$385-Registro_Compras!$S$385,2)))</f>
        <v/>
      </c>
      <c r="G3442">
        <f>IF($C3442="","","Por la cancelacion del saldo al proveedor")</f>
        <v/>
      </c>
      <c r="H3442">
        <f>IF($C3442="","",Registro_Compras!$C$385)</f>
        <v/>
      </c>
    </row>
    <row r="3443">
      <c r="A3443" s="25">
        <f>IF($C3443="","",Registro_Compras!$B$386)</f>
        <v/>
      </c>
      <c r="B3443">
        <f>IF($C3443="","","C"&amp;TEXT(INT((ROW()-5)/9)+1,"000")&amp;"-1")</f>
        <v/>
      </c>
      <c r="C3443">
        <f>IF(OR(Registro_Compras!$C$386="",Registro_Compras!$O$386=""),"",IF(Registro_Compras!$F$386="NOTA DE CREDITO","4212",IF(Registro_Compras!$M$386="","63",Registro_Compras!$M$386)))</f>
        <v/>
      </c>
      <c r="D3443">
        <f>IF(OR(Registro_Compras!$C$386="",Registro_Compras!$O$386=""),"",IF(Registro_Compras!$F$386="NOTA DE CREDITO","Cuentas por Pagar Comerciales - Terceros (Emitidas)",IF(Registro_Compras!$F$386="RHE","Honorarios Profesionales - Servicios de Terceros","Gastos de Servicios Prestados por Terceros")))</f>
        <v/>
      </c>
      <c r="E3443" s="20">
        <f>IF($C3443="","",IF(Registro_Compras!$F$386="NOTA DE CREDITO",ABS(Registro_Compras!$O$386),IF(Registro_Compras!$F$386="RHE",ROUND(Registro_Compras!$L$386*Registro_Compras!$N$386,2),ROUND(Registro_Compras!$J$386*Registro_Compras!$N$386,2))))</f>
        <v/>
      </c>
      <c r="F3443" s="20">
        <f>""</f>
        <v/>
      </c>
      <c r="G3443">
        <f>IF($C3443="","",IF(Registro_Compras!$F$386="NOTA DE CREDITO","Por la nota de credito "&amp;Registro_Compras!$C$386&amp;" de "&amp;Registro_Compras!$E$386&amp;" [PATRON POR CONFIRMAR CON CONTADOR]",IF(Registro_Compras!$F$386="RHE","Por el registro del recibo por honorarios "&amp;Registro_Compras!$C$386&amp;" de "&amp;Registro_Compras!$E$386&amp;" [PATRON POR CONFIRMAR CON CONTADOR]","Por el registro de la factura "&amp;Registro_Compras!$C$386&amp;" de "&amp;Registro_Compras!$E$386)))</f>
        <v/>
      </c>
      <c r="H3443">
        <f>IF($C3443="","",Registro_Compras!$C$386)</f>
        <v/>
      </c>
    </row>
    <row r="3444">
      <c r="A3444" s="25">
        <f>IF($C3444="","",Registro_Compras!$B$386)</f>
        <v/>
      </c>
      <c r="B3444">
        <f>IF($C3444="","","C"&amp;TEXT(INT((ROW()-5)/9)+1,"000")&amp;"-1")</f>
        <v/>
      </c>
      <c r="C3444">
        <f>IF(OR(Registro_Compras!$C$386="",Registro_Compras!$O$386=""),"",IF(Registro_Compras!$F$386="RHE",IF(Registro_Compras!$V$386=0,"","40172"),IF(Registro_Compras!$F$386="NOTA DE CREDITO",IF(Registro_Compras!$M$386="","63",Registro_Compras!$M$386),IF(Registro_Compras!$K$386=0,"","40111"))))</f>
        <v/>
      </c>
      <c r="D3444">
        <f>IF(OR(Registro_Compras!$C$386="",Registro_Compras!$O$386=""),"",IF(Registro_Compras!$F$386="RHE","Retencion Renta 4ta Categoria por Pagar",IF(Registro_Compras!$F$386="NOTA DE CREDITO","Gastos de Servicios Prestados por Terceros","IGV - Cuenta Propia (Credito Fiscal)")))</f>
        <v/>
      </c>
      <c r="E3444" s="20">
        <f>IF($C3444="","",IF(Registro_Compras!$F$386="FACTURA",ROUND(Registro_Compras!$K$386*Registro_Compras!$N$386,2),""))</f>
        <v/>
      </c>
      <c r="F3444" s="20">
        <f>IF($C3444="","",IF(Registro_Compras!$F$386="RHE",ROUND(Registro_Compras!$V$386*Registro_Compras!$N$386,2),IF(Registro_Compras!$F$386="NOTA DE CREDITO",ROUND(ABS(Registro_Compras!$J$386*Registro_Compras!$N$386),2),"")))</f>
        <v/>
      </c>
      <c r="G3444">
        <f>IF($C3444="","",IF(Registro_Compras!$F$386="NOTA DE CREDITO","Por la nota de credito "&amp;Registro_Compras!$C$386&amp;" de "&amp;Registro_Compras!$E$386&amp;" [PATRON POR CONFIRMAR CON CONTADOR]",IF(Registro_Compras!$F$386="RHE","Por el registro del recibo por honorarios "&amp;Registro_Compras!$C$386&amp;" de "&amp;Registro_Compras!$E$386&amp;" [PATRON POR CONFIRMAR CON CONTADOR]","Por el registro de la factura "&amp;Registro_Compras!$C$386&amp;" de "&amp;Registro_Compras!$E$386)))</f>
        <v/>
      </c>
      <c r="H3444">
        <f>IF($C3444="","",Registro_Compras!$C$386)</f>
        <v/>
      </c>
    </row>
    <row r="3445">
      <c r="A3445" s="25">
        <f>IF($C3445="","",Registro_Compras!$B$386)</f>
        <v/>
      </c>
      <c r="B3445">
        <f>IF($C3445="","","C"&amp;TEXT(INT((ROW()-5)/9)+1,"000")&amp;"-1")</f>
        <v/>
      </c>
      <c r="C3445">
        <f>IF(OR(Registro_Compras!$C$386="",Registro_Compras!$O$386=""),"",IF(Registro_Compras!$F$386="NOTA DE CREDITO",IF(Registro_Compras!$K$386=0,"","40111"),"4212"))</f>
        <v/>
      </c>
      <c r="D3445">
        <f>IF(OR(Registro_Compras!$C$386="",Registro_Compras!$O$386=""),"",IF(Registro_Compras!$F$386="NOTA DE CREDITO","IGV - Cuenta Propia (Credito Fiscal)","Cuentas por Pagar Comerciales - Terceros (Emitidas)"))</f>
        <v/>
      </c>
      <c r="E3445" s="20">
        <f>""</f>
        <v/>
      </c>
      <c r="F3445" s="20">
        <f>IF($C3445="","",IF(Registro_Compras!$F$386="NOTA DE CREDITO",ROUND(ABS(Registro_Compras!$K$386*Registro_Compras!$N$386),2),IF(Registro_Compras!$F$386="RHE",(ROUND(Registro_Compras!$L$386*Registro_Compras!$N$386,2)-ROUND(Registro_Compras!$V$386*Registro_Compras!$N$386,2)),Registro_Compras!$O$386)))</f>
        <v/>
      </c>
      <c r="G3445">
        <f>IF($C3445="","",IF(Registro_Compras!$F$386="NOTA DE CREDITO","Por la nota de credito "&amp;Registro_Compras!$C$386&amp;" de "&amp;Registro_Compras!$E$386&amp;" [PATRON POR CONFIRMAR CON CONTADOR]",IF(Registro_Compras!$F$386="RHE","Por el registro del recibo por honorarios "&amp;Registro_Compras!$C$386&amp;" de "&amp;Registro_Compras!$E$386&amp;" [PATRON POR CONFIRMAR CON CONTADOR]","Por el registro de la factura "&amp;Registro_Compras!$C$386&amp;" de "&amp;Registro_Compras!$E$386)))</f>
        <v/>
      </c>
      <c r="H3445">
        <f>IF($C3445="","",Registro_Compras!$C$386)</f>
        <v/>
      </c>
    </row>
    <row r="3446">
      <c r="A3446" s="25">
        <f>IF($C3446="","",Registro_Compras!$B$386)</f>
        <v/>
      </c>
      <c r="B3446">
        <f>IF($C3446="","","C"&amp;TEXT(INT((ROW()-5)/9)+1,"000")&amp;"-2")</f>
        <v/>
      </c>
      <c r="C3446">
        <f>IF(OR(Registro_Compras!$C$386="",Registro_Compras!$O$386=""),"",IF(Registro_Compras!$AB$386="ADMINISTRATIVO","94","95"))</f>
        <v/>
      </c>
      <c r="D3446">
        <f>IF(OR(Registro_Compras!$C$386="",Registro_Compras!$O$386=""),"",IF(Registro_Compras!$AB$386="ADMINISTRATIVO","Gastos Administrativos","Gastos de Venta y Operacion"))</f>
        <v/>
      </c>
      <c r="E3446" s="20">
        <f>IF($C3446="","",IF(Registro_Compras!$F$386="NOTA DE CREDITO","",IF(Registro_Compras!$F$386="RHE",ROUND(Registro_Compras!$L$386*Registro_Compras!$N$386,2),ROUND(Registro_Compras!$J$386*Registro_Compras!$N$386,2))))</f>
        <v/>
      </c>
      <c r="F3446" s="20">
        <f>IF($C3446="","",IF(Registro_Compras!$F$386="NOTA DE CREDITO",ROUND(ABS(Registro_Compras!$J$386*Registro_Compras!$N$386),2),""))</f>
        <v/>
      </c>
      <c r="G3446">
        <f>IF($C3446="","","Por el destino del gasto")</f>
        <v/>
      </c>
      <c r="H3446">
        <f>IF($C3446="","",Registro_Compras!$C$386)</f>
        <v/>
      </c>
    </row>
    <row r="3447">
      <c r="A3447" s="25">
        <f>IF($C3447="","",Registro_Compras!$B$386)</f>
        <v/>
      </c>
      <c r="B3447">
        <f>IF($C3447="","","C"&amp;TEXT(INT((ROW()-5)/9)+1,"000")&amp;"-2")</f>
        <v/>
      </c>
      <c r="C3447">
        <f>IF(OR(Registro_Compras!$C$386="",Registro_Compras!$O$386=""),"","79/791")</f>
        <v/>
      </c>
      <c r="D3447">
        <f>IF(OR(Registro_Compras!$C$386="",Registro_Compras!$O$386=""),"","Cargas Imputables a Cuentas de Costos y Gastos")</f>
        <v/>
      </c>
      <c r="E3447" s="20">
        <f>IF($C3447="","",IF(Registro_Compras!$F$386="NOTA DE CREDITO",ROUND(ABS(Registro_Compras!$J$386*Registro_Compras!$N$386),2),""))</f>
        <v/>
      </c>
      <c r="F3447" s="20">
        <f>IF($C3447="","",IF(Registro_Compras!$F$386="NOTA DE CREDITO","",IF(Registro_Compras!$F$386="RHE",ROUND(Registro_Compras!$L$386*Registro_Compras!$N$386,2),ROUND(Registro_Compras!$J$386*Registro_Compras!$N$386,2))))</f>
        <v/>
      </c>
      <c r="G3447">
        <f>IF($C3447="","","Por el destino del gasto")</f>
        <v/>
      </c>
      <c r="H3447">
        <f>IF($C3447="","",Registro_Compras!$C$386)</f>
        <v/>
      </c>
    </row>
    <row r="3448">
      <c r="A3448" s="25">
        <f>IF($C3448="","",Registro_Compras!$X$386)</f>
        <v/>
      </c>
      <c r="B3448">
        <f>IF($C3448="","","C"&amp;TEXT(INT((ROW()-5)/9)+1,"000")&amp;"-3")</f>
        <v/>
      </c>
      <c r="C3448">
        <f>IF(OR(Registro_Compras!$C$386="",Registro_Compras!$O$386="",Registro_Compras!$R$386&lt;&gt;"SI",Registro_Compras!$X$386=""),"","4212")</f>
        <v/>
      </c>
      <c r="D3448">
        <f>IF(OR(Registro_Compras!$C$386="",Registro_Compras!$O$386=""),"","Cuentas por Pagar Comerciales - Terceros")</f>
        <v/>
      </c>
      <c r="E3448" s="20">
        <f>IF($C3448="","",Registro_Compras!$S$386)</f>
        <v/>
      </c>
      <c r="F3448" s="20">
        <f>""</f>
        <v/>
      </c>
      <c r="G3448">
        <f>IF($C3448="","","Por el deposito de la detraccion en el Banco de la Nacion")</f>
        <v/>
      </c>
      <c r="H3448">
        <f>IF($C3448="","",Registro_Compras!$C$386)</f>
        <v/>
      </c>
    </row>
    <row r="3449">
      <c r="A3449" s="25">
        <f>IF($C3449="","",Registro_Compras!$X$386)</f>
        <v/>
      </c>
      <c r="B3449">
        <f>IF($C3449="","","C"&amp;TEXT(INT((ROW()-5)/9)+1,"000")&amp;"-3")</f>
        <v/>
      </c>
      <c r="C3449">
        <f>IF(OR(Registro_Compras!$C$386="",Registro_Compras!$O$386="",Registro_Compras!$R$386&lt;&gt;"SI",Registro_Compras!$X$386=""),"","10413")</f>
        <v/>
      </c>
      <c r="D3449">
        <f>IF(OR(Registro_Compras!$C$386="",Registro_Compras!$O$386=""),"","Efectivo y Equivalentes - Cta. Cte. Operativa")</f>
        <v/>
      </c>
      <c r="E3449" s="20">
        <f>""</f>
        <v/>
      </c>
      <c r="F3449" s="20">
        <f>IF($C3449="","",Registro_Compras!$S$386)</f>
        <v/>
      </c>
      <c r="G3449">
        <f>IF($C3449="","","Por el deposito de la detraccion en el Banco de la Nacion")</f>
        <v/>
      </c>
      <c r="H3449">
        <f>IF($C3449="","",Registro_Compras!$C$386)</f>
        <v/>
      </c>
    </row>
    <row r="3450">
      <c r="A3450" s="25">
        <f>IF($C3450="","",Registro_Compras!$Y$386)</f>
        <v/>
      </c>
      <c r="B3450">
        <f>IF($C3450="","","C"&amp;TEXT(INT((ROW()-5)/9)+1,"000")&amp;"-4")</f>
        <v/>
      </c>
      <c r="C3450">
        <f>IF(OR(Registro_Compras!$C$386="",Registro_Compras!$O$386="",Registro_Compras!$Y$386="",Registro_Compras!$F$386="NOTA DE CREDITO"),"","4212")</f>
        <v/>
      </c>
      <c r="D3450">
        <f>IF(OR(Registro_Compras!$C$386="",Registro_Compras!$O$386=""),"","Cuentas por Pagar Comerciales - Terceros")</f>
        <v/>
      </c>
      <c r="E3450" s="20">
        <f>IF($C3450="","",IF(Registro_Compras!$F$386="RHE",(ROUND(Registro_Compras!$L$386*Registro_Compras!$N$386,2)-ROUND(Registro_Compras!$V$386*Registro_Compras!$N$386,2)),ROUND(Registro_Compras!$O$386-Registro_Compras!$S$386,2)))</f>
        <v/>
      </c>
      <c r="F3450" s="20">
        <f>""</f>
        <v/>
      </c>
      <c r="G3450">
        <f>IF($C3450="","","Por la cancelacion del saldo al proveedor")</f>
        <v/>
      </c>
      <c r="H3450">
        <f>IF($C3450="","",Registro_Compras!$C$386)</f>
        <v/>
      </c>
    </row>
    <row r="3451">
      <c r="A3451" s="25">
        <f>IF($C3451="","",Registro_Compras!$Y$386)</f>
        <v/>
      </c>
      <c r="B3451">
        <f>IF($C3451="","","C"&amp;TEXT(INT((ROW()-5)/9)+1,"000")&amp;"-4")</f>
        <v/>
      </c>
      <c r="C3451">
        <f>IF(OR(Registro_Compras!$C$386="",Registro_Compras!$O$386="",Registro_Compras!$Y$386="",Registro_Compras!$F$386="NOTA DE CREDITO"),"","10413")</f>
        <v/>
      </c>
      <c r="D3451">
        <f>IF(OR(Registro_Compras!$C$386="",Registro_Compras!$O$386=""),"","Efectivo y Equivalentes - Cta. Cte. Operativa")</f>
        <v/>
      </c>
      <c r="E3451" s="20">
        <f>""</f>
        <v/>
      </c>
      <c r="F3451" s="20">
        <f>IF($C3451="","",IF(Registro_Compras!$F$386="RHE",(ROUND(Registro_Compras!$L$386*Registro_Compras!$N$386,2)-ROUND(Registro_Compras!$V$386*Registro_Compras!$N$386,2)),ROUND(Registro_Compras!$O$386-Registro_Compras!$S$386,2)))</f>
        <v/>
      </c>
      <c r="G3451">
        <f>IF($C3451="","","Por la cancelacion del saldo al proveedor")</f>
        <v/>
      </c>
      <c r="H3451">
        <f>IF($C3451="","",Registro_Compras!$C$386)</f>
        <v/>
      </c>
    </row>
    <row r="3452">
      <c r="A3452" s="25">
        <f>IF($C3452="","",Registro_Compras!$B$387)</f>
        <v/>
      </c>
      <c r="B3452">
        <f>IF($C3452="","","C"&amp;TEXT(INT((ROW()-5)/9)+1,"000")&amp;"-1")</f>
        <v/>
      </c>
      <c r="C3452">
        <f>IF(OR(Registro_Compras!$C$387="",Registro_Compras!$O$387=""),"",IF(Registro_Compras!$F$387="NOTA DE CREDITO","4212",IF(Registro_Compras!$M$387="","63",Registro_Compras!$M$387)))</f>
        <v/>
      </c>
      <c r="D3452">
        <f>IF(OR(Registro_Compras!$C$387="",Registro_Compras!$O$387=""),"",IF(Registro_Compras!$F$387="NOTA DE CREDITO","Cuentas por Pagar Comerciales - Terceros (Emitidas)",IF(Registro_Compras!$F$387="RHE","Honorarios Profesionales - Servicios de Terceros","Gastos de Servicios Prestados por Terceros")))</f>
        <v/>
      </c>
      <c r="E3452" s="20">
        <f>IF($C3452="","",IF(Registro_Compras!$F$387="NOTA DE CREDITO",ABS(Registro_Compras!$O$387),IF(Registro_Compras!$F$387="RHE",ROUND(Registro_Compras!$L$387*Registro_Compras!$N$387,2),ROUND(Registro_Compras!$J$387*Registro_Compras!$N$387,2))))</f>
        <v/>
      </c>
      <c r="F3452" s="20">
        <f>""</f>
        <v/>
      </c>
      <c r="G3452">
        <f>IF($C3452="","",IF(Registro_Compras!$F$387="NOTA DE CREDITO","Por la nota de credito "&amp;Registro_Compras!$C$387&amp;" de "&amp;Registro_Compras!$E$387&amp;" [PATRON POR CONFIRMAR CON CONTADOR]",IF(Registro_Compras!$F$387="RHE","Por el registro del recibo por honorarios "&amp;Registro_Compras!$C$387&amp;" de "&amp;Registro_Compras!$E$387&amp;" [PATRON POR CONFIRMAR CON CONTADOR]","Por el registro de la factura "&amp;Registro_Compras!$C$387&amp;" de "&amp;Registro_Compras!$E$387)))</f>
        <v/>
      </c>
      <c r="H3452">
        <f>IF($C3452="","",Registro_Compras!$C$387)</f>
        <v/>
      </c>
    </row>
    <row r="3453">
      <c r="A3453" s="25">
        <f>IF($C3453="","",Registro_Compras!$B$387)</f>
        <v/>
      </c>
      <c r="B3453">
        <f>IF($C3453="","","C"&amp;TEXT(INT((ROW()-5)/9)+1,"000")&amp;"-1")</f>
        <v/>
      </c>
      <c r="C3453">
        <f>IF(OR(Registro_Compras!$C$387="",Registro_Compras!$O$387=""),"",IF(Registro_Compras!$F$387="RHE",IF(Registro_Compras!$V$387=0,"","40172"),IF(Registro_Compras!$F$387="NOTA DE CREDITO",IF(Registro_Compras!$M$387="","63",Registro_Compras!$M$387),IF(Registro_Compras!$K$387=0,"","40111"))))</f>
        <v/>
      </c>
      <c r="D3453">
        <f>IF(OR(Registro_Compras!$C$387="",Registro_Compras!$O$387=""),"",IF(Registro_Compras!$F$387="RHE","Retencion Renta 4ta Categoria por Pagar",IF(Registro_Compras!$F$387="NOTA DE CREDITO","Gastos de Servicios Prestados por Terceros","IGV - Cuenta Propia (Credito Fiscal)")))</f>
        <v/>
      </c>
      <c r="E3453" s="20">
        <f>IF($C3453="","",IF(Registro_Compras!$F$387="FACTURA",ROUND(Registro_Compras!$K$387*Registro_Compras!$N$387,2),""))</f>
        <v/>
      </c>
      <c r="F3453" s="20">
        <f>IF($C3453="","",IF(Registro_Compras!$F$387="RHE",ROUND(Registro_Compras!$V$387*Registro_Compras!$N$387,2),IF(Registro_Compras!$F$387="NOTA DE CREDITO",ROUND(ABS(Registro_Compras!$J$387*Registro_Compras!$N$387),2),"")))</f>
        <v/>
      </c>
      <c r="G3453">
        <f>IF($C3453="","",IF(Registro_Compras!$F$387="NOTA DE CREDITO","Por la nota de credito "&amp;Registro_Compras!$C$387&amp;" de "&amp;Registro_Compras!$E$387&amp;" [PATRON POR CONFIRMAR CON CONTADOR]",IF(Registro_Compras!$F$387="RHE","Por el registro del recibo por honorarios "&amp;Registro_Compras!$C$387&amp;" de "&amp;Registro_Compras!$E$387&amp;" [PATRON POR CONFIRMAR CON CONTADOR]","Por el registro de la factura "&amp;Registro_Compras!$C$387&amp;" de "&amp;Registro_Compras!$E$387)))</f>
        <v/>
      </c>
      <c r="H3453">
        <f>IF($C3453="","",Registro_Compras!$C$387)</f>
        <v/>
      </c>
    </row>
    <row r="3454">
      <c r="A3454" s="25">
        <f>IF($C3454="","",Registro_Compras!$B$387)</f>
        <v/>
      </c>
      <c r="B3454">
        <f>IF($C3454="","","C"&amp;TEXT(INT((ROW()-5)/9)+1,"000")&amp;"-1")</f>
        <v/>
      </c>
      <c r="C3454">
        <f>IF(OR(Registro_Compras!$C$387="",Registro_Compras!$O$387=""),"",IF(Registro_Compras!$F$387="NOTA DE CREDITO",IF(Registro_Compras!$K$387=0,"","40111"),"4212"))</f>
        <v/>
      </c>
      <c r="D3454">
        <f>IF(OR(Registro_Compras!$C$387="",Registro_Compras!$O$387=""),"",IF(Registro_Compras!$F$387="NOTA DE CREDITO","IGV - Cuenta Propia (Credito Fiscal)","Cuentas por Pagar Comerciales - Terceros (Emitidas)"))</f>
        <v/>
      </c>
      <c r="E3454" s="20">
        <f>""</f>
        <v/>
      </c>
      <c r="F3454" s="20">
        <f>IF($C3454="","",IF(Registro_Compras!$F$387="NOTA DE CREDITO",ROUND(ABS(Registro_Compras!$K$387*Registro_Compras!$N$387),2),IF(Registro_Compras!$F$387="RHE",(ROUND(Registro_Compras!$L$387*Registro_Compras!$N$387,2)-ROUND(Registro_Compras!$V$387*Registro_Compras!$N$387,2)),Registro_Compras!$O$387)))</f>
        <v/>
      </c>
      <c r="G3454">
        <f>IF($C3454="","",IF(Registro_Compras!$F$387="NOTA DE CREDITO","Por la nota de credito "&amp;Registro_Compras!$C$387&amp;" de "&amp;Registro_Compras!$E$387&amp;" [PATRON POR CONFIRMAR CON CONTADOR]",IF(Registro_Compras!$F$387="RHE","Por el registro del recibo por honorarios "&amp;Registro_Compras!$C$387&amp;" de "&amp;Registro_Compras!$E$387&amp;" [PATRON POR CONFIRMAR CON CONTADOR]","Por el registro de la factura "&amp;Registro_Compras!$C$387&amp;" de "&amp;Registro_Compras!$E$387)))</f>
        <v/>
      </c>
      <c r="H3454">
        <f>IF($C3454="","",Registro_Compras!$C$387)</f>
        <v/>
      </c>
    </row>
    <row r="3455">
      <c r="A3455" s="25">
        <f>IF($C3455="","",Registro_Compras!$B$387)</f>
        <v/>
      </c>
      <c r="B3455">
        <f>IF($C3455="","","C"&amp;TEXT(INT((ROW()-5)/9)+1,"000")&amp;"-2")</f>
        <v/>
      </c>
      <c r="C3455">
        <f>IF(OR(Registro_Compras!$C$387="",Registro_Compras!$O$387=""),"",IF(Registro_Compras!$AB$387="ADMINISTRATIVO","94","95"))</f>
        <v/>
      </c>
      <c r="D3455">
        <f>IF(OR(Registro_Compras!$C$387="",Registro_Compras!$O$387=""),"",IF(Registro_Compras!$AB$387="ADMINISTRATIVO","Gastos Administrativos","Gastos de Venta y Operacion"))</f>
        <v/>
      </c>
      <c r="E3455" s="20">
        <f>IF($C3455="","",IF(Registro_Compras!$F$387="NOTA DE CREDITO","",IF(Registro_Compras!$F$387="RHE",ROUND(Registro_Compras!$L$387*Registro_Compras!$N$387,2),ROUND(Registro_Compras!$J$387*Registro_Compras!$N$387,2))))</f>
        <v/>
      </c>
      <c r="F3455" s="20">
        <f>IF($C3455="","",IF(Registro_Compras!$F$387="NOTA DE CREDITO",ROUND(ABS(Registro_Compras!$J$387*Registro_Compras!$N$387),2),""))</f>
        <v/>
      </c>
      <c r="G3455">
        <f>IF($C3455="","","Por el destino del gasto")</f>
        <v/>
      </c>
      <c r="H3455">
        <f>IF($C3455="","",Registro_Compras!$C$387)</f>
        <v/>
      </c>
    </row>
    <row r="3456">
      <c r="A3456" s="25">
        <f>IF($C3456="","",Registro_Compras!$B$387)</f>
        <v/>
      </c>
      <c r="B3456">
        <f>IF($C3456="","","C"&amp;TEXT(INT((ROW()-5)/9)+1,"000")&amp;"-2")</f>
        <v/>
      </c>
      <c r="C3456">
        <f>IF(OR(Registro_Compras!$C$387="",Registro_Compras!$O$387=""),"","79/791")</f>
        <v/>
      </c>
      <c r="D3456">
        <f>IF(OR(Registro_Compras!$C$387="",Registro_Compras!$O$387=""),"","Cargas Imputables a Cuentas de Costos y Gastos")</f>
        <v/>
      </c>
      <c r="E3456" s="20">
        <f>IF($C3456="","",IF(Registro_Compras!$F$387="NOTA DE CREDITO",ROUND(ABS(Registro_Compras!$J$387*Registro_Compras!$N$387),2),""))</f>
        <v/>
      </c>
      <c r="F3456" s="20">
        <f>IF($C3456="","",IF(Registro_Compras!$F$387="NOTA DE CREDITO","",IF(Registro_Compras!$F$387="RHE",ROUND(Registro_Compras!$L$387*Registro_Compras!$N$387,2),ROUND(Registro_Compras!$J$387*Registro_Compras!$N$387,2))))</f>
        <v/>
      </c>
      <c r="G3456">
        <f>IF($C3456="","","Por el destino del gasto")</f>
        <v/>
      </c>
      <c r="H3456">
        <f>IF($C3456="","",Registro_Compras!$C$387)</f>
        <v/>
      </c>
    </row>
    <row r="3457">
      <c r="A3457" s="25">
        <f>IF($C3457="","",Registro_Compras!$X$387)</f>
        <v/>
      </c>
      <c r="B3457">
        <f>IF($C3457="","","C"&amp;TEXT(INT((ROW()-5)/9)+1,"000")&amp;"-3")</f>
        <v/>
      </c>
      <c r="C3457">
        <f>IF(OR(Registro_Compras!$C$387="",Registro_Compras!$O$387="",Registro_Compras!$R$387&lt;&gt;"SI",Registro_Compras!$X$387=""),"","4212")</f>
        <v/>
      </c>
      <c r="D3457">
        <f>IF(OR(Registro_Compras!$C$387="",Registro_Compras!$O$387=""),"","Cuentas por Pagar Comerciales - Terceros")</f>
        <v/>
      </c>
      <c r="E3457" s="20">
        <f>IF($C3457="","",Registro_Compras!$S$387)</f>
        <v/>
      </c>
      <c r="F3457" s="20">
        <f>""</f>
        <v/>
      </c>
      <c r="G3457">
        <f>IF($C3457="","","Por el deposito de la detraccion en el Banco de la Nacion")</f>
        <v/>
      </c>
      <c r="H3457">
        <f>IF($C3457="","",Registro_Compras!$C$387)</f>
        <v/>
      </c>
    </row>
    <row r="3458">
      <c r="A3458" s="25">
        <f>IF($C3458="","",Registro_Compras!$X$387)</f>
        <v/>
      </c>
      <c r="B3458">
        <f>IF($C3458="","","C"&amp;TEXT(INT((ROW()-5)/9)+1,"000")&amp;"-3")</f>
        <v/>
      </c>
      <c r="C3458">
        <f>IF(OR(Registro_Compras!$C$387="",Registro_Compras!$O$387="",Registro_Compras!$R$387&lt;&gt;"SI",Registro_Compras!$X$387=""),"","10413")</f>
        <v/>
      </c>
      <c r="D3458">
        <f>IF(OR(Registro_Compras!$C$387="",Registro_Compras!$O$387=""),"","Efectivo y Equivalentes - Cta. Cte. Operativa")</f>
        <v/>
      </c>
      <c r="E3458" s="20">
        <f>""</f>
        <v/>
      </c>
      <c r="F3458" s="20">
        <f>IF($C3458="","",Registro_Compras!$S$387)</f>
        <v/>
      </c>
      <c r="G3458">
        <f>IF($C3458="","","Por el deposito de la detraccion en el Banco de la Nacion")</f>
        <v/>
      </c>
      <c r="H3458">
        <f>IF($C3458="","",Registro_Compras!$C$387)</f>
        <v/>
      </c>
    </row>
    <row r="3459">
      <c r="A3459" s="25">
        <f>IF($C3459="","",Registro_Compras!$Y$387)</f>
        <v/>
      </c>
      <c r="B3459">
        <f>IF($C3459="","","C"&amp;TEXT(INT((ROW()-5)/9)+1,"000")&amp;"-4")</f>
        <v/>
      </c>
      <c r="C3459">
        <f>IF(OR(Registro_Compras!$C$387="",Registro_Compras!$O$387="",Registro_Compras!$Y$387="",Registro_Compras!$F$387="NOTA DE CREDITO"),"","4212")</f>
        <v/>
      </c>
      <c r="D3459">
        <f>IF(OR(Registro_Compras!$C$387="",Registro_Compras!$O$387=""),"","Cuentas por Pagar Comerciales - Terceros")</f>
        <v/>
      </c>
      <c r="E3459" s="20">
        <f>IF($C3459="","",IF(Registro_Compras!$F$387="RHE",(ROUND(Registro_Compras!$L$387*Registro_Compras!$N$387,2)-ROUND(Registro_Compras!$V$387*Registro_Compras!$N$387,2)),ROUND(Registro_Compras!$O$387-Registro_Compras!$S$387,2)))</f>
        <v/>
      </c>
      <c r="F3459" s="20">
        <f>""</f>
        <v/>
      </c>
      <c r="G3459">
        <f>IF($C3459="","","Por la cancelacion del saldo al proveedor")</f>
        <v/>
      </c>
      <c r="H3459">
        <f>IF($C3459="","",Registro_Compras!$C$387)</f>
        <v/>
      </c>
    </row>
    <row r="3460">
      <c r="A3460" s="25">
        <f>IF($C3460="","",Registro_Compras!$Y$387)</f>
        <v/>
      </c>
      <c r="B3460">
        <f>IF($C3460="","","C"&amp;TEXT(INT((ROW()-5)/9)+1,"000")&amp;"-4")</f>
        <v/>
      </c>
      <c r="C3460">
        <f>IF(OR(Registro_Compras!$C$387="",Registro_Compras!$O$387="",Registro_Compras!$Y$387="",Registro_Compras!$F$387="NOTA DE CREDITO"),"","10413")</f>
        <v/>
      </c>
      <c r="D3460">
        <f>IF(OR(Registro_Compras!$C$387="",Registro_Compras!$O$387=""),"","Efectivo y Equivalentes - Cta. Cte. Operativa")</f>
        <v/>
      </c>
      <c r="E3460" s="20">
        <f>""</f>
        <v/>
      </c>
      <c r="F3460" s="20">
        <f>IF($C3460="","",IF(Registro_Compras!$F$387="RHE",(ROUND(Registro_Compras!$L$387*Registro_Compras!$N$387,2)-ROUND(Registro_Compras!$V$387*Registro_Compras!$N$387,2)),ROUND(Registro_Compras!$O$387-Registro_Compras!$S$387,2)))</f>
        <v/>
      </c>
      <c r="G3460">
        <f>IF($C3460="","","Por la cancelacion del saldo al proveedor")</f>
        <v/>
      </c>
      <c r="H3460">
        <f>IF($C3460="","",Registro_Compras!$C$387)</f>
        <v/>
      </c>
    </row>
    <row r="3461">
      <c r="A3461" s="25">
        <f>IF($C3461="","",Registro_Compras!$B$388)</f>
        <v/>
      </c>
      <c r="B3461">
        <f>IF($C3461="","","C"&amp;TEXT(INT((ROW()-5)/9)+1,"000")&amp;"-1")</f>
        <v/>
      </c>
      <c r="C3461">
        <f>IF(OR(Registro_Compras!$C$388="",Registro_Compras!$O$388=""),"",IF(Registro_Compras!$F$388="NOTA DE CREDITO","4212",IF(Registro_Compras!$M$388="","63",Registro_Compras!$M$388)))</f>
        <v/>
      </c>
      <c r="D3461">
        <f>IF(OR(Registro_Compras!$C$388="",Registro_Compras!$O$388=""),"",IF(Registro_Compras!$F$388="NOTA DE CREDITO","Cuentas por Pagar Comerciales - Terceros (Emitidas)",IF(Registro_Compras!$F$388="RHE","Honorarios Profesionales - Servicios de Terceros","Gastos de Servicios Prestados por Terceros")))</f>
        <v/>
      </c>
      <c r="E3461" s="20">
        <f>IF($C3461="","",IF(Registro_Compras!$F$388="NOTA DE CREDITO",ABS(Registro_Compras!$O$388),IF(Registro_Compras!$F$388="RHE",ROUND(Registro_Compras!$L$388*Registro_Compras!$N$388,2),ROUND(Registro_Compras!$J$388*Registro_Compras!$N$388,2))))</f>
        <v/>
      </c>
      <c r="F3461" s="20">
        <f>""</f>
        <v/>
      </c>
      <c r="G3461">
        <f>IF($C3461="","",IF(Registro_Compras!$F$388="NOTA DE CREDITO","Por la nota de credito "&amp;Registro_Compras!$C$388&amp;" de "&amp;Registro_Compras!$E$388&amp;" [PATRON POR CONFIRMAR CON CONTADOR]",IF(Registro_Compras!$F$388="RHE","Por el registro del recibo por honorarios "&amp;Registro_Compras!$C$388&amp;" de "&amp;Registro_Compras!$E$388&amp;" [PATRON POR CONFIRMAR CON CONTADOR]","Por el registro de la factura "&amp;Registro_Compras!$C$388&amp;" de "&amp;Registro_Compras!$E$388)))</f>
        <v/>
      </c>
      <c r="H3461">
        <f>IF($C3461="","",Registro_Compras!$C$388)</f>
        <v/>
      </c>
    </row>
    <row r="3462">
      <c r="A3462" s="25">
        <f>IF($C3462="","",Registro_Compras!$B$388)</f>
        <v/>
      </c>
      <c r="B3462">
        <f>IF($C3462="","","C"&amp;TEXT(INT((ROW()-5)/9)+1,"000")&amp;"-1")</f>
        <v/>
      </c>
      <c r="C3462">
        <f>IF(OR(Registro_Compras!$C$388="",Registro_Compras!$O$388=""),"",IF(Registro_Compras!$F$388="RHE",IF(Registro_Compras!$V$388=0,"","40172"),IF(Registro_Compras!$F$388="NOTA DE CREDITO",IF(Registro_Compras!$M$388="","63",Registro_Compras!$M$388),IF(Registro_Compras!$K$388=0,"","40111"))))</f>
        <v/>
      </c>
      <c r="D3462">
        <f>IF(OR(Registro_Compras!$C$388="",Registro_Compras!$O$388=""),"",IF(Registro_Compras!$F$388="RHE","Retencion Renta 4ta Categoria por Pagar",IF(Registro_Compras!$F$388="NOTA DE CREDITO","Gastos de Servicios Prestados por Terceros","IGV - Cuenta Propia (Credito Fiscal)")))</f>
        <v/>
      </c>
      <c r="E3462" s="20">
        <f>IF($C3462="","",IF(Registro_Compras!$F$388="FACTURA",ROUND(Registro_Compras!$K$388*Registro_Compras!$N$388,2),""))</f>
        <v/>
      </c>
      <c r="F3462" s="20">
        <f>IF($C3462="","",IF(Registro_Compras!$F$388="RHE",ROUND(Registro_Compras!$V$388*Registro_Compras!$N$388,2),IF(Registro_Compras!$F$388="NOTA DE CREDITO",ROUND(ABS(Registro_Compras!$J$388*Registro_Compras!$N$388),2),"")))</f>
        <v/>
      </c>
      <c r="G3462">
        <f>IF($C3462="","",IF(Registro_Compras!$F$388="NOTA DE CREDITO","Por la nota de credito "&amp;Registro_Compras!$C$388&amp;" de "&amp;Registro_Compras!$E$388&amp;" [PATRON POR CONFIRMAR CON CONTADOR]",IF(Registro_Compras!$F$388="RHE","Por el registro del recibo por honorarios "&amp;Registro_Compras!$C$388&amp;" de "&amp;Registro_Compras!$E$388&amp;" [PATRON POR CONFIRMAR CON CONTADOR]","Por el registro de la factura "&amp;Registro_Compras!$C$388&amp;" de "&amp;Registro_Compras!$E$388)))</f>
        <v/>
      </c>
      <c r="H3462">
        <f>IF($C3462="","",Registro_Compras!$C$388)</f>
        <v/>
      </c>
    </row>
    <row r="3463">
      <c r="A3463" s="25">
        <f>IF($C3463="","",Registro_Compras!$B$388)</f>
        <v/>
      </c>
      <c r="B3463">
        <f>IF($C3463="","","C"&amp;TEXT(INT((ROW()-5)/9)+1,"000")&amp;"-1")</f>
        <v/>
      </c>
      <c r="C3463">
        <f>IF(OR(Registro_Compras!$C$388="",Registro_Compras!$O$388=""),"",IF(Registro_Compras!$F$388="NOTA DE CREDITO",IF(Registro_Compras!$K$388=0,"","40111"),"4212"))</f>
        <v/>
      </c>
      <c r="D3463">
        <f>IF(OR(Registro_Compras!$C$388="",Registro_Compras!$O$388=""),"",IF(Registro_Compras!$F$388="NOTA DE CREDITO","IGV - Cuenta Propia (Credito Fiscal)","Cuentas por Pagar Comerciales - Terceros (Emitidas)"))</f>
        <v/>
      </c>
      <c r="E3463" s="20">
        <f>""</f>
        <v/>
      </c>
      <c r="F3463" s="20">
        <f>IF($C3463="","",IF(Registro_Compras!$F$388="NOTA DE CREDITO",ROUND(ABS(Registro_Compras!$K$388*Registro_Compras!$N$388),2),IF(Registro_Compras!$F$388="RHE",(ROUND(Registro_Compras!$L$388*Registro_Compras!$N$388,2)-ROUND(Registro_Compras!$V$388*Registro_Compras!$N$388,2)),Registro_Compras!$O$388)))</f>
        <v/>
      </c>
      <c r="G3463">
        <f>IF($C3463="","",IF(Registro_Compras!$F$388="NOTA DE CREDITO","Por la nota de credito "&amp;Registro_Compras!$C$388&amp;" de "&amp;Registro_Compras!$E$388&amp;" [PATRON POR CONFIRMAR CON CONTADOR]",IF(Registro_Compras!$F$388="RHE","Por el registro del recibo por honorarios "&amp;Registro_Compras!$C$388&amp;" de "&amp;Registro_Compras!$E$388&amp;" [PATRON POR CONFIRMAR CON CONTADOR]","Por el registro de la factura "&amp;Registro_Compras!$C$388&amp;" de "&amp;Registro_Compras!$E$388)))</f>
        <v/>
      </c>
      <c r="H3463">
        <f>IF($C3463="","",Registro_Compras!$C$388)</f>
        <v/>
      </c>
    </row>
    <row r="3464">
      <c r="A3464" s="25">
        <f>IF($C3464="","",Registro_Compras!$B$388)</f>
        <v/>
      </c>
      <c r="B3464">
        <f>IF($C3464="","","C"&amp;TEXT(INT((ROW()-5)/9)+1,"000")&amp;"-2")</f>
        <v/>
      </c>
      <c r="C3464">
        <f>IF(OR(Registro_Compras!$C$388="",Registro_Compras!$O$388=""),"",IF(Registro_Compras!$AB$388="ADMINISTRATIVO","94","95"))</f>
        <v/>
      </c>
      <c r="D3464">
        <f>IF(OR(Registro_Compras!$C$388="",Registro_Compras!$O$388=""),"",IF(Registro_Compras!$AB$388="ADMINISTRATIVO","Gastos Administrativos","Gastos de Venta y Operacion"))</f>
        <v/>
      </c>
      <c r="E3464" s="20">
        <f>IF($C3464="","",IF(Registro_Compras!$F$388="NOTA DE CREDITO","",IF(Registro_Compras!$F$388="RHE",ROUND(Registro_Compras!$L$388*Registro_Compras!$N$388,2),ROUND(Registro_Compras!$J$388*Registro_Compras!$N$388,2))))</f>
        <v/>
      </c>
      <c r="F3464" s="20">
        <f>IF($C3464="","",IF(Registro_Compras!$F$388="NOTA DE CREDITO",ROUND(ABS(Registro_Compras!$J$388*Registro_Compras!$N$388),2),""))</f>
        <v/>
      </c>
      <c r="G3464">
        <f>IF($C3464="","","Por el destino del gasto")</f>
        <v/>
      </c>
      <c r="H3464">
        <f>IF($C3464="","",Registro_Compras!$C$388)</f>
        <v/>
      </c>
    </row>
    <row r="3465">
      <c r="A3465" s="25">
        <f>IF($C3465="","",Registro_Compras!$B$388)</f>
        <v/>
      </c>
      <c r="B3465">
        <f>IF($C3465="","","C"&amp;TEXT(INT((ROW()-5)/9)+1,"000")&amp;"-2")</f>
        <v/>
      </c>
      <c r="C3465">
        <f>IF(OR(Registro_Compras!$C$388="",Registro_Compras!$O$388=""),"","79/791")</f>
        <v/>
      </c>
      <c r="D3465">
        <f>IF(OR(Registro_Compras!$C$388="",Registro_Compras!$O$388=""),"","Cargas Imputables a Cuentas de Costos y Gastos")</f>
        <v/>
      </c>
      <c r="E3465" s="20">
        <f>IF($C3465="","",IF(Registro_Compras!$F$388="NOTA DE CREDITO",ROUND(ABS(Registro_Compras!$J$388*Registro_Compras!$N$388),2),""))</f>
        <v/>
      </c>
      <c r="F3465" s="20">
        <f>IF($C3465="","",IF(Registro_Compras!$F$388="NOTA DE CREDITO","",IF(Registro_Compras!$F$388="RHE",ROUND(Registro_Compras!$L$388*Registro_Compras!$N$388,2),ROUND(Registro_Compras!$J$388*Registro_Compras!$N$388,2))))</f>
        <v/>
      </c>
      <c r="G3465">
        <f>IF($C3465="","","Por el destino del gasto")</f>
        <v/>
      </c>
      <c r="H3465">
        <f>IF($C3465="","",Registro_Compras!$C$388)</f>
        <v/>
      </c>
    </row>
    <row r="3466">
      <c r="A3466" s="25">
        <f>IF($C3466="","",Registro_Compras!$X$388)</f>
        <v/>
      </c>
      <c r="B3466">
        <f>IF($C3466="","","C"&amp;TEXT(INT((ROW()-5)/9)+1,"000")&amp;"-3")</f>
        <v/>
      </c>
      <c r="C3466">
        <f>IF(OR(Registro_Compras!$C$388="",Registro_Compras!$O$388="",Registro_Compras!$R$388&lt;&gt;"SI",Registro_Compras!$X$388=""),"","4212")</f>
        <v/>
      </c>
      <c r="D3466">
        <f>IF(OR(Registro_Compras!$C$388="",Registro_Compras!$O$388=""),"","Cuentas por Pagar Comerciales - Terceros")</f>
        <v/>
      </c>
      <c r="E3466" s="20">
        <f>IF($C3466="","",Registro_Compras!$S$388)</f>
        <v/>
      </c>
      <c r="F3466" s="20">
        <f>""</f>
        <v/>
      </c>
      <c r="G3466">
        <f>IF($C3466="","","Por el deposito de la detraccion en el Banco de la Nacion")</f>
        <v/>
      </c>
      <c r="H3466">
        <f>IF($C3466="","",Registro_Compras!$C$388)</f>
        <v/>
      </c>
    </row>
    <row r="3467">
      <c r="A3467" s="25">
        <f>IF($C3467="","",Registro_Compras!$X$388)</f>
        <v/>
      </c>
      <c r="B3467">
        <f>IF($C3467="","","C"&amp;TEXT(INT((ROW()-5)/9)+1,"000")&amp;"-3")</f>
        <v/>
      </c>
      <c r="C3467">
        <f>IF(OR(Registro_Compras!$C$388="",Registro_Compras!$O$388="",Registro_Compras!$R$388&lt;&gt;"SI",Registro_Compras!$X$388=""),"","10413")</f>
        <v/>
      </c>
      <c r="D3467">
        <f>IF(OR(Registro_Compras!$C$388="",Registro_Compras!$O$388=""),"","Efectivo y Equivalentes - Cta. Cte. Operativa")</f>
        <v/>
      </c>
      <c r="E3467" s="20">
        <f>""</f>
        <v/>
      </c>
      <c r="F3467" s="20">
        <f>IF($C3467="","",Registro_Compras!$S$388)</f>
        <v/>
      </c>
      <c r="G3467">
        <f>IF($C3467="","","Por el deposito de la detraccion en el Banco de la Nacion")</f>
        <v/>
      </c>
      <c r="H3467">
        <f>IF($C3467="","",Registro_Compras!$C$388)</f>
        <v/>
      </c>
    </row>
    <row r="3468">
      <c r="A3468" s="25">
        <f>IF($C3468="","",Registro_Compras!$Y$388)</f>
        <v/>
      </c>
      <c r="B3468">
        <f>IF($C3468="","","C"&amp;TEXT(INT((ROW()-5)/9)+1,"000")&amp;"-4")</f>
        <v/>
      </c>
      <c r="C3468">
        <f>IF(OR(Registro_Compras!$C$388="",Registro_Compras!$O$388="",Registro_Compras!$Y$388="",Registro_Compras!$F$388="NOTA DE CREDITO"),"","4212")</f>
        <v/>
      </c>
      <c r="D3468">
        <f>IF(OR(Registro_Compras!$C$388="",Registro_Compras!$O$388=""),"","Cuentas por Pagar Comerciales - Terceros")</f>
        <v/>
      </c>
      <c r="E3468" s="20">
        <f>IF($C3468="","",IF(Registro_Compras!$F$388="RHE",(ROUND(Registro_Compras!$L$388*Registro_Compras!$N$388,2)-ROUND(Registro_Compras!$V$388*Registro_Compras!$N$388,2)),ROUND(Registro_Compras!$O$388-Registro_Compras!$S$388,2)))</f>
        <v/>
      </c>
      <c r="F3468" s="20">
        <f>""</f>
        <v/>
      </c>
      <c r="G3468">
        <f>IF($C3468="","","Por la cancelacion del saldo al proveedor")</f>
        <v/>
      </c>
      <c r="H3468">
        <f>IF($C3468="","",Registro_Compras!$C$388)</f>
        <v/>
      </c>
    </row>
    <row r="3469">
      <c r="A3469" s="25">
        <f>IF($C3469="","",Registro_Compras!$Y$388)</f>
        <v/>
      </c>
      <c r="B3469">
        <f>IF($C3469="","","C"&amp;TEXT(INT((ROW()-5)/9)+1,"000")&amp;"-4")</f>
        <v/>
      </c>
      <c r="C3469">
        <f>IF(OR(Registro_Compras!$C$388="",Registro_Compras!$O$388="",Registro_Compras!$Y$388="",Registro_Compras!$F$388="NOTA DE CREDITO"),"","10413")</f>
        <v/>
      </c>
      <c r="D3469">
        <f>IF(OR(Registro_Compras!$C$388="",Registro_Compras!$O$388=""),"","Efectivo y Equivalentes - Cta. Cte. Operativa")</f>
        <v/>
      </c>
      <c r="E3469" s="20">
        <f>""</f>
        <v/>
      </c>
      <c r="F3469" s="20">
        <f>IF($C3469="","",IF(Registro_Compras!$F$388="RHE",(ROUND(Registro_Compras!$L$388*Registro_Compras!$N$388,2)-ROUND(Registro_Compras!$V$388*Registro_Compras!$N$388,2)),ROUND(Registro_Compras!$O$388-Registro_Compras!$S$388,2)))</f>
        <v/>
      </c>
      <c r="G3469">
        <f>IF($C3469="","","Por la cancelacion del saldo al proveedor")</f>
        <v/>
      </c>
      <c r="H3469">
        <f>IF($C3469="","",Registro_Compras!$C$388)</f>
        <v/>
      </c>
    </row>
    <row r="3470">
      <c r="A3470" s="25">
        <f>IF($C3470="","",Registro_Compras!$B$389)</f>
        <v/>
      </c>
      <c r="B3470">
        <f>IF($C3470="","","C"&amp;TEXT(INT((ROW()-5)/9)+1,"000")&amp;"-1")</f>
        <v/>
      </c>
      <c r="C3470">
        <f>IF(OR(Registro_Compras!$C$389="",Registro_Compras!$O$389=""),"",IF(Registro_Compras!$F$389="NOTA DE CREDITO","4212",IF(Registro_Compras!$M$389="","63",Registro_Compras!$M$389)))</f>
        <v/>
      </c>
      <c r="D3470">
        <f>IF(OR(Registro_Compras!$C$389="",Registro_Compras!$O$389=""),"",IF(Registro_Compras!$F$389="NOTA DE CREDITO","Cuentas por Pagar Comerciales - Terceros (Emitidas)",IF(Registro_Compras!$F$389="RHE","Honorarios Profesionales - Servicios de Terceros","Gastos de Servicios Prestados por Terceros")))</f>
        <v/>
      </c>
      <c r="E3470" s="20">
        <f>IF($C3470="","",IF(Registro_Compras!$F$389="NOTA DE CREDITO",ABS(Registro_Compras!$O$389),IF(Registro_Compras!$F$389="RHE",ROUND(Registro_Compras!$L$389*Registro_Compras!$N$389,2),ROUND(Registro_Compras!$J$389*Registro_Compras!$N$389,2))))</f>
        <v/>
      </c>
      <c r="F3470" s="20">
        <f>""</f>
        <v/>
      </c>
      <c r="G3470">
        <f>IF($C3470="","",IF(Registro_Compras!$F$389="NOTA DE CREDITO","Por la nota de credito "&amp;Registro_Compras!$C$389&amp;" de "&amp;Registro_Compras!$E$389&amp;" [PATRON POR CONFIRMAR CON CONTADOR]",IF(Registro_Compras!$F$389="RHE","Por el registro del recibo por honorarios "&amp;Registro_Compras!$C$389&amp;" de "&amp;Registro_Compras!$E$389&amp;" [PATRON POR CONFIRMAR CON CONTADOR]","Por el registro de la factura "&amp;Registro_Compras!$C$389&amp;" de "&amp;Registro_Compras!$E$389)))</f>
        <v/>
      </c>
      <c r="H3470">
        <f>IF($C3470="","",Registro_Compras!$C$389)</f>
        <v/>
      </c>
    </row>
    <row r="3471">
      <c r="A3471" s="25">
        <f>IF($C3471="","",Registro_Compras!$B$389)</f>
        <v/>
      </c>
      <c r="B3471">
        <f>IF($C3471="","","C"&amp;TEXT(INT((ROW()-5)/9)+1,"000")&amp;"-1")</f>
        <v/>
      </c>
      <c r="C3471">
        <f>IF(OR(Registro_Compras!$C$389="",Registro_Compras!$O$389=""),"",IF(Registro_Compras!$F$389="RHE",IF(Registro_Compras!$V$389=0,"","40172"),IF(Registro_Compras!$F$389="NOTA DE CREDITO",IF(Registro_Compras!$M$389="","63",Registro_Compras!$M$389),IF(Registro_Compras!$K$389=0,"","40111"))))</f>
        <v/>
      </c>
      <c r="D3471">
        <f>IF(OR(Registro_Compras!$C$389="",Registro_Compras!$O$389=""),"",IF(Registro_Compras!$F$389="RHE","Retencion Renta 4ta Categoria por Pagar",IF(Registro_Compras!$F$389="NOTA DE CREDITO","Gastos de Servicios Prestados por Terceros","IGV - Cuenta Propia (Credito Fiscal)")))</f>
        <v/>
      </c>
      <c r="E3471" s="20">
        <f>IF($C3471="","",IF(Registro_Compras!$F$389="FACTURA",ROUND(Registro_Compras!$K$389*Registro_Compras!$N$389,2),""))</f>
        <v/>
      </c>
      <c r="F3471" s="20">
        <f>IF($C3471="","",IF(Registro_Compras!$F$389="RHE",ROUND(Registro_Compras!$V$389*Registro_Compras!$N$389,2),IF(Registro_Compras!$F$389="NOTA DE CREDITO",ROUND(ABS(Registro_Compras!$J$389*Registro_Compras!$N$389),2),"")))</f>
        <v/>
      </c>
      <c r="G3471">
        <f>IF($C3471="","",IF(Registro_Compras!$F$389="NOTA DE CREDITO","Por la nota de credito "&amp;Registro_Compras!$C$389&amp;" de "&amp;Registro_Compras!$E$389&amp;" [PATRON POR CONFIRMAR CON CONTADOR]",IF(Registro_Compras!$F$389="RHE","Por el registro del recibo por honorarios "&amp;Registro_Compras!$C$389&amp;" de "&amp;Registro_Compras!$E$389&amp;" [PATRON POR CONFIRMAR CON CONTADOR]","Por el registro de la factura "&amp;Registro_Compras!$C$389&amp;" de "&amp;Registro_Compras!$E$389)))</f>
        <v/>
      </c>
      <c r="H3471">
        <f>IF($C3471="","",Registro_Compras!$C$389)</f>
        <v/>
      </c>
    </row>
    <row r="3472">
      <c r="A3472" s="25">
        <f>IF($C3472="","",Registro_Compras!$B$389)</f>
        <v/>
      </c>
      <c r="B3472">
        <f>IF($C3472="","","C"&amp;TEXT(INT((ROW()-5)/9)+1,"000")&amp;"-1")</f>
        <v/>
      </c>
      <c r="C3472">
        <f>IF(OR(Registro_Compras!$C$389="",Registro_Compras!$O$389=""),"",IF(Registro_Compras!$F$389="NOTA DE CREDITO",IF(Registro_Compras!$K$389=0,"","40111"),"4212"))</f>
        <v/>
      </c>
      <c r="D3472">
        <f>IF(OR(Registro_Compras!$C$389="",Registro_Compras!$O$389=""),"",IF(Registro_Compras!$F$389="NOTA DE CREDITO","IGV - Cuenta Propia (Credito Fiscal)","Cuentas por Pagar Comerciales - Terceros (Emitidas)"))</f>
        <v/>
      </c>
      <c r="E3472" s="20">
        <f>""</f>
        <v/>
      </c>
      <c r="F3472" s="20">
        <f>IF($C3472="","",IF(Registro_Compras!$F$389="NOTA DE CREDITO",ROUND(ABS(Registro_Compras!$K$389*Registro_Compras!$N$389),2),IF(Registro_Compras!$F$389="RHE",(ROUND(Registro_Compras!$L$389*Registro_Compras!$N$389,2)-ROUND(Registro_Compras!$V$389*Registro_Compras!$N$389,2)),Registro_Compras!$O$389)))</f>
        <v/>
      </c>
      <c r="G3472">
        <f>IF($C3472="","",IF(Registro_Compras!$F$389="NOTA DE CREDITO","Por la nota de credito "&amp;Registro_Compras!$C$389&amp;" de "&amp;Registro_Compras!$E$389&amp;" [PATRON POR CONFIRMAR CON CONTADOR]",IF(Registro_Compras!$F$389="RHE","Por el registro del recibo por honorarios "&amp;Registro_Compras!$C$389&amp;" de "&amp;Registro_Compras!$E$389&amp;" [PATRON POR CONFIRMAR CON CONTADOR]","Por el registro de la factura "&amp;Registro_Compras!$C$389&amp;" de "&amp;Registro_Compras!$E$389)))</f>
        <v/>
      </c>
      <c r="H3472">
        <f>IF($C3472="","",Registro_Compras!$C$389)</f>
        <v/>
      </c>
    </row>
    <row r="3473">
      <c r="A3473" s="25">
        <f>IF($C3473="","",Registro_Compras!$B$389)</f>
        <v/>
      </c>
      <c r="B3473">
        <f>IF($C3473="","","C"&amp;TEXT(INT((ROW()-5)/9)+1,"000")&amp;"-2")</f>
        <v/>
      </c>
      <c r="C3473">
        <f>IF(OR(Registro_Compras!$C$389="",Registro_Compras!$O$389=""),"",IF(Registro_Compras!$AB$389="ADMINISTRATIVO","94","95"))</f>
        <v/>
      </c>
      <c r="D3473">
        <f>IF(OR(Registro_Compras!$C$389="",Registro_Compras!$O$389=""),"",IF(Registro_Compras!$AB$389="ADMINISTRATIVO","Gastos Administrativos","Gastos de Venta y Operacion"))</f>
        <v/>
      </c>
      <c r="E3473" s="20">
        <f>IF($C3473="","",IF(Registro_Compras!$F$389="NOTA DE CREDITO","",IF(Registro_Compras!$F$389="RHE",ROUND(Registro_Compras!$L$389*Registro_Compras!$N$389,2),ROUND(Registro_Compras!$J$389*Registro_Compras!$N$389,2))))</f>
        <v/>
      </c>
      <c r="F3473" s="20">
        <f>IF($C3473="","",IF(Registro_Compras!$F$389="NOTA DE CREDITO",ROUND(ABS(Registro_Compras!$J$389*Registro_Compras!$N$389),2),""))</f>
        <v/>
      </c>
      <c r="G3473">
        <f>IF($C3473="","","Por el destino del gasto")</f>
        <v/>
      </c>
      <c r="H3473">
        <f>IF($C3473="","",Registro_Compras!$C$389)</f>
        <v/>
      </c>
    </row>
    <row r="3474">
      <c r="A3474" s="25">
        <f>IF($C3474="","",Registro_Compras!$B$389)</f>
        <v/>
      </c>
      <c r="B3474">
        <f>IF($C3474="","","C"&amp;TEXT(INT((ROW()-5)/9)+1,"000")&amp;"-2")</f>
        <v/>
      </c>
      <c r="C3474">
        <f>IF(OR(Registro_Compras!$C$389="",Registro_Compras!$O$389=""),"","79/791")</f>
        <v/>
      </c>
      <c r="D3474">
        <f>IF(OR(Registro_Compras!$C$389="",Registro_Compras!$O$389=""),"","Cargas Imputables a Cuentas de Costos y Gastos")</f>
        <v/>
      </c>
      <c r="E3474" s="20">
        <f>IF($C3474="","",IF(Registro_Compras!$F$389="NOTA DE CREDITO",ROUND(ABS(Registro_Compras!$J$389*Registro_Compras!$N$389),2),""))</f>
        <v/>
      </c>
      <c r="F3474" s="20">
        <f>IF($C3474="","",IF(Registro_Compras!$F$389="NOTA DE CREDITO","",IF(Registro_Compras!$F$389="RHE",ROUND(Registro_Compras!$L$389*Registro_Compras!$N$389,2),ROUND(Registro_Compras!$J$389*Registro_Compras!$N$389,2))))</f>
        <v/>
      </c>
      <c r="G3474">
        <f>IF($C3474="","","Por el destino del gasto")</f>
        <v/>
      </c>
      <c r="H3474">
        <f>IF($C3474="","",Registro_Compras!$C$389)</f>
        <v/>
      </c>
    </row>
    <row r="3475">
      <c r="A3475" s="25">
        <f>IF($C3475="","",Registro_Compras!$X$389)</f>
        <v/>
      </c>
      <c r="B3475">
        <f>IF($C3475="","","C"&amp;TEXT(INT((ROW()-5)/9)+1,"000")&amp;"-3")</f>
        <v/>
      </c>
      <c r="C3475">
        <f>IF(OR(Registro_Compras!$C$389="",Registro_Compras!$O$389="",Registro_Compras!$R$389&lt;&gt;"SI",Registro_Compras!$X$389=""),"","4212")</f>
        <v/>
      </c>
      <c r="D3475">
        <f>IF(OR(Registro_Compras!$C$389="",Registro_Compras!$O$389=""),"","Cuentas por Pagar Comerciales - Terceros")</f>
        <v/>
      </c>
      <c r="E3475" s="20">
        <f>IF($C3475="","",Registro_Compras!$S$389)</f>
        <v/>
      </c>
      <c r="F3475" s="20">
        <f>""</f>
        <v/>
      </c>
      <c r="G3475">
        <f>IF($C3475="","","Por el deposito de la detraccion en el Banco de la Nacion")</f>
        <v/>
      </c>
      <c r="H3475">
        <f>IF($C3475="","",Registro_Compras!$C$389)</f>
        <v/>
      </c>
    </row>
    <row r="3476">
      <c r="A3476" s="25">
        <f>IF($C3476="","",Registro_Compras!$X$389)</f>
        <v/>
      </c>
      <c r="B3476">
        <f>IF($C3476="","","C"&amp;TEXT(INT((ROW()-5)/9)+1,"000")&amp;"-3")</f>
        <v/>
      </c>
      <c r="C3476">
        <f>IF(OR(Registro_Compras!$C$389="",Registro_Compras!$O$389="",Registro_Compras!$R$389&lt;&gt;"SI",Registro_Compras!$X$389=""),"","10413")</f>
        <v/>
      </c>
      <c r="D3476">
        <f>IF(OR(Registro_Compras!$C$389="",Registro_Compras!$O$389=""),"","Efectivo y Equivalentes - Cta. Cte. Operativa")</f>
        <v/>
      </c>
      <c r="E3476" s="20">
        <f>""</f>
        <v/>
      </c>
      <c r="F3476" s="20">
        <f>IF($C3476="","",Registro_Compras!$S$389)</f>
        <v/>
      </c>
      <c r="G3476">
        <f>IF($C3476="","","Por el deposito de la detraccion en el Banco de la Nacion")</f>
        <v/>
      </c>
      <c r="H3476">
        <f>IF($C3476="","",Registro_Compras!$C$389)</f>
        <v/>
      </c>
    </row>
    <row r="3477">
      <c r="A3477" s="25">
        <f>IF($C3477="","",Registro_Compras!$Y$389)</f>
        <v/>
      </c>
      <c r="B3477">
        <f>IF($C3477="","","C"&amp;TEXT(INT((ROW()-5)/9)+1,"000")&amp;"-4")</f>
        <v/>
      </c>
      <c r="C3477">
        <f>IF(OR(Registro_Compras!$C$389="",Registro_Compras!$O$389="",Registro_Compras!$Y$389="",Registro_Compras!$F$389="NOTA DE CREDITO"),"","4212")</f>
        <v/>
      </c>
      <c r="D3477">
        <f>IF(OR(Registro_Compras!$C$389="",Registro_Compras!$O$389=""),"","Cuentas por Pagar Comerciales - Terceros")</f>
        <v/>
      </c>
      <c r="E3477" s="20">
        <f>IF($C3477="","",IF(Registro_Compras!$F$389="RHE",(ROUND(Registro_Compras!$L$389*Registro_Compras!$N$389,2)-ROUND(Registro_Compras!$V$389*Registro_Compras!$N$389,2)),ROUND(Registro_Compras!$O$389-Registro_Compras!$S$389,2)))</f>
        <v/>
      </c>
      <c r="F3477" s="20">
        <f>""</f>
        <v/>
      </c>
      <c r="G3477">
        <f>IF($C3477="","","Por la cancelacion del saldo al proveedor")</f>
        <v/>
      </c>
      <c r="H3477">
        <f>IF($C3477="","",Registro_Compras!$C$389)</f>
        <v/>
      </c>
    </row>
    <row r="3478">
      <c r="A3478" s="25">
        <f>IF($C3478="","",Registro_Compras!$Y$389)</f>
        <v/>
      </c>
      <c r="B3478">
        <f>IF($C3478="","","C"&amp;TEXT(INT((ROW()-5)/9)+1,"000")&amp;"-4")</f>
        <v/>
      </c>
      <c r="C3478">
        <f>IF(OR(Registro_Compras!$C$389="",Registro_Compras!$O$389="",Registro_Compras!$Y$389="",Registro_Compras!$F$389="NOTA DE CREDITO"),"","10413")</f>
        <v/>
      </c>
      <c r="D3478">
        <f>IF(OR(Registro_Compras!$C$389="",Registro_Compras!$O$389=""),"","Efectivo y Equivalentes - Cta. Cte. Operativa")</f>
        <v/>
      </c>
      <c r="E3478" s="20">
        <f>""</f>
        <v/>
      </c>
      <c r="F3478" s="20">
        <f>IF($C3478="","",IF(Registro_Compras!$F$389="RHE",(ROUND(Registro_Compras!$L$389*Registro_Compras!$N$389,2)-ROUND(Registro_Compras!$V$389*Registro_Compras!$N$389,2)),ROUND(Registro_Compras!$O$389-Registro_Compras!$S$389,2)))</f>
        <v/>
      </c>
      <c r="G3478">
        <f>IF($C3478="","","Por la cancelacion del saldo al proveedor")</f>
        <v/>
      </c>
      <c r="H3478">
        <f>IF($C3478="","",Registro_Compras!$C$389)</f>
        <v/>
      </c>
    </row>
    <row r="3479">
      <c r="A3479" s="25">
        <f>IF($C3479="","",Registro_Compras!$B$390)</f>
        <v/>
      </c>
      <c r="B3479">
        <f>IF($C3479="","","C"&amp;TEXT(INT((ROW()-5)/9)+1,"000")&amp;"-1")</f>
        <v/>
      </c>
      <c r="C3479">
        <f>IF(OR(Registro_Compras!$C$390="",Registro_Compras!$O$390=""),"",IF(Registro_Compras!$F$390="NOTA DE CREDITO","4212",IF(Registro_Compras!$M$390="","63",Registro_Compras!$M$390)))</f>
        <v/>
      </c>
      <c r="D3479">
        <f>IF(OR(Registro_Compras!$C$390="",Registro_Compras!$O$390=""),"",IF(Registro_Compras!$F$390="NOTA DE CREDITO","Cuentas por Pagar Comerciales - Terceros (Emitidas)",IF(Registro_Compras!$F$390="RHE","Honorarios Profesionales - Servicios de Terceros","Gastos de Servicios Prestados por Terceros")))</f>
        <v/>
      </c>
      <c r="E3479" s="20">
        <f>IF($C3479="","",IF(Registro_Compras!$F$390="NOTA DE CREDITO",ABS(Registro_Compras!$O$390),IF(Registro_Compras!$F$390="RHE",ROUND(Registro_Compras!$L$390*Registro_Compras!$N$390,2),ROUND(Registro_Compras!$J$390*Registro_Compras!$N$390,2))))</f>
        <v/>
      </c>
      <c r="F3479" s="20">
        <f>""</f>
        <v/>
      </c>
      <c r="G3479">
        <f>IF($C3479="","",IF(Registro_Compras!$F$390="NOTA DE CREDITO","Por la nota de credito "&amp;Registro_Compras!$C$390&amp;" de "&amp;Registro_Compras!$E$390&amp;" [PATRON POR CONFIRMAR CON CONTADOR]",IF(Registro_Compras!$F$390="RHE","Por el registro del recibo por honorarios "&amp;Registro_Compras!$C$390&amp;" de "&amp;Registro_Compras!$E$390&amp;" [PATRON POR CONFIRMAR CON CONTADOR]","Por el registro de la factura "&amp;Registro_Compras!$C$390&amp;" de "&amp;Registro_Compras!$E$390)))</f>
        <v/>
      </c>
      <c r="H3479">
        <f>IF($C3479="","",Registro_Compras!$C$390)</f>
        <v/>
      </c>
    </row>
    <row r="3480">
      <c r="A3480" s="25">
        <f>IF($C3480="","",Registro_Compras!$B$390)</f>
        <v/>
      </c>
      <c r="B3480">
        <f>IF($C3480="","","C"&amp;TEXT(INT((ROW()-5)/9)+1,"000")&amp;"-1")</f>
        <v/>
      </c>
      <c r="C3480">
        <f>IF(OR(Registro_Compras!$C$390="",Registro_Compras!$O$390=""),"",IF(Registro_Compras!$F$390="RHE",IF(Registro_Compras!$V$390=0,"","40172"),IF(Registro_Compras!$F$390="NOTA DE CREDITO",IF(Registro_Compras!$M$390="","63",Registro_Compras!$M$390),IF(Registro_Compras!$K$390=0,"","40111"))))</f>
        <v/>
      </c>
      <c r="D3480">
        <f>IF(OR(Registro_Compras!$C$390="",Registro_Compras!$O$390=""),"",IF(Registro_Compras!$F$390="RHE","Retencion Renta 4ta Categoria por Pagar",IF(Registro_Compras!$F$390="NOTA DE CREDITO","Gastos de Servicios Prestados por Terceros","IGV - Cuenta Propia (Credito Fiscal)")))</f>
        <v/>
      </c>
      <c r="E3480" s="20">
        <f>IF($C3480="","",IF(Registro_Compras!$F$390="FACTURA",ROUND(Registro_Compras!$K$390*Registro_Compras!$N$390,2),""))</f>
        <v/>
      </c>
      <c r="F3480" s="20">
        <f>IF($C3480="","",IF(Registro_Compras!$F$390="RHE",ROUND(Registro_Compras!$V$390*Registro_Compras!$N$390,2),IF(Registro_Compras!$F$390="NOTA DE CREDITO",ROUND(ABS(Registro_Compras!$J$390*Registro_Compras!$N$390),2),"")))</f>
        <v/>
      </c>
      <c r="G3480">
        <f>IF($C3480="","",IF(Registro_Compras!$F$390="NOTA DE CREDITO","Por la nota de credito "&amp;Registro_Compras!$C$390&amp;" de "&amp;Registro_Compras!$E$390&amp;" [PATRON POR CONFIRMAR CON CONTADOR]",IF(Registro_Compras!$F$390="RHE","Por el registro del recibo por honorarios "&amp;Registro_Compras!$C$390&amp;" de "&amp;Registro_Compras!$E$390&amp;" [PATRON POR CONFIRMAR CON CONTADOR]","Por el registro de la factura "&amp;Registro_Compras!$C$390&amp;" de "&amp;Registro_Compras!$E$390)))</f>
        <v/>
      </c>
      <c r="H3480">
        <f>IF($C3480="","",Registro_Compras!$C$390)</f>
        <v/>
      </c>
    </row>
    <row r="3481">
      <c r="A3481" s="25">
        <f>IF($C3481="","",Registro_Compras!$B$390)</f>
        <v/>
      </c>
      <c r="B3481">
        <f>IF($C3481="","","C"&amp;TEXT(INT((ROW()-5)/9)+1,"000")&amp;"-1")</f>
        <v/>
      </c>
      <c r="C3481">
        <f>IF(OR(Registro_Compras!$C$390="",Registro_Compras!$O$390=""),"",IF(Registro_Compras!$F$390="NOTA DE CREDITO",IF(Registro_Compras!$K$390=0,"","40111"),"4212"))</f>
        <v/>
      </c>
      <c r="D3481">
        <f>IF(OR(Registro_Compras!$C$390="",Registro_Compras!$O$390=""),"",IF(Registro_Compras!$F$390="NOTA DE CREDITO","IGV - Cuenta Propia (Credito Fiscal)","Cuentas por Pagar Comerciales - Terceros (Emitidas)"))</f>
        <v/>
      </c>
      <c r="E3481" s="20">
        <f>""</f>
        <v/>
      </c>
      <c r="F3481" s="20">
        <f>IF($C3481="","",IF(Registro_Compras!$F$390="NOTA DE CREDITO",ROUND(ABS(Registro_Compras!$K$390*Registro_Compras!$N$390),2),IF(Registro_Compras!$F$390="RHE",(ROUND(Registro_Compras!$L$390*Registro_Compras!$N$390,2)-ROUND(Registro_Compras!$V$390*Registro_Compras!$N$390,2)),Registro_Compras!$O$390)))</f>
        <v/>
      </c>
      <c r="G3481">
        <f>IF($C3481="","",IF(Registro_Compras!$F$390="NOTA DE CREDITO","Por la nota de credito "&amp;Registro_Compras!$C$390&amp;" de "&amp;Registro_Compras!$E$390&amp;" [PATRON POR CONFIRMAR CON CONTADOR]",IF(Registro_Compras!$F$390="RHE","Por el registro del recibo por honorarios "&amp;Registro_Compras!$C$390&amp;" de "&amp;Registro_Compras!$E$390&amp;" [PATRON POR CONFIRMAR CON CONTADOR]","Por el registro de la factura "&amp;Registro_Compras!$C$390&amp;" de "&amp;Registro_Compras!$E$390)))</f>
        <v/>
      </c>
      <c r="H3481">
        <f>IF($C3481="","",Registro_Compras!$C$390)</f>
        <v/>
      </c>
    </row>
    <row r="3482">
      <c r="A3482" s="25">
        <f>IF($C3482="","",Registro_Compras!$B$390)</f>
        <v/>
      </c>
      <c r="B3482">
        <f>IF($C3482="","","C"&amp;TEXT(INT((ROW()-5)/9)+1,"000")&amp;"-2")</f>
        <v/>
      </c>
      <c r="C3482">
        <f>IF(OR(Registro_Compras!$C$390="",Registro_Compras!$O$390=""),"",IF(Registro_Compras!$AB$390="ADMINISTRATIVO","94","95"))</f>
        <v/>
      </c>
      <c r="D3482">
        <f>IF(OR(Registro_Compras!$C$390="",Registro_Compras!$O$390=""),"",IF(Registro_Compras!$AB$390="ADMINISTRATIVO","Gastos Administrativos","Gastos de Venta y Operacion"))</f>
        <v/>
      </c>
      <c r="E3482" s="20">
        <f>IF($C3482="","",IF(Registro_Compras!$F$390="NOTA DE CREDITO","",IF(Registro_Compras!$F$390="RHE",ROUND(Registro_Compras!$L$390*Registro_Compras!$N$390,2),ROUND(Registro_Compras!$J$390*Registro_Compras!$N$390,2))))</f>
        <v/>
      </c>
      <c r="F3482" s="20">
        <f>IF($C3482="","",IF(Registro_Compras!$F$390="NOTA DE CREDITO",ROUND(ABS(Registro_Compras!$J$390*Registro_Compras!$N$390),2),""))</f>
        <v/>
      </c>
      <c r="G3482">
        <f>IF($C3482="","","Por el destino del gasto")</f>
        <v/>
      </c>
      <c r="H3482">
        <f>IF($C3482="","",Registro_Compras!$C$390)</f>
        <v/>
      </c>
    </row>
    <row r="3483">
      <c r="A3483" s="25">
        <f>IF($C3483="","",Registro_Compras!$B$390)</f>
        <v/>
      </c>
      <c r="B3483">
        <f>IF($C3483="","","C"&amp;TEXT(INT((ROW()-5)/9)+1,"000")&amp;"-2")</f>
        <v/>
      </c>
      <c r="C3483">
        <f>IF(OR(Registro_Compras!$C$390="",Registro_Compras!$O$390=""),"","79/791")</f>
        <v/>
      </c>
      <c r="D3483">
        <f>IF(OR(Registro_Compras!$C$390="",Registro_Compras!$O$390=""),"","Cargas Imputables a Cuentas de Costos y Gastos")</f>
        <v/>
      </c>
      <c r="E3483" s="20">
        <f>IF($C3483="","",IF(Registro_Compras!$F$390="NOTA DE CREDITO",ROUND(ABS(Registro_Compras!$J$390*Registro_Compras!$N$390),2),""))</f>
        <v/>
      </c>
      <c r="F3483" s="20">
        <f>IF($C3483="","",IF(Registro_Compras!$F$390="NOTA DE CREDITO","",IF(Registro_Compras!$F$390="RHE",ROUND(Registro_Compras!$L$390*Registro_Compras!$N$390,2),ROUND(Registro_Compras!$J$390*Registro_Compras!$N$390,2))))</f>
        <v/>
      </c>
      <c r="G3483">
        <f>IF($C3483="","","Por el destino del gasto")</f>
        <v/>
      </c>
      <c r="H3483">
        <f>IF($C3483="","",Registro_Compras!$C$390)</f>
        <v/>
      </c>
    </row>
    <row r="3484">
      <c r="A3484" s="25">
        <f>IF($C3484="","",Registro_Compras!$X$390)</f>
        <v/>
      </c>
      <c r="B3484">
        <f>IF($C3484="","","C"&amp;TEXT(INT((ROW()-5)/9)+1,"000")&amp;"-3")</f>
        <v/>
      </c>
      <c r="C3484">
        <f>IF(OR(Registro_Compras!$C$390="",Registro_Compras!$O$390="",Registro_Compras!$R$390&lt;&gt;"SI",Registro_Compras!$X$390=""),"","4212")</f>
        <v/>
      </c>
      <c r="D3484">
        <f>IF(OR(Registro_Compras!$C$390="",Registro_Compras!$O$390=""),"","Cuentas por Pagar Comerciales - Terceros")</f>
        <v/>
      </c>
      <c r="E3484" s="20">
        <f>IF($C3484="","",Registro_Compras!$S$390)</f>
        <v/>
      </c>
      <c r="F3484" s="20">
        <f>""</f>
        <v/>
      </c>
      <c r="G3484">
        <f>IF($C3484="","","Por el deposito de la detraccion en el Banco de la Nacion")</f>
        <v/>
      </c>
      <c r="H3484">
        <f>IF($C3484="","",Registro_Compras!$C$390)</f>
        <v/>
      </c>
    </row>
    <row r="3485">
      <c r="A3485" s="25">
        <f>IF($C3485="","",Registro_Compras!$X$390)</f>
        <v/>
      </c>
      <c r="B3485">
        <f>IF($C3485="","","C"&amp;TEXT(INT((ROW()-5)/9)+1,"000")&amp;"-3")</f>
        <v/>
      </c>
      <c r="C3485">
        <f>IF(OR(Registro_Compras!$C$390="",Registro_Compras!$O$390="",Registro_Compras!$R$390&lt;&gt;"SI",Registro_Compras!$X$390=""),"","10413")</f>
        <v/>
      </c>
      <c r="D3485">
        <f>IF(OR(Registro_Compras!$C$390="",Registro_Compras!$O$390=""),"","Efectivo y Equivalentes - Cta. Cte. Operativa")</f>
        <v/>
      </c>
      <c r="E3485" s="20">
        <f>""</f>
        <v/>
      </c>
      <c r="F3485" s="20">
        <f>IF($C3485="","",Registro_Compras!$S$390)</f>
        <v/>
      </c>
      <c r="G3485">
        <f>IF($C3485="","","Por el deposito de la detraccion en el Banco de la Nacion")</f>
        <v/>
      </c>
      <c r="H3485">
        <f>IF($C3485="","",Registro_Compras!$C$390)</f>
        <v/>
      </c>
    </row>
    <row r="3486">
      <c r="A3486" s="25">
        <f>IF($C3486="","",Registro_Compras!$Y$390)</f>
        <v/>
      </c>
      <c r="B3486">
        <f>IF($C3486="","","C"&amp;TEXT(INT((ROW()-5)/9)+1,"000")&amp;"-4")</f>
        <v/>
      </c>
      <c r="C3486">
        <f>IF(OR(Registro_Compras!$C$390="",Registro_Compras!$O$390="",Registro_Compras!$Y$390="",Registro_Compras!$F$390="NOTA DE CREDITO"),"","4212")</f>
        <v/>
      </c>
      <c r="D3486">
        <f>IF(OR(Registro_Compras!$C$390="",Registro_Compras!$O$390=""),"","Cuentas por Pagar Comerciales - Terceros")</f>
        <v/>
      </c>
      <c r="E3486" s="20">
        <f>IF($C3486="","",IF(Registro_Compras!$F$390="RHE",(ROUND(Registro_Compras!$L$390*Registro_Compras!$N$390,2)-ROUND(Registro_Compras!$V$390*Registro_Compras!$N$390,2)),ROUND(Registro_Compras!$O$390-Registro_Compras!$S$390,2)))</f>
        <v/>
      </c>
      <c r="F3486" s="20">
        <f>""</f>
        <v/>
      </c>
      <c r="G3486">
        <f>IF($C3486="","","Por la cancelacion del saldo al proveedor")</f>
        <v/>
      </c>
      <c r="H3486">
        <f>IF($C3486="","",Registro_Compras!$C$390)</f>
        <v/>
      </c>
    </row>
    <row r="3487">
      <c r="A3487" s="25">
        <f>IF($C3487="","",Registro_Compras!$Y$390)</f>
        <v/>
      </c>
      <c r="B3487">
        <f>IF($C3487="","","C"&amp;TEXT(INT((ROW()-5)/9)+1,"000")&amp;"-4")</f>
        <v/>
      </c>
      <c r="C3487">
        <f>IF(OR(Registro_Compras!$C$390="",Registro_Compras!$O$390="",Registro_Compras!$Y$390="",Registro_Compras!$F$390="NOTA DE CREDITO"),"","10413")</f>
        <v/>
      </c>
      <c r="D3487">
        <f>IF(OR(Registro_Compras!$C$390="",Registro_Compras!$O$390=""),"","Efectivo y Equivalentes - Cta. Cte. Operativa")</f>
        <v/>
      </c>
      <c r="E3487" s="20">
        <f>""</f>
        <v/>
      </c>
      <c r="F3487" s="20">
        <f>IF($C3487="","",IF(Registro_Compras!$F$390="RHE",(ROUND(Registro_Compras!$L$390*Registro_Compras!$N$390,2)-ROUND(Registro_Compras!$V$390*Registro_Compras!$N$390,2)),ROUND(Registro_Compras!$O$390-Registro_Compras!$S$390,2)))</f>
        <v/>
      </c>
      <c r="G3487">
        <f>IF($C3487="","","Por la cancelacion del saldo al proveedor")</f>
        <v/>
      </c>
      <c r="H3487">
        <f>IF($C3487="","",Registro_Compras!$C$390)</f>
        <v/>
      </c>
    </row>
    <row r="3488">
      <c r="A3488" s="25">
        <f>IF($C3488="","",Registro_Compras!$B$391)</f>
        <v/>
      </c>
      <c r="B3488">
        <f>IF($C3488="","","C"&amp;TEXT(INT((ROW()-5)/9)+1,"000")&amp;"-1")</f>
        <v/>
      </c>
      <c r="C3488">
        <f>IF(OR(Registro_Compras!$C$391="",Registro_Compras!$O$391=""),"",IF(Registro_Compras!$F$391="NOTA DE CREDITO","4212",IF(Registro_Compras!$M$391="","63",Registro_Compras!$M$391)))</f>
        <v/>
      </c>
      <c r="D3488">
        <f>IF(OR(Registro_Compras!$C$391="",Registro_Compras!$O$391=""),"",IF(Registro_Compras!$F$391="NOTA DE CREDITO","Cuentas por Pagar Comerciales - Terceros (Emitidas)",IF(Registro_Compras!$F$391="RHE","Honorarios Profesionales - Servicios de Terceros","Gastos de Servicios Prestados por Terceros")))</f>
        <v/>
      </c>
      <c r="E3488" s="20">
        <f>IF($C3488="","",IF(Registro_Compras!$F$391="NOTA DE CREDITO",ABS(Registro_Compras!$O$391),IF(Registro_Compras!$F$391="RHE",ROUND(Registro_Compras!$L$391*Registro_Compras!$N$391,2),ROUND(Registro_Compras!$J$391*Registro_Compras!$N$391,2))))</f>
        <v/>
      </c>
      <c r="F3488" s="20">
        <f>""</f>
        <v/>
      </c>
      <c r="G3488">
        <f>IF($C3488="","",IF(Registro_Compras!$F$391="NOTA DE CREDITO","Por la nota de credito "&amp;Registro_Compras!$C$391&amp;" de "&amp;Registro_Compras!$E$391&amp;" [PATRON POR CONFIRMAR CON CONTADOR]",IF(Registro_Compras!$F$391="RHE","Por el registro del recibo por honorarios "&amp;Registro_Compras!$C$391&amp;" de "&amp;Registro_Compras!$E$391&amp;" [PATRON POR CONFIRMAR CON CONTADOR]","Por el registro de la factura "&amp;Registro_Compras!$C$391&amp;" de "&amp;Registro_Compras!$E$391)))</f>
        <v/>
      </c>
      <c r="H3488">
        <f>IF($C3488="","",Registro_Compras!$C$391)</f>
        <v/>
      </c>
    </row>
    <row r="3489">
      <c r="A3489" s="25">
        <f>IF($C3489="","",Registro_Compras!$B$391)</f>
        <v/>
      </c>
      <c r="B3489">
        <f>IF($C3489="","","C"&amp;TEXT(INT((ROW()-5)/9)+1,"000")&amp;"-1")</f>
        <v/>
      </c>
      <c r="C3489">
        <f>IF(OR(Registro_Compras!$C$391="",Registro_Compras!$O$391=""),"",IF(Registro_Compras!$F$391="RHE",IF(Registro_Compras!$V$391=0,"","40172"),IF(Registro_Compras!$F$391="NOTA DE CREDITO",IF(Registro_Compras!$M$391="","63",Registro_Compras!$M$391),IF(Registro_Compras!$K$391=0,"","40111"))))</f>
        <v/>
      </c>
      <c r="D3489">
        <f>IF(OR(Registro_Compras!$C$391="",Registro_Compras!$O$391=""),"",IF(Registro_Compras!$F$391="RHE","Retencion Renta 4ta Categoria por Pagar",IF(Registro_Compras!$F$391="NOTA DE CREDITO","Gastos de Servicios Prestados por Terceros","IGV - Cuenta Propia (Credito Fiscal)")))</f>
        <v/>
      </c>
      <c r="E3489" s="20">
        <f>IF($C3489="","",IF(Registro_Compras!$F$391="FACTURA",ROUND(Registro_Compras!$K$391*Registro_Compras!$N$391,2),""))</f>
        <v/>
      </c>
      <c r="F3489" s="20">
        <f>IF($C3489="","",IF(Registro_Compras!$F$391="RHE",ROUND(Registro_Compras!$V$391*Registro_Compras!$N$391,2),IF(Registro_Compras!$F$391="NOTA DE CREDITO",ROUND(ABS(Registro_Compras!$J$391*Registro_Compras!$N$391),2),"")))</f>
        <v/>
      </c>
      <c r="G3489">
        <f>IF($C3489="","",IF(Registro_Compras!$F$391="NOTA DE CREDITO","Por la nota de credito "&amp;Registro_Compras!$C$391&amp;" de "&amp;Registro_Compras!$E$391&amp;" [PATRON POR CONFIRMAR CON CONTADOR]",IF(Registro_Compras!$F$391="RHE","Por el registro del recibo por honorarios "&amp;Registro_Compras!$C$391&amp;" de "&amp;Registro_Compras!$E$391&amp;" [PATRON POR CONFIRMAR CON CONTADOR]","Por el registro de la factura "&amp;Registro_Compras!$C$391&amp;" de "&amp;Registro_Compras!$E$391)))</f>
        <v/>
      </c>
      <c r="H3489">
        <f>IF($C3489="","",Registro_Compras!$C$391)</f>
        <v/>
      </c>
    </row>
    <row r="3490">
      <c r="A3490" s="25">
        <f>IF($C3490="","",Registro_Compras!$B$391)</f>
        <v/>
      </c>
      <c r="B3490">
        <f>IF($C3490="","","C"&amp;TEXT(INT((ROW()-5)/9)+1,"000")&amp;"-1")</f>
        <v/>
      </c>
      <c r="C3490">
        <f>IF(OR(Registro_Compras!$C$391="",Registro_Compras!$O$391=""),"",IF(Registro_Compras!$F$391="NOTA DE CREDITO",IF(Registro_Compras!$K$391=0,"","40111"),"4212"))</f>
        <v/>
      </c>
      <c r="D3490">
        <f>IF(OR(Registro_Compras!$C$391="",Registro_Compras!$O$391=""),"",IF(Registro_Compras!$F$391="NOTA DE CREDITO","IGV - Cuenta Propia (Credito Fiscal)","Cuentas por Pagar Comerciales - Terceros (Emitidas)"))</f>
        <v/>
      </c>
      <c r="E3490" s="20">
        <f>""</f>
        <v/>
      </c>
      <c r="F3490" s="20">
        <f>IF($C3490="","",IF(Registro_Compras!$F$391="NOTA DE CREDITO",ROUND(ABS(Registro_Compras!$K$391*Registro_Compras!$N$391),2),IF(Registro_Compras!$F$391="RHE",(ROUND(Registro_Compras!$L$391*Registro_Compras!$N$391,2)-ROUND(Registro_Compras!$V$391*Registro_Compras!$N$391,2)),Registro_Compras!$O$391)))</f>
        <v/>
      </c>
      <c r="G3490">
        <f>IF($C3490="","",IF(Registro_Compras!$F$391="NOTA DE CREDITO","Por la nota de credito "&amp;Registro_Compras!$C$391&amp;" de "&amp;Registro_Compras!$E$391&amp;" [PATRON POR CONFIRMAR CON CONTADOR]",IF(Registro_Compras!$F$391="RHE","Por el registro del recibo por honorarios "&amp;Registro_Compras!$C$391&amp;" de "&amp;Registro_Compras!$E$391&amp;" [PATRON POR CONFIRMAR CON CONTADOR]","Por el registro de la factura "&amp;Registro_Compras!$C$391&amp;" de "&amp;Registro_Compras!$E$391)))</f>
        <v/>
      </c>
      <c r="H3490">
        <f>IF($C3490="","",Registro_Compras!$C$391)</f>
        <v/>
      </c>
    </row>
    <row r="3491">
      <c r="A3491" s="25">
        <f>IF($C3491="","",Registro_Compras!$B$391)</f>
        <v/>
      </c>
      <c r="B3491">
        <f>IF($C3491="","","C"&amp;TEXT(INT((ROW()-5)/9)+1,"000")&amp;"-2")</f>
        <v/>
      </c>
      <c r="C3491">
        <f>IF(OR(Registro_Compras!$C$391="",Registro_Compras!$O$391=""),"",IF(Registro_Compras!$AB$391="ADMINISTRATIVO","94","95"))</f>
        <v/>
      </c>
      <c r="D3491">
        <f>IF(OR(Registro_Compras!$C$391="",Registro_Compras!$O$391=""),"",IF(Registro_Compras!$AB$391="ADMINISTRATIVO","Gastos Administrativos","Gastos de Venta y Operacion"))</f>
        <v/>
      </c>
      <c r="E3491" s="20">
        <f>IF($C3491="","",IF(Registro_Compras!$F$391="NOTA DE CREDITO","",IF(Registro_Compras!$F$391="RHE",ROUND(Registro_Compras!$L$391*Registro_Compras!$N$391,2),ROUND(Registro_Compras!$J$391*Registro_Compras!$N$391,2))))</f>
        <v/>
      </c>
      <c r="F3491" s="20">
        <f>IF($C3491="","",IF(Registro_Compras!$F$391="NOTA DE CREDITO",ROUND(ABS(Registro_Compras!$J$391*Registro_Compras!$N$391),2),""))</f>
        <v/>
      </c>
      <c r="G3491">
        <f>IF($C3491="","","Por el destino del gasto")</f>
        <v/>
      </c>
      <c r="H3491">
        <f>IF($C3491="","",Registro_Compras!$C$391)</f>
        <v/>
      </c>
    </row>
    <row r="3492">
      <c r="A3492" s="25">
        <f>IF($C3492="","",Registro_Compras!$B$391)</f>
        <v/>
      </c>
      <c r="B3492">
        <f>IF($C3492="","","C"&amp;TEXT(INT((ROW()-5)/9)+1,"000")&amp;"-2")</f>
        <v/>
      </c>
      <c r="C3492">
        <f>IF(OR(Registro_Compras!$C$391="",Registro_Compras!$O$391=""),"","79/791")</f>
        <v/>
      </c>
      <c r="D3492">
        <f>IF(OR(Registro_Compras!$C$391="",Registro_Compras!$O$391=""),"","Cargas Imputables a Cuentas de Costos y Gastos")</f>
        <v/>
      </c>
      <c r="E3492" s="20">
        <f>IF($C3492="","",IF(Registro_Compras!$F$391="NOTA DE CREDITO",ROUND(ABS(Registro_Compras!$J$391*Registro_Compras!$N$391),2),""))</f>
        <v/>
      </c>
      <c r="F3492" s="20">
        <f>IF($C3492="","",IF(Registro_Compras!$F$391="NOTA DE CREDITO","",IF(Registro_Compras!$F$391="RHE",ROUND(Registro_Compras!$L$391*Registro_Compras!$N$391,2),ROUND(Registro_Compras!$J$391*Registro_Compras!$N$391,2))))</f>
        <v/>
      </c>
      <c r="G3492">
        <f>IF($C3492="","","Por el destino del gasto")</f>
        <v/>
      </c>
      <c r="H3492">
        <f>IF($C3492="","",Registro_Compras!$C$391)</f>
        <v/>
      </c>
    </row>
    <row r="3493">
      <c r="A3493" s="25">
        <f>IF($C3493="","",Registro_Compras!$X$391)</f>
        <v/>
      </c>
      <c r="B3493">
        <f>IF($C3493="","","C"&amp;TEXT(INT((ROW()-5)/9)+1,"000")&amp;"-3")</f>
        <v/>
      </c>
      <c r="C3493">
        <f>IF(OR(Registro_Compras!$C$391="",Registro_Compras!$O$391="",Registro_Compras!$R$391&lt;&gt;"SI",Registro_Compras!$X$391=""),"","4212")</f>
        <v/>
      </c>
      <c r="D3493">
        <f>IF(OR(Registro_Compras!$C$391="",Registro_Compras!$O$391=""),"","Cuentas por Pagar Comerciales - Terceros")</f>
        <v/>
      </c>
      <c r="E3493" s="20">
        <f>IF($C3493="","",Registro_Compras!$S$391)</f>
        <v/>
      </c>
      <c r="F3493" s="20">
        <f>""</f>
        <v/>
      </c>
      <c r="G3493">
        <f>IF($C3493="","","Por el deposito de la detraccion en el Banco de la Nacion")</f>
        <v/>
      </c>
      <c r="H3493">
        <f>IF($C3493="","",Registro_Compras!$C$391)</f>
        <v/>
      </c>
    </row>
    <row r="3494">
      <c r="A3494" s="25">
        <f>IF($C3494="","",Registro_Compras!$X$391)</f>
        <v/>
      </c>
      <c r="B3494">
        <f>IF($C3494="","","C"&amp;TEXT(INT((ROW()-5)/9)+1,"000")&amp;"-3")</f>
        <v/>
      </c>
      <c r="C3494">
        <f>IF(OR(Registro_Compras!$C$391="",Registro_Compras!$O$391="",Registro_Compras!$R$391&lt;&gt;"SI",Registro_Compras!$X$391=""),"","10413")</f>
        <v/>
      </c>
      <c r="D3494">
        <f>IF(OR(Registro_Compras!$C$391="",Registro_Compras!$O$391=""),"","Efectivo y Equivalentes - Cta. Cte. Operativa")</f>
        <v/>
      </c>
      <c r="E3494" s="20">
        <f>""</f>
        <v/>
      </c>
      <c r="F3494" s="20">
        <f>IF($C3494="","",Registro_Compras!$S$391)</f>
        <v/>
      </c>
      <c r="G3494">
        <f>IF($C3494="","","Por el deposito de la detraccion en el Banco de la Nacion")</f>
        <v/>
      </c>
      <c r="H3494">
        <f>IF($C3494="","",Registro_Compras!$C$391)</f>
        <v/>
      </c>
    </row>
    <row r="3495">
      <c r="A3495" s="25">
        <f>IF($C3495="","",Registro_Compras!$Y$391)</f>
        <v/>
      </c>
      <c r="B3495">
        <f>IF($C3495="","","C"&amp;TEXT(INT((ROW()-5)/9)+1,"000")&amp;"-4")</f>
        <v/>
      </c>
      <c r="C3495">
        <f>IF(OR(Registro_Compras!$C$391="",Registro_Compras!$O$391="",Registro_Compras!$Y$391="",Registro_Compras!$F$391="NOTA DE CREDITO"),"","4212")</f>
        <v/>
      </c>
      <c r="D3495">
        <f>IF(OR(Registro_Compras!$C$391="",Registro_Compras!$O$391=""),"","Cuentas por Pagar Comerciales - Terceros")</f>
        <v/>
      </c>
      <c r="E3495" s="20">
        <f>IF($C3495="","",IF(Registro_Compras!$F$391="RHE",(ROUND(Registro_Compras!$L$391*Registro_Compras!$N$391,2)-ROUND(Registro_Compras!$V$391*Registro_Compras!$N$391,2)),ROUND(Registro_Compras!$O$391-Registro_Compras!$S$391,2)))</f>
        <v/>
      </c>
      <c r="F3495" s="20">
        <f>""</f>
        <v/>
      </c>
      <c r="G3495">
        <f>IF($C3495="","","Por la cancelacion del saldo al proveedor")</f>
        <v/>
      </c>
      <c r="H3495">
        <f>IF($C3495="","",Registro_Compras!$C$391)</f>
        <v/>
      </c>
    </row>
    <row r="3496">
      <c r="A3496" s="25">
        <f>IF($C3496="","",Registro_Compras!$Y$391)</f>
        <v/>
      </c>
      <c r="B3496">
        <f>IF($C3496="","","C"&amp;TEXT(INT((ROW()-5)/9)+1,"000")&amp;"-4")</f>
        <v/>
      </c>
      <c r="C3496">
        <f>IF(OR(Registro_Compras!$C$391="",Registro_Compras!$O$391="",Registro_Compras!$Y$391="",Registro_Compras!$F$391="NOTA DE CREDITO"),"","10413")</f>
        <v/>
      </c>
      <c r="D3496">
        <f>IF(OR(Registro_Compras!$C$391="",Registro_Compras!$O$391=""),"","Efectivo y Equivalentes - Cta. Cte. Operativa")</f>
        <v/>
      </c>
      <c r="E3496" s="20">
        <f>""</f>
        <v/>
      </c>
      <c r="F3496" s="20">
        <f>IF($C3496="","",IF(Registro_Compras!$F$391="RHE",(ROUND(Registro_Compras!$L$391*Registro_Compras!$N$391,2)-ROUND(Registro_Compras!$V$391*Registro_Compras!$N$391,2)),ROUND(Registro_Compras!$O$391-Registro_Compras!$S$391,2)))</f>
        <v/>
      </c>
      <c r="G3496">
        <f>IF($C3496="","","Por la cancelacion del saldo al proveedor")</f>
        <v/>
      </c>
      <c r="H3496">
        <f>IF($C3496="","",Registro_Compras!$C$391)</f>
        <v/>
      </c>
    </row>
    <row r="3497">
      <c r="A3497" s="25">
        <f>IF($C3497="","",Registro_Compras!$B$392)</f>
        <v/>
      </c>
      <c r="B3497">
        <f>IF($C3497="","","C"&amp;TEXT(INT((ROW()-5)/9)+1,"000")&amp;"-1")</f>
        <v/>
      </c>
      <c r="C3497">
        <f>IF(OR(Registro_Compras!$C$392="",Registro_Compras!$O$392=""),"",IF(Registro_Compras!$F$392="NOTA DE CREDITO","4212",IF(Registro_Compras!$M$392="","63",Registro_Compras!$M$392)))</f>
        <v/>
      </c>
      <c r="D3497">
        <f>IF(OR(Registro_Compras!$C$392="",Registro_Compras!$O$392=""),"",IF(Registro_Compras!$F$392="NOTA DE CREDITO","Cuentas por Pagar Comerciales - Terceros (Emitidas)",IF(Registro_Compras!$F$392="RHE","Honorarios Profesionales - Servicios de Terceros","Gastos de Servicios Prestados por Terceros")))</f>
        <v/>
      </c>
      <c r="E3497" s="20">
        <f>IF($C3497="","",IF(Registro_Compras!$F$392="NOTA DE CREDITO",ABS(Registro_Compras!$O$392),IF(Registro_Compras!$F$392="RHE",ROUND(Registro_Compras!$L$392*Registro_Compras!$N$392,2),ROUND(Registro_Compras!$J$392*Registro_Compras!$N$392,2))))</f>
        <v/>
      </c>
      <c r="F3497" s="20">
        <f>""</f>
        <v/>
      </c>
      <c r="G3497">
        <f>IF($C3497="","",IF(Registro_Compras!$F$392="NOTA DE CREDITO","Por la nota de credito "&amp;Registro_Compras!$C$392&amp;" de "&amp;Registro_Compras!$E$392&amp;" [PATRON POR CONFIRMAR CON CONTADOR]",IF(Registro_Compras!$F$392="RHE","Por el registro del recibo por honorarios "&amp;Registro_Compras!$C$392&amp;" de "&amp;Registro_Compras!$E$392&amp;" [PATRON POR CONFIRMAR CON CONTADOR]","Por el registro de la factura "&amp;Registro_Compras!$C$392&amp;" de "&amp;Registro_Compras!$E$392)))</f>
        <v/>
      </c>
      <c r="H3497">
        <f>IF($C3497="","",Registro_Compras!$C$392)</f>
        <v/>
      </c>
    </row>
    <row r="3498">
      <c r="A3498" s="25">
        <f>IF($C3498="","",Registro_Compras!$B$392)</f>
        <v/>
      </c>
      <c r="B3498">
        <f>IF($C3498="","","C"&amp;TEXT(INT((ROW()-5)/9)+1,"000")&amp;"-1")</f>
        <v/>
      </c>
      <c r="C3498">
        <f>IF(OR(Registro_Compras!$C$392="",Registro_Compras!$O$392=""),"",IF(Registro_Compras!$F$392="RHE",IF(Registro_Compras!$V$392=0,"","40172"),IF(Registro_Compras!$F$392="NOTA DE CREDITO",IF(Registro_Compras!$M$392="","63",Registro_Compras!$M$392),IF(Registro_Compras!$K$392=0,"","40111"))))</f>
        <v/>
      </c>
      <c r="D3498">
        <f>IF(OR(Registro_Compras!$C$392="",Registro_Compras!$O$392=""),"",IF(Registro_Compras!$F$392="RHE","Retencion Renta 4ta Categoria por Pagar",IF(Registro_Compras!$F$392="NOTA DE CREDITO","Gastos de Servicios Prestados por Terceros","IGV - Cuenta Propia (Credito Fiscal)")))</f>
        <v/>
      </c>
      <c r="E3498" s="20">
        <f>IF($C3498="","",IF(Registro_Compras!$F$392="FACTURA",ROUND(Registro_Compras!$K$392*Registro_Compras!$N$392,2),""))</f>
        <v/>
      </c>
      <c r="F3498" s="20">
        <f>IF($C3498="","",IF(Registro_Compras!$F$392="RHE",ROUND(Registro_Compras!$V$392*Registro_Compras!$N$392,2),IF(Registro_Compras!$F$392="NOTA DE CREDITO",ROUND(ABS(Registro_Compras!$J$392*Registro_Compras!$N$392),2),"")))</f>
        <v/>
      </c>
      <c r="G3498">
        <f>IF($C3498="","",IF(Registro_Compras!$F$392="NOTA DE CREDITO","Por la nota de credito "&amp;Registro_Compras!$C$392&amp;" de "&amp;Registro_Compras!$E$392&amp;" [PATRON POR CONFIRMAR CON CONTADOR]",IF(Registro_Compras!$F$392="RHE","Por el registro del recibo por honorarios "&amp;Registro_Compras!$C$392&amp;" de "&amp;Registro_Compras!$E$392&amp;" [PATRON POR CONFIRMAR CON CONTADOR]","Por el registro de la factura "&amp;Registro_Compras!$C$392&amp;" de "&amp;Registro_Compras!$E$392)))</f>
        <v/>
      </c>
      <c r="H3498">
        <f>IF($C3498="","",Registro_Compras!$C$392)</f>
        <v/>
      </c>
    </row>
    <row r="3499">
      <c r="A3499" s="25">
        <f>IF($C3499="","",Registro_Compras!$B$392)</f>
        <v/>
      </c>
      <c r="B3499">
        <f>IF($C3499="","","C"&amp;TEXT(INT((ROW()-5)/9)+1,"000")&amp;"-1")</f>
        <v/>
      </c>
      <c r="C3499">
        <f>IF(OR(Registro_Compras!$C$392="",Registro_Compras!$O$392=""),"",IF(Registro_Compras!$F$392="NOTA DE CREDITO",IF(Registro_Compras!$K$392=0,"","40111"),"4212"))</f>
        <v/>
      </c>
      <c r="D3499">
        <f>IF(OR(Registro_Compras!$C$392="",Registro_Compras!$O$392=""),"",IF(Registro_Compras!$F$392="NOTA DE CREDITO","IGV - Cuenta Propia (Credito Fiscal)","Cuentas por Pagar Comerciales - Terceros (Emitidas)"))</f>
        <v/>
      </c>
      <c r="E3499" s="20">
        <f>""</f>
        <v/>
      </c>
      <c r="F3499" s="20">
        <f>IF($C3499="","",IF(Registro_Compras!$F$392="NOTA DE CREDITO",ROUND(ABS(Registro_Compras!$K$392*Registro_Compras!$N$392),2),IF(Registro_Compras!$F$392="RHE",(ROUND(Registro_Compras!$L$392*Registro_Compras!$N$392,2)-ROUND(Registro_Compras!$V$392*Registro_Compras!$N$392,2)),Registro_Compras!$O$392)))</f>
        <v/>
      </c>
      <c r="G3499">
        <f>IF($C3499="","",IF(Registro_Compras!$F$392="NOTA DE CREDITO","Por la nota de credito "&amp;Registro_Compras!$C$392&amp;" de "&amp;Registro_Compras!$E$392&amp;" [PATRON POR CONFIRMAR CON CONTADOR]",IF(Registro_Compras!$F$392="RHE","Por el registro del recibo por honorarios "&amp;Registro_Compras!$C$392&amp;" de "&amp;Registro_Compras!$E$392&amp;" [PATRON POR CONFIRMAR CON CONTADOR]","Por el registro de la factura "&amp;Registro_Compras!$C$392&amp;" de "&amp;Registro_Compras!$E$392)))</f>
        <v/>
      </c>
      <c r="H3499">
        <f>IF($C3499="","",Registro_Compras!$C$392)</f>
        <v/>
      </c>
    </row>
    <row r="3500">
      <c r="A3500" s="25">
        <f>IF($C3500="","",Registro_Compras!$B$392)</f>
        <v/>
      </c>
      <c r="B3500">
        <f>IF($C3500="","","C"&amp;TEXT(INT((ROW()-5)/9)+1,"000")&amp;"-2")</f>
        <v/>
      </c>
      <c r="C3500">
        <f>IF(OR(Registro_Compras!$C$392="",Registro_Compras!$O$392=""),"",IF(Registro_Compras!$AB$392="ADMINISTRATIVO","94","95"))</f>
        <v/>
      </c>
      <c r="D3500">
        <f>IF(OR(Registro_Compras!$C$392="",Registro_Compras!$O$392=""),"",IF(Registro_Compras!$AB$392="ADMINISTRATIVO","Gastos Administrativos","Gastos de Venta y Operacion"))</f>
        <v/>
      </c>
      <c r="E3500" s="20">
        <f>IF($C3500="","",IF(Registro_Compras!$F$392="NOTA DE CREDITO","",IF(Registro_Compras!$F$392="RHE",ROUND(Registro_Compras!$L$392*Registro_Compras!$N$392,2),ROUND(Registro_Compras!$J$392*Registro_Compras!$N$392,2))))</f>
        <v/>
      </c>
      <c r="F3500" s="20">
        <f>IF($C3500="","",IF(Registro_Compras!$F$392="NOTA DE CREDITO",ROUND(ABS(Registro_Compras!$J$392*Registro_Compras!$N$392),2),""))</f>
        <v/>
      </c>
      <c r="G3500">
        <f>IF($C3500="","","Por el destino del gasto")</f>
        <v/>
      </c>
      <c r="H3500">
        <f>IF($C3500="","",Registro_Compras!$C$392)</f>
        <v/>
      </c>
    </row>
    <row r="3501">
      <c r="A3501" s="25">
        <f>IF($C3501="","",Registro_Compras!$B$392)</f>
        <v/>
      </c>
      <c r="B3501">
        <f>IF($C3501="","","C"&amp;TEXT(INT((ROW()-5)/9)+1,"000")&amp;"-2")</f>
        <v/>
      </c>
      <c r="C3501">
        <f>IF(OR(Registro_Compras!$C$392="",Registro_Compras!$O$392=""),"","79/791")</f>
        <v/>
      </c>
      <c r="D3501">
        <f>IF(OR(Registro_Compras!$C$392="",Registro_Compras!$O$392=""),"","Cargas Imputables a Cuentas de Costos y Gastos")</f>
        <v/>
      </c>
      <c r="E3501" s="20">
        <f>IF($C3501="","",IF(Registro_Compras!$F$392="NOTA DE CREDITO",ROUND(ABS(Registro_Compras!$J$392*Registro_Compras!$N$392),2),""))</f>
        <v/>
      </c>
      <c r="F3501" s="20">
        <f>IF($C3501="","",IF(Registro_Compras!$F$392="NOTA DE CREDITO","",IF(Registro_Compras!$F$392="RHE",ROUND(Registro_Compras!$L$392*Registro_Compras!$N$392,2),ROUND(Registro_Compras!$J$392*Registro_Compras!$N$392,2))))</f>
        <v/>
      </c>
      <c r="G3501">
        <f>IF($C3501="","","Por el destino del gasto")</f>
        <v/>
      </c>
      <c r="H3501">
        <f>IF($C3501="","",Registro_Compras!$C$392)</f>
        <v/>
      </c>
    </row>
    <row r="3502">
      <c r="A3502" s="25">
        <f>IF($C3502="","",Registro_Compras!$X$392)</f>
        <v/>
      </c>
      <c r="B3502">
        <f>IF($C3502="","","C"&amp;TEXT(INT((ROW()-5)/9)+1,"000")&amp;"-3")</f>
        <v/>
      </c>
      <c r="C3502">
        <f>IF(OR(Registro_Compras!$C$392="",Registro_Compras!$O$392="",Registro_Compras!$R$392&lt;&gt;"SI",Registro_Compras!$X$392=""),"","4212")</f>
        <v/>
      </c>
      <c r="D3502">
        <f>IF(OR(Registro_Compras!$C$392="",Registro_Compras!$O$392=""),"","Cuentas por Pagar Comerciales - Terceros")</f>
        <v/>
      </c>
      <c r="E3502" s="20">
        <f>IF($C3502="","",Registro_Compras!$S$392)</f>
        <v/>
      </c>
      <c r="F3502" s="20">
        <f>""</f>
        <v/>
      </c>
      <c r="G3502">
        <f>IF($C3502="","","Por el deposito de la detraccion en el Banco de la Nacion")</f>
        <v/>
      </c>
      <c r="H3502">
        <f>IF($C3502="","",Registro_Compras!$C$392)</f>
        <v/>
      </c>
    </row>
    <row r="3503">
      <c r="A3503" s="25">
        <f>IF($C3503="","",Registro_Compras!$X$392)</f>
        <v/>
      </c>
      <c r="B3503">
        <f>IF($C3503="","","C"&amp;TEXT(INT((ROW()-5)/9)+1,"000")&amp;"-3")</f>
        <v/>
      </c>
      <c r="C3503">
        <f>IF(OR(Registro_Compras!$C$392="",Registro_Compras!$O$392="",Registro_Compras!$R$392&lt;&gt;"SI",Registro_Compras!$X$392=""),"","10413")</f>
        <v/>
      </c>
      <c r="D3503">
        <f>IF(OR(Registro_Compras!$C$392="",Registro_Compras!$O$392=""),"","Efectivo y Equivalentes - Cta. Cte. Operativa")</f>
        <v/>
      </c>
      <c r="E3503" s="20">
        <f>""</f>
        <v/>
      </c>
      <c r="F3503" s="20">
        <f>IF($C3503="","",Registro_Compras!$S$392)</f>
        <v/>
      </c>
      <c r="G3503">
        <f>IF($C3503="","","Por el deposito de la detraccion en el Banco de la Nacion")</f>
        <v/>
      </c>
      <c r="H3503">
        <f>IF($C3503="","",Registro_Compras!$C$392)</f>
        <v/>
      </c>
    </row>
    <row r="3504">
      <c r="A3504" s="25">
        <f>IF($C3504="","",Registro_Compras!$Y$392)</f>
        <v/>
      </c>
      <c r="B3504">
        <f>IF($C3504="","","C"&amp;TEXT(INT((ROW()-5)/9)+1,"000")&amp;"-4")</f>
        <v/>
      </c>
      <c r="C3504">
        <f>IF(OR(Registro_Compras!$C$392="",Registro_Compras!$O$392="",Registro_Compras!$Y$392="",Registro_Compras!$F$392="NOTA DE CREDITO"),"","4212")</f>
        <v/>
      </c>
      <c r="D3504">
        <f>IF(OR(Registro_Compras!$C$392="",Registro_Compras!$O$392=""),"","Cuentas por Pagar Comerciales - Terceros")</f>
        <v/>
      </c>
      <c r="E3504" s="20">
        <f>IF($C3504="","",IF(Registro_Compras!$F$392="RHE",(ROUND(Registro_Compras!$L$392*Registro_Compras!$N$392,2)-ROUND(Registro_Compras!$V$392*Registro_Compras!$N$392,2)),ROUND(Registro_Compras!$O$392-Registro_Compras!$S$392,2)))</f>
        <v/>
      </c>
      <c r="F3504" s="20">
        <f>""</f>
        <v/>
      </c>
      <c r="G3504">
        <f>IF($C3504="","","Por la cancelacion del saldo al proveedor")</f>
        <v/>
      </c>
      <c r="H3504">
        <f>IF($C3504="","",Registro_Compras!$C$392)</f>
        <v/>
      </c>
    </row>
    <row r="3505">
      <c r="A3505" s="25">
        <f>IF($C3505="","",Registro_Compras!$Y$392)</f>
        <v/>
      </c>
      <c r="B3505">
        <f>IF($C3505="","","C"&amp;TEXT(INT((ROW()-5)/9)+1,"000")&amp;"-4")</f>
        <v/>
      </c>
      <c r="C3505">
        <f>IF(OR(Registro_Compras!$C$392="",Registro_Compras!$O$392="",Registro_Compras!$Y$392="",Registro_Compras!$F$392="NOTA DE CREDITO"),"","10413")</f>
        <v/>
      </c>
      <c r="D3505">
        <f>IF(OR(Registro_Compras!$C$392="",Registro_Compras!$O$392=""),"","Efectivo y Equivalentes - Cta. Cte. Operativa")</f>
        <v/>
      </c>
      <c r="E3505" s="20">
        <f>""</f>
        <v/>
      </c>
      <c r="F3505" s="20">
        <f>IF($C3505="","",IF(Registro_Compras!$F$392="RHE",(ROUND(Registro_Compras!$L$392*Registro_Compras!$N$392,2)-ROUND(Registro_Compras!$V$392*Registro_Compras!$N$392,2)),ROUND(Registro_Compras!$O$392-Registro_Compras!$S$392,2)))</f>
        <v/>
      </c>
      <c r="G3505">
        <f>IF($C3505="","","Por la cancelacion del saldo al proveedor")</f>
        <v/>
      </c>
      <c r="H3505">
        <f>IF($C3505="","",Registro_Compras!$C$392)</f>
        <v/>
      </c>
    </row>
    <row r="3506">
      <c r="A3506" s="25">
        <f>IF($C3506="","",Registro_Compras!$B$393)</f>
        <v/>
      </c>
      <c r="B3506">
        <f>IF($C3506="","","C"&amp;TEXT(INT((ROW()-5)/9)+1,"000")&amp;"-1")</f>
        <v/>
      </c>
      <c r="C3506">
        <f>IF(OR(Registro_Compras!$C$393="",Registro_Compras!$O$393=""),"",IF(Registro_Compras!$F$393="NOTA DE CREDITO","4212",IF(Registro_Compras!$M$393="","63",Registro_Compras!$M$393)))</f>
        <v/>
      </c>
      <c r="D3506">
        <f>IF(OR(Registro_Compras!$C$393="",Registro_Compras!$O$393=""),"",IF(Registro_Compras!$F$393="NOTA DE CREDITO","Cuentas por Pagar Comerciales - Terceros (Emitidas)",IF(Registro_Compras!$F$393="RHE","Honorarios Profesionales - Servicios de Terceros","Gastos de Servicios Prestados por Terceros")))</f>
        <v/>
      </c>
      <c r="E3506" s="20">
        <f>IF($C3506="","",IF(Registro_Compras!$F$393="NOTA DE CREDITO",ABS(Registro_Compras!$O$393),IF(Registro_Compras!$F$393="RHE",ROUND(Registro_Compras!$L$393*Registro_Compras!$N$393,2),ROUND(Registro_Compras!$J$393*Registro_Compras!$N$393,2))))</f>
        <v/>
      </c>
      <c r="F3506" s="20">
        <f>""</f>
        <v/>
      </c>
      <c r="G3506">
        <f>IF($C3506="","",IF(Registro_Compras!$F$393="NOTA DE CREDITO","Por la nota de credito "&amp;Registro_Compras!$C$393&amp;" de "&amp;Registro_Compras!$E$393&amp;" [PATRON POR CONFIRMAR CON CONTADOR]",IF(Registro_Compras!$F$393="RHE","Por el registro del recibo por honorarios "&amp;Registro_Compras!$C$393&amp;" de "&amp;Registro_Compras!$E$393&amp;" [PATRON POR CONFIRMAR CON CONTADOR]","Por el registro de la factura "&amp;Registro_Compras!$C$393&amp;" de "&amp;Registro_Compras!$E$393)))</f>
        <v/>
      </c>
      <c r="H3506">
        <f>IF($C3506="","",Registro_Compras!$C$393)</f>
        <v/>
      </c>
    </row>
    <row r="3507">
      <c r="A3507" s="25">
        <f>IF($C3507="","",Registro_Compras!$B$393)</f>
        <v/>
      </c>
      <c r="B3507">
        <f>IF($C3507="","","C"&amp;TEXT(INT((ROW()-5)/9)+1,"000")&amp;"-1")</f>
        <v/>
      </c>
      <c r="C3507">
        <f>IF(OR(Registro_Compras!$C$393="",Registro_Compras!$O$393=""),"",IF(Registro_Compras!$F$393="RHE",IF(Registro_Compras!$V$393=0,"","40172"),IF(Registro_Compras!$F$393="NOTA DE CREDITO",IF(Registro_Compras!$M$393="","63",Registro_Compras!$M$393),IF(Registro_Compras!$K$393=0,"","40111"))))</f>
        <v/>
      </c>
      <c r="D3507">
        <f>IF(OR(Registro_Compras!$C$393="",Registro_Compras!$O$393=""),"",IF(Registro_Compras!$F$393="RHE","Retencion Renta 4ta Categoria por Pagar",IF(Registro_Compras!$F$393="NOTA DE CREDITO","Gastos de Servicios Prestados por Terceros","IGV - Cuenta Propia (Credito Fiscal)")))</f>
        <v/>
      </c>
      <c r="E3507" s="20">
        <f>IF($C3507="","",IF(Registro_Compras!$F$393="FACTURA",ROUND(Registro_Compras!$K$393*Registro_Compras!$N$393,2),""))</f>
        <v/>
      </c>
      <c r="F3507" s="20">
        <f>IF($C3507="","",IF(Registro_Compras!$F$393="RHE",ROUND(Registro_Compras!$V$393*Registro_Compras!$N$393,2),IF(Registro_Compras!$F$393="NOTA DE CREDITO",ROUND(ABS(Registro_Compras!$J$393*Registro_Compras!$N$393),2),"")))</f>
        <v/>
      </c>
      <c r="G3507">
        <f>IF($C3507="","",IF(Registro_Compras!$F$393="NOTA DE CREDITO","Por la nota de credito "&amp;Registro_Compras!$C$393&amp;" de "&amp;Registro_Compras!$E$393&amp;" [PATRON POR CONFIRMAR CON CONTADOR]",IF(Registro_Compras!$F$393="RHE","Por el registro del recibo por honorarios "&amp;Registro_Compras!$C$393&amp;" de "&amp;Registro_Compras!$E$393&amp;" [PATRON POR CONFIRMAR CON CONTADOR]","Por el registro de la factura "&amp;Registro_Compras!$C$393&amp;" de "&amp;Registro_Compras!$E$393)))</f>
        <v/>
      </c>
      <c r="H3507">
        <f>IF($C3507="","",Registro_Compras!$C$393)</f>
        <v/>
      </c>
    </row>
    <row r="3508">
      <c r="A3508" s="25">
        <f>IF($C3508="","",Registro_Compras!$B$393)</f>
        <v/>
      </c>
      <c r="B3508">
        <f>IF($C3508="","","C"&amp;TEXT(INT((ROW()-5)/9)+1,"000")&amp;"-1")</f>
        <v/>
      </c>
      <c r="C3508">
        <f>IF(OR(Registro_Compras!$C$393="",Registro_Compras!$O$393=""),"",IF(Registro_Compras!$F$393="NOTA DE CREDITO",IF(Registro_Compras!$K$393=0,"","40111"),"4212"))</f>
        <v/>
      </c>
      <c r="D3508">
        <f>IF(OR(Registro_Compras!$C$393="",Registro_Compras!$O$393=""),"",IF(Registro_Compras!$F$393="NOTA DE CREDITO","IGV - Cuenta Propia (Credito Fiscal)","Cuentas por Pagar Comerciales - Terceros (Emitidas)"))</f>
        <v/>
      </c>
      <c r="E3508" s="20">
        <f>""</f>
        <v/>
      </c>
      <c r="F3508" s="20">
        <f>IF($C3508="","",IF(Registro_Compras!$F$393="NOTA DE CREDITO",ROUND(ABS(Registro_Compras!$K$393*Registro_Compras!$N$393),2),IF(Registro_Compras!$F$393="RHE",(ROUND(Registro_Compras!$L$393*Registro_Compras!$N$393,2)-ROUND(Registro_Compras!$V$393*Registro_Compras!$N$393,2)),Registro_Compras!$O$393)))</f>
        <v/>
      </c>
      <c r="G3508">
        <f>IF($C3508="","",IF(Registro_Compras!$F$393="NOTA DE CREDITO","Por la nota de credito "&amp;Registro_Compras!$C$393&amp;" de "&amp;Registro_Compras!$E$393&amp;" [PATRON POR CONFIRMAR CON CONTADOR]",IF(Registro_Compras!$F$393="RHE","Por el registro del recibo por honorarios "&amp;Registro_Compras!$C$393&amp;" de "&amp;Registro_Compras!$E$393&amp;" [PATRON POR CONFIRMAR CON CONTADOR]","Por el registro de la factura "&amp;Registro_Compras!$C$393&amp;" de "&amp;Registro_Compras!$E$393)))</f>
        <v/>
      </c>
      <c r="H3508">
        <f>IF($C3508="","",Registro_Compras!$C$393)</f>
        <v/>
      </c>
    </row>
    <row r="3509">
      <c r="A3509" s="25">
        <f>IF($C3509="","",Registro_Compras!$B$393)</f>
        <v/>
      </c>
      <c r="B3509">
        <f>IF($C3509="","","C"&amp;TEXT(INT((ROW()-5)/9)+1,"000")&amp;"-2")</f>
        <v/>
      </c>
      <c r="C3509">
        <f>IF(OR(Registro_Compras!$C$393="",Registro_Compras!$O$393=""),"",IF(Registro_Compras!$AB$393="ADMINISTRATIVO","94","95"))</f>
        <v/>
      </c>
      <c r="D3509">
        <f>IF(OR(Registro_Compras!$C$393="",Registro_Compras!$O$393=""),"",IF(Registro_Compras!$AB$393="ADMINISTRATIVO","Gastos Administrativos","Gastos de Venta y Operacion"))</f>
        <v/>
      </c>
      <c r="E3509" s="20">
        <f>IF($C3509="","",IF(Registro_Compras!$F$393="NOTA DE CREDITO","",IF(Registro_Compras!$F$393="RHE",ROUND(Registro_Compras!$L$393*Registro_Compras!$N$393,2),ROUND(Registro_Compras!$J$393*Registro_Compras!$N$393,2))))</f>
        <v/>
      </c>
      <c r="F3509" s="20">
        <f>IF($C3509="","",IF(Registro_Compras!$F$393="NOTA DE CREDITO",ROUND(ABS(Registro_Compras!$J$393*Registro_Compras!$N$393),2),""))</f>
        <v/>
      </c>
      <c r="G3509">
        <f>IF($C3509="","","Por el destino del gasto")</f>
        <v/>
      </c>
      <c r="H3509">
        <f>IF($C3509="","",Registro_Compras!$C$393)</f>
        <v/>
      </c>
    </row>
    <row r="3510">
      <c r="A3510" s="25">
        <f>IF($C3510="","",Registro_Compras!$B$393)</f>
        <v/>
      </c>
      <c r="B3510">
        <f>IF($C3510="","","C"&amp;TEXT(INT((ROW()-5)/9)+1,"000")&amp;"-2")</f>
        <v/>
      </c>
      <c r="C3510">
        <f>IF(OR(Registro_Compras!$C$393="",Registro_Compras!$O$393=""),"","79/791")</f>
        <v/>
      </c>
      <c r="D3510">
        <f>IF(OR(Registro_Compras!$C$393="",Registro_Compras!$O$393=""),"","Cargas Imputables a Cuentas de Costos y Gastos")</f>
        <v/>
      </c>
      <c r="E3510" s="20">
        <f>IF($C3510="","",IF(Registro_Compras!$F$393="NOTA DE CREDITO",ROUND(ABS(Registro_Compras!$J$393*Registro_Compras!$N$393),2),""))</f>
        <v/>
      </c>
      <c r="F3510" s="20">
        <f>IF($C3510="","",IF(Registro_Compras!$F$393="NOTA DE CREDITO","",IF(Registro_Compras!$F$393="RHE",ROUND(Registro_Compras!$L$393*Registro_Compras!$N$393,2),ROUND(Registro_Compras!$J$393*Registro_Compras!$N$393,2))))</f>
        <v/>
      </c>
      <c r="G3510">
        <f>IF($C3510="","","Por el destino del gasto")</f>
        <v/>
      </c>
      <c r="H3510">
        <f>IF($C3510="","",Registro_Compras!$C$393)</f>
        <v/>
      </c>
    </row>
    <row r="3511">
      <c r="A3511" s="25">
        <f>IF($C3511="","",Registro_Compras!$X$393)</f>
        <v/>
      </c>
      <c r="B3511">
        <f>IF($C3511="","","C"&amp;TEXT(INT((ROW()-5)/9)+1,"000")&amp;"-3")</f>
        <v/>
      </c>
      <c r="C3511">
        <f>IF(OR(Registro_Compras!$C$393="",Registro_Compras!$O$393="",Registro_Compras!$R$393&lt;&gt;"SI",Registro_Compras!$X$393=""),"","4212")</f>
        <v/>
      </c>
      <c r="D3511">
        <f>IF(OR(Registro_Compras!$C$393="",Registro_Compras!$O$393=""),"","Cuentas por Pagar Comerciales - Terceros")</f>
        <v/>
      </c>
      <c r="E3511" s="20">
        <f>IF($C3511="","",Registro_Compras!$S$393)</f>
        <v/>
      </c>
      <c r="F3511" s="20">
        <f>""</f>
        <v/>
      </c>
      <c r="G3511">
        <f>IF($C3511="","","Por el deposito de la detraccion en el Banco de la Nacion")</f>
        <v/>
      </c>
      <c r="H3511">
        <f>IF($C3511="","",Registro_Compras!$C$393)</f>
        <v/>
      </c>
    </row>
    <row r="3512">
      <c r="A3512" s="25">
        <f>IF($C3512="","",Registro_Compras!$X$393)</f>
        <v/>
      </c>
      <c r="B3512">
        <f>IF($C3512="","","C"&amp;TEXT(INT((ROW()-5)/9)+1,"000")&amp;"-3")</f>
        <v/>
      </c>
      <c r="C3512">
        <f>IF(OR(Registro_Compras!$C$393="",Registro_Compras!$O$393="",Registro_Compras!$R$393&lt;&gt;"SI",Registro_Compras!$X$393=""),"","10413")</f>
        <v/>
      </c>
      <c r="D3512">
        <f>IF(OR(Registro_Compras!$C$393="",Registro_Compras!$O$393=""),"","Efectivo y Equivalentes - Cta. Cte. Operativa")</f>
        <v/>
      </c>
      <c r="E3512" s="20">
        <f>""</f>
        <v/>
      </c>
      <c r="F3512" s="20">
        <f>IF($C3512="","",Registro_Compras!$S$393)</f>
        <v/>
      </c>
      <c r="G3512">
        <f>IF($C3512="","","Por el deposito de la detraccion en el Banco de la Nacion")</f>
        <v/>
      </c>
      <c r="H3512">
        <f>IF($C3512="","",Registro_Compras!$C$393)</f>
        <v/>
      </c>
    </row>
    <row r="3513">
      <c r="A3513" s="25">
        <f>IF($C3513="","",Registro_Compras!$Y$393)</f>
        <v/>
      </c>
      <c r="B3513">
        <f>IF($C3513="","","C"&amp;TEXT(INT((ROW()-5)/9)+1,"000")&amp;"-4")</f>
        <v/>
      </c>
      <c r="C3513">
        <f>IF(OR(Registro_Compras!$C$393="",Registro_Compras!$O$393="",Registro_Compras!$Y$393="",Registro_Compras!$F$393="NOTA DE CREDITO"),"","4212")</f>
        <v/>
      </c>
      <c r="D3513">
        <f>IF(OR(Registro_Compras!$C$393="",Registro_Compras!$O$393=""),"","Cuentas por Pagar Comerciales - Terceros")</f>
        <v/>
      </c>
      <c r="E3513" s="20">
        <f>IF($C3513="","",IF(Registro_Compras!$F$393="RHE",(ROUND(Registro_Compras!$L$393*Registro_Compras!$N$393,2)-ROUND(Registro_Compras!$V$393*Registro_Compras!$N$393,2)),ROUND(Registro_Compras!$O$393-Registro_Compras!$S$393,2)))</f>
        <v/>
      </c>
      <c r="F3513" s="20">
        <f>""</f>
        <v/>
      </c>
      <c r="G3513">
        <f>IF($C3513="","","Por la cancelacion del saldo al proveedor")</f>
        <v/>
      </c>
      <c r="H3513">
        <f>IF($C3513="","",Registro_Compras!$C$393)</f>
        <v/>
      </c>
    </row>
    <row r="3514">
      <c r="A3514" s="25">
        <f>IF($C3514="","",Registro_Compras!$Y$393)</f>
        <v/>
      </c>
      <c r="B3514">
        <f>IF($C3514="","","C"&amp;TEXT(INT((ROW()-5)/9)+1,"000")&amp;"-4")</f>
        <v/>
      </c>
      <c r="C3514">
        <f>IF(OR(Registro_Compras!$C$393="",Registro_Compras!$O$393="",Registro_Compras!$Y$393="",Registro_Compras!$F$393="NOTA DE CREDITO"),"","10413")</f>
        <v/>
      </c>
      <c r="D3514">
        <f>IF(OR(Registro_Compras!$C$393="",Registro_Compras!$O$393=""),"","Efectivo y Equivalentes - Cta. Cte. Operativa")</f>
        <v/>
      </c>
      <c r="E3514" s="20">
        <f>""</f>
        <v/>
      </c>
      <c r="F3514" s="20">
        <f>IF($C3514="","",IF(Registro_Compras!$F$393="RHE",(ROUND(Registro_Compras!$L$393*Registro_Compras!$N$393,2)-ROUND(Registro_Compras!$V$393*Registro_Compras!$N$393,2)),ROUND(Registro_Compras!$O$393-Registro_Compras!$S$393,2)))</f>
        <v/>
      </c>
      <c r="G3514">
        <f>IF($C3514="","","Por la cancelacion del saldo al proveedor")</f>
        <v/>
      </c>
      <c r="H3514">
        <f>IF($C3514="","",Registro_Compras!$C$393)</f>
        <v/>
      </c>
    </row>
    <row r="3515">
      <c r="A3515" s="25">
        <f>IF($C3515="","",Registro_Compras!$B$394)</f>
        <v/>
      </c>
      <c r="B3515">
        <f>IF($C3515="","","C"&amp;TEXT(INT((ROW()-5)/9)+1,"000")&amp;"-1")</f>
        <v/>
      </c>
      <c r="C3515">
        <f>IF(OR(Registro_Compras!$C$394="",Registro_Compras!$O$394=""),"",IF(Registro_Compras!$F$394="NOTA DE CREDITO","4212",IF(Registro_Compras!$M$394="","63",Registro_Compras!$M$394)))</f>
        <v/>
      </c>
      <c r="D3515">
        <f>IF(OR(Registro_Compras!$C$394="",Registro_Compras!$O$394=""),"",IF(Registro_Compras!$F$394="NOTA DE CREDITO","Cuentas por Pagar Comerciales - Terceros (Emitidas)",IF(Registro_Compras!$F$394="RHE","Honorarios Profesionales - Servicios de Terceros","Gastos de Servicios Prestados por Terceros")))</f>
        <v/>
      </c>
      <c r="E3515" s="20">
        <f>IF($C3515="","",IF(Registro_Compras!$F$394="NOTA DE CREDITO",ABS(Registro_Compras!$O$394),IF(Registro_Compras!$F$394="RHE",ROUND(Registro_Compras!$L$394*Registro_Compras!$N$394,2),ROUND(Registro_Compras!$J$394*Registro_Compras!$N$394,2))))</f>
        <v/>
      </c>
      <c r="F3515" s="20">
        <f>""</f>
        <v/>
      </c>
      <c r="G3515">
        <f>IF($C3515="","",IF(Registro_Compras!$F$394="NOTA DE CREDITO","Por la nota de credito "&amp;Registro_Compras!$C$394&amp;" de "&amp;Registro_Compras!$E$394&amp;" [PATRON POR CONFIRMAR CON CONTADOR]",IF(Registro_Compras!$F$394="RHE","Por el registro del recibo por honorarios "&amp;Registro_Compras!$C$394&amp;" de "&amp;Registro_Compras!$E$394&amp;" [PATRON POR CONFIRMAR CON CONTADOR]","Por el registro de la factura "&amp;Registro_Compras!$C$394&amp;" de "&amp;Registro_Compras!$E$394)))</f>
        <v/>
      </c>
      <c r="H3515">
        <f>IF($C3515="","",Registro_Compras!$C$394)</f>
        <v/>
      </c>
    </row>
    <row r="3516">
      <c r="A3516" s="25">
        <f>IF($C3516="","",Registro_Compras!$B$394)</f>
        <v/>
      </c>
      <c r="B3516">
        <f>IF($C3516="","","C"&amp;TEXT(INT((ROW()-5)/9)+1,"000")&amp;"-1")</f>
        <v/>
      </c>
      <c r="C3516">
        <f>IF(OR(Registro_Compras!$C$394="",Registro_Compras!$O$394=""),"",IF(Registro_Compras!$F$394="RHE",IF(Registro_Compras!$V$394=0,"","40172"),IF(Registro_Compras!$F$394="NOTA DE CREDITO",IF(Registro_Compras!$M$394="","63",Registro_Compras!$M$394),IF(Registro_Compras!$K$394=0,"","40111"))))</f>
        <v/>
      </c>
      <c r="D3516">
        <f>IF(OR(Registro_Compras!$C$394="",Registro_Compras!$O$394=""),"",IF(Registro_Compras!$F$394="RHE","Retencion Renta 4ta Categoria por Pagar",IF(Registro_Compras!$F$394="NOTA DE CREDITO","Gastos de Servicios Prestados por Terceros","IGV - Cuenta Propia (Credito Fiscal)")))</f>
        <v/>
      </c>
      <c r="E3516" s="20">
        <f>IF($C3516="","",IF(Registro_Compras!$F$394="FACTURA",ROUND(Registro_Compras!$K$394*Registro_Compras!$N$394,2),""))</f>
        <v/>
      </c>
      <c r="F3516" s="20">
        <f>IF($C3516="","",IF(Registro_Compras!$F$394="RHE",ROUND(Registro_Compras!$V$394*Registro_Compras!$N$394,2),IF(Registro_Compras!$F$394="NOTA DE CREDITO",ROUND(ABS(Registro_Compras!$J$394*Registro_Compras!$N$394),2),"")))</f>
        <v/>
      </c>
      <c r="G3516">
        <f>IF($C3516="","",IF(Registro_Compras!$F$394="NOTA DE CREDITO","Por la nota de credito "&amp;Registro_Compras!$C$394&amp;" de "&amp;Registro_Compras!$E$394&amp;" [PATRON POR CONFIRMAR CON CONTADOR]",IF(Registro_Compras!$F$394="RHE","Por el registro del recibo por honorarios "&amp;Registro_Compras!$C$394&amp;" de "&amp;Registro_Compras!$E$394&amp;" [PATRON POR CONFIRMAR CON CONTADOR]","Por el registro de la factura "&amp;Registro_Compras!$C$394&amp;" de "&amp;Registro_Compras!$E$394)))</f>
        <v/>
      </c>
      <c r="H3516">
        <f>IF($C3516="","",Registro_Compras!$C$394)</f>
        <v/>
      </c>
    </row>
    <row r="3517">
      <c r="A3517" s="25">
        <f>IF($C3517="","",Registro_Compras!$B$394)</f>
        <v/>
      </c>
      <c r="B3517">
        <f>IF($C3517="","","C"&amp;TEXT(INT((ROW()-5)/9)+1,"000")&amp;"-1")</f>
        <v/>
      </c>
      <c r="C3517">
        <f>IF(OR(Registro_Compras!$C$394="",Registro_Compras!$O$394=""),"",IF(Registro_Compras!$F$394="NOTA DE CREDITO",IF(Registro_Compras!$K$394=0,"","40111"),"4212"))</f>
        <v/>
      </c>
      <c r="D3517">
        <f>IF(OR(Registro_Compras!$C$394="",Registro_Compras!$O$394=""),"",IF(Registro_Compras!$F$394="NOTA DE CREDITO","IGV - Cuenta Propia (Credito Fiscal)","Cuentas por Pagar Comerciales - Terceros (Emitidas)"))</f>
        <v/>
      </c>
      <c r="E3517" s="20">
        <f>""</f>
        <v/>
      </c>
      <c r="F3517" s="20">
        <f>IF($C3517="","",IF(Registro_Compras!$F$394="NOTA DE CREDITO",ROUND(ABS(Registro_Compras!$K$394*Registro_Compras!$N$394),2),IF(Registro_Compras!$F$394="RHE",(ROUND(Registro_Compras!$L$394*Registro_Compras!$N$394,2)-ROUND(Registro_Compras!$V$394*Registro_Compras!$N$394,2)),Registro_Compras!$O$394)))</f>
        <v/>
      </c>
      <c r="G3517">
        <f>IF($C3517="","",IF(Registro_Compras!$F$394="NOTA DE CREDITO","Por la nota de credito "&amp;Registro_Compras!$C$394&amp;" de "&amp;Registro_Compras!$E$394&amp;" [PATRON POR CONFIRMAR CON CONTADOR]",IF(Registro_Compras!$F$394="RHE","Por el registro del recibo por honorarios "&amp;Registro_Compras!$C$394&amp;" de "&amp;Registro_Compras!$E$394&amp;" [PATRON POR CONFIRMAR CON CONTADOR]","Por el registro de la factura "&amp;Registro_Compras!$C$394&amp;" de "&amp;Registro_Compras!$E$394)))</f>
        <v/>
      </c>
      <c r="H3517">
        <f>IF($C3517="","",Registro_Compras!$C$394)</f>
        <v/>
      </c>
    </row>
    <row r="3518">
      <c r="A3518" s="25">
        <f>IF($C3518="","",Registro_Compras!$B$394)</f>
        <v/>
      </c>
      <c r="B3518">
        <f>IF($C3518="","","C"&amp;TEXT(INT((ROW()-5)/9)+1,"000")&amp;"-2")</f>
        <v/>
      </c>
      <c r="C3518">
        <f>IF(OR(Registro_Compras!$C$394="",Registro_Compras!$O$394=""),"",IF(Registro_Compras!$AB$394="ADMINISTRATIVO","94","95"))</f>
        <v/>
      </c>
      <c r="D3518">
        <f>IF(OR(Registro_Compras!$C$394="",Registro_Compras!$O$394=""),"",IF(Registro_Compras!$AB$394="ADMINISTRATIVO","Gastos Administrativos","Gastos de Venta y Operacion"))</f>
        <v/>
      </c>
      <c r="E3518" s="20">
        <f>IF($C3518="","",IF(Registro_Compras!$F$394="NOTA DE CREDITO","",IF(Registro_Compras!$F$394="RHE",ROUND(Registro_Compras!$L$394*Registro_Compras!$N$394,2),ROUND(Registro_Compras!$J$394*Registro_Compras!$N$394,2))))</f>
        <v/>
      </c>
      <c r="F3518" s="20">
        <f>IF($C3518="","",IF(Registro_Compras!$F$394="NOTA DE CREDITO",ROUND(ABS(Registro_Compras!$J$394*Registro_Compras!$N$394),2),""))</f>
        <v/>
      </c>
      <c r="G3518">
        <f>IF($C3518="","","Por el destino del gasto")</f>
        <v/>
      </c>
      <c r="H3518">
        <f>IF($C3518="","",Registro_Compras!$C$394)</f>
        <v/>
      </c>
    </row>
    <row r="3519">
      <c r="A3519" s="25">
        <f>IF($C3519="","",Registro_Compras!$B$394)</f>
        <v/>
      </c>
      <c r="B3519">
        <f>IF($C3519="","","C"&amp;TEXT(INT((ROW()-5)/9)+1,"000")&amp;"-2")</f>
        <v/>
      </c>
      <c r="C3519">
        <f>IF(OR(Registro_Compras!$C$394="",Registro_Compras!$O$394=""),"","79/791")</f>
        <v/>
      </c>
      <c r="D3519">
        <f>IF(OR(Registro_Compras!$C$394="",Registro_Compras!$O$394=""),"","Cargas Imputables a Cuentas de Costos y Gastos")</f>
        <v/>
      </c>
      <c r="E3519" s="20">
        <f>IF($C3519="","",IF(Registro_Compras!$F$394="NOTA DE CREDITO",ROUND(ABS(Registro_Compras!$J$394*Registro_Compras!$N$394),2),""))</f>
        <v/>
      </c>
      <c r="F3519" s="20">
        <f>IF($C3519="","",IF(Registro_Compras!$F$394="NOTA DE CREDITO","",IF(Registro_Compras!$F$394="RHE",ROUND(Registro_Compras!$L$394*Registro_Compras!$N$394,2),ROUND(Registro_Compras!$J$394*Registro_Compras!$N$394,2))))</f>
        <v/>
      </c>
      <c r="G3519">
        <f>IF($C3519="","","Por el destino del gasto")</f>
        <v/>
      </c>
      <c r="H3519">
        <f>IF($C3519="","",Registro_Compras!$C$394)</f>
        <v/>
      </c>
    </row>
    <row r="3520">
      <c r="A3520" s="25">
        <f>IF($C3520="","",Registro_Compras!$X$394)</f>
        <v/>
      </c>
      <c r="B3520">
        <f>IF($C3520="","","C"&amp;TEXT(INT((ROW()-5)/9)+1,"000")&amp;"-3")</f>
        <v/>
      </c>
      <c r="C3520">
        <f>IF(OR(Registro_Compras!$C$394="",Registro_Compras!$O$394="",Registro_Compras!$R$394&lt;&gt;"SI",Registro_Compras!$X$394=""),"","4212")</f>
        <v/>
      </c>
      <c r="D3520">
        <f>IF(OR(Registro_Compras!$C$394="",Registro_Compras!$O$394=""),"","Cuentas por Pagar Comerciales - Terceros")</f>
        <v/>
      </c>
      <c r="E3520" s="20">
        <f>IF($C3520="","",Registro_Compras!$S$394)</f>
        <v/>
      </c>
      <c r="F3520" s="20">
        <f>""</f>
        <v/>
      </c>
      <c r="G3520">
        <f>IF($C3520="","","Por el deposito de la detraccion en el Banco de la Nacion")</f>
        <v/>
      </c>
      <c r="H3520">
        <f>IF($C3520="","",Registro_Compras!$C$394)</f>
        <v/>
      </c>
    </row>
    <row r="3521">
      <c r="A3521" s="25">
        <f>IF($C3521="","",Registro_Compras!$X$394)</f>
        <v/>
      </c>
      <c r="B3521">
        <f>IF($C3521="","","C"&amp;TEXT(INT((ROW()-5)/9)+1,"000")&amp;"-3")</f>
        <v/>
      </c>
      <c r="C3521">
        <f>IF(OR(Registro_Compras!$C$394="",Registro_Compras!$O$394="",Registro_Compras!$R$394&lt;&gt;"SI",Registro_Compras!$X$394=""),"","10413")</f>
        <v/>
      </c>
      <c r="D3521">
        <f>IF(OR(Registro_Compras!$C$394="",Registro_Compras!$O$394=""),"","Efectivo y Equivalentes - Cta. Cte. Operativa")</f>
        <v/>
      </c>
      <c r="E3521" s="20">
        <f>""</f>
        <v/>
      </c>
      <c r="F3521" s="20">
        <f>IF($C3521="","",Registro_Compras!$S$394)</f>
        <v/>
      </c>
      <c r="G3521">
        <f>IF($C3521="","","Por el deposito de la detraccion en el Banco de la Nacion")</f>
        <v/>
      </c>
      <c r="H3521">
        <f>IF($C3521="","",Registro_Compras!$C$394)</f>
        <v/>
      </c>
    </row>
    <row r="3522">
      <c r="A3522" s="25">
        <f>IF($C3522="","",Registro_Compras!$Y$394)</f>
        <v/>
      </c>
      <c r="B3522">
        <f>IF($C3522="","","C"&amp;TEXT(INT((ROW()-5)/9)+1,"000")&amp;"-4")</f>
        <v/>
      </c>
      <c r="C3522">
        <f>IF(OR(Registro_Compras!$C$394="",Registro_Compras!$O$394="",Registro_Compras!$Y$394="",Registro_Compras!$F$394="NOTA DE CREDITO"),"","4212")</f>
        <v/>
      </c>
      <c r="D3522">
        <f>IF(OR(Registro_Compras!$C$394="",Registro_Compras!$O$394=""),"","Cuentas por Pagar Comerciales - Terceros")</f>
        <v/>
      </c>
      <c r="E3522" s="20">
        <f>IF($C3522="","",IF(Registro_Compras!$F$394="RHE",(ROUND(Registro_Compras!$L$394*Registro_Compras!$N$394,2)-ROUND(Registro_Compras!$V$394*Registro_Compras!$N$394,2)),ROUND(Registro_Compras!$O$394-Registro_Compras!$S$394,2)))</f>
        <v/>
      </c>
      <c r="F3522" s="20">
        <f>""</f>
        <v/>
      </c>
      <c r="G3522">
        <f>IF($C3522="","","Por la cancelacion del saldo al proveedor")</f>
        <v/>
      </c>
      <c r="H3522">
        <f>IF($C3522="","",Registro_Compras!$C$394)</f>
        <v/>
      </c>
    </row>
    <row r="3523">
      <c r="A3523" s="25">
        <f>IF($C3523="","",Registro_Compras!$Y$394)</f>
        <v/>
      </c>
      <c r="B3523">
        <f>IF($C3523="","","C"&amp;TEXT(INT((ROW()-5)/9)+1,"000")&amp;"-4")</f>
        <v/>
      </c>
      <c r="C3523">
        <f>IF(OR(Registro_Compras!$C$394="",Registro_Compras!$O$394="",Registro_Compras!$Y$394="",Registro_Compras!$F$394="NOTA DE CREDITO"),"","10413")</f>
        <v/>
      </c>
      <c r="D3523">
        <f>IF(OR(Registro_Compras!$C$394="",Registro_Compras!$O$394=""),"","Efectivo y Equivalentes - Cta. Cte. Operativa")</f>
        <v/>
      </c>
      <c r="E3523" s="20">
        <f>""</f>
        <v/>
      </c>
      <c r="F3523" s="20">
        <f>IF($C3523="","",IF(Registro_Compras!$F$394="RHE",(ROUND(Registro_Compras!$L$394*Registro_Compras!$N$394,2)-ROUND(Registro_Compras!$V$394*Registro_Compras!$N$394,2)),ROUND(Registro_Compras!$O$394-Registro_Compras!$S$394,2)))</f>
        <v/>
      </c>
      <c r="G3523">
        <f>IF($C3523="","","Por la cancelacion del saldo al proveedor")</f>
        <v/>
      </c>
      <c r="H3523">
        <f>IF($C3523="","",Registro_Compras!$C$394)</f>
        <v/>
      </c>
    </row>
    <row r="3524">
      <c r="A3524" s="25">
        <f>IF($C3524="","",Registro_Compras!$B$395)</f>
        <v/>
      </c>
      <c r="B3524">
        <f>IF($C3524="","","C"&amp;TEXT(INT((ROW()-5)/9)+1,"000")&amp;"-1")</f>
        <v/>
      </c>
      <c r="C3524">
        <f>IF(OR(Registro_Compras!$C$395="",Registro_Compras!$O$395=""),"",IF(Registro_Compras!$F$395="NOTA DE CREDITO","4212",IF(Registro_Compras!$M$395="","63",Registro_Compras!$M$395)))</f>
        <v/>
      </c>
      <c r="D3524">
        <f>IF(OR(Registro_Compras!$C$395="",Registro_Compras!$O$395=""),"",IF(Registro_Compras!$F$395="NOTA DE CREDITO","Cuentas por Pagar Comerciales - Terceros (Emitidas)",IF(Registro_Compras!$F$395="RHE","Honorarios Profesionales - Servicios de Terceros","Gastos de Servicios Prestados por Terceros")))</f>
        <v/>
      </c>
      <c r="E3524" s="20">
        <f>IF($C3524="","",IF(Registro_Compras!$F$395="NOTA DE CREDITO",ABS(Registro_Compras!$O$395),IF(Registro_Compras!$F$395="RHE",ROUND(Registro_Compras!$L$395*Registro_Compras!$N$395,2),ROUND(Registro_Compras!$J$395*Registro_Compras!$N$395,2))))</f>
        <v/>
      </c>
      <c r="F3524" s="20">
        <f>""</f>
        <v/>
      </c>
      <c r="G3524">
        <f>IF($C3524="","",IF(Registro_Compras!$F$395="NOTA DE CREDITO","Por la nota de credito "&amp;Registro_Compras!$C$395&amp;" de "&amp;Registro_Compras!$E$395&amp;" [PATRON POR CONFIRMAR CON CONTADOR]",IF(Registro_Compras!$F$395="RHE","Por el registro del recibo por honorarios "&amp;Registro_Compras!$C$395&amp;" de "&amp;Registro_Compras!$E$395&amp;" [PATRON POR CONFIRMAR CON CONTADOR]","Por el registro de la factura "&amp;Registro_Compras!$C$395&amp;" de "&amp;Registro_Compras!$E$395)))</f>
        <v/>
      </c>
      <c r="H3524">
        <f>IF($C3524="","",Registro_Compras!$C$395)</f>
        <v/>
      </c>
    </row>
    <row r="3525">
      <c r="A3525" s="25">
        <f>IF($C3525="","",Registro_Compras!$B$395)</f>
        <v/>
      </c>
      <c r="B3525">
        <f>IF($C3525="","","C"&amp;TEXT(INT((ROW()-5)/9)+1,"000")&amp;"-1")</f>
        <v/>
      </c>
      <c r="C3525">
        <f>IF(OR(Registro_Compras!$C$395="",Registro_Compras!$O$395=""),"",IF(Registro_Compras!$F$395="RHE",IF(Registro_Compras!$V$395=0,"","40172"),IF(Registro_Compras!$F$395="NOTA DE CREDITO",IF(Registro_Compras!$M$395="","63",Registro_Compras!$M$395),IF(Registro_Compras!$K$395=0,"","40111"))))</f>
        <v/>
      </c>
      <c r="D3525">
        <f>IF(OR(Registro_Compras!$C$395="",Registro_Compras!$O$395=""),"",IF(Registro_Compras!$F$395="RHE","Retencion Renta 4ta Categoria por Pagar",IF(Registro_Compras!$F$395="NOTA DE CREDITO","Gastos de Servicios Prestados por Terceros","IGV - Cuenta Propia (Credito Fiscal)")))</f>
        <v/>
      </c>
      <c r="E3525" s="20">
        <f>IF($C3525="","",IF(Registro_Compras!$F$395="FACTURA",ROUND(Registro_Compras!$K$395*Registro_Compras!$N$395,2),""))</f>
        <v/>
      </c>
      <c r="F3525" s="20">
        <f>IF($C3525="","",IF(Registro_Compras!$F$395="RHE",ROUND(Registro_Compras!$V$395*Registro_Compras!$N$395,2),IF(Registro_Compras!$F$395="NOTA DE CREDITO",ROUND(ABS(Registro_Compras!$J$395*Registro_Compras!$N$395),2),"")))</f>
        <v/>
      </c>
      <c r="G3525">
        <f>IF($C3525="","",IF(Registro_Compras!$F$395="NOTA DE CREDITO","Por la nota de credito "&amp;Registro_Compras!$C$395&amp;" de "&amp;Registro_Compras!$E$395&amp;" [PATRON POR CONFIRMAR CON CONTADOR]",IF(Registro_Compras!$F$395="RHE","Por el registro del recibo por honorarios "&amp;Registro_Compras!$C$395&amp;" de "&amp;Registro_Compras!$E$395&amp;" [PATRON POR CONFIRMAR CON CONTADOR]","Por el registro de la factura "&amp;Registro_Compras!$C$395&amp;" de "&amp;Registro_Compras!$E$395)))</f>
        <v/>
      </c>
      <c r="H3525">
        <f>IF($C3525="","",Registro_Compras!$C$395)</f>
        <v/>
      </c>
    </row>
    <row r="3526">
      <c r="A3526" s="25">
        <f>IF($C3526="","",Registro_Compras!$B$395)</f>
        <v/>
      </c>
      <c r="B3526">
        <f>IF($C3526="","","C"&amp;TEXT(INT((ROW()-5)/9)+1,"000")&amp;"-1")</f>
        <v/>
      </c>
      <c r="C3526">
        <f>IF(OR(Registro_Compras!$C$395="",Registro_Compras!$O$395=""),"",IF(Registro_Compras!$F$395="NOTA DE CREDITO",IF(Registro_Compras!$K$395=0,"","40111"),"4212"))</f>
        <v/>
      </c>
      <c r="D3526">
        <f>IF(OR(Registro_Compras!$C$395="",Registro_Compras!$O$395=""),"",IF(Registro_Compras!$F$395="NOTA DE CREDITO","IGV - Cuenta Propia (Credito Fiscal)","Cuentas por Pagar Comerciales - Terceros (Emitidas)"))</f>
        <v/>
      </c>
      <c r="E3526" s="20">
        <f>""</f>
        <v/>
      </c>
      <c r="F3526" s="20">
        <f>IF($C3526="","",IF(Registro_Compras!$F$395="NOTA DE CREDITO",ROUND(ABS(Registro_Compras!$K$395*Registro_Compras!$N$395),2),IF(Registro_Compras!$F$395="RHE",(ROUND(Registro_Compras!$L$395*Registro_Compras!$N$395,2)-ROUND(Registro_Compras!$V$395*Registro_Compras!$N$395,2)),Registro_Compras!$O$395)))</f>
        <v/>
      </c>
      <c r="G3526">
        <f>IF($C3526="","",IF(Registro_Compras!$F$395="NOTA DE CREDITO","Por la nota de credito "&amp;Registro_Compras!$C$395&amp;" de "&amp;Registro_Compras!$E$395&amp;" [PATRON POR CONFIRMAR CON CONTADOR]",IF(Registro_Compras!$F$395="RHE","Por el registro del recibo por honorarios "&amp;Registro_Compras!$C$395&amp;" de "&amp;Registro_Compras!$E$395&amp;" [PATRON POR CONFIRMAR CON CONTADOR]","Por el registro de la factura "&amp;Registro_Compras!$C$395&amp;" de "&amp;Registro_Compras!$E$395)))</f>
        <v/>
      </c>
      <c r="H3526">
        <f>IF($C3526="","",Registro_Compras!$C$395)</f>
        <v/>
      </c>
    </row>
    <row r="3527">
      <c r="A3527" s="25">
        <f>IF($C3527="","",Registro_Compras!$B$395)</f>
        <v/>
      </c>
      <c r="B3527">
        <f>IF($C3527="","","C"&amp;TEXT(INT((ROW()-5)/9)+1,"000")&amp;"-2")</f>
        <v/>
      </c>
      <c r="C3527">
        <f>IF(OR(Registro_Compras!$C$395="",Registro_Compras!$O$395=""),"",IF(Registro_Compras!$AB$395="ADMINISTRATIVO","94","95"))</f>
        <v/>
      </c>
      <c r="D3527">
        <f>IF(OR(Registro_Compras!$C$395="",Registro_Compras!$O$395=""),"",IF(Registro_Compras!$AB$395="ADMINISTRATIVO","Gastos Administrativos","Gastos de Venta y Operacion"))</f>
        <v/>
      </c>
      <c r="E3527" s="20">
        <f>IF($C3527="","",IF(Registro_Compras!$F$395="NOTA DE CREDITO","",IF(Registro_Compras!$F$395="RHE",ROUND(Registro_Compras!$L$395*Registro_Compras!$N$395,2),ROUND(Registro_Compras!$J$395*Registro_Compras!$N$395,2))))</f>
        <v/>
      </c>
      <c r="F3527" s="20">
        <f>IF($C3527="","",IF(Registro_Compras!$F$395="NOTA DE CREDITO",ROUND(ABS(Registro_Compras!$J$395*Registro_Compras!$N$395),2),""))</f>
        <v/>
      </c>
      <c r="G3527">
        <f>IF($C3527="","","Por el destino del gasto")</f>
        <v/>
      </c>
      <c r="H3527">
        <f>IF($C3527="","",Registro_Compras!$C$395)</f>
        <v/>
      </c>
    </row>
    <row r="3528">
      <c r="A3528" s="25">
        <f>IF($C3528="","",Registro_Compras!$B$395)</f>
        <v/>
      </c>
      <c r="B3528">
        <f>IF($C3528="","","C"&amp;TEXT(INT((ROW()-5)/9)+1,"000")&amp;"-2")</f>
        <v/>
      </c>
      <c r="C3528">
        <f>IF(OR(Registro_Compras!$C$395="",Registro_Compras!$O$395=""),"","79/791")</f>
        <v/>
      </c>
      <c r="D3528">
        <f>IF(OR(Registro_Compras!$C$395="",Registro_Compras!$O$395=""),"","Cargas Imputables a Cuentas de Costos y Gastos")</f>
        <v/>
      </c>
      <c r="E3528" s="20">
        <f>IF($C3528="","",IF(Registro_Compras!$F$395="NOTA DE CREDITO",ROUND(ABS(Registro_Compras!$J$395*Registro_Compras!$N$395),2),""))</f>
        <v/>
      </c>
      <c r="F3528" s="20">
        <f>IF($C3528="","",IF(Registro_Compras!$F$395="NOTA DE CREDITO","",IF(Registro_Compras!$F$395="RHE",ROUND(Registro_Compras!$L$395*Registro_Compras!$N$395,2),ROUND(Registro_Compras!$J$395*Registro_Compras!$N$395,2))))</f>
        <v/>
      </c>
      <c r="G3528">
        <f>IF($C3528="","","Por el destino del gasto")</f>
        <v/>
      </c>
      <c r="H3528">
        <f>IF($C3528="","",Registro_Compras!$C$395)</f>
        <v/>
      </c>
    </row>
    <row r="3529">
      <c r="A3529" s="25">
        <f>IF($C3529="","",Registro_Compras!$X$395)</f>
        <v/>
      </c>
      <c r="B3529">
        <f>IF($C3529="","","C"&amp;TEXT(INT((ROW()-5)/9)+1,"000")&amp;"-3")</f>
        <v/>
      </c>
      <c r="C3529">
        <f>IF(OR(Registro_Compras!$C$395="",Registro_Compras!$O$395="",Registro_Compras!$R$395&lt;&gt;"SI",Registro_Compras!$X$395=""),"","4212")</f>
        <v/>
      </c>
      <c r="D3529">
        <f>IF(OR(Registro_Compras!$C$395="",Registro_Compras!$O$395=""),"","Cuentas por Pagar Comerciales - Terceros")</f>
        <v/>
      </c>
      <c r="E3529" s="20">
        <f>IF($C3529="","",Registro_Compras!$S$395)</f>
        <v/>
      </c>
      <c r="F3529" s="20">
        <f>""</f>
        <v/>
      </c>
      <c r="G3529">
        <f>IF($C3529="","","Por el deposito de la detraccion en el Banco de la Nacion")</f>
        <v/>
      </c>
      <c r="H3529">
        <f>IF($C3529="","",Registro_Compras!$C$395)</f>
        <v/>
      </c>
    </row>
    <row r="3530">
      <c r="A3530" s="25">
        <f>IF($C3530="","",Registro_Compras!$X$395)</f>
        <v/>
      </c>
      <c r="B3530">
        <f>IF($C3530="","","C"&amp;TEXT(INT((ROW()-5)/9)+1,"000")&amp;"-3")</f>
        <v/>
      </c>
      <c r="C3530">
        <f>IF(OR(Registro_Compras!$C$395="",Registro_Compras!$O$395="",Registro_Compras!$R$395&lt;&gt;"SI",Registro_Compras!$X$395=""),"","10413")</f>
        <v/>
      </c>
      <c r="D3530">
        <f>IF(OR(Registro_Compras!$C$395="",Registro_Compras!$O$395=""),"","Efectivo y Equivalentes - Cta. Cte. Operativa")</f>
        <v/>
      </c>
      <c r="E3530" s="20">
        <f>""</f>
        <v/>
      </c>
      <c r="F3530" s="20">
        <f>IF($C3530="","",Registro_Compras!$S$395)</f>
        <v/>
      </c>
      <c r="G3530">
        <f>IF($C3530="","","Por el deposito de la detraccion en el Banco de la Nacion")</f>
        <v/>
      </c>
      <c r="H3530">
        <f>IF($C3530="","",Registro_Compras!$C$395)</f>
        <v/>
      </c>
    </row>
    <row r="3531">
      <c r="A3531" s="25">
        <f>IF($C3531="","",Registro_Compras!$Y$395)</f>
        <v/>
      </c>
      <c r="B3531">
        <f>IF($C3531="","","C"&amp;TEXT(INT((ROW()-5)/9)+1,"000")&amp;"-4")</f>
        <v/>
      </c>
      <c r="C3531">
        <f>IF(OR(Registro_Compras!$C$395="",Registro_Compras!$O$395="",Registro_Compras!$Y$395="",Registro_Compras!$F$395="NOTA DE CREDITO"),"","4212")</f>
        <v/>
      </c>
      <c r="D3531">
        <f>IF(OR(Registro_Compras!$C$395="",Registro_Compras!$O$395=""),"","Cuentas por Pagar Comerciales - Terceros")</f>
        <v/>
      </c>
      <c r="E3531" s="20">
        <f>IF($C3531="","",IF(Registro_Compras!$F$395="RHE",(ROUND(Registro_Compras!$L$395*Registro_Compras!$N$395,2)-ROUND(Registro_Compras!$V$395*Registro_Compras!$N$395,2)),ROUND(Registro_Compras!$O$395-Registro_Compras!$S$395,2)))</f>
        <v/>
      </c>
      <c r="F3531" s="20">
        <f>""</f>
        <v/>
      </c>
      <c r="G3531">
        <f>IF($C3531="","","Por la cancelacion del saldo al proveedor")</f>
        <v/>
      </c>
      <c r="H3531">
        <f>IF($C3531="","",Registro_Compras!$C$395)</f>
        <v/>
      </c>
    </row>
    <row r="3532">
      <c r="A3532" s="25">
        <f>IF($C3532="","",Registro_Compras!$Y$395)</f>
        <v/>
      </c>
      <c r="B3532">
        <f>IF($C3532="","","C"&amp;TEXT(INT((ROW()-5)/9)+1,"000")&amp;"-4")</f>
        <v/>
      </c>
      <c r="C3532">
        <f>IF(OR(Registro_Compras!$C$395="",Registro_Compras!$O$395="",Registro_Compras!$Y$395="",Registro_Compras!$F$395="NOTA DE CREDITO"),"","10413")</f>
        <v/>
      </c>
      <c r="D3532">
        <f>IF(OR(Registro_Compras!$C$395="",Registro_Compras!$O$395=""),"","Efectivo y Equivalentes - Cta. Cte. Operativa")</f>
        <v/>
      </c>
      <c r="E3532" s="20">
        <f>""</f>
        <v/>
      </c>
      <c r="F3532" s="20">
        <f>IF($C3532="","",IF(Registro_Compras!$F$395="RHE",(ROUND(Registro_Compras!$L$395*Registro_Compras!$N$395,2)-ROUND(Registro_Compras!$V$395*Registro_Compras!$N$395,2)),ROUND(Registro_Compras!$O$395-Registro_Compras!$S$395,2)))</f>
        <v/>
      </c>
      <c r="G3532">
        <f>IF($C3532="","","Por la cancelacion del saldo al proveedor")</f>
        <v/>
      </c>
      <c r="H3532">
        <f>IF($C3532="","",Registro_Compras!$C$395)</f>
        <v/>
      </c>
    </row>
    <row r="3533">
      <c r="A3533" s="25">
        <f>IF($C3533="","",Registro_Compras!$B$396)</f>
        <v/>
      </c>
      <c r="B3533">
        <f>IF($C3533="","","C"&amp;TEXT(INT((ROW()-5)/9)+1,"000")&amp;"-1")</f>
        <v/>
      </c>
      <c r="C3533">
        <f>IF(OR(Registro_Compras!$C$396="",Registro_Compras!$O$396=""),"",IF(Registro_Compras!$F$396="NOTA DE CREDITO","4212",IF(Registro_Compras!$M$396="","63",Registro_Compras!$M$396)))</f>
        <v/>
      </c>
      <c r="D3533">
        <f>IF(OR(Registro_Compras!$C$396="",Registro_Compras!$O$396=""),"",IF(Registro_Compras!$F$396="NOTA DE CREDITO","Cuentas por Pagar Comerciales - Terceros (Emitidas)",IF(Registro_Compras!$F$396="RHE","Honorarios Profesionales - Servicios de Terceros","Gastos de Servicios Prestados por Terceros")))</f>
        <v/>
      </c>
      <c r="E3533" s="20">
        <f>IF($C3533="","",IF(Registro_Compras!$F$396="NOTA DE CREDITO",ABS(Registro_Compras!$O$396),IF(Registro_Compras!$F$396="RHE",ROUND(Registro_Compras!$L$396*Registro_Compras!$N$396,2),ROUND(Registro_Compras!$J$396*Registro_Compras!$N$396,2))))</f>
        <v/>
      </c>
      <c r="F3533" s="20">
        <f>""</f>
        <v/>
      </c>
      <c r="G3533">
        <f>IF($C3533="","",IF(Registro_Compras!$F$396="NOTA DE CREDITO","Por la nota de credito "&amp;Registro_Compras!$C$396&amp;" de "&amp;Registro_Compras!$E$396&amp;" [PATRON POR CONFIRMAR CON CONTADOR]",IF(Registro_Compras!$F$396="RHE","Por el registro del recibo por honorarios "&amp;Registro_Compras!$C$396&amp;" de "&amp;Registro_Compras!$E$396&amp;" [PATRON POR CONFIRMAR CON CONTADOR]","Por el registro de la factura "&amp;Registro_Compras!$C$396&amp;" de "&amp;Registro_Compras!$E$396)))</f>
        <v/>
      </c>
      <c r="H3533">
        <f>IF($C3533="","",Registro_Compras!$C$396)</f>
        <v/>
      </c>
    </row>
    <row r="3534">
      <c r="A3534" s="25">
        <f>IF($C3534="","",Registro_Compras!$B$396)</f>
        <v/>
      </c>
      <c r="B3534">
        <f>IF($C3534="","","C"&amp;TEXT(INT((ROW()-5)/9)+1,"000")&amp;"-1")</f>
        <v/>
      </c>
      <c r="C3534">
        <f>IF(OR(Registro_Compras!$C$396="",Registro_Compras!$O$396=""),"",IF(Registro_Compras!$F$396="RHE",IF(Registro_Compras!$V$396=0,"","40172"),IF(Registro_Compras!$F$396="NOTA DE CREDITO",IF(Registro_Compras!$M$396="","63",Registro_Compras!$M$396),IF(Registro_Compras!$K$396=0,"","40111"))))</f>
        <v/>
      </c>
      <c r="D3534">
        <f>IF(OR(Registro_Compras!$C$396="",Registro_Compras!$O$396=""),"",IF(Registro_Compras!$F$396="RHE","Retencion Renta 4ta Categoria por Pagar",IF(Registro_Compras!$F$396="NOTA DE CREDITO","Gastos de Servicios Prestados por Terceros","IGV - Cuenta Propia (Credito Fiscal)")))</f>
        <v/>
      </c>
      <c r="E3534" s="20">
        <f>IF($C3534="","",IF(Registro_Compras!$F$396="FACTURA",ROUND(Registro_Compras!$K$396*Registro_Compras!$N$396,2),""))</f>
        <v/>
      </c>
      <c r="F3534" s="20">
        <f>IF($C3534="","",IF(Registro_Compras!$F$396="RHE",ROUND(Registro_Compras!$V$396*Registro_Compras!$N$396,2),IF(Registro_Compras!$F$396="NOTA DE CREDITO",ROUND(ABS(Registro_Compras!$J$396*Registro_Compras!$N$396),2),"")))</f>
        <v/>
      </c>
      <c r="G3534">
        <f>IF($C3534="","",IF(Registro_Compras!$F$396="NOTA DE CREDITO","Por la nota de credito "&amp;Registro_Compras!$C$396&amp;" de "&amp;Registro_Compras!$E$396&amp;" [PATRON POR CONFIRMAR CON CONTADOR]",IF(Registro_Compras!$F$396="RHE","Por el registro del recibo por honorarios "&amp;Registro_Compras!$C$396&amp;" de "&amp;Registro_Compras!$E$396&amp;" [PATRON POR CONFIRMAR CON CONTADOR]","Por el registro de la factura "&amp;Registro_Compras!$C$396&amp;" de "&amp;Registro_Compras!$E$396)))</f>
        <v/>
      </c>
      <c r="H3534">
        <f>IF($C3534="","",Registro_Compras!$C$396)</f>
        <v/>
      </c>
    </row>
    <row r="3535">
      <c r="A3535" s="25">
        <f>IF($C3535="","",Registro_Compras!$B$396)</f>
        <v/>
      </c>
      <c r="B3535">
        <f>IF($C3535="","","C"&amp;TEXT(INT((ROW()-5)/9)+1,"000")&amp;"-1")</f>
        <v/>
      </c>
      <c r="C3535">
        <f>IF(OR(Registro_Compras!$C$396="",Registro_Compras!$O$396=""),"",IF(Registro_Compras!$F$396="NOTA DE CREDITO",IF(Registro_Compras!$K$396=0,"","40111"),"4212"))</f>
        <v/>
      </c>
      <c r="D3535">
        <f>IF(OR(Registro_Compras!$C$396="",Registro_Compras!$O$396=""),"",IF(Registro_Compras!$F$396="NOTA DE CREDITO","IGV - Cuenta Propia (Credito Fiscal)","Cuentas por Pagar Comerciales - Terceros (Emitidas)"))</f>
        <v/>
      </c>
      <c r="E3535" s="20">
        <f>""</f>
        <v/>
      </c>
      <c r="F3535" s="20">
        <f>IF($C3535="","",IF(Registro_Compras!$F$396="NOTA DE CREDITO",ROUND(ABS(Registro_Compras!$K$396*Registro_Compras!$N$396),2),IF(Registro_Compras!$F$396="RHE",(ROUND(Registro_Compras!$L$396*Registro_Compras!$N$396,2)-ROUND(Registro_Compras!$V$396*Registro_Compras!$N$396,2)),Registro_Compras!$O$396)))</f>
        <v/>
      </c>
      <c r="G3535">
        <f>IF($C3535="","",IF(Registro_Compras!$F$396="NOTA DE CREDITO","Por la nota de credito "&amp;Registro_Compras!$C$396&amp;" de "&amp;Registro_Compras!$E$396&amp;" [PATRON POR CONFIRMAR CON CONTADOR]",IF(Registro_Compras!$F$396="RHE","Por el registro del recibo por honorarios "&amp;Registro_Compras!$C$396&amp;" de "&amp;Registro_Compras!$E$396&amp;" [PATRON POR CONFIRMAR CON CONTADOR]","Por el registro de la factura "&amp;Registro_Compras!$C$396&amp;" de "&amp;Registro_Compras!$E$396)))</f>
        <v/>
      </c>
      <c r="H3535">
        <f>IF($C3535="","",Registro_Compras!$C$396)</f>
        <v/>
      </c>
    </row>
    <row r="3536">
      <c r="A3536" s="25">
        <f>IF($C3536="","",Registro_Compras!$B$396)</f>
        <v/>
      </c>
      <c r="B3536">
        <f>IF($C3536="","","C"&amp;TEXT(INT((ROW()-5)/9)+1,"000")&amp;"-2")</f>
        <v/>
      </c>
      <c r="C3536">
        <f>IF(OR(Registro_Compras!$C$396="",Registro_Compras!$O$396=""),"",IF(Registro_Compras!$AB$396="ADMINISTRATIVO","94","95"))</f>
        <v/>
      </c>
      <c r="D3536">
        <f>IF(OR(Registro_Compras!$C$396="",Registro_Compras!$O$396=""),"",IF(Registro_Compras!$AB$396="ADMINISTRATIVO","Gastos Administrativos","Gastos de Venta y Operacion"))</f>
        <v/>
      </c>
      <c r="E3536" s="20">
        <f>IF($C3536="","",IF(Registro_Compras!$F$396="NOTA DE CREDITO","",IF(Registro_Compras!$F$396="RHE",ROUND(Registro_Compras!$L$396*Registro_Compras!$N$396,2),ROUND(Registro_Compras!$J$396*Registro_Compras!$N$396,2))))</f>
        <v/>
      </c>
      <c r="F3536" s="20">
        <f>IF($C3536="","",IF(Registro_Compras!$F$396="NOTA DE CREDITO",ROUND(ABS(Registro_Compras!$J$396*Registro_Compras!$N$396),2),""))</f>
        <v/>
      </c>
      <c r="G3536">
        <f>IF($C3536="","","Por el destino del gasto")</f>
        <v/>
      </c>
      <c r="H3536">
        <f>IF($C3536="","",Registro_Compras!$C$396)</f>
        <v/>
      </c>
    </row>
    <row r="3537">
      <c r="A3537" s="25">
        <f>IF($C3537="","",Registro_Compras!$B$396)</f>
        <v/>
      </c>
      <c r="B3537">
        <f>IF($C3537="","","C"&amp;TEXT(INT((ROW()-5)/9)+1,"000")&amp;"-2")</f>
        <v/>
      </c>
      <c r="C3537">
        <f>IF(OR(Registro_Compras!$C$396="",Registro_Compras!$O$396=""),"","79/791")</f>
        <v/>
      </c>
      <c r="D3537">
        <f>IF(OR(Registro_Compras!$C$396="",Registro_Compras!$O$396=""),"","Cargas Imputables a Cuentas de Costos y Gastos")</f>
        <v/>
      </c>
      <c r="E3537" s="20">
        <f>IF($C3537="","",IF(Registro_Compras!$F$396="NOTA DE CREDITO",ROUND(ABS(Registro_Compras!$J$396*Registro_Compras!$N$396),2),""))</f>
        <v/>
      </c>
      <c r="F3537" s="20">
        <f>IF($C3537="","",IF(Registro_Compras!$F$396="NOTA DE CREDITO","",IF(Registro_Compras!$F$396="RHE",ROUND(Registro_Compras!$L$396*Registro_Compras!$N$396,2),ROUND(Registro_Compras!$J$396*Registro_Compras!$N$396,2))))</f>
        <v/>
      </c>
      <c r="G3537">
        <f>IF($C3537="","","Por el destino del gasto")</f>
        <v/>
      </c>
      <c r="H3537">
        <f>IF($C3537="","",Registro_Compras!$C$396)</f>
        <v/>
      </c>
    </row>
    <row r="3538">
      <c r="A3538" s="25">
        <f>IF($C3538="","",Registro_Compras!$X$396)</f>
        <v/>
      </c>
      <c r="B3538">
        <f>IF($C3538="","","C"&amp;TEXT(INT((ROW()-5)/9)+1,"000")&amp;"-3")</f>
        <v/>
      </c>
      <c r="C3538">
        <f>IF(OR(Registro_Compras!$C$396="",Registro_Compras!$O$396="",Registro_Compras!$R$396&lt;&gt;"SI",Registro_Compras!$X$396=""),"","4212")</f>
        <v/>
      </c>
      <c r="D3538">
        <f>IF(OR(Registro_Compras!$C$396="",Registro_Compras!$O$396=""),"","Cuentas por Pagar Comerciales - Terceros")</f>
        <v/>
      </c>
      <c r="E3538" s="20">
        <f>IF($C3538="","",Registro_Compras!$S$396)</f>
        <v/>
      </c>
      <c r="F3538" s="20">
        <f>""</f>
        <v/>
      </c>
      <c r="G3538">
        <f>IF($C3538="","","Por el deposito de la detraccion en el Banco de la Nacion")</f>
        <v/>
      </c>
      <c r="H3538">
        <f>IF($C3538="","",Registro_Compras!$C$396)</f>
        <v/>
      </c>
    </row>
    <row r="3539">
      <c r="A3539" s="25">
        <f>IF($C3539="","",Registro_Compras!$X$396)</f>
        <v/>
      </c>
      <c r="B3539">
        <f>IF($C3539="","","C"&amp;TEXT(INT((ROW()-5)/9)+1,"000")&amp;"-3")</f>
        <v/>
      </c>
      <c r="C3539">
        <f>IF(OR(Registro_Compras!$C$396="",Registro_Compras!$O$396="",Registro_Compras!$R$396&lt;&gt;"SI",Registro_Compras!$X$396=""),"","10413")</f>
        <v/>
      </c>
      <c r="D3539">
        <f>IF(OR(Registro_Compras!$C$396="",Registro_Compras!$O$396=""),"","Efectivo y Equivalentes - Cta. Cte. Operativa")</f>
        <v/>
      </c>
      <c r="E3539" s="20">
        <f>""</f>
        <v/>
      </c>
      <c r="F3539" s="20">
        <f>IF($C3539="","",Registro_Compras!$S$396)</f>
        <v/>
      </c>
      <c r="G3539">
        <f>IF($C3539="","","Por el deposito de la detraccion en el Banco de la Nacion")</f>
        <v/>
      </c>
      <c r="H3539">
        <f>IF($C3539="","",Registro_Compras!$C$396)</f>
        <v/>
      </c>
    </row>
    <row r="3540">
      <c r="A3540" s="25">
        <f>IF($C3540="","",Registro_Compras!$Y$396)</f>
        <v/>
      </c>
      <c r="B3540">
        <f>IF($C3540="","","C"&amp;TEXT(INT((ROW()-5)/9)+1,"000")&amp;"-4")</f>
        <v/>
      </c>
      <c r="C3540">
        <f>IF(OR(Registro_Compras!$C$396="",Registro_Compras!$O$396="",Registro_Compras!$Y$396="",Registro_Compras!$F$396="NOTA DE CREDITO"),"","4212")</f>
        <v/>
      </c>
      <c r="D3540">
        <f>IF(OR(Registro_Compras!$C$396="",Registro_Compras!$O$396=""),"","Cuentas por Pagar Comerciales - Terceros")</f>
        <v/>
      </c>
      <c r="E3540" s="20">
        <f>IF($C3540="","",IF(Registro_Compras!$F$396="RHE",(ROUND(Registro_Compras!$L$396*Registro_Compras!$N$396,2)-ROUND(Registro_Compras!$V$396*Registro_Compras!$N$396,2)),ROUND(Registro_Compras!$O$396-Registro_Compras!$S$396,2)))</f>
        <v/>
      </c>
      <c r="F3540" s="20">
        <f>""</f>
        <v/>
      </c>
      <c r="G3540">
        <f>IF($C3540="","","Por la cancelacion del saldo al proveedor")</f>
        <v/>
      </c>
      <c r="H3540">
        <f>IF($C3540="","",Registro_Compras!$C$396)</f>
        <v/>
      </c>
    </row>
    <row r="3541">
      <c r="A3541" s="25">
        <f>IF($C3541="","",Registro_Compras!$Y$396)</f>
        <v/>
      </c>
      <c r="B3541">
        <f>IF($C3541="","","C"&amp;TEXT(INT((ROW()-5)/9)+1,"000")&amp;"-4")</f>
        <v/>
      </c>
      <c r="C3541">
        <f>IF(OR(Registro_Compras!$C$396="",Registro_Compras!$O$396="",Registro_Compras!$Y$396="",Registro_Compras!$F$396="NOTA DE CREDITO"),"","10413")</f>
        <v/>
      </c>
      <c r="D3541">
        <f>IF(OR(Registro_Compras!$C$396="",Registro_Compras!$O$396=""),"","Efectivo y Equivalentes - Cta. Cte. Operativa")</f>
        <v/>
      </c>
      <c r="E3541" s="20">
        <f>""</f>
        <v/>
      </c>
      <c r="F3541" s="20">
        <f>IF($C3541="","",IF(Registro_Compras!$F$396="RHE",(ROUND(Registro_Compras!$L$396*Registro_Compras!$N$396,2)-ROUND(Registro_Compras!$V$396*Registro_Compras!$N$396,2)),ROUND(Registro_Compras!$O$396-Registro_Compras!$S$396,2)))</f>
        <v/>
      </c>
      <c r="G3541">
        <f>IF($C3541="","","Por la cancelacion del saldo al proveedor")</f>
        <v/>
      </c>
      <c r="H3541">
        <f>IF($C3541="","",Registro_Compras!$C$396)</f>
        <v/>
      </c>
    </row>
    <row r="3542">
      <c r="A3542" s="25">
        <f>IF($C3542="","",Registro_Compras!$B$397)</f>
        <v/>
      </c>
      <c r="B3542">
        <f>IF($C3542="","","C"&amp;TEXT(INT((ROW()-5)/9)+1,"000")&amp;"-1")</f>
        <v/>
      </c>
      <c r="C3542">
        <f>IF(OR(Registro_Compras!$C$397="",Registro_Compras!$O$397=""),"",IF(Registro_Compras!$F$397="NOTA DE CREDITO","4212",IF(Registro_Compras!$M$397="","63",Registro_Compras!$M$397)))</f>
        <v/>
      </c>
      <c r="D3542">
        <f>IF(OR(Registro_Compras!$C$397="",Registro_Compras!$O$397=""),"",IF(Registro_Compras!$F$397="NOTA DE CREDITO","Cuentas por Pagar Comerciales - Terceros (Emitidas)",IF(Registro_Compras!$F$397="RHE","Honorarios Profesionales - Servicios de Terceros","Gastos de Servicios Prestados por Terceros")))</f>
        <v/>
      </c>
      <c r="E3542" s="20">
        <f>IF($C3542="","",IF(Registro_Compras!$F$397="NOTA DE CREDITO",ABS(Registro_Compras!$O$397),IF(Registro_Compras!$F$397="RHE",ROUND(Registro_Compras!$L$397*Registro_Compras!$N$397,2),ROUND(Registro_Compras!$J$397*Registro_Compras!$N$397,2))))</f>
        <v/>
      </c>
      <c r="F3542" s="20">
        <f>""</f>
        <v/>
      </c>
      <c r="G3542">
        <f>IF($C3542="","",IF(Registro_Compras!$F$397="NOTA DE CREDITO","Por la nota de credito "&amp;Registro_Compras!$C$397&amp;" de "&amp;Registro_Compras!$E$397&amp;" [PATRON POR CONFIRMAR CON CONTADOR]",IF(Registro_Compras!$F$397="RHE","Por el registro del recibo por honorarios "&amp;Registro_Compras!$C$397&amp;" de "&amp;Registro_Compras!$E$397&amp;" [PATRON POR CONFIRMAR CON CONTADOR]","Por el registro de la factura "&amp;Registro_Compras!$C$397&amp;" de "&amp;Registro_Compras!$E$397)))</f>
        <v/>
      </c>
      <c r="H3542">
        <f>IF($C3542="","",Registro_Compras!$C$397)</f>
        <v/>
      </c>
    </row>
    <row r="3543">
      <c r="A3543" s="25">
        <f>IF($C3543="","",Registro_Compras!$B$397)</f>
        <v/>
      </c>
      <c r="B3543">
        <f>IF($C3543="","","C"&amp;TEXT(INT((ROW()-5)/9)+1,"000")&amp;"-1")</f>
        <v/>
      </c>
      <c r="C3543">
        <f>IF(OR(Registro_Compras!$C$397="",Registro_Compras!$O$397=""),"",IF(Registro_Compras!$F$397="RHE",IF(Registro_Compras!$V$397=0,"","40172"),IF(Registro_Compras!$F$397="NOTA DE CREDITO",IF(Registro_Compras!$M$397="","63",Registro_Compras!$M$397),IF(Registro_Compras!$K$397=0,"","40111"))))</f>
        <v/>
      </c>
      <c r="D3543">
        <f>IF(OR(Registro_Compras!$C$397="",Registro_Compras!$O$397=""),"",IF(Registro_Compras!$F$397="RHE","Retencion Renta 4ta Categoria por Pagar",IF(Registro_Compras!$F$397="NOTA DE CREDITO","Gastos de Servicios Prestados por Terceros","IGV - Cuenta Propia (Credito Fiscal)")))</f>
        <v/>
      </c>
      <c r="E3543" s="20">
        <f>IF($C3543="","",IF(Registro_Compras!$F$397="FACTURA",ROUND(Registro_Compras!$K$397*Registro_Compras!$N$397,2),""))</f>
        <v/>
      </c>
      <c r="F3543" s="20">
        <f>IF($C3543="","",IF(Registro_Compras!$F$397="RHE",ROUND(Registro_Compras!$V$397*Registro_Compras!$N$397,2),IF(Registro_Compras!$F$397="NOTA DE CREDITO",ROUND(ABS(Registro_Compras!$J$397*Registro_Compras!$N$397),2),"")))</f>
        <v/>
      </c>
      <c r="G3543">
        <f>IF($C3543="","",IF(Registro_Compras!$F$397="NOTA DE CREDITO","Por la nota de credito "&amp;Registro_Compras!$C$397&amp;" de "&amp;Registro_Compras!$E$397&amp;" [PATRON POR CONFIRMAR CON CONTADOR]",IF(Registro_Compras!$F$397="RHE","Por el registro del recibo por honorarios "&amp;Registro_Compras!$C$397&amp;" de "&amp;Registro_Compras!$E$397&amp;" [PATRON POR CONFIRMAR CON CONTADOR]","Por el registro de la factura "&amp;Registro_Compras!$C$397&amp;" de "&amp;Registro_Compras!$E$397)))</f>
        <v/>
      </c>
      <c r="H3543">
        <f>IF($C3543="","",Registro_Compras!$C$397)</f>
        <v/>
      </c>
    </row>
    <row r="3544">
      <c r="A3544" s="25">
        <f>IF($C3544="","",Registro_Compras!$B$397)</f>
        <v/>
      </c>
      <c r="B3544">
        <f>IF($C3544="","","C"&amp;TEXT(INT((ROW()-5)/9)+1,"000")&amp;"-1")</f>
        <v/>
      </c>
      <c r="C3544">
        <f>IF(OR(Registro_Compras!$C$397="",Registro_Compras!$O$397=""),"",IF(Registro_Compras!$F$397="NOTA DE CREDITO",IF(Registro_Compras!$K$397=0,"","40111"),"4212"))</f>
        <v/>
      </c>
      <c r="D3544">
        <f>IF(OR(Registro_Compras!$C$397="",Registro_Compras!$O$397=""),"",IF(Registro_Compras!$F$397="NOTA DE CREDITO","IGV - Cuenta Propia (Credito Fiscal)","Cuentas por Pagar Comerciales - Terceros (Emitidas)"))</f>
        <v/>
      </c>
      <c r="E3544" s="20">
        <f>""</f>
        <v/>
      </c>
      <c r="F3544" s="20">
        <f>IF($C3544="","",IF(Registro_Compras!$F$397="NOTA DE CREDITO",ROUND(ABS(Registro_Compras!$K$397*Registro_Compras!$N$397),2),IF(Registro_Compras!$F$397="RHE",(ROUND(Registro_Compras!$L$397*Registro_Compras!$N$397,2)-ROUND(Registro_Compras!$V$397*Registro_Compras!$N$397,2)),Registro_Compras!$O$397)))</f>
        <v/>
      </c>
      <c r="G3544">
        <f>IF($C3544="","",IF(Registro_Compras!$F$397="NOTA DE CREDITO","Por la nota de credito "&amp;Registro_Compras!$C$397&amp;" de "&amp;Registro_Compras!$E$397&amp;" [PATRON POR CONFIRMAR CON CONTADOR]",IF(Registro_Compras!$F$397="RHE","Por el registro del recibo por honorarios "&amp;Registro_Compras!$C$397&amp;" de "&amp;Registro_Compras!$E$397&amp;" [PATRON POR CONFIRMAR CON CONTADOR]","Por el registro de la factura "&amp;Registro_Compras!$C$397&amp;" de "&amp;Registro_Compras!$E$397)))</f>
        <v/>
      </c>
      <c r="H3544">
        <f>IF($C3544="","",Registro_Compras!$C$397)</f>
        <v/>
      </c>
    </row>
    <row r="3545">
      <c r="A3545" s="25">
        <f>IF($C3545="","",Registro_Compras!$B$397)</f>
        <v/>
      </c>
      <c r="B3545">
        <f>IF($C3545="","","C"&amp;TEXT(INT((ROW()-5)/9)+1,"000")&amp;"-2")</f>
        <v/>
      </c>
      <c r="C3545">
        <f>IF(OR(Registro_Compras!$C$397="",Registro_Compras!$O$397=""),"",IF(Registro_Compras!$AB$397="ADMINISTRATIVO","94","95"))</f>
        <v/>
      </c>
      <c r="D3545">
        <f>IF(OR(Registro_Compras!$C$397="",Registro_Compras!$O$397=""),"",IF(Registro_Compras!$AB$397="ADMINISTRATIVO","Gastos Administrativos","Gastos de Venta y Operacion"))</f>
        <v/>
      </c>
      <c r="E3545" s="20">
        <f>IF($C3545="","",IF(Registro_Compras!$F$397="NOTA DE CREDITO","",IF(Registro_Compras!$F$397="RHE",ROUND(Registro_Compras!$L$397*Registro_Compras!$N$397,2),ROUND(Registro_Compras!$J$397*Registro_Compras!$N$397,2))))</f>
        <v/>
      </c>
      <c r="F3545" s="20">
        <f>IF($C3545="","",IF(Registro_Compras!$F$397="NOTA DE CREDITO",ROUND(ABS(Registro_Compras!$J$397*Registro_Compras!$N$397),2),""))</f>
        <v/>
      </c>
      <c r="G3545">
        <f>IF($C3545="","","Por el destino del gasto")</f>
        <v/>
      </c>
      <c r="H3545">
        <f>IF($C3545="","",Registro_Compras!$C$397)</f>
        <v/>
      </c>
    </row>
    <row r="3546">
      <c r="A3546" s="25">
        <f>IF($C3546="","",Registro_Compras!$B$397)</f>
        <v/>
      </c>
      <c r="B3546">
        <f>IF($C3546="","","C"&amp;TEXT(INT((ROW()-5)/9)+1,"000")&amp;"-2")</f>
        <v/>
      </c>
      <c r="C3546">
        <f>IF(OR(Registro_Compras!$C$397="",Registro_Compras!$O$397=""),"","79/791")</f>
        <v/>
      </c>
      <c r="D3546">
        <f>IF(OR(Registro_Compras!$C$397="",Registro_Compras!$O$397=""),"","Cargas Imputables a Cuentas de Costos y Gastos")</f>
        <v/>
      </c>
      <c r="E3546" s="20">
        <f>IF($C3546="","",IF(Registro_Compras!$F$397="NOTA DE CREDITO",ROUND(ABS(Registro_Compras!$J$397*Registro_Compras!$N$397),2),""))</f>
        <v/>
      </c>
      <c r="F3546" s="20">
        <f>IF($C3546="","",IF(Registro_Compras!$F$397="NOTA DE CREDITO","",IF(Registro_Compras!$F$397="RHE",ROUND(Registro_Compras!$L$397*Registro_Compras!$N$397,2),ROUND(Registro_Compras!$J$397*Registro_Compras!$N$397,2))))</f>
        <v/>
      </c>
      <c r="G3546">
        <f>IF($C3546="","","Por el destino del gasto")</f>
        <v/>
      </c>
      <c r="H3546">
        <f>IF($C3546="","",Registro_Compras!$C$397)</f>
        <v/>
      </c>
    </row>
    <row r="3547">
      <c r="A3547" s="25">
        <f>IF($C3547="","",Registro_Compras!$X$397)</f>
        <v/>
      </c>
      <c r="B3547">
        <f>IF($C3547="","","C"&amp;TEXT(INT((ROW()-5)/9)+1,"000")&amp;"-3")</f>
        <v/>
      </c>
      <c r="C3547">
        <f>IF(OR(Registro_Compras!$C$397="",Registro_Compras!$O$397="",Registro_Compras!$R$397&lt;&gt;"SI",Registro_Compras!$X$397=""),"","4212")</f>
        <v/>
      </c>
      <c r="D3547">
        <f>IF(OR(Registro_Compras!$C$397="",Registro_Compras!$O$397=""),"","Cuentas por Pagar Comerciales - Terceros")</f>
        <v/>
      </c>
      <c r="E3547" s="20">
        <f>IF($C3547="","",Registro_Compras!$S$397)</f>
        <v/>
      </c>
      <c r="F3547" s="20">
        <f>""</f>
        <v/>
      </c>
      <c r="G3547">
        <f>IF($C3547="","","Por el deposito de la detraccion en el Banco de la Nacion")</f>
        <v/>
      </c>
      <c r="H3547">
        <f>IF($C3547="","",Registro_Compras!$C$397)</f>
        <v/>
      </c>
    </row>
    <row r="3548">
      <c r="A3548" s="25">
        <f>IF($C3548="","",Registro_Compras!$X$397)</f>
        <v/>
      </c>
      <c r="B3548">
        <f>IF($C3548="","","C"&amp;TEXT(INT((ROW()-5)/9)+1,"000")&amp;"-3")</f>
        <v/>
      </c>
      <c r="C3548">
        <f>IF(OR(Registro_Compras!$C$397="",Registro_Compras!$O$397="",Registro_Compras!$R$397&lt;&gt;"SI",Registro_Compras!$X$397=""),"","10413")</f>
        <v/>
      </c>
      <c r="D3548">
        <f>IF(OR(Registro_Compras!$C$397="",Registro_Compras!$O$397=""),"","Efectivo y Equivalentes - Cta. Cte. Operativa")</f>
        <v/>
      </c>
      <c r="E3548" s="20">
        <f>""</f>
        <v/>
      </c>
      <c r="F3548" s="20">
        <f>IF($C3548="","",Registro_Compras!$S$397)</f>
        <v/>
      </c>
      <c r="G3548">
        <f>IF($C3548="","","Por el deposito de la detraccion en el Banco de la Nacion")</f>
        <v/>
      </c>
      <c r="H3548">
        <f>IF($C3548="","",Registro_Compras!$C$397)</f>
        <v/>
      </c>
    </row>
    <row r="3549">
      <c r="A3549" s="25">
        <f>IF($C3549="","",Registro_Compras!$Y$397)</f>
        <v/>
      </c>
      <c r="B3549">
        <f>IF($C3549="","","C"&amp;TEXT(INT((ROW()-5)/9)+1,"000")&amp;"-4")</f>
        <v/>
      </c>
      <c r="C3549">
        <f>IF(OR(Registro_Compras!$C$397="",Registro_Compras!$O$397="",Registro_Compras!$Y$397="",Registro_Compras!$F$397="NOTA DE CREDITO"),"","4212")</f>
        <v/>
      </c>
      <c r="D3549">
        <f>IF(OR(Registro_Compras!$C$397="",Registro_Compras!$O$397=""),"","Cuentas por Pagar Comerciales - Terceros")</f>
        <v/>
      </c>
      <c r="E3549" s="20">
        <f>IF($C3549="","",IF(Registro_Compras!$F$397="RHE",(ROUND(Registro_Compras!$L$397*Registro_Compras!$N$397,2)-ROUND(Registro_Compras!$V$397*Registro_Compras!$N$397,2)),ROUND(Registro_Compras!$O$397-Registro_Compras!$S$397,2)))</f>
        <v/>
      </c>
      <c r="F3549" s="20">
        <f>""</f>
        <v/>
      </c>
      <c r="G3549">
        <f>IF($C3549="","","Por la cancelacion del saldo al proveedor")</f>
        <v/>
      </c>
      <c r="H3549">
        <f>IF($C3549="","",Registro_Compras!$C$397)</f>
        <v/>
      </c>
    </row>
    <row r="3550">
      <c r="A3550" s="25">
        <f>IF($C3550="","",Registro_Compras!$Y$397)</f>
        <v/>
      </c>
      <c r="B3550">
        <f>IF($C3550="","","C"&amp;TEXT(INT((ROW()-5)/9)+1,"000")&amp;"-4")</f>
        <v/>
      </c>
      <c r="C3550">
        <f>IF(OR(Registro_Compras!$C$397="",Registro_Compras!$O$397="",Registro_Compras!$Y$397="",Registro_Compras!$F$397="NOTA DE CREDITO"),"","10413")</f>
        <v/>
      </c>
      <c r="D3550">
        <f>IF(OR(Registro_Compras!$C$397="",Registro_Compras!$O$397=""),"","Efectivo y Equivalentes - Cta. Cte. Operativa")</f>
        <v/>
      </c>
      <c r="E3550" s="20">
        <f>""</f>
        <v/>
      </c>
      <c r="F3550" s="20">
        <f>IF($C3550="","",IF(Registro_Compras!$F$397="RHE",(ROUND(Registro_Compras!$L$397*Registro_Compras!$N$397,2)-ROUND(Registro_Compras!$V$397*Registro_Compras!$N$397,2)),ROUND(Registro_Compras!$O$397-Registro_Compras!$S$397,2)))</f>
        <v/>
      </c>
      <c r="G3550">
        <f>IF($C3550="","","Por la cancelacion del saldo al proveedor")</f>
        <v/>
      </c>
      <c r="H3550">
        <f>IF($C3550="","",Registro_Compras!$C$397)</f>
        <v/>
      </c>
    </row>
    <row r="3551">
      <c r="A3551" s="25">
        <f>IF($C3551="","",Registro_Compras!$B$398)</f>
        <v/>
      </c>
      <c r="B3551">
        <f>IF($C3551="","","C"&amp;TEXT(INT((ROW()-5)/9)+1,"000")&amp;"-1")</f>
        <v/>
      </c>
      <c r="C3551">
        <f>IF(OR(Registro_Compras!$C$398="",Registro_Compras!$O$398=""),"",IF(Registro_Compras!$F$398="NOTA DE CREDITO","4212",IF(Registro_Compras!$M$398="","63",Registro_Compras!$M$398)))</f>
        <v/>
      </c>
      <c r="D3551">
        <f>IF(OR(Registro_Compras!$C$398="",Registro_Compras!$O$398=""),"",IF(Registro_Compras!$F$398="NOTA DE CREDITO","Cuentas por Pagar Comerciales - Terceros (Emitidas)",IF(Registro_Compras!$F$398="RHE","Honorarios Profesionales - Servicios de Terceros","Gastos de Servicios Prestados por Terceros")))</f>
        <v/>
      </c>
      <c r="E3551" s="20">
        <f>IF($C3551="","",IF(Registro_Compras!$F$398="NOTA DE CREDITO",ABS(Registro_Compras!$O$398),IF(Registro_Compras!$F$398="RHE",ROUND(Registro_Compras!$L$398*Registro_Compras!$N$398,2),ROUND(Registro_Compras!$J$398*Registro_Compras!$N$398,2))))</f>
        <v/>
      </c>
      <c r="F3551" s="20">
        <f>""</f>
        <v/>
      </c>
      <c r="G3551">
        <f>IF($C3551="","",IF(Registro_Compras!$F$398="NOTA DE CREDITO","Por la nota de credito "&amp;Registro_Compras!$C$398&amp;" de "&amp;Registro_Compras!$E$398&amp;" [PATRON POR CONFIRMAR CON CONTADOR]",IF(Registro_Compras!$F$398="RHE","Por el registro del recibo por honorarios "&amp;Registro_Compras!$C$398&amp;" de "&amp;Registro_Compras!$E$398&amp;" [PATRON POR CONFIRMAR CON CONTADOR]","Por el registro de la factura "&amp;Registro_Compras!$C$398&amp;" de "&amp;Registro_Compras!$E$398)))</f>
        <v/>
      </c>
      <c r="H3551">
        <f>IF($C3551="","",Registro_Compras!$C$398)</f>
        <v/>
      </c>
    </row>
    <row r="3552">
      <c r="A3552" s="25">
        <f>IF($C3552="","",Registro_Compras!$B$398)</f>
        <v/>
      </c>
      <c r="B3552">
        <f>IF($C3552="","","C"&amp;TEXT(INT((ROW()-5)/9)+1,"000")&amp;"-1")</f>
        <v/>
      </c>
      <c r="C3552">
        <f>IF(OR(Registro_Compras!$C$398="",Registro_Compras!$O$398=""),"",IF(Registro_Compras!$F$398="RHE",IF(Registro_Compras!$V$398=0,"","40172"),IF(Registro_Compras!$F$398="NOTA DE CREDITO",IF(Registro_Compras!$M$398="","63",Registro_Compras!$M$398),IF(Registro_Compras!$K$398=0,"","40111"))))</f>
        <v/>
      </c>
      <c r="D3552">
        <f>IF(OR(Registro_Compras!$C$398="",Registro_Compras!$O$398=""),"",IF(Registro_Compras!$F$398="RHE","Retencion Renta 4ta Categoria por Pagar",IF(Registro_Compras!$F$398="NOTA DE CREDITO","Gastos de Servicios Prestados por Terceros","IGV - Cuenta Propia (Credito Fiscal)")))</f>
        <v/>
      </c>
      <c r="E3552" s="20">
        <f>IF($C3552="","",IF(Registro_Compras!$F$398="FACTURA",ROUND(Registro_Compras!$K$398*Registro_Compras!$N$398,2),""))</f>
        <v/>
      </c>
      <c r="F3552" s="20">
        <f>IF($C3552="","",IF(Registro_Compras!$F$398="RHE",ROUND(Registro_Compras!$V$398*Registro_Compras!$N$398,2),IF(Registro_Compras!$F$398="NOTA DE CREDITO",ROUND(ABS(Registro_Compras!$J$398*Registro_Compras!$N$398),2),"")))</f>
        <v/>
      </c>
      <c r="G3552">
        <f>IF($C3552="","",IF(Registro_Compras!$F$398="NOTA DE CREDITO","Por la nota de credito "&amp;Registro_Compras!$C$398&amp;" de "&amp;Registro_Compras!$E$398&amp;" [PATRON POR CONFIRMAR CON CONTADOR]",IF(Registro_Compras!$F$398="RHE","Por el registro del recibo por honorarios "&amp;Registro_Compras!$C$398&amp;" de "&amp;Registro_Compras!$E$398&amp;" [PATRON POR CONFIRMAR CON CONTADOR]","Por el registro de la factura "&amp;Registro_Compras!$C$398&amp;" de "&amp;Registro_Compras!$E$398)))</f>
        <v/>
      </c>
      <c r="H3552">
        <f>IF($C3552="","",Registro_Compras!$C$398)</f>
        <v/>
      </c>
    </row>
    <row r="3553">
      <c r="A3553" s="25">
        <f>IF($C3553="","",Registro_Compras!$B$398)</f>
        <v/>
      </c>
      <c r="B3553">
        <f>IF($C3553="","","C"&amp;TEXT(INT((ROW()-5)/9)+1,"000")&amp;"-1")</f>
        <v/>
      </c>
      <c r="C3553">
        <f>IF(OR(Registro_Compras!$C$398="",Registro_Compras!$O$398=""),"",IF(Registro_Compras!$F$398="NOTA DE CREDITO",IF(Registro_Compras!$K$398=0,"","40111"),"4212"))</f>
        <v/>
      </c>
      <c r="D3553">
        <f>IF(OR(Registro_Compras!$C$398="",Registro_Compras!$O$398=""),"",IF(Registro_Compras!$F$398="NOTA DE CREDITO","IGV - Cuenta Propia (Credito Fiscal)","Cuentas por Pagar Comerciales - Terceros (Emitidas)"))</f>
        <v/>
      </c>
      <c r="E3553" s="20">
        <f>""</f>
        <v/>
      </c>
      <c r="F3553" s="20">
        <f>IF($C3553="","",IF(Registro_Compras!$F$398="NOTA DE CREDITO",ROUND(ABS(Registro_Compras!$K$398*Registro_Compras!$N$398),2),IF(Registro_Compras!$F$398="RHE",(ROUND(Registro_Compras!$L$398*Registro_Compras!$N$398,2)-ROUND(Registro_Compras!$V$398*Registro_Compras!$N$398,2)),Registro_Compras!$O$398)))</f>
        <v/>
      </c>
      <c r="G3553">
        <f>IF($C3553="","",IF(Registro_Compras!$F$398="NOTA DE CREDITO","Por la nota de credito "&amp;Registro_Compras!$C$398&amp;" de "&amp;Registro_Compras!$E$398&amp;" [PATRON POR CONFIRMAR CON CONTADOR]",IF(Registro_Compras!$F$398="RHE","Por el registro del recibo por honorarios "&amp;Registro_Compras!$C$398&amp;" de "&amp;Registro_Compras!$E$398&amp;" [PATRON POR CONFIRMAR CON CONTADOR]","Por el registro de la factura "&amp;Registro_Compras!$C$398&amp;" de "&amp;Registro_Compras!$E$398)))</f>
        <v/>
      </c>
      <c r="H3553">
        <f>IF($C3553="","",Registro_Compras!$C$398)</f>
        <v/>
      </c>
    </row>
    <row r="3554">
      <c r="A3554" s="25">
        <f>IF($C3554="","",Registro_Compras!$B$398)</f>
        <v/>
      </c>
      <c r="B3554">
        <f>IF($C3554="","","C"&amp;TEXT(INT((ROW()-5)/9)+1,"000")&amp;"-2")</f>
        <v/>
      </c>
      <c r="C3554">
        <f>IF(OR(Registro_Compras!$C$398="",Registro_Compras!$O$398=""),"",IF(Registro_Compras!$AB$398="ADMINISTRATIVO","94","95"))</f>
        <v/>
      </c>
      <c r="D3554">
        <f>IF(OR(Registro_Compras!$C$398="",Registro_Compras!$O$398=""),"",IF(Registro_Compras!$AB$398="ADMINISTRATIVO","Gastos Administrativos","Gastos de Venta y Operacion"))</f>
        <v/>
      </c>
      <c r="E3554" s="20">
        <f>IF($C3554="","",IF(Registro_Compras!$F$398="NOTA DE CREDITO","",IF(Registro_Compras!$F$398="RHE",ROUND(Registro_Compras!$L$398*Registro_Compras!$N$398,2),ROUND(Registro_Compras!$J$398*Registro_Compras!$N$398,2))))</f>
        <v/>
      </c>
      <c r="F3554" s="20">
        <f>IF($C3554="","",IF(Registro_Compras!$F$398="NOTA DE CREDITO",ROUND(ABS(Registro_Compras!$J$398*Registro_Compras!$N$398),2),""))</f>
        <v/>
      </c>
      <c r="G3554">
        <f>IF($C3554="","","Por el destino del gasto")</f>
        <v/>
      </c>
      <c r="H3554">
        <f>IF($C3554="","",Registro_Compras!$C$398)</f>
        <v/>
      </c>
    </row>
    <row r="3555">
      <c r="A3555" s="25">
        <f>IF($C3555="","",Registro_Compras!$B$398)</f>
        <v/>
      </c>
      <c r="B3555">
        <f>IF($C3555="","","C"&amp;TEXT(INT((ROW()-5)/9)+1,"000")&amp;"-2")</f>
        <v/>
      </c>
      <c r="C3555">
        <f>IF(OR(Registro_Compras!$C$398="",Registro_Compras!$O$398=""),"","79/791")</f>
        <v/>
      </c>
      <c r="D3555">
        <f>IF(OR(Registro_Compras!$C$398="",Registro_Compras!$O$398=""),"","Cargas Imputables a Cuentas de Costos y Gastos")</f>
        <v/>
      </c>
      <c r="E3555" s="20">
        <f>IF($C3555="","",IF(Registro_Compras!$F$398="NOTA DE CREDITO",ROUND(ABS(Registro_Compras!$J$398*Registro_Compras!$N$398),2),""))</f>
        <v/>
      </c>
      <c r="F3555" s="20">
        <f>IF($C3555="","",IF(Registro_Compras!$F$398="NOTA DE CREDITO","",IF(Registro_Compras!$F$398="RHE",ROUND(Registro_Compras!$L$398*Registro_Compras!$N$398,2),ROUND(Registro_Compras!$J$398*Registro_Compras!$N$398,2))))</f>
        <v/>
      </c>
      <c r="G3555">
        <f>IF($C3555="","","Por el destino del gasto")</f>
        <v/>
      </c>
      <c r="H3555">
        <f>IF($C3555="","",Registro_Compras!$C$398)</f>
        <v/>
      </c>
    </row>
    <row r="3556">
      <c r="A3556" s="25">
        <f>IF($C3556="","",Registro_Compras!$X$398)</f>
        <v/>
      </c>
      <c r="B3556">
        <f>IF($C3556="","","C"&amp;TEXT(INT((ROW()-5)/9)+1,"000")&amp;"-3")</f>
        <v/>
      </c>
      <c r="C3556">
        <f>IF(OR(Registro_Compras!$C$398="",Registro_Compras!$O$398="",Registro_Compras!$R$398&lt;&gt;"SI",Registro_Compras!$X$398=""),"","4212")</f>
        <v/>
      </c>
      <c r="D3556">
        <f>IF(OR(Registro_Compras!$C$398="",Registro_Compras!$O$398=""),"","Cuentas por Pagar Comerciales - Terceros")</f>
        <v/>
      </c>
      <c r="E3556" s="20">
        <f>IF($C3556="","",Registro_Compras!$S$398)</f>
        <v/>
      </c>
      <c r="F3556" s="20">
        <f>""</f>
        <v/>
      </c>
      <c r="G3556">
        <f>IF($C3556="","","Por el deposito de la detraccion en el Banco de la Nacion")</f>
        <v/>
      </c>
      <c r="H3556">
        <f>IF($C3556="","",Registro_Compras!$C$398)</f>
        <v/>
      </c>
    </row>
    <row r="3557">
      <c r="A3557" s="25">
        <f>IF($C3557="","",Registro_Compras!$X$398)</f>
        <v/>
      </c>
      <c r="B3557">
        <f>IF($C3557="","","C"&amp;TEXT(INT((ROW()-5)/9)+1,"000")&amp;"-3")</f>
        <v/>
      </c>
      <c r="C3557">
        <f>IF(OR(Registro_Compras!$C$398="",Registro_Compras!$O$398="",Registro_Compras!$R$398&lt;&gt;"SI",Registro_Compras!$X$398=""),"","10413")</f>
        <v/>
      </c>
      <c r="D3557">
        <f>IF(OR(Registro_Compras!$C$398="",Registro_Compras!$O$398=""),"","Efectivo y Equivalentes - Cta. Cte. Operativa")</f>
        <v/>
      </c>
      <c r="E3557" s="20">
        <f>""</f>
        <v/>
      </c>
      <c r="F3557" s="20">
        <f>IF($C3557="","",Registro_Compras!$S$398)</f>
        <v/>
      </c>
      <c r="G3557">
        <f>IF($C3557="","","Por el deposito de la detraccion en el Banco de la Nacion")</f>
        <v/>
      </c>
      <c r="H3557">
        <f>IF($C3557="","",Registro_Compras!$C$398)</f>
        <v/>
      </c>
    </row>
    <row r="3558">
      <c r="A3558" s="25">
        <f>IF($C3558="","",Registro_Compras!$Y$398)</f>
        <v/>
      </c>
      <c r="B3558">
        <f>IF($C3558="","","C"&amp;TEXT(INT((ROW()-5)/9)+1,"000")&amp;"-4")</f>
        <v/>
      </c>
      <c r="C3558">
        <f>IF(OR(Registro_Compras!$C$398="",Registro_Compras!$O$398="",Registro_Compras!$Y$398="",Registro_Compras!$F$398="NOTA DE CREDITO"),"","4212")</f>
        <v/>
      </c>
      <c r="D3558">
        <f>IF(OR(Registro_Compras!$C$398="",Registro_Compras!$O$398=""),"","Cuentas por Pagar Comerciales - Terceros")</f>
        <v/>
      </c>
      <c r="E3558" s="20">
        <f>IF($C3558="","",IF(Registro_Compras!$F$398="RHE",(ROUND(Registro_Compras!$L$398*Registro_Compras!$N$398,2)-ROUND(Registro_Compras!$V$398*Registro_Compras!$N$398,2)),ROUND(Registro_Compras!$O$398-Registro_Compras!$S$398,2)))</f>
        <v/>
      </c>
      <c r="F3558" s="20">
        <f>""</f>
        <v/>
      </c>
      <c r="G3558">
        <f>IF($C3558="","","Por la cancelacion del saldo al proveedor")</f>
        <v/>
      </c>
      <c r="H3558">
        <f>IF($C3558="","",Registro_Compras!$C$398)</f>
        <v/>
      </c>
    </row>
    <row r="3559">
      <c r="A3559" s="25">
        <f>IF($C3559="","",Registro_Compras!$Y$398)</f>
        <v/>
      </c>
      <c r="B3559">
        <f>IF($C3559="","","C"&amp;TEXT(INT((ROW()-5)/9)+1,"000")&amp;"-4")</f>
        <v/>
      </c>
      <c r="C3559">
        <f>IF(OR(Registro_Compras!$C$398="",Registro_Compras!$O$398="",Registro_Compras!$Y$398="",Registro_Compras!$F$398="NOTA DE CREDITO"),"","10413")</f>
        <v/>
      </c>
      <c r="D3559">
        <f>IF(OR(Registro_Compras!$C$398="",Registro_Compras!$O$398=""),"","Efectivo y Equivalentes - Cta. Cte. Operativa")</f>
        <v/>
      </c>
      <c r="E3559" s="20">
        <f>""</f>
        <v/>
      </c>
      <c r="F3559" s="20">
        <f>IF($C3559="","",IF(Registro_Compras!$F$398="RHE",(ROUND(Registro_Compras!$L$398*Registro_Compras!$N$398,2)-ROUND(Registro_Compras!$V$398*Registro_Compras!$N$398,2)),ROUND(Registro_Compras!$O$398-Registro_Compras!$S$398,2)))</f>
        <v/>
      </c>
      <c r="G3559">
        <f>IF($C3559="","","Por la cancelacion del saldo al proveedor")</f>
        <v/>
      </c>
      <c r="H3559">
        <f>IF($C3559="","",Registro_Compras!$C$398)</f>
        <v/>
      </c>
    </row>
    <row r="3560">
      <c r="A3560" s="25">
        <f>IF($C3560="","",Registro_Compras!$B$399)</f>
        <v/>
      </c>
      <c r="B3560">
        <f>IF($C3560="","","C"&amp;TEXT(INT((ROW()-5)/9)+1,"000")&amp;"-1")</f>
        <v/>
      </c>
      <c r="C3560">
        <f>IF(OR(Registro_Compras!$C$399="",Registro_Compras!$O$399=""),"",IF(Registro_Compras!$F$399="NOTA DE CREDITO","4212",IF(Registro_Compras!$M$399="","63",Registro_Compras!$M$399)))</f>
        <v/>
      </c>
      <c r="D3560">
        <f>IF(OR(Registro_Compras!$C$399="",Registro_Compras!$O$399=""),"",IF(Registro_Compras!$F$399="NOTA DE CREDITO","Cuentas por Pagar Comerciales - Terceros (Emitidas)",IF(Registro_Compras!$F$399="RHE","Honorarios Profesionales - Servicios de Terceros","Gastos de Servicios Prestados por Terceros")))</f>
        <v/>
      </c>
      <c r="E3560" s="20">
        <f>IF($C3560="","",IF(Registro_Compras!$F$399="NOTA DE CREDITO",ABS(Registro_Compras!$O$399),IF(Registro_Compras!$F$399="RHE",ROUND(Registro_Compras!$L$399*Registro_Compras!$N$399,2),ROUND(Registro_Compras!$J$399*Registro_Compras!$N$399,2))))</f>
        <v/>
      </c>
      <c r="F3560" s="20">
        <f>""</f>
        <v/>
      </c>
      <c r="G3560">
        <f>IF($C3560="","",IF(Registro_Compras!$F$399="NOTA DE CREDITO","Por la nota de credito "&amp;Registro_Compras!$C$399&amp;" de "&amp;Registro_Compras!$E$399&amp;" [PATRON POR CONFIRMAR CON CONTADOR]",IF(Registro_Compras!$F$399="RHE","Por el registro del recibo por honorarios "&amp;Registro_Compras!$C$399&amp;" de "&amp;Registro_Compras!$E$399&amp;" [PATRON POR CONFIRMAR CON CONTADOR]","Por el registro de la factura "&amp;Registro_Compras!$C$399&amp;" de "&amp;Registro_Compras!$E$399)))</f>
        <v/>
      </c>
      <c r="H3560">
        <f>IF($C3560="","",Registro_Compras!$C$399)</f>
        <v/>
      </c>
    </row>
    <row r="3561">
      <c r="A3561" s="25">
        <f>IF($C3561="","",Registro_Compras!$B$399)</f>
        <v/>
      </c>
      <c r="B3561">
        <f>IF($C3561="","","C"&amp;TEXT(INT((ROW()-5)/9)+1,"000")&amp;"-1")</f>
        <v/>
      </c>
      <c r="C3561">
        <f>IF(OR(Registro_Compras!$C$399="",Registro_Compras!$O$399=""),"",IF(Registro_Compras!$F$399="RHE",IF(Registro_Compras!$V$399=0,"","40172"),IF(Registro_Compras!$F$399="NOTA DE CREDITO",IF(Registro_Compras!$M$399="","63",Registro_Compras!$M$399),IF(Registro_Compras!$K$399=0,"","40111"))))</f>
        <v/>
      </c>
      <c r="D3561">
        <f>IF(OR(Registro_Compras!$C$399="",Registro_Compras!$O$399=""),"",IF(Registro_Compras!$F$399="RHE","Retencion Renta 4ta Categoria por Pagar",IF(Registro_Compras!$F$399="NOTA DE CREDITO","Gastos de Servicios Prestados por Terceros","IGV - Cuenta Propia (Credito Fiscal)")))</f>
        <v/>
      </c>
      <c r="E3561" s="20">
        <f>IF($C3561="","",IF(Registro_Compras!$F$399="FACTURA",ROUND(Registro_Compras!$K$399*Registro_Compras!$N$399,2),""))</f>
        <v/>
      </c>
      <c r="F3561" s="20">
        <f>IF($C3561="","",IF(Registro_Compras!$F$399="RHE",ROUND(Registro_Compras!$V$399*Registro_Compras!$N$399,2),IF(Registro_Compras!$F$399="NOTA DE CREDITO",ROUND(ABS(Registro_Compras!$J$399*Registro_Compras!$N$399),2),"")))</f>
        <v/>
      </c>
      <c r="G3561">
        <f>IF($C3561="","",IF(Registro_Compras!$F$399="NOTA DE CREDITO","Por la nota de credito "&amp;Registro_Compras!$C$399&amp;" de "&amp;Registro_Compras!$E$399&amp;" [PATRON POR CONFIRMAR CON CONTADOR]",IF(Registro_Compras!$F$399="RHE","Por el registro del recibo por honorarios "&amp;Registro_Compras!$C$399&amp;" de "&amp;Registro_Compras!$E$399&amp;" [PATRON POR CONFIRMAR CON CONTADOR]","Por el registro de la factura "&amp;Registro_Compras!$C$399&amp;" de "&amp;Registro_Compras!$E$399)))</f>
        <v/>
      </c>
      <c r="H3561">
        <f>IF($C3561="","",Registro_Compras!$C$399)</f>
        <v/>
      </c>
    </row>
    <row r="3562">
      <c r="A3562" s="25">
        <f>IF($C3562="","",Registro_Compras!$B$399)</f>
        <v/>
      </c>
      <c r="B3562">
        <f>IF($C3562="","","C"&amp;TEXT(INT((ROW()-5)/9)+1,"000")&amp;"-1")</f>
        <v/>
      </c>
      <c r="C3562">
        <f>IF(OR(Registro_Compras!$C$399="",Registro_Compras!$O$399=""),"",IF(Registro_Compras!$F$399="NOTA DE CREDITO",IF(Registro_Compras!$K$399=0,"","40111"),"4212"))</f>
        <v/>
      </c>
      <c r="D3562">
        <f>IF(OR(Registro_Compras!$C$399="",Registro_Compras!$O$399=""),"",IF(Registro_Compras!$F$399="NOTA DE CREDITO","IGV - Cuenta Propia (Credito Fiscal)","Cuentas por Pagar Comerciales - Terceros (Emitidas)"))</f>
        <v/>
      </c>
      <c r="E3562" s="20">
        <f>""</f>
        <v/>
      </c>
      <c r="F3562" s="20">
        <f>IF($C3562="","",IF(Registro_Compras!$F$399="NOTA DE CREDITO",ROUND(ABS(Registro_Compras!$K$399*Registro_Compras!$N$399),2),IF(Registro_Compras!$F$399="RHE",(ROUND(Registro_Compras!$L$399*Registro_Compras!$N$399,2)-ROUND(Registro_Compras!$V$399*Registro_Compras!$N$399,2)),Registro_Compras!$O$399)))</f>
        <v/>
      </c>
      <c r="G3562">
        <f>IF($C3562="","",IF(Registro_Compras!$F$399="NOTA DE CREDITO","Por la nota de credito "&amp;Registro_Compras!$C$399&amp;" de "&amp;Registro_Compras!$E$399&amp;" [PATRON POR CONFIRMAR CON CONTADOR]",IF(Registro_Compras!$F$399="RHE","Por el registro del recibo por honorarios "&amp;Registro_Compras!$C$399&amp;" de "&amp;Registro_Compras!$E$399&amp;" [PATRON POR CONFIRMAR CON CONTADOR]","Por el registro de la factura "&amp;Registro_Compras!$C$399&amp;" de "&amp;Registro_Compras!$E$399)))</f>
        <v/>
      </c>
      <c r="H3562">
        <f>IF($C3562="","",Registro_Compras!$C$399)</f>
        <v/>
      </c>
    </row>
    <row r="3563">
      <c r="A3563" s="25">
        <f>IF($C3563="","",Registro_Compras!$B$399)</f>
        <v/>
      </c>
      <c r="B3563">
        <f>IF($C3563="","","C"&amp;TEXT(INT((ROW()-5)/9)+1,"000")&amp;"-2")</f>
        <v/>
      </c>
      <c r="C3563">
        <f>IF(OR(Registro_Compras!$C$399="",Registro_Compras!$O$399=""),"",IF(Registro_Compras!$AB$399="ADMINISTRATIVO","94","95"))</f>
        <v/>
      </c>
      <c r="D3563">
        <f>IF(OR(Registro_Compras!$C$399="",Registro_Compras!$O$399=""),"",IF(Registro_Compras!$AB$399="ADMINISTRATIVO","Gastos Administrativos","Gastos de Venta y Operacion"))</f>
        <v/>
      </c>
      <c r="E3563" s="20">
        <f>IF($C3563="","",IF(Registro_Compras!$F$399="NOTA DE CREDITO","",IF(Registro_Compras!$F$399="RHE",ROUND(Registro_Compras!$L$399*Registro_Compras!$N$399,2),ROUND(Registro_Compras!$J$399*Registro_Compras!$N$399,2))))</f>
        <v/>
      </c>
      <c r="F3563" s="20">
        <f>IF($C3563="","",IF(Registro_Compras!$F$399="NOTA DE CREDITO",ROUND(ABS(Registro_Compras!$J$399*Registro_Compras!$N$399),2),""))</f>
        <v/>
      </c>
      <c r="G3563">
        <f>IF($C3563="","","Por el destino del gasto")</f>
        <v/>
      </c>
      <c r="H3563">
        <f>IF($C3563="","",Registro_Compras!$C$399)</f>
        <v/>
      </c>
    </row>
    <row r="3564">
      <c r="A3564" s="25">
        <f>IF($C3564="","",Registro_Compras!$B$399)</f>
        <v/>
      </c>
      <c r="B3564">
        <f>IF($C3564="","","C"&amp;TEXT(INT((ROW()-5)/9)+1,"000")&amp;"-2")</f>
        <v/>
      </c>
      <c r="C3564">
        <f>IF(OR(Registro_Compras!$C$399="",Registro_Compras!$O$399=""),"","79/791")</f>
        <v/>
      </c>
      <c r="D3564">
        <f>IF(OR(Registro_Compras!$C$399="",Registro_Compras!$O$399=""),"","Cargas Imputables a Cuentas de Costos y Gastos")</f>
        <v/>
      </c>
      <c r="E3564" s="20">
        <f>IF($C3564="","",IF(Registro_Compras!$F$399="NOTA DE CREDITO",ROUND(ABS(Registro_Compras!$J$399*Registro_Compras!$N$399),2),""))</f>
        <v/>
      </c>
      <c r="F3564" s="20">
        <f>IF($C3564="","",IF(Registro_Compras!$F$399="NOTA DE CREDITO","",IF(Registro_Compras!$F$399="RHE",ROUND(Registro_Compras!$L$399*Registro_Compras!$N$399,2),ROUND(Registro_Compras!$J$399*Registro_Compras!$N$399,2))))</f>
        <v/>
      </c>
      <c r="G3564">
        <f>IF($C3564="","","Por el destino del gasto")</f>
        <v/>
      </c>
      <c r="H3564">
        <f>IF($C3564="","",Registro_Compras!$C$399)</f>
        <v/>
      </c>
    </row>
    <row r="3565">
      <c r="A3565" s="25">
        <f>IF($C3565="","",Registro_Compras!$X$399)</f>
        <v/>
      </c>
      <c r="B3565">
        <f>IF($C3565="","","C"&amp;TEXT(INT((ROW()-5)/9)+1,"000")&amp;"-3")</f>
        <v/>
      </c>
      <c r="C3565">
        <f>IF(OR(Registro_Compras!$C$399="",Registro_Compras!$O$399="",Registro_Compras!$R$399&lt;&gt;"SI",Registro_Compras!$X$399=""),"","4212")</f>
        <v/>
      </c>
      <c r="D3565">
        <f>IF(OR(Registro_Compras!$C$399="",Registro_Compras!$O$399=""),"","Cuentas por Pagar Comerciales - Terceros")</f>
        <v/>
      </c>
      <c r="E3565" s="20">
        <f>IF($C3565="","",Registro_Compras!$S$399)</f>
        <v/>
      </c>
      <c r="F3565" s="20">
        <f>""</f>
        <v/>
      </c>
      <c r="G3565">
        <f>IF($C3565="","","Por el deposito de la detraccion en el Banco de la Nacion")</f>
        <v/>
      </c>
      <c r="H3565">
        <f>IF($C3565="","",Registro_Compras!$C$399)</f>
        <v/>
      </c>
    </row>
    <row r="3566">
      <c r="A3566" s="25">
        <f>IF($C3566="","",Registro_Compras!$X$399)</f>
        <v/>
      </c>
      <c r="B3566">
        <f>IF($C3566="","","C"&amp;TEXT(INT((ROW()-5)/9)+1,"000")&amp;"-3")</f>
        <v/>
      </c>
      <c r="C3566">
        <f>IF(OR(Registro_Compras!$C$399="",Registro_Compras!$O$399="",Registro_Compras!$R$399&lt;&gt;"SI",Registro_Compras!$X$399=""),"","10413")</f>
        <v/>
      </c>
      <c r="D3566">
        <f>IF(OR(Registro_Compras!$C$399="",Registro_Compras!$O$399=""),"","Efectivo y Equivalentes - Cta. Cte. Operativa")</f>
        <v/>
      </c>
      <c r="E3566" s="20">
        <f>""</f>
        <v/>
      </c>
      <c r="F3566" s="20">
        <f>IF($C3566="","",Registro_Compras!$S$399)</f>
        <v/>
      </c>
      <c r="G3566">
        <f>IF($C3566="","","Por el deposito de la detraccion en el Banco de la Nacion")</f>
        <v/>
      </c>
      <c r="H3566">
        <f>IF($C3566="","",Registro_Compras!$C$399)</f>
        <v/>
      </c>
    </row>
    <row r="3567">
      <c r="A3567" s="25">
        <f>IF($C3567="","",Registro_Compras!$Y$399)</f>
        <v/>
      </c>
      <c r="B3567">
        <f>IF($C3567="","","C"&amp;TEXT(INT((ROW()-5)/9)+1,"000")&amp;"-4")</f>
        <v/>
      </c>
      <c r="C3567">
        <f>IF(OR(Registro_Compras!$C$399="",Registro_Compras!$O$399="",Registro_Compras!$Y$399="",Registro_Compras!$F$399="NOTA DE CREDITO"),"","4212")</f>
        <v/>
      </c>
      <c r="D3567">
        <f>IF(OR(Registro_Compras!$C$399="",Registro_Compras!$O$399=""),"","Cuentas por Pagar Comerciales - Terceros")</f>
        <v/>
      </c>
      <c r="E3567" s="20">
        <f>IF($C3567="","",IF(Registro_Compras!$F$399="RHE",(ROUND(Registro_Compras!$L$399*Registro_Compras!$N$399,2)-ROUND(Registro_Compras!$V$399*Registro_Compras!$N$399,2)),ROUND(Registro_Compras!$O$399-Registro_Compras!$S$399,2)))</f>
        <v/>
      </c>
      <c r="F3567" s="20">
        <f>""</f>
        <v/>
      </c>
      <c r="G3567">
        <f>IF($C3567="","","Por la cancelacion del saldo al proveedor")</f>
        <v/>
      </c>
      <c r="H3567">
        <f>IF($C3567="","",Registro_Compras!$C$399)</f>
        <v/>
      </c>
    </row>
    <row r="3568">
      <c r="A3568" s="25">
        <f>IF($C3568="","",Registro_Compras!$Y$399)</f>
        <v/>
      </c>
      <c r="B3568">
        <f>IF($C3568="","","C"&amp;TEXT(INT((ROW()-5)/9)+1,"000")&amp;"-4")</f>
        <v/>
      </c>
      <c r="C3568">
        <f>IF(OR(Registro_Compras!$C$399="",Registro_Compras!$O$399="",Registro_Compras!$Y$399="",Registro_Compras!$F$399="NOTA DE CREDITO"),"","10413")</f>
        <v/>
      </c>
      <c r="D3568">
        <f>IF(OR(Registro_Compras!$C$399="",Registro_Compras!$O$399=""),"","Efectivo y Equivalentes - Cta. Cte. Operativa")</f>
        <v/>
      </c>
      <c r="E3568" s="20">
        <f>""</f>
        <v/>
      </c>
      <c r="F3568" s="20">
        <f>IF($C3568="","",IF(Registro_Compras!$F$399="RHE",(ROUND(Registro_Compras!$L$399*Registro_Compras!$N$399,2)-ROUND(Registro_Compras!$V$399*Registro_Compras!$N$399,2)),ROUND(Registro_Compras!$O$399-Registro_Compras!$S$399,2)))</f>
        <v/>
      </c>
      <c r="G3568">
        <f>IF($C3568="","","Por la cancelacion del saldo al proveedor")</f>
        <v/>
      </c>
      <c r="H3568">
        <f>IF($C3568="","",Registro_Compras!$C$399)</f>
        <v/>
      </c>
    </row>
    <row r="3569">
      <c r="A3569" s="25">
        <f>IF($C3569="","",Registro_Compras!$B$400)</f>
        <v/>
      </c>
      <c r="B3569">
        <f>IF($C3569="","","C"&amp;TEXT(INT((ROW()-5)/9)+1,"000")&amp;"-1")</f>
        <v/>
      </c>
      <c r="C3569">
        <f>IF(OR(Registro_Compras!$C$400="",Registro_Compras!$O$400=""),"",IF(Registro_Compras!$F$400="NOTA DE CREDITO","4212",IF(Registro_Compras!$M$400="","63",Registro_Compras!$M$400)))</f>
        <v/>
      </c>
      <c r="D3569">
        <f>IF(OR(Registro_Compras!$C$400="",Registro_Compras!$O$400=""),"",IF(Registro_Compras!$F$400="NOTA DE CREDITO","Cuentas por Pagar Comerciales - Terceros (Emitidas)",IF(Registro_Compras!$F$400="RHE","Honorarios Profesionales - Servicios de Terceros","Gastos de Servicios Prestados por Terceros")))</f>
        <v/>
      </c>
      <c r="E3569" s="20">
        <f>IF($C3569="","",IF(Registro_Compras!$F$400="NOTA DE CREDITO",ABS(Registro_Compras!$O$400),IF(Registro_Compras!$F$400="RHE",ROUND(Registro_Compras!$L$400*Registro_Compras!$N$400,2),ROUND(Registro_Compras!$J$400*Registro_Compras!$N$400,2))))</f>
        <v/>
      </c>
      <c r="F3569" s="20">
        <f>""</f>
        <v/>
      </c>
      <c r="G3569">
        <f>IF($C3569="","",IF(Registro_Compras!$F$400="NOTA DE CREDITO","Por la nota de credito "&amp;Registro_Compras!$C$400&amp;" de "&amp;Registro_Compras!$E$400&amp;" [PATRON POR CONFIRMAR CON CONTADOR]",IF(Registro_Compras!$F$400="RHE","Por el registro del recibo por honorarios "&amp;Registro_Compras!$C$400&amp;" de "&amp;Registro_Compras!$E$400&amp;" [PATRON POR CONFIRMAR CON CONTADOR]","Por el registro de la factura "&amp;Registro_Compras!$C$400&amp;" de "&amp;Registro_Compras!$E$400)))</f>
        <v/>
      </c>
      <c r="H3569">
        <f>IF($C3569="","",Registro_Compras!$C$400)</f>
        <v/>
      </c>
    </row>
    <row r="3570">
      <c r="A3570" s="25">
        <f>IF($C3570="","",Registro_Compras!$B$400)</f>
        <v/>
      </c>
      <c r="B3570">
        <f>IF($C3570="","","C"&amp;TEXT(INT((ROW()-5)/9)+1,"000")&amp;"-1")</f>
        <v/>
      </c>
      <c r="C3570">
        <f>IF(OR(Registro_Compras!$C$400="",Registro_Compras!$O$400=""),"",IF(Registro_Compras!$F$400="RHE",IF(Registro_Compras!$V$400=0,"","40172"),IF(Registro_Compras!$F$400="NOTA DE CREDITO",IF(Registro_Compras!$M$400="","63",Registro_Compras!$M$400),IF(Registro_Compras!$K$400=0,"","40111"))))</f>
        <v/>
      </c>
      <c r="D3570">
        <f>IF(OR(Registro_Compras!$C$400="",Registro_Compras!$O$400=""),"",IF(Registro_Compras!$F$400="RHE","Retencion Renta 4ta Categoria por Pagar",IF(Registro_Compras!$F$400="NOTA DE CREDITO","Gastos de Servicios Prestados por Terceros","IGV - Cuenta Propia (Credito Fiscal)")))</f>
        <v/>
      </c>
      <c r="E3570" s="20">
        <f>IF($C3570="","",IF(Registro_Compras!$F$400="FACTURA",ROUND(Registro_Compras!$K$400*Registro_Compras!$N$400,2),""))</f>
        <v/>
      </c>
      <c r="F3570" s="20">
        <f>IF($C3570="","",IF(Registro_Compras!$F$400="RHE",ROUND(Registro_Compras!$V$400*Registro_Compras!$N$400,2),IF(Registro_Compras!$F$400="NOTA DE CREDITO",ROUND(ABS(Registro_Compras!$J$400*Registro_Compras!$N$400),2),"")))</f>
        <v/>
      </c>
      <c r="G3570">
        <f>IF($C3570="","",IF(Registro_Compras!$F$400="NOTA DE CREDITO","Por la nota de credito "&amp;Registro_Compras!$C$400&amp;" de "&amp;Registro_Compras!$E$400&amp;" [PATRON POR CONFIRMAR CON CONTADOR]",IF(Registro_Compras!$F$400="RHE","Por el registro del recibo por honorarios "&amp;Registro_Compras!$C$400&amp;" de "&amp;Registro_Compras!$E$400&amp;" [PATRON POR CONFIRMAR CON CONTADOR]","Por el registro de la factura "&amp;Registro_Compras!$C$400&amp;" de "&amp;Registro_Compras!$E$400)))</f>
        <v/>
      </c>
      <c r="H3570">
        <f>IF($C3570="","",Registro_Compras!$C$400)</f>
        <v/>
      </c>
    </row>
    <row r="3571">
      <c r="A3571" s="25">
        <f>IF($C3571="","",Registro_Compras!$B$400)</f>
        <v/>
      </c>
      <c r="B3571">
        <f>IF($C3571="","","C"&amp;TEXT(INT((ROW()-5)/9)+1,"000")&amp;"-1")</f>
        <v/>
      </c>
      <c r="C3571">
        <f>IF(OR(Registro_Compras!$C$400="",Registro_Compras!$O$400=""),"",IF(Registro_Compras!$F$400="NOTA DE CREDITO",IF(Registro_Compras!$K$400=0,"","40111"),"4212"))</f>
        <v/>
      </c>
      <c r="D3571">
        <f>IF(OR(Registro_Compras!$C$400="",Registro_Compras!$O$400=""),"",IF(Registro_Compras!$F$400="NOTA DE CREDITO","IGV - Cuenta Propia (Credito Fiscal)","Cuentas por Pagar Comerciales - Terceros (Emitidas)"))</f>
        <v/>
      </c>
      <c r="E3571" s="20">
        <f>""</f>
        <v/>
      </c>
      <c r="F3571" s="20">
        <f>IF($C3571="","",IF(Registro_Compras!$F$400="NOTA DE CREDITO",ROUND(ABS(Registro_Compras!$K$400*Registro_Compras!$N$400),2),IF(Registro_Compras!$F$400="RHE",(ROUND(Registro_Compras!$L$400*Registro_Compras!$N$400,2)-ROUND(Registro_Compras!$V$400*Registro_Compras!$N$400,2)),Registro_Compras!$O$400)))</f>
        <v/>
      </c>
      <c r="G3571">
        <f>IF($C3571="","",IF(Registro_Compras!$F$400="NOTA DE CREDITO","Por la nota de credito "&amp;Registro_Compras!$C$400&amp;" de "&amp;Registro_Compras!$E$400&amp;" [PATRON POR CONFIRMAR CON CONTADOR]",IF(Registro_Compras!$F$400="RHE","Por el registro del recibo por honorarios "&amp;Registro_Compras!$C$400&amp;" de "&amp;Registro_Compras!$E$400&amp;" [PATRON POR CONFIRMAR CON CONTADOR]","Por el registro de la factura "&amp;Registro_Compras!$C$400&amp;" de "&amp;Registro_Compras!$E$400)))</f>
        <v/>
      </c>
      <c r="H3571">
        <f>IF($C3571="","",Registro_Compras!$C$400)</f>
        <v/>
      </c>
    </row>
    <row r="3572">
      <c r="A3572" s="25">
        <f>IF($C3572="","",Registro_Compras!$B$400)</f>
        <v/>
      </c>
      <c r="B3572">
        <f>IF($C3572="","","C"&amp;TEXT(INT((ROW()-5)/9)+1,"000")&amp;"-2")</f>
        <v/>
      </c>
      <c r="C3572">
        <f>IF(OR(Registro_Compras!$C$400="",Registro_Compras!$O$400=""),"",IF(Registro_Compras!$AB$400="ADMINISTRATIVO","94","95"))</f>
        <v/>
      </c>
      <c r="D3572">
        <f>IF(OR(Registro_Compras!$C$400="",Registro_Compras!$O$400=""),"",IF(Registro_Compras!$AB$400="ADMINISTRATIVO","Gastos Administrativos","Gastos de Venta y Operacion"))</f>
        <v/>
      </c>
      <c r="E3572" s="20">
        <f>IF($C3572="","",IF(Registro_Compras!$F$400="NOTA DE CREDITO","",IF(Registro_Compras!$F$400="RHE",ROUND(Registro_Compras!$L$400*Registro_Compras!$N$400,2),ROUND(Registro_Compras!$J$400*Registro_Compras!$N$400,2))))</f>
        <v/>
      </c>
      <c r="F3572" s="20">
        <f>IF($C3572="","",IF(Registro_Compras!$F$400="NOTA DE CREDITO",ROUND(ABS(Registro_Compras!$J$400*Registro_Compras!$N$400),2),""))</f>
        <v/>
      </c>
      <c r="G3572">
        <f>IF($C3572="","","Por el destino del gasto")</f>
        <v/>
      </c>
      <c r="H3572">
        <f>IF($C3572="","",Registro_Compras!$C$400)</f>
        <v/>
      </c>
    </row>
    <row r="3573">
      <c r="A3573" s="25">
        <f>IF($C3573="","",Registro_Compras!$B$400)</f>
        <v/>
      </c>
      <c r="B3573">
        <f>IF($C3573="","","C"&amp;TEXT(INT((ROW()-5)/9)+1,"000")&amp;"-2")</f>
        <v/>
      </c>
      <c r="C3573">
        <f>IF(OR(Registro_Compras!$C$400="",Registro_Compras!$O$400=""),"","79/791")</f>
        <v/>
      </c>
      <c r="D3573">
        <f>IF(OR(Registro_Compras!$C$400="",Registro_Compras!$O$400=""),"","Cargas Imputables a Cuentas de Costos y Gastos")</f>
        <v/>
      </c>
      <c r="E3573" s="20">
        <f>IF($C3573="","",IF(Registro_Compras!$F$400="NOTA DE CREDITO",ROUND(ABS(Registro_Compras!$J$400*Registro_Compras!$N$400),2),""))</f>
        <v/>
      </c>
      <c r="F3573" s="20">
        <f>IF($C3573="","",IF(Registro_Compras!$F$400="NOTA DE CREDITO","",IF(Registro_Compras!$F$400="RHE",ROUND(Registro_Compras!$L$400*Registro_Compras!$N$400,2),ROUND(Registro_Compras!$J$400*Registro_Compras!$N$400,2))))</f>
        <v/>
      </c>
      <c r="G3573">
        <f>IF($C3573="","","Por el destino del gasto")</f>
        <v/>
      </c>
      <c r="H3573">
        <f>IF($C3573="","",Registro_Compras!$C$400)</f>
        <v/>
      </c>
    </row>
    <row r="3574">
      <c r="A3574" s="25">
        <f>IF($C3574="","",Registro_Compras!$X$400)</f>
        <v/>
      </c>
      <c r="B3574">
        <f>IF($C3574="","","C"&amp;TEXT(INT((ROW()-5)/9)+1,"000")&amp;"-3")</f>
        <v/>
      </c>
      <c r="C3574">
        <f>IF(OR(Registro_Compras!$C$400="",Registro_Compras!$O$400="",Registro_Compras!$R$400&lt;&gt;"SI",Registro_Compras!$X$400=""),"","4212")</f>
        <v/>
      </c>
      <c r="D3574">
        <f>IF(OR(Registro_Compras!$C$400="",Registro_Compras!$O$400=""),"","Cuentas por Pagar Comerciales - Terceros")</f>
        <v/>
      </c>
      <c r="E3574" s="20">
        <f>IF($C3574="","",Registro_Compras!$S$400)</f>
        <v/>
      </c>
      <c r="F3574" s="20">
        <f>""</f>
        <v/>
      </c>
      <c r="G3574">
        <f>IF($C3574="","","Por el deposito de la detraccion en el Banco de la Nacion")</f>
        <v/>
      </c>
      <c r="H3574">
        <f>IF($C3574="","",Registro_Compras!$C$400)</f>
        <v/>
      </c>
    </row>
    <row r="3575">
      <c r="A3575" s="25">
        <f>IF($C3575="","",Registro_Compras!$X$400)</f>
        <v/>
      </c>
      <c r="B3575">
        <f>IF($C3575="","","C"&amp;TEXT(INT((ROW()-5)/9)+1,"000")&amp;"-3")</f>
        <v/>
      </c>
      <c r="C3575">
        <f>IF(OR(Registro_Compras!$C$400="",Registro_Compras!$O$400="",Registro_Compras!$R$400&lt;&gt;"SI",Registro_Compras!$X$400=""),"","10413")</f>
        <v/>
      </c>
      <c r="D3575">
        <f>IF(OR(Registro_Compras!$C$400="",Registro_Compras!$O$400=""),"","Efectivo y Equivalentes - Cta. Cte. Operativa")</f>
        <v/>
      </c>
      <c r="E3575" s="20">
        <f>""</f>
        <v/>
      </c>
      <c r="F3575" s="20">
        <f>IF($C3575="","",Registro_Compras!$S$400)</f>
        <v/>
      </c>
      <c r="G3575">
        <f>IF($C3575="","","Por el deposito de la detraccion en el Banco de la Nacion")</f>
        <v/>
      </c>
      <c r="H3575">
        <f>IF($C3575="","",Registro_Compras!$C$400)</f>
        <v/>
      </c>
    </row>
    <row r="3576">
      <c r="A3576" s="25">
        <f>IF($C3576="","",Registro_Compras!$Y$400)</f>
        <v/>
      </c>
      <c r="B3576">
        <f>IF($C3576="","","C"&amp;TEXT(INT((ROW()-5)/9)+1,"000")&amp;"-4")</f>
        <v/>
      </c>
      <c r="C3576">
        <f>IF(OR(Registro_Compras!$C$400="",Registro_Compras!$O$400="",Registro_Compras!$Y$400="",Registro_Compras!$F$400="NOTA DE CREDITO"),"","4212")</f>
        <v/>
      </c>
      <c r="D3576">
        <f>IF(OR(Registro_Compras!$C$400="",Registro_Compras!$O$400=""),"","Cuentas por Pagar Comerciales - Terceros")</f>
        <v/>
      </c>
      <c r="E3576" s="20">
        <f>IF($C3576="","",IF(Registro_Compras!$F$400="RHE",(ROUND(Registro_Compras!$L$400*Registro_Compras!$N$400,2)-ROUND(Registro_Compras!$V$400*Registro_Compras!$N$400,2)),ROUND(Registro_Compras!$O$400-Registro_Compras!$S$400,2)))</f>
        <v/>
      </c>
      <c r="F3576" s="20">
        <f>""</f>
        <v/>
      </c>
      <c r="G3576">
        <f>IF($C3576="","","Por la cancelacion del saldo al proveedor")</f>
        <v/>
      </c>
      <c r="H3576">
        <f>IF($C3576="","",Registro_Compras!$C$400)</f>
        <v/>
      </c>
    </row>
    <row r="3577">
      <c r="A3577" s="25">
        <f>IF($C3577="","",Registro_Compras!$Y$400)</f>
        <v/>
      </c>
      <c r="B3577">
        <f>IF($C3577="","","C"&amp;TEXT(INT((ROW()-5)/9)+1,"000")&amp;"-4")</f>
        <v/>
      </c>
      <c r="C3577">
        <f>IF(OR(Registro_Compras!$C$400="",Registro_Compras!$O$400="",Registro_Compras!$Y$400="",Registro_Compras!$F$400="NOTA DE CREDITO"),"","10413")</f>
        <v/>
      </c>
      <c r="D3577">
        <f>IF(OR(Registro_Compras!$C$400="",Registro_Compras!$O$400=""),"","Efectivo y Equivalentes - Cta. Cte. Operativa")</f>
        <v/>
      </c>
      <c r="E3577" s="20">
        <f>""</f>
        <v/>
      </c>
      <c r="F3577" s="20">
        <f>IF($C3577="","",IF(Registro_Compras!$F$400="RHE",(ROUND(Registro_Compras!$L$400*Registro_Compras!$N$400,2)-ROUND(Registro_Compras!$V$400*Registro_Compras!$N$400,2)),ROUND(Registro_Compras!$O$400-Registro_Compras!$S$400,2)))</f>
        <v/>
      </c>
      <c r="G3577">
        <f>IF($C3577="","","Por la cancelacion del saldo al proveedor")</f>
        <v/>
      </c>
      <c r="H3577">
        <f>IF($C3577="","",Registro_Compras!$C$400)</f>
        <v/>
      </c>
    </row>
    <row r="3578">
      <c r="A3578" s="25">
        <f>IF($C3578="","",Registro_Compras!$B$401)</f>
        <v/>
      </c>
      <c r="B3578">
        <f>IF($C3578="","","C"&amp;TEXT(INT((ROW()-5)/9)+1,"000")&amp;"-1")</f>
        <v/>
      </c>
      <c r="C3578">
        <f>IF(OR(Registro_Compras!$C$401="",Registro_Compras!$O$401=""),"",IF(Registro_Compras!$F$401="NOTA DE CREDITO","4212",IF(Registro_Compras!$M$401="","63",Registro_Compras!$M$401)))</f>
        <v/>
      </c>
      <c r="D3578">
        <f>IF(OR(Registro_Compras!$C$401="",Registro_Compras!$O$401=""),"",IF(Registro_Compras!$F$401="NOTA DE CREDITO","Cuentas por Pagar Comerciales - Terceros (Emitidas)",IF(Registro_Compras!$F$401="RHE","Honorarios Profesionales - Servicios de Terceros","Gastos de Servicios Prestados por Terceros")))</f>
        <v/>
      </c>
      <c r="E3578" s="20">
        <f>IF($C3578="","",IF(Registro_Compras!$F$401="NOTA DE CREDITO",ABS(Registro_Compras!$O$401),IF(Registro_Compras!$F$401="RHE",ROUND(Registro_Compras!$L$401*Registro_Compras!$N$401,2),ROUND(Registro_Compras!$J$401*Registro_Compras!$N$401,2))))</f>
        <v/>
      </c>
      <c r="F3578" s="20">
        <f>""</f>
        <v/>
      </c>
      <c r="G3578">
        <f>IF($C3578="","",IF(Registro_Compras!$F$401="NOTA DE CREDITO","Por la nota de credito "&amp;Registro_Compras!$C$401&amp;" de "&amp;Registro_Compras!$E$401&amp;" [PATRON POR CONFIRMAR CON CONTADOR]",IF(Registro_Compras!$F$401="RHE","Por el registro del recibo por honorarios "&amp;Registro_Compras!$C$401&amp;" de "&amp;Registro_Compras!$E$401&amp;" [PATRON POR CONFIRMAR CON CONTADOR]","Por el registro de la factura "&amp;Registro_Compras!$C$401&amp;" de "&amp;Registro_Compras!$E$401)))</f>
        <v/>
      </c>
      <c r="H3578">
        <f>IF($C3578="","",Registro_Compras!$C$401)</f>
        <v/>
      </c>
    </row>
    <row r="3579">
      <c r="A3579" s="25">
        <f>IF($C3579="","",Registro_Compras!$B$401)</f>
        <v/>
      </c>
      <c r="B3579">
        <f>IF($C3579="","","C"&amp;TEXT(INT((ROW()-5)/9)+1,"000")&amp;"-1")</f>
        <v/>
      </c>
      <c r="C3579">
        <f>IF(OR(Registro_Compras!$C$401="",Registro_Compras!$O$401=""),"",IF(Registro_Compras!$F$401="RHE",IF(Registro_Compras!$V$401=0,"","40172"),IF(Registro_Compras!$F$401="NOTA DE CREDITO",IF(Registro_Compras!$M$401="","63",Registro_Compras!$M$401),IF(Registro_Compras!$K$401=0,"","40111"))))</f>
        <v/>
      </c>
      <c r="D3579">
        <f>IF(OR(Registro_Compras!$C$401="",Registro_Compras!$O$401=""),"",IF(Registro_Compras!$F$401="RHE","Retencion Renta 4ta Categoria por Pagar",IF(Registro_Compras!$F$401="NOTA DE CREDITO","Gastos de Servicios Prestados por Terceros","IGV - Cuenta Propia (Credito Fiscal)")))</f>
        <v/>
      </c>
      <c r="E3579" s="20">
        <f>IF($C3579="","",IF(Registro_Compras!$F$401="FACTURA",ROUND(Registro_Compras!$K$401*Registro_Compras!$N$401,2),""))</f>
        <v/>
      </c>
      <c r="F3579" s="20">
        <f>IF($C3579="","",IF(Registro_Compras!$F$401="RHE",ROUND(Registro_Compras!$V$401*Registro_Compras!$N$401,2),IF(Registro_Compras!$F$401="NOTA DE CREDITO",ROUND(ABS(Registro_Compras!$J$401*Registro_Compras!$N$401),2),"")))</f>
        <v/>
      </c>
      <c r="G3579">
        <f>IF($C3579="","",IF(Registro_Compras!$F$401="NOTA DE CREDITO","Por la nota de credito "&amp;Registro_Compras!$C$401&amp;" de "&amp;Registro_Compras!$E$401&amp;" [PATRON POR CONFIRMAR CON CONTADOR]",IF(Registro_Compras!$F$401="RHE","Por el registro del recibo por honorarios "&amp;Registro_Compras!$C$401&amp;" de "&amp;Registro_Compras!$E$401&amp;" [PATRON POR CONFIRMAR CON CONTADOR]","Por el registro de la factura "&amp;Registro_Compras!$C$401&amp;" de "&amp;Registro_Compras!$E$401)))</f>
        <v/>
      </c>
      <c r="H3579">
        <f>IF($C3579="","",Registro_Compras!$C$401)</f>
        <v/>
      </c>
    </row>
    <row r="3580">
      <c r="A3580" s="25">
        <f>IF($C3580="","",Registro_Compras!$B$401)</f>
        <v/>
      </c>
      <c r="B3580">
        <f>IF($C3580="","","C"&amp;TEXT(INT((ROW()-5)/9)+1,"000")&amp;"-1")</f>
        <v/>
      </c>
      <c r="C3580">
        <f>IF(OR(Registro_Compras!$C$401="",Registro_Compras!$O$401=""),"",IF(Registro_Compras!$F$401="NOTA DE CREDITO",IF(Registro_Compras!$K$401=0,"","40111"),"4212"))</f>
        <v/>
      </c>
      <c r="D3580">
        <f>IF(OR(Registro_Compras!$C$401="",Registro_Compras!$O$401=""),"",IF(Registro_Compras!$F$401="NOTA DE CREDITO","IGV - Cuenta Propia (Credito Fiscal)","Cuentas por Pagar Comerciales - Terceros (Emitidas)"))</f>
        <v/>
      </c>
      <c r="E3580" s="20">
        <f>""</f>
        <v/>
      </c>
      <c r="F3580" s="20">
        <f>IF($C3580="","",IF(Registro_Compras!$F$401="NOTA DE CREDITO",ROUND(ABS(Registro_Compras!$K$401*Registro_Compras!$N$401),2),IF(Registro_Compras!$F$401="RHE",(ROUND(Registro_Compras!$L$401*Registro_Compras!$N$401,2)-ROUND(Registro_Compras!$V$401*Registro_Compras!$N$401,2)),Registro_Compras!$O$401)))</f>
        <v/>
      </c>
      <c r="G3580">
        <f>IF($C3580="","",IF(Registro_Compras!$F$401="NOTA DE CREDITO","Por la nota de credito "&amp;Registro_Compras!$C$401&amp;" de "&amp;Registro_Compras!$E$401&amp;" [PATRON POR CONFIRMAR CON CONTADOR]",IF(Registro_Compras!$F$401="RHE","Por el registro del recibo por honorarios "&amp;Registro_Compras!$C$401&amp;" de "&amp;Registro_Compras!$E$401&amp;" [PATRON POR CONFIRMAR CON CONTADOR]","Por el registro de la factura "&amp;Registro_Compras!$C$401&amp;" de "&amp;Registro_Compras!$E$401)))</f>
        <v/>
      </c>
      <c r="H3580">
        <f>IF($C3580="","",Registro_Compras!$C$401)</f>
        <v/>
      </c>
    </row>
    <row r="3581">
      <c r="A3581" s="25">
        <f>IF($C3581="","",Registro_Compras!$B$401)</f>
        <v/>
      </c>
      <c r="B3581">
        <f>IF($C3581="","","C"&amp;TEXT(INT((ROW()-5)/9)+1,"000")&amp;"-2")</f>
        <v/>
      </c>
      <c r="C3581">
        <f>IF(OR(Registro_Compras!$C$401="",Registro_Compras!$O$401=""),"",IF(Registro_Compras!$AB$401="ADMINISTRATIVO","94","95"))</f>
        <v/>
      </c>
      <c r="D3581">
        <f>IF(OR(Registro_Compras!$C$401="",Registro_Compras!$O$401=""),"",IF(Registro_Compras!$AB$401="ADMINISTRATIVO","Gastos Administrativos","Gastos de Venta y Operacion"))</f>
        <v/>
      </c>
      <c r="E3581" s="20">
        <f>IF($C3581="","",IF(Registro_Compras!$F$401="NOTA DE CREDITO","",IF(Registro_Compras!$F$401="RHE",ROUND(Registro_Compras!$L$401*Registro_Compras!$N$401,2),ROUND(Registro_Compras!$J$401*Registro_Compras!$N$401,2))))</f>
        <v/>
      </c>
      <c r="F3581" s="20">
        <f>IF($C3581="","",IF(Registro_Compras!$F$401="NOTA DE CREDITO",ROUND(ABS(Registro_Compras!$J$401*Registro_Compras!$N$401),2),""))</f>
        <v/>
      </c>
      <c r="G3581">
        <f>IF($C3581="","","Por el destino del gasto")</f>
        <v/>
      </c>
      <c r="H3581">
        <f>IF($C3581="","",Registro_Compras!$C$401)</f>
        <v/>
      </c>
    </row>
    <row r="3582">
      <c r="A3582" s="25">
        <f>IF($C3582="","",Registro_Compras!$B$401)</f>
        <v/>
      </c>
      <c r="B3582">
        <f>IF($C3582="","","C"&amp;TEXT(INT((ROW()-5)/9)+1,"000")&amp;"-2")</f>
        <v/>
      </c>
      <c r="C3582">
        <f>IF(OR(Registro_Compras!$C$401="",Registro_Compras!$O$401=""),"","79/791")</f>
        <v/>
      </c>
      <c r="D3582">
        <f>IF(OR(Registro_Compras!$C$401="",Registro_Compras!$O$401=""),"","Cargas Imputables a Cuentas de Costos y Gastos")</f>
        <v/>
      </c>
      <c r="E3582" s="20">
        <f>IF($C3582="","",IF(Registro_Compras!$F$401="NOTA DE CREDITO",ROUND(ABS(Registro_Compras!$J$401*Registro_Compras!$N$401),2),""))</f>
        <v/>
      </c>
      <c r="F3582" s="20">
        <f>IF($C3582="","",IF(Registro_Compras!$F$401="NOTA DE CREDITO","",IF(Registro_Compras!$F$401="RHE",ROUND(Registro_Compras!$L$401*Registro_Compras!$N$401,2),ROUND(Registro_Compras!$J$401*Registro_Compras!$N$401,2))))</f>
        <v/>
      </c>
      <c r="G3582">
        <f>IF($C3582="","","Por el destino del gasto")</f>
        <v/>
      </c>
      <c r="H3582">
        <f>IF($C3582="","",Registro_Compras!$C$401)</f>
        <v/>
      </c>
    </row>
    <row r="3583">
      <c r="A3583" s="25">
        <f>IF($C3583="","",Registro_Compras!$X$401)</f>
        <v/>
      </c>
      <c r="B3583">
        <f>IF($C3583="","","C"&amp;TEXT(INT((ROW()-5)/9)+1,"000")&amp;"-3")</f>
        <v/>
      </c>
      <c r="C3583">
        <f>IF(OR(Registro_Compras!$C$401="",Registro_Compras!$O$401="",Registro_Compras!$R$401&lt;&gt;"SI",Registro_Compras!$X$401=""),"","4212")</f>
        <v/>
      </c>
      <c r="D3583">
        <f>IF(OR(Registro_Compras!$C$401="",Registro_Compras!$O$401=""),"","Cuentas por Pagar Comerciales - Terceros")</f>
        <v/>
      </c>
      <c r="E3583" s="20">
        <f>IF($C3583="","",Registro_Compras!$S$401)</f>
        <v/>
      </c>
      <c r="F3583" s="20">
        <f>""</f>
        <v/>
      </c>
      <c r="G3583">
        <f>IF($C3583="","","Por el deposito de la detraccion en el Banco de la Nacion")</f>
        <v/>
      </c>
      <c r="H3583">
        <f>IF($C3583="","",Registro_Compras!$C$401)</f>
        <v/>
      </c>
    </row>
    <row r="3584">
      <c r="A3584" s="25">
        <f>IF($C3584="","",Registro_Compras!$X$401)</f>
        <v/>
      </c>
      <c r="B3584">
        <f>IF($C3584="","","C"&amp;TEXT(INT((ROW()-5)/9)+1,"000")&amp;"-3")</f>
        <v/>
      </c>
      <c r="C3584">
        <f>IF(OR(Registro_Compras!$C$401="",Registro_Compras!$O$401="",Registro_Compras!$R$401&lt;&gt;"SI",Registro_Compras!$X$401=""),"","10413")</f>
        <v/>
      </c>
      <c r="D3584">
        <f>IF(OR(Registro_Compras!$C$401="",Registro_Compras!$O$401=""),"","Efectivo y Equivalentes - Cta. Cte. Operativa")</f>
        <v/>
      </c>
      <c r="E3584" s="20">
        <f>""</f>
        <v/>
      </c>
      <c r="F3584" s="20">
        <f>IF($C3584="","",Registro_Compras!$S$401)</f>
        <v/>
      </c>
      <c r="G3584">
        <f>IF($C3584="","","Por el deposito de la detraccion en el Banco de la Nacion")</f>
        <v/>
      </c>
      <c r="H3584">
        <f>IF($C3584="","",Registro_Compras!$C$401)</f>
        <v/>
      </c>
    </row>
    <row r="3585">
      <c r="A3585" s="25">
        <f>IF($C3585="","",Registro_Compras!$Y$401)</f>
        <v/>
      </c>
      <c r="B3585">
        <f>IF($C3585="","","C"&amp;TEXT(INT((ROW()-5)/9)+1,"000")&amp;"-4")</f>
        <v/>
      </c>
      <c r="C3585">
        <f>IF(OR(Registro_Compras!$C$401="",Registro_Compras!$O$401="",Registro_Compras!$Y$401="",Registro_Compras!$F$401="NOTA DE CREDITO"),"","4212")</f>
        <v/>
      </c>
      <c r="D3585">
        <f>IF(OR(Registro_Compras!$C$401="",Registro_Compras!$O$401=""),"","Cuentas por Pagar Comerciales - Terceros")</f>
        <v/>
      </c>
      <c r="E3585" s="20">
        <f>IF($C3585="","",IF(Registro_Compras!$F$401="RHE",(ROUND(Registro_Compras!$L$401*Registro_Compras!$N$401,2)-ROUND(Registro_Compras!$V$401*Registro_Compras!$N$401,2)),ROUND(Registro_Compras!$O$401-Registro_Compras!$S$401,2)))</f>
        <v/>
      </c>
      <c r="F3585" s="20">
        <f>""</f>
        <v/>
      </c>
      <c r="G3585">
        <f>IF($C3585="","","Por la cancelacion del saldo al proveedor")</f>
        <v/>
      </c>
      <c r="H3585">
        <f>IF($C3585="","",Registro_Compras!$C$401)</f>
        <v/>
      </c>
    </row>
    <row r="3586">
      <c r="A3586" s="25">
        <f>IF($C3586="","",Registro_Compras!$Y$401)</f>
        <v/>
      </c>
      <c r="B3586">
        <f>IF($C3586="","","C"&amp;TEXT(INT((ROW()-5)/9)+1,"000")&amp;"-4")</f>
        <v/>
      </c>
      <c r="C3586">
        <f>IF(OR(Registro_Compras!$C$401="",Registro_Compras!$O$401="",Registro_Compras!$Y$401="",Registro_Compras!$F$401="NOTA DE CREDITO"),"","10413")</f>
        <v/>
      </c>
      <c r="D3586">
        <f>IF(OR(Registro_Compras!$C$401="",Registro_Compras!$O$401=""),"","Efectivo y Equivalentes - Cta. Cte. Operativa")</f>
        <v/>
      </c>
      <c r="E3586" s="20">
        <f>""</f>
        <v/>
      </c>
      <c r="F3586" s="20">
        <f>IF($C3586="","",IF(Registro_Compras!$F$401="RHE",(ROUND(Registro_Compras!$L$401*Registro_Compras!$N$401,2)-ROUND(Registro_Compras!$V$401*Registro_Compras!$N$401,2)),ROUND(Registro_Compras!$O$401-Registro_Compras!$S$401,2)))</f>
        <v/>
      </c>
      <c r="G3586">
        <f>IF($C3586="","","Por la cancelacion del saldo al proveedor")</f>
        <v/>
      </c>
      <c r="H3586">
        <f>IF($C3586="","",Registro_Compras!$C$401)</f>
        <v/>
      </c>
    </row>
    <row r="3587">
      <c r="A3587" s="25">
        <f>IF($C3587="","",Registro_Compras!$B$402)</f>
        <v/>
      </c>
      <c r="B3587">
        <f>IF($C3587="","","C"&amp;TEXT(INT((ROW()-5)/9)+1,"000")&amp;"-1")</f>
        <v/>
      </c>
      <c r="C3587">
        <f>IF(OR(Registro_Compras!$C$402="",Registro_Compras!$O$402=""),"",IF(Registro_Compras!$F$402="NOTA DE CREDITO","4212",IF(Registro_Compras!$M$402="","63",Registro_Compras!$M$402)))</f>
        <v/>
      </c>
      <c r="D3587">
        <f>IF(OR(Registro_Compras!$C$402="",Registro_Compras!$O$402=""),"",IF(Registro_Compras!$F$402="NOTA DE CREDITO","Cuentas por Pagar Comerciales - Terceros (Emitidas)",IF(Registro_Compras!$F$402="RHE","Honorarios Profesionales - Servicios de Terceros","Gastos de Servicios Prestados por Terceros")))</f>
        <v/>
      </c>
      <c r="E3587" s="20">
        <f>IF($C3587="","",IF(Registro_Compras!$F$402="NOTA DE CREDITO",ABS(Registro_Compras!$O$402),IF(Registro_Compras!$F$402="RHE",ROUND(Registro_Compras!$L$402*Registro_Compras!$N$402,2),ROUND(Registro_Compras!$J$402*Registro_Compras!$N$402,2))))</f>
        <v/>
      </c>
      <c r="F3587" s="20">
        <f>""</f>
        <v/>
      </c>
      <c r="G3587">
        <f>IF($C3587="","",IF(Registro_Compras!$F$402="NOTA DE CREDITO","Por la nota de credito "&amp;Registro_Compras!$C$402&amp;" de "&amp;Registro_Compras!$E$402&amp;" [PATRON POR CONFIRMAR CON CONTADOR]",IF(Registro_Compras!$F$402="RHE","Por el registro del recibo por honorarios "&amp;Registro_Compras!$C$402&amp;" de "&amp;Registro_Compras!$E$402&amp;" [PATRON POR CONFIRMAR CON CONTADOR]","Por el registro de la factura "&amp;Registro_Compras!$C$402&amp;" de "&amp;Registro_Compras!$E$402)))</f>
        <v/>
      </c>
      <c r="H3587">
        <f>IF($C3587="","",Registro_Compras!$C$402)</f>
        <v/>
      </c>
    </row>
    <row r="3588">
      <c r="A3588" s="25">
        <f>IF($C3588="","",Registro_Compras!$B$402)</f>
        <v/>
      </c>
      <c r="B3588">
        <f>IF($C3588="","","C"&amp;TEXT(INT((ROW()-5)/9)+1,"000")&amp;"-1")</f>
        <v/>
      </c>
      <c r="C3588">
        <f>IF(OR(Registro_Compras!$C$402="",Registro_Compras!$O$402=""),"",IF(Registro_Compras!$F$402="RHE",IF(Registro_Compras!$V$402=0,"","40172"),IF(Registro_Compras!$F$402="NOTA DE CREDITO",IF(Registro_Compras!$M$402="","63",Registro_Compras!$M$402),IF(Registro_Compras!$K$402=0,"","40111"))))</f>
        <v/>
      </c>
      <c r="D3588">
        <f>IF(OR(Registro_Compras!$C$402="",Registro_Compras!$O$402=""),"",IF(Registro_Compras!$F$402="RHE","Retencion Renta 4ta Categoria por Pagar",IF(Registro_Compras!$F$402="NOTA DE CREDITO","Gastos de Servicios Prestados por Terceros","IGV - Cuenta Propia (Credito Fiscal)")))</f>
        <v/>
      </c>
      <c r="E3588" s="20">
        <f>IF($C3588="","",IF(Registro_Compras!$F$402="FACTURA",ROUND(Registro_Compras!$K$402*Registro_Compras!$N$402,2),""))</f>
        <v/>
      </c>
      <c r="F3588" s="20">
        <f>IF($C3588="","",IF(Registro_Compras!$F$402="RHE",ROUND(Registro_Compras!$V$402*Registro_Compras!$N$402,2),IF(Registro_Compras!$F$402="NOTA DE CREDITO",ROUND(ABS(Registro_Compras!$J$402*Registro_Compras!$N$402),2),"")))</f>
        <v/>
      </c>
      <c r="G3588">
        <f>IF($C3588="","",IF(Registro_Compras!$F$402="NOTA DE CREDITO","Por la nota de credito "&amp;Registro_Compras!$C$402&amp;" de "&amp;Registro_Compras!$E$402&amp;" [PATRON POR CONFIRMAR CON CONTADOR]",IF(Registro_Compras!$F$402="RHE","Por el registro del recibo por honorarios "&amp;Registro_Compras!$C$402&amp;" de "&amp;Registro_Compras!$E$402&amp;" [PATRON POR CONFIRMAR CON CONTADOR]","Por el registro de la factura "&amp;Registro_Compras!$C$402&amp;" de "&amp;Registro_Compras!$E$402)))</f>
        <v/>
      </c>
      <c r="H3588">
        <f>IF($C3588="","",Registro_Compras!$C$402)</f>
        <v/>
      </c>
    </row>
    <row r="3589">
      <c r="A3589" s="25">
        <f>IF($C3589="","",Registro_Compras!$B$402)</f>
        <v/>
      </c>
      <c r="B3589">
        <f>IF($C3589="","","C"&amp;TEXT(INT((ROW()-5)/9)+1,"000")&amp;"-1")</f>
        <v/>
      </c>
      <c r="C3589">
        <f>IF(OR(Registro_Compras!$C$402="",Registro_Compras!$O$402=""),"",IF(Registro_Compras!$F$402="NOTA DE CREDITO",IF(Registro_Compras!$K$402=0,"","40111"),"4212"))</f>
        <v/>
      </c>
      <c r="D3589">
        <f>IF(OR(Registro_Compras!$C$402="",Registro_Compras!$O$402=""),"",IF(Registro_Compras!$F$402="NOTA DE CREDITO","IGV - Cuenta Propia (Credito Fiscal)","Cuentas por Pagar Comerciales - Terceros (Emitidas)"))</f>
        <v/>
      </c>
      <c r="E3589" s="20">
        <f>""</f>
        <v/>
      </c>
      <c r="F3589" s="20">
        <f>IF($C3589="","",IF(Registro_Compras!$F$402="NOTA DE CREDITO",ROUND(ABS(Registro_Compras!$K$402*Registro_Compras!$N$402),2),IF(Registro_Compras!$F$402="RHE",(ROUND(Registro_Compras!$L$402*Registro_Compras!$N$402,2)-ROUND(Registro_Compras!$V$402*Registro_Compras!$N$402,2)),Registro_Compras!$O$402)))</f>
        <v/>
      </c>
      <c r="G3589">
        <f>IF($C3589="","",IF(Registro_Compras!$F$402="NOTA DE CREDITO","Por la nota de credito "&amp;Registro_Compras!$C$402&amp;" de "&amp;Registro_Compras!$E$402&amp;" [PATRON POR CONFIRMAR CON CONTADOR]",IF(Registro_Compras!$F$402="RHE","Por el registro del recibo por honorarios "&amp;Registro_Compras!$C$402&amp;" de "&amp;Registro_Compras!$E$402&amp;" [PATRON POR CONFIRMAR CON CONTADOR]","Por el registro de la factura "&amp;Registro_Compras!$C$402&amp;" de "&amp;Registro_Compras!$E$402)))</f>
        <v/>
      </c>
      <c r="H3589">
        <f>IF($C3589="","",Registro_Compras!$C$402)</f>
        <v/>
      </c>
    </row>
    <row r="3590">
      <c r="A3590" s="25">
        <f>IF($C3590="","",Registro_Compras!$B$402)</f>
        <v/>
      </c>
      <c r="B3590">
        <f>IF($C3590="","","C"&amp;TEXT(INT((ROW()-5)/9)+1,"000")&amp;"-2")</f>
        <v/>
      </c>
      <c r="C3590">
        <f>IF(OR(Registro_Compras!$C$402="",Registro_Compras!$O$402=""),"",IF(Registro_Compras!$AB$402="ADMINISTRATIVO","94","95"))</f>
        <v/>
      </c>
      <c r="D3590">
        <f>IF(OR(Registro_Compras!$C$402="",Registro_Compras!$O$402=""),"",IF(Registro_Compras!$AB$402="ADMINISTRATIVO","Gastos Administrativos","Gastos de Venta y Operacion"))</f>
        <v/>
      </c>
      <c r="E3590" s="20">
        <f>IF($C3590="","",IF(Registro_Compras!$F$402="NOTA DE CREDITO","",IF(Registro_Compras!$F$402="RHE",ROUND(Registro_Compras!$L$402*Registro_Compras!$N$402,2),ROUND(Registro_Compras!$J$402*Registro_Compras!$N$402,2))))</f>
        <v/>
      </c>
      <c r="F3590" s="20">
        <f>IF($C3590="","",IF(Registro_Compras!$F$402="NOTA DE CREDITO",ROUND(ABS(Registro_Compras!$J$402*Registro_Compras!$N$402),2),""))</f>
        <v/>
      </c>
      <c r="G3590">
        <f>IF($C3590="","","Por el destino del gasto")</f>
        <v/>
      </c>
      <c r="H3590">
        <f>IF($C3590="","",Registro_Compras!$C$402)</f>
        <v/>
      </c>
    </row>
    <row r="3591">
      <c r="A3591" s="25">
        <f>IF($C3591="","",Registro_Compras!$B$402)</f>
        <v/>
      </c>
      <c r="B3591">
        <f>IF($C3591="","","C"&amp;TEXT(INT((ROW()-5)/9)+1,"000")&amp;"-2")</f>
        <v/>
      </c>
      <c r="C3591">
        <f>IF(OR(Registro_Compras!$C$402="",Registro_Compras!$O$402=""),"","79/791")</f>
        <v/>
      </c>
      <c r="D3591">
        <f>IF(OR(Registro_Compras!$C$402="",Registro_Compras!$O$402=""),"","Cargas Imputables a Cuentas de Costos y Gastos")</f>
        <v/>
      </c>
      <c r="E3591" s="20">
        <f>IF($C3591="","",IF(Registro_Compras!$F$402="NOTA DE CREDITO",ROUND(ABS(Registro_Compras!$J$402*Registro_Compras!$N$402),2),""))</f>
        <v/>
      </c>
      <c r="F3591" s="20">
        <f>IF($C3591="","",IF(Registro_Compras!$F$402="NOTA DE CREDITO","",IF(Registro_Compras!$F$402="RHE",ROUND(Registro_Compras!$L$402*Registro_Compras!$N$402,2),ROUND(Registro_Compras!$J$402*Registro_Compras!$N$402,2))))</f>
        <v/>
      </c>
      <c r="G3591">
        <f>IF($C3591="","","Por el destino del gasto")</f>
        <v/>
      </c>
      <c r="H3591">
        <f>IF($C3591="","",Registro_Compras!$C$402)</f>
        <v/>
      </c>
    </row>
    <row r="3592">
      <c r="A3592" s="25">
        <f>IF($C3592="","",Registro_Compras!$X$402)</f>
        <v/>
      </c>
      <c r="B3592">
        <f>IF($C3592="","","C"&amp;TEXT(INT((ROW()-5)/9)+1,"000")&amp;"-3")</f>
        <v/>
      </c>
      <c r="C3592">
        <f>IF(OR(Registro_Compras!$C$402="",Registro_Compras!$O$402="",Registro_Compras!$R$402&lt;&gt;"SI",Registro_Compras!$X$402=""),"","4212")</f>
        <v/>
      </c>
      <c r="D3592">
        <f>IF(OR(Registro_Compras!$C$402="",Registro_Compras!$O$402=""),"","Cuentas por Pagar Comerciales - Terceros")</f>
        <v/>
      </c>
      <c r="E3592" s="20">
        <f>IF($C3592="","",Registro_Compras!$S$402)</f>
        <v/>
      </c>
      <c r="F3592" s="20">
        <f>""</f>
        <v/>
      </c>
      <c r="G3592">
        <f>IF($C3592="","","Por el deposito de la detraccion en el Banco de la Nacion")</f>
        <v/>
      </c>
      <c r="H3592">
        <f>IF($C3592="","",Registro_Compras!$C$402)</f>
        <v/>
      </c>
    </row>
    <row r="3593">
      <c r="A3593" s="25">
        <f>IF($C3593="","",Registro_Compras!$X$402)</f>
        <v/>
      </c>
      <c r="B3593">
        <f>IF($C3593="","","C"&amp;TEXT(INT((ROW()-5)/9)+1,"000")&amp;"-3")</f>
        <v/>
      </c>
      <c r="C3593">
        <f>IF(OR(Registro_Compras!$C$402="",Registro_Compras!$O$402="",Registro_Compras!$R$402&lt;&gt;"SI",Registro_Compras!$X$402=""),"","10413")</f>
        <v/>
      </c>
      <c r="D3593">
        <f>IF(OR(Registro_Compras!$C$402="",Registro_Compras!$O$402=""),"","Efectivo y Equivalentes - Cta. Cte. Operativa")</f>
        <v/>
      </c>
      <c r="E3593" s="20">
        <f>""</f>
        <v/>
      </c>
      <c r="F3593" s="20">
        <f>IF($C3593="","",Registro_Compras!$S$402)</f>
        <v/>
      </c>
      <c r="G3593">
        <f>IF($C3593="","","Por el deposito de la detraccion en el Banco de la Nacion")</f>
        <v/>
      </c>
      <c r="H3593">
        <f>IF($C3593="","",Registro_Compras!$C$402)</f>
        <v/>
      </c>
    </row>
    <row r="3594">
      <c r="A3594" s="25">
        <f>IF($C3594="","",Registro_Compras!$Y$402)</f>
        <v/>
      </c>
      <c r="B3594">
        <f>IF($C3594="","","C"&amp;TEXT(INT((ROW()-5)/9)+1,"000")&amp;"-4")</f>
        <v/>
      </c>
      <c r="C3594">
        <f>IF(OR(Registro_Compras!$C$402="",Registro_Compras!$O$402="",Registro_Compras!$Y$402="",Registro_Compras!$F$402="NOTA DE CREDITO"),"","4212")</f>
        <v/>
      </c>
      <c r="D3594">
        <f>IF(OR(Registro_Compras!$C$402="",Registro_Compras!$O$402=""),"","Cuentas por Pagar Comerciales - Terceros")</f>
        <v/>
      </c>
      <c r="E3594" s="20">
        <f>IF($C3594="","",IF(Registro_Compras!$F$402="RHE",(ROUND(Registro_Compras!$L$402*Registro_Compras!$N$402,2)-ROUND(Registro_Compras!$V$402*Registro_Compras!$N$402,2)),ROUND(Registro_Compras!$O$402-Registro_Compras!$S$402,2)))</f>
        <v/>
      </c>
      <c r="F3594" s="20">
        <f>""</f>
        <v/>
      </c>
      <c r="G3594">
        <f>IF($C3594="","","Por la cancelacion del saldo al proveedor")</f>
        <v/>
      </c>
      <c r="H3594">
        <f>IF($C3594="","",Registro_Compras!$C$402)</f>
        <v/>
      </c>
    </row>
    <row r="3595">
      <c r="A3595" s="25">
        <f>IF($C3595="","",Registro_Compras!$Y$402)</f>
        <v/>
      </c>
      <c r="B3595">
        <f>IF($C3595="","","C"&amp;TEXT(INT((ROW()-5)/9)+1,"000")&amp;"-4")</f>
        <v/>
      </c>
      <c r="C3595">
        <f>IF(OR(Registro_Compras!$C$402="",Registro_Compras!$O$402="",Registro_Compras!$Y$402="",Registro_Compras!$F$402="NOTA DE CREDITO"),"","10413")</f>
        <v/>
      </c>
      <c r="D3595">
        <f>IF(OR(Registro_Compras!$C$402="",Registro_Compras!$O$402=""),"","Efectivo y Equivalentes - Cta. Cte. Operativa")</f>
        <v/>
      </c>
      <c r="E3595" s="20">
        <f>""</f>
        <v/>
      </c>
      <c r="F3595" s="20">
        <f>IF($C3595="","",IF(Registro_Compras!$F$402="RHE",(ROUND(Registro_Compras!$L$402*Registro_Compras!$N$402,2)-ROUND(Registro_Compras!$V$402*Registro_Compras!$N$402,2)),ROUND(Registro_Compras!$O$402-Registro_Compras!$S$402,2)))</f>
        <v/>
      </c>
      <c r="G3595">
        <f>IF($C3595="","","Por la cancelacion del saldo al proveedor")</f>
        <v/>
      </c>
      <c r="H3595">
        <f>IF($C3595="","",Registro_Compras!$C$402)</f>
        <v/>
      </c>
    </row>
    <row r="3596">
      <c r="A3596" s="25">
        <f>IF($C3596="","",Registro_Compras!$B$403)</f>
        <v/>
      </c>
      <c r="B3596">
        <f>IF($C3596="","","C"&amp;TEXT(INT((ROW()-5)/9)+1,"000")&amp;"-1")</f>
        <v/>
      </c>
      <c r="C3596">
        <f>IF(OR(Registro_Compras!$C$403="",Registro_Compras!$O$403=""),"",IF(Registro_Compras!$F$403="NOTA DE CREDITO","4212",IF(Registro_Compras!$M$403="","63",Registro_Compras!$M$403)))</f>
        <v/>
      </c>
      <c r="D3596">
        <f>IF(OR(Registro_Compras!$C$403="",Registro_Compras!$O$403=""),"",IF(Registro_Compras!$F$403="NOTA DE CREDITO","Cuentas por Pagar Comerciales - Terceros (Emitidas)",IF(Registro_Compras!$F$403="RHE","Honorarios Profesionales - Servicios de Terceros","Gastos de Servicios Prestados por Terceros")))</f>
        <v/>
      </c>
      <c r="E3596" s="20">
        <f>IF($C3596="","",IF(Registro_Compras!$F$403="NOTA DE CREDITO",ABS(Registro_Compras!$O$403),IF(Registro_Compras!$F$403="RHE",ROUND(Registro_Compras!$L$403*Registro_Compras!$N$403,2),ROUND(Registro_Compras!$J$403*Registro_Compras!$N$403,2))))</f>
        <v/>
      </c>
      <c r="F3596" s="20">
        <f>""</f>
        <v/>
      </c>
      <c r="G3596">
        <f>IF($C3596="","",IF(Registro_Compras!$F$403="NOTA DE CREDITO","Por la nota de credito "&amp;Registro_Compras!$C$403&amp;" de "&amp;Registro_Compras!$E$403&amp;" [PATRON POR CONFIRMAR CON CONTADOR]",IF(Registro_Compras!$F$403="RHE","Por el registro del recibo por honorarios "&amp;Registro_Compras!$C$403&amp;" de "&amp;Registro_Compras!$E$403&amp;" [PATRON POR CONFIRMAR CON CONTADOR]","Por el registro de la factura "&amp;Registro_Compras!$C$403&amp;" de "&amp;Registro_Compras!$E$403)))</f>
        <v/>
      </c>
      <c r="H3596">
        <f>IF($C3596="","",Registro_Compras!$C$403)</f>
        <v/>
      </c>
    </row>
    <row r="3597">
      <c r="A3597" s="25">
        <f>IF($C3597="","",Registro_Compras!$B$403)</f>
        <v/>
      </c>
      <c r="B3597">
        <f>IF($C3597="","","C"&amp;TEXT(INT((ROW()-5)/9)+1,"000")&amp;"-1")</f>
        <v/>
      </c>
      <c r="C3597">
        <f>IF(OR(Registro_Compras!$C$403="",Registro_Compras!$O$403=""),"",IF(Registro_Compras!$F$403="RHE",IF(Registro_Compras!$V$403=0,"","40172"),IF(Registro_Compras!$F$403="NOTA DE CREDITO",IF(Registro_Compras!$M$403="","63",Registro_Compras!$M$403),IF(Registro_Compras!$K$403=0,"","40111"))))</f>
        <v/>
      </c>
      <c r="D3597">
        <f>IF(OR(Registro_Compras!$C$403="",Registro_Compras!$O$403=""),"",IF(Registro_Compras!$F$403="RHE","Retencion Renta 4ta Categoria por Pagar",IF(Registro_Compras!$F$403="NOTA DE CREDITO","Gastos de Servicios Prestados por Terceros","IGV - Cuenta Propia (Credito Fiscal)")))</f>
        <v/>
      </c>
      <c r="E3597" s="20">
        <f>IF($C3597="","",IF(Registro_Compras!$F$403="FACTURA",ROUND(Registro_Compras!$K$403*Registro_Compras!$N$403,2),""))</f>
        <v/>
      </c>
      <c r="F3597" s="20">
        <f>IF($C3597="","",IF(Registro_Compras!$F$403="RHE",ROUND(Registro_Compras!$V$403*Registro_Compras!$N$403,2),IF(Registro_Compras!$F$403="NOTA DE CREDITO",ROUND(ABS(Registro_Compras!$J$403*Registro_Compras!$N$403),2),"")))</f>
        <v/>
      </c>
      <c r="G3597">
        <f>IF($C3597="","",IF(Registro_Compras!$F$403="NOTA DE CREDITO","Por la nota de credito "&amp;Registro_Compras!$C$403&amp;" de "&amp;Registro_Compras!$E$403&amp;" [PATRON POR CONFIRMAR CON CONTADOR]",IF(Registro_Compras!$F$403="RHE","Por el registro del recibo por honorarios "&amp;Registro_Compras!$C$403&amp;" de "&amp;Registro_Compras!$E$403&amp;" [PATRON POR CONFIRMAR CON CONTADOR]","Por el registro de la factura "&amp;Registro_Compras!$C$403&amp;" de "&amp;Registro_Compras!$E$403)))</f>
        <v/>
      </c>
      <c r="H3597">
        <f>IF($C3597="","",Registro_Compras!$C$403)</f>
        <v/>
      </c>
    </row>
    <row r="3598">
      <c r="A3598" s="25">
        <f>IF($C3598="","",Registro_Compras!$B$403)</f>
        <v/>
      </c>
      <c r="B3598">
        <f>IF($C3598="","","C"&amp;TEXT(INT((ROW()-5)/9)+1,"000")&amp;"-1")</f>
        <v/>
      </c>
      <c r="C3598">
        <f>IF(OR(Registro_Compras!$C$403="",Registro_Compras!$O$403=""),"",IF(Registro_Compras!$F$403="NOTA DE CREDITO",IF(Registro_Compras!$K$403=0,"","40111"),"4212"))</f>
        <v/>
      </c>
      <c r="D3598">
        <f>IF(OR(Registro_Compras!$C$403="",Registro_Compras!$O$403=""),"",IF(Registro_Compras!$F$403="NOTA DE CREDITO","IGV - Cuenta Propia (Credito Fiscal)","Cuentas por Pagar Comerciales - Terceros (Emitidas)"))</f>
        <v/>
      </c>
      <c r="E3598" s="20">
        <f>""</f>
        <v/>
      </c>
      <c r="F3598" s="20">
        <f>IF($C3598="","",IF(Registro_Compras!$F$403="NOTA DE CREDITO",ROUND(ABS(Registro_Compras!$K$403*Registro_Compras!$N$403),2),IF(Registro_Compras!$F$403="RHE",(ROUND(Registro_Compras!$L$403*Registro_Compras!$N$403,2)-ROUND(Registro_Compras!$V$403*Registro_Compras!$N$403,2)),Registro_Compras!$O$403)))</f>
        <v/>
      </c>
      <c r="G3598">
        <f>IF($C3598="","",IF(Registro_Compras!$F$403="NOTA DE CREDITO","Por la nota de credito "&amp;Registro_Compras!$C$403&amp;" de "&amp;Registro_Compras!$E$403&amp;" [PATRON POR CONFIRMAR CON CONTADOR]",IF(Registro_Compras!$F$403="RHE","Por el registro del recibo por honorarios "&amp;Registro_Compras!$C$403&amp;" de "&amp;Registro_Compras!$E$403&amp;" [PATRON POR CONFIRMAR CON CONTADOR]","Por el registro de la factura "&amp;Registro_Compras!$C$403&amp;" de "&amp;Registro_Compras!$E$403)))</f>
        <v/>
      </c>
      <c r="H3598">
        <f>IF($C3598="","",Registro_Compras!$C$403)</f>
        <v/>
      </c>
    </row>
    <row r="3599">
      <c r="A3599" s="25">
        <f>IF($C3599="","",Registro_Compras!$B$403)</f>
        <v/>
      </c>
      <c r="B3599">
        <f>IF($C3599="","","C"&amp;TEXT(INT((ROW()-5)/9)+1,"000")&amp;"-2")</f>
        <v/>
      </c>
      <c r="C3599">
        <f>IF(OR(Registro_Compras!$C$403="",Registro_Compras!$O$403=""),"",IF(Registro_Compras!$AB$403="ADMINISTRATIVO","94","95"))</f>
        <v/>
      </c>
      <c r="D3599">
        <f>IF(OR(Registro_Compras!$C$403="",Registro_Compras!$O$403=""),"",IF(Registro_Compras!$AB$403="ADMINISTRATIVO","Gastos Administrativos","Gastos de Venta y Operacion"))</f>
        <v/>
      </c>
      <c r="E3599" s="20">
        <f>IF($C3599="","",IF(Registro_Compras!$F$403="NOTA DE CREDITO","",IF(Registro_Compras!$F$403="RHE",ROUND(Registro_Compras!$L$403*Registro_Compras!$N$403,2),ROUND(Registro_Compras!$J$403*Registro_Compras!$N$403,2))))</f>
        <v/>
      </c>
      <c r="F3599" s="20">
        <f>IF($C3599="","",IF(Registro_Compras!$F$403="NOTA DE CREDITO",ROUND(ABS(Registro_Compras!$J$403*Registro_Compras!$N$403),2),""))</f>
        <v/>
      </c>
      <c r="G3599">
        <f>IF($C3599="","","Por el destino del gasto")</f>
        <v/>
      </c>
      <c r="H3599">
        <f>IF($C3599="","",Registro_Compras!$C$403)</f>
        <v/>
      </c>
    </row>
    <row r="3600">
      <c r="A3600" s="25">
        <f>IF($C3600="","",Registro_Compras!$B$403)</f>
        <v/>
      </c>
      <c r="B3600">
        <f>IF($C3600="","","C"&amp;TEXT(INT((ROW()-5)/9)+1,"000")&amp;"-2")</f>
        <v/>
      </c>
      <c r="C3600">
        <f>IF(OR(Registro_Compras!$C$403="",Registro_Compras!$O$403=""),"","79/791")</f>
        <v/>
      </c>
      <c r="D3600">
        <f>IF(OR(Registro_Compras!$C$403="",Registro_Compras!$O$403=""),"","Cargas Imputables a Cuentas de Costos y Gastos")</f>
        <v/>
      </c>
      <c r="E3600" s="20">
        <f>IF($C3600="","",IF(Registro_Compras!$F$403="NOTA DE CREDITO",ROUND(ABS(Registro_Compras!$J$403*Registro_Compras!$N$403),2),""))</f>
        <v/>
      </c>
      <c r="F3600" s="20">
        <f>IF($C3600="","",IF(Registro_Compras!$F$403="NOTA DE CREDITO","",IF(Registro_Compras!$F$403="RHE",ROUND(Registro_Compras!$L$403*Registro_Compras!$N$403,2),ROUND(Registro_Compras!$J$403*Registro_Compras!$N$403,2))))</f>
        <v/>
      </c>
      <c r="G3600">
        <f>IF($C3600="","","Por el destino del gasto")</f>
        <v/>
      </c>
      <c r="H3600">
        <f>IF($C3600="","",Registro_Compras!$C$403)</f>
        <v/>
      </c>
    </row>
    <row r="3601">
      <c r="A3601" s="25">
        <f>IF($C3601="","",Registro_Compras!$X$403)</f>
        <v/>
      </c>
      <c r="B3601">
        <f>IF($C3601="","","C"&amp;TEXT(INT((ROW()-5)/9)+1,"000")&amp;"-3")</f>
        <v/>
      </c>
      <c r="C3601">
        <f>IF(OR(Registro_Compras!$C$403="",Registro_Compras!$O$403="",Registro_Compras!$R$403&lt;&gt;"SI",Registro_Compras!$X$403=""),"","4212")</f>
        <v/>
      </c>
      <c r="D3601">
        <f>IF(OR(Registro_Compras!$C$403="",Registro_Compras!$O$403=""),"","Cuentas por Pagar Comerciales - Terceros")</f>
        <v/>
      </c>
      <c r="E3601" s="20">
        <f>IF($C3601="","",Registro_Compras!$S$403)</f>
        <v/>
      </c>
      <c r="F3601" s="20">
        <f>""</f>
        <v/>
      </c>
      <c r="G3601">
        <f>IF($C3601="","","Por el deposito de la detraccion en el Banco de la Nacion")</f>
        <v/>
      </c>
      <c r="H3601">
        <f>IF($C3601="","",Registro_Compras!$C$403)</f>
        <v/>
      </c>
    </row>
    <row r="3602">
      <c r="A3602" s="25">
        <f>IF($C3602="","",Registro_Compras!$X$403)</f>
        <v/>
      </c>
      <c r="B3602">
        <f>IF($C3602="","","C"&amp;TEXT(INT((ROW()-5)/9)+1,"000")&amp;"-3")</f>
        <v/>
      </c>
      <c r="C3602">
        <f>IF(OR(Registro_Compras!$C$403="",Registro_Compras!$O$403="",Registro_Compras!$R$403&lt;&gt;"SI",Registro_Compras!$X$403=""),"","10413")</f>
        <v/>
      </c>
      <c r="D3602">
        <f>IF(OR(Registro_Compras!$C$403="",Registro_Compras!$O$403=""),"","Efectivo y Equivalentes - Cta. Cte. Operativa")</f>
        <v/>
      </c>
      <c r="E3602" s="20">
        <f>""</f>
        <v/>
      </c>
      <c r="F3602" s="20">
        <f>IF($C3602="","",Registro_Compras!$S$403)</f>
        <v/>
      </c>
      <c r="G3602">
        <f>IF($C3602="","","Por el deposito de la detraccion en el Banco de la Nacion")</f>
        <v/>
      </c>
      <c r="H3602">
        <f>IF($C3602="","",Registro_Compras!$C$403)</f>
        <v/>
      </c>
    </row>
    <row r="3603">
      <c r="A3603" s="25">
        <f>IF($C3603="","",Registro_Compras!$Y$403)</f>
        <v/>
      </c>
      <c r="B3603">
        <f>IF($C3603="","","C"&amp;TEXT(INT((ROW()-5)/9)+1,"000")&amp;"-4")</f>
        <v/>
      </c>
      <c r="C3603">
        <f>IF(OR(Registro_Compras!$C$403="",Registro_Compras!$O$403="",Registro_Compras!$Y$403="",Registro_Compras!$F$403="NOTA DE CREDITO"),"","4212")</f>
        <v/>
      </c>
      <c r="D3603">
        <f>IF(OR(Registro_Compras!$C$403="",Registro_Compras!$O$403=""),"","Cuentas por Pagar Comerciales - Terceros")</f>
        <v/>
      </c>
      <c r="E3603" s="20">
        <f>IF($C3603="","",IF(Registro_Compras!$F$403="RHE",(ROUND(Registro_Compras!$L$403*Registro_Compras!$N$403,2)-ROUND(Registro_Compras!$V$403*Registro_Compras!$N$403,2)),ROUND(Registro_Compras!$O$403-Registro_Compras!$S$403,2)))</f>
        <v/>
      </c>
      <c r="F3603" s="20">
        <f>""</f>
        <v/>
      </c>
      <c r="G3603">
        <f>IF($C3603="","","Por la cancelacion del saldo al proveedor")</f>
        <v/>
      </c>
      <c r="H3603">
        <f>IF($C3603="","",Registro_Compras!$C$403)</f>
        <v/>
      </c>
    </row>
    <row r="3604">
      <c r="A3604" s="25">
        <f>IF($C3604="","",Registro_Compras!$Y$403)</f>
        <v/>
      </c>
      <c r="B3604">
        <f>IF($C3604="","","C"&amp;TEXT(INT((ROW()-5)/9)+1,"000")&amp;"-4")</f>
        <v/>
      </c>
      <c r="C3604">
        <f>IF(OR(Registro_Compras!$C$403="",Registro_Compras!$O$403="",Registro_Compras!$Y$403="",Registro_Compras!$F$403="NOTA DE CREDITO"),"","10413")</f>
        <v/>
      </c>
      <c r="D3604">
        <f>IF(OR(Registro_Compras!$C$403="",Registro_Compras!$O$403=""),"","Efectivo y Equivalentes - Cta. Cte. Operativa")</f>
        <v/>
      </c>
      <c r="E3604" s="20">
        <f>""</f>
        <v/>
      </c>
      <c r="F3604" s="20">
        <f>IF($C3604="","",IF(Registro_Compras!$F$403="RHE",(ROUND(Registro_Compras!$L$403*Registro_Compras!$N$403,2)-ROUND(Registro_Compras!$V$403*Registro_Compras!$N$403,2)),ROUND(Registro_Compras!$O$403-Registro_Compras!$S$403,2)))</f>
        <v/>
      </c>
      <c r="G3604">
        <f>IF($C3604="","","Por la cancelacion del saldo al proveedor")</f>
        <v/>
      </c>
      <c r="H3604">
        <f>IF($C3604="","",Registro_Compras!$C$403)</f>
        <v/>
      </c>
    </row>
    <row r="3605">
      <c r="A3605" s="25">
        <f>IF($C3605="","",Registro_Compras!$B$404)</f>
        <v/>
      </c>
      <c r="B3605">
        <f>IF($C3605="","","C"&amp;TEXT(INT((ROW()-5)/9)+1,"000")&amp;"-1")</f>
        <v/>
      </c>
      <c r="C3605">
        <f>IF(OR(Registro_Compras!$C$404="",Registro_Compras!$O$404=""),"",IF(Registro_Compras!$F$404="NOTA DE CREDITO","4212",IF(Registro_Compras!$M$404="","63",Registro_Compras!$M$404)))</f>
        <v/>
      </c>
      <c r="D3605">
        <f>IF(OR(Registro_Compras!$C$404="",Registro_Compras!$O$404=""),"",IF(Registro_Compras!$F$404="NOTA DE CREDITO","Cuentas por Pagar Comerciales - Terceros (Emitidas)",IF(Registro_Compras!$F$404="RHE","Honorarios Profesionales - Servicios de Terceros","Gastos de Servicios Prestados por Terceros")))</f>
        <v/>
      </c>
      <c r="E3605" s="20">
        <f>IF($C3605="","",IF(Registro_Compras!$F$404="NOTA DE CREDITO",ABS(Registro_Compras!$O$404),IF(Registro_Compras!$F$404="RHE",ROUND(Registro_Compras!$L$404*Registro_Compras!$N$404,2),ROUND(Registro_Compras!$J$404*Registro_Compras!$N$404,2))))</f>
        <v/>
      </c>
      <c r="F3605" s="20">
        <f>""</f>
        <v/>
      </c>
      <c r="G3605">
        <f>IF($C3605="","",IF(Registro_Compras!$F$404="NOTA DE CREDITO","Por la nota de credito "&amp;Registro_Compras!$C$404&amp;" de "&amp;Registro_Compras!$E$404&amp;" [PATRON POR CONFIRMAR CON CONTADOR]",IF(Registro_Compras!$F$404="RHE","Por el registro del recibo por honorarios "&amp;Registro_Compras!$C$404&amp;" de "&amp;Registro_Compras!$E$404&amp;" [PATRON POR CONFIRMAR CON CONTADOR]","Por el registro de la factura "&amp;Registro_Compras!$C$404&amp;" de "&amp;Registro_Compras!$E$404)))</f>
        <v/>
      </c>
      <c r="H3605">
        <f>IF($C3605="","",Registro_Compras!$C$404)</f>
        <v/>
      </c>
    </row>
    <row r="3606">
      <c r="A3606" s="25">
        <f>IF($C3606="","",Registro_Compras!$B$404)</f>
        <v/>
      </c>
      <c r="B3606">
        <f>IF($C3606="","","C"&amp;TEXT(INT((ROW()-5)/9)+1,"000")&amp;"-1")</f>
        <v/>
      </c>
      <c r="C3606">
        <f>IF(OR(Registro_Compras!$C$404="",Registro_Compras!$O$404=""),"",IF(Registro_Compras!$F$404="RHE",IF(Registro_Compras!$V$404=0,"","40172"),IF(Registro_Compras!$F$404="NOTA DE CREDITO",IF(Registro_Compras!$M$404="","63",Registro_Compras!$M$404),IF(Registro_Compras!$K$404=0,"","40111"))))</f>
        <v/>
      </c>
      <c r="D3606">
        <f>IF(OR(Registro_Compras!$C$404="",Registro_Compras!$O$404=""),"",IF(Registro_Compras!$F$404="RHE","Retencion Renta 4ta Categoria por Pagar",IF(Registro_Compras!$F$404="NOTA DE CREDITO","Gastos de Servicios Prestados por Terceros","IGV - Cuenta Propia (Credito Fiscal)")))</f>
        <v/>
      </c>
      <c r="E3606" s="20">
        <f>IF($C3606="","",IF(Registro_Compras!$F$404="FACTURA",ROUND(Registro_Compras!$K$404*Registro_Compras!$N$404,2),""))</f>
        <v/>
      </c>
      <c r="F3606" s="20">
        <f>IF($C3606="","",IF(Registro_Compras!$F$404="RHE",ROUND(Registro_Compras!$V$404*Registro_Compras!$N$404,2),IF(Registro_Compras!$F$404="NOTA DE CREDITO",ROUND(ABS(Registro_Compras!$J$404*Registro_Compras!$N$404),2),"")))</f>
        <v/>
      </c>
      <c r="G3606">
        <f>IF($C3606="","",IF(Registro_Compras!$F$404="NOTA DE CREDITO","Por la nota de credito "&amp;Registro_Compras!$C$404&amp;" de "&amp;Registro_Compras!$E$404&amp;" [PATRON POR CONFIRMAR CON CONTADOR]",IF(Registro_Compras!$F$404="RHE","Por el registro del recibo por honorarios "&amp;Registro_Compras!$C$404&amp;" de "&amp;Registro_Compras!$E$404&amp;" [PATRON POR CONFIRMAR CON CONTADOR]","Por el registro de la factura "&amp;Registro_Compras!$C$404&amp;" de "&amp;Registro_Compras!$E$404)))</f>
        <v/>
      </c>
      <c r="H3606">
        <f>IF($C3606="","",Registro_Compras!$C$404)</f>
        <v/>
      </c>
    </row>
    <row r="3607">
      <c r="A3607" s="25">
        <f>IF($C3607="","",Registro_Compras!$B$404)</f>
        <v/>
      </c>
      <c r="B3607">
        <f>IF($C3607="","","C"&amp;TEXT(INT((ROW()-5)/9)+1,"000")&amp;"-1")</f>
        <v/>
      </c>
      <c r="C3607">
        <f>IF(OR(Registro_Compras!$C$404="",Registro_Compras!$O$404=""),"",IF(Registro_Compras!$F$404="NOTA DE CREDITO",IF(Registro_Compras!$K$404=0,"","40111"),"4212"))</f>
        <v/>
      </c>
      <c r="D3607">
        <f>IF(OR(Registro_Compras!$C$404="",Registro_Compras!$O$404=""),"",IF(Registro_Compras!$F$404="NOTA DE CREDITO","IGV - Cuenta Propia (Credito Fiscal)","Cuentas por Pagar Comerciales - Terceros (Emitidas)"))</f>
        <v/>
      </c>
      <c r="E3607" s="20">
        <f>""</f>
        <v/>
      </c>
      <c r="F3607" s="20">
        <f>IF($C3607="","",IF(Registro_Compras!$F$404="NOTA DE CREDITO",ROUND(ABS(Registro_Compras!$K$404*Registro_Compras!$N$404),2),IF(Registro_Compras!$F$404="RHE",(ROUND(Registro_Compras!$L$404*Registro_Compras!$N$404,2)-ROUND(Registro_Compras!$V$404*Registro_Compras!$N$404,2)),Registro_Compras!$O$404)))</f>
        <v/>
      </c>
      <c r="G3607">
        <f>IF($C3607="","",IF(Registro_Compras!$F$404="NOTA DE CREDITO","Por la nota de credito "&amp;Registro_Compras!$C$404&amp;" de "&amp;Registro_Compras!$E$404&amp;" [PATRON POR CONFIRMAR CON CONTADOR]",IF(Registro_Compras!$F$404="RHE","Por el registro del recibo por honorarios "&amp;Registro_Compras!$C$404&amp;" de "&amp;Registro_Compras!$E$404&amp;" [PATRON POR CONFIRMAR CON CONTADOR]","Por el registro de la factura "&amp;Registro_Compras!$C$404&amp;" de "&amp;Registro_Compras!$E$404)))</f>
        <v/>
      </c>
      <c r="H3607">
        <f>IF($C3607="","",Registro_Compras!$C$404)</f>
        <v/>
      </c>
    </row>
    <row r="3608">
      <c r="A3608" s="25">
        <f>IF($C3608="","",Registro_Compras!$B$404)</f>
        <v/>
      </c>
      <c r="B3608">
        <f>IF($C3608="","","C"&amp;TEXT(INT((ROW()-5)/9)+1,"000")&amp;"-2")</f>
        <v/>
      </c>
      <c r="C3608">
        <f>IF(OR(Registro_Compras!$C$404="",Registro_Compras!$O$404=""),"",IF(Registro_Compras!$AB$404="ADMINISTRATIVO","94","95"))</f>
        <v/>
      </c>
      <c r="D3608">
        <f>IF(OR(Registro_Compras!$C$404="",Registro_Compras!$O$404=""),"",IF(Registro_Compras!$AB$404="ADMINISTRATIVO","Gastos Administrativos","Gastos de Venta y Operacion"))</f>
        <v/>
      </c>
      <c r="E3608" s="20">
        <f>IF($C3608="","",IF(Registro_Compras!$F$404="NOTA DE CREDITO","",IF(Registro_Compras!$F$404="RHE",ROUND(Registro_Compras!$L$404*Registro_Compras!$N$404,2),ROUND(Registro_Compras!$J$404*Registro_Compras!$N$404,2))))</f>
        <v/>
      </c>
      <c r="F3608" s="20">
        <f>IF($C3608="","",IF(Registro_Compras!$F$404="NOTA DE CREDITO",ROUND(ABS(Registro_Compras!$J$404*Registro_Compras!$N$404),2),""))</f>
        <v/>
      </c>
      <c r="G3608">
        <f>IF($C3608="","","Por el destino del gasto")</f>
        <v/>
      </c>
      <c r="H3608">
        <f>IF($C3608="","",Registro_Compras!$C$404)</f>
        <v/>
      </c>
    </row>
    <row r="3609">
      <c r="A3609" s="25">
        <f>IF($C3609="","",Registro_Compras!$B$404)</f>
        <v/>
      </c>
      <c r="B3609">
        <f>IF($C3609="","","C"&amp;TEXT(INT((ROW()-5)/9)+1,"000")&amp;"-2")</f>
        <v/>
      </c>
      <c r="C3609">
        <f>IF(OR(Registro_Compras!$C$404="",Registro_Compras!$O$404=""),"","79/791")</f>
        <v/>
      </c>
      <c r="D3609">
        <f>IF(OR(Registro_Compras!$C$404="",Registro_Compras!$O$404=""),"","Cargas Imputables a Cuentas de Costos y Gastos")</f>
        <v/>
      </c>
      <c r="E3609" s="20">
        <f>IF($C3609="","",IF(Registro_Compras!$F$404="NOTA DE CREDITO",ROUND(ABS(Registro_Compras!$J$404*Registro_Compras!$N$404),2),""))</f>
        <v/>
      </c>
      <c r="F3609" s="20">
        <f>IF($C3609="","",IF(Registro_Compras!$F$404="NOTA DE CREDITO","",IF(Registro_Compras!$F$404="RHE",ROUND(Registro_Compras!$L$404*Registro_Compras!$N$404,2),ROUND(Registro_Compras!$J$404*Registro_Compras!$N$404,2))))</f>
        <v/>
      </c>
      <c r="G3609">
        <f>IF($C3609="","","Por el destino del gasto")</f>
        <v/>
      </c>
      <c r="H3609">
        <f>IF($C3609="","",Registro_Compras!$C$404)</f>
        <v/>
      </c>
    </row>
    <row r="3610">
      <c r="A3610" s="25">
        <f>IF($C3610="","",Registro_Compras!$X$404)</f>
        <v/>
      </c>
      <c r="B3610">
        <f>IF($C3610="","","C"&amp;TEXT(INT((ROW()-5)/9)+1,"000")&amp;"-3")</f>
        <v/>
      </c>
      <c r="C3610">
        <f>IF(OR(Registro_Compras!$C$404="",Registro_Compras!$O$404="",Registro_Compras!$R$404&lt;&gt;"SI",Registro_Compras!$X$404=""),"","4212")</f>
        <v/>
      </c>
      <c r="D3610">
        <f>IF(OR(Registro_Compras!$C$404="",Registro_Compras!$O$404=""),"","Cuentas por Pagar Comerciales - Terceros")</f>
        <v/>
      </c>
      <c r="E3610" s="20">
        <f>IF($C3610="","",Registro_Compras!$S$404)</f>
        <v/>
      </c>
      <c r="F3610" s="20">
        <f>""</f>
        <v/>
      </c>
      <c r="G3610">
        <f>IF($C3610="","","Por el deposito de la detraccion en el Banco de la Nacion")</f>
        <v/>
      </c>
      <c r="H3610">
        <f>IF($C3610="","",Registro_Compras!$C$404)</f>
        <v/>
      </c>
    </row>
    <row r="3611">
      <c r="A3611" s="25">
        <f>IF($C3611="","",Registro_Compras!$X$404)</f>
        <v/>
      </c>
      <c r="B3611">
        <f>IF($C3611="","","C"&amp;TEXT(INT((ROW()-5)/9)+1,"000")&amp;"-3")</f>
        <v/>
      </c>
      <c r="C3611">
        <f>IF(OR(Registro_Compras!$C$404="",Registro_Compras!$O$404="",Registro_Compras!$R$404&lt;&gt;"SI",Registro_Compras!$X$404=""),"","10413")</f>
        <v/>
      </c>
      <c r="D3611">
        <f>IF(OR(Registro_Compras!$C$404="",Registro_Compras!$O$404=""),"","Efectivo y Equivalentes - Cta. Cte. Operativa")</f>
        <v/>
      </c>
      <c r="E3611" s="20">
        <f>""</f>
        <v/>
      </c>
      <c r="F3611" s="20">
        <f>IF($C3611="","",Registro_Compras!$S$404)</f>
        <v/>
      </c>
      <c r="G3611">
        <f>IF($C3611="","","Por el deposito de la detraccion en el Banco de la Nacion")</f>
        <v/>
      </c>
      <c r="H3611">
        <f>IF($C3611="","",Registro_Compras!$C$404)</f>
        <v/>
      </c>
    </row>
    <row r="3612">
      <c r="A3612" s="25">
        <f>IF($C3612="","",Registro_Compras!$Y$404)</f>
        <v/>
      </c>
      <c r="B3612">
        <f>IF($C3612="","","C"&amp;TEXT(INT((ROW()-5)/9)+1,"000")&amp;"-4")</f>
        <v/>
      </c>
      <c r="C3612">
        <f>IF(OR(Registro_Compras!$C$404="",Registro_Compras!$O$404="",Registro_Compras!$Y$404="",Registro_Compras!$F$404="NOTA DE CREDITO"),"","4212")</f>
        <v/>
      </c>
      <c r="D3612">
        <f>IF(OR(Registro_Compras!$C$404="",Registro_Compras!$O$404=""),"","Cuentas por Pagar Comerciales - Terceros")</f>
        <v/>
      </c>
      <c r="E3612" s="20">
        <f>IF($C3612="","",IF(Registro_Compras!$F$404="RHE",(ROUND(Registro_Compras!$L$404*Registro_Compras!$N$404,2)-ROUND(Registro_Compras!$V$404*Registro_Compras!$N$404,2)),ROUND(Registro_Compras!$O$404-Registro_Compras!$S$404,2)))</f>
        <v/>
      </c>
      <c r="F3612" s="20">
        <f>""</f>
        <v/>
      </c>
      <c r="G3612">
        <f>IF($C3612="","","Por la cancelacion del saldo al proveedor")</f>
        <v/>
      </c>
      <c r="H3612">
        <f>IF($C3612="","",Registro_Compras!$C$404)</f>
        <v/>
      </c>
    </row>
    <row r="3613">
      <c r="A3613" s="25">
        <f>IF($C3613="","",Registro_Compras!$Y$404)</f>
        <v/>
      </c>
      <c r="B3613">
        <f>IF($C3613="","","C"&amp;TEXT(INT((ROW()-5)/9)+1,"000")&amp;"-4")</f>
        <v/>
      </c>
      <c r="C3613">
        <f>IF(OR(Registro_Compras!$C$404="",Registro_Compras!$O$404="",Registro_Compras!$Y$404="",Registro_Compras!$F$404="NOTA DE CREDITO"),"","10413")</f>
        <v/>
      </c>
      <c r="D3613">
        <f>IF(OR(Registro_Compras!$C$404="",Registro_Compras!$O$404=""),"","Efectivo y Equivalentes - Cta. Cte. Operativa")</f>
        <v/>
      </c>
      <c r="E3613" s="20">
        <f>""</f>
        <v/>
      </c>
      <c r="F3613" s="20">
        <f>IF($C3613="","",IF(Registro_Compras!$F$404="RHE",(ROUND(Registro_Compras!$L$404*Registro_Compras!$N$404,2)-ROUND(Registro_Compras!$V$404*Registro_Compras!$N$404,2)),ROUND(Registro_Compras!$O$404-Registro_Compras!$S$404,2)))</f>
        <v/>
      </c>
      <c r="G3613">
        <f>IF($C3613="","","Por la cancelacion del saldo al proveedor")</f>
        <v/>
      </c>
      <c r="H3613">
        <f>IF($C3613="","",Registro_Compras!$C$404)</f>
        <v/>
      </c>
    </row>
    <row r="3614">
      <c r="A3614" s="25">
        <f>IF($C3614="","",Registro_Compras!$B$405)</f>
        <v/>
      </c>
      <c r="B3614">
        <f>IF($C3614="","","C"&amp;TEXT(INT((ROW()-5)/9)+1,"000")&amp;"-1")</f>
        <v/>
      </c>
      <c r="C3614">
        <f>IF(OR(Registro_Compras!$C$405="",Registro_Compras!$O$405=""),"",IF(Registro_Compras!$F$405="NOTA DE CREDITO","4212",IF(Registro_Compras!$M$405="","63",Registro_Compras!$M$405)))</f>
        <v/>
      </c>
      <c r="D3614">
        <f>IF(OR(Registro_Compras!$C$405="",Registro_Compras!$O$405=""),"",IF(Registro_Compras!$F$405="NOTA DE CREDITO","Cuentas por Pagar Comerciales - Terceros (Emitidas)",IF(Registro_Compras!$F$405="RHE","Honorarios Profesionales - Servicios de Terceros","Gastos de Servicios Prestados por Terceros")))</f>
        <v/>
      </c>
      <c r="E3614" s="20">
        <f>IF($C3614="","",IF(Registro_Compras!$F$405="NOTA DE CREDITO",ABS(Registro_Compras!$O$405),IF(Registro_Compras!$F$405="RHE",ROUND(Registro_Compras!$L$405*Registro_Compras!$N$405,2),ROUND(Registro_Compras!$J$405*Registro_Compras!$N$405,2))))</f>
        <v/>
      </c>
      <c r="F3614" s="20">
        <f>""</f>
        <v/>
      </c>
      <c r="G3614">
        <f>IF($C3614="","",IF(Registro_Compras!$F$405="NOTA DE CREDITO","Por la nota de credito "&amp;Registro_Compras!$C$405&amp;" de "&amp;Registro_Compras!$E$405&amp;" [PATRON POR CONFIRMAR CON CONTADOR]",IF(Registro_Compras!$F$405="RHE","Por el registro del recibo por honorarios "&amp;Registro_Compras!$C$405&amp;" de "&amp;Registro_Compras!$E$405&amp;" [PATRON POR CONFIRMAR CON CONTADOR]","Por el registro de la factura "&amp;Registro_Compras!$C$405&amp;" de "&amp;Registro_Compras!$E$405)))</f>
        <v/>
      </c>
      <c r="H3614">
        <f>IF($C3614="","",Registro_Compras!$C$405)</f>
        <v/>
      </c>
    </row>
    <row r="3615">
      <c r="A3615" s="25">
        <f>IF($C3615="","",Registro_Compras!$B$405)</f>
        <v/>
      </c>
      <c r="B3615">
        <f>IF($C3615="","","C"&amp;TEXT(INT((ROW()-5)/9)+1,"000")&amp;"-1")</f>
        <v/>
      </c>
      <c r="C3615">
        <f>IF(OR(Registro_Compras!$C$405="",Registro_Compras!$O$405=""),"",IF(Registro_Compras!$F$405="RHE",IF(Registro_Compras!$V$405=0,"","40172"),IF(Registro_Compras!$F$405="NOTA DE CREDITO",IF(Registro_Compras!$M$405="","63",Registro_Compras!$M$405),IF(Registro_Compras!$K$405=0,"","40111"))))</f>
        <v/>
      </c>
      <c r="D3615">
        <f>IF(OR(Registro_Compras!$C$405="",Registro_Compras!$O$405=""),"",IF(Registro_Compras!$F$405="RHE","Retencion Renta 4ta Categoria por Pagar",IF(Registro_Compras!$F$405="NOTA DE CREDITO","Gastos de Servicios Prestados por Terceros","IGV - Cuenta Propia (Credito Fiscal)")))</f>
        <v/>
      </c>
      <c r="E3615" s="20">
        <f>IF($C3615="","",IF(Registro_Compras!$F$405="FACTURA",ROUND(Registro_Compras!$K$405*Registro_Compras!$N$405,2),""))</f>
        <v/>
      </c>
      <c r="F3615" s="20">
        <f>IF($C3615="","",IF(Registro_Compras!$F$405="RHE",ROUND(Registro_Compras!$V$405*Registro_Compras!$N$405,2),IF(Registro_Compras!$F$405="NOTA DE CREDITO",ROUND(ABS(Registro_Compras!$J$405*Registro_Compras!$N$405),2),"")))</f>
        <v/>
      </c>
      <c r="G3615">
        <f>IF($C3615="","",IF(Registro_Compras!$F$405="NOTA DE CREDITO","Por la nota de credito "&amp;Registro_Compras!$C$405&amp;" de "&amp;Registro_Compras!$E$405&amp;" [PATRON POR CONFIRMAR CON CONTADOR]",IF(Registro_Compras!$F$405="RHE","Por el registro del recibo por honorarios "&amp;Registro_Compras!$C$405&amp;" de "&amp;Registro_Compras!$E$405&amp;" [PATRON POR CONFIRMAR CON CONTADOR]","Por el registro de la factura "&amp;Registro_Compras!$C$405&amp;" de "&amp;Registro_Compras!$E$405)))</f>
        <v/>
      </c>
      <c r="H3615">
        <f>IF($C3615="","",Registro_Compras!$C$405)</f>
        <v/>
      </c>
    </row>
    <row r="3616">
      <c r="A3616" s="25">
        <f>IF($C3616="","",Registro_Compras!$B$405)</f>
        <v/>
      </c>
      <c r="B3616">
        <f>IF($C3616="","","C"&amp;TEXT(INT((ROW()-5)/9)+1,"000")&amp;"-1")</f>
        <v/>
      </c>
      <c r="C3616">
        <f>IF(OR(Registro_Compras!$C$405="",Registro_Compras!$O$405=""),"",IF(Registro_Compras!$F$405="NOTA DE CREDITO",IF(Registro_Compras!$K$405=0,"","40111"),"4212"))</f>
        <v/>
      </c>
      <c r="D3616">
        <f>IF(OR(Registro_Compras!$C$405="",Registro_Compras!$O$405=""),"",IF(Registro_Compras!$F$405="NOTA DE CREDITO","IGV - Cuenta Propia (Credito Fiscal)","Cuentas por Pagar Comerciales - Terceros (Emitidas)"))</f>
        <v/>
      </c>
      <c r="E3616" s="20">
        <f>""</f>
        <v/>
      </c>
      <c r="F3616" s="20">
        <f>IF($C3616="","",IF(Registro_Compras!$F$405="NOTA DE CREDITO",ROUND(ABS(Registro_Compras!$K$405*Registro_Compras!$N$405),2),IF(Registro_Compras!$F$405="RHE",(ROUND(Registro_Compras!$L$405*Registro_Compras!$N$405,2)-ROUND(Registro_Compras!$V$405*Registro_Compras!$N$405,2)),Registro_Compras!$O$405)))</f>
        <v/>
      </c>
      <c r="G3616">
        <f>IF($C3616="","",IF(Registro_Compras!$F$405="NOTA DE CREDITO","Por la nota de credito "&amp;Registro_Compras!$C$405&amp;" de "&amp;Registro_Compras!$E$405&amp;" [PATRON POR CONFIRMAR CON CONTADOR]",IF(Registro_Compras!$F$405="RHE","Por el registro del recibo por honorarios "&amp;Registro_Compras!$C$405&amp;" de "&amp;Registro_Compras!$E$405&amp;" [PATRON POR CONFIRMAR CON CONTADOR]","Por el registro de la factura "&amp;Registro_Compras!$C$405&amp;" de "&amp;Registro_Compras!$E$405)))</f>
        <v/>
      </c>
      <c r="H3616">
        <f>IF($C3616="","",Registro_Compras!$C$405)</f>
        <v/>
      </c>
    </row>
    <row r="3617">
      <c r="A3617" s="25">
        <f>IF($C3617="","",Registro_Compras!$B$405)</f>
        <v/>
      </c>
      <c r="B3617">
        <f>IF($C3617="","","C"&amp;TEXT(INT((ROW()-5)/9)+1,"000")&amp;"-2")</f>
        <v/>
      </c>
      <c r="C3617">
        <f>IF(OR(Registro_Compras!$C$405="",Registro_Compras!$O$405=""),"",IF(Registro_Compras!$AB$405="ADMINISTRATIVO","94","95"))</f>
        <v/>
      </c>
      <c r="D3617">
        <f>IF(OR(Registro_Compras!$C$405="",Registro_Compras!$O$405=""),"",IF(Registro_Compras!$AB$405="ADMINISTRATIVO","Gastos Administrativos","Gastos de Venta y Operacion"))</f>
        <v/>
      </c>
      <c r="E3617" s="20">
        <f>IF($C3617="","",IF(Registro_Compras!$F$405="NOTA DE CREDITO","",IF(Registro_Compras!$F$405="RHE",ROUND(Registro_Compras!$L$405*Registro_Compras!$N$405,2),ROUND(Registro_Compras!$J$405*Registro_Compras!$N$405,2))))</f>
        <v/>
      </c>
      <c r="F3617" s="20">
        <f>IF($C3617="","",IF(Registro_Compras!$F$405="NOTA DE CREDITO",ROUND(ABS(Registro_Compras!$J$405*Registro_Compras!$N$405),2),""))</f>
        <v/>
      </c>
      <c r="G3617">
        <f>IF($C3617="","","Por el destino del gasto")</f>
        <v/>
      </c>
      <c r="H3617">
        <f>IF($C3617="","",Registro_Compras!$C$405)</f>
        <v/>
      </c>
    </row>
    <row r="3618">
      <c r="A3618" s="25">
        <f>IF($C3618="","",Registro_Compras!$B$405)</f>
        <v/>
      </c>
      <c r="B3618">
        <f>IF($C3618="","","C"&amp;TEXT(INT((ROW()-5)/9)+1,"000")&amp;"-2")</f>
        <v/>
      </c>
      <c r="C3618">
        <f>IF(OR(Registro_Compras!$C$405="",Registro_Compras!$O$405=""),"","79/791")</f>
        <v/>
      </c>
      <c r="D3618">
        <f>IF(OR(Registro_Compras!$C$405="",Registro_Compras!$O$405=""),"","Cargas Imputables a Cuentas de Costos y Gastos")</f>
        <v/>
      </c>
      <c r="E3618" s="20">
        <f>IF($C3618="","",IF(Registro_Compras!$F$405="NOTA DE CREDITO",ROUND(ABS(Registro_Compras!$J$405*Registro_Compras!$N$405),2),""))</f>
        <v/>
      </c>
      <c r="F3618" s="20">
        <f>IF($C3618="","",IF(Registro_Compras!$F$405="NOTA DE CREDITO","",IF(Registro_Compras!$F$405="RHE",ROUND(Registro_Compras!$L$405*Registro_Compras!$N$405,2),ROUND(Registro_Compras!$J$405*Registro_Compras!$N$405,2))))</f>
        <v/>
      </c>
      <c r="G3618">
        <f>IF($C3618="","","Por el destino del gasto")</f>
        <v/>
      </c>
      <c r="H3618">
        <f>IF($C3618="","",Registro_Compras!$C$405)</f>
        <v/>
      </c>
    </row>
    <row r="3619">
      <c r="A3619" s="25">
        <f>IF($C3619="","",Registro_Compras!$X$405)</f>
        <v/>
      </c>
      <c r="B3619">
        <f>IF($C3619="","","C"&amp;TEXT(INT((ROW()-5)/9)+1,"000")&amp;"-3")</f>
        <v/>
      </c>
      <c r="C3619">
        <f>IF(OR(Registro_Compras!$C$405="",Registro_Compras!$O$405="",Registro_Compras!$R$405&lt;&gt;"SI",Registro_Compras!$X$405=""),"","4212")</f>
        <v/>
      </c>
      <c r="D3619">
        <f>IF(OR(Registro_Compras!$C$405="",Registro_Compras!$O$405=""),"","Cuentas por Pagar Comerciales - Terceros")</f>
        <v/>
      </c>
      <c r="E3619" s="20">
        <f>IF($C3619="","",Registro_Compras!$S$405)</f>
        <v/>
      </c>
      <c r="F3619" s="20">
        <f>""</f>
        <v/>
      </c>
      <c r="G3619">
        <f>IF($C3619="","","Por el deposito de la detraccion en el Banco de la Nacion")</f>
        <v/>
      </c>
      <c r="H3619">
        <f>IF($C3619="","",Registro_Compras!$C$405)</f>
        <v/>
      </c>
    </row>
    <row r="3620">
      <c r="A3620" s="25">
        <f>IF($C3620="","",Registro_Compras!$X$405)</f>
        <v/>
      </c>
      <c r="B3620">
        <f>IF($C3620="","","C"&amp;TEXT(INT((ROW()-5)/9)+1,"000")&amp;"-3")</f>
        <v/>
      </c>
      <c r="C3620">
        <f>IF(OR(Registro_Compras!$C$405="",Registro_Compras!$O$405="",Registro_Compras!$R$405&lt;&gt;"SI",Registro_Compras!$X$405=""),"","10413")</f>
        <v/>
      </c>
      <c r="D3620">
        <f>IF(OR(Registro_Compras!$C$405="",Registro_Compras!$O$405=""),"","Efectivo y Equivalentes - Cta. Cte. Operativa")</f>
        <v/>
      </c>
      <c r="E3620" s="20">
        <f>""</f>
        <v/>
      </c>
      <c r="F3620" s="20">
        <f>IF($C3620="","",Registro_Compras!$S$405)</f>
        <v/>
      </c>
      <c r="G3620">
        <f>IF($C3620="","","Por el deposito de la detraccion en el Banco de la Nacion")</f>
        <v/>
      </c>
      <c r="H3620">
        <f>IF($C3620="","",Registro_Compras!$C$405)</f>
        <v/>
      </c>
    </row>
    <row r="3621">
      <c r="A3621" s="25">
        <f>IF($C3621="","",Registro_Compras!$Y$405)</f>
        <v/>
      </c>
      <c r="B3621">
        <f>IF($C3621="","","C"&amp;TEXT(INT((ROW()-5)/9)+1,"000")&amp;"-4")</f>
        <v/>
      </c>
      <c r="C3621">
        <f>IF(OR(Registro_Compras!$C$405="",Registro_Compras!$O$405="",Registro_Compras!$Y$405="",Registro_Compras!$F$405="NOTA DE CREDITO"),"","4212")</f>
        <v/>
      </c>
      <c r="D3621">
        <f>IF(OR(Registro_Compras!$C$405="",Registro_Compras!$O$405=""),"","Cuentas por Pagar Comerciales - Terceros")</f>
        <v/>
      </c>
      <c r="E3621" s="20">
        <f>IF($C3621="","",IF(Registro_Compras!$F$405="RHE",(ROUND(Registro_Compras!$L$405*Registro_Compras!$N$405,2)-ROUND(Registro_Compras!$V$405*Registro_Compras!$N$405,2)),ROUND(Registro_Compras!$O$405-Registro_Compras!$S$405,2)))</f>
        <v/>
      </c>
      <c r="F3621" s="20">
        <f>""</f>
        <v/>
      </c>
      <c r="G3621">
        <f>IF($C3621="","","Por la cancelacion del saldo al proveedor")</f>
        <v/>
      </c>
      <c r="H3621">
        <f>IF($C3621="","",Registro_Compras!$C$405)</f>
        <v/>
      </c>
    </row>
    <row r="3622">
      <c r="A3622" s="25">
        <f>IF($C3622="","",Registro_Compras!$Y$405)</f>
        <v/>
      </c>
      <c r="B3622">
        <f>IF($C3622="","","C"&amp;TEXT(INT((ROW()-5)/9)+1,"000")&amp;"-4")</f>
        <v/>
      </c>
      <c r="C3622">
        <f>IF(OR(Registro_Compras!$C$405="",Registro_Compras!$O$405="",Registro_Compras!$Y$405="",Registro_Compras!$F$405="NOTA DE CREDITO"),"","10413")</f>
        <v/>
      </c>
      <c r="D3622">
        <f>IF(OR(Registro_Compras!$C$405="",Registro_Compras!$O$405=""),"","Efectivo y Equivalentes - Cta. Cte. Operativa")</f>
        <v/>
      </c>
      <c r="E3622" s="20">
        <f>""</f>
        <v/>
      </c>
      <c r="F3622" s="20">
        <f>IF($C3622="","",IF(Registro_Compras!$F$405="RHE",(ROUND(Registro_Compras!$L$405*Registro_Compras!$N$405,2)-ROUND(Registro_Compras!$V$405*Registro_Compras!$N$405,2)),ROUND(Registro_Compras!$O$405-Registro_Compras!$S$405,2)))</f>
        <v/>
      </c>
      <c r="G3622">
        <f>IF($C3622="","","Por la cancelacion del saldo al proveedor")</f>
        <v/>
      </c>
      <c r="H3622">
        <f>IF($C3622="","",Registro_Compras!$C$405)</f>
        <v/>
      </c>
    </row>
    <row r="3623">
      <c r="A3623" s="25">
        <f>IF($C3623="","",Registro_Compras!$B$406)</f>
        <v/>
      </c>
      <c r="B3623">
        <f>IF($C3623="","","C"&amp;TEXT(INT((ROW()-5)/9)+1,"000")&amp;"-1")</f>
        <v/>
      </c>
      <c r="C3623">
        <f>IF(OR(Registro_Compras!$C$406="",Registro_Compras!$O$406=""),"",IF(Registro_Compras!$F$406="NOTA DE CREDITO","4212",IF(Registro_Compras!$M$406="","63",Registro_Compras!$M$406)))</f>
        <v/>
      </c>
      <c r="D3623">
        <f>IF(OR(Registro_Compras!$C$406="",Registro_Compras!$O$406=""),"",IF(Registro_Compras!$F$406="NOTA DE CREDITO","Cuentas por Pagar Comerciales - Terceros (Emitidas)",IF(Registro_Compras!$F$406="RHE","Honorarios Profesionales - Servicios de Terceros","Gastos de Servicios Prestados por Terceros")))</f>
        <v/>
      </c>
      <c r="E3623" s="20">
        <f>IF($C3623="","",IF(Registro_Compras!$F$406="NOTA DE CREDITO",ABS(Registro_Compras!$O$406),IF(Registro_Compras!$F$406="RHE",ROUND(Registro_Compras!$L$406*Registro_Compras!$N$406,2),ROUND(Registro_Compras!$J$406*Registro_Compras!$N$406,2))))</f>
        <v/>
      </c>
      <c r="F3623" s="20">
        <f>""</f>
        <v/>
      </c>
      <c r="G3623">
        <f>IF($C3623="","",IF(Registro_Compras!$F$406="NOTA DE CREDITO","Por la nota de credito "&amp;Registro_Compras!$C$406&amp;" de "&amp;Registro_Compras!$E$406&amp;" [PATRON POR CONFIRMAR CON CONTADOR]",IF(Registro_Compras!$F$406="RHE","Por el registro del recibo por honorarios "&amp;Registro_Compras!$C$406&amp;" de "&amp;Registro_Compras!$E$406&amp;" [PATRON POR CONFIRMAR CON CONTADOR]","Por el registro de la factura "&amp;Registro_Compras!$C$406&amp;" de "&amp;Registro_Compras!$E$406)))</f>
        <v/>
      </c>
      <c r="H3623">
        <f>IF($C3623="","",Registro_Compras!$C$406)</f>
        <v/>
      </c>
    </row>
    <row r="3624">
      <c r="A3624" s="25">
        <f>IF($C3624="","",Registro_Compras!$B$406)</f>
        <v/>
      </c>
      <c r="B3624">
        <f>IF($C3624="","","C"&amp;TEXT(INT((ROW()-5)/9)+1,"000")&amp;"-1")</f>
        <v/>
      </c>
      <c r="C3624">
        <f>IF(OR(Registro_Compras!$C$406="",Registro_Compras!$O$406=""),"",IF(Registro_Compras!$F$406="RHE",IF(Registro_Compras!$V$406=0,"","40172"),IF(Registro_Compras!$F$406="NOTA DE CREDITO",IF(Registro_Compras!$M$406="","63",Registro_Compras!$M$406),IF(Registro_Compras!$K$406=0,"","40111"))))</f>
        <v/>
      </c>
      <c r="D3624">
        <f>IF(OR(Registro_Compras!$C$406="",Registro_Compras!$O$406=""),"",IF(Registro_Compras!$F$406="RHE","Retencion Renta 4ta Categoria por Pagar",IF(Registro_Compras!$F$406="NOTA DE CREDITO","Gastos de Servicios Prestados por Terceros","IGV - Cuenta Propia (Credito Fiscal)")))</f>
        <v/>
      </c>
      <c r="E3624" s="20">
        <f>IF($C3624="","",IF(Registro_Compras!$F$406="FACTURA",ROUND(Registro_Compras!$K$406*Registro_Compras!$N$406,2),""))</f>
        <v/>
      </c>
      <c r="F3624" s="20">
        <f>IF($C3624="","",IF(Registro_Compras!$F$406="RHE",ROUND(Registro_Compras!$V$406*Registro_Compras!$N$406,2),IF(Registro_Compras!$F$406="NOTA DE CREDITO",ROUND(ABS(Registro_Compras!$J$406*Registro_Compras!$N$406),2),"")))</f>
        <v/>
      </c>
      <c r="G3624">
        <f>IF($C3624="","",IF(Registro_Compras!$F$406="NOTA DE CREDITO","Por la nota de credito "&amp;Registro_Compras!$C$406&amp;" de "&amp;Registro_Compras!$E$406&amp;" [PATRON POR CONFIRMAR CON CONTADOR]",IF(Registro_Compras!$F$406="RHE","Por el registro del recibo por honorarios "&amp;Registro_Compras!$C$406&amp;" de "&amp;Registro_Compras!$E$406&amp;" [PATRON POR CONFIRMAR CON CONTADOR]","Por el registro de la factura "&amp;Registro_Compras!$C$406&amp;" de "&amp;Registro_Compras!$E$406)))</f>
        <v/>
      </c>
      <c r="H3624">
        <f>IF($C3624="","",Registro_Compras!$C$406)</f>
        <v/>
      </c>
    </row>
    <row r="3625">
      <c r="A3625" s="25">
        <f>IF($C3625="","",Registro_Compras!$B$406)</f>
        <v/>
      </c>
      <c r="B3625">
        <f>IF($C3625="","","C"&amp;TEXT(INT((ROW()-5)/9)+1,"000")&amp;"-1")</f>
        <v/>
      </c>
      <c r="C3625">
        <f>IF(OR(Registro_Compras!$C$406="",Registro_Compras!$O$406=""),"",IF(Registro_Compras!$F$406="NOTA DE CREDITO",IF(Registro_Compras!$K$406=0,"","40111"),"4212"))</f>
        <v/>
      </c>
      <c r="D3625">
        <f>IF(OR(Registro_Compras!$C$406="",Registro_Compras!$O$406=""),"",IF(Registro_Compras!$F$406="NOTA DE CREDITO","IGV - Cuenta Propia (Credito Fiscal)","Cuentas por Pagar Comerciales - Terceros (Emitidas)"))</f>
        <v/>
      </c>
      <c r="E3625" s="20">
        <f>""</f>
        <v/>
      </c>
      <c r="F3625" s="20">
        <f>IF($C3625="","",IF(Registro_Compras!$F$406="NOTA DE CREDITO",ROUND(ABS(Registro_Compras!$K$406*Registro_Compras!$N$406),2),IF(Registro_Compras!$F$406="RHE",(ROUND(Registro_Compras!$L$406*Registro_Compras!$N$406,2)-ROUND(Registro_Compras!$V$406*Registro_Compras!$N$406,2)),Registro_Compras!$O$406)))</f>
        <v/>
      </c>
      <c r="G3625">
        <f>IF($C3625="","",IF(Registro_Compras!$F$406="NOTA DE CREDITO","Por la nota de credito "&amp;Registro_Compras!$C$406&amp;" de "&amp;Registro_Compras!$E$406&amp;" [PATRON POR CONFIRMAR CON CONTADOR]",IF(Registro_Compras!$F$406="RHE","Por el registro del recibo por honorarios "&amp;Registro_Compras!$C$406&amp;" de "&amp;Registro_Compras!$E$406&amp;" [PATRON POR CONFIRMAR CON CONTADOR]","Por el registro de la factura "&amp;Registro_Compras!$C$406&amp;" de "&amp;Registro_Compras!$E$406)))</f>
        <v/>
      </c>
      <c r="H3625">
        <f>IF($C3625="","",Registro_Compras!$C$406)</f>
        <v/>
      </c>
    </row>
    <row r="3626">
      <c r="A3626" s="25">
        <f>IF($C3626="","",Registro_Compras!$B$406)</f>
        <v/>
      </c>
      <c r="B3626">
        <f>IF($C3626="","","C"&amp;TEXT(INT((ROW()-5)/9)+1,"000")&amp;"-2")</f>
        <v/>
      </c>
      <c r="C3626">
        <f>IF(OR(Registro_Compras!$C$406="",Registro_Compras!$O$406=""),"",IF(Registro_Compras!$AB$406="ADMINISTRATIVO","94","95"))</f>
        <v/>
      </c>
      <c r="D3626">
        <f>IF(OR(Registro_Compras!$C$406="",Registro_Compras!$O$406=""),"",IF(Registro_Compras!$AB$406="ADMINISTRATIVO","Gastos Administrativos","Gastos de Venta y Operacion"))</f>
        <v/>
      </c>
      <c r="E3626" s="20">
        <f>IF($C3626="","",IF(Registro_Compras!$F$406="NOTA DE CREDITO","",IF(Registro_Compras!$F$406="RHE",ROUND(Registro_Compras!$L$406*Registro_Compras!$N$406,2),ROUND(Registro_Compras!$J$406*Registro_Compras!$N$406,2))))</f>
        <v/>
      </c>
      <c r="F3626" s="20">
        <f>IF($C3626="","",IF(Registro_Compras!$F$406="NOTA DE CREDITO",ROUND(ABS(Registro_Compras!$J$406*Registro_Compras!$N$406),2),""))</f>
        <v/>
      </c>
      <c r="G3626">
        <f>IF($C3626="","","Por el destino del gasto")</f>
        <v/>
      </c>
      <c r="H3626">
        <f>IF($C3626="","",Registro_Compras!$C$406)</f>
        <v/>
      </c>
    </row>
    <row r="3627">
      <c r="A3627" s="25">
        <f>IF($C3627="","",Registro_Compras!$B$406)</f>
        <v/>
      </c>
      <c r="B3627">
        <f>IF($C3627="","","C"&amp;TEXT(INT((ROW()-5)/9)+1,"000")&amp;"-2")</f>
        <v/>
      </c>
      <c r="C3627">
        <f>IF(OR(Registro_Compras!$C$406="",Registro_Compras!$O$406=""),"","79/791")</f>
        <v/>
      </c>
      <c r="D3627">
        <f>IF(OR(Registro_Compras!$C$406="",Registro_Compras!$O$406=""),"","Cargas Imputables a Cuentas de Costos y Gastos")</f>
        <v/>
      </c>
      <c r="E3627" s="20">
        <f>IF($C3627="","",IF(Registro_Compras!$F$406="NOTA DE CREDITO",ROUND(ABS(Registro_Compras!$J$406*Registro_Compras!$N$406),2),""))</f>
        <v/>
      </c>
      <c r="F3627" s="20">
        <f>IF($C3627="","",IF(Registro_Compras!$F$406="NOTA DE CREDITO","",IF(Registro_Compras!$F$406="RHE",ROUND(Registro_Compras!$L$406*Registro_Compras!$N$406,2),ROUND(Registro_Compras!$J$406*Registro_Compras!$N$406,2))))</f>
        <v/>
      </c>
      <c r="G3627">
        <f>IF($C3627="","","Por el destino del gasto")</f>
        <v/>
      </c>
      <c r="H3627">
        <f>IF($C3627="","",Registro_Compras!$C$406)</f>
        <v/>
      </c>
    </row>
    <row r="3628">
      <c r="A3628" s="25">
        <f>IF($C3628="","",Registro_Compras!$X$406)</f>
        <v/>
      </c>
      <c r="B3628">
        <f>IF($C3628="","","C"&amp;TEXT(INT((ROW()-5)/9)+1,"000")&amp;"-3")</f>
        <v/>
      </c>
      <c r="C3628">
        <f>IF(OR(Registro_Compras!$C$406="",Registro_Compras!$O$406="",Registro_Compras!$R$406&lt;&gt;"SI",Registro_Compras!$X$406=""),"","4212")</f>
        <v/>
      </c>
      <c r="D3628">
        <f>IF(OR(Registro_Compras!$C$406="",Registro_Compras!$O$406=""),"","Cuentas por Pagar Comerciales - Terceros")</f>
        <v/>
      </c>
      <c r="E3628" s="20">
        <f>IF($C3628="","",Registro_Compras!$S$406)</f>
        <v/>
      </c>
      <c r="F3628" s="20">
        <f>""</f>
        <v/>
      </c>
      <c r="G3628">
        <f>IF($C3628="","","Por el deposito de la detraccion en el Banco de la Nacion")</f>
        <v/>
      </c>
      <c r="H3628">
        <f>IF($C3628="","",Registro_Compras!$C$406)</f>
        <v/>
      </c>
    </row>
    <row r="3629">
      <c r="A3629" s="25">
        <f>IF($C3629="","",Registro_Compras!$X$406)</f>
        <v/>
      </c>
      <c r="B3629">
        <f>IF($C3629="","","C"&amp;TEXT(INT((ROW()-5)/9)+1,"000")&amp;"-3")</f>
        <v/>
      </c>
      <c r="C3629">
        <f>IF(OR(Registro_Compras!$C$406="",Registro_Compras!$O$406="",Registro_Compras!$R$406&lt;&gt;"SI",Registro_Compras!$X$406=""),"","10413")</f>
        <v/>
      </c>
      <c r="D3629">
        <f>IF(OR(Registro_Compras!$C$406="",Registro_Compras!$O$406=""),"","Efectivo y Equivalentes - Cta. Cte. Operativa")</f>
        <v/>
      </c>
      <c r="E3629" s="20">
        <f>""</f>
        <v/>
      </c>
      <c r="F3629" s="20">
        <f>IF($C3629="","",Registro_Compras!$S$406)</f>
        <v/>
      </c>
      <c r="G3629">
        <f>IF($C3629="","","Por el deposito de la detraccion en el Banco de la Nacion")</f>
        <v/>
      </c>
      <c r="H3629">
        <f>IF($C3629="","",Registro_Compras!$C$406)</f>
        <v/>
      </c>
    </row>
    <row r="3630">
      <c r="A3630" s="25">
        <f>IF($C3630="","",Registro_Compras!$Y$406)</f>
        <v/>
      </c>
      <c r="B3630">
        <f>IF($C3630="","","C"&amp;TEXT(INT((ROW()-5)/9)+1,"000")&amp;"-4")</f>
        <v/>
      </c>
      <c r="C3630">
        <f>IF(OR(Registro_Compras!$C$406="",Registro_Compras!$O$406="",Registro_Compras!$Y$406="",Registro_Compras!$F$406="NOTA DE CREDITO"),"","4212")</f>
        <v/>
      </c>
      <c r="D3630">
        <f>IF(OR(Registro_Compras!$C$406="",Registro_Compras!$O$406=""),"","Cuentas por Pagar Comerciales - Terceros")</f>
        <v/>
      </c>
      <c r="E3630" s="20">
        <f>IF($C3630="","",IF(Registro_Compras!$F$406="RHE",(ROUND(Registro_Compras!$L$406*Registro_Compras!$N$406,2)-ROUND(Registro_Compras!$V$406*Registro_Compras!$N$406,2)),ROUND(Registro_Compras!$O$406-Registro_Compras!$S$406,2)))</f>
        <v/>
      </c>
      <c r="F3630" s="20">
        <f>""</f>
        <v/>
      </c>
      <c r="G3630">
        <f>IF($C3630="","","Por la cancelacion del saldo al proveedor")</f>
        <v/>
      </c>
      <c r="H3630">
        <f>IF($C3630="","",Registro_Compras!$C$406)</f>
        <v/>
      </c>
    </row>
    <row r="3631">
      <c r="A3631" s="25">
        <f>IF($C3631="","",Registro_Compras!$Y$406)</f>
        <v/>
      </c>
      <c r="B3631">
        <f>IF($C3631="","","C"&amp;TEXT(INT((ROW()-5)/9)+1,"000")&amp;"-4")</f>
        <v/>
      </c>
      <c r="C3631">
        <f>IF(OR(Registro_Compras!$C$406="",Registro_Compras!$O$406="",Registro_Compras!$Y$406="",Registro_Compras!$F$406="NOTA DE CREDITO"),"","10413")</f>
        <v/>
      </c>
      <c r="D3631">
        <f>IF(OR(Registro_Compras!$C$406="",Registro_Compras!$O$406=""),"","Efectivo y Equivalentes - Cta. Cte. Operativa")</f>
        <v/>
      </c>
      <c r="E3631" s="20">
        <f>""</f>
        <v/>
      </c>
      <c r="F3631" s="20">
        <f>IF($C3631="","",IF(Registro_Compras!$F$406="RHE",(ROUND(Registro_Compras!$L$406*Registro_Compras!$N$406,2)-ROUND(Registro_Compras!$V$406*Registro_Compras!$N$406,2)),ROUND(Registro_Compras!$O$406-Registro_Compras!$S$406,2)))</f>
        <v/>
      </c>
      <c r="G3631">
        <f>IF($C3631="","","Por la cancelacion del saldo al proveedor")</f>
        <v/>
      </c>
      <c r="H3631">
        <f>IF($C3631="","",Registro_Compras!$C$406)</f>
        <v/>
      </c>
    </row>
    <row r="3632">
      <c r="A3632" s="25">
        <f>IF($C3632="","",Registro_Compras!$B$407)</f>
        <v/>
      </c>
      <c r="B3632">
        <f>IF($C3632="","","C"&amp;TEXT(INT((ROW()-5)/9)+1,"000")&amp;"-1")</f>
        <v/>
      </c>
      <c r="C3632">
        <f>IF(OR(Registro_Compras!$C$407="",Registro_Compras!$O$407=""),"",IF(Registro_Compras!$F$407="NOTA DE CREDITO","4212",IF(Registro_Compras!$M$407="","63",Registro_Compras!$M$407)))</f>
        <v/>
      </c>
      <c r="D3632">
        <f>IF(OR(Registro_Compras!$C$407="",Registro_Compras!$O$407=""),"",IF(Registro_Compras!$F$407="NOTA DE CREDITO","Cuentas por Pagar Comerciales - Terceros (Emitidas)",IF(Registro_Compras!$F$407="RHE","Honorarios Profesionales - Servicios de Terceros","Gastos de Servicios Prestados por Terceros")))</f>
        <v/>
      </c>
      <c r="E3632" s="20">
        <f>IF($C3632="","",IF(Registro_Compras!$F$407="NOTA DE CREDITO",ABS(Registro_Compras!$O$407),IF(Registro_Compras!$F$407="RHE",ROUND(Registro_Compras!$L$407*Registro_Compras!$N$407,2),ROUND(Registro_Compras!$J$407*Registro_Compras!$N$407,2))))</f>
        <v/>
      </c>
      <c r="F3632" s="20">
        <f>""</f>
        <v/>
      </c>
      <c r="G3632">
        <f>IF($C3632="","",IF(Registro_Compras!$F$407="NOTA DE CREDITO","Por la nota de credito "&amp;Registro_Compras!$C$407&amp;" de "&amp;Registro_Compras!$E$407&amp;" [PATRON POR CONFIRMAR CON CONTADOR]",IF(Registro_Compras!$F$407="RHE","Por el registro del recibo por honorarios "&amp;Registro_Compras!$C$407&amp;" de "&amp;Registro_Compras!$E$407&amp;" [PATRON POR CONFIRMAR CON CONTADOR]","Por el registro de la factura "&amp;Registro_Compras!$C$407&amp;" de "&amp;Registro_Compras!$E$407)))</f>
        <v/>
      </c>
      <c r="H3632">
        <f>IF($C3632="","",Registro_Compras!$C$407)</f>
        <v/>
      </c>
    </row>
    <row r="3633">
      <c r="A3633" s="25">
        <f>IF($C3633="","",Registro_Compras!$B$407)</f>
        <v/>
      </c>
      <c r="B3633">
        <f>IF($C3633="","","C"&amp;TEXT(INT((ROW()-5)/9)+1,"000")&amp;"-1")</f>
        <v/>
      </c>
      <c r="C3633">
        <f>IF(OR(Registro_Compras!$C$407="",Registro_Compras!$O$407=""),"",IF(Registro_Compras!$F$407="RHE",IF(Registro_Compras!$V$407=0,"","40172"),IF(Registro_Compras!$F$407="NOTA DE CREDITO",IF(Registro_Compras!$M$407="","63",Registro_Compras!$M$407),IF(Registro_Compras!$K$407=0,"","40111"))))</f>
        <v/>
      </c>
      <c r="D3633">
        <f>IF(OR(Registro_Compras!$C$407="",Registro_Compras!$O$407=""),"",IF(Registro_Compras!$F$407="RHE","Retencion Renta 4ta Categoria por Pagar",IF(Registro_Compras!$F$407="NOTA DE CREDITO","Gastos de Servicios Prestados por Terceros","IGV - Cuenta Propia (Credito Fiscal)")))</f>
        <v/>
      </c>
      <c r="E3633" s="20">
        <f>IF($C3633="","",IF(Registro_Compras!$F$407="FACTURA",ROUND(Registro_Compras!$K$407*Registro_Compras!$N$407,2),""))</f>
        <v/>
      </c>
      <c r="F3633" s="20">
        <f>IF($C3633="","",IF(Registro_Compras!$F$407="RHE",ROUND(Registro_Compras!$V$407*Registro_Compras!$N$407,2),IF(Registro_Compras!$F$407="NOTA DE CREDITO",ROUND(ABS(Registro_Compras!$J$407*Registro_Compras!$N$407),2),"")))</f>
        <v/>
      </c>
      <c r="G3633">
        <f>IF($C3633="","",IF(Registro_Compras!$F$407="NOTA DE CREDITO","Por la nota de credito "&amp;Registro_Compras!$C$407&amp;" de "&amp;Registro_Compras!$E$407&amp;" [PATRON POR CONFIRMAR CON CONTADOR]",IF(Registro_Compras!$F$407="RHE","Por el registro del recibo por honorarios "&amp;Registro_Compras!$C$407&amp;" de "&amp;Registro_Compras!$E$407&amp;" [PATRON POR CONFIRMAR CON CONTADOR]","Por el registro de la factura "&amp;Registro_Compras!$C$407&amp;" de "&amp;Registro_Compras!$E$407)))</f>
        <v/>
      </c>
      <c r="H3633">
        <f>IF($C3633="","",Registro_Compras!$C$407)</f>
        <v/>
      </c>
    </row>
    <row r="3634">
      <c r="A3634" s="25">
        <f>IF($C3634="","",Registro_Compras!$B$407)</f>
        <v/>
      </c>
      <c r="B3634">
        <f>IF($C3634="","","C"&amp;TEXT(INT((ROW()-5)/9)+1,"000")&amp;"-1")</f>
        <v/>
      </c>
      <c r="C3634">
        <f>IF(OR(Registro_Compras!$C$407="",Registro_Compras!$O$407=""),"",IF(Registro_Compras!$F$407="NOTA DE CREDITO",IF(Registro_Compras!$K$407=0,"","40111"),"4212"))</f>
        <v/>
      </c>
      <c r="D3634">
        <f>IF(OR(Registro_Compras!$C$407="",Registro_Compras!$O$407=""),"",IF(Registro_Compras!$F$407="NOTA DE CREDITO","IGV - Cuenta Propia (Credito Fiscal)","Cuentas por Pagar Comerciales - Terceros (Emitidas)"))</f>
        <v/>
      </c>
      <c r="E3634" s="20">
        <f>""</f>
        <v/>
      </c>
      <c r="F3634" s="20">
        <f>IF($C3634="","",IF(Registro_Compras!$F$407="NOTA DE CREDITO",ROUND(ABS(Registro_Compras!$K$407*Registro_Compras!$N$407),2),IF(Registro_Compras!$F$407="RHE",(ROUND(Registro_Compras!$L$407*Registro_Compras!$N$407,2)-ROUND(Registro_Compras!$V$407*Registro_Compras!$N$407,2)),Registro_Compras!$O$407)))</f>
        <v/>
      </c>
      <c r="G3634">
        <f>IF($C3634="","",IF(Registro_Compras!$F$407="NOTA DE CREDITO","Por la nota de credito "&amp;Registro_Compras!$C$407&amp;" de "&amp;Registro_Compras!$E$407&amp;" [PATRON POR CONFIRMAR CON CONTADOR]",IF(Registro_Compras!$F$407="RHE","Por el registro del recibo por honorarios "&amp;Registro_Compras!$C$407&amp;" de "&amp;Registro_Compras!$E$407&amp;" [PATRON POR CONFIRMAR CON CONTADOR]","Por el registro de la factura "&amp;Registro_Compras!$C$407&amp;" de "&amp;Registro_Compras!$E$407)))</f>
        <v/>
      </c>
      <c r="H3634">
        <f>IF($C3634="","",Registro_Compras!$C$407)</f>
        <v/>
      </c>
    </row>
    <row r="3635">
      <c r="A3635" s="25">
        <f>IF($C3635="","",Registro_Compras!$B$407)</f>
        <v/>
      </c>
      <c r="B3635">
        <f>IF($C3635="","","C"&amp;TEXT(INT((ROW()-5)/9)+1,"000")&amp;"-2")</f>
        <v/>
      </c>
      <c r="C3635">
        <f>IF(OR(Registro_Compras!$C$407="",Registro_Compras!$O$407=""),"",IF(Registro_Compras!$AB$407="ADMINISTRATIVO","94","95"))</f>
        <v/>
      </c>
      <c r="D3635">
        <f>IF(OR(Registro_Compras!$C$407="",Registro_Compras!$O$407=""),"",IF(Registro_Compras!$AB$407="ADMINISTRATIVO","Gastos Administrativos","Gastos de Venta y Operacion"))</f>
        <v/>
      </c>
      <c r="E3635" s="20">
        <f>IF($C3635="","",IF(Registro_Compras!$F$407="NOTA DE CREDITO","",IF(Registro_Compras!$F$407="RHE",ROUND(Registro_Compras!$L$407*Registro_Compras!$N$407,2),ROUND(Registro_Compras!$J$407*Registro_Compras!$N$407,2))))</f>
        <v/>
      </c>
      <c r="F3635" s="20">
        <f>IF($C3635="","",IF(Registro_Compras!$F$407="NOTA DE CREDITO",ROUND(ABS(Registro_Compras!$J$407*Registro_Compras!$N$407),2),""))</f>
        <v/>
      </c>
      <c r="G3635">
        <f>IF($C3635="","","Por el destino del gasto")</f>
        <v/>
      </c>
      <c r="H3635">
        <f>IF($C3635="","",Registro_Compras!$C$407)</f>
        <v/>
      </c>
    </row>
    <row r="3636">
      <c r="A3636" s="25">
        <f>IF($C3636="","",Registro_Compras!$B$407)</f>
        <v/>
      </c>
      <c r="B3636">
        <f>IF($C3636="","","C"&amp;TEXT(INT((ROW()-5)/9)+1,"000")&amp;"-2")</f>
        <v/>
      </c>
      <c r="C3636">
        <f>IF(OR(Registro_Compras!$C$407="",Registro_Compras!$O$407=""),"","79/791")</f>
        <v/>
      </c>
      <c r="D3636">
        <f>IF(OR(Registro_Compras!$C$407="",Registro_Compras!$O$407=""),"","Cargas Imputables a Cuentas de Costos y Gastos")</f>
        <v/>
      </c>
      <c r="E3636" s="20">
        <f>IF($C3636="","",IF(Registro_Compras!$F$407="NOTA DE CREDITO",ROUND(ABS(Registro_Compras!$J$407*Registro_Compras!$N$407),2),""))</f>
        <v/>
      </c>
      <c r="F3636" s="20">
        <f>IF($C3636="","",IF(Registro_Compras!$F$407="NOTA DE CREDITO","",IF(Registro_Compras!$F$407="RHE",ROUND(Registro_Compras!$L$407*Registro_Compras!$N$407,2),ROUND(Registro_Compras!$J$407*Registro_Compras!$N$407,2))))</f>
        <v/>
      </c>
      <c r="G3636">
        <f>IF($C3636="","","Por el destino del gasto")</f>
        <v/>
      </c>
      <c r="H3636">
        <f>IF($C3636="","",Registro_Compras!$C$407)</f>
        <v/>
      </c>
    </row>
    <row r="3637">
      <c r="A3637" s="25">
        <f>IF($C3637="","",Registro_Compras!$X$407)</f>
        <v/>
      </c>
      <c r="B3637">
        <f>IF($C3637="","","C"&amp;TEXT(INT((ROW()-5)/9)+1,"000")&amp;"-3")</f>
        <v/>
      </c>
      <c r="C3637">
        <f>IF(OR(Registro_Compras!$C$407="",Registro_Compras!$O$407="",Registro_Compras!$R$407&lt;&gt;"SI",Registro_Compras!$X$407=""),"","4212")</f>
        <v/>
      </c>
      <c r="D3637">
        <f>IF(OR(Registro_Compras!$C$407="",Registro_Compras!$O$407=""),"","Cuentas por Pagar Comerciales - Terceros")</f>
        <v/>
      </c>
      <c r="E3637" s="20">
        <f>IF($C3637="","",Registro_Compras!$S$407)</f>
        <v/>
      </c>
      <c r="F3637" s="20">
        <f>""</f>
        <v/>
      </c>
      <c r="G3637">
        <f>IF($C3637="","","Por el deposito de la detraccion en el Banco de la Nacion")</f>
        <v/>
      </c>
      <c r="H3637">
        <f>IF($C3637="","",Registro_Compras!$C$407)</f>
        <v/>
      </c>
    </row>
    <row r="3638">
      <c r="A3638" s="25">
        <f>IF($C3638="","",Registro_Compras!$X$407)</f>
        <v/>
      </c>
      <c r="B3638">
        <f>IF($C3638="","","C"&amp;TEXT(INT((ROW()-5)/9)+1,"000")&amp;"-3")</f>
        <v/>
      </c>
      <c r="C3638">
        <f>IF(OR(Registro_Compras!$C$407="",Registro_Compras!$O$407="",Registro_Compras!$R$407&lt;&gt;"SI",Registro_Compras!$X$407=""),"","10413")</f>
        <v/>
      </c>
      <c r="D3638">
        <f>IF(OR(Registro_Compras!$C$407="",Registro_Compras!$O$407=""),"","Efectivo y Equivalentes - Cta. Cte. Operativa")</f>
        <v/>
      </c>
      <c r="E3638" s="20">
        <f>""</f>
        <v/>
      </c>
      <c r="F3638" s="20">
        <f>IF($C3638="","",Registro_Compras!$S$407)</f>
        <v/>
      </c>
      <c r="G3638">
        <f>IF($C3638="","","Por el deposito de la detraccion en el Banco de la Nacion")</f>
        <v/>
      </c>
      <c r="H3638">
        <f>IF($C3638="","",Registro_Compras!$C$407)</f>
        <v/>
      </c>
    </row>
    <row r="3639">
      <c r="A3639" s="25">
        <f>IF($C3639="","",Registro_Compras!$Y$407)</f>
        <v/>
      </c>
      <c r="B3639">
        <f>IF($C3639="","","C"&amp;TEXT(INT((ROW()-5)/9)+1,"000")&amp;"-4")</f>
        <v/>
      </c>
      <c r="C3639">
        <f>IF(OR(Registro_Compras!$C$407="",Registro_Compras!$O$407="",Registro_Compras!$Y$407="",Registro_Compras!$F$407="NOTA DE CREDITO"),"","4212")</f>
        <v/>
      </c>
      <c r="D3639">
        <f>IF(OR(Registro_Compras!$C$407="",Registro_Compras!$O$407=""),"","Cuentas por Pagar Comerciales - Terceros")</f>
        <v/>
      </c>
      <c r="E3639" s="20">
        <f>IF($C3639="","",IF(Registro_Compras!$F$407="RHE",(ROUND(Registro_Compras!$L$407*Registro_Compras!$N$407,2)-ROUND(Registro_Compras!$V$407*Registro_Compras!$N$407,2)),ROUND(Registro_Compras!$O$407-Registro_Compras!$S$407,2)))</f>
        <v/>
      </c>
      <c r="F3639" s="20">
        <f>""</f>
        <v/>
      </c>
      <c r="G3639">
        <f>IF($C3639="","","Por la cancelacion del saldo al proveedor")</f>
        <v/>
      </c>
      <c r="H3639">
        <f>IF($C3639="","",Registro_Compras!$C$407)</f>
        <v/>
      </c>
    </row>
    <row r="3640">
      <c r="A3640" s="25">
        <f>IF($C3640="","",Registro_Compras!$Y$407)</f>
        <v/>
      </c>
      <c r="B3640">
        <f>IF($C3640="","","C"&amp;TEXT(INT((ROW()-5)/9)+1,"000")&amp;"-4")</f>
        <v/>
      </c>
      <c r="C3640">
        <f>IF(OR(Registro_Compras!$C$407="",Registro_Compras!$O$407="",Registro_Compras!$Y$407="",Registro_Compras!$F$407="NOTA DE CREDITO"),"","10413")</f>
        <v/>
      </c>
      <c r="D3640">
        <f>IF(OR(Registro_Compras!$C$407="",Registro_Compras!$O$407=""),"","Efectivo y Equivalentes - Cta. Cte. Operativa")</f>
        <v/>
      </c>
      <c r="E3640" s="20">
        <f>""</f>
        <v/>
      </c>
      <c r="F3640" s="20">
        <f>IF($C3640="","",IF(Registro_Compras!$F$407="RHE",(ROUND(Registro_Compras!$L$407*Registro_Compras!$N$407,2)-ROUND(Registro_Compras!$V$407*Registro_Compras!$N$407,2)),ROUND(Registro_Compras!$O$407-Registro_Compras!$S$407,2)))</f>
        <v/>
      </c>
      <c r="G3640">
        <f>IF($C3640="","","Por la cancelacion del saldo al proveedor")</f>
        <v/>
      </c>
      <c r="H3640">
        <f>IF($C3640="","",Registro_Compras!$C$407)</f>
        <v/>
      </c>
    </row>
    <row r="3641">
      <c r="A3641" s="25">
        <f>IF($C3641="","",Registro_Compras!$B$408)</f>
        <v/>
      </c>
      <c r="B3641">
        <f>IF($C3641="","","C"&amp;TEXT(INT((ROW()-5)/9)+1,"000")&amp;"-1")</f>
        <v/>
      </c>
      <c r="C3641">
        <f>IF(OR(Registro_Compras!$C$408="",Registro_Compras!$O$408=""),"",IF(Registro_Compras!$F$408="NOTA DE CREDITO","4212",IF(Registro_Compras!$M$408="","63",Registro_Compras!$M$408)))</f>
        <v/>
      </c>
      <c r="D3641">
        <f>IF(OR(Registro_Compras!$C$408="",Registro_Compras!$O$408=""),"",IF(Registro_Compras!$F$408="NOTA DE CREDITO","Cuentas por Pagar Comerciales - Terceros (Emitidas)",IF(Registro_Compras!$F$408="RHE","Honorarios Profesionales - Servicios de Terceros","Gastos de Servicios Prestados por Terceros")))</f>
        <v/>
      </c>
      <c r="E3641" s="20">
        <f>IF($C3641="","",IF(Registro_Compras!$F$408="NOTA DE CREDITO",ABS(Registro_Compras!$O$408),IF(Registro_Compras!$F$408="RHE",ROUND(Registro_Compras!$L$408*Registro_Compras!$N$408,2),ROUND(Registro_Compras!$J$408*Registro_Compras!$N$408,2))))</f>
        <v/>
      </c>
      <c r="F3641" s="20">
        <f>""</f>
        <v/>
      </c>
      <c r="G3641">
        <f>IF($C3641="","",IF(Registro_Compras!$F$408="NOTA DE CREDITO","Por la nota de credito "&amp;Registro_Compras!$C$408&amp;" de "&amp;Registro_Compras!$E$408&amp;" [PATRON POR CONFIRMAR CON CONTADOR]",IF(Registro_Compras!$F$408="RHE","Por el registro del recibo por honorarios "&amp;Registro_Compras!$C$408&amp;" de "&amp;Registro_Compras!$E$408&amp;" [PATRON POR CONFIRMAR CON CONTADOR]","Por el registro de la factura "&amp;Registro_Compras!$C$408&amp;" de "&amp;Registro_Compras!$E$408)))</f>
        <v/>
      </c>
      <c r="H3641">
        <f>IF($C3641="","",Registro_Compras!$C$408)</f>
        <v/>
      </c>
    </row>
    <row r="3642">
      <c r="A3642" s="25">
        <f>IF($C3642="","",Registro_Compras!$B$408)</f>
        <v/>
      </c>
      <c r="B3642">
        <f>IF($C3642="","","C"&amp;TEXT(INT((ROW()-5)/9)+1,"000")&amp;"-1")</f>
        <v/>
      </c>
      <c r="C3642">
        <f>IF(OR(Registro_Compras!$C$408="",Registro_Compras!$O$408=""),"",IF(Registro_Compras!$F$408="RHE",IF(Registro_Compras!$V$408=0,"","40172"),IF(Registro_Compras!$F$408="NOTA DE CREDITO",IF(Registro_Compras!$M$408="","63",Registro_Compras!$M$408),IF(Registro_Compras!$K$408=0,"","40111"))))</f>
        <v/>
      </c>
      <c r="D3642">
        <f>IF(OR(Registro_Compras!$C$408="",Registro_Compras!$O$408=""),"",IF(Registro_Compras!$F$408="RHE","Retencion Renta 4ta Categoria por Pagar",IF(Registro_Compras!$F$408="NOTA DE CREDITO","Gastos de Servicios Prestados por Terceros","IGV - Cuenta Propia (Credito Fiscal)")))</f>
        <v/>
      </c>
      <c r="E3642" s="20">
        <f>IF($C3642="","",IF(Registro_Compras!$F$408="FACTURA",ROUND(Registro_Compras!$K$408*Registro_Compras!$N$408,2),""))</f>
        <v/>
      </c>
      <c r="F3642" s="20">
        <f>IF($C3642="","",IF(Registro_Compras!$F$408="RHE",ROUND(Registro_Compras!$V$408*Registro_Compras!$N$408,2),IF(Registro_Compras!$F$408="NOTA DE CREDITO",ROUND(ABS(Registro_Compras!$J$408*Registro_Compras!$N$408),2),"")))</f>
        <v/>
      </c>
      <c r="G3642">
        <f>IF($C3642="","",IF(Registro_Compras!$F$408="NOTA DE CREDITO","Por la nota de credito "&amp;Registro_Compras!$C$408&amp;" de "&amp;Registro_Compras!$E$408&amp;" [PATRON POR CONFIRMAR CON CONTADOR]",IF(Registro_Compras!$F$408="RHE","Por el registro del recibo por honorarios "&amp;Registro_Compras!$C$408&amp;" de "&amp;Registro_Compras!$E$408&amp;" [PATRON POR CONFIRMAR CON CONTADOR]","Por el registro de la factura "&amp;Registro_Compras!$C$408&amp;" de "&amp;Registro_Compras!$E$408)))</f>
        <v/>
      </c>
      <c r="H3642">
        <f>IF($C3642="","",Registro_Compras!$C$408)</f>
        <v/>
      </c>
    </row>
    <row r="3643">
      <c r="A3643" s="25">
        <f>IF($C3643="","",Registro_Compras!$B$408)</f>
        <v/>
      </c>
      <c r="B3643">
        <f>IF($C3643="","","C"&amp;TEXT(INT((ROW()-5)/9)+1,"000")&amp;"-1")</f>
        <v/>
      </c>
      <c r="C3643">
        <f>IF(OR(Registro_Compras!$C$408="",Registro_Compras!$O$408=""),"",IF(Registro_Compras!$F$408="NOTA DE CREDITO",IF(Registro_Compras!$K$408=0,"","40111"),"4212"))</f>
        <v/>
      </c>
      <c r="D3643">
        <f>IF(OR(Registro_Compras!$C$408="",Registro_Compras!$O$408=""),"",IF(Registro_Compras!$F$408="NOTA DE CREDITO","IGV - Cuenta Propia (Credito Fiscal)","Cuentas por Pagar Comerciales - Terceros (Emitidas)"))</f>
        <v/>
      </c>
      <c r="E3643" s="20">
        <f>""</f>
        <v/>
      </c>
      <c r="F3643" s="20">
        <f>IF($C3643="","",IF(Registro_Compras!$F$408="NOTA DE CREDITO",ROUND(ABS(Registro_Compras!$K$408*Registro_Compras!$N$408),2),IF(Registro_Compras!$F$408="RHE",(ROUND(Registro_Compras!$L$408*Registro_Compras!$N$408,2)-ROUND(Registro_Compras!$V$408*Registro_Compras!$N$408,2)),Registro_Compras!$O$408)))</f>
        <v/>
      </c>
      <c r="G3643">
        <f>IF($C3643="","",IF(Registro_Compras!$F$408="NOTA DE CREDITO","Por la nota de credito "&amp;Registro_Compras!$C$408&amp;" de "&amp;Registro_Compras!$E$408&amp;" [PATRON POR CONFIRMAR CON CONTADOR]",IF(Registro_Compras!$F$408="RHE","Por el registro del recibo por honorarios "&amp;Registro_Compras!$C$408&amp;" de "&amp;Registro_Compras!$E$408&amp;" [PATRON POR CONFIRMAR CON CONTADOR]","Por el registro de la factura "&amp;Registro_Compras!$C$408&amp;" de "&amp;Registro_Compras!$E$408)))</f>
        <v/>
      </c>
      <c r="H3643">
        <f>IF($C3643="","",Registro_Compras!$C$408)</f>
        <v/>
      </c>
    </row>
    <row r="3644">
      <c r="A3644" s="25">
        <f>IF($C3644="","",Registro_Compras!$B$408)</f>
        <v/>
      </c>
      <c r="B3644">
        <f>IF($C3644="","","C"&amp;TEXT(INT((ROW()-5)/9)+1,"000")&amp;"-2")</f>
        <v/>
      </c>
      <c r="C3644">
        <f>IF(OR(Registro_Compras!$C$408="",Registro_Compras!$O$408=""),"",IF(Registro_Compras!$AB$408="ADMINISTRATIVO","94","95"))</f>
        <v/>
      </c>
      <c r="D3644">
        <f>IF(OR(Registro_Compras!$C$408="",Registro_Compras!$O$408=""),"",IF(Registro_Compras!$AB$408="ADMINISTRATIVO","Gastos Administrativos","Gastos de Venta y Operacion"))</f>
        <v/>
      </c>
      <c r="E3644" s="20">
        <f>IF($C3644="","",IF(Registro_Compras!$F$408="NOTA DE CREDITO","",IF(Registro_Compras!$F$408="RHE",ROUND(Registro_Compras!$L$408*Registro_Compras!$N$408,2),ROUND(Registro_Compras!$J$408*Registro_Compras!$N$408,2))))</f>
        <v/>
      </c>
      <c r="F3644" s="20">
        <f>IF($C3644="","",IF(Registro_Compras!$F$408="NOTA DE CREDITO",ROUND(ABS(Registro_Compras!$J$408*Registro_Compras!$N$408),2),""))</f>
        <v/>
      </c>
      <c r="G3644">
        <f>IF($C3644="","","Por el destino del gasto")</f>
        <v/>
      </c>
      <c r="H3644">
        <f>IF($C3644="","",Registro_Compras!$C$408)</f>
        <v/>
      </c>
    </row>
    <row r="3645">
      <c r="A3645" s="25">
        <f>IF($C3645="","",Registro_Compras!$B$408)</f>
        <v/>
      </c>
      <c r="B3645">
        <f>IF($C3645="","","C"&amp;TEXT(INT((ROW()-5)/9)+1,"000")&amp;"-2")</f>
        <v/>
      </c>
      <c r="C3645">
        <f>IF(OR(Registro_Compras!$C$408="",Registro_Compras!$O$408=""),"","79/791")</f>
        <v/>
      </c>
      <c r="D3645">
        <f>IF(OR(Registro_Compras!$C$408="",Registro_Compras!$O$408=""),"","Cargas Imputables a Cuentas de Costos y Gastos")</f>
        <v/>
      </c>
      <c r="E3645" s="20">
        <f>IF($C3645="","",IF(Registro_Compras!$F$408="NOTA DE CREDITO",ROUND(ABS(Registro_Compras!$J$408*Registro_Compras!$N$408),2),""))</f>
        <v/>
      </c>
      <c r="F3645" s="20">
        <f>IF($C3645="","",IF(Registro_Compras!$F$408="NOTA DE CREDITO","",IF(Registro_Compras!$F$408="RHE",ROUND(Registro_Compras!$L$408*Registro_Compras!$N$408,2),ROUND(Registro_Compras!$J$408*Registro_Compras!$N$408,2))))</f>
        <v/>
      </c>
      <c r="G3645">
        <f>IF($C3645="","","Por el destino del gasto")</f>
        <v/>
      </c>
      <c r="H3645">
        <f>IF($C3645="","",Registro_Compras!$C$408)</f>
        <v/>
      </c>
    </row>
    <row r="3646">
      <c r="A3646" s="25">
        <f>IF($C3646="","",Registro_Compras!$X$408)</f>
        <v/>
      </c>
      <c r="B3646">
        <f>IF($C3646="","","C"&amp;TEXT(INT((ROW()-5)/9)+1,"000")&amp;"-3")</f>
        <v/>
      </c>
      <c r="C3646">
        <f>IF(OR(Registro_Compras!$C$408="",Registro_Compras!$O$408="",Registro_Compras!$R$408&lt;&gt;"SI",Registro_Compras!$X$408=""),"","4212")</f>
        <v/>
      </c>
      <c r="D3646">
        <f>IF(OR(Registro_Compras!$C$408="",Registro_Compras!$O$408=""),"","Cuentas por Pagar Comerciales - Terceros")</f>
        <v/>
      </c>
      <c r="E3646" s="20">
        <f>IF($C3646="","",Registro_Compras!$S$408)</f>
        <v/>
      </c>
      <c r="F3646" s="20">
        <f>""</f>
        <v/>
      </c>
      <c r="G3646">
        <f>IF($C3646="","","Por el deposito de la detraccion en el Banco de la Nacion")</f>
        <v/>
      </c>
      <c r="H3646">
        <f>IF($C3646="","",Registro_Compras!$C$408)</f>
        <v/>
      </c>
    </row>
    <row r="3647">
      <c r="A3647" s="25">
        <f>IF($C3647="","",Registro_Compras!$X$408)</f>
        <v/>
      </c>
      <c r="B3647">
        <f>IF($C3647="","","C"&amp;TEXT(INT((ROW()-5)/9)+1,"000")&amp;"-3")</f>
        <v/>
      </c>
      <c r="C3647">
        <f>IF(OR(Registro_Compras!$C$408="",Registro_Compras!$O$408="",Registro_Compras!$R$408&lt;&gt;"SI",Registro_Compras!$X$408=""),"","10413")</f>
        <v/>
      </c>
      <c r="D3647">
        <f>IF(OR(Registro_Compras!$C$408="",Registro_Compras!$O$408=""),"","Efectivo y Equivalentes - Cta. Cte. Operativa")</f>
        <v/>
      </c>
      <c r="E3647" s="20">
        <f>""</f>
        <v/>
      </c>
      <c r="F3647" s="20">
        <f>IF($C3647="","",Registro_Compras!$S$408)</f>
        <v/>
      </c>
      <c r="G3647">
        <f>IF($C3647="","","Por el deposito de la detraccion en el Banco de la Nacion")</f>
        <v/>
      </c>
      <c r="H3647">
        <f>IF($C3647="","",Registro_Compras!$C$408)</f>
        <v/>
      </c>
    </row>
    <row r="3648">
      <c r="A3648" s="25">
        <f>IF($C3648="","",Registro_Compras!$Y$408)</f>
        <v/>
      </c>
      <c r="B3648">
        <f>IF($C3648="","","C"&amp;TEXT(INT((ROW()-5)/9)+1,"000")&amp;"-4")</f>
        <v/>
      </c>
      <c r="C3648">
        <f>IF(OR(Registro_Compras!$C$408="",Registro_Compras!$O$408="",Registro_Compras!$Y$408="",Registro_Compras!$F$408="NOTA DE CREDITO"),"","4212")</f>
        <v/>
      </c>
      <c r="D3648">
        <f>IF(OR(Registro_Compras!$C$408="",Registro_Compras!$O$408=""),"","Cuentas por Pagar Comerciales - Terceros")</f>
        <v/>
      </c>
      <c r="E3648" s="20">
        <f>IF($C3648="","",IF(Registro_Compras!$F$408="RHE",(ROUND(Registro_Compras!$L$408*Registro_Compras!$N$408,2)-ROUND(Registro_Compras!$V$408*Registro_Compras!$N$408,2)),ROUND(Registro_Compras!$O$408-Registro_Compras!$S$408,2)))</f>
        <v/>
      </c>
      <c r="F3648" s="20">
        <f>""</f>
        <v/>
      </c>
      <c r="G3648">
        <f>IF($C3648="","","Por la cancelacion del saldo al proveedor")</f>
        <v/>
      </c>
      <c r="H3648">
        <f>IF($C3648="","",Registro_Compras!$C$408)</f>
        <v/>
      </c>
    </row>
    <row r="3649">
      <c r="A3649" s="25">
        <f>IF($C3649="","",Registro_Compras!$Y$408)</f>
        <v/>
      </c>
      <c r="B3649">
        <f>IF($C3649="","","C"&amp;TEXT(INT((ROW()-5)/9)+1,"000")&amp;"-4")</f>
        <v/>
      </c>
      <c r="C3649">
        <f>IF(OR(Registro_Compras!$C$408="",Registro_Compras!$O$408="",Registro_Compras!$Y$408="",Registro_Compras!$F$408="NOTA DE CREDITO"),"","10413")</f>
        <v/>
      </c>
      <c r="D3649">
        <f>IF(OR(Registro_Compras!$C$408="",Registro_Compras!$O$408=""),"","Efectivo y Equivalentes - Cta. Cte. Operativa")</f>
        <v/>
      </c>
      <c r="E3649" s="20">
        <f>""</f>
        <v/>
      </c>
      <c r="F3649" s="20">
        <f>IF($C3649="","",IF(Registro_Compras!$F$408="RHE",(ROUND(Registro_Compras!$L$408*Registro_Compras!$N$408,2)-ROUND(Registro_Compras!$V$408*Registro_Compras!$N$408,2)),ROUND(Registro_Compras!$O$408-Registro_Compras!$S$408,2)))</f>
        <v/>
      </c>
      <c r="G3649">
        <f>IF($C3649="","","Por la cancelacion del saldo al proveedor")</f>
        <v/>
      </c>
      <c r="H3649">
        <f>IF($C3649="","",Registro_Compras!$C$408)</f>
        <v/>
      </c>
    </row>
    <row r="3650">
      <c r="A3650" s="25">
        <f>IF($C3650="","",Registro_Compras!$B$409)</f>
        <v/>
      </c>
      <c r="B3650">
        <f>IF($C3650="","","C"&amp;TEXT(INT((ROW()-5)/9)+1,"000")&amp;"-1")</f>
        <v/>
      </c>
      <c r="C3650">
        <f>IF(OR(Registro_Compras!$C$409="",Registro_Compras!$O$409=""),"",IF(Registro_Compras!$F$409="NOTA DE CREDITO","4212",IF(Registro_Compras!$M$409="","63",Registro_Compras!$M$409)))</f>
        <v/>
      </c>
      <c r="D3650">
        <f>IF(OR(Registro_Compras!$C$409="",Registro_Compras!$O$409=""),"",IF(Registro_Compras!$F$409="NOTA DE CREDITO","Cuentas por Pagar Comerciales - Terceros (Emitidas)",IF(Registro_Compras!$F$409="RHE","Honorarios Profesionales - Servicios de Terceros","Gastos de Servicios Prestados por Terceros")))</f>
        <v/>
      </c>
      <c r="E3650" s="20">
        <f>IF($C3650="","",IF(Registro_Compras!$F$409="NOTA DE CREDITO",ABS(Registro_Compras!$O$409),IF(Registro_Compras!$F$409="RHE",ROUND(Registro_Compras!$L$409*Registro_Compras!$N$409,2),ROUND(Registro_Compras!$J$409*Registro_Compras!$N$409,2))))</f>
        <v/>
      </c>
      <c r="F3650" s="20">
        <f>""</f>
        <v/>
      </c>
      <c r="G3650">
        <f>IF($C3650="","",IF(Registro_Compras!$F$409="NOTA DE CREDITO","Por la nota de credito "&amp;Registro_Compras!$C$409&amp;" de "&amp;Registro_Compras!$E$409&amp;" [PATRON POR CONFIRMAR CON CONTADOR]",IF(Registro_Compras!$F$409="RHE","Por el registro del recibo por honorarios "&amp;Registro_Compras!$C$409&amp;" de "&amp;Registro_Compras!$E$409&amp;" [PATRON POR CONFIRMAR CON CONTADOR]","Por el registro de la factura "&amp;Registro_Compras!$C$409&amp;" de "&amp;Registro_Compras!$E$409)))</f>
        <v/>
      </c>
      <c r="H3650">
        <f>IF($C3650="","",Registro_Compras!$C$409)</f>
        <v/>
      </c>
    </row>
    <row r="3651">
      <c r="A3651" s="25">
        <f>IF($C3651="","",Registro_Compras!$B$409)</f>
        <v/>
      </c>
      <c r="B3651">
        <f>IF($C3651="","","C"&amp;TEXT(INT((ROW()-5)/9)+1,"000")&amp;"-1")</f>
        <v/>
      </c>
      <c r="C3651">
        <f>IF(OR(Registro_Compras!$C$409="",Registro_Compras!$O$409=""),"",IF(Registro_Compras!$F$409="RHE",IF(Registro_Compras!$V$409=0,"","40172"),IF(Registro_Compras!$F$409="NOTA DE CREDITO",IF(Registro_Compras!$M$409="","63",Registro_Compras!$M$409),IF(Registro_Compras!$K$409=0,"","40111"))))</f>
        <v/>
      </c>
      <c r="D3651">
        <f>IF(OR(Registro_Compras!$C$409="",Registro_Compras!$O$409=""),"",IF(Registro_Compras!$F$409="RHE","Retencion Renta 4ta Categoria por Pagar",IF(Registro_Compras!$F$409="NOTA DE CREDITO","Gastos de Servicios Prestados por Terceros","IGV - Cuenta Propia (Credito Fiscal)")))</f>
        <v/>
      </c>
      <c r="E3651" s="20">
        <f>IF($C3651="","",IF(Registro_Compras!$F$409="FACTURA",ROUND(Registro_Compras!$K$409*Registro_Compras!$N$409,2),""))</f>
        <v/>
      </c>
      <c r="F3651" s="20">
        <f>IF($C3651="","",IF(Registro_Compras!$F$409="RHE",ROUND(Registro_Compras!$V$409*Registro_Compras!$N$409,2),IF(Registro_Compras!$F$409="NOTA DE CREDITO",ROUND(ABS(Registro_Compras!$J$409*Registro_Compras!$N$409),2),"")))</f>
        <v/>
      </c>
      <c r="G3651">
        <f>IF($C3651="","",IF(Registro_Compras!$F$409="NOTA DE CREDITO","Por la nota de credito "&amp;Registro_Compras!$C$409&amp;" de "&amp;Registro_Compras!$E$409&amp;" [PATRON POR CONFIRMAR CON CONTADOR]",IF(Registro_Compras!$F$409="RHE","Por el registro del recibo por honorarios "&amp;Registro_Compras!$C$409&amp;" de "&amp;Registro_Compras!$E$409&amp;" [PATRON POR CONFIRMAR CON CONTADOR]","Por el registro de la factura "&amp;Registro_Compras!$C$409&amp;" de "&amp;Registro_Compras!$E$409)))</f>
        <v/>
      </c>
      <c r="H3651">
        <f>IF($C3651="","",Registro_Compras!$C$409)</f>
        <v/>
      </c>
    </row>
    <row r="3652">
      <c r="A3652" s="25">
        <f>IF($C3652="","",Registro_Compras!$B$409)</f>
        <v/>
      </c>
      <c r="B3652">
        <f>IF($C3652="","","C"&amp;TEXT(INT((ROW()-5)/9)+1,"000")&amp;"-1")</f>
        <v/>
      </c>
      <c r="C3652">
        <f>IF(OR(Registro_Compras!$C$409="",Registro_Compras!$O$409=""),"",IF(Registro_Compras!$F$409="NOTA DE CREDITO",IF(Registro_Compras!$K$409=0,"","40111"),"4212"))</f>
        <v/>
      </c>
      <c r="D3652">
        <f>IF(OR(Registro_Compras!$C$409="",Registro_Compras!$O$409=""),"",IF(Registro_Compras!$F$409="NOTA DE CREDITO","IGV - Cuenta Propia (Credito Fiscal)","Cuentas por Pagar Comerciales - Terceros (Emitidas)"))</f>
        <v/>
      </c>
      <c r="E3652" s="20">
        <f>""</f>
        <v/>
      </c>
      <c r="F3652" s="20">
        <f>IF($C3652="","",IF(Registro_Compras!$F$409="NOTA DE CREDITO",ROUND(ABS(Registro_Compras!$K$409*Registro_Compras!$N$409),2),IF(Registro_Compras!$F$409="RHE",(ROUND(Registro_Compras!$L$409*Registro_Compras!$N$409,2)-ROUND(Registro_Compras!$V$409*Registro_Compras!$N$409,2)),Registro_Compras!$O$409)))</f>
        <v/>
      </c>
      <c r="G3652">
        <f>IF($C3652="","",IF(Registro_Compras!$F$409="NOTA DE CREDITO","Por la nota de credito "&amp;Registro_Compras!$C$409&amp;" de "&amp;Registro_Compras!$E$409&amp;" [PATRON POR CONFIRMAR CON CONTADOR]",IF(Registro_Compras!$F$409="RHE","Por el registro del recibo por honorarios "&amp;Registro_Compras!$C$409&amp;" de "&amp;Registro_Compras!$E$409&amp;" [PATRON POR CONFIRMAR CON CONTADOR]","Por el registro de la factura "&amp;Registro_Compras!$C$409&amp;" de "&amp;Registro_Compras!$E$409)))</f>
        <v/>
      </c>
      <c r="H3652">
        <f>IF($C3652="","",Registro_Compras!$C$409)</f>
        <v/>
      </c>
    </row>
    <row r="3653">
      <c r="A3653" s="25">
        <f>IF($C3653="","",Registro_Compras!$B$409)</f>
        <v/>
      </c>
      <c r="B3653">
        <f>IF($C3653="","","C"&amp;TEXT(INT((ROW()-5)/9)+1,"000")&amp;"-2")</f>
        <v/>
      </c>
      <c r="C3653">
        <f>IF(OR(Registro_Compras!$C$409="",Registro_Compras!$O$409=""),"",IF(Registro_Compras!$AB$409="ADMINISTRATIVO","94","95"))</f>
        <v/>
      </c>
      <c r="D3653">
        <f>IF(OR(Registro_Compras!$C$409="",Registro_Compras!$O$409=""),"",IF(Registro_Compras!$AB$409="ADMINISTRATIVO","Gastos Administrativos","Gastos de Venta y Operacion"))</f>
        <v/>
      </c>
      <c r="E3653" s="20">
        <f>IF($C3653="","",IF(Registro_Compras!$F$409="NOTA DE CREDITO","",IF(Registro_Compras!$F$409="RHE",ROUND(Registro_Compras!$L$409*Registro_Compras!$N$409,2),ROUND(Registro_Compras!$J$409*Registro_Compras!$N$409,2))))</f>
        <v/>
      </c>
      <c r="F3653" s="20">
        <f>IF($C3653="","",IF(Registro_Compras!$F$409="NOTA DE CREDITO",ROUND(ABS(Registro_Compras!$J$409*Registro_Compras!$N$409),2),""))</f>
        <v/>
      </c>
      <c r="G3653">
        <f>IF($C3653="","","Por el destino del gasto")</f>
        <v/>
      </c>
      <c r="H3653">
        <f>IF($C3653="","",Registro_Compras!$C$409)</f>
        <v/>
      </c>
    </row>
    <row r="3654">
      <c r="A3654" s="25">
        <f>IF($C3654="","",Registro_Compras!$B$409)</f>
        <v/>
      </c>
      <c r="B3654">
        <f>IF($C3654="","","C"&amp;TEXT(INT((ROW()-5)/9)+1,"000")&amp;"-2")</f>
        <v/>
      </c>
      <c r="C3654">
        <f>IF(OR(Registro_Compras!$C$409="",Registro_Compras!$O$409=""),"","79/791")</f>
        <v/>
      </c>
      <c r="D3654">
        <f>IF(OR(Registro_Compras!$C$409="",Registro_Compras!$O$409=""),"","Cargas Imputables a Cuentas de Costos y Gastos")</f>
        <v/>
      </c>
      <c r="E3654" s="20">
        <f>IF($C3654="","",IF(Registro_Compras!$F$409="NOTA DE CREDITO",ROUND(ABS(Registro_Compras!$J$409*Registro_Compras!$N$409),2),""))</f>
        <v/>
      </c>
      <c r="F3654" s="20">
        <f>IF($C3654="","",IF(Registro_Compras!$F$409="NOTA DE CREDITO","",IF(Registro_Compras!$F$409="RHE",ROUND(Registro_Compras!$L$409*Registro_Compras!$N$409,2),ROUND(Registro_Compras!$J$409*Registro_Compras!$N$409,2))))</f>
        <v/>
      </c>
      <c r="G3654">
        <f>IF($C3654="","","Por el destino del gasto")</f>
        <v/>
      </c>
      <c r="H3654">
        <f>IF($C3654="","",Registro_Compras!$C$409)</f>
        <v/>
      </c>
    </row>
    <row r="3655">
      <c r="A3655" s="25">
        <f>IF($C3655="","",Registro_Compras!$X$409)</f>
        <v/>
      </c>
      <c r="B3655">
        <f>IF($C3655="","","C"&amp;TEXT(INT((ROW()-5)/9)+1,"000")&amp;"-3")</f>
        <v/>
      </c>
      <c r="C3655">
        <f>IF(OR(Registro_Compras!$C$409="",Registro_Compras!$O$409="",Registro_Compras!$R$409&lt;&gt;"SI",Registro_Compras!$X$409=""),"","4212")</f>
        <v/>
      </c>
      <c r="D3655">
        <f>IF(OR(Registro_Compras!$C$409="",Registro_Compras!$O$409=""),"","Cuentas por Pagar Comerciales - Terceros")</f>
        <v/>
      </c>
      <c r="E3655" s="20">
        <f>IF($C3655="","",Registro_Compras!$S$409)</f>
        <v/>
      </c>
      <c r="F3655" s="20">
        <f>""</f>
        <v/>
      </c>
      <c r="G3655">
        <f>IF($C3655="","","Por el deposito de la detraccion en el Banco de la Nacion")</f>
        <v/>
      </c>
      <c r="H3655">
        <f>IF($C3655="","",Registro_Compras!$C$409)</f>
        <v/>
      </c>
    </row>
    <row r="3656">
      <c r="A3656" s="25">
        <f>IF($C3656="","",Registro_Compras!$X$409)</f>
        <v/>
      </c>
      <c r="B3656">
        <f>IF($C3656="","","C"&amp;TEXT(INT((ROW()-5)/9)+1,"000")&amp;"-3")</f>
        <v/>
      </c>
      <c r="C3656">
        <f>IF(OR(Registro_Compras!$C$409="",Registro_Compras!$O$409="",Registro_Compras!$R$409&lt;&gt;"SI",Registro_Compras!$X$409=""),"","10413")</f>
        <v/>
      </c>
      <c r="D3656">
        <f>IF(OR(Registro_Compras!$C$409="",Registro_Compras!$O$409=""),"","Efectivo y Equivalentes - Cta. Cte. Operativa")</f>
        <v/>
      </c>
      <c r="E3656" s="20">
        <f>""</f>
        <v/>
      </c>
      <c r="F3656" s="20">
        <f>IF($C3656="","",Registro_Compras!$S$409)</f>
        <v/>
      </c>
      <c r="G3656">
        <f>IF($C3656="","","Por el deposito de la detraccion en el Banco de la Nacion")</f>
        <v/>
      </c>
      <c r="H3656">
        <f>IF($C3656="","",Registro_Compras!$C$409)</f>
        <v/>
      </c>
    </row>
    <row r="3657">
      <c r="A3657" s="25">
        <f>IF($C3657="","",Registro_Compras!$Y$409)</f>
        <v/>
      </c>
      <c r="B3657">
        <f>IF($C3657="","","C"&amp;TEXT(INT((ROW()-5)/9)+1,"000")&amp;"-4")</f>
        <v/>
      </c>
      <c r="C3657">
        <f>IF(OR(Registro_Compras!$C$409="",Registro_Compras!$O$409="",Registro_Compras!$Y$409="",Registro_Compras!$F$409="NOTA DE CREDITO"),"","4212")</f>
        <v/>
      </c>
      <c r="D3657">
        <f>IF(OR(Registro_Compras!$C$409="",Registro_Compras!$O$409=""),"","Cuentas por Pagar Comerciales - Terceros")</f>
        <v/>
      </c>
      <c r="E3657" s="20">
        <f>IF($C3657="","",IF(Registro_Compras!$F$409="RHE",(ROUND(Registro_Compras!$L$409*Registro_Compras!$N$409,2)-ROUND(Registro_Compras!$V$409*Registro_Compras!$N$409,2)),ROUND(Registro_Compras!$O$409-Registro_Compras!$S$409,2)))</f>
        <v/>
      </c>
      <c r="F3657" s="20">
        <f>""</f>
        <v/>
      </c>
      <c r="G3657">
        <f>IF($C3657="","","Por la cancelacion del saldo al proveedor")</f>
        <v/>
      </c>
      <c r="H3657">
        <f>IF($C3657="","",Registro_Compras!$C$409)</f>
        <v/>
      </c>
    </row>
    <row r="3658">
      <c r="A3658" s="25">
        <f>IF($C3658="","",Registro_Compras!$Y$409)</f>
        <v/>
      </c>
      <c r="B3658">
        <f>IF($C3658="","","C"&amp;TEXT(INT((ROW()-5)/9)+1,"000")&amp;"-4")</f>
        <v/>
      </c>
      <c r="C3658">
        <f>IF(OR(Registro_Compras!$C$409="",Registro_Compras!$O$409="",Registro_Compras!$Y$409="",Registro_Compras!$F$409="NOTA DE CREDITO"),"","10413")</f>
        <v/>
      </c>
      <c r="D3658">
        <f>IF(OR(Registro_Compras!$C$409="",Registro_Compras!$O$409=""),"","Efectivo y Equivalentes - Cta. Cte. Operativa")</f>
        <v/>
      </c>
      <c r="E3658" s="20">
        <f>""</f>
        <v/>
      </c>
      <c r="F3658" s="20">
        <f>IF($C3658="","",IF(Registro_Compras!$F$409="RHE",(ROUND(Registro_Compras!$L$409*Registro_Compras!$N$409,2)-ROUND(Registro_Compras!$V$409*Registro_Compras!$N$409,2)),ROUND(Registro_Compras!$O$409-Registro_Compras!$S$409,2)))</f>
        <v/>
      </c>
      <c r="G3658">
        <f>IF($C3658="","","Por la cancelacion del saldo al proveedor")</f>
        <v/>
      </c>
      <c r="H3658">
        <f>IF($C3658="","",Registro_Compras!$C$409)</f>
        <v/>
      </c>
    </row>
    <row r="3659">
      <c r="A3659" s="25">
        <f>IF($C3659="","",Registro_Compras!$B$410)</f>
        <v/>
      </c>
      <c r="B3659">
        <f>IF($C3659="","","C"&amp;TEXT(INT((ROW()-5)/9)+1,"000")&amp;"-1")</f>
        <v/>
      </c>
      <c r="C3659">
        <f>IF(OR(Registro_Compras!$C$410="",Registro_Compras!$O$410=""),"",IF(Registro_Compras!$F$410="NOTA DE CREDITO","4212",IF(Registro_Compras!$M$410="","63",Registro_Compras!$M$410)))</f>
        <v/>
      </c>
      <c r="D3659">
        <f>IF(OR(Registro_Compras!$C$410="",Registro_Compras!$O$410=""),"",IF(Registro_Compras!$F$410="NOTA DE CREDITO","Cuentas por Pagar Comerciales - Terceros (Emitidas)",IF(Registro_Compras!$F$410="RHE","Honorarios Profesionales - Servicios de Terceros","Gastos de Servicios Prestados por Terceros")))</f>
        <v/>
      </c>
      <c r="E3659" s="20">
        <f>IF($C3659="","",IF(Registro_Compras!$F$410="NOTA DE CREDITO",ABS(Registro_Compras!$O$410),IF(Registro_Compras!$F$410="RHE",ROUND(Registro_Compras!$L$410*Registro_Compras!$N$410,2),ROUND(Registro_Compras!$J$410*Registro_Compras!$N$410,2))))</f>
        <v/>
      </c>
      <c r="F3659" s="20">
        <f>""</f>
        <v/>
      </c>
      <c r="G3659">
        <f>IF($C3659="","",IF(Registro_Compras!$F$410="NOTA DE CREDITO","Por la nota de credito "&amp;Registro_Compras!$C$410&amp;" de "&amp;Registro_Compras!$E$410&amp;" [PATRON POR CONFIRMAR CON CONTADOR]",IF(Registro_Compras!$F$410="RHE","Por el registro del recibo por honorarios "&amp;Registro_Compras!$C$410&amp;" de "&amp;Registro_Compras!$E$410&amp;" [PATRON POR CONFIRMAR CON CONTADOR]","Por el registro de la factura "&amp;Registro_Compras!$C$410&amp;" de "&amp;Registro_Compras!$E$410)))</f>
        <v/>
      </c>
      <c r="H3659">
        <f>IF($C3659="","",Registro_Compras!$C$410)</f>
        <v/>
      </c>
    </row>
    <row r="3660">
      <c r="A3660" s="25">
        <f>IF($C3660="","",Registro_Compras!$B$410)</f>
        <v/>
      </c>
      <c r="B3660">
        <f>IF($C3660="","","C"&amp;TEXT(INT((ROW()-5)/9)+1,"000")&amp;"-1")</f>
        <v/>
      </c>
      <c r="C3660">
        <f>IF(OR(Registro_Compras!$C$410="",Registro_Compras!$O$410=""),"",IF(Registro_Compras!$F$410="RHE",IF(Registro_Compras!$V$410=0,"","40172"),IF(Registro_Compras!$F$410="NOTA DE CREDITO",IF(Registro_Compras!$M$410="","63",Registro_Compras!$M$410),IF(Registro_Compras!$K$410=0,"","40111"))))</f>
        <v/>
      </c>
      <c r="D3660">
        <f>IF(OR(Registro_Compras!$C$410="",Registro_Compras!$O$410=""),"",IF(Registro_Compras!$F$410="RHE","Retencion Renta 4ta Categoria por Pagar",IF(Registro_Compras!$F$410="NOTA DE CREDITO","Gastos de Servicios Prestados por Terceros","IGV - Cuenta Propia (Credito Fiscal)")))</f>
        <v/>
      </c>
      <c r="E3660" s="20">
        <f>IF($C3660="","",IF(Registro_Compras!$F$410="FACTURA",ROUND(Registro_Compras!$K$410*Registro_Compras!$N$410,2),""))</f>
        <v/>
      </c>
      <c r="F3660" s="20">
        <f>IF($C3660="","",IF(Registro_Compras!$F$410="RHE",ROUND(Registro_Compras!$V$410*Registro_Compras!$N$410,2),IF(Registro_Compras!$F$410="NOTA DE CREDITO",ROUND(ABS(Registro_Compras!$J$410*Registro_Compras!$N$410),2),"")))</f>
        <v/>
      </c>
      <c r="G3660">
        <f>IF($C3660="","",IF(Registro_Compras!$F$410="NOTA DE CREDITO","Por la nota de credito "&amp;Registro_Compras!$C$410&amp;" de "&amp;Registro_Compras!$E$410&amp;" [PATRON POR CONFIRMAR CON CONTADOR]",IF(Registro_Compras!$F$410="RHE","Por el registro del recibo por honorarios "&amp;Registro_Compras!$C$410&amp;" de "&amp;Registro_Compras!$E$410&amp;" [PATRON POR CONFIRMAR CON CONTADOR]","Por el registro de la factura "&amp;Registro_Compras!$C$410&amp;" de "&amp;Registro_Compras!$E$410)))</f>
        <v/>
      </c>
      <c r="H3660">
        <f>IF($C3660="","",Registro_Compras!$C$410)</f>
        <v/>
      </c>
    </row>
    <row r="3661">
      <c r="A3661" s="25">
        <f>IF($C3661="","",Registro_Compras!$B$410)</f>
        <v/>
      </c>
      <c r="B3661">
        <f>IF($C3661="","","C"&amp;TEXT(INT((ROW()-5)/9)+1,"000")&amp;"-1")</f>
        <v/>
      </c>
      <c r="C3661">
        <f>IF(OR(Registro_Compras!$C$410="",Registro_Compras!$O$410=""),"",IF(Registro_Compras!$F$410="NOTA DE CREDITO",IF(Registro_Compras!$K$410=0,"","40111"),"4212"))</f>
        <v/>
      </c>
      <c r="D3661">
        <f>IF(OR(Registro_Compras!$C$410="",Registro_Compras!$O$410=""),"",IF(Registro_Compras!$F$410="NOTA DE CREDITO","IGV - Cuenta Propia (Credito Fiscal)","Cuentas por Pagar Comerciales - Terceros (Emitidas)"))</f>
        <v/>
      </c>
      <c r="E3661" s="20">
        <f>""</f>
        <v/>
      </c>
      <c r="F3661" s="20">
        <f>IF($C3661="","",IF(Registro_Compras!$F$410="NOTA DE CREDITO",ROUND(ABS(Registro_Compras!$K$410*Registro_Compras!$N$410),2),IF(Registro_Compras!$F$410="RHE",(ROUND(Registro_Compras!$L$410*Registro_Compras!$N$410,2)-ROUND(Registro_Compras!$V$410*Registro_Compras!$N$410,2)),Registro_Compras!$O$410)))</f>
        <v/>
      </c>
      <c r="G3661">
        <f>IF($C3661="","",IF(Registro_Compras!$F$410="NOTA DE CREDITO","Por la nota de credito "&amp;Registro_Compras!$C$410&amp;" de "&amp;Registro_Compras!$E$410&amp;" [PATRON POR CONFIRMAR CON CONTADOR]",IF(Registro_Compras!$F$410="RHE","Por el registro del recibo por honorarios "&amp;Registro_Compras!$C$410&amp;" de "&amp;Registro_Compras!$E$410&amp;" [PATRON POR CONFIRMAR CON CONTADOR]","Por el registro de la factura "&amp;Registro_Compras!$C$410&amp;" de "&amp;Registro_Compras!$E$410)))</f>
        <v/>
      </c>
      <c r="H3661">
        <f>IF($C3661="","",Registro_Compras!$C$410)</f>
        <v/>
      </c>
    </row>
    <row r="3662">
      <c r="A3662" s="25">
        <f>IF($C3662="","",Registro_Compras!$B$410)</f>
        <v/>
      </c>
      <c r="B3662">
        <f>IF($C3662="","","C"&amp;TEXT(INT((ROW()-5)/9)+1,"000")&amp;"-2")</f>
        <v/>
      </c>
      <c r="C3662">
        <f>IF(OR(Registro_Compras!$C$410="",Registro_Compras!$O$410=""),"",IF(Registro_Compras!$AB$410="ADMINISTRATIVO","94","95"))</f>
        <v/>
      </c>
      <c r="D3662">
        <f>IF(OR(Registro_Compras!$C$410="",Registro_Compras!$O$410=""),"",IF(Registro_Compras!$AB$410="ADMINISTRATIVO","Gastos Administrativos","Gastos de Venta y Operacion"))</f>
        <v/>
      </c>
      <c r="E3662" s="20">
        <f>IF($C3662="","",IF(Registro_Compras!$F$410="NOTA DE CREDITO","",IF(Registro_Compras!$F$410="RHE",ROUND(Registro_Compras!$L$410*Registro_Compras!$N$410,2),ROUND(Registro_Compras!$J$410*Registro_Compras!$N$410,2))))</f>
        <v/>
      </c>
      <c r="F3662" s="20">
        <f>IF($C3662="","",IF(Registro_Compras!$F$410="NOTA DE CREDITO",ROUND(ABS(Registro_Compras!$J$410*Registro_Compras!$N$410),2),""))</f>
        <v/>
      </c>
      <c r="G3662">
        <f>IF($C3662="","","Por el destino del gasto")</f>
        <v/>
      </c>
      <c r="H3662">
        <f>IF($C3662="","",Registro_Compras!$C$410)</f>
        <v/>
      </c>
    </row>
    <row r="3663">
      <c r="A3663" s="25">
        <f>IF($C3663="","",Registro_Compras!$B$410)</f>
        <v/>
      </c>
      <c r="B3663">
        <f>IF($C3663="","","C"&amp;TEXT(INT((ROW()-5)/9)+1,"000")&amp;"-2")</f>
        <v/>
      </c>
      <c r="C3663">
        <f>IF(OR(Registro_Compras!$C$410="",Registro_Compras!$O$410=""),"","79/791")</f>
        <v/>
      </c>
      <c r="D3663">
        <f>IF(OR(Registro_Compras!$C$410="",Registro_Compras!$O$410=""),"","Cargas Imputables a Cuentas de Costos y Gastos")</f>
        <v/>
      </c>
      <c r="E3663" s="20">
        <f>IF($C3663="","",IF(Registro_Compras!$F$410="NOTA DE CREDITO",ROUND(ABS(Registro_Compras!$J$410*Registro_Compras!$N$410),2),""))</f>
        <v/>
      </c>
      <c r="F3663" s="20">
        <f>IF($C3663="","",IF(Registro_Compras!$F$410="NOTA DE CREDITO","",IF(Registro_Compras!$F$410="RHE",ROUND(Registro_Compras!$L$410*Registro_Compras!$N$410,2),ROUND(Registro_Compras!$J$410*Registro_Compras!$N$410,2))))</f>
        <v/>
      </c>
      <c r="G3663">
        <f>IF($C3663="","","Por el destino del gasto")</f>
        <v/>
      </c>
      <c r="H3663">
        <f>IF($C3663="","",Registro_Compras!$C$410)</f>
        <v/>
      </c>
    </row>
    <row r="3664">
      <c r="A3664" s="25">
        <f>IF($C3664="","",Registro_Compras!$X$410)</f>
        <v/>
      </c>
      <c r="B3664">
        <f>IF($C3664="","","C"&amp;TEXT(INT((ROW()-5)/9)+1,"000")&amp;"-3")</f>
        <v/>
      </c>
      <c r="C3664">
        <f>IF(OR(Registro_Compras!$C$410="",Registro_Compras!$O$410="",Registro_Compras!$R$410&lt;&gt;"SI",Registro_Compras!$X$410=""),"","4212")</f>
        <v/>
      </c>
      <c r="D3664">
        <f>IF(OR(Registro_Compras!$C$410="",Registro_Compras!$O$410=""),"","Cuentas por Pagar Comerciales - Terceros")</f>
        <v/>
      </c>
      <c r="E3664" s="20">
        <f>IF($C3664="","",Registro_Compras!$S$410)</f>
        <v/>
      </c>
      <c r="F3664" s="20">
        <f>""</f>
        <v/>
      </c>
      <c r="G3664">
        <f>IF($C3664="","","Por el deposito de la detraccion en el Banco de la Nacion")</f>
        <v/>
      </c>
      <c r="H3664">
        <f>IF($C3664="","",Registro_Compras!$C$410)</f>
        <v/>
      </c>
    </row>
    <row r="3665">
      <c r="A3665" s="25">
        <f>IF($C3665="","",Registro_Compras!$X$410)</f>
        <v/>
      </c>
      <c r="B3665">
        <f>IF($C3665="","","C"&amp;TEXT(INT((ROW()-5)/9)+1,"000")&amp;"-3")</f>
        <v/>
      </c>
      <c r="C3665">
        <f>IF(OR(Registro_Compras!$C$410="",Registro_Compras!$O$410="",Registro_Compras!$R$410&lt;&gt;"SI",Registro_Compras!$X$410=""),"","10413")</f>
        <v/>
      </c>
      <c r="D3665">
        <f>IF(OR(Registro_Compras!$C$410="",Registro_Compras!$O$410=""),"","Efectivo y Equivalentes - Cta. Cte. Operativa")</f>
        <v/>
      </c>
      <c r="E3665" s="20">
        <f>""</f>
        <v/>
      </c>
      <c r="F3665" s="20">
        <f>IF($C3665="","",Registro_Compras!$S$410)</f>
        <v/>
      </c>
      <c r="G3665">
        <f>IF($C3665="","","Por el deposito de la detraccion en el Banco de la Nacion")</f>
        <v/>
      </c>
      <c r="H3665">
        <f>IF($C3665="","",Registro_Compras!$C$410)</f>
        <v/>
      </c>
    </row>
    <row r="3666">
      <c r="A3666" s="25">
        <f>IF($C3666="","",Registro_Compras!$Y$410)</f>
        <v/>
      </c>
      <c r="B3666">
        <f>IF($C3666="","","C"&amp;TEXT(INT((ROW()-5)/9)+1,"000")&amp;"-4")</f>
        <v/>
      </c>
      <c r="C3666">
        <f>IF(OR(Registro_Compras!$C$410="",Registro_Compras!$O$410="",Registro_Compras!$Y$410="",Registro_Compras!$F$410="NOTA DE CREDITO"),"","4212")</f>
        <v/>
      </c>
      <c r="D3666">
        <f>IF(OR(Registro_Compras!$C$410="",Registro_Compras!$O$410=""),"","Cuentas por Pagar Comerciales - Terceros")</f>
        <v/>
      </c>
      <c r="E3666" s="20">
        <f>IF($C3666="","",IF(Registro_Compras!$F$410="RHE",(ROUND(Registro_Compras!$L$410*Registro_Compras!$N$410,2)-ROUND(Registro_Compras!$V$410*Registro_Compras!$N$410,2)),ROUND(Registro_Compras!$O$410-Registro_Compras!$S$410,2)))</f>
        <v/>
      </c>
      <c r="F3666" s="20">
        <f>""</f>
        <v/>
      </c>
      <c r="G3666">
        <f>IF($C3666="","","Por la cancelacion del saldo al proveedor")</f>
        <v/>
      </c>
      <c r="H3666">
        <f>IF($C3666="","",Registro_Compras!$C$410)</f>
        <v/>
      </c>
    </row>
    <row r="3667">
      <c r="A3667" s="25">
        <f>IF($C3667="","",Registro_Compras!$Y$410)</f>
        <v/>
      </c>
      <c r="B3667">
        <f>IF($C3667="","","C"&amp;TEXT(INT((ROW()-5)/9)+1,"000")&amp;"-4")</f>
        <v/>
      </c>
      <c r="C3667">
        <f>IF(OR(Registro_Compras!$C$410="",Registro_Compras!$O$410="",Registro_Compras!$Y$410="",Registro_Compras!$F$410="NOTA DE CREDITO"),"","10413")</f>
        <v/>
      </c>
      <c r="D3667">
        <f>IF(OR(Registro_Compras!$C$410="",Registro_Compras!$O$410=""),"","Efectivo y Equivalentes - Cta. Cte. Operativa")</f>
        <v/>
      </c>
      <c r="E3667" s="20">
        <f>""</f>
        <v/>
      </c>
      <c r="F3667" s="20">
        <f>IF($C3667="","",IF(Registro_Compras!$F$410="RHE",(ROUND(Registro_Compras!$L$410*Registro_Compras!$N$410,2)-ROUND(Registro_Compras!$V$410*Registro_Compras!$N$410,2)),ROUND(Registro_Compras!$O$410-Registro_Compras!$S$410,2)))</f>
        <v/>
      </c>
      <c r="G3667">
        <f>IF($C3667="","","Por la cancelacion del saldo al proveedor")</f>
        <v/>
      </c>
      <c r="H3667">
        <f>IF($C3667="","",Registro_Compras!$C$410)</f>
        <v/>
      </c>
    </row>
    <row r="3668">
      <c r="A3668" s="25">
        <f>IF($C3668="","",Registro_Compras!$B$411)</f>
        <v/>
      </c>
      <c r="B3668">
        <f>IF($C3668="","","C"&amp;TEXT(INT((ROW()-5)/9)+1,"000")&amp;"-1")</f>
        <v/>
      </c>
      <c r="C3668">
        <f>IF(OR(Registro_Compras!$C$411="",Registro_Compras!$O$411=""),"",IF(Registro_Compras!$F$411="NOTA DE CREDITO","4212",IF(Registro_Compras!$M$411="","63",Registro_Compras!$M$411)))</f>
        <v/>
      </c>
      <c r="D3668">
        <f>IF(OR(Registro_Compras!$C$411="",Registro_Compras!$O$411=""),"",IF(Registro_Compras!$F$411="NOTA DE CREDITO","Cuentas por Pagar Comerciales - Terceros (Emitidas)",IF(Registro_Compras!$F$411="RHE","Honorarios Profesionales - Servicios de Terceros","Gastos de Servicios Prestados por Terceros")))</f>
        <v/>
      </c>
      <c r="E3668" s="20">
        <f>IF($C3668="","",IF(Registro_Compras!$F$411="NOTA DE CREDITO",ABS(Registro_Compras!$O$411),IF(Registro_Compras!$F$411="RHE",ROUND(Registro_Compras!$L$411*Registro_Compras!$N$411,2),ROUND(Registro_Compras!$J$411*Registro_Compras!$N$411,2))))</f>
        <v/>
      </c>
      <c r="F3668" s="20">
        <f>""</f>
        <v/>
      </c>
      <c r="G3668">
        <f>IF($C3668="","",IF(Registro_Compras!$F$411="NOTA DE CREDITO","Por la nota de credito "&amp;Registro_Compras!$C$411&amp;" de "&amp;Registro_Compras!$E$411&amp;" [PATRON POR CONFIRMAR CON CONTADOR]",IF(Registro_Compras!$F$411="RHE","Por el registro del recibo por honorarios "&amp;Registro_Compras!$C$411&amp;" de "&amp;Registro_Compras!$E$411&amp;" [PATRON POR CONFIRMAR CON CONTADOR]","Por el registro de la factura "&amp;Registro_Compras!$C$411&amp;" de "&amp;Registro_Compras!$E$411)))</f>
        <v/>
      </c>
      <c r="H3668">
        <f>IF($C3668="","",Registro_Compras!$C$411)</f>
        <v/>
      </c>
    </row>
    <row r="3669">
      <c r="A3669" s="25">
        <f>IF($C3669="","",Registro_Compras!$B$411)</f>
        <v/>
      </c>
      <c r="B3669">
        <f>IF($C3669="","","C"&amp;TEXT(INT((ROW()-5)/9)+1,"000")&amp;"-1")</f>
        <v/>
      </c>
      <c r="C3669">
        <f>IF(OR(Registro_Compras!$C$411="",Registro_Compras!$O$411=""),"",IF(Registro_Compras!$F$411="RHE",IF(Registro_Compras!$V$411=0,"","40172"),IF(Registro_Compras!$F$411="NOTA DE CREDITO",IF(Registro_Compras!$M$411="","63",Registro_Compras!$M$411),IF(Registro_Compras!$K$411=0,"","40111"))))</f>
        <v/>
      </c>
      <c r="D3669">
        <f>IF(OR(Registro_Compras!$C$411="",Registro_Compras!$O$411=""),"",IF(Registro_Compras!$F$411="RHE","Retencion Renta 4ta Categoria por Pagar",IF(Registro_Compras!$F$411="NOTA DE CREDITO","Gastos de Servicios Prestados por Terceros","IGV - Cuenta Propia (Credito Fiscal)")))</f>
        <v/>
      </c>
      <c r="E3669" s="20">
        <f>IF($C3669="","",IF(Registro_Compras!$F$411="FACTURA",ROUND(Registro_Compras!$K$411*Registro_Compras!$N$411,2),""))</f>
        <v/>
      </c>
      <c r="F3669" s="20">
        <f>IF($C3669="","",IF(Registro_Compras!$F$411="RHE",ROUND(Registro_Compras!$V$411*Registro_Compras!$N$411,2),IF(Registro_Compras!$F$411="NOTA DE CREDITO",ROUND(ABS(Registro_Compras!$J$411*Registro_Compras!$N$411),2),"")))</f>
        <v/>
      </c>
      <c r="G3669">
        <f>IF($C3669="","",IF(Registro_Compras!$F$411="NOTA DE CREDITO","Por la nota de credito "&amp;Registro_Compras!$C$411&amp;" de "&amp;Registro_Compras!$E$411&amp;" [PATRON POR CONFIRMAR CON CONTADOR]",IF(Registro_Compras!$F$411="RHE","Por el registro del recibo por honorarios "&amp;Registro_Compras!$C$411&amp;" de "&amp;Registro_Compras!$E$411&amp;" [PATRON POR CONFIRMAR CON CONTADOR]","Por el registro de la factura "&amp;Registro_Compras!$C$411&amp;" de "&amp;Registro_Compras!$E$411)))</f>
        <v/>
      </c>
      <c r="H3669">
        <f>IF($C3669="","",Registro_Compras!$C$411)</f>
        <v/>
      </c>
    </row>
    <row r="3670">
      <c r="A3670" s="25">
        <f>IF($C3670="","",Registro_Compras!$B$411)</f>
        <v/>
      </c>
      <c r="B3670">
        <f>IF($C3670="","","C"&amp;TEXT(INT((ROW()-5)/9)+1,"000")&amp;"-1")</f>
        <v/>
      </c>
      <c r="C3670">
        <f>IF(OR(Registro_Compras!$C$411="",Registro_Compras!$O$411=""),"",IF(Registro_Compras!$F$411="NOTA DE CREDITO",IF(Registro_Compras!$K$411=0,"","40111"),"4212"))</f>
        <v/>
      </c>
      <c r="D3670">
        <f>IF(OR(Registro_Compras!$C$411="",Registro_Compras!$O$411=""),"",IF(Registro_Compras!$F$411="NOTA DE CREDITO","IGV - Cuenta Propia (Credito Fiscal)","Cuentas por Pagar Comerciales - Terceros (Emitidas)"))</f>
        <v/>
      </c>
      <c r="E3670" s="20">
        <f>""</f>
        <v/>
      </c>
      <c r="F3670" s="20">
        <f>IF($C3670="","",IF(Registro_Compras!$F$411="NOTA DE CREDITO",ROUND(ABS(Registro_Compras!$K$411*Registro_Compras!$N$411),2),IF(Registro_Compras!$F$411="RHE",(ROUND(Registro_Compras!$L$411*Registro_Compras!$N$411,2)-ROUND(Registro_Compras!$V$411*Registro_Compras!$N$411,2)),Registro_Compras!$O$411)))</f>
        <v/>
      </c>
      <c r="G3670">
        <f>IF($C3670="","",IF(Registro_Compras!$F$411="NOTA DE CREDITO","Por la nota de credito "&amp;Registro_Compras!$C$411&amp;" de "&amp;Registro_Compras!$E$411&amp;" [PATRON POR CONFIRMAR CON CONTADOR]",IF(Registro_Compras!$F$411="RHE","Por el registro del recibo por honorarios "&amp;Registro_Compras!$C$411&amp;" de "&amp;Registro_Compras!$E$411&amp;" [PATRON POR CONFIRMAR CON CONTADOR]","Por el registro de la factura "&amp;Registro_Compras!$C$411&amp;" de "&amp;Registro_Compras!$E$411)))</f>
        <v/>
      </c>
      <c r="H3670">
        <f>IF($C3670="","",Registro_Compras!$C$411)</f>
        <v/>
      </c>
    </row>
    <row r="3671">
      <c r="A3671" s="25">
        <f>IF($C3671="","",Registro_Compras!$B$411)</f>
        <v/>
      </c>
      <c r="B3671">
        <f>IF($C3671="","","C"&amp;TEXT(INT((ROW()-5)/9)+1,"000")&amp;"-2")</f>
        <v/>
      </c>
      <c r="C3671">
        <f>IF(OR(Registro_Compras!$C$411="",Registro_Compras!$O$411=""),"",IF(Registro_Compras!$AB$411="ADMINISTRATIVO","94","95"))</f>
        <v/>
      </c>
      <c r="D3671">
        <f>IF(OR(Registro_Compras!$C$411="",Registro_Compras!$O$411=""),"",IF(Registro_Compras!$AB$411="ADMINISTRATIVO","Gastos Administrativos","Gastos de Venta y Operacion"))</f>
        <v/>
      </c>
      <c r="E3671" s="20">
        <f>IF($C3671="","",IF(Registro_Compras!$F$411="NOTA DE CREDITO","",IF(Registro_Compras!$F$411="RHE",ROUND(Registro_Compras!$L$411*Registro_Compras!$N$411,2),ROUND(Registro_Compras!$J$411*Registro_Compras!$N$411,2))))</f>
        <v/>
      </c>
      <c r="F3671" s="20">
        <f>IF($C3671="","",IF(Registro_Compras!$F$411="NOTA DE CREDITO",ROUND(ABS(Registro_Compras!$J$411*Registro_Compras!$N$411),2),""))</f>
        <v/>
      </c>
      <c r="G3671">
        <f>IF($C3671="","","Por el destino del gasto")</f>
        <v/>
      </c>
      <c r="H3671">
        <f>IF($C3671="","",Registro_Compras!$C$411)</f>
        <v/>
      </c>
    </row>
    <row r="3672">
      <c r="A3672" s="25">
        <f>IF($C3672="","",Registro_Compras!$B$411)</f>
        <v/>
      </c>
      <c r="B3672">
        <f>IF($C3672="","","C"&amp;TEXT(INT((ROW()-5)/9)+1,"000")&amp;"-2")</f>
        <v/>
      </c>
      <c r="C3672">
        <f>IF(OR(Registro_Compras!$C$411="",Registro_Compras!$O$411=""),"","79/791")</f>
        <v/>
      </c>
      <c r="D3672">
        <f>IF(OR(Registro_Compras!$C$411="",Registro_Compras!$O$411=""),"","Cargas Imputables a Cuentas de Costos y Gastos")</f>
        <v/>
      </c>
      <c r="E3672" s="20">
        <f>IF($C3672="","",IF(Registro_Compras!$F$411="NOTA DE CREDITO",ROUND(ABS(Registro_Compras!$J$411*Registro_Compras!$N$411),2),""))</f>
        <v/>
      </c>
      <c r="F3672" s="20">
        <f>IF($C3672="","",IF(Registro_Compras!$F$411="NOTA DE CREDITO","",IF(Registro_Compras!$F$411="RHE",ROUND(Registro_Compras!$L$411*Registro_Compras!$N$411,2),ROUND(Registro_Compras!$J$411*Registro_Compras!$N$411,2))))</f>
        <v/>
      </c>
      <c r="G3672">
        <f>IF($C3672="","","Por el destino del gasto")</f>
        <v/>
      </c>
      <c r="H3672">
        <f>IF($C3672="","",Registro_Compras!$C$411)</f>
        <v/>
      </c>
    </row>
    <row r="3673">
      <c r="A3673" s="25">
        <f>IF($C3673="","",Registro_Compras!$X$411)</f>
        <v/>
      </c>
      <c r="B3673">
        <f>IF($C3673="","","C"&amp;TEXT(INT((ROW()-5)/9)+1,"000")&amp;"-3")</f>
        <v/>
      </c>
      <c r="C3673">
        <f>IF(OR(Registro_Compras!$C$411="",Registro_Compras!$O$411="",Registro_Compras!$R$411&lt;&gt;"SI",Registro_Compras!$X$411=""),"","4212")</f>
        <v/>
      </c>
      <c r="D3673">
        <f>IF(OR(Registro_Compras!$C$411="",Registro_Compras!$O$411=""),"","Cuentas por Pagar Comerciales - Terceros")</f>
        <v/>
      </c>
      <c r="E3673" s="20">
        <f>IF($C3673="","",Registro_Compras!$S$411)</f>
        <v/>
      </c>
      <c r="F3673" s="20">
        <f>""</f>
        <v/>
      </c>
      <c r="G3673">
        <f>IF($C3673="","","Por el deposito de la detraccion en el Banco de la Nacion")</f>
        <v/>
      </c>
      <c r="H3673">
        <f>IF($C3673="","",Registro_Compras!$C$411)</f>
        <v/>
      </c>
    </row>
    <row r="3674">
      <c r="A3674" s="25">
        <f>IF($C3674="","",Registro_Compras!$X$411)</f>
        <v/>
      </c>
      <c r="B3674">
        <f>IF($C3674="","","C"&amp;TEXT(INT((ROW()-5)/9)+1,"000")&amp;"-3")</f>
        <v/>
      </c>
      <c r="C3674">
        <f>IF(OR(Registro_Compras!$C$411="",Registro_Compras!$O$411="",Registro_Compras!$R$411&lt;&gt;"SI",Registro_Compras!$X$411=""),"","10413")</f>
        <v/>
      </c>
      <c r="D3674">
        <f>IF(OR(Registro_Compras!$C$411="",Registro_Compras!$O$411=""),"","Efectivo y Equivalentes - Cta. Cte. Operativa")</f>
        <v/>
      </c>
      <c r="E3674" s="20">
        <f>""</f>
        <v/>
      </c>
      <c r="F3674" s="20">
        <f>IF($C3674="","",Registro_Compras!$S$411)</f>
        <v/>
      </c>
      <c r="G3674">
        <f>IF($C3674="","","Por el deposito de la detraccion en el Banco de la Nacion")</f>
        <v/>
      </c>
      <c r="H3674">
        <f>IF($C3674="","",Registro_Compras!$C$411)</f>
        <v/>
      </c>
    </row>
    <row r="3675">
      <c r="A3675" s="25">
        <f>IF($C3675="","",Registro_Compras!$Y$411)</f>
        <v/>
      </c>
      <c r="B3675">
        <f>IF($C3675="","","C"&amp;TEXT(INT((ROW()-5)/9)+1,"000")&amp;"-4")</f>
        <v/>
      </c>
      <c r="C3675">
        <f>IF(OR(Registro_Compras!$C$411="",Registro_Compras!$O$411="",Registro_Compras!$Y$411="",Registro_Compras!$F$411="NOTA DE CREDITO"),"","4212")</f>
        <v/>
      </c>
      <c r="D3675">
        <f>IF(OR(Registro_Compras!$C$411="",Registro_Compras!$O$411=""),"","Cuentas por Pagar Comerciales - Terceros")</f>
        <v/>
      </c>
      <c r="E3675" s="20">
        <f>IF($C3675="","",IF(Registro_Compras!$F$411="RHE",(ROUND(Registro_Compras!$L$411*Registro_Compras!$N$411,2)-ROUND(Registro_Compras!$V$411*Registro_Compras!$N$411,2)),ROUND(Registro_Compras!$O$411-Registro_Compras!$S$411,2)))</f>
        <v/>
      </c>
      <c r="F3675" s="20">
        <f>""</f>
        <v/>
      </c>
      <c r="G3675">
        <f>IF($C3675="","","Por la cancelacion del saldo al proveedor")</f>
        <v/>
      </c>
      <c r="H3675">
        <f>IF($C3675="","",Registro_Compras!$C$411)</f>
        <v/>
      </c>
    </row>
    <row r="3676">
      <c r="A3676" s="25">
        <f>IF($C3676="","",Registro_Compras!$Y$411)</f>
        <v/>
      </c>
      <c r="B3676">
        <f>IF($C3676="","","C"&amp;TEXT(INT((ROW()-5)/9)+1,"000")&amp;"-4")</f>
        <v/>
      </c>
      <c r="C3676">
        <f>IF(OR(Registro_Compras!$C$411="",Registro_Compras!$O$411="",Registro_Compras!$Y$411="",Registro_Compras!$F$411="NOTA DE CREDITO"),"","10413")</f>
        <v/>
      </c>
      <c r="D3676">
        <f>IF(OR(Registro_Compras!$C$411="",Registro_Compras!$O$411=""),"","Efectivo y Equivalentes - Cta. Cte. Operativa")</f>
        <v/>
      </c>
      <c r="E3676" s="20">
        <f>""</f>
        <v/>
      </c>
      <c r="F3676" s="20">
        <f>IF($C3676="","",IF(Registro_Compras!$F$411="RHE",(ROUND(Registro_Compras!$L$411*Registro_Compras!$N$411,2)-ROUND(Registro_Compras!$V$411*Registro_Compras!$N$411,2)),ROUND(Registro_Compras!$O$411-Registro_Compras!$S$411,2)))</f>
        <v/>
      </c>
      <c r="G3676">
        <f>IF($C3676="","","Por la cancelacion del saldo al proveedor")</f>
        <v/>
      </c>
      <c r="H3676">
        <f>IF($C3676="","",Registro_Compras!$C$411)</f>
        <v/>
      </c>
    </row>
    <row r="3677">
      <c r="A3677" s="25">
        <f>IF($C3677="","",Registro_Compras!$B$412)</f>
        <v/>
      </c>
      <c r="B3677">
        <f>IF($C3677="","","C"&amp;TEXT(INT((ROW()-5)/9)+1,"000")&amp;"-1")</f>
        <v/>
      </c>
      <c r="C3677">
        <f>IF(OR(Registro_Compras!$C$412="",Registro_Compras!$O$412=""),"",IF(Registro_Compras!$F$412="NOTA DE CREDITO","4212",IF(Registro_Compras!$M$412="","63",Registro_Compras!$M$412)))</f>
        <v/>
      </c>
      <c r="D3677">
        <f>IF(OR(Registro_Compras!$C$412="",Registro_Compras!$O$412=""),"",IF(Registro_Compras!$F$412="NOTA DE CREDITO","Cuentas por Pagar Comerciales - Terceros (Emitidas)",IF(Registro_Compras!$F$412="RHE","Honorarios Profesionales - Servicios de Terceros","Gastos de Servicios Prestados por Terceros")))</f>
        <v/>
      </c>
      <c r="E3677" s="20">
        <f>IF($C3677="","",IF(Registro_Compras!$F$412="NOTA DE CREDITO",ABS(Registro_Compras!$O$412),IF(Registro_Compras!$F$412="RHE",ROUND(Registro_Compras!$L$412*Registro_Compras!$N$412,2),ROUND(Registro_Compras!$J$412*Registro_Compras!$N$412,2))))</f>
        <v/>
      </c>
      <c r="F3677" s="20">
        <f>""</f>
        <v/>
      </c>
      <c r="G3677">
        <f>IF($C3677="","",IF(Registro_Compras!$F$412="NOTA DE CREDITO","Por la nota de credito "&amp;Registro_Compras!$C$412&amp;" de "&amp;Registro_Compras!$E$412&amp;" [PATRON POR CONFIRMAR CON CONTADOR]",IF(Registro_Compras!$F$412="RHE","Por el registro del recibo por honorarios "&amp;Registro_Compras!$C$412&amp;" de "&amp;Registro_Compras!$E$412&amp;" [PATRON POR CONFIRMAR CON CONTADOR]","Por el registro de la factura "&amp;Registro_Compras!$C$412&amp;" de "&amp;Registro_Compras!$E$412)))</f>
        <v/>
      </c>
      <c r="H3677">
        <f>IF($C3677="","",Registro_Compras!$C$412)</f>
        <v/>
      </c>
    </row>
    <row r="3678">
      <c r="A3678" s="25">
        <f>IF($C3678="","",Registro_Compras!$B$412)</f>
        <v/>
      </c>
      <c r="B3678">
        <f>IF($C3678="","","C"&amp;TEXT(INT((ROW()-5)/9)+1,"000")&amp;"-1")</f>
        <v/>
      </c>
      <c r="C3678">
        <f>IF(OR(Registro_Compras!$C$412="",Registro_Compras!$O$412=""),"",IF(Registro_Compras!$F$412="RHE",IF(Registro_Compras!$V$412=0,"","40172"),IF(Registro_Compras!$F$412="NOTA DE CREDITO",IF(Registro_Compras!$M$412="","63",Registro_Compras!$M$412),IF(Registro_Compras!$K$412=0,"","40111"))))</f>
        <v/>
      </c>
      <c r="D3678">
        <f>IF(OR(Registro_Compras!$C$412="",Registro_Compras!$O$412=""),"",IF(Registro_Compras!$F$412="RHE","Retencion Renta 4ta Categoria por Pagar",IF(Registro_Compras!$F$412="NOTA DE CREDITO","Gastos de Servicios Prestados por Terceros","IGV - Cuenta Propia (Credito Fiscal)")))</f>
        <v/>
      </c>
      <c r="E3678" s="20">
        <f>IF($C3678="","",IF(Registro_Compras!$F$412="FACTURA",ROUND(Registro_Compras!$K$412*Registro_Compras!$N$412,2),""))</f>
        <v/>
      </c>
      <c r="F3678" s="20">
        <f>IF($C3678="","",IF(Registro_Compras!$F$412="RHE",ROUND(Registro_Compras!$V$412*Registro_Compras!$N$412,2),IF(Registro_Compras!$F$412="NOTA DE CREDITO",ROUND(ABS(Registro_Compras!$J$412*Registro_Compras!$N$412),2),"")))</f>
        <v/>
      </c>
      <c r="G3678">
        <f>IF($C3678="","",IF(Registro_Compras!$F$412="NOTA DE CREDITO","Por la nota de credito "&amp;Registro_Compras!$C$412&amp;" de "&amp;Registro_Compras!$E$412&amp;" [PATRON POR CONFIRMAR CON CONTADOR]",IF(Registro_Compras!$F$412="RHE","Por el registro del recibo por honorarios "&amp;Registro_Compras!$C$412&amp;" de "&amp;Registro_Compras!$E$412&amp;" [PATRON POR CONFIRMAR CON CONTADOR]","Por el registro de la factura "&amp;Registro_Compras!$C$412&amp;" de "&amp;Registro_Compras!$E$412)))</f>
        <v/>
      </c>
      <c r="H3678">
        <f>IF($C3678="","",Registro_Compras!$C$412)</f>
        <v/>
      </c>
    </row>
    <row r="3679">
      <c r="A3679" s="25">
        <f>IF($C3679="","",Registro_Compras!$B$412)</f>
        <v/>
      </c>
      <c r="B3679">
        <f>IF($C3679="","","C"&amp;TEXT(INT((ROW()-5)/9)+1,"000")&amp;"-1")</f>
        <v/>
      </c>
      <c r="C3679">
        <f>IF(OR(Registro_Compras!$C$412="",Registro_Compras!$O$412=""),"",IF(Registro_Compras!$F$412="NOTA DE CREDITO",IF(Registro_Compras!$K$412=0,"","40111"),"4212"))</f>
        <v/>
      </c>
      <c r="D3679">
        <f>IF(OR(Registro_Compras!$C$412="",Registro_Compras!$O$412=""),"",IF(Registro_Compras!$F$412="NOTA DE CREDITO","IGV - Cuenta Propia (Credito Fiscal)","Cuentas por Pagar Comerciales - Terceros (Emitidas)"))</f>
        <v/>
      </c>
      <c r="E3679" s="20">
        <f>""</f>
        <v/>
      </c>
      <c r="F3679" s="20">
        <f>IF($C3679="","",IF(Registro_Compras!$F$412="NOTA DE CREDITO",ROUND(ABS(Registro_Compras!$K$412*Registro_Compras!$N$412),2),IF(Registro_Compras!$F$412="RHE",(ROUND(Registro_Compras!$L$412*Registro_Compras!$N$412,2)-ROUND(Registro_Compras!$V$412*Registro_Compras!$N$412,2)),Registro_Compras!$O$412)))</f>
        <v/>
      </c>
      <c r="G3679">
        <f>IF($C3679="","",IF(Registro_Compras!$F$412="NOTA DE CREDITO","Por la nota de credito "&amp;Registro_Compras!$C$412&amp;" de "&amp;Registro_Compras!$E$412&amp;" [PATRON POR CONFIRMAR CON CONTADOR]",IF(Registro_Compras!$F$412="RHE","Por el registro del recibo por honorarios "&amp;Registro_Compras!$C$412&amp;" de "&amp;Registro_Compras!$E$412&amp;" [PATRON POR CONFIRMAR CON CONTADOR]","Por el registro de la factura "&amp;Registro_Compras!$C$412&amp;" de "&amp;Registro_Compras!$E$412)))</f>
        <v/>
      </c>
      <c r="H3679">
        <f>IF($C3679="","",Registro_Compras!$C$412)</f>
        <v/>
      </c>
    </row>
    <row r="3680">
      <c r="A3680" s="25">
        <f>IF($C3680="","",Registro_Compras!$B$412)</f>
        <v/>
      </c>
      <c r="B3680">
        <f>IF($C3680="","","C"&amp;TEXT(INT((ROW()-5)/9)+1,"000")&amp;"-2")</f>
        <v/>
      </c>
      <c r="C3680">
        <f>IF(OR(Registro_Compras!$C$412="",Registro_Compras!$O$412=""),"",IF(Registro_Compras!$AB$412="ADMINISTRATIVO","94","95"))</f>
        <v/>
      </c>
      <c r="D3680">
        <f>IF(OR(Registro_Compras!$C$412="",Registro_Compras!$O$412=""),"",IF(Registro_Compras!$AB$412="ADMINISTRATIVO","Gastos Administrativos","Gastos de Venta y Operacion"))</f>
        <v/>
      </c>
      <c r="E3680" s="20">
        <f>IF($C3680="","",IF(Registro_Compras!$F$412="NOTA DE CREDITO","",IF(Registro_Compras!$F$412="RHE",ROUND(Registro_Compras!$L$412*Registro_Compras!$N$412,2),ROUND(Registro_Compras!$J$412*Registro_Compras!$N$412,2))))</f>
        <v/>
      </c>
      <c r="F3680" s="20">
        <f>IF($C3680="","",IF(Registro_Compras!$F$412="NOTA DE CREDITO",ROUND(ABS(Registro_Compras!$J$412*Registro_Compras!$N$412),2),""))</f>
        <v/>
      </c>
      <c r="G3680">
        <f>IF($C3680="","","Por el destino del gasto")</f>
        <v/>
      </c>
      <c r="H3680">
        <f>IF($C3680="","",Registro_Compras!$C$412)</f>
        <v/>
      </c>
    </row>
    <row r="3681">
      <c r="A3681" s="25">
        <f>IF($C3681="","",Registro_Compras!$B$412)</f>
        <v/>
      </c>
      <c r="B3681">
        <f>IF($C3681="","","C"&amp;TEXT(INT((ROW()-5)/9)+1,"000")&amp;"-2")</f>
        <v/>
      </c>
      <c r="C3681">
        <f>IF(OR(Registro_Compras!$C$412="",Registro_Compras!$O$412=""),"","79/791")</f>
        <v/>
      </c>
      <c r="D3681">
        <f>IF(OR(Registro_Compras!$C$412="",Registro_Compras!$O$412=""),"","Cargas Imputables a Cuentas de Costos y Gastos")</f>
        <v/>
      </c>
      <c r="E3681" s="20">
        <f>IF($C3681="","",IF(Registro_Compras!$F$412="NOTA DE CREDITO",ROUND(ABS(Registro_Compras!$J$412*Registro_Compras!$N$412),2),""))</f>
        <v/>
      </c>
      <c r="F3681" s="20">
        <f>IF($C3681="","",IF(Registro_Compras!$F$412="NOTA DE CREDITO","",IF(Registro_Compras!$F$412="RHE",ROUND(Registro_Compras!$L$412*Registro_Compras!$N$412,2),ROUND(Registro_Compras!$J$412*Registro_Compras!$N$412,2))))</f>
        <v/>
      </c>
      <c r="G3681">
        <f>IF($C3681="","","Por el destino del gasto")</f>
        <v/>
      </c>
      <c r="H3681">
        <f>IF($C3681="","",Registro_Compras!$C$412)</f>
        <v/>
      </c>
    </row>
    <row r="3682">
      <c r="A3682" s="25">
        <f>IF($C3682="","",Registro_Compras!$X$412)</f>
        <v/>
      </c>
      <c r="B3682">
        <f>IF($C3682="","","C"&amp;TEXT(INT((ROW()-5)/9)+1,"000")&amp;"-3")</f>
        <v/>
      </c>
      <c r="C3682">
        <f>IF(OR(Registro_Compras!$C$412="",Registro_Compras!$O$412="",Registro_Compras!$R$412&lt;&gt;"SI",Registro_Compras!$X$412=""),"","4212")</f>
        <v/>
      </c>
      <c r="D3682">
        <f>IF(OR(Registro_Compras!$C$412="",Registro_Compras!$O$412=""),"","Cuentas por Pagar Comerciales - Terceros")</f>
        <v/>
      </c>
      <c r="E3682" s="20">
        <f>IF($C3682="","",Registro_Compras!$S$412)</f>
        <v/>
      </c>
      <c r="F3682" s="20">
        <f>""</f>
        <v/>
      </c>
      <c r="G3682">
        <f>IF($C3682="","","Por el deposito de la detraccion en el Banco de la Nacion")</f>
        <v/>
      </c>
      <c r="H3682">
        <f>IF($C3682="","",Registro_Compras!$C$412)</f>
        <v/>
      </c>
    </row>
    <row r="3683">
      <c r="A3683" s="25">
        <f>IF($C3683="","",Registro_Compras!$X$412)</f>
        <v/>
      </c>
      <c r="B3683">
        <f>IF($C3683="","","C"&amp;TEXT(INT((ROW()-5)/9)+1,"000")&amp;"-3")</f>
        <v/>
      </c>
      <c r="C3683">
        <f>IF(OR(Registro_Compras!$C$412="",Registro_Compras!$O$412="",Registro_Compras!$R$412&lt;&gt;"SI",Registro_Compras!$X$412=""),"","10413")</f>
        <v/>
      </c>
      <c r="D3683">
        <f>IF(OR(Registro_Compras!$C$412="",Registro_Compras!$O$412=""),"","Efectivo y Equivalentes - Cta. Cte. Operativa")</f>
        <v/>
      </c>
      <c r="E3683" s="20">
        <f>""</f>
        <v/>
      </c>
      <c r="F3683" s="20">
        <f>IF($C3683="","",Registro_Compras!$S$412)</f>
        <v/>
      </c>
      <c r="G3683">
        <f>IF($C3683="","","Por el deposito de la detraccion en el Banco de la Nacion")</f>
        <v/>
      </c>
      <c r="H3683">
        <f>IF($C3683="","",Registro_Compras!$C$412)</f>
        <v/>
      </c>
    </row>
    <row r="3684">
      <c r="A3684" s="25">
        <f>IF($C3684="","",Registro_Compras!$Y$412)</f>
        <v/>
      </c>
      <c r="B3684">
        <f>IF($C3684="","","C"&amp;TEXT(INT((ROW()-5)/9)+1,"000")&amp;"-4")</f>
        <v/>
      </c>
      <c r="C3684">
        <f>IF(OR(Registro_Compras!$C$412="",Registro_Compras!$O$412="",Registro_Compras!$Y$412="",Registro_Compras!$F$412="NOTA DE CREDITO"),"","4212")</f>
        <v/>
      </c>
      <c r="D3684">
        <f>IF(OR(Registro_Compras!$C$412="",Registro_Compras!$O$412=""),"","Cuentas por Pagar Comerciales - Terceros")</f>
        <v/>
      </c>
      <c r="E3684" s="20">
        <f>IF($C3684="","",IF(Registro_Compras!$F$412="RHE",(ROUND(Registro_Compras!$L$412*Registro_Compras!$N$412,2)-ROUND(Registro_Compras!$V$412*Registro_Compras!$N$412,2)),ROUND(Registro_Compras!$O$412-Registro_Compras!$S$412,2)))</f>
        <v/>
      </c>
      <c r="F3684" s="20">
        <f>""</f>
        <v/>
      </c>
      <c r="G3684">
        <f>IF($C3684="","","Por la cancelacion del saldo al proveedor")</f>
        <v/>
      </c>
      <c r="H3684">
        <f>IF($C3684="","",Registro_Compras!$C$412)</f>
        <v/>
      </c>
    </row>
    <row r="3685">
      <c r="A3685" s="25">
        <f>IF($C3685="","",Registro_Compras!$Y$412)</f>
        <v/>
      </c>
      <c r="B3685">
        <f>IF($C3685="","","C"&amp;TEXT(INT((ROW()-5)/9)+1,"000")&amp;"-4")</f>
        <v/>
      </c>
      <c r="C3685">
        <f>IF(OR(Registro_Compras!$C$412="",Registro_Compras!$O$412="",Registro_Compras!$Y$412="",Registro_Compras!$F$412="NOTA DE CREDITO"),"","10413")</f>
        <v/>
      </c>
      <c r="D3685">
        <f>IF(OR(Registro_Compras!$C$412="",Registro_Compras!$O$412=""),"","Efectivo y Equivalentes - Cta. Cte. Operativa")</f>
        <v/>
      </c>
      <c r="E3685" s="20">
        <f>""</f>
        <v/>
      </c>
      <c r="F3685" s="20">
        <f>IF($C3685="","",IF(Registro_Compras!$F$412="RHE",(ROUND(Registro_Compras!$L$412*Registro_Compras!$N$412,2)-ROUND(Registro_Compras!$V$412*Registro_Compras!$N$412,2)),ROUND(Registro_Compras!$O$412-Registro_Compras!$S$412,2)))</f>
        <v/>
      </c>
      <c r="G3685">
        <f>IF($C3685="","","Por la cancelacion del saldo al proveedor")</f>
        <v/>
      </c>
      <c r="H3685">
        <f>IF($C3685="","",Registro_Compras!$C$412)</f>
        <v/>
      </c>
    </row>
    <row r="3686">
      <c r="A3686" s="25">
        <f>IF($C3686="","",Registro_Compras!$B$413)</f>
        <v/>
      </c>
      <c r="B3686">
        <f>IF($C3686="","","C"&amp;TEXT(INT((ROW()-5)/9)+1,"000")&amp;"-1")</f>
        <v/>
      </c>
      <c r="C3686">
        <f>IF(OR(Registro_Compras!$C$413="",Registro_Compras!$O$413=""),"",IF(Registro_Compras!$F$413="NOTA DE CREDITO","4212",IF(Registro_Compras!$M$413="","63",Registro_Compras!$M$413)))</f>
        <v/>
      </c>
      <c r="D3686">
        <f>IF(OR(Registro_Compras!$C$413="",Registro_Compras!$O$413=""),"",IF(Registro_Compras!$F$413="NOTA DE CREDITO","Cuentas por Pagar Comerciales - Terceros (Emitidas)",IF(Registro_Compras!$F$413="RHE","Honorarios Profesionales - Servicios de Terceros","Gastos de Servicios Prestados por Terceros")))</f>
        <v/>
      </c>
      <c r="E3686" s="20">
        <f>IF($C3686="","",IF(Registro_Compras!$F$413="NOTA DE CREDITO",ABS(Registro_Compras!$O$413),IF(Registro_Compras!$F$413="RHE",ROUND(Registro_Compras!$L$413*Registro_Compras!$N$413,2),ROUND(Registro_Compras!$J$413*Registro_Compras!$N$413,2))))</f>
        <v/>
      </c>
      <c r="F3686" s="20">
        <f>""</f>
        <v/>
      </c>
      <c r="G3686">
        <f>IF($C3686="","",IF(Registro_Compras!$F$413="NOTA DE CREDITO","Por la nota de credito "&amp;Registro_Compras!$C$413&amp;" de "&amp;Registro_Compras!$E$413&amp;" [PATRON POR CONFIRMAR CON CONTADOR]",IF(Registro_Compras!$F$413="RHE","Por el registro del recibo por honorarios "&amp;Registro_Compras!$C$413&amp;" de "&amp;Registro_Compras!$E$413&amp;" [PATRON POR CONFIRMAR CON CONTADOR]","Por el registro de la factura "&amp;Registro_Compras!$C$413&amp;" de "&amp;Registro_Compras!$E$413)))</f>
        <v/>
      </c>
      <c r="H3686">
        <f>IF($C3686="","",Registro_Compras!$C$413)</f>
        <v/>
      </c>
    </row>
    <row r="3687">
      <c r="A3687" s="25">
        <f>IF($C3687="","",Registro_Compras!$B$413)</f>
        <v/>
      </c>
      <c r="B3687">
        <f>IF($C3687="","","C"&amp;TEXT(INT((ROW()-5)/9)+1,"000")&amp;"-1")</f>
        <v/>
      </c>
      <c r="C3687">
        <f>IF(OR(Registro_Compras!$C$413="",Registro_Compras!$O$413=""),"",IF(Registro_Compras!$F$413="RHE",IF(Registro_Compras!$V$413=0,"","40172"),IF(Registro_Compras!$F$413="NOTA DE CREDITO",IF(Registro_Compras!$M$413="","63",Registro_Compras!$M$413),IF(Registro_Compras!$K$413=0,"","40111"))))</f>
        <v/>
      </c>
      <c r="D3687">
        <f>IF(OR(Registro_Compras!$C$413="",Registro_Compras!$O$413=""),"",IF(Registro_Compras!$F$413="RHE","Retencion Renta 4ta Categoria por Pagar",IF(Registro_Compras!$F$413="NOTA DE CREDITO","Gastos de Servicios Prestados por Terceros","IGV - Cuenta Propia (Credito Fiscal)")))</f>
        <v/>
      </c>
      <c r="E3687" s="20">
        <f>IF($C3687="","",IF(Registro_Compras!$F$413="FACTURA",ROUND(Registro_Compras!$K$413*Registro_Compras!$N$413,2),""))</f>
        <v/>
      </c>
      <c r="F3687" s="20">
        <f>IF($C3687="","",IF(Registro_Compras!$F$413="RHE",ROUND(Registro_Compras!$V$413*Registro_Compras!$N$413,2),IF(Registro_Compras!$F$413="NOTA DE CREDITO",ROUND(ABS(Registro_Compras!$J$413*Registro_Compras!$N$413),2),"")))</f>
        <v/>
      </c>
      <c r="G3687">
        <f>IF($C3687="","",IF(Registro_Compras!$F$413="NOTA DE CREDITO","Por la nota de credito "&amp;Registro_Compras!$C$413&amp;" de "&amp;Registro_Compras!$E$413&amp;" [PATRON POR CONFIRMAR CON CONTADOR]",IF(Registro_Compras!$F$413="RHE","Por el registro del recibo por honorarios "&amp;Registro_Compras!$C$413&amp;" de "&amp;Registro_Compras!$E$413&amp;" [PATRON POR CONFIRMAR CON CONTADOR]","Por el registro de la factura "&amp;Registro_Compras!$C$413&amp;" de "&amp;Registro_Compras!$E$413)))</f>
        <v/>
      </c>
      <c r="H3687">
        <f>IF($C3687="","",Registro_Compras!$C$413)</f>
        <v/>
      </c>
    </row>
    <row r="3688">
      <c r="A3688" s="25">
        <f>IF($C3688="","",Registro_Compras!$B$413)</f>
        <v/>
      </c>
      <c r="B3688">
        <f>IF($C3688="","","C"&amp;TEXT(INT((ROW()-5)/9)+1,"000")&amp;"-1")</f>
        <v/>
      </c>
      <c r="C3688">
        <f>IF(OR(Registro_Compras!$C$413="",Registro_Compras!$O$413=""),"",IF(Registro_Compras!$F$413="NOTA DE CREDITO",IF(Registro_Compras!$K$413=0,"","40111"),"4212"))</f>
        <v/>
      </c>
      <c r="D3688">
        <f>IF(OR(Registro_Compras!$C$413="",Registro_Compras!$O$413=""),"",IF(Registro_Compras!$F$413="NOTA DE CREDITO","IGV - Cuenta Propia (Credito Fiscal)","Cuentas por Pagar Comerciales - Terceros (Emitidas)"))</f>
        <v/>
      </c>
      <c r="E3688" s="20">
        <f>""</f>
        <v/>
      </c>
      <c r="F3688" s="20">
        <f>IF($C3688="","",IF(Registro_Compras!$F$413="NOTA DE CREDITO",ROUND(ABS(Registro_Compras!$K$413*Registro_Compras!$N$413),2),IF(Registro_Compras!$F$413="RHE",(ROUND(Registro_Compras!$L$413*Registro_Compras!$N$413,2)-ROUND(Registro_Compras!$V$413*Registro_Compras!$N$413,2)),Registro_Compras!$O$413)))</f>
        <v/>
      </c>
      <c r="G3688">
        <f>IF($C3688="","",IF(Registro_Compras!$F$413="NOTA DE CREDITO","Por la nota de credito "&amp;Registro_Compras!$C$413&amp;" de "&amp;Registro_Compras!$E$413&amp;" [PATRON POR CONFIRMAR CON CONTADOR]",IF(Registro_Compras!$F$413="RHE","Por el registro del recibo por honorarios "&amp;Registro_Compras!$C$413&amp;" de "&amp;Registro_Compras!$E$413&amp;" [PATRON POR CONFIRMAR CON CONTADOR]","Por el registro de la factura "&amp;Registro_Compras!$C$413&amp;" de "&amp;Registro_Compras!$E$413)))</f>
        <v/>
      </c>
      <c r="H3688">
        <f>IF($C3688="","",Registro_Compras!$C$413)</f>
        <v/>
      </c>
    </row>
    <row r="3689">
      <c r="A3689" s="25">
        <f>IF($C3689="","",Registro_Compras!$B$413)</f>
        <v/>
      </c>
      <c r="B3689">
        <f>IF($C3689="","","C"&amp;TEXT(INT((ROW()-5)/9)+1,"000")&amp;"-2")</f>
        <v/>
      </c>
      <c r="C3689">
        <f>IF(OR(Registro_Compras!$C$413="",Registro_Compras!$O$413=""),"",IF(Registro_Compras!$AB$413="ADMINISTRATIVO","94","95"))</f>
        <v/>
      </c>
      <c r="D3689">
        <f>IF(OR(Registro_Compras!$C$413="",Registro_Compras!$O$413=""),"",IF(Registro_Compras!$AB$413="ADMINISTRATIVO","Gastos Administrativos","Gastos de Venta y Operacion"))</f>
        <v/>
      </c>
      <c r="E3689" s="20">
        <f>IF($C3689="","",IF(Registro_Compras!$F$413="NOTA DE CREDITO","",IF(Registro_Compras!$F$413="RHE",ROUND(Registro_Compras!$L$413*Registro_Compras!$N$413,2),ROUND(Registro_Compras!$J$413*Registro_Compras!$N$413,2))))</f>
        <v/>
      </c>
      <c r="F3689" s="20">
        <f>IF($C3689="","",IF(Registro_Compras!$F$413="NOTA DE CREDITO",ROUND(ABS(Registro_Compras!$J$413*Registro_Compras!$N$413),2),""))</f>
        <v/>
      </c>
      <c r="G3689">
        <f>IF($C3689="","","Por el destino del gasto")</f>
        <v/>
      </c>
      <c r="H3689">
        <f>IF($C3689="","",Registro_Compras!$C$413)</f>
        <v/>
      </c>
    </row>
    <row r="3690">
      <c r="A3690" s="25">
        <f>IF($C3690="","",Registro_Compras!$B$413)</f>
        <v/>
      </c>
      <c r="B3690">
        <f>IF($C3690="","","C"&amp;TEXT(INT((ROW()-5)/9)+1,"000")&amp;"-2")</f>
        <v/>
      </c>
      <c r="C3690">
        <f>IF(OR(Registro_Compras!$C$413="",Registro_Compras!$O$413=""),"","79/791")</f>
        <v/>
      </c>
      <c r="D3690">
        <f>IF(OR(Registro_Compras!$C$413="",Registro_Compras!$O$413=""),"","Cargas Imputables a Cuentas de Costos y Gastos")</f>
        <v/>
      </c>
      <c r="E3690" s="20">
        <f>IF($C3690="","",IF(Registro_Compras!$F$413="NOTA DE CREDITO",ROUND(ABS(Registro_Compras!$J$413*Registro_Compras!$N$413),2),""))</f>
        <v/>
      </c>
      <c r="F3690" s="20">
        <f>IF($C3690="","",IF(Registro_Compras!$F$413="NOTA DE CREDITO","",IF(Registro_Compras!$F$413="RHE",ROUND(Registro_Compras!$L$413*Registro_Compras!$N$413,2),ROUND(Registro_Compras!$J$413*Registro_Compras!$N$413,2))))</f>
        <v/>
      </c>
      <c r="G3690">
        <f>IF($C3690="","","Por el destino del gasto")</f>
        <v/>
      </c>
      <c r="H3690">
        <f>IF($C3690="","",Registro_Compras!$C$413)</f>
        <v/>
      </c>
    </row>
    <row r="3691">
      <c r="A3691" s="25">
        <f>IF($C3691="","",Registro_Compras!$X$413)</f>
        <v/>
      </c>
      <c r="B3691">
        <f>IF($C3691="","","C"&amp;TEXT(INT((ROW()-5)/9)+1,"000")&amp;"-3")</f>
        <v/>
      </c>
      <c r="C3691">
        <f>IF(OR(Registro_Compras!$C$413="",Registro_Compras!$O$413="",Registro_Compras!$R$413&lt;&gt;"SI",Registro_Compras!$X$413=""),"","4212")</f>
        <v/>
      </c>
      <c r="D3691">
        <f>IF(OR(Registro_Compras!$C$413="",Registro_Compras!$O$413=""),"","Cuentas por Pagar Comerciales - Terceros")</f>
        <v/>
      </c>
      <c r="E3691" s="20">
        <f>IF($C3691="","",Registro_Compras!$S$413)</f>
        <v/>
      </c>
      <c r="F3691" s="20">
        <f>""</f>
        <v/>
      </c>
      <c r="G3691">
        <f>IF($C3691="","","Por el deposito de la detraccion en el Banco de la Nacion")</f>
        <v/>
      </c>
      <c r="H3691">
        <f>IF($C3691="","",Registro_Compras!$C$413)</f>
        <v/>
      </c>
    </row>
    <row r="3692">
      <c r="A3692" s="25">
        <f>IF($C3692="","",Registro_Compras!$X$413)</f>
        <v/>
      </c>
      <c r="B3692">
        <f>IF($C3692="","","C"&amp;TEXT(INT((ROW()-5)/9)+1,"000")&amp;"-3")</f>
        <v/>
      </c>
      <c r="C3692">
        <f>IF(OR(Registro_Compras!$C$413="",Registro_Compras!$O$413="",Registro_Compras!$R$413&lt;&gt;"SI",Registro_Compras!$X$413=""),"","10413")</f>
        <v/>
      </c>
      <c r="D3692">
        <f>IF(OR(Registro_Compras!$C$413="",Registro_Compras!$O$413=""),"","Efectivo y Equivalentes - Cta. Cte. Operativa")</f>
        <v/>
      </c>
      <c r="E3692" s="20">
        <f>""</f>
        <v/>
      </c>
      <c r="F3692" s="20">
        <f>IF($C3692="","",Registro_Compras!$S$413)</f>
        <v/>
      </c>
      <c r="G3692">
        <f>IF($C3692="","","Por el deposito de la detraccion en el Banco de la Nacion")</f>
        <v/>
      </c>
      <c r="H3692">
        <f>IF($C3692="","",Registro_Compras!$C$413)</f>
        <v/>
      </c>
    </row>
    <row r="3693">
      <c r="A3693" s="25">
        <f>IF($C3693="","",Registro_Compras!$Y$413)</f>
        <v/>
      </c>
      <c r="B3693">
        <f>IF($C3693="","","C"&amp;TEXT(INT((ROW()-5)/9)+1,"000")&amp;"-4")</f>
        <v/>
      </c>
      <c r="C3693">
        <f>IF(OR(Registro_Compras!$C$413="",Registro_Compras!$O$413="",Registro_Compras!$Y$413="",Registro_Compras!$F$413="NOTA DE CREDITO"),"","4212")</f>
        <v/>
      </c>
      <c r="D3693">
        <f>IF(OR(Registro_Compras!$C$413="",Registro_Compras!$O$413=""),"","Cuentas por Pagar Comerciales - Terceros")</f>
        <v/>
      </c>
      <c r="E3693" s="20">
        <f>IF($C3693="","",IF(Registro_Compras!$F$413="RHE",(ROUND(Registro_Compras!$L$413*Registro_Compras!$N$413,2)-ROUND(Registro_Compras!$V$413*Registro_Compras!$N$413,2)),ROUND(Registro_Compras!$O$413-Registro_Compras!$S$413,2)))</f>
        <v/>
      </c>
      <c r="F3693" s="20">
        <f>""</f>
        <v/>
      </c>
      <c r="G3693">
        <f>IF($C3693="","","Por la cancelacion del saldo al proveedor")</f>
        <v/>
      </c>
      <c r="H3693">
        <f>IF($C3693="","",Registro_Compras!$C$413)</f>
        <v/>
      </c>
    </row>
    <row r="3694">
      <c r="A3694" s="25">
        <f>IF($C3694="","",Registro_Compras!$Y$413)</f>
        <v/>
      </c>
      <c r="B3694">
        <f>IF($C3694="","","C"&amp;TEXT(INT((ROW()-5)/9)+1,"000")&amp;"-4")</f>
        <v/>
      </c>
      <c r="C3694">
        <f>IF(OR(Registro_Compras!$C$413="",Registro_Compras!$O$413="",Registro_Compras!$Y$413="",Registro_Compras!$F$413="NOTA DE CREDITO"),"","10413")</f>
        <v/>
      </c>
      <c r="D3694">
        <f>IF(OR(Registro_Compras!$C$413="",Registro_Compras!$O$413=""),"","Efectivo y Equivalentes - Cta. Cte. Operativa")</f>
        <v/>
      </c>
      <c r="E3694" s="20">
        <f>""</f>
        <v/>
      </c>
      <c r="F3694" s="20">
        <f>IF($C3694="","",IF(Registro_Compras!$F$413="RHE",(ROUND(Registro_Compras!$L$413*Registro_Compras!$N$413,2)-ROUND(Registro_Compras!$V$413*Registro_Compras!$N$413,2)),ROUND(Registro_Compras!$O$413-Registro_Compras!$S$413,2)))</f>
        <v/>
      </c>
      <c r="G3694">
        <f>IF($C3694="","","Por la cancelacion del saldo al proveedor")</f>
        <v/>
      </c>
      <c r="H3694">
        <f>IF($C3694="","",Registro_Compras!$C$413)</f>
        <v/>
      </c>
    </row>
    <row r="3695">
      <c r="A3695" s="25">
        <f>IF($C3695="","",Registro_Compras!$B$414)</f>
        <v/>
      </c>
      <c r="B3695">
        <f>IF($C3695="","","C"&amp;TEXT(INT((ROW()-5)/9)+1,"000")&amp;"-1")</f>
        <v/>
      </c>
      <c r="C3695">
        <f>IF(OR(Registro_Compras!$C$414="",Registro_Compras!$O$414=""),"",IF(Registro_Compras!$F$414="NOTA DE CREDITO","4212",IF(Registro_Compras!$M$414="","63",Registro_Compras!$M$414)))</f>
        <v/>
      </c>
      <c r="D3695">
        <f>IF(OR(Registro_Compras!$C$414="",Registro_Compras!$O$414=""),"",IF(Registro_Compras!$F$414="NOTA DE CREDITO","Cuentas por Pagar Comerciales - Terceros (Emitidas)",IF(Registro_Compras!$F$414="RHE","Honorarios Profesionales - Servicios de Terceros","Gastos de Servicios Prestados por Terceros")))</f>
        <v/>
      </c>
      <c r="E3695" s="20">
        <f>IF($C3695="","",IF(Registro_Compras!$F$414="NOTA DE CREDITO",ABS(Registro_Compras!$O$414),IF(Registro_Compras!$F$414="RHE",ROUND(Registro_Compras!$L$414*Registro_Compras!$N$414,2),ROUND(Registro_Compras!$J$414*Registro_Compras!$N$414,2))))</f>
        <v/>
      </c>
      <c r="F3695" s="20">
        <f>""</f>
        <v/>
      </c>
      <c r="G3695">
        <f>IF($C3695="","",IF(Registro_Compras!$F$414="NOTA DE CREDITO","Por la nota de credito "&amp;Registro_Compras!$C$414&amp;" de "&amp;Registro_Compras!$E$414&amp;" [PATRON POR CONFIRMAR CON CONTADOR]",IF(Registro_Compras!$F$414="RHE","Por el registro del recibo por honorarios "&amp;Registro_Compras!$C$414&amp;" de "&amp;Registro_Compras!$E$414&amp;" [PATRON POR CONFIRMAR CON CONTADOR]","Por el registro de la factura "&amp;Registro_Compras!$C$414&amp;" de "&amp;Registro_Compras!$E$414)))</f>
        <v/>
      </c>
      <c r="H3695">
        <f>IF($C3695="","",Registro_Compras!$C$414)</f>
        <v/>
      </c>
    </row>
    <row r="3696">
      <c r="A3696" s="25">
        <f>IF($C3696="","",Registro_Compras!$B$414)</f>
        <v/>
      </c>
      <c r="B3696">
        <f>IF($C3696="","","C"&amp;TEXT(INT((ROW()-5)/9)+1,"000")&amp;"-1")</f>
        <v/>
      </c>
      <c r="C3696">
        <f>IF(OR(Registro_Compras!$C$414="",Registro_Compras!$O$414=""),"",IF(Registro_Compras!$F$414="RHE",IF(Registro_Compras!$V$414=0,"","40172"),IF(Registro_Compras!$F$414="NOTA DE CREDITO",IF(Registro_Compras!$M$414="","63",Registro_Compras!$M$414),IF(Registro_Compras!$K$414=0,"","40111"))))</f>
        <v/>
      </c>
      <c r="D3696">
        <f>IF(OR(Registro_Compras!$C$414="",Registro_Compras!$O$414=""),"",IF(Registro_Compras!$F$414="RHE","Retencion Renta 4ta Categoria por Pagar",IF(Registro_Compras!$F$414="NOTA DE CREDITO","Gastos de Servicios Prestados por Terceros","IGV - Cuenta Propia (Credito Fiscal)")))</f>
        <v/>
      </c>
      <c r="E3696" s="20">
        <f>IF($C3696="","",IF(Registro_Compras!$F$414="FACTURA",ROUND(Registro_Compras!$K$414*Registro_Compras!$N$414,2),""))</f>
        <v/>
      </c>
      <c r="F3696" s="20">
        <f>IF($C3696="","",IF(Registro_Compras!$F$414="RHE",ROUND(Registro_Compras!$V$414*Registro_Compras!$N$414,2),IF(Registro_Compras!$F$414="NOTA DE CREDITO",ROUND(ABS(Registro_Compras!$J$414*Registro_Compras!$N$414),2),"")))</f>
        <v/>
      </c>
      <c r="G3696">
        <f>IF($C3696="","",IF(Registro_Compras!$F$414="NOTA DE CREDITO","Por la nota de credito "&amp;Registro_Compras!$C$414&amp;" de "&amp;Registro_Compras!$E$414&amp;" [PATRON POR CONFIRMAR CON CONTADOR]",IF(Registro_Compras!$F$414="RHE","Por el registro del recibo por honorarios "&amp;Registro_Compras!$C$414&amp;" de "&amp;Registro_Compras!$E$414&amp;" [PATRON POR CONFIRMAR CON CONTADOR]","Por el registro de la factura "&amp;Registro_Compras!$C$414&amp;" de "&amp;Registro_Compras!$E$414)))</f>
        <v/>
      </c>
      <c r="H3696">
        <f>IF($C3696="","",Registro_Compras!$C$414)</f>
        <v/>
      </c>
    </row>
    <row r="3697">
      <c r="A3697" s="25">
        <f>IF($C3697="","",Registro_Compras!$B$414)</f>
        <v/>
      </c>
      <c r="B3697">
        <f>IF($C3697="","","C"&amp;TEXT(INT((ROW()-5)/9)+1,"000")&amp;"-1")</f>
        <v/>
      </c>
      <c r="C3697">
        <f>IF(OR(Registro_Compras!$C$414="",Registro_Compras!$O$414=""),"",IF(Registro_Compras!$F$414="NOTA DE CREDITO",IF(Registro_Compras!$K$414=0,"","40111"),"4212"))</f>
        <v/>
      </c>
      <c r="D3697">
        <f>IF(OR(Registro_Compras!$C$414="",Registro_Compras!$O$414=""),"",IF(Registro_Compras!$F$414="NOTA DE CREDITO","IGV - Cuenta Propia (Credito Fiscal)","Cuentas por Pagar Comerciales - Terceros (Emitidas)"))</f>
        <v/>
      </c>
      <c r="E3697" s="20">
        <f>""</f>
        <v/>
      </c>
      <c r="F3697" s="20">
        <f>IF($C3697="","",IF(Registro_Compras!$F$414="NOTA DE CREDITO",ROUND(ABS(Registro_Compras!$K$414*Registro_Compras!$N$414),2),IF(Registro_Compras!$F$414="RHE",(ROUND(Registro_Compras!$L$414*Registro_Compras!$N$414,2)-ROUND(Registro_Compras!$V$414*Registro_Compras!$N$414,2)),Registro_Compras!$O$414)))</f>
        <v/>
      </c>
      <c r="G3697">
        <f>IF($C3697="","",IF(Registro_Compras!$F$414="NOTA DE CREDITO","Por la nota de credito "&amp;Registro_Compras!$C$414&amp;" de "&amp;Registro_Compras!$E$414&amp;" [PATRON POR CONFIRMAR CON CONTADOR]",IF(Registro_Compras!$F$414="RHE","Por el registro del recibo por honorarios "&amp;Registro_Compras!$C$414&amp;" de "&amp;Registro_Compras!$E$414&amp;" [PATRON POR CONFIRMAR CON CONTADOR]","Por el registro de la factura "&amp;Registro_Compras!$C$414&amp;" de "&amp;Registro_Compras!$E$414)))</f>
        <v/>
      </c>
      <c r="H3697">
        <f>IF($C3697="","",Registro_Compras!$C$414)</f>
        <v/>
      </c>
    </row>
    <row r="3698">
      <c r="A3698" s="25">
        <f>IF($C3698="","",Registro_Compras!$B$414)</f>
        <v/>
      </c>
      <c r="B3698">
        <f>IF($C3698="","","C"&amp;TEXT(INT((ROW()-5)/9)+1,"000")&amp;"-2")</f>
        <v/>
      </c>
      <c r="C3698">
        <f>IF(OR(Registro_Compras!$C$414="",Registro_Compras!$O$414=""),"",IF(Registro_Compras!$AB$414="ADMINISTRATIVO","94","95"))</f>
        <v/>
      </c>
      <c r="D3698">
        <f>IF(OR(Registro_Compras!$C$414="",Registro_Compras!$O$414=""),"",IF(Registro_Compras!$AB$414="ADMINISTRATIVO","Gastos Administrativos","Gastos de Venta y Operacion"))</f>
        <v/>
      </c>
      <c r="E3698" s="20">
        <f>IF($C3698="","",IF(Registro_Compras!$F$414="NOTA DE CREDITO","",IF(Registro_Compras!$F$414="RHE",ROUND(Registro_Compras!$L$414*Registro_Compras!$N$414,2),ROUND(Registro_Compras!$J$414*Registro_Compras!$N$414,2))))</f>
        <v/>
      </c>
      <c r="F3698" s="20">
        <f>IF($C3698="","",IF(Registro_Compras!$F$414="NOTA DE CREDITO",ROUND(ABS(Registro_Compras!$J$414*Registro_Compras!$N$414),2),""))</f>
        <v/>
      </c>
      <c r="G3698">
        <f>IF($C3698="","","Por el destino del gasto")</f>
        <v/>
      </c>
      <c r="H3698">
        <f>IF($C3698="","",Registro_Compras!$C$414)</f>
        <v/>
      </c>
    </row>
    <row r="3699">
      <c r="A3699" s="25">
        <f>IF($C3699="","",Registro_Compras!$B$414)</f>
        <v/>
      </c>
      <c r="B3699">
        <f>IF($C3699="","","C"&amp;TEXT(INT((ROW()-5)/9)+1,"000")&amp;"-2")</f>
        <v/>
      </c>
      <c r="C3699">
        <f>IF(OR(Registro_Compras!$C$414="",Registro_Compras!$O$414=""),"","79/791")</f>
        <v/>
      </c>
      <c r="D3699">
        <f>IF(OR(Registro_Compras!$C$414="",Registro_Compras!$O$414=""),"","Cargas Imputables a Cuentas de Costos y Gastos")</f>
        <v/>
      </c>
      <c r="E3699" s="20">
        <f>IF($C3699="","",IF(Registro_Compras!$F$414="NOTA DE CREDITO",ROUND(ABS(Registro_Compras!$J$414*Registro_Compras!$N$414),2),""))</f>
        <v/>
      </c>
      <c r="F3699" s="20">
        <f>IF($C3699="","",IF(Registro_Compras!$F$414="NOTA DE CREDITO","",IF(Registro_Compras!$F$414="RHE",ROUND(Registro_Compras!$L$414*Registro_Compras!$N$414,2),ROUND(Registro_Compras!$J$414*Registro_Compras!$N$414,2))))</f>
        <v/>
      </c>
      <c r="G3699">
        <f>IF($C3699="","","Por el destino del gasto")</f>
        <v/>
      </c>
      <c r="H3699">
        <f>IF($C3699="","",Registro_Compras!$C$414)</f>
        <v/>
      </c>
    </row>
    <row r="3700">
      <c r="A3700" s="25">
        <f>IF($C3700="","",Registro_Compras!$X$414)</f>
        <v/>
      </c>
      <c r="B3700">
        <f>IF($C3700="","","C"&amp;TEXT(INT((ROW()-5)/9)+1,"000")&amp;"-3")</f>
        <v/>
      </c>
      <c r="C3700">
        <f>IF(OR(Registro_Compras!$C$414="",Registro_Compras!$O$414="",Registro_Compras!$R$414&lt;&gt;"SI",Registro_Compras!$X$414=""),"","4212")</f>
        <v/>
      </c>
      <c r="D3700">
        <f>IF(OR(Registro_Compras!$C$414="",Registro_Compras!$O$414=""),"","Cuentas por Pagar Comerciales - Terceros")</f>
        <v/>
      </c>
      <c r="E3700" s="20">
        <f>IF($C3700="","",Registro_Compras!$S$414)</f>
        <v/>
      </c>
      <c r="F3700" s="20">
        <f>""</f>
        <v/>
      </c>
      <c r="G3700">
        <f>IF($C3700="","","Por el deposito de la detraccion en el Banco de la Nacion")</f>
        <v/>
      </c>
      <c r="H3700">
        <f>IF($C3700="","",Registro_Compras!$C$414)</f>
        <v/>
      </c>
    </row>
    <row r="3701">
      <c r="A3701" s="25">
        <f>IF($C3701="","",Registro_Compras!$X$414)</f>
        <v/>
      </c>
      <c r="B3701">
        <f>IF($C3701="","","C"&amp;TEXT(INT((ROW()-5)/9)+1,"000")&amp;"-3")</f>
        <v/>
      </c>
      <c r="C3701">
        <f>IF(OR(Registro_Compras!$C$414="",Registro_Compras!$O$414="",Registro_Compras!$R$414&lt;&gt;"SI",Registro_Compras!$X$414=""),"","10413")</f>
        <v/>
      </c>
      <c r="D3701">
        <f>IF(OR(Registro_Compras!$C$414="",Registro_Compras!$O$414=""),"","Efectivo y Equivalentes - Cta. Cte. Operativa")</f>
        <v/>
      </c>
      <c r="E3701" s="20">
        <f>""</f>
        <v/>
      </c>
      <c r="F3701" s="20">
        <f>IF($C3701="","",Registro_Compras!$S$414)</f>
        <v/>
      </c>
      <c r="G3701">
        <f>IF($C3701="","","Por el deposito de la detraccion en el Banco de la Nacion")</f>
        <v/>
      </c>
      <c r="H3701">
        <f>IF($C3701="","",Registro_Compras!$C$414)</f>
        <v/>
      </c>
    </row>
    <row r="3702">
      <c r="A3702" s="25">
        <f>IF($C3702="","",Registro_Compras!$Y$414)</f>
        <v/>
      </c>
      <c r="B3702">
        <f>IF($C3702="","","C"&amp;TEXT(INT((ROW()-5)/9)+1,"000")&amp;"-4")</f>
        <v/>
      </c>
      <c r="C3702">
        <f>IF(OR(Registro_Compras!$C$414="",Registro_Compras!$O$414="",Registro_Compras!$Y$414="",Registro_Compras!$F$414="NOTA DE CREDITO"),"","4212")</f>
        <v/>
      </c>
      <c r="D3702">
        <f>IF(OR(Registro_Compras!$C$414="",Registro_Compras!$O$414=""),"","Cuentas por Pagar Comerciales - Terceros")</f>
        <v/>
      </c>
      <c r="E3702" s="20">
        <f>IF($C3702="","",IF(Registro_Compras!$F$414="RHE",(ROUND(Registro_Compras!$L$414*Registro_Compras!$N$414,2)-ROUND(Registro_Compras!$V$414*Registro_Compras!$N$414,2)),ROUND(Registro_Compras!$O$414-Registro_Compras!$S$414,2)))</f>
        <v/>
      </c>
      <c r="F3702" s="20">
        <f>""</f>
        <v/>
      </c>
      <c r="G3702">
        <f>IF($C3702="","","Por la cancelacion del saldo al proveedor")</f>
        <v/>
      </c>
      <c r="H3702">
        <f>IF($C3702="","",Registro_Compras!$C$414)</f>
        <v/>
      </c>
    </row>
    <row r="3703">
      <c r="A3703" s="25">
        <f>IF($C3703="","",Registro_Compras!$Y$414)</f>
        <v/>
      </c>
      <c r="B3703">
        <f>IF($C3703="","","C"&amp;TEXT(INT((ROW()-5)/9)+1,"000")&amp;"-4")</f>
        <v/>
      </c>
      <c r="C3703">
        <f>IF(OR(Registro_Compras!$C$414="",Registro_Compras!$O$414="",Registro_Compras!$Y$414="",Registro_Compras!$F$414="NOTA DE CREDITO"),"","10413")</f>
        <v/>
      </c>
      <c r="D3703">
        <f>IF(OR(Registro_Compras!$C$414="",Registro_Compras!$O$414=""),"","Efectivo y Equivalentes - Cta. Cte. Operativa")</f>
        <v/>
      </c>
      <c r="E3703" s="20">
        <f>""</f>
        <v/>
      </c>
      <c r="F3703" s="20">
        <f>IF($C3703="","",IF(Registro_Compras!$F$414="RHE",(ROUND(Registro_Compras!$L$414*Registro_Compras!$N$414,2)-ROUND(Registro_Compras!$V$414*Registro_Compras!$N$414,2)),ROUND(Registro_Compras!$O$414-Registro_Compras!$S$414,2)))</f>
        <v/>
      </c>
      <c r="G3703">
        <f>IF($C3703="","","Por la cancelacion del saldo al proveedor")</f>
        <v/>
      </c>
      <c r="H3703">
        <f>IF($C3703="","",Registro_Compras!$C$414)</f>
        <v/>
      </c>
    </row>
    <row r="3704">
      <c r="A3704" s="25">
        <f>IF($C3704="","",Registro_Compras!$B$415)</f>
        <v/>
      </c>
      <c r="B3704">
        <f>IF($C3704="","","C"&amp;TEXT(INT((ROW()-5)/9)+1,"000")&amp;"-1")</f>
        <v/>
      </c>
      <c r="C3704">
        <f>IF(OR(Registro_Compras!$C$415="",Registro_Compras!$O$415=""),"",IF(Registro_Compras!$F$415="NOTA DE CREDITO","4212",IF(Registro_Compras!$M$415="","63",Registro_Compras!$M$415)))</f>
        <v/>
      </c>
      <c r="D3704">
        <f>IF(OR(Registro_Compras!$C$415="",Registro_Compras!$O$415=""),"",IF(Registro_Compras!$F$415="NOTA DE CREDITO","Cuentas por Pagar Comerciales - Terceros (Emitidas)",IF(Registro_Compras!$F$415="RHE","Honorarios Profesionales - Servicios de Terceros","Gastos de Servicios Prestados por Terceros")))</f>
        <v/>
      </c>
      <c r="E3704" s="20">
        <f>IF($C3704="","",IF(Registro_Compras!$F$415="NOTA DE CREDITO",ABS(Registro_Compras!$O$415),IF(Registro_Compras!$F$415="RHE",ROUND(Registro_Compras!$L$415*Registro_Compras!$N$415,2),ROUND(Registro_Compras!$J$415*Registro_Compras!$N$415,2))))</f>
        <v/>
      </c>
      <c r="F3704" s="20">
        <f>""</f>
        <v/>
      </c>
      <c r="G3704">
        <f>IF($C3704="","",IF(Registro_Compras!$F$415="NOTA DE CREDITO","Por la nota de credito "&amp;Registro_Compras!$C$415&amp;" de "&amp;Registro_Compras!$E$415&amp;" [PATRON POR CONFIRMAR CON CONTADOR]",IF(Registro_Compras!$F$415="RHE","Por el registro del recibo por honorarios "&amp;Registro_Compras!$C$415&amp;" de "&amp;Registro_Compras!$E$415&amp;" [PATRON POR CONFIRMAR CON CONTADOR]","Por el registro de la factura "&amp;Registro_Compras!$C$415&amp;" de "&amp;Registro_Compras!$E$415)))</f>
        <v/>
      </c>
      <c r="H3704">
        <f>IF($C3704="","",Registro_Compras!$C$415)</f>
        <v/>
      </c>
    </row>
    <row r="3705">
      <c r="A3705" s="25">
        <f>IF($C3705="","",Registro_Compras!$B$415)</f>
        <v/>
      </c>
      <c r="B3705">
        <f>IF($C3705="","","C"&amp;TEXT(INT((ROW()-5)/9)+1,"000")&amp;"-1")</f>
        <v/>
      </c>
      <c r="C3705">
        <f>IF(OR(Registro_Compras!$C$415="",Registro_Compras!$O$415=""),"",IF(Registro_Compras!$F$415="RHE",IF(Registro_Compras!$V$415=0,"","40172"),IF(Registro_Compras!$F$415="NOTA DE CREDITO",IF(Registro_Compras!$M$415="","63",Registro_Compras!$M$415),IF(Registro_Compras!$K$415=0,"","40111"))))</f>
        <v/>
      </c>
      <c r="D3705">
        <f>IF(OR(Registro_Compras!$C$415="",Registro_Compras!$O$415=""),"",IF(Registro_Compras!$F$415="RHE","Retencion Renta 4ta Categoria por Pagar",IF(Registro_Compras!$F$415="NOTA DE CREDITO","Gastos de Servicios Prestados por Terceros","IGV - Cuenta Propia (Credito Fiscal)")))</f>
        <v/>
      </c>
      <c r="E3705" s="20">
        <f>IF($C3705="","",IF(Registro_Compras!$F$415="FACTURA",ROUND(Registro_Compras!$K$415*Registro_Compras!$N$415,2),""))</f>
        <v/>
      </c>
      <c r="F3705" s="20">
        <f>IF($C3705="","",IF(Registro_Compras!$F$415="RHE",ROUND(Registro_Compras!$V$415*Registro_Compras!$N$415,2),IF(Registro_Compras!$F$415="NOTA DE CREDITO",ROUND(ABS(Registro_Compras!$J$415*Registro_Compras!$N$415),2),"")))</f>
        <v/>
      </c>
      <c r="G3705">
        <f>IF($C3705="","",IF(Registro_Compras!$F$415="NOTA DE CREDITO","Por la nota de credito "&amp;Registro_Compras!$C$415&amp;" de "&amp;Registro_Compras!$E$415&amp;" [PATRON POR CONFIRMAR CON CONTADOR]",IF(Registro_Compras!$F$415="RHE","Por el registro del recibo por honorarios "&amp;Registro_Compras!$C$415&amp;" de "&amp;Registro_Compras!$E$415&amp;" [PATRON POR CONFIRMAR CON CONTADOR]","Por el registro de la factura "&amp;Registro_Compras!$C$415&amp;" de "&amp;Registro_Compras!$E$415)))</f>
        <v/>
      </c>
      <c r="H3705">
        <f>IF($C3705="","",Registro_Compras!$C$415)</f>
        <v/>
      </c>
    </row>
    <row r="3706">
      <c r="A3706" s="25">
        <f>IF($C3706="","",Registro_Compras!$B$415)</f>
        <v/>
      </c>
      <c r="B3706">
        <f>IF($C3706="","","C"&amp;TEXT(INT((ROW()-5)/9)+1,"000")&amp;"-1")</f>
        <v/>
      </c>
      <c r="C3706">
        <f>IF(OR(Registro_Compras!$C$415="",Registro_Compras!$O$415=""),"",IF(Registro_Compras!$F$415="NOTA DE CREDITO",IF(Registro_Compras!$K$415=0,"","40111"),"4212"))</f>
        <v/>
      </c>
      <c r="D3706">
        <f>IF(OR(Registro_Compras!$C$415="",Registro_Compras!$O$415=""),"",IF(Registro_Compras!$F$415="NOTA DE CREDITO","IGV - Cuenta Propia (Credito Fiscal)","Cuentas por Pagar Comerciales - Terceros (Emitidas)"))</f>
        <v/>
      </c>
      <c r="E3706" s="20">
        <f>""</f>
        <v/>
      </c>
      <c r="F3706" s="20">
        <f>IF($C3706="","",IF(Registro_Compras!$F$415="NOTA DE CREDITO",ROUND(ABS(Registro_Compras!$K$415*Registro_Compras!$N$415),2),IF(Registro_Compras!$F$415="RHE",(ROUND(Registro_Compras!$L$415*Registro_Compras!$N$415,2)-ROUND(Registro_Compras!$V$415*Registro_Compras!$N$415,2)),Registro_Compras!$O$415)))</f>
        <v/>
      </c>
      <c r="G3706">
        <f>IF($C3706="","",IF(Registro_Compras!$F$415="NOTA DE CREDITO","Por la nota de credito "&amp;Registro_Compras!$C$415&amp;" de "&amp;Registro_Compras!$E$415&amp;" [PATRON POR CONFIRMAR CON CONTADOR]",IF(Registro_Compras!$F$415="RHE","Por el registro del recibo por honorarios "&amp;Registro_Compras!$C$415&amp;" de "&amp;Registro_Compras!$E$415&amp;" [PATRON POR CONFIRMAR CON CONTADOR]","Por el registro de la factura "&amp;Registro_Compras!$C$415&amp;" de "&amp;Registro_Compras!$E$415)))</f>
        <v/>
      </c>
      <c r="H3706">
        <f>IF($C3706="","",Registro_Compras!$C$415)</f>
        <v/>
      </c>
    </row>
    <row r="3707">
      <c r="A3707" s="25">
        <f>IF($C3707="","",Registro_Compras!$B$415)</f>
        <v/>
      </c>
      <c r="B3707">
        <f>IF($C3707="","","C"&amp;TEXT(INT((ROW()-5)/9)+1,"000")&amp;"-2")</f>
        <v/>
      </c>
      <c r="C3707">
        <f>IF(OR(Registro_Compras!$C$415="",Registro_Compras!$O$415=""),"",IF(Registro_Compras!$AB$415="ADMINISTRATIVO","94","95"))</f>
        <v/>
      </c>
      <c r="D3707">
        <f>IF(OR(Registro_Compras!$C$415="",Registro_Compras!$O$415=""),"",IF(Registro_Compras!$AB$415="ADMINISTRATIVO","Gastos Administrativos","Gastos de Venta y Operacion"))</f>
        <v/>
      </c>
      <c r="E3707" s="20">
        <f>IF($C3707="","",IF(Registro_Compras!$F$415="NOTA DE CREDITO","",IF(Registro_Compras!$F$415="RHE",ROUND(Registro_Compras!$L$415*Registro_Compras!$N$415,2),ROUND(Registro_Compras!$J$415*Registro_Compras!$N$415,2))))</f>
        <v/>
      </c>
      <c r="F3707" s="20">
        <f>IF($C3707="","",IF(Registro_Compras!$F$415="NOTA DE CREDITO",ROUND(ABS(Registro_Compras!$J$415*Registro_Compras!$N$415),2),""))</f>
        <v/>
      </c>
      <c r="G3707">
        <f>IF($C3707="","","Por el destino del gasto")</f>
        <v/>
      </c>
      <c r="H3707">
        <f>IF($C3707="","",Registro_Compras!$C$415)</f>
        <v/>
      </c>
    </row>
    <row r="3708">
      <c r="A3708" s="25">
        <f>IF($C3708="","",Registro_Compras!$B$415)</f>
        <v/>
      </c>
      <c r="B3708">
        <f>IF($C3708="","","C"&amp;TEXT(INT((ROW()-5)/9)+1,"000")&amp;"-2")</f>
        <v/>
      </c>
      <c r="C3708">
        <f>IF(OR(Registro_Compras!$C$415="",Registro_Compras!$O$415=""),"","79/791")</f>
        <v/>
      </c>
      <c r="D3708">
        <f>IF(OR(Registro_Compras!$C$415="",Registro_Compras!$O$415=""),"","Cargas Imputables a Cuentas de Costos y Gastos")</f>
        <v/>
      </c>
      <c r="E3708" s="20">
        <f>IF($C3708="","",IF(Registro_Compras!$F$415="NOTA DE CREDITO",ROUND(ABS(Registro_Compras!$J$415*Registro_Compras!$N$415),2),""))</f>
        <v/>
      </c>
      <c r="F3708" s="20">
        <f>IF($C3708="","",IF(Registro_Compras!$F$415="NOTA DE CREDITO","",IF(Registro_Compras!$F$415="RHE",ROUND(Registro_Compras!$L$415*Registro_Compras!$N$415,2),ROUND(Registro_Compras!$J$415*Registro_Compras!$N$415,2))))</f>
        <v/>
      </c>
      <c r="G3708">
        <f>IF($C3708="","","Por el destino del gasto")</f>
        <v/>
      </c>
      <c r="H3708">
        <f>IF($C3708="","",Registro_Compras!$C$415)</f>
        <v/>
      </c>
    </row>
    <row r="3709">
      <c r="A3709" s="25">
        <f>IF($C3709="","",Registro_Compras!$X$415)</f>
        <v/>
      </c>
      <c r="B3709">
        <f>IF($C3709="","","C"&amp;TEXT(INT((ROW()-5)/9)+1,"000")&amp;"-3")</f>
        <v/>
      </c>
      <c r="C3709">
        <f>IF(OR(Registro_Compras!$C$415="",Registro_Compras!$O$415="",Registro_Compras!$R$415&lt;&gt;"SI",Registro_Compras!$X$415=""),"","4212")</f>
        <v/>
      </c>
      <c r="D3709">
        <f>IF(OR(Registro_Compras!$C$415="",Registro_Compras!$O$415=""),"","Cuentas por Pagar Comerciales - Terceros")</f>
        <v/>
      </c>
      <c r="E3709" s="20">
        <f>IF($C3709="","",Registro_Compras!$S$415)</f>
        <v/>
      </c>
      <c r="F3709" s="20">
        <f>""</f>
        <v/>
      </c>
      <c r="G3709">
        <f>IF($C3709="","","Por el deposito de la detraccion en el Banco de la Nacion")</f>
        <v/>
      </c>
      <c r="H3709">
        <f>IF($C3709="","",Registro_Compras!$C$415)</f>
        <v/>
      </c>
    </row>
    <row r="3710">
      <c r="A3710" s="25">
        <f>IF($C3710="","",Registro_Compras!$X$415)</f>
        <v/>
      </c>
      <c r="B3710">
        <f>IF($C3710="","","C"&amp;TEXT(INT((ROW()-5)/9)+1,"000")&amp;"-3")</f>
        <v/>
      </c>
      <c r="C3710">
        <f>IF(OR(Registro_Compras!$C$415="",Registro_Compras!$O$415="",Registro_Compras!$R$415&lt;&gt;"SI",Registro_Compras!$X$415=""),"","10413")</f>
        <v/>
      </c>
      <c r="D3710">
        <f>IF(OR(Registro_Compras!$C$415="",Registro_Compras!$O$415=""),"","Efectivo y Equivalentes - Cta. Cte. Operativa")</f>
        <v/>
      </c>
      <c r="E3710" s="20">
        <f>""</f>
        <v/>
      </c>
      <c r="F3710" s="20">
        <f>IF($C3710="","",Registro_Compras!$S$415)</f>
        <v/>
      </c>
      <c r="G3710">
        <f>IF($C3710="","","Por el deposito de la detraccion en el Banco de la Nacion")</f>
        <v/>
      </c>
      <c r="H3710">
        <f>IF($C3710="","",Registro_Compras!$C$415)</f>
        <v/>
      </c>
    </row>
    <row r="3711">
      <c r="A3711" s="25">
        <f>IF($C3711="","",Registro_Compras!$Y$415)</f>
        <v/>
      </c>
      <c r="B3711">
        <f>IF($C3711="","","C"&amp;TEXT(INT((ROW()-5)/9)+1,"000")&amp;"-4")</f>
        <v/>
      </c>
      <c r="C3711">
        <f>IF(OR(Registro_Compras!$C$415="",Registro_Compras!$O$415="",Registro_Compras!$Y$415="",Registro_Compras!$F$415="NOTA DE CREDITO"),"","4212")</f>
        <v/>
      </c>
      <c r="D3711">
        <f>IF(OR(Registro_Compras!$C$415="",Registro_Compras!$O$415=""),"","Cuentas por Pagar Comerciales - Terceros")</f>
        <v/>
      </c>
      <c r="E3711" s="20">
        <f>IF($C3711="","",IF(Registro_Compras!$F$415="RHE",(ROUND(Registro_Compras!$L$415*Registro_Compras!$N$415,2)-ROUND(Registro_Compras!$V$415*Registro_Compras!$N$415,2)),ROUND(Registro_Compras!$O$415-Registro_Compras!$S$415,2)))</f>
        <v/>
      </c>
      <c r="F3711" s="20">
        <f>""</f>
        <v/>
      </c>
      <c r="G3711">
        <f>IF($C3711="","","Por la cancelacion del saldo al proveedor")</f>
        <v/>
      </c>
      <c r="H3711">
        <f>IF($C3711="","",Registro_Compras!$C$415)</f>
        <v/>
      </c>
    </row>
    <row r="3712">
      <c r="A3712" s="25">
        <f>IF($C3712="","",Registro_Compras!$Y$415)</f>
        <v/>
      </c>
      <c r="B3712">
        <f>IF($C3712="","","C"&amp;TEXT(INT((ROW()-5)/9)+1,"000")&amp;"-4")</f>
        <v/>
      </c>
      <c r="C3712">
        <f>IF(OR(Registro_Compras!$C$415="",Registro_Compras!$O$415="",Registro_Compras!$Y$415="",Registro_Compras!$F$415="NOTA DE CREDITO"),"","10413")</f>
        <v/>
      </c>
      <c r="D3712">
        <f>IF(OR(Registro_Compras!$C$415="",Registro_Compras!$O$415=""),"","Efectivo y Equivalentes - Cta. Cte. Operativa")</f>
        <v/>
      </c>
      <c r="E3712" s="20">
        <f>""</f>
        <v/>
      </c>
      <c r="F3712" s="20">
        <f>IF($C3712="","",IF(Registro_Compras!$F$415="RHE",(ROUND(Registro_Compras!$L$415*Registro_Compras!$N$415,2)-ROUND(Registro_Compras!$V$415*Registro_Compras!$N$415,2)),ROUND(Registro_Compras!$O$415-Registro_Compras!$S$415,2)))</f>
        <v/>
      </c>
      <c r="G3712">
        <f>IF($C3712="","","Por la cancelacion del saldo al proveedor")</f>
        <v/>
      </c>
      <c r="H3712">
        <f>IF($C3712="","",Registro_Compras!$C$415)</f>
        <v/>
      </c>
    </row>
    <row r="3713">
      <c r="A3713" s="25">
        <f>IF($C3713="","",Registro_Compras!$B$416)</f>
        <v/>
      </c>
      <c r="B3713">
        <f>IF($C3713="","","C"&amp;TEXT(INT((ROW()-5)/9)+1,"000")&amp;"-1")</f>
        <v/>
      </c>
      <c r="C3713">
        <f>IF(OR(Registro_Compras!$C$416="",Registro_Compras!$O$416=""),"",IF(Registro_Compras!$F$416="NOTA DE CREDITO","4212",IF(Registro_Compras!$M$416="","63",Registro_Compras!$M$416)))</f>
        <v/>
      </c>
      <c r="D3713">
        <f>IF(OR(Registro_Compras!$C$416="",Registro_Compras!$O$416=""),"",IF(Registro_Compras!$F$416="NOTA DE CREDITO","Cuentas por Pagar Comerciales - Terceros (Emitidas)",IF(Registro_Compras!$F$416="RHE","Honorarios Profesionales - Servicios de Terceros","Gastos de Servicios Prestados por Terceros")))</f>
        <v/>
      </c>
      <c r="E3713" s="20">
        <f>IF($C3713="","",IF(Registro_Compras!$F$416="NOTA DE CREDITO",ABS(Registro_Compras!$O$416),IF(Registro_Compras!$F$416="RHE",ROUND(Registro_Compras!$L$416*Registro_Compras!$N$416,2),ROUND(Registro_Compras!$J$416*Registro_Compras!$N$416,2))))</f>
        <v/>
      </c>
      <c r="F3713" s="20">
        <f>""</f>
        <v/>
      </c>
      <c r="G3713">
        <f>IF($C3713="","",IF(Registro_Compras!$F$416="NOTA DE CREDITO","Por la nota de credito "&amp;Registro_Compras!$C$416&amp;" de "&amp;Registro_Compras!$E$416&amp;" [PATRON POR CONFIRMAR CON CONTADOR]",IF(Registro_Compras!$F$416="RHE","Por el registro del recibo por honorarios "&amp;Registro_Compras!$C$416&amp;" de "&amp;Registro_Compras!$E$416&amp;" [PATRON POR CONFIRMAR CON CONTADOR]","Por el registro de la factura "&amp;Registro_Compras!$C$416&amp;" de "&amp;Registro_Compras!$E$416)))</f>
        <v/>
      </c>
      <c r="H3713">
        <f>IF($C3713="","",Registro_Compras!$C$416)</f>
        <v/>
      </c>
    </row>
    <row r="3714">
      <c r="A3714" s="25">
        <f>IF($C3714="","",Registro_Compras!$B$416)</f>
        <v/>
      </c>
      <c r="B3714">
        <f>IF($C3714="","","C"&amp;TEXT(INT((ROW()-5)/9)+1,"000")&amp;"-1")</f>
        <v/>
      </c>
      <c r="C3714">
        <f>IF(OR(Registro_Compras!$C$416="",Registro_Compras!$O$416=""),"",IF(Registro_Compras!$F$416="RHE",IF(Registro_Compras!$V$416=0,"","40172"),IF(Registro_Compras!$F$416="NOTA DE CREDITO",IF(Registro_Compras!$M$416="","63",Registro_Compras!$M$416),IF(Registro_Compras!$K$416=0,"","40111"))))</f>
        <v/>
      </c>
      <c r="D3714">
        <f>IF(OR(Registro_Compras!$C$416="",Registro_Compras!$O$416=""),"",IF(Registro_Compras!$F$416="RHE","Retencion Renta 4ta Categoria por Pagar",IF(Registro_Compras!$F$416="NOTA DE CREDITO","Gastos de Servicios Prestados por Terceros","IGV - Cuenta Propia (Credito Fiscal)")))</f>
        <v/>
      </c>
      <c r="E3714" s="20">
        <f>IF($C3714="","",IF(Registro_Compras!$F$416="FACTURA",ROUND(Registro_Compras!$K$416*Registro_Compras!$N$416,2),""))</f>
        <v/>
      </c>
      <c r="F3714" s="20">
        <f>IF($C3714="","",IF(Registro_Compras!$F$416="RHE",ROUND(Registro_Compras!$V$416*Registro_Compras!$N$416,2),IF(Registro_Compras!$F$416="NOTA DE CREDITO",ROUND(ABS(Registro_Compras!$J$416*Registro_Compras!$N$416),2),"")))</f>
        <v/>
      </c>
      <c r="G3714">
        <f>IF($C3714="","",IF(Registro_Compras!$F$416="NOTA DE CREDITO","Por la nota de credito "&amp;Registro_Compras!$C$416&amp;" de "&amp;Registro_Compras!$E$416&amp;" [PATRON POR CONFIRMAR CON CONTADOR]",IF(Registro_Compras!$F$416="RHE","Por el registro del recibo por honorarios "&amp;Registro_Compras!$C$416&amp;" de "&amp;Registro_Compras!$E$416&amp;" [PATRON POR CONFIRMAR CON CONTADOR]","Por el registro de la factura "&amp;Registro_Compras!$C$416&amp;" de "&amp;Registro_Compras!$E$416)))</f>
        <v/>
      </c>
      <c r="H3714">
        <f>IF($C3714="","",Registro_Compras!$C$416)</f>
        <v/>
      </c>
    </row>
    <row r="3715">
      <c r="A3715" s="25">
        <f>IF($C3715="","",Registro_Compras!$B$416)</f>
        <v/>
      </c>
      <c r="B3715">
        <f>IF($C3715="","","C"&amp;TEXT(INT((ROW()-5)/9)+1,"000")&amp;"-1")</f>
        <v/>
      </c>
      <c r="C3715">
        <f>IF(OR(Registro_Compras!$C$416="",Registro_Compras!$O$416=""),"",IF(Registro_Compras!$F$416="NOTA DE CREDITO",IF(Registro_Compras!$K$416=0,"","40111"),"4212"))</f>
        <v/>
      </c>
      <c r="D3715">
        <f>IF(OR(Registro_Compras!$C$416="",Registro_Compras!$O$416=""),"",IF(Registro_Compras!$F$416="NOTA DE CREDITO","IGV - Cuenta Propia (Credito Fiscal)","Cuentas por Pagar Comerciales - Terceros (Emitidas)"))</f>
        <v/>
      </c>
      <c r="E3715" s="20">
        <f>""</f>
        <v/>
      </c>
      <c r="F3715" s="20">
        <f>IF($C3715="","",IF(Registro_Compras!$F$416="NOTA DE CREDITO",ROUND(ABS(Registro_Compras!$K$416*Registro_Compras!$N$416),2),IF(Registro_Compras!$F$416="RHE",(ROUND(Registro_Compras!$L$416*Registro_Compras!$N$416,2)-ROUND(Registro_Compras!$V$416*Registro_Compras!$N$416,2)),Registro_Compras!$O$416)))</f>
        <v/>
      </c>
      <c r="G3715">
        <f>IF($C3715="","",IF(Registro_Compras!$F$416="NOTA DE CREDITO","Por la nota de credito "&amp;Registro_Compras!$C$416&amp;" de "&amp;Registro_Compras!$E$416&amp;" [PATRON POR CONFIRMAR CON CONTADOR]",IF(Registro_Compras!$F$416="RHE","Por el registro del recibo por honorarios "&amp;Registro_Compras!$C$416&amp;" de "&amp;Registro_Compras!$E$416&amp;" [PATRON POR CONFIRMAR CON CONTADOR]","Por el registro de la factura "&amp;Registro_Compras!$C$416&amp;" de "&amp;Registro_Compras!$E$416)))</f>
        <v/>
      </c>
      <c r="H3715">
        <f>IF($C3715="","",Registro_Compras!$C$416)</f>
        <v/>
      </c>
    </row>
    <row r="3716">
      <c r="A3716" s="25">
        <f>IF($C3716="","",Registro_Compras!$B$416)</f>
        <v/>
      </c>
      <c r="B3716">
        <f>IF($C3716="","","C"&amp;TEXT(INT((ROW()-5)/9)+1,"000")&amp;"-2")</f>
        <v/>
      </c>
      <c r="C3716">
        <f>IF(OR(Registro_Compras!$C$416="",Registro_Compras!$O$416=""),"",IF(Registro_Compras!$AB$416="ADMINISTRATIVO","94","95"))</f>
        <v/>
      </c>
      <c r="D3716">
        <f>IF(OR(Registro_Compras!$C$416="",Registro_Compras!$O$416=""),"",IF(Registro_Compras!$AB$416="ADMINISTRATIVO","Gastos Administrativos","Gastos de Venta y Operacion"))</f>
        <v/>
      </c>
      <c r="E3716" s="20">
        <f>IF($C3716="","",IF(Registro_Compras!$F$416="NOTA DE CREDITO","",IF(Registro_Compras!$F$416="RHE",ROUND(Registro_Compras!$L$416*Registro_Compras!$N$416,2),ROUND(Registro_Compras!$J$416*Registro_Compras!$N$416,2))))</f>
        <v/>
      </c>
      <c r="F3716" s="20">
        <f>IF($C3716="","",IF(Registro_Compras!$F$416="NOTA DE CREDITO",ROUND(ABS(Registro_Compras!$J$416*Registro_Compras!$N$416),2),""))</f>
        <v/>
      </c>
      <c r="G3716">
        <f>IF($C3716="","","Por el destino del gasto")</f>
        <v/>
      </c>
      <c r="H3716">
        <f>IF($C3716="","",Registro_Compras!$C$416)</f>
        <v/>
      </c>
    </row>
    <row r="3717">
      <c r="A3717" s="25">
        <f>IF($C3717="","",Registro_Compras!$B$416)</f>
        <v/>
      </c>
      <c r="B3717">
        <f>IF($C3717="","","C"&amp;TEXT(INT((ROW()-5)/9)+1,"000")&amp;"-2")</f>
        <v/>
      </c>
      <c r="C3717">
        <f>IF(OR(Registro_Compras!$C$416="",Registro_Compras!$O$416=""),"","79/791")</f>
        <v/>
      </c>
      <c r="D3717">
        <f>IF(OR(Registro_Compras!$C$416="",Registro_Compras!$O$416=""),"","Cargas Imputables a Cuentas de Costos y Gastos")</f>
        <v/>
      </c>
      <c r="E3717" s="20">
        <f>IF($C3717="","",IF(Registro_Compras!$F$416="NOTA DE CREDITO",ROUND(ABS(Registro_Compras!$J$416*Registro_Compras!$N$416),2),""))</f>
        <v/>
      </c>
      <c r="F3717" s="20">
        <f>IF($C3717="","",IF(Registro_Compras!$F$416="NOTA DE CREDITO","",IF(Registro_Compras!$F$416="RHE",ROUND(Registro_Compras!$L$416*Registro_Compras!$N$416,2),ROUND(Registro_Compras!$J$416*Registro_Compras!$N$416,2))))</f>
        <v/>
      </c>
      <c r="G3717">
        <f>IF($C3717="","","Por el destino del gasto")</f>
        <v/>
      </c>
      <c r="H3717">
        <f>IF($C3717="","",Registro_Compras!$C$416)</f>
        <v/>
      </c>
    </row>
    <row r="3718">
      <c r="A3718" s="25">
        <f>IF($C3718="","",Registro_Compras!$X$416)</f>
        <v/>
      </c>
      <c r="B3718">
        <f>IF($C3718="","","C"&amp;TEXT(INT((ROW()-5)/9)+1,"000")&amp;"-3")</f>
        <v/>
      </c>
      <c r="C3718">
        <f>IF(OR(Registro_Compras!$C$416="",Registro_Compras!$O$416="",Registro_Compras!$R$416&lt;&gt;"SI",Registro_Compras!$X$416=""),"","4212")</f>
        <v/>
      </c>
      <c r="D3718">
        <f>IF(OR(Registro_Compras!$C$416="",Registro_Compras!$O$416=""),"","Cuentas por Pagar Comerciales - Terceros")</f>
        <v/>
      </c>
      <c r="E3718" s="20">
        <f>IF($C3718="","",Registro_Compras!$S$416)</f>
        <v/>
      </c>
      <c r="F3718" s="20">
        <f>""</f>
        <v/>
      </c>
      <c r="G3718">
        <f>IF($C3718="","","Por el deposito de la detraccion en el Banco de la Nacion")</f>
        <v/>
      </c>
      <c r="H3718">
        <f>IF($C3718="","",Registro_Compras!$C$416)</f>
        <v/>
      </c>
    </row>
    <row r="3719">
      <c r="A3719" s="25">
        <f>IF($C3719="","",Registro_Compras!$X$416)</f>
        <v/>
      </c>
      <c r="B3719">
        <f>IF($C3719="","","C"&amp;TEXT(INT((ROW()-5)/9)+1,"000")&amp;"-3")</f>
        <v/>
      </c>
      <c r="C3719">
        <f>IF(OR(Registro_Compras!$C$416="",Registro_Compras!$O$416="",Registro_Compras!$R$416&lt;&gt;"SI",Registro_Compras!$X$416=""),"","10413")</f>
        <v/>
      </c>
      <c r="D3719">
        <f>IF(OR(Registro_Compras!$C$416="",Registro_Compras!$O$416=""),"","Efectivo y Equivalentes - Cta. Cte. Operativa")</f>
        <v/>
      </c>
      <c r="E3719" s="20">
        <f>""</f>
        <v/>
      </c>
      <c r="F3719" s="20">
        <f>IF($C3719="","",Registro_Compras!$S$416)</f>
        <v/>
      </c>
      <c r="G3719">
        <f>IF($C3719="","","Por el deposito de la detraccion en el Banco de la Nacion")</f>
        <v/>
      </c>
      <c r="H3719">
        <f>IF($C3719="","",Registro_Compras!$C$416)</f>
        <v/>
      </c>
    </row>
    <row r="3720">
      <c r="A3720" s="25">
        <f>IF($C3720="","",Registro_Compras!$Y$416)</f>
        <v/>
      </c>
      <c r="B3720">
        <f>IF($C3720="","","C"&amp;TEXT(INT((ROW()-5)/9)+1,"000")&amp;"-4")</f>
        <v/>
      </c>
      <c r="C3720">
        <f>IF(OR(Registro_Compras!$C$416="",Registro_Compras!$O$416="",Registro_Compras!$Y$416="",Registro_Compras!$F$416="NOTA DE CREDITO"),"","4212")</f>
        <v/>
      </c>
      <c r="D3720">
        <f>IF(OR(Registro_Compras!$C$416="",Registro_Compras!$O$416=""),"","Cuentas por Pagar Comerciales - Terceros")</f>
        <v/>
      </c>
      <c r="E3720" s="20">
        <f>IF($C3720="","",IF(Registro_Compras!$F$416="RHE",(ROUND(Registro_Compras!$L$416*Registro_Compras!$N$416,2)-ROUND(Registro_Compras!$V$416*Registro_Compras!$N$416,2)),ROUND(Registro_Compras!$O$416-Registro_Compras!$S$416,2)))</f>
        <v/>
      </c>
      <c r="F3720" s="20">
        <f>""</f>
        <v/>
      </c>
      <c r="G3720">
        <f>IF($C3720="","","Por la cancelacion del saldo al proveedor")</f>
        <v/>
      </c>
      <c r="H3720">
        <f>IF($C3720="","",Registro_Compras!$C$416)</f>
        <v/>
      </c>
    </row>
    <row r="3721">
      <c r="A3721" s="25">
        <f>IF($C3721="","",Registro_Compras!$Y$416)</f>
        <v/>
      </c>
      <c r="B3721">
        <f>IF($C3721="","","C"&amp;TEXT(INT((ROW()-5)/9)+1,"000")&amp;"-4")</f>
        <v/>
      </c>
      <c r="C3721">
        <f>IF(OR(Registro_Compras!$C$416="",Registro_Compras!$O$416="",Registro_Compras!$Y$416="",Registro_Compras!$F$416="NOTA DE CREDITO"),"","10413")</f>
        <v/>
      </c>
      <c r="D3721">
        <f>IF(OR(Registro_Compras!$C$416="",Registro_Compras!$O$416=""),"","Efectivo y Equivalentes - Cta. Cte. Operativa")</f>
        <v/>
      </c>
      <c r="E3721" s="20">
        <f>""</f>
        <v/>
      </c>
      <c r="F3721" s="20">
        <f>IF($C3721="","",IF(Registro_Compras!$F$416="RHE",(ROUND(Registro_Compras!$L$416*Registro_Compras!$N$416,2)-ROUND(Registro_Compras!$V$416*Registro_Compras!$N$416,2)),ROUND(Registro_Compras!$O$416-Registro_Compras!$S$416,2)))</f>
        <v/>
      </c>
      <c r="G3721">
        <f>IF($C3721="","","Por la cancelacion del saldo al proveedor")</f>
        <v/>
      </c>
      <c r="H3721">
        <f>IF($C3721="","",Registro_Compras!$C$416)</f>
        <v/>
      </c>
    </row>
    <row r="3722">
      <c r="A3722" s="25">
        <f>IF($C3722="","",Registro_Compras!$B$417)</f>
        <v/>
      </c>
      <c r="B3722">
        <f>IF($C3722="","","C"&amp;TEXT(INT((ROW()-5)/9)+1,"000")&amp;"-1")</f>
        <v/>
      </c>
      <c r="C3722">
        <f>IF(OR(Registro_Compras!$C$417="",Registro_Compras!$O$417=""),"",IF(Registro_Compras!$F$417="NOTA DE CREDITO","4212",IF(Registro_Compras!$M$417="","63",Registro_Compras!$M$417)))</f>
        <v/>
      </c>
      <c r="D3722">
        <f>IF(OR(Registro_Compras!$C$417="",Registro_Compras!$O$417=""),"",IF(Registro_Compras!$F$417="NOTA DE CREDITO","Cuentas por Pagar Comerciales - Terceros (Emitidas)",IF(Registro_Compras!$F$417="RHE","Honorarios Profesionales - Servicios de Terceros","Gastos de Servicios Prestados por Terceros")))</f>
        <v/>
      </c>
      <c r="E3722" s="20">
        <f>IF($C3722="","",IF(Registro_Compras!$F$417="NOTA DE CREDITO",ABS(Registro_Compras!$O$417),IF(Registro_Compras!$F$417="RHE",ROUND(Registro_Compras!$L$417*Registro_Compras!$N$417,2),ROUND(Registro_Compras!$J$417*Registro_Compras!$N$417,2))))</f>
        <v/>
      </c>
      <c r="F3722" s="20">
        <f>""</f>
        <v/>
      </c>
      <c r="G3722">
        <f>IF($C3722="","",IF(Registro_Compras!$F$417="NOTA DE CREDITO","Por la nota de credito "&amp;Registro_Compras!$C$417&amp;" de "&amp;Registro_Compras!$E$417&amp;" [PATRON POR CONFIRMAR CON CONTADOR]",IF(Registro_Compras!$F$417="RHE","Por el registro del recibo por honorarios "&amp;Registro_Compras!$C$417&amp;" de "&amp;Registro_Compras!$E$417&amp;" [PATRON POR CONFIRMAR CON CONTADOR]","Por el registro de la factura "&amp;Registro_Compras!$C$417&amp;" de "&amp;Registro_Compras!$E$417)))</f>
        <v/>
      </c>
      <c r="H3722">
        <f>IF($C3722="","",Registro_Compras!$C$417)</f>
        <v/>
      </c>
    </row>
    <row r="3723">
      <c r="A3723" s="25">
        <f>IF($C3723="","",Registro_Compras!$B$417)</f>
        <v/>
      </c>
      <c r="B3723">
        <f>IF($C3723="","","C"&amp;TEXT(INT((ROW()-5)/9)+1,"000")&amp;"-1")</f>
        <v/>
      </c>
      <c r="C3723">
        <f>IF(OR(Registro_Compras!$C$417="",Registro_Compras!$O$417=""),"",IF(Registro_Compras!$F$417="RHE",IF(Registro_Compras!$V$417=0,"","40172"),IF(Registro_Compras!$F$417="NOTA DE CREDITO",IF(Registro_Compras!$M$417="","63",Registro_Compras!$M$417),IF(Registro_Compras!$K$417=0,"","40111"))))</f>
        <v/>
      </c>
      <c r="D3723">
        <f>IF(OR(Registro_Compras!$C$417="",Registro_Compras!$O$417=""),"",IF(Registro_Compras!$F$417="RHE","Retencion Renta 4ta Categoria por Pagar",IF(Registro_Compras!$F$417="NOTA DE CREDITO","Gastos de Servicios Prestados por Terceros","IGV - Cuenta Propia (Credito Fiscal)")))</f>
        <v/>
      </c>
      <c r="E3723" s="20">
        <f>IF($C3723="","",IF(Registro_Compras!$F$417="FACTURA",ROUND(Registro_Compras!$K$417*Registro_Compras!$N$417,2),""))</f>
        <v/>
      </c>
      <c r="F3723" s="20">
        <f>IF($C3723="","",IF(Registro_Compras!$F$417="RHE",ROUND(Registro_Compras!$V$417*Registro_Compras!$N$417,2),IF(Registro_Compras!$F$417="NOTA DE CREDITO",ROUND(ABS(Registro_Compras!$J$417*Registro_Compras!$N$417),2),"")))</f>
        <v/>
      </c>
      <c r="G3723">
        <f>IF($C3723="","",IF(Registro_Compras!$F$417="NOTA DE CREDITO","Por la nota de credito "&amp;Registro_Compras!$C$417&amp;" de "&amp;Registro_Compras!$E$417&amp;" [PATRON POR CONFIRMAR CON CONTADOR]",IF(Registro_Compras!$F$417="RHE","Por el registro del recibo por honorarios "&amp;Registro_Compras!$C$417&amp;" de "&amp;Registro_Compras!$E$417&amp;" [PATRON POR CONFIRMAR CON CONTADOR]","Por el registro de la factura "&amp;Registro_Compras!$C$417&amp;" de "&amp;Registro_Compras!$E$417)))</f>
        <v/>
      </c>
      <c r="H3723">
        <f>IF($C3723="","",Registro_Compras!$C$417)</f>
        <v/>
      </c>
    </row>
    <row r="3724">
      <c r="A3724" s="25">
        <f>IF($C3724="","",Registro_Compras!$B$417)</f>
        <v/>
      </c>
      <c r="B3724">
        <f>IF($C3724="","","C"&amp;TEXT(INT((ROW()-5)/9)+1,"000")&amp;"-1")</f>
        <v/>
      </c>
      <c r="C3724">
        <f>IF(OR(Registro_Compras!$C$417="",Registro_Compras!$O$417=""),"",IF(Registro_Compras!$F$417="NOTA DE CREDITO",IF(Registro_Compras!$K$417=0,"","40111"),"4212"))</f>
        <v/>
      </c>
      <c r="D3724">
        <f>IF(OR(Registro_Compras!$C$417="",Registro_Compras!$O$417=""),"",IF(Registro_Compras!$F$417="NOTA DE CREDITO","IGV - Cuenta Propia (Credito Fiscal)","Cuentas por Pagar Comerciales - Terceros (Emitidas)"))</f>
        <v/>
      </c>
      <c r="E3724" s="20">
        <f>""</f>
        <v/>
      </c>
      <c r="F3724" s="20">
        <f>IF($C3724="","",IF(Registro_Compras!$F$417="NOTA DE CREDITO",ROUND(ABS(Registro_Compras!$K$417*Registro_Compras!$N$417),2),IF(Registro_Compras!$F$417="RHE",(ROUND(Registro_Compras!$L$417*Registro_Compras!$N$417,2)-ROUND(Registro_Compras!$V$417*Registro_Compras!$N$417,2)),Registro_Compras!$O$417)))</f>
        <v/>
      </c>
      <c r="G3724">
        <f>IF($C3724="","",IF(Registro_Compras!$F$417="NOTA DE CREDITO","Por la nota de credito "&amp;Registro_Compras!$C$417&amp;" de "&amp;Registro_Compras!$E$417&amp;" [PATRON POR CONFIRMAR CON CONTADOR]",IF(Registro_Compras!$F$417="RHE","Por el registro del recibo por honorarios "&amp;Registro_Compras!$C$417&amp;" de "&amp;Registro_Compras!$E$417&amp;" [PATRON POR CONFIRMAR CON CONTADOR]","Por el registro de la factura "&amp;Registro_Compras!$C$417&amp;" de "&amp;Registro_Compras!$E$417)))</f>
        <v/>
      </c>
      <c r="H3724">
        <f>IF($C3724="","",Registro_Compras!$C$417)</f>
        <v/>
      </c>
    </row>
    <row r="3725">
      <c r="A3725" s="25">
        <f>IF($C3725="","",Registro_Compras!$B$417)</f>
        <v/>
      </c>
      <c r="B3725">
        <f>IF($C3725="","","C"&amp;TEXT(INT((ROW()-5)/9)+1,"000")&amp;"-2")</f>
        <v/>
      </c>
      <c r="C3725">
        <f>IF(OR(Registro_Compras!$C$417="",Registro_Compras!$O$417=""),"",IF(Registro_Compras!$AB$417="ADMINISTRATIVO","94","95"))</f>
        <v/>
      </c>
      <c r="D3725">
        <f>IF(OR(Registro_Compras!$C$417="",Registro_Compras!$O$417=""),"",IF(Registro_Compras!$AB$417="ADMINISTRATIVO","Gastos Administrativos","Gastos de Venta y Operacion"))</f>
        <v/>
      </c>
      <c r="E3725" s="20">
        <f>IF($C3725="","",IF(Registro_Compras!$F$417="NOTA DE CREDITO","",IF(Registro_Compras!$F$417="RHE",ROUND(Registro_Compras!$L$417*Registro_Compras!$N$417,2),ROUND(Registro_Compras!$J$417*Registro_Compras!$N$417,2))))</f>
        <v/>
      </c>
      <c r="F3725" s="20">
        <f>IF($C3725="","",IF(Registro_Compras!$F$417="NOTA DE CREDITO",ROUND(ABS(Registro_Compras!$J$417*Registro_Compras!$N$417),2),""))</f>
        <v/>
      </c>
      <c r="G3725">
        <f>IF($C3725="","","Por el destino del gasto")</f>
        <v/>
      </c>
      <c r="H3725">
        <f>IF($C3725="","",Registro_Compras!$C$417)</f>
        <v/>
      </c>
    </row>
    <row r="3726">
      <c r="A3726" s="25">
        <f>IF($C3726="","",Registro_Compras!$B$417)</f>
        <v/>
      </c>
      <c r="B3726">
        <f>IF($C3726="","","C"&amp;TEXT(INT((ROW()-5)/9)+1,"000")&amp;"-2")</f>
        <v/>
      </c>
      <c r="C3726">
        <f>IF(OR(Registro_Compras!$C$417="",Registro_Compras!$O$417=""),"","79/791")</f>
        <v/>
      </c>
      <c r="D3726">
        <f>IF(OR(Registro_Compras!$C$417="",Registro_Compras!$O$417=""),"","Cargas Imputables a Cuentas de Costos y Gastos")</f>
        <v/>
      </c>
      <c r="E3726" s="20">
        <f>IF($C3726="","",IF(Registro_Compras!$F$417="NOTA DE CREDITO",ROUND(ABS(Registro_Compras!$J$417*Registro_Compras!$N$417),2),""))</f>
        <v/>
      </c>
      <c r="F3726" s="20">
        <f>IF($C3726="","",IF(Registro_Compras!$F$417="NOTA DE CREDITO","",IF(Registro_Compras!$F$417="RHE",ROUND(Registro_Compras!$L$417*Registro_Compras!$N$417,2),ROUND(Registro_Compras!$J$417*Registro_Compras!$N$417,2))))</f>
        <v/>
      </c>
      <c r="G3726">
        <f>IF($C3726="","","Por el destino del gasto")</f>
        <v/>
      </c>
      <c r="H3726">
        <f>IF($C3726="","",Registro_Compras!$C$417)</f>
        <v/>
      </c>
    </row>
    <row r="3727">
      <c r="A3727" s="25">
        <f>IF($C3727="","",Registro_Compras!$X$417)</f>
        <v/>
      </c>
      <c r="B3727">
        <f>IF($C3727="","","C"&amp;TEXT(INT((ROW()-5)/9)+1,"000")&amp;"-3")</f>
        <v/>
      </c>
      <c r="C3727">
        <f>IF(OR(Registro_Compras!$C$417="",Registro_Compras!$O$417="",Registro_Compras!$R$417&lt;&gt;"SI",Registro_Compras!$X$417=""),"","4212")</f>
        <v/>
      </c>
      <c r="D3727">
        <f>IF(OR(Registro_Compras!$C$417="",Registro_Compras!$O$417=""),"","Cuentas por Pagar Comerciales - Terceros")</f>
        <v/>
      </c>
      <c r="E3727" s="20">
        <f>IF($C3727="","",Registro_Compras!$S$417)</f>
        <v/>
      </c>
      <c r="F3727" s="20">
        <f>""</f>
        <v/>
      </c>
      <c r="G3727">
        <f>IF($C3727="","","Por el deposito de la detraccion en el Banco de la Nacion")</f>
        <v/>
      </c>
      <c r="H3727">
        <f>IF($C3727="","",Registro_Compras!$C$417)</f>
        <v/>
      </c>
    </row>
    <row r="3728">
      <c r="A3728" s="25">
        <f>IF($C3728="","",Registro_Compras!$X$417)</f>
        <v/>
      </c>
      <c r="B3728">
        <f>IF($C3728="","","C"&amp;TEXT(INT((ROW()-5)/9)+1,"000")&amp;"-3")</f>
        <v/>
      </c>
      <c r="C3728">
        <f>IF(OR(Registro_Compras!$C$417="",Registro_Compras!$O$417="",Registro_Compras!$R$417&lt;&gt;"SI",Registro_Compras!$X$417=""),"","10413")</f>
        <v/>
      </c>
      <c r="D3728">
        <f>IF(OR(Registro_Compras!$C$417="",Registro_Compras!$O$417=""),"","Efectivo y Equivalentes - Cta. Cte. Operativa")</f>
        <v/>
      </c>
      <c r="E3728" s="20">
        <f>""</f>
        <v/>
      </c>
      <c r="F3728" s="20">
        <f>IF($C3728="","",Registro_Compras!$S$417)</f>
        <v/>
      </c>
      <c r="G3728">
        <f>IF($C3728="","","Por el deposito de la detraccion en el Banco de la Nacion")</f>
        <v/>
      </c>
      <c r="H3728">
        <f>IF($C3728="","",Registro_Compras!$C$417)</f>
        <v/>
      </c>
    </row>
    <row r="3729">
      <c r="A3729" s="25">
        <f>IF($C3729="","",Registro_Compras!$Y$417)</f>
        <v/>
      </c>
      <c r="B3729">
        <f>IF($C3729="","","C"&amp;TEXT(INT((ROW()-5)/9)+1,"000")&amp;"-4")</f>
        <v/>
      </c>
      <c r="C3729">
        <f>IF(OR(Registro_Compras!$C$417="",Registro_Compras!$O$417="",Registro_Compras!$Y$417="",Registro_Compras!$F$417="NOTA DE CREDITO"),"","4212")</f>
        <v/>
      </c>
      <c r="D3729">
        <f>IF(OR(Registro_Compras!$C$417="",Registro_Compras!$O$417=""),"","Cuentas por Pagar Comerciales - Terceros")</f>
        <v/>
      </c>
      <c r="E3729" s="20">
        <f>IF($C3729="","",IF(Registro_Compras!$F$417="RHE",(ROUND(Registro_Compras!$L$417*Registro_Compras!$N$417,2)-ROUND(Registro_Compras!$V$417*Registro_Compras!$N$417,2)),ROUND(Registro_Compras!$O$417-Registro_Compras!$S$417,2)))</f>
        <v/>
      </c>
      <c r="F3729" s="20">
        <f>""</f>
        <v/>
      </c>
      <c r="G3729">
        <f>IF($C3729="","","Por la cancelacion del saldo al proveedor")</f>
        <v/>
      </c>
      <c r="H3729">
        <f>IF($C3729="","",Registro_Compras!$C$417)</f>
        <v/>
      </c>
    </row>
    <row r="3730">
      <c r="A3730" s="25">
        <f>IF($C3730="","",Registro_Compras!$Y$417)</f>
        <v/>
      </c>
      <c r="B3730">
        <f>IF($C3730="","","C"&amp;TEXT(INT((ROW()-5)/9)+1,"000")&amp;"-4")</f>
        <v/>
      </c>
      <c r="C3730">
        <f>IF(OR(Registro_Compras!$C$417="",Registro_Compras!$O$417="",Registro_Compras!$Y$417="",Registro_Compras!$F$417="NOTA DE CREDITO"),"","10413")</f>
        <v/>
      </c>
      <c r="D3730">
        <f>IF(OR(Registro_Compras!$C$417="",Registro_Compras!$O$417=""),"","Efectivo y Equivalentes - Cta. Cte. Operativa")</f>
        <v/>
      </c>
      <c r="E3730" s="20">
        <f>""</f>
        <v/>
      </c>
      <c r="F3730" s="20">
        <f>IF($C3730="","",IF(Registro_Compras!$F$417="RHE",(ROUND(Registro_Compras!$L$417*Registro_Compras!$N$417,2)-ROUND(Registro_Compras!$V$417*Registro_Compras!$N$417,2)),ROUND(Registro_Compras!$O$417-Registro_Compras!$S$417,2)))</f>
        <v/>
      </c>
      <c r="G3730">
        <f>IF($C3730="","","Por la cancelacion del saldo al proveedor")</f>
        <v/>
      </c>
      <c r="H3730">
        <f>IF($C3730="","",Registro_Compras!$C$417)</f>
        <v/>
      </c>
    </row>
    <row r="3731">
      <c r="A3731" s="25">
        <f>IF($C3731="","",Registro_Compras!$B$418)</f>
        <v/>
      </c>
      <c r="B3731">
        <f>IF($C3731="","","C"&amp;TEXT(INT((ROW()-5)/9)+1,"000")&amp;"-1")</f>
        <v/>
      </c>
      <c r="C3731">
        <f>IF(OR(Registro_Compras!$C$418="",Registro_Compras!$O$418=""),"",IF(Registro_Compras!$F$418="NOTA DE CREDITO","4212",IF(Registro_Compras!$M$418="","63",Registro_Compras!$M$418)))</f>
        <v/>
      </c>
      <c r="D3731">
        <f>IF(OR(Registro_Compras!$C$418="",Registro_Compras!$O$418=""),"",IF(Registro_Compras!$F$418="NOTA DE CREDITO","Cuentas por Pagar Comerciales - Terceros (Emitidas)",IF(Registro_Compras!$F$418="RHE","Honorarios Profesionales - Servicios de Terceros","Gastos de Servicios Prestados por Terceros")))</f>
        <v/>
      </c>
      <c r="E3731" s="20">
        <f>IF($C3731="","",IF(Registro_Compras!$F$418="NOTA DE CREDITO",ABS(Registro_Compras!$O$418),IF(Registro_Compras!$F$418="RHE",ROUND(Registro_Compras!$L$418*Registro_Compras!$N$418,2),ROUND(Registro_Compras!$J$418*Registro_Compras!$N$418,2))))</f>
        <v/>
      </c>
      <c r="F3731" s="20">
        <f>""</f>
        <v/>
      </c>
      <c r="G3731">
        <f>IF($C3731="","",IF(Registro_Compras!$F$418="NOTA DE CREDITO","Por la nota de credito "&amp;Registro_Compras!$C$418&amp;" de "&amp;Registro_Compras!$E$418&amp;" [PATRON POR CONFIRMAR CON CONTADOR]",IF(Registro_Compras!$F$418="RHE","Por el registro del recibo por honorarios "&amp;Registro_Compras!$C$418&amp;" de "&amp;Registro_Compras!$E$418&amp;" [PATRON POR CONFIRMAR CON CONTADOR]","Por el registro de la factura "&amp;Registro_Compras!$C$418&amp;" de "&amp;Registro_Compras!$E$418)))</f>
        <v/>
      </c>
      <c r="H3731">
        <f>IF($C3731="","",Registro_Compras!$C$418)</f>
        <v/>
      </c>
    </row>
    <row r="3732">
      <c r="A3732" s="25">
        <f>IF($C3732="","",Registro_Compras!$B$418)</f>
        <v/>
      </c>
      <c r="B3732">
        <f>IF($C3732="","","C"&amp;TEXT(INT((ROW()-5)/9)+1,"000")&amp;"-1")</f>
        <v/>
      </c>
      <c r="C3732">
        <f>IF(OR(Registro_Compras!$C$418="",Registro_Compras!$O$418=""),"",IF(Registro_Compras!$F$418="RHE",IF(Registro_Compras!$V$418=0,"","40172"),IF(Registro_Compras!$F$418="NOTA DE CREDITO",IF(Registro_Compras!$M$418="","63",Registro_Compras!$M$418),IF(Registro_Compras!$K$418=0,"","40111"))))</f>
        <v/>
      </c>
      <c r="D3732">
        <f>IF(OR(Registro_Compras!$C$418="",Registro_Compras!$O$418=""),"",IF(Registro_Compras!$F$418="RHE","Retencion Renta 4ta Categoria por Pagar",IF(Registro_Compras!$F$418="NOTA DE CREDITO","Gastos de Servicios Prestados por Terceros","IGV - Cuenta Propia (Credito Fiscal)")))</f>
        <v/>
      </c>
      <c r="E3732" s="20">
        <f>IF($C3732="","",IF(Registro_Compras!$F$418="FACTURA",ROUND(Registro_Compras!$K$418*Registro_Compras!$N$418,2),""))</f>
        <v/>
      </c>
      <c r="F3732" s="20">
        <f>IF($C3732="","",IF(Registro_Compras!$F$418="RHE",ROUND(Registro_Compras!$V$418*Registro_Compras!$N$418,2),IF(Registro_Compras!$F$418="NOTA DE CREDITO",ROUND(ABS(Registro_Compras!$J$418*Registro_Compras!$N$418),2),"")))</f>
        <v/>
      </c>
      <c r="G3732">
        <f>IF($C3732="","",IF(Registro_Compras!$F$418="NOTA DE CREDITO","Por la nota de credito "&amp;Registro_Compras!$C$418&amp;" de "&amp;Registro_Compras!$E$418&amp;" [PATRON POR CONFIRMAR CON CONTADOR]",IF(Registro_Compras!$F$418="RHE","Por el registro del recibo por honorarios "&amp;Registro_Compras!$C$418&amp;" de "&amp;Registro_Compras!$E$418&amp;" [PATRON POR CONFIRMAR CON CONTADOR]","Por el registro de la factura "&amp;Registro_Compras!$C$418&amp;" de "&amp;Registro_Compras!$E$418)))</f>
        <v/>
      </c>
      <c r="H3732">
        <f>IF($C3732="","",Registro_Compras!$C$418)</f>
        <v/>
      </c>
    </row>
    <row r="3733">
      <c r="A3733" s="25">
        <f>IF($C3733="","",Registro_Compras!$B$418)</f>
        <v/>
      </c>
      <c r="B3733">
        <f>IF($C3733="","","C"&amp;TEXT(INT((ROW()-5)/9)+1,"000")&amp;"-1")</f>
        <v/>
      </c>
      <c r="C3733">
        <f>IF(OR(Registro_Compras!$C$418="",Registro_Compras!$O$418=""),"",IF(Registro_Compras!$F$418="NOTA DE CREDITO",IF(Registro_Compras!$K$418=0,"","40111"),"4212"))</f>
        <v/>
      </c>
      <c r="D3733">
        <f>IF(OR(Registro_Compras!$C$418="",Registro_Compras!$O$418=""),"",IF(Registro_Compras!$F$418="NOTA DE CREDITO","IGV - Cuenta Propia (Credito Fiscal)","Cuentas por Pagar Comerciales - Terceros (Emitidas)"))</f>
        <v/>
      </c>
      <c r="E3733" s="20">
        <f>""</f>
        <v/>
      </c>
      <c r="F3733" s="20">
        <f>IF($C3733="","",IF(Registro_Compras!$F$418="NOTA DE CREDITO",ROUND(ABS(Registro_Compras!$K$418*Registro_Compras!$N$418),2),IF(Registro_Compras!$F$418="RHE",(ROUND(Registro_Compras!$L$418*Registro_Compras!$N$418,2)-ROUND(Registro_Compras!$V$418*Registro_Compras!$N$418,2)),Registro_Compras!$O$418)))</f>
        <v/>
      </c>
      <c r="G3733">
        <f>IF($C3733="","",IF(Registro_Compras!$F$418="NOTA DE CREDITO","Por la nota de credito "&amp;Registro_Compras!$C$418&amp;" de "&amp;Registro_Compras!$E$418&amp;" [PATRON POR CONFIRMAR CON CONTADOR]",IF(Registro_Compras!$F$418="RHE","Por el registro del recibo por honorarios "&amp;Registro_Compras!$C$418&amp;" de "&amp;Registro_Compras!$E$418&amp;" [PATRON POR CONFIRMAR CON CONTADOR]","Por el registro de la factura "&amp;Registro_Compras!$C$418&amp;" de "&amp;Registro_Compras!$E$418)))</f>
        <v/>
      </c>
      <c r="H3733">
        <f>IF($C3733="","",Registro_Compras!$C$418)</f>
        <v/>
      </c>
    </row>
    <row r="3734">
      <c r="A3734" s="25">
        <f>IF($C3734="","",Registro_Compras!$B$418)</f>
        <v/>
      </c>
      <c r="B3734">
        <f>IF($C3734="","","C"&amp;TEXT(INT((ROW()-5)/9)+1,"000")&amp;"-2")</f>
        <v/>
      </c>
      <c r="C3734">
        <f>IF(OR(Registro_Compras!$C$418="",Registro_Compras!$O$418=""),"",IF(Registro_Compras!$AB$418="ADMINISTRATIVO","94","95"))</f>
        <v/>
      </c>
      <c r="D3734">
        <f>IF(OR(Registro_Compras!$C$418="",Registro_Compras!$O$418=""),"",IF(Registro_Compras!$AB$418="ADMINISTRATIVO","Gastos Administrativos","Gastos de Venta y Operacion"))</f>
        <v/>
      </c>
      <c r="E3734" s="20">
        <f>IF($C3734="","",IF(Registro_Compras!$F$418="NOTA DE CREDITO","",IF(Registro_Compras!$F$418="RHE",ROUND(Registro_Compras!$L$418*Registro_Compras!$N$418,2),ROUND(Registro_Compras!$J$418*Registro_Compras!$N$418,2))))</f>
        <v/>
      </c>
      <c r="F3734" s="20">
        <f>IF($C3734="","",IF(Registro_Compras!$F$418="NOTA DE CREDITO",ROUND(ABS(Registro_Compras!$J$418*Registro_Compras!$N$418),2),""))</f>
        <v/>
      </c>
      <c r="G3734">
        <f>IF($C3734="","","Por el destino del gasto")</f>
        <v/>
      </c>
      <c r="H3734">
        <f>IF($C3734="","",Registro_Compras!$C$418)</f>
        <v/>
      </c>
    </row>
    <row r="3735">
      <c r="A3735" s="25">
        <f>IF($C3735="","",Registro_Compras!$B$418)</f>
        <v/>
      </c>
      <c r="B3735">
        <f>IF($C3735="","","C"&amp;TEXT(INT((ROW()-5)/9)+1,"000")&amp;"-2")</f>
        <v/>
      </c>
      <c r="C3735">
        <f>IF(OR(Registro_Compras!$C$418="",Registro_Compras!$O$418=""),"","79/791")</f>
        <v/>
      </c>
      <c r="D3735">
        <f>IF(OR(Registro_Compras!$C$418="",Registro_Compras!$O$418=""),"","Cargas Imputables a Cuentas de Costos y Gastos")</f>
        <v/>
      </c>
      <c r="E3735" s="20">
        <f>IF($C3735="","",IF(Registro_Compras!$F$418="NOTA DE CREDITO",ROUND(ABS(Registro_Compras!$J$418*Registro_Compras!$N$418),2),""))</f>
        <v/>
      </c>
      <c r="F3735" s="20">
        <f>IF($C3735="","",IF(Registro_Compras!$F$418="NOTA DE CREDITO","",IF(Registro_Compras!$F$418="RHE",ROUND(Registro_Compras!$L$418*Registro_Compras!$N$418,2),ROUND(Registro_Compras!$J$418*Registro_Compras!$N$418,2))))</f>
        <v/>
      </c>
      <c r="G3735">
        <f>IF($C3735="","","Por el destino del gasto")</f>
        <v/>
      </c>
      <c r="H3735">
        <f>IF($C3735="","",Registro_Compras!$C$418)</f>
        <v/>
      </c>
    </row>
    <row r="3736">
      <c r="A3736" s="25">
        <f>IF($C3736="","",Registro_Compras!$X$418)</f>
        <v/>
      </c>
      <c r="B3736">
        <f>IF($C3736="","","C"&amp;TEXT(INT((ROW()-5)/9)+1,"000")&amp;"-3")</f>
        <v/>
      </c>
      <c r="C3736">
        <f>IF(OR(Registro_Compras!$C$418="",Registro_Compras!$O$418="",Registro_Compras!$R$418&lt;&gt;"SI",Registro_Compras!$X$418=""),"","4212")</f>
        <v/>
      </c>
      <c r="D3736">
        <f>IF(OR(Registro_Compras!$C$418="",Registro_Compras!$O$418=""),"","Cuentas por Pagar Comerciales - Terceros")</f>
        <v/>
      </c>
      <c r="E3736" s="20">
        <f>IF($C3736="","",Registro_Compras!$S$418)</f>
        <v/>
      </c>
      <c r="F3736" s="20">
        <f>""</f>
        <v/>
      </c>
      <c r="G3736">
        <f>IF($C3736="","","Por el deposito de la detraccion en el Banco de la Nacion")</f>
        <v/>
      </c>
      <c r="H3736">
        <f>IF($C3736="","",Registro_Compras!$C$418)</f>
        <v/>
      </c>
    </row>
    <row r="3737">
      <c r="A3737" s="25">
        <f>IF($C3737="","",Registro_Compras!$X$418)</f>
        <v/>
      </c>
      <c r="B3737">
        <f>IF($C3737="","","C"&amp;TEXT(INT((ROW()-5)/9)+1,"000")&amp;"-3")</f>
        <v/>
      </c>
      <c r="C3737">
        <f>IF(OR(Registro_Compras!$C$418="",Registro_Compras!$O$418="",Registro_Compras!$R$418&lt;&gt;"SI",Registro_Compras!$X$418=""),"","10413")</f>
        <v/>
      </c>
      <c r="D3737">
        <f>IF(OR(Registro_Compras!$C$418="",Registro_Compras!$O$418=""),"","Efectivo y Equivalentes - Cta. Cte. Operativa")</f>
        <v/>
      </c>
      <c r="E3737" s="20">
        <f>""</f>
        <v/>
      </c>
      <c r="F3737" s="20">
        <f>IF($C3737="","",Registro_Compras!$S$418)</f>
        <v/>
      </c>
      <c r="G3737">
        <f>IF($C3737="","","Por el deposito de la detraccion en el Banco de la Nacion")</f>
        <v/>
      </c>
      <c r="H3737">
        <f>IF($C3737="","",Registro_Compras!$C$418)</f>
        <v/>
      </c>
    </row>
    <row r="3738">
      <c r="A3738" s="25">
        <f>IF($C3738="","",Registro_Compras!$Y$418)</f>
        <v/>
      </c>
      <c r="B3738">
        <f>IF($C3738="","","C"&amp;TEXT(INT((ROW()-5)/9)+1,"000")&amp;"-4")</f>
        <v/>
      </c>
      <c r="C3738">
        <f>IF(OR(Registro_Compras!$C$418="",Registro_Compras!$O$418="",Registro_Compras!$Y$418="",Registro_Compras!$F$418="NOTA DE CREDITO"),"","4212")</f>
        <v/>
      </c>
      <c r="D3738">
        <f>IF(OR(Registro_Compras!$C$418="",Registro_Compras!$O$418=""),"","Cuentas por Pagar Comerciales - Terceros")</f>
        <v/>
      </c>
      <c r="E3738" s="20">
        <f>IF($C3738="","",IF(Registro_Compras!$F$418="RHE",(ROUND(Registro_Compras!$L$418*Registro_Compras!$N$418,2)-ROUND(Registro_Compras!$V$418*Registro_Compras!$N$418,2)),ROUND(Registro_Compras!$O$418-Registro_Compras!$S$418,2)))</f>
        <v/>
      </c>
      <c r="F3738" s="20">
        <f>""</f>
        <v/>
      </c>
      <c r="G3738">
        <f>IF($C3738="","","Por la cancelacion del saldo al proveedor")</f>
        <v/>
      </c>
      <c r="H3738">
        <f>IF($C3738="","",Registro_Compras!$C$418)</f>
        <v/>
      </c>
    </row>
    <row r="3739">
      <c r="A3739" s="25">
        <f>IF($C3739="","",Registro_Compras!$Y$418)</f>
        <v/>
      </c>
      <c r="B3739">
        <f>IF($C3739="","","C"&amp;TEXT(INT((ROW()-5)/9)+1,"000")&amp;"-4")</f>
        <v/>
      </c>
      <c r="C3739">
        <f>IF(OR(Registro_Compras!$C$418="",Registro_Compras!$O$418="",Registro_Compras!$Y$418="",Registro_Compras!$F$418="NOTA DE CREDITO"),"","10413")</f>
        <v/>
      </c>
      <c r="D3739">
        <f>IF(OR(Registro_Compras!$C$418="",Registro_Compras!$O$418=""),"","Efectivo y Equivalentes - Cta. Cte. Operativa")</f>
        <v/>
      </c>
      <c r="E3739" s="20">
        <f>""</f>
        <v/>
      </c>
      <c r="F3739" s="20">
        <f>IF($C3739="","",IF(Registro_Compras!$F$418="RHE",(ROUND(Registro_Compras!$L$418*Registro_Compras!$N$418,2)-ROUND(Registro_Compras!$V$418*Registro_Compras!$N$418,2)),ROUND(Registro_Compras!$O$418-Registro_Compras!$S$418,2)))</f>
        <v/>
      </c>
      <c r="G3739">
        <f>IF($C3739="","","Por la cancelacion del saldo al proveedor")</f>
        <v/>
      </c>
      <c r="H3739">
        <f>IF($C3739="","",Registro_Compras!$C$418)</f>
        <v/>
      </c>
    </row>
    <row r="3740">
      <c r="A3740" s="25">
        <f>IF($C3740="","",Registro_Compras!$B$419)</f>
        <v/>
      </c>
      <c r="B3740">
        <f>IF($C3740="","","C"&amp;TEXT(INT((ROW()-5)/9)+1,"000")&amp;"-1")</f>
        <v/>
      </c>
      <c r="C3740">
        <f>IF(OR(Registro_Compras!$C$419="",Registro_Compras!$O$419=""),"",IF(Registro_Compras!$F$419="NOTA DE CREDITO","4212",IF(Registro_Compras!$M$419="","63",Registro_Compras!$M$419)))</f>
        <v/>
      </c>
      <c r="D3740">
        <f>IF(OR(Registro_Compras!$C$419="",Registro_Compras!$O$419=""),"",IF(Registro_Compras!$F$419="NOTA DE CREDITO","Cuentas por Pagar Comerciales - Terceros (Emitidas)",IF(Registro_Compras!$F$419="RHE","Honorarios Profesionales - Servicios de Terceros","Gastos de Servicios Prestados por Terceros")))</f>
        <v/>
      </c>
      <c r="E3740" s="20">
        <f>IF($C3740="","",IF(Registro_Compras!$F$419="NOTA DE CREDITO",ABS(Registro_Compras!$O$419),IF(Registro_Compras!$F$419="RHE",ROUND(Registro_Compras!$L$419*Registro_Compras!$N$419,2),ROUND(Registro_Compras!$J$419*Registro_Compras!$N$419,2))))</f>
        <v/>
      </c>
      <c r="F3740" s="20">
        <f>""</f>
        <v/>
      </c>
      <c r="G3740">
        <f>IF($C3740="","",IF(Registro_Compras!$F$419="NOTA DE CREDITO","Por la nota de credito "&amp;Registro_Compras!$C$419&amp;" de "&amp;Registro_Compras!$E$419&amp;" [PATRON POR CONFIRMAR CON CONTADOR]",IF(Registro_Compras!$F$419="RHE","Por el registro del recibo por honorarios "&amp;Registro_Compras!$C$419&amp;" de "&amp;Registro_Compras!$E$419&amp;" [PATRON POR CONFIRMAR CON CONTADOR]","Por el registro de la factura "&amp;Registro_Compras!$C$419&amp;" de "&amp;Registro_Compras!$E$419)))</f>
        <v/>
      </c>
      <c r="H3740">
        <f>IF($C3740="","",Registro_Compras!$C$419)</f>
        <v/>
      </c>
    </row>
    <row r="3741">
      <c r="A3741" s="25">
        <f>IF($C3741="","",Registro_Compras!$B$419)</f>
        <v/>
      </c>
      <c r="B3741">
        <f>IF($C3741="","","C"&amp;TEXT(INT((ROW()-5)/9)+1,"000")&amp;"-1")</f>
        <v/>
      </c>
      <c r="C3741">
        <f>IF(OR(Registro_Compras!$C$419="",Registro_Compras!$O$419=""),"",IF(Registro_Compras!$F$419="RHE",IF(Registro_Compras!$V$419=0,"","40172"),IF(Registro_Compras!$F$419="NOTA DE CREDITO",IF(Registro_Compras!$M$419="","63",Registro_Compras!$M$419),IF(Registro_Compras!$K$419=0,"","40111"))))</f>
        <v/>
      </c>
      <c r="D3741">
        <f>IF(OR(Registro_Compras!$C$419="",Registro_Compras!$O$419=""),"",IF(Registro_Compras!$F$419="RHE","Retencion Renta 4ta Categoria por Pagar",IF(Registro_Compras!$F$419="NOTA DE CREDITO","Gastos de Servicios Prestados por Terceros","IGV - Cuenta Propia (Credito Fiscal)")))</f>
        <v/>
      </c>
      <c r="E3741" s="20">
        <f>IF($C3741="","",IF(Registro_Compras!$F$419="FACTURA",ROUND(Registro_Compras!$K$419*Registro_Compras!$N$419,2),""))</f>
        <v/>
      </c>
      <c r="F3741" s="20">
        <f>IF($C3741="","",IF(Registro_Compras!$F$419="RHE",ROUND(Registro_Compras!$V$419*Registro_Compras!$N$419,2),IF(Registro_Compras!$F$419="NOTA DE CREDITO",ROUND(ABS(Registro_Compras!$J$419*Registro_Compras!$N$419),2),"")))</f>
        <v/>
      </c>
      <c r="G3741">
        <f>IF($C3741="","",IF(Registro_Compras!$F$419="NOTA DE CREDITO","Por la nota de credito "&amp;Registro_Compras!$C$419&amp;" de "&amp;Registro_Compras!$E$419&amp;" [PATRON POR CONFIRMAR CON CONTADOR]",IF(Registro_Compras!$F$419="RHE","Por el registro del recibo por honorarios "&amp;Registro_Compras!$C$419&amp;" de "&amp;Registro_Compras!$E$419&amp;" [PATRON POR CONFIRMAR CON CONTADOR]","Por el registro de la factura "&amp;Registro_Compras!$C$419&amp;" de "&amp;Registro_Compras!$E$419)))</f>
        <v/>
      </c>
      <c r="H3741">
        <f>IF($C3741="","",Registro_Compras!$C$419)</f>
        <v/>
      </c>
    </row>
    <row r="3742">
      <c r="A3742" s="25">
        <f>IF($C3742="","",Registro_Compras!$B$419)</f>
        <v/>
      </c>
      <c r="B3742">
        <f>IF($C3742="","","C"&amp;TEXT(INT((ROW()-5)/9)+1,"000")&amp;"-1")</f>
        <v/>
      </c>
      <c r="C3742">
        <f>IF(OR(Registro_Compras!$C$419="",Registro_Compras!$O$419=""),"",IF(Registro_Compras!$F$419="NOTA DE CREDITO",IF(Registro_Compras!$K$419=0,"","40111"),"4212"))</f>
        <v/>
      </c>
      <c r="D3742">
        <f>IF(OR(Registro_Compras!$C$419="",Registro_Compras!$O$419=""),"",IF(Registro_Compras!$F$419="NOTA DE CREDITO","IGV - Cuenta Propia (Credito Fiscal)","Cuentas por Pagar Comerciales - Terceros (Emitidas)"))</f>
        <v/>
      </c>
      <c r="E3742" s="20">
        <f>""</f>
        <v/>
      </c>
      <c r="F3742" s="20">
        <f>IF($C3742="","",IF(Registro_Compras!$F$419="NOTA DE CREDITO",ROUND(ABS(Registro_Compras!$K$419*Registro_Compras!$N$419),2),IF(Registro_Compras!$F$419="RHE",(ROUND(Registro_Compras!$L$419*Registro_Compras!$N$419,2)-ROUND(Registro_Compras!$V$419*Registro_Compras!$N$419,2)),Registro_Compras!$O$419)))</f>
        <v/>
      </c>
      <c r="G3742">
        <f>IF($C3742="","",IF(Registro_Compras!$F$419="NOTA DE CREDITO","Por la nota de credito "&amp;Registro_Compras!$C$419&amp;" de "&amp;Registro_Compras!$E$419&amp;" [PATRON POR CONFIRMAR CON CONTADOR]",IF(Registro_Compras!$F$419="RHE","Por el registro del recibo por honorarios "&amp;Registro_Compras!$C$419&amp;" de "&amp;Registro_Compras!$E$419&amp;" [PATRON POR CONFIRMAR CON CONTADOR]","Por el registro de la factura "&amp;Registro_Compras!$C$419&amp;" de "&amp;Registro_Compras!$E$419)))</f>
        <v/>
      </c>
      <c r="H3742">
        <f>IF($C3742="","",Registro_Compras!$C$419)</f>
        <v/>
      </c>
    </row>
    <row r="3743">
      <c r="A3743" s="25">
        <f>IF($C3743="","",Registro_Compras!$B$419)</f>
        <v/>
      </c>
      <c r="B3743">
        <f>IF($C3743="","","C"&amp;TEXT(INT((ROW()-5)/9)+1,"000")&amp;"-2")</f>
        <v/>
      </c>
      <c r="C3743">
        <f>IF(OR(Registro_Compras!$C$419="",Registro_Compras!$O$419=""),"",IF(Registro_Compras!$AB$419="ADMINISTRATIVO","94","95"))</f>
        <v/>
      </c>
      <c r="D3743">
        <f>IF(OR(Registro_Compras!$C$419="",Registro_Compras!$O$419=""),"",IF(Registro_Compras!$AB$419="ADMINISTRATIVO","Gastos Administrativos","Gastos de Venta y Operacion"))</f>
        <v/>
      </c>
      <c r="E3743" s="20">
        <f>IF($C3743="","",IF(Registro_Compras!$F$419="NOTA DE CREDITO","",IF(Registro_Compras!$F$419="RHE",ROUND(Registro_Compras!$L$419*Registro_Compras!$N$419,2),ROUND(Registro_Compras!$J$419*Registro_Compras!$N$419,2))))</f>
        <v/>
      </c>
      <c r="F3743" s="20">
        <f>IF($C3743="","",IF(Registro_Compras!$F$419="NOTA DE CREDITO",ROUND(ABS(Registro_Compras!$J$419*Registro_Compras!$N$419),2),""))</f>
        <v/>
      </c>
      <c r="G3743">
        <f>IF($C3743="","","Por el destino del gasto")</f>
        <v/>
      </c>
      <c r="H3743">
        <f>IF($C3743="","",Registro_Compras!$C$419)</f>
        <v/>
      </c>
    </row>
    <row r="3744">
      <c r="A3744" s="25">
        <f>IF($C3744="","",Registro_Compras!$B$419)</f>
        <v/>
      </c>
      <c r="B3744">
        <f>IF($C3744="","","C"&amp;TEXT(INT((ROW()-5)/9)+1,"000")&amp;"-2")</f>
        <v/>
      </c>
      <c r="C3744">
        <f>IF(OR(Registro_Compras!$C$419="",Registro_Compras!$O$419=""),"","79/791")</f>
        <v/>
      </c>
      <c r="D3744">
        <f>IF(OR(Registro_Compras!$C$419="",Registro_Compras!$O$419=""),"","Cargas Imputables a Cuentas de Costos y Gastos")</f>
        <v/>
      </c>
      <c r="E3744" s="20">
        <f>IF($C3744="","",IF(Registro_Compras!$F$419="NOTA DE CREDITO",ROUND(ABS(Registro_Compras!$J$419*Registro_Compras!$N$419),2),""))</f>
        <v/>
      </c>
      <c r="F3744" s="20">
        <f>IF($C3744="","",IF(Registro_Compras!$F$419="NOTA DE CREDITO","",IF(Registro_Compras!$F$419="RHE",ROUND(Registro_Compras!$L$419*Registro_Compras!$N$419,2),ROUND(Registro_Compras!$J$419*Registro_Compras!$N$419,2))))</f>
        <v/>
      </c>
      <c r="G3744">
        <f>IF($C3744="","","Por el destino del gasto")</f>
        <v/>
      </c>
      <c r="H3744">
        <f>IF($C3744="","",Registro_Compras!$C$419)</f>
        <v/>
      </c>
    </row>
    <row r="3745">
      <c r="A3745" s="25">
        <f>IF($C3745="","",Registro_Compras!$X$419)</f>
        <v/>
      </c>
      <c r="B3745">
        <f>IF($C3745="","","C"&amp;TEXT(INT((ROW()-5)/9)+1,"000")&amp;"-3")</f>
        <v/>
      </c>
      <c r="C3745">
        <f>IF(OR(Registro_Compras!$C$419="",Registro_Compras!$O$419="",Registro_Compras!$R$419&lt;&gt;"SI",Registro_Compras!$X$419=""),"","4212")</f>
        <v/>
      </c>
      <c r="D3745">
        <f>IF(OR(Registro_Compras!$C$419="",Registro_Compras!$O$419=""),"","Cuentas por Pagar Comerciales - Terceros")</f>
        <v/>
      </c>
      <c r="E3745" s="20">
        <f>IF($C3745="","",Registro_Compras!$S$419)</f>
        <v/>
      </c>
      <c r="F3745" s="20">
        <f>""</f>
        <v/>
      </c>
      <c r="G3745">
        <f>IF($C3745="","","Por el deposito de la detraccion en el Banco de la Nacion")</f>
        <v/>
      </c>
      <c r="H3745">
        <f>IF($C3745="","",Registro_Compras!$C$419)</f>
        <v/>
      </c>
    </row>
    <row r="3746">
      <c r="A3746" s="25">
        <f>IF($C3746="","",Registro_Compras!$X$419)</f>
        <v/>
      </c>
      <c r="B3746">
        <f>IF($C3746="","","C"&amp;TEXT(INT((ROW()-5)/9)+1,"000")&amp;"-3")</f>
        <v/>
      </c>
      <c r="C3746">
        <f>IF(OR(Registro_Compras!$C$419="",Registro_Compras!$O$419="",Registro_Compras!$R$419&lt;&gt;"SI",Registro_Compras!$X$419=""),"","10413")</f>
        <v/>
      </c>
      <c r="D3746">
        <f>IF(OR(Registro_Compras!$C$419="",Registro_Compras!$O$419=""),"","Efectivo y Equivalentes - Cta. Cte. Operativa")</f>
        <v/>
      </c>
      <c r="E3746" s="20">
        <f>""</f>
        <v/>
      </c>
      <c r="F3746" s="20">
        <f>IF($C3746="","",Registro_Compras!$S$419)</f>
        <v/>
      </c>
      <c r="G3746">
        <f>IF($C3746="","","Por el deposito de la detraccion en el Banco de la Nacion")</f>
        <v/>
      </c>
      <c r="H3746">
        <f>IF($C3746="","",Registro_Compras!$C$419)</f>
        <v/>
      </c>
    </row>
    <row r="3747">
      <c r="A3747" s="25">
        <f>IF($C3747="","",Registro_Compras!$Y$419)</f>
        <v/>
      </c>
      <c r="B3747">
        <f>IF($C3747="","","C"&amp;TEXT(INT((ROW()-5)/9)+1,"000")&amp;"-4")</f>
        <v/>
      </c>
      <c r="C3747">
        <f>IF(OR(Registro_Compras!$C$419="",Registro_Compras!$O$419="",Registro_Compras!$Y$419="",Registro_Compras!$F$419="NOTA DE CREDITO"),"","4212")</f>
        <v/>
      </c>
      <c r="D3747">
        <f>IF(OR(Registro_Compras!$C$419="",Registro_Compras!$O$419=""),"","Cuentas por Pagar Comerciales - Terceros")</f>
        <v/>
      </c>
      <c r="E3747" s="20">
        <f>IF($C3747="","",IF(Registro_Compras!$F$419="RHE",(ROUND(Registro_Compras!$L$419*Registro_Compras!$N$419,2)-ROUND(Registro_Compras!$V$419*Registro_Compras!$N$419,2)),ROUND(Registro_Compras!$O$419-Registro_Compras!$S$419,2)))</f>
        <v/>
      </c>
      <c r="F3747" s="20">
        <f>""</f>
        <v/>
      </c>
      <c r="G3747">
        <f>IF($C3747="","","Por la cancelacion del saldo al proveedor")</f>
        <v/>
      </c>
      <c r="H3747">
        <f>IF($C3747="","",Registro_Compras!$C$419)</f>
        <v/>
      </c>
    </row>
    <row r="3748">
      <c r="A3748" s="25">
        <f>IF($C3748="","",Registro_Compras!$Y$419)</f>
        <v/>
      </c>
      <c r="B3748">
        <f>IF($C3748="","","C"&amp;TEXT(INT((ROW()-5)/9)+1,"000")&amp;"-4")</f>
        <v/>
      </c>
      <c r="C3748">
        <f>IF(OR(Registro_Compras!$C$419="",Registro_Compras!$O$419="",Registro_Compras!$Y$419="",Registro_Compras!$F$419="NOTA DE CREDITO"),"","10413")</f>
        <v/>
      </c>
      <c r="D3748">
        <f>IF(OR(Registro_Compras!$C$419="",Registro_Compras!$O$419=""),"","Efectivo y Equivalentes - Cta. Cte. Operativa")</f>
        <v/>
      </c>
      <c r="E3748" s="20">
        <f>""</f>
        <v/>
      </c>
      <c r="F3748" s="20">
        <f>IF($C3748="","",IF(Registro_Compras!$F$419="RHE",(ROUND(Registro_Compras!$L$419*Registro_Compras!$N$419,2)-ROUND(Registro_Compras!$V$419*Registro_Compras!$N$419,2)),ROUND(Registro_Compras!$O$419-Registro_Compras!$S$419,2)))</f>
        <v/>
      </c>
      <c r="G3748">
        <f>IF($C3748="","","Por la cancelacion del saldo al proveedor")</f>
        <v/>
      </c>
      <c r="H3748">
        <f>IF($C3748="","",Registro_Compras!$C$419)</f>
        <v/>
      </c>
    </row>
    <row r="3749">
      <c r="A3749" s="25">
        <f>IF($C3749="","",Registro_Compras!$B$420)</f>
        <v/>
      </c>
      <c r="B3749">
        <f>IF($C3749="","","C"&amp;TEXT(INT((ROW()-5)/9)+1,"000")&amp;"-1")</f>
        <v/>
      </c>
      <c r="C3749">
        <f>IF(OR(Registro_Compras!$C$420="",Registro_Compras!$O$420=""),"",IF(Registro_Compras!$F$420="NOTA DE CREDITO","4212",IF(Registro_Compras!$M$420="","63",Registro_Compras!$M$420)))</f>
        <v/>
      </c>
      <c r="D3749">
        <f>IF(OR(Registro_Compras!$C$420="",Registro_Compras!$O$420=""),"",IF(Registro_Compras!$F$420="NOTA DE CREDITO","Cuentas por Pagar Comerciales - Terceros (Emitidas)",IF(Registro_Compras!$F$420="RHE","Honorarios Profesionales - Servicios de Terceros","Gastos de Servicios Prestados por Terceros")))</f>
        <v/>
      </c>
      <c r="E3749" s="20">
        <f>IF($C3749="","",IF(Registro_Compras!$F$420="NOTA DE CREDITO",ABS(Registro_Compras!$O$420),IF(Registro_Compras!$F$420="RHE",ROUND(Registro_Compras!$L$420*Registro_Compras!$N$420,2),ROUND(Registro_Compras!$J$420*Registro_Compras!$N$420,2))))</f>
        <v/>
      </c>
      <c r="F3749" s="20">
        <f>""</f>
        <v/>
      </c>
      <c r="G3749">
        <f>IF($C3749="","",IF(Registro_Compras!$F$420="NOTA DE CREDITO","Por la nota de credito "&amp;Registro_Compras!$C$420&amp;" de "&amp;Registro_Compras!$E$420&amp;" [PATRON POR CONFIRMAR CON CONTADOR]",IF(Registro_Compras!$F$420="RHE","Por el registro del recibo por honorarios "&amp;Registro_Compras!$C$420&amp;" de "&amp;Registro_Compras!$E$420&amp;" [PATRON POR CONFIRMAR CON CONTADOR]","Por el registro de la factura "&amp;Registro_Compras!$C$420&amp;" de "&amp;Registro_Compras!$E$420)))</f>
        <v/>
      </c>
      <c r="H3749">
        <f>IF($C3749="","",Registro_Compras!$C$420)</f>
        <v/>
      </c>
    </row>
    <row r="3750">
      <c r="A3750" s="25">
        <f>IF($C3750="","",Registro_Compras!$B$420)</f>
        <v/>
      </c>
      <c r="B3750">
        <f>IF($C3750="","","C"&amp;TEXT(INT((ROW()-5)/9)+1,"000")&amp;"-1")</f>
        <v/>
      </c>
      <c r="C3750">
        <f>IF(OR(Registro_Compras!$C$420="",Registro_Compras!$O$420=""),"",IF(Registro_Compras!$F$420="RHE",IF(Registro_Compras!$V$420=0,"","40172"),IF(Registro_Compras!$F$420="NOTA DE CREDITO",IF(Registro_Compras!$M$420="","63",Registro_Compras!$M$420),IF(Registro_Compras!$K$420=0,"","40111"))))</f>
        <v/>
      </c>
      <c r="D3750">
        <f>IF(OR(Registro_Compras!$C$420="",Registro_Compras!$O$420=""),"",IF(Registro_Compras!$F$420="RHE","Retencion Renta 4ta Categoria por Pagar",IF(Registro_Compras!$F$420="NOTA DE CREDITO","Gastos de Servicios Prestados por Terceros","IGV - Cuenta Propia (Credito Fiscal)")))</f>
        <v/>
      </c>
      <c r="E3750" s="20">
        <f>IF($C3750="","",IF(Registro_Compras!$F$420="FACTURA",ROUND(Registro_Compras!$K$420*Registro_Compras!$N$420,2),""))</f>
        <v/>
      </c>
      <c r="F3750" s="20">
        <f>IF($C3750="","",IF(Registro_Compras!$F$420="RHE",ROUND(Registro_Compras!$V$420*Registro_Compras!$N$420,2),IF(Registro_Compras!$F$420="NOTA DE CREDITO",ROUND(ABS(Registro_Compras!$J$420*Registro_Compras!$N$420),2),"")))</f>
        <v/>
      </c>
      <c r="G3750">
        <f>IF($C3750="","",IF(Registro_Compras!$F$420="NOTA DE CREDITO","Por la nota de credito "&amp;Registro_Compras!$C$420&amp;" de "&amp;Registro_Compras!$E$420&amp;" [PATRON POR CONFIRMAR CON CONTADOR]",IF(Registro_Compras!$F$420="RHE","Por el registro del recibo por honorarios "&amp;Registro_Compras!$C$420&amp;" de "&amp;Registro_Compras!$E$420&amp;" [PATRON POR CONFIRMAR CON CONTADOR]","Por el registro de la factura "&amp;Registro_Compras!$C$420&amp;" de "&amp;Registro_Compras!$E$420)))</f>
        <v/>
      </c>
      <c r="H3750">
        <f>IF($C3750="","",Registro_Compras!$C$420)</f>
        <v/>
      </c>
    </row>
    <row r="3751">
      <c r="A3751" s="25">
        <f>IF($C3751="","",Registro_Compras!$B$420)</f>
        <v/>
      </c>
      <c r="B3751">
        <f>IF($C3751="","","C"&amp;TEXT(INT((ROW()-5)/9)+1,"000")&amp;"-1")</f>
        <v/>
      </c>
      <c r="C3751">
        <f>IF(OR(Registro_Compras!$C$420="",Registro_Compras!$O$420=""),"",IF(Registro_Compras!$F$420="NOTA DE CREDITO",IF(Registro_Compras!$K$420=0,"","40111"),"4212"))</f>
        <v/>
      </c>
      <c r="D3751">
        <f>IF(OR(Registro_Compras!$C$420="",Registro_Compras!$O$420=""),"",IF(Registro_Compras!$F$420="NOTA DE CREDITO","IGV - Cuenta Propia (Credito Fiscal)","Cuentas por Pagar Comerciales - Terceros (Emitidas)"))</f>
        <v/>
      </c>
      <c r="E3751" s="20">
        <f>""</f>
        <v/>
      </c>
      <c r="F3751" s="20">
        <f>IF($C3751="","",IF(Registro_Compras!$F$420="NOTA DE CREDITO",ROUND(ABS(Registro_Compras!$K$420*Registro_Compras!$N$420),2),IF(Registro_Compras!$F$420="RHE",(ROUND(Registro_Compras!$L$420*Registro_Compras!$N$420,2)-ROUND(Registro_Compras!$V$420*Registro_Compras!$N$420,2)),Registro_Compras!$O$420)))</f>
        <v/>
      </c>
      <c r="G3751">
        <f>IF($C3751="","",IF(Registro_Compras!$F$420="NOTA DE CREDITO","Por la nota de credito "&amp;Registro_Compras!$C$420&amp;" de "&amp;Registro_Compras!$E$420&amp;" [PATRON POR CONFIRMAR CON CONTADOR]",IF(Registro_Compras!$F$420="RHE","Por el registro del recibo por honorarios "&amp;Registro_Compras!$C$420&amp;" de "&amp;Registro_Compras!$E$420&amp;" [PATRON POR CONFIRMAR CON CONTADOR]","Por el registro de la factura "&amp;Registro_Compras!$C$420&amp;" de "&amp;Registro_Compras!$E$420)))</f>
        <v/>
      </c>
      <c r="H3751">
        <f>IF($C3751="","",Registro_Compras!$C$420)</f>
        <v/>
      </c>
    </row>
    <row r="3752">
      <c r="A3752" s="25">
        <f>IF($C3752="","",Registro_Compras!$B$420)</f>
        <v/>
      </c>
      <c r="B3752">
        <f>IF($C3752="","","C"&amp;TEXT(INT((ROW()-5)/9)+1,"000")&amp;"-2")</f>
        <v/>
      </c>
      <c r="C3752">
        <f>IF(OR(Registro_Compras!$C$420="",Registro_Compras!$O$420=""),"",IF(Registro_Compras!$AB$420="ADMINISTRATIVO","94","95"))</f>
        <v/>
      </c>
      <c r="D3752">
        <f>IF(OR(Registro_Compras!$C$420="",Registro_Compras!$O$420=""),"",IF(Registro_Compras!$AB$420="ADMINISTRATIVO","Gastos Administrativos","Gastos de Venta y Operacion"))</f>
        <v/>
      </c>
      <c r="E3752" s="20">
        <f>IF($C3752="","",IF(Registro_Compras!$F$420="NOTA DE CREDITO","",IF(Registro_Compras!$F$420="RHE",ROUND(Registro_Compras!$L$420*Registro_Compras!$N$420,2),ROUND(Registro_Compras!$J$420*Registro_Compras!$N$420,2))))</f>
        <v/>
      </c>
      <c r="F3752" s="20">
        <f>IF($C3752="","",IF(Registro_Compras!$F$420="NOTA DE CREDITO",ROUND(ABS(Registro_Compras!$J$420*Registro_Compras!$N$420),2),""))</f>
        <v/>
      </c>
      <c r="G3752">
        <f>IF($C3752="","","Por el destino del gasto")</f>
        <v/>
      </c>
      <c r="H3752">
        <f>IF($C3752="","",Registro_Compras!$C$420)</f>
        <v/>
      </c>
    </row>
    <row r="3753">
      <c r="A3753" s="25">
        <f>IF($C3753="","",Registro_Compras!$B$420)</f>
        <v/>
      </c>
      <c r="B3753">
        <f>IF($C3753="","","C"&amp;TEXT(INT((ROW()-5)/9)+1,"000")&amp;"-2")</f>
        <v/>
      </c>
      <c r="C3753">
        <f>IF(OR(Registro_Compras!$C$420="",Registro_Compras!$O$420=""),"","79/791")</f>
        <v/>
      </c>
      <c r="D3753">
        <f>IF(OR(Registro_Compras!$C$420="",Registro_Compras!$O$420=""),"","Cargas Imputables a Cuentas de Costos y Gastos")</f>
        <v/>
      </c>
      <c r="E3753" s="20">
        <f>IF($C3753="","",IF(Registro_Compras!$F$420="NOTA DE CREDITO",ROUND(ABS(Registro_Compras!$J$420*Registro_Compras!$N$420),2),""))</f>
        <v/>
      </c>
      <c r="F3753" s="20">
        <f>IF($C3753="","",IF(Registro_Compras!$F$420="NOTA DE CREDITO","",IF(Registro_Compras!$F$420="RHE",ROUND(Registro_Compras!$L$420*Registro_Compras!$N$420,2),ROUND(Registro_Compras!$J$420*Registro_Compras!$N$420,2))))</f>
        <v/>
      </c>
      <c r="G3753">
        <f>IF($C3753="","","Por el destino del gasto")</f>
        <v/>
      </c>
      <c r="H3753">
        <f>IF($C3753="","",Registro_Compras!$C$420)</f>
        <v/>
      </c>
    </row>
    <row r="3754">
      <c r="A3754" s="25">
        <f>IF($C3754="","",Registro_Compras!$X$420)</f>
        <v/>
      </c>
      <c r="B3754">
        <f>IF($C3754="","","C"&amp;TEXT(INT((ROW()-5)/9)+1,"000")&amp;"-3")</f>
        <v/>
      </c>
      <c r="C3754">
        <f>IF(OR(Registro_Compras!$C$420="",Registro_Compras!$O$420="",Registro_Compras!$R$420&lt;&gt;"SI",Registro_Compras!$X$420=""),"","4212")</f>
        <v/>
      </c>
      <c r="D3754">
        <f>IF(OR(Registro_Compras!$C$420="",Registro_Compras!$O$420=""),"","Cuentas por Pagar Comerciales - Terceros")</f>
        <v/>
      </c>
      <c r="E3754" s="20">
        <f>IF($C3754="","",Registro_Compras!$S$420)</f>
        <v/>
      </c>
      <c r="F3754" s="20">
        <f>""</f>
        <v/>
      </c>
      <c r="G3754">
        <f>IF($C3754="","","Por el deposito de la detraccion en el Banco de la Nacion")</f>
        <v/>
      </c>
      <c r="H3754">
        <f>IF($C3754="","",Registro_Compras!$C$420)</f>
        <v/>
      </c>
    </row>
    <row r="3755">
      <c r="A3755" s="25">
        <f>IF($C3755="","",Registro_Compras!$X$420)</f>
        <v/>
      </c>
      <c r="B3755">
        <f>IF($C3755="","","C"&amp;TEXT(INT((ROW()-5)/9)+1,"000")&amp;"-3")</f>
        <v/>
      </c>
      <c r="C3755">
        <f>IF(OR(Registro_Compras!$C$420="",Registro_Compras!$O$420="",Registro_Compras!$R$420&lt;&gt;"SI",Registro_Compras!$X$420=""),"","10413")</f>
        <v/>
      </c>
      <c r="D3755">
        <f>IF(OR(Registro_Compras!$C$420="",Registro_Compras!$O$420=""),"","Efectivo y Equivalentes - Cta. Cte. Operativa")</f>
        <v/>
      </c>
      <c r="E3755" s="20">
        <f>""</f>
        <v/>
      </c>
      <c r="F3755" s="20">
        <f>IF($C3755="","",Registro_Compras!$S$420)</f>
        <v/>
      </c>
      <c r="G3755">
        <f>IF($C3755="","","Por el deposito de la detraccion en el Banco de la Nacion")</f>
        <v/>
      </c>
      <c r="H3755">
        <f>IF($C3755="","",Registro_Compras!$C$420)</f>
        <v/>
      </c>
    </row>
    <row r="3756">
      <c r="A3756" s="25">
        <f>IF($C3756="","",Registro_Compras!$Y$420)</f>
        <v/>
      </c>
      <c r="B3756">
        <f>IF($C3756="","","C"&amp;TEXT(INT((ROW()-5)/9)+1,"000")&amp;"-4")</f>
        <v/>
      </c>
      <c r="C3756">
        <f>IF(OR(Registro_Compras!$C$420="",Registro_Compras!$O$420="",Registro_Compras!$Y$420="",Registro_Compras!$F$420="NOTA DE CREDITO"),"","4212")</f>
        <v/>
      </c>
      <c r="D3756">
        <f>IF(OR(Registro_Compras!$C$420="",Registro_Compras!$O$420=""),"","Cuentas por Pagar Comerciales - Terceros")</f>
        <v/>
      </c>
      <c r="E3756" s="20">
        <f>IF($C3756="","",IF(Registro_Compras!$F$420="RHE",(ROUND(Registro_Compras!$L$420*Registro_Compras!$N$420,2)-ROUND(Registro_Compras!$V$420*Registro_Compras!$N$420,2)),ROUND(Registro_Compras!$O$420-Registro_Compras!$S$420,2)))</f>
        <v/>
      </c>
      <c r="F3756" s="20">
        <f>""</f>
        <v/>
      </c>
      <c r="G3756">
        <f>IF($C3756="","","Por la cancelacion del saldo al proveedor")</f>
        <v/>
      </c>
      <c r="H3756">
        <f>IF($C3756="","",Registro_Compras!$C$420)</f>
        <v/>
      </c>
    </row>
    <row r="3757">
      <c r="A3757" s="25">
        <f>IF($C3757="","",Registro_Compras!$Y$420)</f>
        <v/>
      </c>
      <c r="B3757">
        <f>IF($C3757="","","C"&amp;TEXT(INT((ROW()-5)/9)+1,"000")&amp;"-4")</f>
        <v/>
      </c>
      <c r="C3757">
        <f>IF(OR(Registro_Compras!$C$420="",Registro_Compras!$O$420="",Registro_Compras!$Y$420="",Registro_Compras!$F$420="NOTA DE CREDITO"),"","10413")</f>
        <v/>
      </c>
      <c r="D3757">
        <f>IF(OR(Registro_Compras!$C$420="",Registro_Compras!$O$420=""),"","Efectivo y Equivalentes - Cta. Cte. Operativa")</f>
        <v/>
      </c>
      <c r="E3757" s="20">
        <f>""</f>
        <v/>
      </c>
      <c r="F3757" s="20">
        <f>IF($C3757="","",IF(Registro_Compras!$F$420="RHE",(ROUND(Registro_Compras!$L$420*Registro_Compras!$N$420,2)-ROUND(Registro_Compras!$V$420*Registro_Compras!$N$420,2)),ROUND(Registro_Compras!$O$420-Registro_Compras!$S$420,2)))</f>
        <v/>
      </c>
      <c r="G3757">
        <f>IF($C3757="","","Por la cancelacion del saldo al proveedor")</f>
        <v/>
      </c>
      <c r="H3757">
        <f>IF($C3757="","",Registro_Compras!$C$420)</f>
        <v/>
      </c>
    </row>
    <row r="3758">
      <c r="A3758" s="25">
        <f>IF($C3758="","",Registro_Compras!$B$421)</f>
        <v/>
      </c>
      <c r="B3758">
        <f>IF($C3758="","","C"&amp;TEXT(INT((ROW()-5)/9)+1,"000")&amp;"-1")</f>
        <v/>
      </c>
      <c r="C3758">
        <f>IF(OR(Registro_Compras!$C$421="",Registro_Compras!$O$421=""),"",IF(Registro_Compras!$F$421="NOTA DE CREDITO","4212",IF(Registro_Compras!$M$421="","63",Registro_Compras!$M$421)))</f>
        <v/>
      </c>
      <c r="D3758">
        <f>IF(OR(Registro_Compras!$C$421="",Registro_Compras!$O$421=""),"",IF(Registro_Compras!$F$421="NOTA DE CREDITO","Cuentas por Pagar Comerciales - Terceros (Emitidas)",IF(Registro_Compras!$F$421="RHE","Honorarios Profesionales - Servicios de Terceros","Gastos de Servicios Prestados por Terceros")))</f>
        <v/>
      </c>
      <c r="E3758" s="20">
        <f>IF($C3758="","",IF(Registro_Compras!$F$421="NOTA DE CREDITO",ABS(Registro_Compras!$O$421),IF(Registro_Compras!$F$421="RHE",ROUND(Registro_Compras!$L$421*Registro_Compras!$N$421,2),ROUND(Registro_Compras!$J$421*Registro_Compras!$N$421,2))))</f>
        <v/>
      </c>
      <c r="F3758" s="20">
        <f>""</f>
        <v/>
      </c>
      <c r="G3758">
        <f>IF($C3758="","",IF(Registro_Compras!$F$421="NOTA DE CREDITO","Por la nota de credito "&amp;Registro_Compras!$C$421&amp;" de "&amp;Registro_Compras!$E$421&amp;" [PATRON POR CONFIRMAR CON CONTADOR]",IF(Registro_Compras!$F$421="RHE","Por el registro del recibo por honorarios "&amp;Registro_Compras!$C$421&amp;" de "&amp;Registro_Compras!$E$421&amp;" [PATRON POR CONFIRMAR CON CONTADOR]","Por el registro de la factura "&amp;Registro_Compras!$C$421&amp;" de "&amp;Registro_Compras!$E$421)))</f>
        <v/>
      </c>
      <c r="H3758">
        <f>IF($C3758="","",Registro_Compras!$C$421)</f>
        <v/>
      </c>
    </row>
    <row r="3759">
      <c r="A3759" s="25">
        <f>IF($C3759="","",Registro_Compras!$B$421)</f>
        <v/>
      </c>
      <c r="B3759">
        <f>IF($C3759="","","C"&amp;TEXT(INT((ROW()-5)/9)+1,"000")&amp;"-1")</f>
        <v/>
      </c>
      <c r="C3759">
        <f>IF(OR(Registro_Compras!$C$421="",Registro_Compras!$O$421=""),"",IF(Registro_Compras!$F$421="RHE",IF(Registro_Compras!$V$421=0,"","40172"),IF(Registro_Compras!$F$421="NOTA DE CREDITO",IF(Registro_Compras!$M$421="","63",Registro_Compras!$M$421),IF(Registro_Compras!$K$421=0,"","40111"))))</f>
        <v/>
      </c>
      <c r="D3759">
        <f>IF(OR(Registro_Compras!$C$421="",Registro_Compras!$O$421=""),"",IF(Registro_Compras!$F$421="RHE","Retencion Renta 4ta Categoria por Pagar",IF(Registro_Compras!$F$421="NOTA DE CREDITO","Gastos de Servicios Prestados por Terceros","IGV - Cuenta Propia (Credito Fiscal)")))</f>
        <v/>
      </c>
      <c r="E3759" s="20">
        <f>IF($C3759="","",IF(Registro_Compras!$F$421="FACTURA",ROUND(Registro_Compras!$K$421*Registro_Compras!$N$421,2),""))</f>
        <v/>
      </c>
      <c r="F3759" s="20">
        <f>IF($C3759="","",IF(Registro_Compras!$F$421="RHE",ROUND(Registro_Compras!$V$421*Registro_Compras!$N$421,2),IF(Registro_Compras!$F$421="NOTA DE CREDITO",ROUND(ABS(Registro_Compras!$J$421*Registro_Compras!$N$421),2),"")))</f>
        <v/>
      </c>
      <c r="G3759">
        <f>IF($C3759="","",IF(Registro_Compras!$F$421="NOTA DE CREDITO","Por la nota de credito "&amp;Registro_Compras!$C$421&amp;" de "&amp;Registro_Compras!$E$421&amp;" [PATRON POR CONFIRMAR CON CONTADOR]",IF(Registro_Compras!$F$421="RHE","Por el registro del recibo por honorarios "&amp;Registro_Compras!$C$421&amp;" de "&amp;Registro_Compras!$E$421&amp;" [PATRON POR CONFIRMAR CON CONTADOR]","Por el registro de la factura "&amp;Registro_Compras!$C$421&amp;" de "&amp;Registro_Compras!$E$421)))</f>
        <v/>
      </c>
      <c r="H3759">
        <f>IF($C3759="","",Registro_Compras!$C$421)</f>
        <v/>
      </c>
    </row>
    <row r="3760">
      <c r="A3760" s="25">
        <f>IF($C3760="","",Registro_Compras!$B$421)</f>
        <v/>
      </c>
      <c r="B3760">
        <f>IF($C3760="","","C"&amp;TEXT(INT((ROW()-5)/9)+1,"000")&amp;"-1")</f>
        <v/>
      </c>
      <c r="C3760">
        <f>IF(OR(Registro_Compras!$C$421="",Registro_Compras!$O$421=""),"",IF(Registro_Compras!$F$421="NOTA DE CREDITO",IF(Registro_Compras!$K$421=0,"","40111"),"4212"))</f>
        <v/>
      </c>
      <c r="D3760">
        <f>IF(OR(Registro_Compras!$C$421="",Registro_Compras!$O$421=""),"",IF(Registro_Compras!$F$421="NOTA DE CREDITO","IGV - Cuenta Propia (Credito Fiscal)","Cuentas por Pagar Comerciales - Terceros (Emitidas)"))</f>
        <v/>
      </c>
      <c r="E3760" s="20">
        <f>""</f>
        <v/>
      </c>
      <c r="F3760" s="20">
        <f>IF($C3760="","",IF(Registro_Compras!$F$421="NOTA DE CREDITO",ROUND(ABS(Registro_Compras!$K$421*Registro_Compras!$N$421),2),IF(Registro_Compras!$F$421="RHE",(ROUND(Registro_Compras!$L$421*Registro_Compras!$N$421,2)-ROUND(Registro_Compras!$V$421*Registro_Compras!$N$421,2)),Registro_Compras!$O$421)))</f>
        <v/>
      </c>
      <c r="G3760">
        <f>IF($C3760="","",IF(Registro_Compras!$F$421="NOTA DE CREDITO","Por la nota de credito "&amp;Registro_Compras!$C$421&amp;" de "&amp;Registro_Compras!$E$421&amp;" [PATRON POR CONFIRMAR CON CONTADOR]",IF(Registro_Compras!$F$421="RHE","Por el registro del recibo por honorarios "&amp;Registro_Compras!$C$421&amp;" de "&amp;Registro_Compras!$E$421&amp;" [PATRON POR CONFIRMAR CON CONTADOR]","Por el registro de la factura "&amp;Registro_Compras!$C$421&amp;" de "&amp;Registro_Compras!$E$421)))</f>
        <v/>
      </c>
      <c r="H3760">
        <f>IF($C3760="","",Registro_Compras!$C$421)</f>
        <v/>
      </c>
    </row>
    <row r="3761">
      <c r="A3761" s="25">
        <f>IF($C3761="","",Registro_Compras!$B$421)</f>
        <v/>
      </c>
      <c r="B3761">
        <f>IF($C3761="","","C"&amp;TEXT(INT((ROW()-5)/9)+1,"000")&amp;"-2")</f>
        <v/>
      </c>
      <c r="C3761">
        <f>IF(OR(Registro_Compras!$C$421="",Registro_Compras!$O$421=""),"",IF(Registro_Compras!$AB$421="ADMINISTRATIVO","94","95"))</f>
        <v/>
      </c>
      <c r="D3761">
        <f>IF(OR(Registro_Compras!$C$421="",Registro_Compras!$O$421=""),"",IF(Registro_Compras!$AB$421="ADMINISTRATIVO","Gastos Administrativos","Gastos de Venta y Operacion"))</f>
        <v/>
      </c>
      <c r="E3761" s="20">
        <f>IF($C3761="","",IF(Registro_Compras!$F$421="NOTA DE CREDITO","",IF(Registro_Compras!$F$421="RHE",ROUND(Registro_Compras!$L$421*Registro_Compras!$N$421,2),ROUND(Registro_Compras!$J$421*Registro_Compras!$N$421,2))))</f>
        <v/>
      </c>
      <c r="F3761" s="20">
        <f>IF($C3761="","",IF(Registro_Compras!$F$421="NOTA DE CREDITO",ROUND(ABS(Registro_Compras!$J$421*Registro_Compras!$N$421),2),""))</f>
        <v/>
      </c>
      <c r="G3761">
        <f>IF($C3761="","","Por el destino del gasto")</f>
        <v/>
      </c>
      <c r="H3761">
        <f>IF($C3761="","",Registro_Compras!$C$421)</f>
        <v/>
      </c>
    </row>
    <row r="3762">
      <c r="A3762" s="25">
        <f>IF($C3762="","",Registro_Compras!$B$421)</f>
        <v/>
      </c>
      <c r="B3762">
        <f>IF($C3762="","","C"&amp;TEXT(INT((ROW()-5)/9)+1,"000")&amp;"-2")</f>
        <v/>
      </c>
      <c r="C3762">
        <f>IF(OR(Registro_Compras!$C$421="",Registro_Compras!$O$421=""),"","79/791")</f>
        <v/>
      </c>
      <c r="D3762">
        <f>IF(OR(Registro_Compras!$C$421="",Registro_Compras!$O$421=""),"","Cargas Imputables a Cuentas de Costos y Gastos")</f>
        <v/>
      </c>
      <c r="E3762" s="20">
        <f>IF($C3762="","",IF(Registro_Compras!$F$421="NOTA DE CREDITO",ROUND(ABS(Registro_Compras!$J$421*Registro_Compras!$N$421),2),""))</f>
        <v/>
      </c>
      <c r="F3762" s="20">
        <f>IF($C3762="","",IF(Registro_Compras!$F$421="NOTA DE CREDITO","",IF(Registro_Compras!$F$421="RHE",ROUND(Registro_Compras!$L$421*Registro_Compras!$N$421,2),ROUND(Registro_Compras!$J$421*Registro_Compras!$N$421,2))))</f>
        <v/>
      </c>
      <c r="G3762">
        <f>IF($C3762="","","Por el destino del gasto")</f>
        <v/>
      </c>
      <c r="H3762">
        <f>IF($C3762="","",Registro_Compras!$C$421)</f>
        <v/>
      </c>
    </row>
    <row r="3763">
      <c r="A3763" s="25">
        <f>IF($C3763="","",Registro_Compras!$X$421)</f>
        <v/>
      </c>
      <c r="B3763">
        <f>IF($C3763="","","C"&amp;TEXT(INT((ROW()-5)/9)+1,"000")&amp;"-3")</f>
        <v/>
      </c>
      <c r="C3763">
        <f>IF(OR(Registro_Compras!$C$421="",Registro_Compras!$O$421="",Registro_Compras!$R$421&lt;&gt;"SI",Registro_Compras!$X$421=""),"","4212")</f>
        <v/>
      </c>
      <c r="D3763">
        <f>IF(OR(Registro_Compras!$C$421="",Registro_Compras!$O$421=""),"","Cuentas por Pagar Comerciales - Terceros")</f>
        <v/>
      </c>
      <c r="E3763" s="20">
        <f>IF($C3763="","",Registro_Compras!$S$421)</f>
        <v/>
      </c>
      <c r="F3763" s="20">
        <f>""</f>
        <v/>
      </c>
      <c r="G3763">
        <f>IF($C3763="","","Por el deposito de la detraccion en el Banco de la Nacion")</f>
        <v/>
      </c>
      <c r="H3763">
        <f>IF($C3763="","",Registro_Compras!$C$421)</f>
        <v/>
      </c>
    </row>
    <row r="3764">
      <c r="A3764" s="25">
        <f>IF($C3764="","",Registro_Compras!$X$421)</f>
        <v/>
      </c>
      <c r="B3764">
        <f>IF($C3764="","","C"&amp;TEXT(INT((ROW()-5)/9)+1,"000")&amp;"-3")</f>
        <v/>
      </c>
      <c r="C3764">
        <f>IF(OR(Registro_Compras!$C$421="",Registro_Compras!$O$421="",Registro_Compras!$R$421&lt;&gt;"SI",Registro_Compras!$X$421=""),"","10413")</f>
        <v/>
      </c>
      <c r="D3764">
        <f>IF(OR(Registro_Compras!$C$421="",Registro_Compras!$O$421=""),"","Efectivo y Equivalentes - Cta. Cte. Operativa")</f>
        <v/>
      </c>
      <c r="E3764" s="20">
        <f>""</f>
        <v/>
      </c>
      <c r="F3764" s="20">
        <f>IF($C3764="","",Registro_Compras!$S$421)</f>
        <v/>
      </c>
      <c r="G3764">
        <f>IF($C3764="","","Por el deposito de la detraccion en el Banco de la Nacion")</f>
        <v/>
      </c>
      <c r="H3764">
        <f>IF($C3764="","",Registro_Compras!$C$421)</f>
        <v/>
      </c>
    </row>
    <row r="3765">
      <c r="A3765" s="25">
        <f>IF($C3765="","",Registro_Compras!$Y$421)</f>
        <v/>
      </c>
      <c r="B3765">
        <f>IF($C3765="","","C"&amp;TEXT(INT((ROW()-5)/9)+1,"000")&amp;"-4")</f>
        <v/>
      </c>
      <c r="C3765">
        <f>IF(OR(Registro_Compras!$C$421="",Registro_Compras!$O$421="",Registro_Compras!$Y$421="",Registro_Compras!$F$421="NOTA DE CREDITO"),"","4212")</f>
        <v/>
      </c>
      <c r="D3765">
        <f>IF(OR(Registro_Compras!$C$421="",Registro_Compras!$O$421=""),"","Cuentas por Pagar Comerciales - Terceros")</f>
        <v/>
      </c>
      <c r="E3765" s="20">
        <f>IF($C3765="","",IF(Registro_Compras!$F$421="RHE",(ROUND(Registro_Compras!$L$421*Registro_Compras!$N$421,2)-ROUND(Registro_Compras!$V$421*Registro_Compras!$N$421,2)),ROUND(Registro_Compras!$O$421-Registro_Compras!$S$421,2)))</f>
        <v/>
      </c>
      <c r="F3765" s="20">
        <f>""</f>
        <v/>
      </c>
      <c r="G3765">
        <f>IF($C3765="","","Por la cancelacion del saldo al proveedor")</f>
        <v/>
      </c>
      <c r="H3765">
        <f>IF($C3765="","",Registro_Compras!$C$421)</f>
        <v/>
      </c>
    </row>
    <row r="3766">
      <c r="A3766" s="25">
        <f>IF($C3766="","",Registro_Compras!$Y$421)</f>
        <v/>
      </c>
      <c r="B3766">
        <f>IF($C3766="","","C"&amp;TEXT(INT((ROW()-5)/9)+1,"000")&amp;"-4")</f>
        <v/>
      </c>
      <c r="C3766">
        <f>IF(OR(Registro_Compras!$C$421="",Registro_Compras!$O$421="",Registro_Compras!$Y$421="",Registro_Compras!$F$421="NOTA DE CREDITO"),"","10413")</f>
        <v/>
      </c>
      <c r="D3766">
        <f>IF(OR(Registro_Compras!$C$421="",Registro_Compras!$O$421=""),"","Efectivo y Equivalentes - Cta. Cte. Operativa")</f>
        <v/>
      </c>
      <c r="E3766" s="20">
        <f>""</f>
        <v/>
      </c>
      <c r="F3766" s="20">
        <f>IF($C3766="","",IF(Registro_Compras!$F$421="RHE",(ROUND(Registro_Compras!$L$421*Registro_Compras!$N$421,2)-ROUND(Registro_Compras!$V$421*Registro_Compras!$N$421,2)),ROUND(Registro_Compras!$O$421-Registro_Compras!$S$421,2)))</f>
        <v/>
      </c>
      <c r="G3766">
        <f>IF($C3766="","","Por la cancelacion del saldo al proveedor")</f>
        <v/>
      </c>
      <c r="H3766">
        <f>IF($C3766="","",Registro_Compras!$C$421)</f>
        <v/>
      </c>
    </row>
    <row r="3767">
      <c r="A3767" s="25">
        <f>IF($C3767="","",Registro_Compras!$B$422)</f>
        <v/>
      </c>
      <c r="B3767">
        <f>IF($C3767="","","C"&amp;TEXT(INT((ROW()-5)/9)+1,"000")&amp;"-1")</f>
        <v/>
      </c>
      <c r="C3767">
        <f>IF(OR(Registro_Compras!$C$422="",Registro_Compras!$O$422=""),"",IF(Registro_Compras!$F$422="NOTA DE CREDITO","4212",IF(Registro_Compras!$M$422="","63",Registro_Compras!$M$422)))</f>
        <v/>
      </c>
      <c r="D3767">
        <f>IF(OR(Registro_Compras!$C$422="",Registro_Compras!$O$422=""),"",IF(Registro_Compras!$F$422="NOTA DE CREDITO","Cuentas por Pagar Comerciales - Terceros (Emitidas)",IF(Registro_Compras!$F$422="RHE","Honorarios Profesionales - Servicios de Terceros","Gastos de Servicios Prestados por Terceros")))</f>
        <v/>
      </c>
      <c r="E3767" s="20">
        <f>IF($C3767="","",IF(Registro_Compras!$F$422="NOTA DE CREDITO",ABS(Registro_Compras!$O$422),IF(Registro_Compras!$F$422="RHE",ROUND(Registro_Compras!$L$422*Registro_Compras!$N$422,2),ROUND(Registro_Compras!$J$422*Registro_Compras!$N$422,2))))</f>
        <v/>
      </c>
      <c r="F3767" s="20">
        <f>""</f>
        <v/>
      </c>
      <c r="G3767">
        <f>IF($C3767="","",IF(Registro_Compras!$F$422="NOTA DE CREDITO","Por la nota de credito "&amp;Registro_Compras!$C$422&amp;" de "&amp;Registro_Compras!$E$422&amp;" [PATRON POR CONFIRMAR CON CONTADOR]",IF(Registro_Compras!$F$422="RHE","Por el registro del recibo por honorarios "&amp;Registro_Compras!$C$422&amp;" de "&amp;Registro_Compras!$E$422&amp;" [PATRON POR CONFIRMAR CON CONTADOR]","Por el registro de la factura "&amp;Registro_Compras!$C$422&amp;" de "&amp;Registro_Compras!$E$422)))</f>
        <v/>
      </c>
      <c r="H3767">
        <f>IF($C3767="","",Registro_Compras!$C$422)</f>
        <v/>
      </c>
    </row>
    <row r="3768">
      <c r="A3768" s="25">
        <f>IF($C3768="","",Registro_Compras!$B$422)</f>
        <v/>
      </c>
      <c r="B3768">
        <f>IF($C3768="","","C"&amp;TEXT(INT((ROW()-5)/9)+1,"000")&amp;"-1")</f>
        <v/>
      </c>
      <c r="C3768">
        <f>IF(OR(Registro_Compras!$C$422="",Registro_Compras!$O$422=""),"",IF(Registro_Compras!$F$422="RHE",IF(Registro_Compras!$V$422=0,"","40172"),IF(Registro_Compras!$F$422="NOTA DE CREDITO",IF(Registro_Compras!$M$422="","63",Registro_Compras!$M$422),IF(Registro_Compras!$K$422=0,"","40111"))))</f>
        <v/>
      </c>
      <c r="D3768">
        <f>IF(OR(Registro_Compras!$C$422="",Registro_Compras!$O$422=""),"",IF(Registro_Compras!$F$422="RHE","Retencion Renta 4ta Categoria por Pagar",IF(Registro_Compras!$F$422="NOTA DE CREDITO","Gastos de Servicios Prestados por Terceros","IGV - Cuenta Propia (Credito Fiscal)")))</f>
        <v/>
      </c>
      <c r="E3768" s="20">
        <f>IF($C3768="","",IF(Registro_Compras!$F$422="FACTURA",ROUND(Registro_Compras!$K$422*Registro_Compras!$N$422,2),""))</f>
        <v/>
      </c>
      <c r="F3768" s="20">
        <f>IF($C3768="","",IF(Registro_Compras!$F$422="RHE",ROUND(Registro_Compras!$V$422*Registro_Compras!$N$422,2),IF(Registro_Compras!$F$422="NOTA DE CREDITO",ROUND(ABS(Registro_Compras!$J$422*Registro_Compras!$N$422),2),"")))</f>
        <v/>
      </c>
      <c r="G3768">
        <f>IF($C3768="","",IF(Registro_Compras!$F$422="NOTA DE CREDITO","Por la nota de credito "&amp;Registro_Compras!$C$422&amp;" de "&amp;Registro_Compras!$E$422&amp;" [PATRON POR CONFIRMAR CON CONTADOR]",IF(Registro_Compras!$F$422="RHE","Por el registro del recibo por honorarios "&amp;Registro_Compras!$C$422&amp;" de "&amp;Registro_Compras!$E$422&amp;" [PATRON POR CONFIRMAR CON CONTADOR]","Por el registro de la factura "&amp;Registro_Compras!$C$422&amp;" de "&amp;Registro_Compras!$E$422)))</f>
        <v/>
      </c>
      <c r="H3768">
        <f>IF($C3768="","",Registro_Compras!$C$422)</f>
        <v/>
      </c>
    </row>
    <row r="3769">
      <c r="A3769" s="25">
        <f>IF($C3769="","",Registro_Compras!$B$422)</f>
        <v/>
      </c>
      <c r="B3769">
        <f>IF($C3769="","","C"&amp;TEXT(INT((ROW()-5)/9)+1,"000")&amp;"-1")</f>
        <v/>
      </c>
      <c r="C3769">
        <f>IF(OR(Registro_Compras!$C$422="",Registro_Compras!$O$422=""),"",IF(Registro_Compras!$F$422="NOTA DE CREDITO",IF(Registro_Compras!$K$422=0,"","40111"),"4212"))</f>
        <v/>
      </c>
      <c r="D3769">
        <f>IF(OR(Registro_Compras!$C$422="",Registro_Compras!$O$422=""),"",IF(Registro_Compras!$F$422="NOTA DE CREDITO","IGV - Cuenta Propia (Credito Fiscal)","Cuentas por Pagar Comerciales - Terceros (Emitidas)"))</f>
        <v/>
      </c>
      <c r="E3769" s="20">
        <f>""</f>
        <v/>
      </c>
      <c r="F3769" s="20">
        <f>IF($C3769="","",IF(Registro_Compras!$F$422="NOTA DE CREDITO",ROUND(ABS(Registro_Compras!$K$422*Registro_Compras!$N$422),2),IF(Registro_Compras!$F$422="RHE",(ROUND(Registro_Compras!$L$422*Registro_Compras!$N$422,2)-ROUND(Registro_Compras!$V$422*Registro_Compras!$N$422,2)),Registro_Compras!$O$422)))</f>
        <v/>
      </c>
      <c r="G3769">
        <f>IF($C3769="","",IF(Registro_Compras!$F$422="NOTA DE CREDITO","Por la nota de credito "&amp;Registro_Compras!$C$422&amp;" de "&amp;Registro_Compras!$E$422&amp;" [PATRON POR CONFIRMAR CON CONTADOR]",IF(Registro_Compras!$F$422="RHE","Por el registro del recibo por honorarios "&amp;Registro_Compras!$C$422&amp;" de "&amp;Registro_Compras!$E$422&amp;" [PATRON POR CONFIRMAR CON CONTADOR]","Por el registro de la factura "&amp;Registro_Compras!$C$422&amp;" de "&amp;Registro_Compras!$E$422)))</f>
        <v/>
      </c>
      <c r="H3769">
        <f>IF($C3769="","",Registro_Compras!$C$422)</f>
        <v/>
      </c>
    </row>
    <row r="3770">
      <c r="A3770" s="25">
        <f>IF($C3770="","",Registro_Compras!$B$422)</f>
        <v/>
      </c>
      <c r="B3770">
        <f>IF($C3770="","","C"&amp;TEXT(INT((ROW()-5)/9)+1,"000")&amp;"-2")</f>
        <v/>
      </c>
      <c r="C3770">
        <f>IF(OR(Registro_Compras!$C$422="",Registro_Compras!$O$422=""),"",IF(Registro_Compras!$AB$422="ADMINISTRATIVO","94","95"))</f>
        <v/>
      </c>
      <c r="D3770">
        <f>IF(OR(Registro_Compras!$C$422="",Registro_Compras!$O$422=""),"",IF(Registro_Compras!$AB$422="ADMINISTRATIVO","Gastos Administrativos","Gastos de Venta y Operacion"))</f>
        <v/>
      </c>
      <c r="E3770" s="20">
        <f>IF($C3770="","",IF(Registro_Compras!$F$422="NOTA DE CREDITO","",IF(Registro_Compras!$F$422="RHE",ROUND(Registro_Compras!$L$422*Registro_Compras!$N$422,2),ROUND(Registro_Compras!$J$422*Registro_Compras!$N$422,2))))</f>
        <v/>
      </c>
      <c r="F3770" s="20">
        <f>IF($C3770="","",IF(Registro_Compras!$F$422="NOTA DE CREDITO",ROUND(ABS(Registro_Compras!$J$422*Registro_Compras!$N$422),2),""))</f>
        <v/>
      </c>
      <c r="G3770">
        <f>IF($C3770="","","Por el destino del gasto")</f>
        <v/>
      </c>
      <c r="H3770">
        <f>IF($C3770="","",Registro_Compras!$C$422)</f>
        <v/>
      </c>
    </row>
    <row r="3771">
      <c r="A3771" s="25">
        <f>IF($C3771="","",Registro_Compras!$B$422)</f>
        <v/>
      </c>
      <c r="B3771">
        <f>IF($C3771="","","C"&amp;TEXT(INT((ROW()-5)/9)+1,"000")&amp;"-2")</f>
        <v/>
      </c>
      <c r="C3771">
        <f>IF(OR(Registro_Compras!$C$422="",Registro_Compras!$O$422=""),"","79/791")</f>
        <v/>
      </c>
      <c r="D3771">
        <f>IF(OR(Registro_Compras!$C$422="",Registro_Compras!$O$422=""),"","Cargas Imputables a Cuentas de Costos y Gastos")</f>
        <v/>
      </c>
      <c r="E3771" s="20">
        <f>IF($C3771="","",IF(Registro_Compras!$F$422="NOTA DE CREDITO",ROUND(ABS(Registro_Compras!$J$422*Registro_Compras!$N$422),2),""))</f>
        <v/>
      </c>
      <c r="F3771" s="20">
        <f>IF($C3771="","",IF(Registro_Compras!$F$422="NOTA DE CREDITO","",IF(Registro_Compras!$F$422="RHE",ROUND(Registro_Compras!$L$422*Registro_Compras!$N$422,2),ROUND(Registro_Compras!$J$422*Registro_Compras!$N$422,2))))</f>
        <v/>
      </c>
      <c r="G3771">
        <f>IF($C3771="","","Por el destino del gasto")</f>
        <v/>
      </c>
      <c r="H3771">
        <f>IF($C3771="","",Registro_Compras!$C$422)</f>
        <v/>
      </c>
    </row>
    <row r="3772">
      <c r="A3772" s="25">
        <f>IF($C3772="","",Registro_Compras!$X$422)</f>
        <v/>
      </c>
      <c r="B3772">
        <f>IF($C3772="","","C"&amp;TEXT(INT((ROW()-5)/9)+1,"000")&amp;"-3")</f>
        <v/>
      </c>
      <c r="C3772">
        <f>IF(OR(Registro_Compras!$C$422="",Registro_Compras!$O$422="",Registro_Compras!$R$422&lt;&gt;"SI",Registro_Compras!$X$422=""),"","4212")</f>
        <v/>
      </c>
      <c r="D3772">
        <f>IF(OR(Registro_Compras!$C$422="",Registro_Compras!$O$422=""),"","Cuentas por Pagar Comerciales - Terceros")</f>
        <v/>
      </c>
      <c r="E3772" s="20">
        <f>IF($C3772="","",Registro_Compras!$S$422)</f>
        <v/>
      </c>
      <c r="F3772" s="20">
        <f>""</f>
        <v/>
      </c>
      <c r="G3772">
        <f>IF($C3772="","","Por el deposito de la detraccion en el Banco de la Nacion")</f>
        <v/>
      </c>
      <c r="H3772">
        <f>IF($C3772="","",Registro_Compras!$C$422)</f>
        <v/>
      </c>
    </row>
    <row r="3773">
      <c r="A3773" s="25">
        <f>IF($C3773="","",Registro_Compras!$X$422)</f>
        <v/>
      </c>
      <c r="B3773">
        <f>IF($C3773="","","C"&amp;TEXT(INT((ROW()-5)/9)+1,"000")&amp;"-3")</f>
        <v/>
      </c>
      <c r="C3773">
        <f>IF(OR(Registro_Compras!$C$422="",Registro_Compras!$O$422="",Registro_Compras!$R$422&lt;&gt;"SI",Registro_Compras!$X$422=""),"","10413")</f>
        <v/>
      </c>
      <c r="D3773">
        <f>IF(OR(Registro_Compras!$C$422="",Registro_Compras!$O$422=""),"","Efectivo y Equivalentes - Cta. Cte. Operativa")</f>
        <v/>
      </c>
      <c r="E3773" s="20">
        <f>""</f>
        <v/>
      </c>
      <c r="F3773" s="20">
        <f>IF($C3773="","",Registro_Compras!$S$422)</f>
        <v/>
      </c>
      <c r="G3773">
        <f>IF($C3773="","","Por el deposito de la detraccion en el Banco de la Nacion")</f>
        <v/>
      </c>
      <c r="H3773">
        <f>IF($C3773="","",Registro_Compras!$C$422)</f>
        <v/>
      </c>
    </row>
    <row r="3774">
      <c r="A3774" s="25">
        <f>IF($C3774="","",Registro_Compras!$Y$422)</f>
        <v/>
      </c>
      <c r="B3774">
        <f>IF($C3774="","","C"&amp;TEXT(INT((ROW()-5)/9)+1,"000")&amp;"-4")</f>
        <v/>
      </c>
      <c r="C3774">
        <f>IF(OR(Registro_Compras!$C$422="",Registro_Compras!$O$422="",Registro_Compras!$Y$422="",Registro_Compras!$F$422="NOTA DE CREDITO"),"","4212")</f>
        <v/>
      </c>
      <c r="D3774">
        <f>IF(OR(Registro_Compras!$C$422="",Registro_Compras!$O$422=""),"","Cuentas por Pagar Comerciales - Terceros")</f>
        <v/>
      </c>
      <c r="E3774" s="20">
        <f>IF($C3774="","",IF(Registro_Compras!$F$422="RHE",(ROUND(Registro_Compras!$L$422*Registro_Compras!$N$422,2)-ROUND(Registro_Compras!$V$422*Registro_Compras!$N$422,2)),ROUND(Registro_Compras!$O$422-Registro_Compras!$S$422,2)))</f>
        <v/>
      </c>
      <c r="F3774" s="20">
        <f>""</f>
        <v/>
      </c>
      <c r="G3774">
        <f>IF($C3774="","","Por la cancelacion del saldo al proveedor")</f>
        <v/>
      </c>
      <c r="H3774">
        <f>IF($C3774="","",Registro_Compras!$C$422)</f>
        <v/>
      </c>
    </row>
    <row r="3775">
      <c r="A3775" s="25">
        <f>IF($C3775="","",Registro_Compras!$Y$422)</f>
        <v/>
      </c>
      <c r="B3775">
        <f>IF($C3775="","","C"&amp;TEXT(INT((ROW()-5)/9)+1,"000")&amp;"-4")</f>
        <v/>
      </c>
      <c r="C3775">
        <f>IF(OR(Registro_Compras!$C$422="",Registro_Compras!$O$422="",Registro_Compras!$Y$422="",Registro_Compras!$F$422="NOTA DE CREDITO"),"","10413")</f>
        <v/>
      </c>
      <c r="D3775">
        <f>IF(OR(Registro_Compras!$C$422="",Registro_Compras!$O$422=""),"","Efectivo y Equivalentes - Cta. Cte. Operativa")</f>
        <v/>
      </c>
      <c r="E3775" s="20">
        <f>""</f>
        <v/>
      </c>
      <c r="F3775" s="20">
        <f>IF($C3775="","",IF(Registro_Compras!$F$422="RHE",(ROUND(Registro_Compras!$L$422*Registro_Compras!$N$422,2)-ROUND(Registro_Compras!$V$422*Registro_Compras!$N$422,2)),ROUND(Registro_Compras!$O$422-Registro_Compras!$S$422,2)))</f>
        <v/>
      </c>
      <c r="G3775">
        <f>IF($C3775="","","Por la cancelacion del saldo al proveedor")</f>
        <v/>
      </c>
      <c r="H3775">
        <f>IF($C3775="","",Registro_Compras!$C$422)</f>
        <v/>
      </c>
    </row>
    <row r="3776">
      <c r="A3776" s="25">
        <f>IF($C3776="","",Registro_Compras!$B$423)</f>
        <v/>
      </c>
      <c r="B3776">
        <f>IF($C3776="","","C"&amp;TEXT(INT((ROW()-5)/9)+1,"000")&amp;"-1")</f>
        <v/>
      </c>
      <c r="C3776">
        <f>IF(OR(Registro_Compras!$C$423="",Registro_Compras!$O$423=""),"",IF(Registro_Compras!$F$423="NOTA DE CREDITO","4212",IF(Registro_Compras!$M$423="","63",Registro_Compras!$M$423)))</f>
        <v/>
      </c>
      <c r="D3776">
        <f>IF(OR(Registro_Compras!$C$423="",Registro_Compras!$O$423=""),"",IF(Registro_Compras!$F$423="NOTA DE CREDITO","Cuentas por Pagar Comerciales - Terceros (Emitidas)",IF(Registro_Compras!$F$423="RHE","Honorarios Profesionales - Servicios de Terceros","Gastos de Servicios Prestados por Terceros")))</f>
        <v/>
      </c>
      <c r="E3776" s="20">
        <f>IF($C3776="","",IF(Registro_Compras!$F$423="NOTA DE CREDITO",ABS(Registro_Compras!$O$423),IF(Registro_Compras!$F$423="RHE",ROUND(Registro_Compras!$L$423*Registro_Compras!$N$423,2),ROUND(Registro_Compras!$J$423*Registro_Compras!$N$423,2))))</f>
        <v/>
      </c>
      <c r="F3776" s="20">
        <f>""</f>
        <v/>
      </c>
      <c r="G3776">
        <f>IF($C3776="","",IF(Registro_Compras!$F$423="NOTA DE CREDITO","Por la nota de credito "&amp;Registro_Compras!$C$423&amp;" de "&amp;Registro_Compras!$E$423&amp;" [PATRON POR CONFIRMAR CON CONTADOR]",IF(Registro_Compras!$F$423="RHE","Por el registro del recibo por honorarios "&amp;Registro_Compras!$C$423&amp;" de "&amp;Registro_Compras!$E$423&amp;" [PATRON POR CONFIRMAR CON CONTADOR]","Por el registro de la factura "&amp;Registro_Compras!$C$423&amp;" de "&amp;Registro_Compras!$E$423)))</f>
        <v/>
      </c>
      <c r="H3776">
        <f>IF($C3776="","",Registro_Compras!$C$423)</f>
        <v/>
      </c>
    </row>
    <row r="3777">
      <c r="A3777" s="25">
        <f>IF($C3777="","",Registro_Compras!$B$423)</f>
        <v/>
      </c>
      <c r="B3777">
        <f>IF($C3777="","","C"&amp;TEXT(INT((ROW()-5)/9)+1,"000")&amp;"-1")</f>
        <v/>
      </c>
      <c r="C3777">
        <f>IF(OR(Registro_Compras!$C$423="",Registro_Compras!$O$423=""),"",IF(Registro_Compras!$F$423="RHE",IF(Registro_Compras!$V$423=0,"","40172"),IF(Registro_Compras!$F$423="NOTA DE CREDITO",IF(Registro_Compras!$M$423="","63",Registro_Compras!$M$423),IF(Registro_Compras!$K$423=0,"","40111"))))</f>
        <v/>
      </c>
      <c r="D3777">
        <f>IF(OR(Registro_Compras!$C$423="",Registro_Compras!$O$423=""),"",IF(Registro_Compras!$F$423="RHE","Retencion Renta 4ta Categoria por Pagar",IF(Registro_Compras!$F$423="NOTA DE CREDITO","Gastos de Servicios Prestados por Terceros","IGV - Cuenta Propia (Credito Fiscal)")))</f>
        <v/>
      </c>
      <c r="E3777" s="20">
        <f>IF($C3777="","",IF(Registro_Compras!$F$423="FACTURA",ROUND(Registro_Compras!$K$423*Registro_Compras!$N$423,2),""))</f>
        <v/>
      </c>
      <c r="F3777" s="20">
        <f>IF($C3777="","",IF(Registro_Compras!$F$423="RHE",ROUND(Registro_Compras!$V$423*Registro_Compras!$N$423,2),IF(Registro_Compras!$F$423="NOTA DE CREDITO",ROUND(ABS(Registro_Compras!$J$423*Registro_Compras!$N$423),2),"")))</f>
        <v/>
      </c>
      <c r="G3777">
        <f>IF($C3777="","",IF(Registro_Compras!$F$423="NOTA DE CREDITO","Por la nota de credito "&amp;Registro_Compras!$C$423&amp;" de "&amp;Registro_Compras!$E$423&amp;" [PATRON POR CONFIRMAR CON CONTADOR]",IF(Registro_Compras!$F$423="RHE","Por el registro del recibo por honorarios "&amp;Registro_Compras!$C$423&amp;" de "&amp;Registro_Compras!$E$423&amp;" [PATRON POR CONFIRMAR CON CONTADOR]","Por el registro de la factura "&amp;Registro_Compras!$C$423&amp;" de "&amp;Registro_Compras!$E$423)))</f>
        <v/>
      </c>
      <c r="H3777">
        <f>IF($C3777="","",Registro_Compras!$C$423)</f>
        <v/>
      </c>
    </row>
    <row r="3778">
      <c r="A3778" s="25">
        <f>IF($C3778="","",Registro_Compras!$B$423)</f>
        <v/>
      </c>
      <c r="B3778">
        <f>IF($C3778="","","C"&amp;TEXT(INT((ROW()-5)/9)+1,"000")&amp;"-1")</f>
        <v/>
      </c>
      <c r="C3778">
        <f>IF(OR(Registro_Compras!$C$423="",Registro_Compras!$O$423=""),"",IF(Registro_Compras!$F$423="NOTA DE CREDITO",IF(Registro_Compras!$K$423=0,"","40111"),"4212"))</f>
        <v/>
      </c>
      <c r="D3778">
        <f>IF(OR(Registro_Compras!$C$423="",Registro_Compras!$O$423=""),"",IF(Registro_Compras!$F$423="NOTA DE CREDITO","IGV - Cuenta Propia (Credito Fiscal)","Cuentas por Pagar Comerciales - Terceros (Emitidas)"))</f>
        <v/>
      </c>
      <c r="E3778" s="20">
        <f>""</f>
        <v/>
      </c>
      <c r="F3778" s="20">
        <f>IF($C3778="","",IF(Registro_Compras!$F$423="NOTA DE CREDITO",ROUND(ABS(Registro_Compras!$K$423*Registro_Compras!$N$423),2),IF(Registro_Compras!$F$423="RHE",(ROUND(Registro_Compras!$L$423*Registro_Compras!$N$423,2)-ROUND(Registro_Compras!$V$423*Registro_Compras!$N$423,2)),Registro_Compras!$O$423)))</f>
        <v/>
      </c>
      <c r="G3778">
        <f>IF($C3778="","",IF(Registro_Compras!$F$423="NOTA DE CREDITO","Por la nota de credito "&amp;Registro_Compras!$C$423&amp;" de "&amp;Registro_Compras!$E$423&amp;" [PATRON POR CONFIRMAR CON CONTADOR]",IF(Registro_Compras!$F$423="RHE","Por el registro del recibo por honorarios "&amp;Registro_Compras!$C$423&amp;" de "&amp;Registro_Compras!$E$423&amp;" [PATRON POR CONFIRMAR CON CONTADOR]","Por el registro de la factura "&amp;Registro_Compras!$C$423&amp;" de "&amp;Registro_Compras!$E$423)))</f>
        <v/>
      </c>
      <c r="H3778">
        <f>IF($C3778="","",Registro_Compras!$C$423)</f>
        <v/>
      </c>
    </row>
    <row r="3779">
      <c r="A3779" s="25">
        <f>IF($C3779="","",Registro_Compras!$B$423)</f>
        <v/>
      </c>
      <c r="B3779">
        <f>IF($C3779="","","C"&amp;TEXT(INT((ROW()-5)/9)+1,"000")&amp;"-2")</f>
        <v/>
      </c>
      <c r="C3779">
        <f>IF(OR(Registro_Compras!$C$423="",Registro_Compras!$O$423=""),"",IF(Registro_Compras!$AB$423="ADMINISTRATIVO","94","95"))</f>
        <v/>
      </c>
      <c r="D3779">
        <f>IF(OR(Registro_Compras!$C$423="",Registro_Compras!$O$423=""),"",IF(Registro_Compras!$AB$423="ADMINISTRATIVO","Gastos Administrativos","Gastos de Venta y Operacion"))</f>
        <v/>
      </c>
      <c r="E3779" s="20">
        <f>IF($C3779="","",IF(Registro_Compras!$F$423="NOTA DE CREDITO","",IF(Registro_Compras!$F$423="RHE",ROUND(Registro_Compras!$L$423*Registro_Compras!$N$423,2),ROUND(Registro_Compras!$J$423*Registro_Compras!$N$423,2))))</f>
        <v/>
      </c>
      <c r="F3779" s="20">
        <f>IF($C3779="","",IF(Registro_Compras!$F$423="NOTA DE CREDITO",ROUND(ABS(Registro_Compras!$J$423*Registro_Compras!$N$423),2),""))</f>
        <v/>
      </c>
      <c r="G3779">
        <f>IF($C3779="","","Por el destino del gasto")</f>
        <v/>
      </c>
      <c r="H3779">
        <f>IF($C3779="","",Registro_Compras!$C$423)</f>
        <v/>
      </c>
    </row>
    <row r="3780">
      <c r="A3780" s="25">
        <f>IF($C3780="","",Registro_Compras!$B$423)</f>
        <v/>
      </c>
      <c r="B3780">
        <f>IF($C3780="","","C"&amp;TEXT(INT((ROW()-5)/9)+1,"000")&amp;"-2")</f>
        <v/>
      </c>
      <c r="C3780">
        <f>IF(OR(Registro_Compras!$C$423="",Registro_Compras!$O$423=""),"","79/791")</f>
        <v/>
      </c>
      <c r="D3780">
        <f>IF(OR(Registro_Compras!$C$423="",Registro_Compras!$O$423=""),"","Cargas Imputables a Cuentas de Costos y Gastos")</f>
        <v/>
      </c>
      <c r="E3780" s="20">
        <f>IF($C3780="","",IF(Registro_Compras!$F$423="NOTA DE CREDITO",ROUND(ABS(Registro_Compras!$J$423*Registro_Compras!$N$423),2),""))</f>
        <v/>
      </c>
      <c r="F3780" s="20">
        <f>IF($C3780="","",IF(Registro_Compras!$F$423="NOTA DE CREDITO","",IF(Registro_Compras!$F$423="RHE",ROUND(Registro_Compras!$L$423*Registro_Compras!$N$423,2),ROUND(Registro_Compras!$J$423*Registro_Compras!$N$423,2))))</f>
        <v/>
      </c>
      <c r="G3780">
        <f>IF($C3780="","","Por el destino del gasto")</f>
        <v/>
      </c>
      <c r="H3780">
        <f>IF($C3780="","",Registro_Compras!$C$423)</f>
        <v/>
      </c>
    </row>
    <row r="3781">
      <c r="A3781" s="25">
        <f>IF($C3781="","",Registro_Compras!$X$423)</f>
        <v/>
      </c>
      <c r="B3781">
        <f>IF($C3781="","","C"&amp;TEXT(INT((ROW()-5)/9)+1,"000")&amp;"-3")</f>
        <v/>
      </c>
      <c r="C3781">
        <f>IF(OR(Registro_Compras!$C$423="",Registro_Compras!$O$423="",Registro_Compras!$R$423&lt;&gt;"SI",Registro_Compras!$X$423=""),"","4212")</f>
        <v/>
      </c>
      <c r="D3781">
        <f>IF(OR(Registro_Compras!$C$423="",Registro_Compras!$O$423=""),"","Cuentas por Pagar Comerciales - Terceros")</f>
        <v/>
      </c>
      <c r="E3781" s="20">
        <f>IF($C3781="","",Registro_Compras!$S$423)</f>
        <v/>
      </c>
      <c r="F3781" s="20">
        <f>""</f>
        <v/>
      </c>
      <c r="G3781">
        <f>IF($C3781="","","Por el deposito de la detraccion en el Banco de la Nacion")</f>
        <v/>
      </c>
      <c r="H3781">
        <f>IF($C3781="","",Registro_Compras!$C$423)</f>
        <v/>
      </c>
    </row>
    <row r="3782">
      <c r="A3782" s="25">
        <f>IF($C3782="","",Registro_Compras!$X$423)</f>
        <v/>
      </c>
      <c r="B3782">
        <f>IF($C3782="","","C"&amp;TEXT(INT((ROW()-5)/9)+1,"000")&amp;"-3")</f>
        <v/>
      </c>
      <c r="C3782">
        <f>IF(OR(Registro_Compras!$C$423="",Registro_Compras!$O$423="",Registro_Compras!$R$423&lt;&gt;"SI",Registro_Compras!$X$423=""),"","10413")</f>
        <v/>
      </c>
      <c r="D3782">
        <f>IF(OR(Registro_Compras!$C$423="",Registro_Compras!$O$423=""),"","Efectivo y Equivalentes - Cta. Cte. Operativa")</f>
        <v/>
      </c>
      <c r="E3782" s="20">
        <f>""</f>
        <v/>
      </c>
      <c r="F3782" s="20">
        <f>IF($C3782="","",Registro_Compras!$S$423)</f>
        <v/>
      </c>
      <c r="G3782">
        <f>IF($C3782="","","Por el deposito de la detraccion en el Banco de la Nacion")</f>
        <v/>
      </c>
      <c r="H3782">
        <f>IF($C3782="","",Registro_Compras!$C$423)</f>
        <v/>
      </c>
    </row>
    <row r="3783">
      <c r="A3783" s="25">
        <f>IF($C3783="","",Registro_Compras!$Y$423)</f>
        <v/>
      </c>
      <c r="B3783">
        <f>IF($C3783="","","C"&amp;TEXT(INT((ROW()-5)/9)+1,"000")&amp;"-4")</f>
        <v/>
      </c>
      <c r="C3783">
        <f>IF(OR(Registro_Compras!$C$423="",Registro_Compras!$O$423="",Registro_Compras!$Y$423="",Registro_Compras!$F$423="NOTA DE CREDITO"),"","4212")</f>
        <v/>
      </c>
      <c r="D3783">
        <f>IF(OR(Registro_Compras!$C$423="",Registro_Compras!$O$423=""),"","Cuentas por Pagar Comerciales - Terceros")</f>
        <v/>
      </c>
      <c r="E3783" s="20">
        <f>IF($C3783="","",IF(Registro_Compras!$F$423="RHE",(ROUND(Registro_Compras!$L$423*Registro_Compras!$N$423,2)-ROUND(Registro_Compras!$V$423*Registro_Compras!$N$423,2)),ROUND(Registro_Compras!$O$423-Registro_Compras!$S$423,2)))</f>
        <v/>
      </c>
      <c r="F3783" s="20">
        <f>""</f>
        <v/>
      </c>
      <c r="G3783">
        <f>IF($C3783="","","Por la cancelacion del saldo al proveedor")</f>
        <v/>
      </c>
      <c r="H3783">
        <f>IF($C3783="","",Registro_Compras!$C$423)</f>
        <v/>
      </c>
    </row>
    <row r="3784">
      <c r="A3784" s="25">
        <f>IF($C3784="","",Registro_Compras!$Y$423)</f>
        <v/>
      </c>
      <c r="B3784">
        <f>IF($C3784="","","C"&amp;TEXT(INT((ROW()-5)/9)+1,"000")&amp;"-4")</f>
        <v/>
      </c>
      <c r="C3784">
        <f>IF(OR(Registro_Compras!$C$423="",Registro_Compras!$O$423="",Registro_Compras!$Y$423="",Registro_Compras!$F$423="NOTA DE CREDITO"),"","10413")</f>
        <v/>
      </c>
      <c r="D3784">
        <f>IF(OR(Registro_Compras!$C$423="",Registro_Compras!$O$423=""),"","Efectivo y Equivalentes - Cta. Cte. Operativa")</f>
        <v/>
      </c>
      <c r="E3784" s="20">
        <f>""</f>
        <v/>
      </c>
      <c r="F3784" s="20">
        <f>IF($C3784="","",IF(Registro_Compras!$F$423="RHE",(ROUND(Registro_Compras!$L$423*Registro_Compras!$N$423,2)-ROUND(Registro_Compras!$V$423*Registro_Compras!$N$423,2)),ROUND(Registro_Compras!$O$423-Registro_Compras!$S$423,2)))</f>
        <v/>
      </c>
      <c r="G3784">
        <f>IF($C3784="","","Por la cancelacion del saldo al proveedor")</f>
        <v/>
      </c>
      <c r="H3784">
        <f>IF($C3784="","",Registro_Compras!$C$423)</f>
        <v/>
      </c>
    </row>
    <row r="3785">
      <c r="A3785" s="25">
        <f>IF($C3785="","",Registro_Compras!$B$424)</f>
        <v/>
      </c>
      <c r="B3785">
        <f>IF($C3785="","","C"&amp;TEXT(INT((ROW()-5)/9)+1,"000")&amp;"-1")</f>
        <v/>
      </c>
      <c r="C3785">
        <f>IF(OR(Registro_Compras!$C$424="",Registro_Compras!$O$424=""),"",IF(Registro_Compras!$F$424="NOTA DE CREDITO","4212",IF(Registro_Compras!$M$424="","63",Registro_Compras!$M$424)))</f>
        <v/>
      </c>
      <c r="D3785">
        <f>IF(OR(Registro_Compras!$C$424="",Registro_Compras!$O$424=""),"",IF(Registro_Compras!$F$424="NOTA DE CREDITO","Cuentas por Pagar Comerciales - Terceros (Emitidas)",IF(Registro_Compras!$F$424="RHE","Honorarios Profesionales - Servicios de Terceros","Gastos de Servicios Prestados por Terceros")))</f>
        <v/>
      </c>
      <c r="E3785" s="20">
        <f>IF($C3785="","",IF(Registro_Compras!$F$424="NOTA DE CREDITO",ABS(Registro_Compras!$O$424),IF(Registro_Compras!$F$424="RHE",ROUND(Registro_Compras!$L$424*Registro_Compras!$N$424,2),ROUND(Registro_Compras!$J$424*Registro_Compras!$N$424,2))))</f>
        <v/>
      </c>
      <c r="F3785" s="20">
        <f>""</f>
        <v/>
      </c>
      <c r="G3785">
        <f>IF($C3785="","",IF(Registro_Compras!$F$424="NOTA DE CREDITO","Por la nota de credito "&amp;Registro_Compras!$C$424&amp;" de "&amp;Registro_Compras!$E$424&amp;" [PATRON POR CONFIRMAR CON CONTADOR]",IF(Registro_Compras!$F$424="RHE","Por el registro del recibo por honorarios "&amp;Registro_Compras!$C$424&amp;" de "&amp;Registro_Compras!$E$424&amp;" [PATRON POR CONFIRMAR CON CONTADOR]","Por el registro de la factura "&amp;Registro_Compras!$C$424&amp;" de "&amp;Registro_Compras!$E$424)))</f>
        <v/>
      </c>
      <c r="H3785">
        <f>IF($C3785="","",Registro_Compras!$C$424)</f>
        <v/>
      </c>
    </row>
    <row r="3786">
      <c r="A3786" s="25">
        <f>IF($C3786="","",Registro_Compras!$B$424)</f>
        <v/>
      </c>
      <c r="B3786">
        <f>IF($C3786="","","C"&amp;TEXT(INT((ROW()-5)/9)+1,"000")&amp;"-1")</f>
        <v/>
      </c>
      <c r="C3786">
        <f>IF(OR(Registro_Compras!$C$424="",Registro_Compras!$O$424=""),"",IF(Registro_Compras!$F$424="RHE",IF(Registro_Compras!$V$424=0,"","40172"),IF(Registro_Compras!$F$424="NOTA DE CREDITO",IF(Registro_Compras!$M$424="","63",Registro_Compras!$M$424),IF(Registro_Compras!$K$424=0,"","40111"))))</f>
        <v/>
      </c>
      <c r="D3786">
        <f>IF(OR(Registro_Compras!$C$424="",Registro_Compras!$O$424=""),"",IF(Registro_Compras!$F$424="RHE","Retencion Renta 4ta Categoria por Pagar",IF(Registro_Compras!$F$424="NOTA DE CREDITO","Gastos de Servicios Prestados por Terceros","IGV - Cuenta Propia (Credito Fiscal)")))</f>
        <v/>
      </c>
      <c r="E3786" s="20">
        <f>IF($C3786="","",IF(Registro_Compras!$F$424="FACTURA",ROUND(Registro_Compras!$K$424*Registro_Compras!$N$424,2),""))</f>
        <v/>
      </c>
      <c r="F3786" s="20">
        <f>IF($C3786="","",IF(Registro_Compras!$F$424="RHE",ROUND(Registro_Compras!$V$424*Registro_Compras!$N$424,2),IF(Registro_Compras!$F$424="NOTA DE CREDITO",ROUND(ABS(Registro_Compras!$J$424*Registro_Compras!$N$424),2),"")))</f>
        <v/>
      </c>
      <c r="G3786">
        <f>IF($C3786="","",IF(Registro_Compras!$F$424="NOTA DE CREDITO","Por la nota de credito "&amp;Registro_Compras!$C$424&amp;" de "&amp;Registro_Compras!$E$424&amp;" [PATRON POR CONFIRMAR CON CONTADOR]",IF(Registro_Compras!$F$424="RHE","Por el registro del recibo por honorarios "&amp;Registro_Compras!$C$424&amp;" de "&amp;Registro_Compras!$E$424&amp;" [PATRON POR CONFIRMAR CON CONTADOR]","Por el registro de la factura "&amp;Registro_Compras!$C$424&amp;" de "&amp;Registro_Compras!$E$424)))</f>
        <v/>
      </c>
      <c r="H3786">
        <f>IF($C3786="","",Registro_Compras!$C$424)</f>
        <v/>
      </c>
    </row>
    <row r="3787">
      <c r="A3787" s="25">
        <f>IF($C3787="","",Registro_Compras!$B$424)</f>
        <v/>
      </c>
      <c r="B3787">
        <f>IF($C3787="","","C"&amp;TEXT(INT((ROW()-5)/9)+1,"000")&amp;"-1")</f>
        <v/>
      </c>
      <c r="C3787">
        <f>IF(OR(Registro_Compras!$C$424="",Registro_Compras!$O$424=""),"",IF(Registro_Compras!$F$424="NOTA DE CREDITO",IF(Registro_Compras!$K$424=0,"","40111"),"4212"))</f>
        <v/>
      </c>
      <c r="D3787">
        <f>IF(OR(Registro_Compras!$C$424="",Registro_Compras!$O$424=""),"",IF(Registro_Compras!$F$424="NOTA DE CREDITO","IGV - Cuenta Propia (Credito Fiscal)","Cuentas por Pagar Comerciales - Terceros (Emitidas)"))</f>
        <v/>
      </c>
      <c r="E3787" s="20">
        <f>""</f>
        <v/>
      </c>
      <c r="F3787" s="20">
        <f>IF($C3787="","",IF(Registro_Compras!$F$424="NOTA DE CREDITO",ROUND(ABS(Registro_Compras!$K$424*Registro_Compras!$N$424),2),IF(Registro_Compras!$F$424="RHE",(ROUND(Registro_Compras!$L$424*Registro_Compras!$N$424,2)-ROUND(Registro_Compras!$V$424*Registro_Compras!$N$424,2)),Registro_Compras!$O$424)))</f>
        <v/>
      </c>
      <c r="G3787">
        <f>IF($C3787="","",IF(Registro_Compras!$F$424="NOTA DE CREDITO","Por la nota de credito "&amp;Registro_Compras!$C$424&amp;" de "&amp;Registro_Compras!$E$424&amp;" [PATRON POR CONFIRMAR CON CONTADOR]",IF(Registro_Compras!$F$424="RHE","Por el registro del recibo por honorarios "&amp;Registro_Compras!$C$424&amp;" de "&amp;Registro_Compras!$E$424&amp;" [PATRON POR CONFIRMAR CON CONTADOR]","Por el registro de la factura "&amp;Registro_Compras!$C$424&amp;" de "&amp;Registro_Compras!$E$424)))</f>
        <v/>
      </c>
      <c r="H3787">
        <f>IF($C3787="","",Registro_Compras!$C$424)</f>
        <v/>
      </c>
    </row>
    <row r="3788">
      <c r="A3788" s="25">
        <f>IF($C3788="","",Registro_Compras!$B$424)</f>
        <v/>
      </c>
      <c r="B3788">
        <f>IF($C3788="","","C"&amp;TEXT(INT((ROW()-5)/9)+1,"000")&amp;"-2")</f>
        <v/>
      </c>
      <c r="C3788">
        <f>IF(OR(Registro_Compras!$C$424="",Registro_Compras!$O$424=""),"",IF(Registro_Compras!$AB$424="ADMINISTRATIVO","94","95"))</f>
        <v/>
      </c>
      <c r="D3788">
        <f>IF(OR(Registro_Compras!$C$424="",Registro_Compras!$O$424=""),"",IF(Registro_Compras!$AB$424="ADMINISTRATIVO","Gastos Administrativos","Gastos de Venta y Operacion"))</f>
        <v/>
      </c>
      <c r="E3788" s="20">
        <f>IF($C3788="","",IF(Registro_Compras!$F$424="NOTA DE CREDITO","",IF(Registro_Compras!$F$424="RHE",ROUND(Registro_Compras!$L$424*Registro_Compras!$N$424,2),ROUND(Registro_Compras!$J$424*Registro_Compras!$N$424,2))))</f>
        <v/>
      </c>
      <c r="F3788" s="20">
        <f>IF($C3788="","",IF(Registro_Compras!$F$424="NOTA DE CREDITO",ROUND(ABS(Registro_Compras!$J$424*Registro_Compras!$N$424),2),""))</f>
        <v/>
      </c>
      <c r="G3788">
        <f>IF($C3788="","","Por el destino del gasto")</f>
        <v/>
      </c>
      <c r="H3788">
        <f>IF($C3788="","",Registro_Compras!$C$424)</f>
        <v/>
      </c>
    </row>
    <row r="3789">
      <c r="A3789" s="25">
        <f>IF($C3789="","",Registro_Compras!$B$424)</f>
        <v/>
      </c>
      <c r="B3789">
        <f>IF($C3789="","","C"&amp;TEXT(INT((ROW()-5)/9)+1,"000")&amp;"-2")</f>
        <v/>
      </c>
      <c r="C3789">
        <f>IF(OR(Registro_Compras!$C$424="",Registro_Compras!$O$424=""),"","79/791")</f>
        <v/>
      </c>
      <c r="D3789">
        <f>IF(OR(Registro_Compras!$C$424="",Registro_Compras!$O$424=""),"","Cargas Imputables a Cuentas de Costos y Gastos")</f>
        <v/>
      </c>
      <c r="E3789" s="20">
        <f>IF($C3789="","",IF(Registro_Compras!$F$424="NOTA DE CREDITO",ROUND(ABS(Registro_Compras!$J$424*Registro_Compras!$N$424),2),""))</f>
        <v/>
      </c>
      <c r="F3789" s="20">
        <f>IF($C3789="","",IF(Registro_Compras!$F$424="NOTA DE CREDITO","",IF(Registro_Compras!$F$424="RHE",ROUND(Registro_Compras!$L$424*Registro_Compras!$N$424,2),ROUND(Registro_Compras!$J$424*Registro_Compras!$N$424,2))))</f>
        <v/>
      </c>
      <c r="G3789">
        <f>IF($C3789="","","Por el destino del gasto")</f>
        <v/>
      </c>
      <c r="H3789">
        <f>IF($C3789="","",Registro_Compras!$C$424)</f>
        <v/>
      </c>
    </row>
    <row r="3790">
      <c r="A3790" s="25">
        <f>IF($C3790="","",Registro_Compras!$X$424)</f>
        <v/>
      </c>
      <c r="B3790">
        <f>IF($C3790="","","C"&amp;TEXT(INT((ROW()-5)/9)+1,"000")&amp;"-3")</f>
        <v/>
      </c>
      <c r="C3790">
        <f>IF(OR(Registro_Compras!$C$424="",Registro_Compras!$O$424="",Registro_Compras!$R$424&lt;&gt;"SI",Registro_Compras!$X$424=""),"","4212")</f>
        <v/>
      </c>
      <c r="D3790">
        <f>IF(OR(Registro_Compras!$C$424="",Registro_Compras!$O$424=""),"","Cuentas por Pagar Comerciales - Terceros")</f>
        <v/>
      </c>
      <c r="E3790" s="20">
        <f>IF($C3790="","",Registro_Compras!$S$424)</f>
        <v/>
      </c>
      <c r="F3790" s="20">
        <f>""</f>
        <v/>
      </c>
      <c r="G3790">
        <f>IF($C3790="","","Por el deposito de la detraccion en el Banco de la Nacion")</f>
        <v/>
      </c>
      <c r="H3790">
        <f>IF($C3790="","",Registro_Compras!$C$424)</f>
        <v/>
      </c>
    </row>
    <row r="3791">
      <c r="A3791" s="25">
        <f>IF($C3791="","",Registro_Compras!$X$424)</f>
        <v/>
      </c>
      <c r="B3791">
        <f>IF($C3791="","","C"&amp;TEXT(INT((ROW()-5)/9)+1,"000")&amp;"-3")</f>
        <v/>
      </c>
      <c r="C3791">
        <f>IF(OR(Registro_Compras!$C$424="",Registro_Compras!$O$424="",Registro_Compras!$R$424&lt;&gt;"SI",Registro_Compras!$X$424=""),"","10413")</f>
        <v/>
      </c>
      <c r="D3791">
        <f>IF(OR(Registro_Compras!$C$424="",Registro_Compras!$O$424=""),"","Efectivo y Equivalentes - Cta. Cte. Operativa")</f>
        <v/>
      </c>
      <c r="E3791" s="20">
        <f>""</f>
        <v/>
      </c>
      <c r="F3791" s="20">
        <f>IF($C3791="","",Registro_Compras!$S$424)</f>
        <v/>
      </c>
      <c r="G3791">
        <f>IF($C3791="","","Por el deposito de la detraccion en el Banco de la Nacion")</f>
        <v/>
      </c>
      <c r="H3791">
        <f>IF($C3791="","",Registro_Compras!$C$424)</f>
        <v/>
      </c>
    </row>
    <row r="3792">
      <c r="A3792" s="25">
        <f>IF($C3792="","",Registro_Compras!$Y$424)</f>
        <v/>
      </c>
      <c r="B3792">
        <f>IF($C3792="","","C"&amp;TEXT(INT((ROW()-5)/9)+1,"000")&amp;"-4")</f>
        <v/>
      </c>
      <c r="C3792">
        <f>IF(OR(Registro_Compras!$C$424="",Registro_Compras!$O$424="",Registro_Compras!$Y$424="",Registro_Compras!$F$424="NOTA DE CREDITO"),"","4212")</f>
        <v/>
      </c>
      <c r="D3792">
        <f>IF(OR(Registro_Compras!$C$424="",Registro_Compras!$O$424=""),"","Cuentas por Pagar Comerciales - Terceros")</f>
        <v/>
      </c>
      <c r="E3792" s="20">
        <f>IF($C3792="","",IF(Registro_Compras!$F$424="RHE",(ROUND(Registro_Compras!$L$424*Registro_Compras!$N$424,2)-ROUND(Registro_Compras!$V$424*Registro_Compras!$N$424,2)),ROUND(Registro_Compras!$O$424-Registro_Compras!$S$424,2)))</f>
        <v/>
      </c>
      <c r="F3792" s="20">
        <f>""</f>
        <v/>
      </c>
      <c r="G3792">
        <f>IF($C3792="","","Por la cancelacion del saldo al proveedor")</f>
        <v/>
      </c>
      <c r="H3792">
        <f>IF($C3792="","",Registro_Compras!$C$424)</f>
        <v/>
      </c>
    </row>
    <row r="3793">
      <c r="A3793" s="25">
        <f>IF($C3793="","",Registro_Compras!$Y$424)</f>
        <v/>
      </c>
      <c r="B3793">
        <f>IF($C3793="","","C"&amp;TEXT(INT((ROW()-5)/9)+1,"000")&amp;"-4")</f>
        <v/>
      </c>
      <c r="C3793">
        <f>IF(OR(Registro_Compras!$C$424="",Registro_Compras!$O$424="",Registro_Compras!$Y$424="",Registro_Compras!$F$424="NOTA DE CREDITO"),"","10413")</f>
        <v/>
      </c>
      <c r="D3793">
        <f>IF(OR(Registro_Compras!$C$424="",Registro_Compras!$O$424=""),"","Efectivo y Equivalentes - Cta. Cte. Operativa")</f>
        <v/>
      </c>
      <c r="E3793" s="20">
        <f>""</f>
        <v/>
      </c>
      <c r="F3793" s="20">
        <f>IF($C3793="","",IF(Registro_Compras!$F$424="RHE",(ROUND(Registro_Compras!$L$424*Registro_Compras!$N$424,2)-ROUND(Registro_Compras!$V$424*Registro_Compras!$N$424,2)),ROUND(Registro_Compras!$O$424-Registro_Compras!$S$424,2)))</f>
        <v/>
      </c>
      <c r="G3793">
        <f>IF($C3793="","","Por la cancelacion del saldo al proveedor")</f>
        <v/>
      </c>
      <c r="H3793">
        <f>IF($C3793="","",Registro_Compras!$C$424)</f>
        <v/>
      </c>
    </row>
    <row r="3794">
      <c r="A3794" s="25">
        <f>IF($C3794="","",Registro_Compras!$B$425)</f>
        <v/>
      </c>
      <c r="B3794">
        <f>IF($C3794="","","C"&amp;TEXT(INT((ROW()-5)/9)+1,"000")&amp;"-1")</f>
        <v/>
      </c>
      <c r="C3794">
        <f>IF(OR(Registro_Compras!$C$425="",Registro_Compras!$O$425=""),"",IF(Registro_Compras!$F$425="NOTA DE CREDITO","4212",IF(Registro_Compras!$M$425="","63",Registro_Compras!$M$425)))</f>
        <v/>
      </c>
      <c r="D3794">
        <f>IF(OR(Registro_Compras!$C$425="",Registro_Compras!$O$425=""),"",IF(Registro_Compras!$F$425="NOTA DE CREDITO","Cuentas por Pagar Comerciales - Terceros (Emitidas)",IF(Registro_Compras!$F$425="RHE","Honorarios Profesionales - Servicios de Terceros","Gastos de Servicios Prestados por Terceros")))</f>
        <v/>
      </c>
      <c r="E3794" s="20">
        <f>IF($C3794="","",IF(Registro_Compras!$F$425="NOTA DE CREDITO",ABS(Registro_Compras!$O$425),IF(Registro_Compras!$F$425="RHE",ROUND(Registro_Compras!$L$425*Registro_Compras!$N$425,2),ROUND(Registro_Compras!$J$425*Registro_Compras!$N$425,2))))</f>
        <v/>
      </c>
      <c r="F3794" s="20">
        <f>""</f>
        <v/>
      </c>
      <c r="G3794">
        <f>IF($C3794="","",IF(Registro_Compras!$F$425="NOTA DE CREDITO","Por la nota de credito "&amp;Registro_Compras!$C$425&amp;" de "&amp;Registro_Compras!$E$425&amp;" [PATRON POR CONFIRMAR CON CONTADOR]",IF(Registro_Compras!$F$425="RHE","Por el registro del recibo por honorarios "&amp;Registro_Compras!$C$425&amp;" de "&amp;Registro_Compras!$E$425&amp;" [PATRON POR CONFIRMAR CON CONTADOR]","Por el registro de la factura "&amp;Registro_Compras!$C$425&amp;" de "&amp;Registro_Compras!$E$425)))</f>
        <v/>
      </c>
      <c r="H3794">
        <f>IF($C3794="","",Registro_Compras!$C$425)</f>
        <v/>
      </c>
    </row>
    <row r="3795">
      <c r="A3795" s="25">
        <f>IF($C3795="","",Registro_Compras!$B$425)</f>
        <v/>
      </c>
      <c r="B3795">
        <f>IF($C3795="","","C"&amp;TEXT(INT((ROW()-5)/9)+1,"000")&amp;"-1")</f>
        <v/>
      </c>
      <c r="C3795">
        <f>IF(OR(Registro_Compras!$C$425="",Registro_Compras!$O$425=""),"",IF(Registro_Compras!$F$425="RHE",IF(Registro_Compras!$V$425=0,"","40172"),IF(Registro_Compras!$F$425="NOTA DE CREDITO",IF(Registro_Compras!$M$425="","63",Registro_Compras!$M$425),IF(Registro_Compras!$K$425=0,"","40111"))))</f>
        <v/>
      </c>
      <c r="D3795">
        <f>IF(OR(Registro_Compras!$C$425="",Registro_Compras!$O$425=""),"",IF(Registro_Compras!$F$425="RHE","Retencion Renta 4ta Categoria por Pagar",IF(Registro_Compras!$F$425="NOTA DE CREDITO","Gastos de Servicios Prestados por Terceros","IGV - Cuenta Propia (Credito Fiscal)")))</f>
        <v/>
      </c>
      <c r="E3795" s="20">
        <f>IF($C3795="","",IF(Registro_Compras!$F$425="FACTURA",ROUND(Registro_Compras!$K$425*Registro_Compras!$N$425,2),""))</f>
        <v/>
      </c>
      <c r="F3795" s="20">
        <f>IF($C3795="","",IF(Registro_Compras!$F$425="RHE",ROUND(Registro_Compras!$V$425*Registro_Compras!$N$425,2),IF(Registro_Compras!$F$425="NOTA DE CREDITO",ROUND(ABS(Registro_Compras!$J$425*Registro_Compras!$N$425),2),"")))</f>
        <v/>
      </c>
      <c r="G3795">
        <f>IF($C3795="","",IF(Registro_Compras!$F$425="NOTA DE CREDITO","Por la nota de credito "&amp;Registro_Compras!$C$425&amp;" de "&amp;Registro_Compras!$E$425&amp;" [PATRON POR CONFIRMAR CON CONTADOR]",IF(Registro_Compras!$F$425="RHE","Por el registro del recibo por honorarios "&amp;Registro_Compras!$C$425&amp;" de "&amp;Registro_Compras!$E$425&amp;" [PATRON POR CONFIRMAR CON CONTADOR]","Por el registro de la factura "&amp;Registro_Compras!$C$425&amp;" de "&amp;Registro_Compras!$E$425)))</f>
        <v/>
      </c>
      <c r="H3795">
        <f>IF($C3795="","",Registro_Compras!$C$425)</f>
        <v/>
      </c>
    </row>
    <row r="3796">
      <c r="A3796" s="25">
        <f>IF($C3796="","",Registro_Compras!$B$425)</f>
        <v/>
      </c>
      <c r="B3796">
        <f>IF($C3796="","","C"&amp;TEXT(INT((ROW()-5)/9)+1,"000")&amp;"-1")</f>
        <v/>
      </c>
      <c r="C3796">
        <f>IF(OR(Registro_Compras!$C$425="",Registro_Compras!$O$425=""),"",IF(Registro_Compras!$F$425="NOTA DE CREDITO",IF(Registro_Compras!$K$425=0,"","40111"),"4212"))</f>
        <v/>
      </c>
      <c r="D3796">
        <f>IF(OR(Registro_Compras!$C$425="",Registro_Compras!$O$425=""),"",IF(Registro_Compras!$F$425="NOTA DE CREDITO","IGV - Cuenta Propia (Credito Fiscal)","Cuentas por Pagar Comerciales - Terceros (Emitidas)"))</f>
        <v/>
      </c>
      <c r="E3796" s="20">
        <f>""</f>
        <v/>
      </c>
      <c r="F3796" s="20">
        <f>IF($C3796="","",IF(Registro_Compras!$F$425="NOTA DE CREDITO",ROUND(ABS(Registro_Compras!$K$425*Registro_Compras!$N$425),2),IF(Registro_Compras!$F$425="RHE",(ROUND(Registro_Compras!$L$425*Registro_Compras!$N$425,2)-ROUND(Registro_Compras!$V$425*Registro_Compras!$N$425,2)),Registro_Compras!$O$425)))</f>
        <v/>
      </c>
      <c r="G3796">
        <f>IF($C3796="","",IF(Registro_Compras!$F$425="NOTA DE CREDITO","Por la nota de credito "&amp;Registro_Compras!$C$425&amp;" de "&amp;Registro_Compras!$E$425&amp;" [PATRON POR CONFIRMAR CON CONTADOR]",IF(Registro_Compras!$F$425="RHE","Por el registro del recibo por honorarios "&amp;Registro_Compras!$C$425&amp;" de "&amp;Registro_Compras!$E$425&amp;" [PATRON POR CONFIRMAR CON CONTADOR]","Por el registro de la factura "&amp;Registro_Compras!$C$425&amp;" de "&amp;Registro_Compras!$E$425)))</f>
        <v/>
      </c>
      <c r="H3796">
        <f>IF($C3796="","",Registro_Compras!$C$425)</f>
        <v/>
      </c>
    </row>
    <row r="3797">
      <c r="A3797" s="25">
        <f>IF($C3797="","",Registro_Compras!$B$425)</f>
        <v/>
      </c>
      <c r="B3797">
        <f>IF($C3797="","","C"&amp;TEXT(INT((ROW()-5)/9)+1,"000")&amp;"-2")</f>
        <v/>
      </c>
      <c r="C3797">
        <f>IF(OR(Registro_Compras!$C$425="",Registro_Compras!$O$425=""),"",IF(Registro_Compras!$AB$425="ADMINISTRATIVO","94","95"))</f>
        <v/>
      </c>
      <c r="D3797">
        <f>IF(OR(Registro_Compras!$C$425="",Registro_Compras!$O$425=""),"",IF(Registro_Compras!$AB$425="ADMINISTRATIVO","Gastos Administrativos","Gastos de Venta y Operacion"))</f>
        <v/>
      </c>
      <c r="E3797" s="20">
        <f>IF($C3797="","",IF(Registro_Compras!$F$425="NOTA DE CREDITO","",IF(Registro_Compras!$F$425="RHE",ROUND(Registro_Compras!$L$425*Registro_Compras!$N$425,2),ROUND(Registro_Compras!$J$425*Registro_Compras!$N$425,2))))</f>
        <v/>
      </c>
      <c r="F3797" s="20">
        <f>IF($C3797="","",IF(Registro_Compras!$F$425="NOTA DE CREDITO",ROUND(ABS(Registro_Compras!$J$425*Registro_Compras!$N$425),2),""))</f>
        <v/>
      </c>
      <c r="G3797">
        <f>IF($C3797="","","Por el destino del gasto")</f>
        <v/>
      </c>
      <c r="H3797">
        <f>IF($C3797="","",Registro_Compras!$C$425)</f>
        <v/>
      </c>
    </row>
    <row r="3798">
      <c r="A3798" s="25">
        <f>IF($C3798="","",Registro_Compras!$B$425)</f>
        <v/>
      </c>
      <c r="B3798">
        <f>IF($C3798="","","C"&amp;TEXT(INT((ROW()-5)/9)+1,"000")&amp;"-2")</f>
        <v/>
      </c>
      <c r="C3798">
        <f>IF(OR(Registro_Compras!$C$425="",Registro_Compras!$O$425=""),"","79/791")</f>
        <v/>
      </c>
      <c r="D3798">
        <f>IF(OR(Registro_Compras!$C$425="",Registro_Compras!$O$425=""),"","Cargas Imputables a Cuentas de Costos y Gastos")</f>
        <v/>
      </c>
      <c r="E3798" s="20">
        <f>IF($C3798="","",IF(Registro_Compras!$F$425="NOTA DE CREDITO",ROUND(ABS(Registro_Compras!$J$425*Registro_Compras!$N$425),2),""))</f>
        <v/>
      </c>
      <c r="F3798" s="20">
        <f>IF($C3798="","",IF(Registro_Compras!$F$425="NOTA DE CREDITO","",IF(Registro_Compras!$F$425="RHE",ROUND(Registro_Compras!$L$425*Registro_Compras!$N$425,2),ROUND(Registro_Compras!$J$425*Registro_Compras!$N$425,2))))</f>
        <v/>
      </c>
      <c r="G3798">
        <f>IF($C3798="","","Por el destino del gasto")</f>
        <v/>
      </c>
      <c r="H3798">
        <f>IF($C3798="","",Registro_Compras!$C$425)</f>
        <v/>
      </c>
    </row>
    <row r="3799">
      <c r="A3799" s="25">
        <f>IF($C3799="","",Registro_Compras!$X$425)</f>
        <v/>
      </c>
      <c r="B3799">
        <f>IF($C3799="","","C"&amp;TEXT(INT((ROW()-5)/9)+1,"000")&amp;"-3")</f>
        <v/>
      </c>
      <c r="C3799">
        <f>IF(OR(Registro_Compras!$C$425="",Registro_Compras!$O$425="",Registro_Compras!$R$425&lt;&gt;"SI",Registro_Compras!$X$425=""),"","4212")</f>
        <v/>
      </c>
      <c r="D3799">
        <f>IF(OR(Registro_Compras!$C$425="",Registro_Compras!$O$425=""),"","Cuentas por Pagar Comerciales - Terceros")</f>
        <v/>
      </c>
      <c r="E3799" s="20">
        <f>IF($C3799="","",Registro_Compras!$S$425)</f>
        <v/>
      </c>
      <c r="F3799" s="20">
        <f>""</f>
        <v/>
      </c>
      <c r="G3799">
        <f>IF($C3799="","","Por el deposito de la detraccion en el Banco de la Nacion")</f>
        <v/>
      </c>
      <c r="H3799">
        <f>IF($C3799="","",Registro_Compras!$C$425)</f>
        <v/>
      </c>
    </row>
    <row r="3800">
      <c r="A3800" s="25">
        <f>IF($C3800="","",Registro_Compras!$X$425)</f>
        <v/>
      </c>
      <c r="B3800">
        <f>IF($C3800="","","C"&amp;TEXT(INT((ROW()-5)/9)+1,"000")&amp;"-3")</f>
        <v/>
      </c>
      <c r="C3800">
        <f>IF(OR(Registro_Compras!$C$425="",Registro_Compras!$O$425="",Registro_Compras!$R$425&lt;&gt;"SI",Registro_Compras!$X$425=""),"","10413")</f>
        <v/>
      </c>
      <c r="D3800">
        <f>IF(OR(Registro_Compras!$C$425="",Registro_Compras!$O$425=""),"","Efectivo y Equivalentes - Cta. Cte. Operativa")</f>
        <v/>
      </c>
      <c r="E3800" s="20">
        <f>""</f>
        <v/>
      </c>
      <c r="F3800" s="20">
        <f>IF($C3800="","",Registro_Compras!$S$425)</f>
        <v/>
      </c>
      <c r="G3800">
        <f>IF($C3800="","","Por el deposito de la detraccion en el Banco de la Nacion")</f>
        <v/>
      </c>
      <c r="H3800">
        <f>IF($C3800="","",Registro_Compras!$C$425)</f>
        <v/>
      </c>
    </row>
    <row r="3801">
      <c r="A3801" s="25">
        <f>IF($C3801="","",Registro_Compras!$Y$425)</f>
        <v/>
      </c>
      <c r="B3801">
        <f>IF($C3801="","","C"&amp;TEXT(INT((ROW()-5)/9)+1,"000")&amp;"-4")</f>
        <v/>
      </c>
      <c r="C3801">
        <f>IF(OR(Registro_Compras!$C$425="",Registro_Compras!$O$425="",Registro_Compras!$Y$425="",Registro_Compras!$F$425="NOTA DE CREDITO"),"","4212")</f>
        <v/>
      </c>
      <c r="D3801">
        <f>IF(OR(Registro_Compras!$C$425="",Registro_Compras!$O$425=""),"","Cuentas por Pagar Comerciales - Terceros")</f>
        <v/>
      </c>
      <c r="E3801" s="20">
        <f>IF($C3801="","",IF(Registro_Compras!$F$425="RHE",(ROUND(Registro_Compras!$L$425*Registro_Compras!$N$425,2)-ROUND(Registro_Compras!$V$425*Registro_Compras!$N$425,2)),ROUND(Registro_Compras!$O$425-Registro_Compras!$S$425,2)))</f>
        <v/>
      </c>
      <c r="F3801" s="20">
        <f>""</f>
        <v/>
      </c>
      <c r="G3801">
        <f>IF($C3801="","","Por la cancelacion del saldo al proveedor")</f>
        <v/>
      </c>
      <c r="H3801">
        <f>IF($C3801="","",Registro_Compras!$C$425)</f>
        <v/>
      </c>
    </row>
    <row r="3802">
      <c r="A3802" s="25">
        <f>IF($C3802="","",Registro_Compras!$Y$425)</f>
        <v/>
      </c>
      <c r="B3802">
        <f>IF($C3802="","","C"&amp;TEXT(INT((ROW()-5)/9)+1,"000")&amp;"-4")</f>
        <v/>
      </c>
      <c r="C3802">
        <f>IF(OR(Registro_Compras!$C$425="",Registro_Compras!$O$425="",Registro_Compras!$Y$425="",Registro_Compras!$F$425="NOTA DE CREDITO"),"","10413")</f>
        <v/>
      </c>
      <c r="D3802">
        <f>IF(OR(Registro_Compras!$C$425="",Registro_Compras!$O$425=""),"","Efectivo y Equivalentes - Cta. Cte. Operativa")</f>
        <v/>
      </c>
      <c r="E3802" s="20">
        <f>""</f>
        <v/>
      </c>
      <c r="F3802" s="20">
        <f>IF($C3802="","",IF(Registro_Compras!$F$425="RHE",(ROUND(Registro_Compras!$L$425*Registro_Compras!$N$425,2)-ROUND(Registro_Compras!$V$425*Registro_Compras!$N$425,2)),ROUND(Registro_Compras!$O$425-Registro_Compras!$S$425,2)))</f>
        <v/>
      </c>
      <c r="G3802">
        <f>IF($C3802="","","Por la cancelacion del saldo al proveedor")</f>
        <v/>
      </c>
      <c r="H3802">
        <f>IF($C3802="","",Registro_Compras!$C$425)</f>
        <v/>
      </c>
    </row>
    <row r="3803">
      <c r="A3803" s="25">
        <f>IF($C3803="","",Registro_Compras!$B$426)</f>
        <v/>
      </c>
      <c r="B3803">
        <f>IF($C3803="","","C"&amp;TEXT(INT((ROW()-5)/9)+1,"000")&amp;"-1")</f>
        <v/>
      </c>
      <c r="C3803">
        <f>IF(OR(Registro_Compras!$C$426="",Registro_Compras!$O$426=""),"",IF(Registro_Compras!$F$426="NOTA DE CREDITO","4212",IF(Registro_Compras!$M$426="","63",Registro_Compras!$M$426)))</f>
        <v/>
      </c>
      <c r="D3803">
        <f>IF(OR(Registro_Compras!$C$426="",Registro_Compras!$O$426=""),"",IF(Registro_Compras!$F$426="NOTA DE CREDITO","Cuentas por Pagar Comerciales - Terceros (Emitidas)",IF(Registro_Compras!$F$426="RHE","Honorarios Profesionales - Servicios de Terceros","Gastos de Servicios Prestados por Terceros")))</f>
        <v/>
      </c>
      <c r="E3803" s="20">
        <f>IF($C3803="","",IF(Registro_Compras!$F$426="NOTA DE CREDITO",ABS(Registro_Compras!$O$426),IF(Registro_Compras!$F$426="RHE",ROUND(Registro_Compras!$L$426*Registro_Compras!$N$426,2),ROUND(Registro_Compras!$J$426*Registro_Compras!$N$426,2))))</f>
        <v/>
      </c>
      <c r="F3803" s="20">
        <f>""</f>
        <v/>
      </c>
      <c r="G3803">
        <f>IF($C3803="","",IF(Registro_Compras!$F$426="NOTA DE CREDITO","Por la nota de credito "&amp;Registro_Compras!$C$426&amp;" de "&amp;Registro_Compras!$E$426&amp;" [PATRON POR CONFIRMAR CON CONTADOR]",IF(Registro_Compras!$F$426="RHE","Por el registro del recibo por honorarios "&amp;Registro_Compras!$C$426&amp;" de "&amp;Registro_Compras!$E$426&amp;" [PATRON POR CONFIRMAR CON CONTADOR]","Por el registro de la factura "&amp;Registro_Compras!$C$426&amp;" de "&amp;Registro_Compras!$E$426)))</f>
        <v/>
      </c>
      <c r="H3803">
        <f>IF($C3803="","",Registro_Compras!$C$426)</f>
        <v/>
      </c>
    </row>
    <row r="3804">
      <c r="A3804" s="25">
        <f>IF($C3804="","",Registro_Compras!$B$426)</f>
        <v/>
      </c>
      <c r="B3804">
        <f>IF($C3804="","","C"&amp;TEXT(INT((ROW()-5)/9)+1,"000")&amp;"-1")</f>
        <v/>
      </c>
      <c r="C3804">
        <f>IF(OR(Registro_Compras!$C$426="",Registro_Compras!$O$426=""),"",IF(Registro_Compras!$F$426="RHE",IF(Registro_Compras!$V$426=0,"","40172"),IF(Registro_Compras!$F$426="NOTA DE CREDITO",IF(Registro_Compras!$M$426="","63",Registro_Compras!$M$426),IF(Registro_Compras!$K$426=0,"","40111"))))</f>
        <v/>
      </c>
      <c r="D3804">
        <f>IF(OR(Registro_Compras!$C$426="",Registro_Compras!$O$426=""),"",IF(Registro_Compras!$F$426="RHE","Retencion Renta 4ta Categoria por Pagar",IF(Registro_Compras!$F$426="NOTA DE CREDITO","Gastos de Servicios Prestados por Terceros","IGV - Cuenta Propia (Credito Fiscal)")))</f>
        <v/>
      </c>
      <c r="E3804" s="20">
        <f>IF($C3804="","",IF(Registro_Compras!$F$426="FACTURA",ROUND(Registro_Compras!$K$426*Registro_Compras!$N$426,2),""))</f>
        <v/>
      </c>
      <c r="F3804" s="20">
        <f>IF($C3804="","",IF(Registro_Compras!$F$426="RHE",ROUND(Registro_Compras!$V$426*Registro_Compras!$N$426,2),IF(Registro_Compras!$F$426="NOTA DE CREDITO",ROUND(ABS(Registro_Compras!$J$426*Registro_Compras!$N$426),2),"")))</f>
        <v/>
      </c>
      <c r="G3804">
        <f>IF($C3804="","",IF(Registro_Compras!$F$426="NOTA DE CREDITO","Por la nota de credito "&amp;Registro_Compras!$C$426&amp;" de "&amp;Registro_Compras!$E$426&amp;" [PATRON POR CONFIRMAR CON CONTADOR]",IF(Registro_Compras!$F$426="RHE","Por el registro del recibo por honorarios "&amp;Registro_Compras!$C$426&amp;" de "&amp;Registro_Compras!$E$426&amp;" [PATRON POR CONFIRMAR CON CONTADOR]","Por el registro de la factura "&amp;Registro_Compras!$C$426&amp;" de "&amp;Registro_Compras!$E$426)))</f>
        <v/>
      </c>
      <c r="H3804">
        <f>IF($C3804="","",Registro_Compras!$C$426)</f>
        <v/>
      </c>
    </row>
    <row r="3805">
      <c r="A3805" s="25">
        <f>IF($C3805="","",Registro_Compras!$B$426)</f>
        <v/>
      </c>
      <c r="B3805">
        <f>IF($C3805="","","C"&amp;TEXT(INT((ROW()-5)/9)+1,"000")&amp;"-1")</f>
        <v/>
      </c>
      <c r="C3805">
        <f>IF(OR(Registro_Compras!$C$426="",Registro_Compras!$O$426=""),"",IF(Registro_Compras!$F$426="NOTA DE CREDITO",IF(Registro_Compras!$K$426=0,"","40111"),"4212"))</f>
        <v/>
      </c>
      <c r="D3805">
        <f>IF(OR(Registro_Compras!$C$426="",Registro_Compras!$O$426=""),"",IF(Registro_Compras!$F$426="NOTA DE CREDITO","IGV - Cuenta Propia (Credito Fiscal)","Cuentas por Pagar Comerciales - Terceros (Emitidas)"))</f>
        <v/>
      </c>
      <c r="E3805" s="20">
        <f>""</f>
        <v/>
      </c>
      <c r="F3805" s="20">
        <f>IF($C3805="","",IF(Registro_Compras!$F$426="NOTA DE CREDITO",ROUND(ABS(Registro_Compras!$K$426*Registro_Compras!$N$426),2),IF(Registro_Compras!$F$426="RHE",(ROUND(Registro_Compras!$L$426*Registro_Compras!$N$426,2)-ROUND(Registro_Compras!$V$426*Registro_Compras!$N$426,2)),Registro_Compras!$O$426)))</f>
        <v/>
      </c>
      <c r="G3805">
        <f>IF($C3805="","",IF(Registro_Compras!$F$426="NOTA DE CREDITO","Por la nota de credito "&amp;Registro_Compras!$C$426&amp;" de "&amp;Registro_Compras!$E$426&amp;" [PATRON POR CONFIRMAR CON CONTADOR]",IF(Registro_Compras!$F$426="RHE","Por el registro del recibo por honorarios "&amp;Registro_Compras!$C$426&amp;" de "&amp;Registro_Compras!$E$426&amp;" [PATRON POR CONFIRMAR CON CONTADOR]","Por el registro de la factura "&amp;Registro_Compras!$C$426&amp;" de "&amp;Registro_Compras!$E$426)))</f>
        <v/>
      </c>
      <c r="H3805">
        <f>IF($C3805="","",Registro_Compras!$C$426)</f>
        <v/>
      </c>
    </row>
    <row r="3806">
      <c r="A3806" s="25">
        <f>IF($C3806="","",Registro_Compras!$B$426)</f>
        <v/>
      </c>
      <c r="B3806">
        <f>IF($C3806="","","C"&amp;TEXT(INT((ROW()-5)/9)+1,"000")&amp;"-2")</f>
        <v/>
      </c>
      <c r="C3806">
        <f>IF(OR(Registro_Compras!$C$426="",Registro_Compras!$O$426=""),"",IF(Registro_Compras!$AB$426="ADMINISTRATIVO","94","95"))</f>
        <v/>
      </c>
      <c r="D3806">
        <f>IF(OR(Registro_Compras!$C$426="",Registro_Compras!$O$426=""),"",IF(Registro_Compras!$AB$426="ADMINISTRATIVO","Gastos Administrativos","Gastos de Venta y Operacion"))</f>
        <v/>
      </c>
      <c r="E3806" s="20">
        <f>IF($C3806="","",IF(Registro_Compras!$F$426="NOTA DE CREDITO","",IF(Registro_Compras!$F$426="RHE",ROUND(Registro_Compras!$L$426*Registro_Compras!$N$426,2),ROUND(Registro_Compras!$J$426*Registro_Compras!$N$426,2))))</f>
        <v/>
      </c>
      <c r="F3806" s="20">
        <f>IF($C3806="","",IF(Registro_Compras!$F$426="NOTA DE CREDITO",ROUND(ABS(Registro_Compras!$J$426*Registro_Compras!$N$426),2),""))</f>
        <v/>
      </c>
      <c r="G3806">
        <f>IF($C3806="","","Por el destino del gasto")</f>
        <v/>
      </c>
      <c r="H3806">
        <f>IF($C3806="","",Registro_Compras!$C$426)</f>
        <v/>
      </c>
    </row>
    <row r="3807">
      <c r="A3807" s="25">
        <f>IF($C3807="","",Registro_Compras!$B$426)</f>
        <v/>
      </c>
      <c r="B3807">
        <f>IF($C3807="","","C"&amp;TEXT(INT((ROW()-5)/9)+1,"000")&amp;"-2")</f>
        <v/>
      </c>
      <c r="C3807">
        <f>IF(OR(Registro_Compras!$C$426="",Registro_Compras!$O$426=""),"","79/791")</f>
        <v/>
      </c>
      <c r="D3807">
        <f>IF(OR(Registro_Compras!$C$426="",Registro_Compras!$O$426=""),"","Cargas Imputables a Cuentas de Costos y Gastos")</f>
        <v/>
      </c>
      <c r="E3807" s="20">
        <f>IF($C3807="","",IF(Registro_Compras!$F$426="NOTA DE CREDITO",ROUND(ABS(Registro_Compras!$J$426*Registro_Compras!$N$426),2),""))</f>
        <v/>
      </c>
      <c r="F3807" s="20">
        <f>IF($C3807="","",IF(Registro_Compras!$F$426="NOTA DE CREDITO","",IF(Registro_Compras!$F$426="RHE",ROUND(Registro_Compras!$L$426*Registro_Compras!$N$426,2),ROUND(Registro_Compras!$J$426*Registro_Compras!$N$426,2))))</f>
        <v/>
      </c>
      <c r="G3807">
        <f>IF($C3807="","","Por el destino del gasto")</f>
        <v/>
      </c>
      <c r="H3807">
        <f>IF($C3807="","",Registro_Compras!$C$426)</f>
        <v/>
      </c>
    </row>
    <row r="3808">
      <c r="A3808" s="25">
        <f>IF($C3808="","",Registro_Compras!$X$426)</f>
        <v/>
      </c>
      <c r="B3808">
        <f>IF($C3808="","","C"&amp;TEXT(INT((ROW()-5)/9)+1,"000")&amp;"-3")</f>
        <v/>
      </c>
      <c r="C3808">
        <f>IF(OR(Registro_Compras!$C$426="",Registro_Compras!$O$426="",Registro_Compras!$R$426&lt;&gt;"SI",Registro_Compras!$X$426=""),"","4212")</f>
        <v/>
      </c>
      <c r="D3808">
        <f>IF(OR(Registro_Compras!$C$426="",Registro_Compras!$O$426=""),"","Cuentas por Pagar Comerciales - Terceros")</f>
        <v/>
      </c>
      <c r="E3808" s="20">
        <f>IF($C3808="","",Registro_Compras!$S$426)</f>
        <v/>
      </c>
      <c r="F3808" s="20">
        <f>""</f>
        <v/>
      </c>
      <c r="G3808">
        <f>IF($C3808="","","Por el deposito de la detraccion en el Banco de la Nacion")</f>
        <v/>
      </c>
      <c r="H3808">
        <f>IF($C3808="","",Registro_Compras!$C$426)</f>
        <v/>
      </c>
    </row>
    <row r="3809">
      <c r="A3809" s="25">
        <f>IF($C3809="","",Registro_Compras!$X$426)</f>
        <v/>
      </c>
      <c r="B3809">
        <f>IF($C3809="","","C"&amp;TEXT(INT((ROW()-5)/9)+1,"000")&amp;"-3")</f>
        <v/>
      </c>
      <c r="C3809">
        <f>IF(OR(Registro_Compras!$C$426="",Registro_Compras!$O$426="",Registro_Compras!$R$426&lt;&gt;"SI",Registro_Compras!$X$426=""),"","10413")</f>
        <v/>
      </c>
      <c r="D3809">
        <f>IF(OR(Registro_Compras!$C$426="",Registro_Compras!$O$426=""),"","Efectivo y Equivalentes - Cta. Cte. Operativa")</f>
        <v/>
      </c>
      <c r="E3809" s="20">
        <f>""</f>
        <v/>
      </c>
      <c r="F3809" s="20">
        <f>IF($C3809="","",Registro_Compras!$S$426)</f>
        <v/>
      </c>
      <c r="G3809">
        <f>IF($C3809="","","Por el deposito de la detraccion en el Banco de la Nacion")</f>
        <v/>
      </c>
      <c r="H3809">
        <f>IF($C3809="","",Registro_Compras!$C$426)</f>
        <v/>
      </c>
    </row>
    <row r="3810">
      <c r="A3810" s="25">
        <f>IF($C3810="","",Registro_Compras!$Y$426)</f>
        <v/>
      </c>
      <c r="B3810">
        <f>IF($C3810="","","C"&amp;TEXT(INT((ROW()-5)/9)+1,"000")&amp;"-4")</f>
        <v/>
      </c>
      <c r="C3810">
        <f>IF(OR(Registro_Compras!$C$426="",Registro_Compras!$O$426="",Registro_Compras!$Y$426="",Registro_Compras!$F$426="NOTA DE CREDITO"),"","4212")</f>
        <v/>
      </c>
      <c r="D3810">
        <f>IF(OR(Registro_Compras!$C$426="",Registro_Compras!$O$426=""),"","Cuentas por Pagar Comerciales - Terceros")</f>
        <v/>
      </c>
      <c r="E3810" s="20">
        <f>IF($C3810="","",IF(Registro_Compras!$F$426="RHE",(ROUND(Registro_Compras!$L$426*Registro_Compras!$N$426,2)-ROUND(Registro_Compras!$V$426*Registro_Compras!$N$426,2)),ROUND(Registro_Compras!$O$426-Registro_Compras!$S$426,2)))</f>
        <v/>
      </c>
      <c r="F3810" s="20">
        <f>""</f>
        <v/>
      </c>
      <c r="G3810">
        <f>IF($C3810="","","Por la cancelacion del saldo al proveedor")</f>
        <v/>
      </c>
      <c r="H3810">
        <f>IF($C3810="","",Registro_Compras!$C$426)</f>
        <v/>
      </c>
    </row>
    <row r="3811">
      <c r="A3811" s="25">
        <f>IF($C3811="","",Registro_Compras!$Y$426)</f>
        <v/>
      </c>
      <c r="B3811">
        <f>IF($C3811="","","C"&amp;TEXT(INT((ROW()-5)/9)+1,"000")&amp;"-4")</f>
        <v/>
      </c>
      <c r="C3811">
        <f>IF(OR(Registro_Compras!$C$426="",Registro_Compras!$O$426="",Registro_Compras!$Y$426="",Registro_Compras!$F$426="NOTA DE CREDITO"),"","10413")</f>
        <v/>
      </c>
      <c r="D3811">
        <f>IF(OR(Registro_Compras!$C$426="",Registro_Compras!$O$426=""),"","Efectivo y Equivalentes - Cta. Cte. Operativa")</f>
        <v/>
      </c>
      <c r="E3811" s="20">
        <f>""</f>
        <v/>
      </c>
      <c r="F3811" s="20">
        <f>IF($C3811="","",IF(Registro_Compras!$F$426="RHE",(ROUND(Registro_Compras!$L$426*Registro_Compras!$N$426,2)-ROUND(Registro_Compras!$V$426*Registro_Compras!$N$426,2)),ROUND(Registro_Compras!$O$426-Registro_Compras!$S$426,2)))</f>
        <v/>
      </c>
      <c r="G3811">
        <f>IF($C3811="","","Por la cancelacion del saldo al proveedor")</f>
        <v/>
      </c>
      <c r="H3811">
        <f>IF($C3811="","",Registro_Compras!$C$426)</f>
        <v/>
      </c>
    </row>
    <row r="3812">
      <c r="A3812" s="25">
        <f>IF($C3812="","",Registro_Compras!$B$427)</f>
        <v/>
      </c>
      <c r="B3812">
        <f>IF($C3812="","","C"&amp;TEXT(INT((ROW()-5)/9)+1,"000")&amp;"-1")</f>
        <v/>
      </c>
      <c r="C3812">
        <f>IF(OR(Registro_Compras!$C$427="",Registro_Compras!$O$427=""),"",IF(Registro_Compras!$F$427="NOTA DE CREDITO","4212",IF(Registro_Compras!$M$427="","63",Registro_Compras!$M$427)))</f>
        <v/>
      </c>
      <c r="D3812">
        <f>IF(OR(Registro_Compras!$C$427="",Registro_Compras!$O$427=""),"",IF(Registro_Compras!$F$427="NOTA DE CREDITO","Cuentas por Pagar Comerciales - Terceros (Emitidas)",IF(Registro_Compras!$F$427="RHE","Honorarios Profesionales - Servicios de Terceros","Gastos de Servicios Prestados por Terceros")))</f>
        <v/>
      </c>
      <c r="E3812" s="20">
        <f>IF($C3812="","",IF(Registro_Compras!$F$427="NOTA DE CREDITO",ABS(Registro_Compras!$O$427),IF(Registro_Compras!$F$427="RHE",ROUND(Registro_Compras!$L$427*Registro_Compras!$N$427,2),ROUND(Registro_Compras!$J$427*Registro_Compras!$N$427,2))))</f>
        <v/>
      </c>
      <c r="F3812" s="20">
        <f>""</f>
        <v/>
      </c>
      <c r="G3812">
        <f>IF($C3812="","",IF(Registro_Compras!$F$427="NOTA DE CREDITO","Por la nota de credito "&amp;Registro_Compras!$C$427&amp;" de "&amp;Registro_Compras!$E$427&amp;" [PATRON POR CONFIRMAR CON CONTADOR]",IF(Registro_Compras!$F$427="RHE","Por el registro del recibo por honorarios "&amp;Registro_Compras!$C$427&amp;" de "&amp;Registro_Compras!$E$427&amp;" [PATRON POR CONFIRMAR CON CONTADOR]","Por el registro de la factura "&amp;Registro_Compras!$C$427&amp;" de "&amp;Registro_Compras!$E$427)))</f>
        <v/>
      </c>
      <c r="H3812">
        <f>IF($C3812="","",Registro_Compras!$C$427)</f>
        <v/>
      </c>
    </row>
    <row r="3813">
      <c r="A3813" s="25">
        <f>IF($C3813="","",Registro_Compras!$B$427)</f>
        <v/>
      </c>
      <c r="B3813">
        <f>IF($C3813="","","C"&amp;TEXT(INT((ROW()-5)/9)+1,"000")&amp;"-1")</f>
        <v/>
      </c>
      <c r="C3813">
        <f>IF(OR(Registro_Compras!$C$427="",Registro_Compras!$O$427=""),"",IF(Registro_Compras!$F$427="RHE",IF(Registro_Compras!$V$427=0,"","40172"),IF(Registro_Compras!$F$427="NOTA DE CREDITO",IF(Registro_Compras!$M$427="","63",Registro_Compras!$M$427),IF(Registro_Compras!$K$427=0,"","40111"))))</f>
        <v/>
      </c>
      <c r="D3813">
        <f>IF(OR(Registro_Compras!$C$427="",Registro_Compras!$O$427=""),"",IF(Registro_Compras!$F$427="RHE","Retencion Renta 4ta Categoria por Pagar",IF(Registro_Compras!$F$427="NOTA DE CREDITO","Gastos de Servicios Prestados por Terceros","IGV - Cuenta Propia (Credito Fiscal)")))</f>
        <v/>
      </c>
      <c r="E3813" s="20">
        <f>IF($C3813="","",IF(Registro_Compras!$F$427="FACTURA",ROUND(Registro_Compras!$K$427*Registro_Compras!$N$427,2),""))</f>
        <v/>
      </c>
      <c r="F3813" s="20">
        <f>IF($C3813="","",IF(Registro_Compras!$F$427="RHE",ROUND(Registro_Compras!$V$427*Registro_Compras!$N$427,2),IF(Registro_Compras!$F$427="NOTA DE CREDITO",ROUND(ABS(Registro_Compras!$J$427*Registro_Compras!$N$427),2),"")))</f>
        <v/>
      </c>
      <c r="G3813">
        <f>IF($C3813="","",IF(Registro_Compras!$F$427="NOTA DE CREDITO","Por la nota de credito "&amp;Registro_Compras!$C$427&amp;" de "&amp;Registro_Compras!$E$427&amp;" [PATRON POR CONFIRMAR CON CONTADOR]",IF(Registro_Compras!$F$427="RHE","Por el registro del recibo por honorarios "&amp;Registro_Compras!$C$427&amp;" de "&amp;Registro_Compras!$E$427&amp;" [PATRON POR CONFIRMAR CON CONTADOR]","Por el registro de la factura "&amp;Registro_Compras!$C$427&amp;" de "&amp;Registro_Compras!$E$427)))</f>
        <v/>
      </c>
      <c r="H3813">
        <f>IF($C3813="","",Registro_Compras!$C$427)</f>
        <v/>
      </c>
    </row>
    <row r="3814">
      <c r="A3814" s="25">
        <f>IF($C3814="","",Registro_Compras!$B$427)</f>
        <v/>
      </c>
      <c r="B3814">
        <f>IF($C3814="","","C"&amp;TEXT(INT((ROW()-5)/9)+1,"000")&amp;"-1")</f>
        <v/>
      </c>
      <c r="C3814">
        <f>IF(OR(Registro_Compras!$C$427="",Registro_Compras!$O$427=""),"",IF(Registro_Compras!$F$427="NOTA DE CREDITO",IF(Registro_Compras!$K$427=0,"","40111"),"4212"))</f>
        <v/>
      </c>
      <c r="D3814">
        <f>IF(OR(Registro_Compras!$C$427="",Registro_Compras!$O$427=""),"",IF(Registro_Compras!$F$427="NOTA DE CREDITO","IGV - Cuenta Propia (Credito Fiscal)","Cuentas por Pagar Comerciales - Terceros (Emitidas)"))</f>
        <v/>
      </c>
      <c r="E3814" s="20">
        <f>""</f>
        <v/>
      </c>
      <c r="F3814" s="20">
        <f>IF($C3814="","",IF(Registro_Compras!$F$427="NOTA DE CREDITO",ROUND(ABS(Registro_Compras!$K$427*Registro_Compras!$N$427),2),IF(Registro_Compras!$F$427="RHE",(ROUND(Registro_Compras!$L$427*Registro_Compras!$N$427,2)-ROUND(Registro_Compras!$V$427*Registro_Compras!$N$427,2)),Registro_Compras!$O$427)))</f>
        <v/>
      </c>
      <c r="G3814">
        <f>IF($C3814="","",IF(Registro_Compras!$F$427="NOTA DE CREDITO","Por la nota de credito "&amp;Registro_Compras!$C$427&amp;" de "&amp;Registro_Compras!$E$427&amp;" [PATRON POR CONFIRMAR CON CONTADOR]",IF(Registro_Compras!$F$427="RHE","Por el registro del recibo por honorarios "&amp;Registro_Compras!$C$427&amp;" de "&amp;Registro_Compras!$E$427&amp;" [PATRON POR CONFIRMAR CON CONTADOR]","Por el registro de la factura "&amp;Registro_Compras!$C$427&amp;" de "&amp;Registro_Compras!$E$427)))</f>
        <v/>
      </c>
      <c r="H3814">
        <f>IF($C3814="","",Registro_Compras!$C$427)</f>
        <v/>
      </c>
    </row>
    <row r="3815">
      <c r="A3815" s="25">
        <f>IF($C3815="","",Registro_Compras!$B$427)</f>
        <v/>
      </c>
      <c r="B3815">
        <f>IF($C3815="","","C"&amp;TEXT(INT((ROW()-5)/9)+1,"000")&amp;"-2")</f>
        <v/>
      </c>
      <c r="C3815">
        <f>IF(OR(Registro_Compras!$C$427="",Registro_Compras!$O$427=""),"",IF(Registro_Compras!$AB$427="ADMINISTRATIVO","94","95"))</f>
        <v/>
      </c>
      <c r="D3815">
        <f>IF(OR(Registro_Compras!$C$427="",Registro_Compras!$O$427=""),"",IF(Registro_Compras!$AB$427="ADMINISTRATIVO","Gastos Administrativos","Gastos de Venta y Operacion"))</f>
        <v/>
      </c>
      <c r="E3815" s="20">
        <f>IF($C3815="","",IF(Registro_Compras!$F$427="NOTA DE CREDITO","",IF(Registro_Compras!$F$427="RHE",ROUND(Registro_Compras!$L$427*Registro_Compras!$N$427,2),ROUND(Registro_Compras!$J$427*Registro_Compras!$N$427,2))))</f>
        <v/>
      </c>
      <c r="F3815" s="20">
        <f>IF($C3815="","",IF(Registro_Compras!$F$427="NOTA DE CREDITO",ROUND(ABS(Registro_Compras!$J$427*Registro_Compras!$N$427),2),""))</f>
        <v/>
      </c>
      <c r="G3815">
        <f>IF($C3815="","","Por el destino del gasto")</f>
        <v/>
      </c>
      <c r="H3815">
        <f>IF($C3815="","",Registro_Compras!$C$427)</f>
        <v/>
      </c>
    </row>
    <row r="3816">
      <c r="A3816" s="25">
        <f>IF($C3816="","",Registro_Compras!$B$427)</f>
        <v/>
      </c>
      <c r="B3816">
        <f>IF($C3816="","","C"&amp;TEXT(INT((ROW()-5)/9)+1,"000")&amp;"-2")</f>
        <v/>
      </c>
      <c r="C3816">
        <f>IF(OR(Registro_Compras!$C$427="",Registro_Compras!$O$427=""),"","79/791")</f>
        <v/>
      </c>
      <c r="D3816">
        <f>IF(OR(Registro_Compras!$C$427="",Registro_Compras!$O$427=""),"","Cargas Imputables a Cuentas de Costos y Gastos")</f>
        <v/>
      </c>
      <c r="E3816" s="20">
        <f>IF($C3816="","",IF(Registro_Compras!$F$427="NOTA DE CREDITO",ROUND(ABS(Registro_Compras!$J$427*Registro_Compras!$N$427),2),""))</f>
        <v/>
      </c>
      <c r="F3816" s="20">
        <f>IF($C3816="","",IF(Registro_Compras!$F$427="NOTA DE CREDITO","",IF(Registro_Compras!$F$427="RHE",ROUND(Registro_Compras!$L$427*Registro_Compras!$N$427,2),ROUND(Registro_Compras!$J$427*Registro_Compras!$N$427,2))))</f>
        <v/>
      </c>
      <c r="G3816">
        <f>IF($C3816="","","Por el destino del gasto")</f>
        <v/>
      </c>
      <c r="H3816">
        <f>IF($C3816="","",Registro_Compras!$C$427)</f>
        <v/>
      </c>
    </row>
    <row r="3817">
      <c r="A3817" s="25">
        <f>IF($C3817="","",Registro_Compras!$X$427)</f>
        <v/>
      </c>
      <c r="B3817">
        <f>IF($C3817="","","C"&amp;TEXT(INT((ROW()-5)/9)+1,"000")&amp;"-3")</f>
        <v/>
      </c>
      <c r="C3817">
        <f>IF(OR(Registro_Compras!$C$427="",Registro_Compras!$O$427="",Registro_Compras!$R$427&lt;&gt;"SI",Registro_Compras!$X$427=""),"","4212")</f>
        <v/>
      </c>
      <c r="D3817">
        <f>IF(OR(Registro_Compras!$C$427="",Registro_Compras!$O$427=""),"","Cuentas por Pagar Comerciales - Terceros")</f>
        <v/>
      </c>
      <c r="E3817" s="20">
        <f>IF($C3817="","",Registro_Compras!$S$427)</f>
        <v/>
      </c>
      <c r="F3817" s="20">
        <f>""</f>
        <v/>
      </c>
      <c r="G3817">
        <f>IF($C3817="","","Por el deposito de la detraccion en el Banco de la Nacion")</f>
        <v/>
      </c>
      <c r="H3817">
        <f>IF($C3817="","",Registro_Compras!$C$427)</f>
        <v/>
      </c>
    </row>
    <row r="3818">
      <c r="A3818" s="25">
        <f>IF($C3818="","",Registro_Compras!$X$427)</f>
        <v/>
      </c>
      <c r="B3818">
        <f>IF($C3818="","","C"&amp;TEXT(INT((ROW()-5)/9)+1,"000")&amp;"-3")</f>
        <v/>
      </c>
      <c r="C3818">
        <f>IF(OR(Registro_Compras!$C$427="",Registro_Compras!$O$427="",Registro_Compras!$R$427&lt;&gt;"SI",Registro_Compras!$X$427=""),"","10413")</f>
        <v/>
      </c>
      <c r="D3818">
        <f>IF(OR(Registro_Compras!$C$427="",Registro_Compras!$O$427=""),"","Efectivo y Equivalentes - Cta. Cte. Operativa")</f>
        <v/>
      </c>
      <c r="E3818" s="20">
        <f>""</f>
        <v/>
      </c>
      <c r="F3818" s="20">
        <f>IF($C3818="","",Registro_Compras!$S$427)</f>
        <v/>
      </c>
      <c r="G3818">
        <f>IF($C3818="","","Por el deposito de la detraccion en el Banco de la Nacion")</f>
        <v/>
      </c>
      <c r="H3818">
        <f>IF($C3818="","",Registro_Compras!$C$427)</f>
        <v/>
      </c>
    </row>
    <row r="3819">
      <c r="A3819" s="25">
        <f>IF($C3819="","",Registro_Compras!$Y$427)</f>
        <v/>
      </c>
      <c r="B3819">
        <f>IF($C3819="","","C"&amp;TEXT(INT((ROW()-5)/9)+1,"000")&amp;"-4")</f>
        <v/>
      </c>
      <c r="C3819">
        <f>IF(OR(Registro_Compras!$C$427="",Registro_Compras!$O$427="",Registro_Compras!$Y$427="",Registro_Compras!$F$427="NOTA DE CREDITO"),"","4212")</f>
        <v/>
      </c>
      <c r="D3819">
        <f>IF(OR(Registro_Compras!$C$427="",Registro_Compras!$O$427=""),"","Cuentas por Pagar Comerciales - Terceros")</f>
        <v/>
      </c>
      <c r="E3819" s="20">
        <f>IF($C3819="","",IF(Registro_Compras!$F$427="RHE",(ROUND(Registro_Compras!$L$427*Registro_Compras!$N$427,2)-ROUND(Registro_Compras!$V$427*Registro_Compras!$N$427,2)),ROUND(Registro_Compras!$O$427-Registro_Compras!$S$427,2)))</f>
        <v/>
      </c>
      <c r="F3819" s="20">
        <f>""</f>
        <v/>
      </c>
      <c r="G3819">
        <f>IF($C3819="","","Por la cancelacion del saldo al proveedor")</f>
        <v/>
      </c>
      <c r="H3819">
        <f>IF($C3819="","",Registro_Compras!$C$427)</f>
        <v/>
      </c>
    </row>
    <row r="3820">
      <c r="A3820" s="25">
        <f>IF($C3820="","",Registro_Compras!$Y$427)</f>
        <v/>
      </c>
      <c r="B3820">
        <f>IF($C3820="","","C"&amp;TEXT(INT((ROW()-5)/9)+1,"000")&amp;"-4")</f>
        <v/>
      </c>
      <c r="C3820">
        <f>IF(OR(Registro_Compras!$C$427="",Registro_Compras!$O$427="",Registro_Compras!$Y$427="",Registro_Compras!$F$427="NOTA DE CREDITO"),"","10413")</f>
        <v/>
      </c>
      <c r="D3820">
        <f>IF(OR(Registro_Compras!$C$427="",Registro_Compras!$O$427=""),"","Efectivo y Equivalentes - Cta. Cte. Operativa")</f>
        <v/>
      </c>
      <c r="E3820" s="20">
        <f>""</f>
        <v/>
      </c>
      <c r="F3820" s="20">
        <f>IF($C3820="","",IF(Registro_Compras!$F$427="RHE",(ROUND(Registro_Compras!$L$427*Registro_Compras!$N$427,2)-ROUND(Registro_Compras!$V$427*Registro_Compras!$N$427,2)),ROUND(Registro_Compras!$O$427-Registro_Compras!$S$427,2)))</f>
        <v/>
      </c>
      <c r="G3820">
        <f>IF($C3820="","","Por la cancelacion del saldo al proveedor")</f>
        <v/>
      </c>
      <c r="H3820">
        <f>IF($C3820="","",Registro_Compras!$C$427)</f>
        <v/>
      </c>
    </row>
    <row r="3821">
      <c r="A3821" s="25">
        <f>IF($C3821="","",Registro_Compras!$B$428)</f>
        <v/>
      </c>
      <c r="B3821">
        <f>IF($C3821="","","C"&amp;TEXT(INT((ROW()-5)/9)+1,"000")&amp;"-1")</f>
        <v/>
      </c>
      <c r="C3821">
        <f>IF(OR(Registro_Compras!$C$428="",Registro_Compras!$O$428=""),"",IF(Registro_Compras!$F$428="NOTA DE CREDITO","4212",IF(Registro_Compras!$M$428="","63",Registro_Compras!$M$428)))</f>
        <v/>
      </c>
      <c r="D3821">
        <f>IF(OR(Registro_Compras!$C$428="",Registro_Compras!$O$428=""),"",IF(Registro_Compras!$F$428="NOTA DE CREDITO","Cuentas por Pagar Comerciales - Terceros (Emitidas)",IF(Registro_Compras!$F$428="RHE","Honorarios Profesionales - Servicios de Terceros","Gastos de Servicios Prestados por Terceros")))</f>
        <v/>
      </c>
      <c r="E3821" s="20">
        <f>IF($C3821="","",IF(Registro_Compras!$F$428="NOTA DE CREDITO",ABS(Registro_Compras!$O$428),IF(Registro_Compras!$F$428="RHE",ROUND(Registro_Compras!$L$428*Registro_Compras!$N$428,2),ROUND(Registro_Compras!$J$428*Registro_Compras!$N$428,2))))</f>
        <v/>
      </c>
      <c r="F3821" s="20">
        <f>""</f>
        <v/>
      </c>
      <c r="G3821">
        <f>IF($C3821="","",IF(Registro_Compras!$F$428="NOTA DE CREDITO","Por la nota de credito "&amp;Registro_Compras!$C$428&amp;" de "&amp;Registro_Compras!$E$428&amp;" [PATRON POR CONFIRMAR CON CONTADOR]",IF(Registro_Compras!$F$428="RHE","Por el registro del recibo por honorarios "&amp;Registro_Compras!$C$428&amp;" de "&amp;Registro_Compras!$E$428&amp;" [PATRON POR CONFIRMAR CON CONTADOR]","Por el registro de la factura "&amp;Registro_Compras!$C$428&amp;" de "&amp;Registro_Compras!$E$428)))</f>
        <v/>
      </c>
      <c r="H3821">
        <f>IF($C3821="","",Registro_Compras!$C$428)</f>
        <v/>
      </c>
    </row>
    <row r="3822">
      <c r="A3822" s="25">
        <f>IF($C3822="","",Registro_Compras!$B$428)</f>
        <v/>
      </c>
      <c r="B3822">
        <f>IF($C3822="","","C"&amp;TEXT(INT((ROW()-5)/9)+1,"000")&amp;"-1")</f>
        <v/>
      </c>
      <c r="C3822">
        <f>IF(OR(Registro_Compras!$C$428="",Registro_Compras!$O$428=""),"",IF(Registro_Compras!$F$428="RHE",IF(Registro_Compras!$V$428=0,"","40172"),IF(Registro_Compras!$F$428="NOTA DE CREDITO",IF(Registro_Compras!$M$428="","63",Registro_Compras!$M$428),IF(Registro_Compras!$K$428=0,"","40111"))))</f>
        <v/>
      </c>
      <c r="D3822">
        <f>IF(OR(Registro_Compras!$C$428="",Registro_Compras!$O$428=""),"",IF(Registro_Compras!$F$428="RHE","Retencion Renta 4ta Categoria por Pagar",IF(Registro_Compras!$F$428="NOTA DE CREDITO","Gastos de Servicios Prestados por Terceros","IGV - Cuenta Propia (Credito Fiscal)")))</f>
        <v/>
      </c>
      <c r="E3822" s="20">
        <f>IF($C3822="","",IF(Registro_Compras!$F$428="FACTURA",ROUND(Registro_Compras!$K$428*Registro_Compras!$N$428,2),""))</f>
        <v/>
      </c>
      <c r="F3822" s="20">
        <f>IF($C3822="","",IF(Registro_Compras!$F$428="RHE",ROUND(Registro_Compras!$V$428*Registro_Compras!$N$428,2),IF(Registro_Compras!$F$428="NOTA DE CREDITO",ROUND(ABS(Registro_Compras!$J$428*Registro_Compras!$N$428),2),"")))</f>
        <v/>
      </c>
      <c r="G3822">
        <f>IF($C3822="","",IF(Registro_Compras!$F$428="NOTA DE CREDITO","Por la nota de credito "&amp;Registro_Compras!$C$428&amp;" de "&amp;Registro_Compras!$E$428&amp;" [PATRON POR CONFIRMAR CON CONTADOR]",IF(Registro_Compras!$F$428="RHE","Por el registro del recibo por honorarios "&amp;Registro_Compras!$C$428&amp;" de "&amp;Registro_Compras!$E$428&amp;" [PATRON POR CONFIRMAR CON CONTADOR]","Por el registro de la factura "&amp;Registro_Compras!$C$428&amp;" de "&amp;Registro_Compras!$E$428)))</f>
        <v/>
      </c>
      <c r="H3822">
        <f>IF($C3822="","",Registro_Compras!$C$428)</f>
        <v/>
      </c>
    </row>
    <row r="3823">
      <c r="A3823" s="25">
        <f>IF($C3823="","",Registro_Compras!$B$428)</f>
        <v/>
      </c>
      <c r="B3823">
        <f>IF($C3823="","","C"&amp;TEXT(INT((ROW()-5)/9)+1,"000")&amp;"-1")</f>
        <v/>
      </c>
      <c r="C3823">
        <f>IF(OR(Registro_Compras!$C$428="",Registro_Compras!$O$428=""),"",IF(Registro_Compras!$F$428="NOTA DE CREDITO",IF(Registro_Compras!$K$428=0,"","40111"),"4212"))</f>
        <v/>
      </c>
      <c r="D3823">
        <f>IF(OR(Registro_Compras!$C$428="",Registro_Compras!$O$428=""),"",IF(Registro_Compras!$F$428="NOTA DE CREDITO","IGV - Cuenta Propia (Credito Fiscal)","Cuentas por Pagar Comerciales - Terceros (Emitidas)"))</f>
        <v/>
      </c>
      <c r="E3823" s="20">
        <f>""</f>
        <v/>
      </c>
      <c r="F3823" s="20">
        <f>IF($C3823="","",IF(Registro_Compras!$F$428="NOTA DE CREDITO",ROUND(ABS(Registro_Compras!$K$428*Registro_Compras!$N$428),2),IF(Registro_Compras!$F$428="RHE",(ROUND(Registro_Compras!$L$428*Registro_Compras!$N$428,2)-ROUND(Registro_Compras!$V$428*Registro_Compras!$N$428,2)),Registro_Compras!$O$428)))</f>
        <v/>
      </c>
      <c r="G3823">
        <f>IF($C3823="","",IF(Registro_Compras!$F$428="NOTA DE CREDITO","Por la nota de credito "&amp;Registro_Compras!$C$428&amp;" de "&amp;Registro_Compras!$E$428&amp;" [PATRON POR CONFIRMAR CON CONTADOR]",IF(Registro_Compras!$F$428="RHE","Por el registro del recibo por honorarios "&amp;Registro_Compras!$C$428&amp;" de "&amp;Registro_Compras!$E$428&amp;" [PATRON POR CONFIRMAR CON CONTADOR]","Por el registro de la factura "&amp;Registro_Compras!$C$428&amp;" de "&amp;Registro_Compras!$E$428)))</f>
        <v/>
      </c>
      <c r="H3823">
        <f>IF($C3823="","",Registro_Compras!$C$428)</f>
        <v/>
      </c>
    </row>
    <row r="3824">
      <c r="A3824" s="25">
        <f>IF($C3824="","",Registro_Compras!$B$428)</f>
        <v/>
      </c>
      <c r="B3824">
        <f>IF($C3824="","","C"&amp;TEXT(INT((ROW()-5)/9)+1,"000")&amp;"-2")</f>
        <v/>
      </c>
      <c r="C3824">
        <f>IF(OR(Registro_Compras!$C$428="",Registro_Compras!$O$428=""),"",IF(Registro_Compras!$AB$428="ADMINISTRATIVO","94","95"))</f>
        <v/>
      </c>
      <c r="D3824">
        <f>IF(OR(Registro_Compras!$C$428="",Registro_Compras!$O$428=""),"",IF(Registro_Compras!$AB$428="ADMINISTRATIVO","Gastos Administrativos","Gastos de Venta y Operacion"))</f>
        <v/>
      </c>
      <c r="E3824" s="20">
        <f>IF($C3824="","",IF(Registro_Compras!$F$428="NOTA DE CREDITO","",IF(Registro_Compras!$F$428="RHE",ROUND(Registro_Compras!$L$428*Registro_Compras!$N$428,2),ROUND(Registro_Compras!$J$428*Registro_Compras!$N$428,2))))</f>
        <v/>
      </c>
      <c r="F3824" s="20">
        <f>IF($C3824="","",IF(Registro_Compras!$F$428="NOTA DE CREDITO",ROUND(ABS(Registro_Compras!$J$428*Registro_Compras!$N$428),2),""))</f>
        <v/>
      </c>
      <c r="G3824">
        <f>IF($C3824="","","Por el destino del gasto")</f>
        <v/>
      </c>
      <c r="H3824">
        <f>IF($C3824="","",Registro_Compras!$C$428)</f>
        <v/>
      </c>
    </row>
    <row r="3825">
      <c r="A3825" s="25">
        <f>IF($C3825="","",Registro_Compras!$B$428)</f>
        <v/>
      </c>
      <c r="B3825">
        <f>IF($C3825="","","C"&amp;TEXT(INT((ROW()-5)/9)+1,"000")&amp;"-2")</f>
        <v/>
      </c>
      <c r="C3825">
        <f>IF(OR(Registro_Compras!$C$428="",Registro_Compras!$O$428=""),"","79/791")</f>
        <v/>
      </c>
      <c r="D3825">
        <f>IF(OR(Registro_Compras!$C$428="",Registro_Compras!$O$428=""),"","Cargas Imputables a Cuentas de Costos y Gastos")</f>
        <v/>
      </c>
      <c r="E3825" s="20">
        <f>IF($C3825="","",IF(Registro_Compras!$F$428="NOTA DE CREDITO",ROUND(ABS(Registro_Compras!$J$428*Registro_Compras!$N$428),2),""))</f>
        <v/>
      </c>
      <c r="F3825" s="20">
        <f>IF($C3825="","",IF(Registro_Compras!$F$428="NOTA DE CREDITO","",IF(Registro_Compras!$F$428="RHE",ROUND(Registro_Compras!$L$428*Registro_Compras!$N$428,2),ROUND(Registro_Compras!$J$428*Registro_Compras!$N$428,2))))</f>
        <v/>
      </c>
      <c r="G3825">
        <f>IF($C3825="","","Por el destino del gasto")</f>
        <v/>
      </c>
      <c r="H3825">
        <f>IF($C3825="","",Registro_Compras!$C$428)</f>
        <v/>
      </c>
    </row>
    <row r="3826">
      <c r="A3826" s="25">
        <f>IF($C3826="","",Registro_Compras!$X$428)</f>
        <v/>
      </c>
      <c r="B3826">
        <f>IF($C3826="","","C"&amp;TEXT(INT((ROW()-5)/9)+1,"000")&amp;"-3")</f>
        <v/>
      </c>
      <c r="C3826">
        <f>IF(OR(Registro_Compras!$C$428="",Registro_Compras!$O$428="",Registro_Compras!$R$428&lt;&gt;"SI",Registro_Compras!$X$428=""),"","4212")</f>
        <v/>
      </c>
      <c r="D3826">
        <f>IF(OR(Registro_Compras!$C$428="",Registro_Compras!$O$428=""),"","Cuentas por Pagar Comerciales - Terceros")</f>
        <v/>
      </c>
      <c r="E3826" s="20">
        <f>IF($C3826="","",Registro_Compras!$S$428)</f>
        <v/>
      </c>
      <c r="F3826" s="20">
        <f>""</f>
        <v/>
      </c>
      <c r="G3826">
        <f>IF($C3826="","","Por el deposito de la detraccion en el Banco de la Nacion")</f>
        <v/>
      </c>
      <c r="H3826">
        <f>IF($C3826="","",Registro_Compras!$C$428)</f>
        <v/>
      </c>
    </row>
    <row r="3827">
      <c r="A3827" s="25">
        <f>IF($C3827="","",Registro_Compras!$X$428)</f>
        <v/>
      </c>
      <c r="B3827">
        <f>IF($C3827="","","C"&amp;TEXT(INT((ROW()-5)/9)+1,"000")&amp;"-3")</f>
        <v/>
      </c>
      <c r="C3827">
        <f>IF(OR(Registro_Compras!$C$428="",Registro_Compras!$O$428="",Registro_Compras!$R$428&lt;&gt;"SI",Registro_Compras!$X$428=""),"","10413")</f>
        <v/>
      </c>
      <c r="D3827">
        <f>IF(OR(Registro_Compras!$C$428="",Registro_Compras!$O$428=""),"","Efectivo y Equivalentes - Cta. Cte. Operativa")</f>
        <v/>
      </c>
      <c r="E3827" s="20">
        <f>""</f>
        <v/>
      </c>
      <c r="F3827" s="20">
        <f>IF($C3827="","",Registro_Compras!$S$428)</f>
        <v/>
      </c>
      <c r="G3827">
        <f>IF($C3827="","","Por el deposito de la detraccion en el Banco de la Nacion")</f>
        <v/>
      </c>
      <c r="H3827">
        <f>IF($C3827="","",Registro_Compras!$C$428)</f>
        <v/>
      </c>
    </row>
    <row r="3828">
      <c r="A3828" s="25">
        <f>IF($C3828="","",Registro_Compras!$Y$428)</f>
        <v/>
      </c>
      <c r="B3828">
        <f>IF($C3828="","","C"&amp;TEXT(INT((ROW()-5)/9)+1,"000")&amp;"-4")</f>
        <v/>
      </c>
      <c r="C3828">
        <f>IF(OR(Registro_Compras!$C$428="",Registro_Compras!$O$428="",Registro_Compras!$Y$428="",Registro_Compras!$F$428="NOTA DE CREDITO"),"","4212")</f>
        <v/>
      </c>
      <c r="D3828">
        <f>IF(OR(Registro_Compras!$C$428="",Registro_Compras!$O$428=""),"","Cuentas por Pagar Comerciales - Terceros")</f>
        <v/>
      </c>
      <c r="E3828" s="20">
        <f>IF($C3828="","",IF(Registro_Compras!$F$428="RHE",(ROUND(Registro_Compras!$L$428*Registro_Compras!$N$428,2)-ROUND(Registro_Compras!$V$428*Registro_Compras!$N$428,2)),ROUND(Registro_Compras!$O$428-Registro_Compras!$S$428,2)))</f>
        <v/>
      </c>
      <c r="F3828" s="20">
        <f>""</f>
        <v/>
      </c>
      <c r="G3828">
        <f>IF($C3828="","","Por la cancelacion del saldo al proveedor")</f>
        <v/>
      </c>
      <c r="H3828">
        <f>IF($C3828="","",Registro_Compras!$C$428)</f>
        <v/>
      </c>
    </row>
    <row r="3829">
      <c r="A3829" s="25">
        <f>IF($C3829="","",Registro_Compras!$Y$428)</f>
        <v/>
      </c>
      <c r="B3829">
        <f>IF($C3829="","","C"&amp;TEXT(INT((ROW()-5)/9)+1,"000")&amp;"-4")</f>
        <v/>
      </c>
      <c r="C3829">
        <f>IF(OR(Registro_Compras!$C$428="",Registro_Compras!$O$428="",Registro_Compras!$Y$428="",Registro_Compras!$F$428="NOTA DE CREDITO"),"","10413")</f>
        <v/>
      </c>
      <c r="D3829">
        <f>IF(OR(Registro_Compras!$C$428="",Registro_Compras!$O$428=""),"","Efectivo y Equivalentes - Cta. Cte. Operativa")</f>
        <v/>
      </c>
      <c r="E3829" s="20">
        <f>""</f>
        <v/>
      </c>
      <c r="F3829" s="20">
        <f>IF($C3829="","",IF(Registro_Compras!$F$428="RHE",(ROUND(Registro_Compras!$L$428*Registro_Compras!$N$428,2)-ROUND(Registro_Compras!$V$428*Registro_Compras!$N$428,2)),ROUND(Registro_Compras!$O$428-Registro_Compras!$S$428,2)))</f>
        <v/>
      </c>
      <c r="G3829">
        <f>IF($C3829="","","Por la cancelacion del saldo al proveedor")</f>
        <v/>
      </c>
      <c r="H3829">
        <f>IF($C3829="","",Registro_Compras!$C$428)</f>
        <v/>
      </c>
    </row>
    <row r="3830">
      <c r="A3830" s="25">
        <f>IF($C3830="","",Registro_Compras!$B$429)</f>
        <v/>
      </c>
      <c r="B3830">
        <f>IF($C3830="","","C"&amp;TEXT(INT((ROW()-5)/9)+1,"000")&amp;"-1")</f>
        <v/>
      </c>
      <c r="C3830">
        <f>IF(OR(Registro_Compras!$C$429="",Registro_Compras!$O$429=""),"",IF(Registro_Compras!$F$429="NOTA DE CREDITO","4212",IF(Registro_Compras!$M$429="","63",Registro_Compras!$M$429)))</f>
        <v/>
      </c>
      <c r="D3830">
        <f>IF(OR(Registro_Compras!$C$429="",Registro_Compras!$O$429=""),"",IF(Registro_Compras!$F$429="NOTA DE CREDITO","Cuentas por Pagar Comerciales - Terceros (Emitidas)",IF(Registro_Compras!$F$429="RHE","Honorarios Profesionales - Servicios de Terceros","Gastos de Servicios Prestados por Terceros")))</f>
        <v/>
      </c>
      <c r="E3830" s="20">
        <f>IF($C3830="","",IF(Registro_Compras!$F$429="NOTA DE CREDITO",ABS(Registro_Compras!$O$429),IF(Registro_Compras!$F$429="RHE",ROUND(Registro_Compras!$L$429*Registro_Compras!$N$429,2),ROUND(Registro_Compras!$J$429*Registro_Compras!$N$429,2))))</f>
        <v/>
      </c>
      <c r="F3830" s="20">
        <f>""</f>
        <v/>
      </c>
      <c r="G3830">
        <f>IF($C3830="","",IF(Registro_Compras!$F$429="NOTA DE CREDITO","Por la nota de credito "&amp;Registro_Compras!$C$429&amp;" de "&amp;Registro_Compras!$E$429&amp;" [PATRON POR CONFIRMAR CON CONTADOR]",IF(Registro_Compras!$F$429="RHE","Por el registro del recibo por honorarios "&amp;Registro_Compras!$C$429&amp;" de "&amp;Registro_Compras!$E$429&amp;" [PATRON POR CONFIRMAR CON CONTADOR]","Por el registro de la factura "&amp;Registro_Compras!$C$429&amp;" de "&amp;Registro_Compras!$E$429)))</f>
        <v/>
      </c>
      <c r="H3830">
        <f>IF($C3830="","",Registro_Compras!$C$429)</f>
        <v/>
      </c>
    </row>
    <row r="3831">
      <c r="A3831" s="25">
        <f>IF($C3831="","",Registro_Compras!$B$429)</f>
        <v/>
      </c>
      <c r="B3831">
        <f>IF($C3831="","","C"&amp;TEXT(INT((ROW()-5)/9)+1,"000")&amp;"-1")</f>
        <v/>
      </c>
      <c r="C3831">
        <f>IF(OR(Registro_Compras!$C$429="",Registro_Compras!$O$429=""),"",IF(Registro_Compras!$F$429="RHE",IF(Registro_Compras!$V$429=0,"","40172"),IF(Registro_Compras!$F$429="NOTA DE CREDITO",IF(Registro_Compras!$M$429="","63",Registro_Compras!$M$429),IF(Registro_Compras!$K$429=0,"","40111"))))</f>
        <v/>
      </c>
      <c r="D3831">
        <f>IF(OR(Registro_Compras!$C$429="",Registro_Compras!$O$429=""),"",IF(Registro_Compras!$F$429="RHE","Retencion Renta 4ta Categoria por Pagar",IF(Registro_Compras!$F$429="NOTA DE CREDITO","Gastos de Servicios Prestados por Terceros","IGV - Cuenta Propia (Credito Fiscal)")))</f>
        <v/>
      </c>
      <c r="E3831" s="20">
        <f>IF($C3831="","",IF(Registro_Compras!$F$429="FACTURA",ROUND(Registro_Compras!$K$429*Registro_Compras!$N$429,2),""))</f>
        <v/>
      </c>
      <c r="F3831" s="20">
        <f>IF($C3831="","",IF(Registro_Compras!$F$429="RHE",ROUND(Registro_Compras!$V$429*Registro_Compras!$N$429,2),IF(Registro_Compras!$F$429="NOTA DE CREDITO",ROUND(ABS(Registro_Compras!$J$429*Registro_Compras!$N$429),2),"")))</f>
        <v/>
      </c>
      <c r="G3831">
        <f>IF($C3831="","",IF(Registro_Compras!$F$429="NOTA DE CREDITO","Por la nota de credito "&amp;Registro_Compras!$C$429&amp;" de "&amp;Registro_Compras!$E$429&amp;" [PATRON POR CONFIRMAR CON CONTADOR]",IF(Registro_Compras!$F$429="RHE","Por el registro del recibo por honorarios "&amp;Registro_Compras!$C$429&amp;" de "&amp;Registro_Compras!$E$429&amp;" [PATRON POR CONFIRMAR CON CONTADOR]","Por el registro de la factura "&amp;Registro_Compras!$C$429&amp;" de "&amp;Registro_Compras!$E$429)))</f>
        <v/>
      </c>
      <c r="H3831">
        <f>IF($C3831="","",Registro_Compras!$C$429)</f>
        <v/>
      </c>
    </row>
    <row r="3832">
      <c r="A3832" s="25">
        <f>IF($C3832="","",Registro_Compras!$B$429)</f>
        <v/>
      </c>
      <c r="B3832">
        <f>IF($C3832="","","C"&amp;TEXT(INT((ROW()-5)/9)+1,"000")&amp;"-1")</f>
        <v/>
      </c>
      <c r="C3832">
        <f>IF(OR(Registro_Compras!$C$429="",Registro_Compras!$O$429=""),"",IF(Registro_Compras!$F$429="NOTA DE CREDITO",IF(Registro_Compras!$K$429=0,"","40111"),"4212"))</f>
        <v/>
      </c>
      <c r="D3832">
        <f>IF(OR(Registro_Compras!$C$429="",Registro_Compras!$O$429=""),"",IF(Registro_Compras!$F$429="NOTA DE CREDITO","IGV - Cuenta Propia (Credito Fiscal)","Cuentas por Pagar Comerciales - Terceros (Emitidas)"))</f>
        <v/>
      </c>
      <c r="E3832" s="20">
        <f>""</f>
        <v/>
      </c>
      <c r="F3832" s="20">
        <f>IF($C3832="","",IF(Registro_Compras!$F$429="NOTA DE CREDITO",ROUND(ABS(Registro_Compras!$K$429*Registro_Compras!$N$429),2),IF(Registro_Compras!$F$429="RHE",(ROUND(Registro_Compras!$L$429*Registro_Compras!$N$429,2)-ROUND(Registro_Compras!$V$429*Registro_Compras!$N$429,2)),Registro_Compras!$O$429)))</f>
        <v/>
      </c>
      <c r="G3832">
        <f>IF($C3832="","",IF(Registro_Compras!$F$429="NOTA DE CREDITO","Por la nota de credito "&amp;Registro_Compras!$C$429&amp;" de "&amp;Registro_Compras!$E$429&amp;" [PATRON POR CONFIRMAR CON CONTADOR]",IF(Registro_Compras!$F$429="RHE","Por el registro del recibo por honorarios "&amp;Registro_Compras!$C$429&amp;" de "&amp;Registro_Compras!$E$429&amp;" [PATRON POR CONFIRMAR CON CONTADOR]","Por el registro de la factura "&amp;Registro_Compras!$C$429&amp;" de "&amp;Registro_Compras!$E$429)))</f>
        <v/>
      </c>
      <c r="H3832">
        <f>IF($C3832="","",Registro_Compras!$C$429)</f>
        <v/>
      </c>
    </row>
    <row r="3833">
      <c r="A3833" s="25">
        <f>IF($C3833="","",Registro_Compras!$B$429)</f>
        <v/>
      </c>
      <c r="B3833">
        <f>IF($C3833="","","C"&amp;TEXT(INT((ROW()-5)/9)+1,"000")&amp;"-2")</f>
        <v/>
      </c>
      <c r="C3833">
        <f>IF(OR(Registro_Compras!$C$429="",Registro_Compras!$O$429=""),"",IF(Registro_Compras!$AB$429="ADMINISTRATIVO","94","95"))</f>
        <v/>
      </c>
      <c r="D3833">
        <f>IF(OR(Registro_Compras!$C$429="",Registro_Compras!$O$429=""),"",IF(Registro_Compras!$AB$429="ADMINISTRATIVO","Gastos Administrativos","Gastos de Venta y Operacion"))</f>
        <v/>
      </c>
      <c r="E3833" s="20">
        <f>IF($C3833="","",IF(Registro_Compras!$F$429="NOTA DE CREDITO","",IF(Registro_Compras!$F$429="RHE",ROUND(Registro_Compras!$L$429*Registro_Compras!$N$429,2),ROUND(Registro_Compras!$J$429*Registro_Compras!$N$429,2))))</f>
        <v/>
      </c>
      <c r="F3833" s="20">
        <f>IF($C3833="","",IF(Registro_Compras!$F$429="NOTA DE CREDITO",ROUND(ABS(Registro_Compras!$J$429*Registro_Compras!$N$429),2),""))</f>
        <v/>
      </c>
      <c r="G3833">
        <f>IF($C3833="","","Por el destino del gasto")</f>
        <v/>
      </c>
      <c r="H3833">
        <f>IF($C3833="","",Registro_Compras!$C$429)</f>
        <v/>
      </c>
    </row>
    <row r="3834">
      <c r="A3834" s="25">
        <f>IF($C3834="","",Registro_Compras!$B$429)</f>
        <v/>
      </c>
      <c r="B3834">
        <f>IF($C3834="","","C"&amp;TEXT(INT((ROW()-5)/9)+1,"000")&amp;"-2")</f>
        <v/>
      </c>
      <c r="C3834">
        <f>IF(OR(Registro_Compras!$C$429="",Registro_Compras!$O$429=""),"","79/791")</f>
        <v/>
      </c>
      <c r="D3834">
        <f>IF(OR(Registro_Compras!$C$429="",Registro_Compras!$O$429=""),"","Cargas Imputables a Cuentas de Costos y Gastos")</f>
        <v/>
      </c>
      <c r="E3834" s="20">
        <f>IF($C3834="","",IF(Registro_Compras!$F$429="NOTA DE CREDITO",ROUND(ABS(Registro_Compras!$J$429*Registro_Compras!$N$429),2),""))</f>
        <v/>
      </c>
      <c r="F3834" s="20">
        <f>IF($C3834="","",IF(Registro_Compras!$F$429="NOTA DE CREDITO","",IF(Registro_Compras!$F$429="RHE",ROUND(Registro_Compras!$L$429*Registro_Compras!$N$429,2),ROUND(Registro_Compras!$J$429*Registro_Compras!$N$429,2))))</f>
        <v/>
      </c>
      <c r="G3834">
        <f>IF($C3834="","","Por el destino del gasto")</f>
        <v/>
      </c>
      <c r="H3834">
        <f>IF($C3834="","",Registro_Compras!$C$429)</f>
        <v/>
      </c>
    </row>
    <row r="3835">
      <c r="A3835" s="25">
        <f>IF($C3835="","",Registro_Compras!$X$429)</f>
        <v/>
      </c>
      <c r="B3835">
        <f>IF($C3835="","","C"&amp;TEXT(INT((ROW()-5)/9)+1,"000")&amp;"-3")</f>
        <v/>
      </c>
      <c r="C3835">
        <f>IF(OR(Registro_Compras!$C$429="",Registro_Compras!$O$429="",Registro_Compras!$R$429&lt;&gt;"SI",Registro_Compras!$X$429=""),"","4212")</f>
        <v/>
      </c>
      <c r="D3835">
        <f>IF(OR(Registro_Compras!$C$429="",Registro_Compras!$O$429=""),"","Cuentas por Pagar Comerciales - Terceros")</f>
        <v/>
      </c>
      <c r="E3835" s="20">
        <f>IF($C3835="","",Registro_Compras!$S$429)</f>
        <v/>
      </c>
      <c r="F3835" s="20">
        <f>""</f>
        <v/>
      </c>
      <c r="G3835">
        <f>IF($C3835="","","Por el deposito de la detraccion en el Banco de la Nacion")</f>
        <v/>
      </c>
      <c r="H3835">
        <f>IF($C3835="","",Registro_Compras!$C$429)</f>
        <v/>
      </c>
    </row>
    <row r="3836">
      <c r="A3836" s="25">
        <f>IF($C3836="","",Registro_Compras!$X$429)</f>
        <v/>
      </c>
      <c r="B3836">
        <f>IF($C3836="","","C"&amp;TEXT(INT((ROW()-5)/9)+1,"000")&amp;"-3")</f>
        <v/>
      </c>
      <c r="C3836">
        <f>IF(OR(Registro_Compras!$C$429="",Registro_Compras!$O$429="",Registro_Compras!$R$429&lt;&gt;"SI",Registro_Compras!$X$429=""),"","10413")</f>
        <v/>
      </c>
      <c r="D3836">
        <f>IF(OR(Registro_Compras!$C$429="",Registro_Compras!$O$429=""),"","Efectivo y Equivalentes - Cta. Cte. Operativa")</f>
        <v/>
      </c>
      <c r="E3836" s="20">
        <f>""</f>
        <v/>
      </c>
      <c r="F3836" s="20">
        <f>IF($C3836="","",Registro_Compras!$S$429)</f>
        <v/>
      </c>
      <c r="G3836">
        <f>IF($C3836="","","Por el deposito de la detraccion en el Banco de la Nacion")</f>
        <v/>
      </c>
      <c r="H3836">
        <f>IF($C3836="","",Registro_Compras!$C$429)</f>
        <v/>
      </c>
    </row>
    <row r="3837">
      <c r="A3837" s="25">
        <f>IF($C3837="","",Registro_Compras!$Y$429)</f>
        <v/>
      </c>
      <c r="B3837">
        <f>IF($C3837="","","C"&amp;TEXT(INT((ROW()-5)/9)+1,"000")&amp;"-4")</f>
        <v/>
      </c>
      <c r="C3837">
        <f>IF(OR(Registro_Compras!$C$429="",Registro_Compras!$O$429="",Registro_Compras!$Y$429="",Registro_Compras!$F$429="NOTA DE CREDITO"),"","4212")</f>
        <v/>
      </c>
      <c r="D3837">
        <f>IF(OR(Registro_Compras!$C$429="",Registro_Compras!$O$429=""),"","Cuentas por Pagar Comerciales - Terceros")</f>
        <v/>
      </c>
      <c r="E3837" s="20">
        <f>IF($C3837="","",IF(Registro_Compras!$F$429="RHE",(ROUND(Registro_Compras!$L$429*Registro_Compras!$N$429,2)-ROUND(Registro_Compras!$V$429*Registro_Compras!$N$429,2)),ROUND(Registro_Compras!$O$429-Registro_Compras!$S$429,2)))</f>
        <v/>
      </c>
      <c r="F3837" s="20">
        <f>""</f>
        <v/>
      </c>
      <c r="G3837">
        <f>IF($C3837="","","Por la cancelacion del saldo al proveedor")</f>
        <v/>
      </c>
      <c r="H3837">
        <f>IF($C3837="","",Registro_Compras!$C$429)</f>
        <v/>
      </c>
    </row>
    <row r="3838">
      <c r="A3838" s="25">
        <f>IF($C3838="","",Registro_Compras!$Y$429)</f>
        <v/>
      </c>
      <c r="B3838">
        <f>IF($C3838="","","C"&amp;TEXT(INT((ROW()-5)/9)+1,"000")&amp;"-4")</f>
        <v/>
      </c>
      <c r="C3838">
        <f>IF(OR(Registro_Compras!$C$429="",Registro_Compras!$O$429="",Registro_Compras!$Y$429="",Registro_Compras!$F$429="NOTA DE CREDITO"),"","10413")</f>
        <v/>
      </c>
      <c r="D3838">
        <f>IF(OR(Registro_Compras!$C$429="",Registro_Compras!$O$429=""),"","Efectivo y Equivalentes - Cta. Cte. Operativa")</f>
        <v/>
      </c>
      <c r="E3838" s="20">
        <f>""</f>
        <v/>
      </c>
      <c r="F3838" s="20">
        <f>IF($C3838="","",IF(Registro_Compras!$F$429="RHE",(ROUND(Registro_Compras!$L$429*Registro_Compras!$N$429,2)-ROUND(Registro_Compras!$V$429*Registro_Compras!$N$429,2)),ROUND(Registro_Compras!$O$429-Registro_Compras!$S$429,2)))</f>
        <v/>
      </c>
      <c r="G3838">
        <f>IF($C3838="","","Por la cancelacion del saldo al proveedor")</f>
        <v/>
      </c>
      <c r="H3838">
        <f>IF($C3838="","",Registro_Compras!$C$429)</f>
        <v/>
      </c>
    </row>
    <row r="3839">
      <c r="A3839" s="25">
        <f>IF($C3839="","",Registro_Compras!$B$430)</f>
        <v/>
      </c>
      <c r="B3839">
        <f>IF($C3839="","","C"&amp;TEXT(INT((ROW()-5)/9)+1,"000")&amp;"-1")</f>
        <v/>
      </c>
      <c r="C3839">
        <f>IF(OR(Registro_Compras!$C$430="",Registro_Compras!$O$430=""),"",IF(Registro_Compras!$F$430="NOTA DE CREDITO","4212",IF(Registro_Compras!$M$430="","63",Registro_Compras!$M$430)))</f>
        <v/>
      </c>
      <c r="D3839">
        <f>IF(OR(Registro_Compras!$C$430="",Registro_Compras!$O$430=""),"",IF(Registro_Compras!$F$430="NOTA DE CREDITO","Cuentas por Pagar Comerciales - Terceros (Emitidas)",IF(Registro_Compras!$F$430="RHE","Honorarios Profesionales - Servicios de Terceros","Gastos de Servicios Prestados por Terceros")))</f>
        <v/>
      </c>
      <c r="E3839" s="20">
        <f>IF($C3839="","",IF(Registro_Compras!$F$430="NOTA DE CREDITO",ABS(Registro_Compras!$O$430),IF(Registro_Compras!$F$430="RHE",ROUND(Registro_Compras!$L$430*Registro_Compras!$N$430,2),ROUND(Registro_Compras!$J$430*Registro_Compras!$N$430,2))))</f>
        <v/>
      </c>
      <c r="F3839" s="20">
        <f>""</f>
        <v/>
      </c>
      <c r="G3839">
        <f>IF($C3839="","",IF(Registro_Compras!$F$430="NOTA DE CREDITO","Por la nota de credito "&amp;Registro_Compras!$C$430&amp;" de "&amp;Registro_Compras!$E$430&amp;" [PATRON POR CONFIRMAR CON CONTADOR]",IF(Registro_Compras!$F$430="RHE","Por el registro del recibo por honorarios "&amp;Registro_Compras!$C$430&amp;" de "&amp;Registro_Compras!$E$430&amp;" [PATRON POR CONFIRMAR CON CONTADOR]","Por el registro de la factura "&amp;Registro_Compras!$C$430&amp;" de "&amp;Registro_Compras!$E$430)))</f>
        <v/>
      </c>
      <c r="H3839">
        <f>IF($C3839="","",Registro_Compras!$C$430)</f>
        <v/>
      </c>
    </row>
    <row r="3840">
      <c r="A3840" s="25">
        <f>IF($C3840="","",Registro_Compras!$B$430)</f>
        <v/>
      </c>
      <c r="B3840">
        <f>IF($C3840="","","C"&amp;TEXT(INT((ROW()-5)/9)+1,"000")&amp;"-1")</f>
        <v/>
      </c>
      <c r="C3840">
        <f>IF(OR(Registro_Compras!$C$430="",Registro_Compras!$O$430=""),"",IF(Registro_Compras!$F$430="RHE",IF(Registro_Compras!$V$430=0,"","40172"),IF(Registro_Compras!$F$430="NOTA DE CREDITO",IF(Registro_Compras!$M$430="","63",Registro_Compras!$M$430),IF(Registro_Compras!$K$430=0,"","40111"))))</f>
        <v/>
      </c>
      <c r="D3840">
        <f>IF(OR(Registro_Compras!$C$430="",Registro_Compras!$O$430=""),"",IF(Registro_Compras!$F$430="RHE","Retencion Renta 4ta Categoria por Pagar",IF(Registro_Compras!$F$430="NOTA DE CREDITO","Gastos de Servicios Prestados por Terceros","IGV - Cuenta Propia (Credito Fiscal)")))</f>
        <v/>
      </c>
      <c r="E3840" s="20">
        <f>IF($C3840="","",IF(Registro_Compras!$F$430="FACTURA",ROUND(Registro_Compras!$K$430*Registro_Compras!$N$430,2),""))</f>
        <v/>
      </c>
      <c r="F3840" s="20">
        <f>IF($C3840="","",IF(Registro_Compras!$F$430="RHE",ROUND(Registro_Compras!$V$430*Registro_Compras!$N$430,2),IF(Registro_Compras!$F$430="NOTA DE CREDITO",ROUND(ABS(Registro_Compras!$J$430*Registro_Compras!$N$430),2),"")))</f>
        <v/>
      </c>
      <c r="G3840">
        <f>IF($C3840="","",IF(Registro_Compras!$F$430="NOTA DE CREDITO","Por la nota de credito "&amp;Registro_Compras!$C$430&amp;" de "&amp;Registro_Compras!$E$430&amp;" [PATRON POR CONFIRMAR CON CONTADOR]",IF(Registro_Compras!$F$430="RHE","Por el registro del recibo por honorarios "&amp;Registro_Compras!$C$430&amp;" de "&amp;Registro_Compras!$E$430&amp;" [PATRON POR CONFIRMAR CON CONTADOR]","Por el registro de la factura "&amp;Registro_Compras!$C$430&amp;" de "&amp;Registro_Compras!$E$430)))</f>
        <v/>
      </c>
      <c r="H3840">
        <f>IF($C3840="","",Registro_Compras!$C$430)</f>
        <v/>
      </c>
    </row>
    <row r="3841">
      <c r="A3841" s="25">
        <f>IF($C3841="","",Registro_Compras!$B$430)</f>
        <v/>
      </c>
      <c r="B3841">
        <f>IF($C3841="","","C"&amp;TEXT(INT((ROW()-5)/9)+1,"000")&amp;"-1")</f>
        <v/>
      </c>
      <c r="C3841">
        <f>IF(OR(Registro_Compras!$C$430="",Registro_Compras!$O$430=""),"",IF(Registro_Compras!$F$430="NOTA DE CREDITO",IF(Registro_Compras!$K$430=0,"","40111"),"4212"))</f>
        <v/>
      </c>
      <c r="D3841">
        <f>IF(OR(Registro_Compras!$C$430="",Registro_Compras!$O$430=""),"",IF(Registro_Compras!$F$430="NOTA DE CREDITO","IGV - Cuenta Propia (Credito Fiscal)","Cuentas por Pagar Comerciales - Terceros (Emitidas)"))</f>
        <v/>
      </c>
      <c r="E3841" s="20">
        <f>""</f>
        <v/>
      </c>
      <c r="F3841" s="20">
        <f>IF($C3841="","",IF(Registro_Compras!$F$430="NOTA DE CREDITO",ROUND(ABS(Registro_Compras!$K$430*Registro_Compras!$N$430),2),IF(Registro_Compras!$F$430="RHE",(ROUND(Registro_Compras!$L$430*Registro_Compras!$N$430,2)-ROUND(Registro_Compras!$V$430*Registro_Compras!$N$430,2)),Registro_Compras!$O$430)))</f>
        <v/>
      </c>
      <c r="G3841">
        <f>IF($C3841="","",IF(Registro_Compras!$F$430="NOTA DE CREDITO","Por la nota de credito "&amp;Registro_Compras!$C$430&amp;" de "&amp;Registro_Compras!$E$430&amp;" [PATRON POR CONFIRMAR CON CONTADOR]",IF(Registro_Compras!$F$430="RHE","Por el registro del recibo por honorarios "&amp;Registro_Compras!$C$430&amp;" de "&amp;Registro_Compras!$E$430&amp;" [PATRON POR CONFIRMAR CON CONTADOR]","Por el registro de la factura "&amp;Registro_Compras!$C$430&amp;" de "&amp;Registro_Compras!$E$430)))</f>
        <v/>
      </c>
      <c r="H3841">
        <f>IF($C3841="","",Registro_Compras!$C$430)</f>
        <v/>
      </c>
    </row>
    <row r="3842">
      <c r="A3842" s="25">
        <f>IF($C3842="","",Registro_Compras!$B$430)</f>
        <v/>
      </c>
      <c r="B3842">
        <f>IF($C3842="","","C"&amp;TEXT(INT((ROW()-5)/9)+1,"000")&amp;"-2")</f>
        <v/>
      </c>
      <c r="C3842">
        <f>IF(OR(Registro_Compras!$C$430="",Registro_Compras!$O$430=""),"",IF(Registro_Compras!$AB$430="ADMINISTRATIVO","94","95"))</f>
        <v/>
      </c>
      <c r="D3842">
        <f>IF(OR(Registro_Compras!$C$430="",Registro_Compras!$O$430=""),"",IF(Registro_Compras!$AB$430="ADMINISTRATIVO","Gastos Administrativos","Gastos de Venta y Operacion"))</f>
        <v/>
      </c>
      <c r="E3842" s="20">
        <f>IF($C3842="","",IF(Registro_Compras!$F$430="NOTA DE CREDITO","",IF(Registro_Compras!$F$430="RHE",ROUND(Registro_Compras!$L$430*Registro_Compras!$N$430,2),ROUND(Registro_Compras!$J$430*Registro_Compras!$N$430,2))))</f>
        <v/>
      </c>
      <c r="F3842" s="20">
        <f>IF($C3842="","",IF(Registro_Compras!$F$430="NOTA DE CREDITO",ROUND(ABS(Registro_Compras!$J$430*Registro_Compras!$N$430),2),""))</f>
        <v/>
      </c>
      <c r="G3842">
        <f>IF($C3842="","","Por el destino del gasto")</f>
        <v/>
      </c>
      <c r="H3842">
        <f>IF($C3842="","",Registro_Compras!$C$430)</f>
        <v/>
      </c>
    </row>
    <row r="3843">
      <c r="A3843" s="25">
        <f>IF($C3843="","",Registro_Compras!$B$430)</f>
        <v/>
      </c>
      <c r="B3843">
        <f>IF($C3843="","","C"&amp;TEXT(INT((ROW()-5)/9)+1,"000")&amp;"-2")</f>
        <v/>
      </c>
      <c r="C3843">
        <f>IF(OR(Registro_Compras!$C$430="",Registro_Compras!$O$430=""),"","79/791")</f>
        <v/>
      </c>
      <c r="D3843">
        <f>IF(OR(Registro_Compras!$C$430="",Registro_Compras!$O$430=""),"","Cargas Imputables a Cuentas de Costos y Gastos")</f>
        <v/>
      </c>
      <c r="E3843" s="20">
        <f>IF($C3843="","",IF(Registro_Compras!$F$430="NOTA DE CREDITO",ROUND(ABS(Registro_Compras!$J$430*Registro_Compras!$N$430),2),""))</f>
        <v/>
      </c>
      <c r="F3843" s="20">
        <f>IF($C3843="","",IF(Registro_Compras!$F$430="NOTA DE CREDITO","",IF(Registro_Compras!$F$430="RHE",ROUND(Registro_Compras!$L$430*Registro_Compras!$N$430,2),ROUND(Registro_Compras!$J$430*Registro_Compras!$N$430,2))))</f>
        <v/>
      </c>
      <c r="G3843">
        <f>IF($C3843="","","Por el destino del gasto")</f>
        <v/>
      </c>
      <c r="H3843">
        <f>IF($C3843="","",Registro_Compras!$C$430)</f>
        <v/>
      </c>
    </row>
    <row r="3844">
      <c r="A3844" s="25">
        <f>IF($C3844="","",Registro_Compras!$X$430)</f>
        <v/>
      </c>
      <c r="B3844">
        <f>IF($C3844="","","C"&amp;TEXT(INT((ROW()-5)/9)+1,"000")&amp;"-3")</f>
        <v/>
      </c>
      <c r="C3844">
        <f>IF(OR(Registro_Compras!$C$430="",Registro_Compras!$O$430="",Registro_Compras!$R$430&lt;&gt;"SI",Registro_Compras!$X$430=""),"","4212")</f>
        <v/>
      </c>
      <c r="D3844">
        <f>IF(OR(Registro_Compras!$C$430="",Registro_Compras!$O$430=""),"","Cuentas por Pagar Comerciales - Terceros")</f>
        <v/>
      </c>
      <c r="E3844" s="20">
        <f>IF($C3844="","",Registro_Compras!$S$430)</f>
        <v/>
      </c>
      <c r="F3844" s="20">
        <f>""</f>
        <v/>
      </c>
      <c r="G3844">
        <f>IF($C3844="","","Por el deposito de la detraccion en el Banco de la Nacion")</f>
        <v/>
      </c>
      <c r="H3844">
        <f>IF($C3844="","",Registro_Compras!$C$430)</f>
        <v/>
      </c>
    </row>
    <row r="3845">
      <c r="A3845" s="25">
        <f>IF($C3845="","",Registro_Compras!$X$430)</f>
        <v/>
      </c>
      <c r="B3845">
        <f>IF($C3845="","","C"&amp;TEXT(INT((ROW()-5)/9)+1,"000")&amp;"-3")</f>
        <v/>
      </c>
      <c r="C3845">
        <f>IF(OR(Registro_Compras!$C$430="",Registro_Compras!$O$430="",Registro_Compras!$R$430&lt;&gt;"SI",Registro_Compras!$X$430=""),"","10413")</f>
        <v/>
      </c>
      <c r="D3845">
        <f>IF(OR(Registro_Compras!$C$430="",Registro_Compras!$O$430=""),"","Efectivo y Equivalentes - Cta. Cte. Operativa")</f>
        <v/>
      </c>
      <c r="E3845" s="20">
        <f>""</f>
        <v/>
      </c>
      <c r="F3845" s="20">
        <f>IF($C3845="","",Registro_Compras!$S$430)</f>
        <v/>
      </c>
      <c r="G3845">
        <f>IF($C3845="","","Por el deposito de la detraccion en el Banco de la Nacion")</f>
        <v/>
      </c>
      <c r="H3845">
        <f>IF($C3845="","",Registro_Compras!$C$430)</f>
        <v/>
      </c>
    </row>
    <row r="3846">
      <c r="A3846" s="25">
        <f>IF($C3846="","",Registro_Compras!$Y$430)</f>
        <v/>
      </c>
      <c r="B3846">
        <f>IF($C3846="","","C"&amp;TEXT(INT((ROW()-5)/9)+1,"000")&amp;"-4")</f>
        <v/>
      </c>
      <c r="C3846">
        <f>IF(OR(Registro_Compras!$C$430="",Registro_Compras!$O$430="",Registro_Compras!$Y$430="",Registro_Compras!$F$430="NOTA DE CREDITO"),"","4212")</f>
        <v/>
      </c>
      <c r="D3846">
        <f>IF(OR(Registro_Compras!$C$430="",Registro_Compras!$O$430=""),"","Cuentas por Pagar Comerciales - Terceros")</f>
        <v/>
      </c>
      <c r="E3846" s="20">
        <f>IF($C3846="","",IF(Registro_Compras!$F$430="RHE",(ROUND(Registro_Compras!$L$430*Registro_Compras!$N$430,2)-ROUND(Registro_Compras!$V$430*Registro_Compras!$N$430,2)),ROUND(Registro_Compras!$O$430-Registro_Compras!$S$430,2)))</f>
        <v/>
      </c>
      <c r="F3846" s="20">
        <f>""</f>
        <v/>
      </c>
      <c r="G3846">
        <f>IF($C3846="","","Por la cancelacion del saldo al proveedor")</f>
        <v/>
      </c>
      <c r="H3846">
        <f>IF($C3846="","",Registro_Compras!$C$430)</f>
        <v/>
      </c>
    </row>
    <row r="3847">
      <c r="A3847" s="25">
        <f>IF($C3847="","",Registro_Compras!$Y$430)</f>
        <v/>
      </c>
      <c r="B3847">
        <f>IF($C3847="","","C"&amp;TEXT(INT((ROW()-5)/9)+1,"000")&amp;"-4")</f>
        <v/>
      </c>
      <c r="C3847">
        <f>IF(OR(Registro_Compras!$C$430="",Registro_Compras!$O$430="",Registro_Compras!$Y$430="",Registro_Compras!$F$430="NOTA DE CREDITO"),"","10413")</f>
        <v/>
      </c>
      <c r="D3847">
        <f>IF(OR(Registro_Compras!$C$430="",Registro_Compras!$O$430=""),"","Efectivo y Equivalentes - Cta. Cte. Operativa")</f>
        <v/>
      </c>
      <c r="E3847" s="20">
        <f>""</f>
        <v/>
      </c>
      <c r="F3847" s="20">
        <f>IF($C3847="","",IF(Registro_Compras!$F$430="RHE",(ROUND(Registro_Compras!$L$430*Registro_Compras!$N$430,2)-ROUND(Registro_Compras!$V$430*Registro_Compras!$N$430,2)),ROUND(Registro_Compras!$O$430-Registro_Compras!$S$430,2)))</f>
        <v/>
      </c>
      <c r="G3847">
        <f>IF($C3847="","","Por la cancelacion del saldo al proveedor")</f>
        <v/>
      </c>
      <c r="H3847">
        <f>IF($C3847="","",Registro_Compras!$C$430)</f>
        <v/>
      </c>
    </row>
    <row r="3848">
      <c r="A3848" s="25">
        <f>IF($C3848="","",Registro_Compras!$B$431)</f>
        <v/>
      </c>
      <c r="B3848">
        <f>IF($C3848="","","C"&amp;TEXT(INT((ROW()-5)/9)+1,"000")&amp;"-1")</f>
        <v/>
      </c>
      <c r="C3848">
        <f>IF(OR(Registro_Compras!$C$431="",Registro_Compras!$O$431=""),"",IF(Registro_Compras!$F$431="NOTA DE CREDITO","4212",IF(Registro_Compras!$M$431="","63",Registro_Compras!$M$431)))</f>
        <v/>
      </c>
      <c r="D3848">
        <f>IF(OR(Registro_Compras!$C$431="",Registro_Compras!$O$431=""),"",IF(Registro_Compras!$F$431="NOTA DE CREDITO","Cuentas por Pagar Comerciales - Terceros (Emitidas)",IF(Registro_Compras!$F$431="RHE","Honorarios Profesionales - Servicios de Terceros","Gastos de Servicios Prestados por Terceros")))</f>
        <v/>
      </c>
      <c r="E3848" s="20">
        <f>IF($C3848="","",IF(Registro_Compras!$F$431="NOTA DE CREDITO",ABS(Registro_Compras!$O$431),IF(Registro_Compras!$F$431="RHE",ROUND(Registro_Compras!$L$431*Registro_Compras!$N$431,2),ROUND(Registro_Compras!$J$431*Registro_Compras!$N$431,2))))</f>
        <v/>
      </c>
      <c r="F3848" s="20">
        <f>""</f>
        <v/>
      </c>
      <c r="G3848">
        <f>IF($C3848="","",IF(Registro_Compras!$F$431="NOTA DE CREDITO","Por la nota de credito "&amp;Registro_Compras!$C$431&amp;" de "&amp;Registro_Compras!$E$431&amp;" [PATRON POR CONFIRMAR CON CONTADOR]",IF(Registro_Compras!$F$431="RHE","Por el registro del recibo por honorarios "&amp;Registro_Compras!$C$431&amp;" de "&amp;Registro_Compras!$E$431&amp;" [PATRON POR CONFIRMAR CON CONTADOR]","Por el registro de la factura "&amp;Registro_Compras!$C$431&amp;" de "&amp;Registro_Compras!$E$431)))</f>
        <v/>
      </c>
      <c r="H3848">
        <f>IF($C3848="","",Registro_Compras!$C$431)</f>
        <v/>
      </c>
    </row>
    <row r="3849">
      <c r="A3849" s="25">
        <f>IF($C3849="","",Registro_Compras!$B$431)</f>
        <v/>
      </c>
      <c r="B3849">
        <f>IF($C3849="","","C"&amp;TEXT(INT((ROW()-5)/9)+1,"000")&amp;"-1")</f>
        <v/>
      </c>
      <c r="C3849">
        <f>IF(OR(Registro_Compras!$C$431="",Registro_Compras!$O$431=""),"",IF(Registro_Compras!$F$431="RHE",IF(Registro_Compras!$V$431=0,"","40172"),IF(Registro_Compras!$F$431="NOTA DE CREDITO",IF(Registro_Compras!$M$431="","63",Registro_Compras!$M$431),IF(Registro_Compras!$K$431=0,"","40111"))))</f>
        <v/>
      </c>
      <c r="D3849">
        <f>IF(OR(Registro_Compras!$C$431="",Registro_Compras!$O$431=""),"",IF(Registro_Compras!$F$431="RHE","Retencion Renta 4ta Categoria por Pagar",IF(Registro_Compras!$F$431="NOTA DE CREDITO","Gastos de Servicios Prestados por Terceros","IGV - Cuenta Propia (Credito Fiscal)")))</f>
        <v/>
      </c>
      <c r="E3849" s="20">
        <f>IF($C3849="","",IF(Registro_Compras!$F$431="FACTURA",ROUND(Registro_Compras!$K$431*Registro_Compras!$N$431,2),""))</f>
        <v/>
      </c>
      <c r="F3849" s="20">
        <f>IF($C3849="","",IF(Registro_Compras!$F$431="RHE",ROUND(Registro_Compras!$V$431*Registro_Compras!$N$431,2),IF(Registro_Compras!$F$431="NOTA DE CREDITO",ROUND(ABS(Registro_Compras!$J$431*Registro_Compras!$N$431),2),"")))</f>
        <v/>
      </c>
      <c r="G3849">
        <f>IF($C3849="","",IF(Registro_Compras!$F$431="NOTA DE CREDITO","Por la nota de credito "&amp;Registro_Compras!$C$431&amp;" de "&amp;Registro_Compras!$E$431&amp;" [PATRON POR CONFIRMAR CON CONTADOR]",IF(Registro_Compras!$F$431="RHE","Por el registro del recibo por honorarios "&amp;Registro_Compras!$C$431&amp;" de "&amp;Registro_Compras!$E$431&amp;" [PATRON POR CONFIRMAR CON CONTADOR]","Por el registro de la factura "&amp;Registro_Compras!$C$431&amp;" de "&amp;Registro_Compras!$E$431)))</f>
        <v/>
      </c>
      <c r="H3849">
        <f>IF($C3849="","",Registro_Compras!$C$431)</f>
        <v/>
      </c>
    </row>
    <row r="3850">
      <c r="A3850" s="25">
        <f>IF($C3850="","",Registro_Compras!$B$431)</f>
        <v/>
      </c>
      <c r="B3850">
        <f>IF($C3850="","","C"&amp;TEXT(INT((ROW()-5)/9)+1,"000")&amp;"-1")</f>
        <v/>
      </c>
      <c r="C3850">
        <f>IF(OR(Registro_Compras!$C$431="",Registro_Compras!$O$431=""),"",IF(Registro_Compras!$F$431="NOTA DE CREDITO",IF(Registro_Compras!$K$431=0,"","40111"),"4212"))</f>
        <v/>
      </c>
      <c r="D3850">
        <f>IF(OR(Registro_Compras!$C$431="",Registro_Compras!$O$431=""),"",IF(Registro_Compras!$F$431="NOTA DE CREDITO","IGV - Cuenta Propia (Credito Fiscal)","Cuentas por Pagar Comerciales - Terceros (Emitidas)"))</f>
        <v/>
      </c>
      <c r="E3850" s="20">
        <f>""</f>
        <v/>
      </c>
      <c r="F3850" s="20">
        <f>IF($C3850="","",IF(Registro_Compras!$F$431="NOTA DE CREDITO",ROUND(ABS(Registro_Compras!$K$431*Registro_Compras!$N$431),2),IF(Registro_Compras!$F$431="RHE",(ROUND(Registro_Compras!$L$431*Registro_Compras!$N$431,2)-ROUND(Registro_Compras!$V$431*Registro_Compras!$N$431,2)),Registro_Compras!$O$431)))</f>
        <v/>
      </c>
      <c r="G3850">
        <f>IF($C3850="","",IF(Registro_Compras!$F$431="NOTA DE CREDITO","Por la nota de credito "&amp;Registro_Compras!$C$431&amp;" de "&amp;Registro_Compras!$E$431&amp;" [PATRON POR CONFIRMAR CON CONTADOR]",IF(Registro_Compras!$F$431="RHE","Por el registro del recibo por honorarios "&amp;Registro_Compras!$C$431&amp;" de "&amp;Registro_Compras!$E$431&amp;" [PATRON POR CONFIRMAR CON CONTADOR]","Por el registro de la factura "&amp;Registro_Compras!$C$431&amp;" de "&amp;Registro_Compras!$E$431)))</f>
        <v/>
      </c>
      <c r="H3850">
        <f>IF($C3850="","",Registro_Compras!$C$431)</f>
        <v/>
      </c>
    </row>
    <row r="3851">
      <c r="A3851" s="25">
        <f>IF($C3851="","",Registro_Compras!$B$431)</f>
        <v/>
      </c>
      <c r="B3851">
        <f>IF($C3851="","","C"&amp;TEXT(INT((ROW()-5)/9)+1,"000")&amp;"-2")</f>
        <v/>
      </c>
      <c r="C3851">
        <f>IF(OR(Registro_Compras!$C$431="",Registro_Compras!$O$431=""),"",IF(Registro_Compras!$AB$431="ADMINISTRATIVO","94","95"))</f>
        <v/>
      </c>
      <c r="D3851">
        <f>IF(OR(Registro_Compras!$C$431="",Registro_Compras!$O$431=""),"",IF(Registro_Compras!$AB$431="ADMINISTRATIVO","Gastos Administrativos","Gastos de Venta y Operacion"))</f>
        <v/>
      </c>
      <c r="E3851" s="20">
        <f>IF($C3851="","",IF(Registro_Compras!$F$431="NOTA DE CREDITO","",IF(Registro_Compras!$F$431="RHE",ROUND(Registro_Compras!$L$431*Registro_Compras!$N$431,2),ROUND(Registro_Compras!$J$431*Registro_Compras!$N$431,2))))</f>
        <v/>
      </c>
      <c r="F3851" s="20">
        <f>IF($C3851="","",IF(Registro_Compras!$F$431="NOTA DE CREDITO",ROUND(ABS(Registro_Compras!$J$431*Registro_Compras!$N$431),2),""))</f>
        <v/>
      </c>
      <c r="G3851">
        <f>IF($C3851="","","Por el destino del gasto")</f>
        <v/>
      </c>
      <c r="H3851">
        <f>IF($C3851="","",Registro_Compras!$C$431)</f>
        <v/>
      </c>
    </row>
    <row r="3852">
      <c r="A3852" s="25">
        <f>IF($C3852="","",Registro_Compras!$B$431)</f>
        <v/>
      </c>
      <c r="B3852">
        <f>IF($C3852="","","C"&amp;TEXT(INT((ROW()-5)/9)+1,"000")&amp;"-2")</f>
        <v/>
      </c>
      <c r="C3852">
        <f>IF(OR(Registro_Compras!$C$431="",Registro_Compras!$O$431=""),"","79/791")</f>
        <v/>
      </c>
      <c r="D3852">
        <f>IF(OR(Registro_Compras!$C$431="",Registro_Compras!$O$431=""),"","Cargas Imputables a Cuentas de Costos y Gastos")</f>
        <v/>
      </c>
      <c r="E3852" s="20">
        <f>IF($C3852="","",IF(Registro_Compras!$F$431="NOTA DE CREDITO",ROUND(ABS(Registro_Compras!$J$431*Registro_Compras!$N$431),2),""))</f>
        <v/>
      </c>
      <c r="F3852" s="20">
        <f>IF($C3852="","",IF(Registro_Compras!$F$431="NOTA DE CREDITO","",IF(Registro_Compras!$F$431="RHE",ROUND(Registro_Compras!$L$431*Registro_Compras!$N$431,2),ROUND(Registro_Compras!$J$431*Registro_Compras!$N$431,2))))</f>
        <v/>
      </c>
      <c r="G3852">
        <f>IF($C3852="","","Por el destino del gasto")</f>
        <v/>
      </c>
      <c r="H3852">
        <f>IF($C3852="","",Registro_Compras!$C$431)</f>
        <v/>
      </c>
    </row>
    <row r="3853">
      <c r="A3853" s="25">
        <f>IF($C3853="","",Registro_Compras!$X$431)</f>
        <v/>
      </c>
      <c r="B3853">
        <f>IF($C3853="","","C"&amp;TEXT(INT((ROW()-5)/9)+1,"000")&amp;"-3")</f>
        <v/>
      </c>
      <c r="C3853">
        <f>IF(OR(Registro_Compras!$C$431="",Registro_Compras!$O$431="",Registro_Compras!$R$431&lt;&gt;"SI",Registro_Compras!$X$431=""),"","4212")</f>
        <v/>
      </c>
      <c r="D3853">
        <f>IF(OR(Registro_Compras!$C$431="",Registro_Compras!$O$431=""),"","Cuentas por Pagar Comerciales - Terceros")</f>
        <v/>
      </c>
      <c r="E3853" s="20">
        <f>IF($C3853="","",Registro_Compras!$S$431)</f>
        <v/>
      </c>
      <c r="F3853" s="20">
        <f>""</f>
        <v/>
      </c>
      <c r="G3853">
        <f>IF($C3853="","","Por el deposito de la detraccion en el Banco de la Nacion")</f>
        <v/>
      </c>
      <c r="H3853">
        <f>IF($C3853="","",Registro_Compras!$C$431)</f>
        <v/>
      </c>
    </row>
    <row r="3854">
      <c r="A3854" s="25">
        <f>IF($C3854="","",Registro_Compras!$X$431)</f>
        <v/>
      </c>
      <c r="B3854">
        <f>IF($C3854="","","C"&amp;TEXT(INT((ROW()-5)/9)+1,"000")&amp;"-3")</f>
        <v/>
      </c>
      <c r="C3854">
        <f>IF(OR(Registro_Compras!$C$431="",Registro_Compras!$O$431="",Registro_Compras!$R$431&lt;&gt;"SI",Registro_Compras!$X$431=""),"","10413")</f>
        <v/>
      </c>
      <c r="D3854">
        <f>IF(OR(Registro_Compras!$C$431="",Registro_Compras!$O$431=""),"","Efectivo y Equivalentes - Cta. Cte. Operativa")</f>
        <v/>
      </c>
      <c r="E3854" s="20">
        <f>""</f>
        <v/>
      </c>
      <c r="F3854" s="20">
        <f>IF($C3854="","",Registro_Compras!$S$431)</f>
        <v/>
      </c>
      <c r="G3854">
        <f>IF($C3854="","","Por el deposito de la detraccion en el Banco de la Nacion")</f>
        <v/>
      </c>
      <c r="H3854">
        <f>IF($C3854="","",Registro_Compras!$C$431)</f>
        <v/>
      </c>
    </row>
    <row r="3855">
      <c r="A3855" s="25">
        <f>IF($C3855="","",Registro_Compras!$Y$431)</f>
        <v/>
      </c>
      <c r="B3855">
        <f>IF($C3855="","","C"&amp;TEXT(INT((ROW()-5)/9)+1,"000")&amp;"-4")</f>
        <v/>
      </c>
      <c r="C3855">
        <f>IF(OR(Registro_Compras!$C$431="",Registro_Compras!$O$431="",Registro_Compras!$Y$431="",Registro_Compras!$F$431="NOTA DE CREDITO"),"","4212")</f>
        <v/>
      </c>
      <c r="D3855">
        <f>IF(OR(Registro_Compras!$C$431="",Registro_Compras!$O$431=""),"","Cuentas por Pagar Comerciales - Terceros")</f>
        <v/>
      </c>
      <c r="E3855" s="20">
        <f>IF($C3855="","",IF(Registro_Compras!$F$431="RHE",(ROUND(Registro_Compras!$L$431*Registro_Compras!$N$431,2)-ROUND(Registro_Compras!$V$431*Registro_Compras!$N$431,2)),ROUND(Registro_Compras!$O$431-Registro_Compras!$S$431,2)))</f>
        <v/>
      </c>
      <c r="F3855" s="20">
        <f>""</f>
        <v/>
      </c>
      <c r="G3855">
        <f>IF($C3855="","","Por la cancelacion del saldo al proveedor")</f>
        <v/>
      </c>
      <c r="H3855">
        <f>IF($C3855="","",Registro_Compras!$C$431)</f>
        <v/>
      </c>
    </row>
    <row r="3856">
      <c r="A3856" s="25">
        <f>IF($C3856="","",Registro_Compras!$Y$431)</f>
        <v/>
      </c>
      <c r="B3856">
        <f>IF($C3856="","","C"&amp;TEXT(INT((ROW()-5)/9)+1,"000")&amp;"-4")</f>
        <v/>
      </c>
      <c r="C3856">
        <f>IF(OR(Registro_Compras!$C$431="",Registro_Compras!$O$431="",Registro_Compras!$Y$431="",Registro_Compras!$F$431="NOTA DE CREDITO"),"","10413")</f>
        <v/>
      </c>
      <c r="D3856">
        <f>IF(OR(Registro_Compras!$C$431="",Registro_Compras!$O$431=""),"","Efectivo y Equivalentes - Cta. Cte. Operativa")</f>
        <v/>
      </c>
      <c r="E3856" s="20">
        <f>""</f>
        <v/>
      </c>
      <c r="F3856" s="20">
        <f>IF($C3856="","",IF(Registro_Compras!$F$431="RHE",(ROUND(Registro_Compras!$L$431*Registro_Compras!$N$431,2)-ROUND(Registro_Compras!$V$431*Registro_Compras!$N$431,2)),ROUND(Registro_Compras!$O$431-Registro_Compras!$S$431,2)))</f>
        <v/>
      </c>
      <c r="G3856">
        <f>IF($C3856="","","Por la cancelacion del saldo al proveedor")</f>
        <v/>
      </c>
      <c r="H3856">
        <f>IF($C3856="","",Registro_Compras!$C$431)</f>
        <v/>
      </c>
    </row>
    <row r="3857">
      <c r="A3857" s="25">
        <f>IF($C3857="","",Registro_Compras!$B$432)</f>
        <v/>
      </c>
      <c r="B3857">
        <f>IF($C3857="","","C"&amp;TEXT(INT((ROW()-5)/9)+1,"000")&amp;"-1")</f>
        <v/>
      </c>
      <c r="C3857">
        <f>IF(OR(Registro_Compras!$C$432="",Registro_Compras!$O$432=""),"",IF(Registro_Compras!$F$432="NOTA DE CREDITO","4212",IF(Registro_Compras!$M$432="","63",Registro_Compras!$M$432)))</f>
        <v/>
      </c>
      <c r="D3857">
        <f>IF(OR(Registro_Compras!$C$432="",Registro_Compras!$O$432=""),"",IF(Registro_Compras!$F$432="NOTA DE CREDITO","Cuentas por Pagar Comerciales - Terceros (Emitidas)",IF(Registro_Compras!$F$432="RHE","Honorarios Profesionales - Servicios de Terceros","Gastos de Servicios Prestados por Terceros")))</f>
        <v/>
      </c>
      <c r="E3857" s="20">
        <f>IF($C3857="","",IF(Registro_Compras!$F$432="NOTA DE CREDITO",ABS(Registro_Compras!$O$432),IF(Registro_Compras!$F$432="RHE",ROUND(Registro_Compras!$L$432*Registro_Compras!$N$432,2),ROUND(Registro_Compras!$J$432*Registro_Compras!$N$432,2))))</f>
        <v/>
      </c>
      <c r="F3857" s="20">
        <f>""</f>
        <v/>
      </c>
      <c r="G3857">
        <f>IF($C3857="","",IF(Registro_Compras!$F$432="NOTA DE CREDITO","Por la nota de credito "&amp;Registro_Compras!$C$432&amp;" de "&amp;Registro_Compras!$E$432&amp;" [PATRON POR CONFIRMAR CON CONTADOR]",IF(Registro_Compras!$F$432="RHE","Por el registro del recibo por honorarios "&amp;Registro_Compras!$C$432&amp;" de "&amp;Registro_Compras!$E$432&amp;" [PATRON POR CONFIRMAR CON CONTADOR]","Por el registro de la factura "&amp;Registro_Compras!$C$432&amp;" de "&amp;Registro_Compras!$E$432)))</f>
        <v/>
      </c>
      <c r="H3857">
        <f>IF($C3857="","",Registro_Compras!$C$432)</f>
        <v/>
      </c>
    </row>
    <row r="3858">
      <c r="A3858" s="25">
        <f>IF($C3858="","",Registro_Compras!$B$432)</f>
        <v/>
      </c>
      <c r="B3858">
        <f>IF($C3858="","","C"&amp;TEXT(INT((ROW()-5)/9)+1,"000")&amp;"-1")</f>
        <v/>
      </c>
      <c r="C3858">
        <f>IF(OR(Registro_Compras!$C$432="",Registro_Compras!$O$432=""),"",IF(Registro_Compras!$F$432="RHE",IF(Registro_Compras!$V$432=0,"","40172"),IF(Registro_Compras!$F$432="NOTA DE CREDITO",IF(Registro_Compras!$M$432="","63",Registro_Compras!$M$432),IF(Registro_Compras!$K$432=0,"","40111"))))</f>
        <v/>
      </c>
      <c r="D3858">
        <f>IF(OR(Registro_Compras!$C$432="",Registro_Compras!$O$432=""),"",IF(Registro_Compras!$F$432="RHE","Retencion Renta 4ta Categoria por Pagar",IF(Registro_Compras!$F$432="NOTA DE CREDITO","Gastos de Servicios Prestados por Terceros","IGV - Cuenta Propia (Credito Fiscal)")))</f>
        <v/>
      </c>
      <c r="E3858" s="20">
        <f>IF($C3858="","",IF(Registro_Compras!$F$432="FACTURA",ROUND(Registro_Compras!$K$432*Registro_Compras!$N$432,2),""))</f>
        <v/>
      </c>
      <c r="F3858" s="20">
        <f>IF($C3858="","",IF(Registro_Compras!$F$432="RHE",ROUND(Registro_Compras!$V$432*Registro_Compras!$N$432,2),IF(Registro_Compras!$F$432="NOTA DE CREDITO",ROUND(ABS(Registro_Compras!$J$432*Registro_Compras!$N$432),2),"")))</f>
        <v/>
      </c>
      <c r="G3858">
        <f>IF($C3858="","",IF(Registro_Compras!$F$432="NOTA DE CREDITO","Por la nota de credito "&amp;Registro_Compras!$C$432&amp;" de "&amp;Registro_Compras!$E$432&amp;" [PATRON POR CONFIRMAR CON CONTADOR]",IF(Registro_Compras!$F$432="RHE","Por el registro del recibo por honorarios "&amp;Registro_Compras!$C$432&amp;" de "&amp;Registro_Compras!$E$432&amp;" [PATRON POR CONFIRMAR CON CONTADOR]","Por el registro de la factura "&amp;Registro_Compras!$C$432&amp;" de "&amp;Registro_Compras!$E$432)))</f>
        <v/>
      </c>
      <c r="H3858">
        <f>IF($C3858="","",Registro_Compras!$C$432)</f>
        <v/>
      </c>
    </row>
    <row r="3859">
      <c r="A3859" s="25">
        <f>IF($C3859="","",Registro_Compras!$B$432)</f>
        <v/>
      </c>
      <c r="B3859">
        <f>IF($C3859="","","C"&amp;TEXT(INT((ROW()-5)/9)+1,"000")&amp;"-1")</f>
        <v/>
      </c>
      <c r="C3859">
        <f>IF(OR(Registro_Compras!$C$432="",Registro_Compras!$O$432=""),"",IF(Registro_Compras!$F$432="NOTA DE CREDITO",IF(Registro_Compras!$K$432=0,"","40111"),"4212"))</f>
        <v/>
      </c>
      <c r="D3859">
        <f>IF(OR(Registro_Compras!$C$432="",Registro_Compras!$O$432=""),"",IF(Registro_Compras!$F$432="NOTA DE CREDITO","IGV - Cuenta Propia (Credito Fiscal)","Cuentas por Pagar Comerciales - Terceros (Emitidas)"))</f>
        <v/>
      </c>
      <c r="E3859" s="20">
        <f>""</f>
        <v/>
      </c>
      <c r="F3859" s="20">
        <f>IF($C3859="","",IF(Registro_Compras!$F$432="NOTA DE CREDITO",ROUND(ABS(Registro_Compras!$K$432*Registro_Compras!$N$432),2),IF(Registro_Compras!$F$432="RHE",(ROUND(Registro_Compras!$L$432*Registro_Compras!$N$432,2)-ROUND(Registro_Compras!$V$432*Registro_Compras!$N$432,2)),Registro_Compras!$O$432)))</f>
        <v/>
      </c>
      <c r="G3859">
        <f>IF($C3859="","",IF(Registro_Compras!$F$432="NOTA DE CREDITO","Por la nota de credito "&amp;Registro_Compras!$C$432&amp;" de "&amp;Registro_Compras!$E$432&amp;" [PATRON POR CONFIRMAR CON CONTADOR]",IF(Registro_Compras!$F$432="RHE","Por el registro del recibo por honorarios "&amp;Registro_Compras!$C$432&amp;" de "&amp;Registro_Compras!$E$432&amp;" [PATRON POR CONFIRMAR CON CONTADOR]","Por el registro de la factura "&amp;Registro_Compras!$C$432&amp;" de "&amp;Registro_Compras!$E$432)))</f>
        <v/>
      </c>
      <c r="H3859">
        <f>IF($C3859="","",Registro_Compras!$C$432)</f>
        <v/>
      </c>
    </row>
    <row r="3860">
      <c r="A3860" s="25">
        <f>IF($C3860="","",Registro_Compras!$B$432)</f>
        <v/>
      </c>
      <c r="B3860">
        <f>IF($C3860="","","C"&amp;TEXT(INT((ROW()-5)/9)+1,"000")&amp;"-2")</f>
        <v/>
      </c>
      <c r="C3860">
        <f>IF(OR(Registro_Compras!$C$432="",Registro_Compras!$O$432=""),"",IF(Registro_Compras!$AB$432="ADMINISTRATIVO","94","95"))</f>
        <v/>
      </c>
      <c r="D3860">
        <f>IF(OR(Registro_Compras!$C$432="",Registro_Compras!$O$432=""),"",IF(Registro_Compras!$AB$432="ADMINISTRATIVO","Gastos Administrativos","Gastos de Venta y Operacion"))</f>
        <v/>
      </c>
      <c r="E3860" s="20">
        <f>IF($C3860="","",IF(Registro_Compras!$F$432="NOTA DE CREDITO","",IF(Registro_Compras!$F$432="RHE",ROUND(Registro_Compras!$L$432*Registro_Compras!$N$432,2),ROUND(Registro_Compras!$J$432*Registro_Compras!$N$432,2))))</f>
        <v/>
      </c>
      <c r="F3860" s="20">
        <f>IF($C3860="","",IF(Registro_Compras!$F$432="NOTA DE CREDITO",ROUND(ABS(Registro_Compras!$J$432*Registro_Compras!$N$432),2),""))</f>
        <v/>
      </c>
      <c r="G3860">
        <f>IF($C3860="","","Por el destino del gasto")</f>
        <v/>
      </c>
      <c r="H3860">
        <f>IF($C3860="","",Registro_Compras!$C$432)</f>
        <v/>
      </c>
    </row>
    <row r="3861">
      <c r="A3861" s="25">
        <f>IF($C3861="","",Registro_Compras!$B$432)</f>
        <v/>
      </c>
      <c r="B3861">
        <f>IF($C3861="","","C"&amp;TEXT(INT((ROW()-5)/9)+1,"000")&amp;"-2")</f>
        <v/>
      </c>
      <c r="C3861">
        <f>IF(OR(Registro_Compras!$C$432="",Registro_Compras!$O$432=""),"","79/791")</f>
        <v/>
      </c>
      <c r="D3861">
        <f>IF(OR(Registro_Compras!$C$432="",Registro_Compras!$O$432=""),"","Cargas Imputables a Cuentas de Costos y Gastos")</f>
        <v/>
      </c>
      <c r="E3861" s="20">
        <f>IF($C3861="","",IF(Registro_Compras!$F$432="NOTA DE CREDITO",ROUND(ABS(Registro_Compras!$J$432*Registro_Compras!$N$432),2),""))</f>
        <v/>
      </c>
      <c r="F3861" s="20">
        <f>IF($C3861="","",IF(Registro_Compras!$F$432="NOTA DE CREDITO","",IF(Registro_Compras!$F$432="RHE",ROUND(Registro_Compras!$L$432*Registro_Compras!$N$432,2),ROUND(Registro_Compras!$J$432*Registro_Compras!$N$432,2))))</f>
        <v/>
      </c>
      <c r="G3861">
        <f>IF($C3861="","","Por el destino del gasto")</f>
        <v/>
      </c>
      <c r="H3861">
        <f>IF($C3861="","",Registro_Compras!$C$432)</f>
        <v/>
      </c>
    </row>
    <row r="3862">
      <c r="A3862" s="25">
        <f>IF($C3862="","",Registro_Compras!$X$432)</f>
        <v/>
      </c>
      <c r="B3862">
        <f>IF($C3862="","","C"&amp;TEXT(INT((ROW()-5)/9)+1,"000")&amp;"-3")</f>
        <v/>
      </c>
      <c r="C3862">
        <f>IF(OR(Registro_Compras!$C$432="",Registro_Compras!$O$432="",Registro_Compras!$R$432&lt;&gt;"SI",Registro_Compras!$X$432=""),"","4212")</f>
        <v/>
      </c>
      <c r="D3862">
        <f>IF(OR(Registro_Compras!$C$432="",Registro_Compras!$O$432=""),"","Cuentas por Pagar Comerciales - Terceros")</f>
        <v/>
      </c>
      <c r="E3862" s="20">
        <f>IF($C3862="","",Registro_Compras!$S$432)</f>
        <v/>
      </c>
      <c r="F3862" s="20">
        <f>""</f>
        <v/>
      </c>
      <c r="G3862">
        <f>IF($C3862="","","Por el deposito de la detraccion en el Banco de la Nacion")</f>
        <v/>
      </c>
      <c r="H3862">
        <f>IF($C3862="","",Registro_Compras!$C$432)</f>
        <v/>
      </c>
    </row>
    <row r="3863">
      <c r="A3863" s="25">
        <f>IF($C3863="","",Registro_Compras!$X$432)</f>
        <v/>
      </c>
      <c r="B3863">
        <f>IF($C3863="","","C"&amp;TEXT(INT((ROW()-5)/9)+1,"000")&amp;"-3")</f>
        <v/>
      </c>
      <c r="C3863">
        <f>IF(OR(Registro_Compras!$C$432="",Registro_Compras!$O$432="",Registro_Compras!$R$432&lt;&gt;"SI",Registro_Compras!$X$432=""),"","10413")</f>
        <v/>
      </c>
      <c r="D3863">
        <f>IF(OR(Registro_Compras!$C$432="",Registro_Compras!$O$432=""),"","Efectivo y Equivalentes - Cta. Cte. Operativa")</f>
        <v/>
      </c>
      <c r="E3863" s="20">
        <f>""</f>
        <v/>
      </c>
      <c r="F3863" s="20">
        <f>IF($C3863="","",Registro_Compras!$S$432)</f>
        <v/>
      </c>
      <c r="G3863">
        <f>IF($C3863="","","Por el deposito de la detraccion en el Banco de la Nacion")</f>
        <v/>
      </c>
      <c r="H3863">
        <f>IF($C3863="","",Registro_Compras!$C$432)</f>
        <v/>
      </c>
    </row>
    <row r="3864">
      <c r="A3864" s="25">
        <f>IF($C3864="","",Registro_Compras!$Y$432)</f>
        <v/>
      </c>
      <c r="B3864">
        <f>IF($C3864="","","C"&amp;TEXT(INT((ROW()-5)/9)+1,"000")&amp;"-4")</f>
        <v/>
      </c>
      <c r="C3864">
        <f>IF(OR(Registro_Compras!$C$432="",Registro_Compras!$O$432="",Registro_Compras!$Y$432="",Registro_Compras!$F$432="NOTA DE CREDITO"),"","4212")</f>
        <v/>
      </c>
      <c r="D3864">
        <f>IF(OR(Registro_Compras!$C$432="",Registro_Compras!$O$432=""),"","Cuentas por Pagar Comerciales - Terceros")</f>
        <v/>
      </c>
      <c r="E3864" s="20">
        <f>IF($C3864="","",IF(Registro_Compras!$F$432="RHE",(ROUND(Registro_Compras!$L$432*Registro_Compras!$N$432,2)-ROUND(Registro_Compras!$V$432*Registro_Compras!$N$432,2)),ROUND(Registro_Compras!$O$432-Registro_Compras!$S$432,2)))</f>
        <v/>
      </c>
      <c r="F3864" s="20">
        <f>""</f>
        <v/>
      </c>
      <c r="G3864">
        <f>IF($C3864="","","Por la cancelacion del saldo al proveedor")</f>
        <v/>
      </c>
      <c r="H3864">
        <f>IF($C3864="","",Registro_Compras!$C$432)</f>
        <v/>
      </c>
    </row>
    <row r="3865">
      <c r="A3865" s="25">
        <f>IF($C3865="","",Registro_Compras!$Y$432)</f>
        <v/>
      </c>
      <c r="B3865">
        <f>IF($C3865="","","C"&amp;TEXT(INT((ROW()-5)/9)+1,"000")&amp;"-4")</f>
        <v/>
      </c>
      <c r="C3865">
        <f>IF(OR(Registro_Compras!$C$432="",Registro_Compras!$O$432="",Registro_Compras!$Y$432="",Registro_Compras!$F$432="NOTA DE CREDITO"),"","10413")</f>
        <v/>
      </c>
      <c r="D3865">
        <f>IF(OR(Registro_Compras!$C$432="",Registro_Compras!$O$432=""),"","Efectivo y Equivalentes - Cta. Cte. Operativa")</f>
        <v/>
      </c>
      <c r="E3865" s="20">
        <f>""</f>
        <v/>
      </c>
      <c r="F3865" s="20">
        <f>IF($C3865="","",IF(Registro_Compras!$F$432="RHE",(ROUND(Registro_Compras!$L$432*Registro_Compras!$N$432,2)-ROUND(Registro_Compras!$V$432*Registro_Compras!$N$432,2)),ROUND(Registro_Compras!$O$432-Registro_Compras!$S$432,2)))</f>
        <v/>
      </c>
      <c r="G3865">
        <f>IF($C3865="","","Por la cancelacion del saldo al proveedor")</f>
        <v/>
      </c>
      <c r="H3865">
        <f>IF($C3865="","",Registro_Compras!$C$432)</f>
        <v/>
      </c>
    </row>
    <row r="3866">
      <c r="A3866" s="25">
        <f>IF($C3866="","",Registro_Compras!$B$433)</f>
        <v/>
      </c>
      <c r="B3866">
        <f>IF($C3866="","","C"&amp;TEXT(INT((ROW()-5)/9)+1,"000")&amp;"-1")</f>
        <v/>
      </c>
      <c r="C3866">
        <f>IF(OR(Registro_Compras!$C$433="",Registro_Compras!$O$433=""),"",IF(Registro_Compras!$F$433="NOTA DE CREDITO","4212",IF(Registro_Compras!$M$433="","63",Registro_Compras!$M$433)))</f>
        <v/>
      </c>
      <c r="D3866">
        <f>IF(OR(Registro_Compras!$C$433="",Registro_Compras!$O$433=""),"",IF(Registro_Compras!$F$433="NOTA DE CREDITO","Cuentas por Pagar Comerciales - Terceros (Emitidas)",IF(Registro_Compras!$F$433="RHE","Honorarios Profesionales - Servicios de Terceros","Gastos de Servicios Prestados por Terceros")))</f>
        <v/>
      </c>
      <c r="E3866" s="20">
        <f>IF($C3866="","",IF(Registro_Compras!$F$433="NOTA DE CREDITO",ABS(Registro_Compras!$O$433),IF(Registro_Compras!$F$433="RHE",ROUND(Registro_Compras!$L$433*Registro_Compras!$N$433,2),ROUND(Registro_Compras!$J$433*Registro_Compras!$N$433,2))))</f>
        <v/>
      </c>
      <c r="F3866" s="20">
        <f>""</f>
        <v/>
      </c>
      <c r="G3866">
        <f>IF($C3866="","",IF(Registro_Compras!$F$433="NOTA DE CREDITO","Por la nota de credito "&amp;Registro_Compras!$C$433&amp;" de "&amp;Registro_Compras!$E$433&amp;" [PATRON POR CONFIRMAR CON CONTADOR]",IF(Registro_Compras!$F$433="RHE","Por el registro del recibo por honorarios "&amp;Registro_Compras!$C$433&amp;" de "&amp;Registro_Compras!$E$433&amp;" [PATRON POR CONFIRMAR CON CONTADOR]","Por el registro de la factura "&amp;Registro_Compras!$C$433&amp;" de "&amp;Registro_Compras!$E$433)))</f>
        <v/>
      </c>
      <c r="H3866">
        <f>IF($C3866="","",Registro_Compras!$C$433)</f>
        <v/>
      </c>
    </row>
    <row r="3867">
      <c r="A3867" s="25">
        <f>IF($C3867="","",Registro_Compras!$B$433)</f>
        <v/>
      </c>
      <c r="B3867">
        <f>IF($C3867="","","C"&amp;TEXT(INT((ROW()-5)/9)+1,"000")&amp;"-1")</f>
        <v/>
      </c>
      <c r="C3867">
        <f>IF(OR(Registro_Compras!$C$433="",Registro_Compras!$O$433=""),"",IF(Registro_Compras!$F$433="RHE",IF(Registro_Compras!$V$433=0,"","40172"),IF(Registro_Compras!$F$433="NOTA DE CREDITO",IF(Registro_Compras!$M$433="","63",Registro_Compras!$M$433),IF(Registro_Compras!$K$433=0,"","40111"))))</f>
        <v/>
      </c>
      <c r="D3867">
        <f>IF(OR(Registro_Compras!$C$433="",Registro_Compras!$O$433=""),"",IF(Registro_Compras!$F$433="RHE","Retencion Renta 4ta Categoria por Pagar",IF(Registro_Compras!$F$433="NOTA DE CREDITO","Gastos de Servicios Prestados por Terceros","IGV - Cuenta Propia (Credito Fiscal)")))</f>
        <v/>
      </c>
      <c r="E3867" s="20">
        <f>IF($C3867="","",IF(Registro_Compras!$F$433="FACTURA",ROUND(Registro_Compras!$K$433*Registro_Compras!$N$433,2),""))</f>
        <v/>
      </c>
      <c r="F3867" s="20">
        <f>IF($C3867="","",IF(Registro_Compras!$F$433="RHE",ROUND(Registro_Compras!$V$433*Registro_Compras!$N$433,2),IF(Registro_Compras!$F$433="NOTA DE CREDITO",ROUND(ABS(Registro_Compras!$J$433*Registro_Compras!$N$433),2),"")))</f>
        <v/>
      </c>
      <c r="G3867">
        <f>IF($C3867="","",IF(Registro_Compras!$F$433="NOTA DE CREDITO","Por la nota de credito "&amp;Registro_Compras!$C$433&amp;" de "&amp;Registro_Compras!$E$433&amp;" [PATRON POR CONFIRMAR CON CONTADOR]",IF(Registro_Compras!$F$433="RHE","Por el registro del recibo por honorarios "&amp;Registro_Compras!$C$433&amp;" de "&amp;Registro_Compras!$E$433&amp;" [PATRON POR CONFIRMAR CON CONTADOR]","Por el registro de la factura "&amp;Registro_Compras!$C$433&amp;" de "&amp;Registro_Compras!$E$433)))</f>
        <v/>
      </c>
      <c r="H3867">
        <f>IF($C3867="","",Registro_Compras!$C$433)</f>
        <v/>
      </c>
    </row>
    <row r="3868">
      <c r="A3868" s="25">
        <f>IF($C3868="","",Registro_Compras!$B$433)</f>
        <v/>
      </c>
      <c r="B3868">
        <f>IF($C3868="","","C"&amp;TEXT(INT((ROW()-5)/9)+1,"000")&amp;"-1")</f>
        <v/>
      </c>
      <c r="C3868">
        <f>IF(OR(Registro_Compras!$C$433="",Registro_Compras!$O$433=""),"",IF(Registro_Compras!$F$433="NOTA DE CREDITO",IF(Registro_Compras!$K$433=0,"","40111"),"4212"))</f>
        <v/>
      </c>
      <c r="D3868">
        <f>IF(OR(Registro_Compras!$C$433="",Registro_Compras!$O$433=""),"",IF(Registro_Compras!$F$433="NOTA DE CREDITO","IGV - Cuenta Propia (Credito Fiscal)","Cuentas por Pagar Comerciales - Terceros (Emitidas)"))</f>
        <v/>
      </c>
      <c r="E3868" s="20">
        <f>""</f>
        <v/>
      </c>
      <c r="F3868" s="20">
        <f>IF($C3868="","",IF(Registro_Compras!$F$433="NOTA DE CREDITO",ROUND(ABS(Registro_Compras!$K$433*Registro_Compras!$N$433),2),IF(Registro_Compras!$F$433="RHE",(ROUND(Registro_Compras!$L$433*Registro_Compras!$N$433,2)-ROUND(Registro_Compras!$V$433*Registro_Compras!$N$433,2)),Registro_Compras!$O$433)))</f>
        <v/>
      </c>
      <c r="G3868">
        <f>IF($C3868="","",IF(Registro_Compras!$F$433="NOTA DE CREDITO","Por la nota de credito "&amp;Registro_Compras!$C$433&amp;" de "&amp;Registro_Compras!$E$433&amp;" [PATRON POR CONFIRMAR CON CONTADOR]",IF(Registro_Compras!$F$433="RHE","Por el registro del recibo por honorarios "&amp;Registro_Compras!$C$433&amp;" de "&amp;Registro_Compras!$E$433&amp;" [PATRON POR CONFIRMAR CON CONTADOR]","Por el registro de la factura "&amp;Registro_Compras!$C$433&amp;" de "&amp;Registro_Compras!$E$433)))</f>
        <v/>
      </c>
      <c r="H3868">
        <f>IF($C3868="","",Registro_Compras!$C$433)</f>
        <v/>
      </c>
    </row>
    <row r="3869">
      <c r="A3869" s="25">
        <f>IF($C3869="","",Registro_Compras!$B$433)</f>
        <v/>
      </c>
      <c r="B3869">
        <f>IF($C3869="","","C"&amp;TEXT(INT((ROW()-5)/9)+1,"000")&amp;"-2")</f>
        <v/>
      </c>
      <c r="C3869">
        <f>IF(OR(Registro_Compras!$C$433="",Registro_Compras!$O$433=""),"",IF(Registro_Compras!$AB$433="ADMINISTRATIVO","94","95"))</f>
        <v/>
      </c>
      <c r="D3869">
        <f>IF(OR(Registro_Compras!$C$433="",Registro_Compras!$O$433=""),"",IF(Registro_Compras!$AB$433="ADMINISTRATIVO","Gastos Administrativos","Gastos de Venta y Operacion"))</f>
        <v/>
      </c>
      <c r="E3869" s="20">
        <f>IF($C3869="","",IF(Registro_Compras!$F$433="NOTA DE CREDITO","",IF(Registro_Compras!$F$433="RHE",ROUND(Registro_Compras!$L$433*Registro_Compras!$N$433,2),ROUND(Registro_Compras!$J$433*Registro_Compras!$N$433,2))))</f>
        <v/>
      </c>
      <c r="F3869" s="20">
        <f>IF($C3869="","",IF(Registro_Compras!$F$433="NOTA DE CREDITO",ROUND(ABS(Registro_Compras!$J$433*Registro_Compras!$N$433),2),""))</f>
        <v/>
      </c>
      <c r="G3869">
        <f>IF($C3869="","","Por el destino del gasto")</f>
        <v/>
      </c>
      <c r="H3869">
        <f>IF($C3869="","",Registro_Compras!$C$433)</f>
        <v/>
      </c>
    </row>
    <row r="3870">
      <c r="A3870" s="25">
        <f>IF($C3870="","",Registro_Compras!$B$433)</f>
        <v/>
      </c>
      <c r="B3870">
        <f>IF($C3870="","","C"&amp;TEXT(INT((ROW()-5)/9)+1,"000")&amp;"-2")</f>
        <v/>
      </c>
      <c r="C3870">
        <f>IF(OR(Registro_Compras!$C$433="",Registro_Compras!$O$433=""),"","79/791")</f>
        <v/>
      </c>
      <c r="D3870">
        <f>IF(OR(Registro_Compras!$C$433="",Registro_Compras!$O$433=""),"","Cargas Imputables a Cuentas de Costos y Gastos")</f>
        <v/>
      </c>
      <c r="E3870" s="20">
        <f>IF($C3870="","",IF(Registro_Compras!$F$433="NOTA DE CREDITO",ROUND(ABS(Registro_Compras!$J$433*Registro_Compras!$N$433),2),""))</f>
        <v/>
      </c>
      <c r="F3870" s="20">
        <f>IF($C3870="","",IF(Registro_Compras!$F$433="NOTA DE CREDITO","",IF(Registro_Compras!$F$433="RHE",ROUND(Registro_Compras!$L$433*Registro_Compras!$N$433,2),ROUND(Registro_Compras!$J$433*Registro_Compras!$N$433,2))))</f>
        <v/>
      </c>
      <c r="G3870">
        <f>IF($C3870="","","Por el destino del gasto")</f>
        <v/>
      </c>
      <c r="H3870">
        <f>IF($C3870="","",Registro_Compras!$C$433)</f>
        <v/>
      </c>
    </row>
    <row r="3871">
      <c r="A3871" s="25">
        <f>IF($C3871="","",Registro_Compras!$X$433)</f>
        <v/>
      </c>
      <c r="B3871">
        <f>IF($C3871="","","C"&amp;TEXT(INT((ROW()-5)/9)+1,"000")&amp;"-3")</f>
        <v/>
      </c>
      <c r="C3871">
        <f>IF(OR(Registro_Compras!$C$433="",Registro_Compras!$O$433="",Registro_Compras!$R$433&lt;&gt;"SI",Registro_Compras!$X$433=""),"","4212")</f>
        <v/>
      </c>
      <c r="D3871">
        <f>IF(OR(Registro_Compras!$C$433="",Registro_Compras!$O$433=""),"","Cuentas por Pagar Comerciales - Terceros")</f>
        <v/>
      </c>
      <c r="E3871" s="20">
        <f>IF($C3871="","",Registro_Compras!$S$433)</f>
        <v/>
      </c>
      <c r="F3871" s="20">
        <f>""</f>
        <v/>
      </c>
      <c r="G3871">
        <f>IF($C3871="","","Por el deposito de la detraccion en el Banco de la Nacion")</f>
        <v/>
      </c>
      <c r="H3871">
        <f>IF($C3871="","",Registro_Compras!$C$433)</f>
        <v/>
      </c>
    </row>
    <row r="3872">
      <c r="A3872" s="25">
        <f>IF($C3872="","",Registro_Compras!$X$433)</f>
        <v/>
      </c>
      <c r="B3872">
        <f>IF($C3872="","","C"&amp;TEXT(INT((ROW()-5)/9)+1,"000")&amp;"-3")</f>
        <v/>
      </c>
      <c r="C3872">
        <f>IF(OR(Registro_Compras!$C$433="",Registro_Compras!$O$433="",Registro_Compras!$R$433&lt;&gt;"SI",Registro_Compras!$X$433=""),"","10413")</f>
        <v/>
      </c>
      <c r="D3872">
        <f>IF(OR(Registro_Compras!$C$433="",Registro_Compras!$O$433=""),"","Efectivo y Equivalentes - Cta. Cte. Operativa")</f>
        <v/>
      </c>
      <c r="E3872" s="20">
        <f>""</f>
        <v/>
      </c>
      <c r="F3872" s="20">
        <f>IF($C3872="","",Registro_Compras!$S$433)</f>
        <v/>
      </c>
      <c r="G3872">
        <f>IF($C3872="","","Por el deposito de la detraccion en el Banco de la Nacion")</f>
        <v/>
      </c>
      <c r="H3872">
        <f>IF($C3872="","",Registro_Compras!$C$433)</f>
        <v/>
      </c>
    </row>
    <row r="3873">
      <c r="A3873" s="25">
        <f>IF($C3873="","",Registro_Compras!$Y$433)</f>
        <v/>
      </c>
      <c r="B3873">
        <f>IF($C3873="","","C"&amp;TEXT(INT((ROW()-5)/9)+1,"000")&amp;"-4")</f>
        <v/>
      </c>
      <c r="C3873">
        <f>IF(OR(Registro_Compras!$C$433="",Registro_Compras!$O$433="",Registro_Compras!$Y$433="",Registro_Compras!$F$433="NOTA DE CREDITO"),"","4212")</f>
        <v/>
      </c>
      <c r="D3873">
        <f>IF(OR(Registro_Compras!$C$433="",Registro_Compras!$O$433=""),"","Cuentas por Pagar Comerciales - Terceros")</f>
        <v/>
      </c>
      <c r="E3873" s="20">
        <f>IF($C3873="","",IF(Registro_Compras!$F$433="RHE",(ROUND(Registro_Compras!$L$433*Registro_Compras!$N$433,2)-ROUND(Registro_Compras!$V$433*Registro_Compras!$N$433,2)),ROUND(Registro_Compras!$O$433-Registro_Compras!$S$433,2)))</f>
        <v/>
      </c>
      <c r="F3873" s="20">
        <f>""</f>
        <v/>
      </c>
      <c r="G3873">
        <f>IF($C3873="","","Por la cancelacion del saldo al proveedor")</f>
        <v/>
      </c>
      <c r="H3873">
        <f>IF($C3873="","",Registro_Compras!$C$433)</f>
        <v/>
      </c>
    </row>
    <row r="3874">
      <c r="A3874" s="25">
        <f>IF($C3874="","",Registro_Compras!$Y$433)</f>
        <v/>
      </c>
      <c r="B3874">
        <f>IF($C3874="","","C"&amp;TEXT(INT((ROW()-5)/9)+1,"000")&amp;"-4")</f>
        <v/>
      </c>
      <c r="C3874">
        <f>IF(OR(Registro_Compras!$C$433="",Registro_Compras!$O$433="",Registro_Compras!$Y$433="",Registro_Compras!$F$433="NOTA DE CREDITO"),"","10413")</f>
        <v/>
      </c>
      <c r="D3874">
        <f>IF(OR(Registro_Compras!$C$433="",Registro_Compras!$O$433=""),"","Efectivo y Equivalentes - Cta. Cte. Operativa")</f>
        <v/>
      </c>
      <c r="E3874" s="20">
        <f>""</f>
        <v/>
      </c>
      <c r="F3874" s="20">
        <f>IF($C3874="","",IF(Registro_Compras!$F$433="RHE",(ROUND(Registro_Compras!$L$433*Registro_Compras!$N$433,2)-ROUND(Registro_Compras!$V$433*Registro_Compras!$N$433,2)),ROUND(Registro_Compras!$O$433-Registro_Compras!$S$433,2)))</f>
        <v/>
      </c>
      <c r="G3874">
        <f>IF($C3874="","","Por la cancelacion del saldo al proveedor")</f>
        <v/>
      </c>
      <c r="H3874">
        <f>IF($C3874="","",Registro_Compras!$C$433)</f>
        <v/>
      </c>
    </row>
    <row r="3875">
      <c r="A3875" s="25">
        <f>IF($C3875="","",Registro_Compras!$B$434)</f>
        <v/>
      </c>
      <c r="B3875">
        <f>IF($C3875="","","C"&amp;TEXT(INT((ROW()-5)/9)+1,"000")&amp;"-1")</f>
        <v/>
      </c>
      <c r="C3875">
        <f>IF(OR(Registro_Compras!$C$434="",Registro_Compras!$O$434=""),"",IF(Registro_Compras!$F$434="NOTA DE CREDITO","4212",IF(Registro_Compras!$M$434="","63",Registro_Compras!$M$434)))</f>
        <v/>
      </c>
      <c r="D3875">
        <f>IF(OR(Registro_Compras!$C$434="",Registro_Compras!$O$434=""),"",IF(Registro_Compras!$F$434="NOTA DE CREDITO","Cuentas por Pagar Comerciales - Terceros (Emitidas)",IF(Registro_Compras!$F$434="RHE","Honorarios Profesionales - Servicios de Terceros","Gastos de Servicios Prestados por Terceros")))</f>
        <v/>
      </c>
      <c r="E3875" s="20">
        <f>IF($C3875="","",IF(Registro_Compras!$F$434="NOTA DE CREDITO",ABS(Registro_Compras!$O$434),IF(Registro_Compras!$F$434="RHE",ROUND(Registro_Compras!$L$434*Registro_Compras!$N$434,2),ROUND(Registro_Compras!$J$434*Registro_Compras!$N$434,2))))</f>
        <v/>
      </c>
      <c r="F3875" s="20">
        <f>""</f>
        <v/>
      </c>
      <c r="G3875">
        <f>IF($C3875="","",IF(Registro_Compras!$F$434="NOTA DE CREDITO","Por la nota de credito "&amp;Registro_Compras!$C$434&amp;" de "&amp;Registro_Compras!$E$434&amp;" [PATRON POR CONFIRMAR CON CONTADOR]",IF(Registro_Compras!$F$434="RHE","Por el registro del recibo por honorarios "&amp;Registro_Compras!$C$434&amp;" de "&amp;Registro_Compras!$E$434&amp;" [PATRON POR CONFIRMAR CON CONTADOR]","Por el registro de la factura "&amp;Registro_Compras!$C$434&amp;" de "&amp;Registro_Compras!$E$434)))</f>
        <v/>
      </c>
      <c r="H3875">
        <f>IF($C3875="","",Registro_Compras!$C$434)</f>
        <v/>
      </c>
    </row>
    <row r="3876">
      <c r="A3876" s="25">
        <f>IF($C3876="","",Registro_Compras!$B$434)</f>
        <v/>
      </c>
      <c r="B3876">
        <f>IF($C3876="","","C"&amp;TEXT(INT((ROW()-5)/9)+1,"000")&amp;"-1")</f>
        <v/>
      </c>
      <c r="C3876">
        <f>IF(OR(Registro_Compras!$C$434="",Registro_Compras!$O$434=""),"",IF(Registro_Compras!$F$434="RHE",IF(Registro_Compras!$V$434=0,"","40172"),IF(Registro_Compras!$F$434="NOTA DE CREDITO",IF(Registro_Compras!$M$434="","63",Registro_Compras!$M$434),IF(Registro_Compras!$K$434=0,"","40111"))))</f>
        <v/>
      </c>
      <c r="D3876">
        <f>IF(OR(Registro_Compras!$C$434="",Registro_Compras!$O$434=""),"",IF(Registro_Compras!$F$434="RHE","Retencion Renta 4ta Categoria por Pagar",IF(Registro_Compras!$F$434="NOTA DE CREDITO","Gastos de Servicios Prestados por Terceros","IGV - Cuenta Propia (Credito Fiscal)")))</f>
        <v/>
      </c>
      <c r="E3876" s="20">
        <f>IF($C3876="","",IF(Registro_Compras!$F$434="FACTURA",ROUND(Registro_Compras!$K$434*Registro_Compras!$N$434,2),""))</f>
        <v/>
      </c>
      <c r="F3876" s="20">
        <f>IF($C3876="","",IF(Registro_Compras!$F$434="RHE",ROUND(Registro_Compras!$V$434*Registro_Compras!$N$434,2),IF(Registro_Compras!$F$434="NOTA DE CREDITO",ROUND(ABS(Registro_Compras!$J$434*Registro_Compras!$N$434),2),"")))</f>
        <v/>
      </c>
      <c r="G3876">
        <f>IF($C3876="","",IF(Registro_Compras!$F$434="NOTA DE CREDITO","Por la nota de credito "&amp;Registro_Compras!$C$434&amp;" de "&amp;Registro_Compras!$E$434&amp;" [PATRON POR CONFIRMAR CON CONTADOR]",IF(Registro_Compras!$F$434="RHE","Por el registro del recibo por honorarios "&amp;Registro_Compras!$C$434&amp;" de "&amp;Registro_Compras!$E$434&amp;" [PATRON POR CONFIRMAR CON CONTADOR]","Por el registro de la factura "&amp;Registro_Compras!$C$434&amp;" de "&amp;Registro_Compras!$E$434)))</f>
        <v/>
      </c>
      <c r="H3876">
        <f>IF($C3876="","",Registro_Compras!$C$434)</f>
        <v/>
      </c>
    </row>
    <row r="3877">
      <c r="A3877" s="25">
        <f>IF($C3877="","",Registro_Compras!$B$434)</f>
        <v/>
      </c>
      <c r="B3877">
        <f>IF($C3877="","","C"&amp;TEXT(INT((ROW()-5)/9)+1,"000")&amp;"-1")</f>
        <v/>
      </c>
      <c r="C3877">
        <f>IF(OR(Registro_Compras!$C$434="",Registro_Compras!$O$434=""),"",IF(Registro_Compras!$F$434="NOTA DE CREDITO",IF(Registro_Compras!$K$434=0,"","40111"),"4212"))</f>
        <v/>
      </c>
      <c r="D3877">
        <f>IF(OR(Registro_Compras!$C$434="",Registro_Compras!$O$434=""),"",IF(Registro_Compras!$F$434="NOTA DE CREDITO","IGV - Cuenta Propia (Credito Fiscal)","Cuentas por Pagar Comerciales - Terceros (Emitidas)"))</f>
        <v/>
      </c>
      <c r="E3877" s="20">
        <f>""</f>
        <v/>
      </c>
      <c r="F3877" s="20">
        <f>IF($C3877="","",IF(Registro_Compras!$F$434="NOTA DE CREDITO",ROUND(ABS(Registro_Compras!$K$434*Registro_Compras!$N$434),2),IF(Registro_Compras!$F$434="RHE",(ROUND(Registro_Compras!$L$434*Registro_Compras!$N$434,2)-ROUND(Registro_Compras!$V$434*Registro_Compras!$N$434,2)),Registro_Compras!$O$434)))</f>
        <v/>
      </c>
      <c r="G3877">
        <f>IF($C3877="","",IF(Registro_Compras!$F$434="NOTA DE CREDITO","Por la nota de credito "&amp;Registro_Compras!$C$434&amp;" de "&amp;Registro_Compras!$E$434&amp;" [PATRON POR CONFIRMAR CON CONTADOR]",IF(Registro_Compras!$F$434="RHE","Por el registro del recibo por honorarios "&amp;Registro_Compras!$C$434&amp;" de "&amp;Registro_Compras!$E$434&amp;" [PATRON POR CONFIRMAR CON CONTADOR]","Por el registro de la factura "&amp;Registro_Compras!$C$434&amp;" de "&amp;Registro_Compras!$E$434)))</f>
        <v/>
      </c>
      <c r="H3877">
        <f>IF($C3877="","",Registro_Compras!$C$434)</f>
        <v/>
      </c>
    </row>
    <row r="3878">
      <c r="A3878" s="25">
        <f>IF($C3878="","",Registro_Compras!$B$434)</f>
        <v/>
      </c>
      <c r="B3878">
        <f>IF($C3878="","","C"&amp;TEXT(INT((ROW()-5)/9)+1,"000")&amp;"-2")</f>
        <v/>
      </c>
      <c r="C3878">
        <f>IF(OR(Registro_Compras!$C$434="",Registro_Compras!$O$434=""),"",IF(Registro_Compras!$AB$434="ADMINISTRATIVO","94","95"))</f>
        <v/>
      </c>
      <c r="D3878">
        <f>IF(OR(Registro_Compras!$C$434="",Registro_Compras!$O$434=""),"",IF(Registro_Compras!$AB$434="ADMINISTRATIVO","Gastos Administrativos","Gastos de Venta y Operacion"))</f>
        <v/>
      </c>
      <c r="E3878" s="20">
        <f>IF($C3878="","",IF(Registro_Compras!$F$434="NOTA DE CREDITO","",IF(Registro_Compras!$F$434="RHE",ROUND(Registro_Compras!$L$434*Registro_Compras!$N$434,2),ROUND(Registro_Compras!$J$434*Registro_Compras!$N$434,2))))</f>
        <v/>
      </c>
      <c r="F3878" s="20">
        <f>IF($C3878="","",IF(Registro_Compras!$F$434="NOTA DE CREDITO",ROUND(ABS(Registro_Compras!$J$434*Registro_Compras!$N$434),2),""))</f>
        <v/>
      </c>
      <c r="G3878">
        <f>IF($C3878="","","Por el destino del gasto")</f>
        <v/>
      </c>
      <c r="H3878">
        <f>IF($C3878="","",Registro_Compras!$C$434)</f>
        <v/>
      </c>
    </row>
    <row r="3879">
      <c r="A3879" s="25">
        <f>IF($C3879="","",Registro_Compras!$B$434)</f>
        <v/>
      </c>
      <c r="B3879">
        <f>IF($C3879="","","C"&amp;TEXT(INT((ROW()-5)/9)+1,"000")&amp;"-2")</f>
        <v/>
      </c>
      <c r="C3879">
        <f>IF(OR(Registro_Compras!$C$434="",Registro_Compras!$O$434=""),"","79/791")</f>
        <v/>
      </c>
      <c r="D3879">
        <f>IF(OR(Registro_Compras!$C$434="",Registro_Compras!$O$434=""),"","Cargas Imputables a Cuentas de Costos y Gastos")</f>
        <v/>
      </c>
      <c r="E3879" s="20">
        <f>IF($C3879="","",IF(Registro_Compras!$F$434="NOTA DE CREDITO",ROUND(ABS(Registro_Compras!$J$434*Registro_Compras!$N$434),2),""))</f>
        <v/>
      </c>
      <c r="F3879" s="20">
        <f>IF($C3879="","",IF(Registro_Compras!$F$434="NOTA DE CREDITO","",IF(Registro_Compras!$F$434="RHE",ROUND(Registro_Compras!$L$434*Registro_Compras!$N$434,2),ROUND(Registro_Compras!$J$434*Registro_Compras!$N$434,2))))</f>
        <v/>
      </c>
      <c r="G3879">
        <f>IF($C3879="","","Por el destino del gasto")</f>
        <v/>
      </c>
      <c r="H3879">
        <f>IF($C3879="","",Registro_Compras!$C$434)</f>
        <v/>
      </c>
    </row>
    <row r="3880">
      <c r="A3880" s="25">
        <f>IF($C3880="","",Registro_Compras!$X$434)</f>
        <v/>
      </c>
      <c r="B3880">
        <f>IF($C3880="","","C"&amp;TEXT(INT((ROW()-5)/9)+1,"000")&amp;"-3")</f>
        <v/>
      </c>
      <c r="C3880">
        <f>IF(OR(Registro_Compras!$C$434="",Registro_Compras!$O$434="",Registro_Compras!$R$434&lt;&gt;"SI",Registro_Compras!$X$434=""),"","4212")</f>
        <v/>
      </c>
      <c r="D3880">
        <f>IF(OR(Registro_Compras!$C$434="",Registro_Compras!$O$434=""),"","Cuentas por Pagar Comerciales - Terceros")</f>
        <v/>
      </c>
      <c r="E3880" s="20">
        <f>IF($C3880="","",Registro_Compras!$S$434)</f>
        <v/>
      </c>
      <c r="F3880" s="20">
        <f>""</f>
        <v/>
      </c>
      <c r="G3880">
        <f>IF($C3880="","","Por el deposito de la detraccion en el Banco de la Nacion")</f>
        <v/>
      </c>
      <c r="H3880">
        <f>IF($C3880="","",Registro_Compras!$C$434)</f>
        <v/>
      </c>
    </row>
    <row r="3881">
      <c r="A3881" s="25">
        <f>IF($C3881="","",Registro_Compras!$X$434)</f>
        <v/>
      </c>
      <c r="B3881">
        <f>IF($C3881="","","C"&amp;TEXT(INT((ROW()-5)/9)+1,"000")&amp;"-3")</f>
        <v/>
      </c>
      <c r="C3881">
        <f>IF(OR(Registro_Compras!$C$434="",Registro_Compras!$O$434="",Registro_Compras!$R$434&lt;&gt;"SI",Registro_Compras!$X$434=""),"","10413")</f>
        <v/>
      </c>
      <c r="D3881">
        <f>IF(OR(Registro_Compras!$C$434="",Registro_Compras!$O$434=""),"","Efectivo y Equivalentes - Cta. Cte. Operativa")</f>
        <v/>
      </c>
      <c r="E3881" s="20">
        <f>""</f>
        <v/>
      </c>
      <c r="F3881" s="20">
        <f>IF($C3881="","",Registro_Compras!$S$434)</f>
        <v/>
      </c>
      <c r="G3881">
        <f>IF($C3881="","","Por el deposito de la detraccion en el Banco de la Nacion")</f>
        <v/>
      </c>
      <c r="H3881">
        <f>IF($C3881="","",Registro_Compras!$C$434)</f>
        <v/>
      </c>
    </row>
    <row r="3882">
      <c r="A3882" s="25">
        <f>IF($C3882="","",Registro_Compras!$Y$434)</f>
        <v/>
      </c>
      <c r="B3882">
        <f>IF($C3882="","","C"&amp;TEXT(INT((ROW()-5)/9)+1,"000")&amp;"-4")</f>
        <v/>
      </c>
      <c r="C3882">
        <f>IF(OR(Registro_Compras!$C$434="",Registro_Compras!$O$434="",Registro_Compras!$Y$434="",Registro_Compras!$F$434="NOTA DE CREDITO"),"","4212")</f>
        <v/>
      </c>
      <c r="D3882">
        <f>IF(OR(Registro_Compras!$C$434="",Registro_Compras!$O$434=""),"","Cuentas por Pagar Comerciales - Terceros")</f>
        <v/>
      </c>
      <c r="E3882" s="20">
        <f>IF($C3882="","",IF(Registro_Compras!$F$434="RHE",(ROUND(Registro_Compras!$L$434*Registro_Compras!$N$434,2)-ROUND(Registro_Compras!$V$434*Registro_Compras!$N$434,2)),ROUND(Registro_Compras!$O$434-Registro_Compras!$S$434,2)))</f>
        <v/>
      </c>
      <c r="F3882" s="20">
        <f>""</f>
        <v/>
      </c>
      <c r="G3882">
        <f>IF($C3882="","","Por la cancelacion del saldo al proveedor")</f>
        <v/>
      </c>
      <c r="H3882">
        <f>IF($C3882="","",Registro_Compras!$C$434)</f>
        <v/>
      </c>
    </row>
    <row r="3883">
      <c r="A3883" s="25">
        <f>IF($C3883="","",Registro_Compras!$Y$434)</f>
        <v/>
      </c>
      <c r="B3883">
        <f>IF($C3883="","","C"&amp;TEXT(INT((ROW()-5)/9)+1,"000")&amp;"-4")</f>
        <v/>
      </c>
      <c r="C3883">
        <f>IF(OR(Registro_Compras!$C$434="",Registro_Compras!$O$434="",Registro_Compras!$Y$434="",Registro_Compras!$F$434="NOTA DE CREDITO"),"","10413")</f>
        <v/>
      </c>
      <c r="D3883">
        <f>IF(OR(Registro_Compras!$C$434="",Registro_Compras!$O$434=""),"","Efectivo y Equivalentes - Cta. Cte. Operativa")</f>
        <v/>
      </c>
      <c r="E3883" s="20">
        <f>""</f>
        <v/>
      </c>
      <c r="F3883" s="20">
        <f>IF($C3883="","",IF(Registro_Compras!$F$434="RHE",(ROUND(Registro_Compras!$L$434*Registro_Compras!$N$434,2)-ROUND(Registro_Compras!$V$434*Registro_Compras!$N$434,2)),ROUND(Registro_Compras!$O$434-Registro_Compras!$S$434,2)))</f>
        <v/>
      </c>
      <c r="G3883">
        <f>IF($C3883="","","Por la cancelacion del saldo al proveedor")</f>
        <v/>
      </c>
      <c r="H3883">
        <f>IF($C3883="","",Registro_Compras!$C$434)</f>
        <v/>
      </c>
    </row>
    <row r="3884">
      <c r="A3884" s="25">
        <f>IF($C3884="","",Registro_Compras!$B$435)</f>
        <v/>
      </c>
      <c r="B3884">
        <f>IF($C3884="","","C"&amp;TEXT(INT((ROW()-5)/9)+1,"000")&amp;"-1")</f>
        <v/>
      </c>
      <c r="C3884">
        <f>IF(OR(Registro_Compras!$C$435="",Registro_Compras!$O$435=""),"",IF(Registro_Compras!$F$435="NOTA DE CREDITO","4212",IF(Registro_Compras!$M$435="","63",Registro_Compras!$M$435)))</f>
        <v/>
      </c>
      <c r="D3884">
        <f>IF(OR(Registro_Compras!$C$435="",Registro_Compras!$O$435=""),"",IF(Registro_Compras!$F$435="NOTA DE CREDITO","Cuentas por Pagar Comerciales - Terceros (Emitidas)",IF(Registro_Compras!$F$435="RHE","Honorarios Profesionales - Servicios de Terceros","Gastos de Servicios Prestados por Terceros")))</f>
        <v/>
      </c>
      <c r="E3884" s="20">
        <f>IF($C3884="","",IF(Registro_Compras!$F$435="NOTA DE CREDITO",ABS(Registro_Compras!$O$435),IF(Registro_Compras!$F$435="RHE",ROUND(Registro_Compras!$L$435*Registro_Compras!$N$435,2),ROUND(Registro_Compras!$J$435*Registro_Compras!$N$435,2))))</f>
        <v/>
      </c>
      <c r="F3884" s="20">
        <f>""</f>
        <v/>
      </c>
      <c r="G3884">
        <f>IF($C3884="","",IF(Registro_Compras!$F$435="NOTA DE CREDITO","Por la nota de credito "&amp;Registro_Compras!$C$435&amp;" de "&amp;Registro_Compras!$E$435&amp;" [PATRON POR CONFIRMAR CON CONTADOR]",IF(Registro_Compras!$F$435="RHE","Por el registro del recibo por honorarios "&amp;Registro_Compras!$C$435&amp;" de "&amp;Registro_Compras!$E$435&amp;" [PATRON POR CONFIRMAR CON CONTADOR]","Por el registro de la factura "&amp;Registro_Compras!$C$435&amp;" de "&amp;Registro_Compras!$E$435)))</f>
        <v/>
      </c>
      <c r="H3884">
        <f>IF($C3884="","",Registro_Compras!$C$435)</f>
        <v/>
      </c>
    </row>
    <row r="3885">
      <c r="A3885" s="25">
        <f>IF($C3885="","",Registro_Compras!$B$435)</f>
        <v/>
      </c>
      <c r="B3885">
        <f>IF($C3885="","","C"&amp;TEXT(INT((ROW()-5)/9)+1,"000")&amp;"-1")</f>
        <v/>
      </c>
      <c r="C3885">
        <f>IF(OR(Registro_Compras!$C$435="",Registro_Compras!$O$435=""),"",IF(Registro_Compras!$F$435="RHE",IF(Registro_Compras!$V$435=0,"","40172"),IF(Registro_Compras!$F$435="NOTA DE CREDITO",IF(Registro_Compras!$M$435="","63",Registro_Compras!$M$435),IF(Registro_Compras!$K$435=0,"","40111"))))</f>
        <v/>
      </c>
      <c r="D3885">
        <f>IF(OR(Registro_Compras!$C$435="",Registro_Compras!$O$435=""),"",IF(Registro_Compras!$F$435="RHE","Retencion Renta 4ta Categoria por Pagar",IF(Registro_Compras!$F$435="NOTA DE CREDITO","Gastos de Servicios Prestados por Terceros","IGV - Cuenta Propia (Credito Fiscal)")))</f>
        <v/>
      </c>
      <c r="E3885" s="20">
        <f>IF($C3885="","",IF(Registro_Compras!$F$435="FACTURA",ROUND(Registro_Compras!$K$435*Registro_Compras!$N$435,2),""))</f>
        <v/>
      </c>
      <c r="F3885" s="20">
        <f>IF($C3885="","",IF(Registro_Compras!$F$435="RHE",ROUND(Registro_Compras!$V$435*Registro_Compras!$N$435,2),IF(Registro_Compras!$F$435="NOTA DE CREDITO",ROUND(ABS(Registro_Compras!$J$435*Registro_Compras!$N$435),2),"")))</f>
        <v/>
      </c>
      <c r="G3885">
        <f>IF($C3885="","",IF(Registro_Compras!$F$435="NOTA DE CREDITO","Por la nota de credito "&amp;Registro_Compras!$C$435&amp;" de "&amp;Registro_Compras!$E$435&amp;" [PATRON POR CONFIRMAR CON CONTADOR]",IF(Registro_Compras!$F$435="RHE","Por el registro del recibo por honorarios "&amp;Registro_Compras!$C$435&amp;" de "&amp;Registro_Compras!$E$435&amp;" [PATRON POR CONFIRMAR CON CONTADOR]","Por el registro de la factura "&amp;Registro_Compras!$C$435&amp;" de "&amp;Registro_Compras!$E$435)))</f>
        <v/>
      </c>
      <c r="H3885">
        <f>IF($C3885="","",Registro_Compras!$C$435)</f>
        <v/>
      </c>
    </row>
    <row r="3886">
      <c r="A3886" s="25">
        <f>IF($C3886="","",Registro_Compras!$B$435)</f>
        <v/>
      </c>
      <c r="B3886">
        <f>IF($C3886="","","C"&amp;TEXT(INT((ROW()-5)/9)+1,"000")&amp;"-1")</f>
        <v/>
      </c>
      <c r="C3886">
        <f>IF(OR(Registro_Compras!$C$435="",Registro_Compras!$O$435=""),"",IF(Registro_Compras!$F$435="NOTA DE CREDITO",IF(Registro_Compras!$K$435=0,"","40111"),"4212"))</f>
        <v/>
      </c>
      <c r="D3886">
        <f>IF(OR(Registro_Compras!$C$435="",Registro_Compras!$O$435=""),"",IF(Registro_Compras!$F$435="NOTA DE CREDITO","IGV - Cuenta Propia (Credito Fiscal)","Cuentas por Pagar Comerciales - Terceros (Emitidas)"))</f>
        <v/>
      </c>
      <c r="E3886" s="20">
        <f>""</f>
        <v/>
      </c>
      <c r="F3886" s="20">
        <f>IF($C3886="","",IF(Registro_Compras!$F$435="NOTA DE CREDITO",ROUND(ABS(Registro_Compras!$K$435*Registro_Compras!$N$435),2),IF(Registro_Compras!$F$435="RHE",(ROUND(Registro_Compras!$L$435*Registro_Compras!$N$435,2)-ROUND(Registro_Compras!$V$435*Registro_Compras!$N$435,2)),Registro_Compras!$O$435)))</f>
        <v/>
      </c>
      <c r="G3886">
        <f>IF($C3886="","",IF(Registro_Compras!$F$435="NOTA DE CREDITO","Por la nota de credito "&amp;Registro_Compras!$C$435&amp;" de "&amp;Registro_Compras!$E$435&amp;" [PATRON POR CONFIRMAR CON CONTADOR]",IF(Registro_Compras!$F$435="RHE","Por el registro del recibo por honorarios "&amp;Registro_Compras!$C$435&amp;" de "&amp;Registro_Compras!$E$435&amp;" [PATRON POR CONFIRMAR CON CONTADOR]","Por el registro de la factura "&amp;Registro_Compras!$C$435&amp;" de "&amp;Registro_Compras!$E$435)))</f>
        <v/>
      </c>
      <c r="H3886">
        <f>IF($C3886="","",Registro_Compras!$C$435)</f>
        <v/>
      </c>
    </row>
    <row r="3887">
      <c r="A3887" s="25">
        <f>IF($C3887="","",Registro_Compras!$B$435)</f>
        <v/>
      </c>
      <c r="B3887">
        <f>IF($C3887="","","C"&amp;TEXT(INT((ROW()-5)/9)+1,"000")&amp;"-2")</f>
        <v/>
      </c>
      <c r="C3887">
        <f>IF(OR(Registro_Compras!$C$435="",Registro_Compras!$O$435=""),"",IF(Registro_Compras!$AB$435="ADMINISTRATIVO","94","95"))</f>
        <v/>
      </c>
      <c r="D3887">
        <f>IF(OR(Registro_Compras!$C$435="",Registro_Compras!$O$435=""),"",IF(Registro_Compras!$AB$435="ADMINISTRATIVO","Gastos Administrativos","Gastos de Venta y Operacion"))</f>
        <v/>
      </c>
      <c r="E3887" s="20">
        <f>IF($C3887="","",IF(Registro_Compras!$F$435="NOTA DE CREDITO","",IF(Registro_Compras!$F$435="RHE",ROUND(Registro_Compras!$L$435*Registro_Compras!$N$435,2),ROUND(Registro_Compras!$J$435*Registro_Compras!$N$435,2))))</f>
        <v/>
      </c>
      <c r="F3887" s="20">
        <f>IF($C3887="","",IF(Registro_Compras!$F$435="NOTA DE CREDITO",ROUND(ABS(Registro_Compras!$J$435*Registro_Compras!$N$435),2),""))</f>
        <v/>
      </c>
      <c r="G3887">
        <f>IF($C3887="","","Por el destino del gasto")</f>
        <v/>
      </c>
      <c r="H3887">
        <f>IF($C3887="","",Registro_Compras!$C$435)</f>
        <v/>
      </c>
    </row>
    <row r="3888">
      <c r="A3888" s="25">
        <f>IF($C3888="","",Registro_Compras!$B$435)</f>
        <v/>
      </c>
      <c r="B3888">
        <f>IF($C3888="","","C"&amp;TEXT(INT((ROW()-5)/9)+1,"000")&amp;"-2")</f>
        <v/>
      </c>
      <c r="C3888">
        <f>IF(OR(Registro_Compras!$C$435="",Registro_Compras!$O$435=""),"","79/791")</f>
        <v/>
      </c>
      <c r="D3888">
        <f>IF(OR(Registro_Compras!$C$435="",Registro_Compras!$O$435=""),"","Cargas Imputables a Cuentas de Costos y Gastos")</f>
        <v/>
      </c>
      <c r="E3888" s="20">
        <f>IF($C3888="","",IF(Registro_Compras!$F$435="NOTA DE CREDITO",ROUND(ABS(Registro_Compras!$J$435*Registro_Compras!$N$435),2),""))</f>
        <v/>
      </c>
      <c r="F3888" s="20">
        <f>IF($C3888="","",IF(Registro_Compras!$F$435="NOTA DE CREDITO","",IF(Registro_Compras!$F$435="RHE",ROUND(Registro_Compras!$L$435*Registro_Compras!$N$435,2),ROUND(Registro_Compras!$J$435*Registro_Compras!$N$435,2))))</f>
        <v/>
      </c>
      <c r="G3888">
        <f>IF($C3888="","","Por el destino del gasto")</f>
        <v/>
      </c>
      <c r="H3888">
        <f>IF($C3888="","",Registro_Compras!$C$435)</f>
        <v/>
      </c>
    </row>
    <row r="3889">
      <c r="A3889" s="25">
        <f>IF($C3889="","",Registro_Compras!$X$435)</f>
        <v/>
      </c>
      <c r="B3889">
        <f>IF($C3889="","","C"&amp;TEXT(INT((ROW()-5)/9)+1,"000")&amp;"-3")</f>
        <v/>
      </c>
      <c r="C3889">
        <f>IF(OR(Registro_Compras!$C$435="",Registro_Compras!$O$435="",Registro_Compras!$R$435&lt;&gt;"SI",Registro_Compras!$X$435=""),"","4212")</f>
        <v/>
      </c>
      <c r="D3889">
        <f>IF(OR(Registro_Compras!$C$435="",Registro_Compras!$O$435=""),"","Cuentas por Pagar Comerciales - Terceros")</f>
        <v/>
      </c>
      <c r="E3889" s="20">
        <f>IF($C3889="","",Registro_Compras!$S$435)</f>
        <v/>
      </c>
      <c r="F3889" s="20">
        <f>""</f>
        <v/>
      </c>
      <c r="G3889">
        <f>IF($C3889="","","Por el deposito de la detraccion en el Banco de la Nacion")</f>
        <v/>
      </c>
      <c r="H3889">
        <f>IF($C3889="","",Registro_Compras!$C$435)</f>
        <v/>
      </c>
    </row>
    <row r="3890">
      <c r="A3890" s="25">
        <f>IF($C3890="","",Registro_Compras!$X$435)</f>
        <v/>
      </c>
      <c r="B3890">
        <f>IF($C3890="","","C"&amp;TEXT(INT((ROW()-5)/9)+1,"000")&amp;"-3")</f>
        <v/>
      </c>
      <c r="C3890">
        <f>IF(OR(Registro_Compras!$C$435="",Registro_Compras!$O$435="",Registro_Compras!$R$435&lt;&gt;"SI",Registro_Compras!$X$435=""),"","10413")</f>
        <v/>
      </c>
      <c r="D3890">
        <f>IF(OR(Registro_Compras!$C$435="",Registro_Compras!$O$435=""),"","Efectivo y Equivalentes - Cta. Cte. Operativa")</f>
        <v/>
      </c>
      <c r="E3890" s="20">
        <f>""</f>
        <v/>
      </c>
      <c r="F3890" s="20">
        <f>IF($C3890="","",Registro_Compras!$S$435)</f>
        <v/>
      </c>
      <c r="G3890">
        <f>IF($C3890="","","Por el deposito de la detraccion en el Banco de la Nacion")</f>
        <v/>
      </c>
      <c r="H3890">
        <f>IF($C3890="","",Registro_Compras!$C$435)</f>
        <v/>
      </c>
    </row>
    <row r="3891">
      <c r="A3891" s="25">
        <f>IF($C3891="","",Registro_Compras!$Y$435)</f>
        <v/>
      </c>
      <c r="B3891">
        <f>IF($C3891="","","C"&amp;TEXT(INT((ROW()-5)/9)+1,"000")&amp;"-4")</f>
        <v/>
      </c>
      <c r="C3891">
        <f>IF(OR(Registro_Compras!$C$435="",Registro_Compras!$O$435="",Registro_Compras!$Y$435="",Registro_Compras!$F$435="NOTA DE CREDITO"),"","4212")</f>
        <v/>
      </c>
      <c r="D3891">
        <f>IF(OR(Registro_Compras!$C$435="",Registro_Compras!$O$435=""),"","Cuentas por Pagar Comerciales - Terceros")</f>
        <v/>
      </c>
      <c r="E3891" s="20">
        <f>IF($C3891="","",IF(Registro_Compras!$F$435="RHE",(ROUND(Registro_Compras!$L$435*Registro_Compras!$N$435,2)-ROUND(Registro_Compras!$V$435*Registro_Compras!$N$435,2)),ROUND(Registro_Compras!$O$435-Registro_Compras!$S$435,2)))</f>
        <v/>
      </c>
      <c r="F3891" s="20">
        <f>""</f>
        <v/>
      </c>
      <c r="G3891">
        <f>IF($C3891="","","Por la cancelacion del saldo al proveedor")</f>
        <v/>
      </c>
      <c r="H3891">
        <f>IF($C3891="","",Registro_Compras!$C$435)</f>
        <v/>
      </c>
    </row>
    <row r="3892">
      <c r="A3892" s="25">
        <f>IF($C3892="","",Registro_Compras!$Y$435)</f>
        <v/>
      </c>
      <c r="B3892">
        <f>IF($C3892="","","C"&amp;TEXT(INT((ROW()-5)/9)+1,"000")&amp;"-4")</f>
        <v/>
      </c>
      <c r="C3892">
        <f>IF(OR(Registro_Compras!$C$435="",Registro_Compras!$O$435="",Registro_Compras!$Y$435="",Registro_Compras!$F$435="NOTA DE CREDITO"),"","10413")</f>
        <v/>
      </c>
      <c r="D3892">
        <f>IF(OR(Registro_Compras!$C$435="",Registro_Compras!$O$435=""),"","Efectivo y Equivalentes - Cta. Cte. Operativa")</f>
        <v/>
      </c>
      <c r="E3892" s="20">
        <f>""</f>
        <v/>
      </c>
      <c r="F3892" s="20">
        <f>IF($C3892="","",IF(Registro_Compras!$F$435="RHE",(ROUND(Registro_Compras!$L$435*Registro_Compras!$N$435,2)-ROUND(Registro_Compras!$V$435*Registro_Compras!$N$435,2)),ROUND(Registro_Compras!$O$435-Registro_Compras!$S$435,2)))</f>
        <v/>
      </c>
      <c r="G3892">
        <f>IF($C3892="","","Por la cancelacion del saldo al proveedor")</f>
        <v/>
      </c>
      <c r="H3892">
        <f>IF($C3892="","",Registro_Compras!$C$435)</f>
        <v/>
      </c>
    </row>
    <row r="3893">
      <c r="A3893" s="25">
        <f>IF($C3893="","",Registro_Compras!$B$436)</f>
        <v/>
      </c>
      <c r="B3893">
        <f>IF($C3893="","","C"&amp;TEXT(INT((ROW()-5)/9)+1,"000")&amp;"-1")</f>
        <v/>
      </c>
      <c r="C3893">
        <f>IF(OR(Registro_Compras!$C$436="",Registro_Compras!$O$436=""),"",IF(Registro_Compras!$F$436="NOTA DE CREDITO","4212",IF(Registro_Compras!$M$436="","63",Registro_Compras!$M$436)))</f>
        <v/>
      </c>
      <c r="D3893">
        <f>IF(OR(Registro_Compras!$C$436="",Registro_Compras!$O$436=""),"",IF(Registro_Compras!$F$436="NOTA DE CREDITO","Cuentas por Pagar Comerciales - Terceros (Emitidas)",IF(Registro_Compras!$F$436="RHE","Honorarios Profesionales - Servicios de Terceros","Gastos de Servicios Prestados por Terceros")))</f>
        <v/>
      </c>
      <c r="E3893" s="20">
        <f>IF($C3893="","",IF(Registro_Compras!$F$436="NOTA DE CREDITO",ABS(Registro_Compras!$O$436),IF(Registro_Compras!$F$436="RHE",ROUND(Registro_Compras!$L$436*Registro_Compras!$N$436,2),ROUND(Registro_Compras!$J$436*Registro_Compras!$N$436,2))))</f>
        <v/>
      </c>
      <c r="F3893" s="20">
        <f>""</f>
        <v/>
      </c>
      <c r="G3893">
        <f>IF($C3893="","",IF(Registro_Compras!$F$436="NOTA DE CREDITO","Por la nota de credito "&amp;Registro_Compras!$C$436&amp;" de "&amp;Registro_Compras!$E$436&amp;" [PATRON POR CONFIRMAR CON CONTADOR]",IF(Registro_Compras!$F$436="RHE","Por el registro del recibo por honorarios "&amp;Registro_Compras!$C$436&amp;" de "&amp;Registro_Compras!$E$436&amp;" [PATRON POR CONFIRMAR CON CONTADOR]","Por el registro de la factura "&amp;Registro_Compras!$C$436&amp;" de "&amp;Registro_Compras!$E$436)))</f>
        <v/>
      </c>
      <c r="H3893">
        <f>IF($C3893="","",Registro_Compras!$C$436)</f>
        <v/>
      </c>
    </row>
    <row r="3894">
      <c r="A3894" s="25">
        <f>IF($C3894="","",Registro_Compras!$B$436)</f>
        <v/>
      </c>
      <c r="B3894">
        <f>IF($C3894="","","C"&amp;TEXT(INT((ROW()-5)/9)+1,"000")&amp;"-1")</f>
        <v/>
      </c>
      <c r="C3894">
        <f>IF(OR(Registro_Compras!$C$436="",Registro_Compras!$O$436=""),"",IF(Registro_Compras!$F$436="RHE",IF(Registro_Compras!$V$436=0,"","40172"),IF(Registro_Compras!$F$436="NOTA DE CREDITO",IF(Registro_Compras!$M$436="","63",Registro_Compras!$M$436),IF(Registro_Compras!$K$436=0,"","40111"))))</f>
        <v/>
      </c>
      <c r="D3894">
        <f>IF(OR(Registro_Compras!$C$436="",Registro_Compras!$O$436=""),"",IF(Registro_Compras!$F$436="RHE","Retencion Renta 4ta Categoria por Pagar",IF(Registro_Compras!$F$436="NOTA DE CREDITO","Gastos de Servicios Prestados por Terceros","IGV - Cuenta Propia (Credito Fiscal)")))</f>
        <v/>
      </c>
      <c r="E3894" s="20">
        <f>IF($C3894="","",IF(Registro_Compras!$F$436="FACTURA",ROUND(Registro_Compras!$K$436*Registro_Compras!$N$436,2),""))</f>
        <v/>
      </c>
      <c r="F3894" s="20">
        <f>IF($C3894="","",IF(Registro_Compras!$F$436="RHE",ROUND(Registro_Compras!$V$436*Registro_Compras!$N$436,2),IF(Registro_Compras!$F$436="NOTA DE CREDITO",ROUND(ABS(Registro_Compras!$J$436*Registro_Compras!$N$436),2),"")))</f>
        <v/>
      </c>
      <c r="G3894">
        <f>IF($C3894="","",IF(Registro_Compras!$F$436="NOTA DE CREDITO","Por la nota de credito "&amp;Registro_Compras!$C$436&amp;" de "&amp;Registro_Compras!$E$436&amp;" [PATRON POR CONFIRMAR CON CONTADOR]",IF(Registro_Compras!$F$436="RHE","Por el registro del recibo por honorarios "&amp;Registro_Compras!$C$436&amp;" de "&amp;Registro_Compras!$E$436&amp;" [PATRON POR CONFIRMAR CON CONTADOR]","Por el registro de la factura "&amp;Registro_Compras!$C$436&amp;" de "&amp;Registro_Compras!$E$436)))</f>
        <v/>
      </c>
      <c r="H3894">
        <f>IF($C3894="","",Registro_Compras!$C$436)</f>
        <v/>
      </c>
    </row>
    <row r="3895">
      <c r="A3895" s="25">
        <f>IF($C3895="","",Registro_Compras!$B$436)</f>
        <v/>
      </c>
      <c r="B3895">
        <f>IF($C3895="","","C"&amp;TEXT(INT((ROW()-5)/9)+1,"000")&amp;"-1")</f>
        <v/>
      </c>
      <c r="C3895">
        <f>IF(OR(Registro_Compras!$C$436="",Registro_Compras!$O$436=""),"",IF(Registro_Compras!$F$436="NOTA DE CREDITO",IF(Registro_Compras!$K$436=0,"","40111"),"4212"))</f>
        <v/>
      </c>
      <c r="D3895">
        <f>IF(OR(Registro_Compras!$C$436="",Registro_Compras!$O$436=""),"",IF(Registro_Compras!$F$436="NOTA DE CREDITO","IGV - Cuenta Propia (Credito Fiscal)","Cuentas por Pagar Comerciales - Terceros (Emitidas)"))</f>
        <v/>
      </c>
      <c r="E3895" s="20">
        <f>""</f>
        <v/>
      </c>
      <c r="F3895" s="20">
        <f>IF($C3895="","",IF(Registro_Compras!$F$436="NOTA DE CREDITO",ROUND(ABS(Registro_Compras!$K$436*Registro_Compras!$N$436),2),IF(Registro_Compras!$F$436="RHE",(ROUND(Registro_Compras!$L$436*Registro_Compras!$N$436,2)-ROUND(Registro_Compras!$V$436*Registro_Compras!$N$436,2)),Registro_Compras!$O$436)))</f>
        <v/>
      </c>
      <c r="G3895">
        <f>IF($C3895="","",IF(Registro_Compras!$F$436="NOTA DE CREDITO","Por la nota de credito "&amp;Registro_Compras!$C$436&amp;" de "&amp;Registro_Compras!$E$436&amp;" [PATRON POR CONFIRMAR CON CONTADOR]",IF(Registro_Compras!$F$436="RHE","Por el registro del recibo por honorarios "&amp;Registro_Compras!$C$436&amp;" de "&amp;Registro_Compras!$E$436&amp;" [PATRON POR CONFIRMAR CON CONTADOR]","Por el registro de la factura "&amp;Registro_Compras!$C$436&amp;" de "&amp;Registro_Compras!$E$436)))</f>
        <v/>
      </c>
      <c r="H3895">
        <f>IF($C3895="","",Registro_Compras!$C$436)</f>
        <v/>
      </c>
    </row>
    <row r="3896">
      <c r="A3896" s="25">
        <f>IF($C3896="","",Registro_Compras!$B$436)</f>
        <v/>
      </c>
      <c r="B3896">
        <f>IF($C3896="","","C"&amp;TEXT(INT((ROW()-5)/9)+1,"000")&amp;"-2")</f>
        <v/>
      </c>
      <c r="C3896">
        <f>IF(OR(Registro_Compras!$C$436="",Registro_Compras!$O$436=""),"",IF(Registro_Compras!$AB$436="ADMINISTRATIVO","94","95"))</f>
        <v/>
      </c>
      <c r="D3896">
        <f>IF(OR(Registro_Compras!$C$436="",Registro_Compras!$O$436=""),"",IF(Registro_Compras!$AB$436="ADMINISTRATIVO","Gastos Administrativos","Gastos de Venta y Operacion"))</f>
        <v/>
      </c>
      <c r="E3896" s="20">
        <f>IF($C3896="","",IF(Registro_Compras!$F$436="NOTA DE CREDITO","",IF(Registro_Compras!$F$436="RHE",ROUND(Registro_Compras!$L$436*Registro_Compras!$N$436,2),ROUND(Registro_Compras!$J$436*Registro_Compras!$N$436,2))))</f>
        <v/>
      </c>
      <c r="F3896" s="20">
        <f>IF($C3896="","",IF(Registro_Compras!$F$436="NOTA DE CREDITO",ROUND(ABS(Registro_Compras!$J$436*Registro_Compras!$N$436),2),""))</f>
        <v/>
      </c>
      <c r="G3896">
        <f>IF($C3896="","","Por el destino del gasto")</f>
        <v/>
      </c>
      <c r="H3896">
        <f>IF($C3896="","",Registro_Compras!$C$436)</f>
        <v/>
      </c>
    </row>
    <row r="3897">
      <c r="A3897" s="25">
        <f>IF($C3897="","",Registro_Compras!$B$436)</f>
        <v/>
      </c>
      <c r="B3897">
        <f>IF($C3897="","","C"&amp;TEXT(INT((ROW()-5)/9)+1,"000")&amp;"-2")</f>
        <v/>
      </c>
      <c r="C3897">
        <f>IF(OR(Registro_Compras!$C$436="",Registro_Compras!$O$436=""),"","79/791")</f>
        <v/>
      </c>
      <c r="D3897">
        <f>IF(OR(Registro_Compras!$C$436="",Registro_Compras!$O$436=""),"","Cargas Imputables a Cuentas de Costos y Gastos")</f>
        <v/>
      </c>
      <c r="E3897" s="20">
        <f>IF($C3897="","",IF(Registro_Compras!$F$436="NOTA DE CREDITO",ROUND(ABS(Registro_Compras!$J$436*Registro_Compras!$N$436),2),""))</f>
        <v/>
      </c>
      <c r="F3897" s="20">
        <f>IF($C3897="","",IF(Registro_Compras!$F$436="NOTA DE CREDITO","",IF(Registro_Compras!$F$436="RHE",ROUND(Registro_Compras!$L$436*Registro_Compras!$N$436,2),ROUND(Registro_Compras!$J$436*Registro_Compras!$N$436,2))))</f>
        <v/>
      </c>
      <c r="G3897">
        <f>IF($C3897="","","Por el destino del gasto")</f>
        <v/>
      </c>
      <c r="H3897">
        <f>IF($C3897="","",Registro_Compras!$C$436)</f>
        <v/>
      </c>
    </row>
    <row r="3898">
      <c r="A3898" s="25">
        <f>IF($C3898="","",Registro_Compras!$X$436)</f>
        <v/>
      </c>
      <c r="B3898">
        <f>IF($C3898="","","C"&amp;TEXT(INT((ROW()-5)/9)+1,"000")&amp;"-3")</f>
        <v/>
      </c>
      <c r="C3898">
        <f>IF(OR(Registro_Compras!$C$436="",Registro_Compras!$O$436="",Registro_Compras!$R$436&lt;&gt;"SI",Registro_Compras!$X$436=""),"","4212")</f>
        <v/>
      </c>
      <c r="D3898">
        <f>IF(OR(Registro_Compras!$C$436="",Registro_Compras!$O$436=""),"","Cuentas por Pagar Comerciales - Terceros")</f>
        <v/>
      </c>
      <c r="E3898" s="20">
        <f>IF($C3898="","",Registro_Compras!$S$436)</f>
        <v/>
      </c>
      <c r="F3898" s="20">
        <f>""</f>
        <v/>
      </c>
      <c r="G3898">
        <f>IF($C3898="","","Por el deposito de la detraccion en el Banco de la Nacion")</f>
        <v/>
      </c>
      <c r="H3898">
        <f>IF($C3898="","",Registro_Compras!$C$436)</f>
        <v/>
      </c>
    </row>
    <row r="3899">
      <c r="A3899" s="25">
        <f>IF($C3899="","",Registro_Compras!$X$436)</f>
        <v/>
      </c>
      <c r="B3899">
        <f>IF($C3899="","","C"&amp;TEXT(INT((ROW()-5)/9)+1,"000")&amp;"-3")</f>
        <v/>
      </c>
      <c r="C3899">
        <f>IF(OR(Registro_Compras!$C$436="",Registro_Compras!$O$436="",Registro_Compras!$R$436&lt;&gt;"SI",Registro_Compras!$X$436=""),"","10413")</f>
        <v/>
      </c>
      <c r="D3899">
        <f>IF(OR(Registro_Compras!$C$436="",Registro_Compras!$O$436=""),"","Efectivo y Equivalentes - Cta. Cte. Operativa")</f>
        <v/>
      </c>
      <c r="E3899" s="20">
        <f>""</f>
        <v/>
      </c>
      <c r="F3899" s="20">
        <f>IF($C3899="","",Registro_Compras!$S$436)</f>
        <v/>
      </c>
      <c r="G3899">
        <f>IF($C3899="","","Por el deposito de la detraccion en el Banco de la Nacion")</f>
        <v/>
      </c>
      <c r="H3899">
        <f>IF($C3899="","",Registro_Compras!$C$436)</f>
        <v/>
      </c>
    </row>
    <row r="3900">
      <c r="A3900" s="25">
        <f>IF($C3900="","",Registro_Compras!$Y$436)</f>
        <v/>
      </c>
      <c r="B3900">
        <f>IF($C3900="","","C"&amp;TEXT(INT((ROW()-5)/9)+1,"000")&amp;"-4")</f>
        <v/>
      </c>
      <c r="C3900">
        <f>IF(OR(Registro_Compras!$C$436="",Registro_Compras!$O$436="",Registro_Compras!$Y$436="",Registro_Compras!$F$436="NOTA DE CREDITO"),"","4212")</f>
        <v/>
      </c>
      <c r="D3900">
        <f>IF(OR(Registro_Compras!$C$436="",Registro_Compras!$O$436=""),"","Cuentas por Pagar Comerciales - Terceros")</f>
        <v/>
      </c>
      <c r="E3900" s="20">
        <f>IF($C3900="","",IF(Registro_Compras!$F$436="RHE",(ROUND(Registro_Compras!$L$436*Registro_Compras!$N$436,2)-ROUND(Registro_Compras!$V$436*Registro_Compras!$N$436,2)),ROUND(Registro_Compras!$O$436-Registro_Compras!$S$436,2)))</f>
        <v/>
      </c>
      <c r="F3900" s="20">
        <f>""</f>
        <v/>
      </c>
      <c r="G3900">
        <f>IF($C3900="","","Por la cancelacion del saldo al proveedor")</f>
        <v/>
      </c>
      <c r="H3900">
        <f>IF($C3900="","",Registro_Compras!$C$436)</f>
        <v/>
      </c>
    </row>
    <row r="3901">
      <c r="A3901" s="25">
        <f>IF($C3901="","",Registro_Compras!$Y$436)</f>
        <v/>
      </c>
      <c r="B3901">
        <f>IF($C3901="","","C"&amp;TEXT(INT((ROW()-5)/9)+1,"000")&amp;"-4")</f>
        <v/>
      </c>
      <c r="C3901">
        <f>IF(OR(Registro_Compras!$C$436="",Registro_Compras!$O$436="",Registro_Compras!$Y$436="",Registro_Compras!$F$436="NOTA DE CREDITO"),"","10413")</f>
        <v/>
      </c>
      <c r="D3901">
        <f>IF(OR(Registro_Compras!$C$436="",Registro_Compras!$O$436=""),"","Efectivo y Equivalentes - Cta. Cte. Operativa")</f>
        <v/>
      </c>
      <c r="E3901" s="20">
        <f>""</f>
        <v/>
      </c>
      <c r="F3901" s="20">
        <f>IF($C3901="","",IF(Registro_Compras!$F$436="RHE",(ROUND(Registro_Compras!$L$436*Registro_Compras!$N$436,2)-ROUND(Registro_Compras!$V$436*Registro_Compras!$N$436,2)),ROUND(Registro_Compras!$O$436-Registro_Compras!$S$436,2)))</f>
        <v/>
      </c>
      <c r="G3901">
        <f>IF($C3901="","","Por la cancelacion del saldo al proveedor")</f>
        <v/>
      </c>
      <c r="H3901">
        <f>IF($C3901="","",Registro_Compras!$C$436)</f>
        <v/>
      </c>
    </row>
    <row r="3902">
      <c r="A3902" s="25">
        <f>IF($C3902="","",Registro_Compras!$B$437)</f>
        <v/>
      </c>
      <c r="B3902">
        <f>IF($C3902="","","C"&amp;TEXT(INT((ROW()-5)/9)+1,"000")&amp;"-1")</f>
        <v/>
      </c>
      <c r="C3902">
        <f>IF(OR(Registro_Compras!$C$437="",Registro_Compras!$O$437=""),"",IF(Registro_Compras!$F$437="NOTA DE CREDITO","4212",IF(Registro_Compras!$M$437="","63",Registro_Compras!$M$437)))</f>
        <v/>
      </c>
      <c r="D3902">
        <f>IF(OR(Registro_Compras!$C$437="",Registro_Compras!$O$437=""),"",IF(Registro_Compras!$F$437="NOTA DE CREDITO","Cuentas por Pagar Comerciales - Terceros (Emitidas)",IF(Registro_Compras!$F$437="RHE","Honorarios Profesionales - Servicios de Terceros","Gastos de Servicios Prestados por Terceros")))</f>
        <v/>
      </c>
      <c r="E3902" s="20">
        <f>IF($C3902="","",IF(Registro_Compras!$F$437="NOTA DE CREDITO",ABS(Registro_Compras!$O$437),IF(Registro_Compras!$F$437="RHE",ROUND(Registro_Compras!$L$437*Registro_Compras!$N$437,2),ROUND(Registro_Compras!$J$437*Registro_Compras!$N$437,2))))</f>
        <v/>
      </c>
      <c r="F3902" s="20">
        <f>""</f>
        <v/>
      </c>
      <c r="G3902">
        <f>IF($C3902="","",IF(Registro_Compras!$F$437="NOTA DE CREDITO","Por la nota de credito "&amp;Registro_Compras!$C$437&amp;" de "&amp;Registro_Compras!$E$437&amp;" [PATRON POR CONFIRMAR CON CONTADOR]",IF(Registro_Compras!$F$437="RHE","Por el registro del recibo por honorarios "&amp;Registro_Compras!$C$437&amp;" de "&amp;Registro_Compras!$E$437&amp;" [PATRON POR CONFIRMAR CON CONTADOR]","Por el registro de la factura "&amp;Registro_Compras!$C$437&amp;" de "&amp;Registro_Compras!$E$437)))</f>
        <v/>
      </c>
      <c r="H3902">
        <f>IF($C3902="","",Registro_Compras!$C$437)</f>
        <v/>
      </c>
    </row>
    <row r="3903">
      <c r="A3903" s="25">
        <f>IF($C3903="","",Registro_Compras!$B$437)</f>
        <v/>
      </c>
      <c r="B3903">
        <f>IF($C3903="","","C"&amp;TEXT(INT((ROW()-5)/9)+1,"000")&amp;"-1")</f>
        <v/>
      </c>
      <c r="C3903">
        <f>IF(OR(Registro_Compras!$C$437="",Registro_Compras!$O$437=""),"",IF(Registro_Compras!$F$437="RHE",IF(Registro_Compras!$V$437=0,"","40172"),IF(Registro_Compras!$F$437="NOTA DE CREDITO",IF(Registro_Compras!$M$437="","63",Registro_Compras!$M$437),IF(Registro_Compras!$K$437=0,"","40111"))))</f>
        <v/>
      </c>
      <c r="D3903">
        <f>IF(OR(Registro_Compras!$C$437="",Registro_Compras!$O$437=""),"",IF(Registro_Compras!$F$437="RHE","Retencion Renta 4ta Categoria por Pagar",IF(Registro_Compras!$F$437="NOTA DE CREDITO","Gastos de Servicios Prestados por Terceros","IGV - Cuenta Propia (Credito Fiscal)")))</f>
        <v/>
      </c>
      <c r="E3903" s="20">
        <f>IF($C3903="","",IF(Registro_Compras!$F$437="FACTURA",ROUND(Registro_Compras!$K$437*Registro_Compras!$N$437,2),""))</f>
        <v/>
      </c>
      <c r="F3903" s="20">
        <f>IF($C3903="","",IF(Registro_Compras!$F$437="RHE",ROUND(Registro_Compras!$V$437*Registro_Compras!$N$437,2),IF(Registro_Compras!$F$437="NOTA DE CREDITO",ROUND(ABS(Registro_Compras!$J$437*Registro_Compras!$N$437),2),"")))</f>
        <v/>
      </c>
      <c r="G3903">
        <f>IF($C3903="","",IF(Registro_Compras!$F$437="NOTA DE CREDITO","Por la nota de credito "&amp;Registro_Compras!$C$437&amp;" de "&amp;Registro_Compras!$E$437&amp;" [PATRON POR CONFIRMAR CON CONTADOR]",IF(Registro_Compras!$F$437="RHE","Por el registro del recibo por honorarios "&amp;Registro_Compras!$C$437&amp;" de "&amp;Registro_Compras!$E$437&amp;" [PATRON POR CONFIRMAR CON CONTADOR]","Por el registro de la factura "&amp;Registro_Compras!$C$437&amp;" de "&amp;Registro_Compras!$E$437)))</f>
        <v/>
      </c>
      <c r="H3903">
        <f>IF($C3903="","",Registro_Compras!$C$437)</f>
        <v/>
      </c>
    </row>
    <row r="3904">
      <c r="A3904" s="25">
        <f>IF($C3904="","",Registro_Compras!$B$437)</f>
        <v/>
      </c>
      <c r="B3904">
        <f>IF($C3904="","","C"&amp;TEXT(INT((ROW()-5)/9)+1,"000")&amp;"-1")</f>
        <v/>
      </c>
      <c r="C3904">
        <f>IF(OR(Registro_Compras!$C$437="",Registro_Compras!$O$437=""),"",IF(Registro_Compras!$F$437="NOTA DE CREDITO",IF(Registro_Compras!$K$437=0,"","40111"),"4212"))</f>
        <v/>
      </c>
      <c r="D3904">
        <f>IF(OR(Registro_Compras!$C$437="",Registro_Compras!$O$437=""),"",IF(Registro_Compras!$F$437="NOTA DE CREDITO","IGV - Cuenta Propia (Credito Fiscal)","Cuentas por Pagar Comerciales - Terceros (Emitidas)"))</f>
        <v/>
      </c>
      <c r="E3904" s="20">
        <f>""</f>
        <v/>
      </c>
      <c r="F3904" s="20">
        <f>IF($C3904="","",IF(Registro_Compras!$F$437="NOTA DE CREDITO",ROUND(ABS(Registro_Compras!$K$437*Registro_Compras!$N$437),2),IF(Registro_Compras!$F$437="RHE",(ROUND(Registro_Compras!$L$437*Registro_Compras!$N$437,2)-ROUND(Registro_Compras!$V$437*Registro_Compras!$N$437,2)),Registro_Compras!$O$437)))</f>
        <v/>
      </c>
      <c r="G3904">
        <f>IF($C3904="","",IF(Registro_Compras!$F$437="NOTA DE CREDITO","Por la nota de credito "&amp;Registro_Compras!$C$437&amp;" de "&amp;Registro_Compras!$E$437&amp;" [PATRON POR CONFIRMAR CON CONTADOR]",IF(Registro_Compras!$F$437="RHE","Por el registro del recibo por honorarios "&amp;Registro_Compras!$C$437&amp;" de "&amp;Registro_Compras!$E$437&amp;" [PATRON POR CONFIRMAR CON CONTADOR]","Por el registro de la factura "&amp;Registro_Compras!$C$437&amp;" de "&amp;Registro_Compras!$E$437)))</f>
        <v/>
      </c>
      <c r="H3904">
        <f>IF($C3904="","",Registro_Compras!$C$437)</f>
        <v/>
      </c>
    </row>
    <row r="3905">
      <c r="A3905" s="25">
        <f>IF($C3905="","",Registro_Compras!$B$437)</f>
        <v/>
      </c>
      <c r="B3905">
        <f>IF($C3905="","","C"&amp;TEXT(INT((ROW()-5)/9)+1,"000")&amp;"-2")</f>
        <v/>
      </c>
      <c r="C3905">
        <f>IF(OR(Registro_Compras!$C$437="",Registro_Compras!$O$437=""),"",IF(Registro_Compras!$AB$437="ADMINISTRATIVO","94","95"))</f>
        <v/>
      </c>
      <c r="D3905">
        <f>IF(OR(Registro_Compras!$C$437="",Registro_Compras!$O$437=""),"",IF(Registro_Compras!$AB$437="ADMINISTRATIVO","Gastos Administrativos","Gastos de Venta y Operacion"))</f>
        <v/>
      </c>
      <c r="E3905" s="20">
        <f>IF($C3905="","",IF(Registro_Compras!$F$437="NOTA DE CREDITO","",IF(Registro_Compras!$F$437="RHE",ROUND(Registro_Compras!$L$437*Registro_Compras!$N$437,2),ROUND(Registro_Compras!$J$437*Registro_Compras!$N$437,2))))</f>
        <v/>
      </c>
      <c r="F3905" s="20">
        <f>IF($C3905="","",IF(Registro_Compras!$F$437="NOTA DE CREDITO",ROUND(ABS(Registro_Compras!$J$437*Registro_Compras!$N$437),2),""))</f>
        <v/>
      </c>
      <c r="G3905">
        <f>IF($C3905="","","Por el destino del gasto")</f>
        <v/>
      </c>
      <c r="H3905">
        <f>IF($C3905="","",Registro_Compras!$C$437)</f>
        <v/>
      </c>
    </row>
    <row r="3906">
      <c r="A3906" s="25">
        <f>IF($C3906="","",Registro_Compras!$B$437)</f>
        <v/>
      </c>
      <c r="B3906">
        <f>IF($C3906="","","C"&amp;TEXT(INT((ROW()-5)/9)+1,"000")&amp;"-2")</f>
        <v/>
      </c>
      <c r="C3906">
        <f>IF(OR(Registro_Compras!$C$437="",Registro_Compras!$O$437=""),"","79/791")</f>
        <v/>
      </c>
      <c r="D3906">
        <f>IF(OR(Registro_Compras!$C$437="",Registro_Compras!$O$437=""),"","Cargas Imputables a Cuentas de Costos y Gastos")</f>
        <v/>
      </c>
      <c r="E3906" s="20">
        <f>IF($C3906="","",IF(Registro_Compras!$F$437="NOTA DE CREDITO",ROUND(ABS(Registro_Compras!$J$437*Registro_Compras!$N$437),2),""))</f>
        <v/>
      </c>
      <c r="F3906" s="20">
        <f>IF($C3906="","",IF(Registro_Compras!$F$437="NOTA DE CREDITO","",IF(Registro_Compras!$F$437="RHE",ROUND(Registro_Compras!$L$437*Registro_Compras!$N$437,2),ROUND(Registro_Compras!$J$437*Registro_Compras!$N$437,2))))</f>
        <v/>
      </c>
      <c r="G3906">
        <f>IF($C3906="","","Por el destino del gasto")</f>
        <v/>
      </c>
      <c r="H3906">
        <f>IF($C3906="","",Registro_Compras!$C$437)</f>
        <v/>
      </c>
    </row>
    <row r="3907">
      <c r="A3907" s="25">
        <f>IF($C3907="","",Registro_Compras!$X$437)</f>
        <v/>
      </c>
      <c r="B3907">
        <f>IF($C3907="","","C"&amp;TEXT(INT((ROW()-5)/9)+1,"000")&amp;"-3")</f>
        <v/>
      </c>
      <c r="C3907">
        <f>IF(OR(Registro_Compras!$C$437="",Registro_Compras!$O$437="",Registro_Compras!$R$437&lt;&gt;"SI",Registro_Compras!$X$437=""),"","4212")</f>
        <v/>
      </c>
      <c r="D3907">
        <f>IF(OR(Registro_Compras!$C$437="",Registro_Compras!$O$437=""),"","Cuentas por Pagar Comerciales - Terceros")</f>
        <v/>
      </c>
      <c r="E3907" s="20">
        <f>IF($C3907="","",Registro_Compras!$S$437)</f>
        <v/>
      </c>
      <c r="F3907" s="20">
        <f>""</f>
        <v/>
      </c>
      <c r="G3907">
        <f>IF($C3907="","","Por el deposito de la detraccion en el Banco de la Nacion")</f>
        <v/>
      </c>
      <c r="H3907">
        <f>IF($C3907="","",Registro_Compras!$C$437)</f>
        <v/>
      </c>
    </row>
    <row r="3908">
      <c r="A3908" s="25">
        <f>IF($C3908="","",Registro_Compras!$X$437)</f>
        <v/>
      </c>
      <c r="B3908">
        <f>IF($C3908="","","C"&amp;TEXT(INT((ROW()-5)/9)+1,"000")&amp;"-3")</f>
        <v/>
      </c>
      <c r="C3908">
        <f>IF(OR(Registro_Compras!$C$437="",Registro_Compras!$O$437="",Registro_Compras!$R$437&lt;&gt;"SI",Registro_Compras!$X$437=""),"","10413")</f>
        <v/>
      </c>
      <c r="D3908">
        <f>IF(OR(Registro_Compras!$C$437="",Registro_Compras!$O$437=""),"","Efectivo y Equivalentes - Cta. Cte. Operativa")</f>
        <v/>
      </c>
      <c r="E3908" s="20">
        <f>""</f>
        <v/>
      </c>
      <c r="F3908" s="20">
        <f>IF($C3908="","",Registro_Compras!$S$437)</f>
        <v/>
      </c>
      <c r="G3908">
        <f>IF($C3908="","","Por el deposito de la detraccion en el Banco de la Nacion")</f>
        <v/>
      </c>
      <c r="H3908">
        <f>IF($C3908="","",Registro_Compras!$C$437)</f>
        <v/>
      </c>
    </row>
    <row r="3909">
      <c r="A3909" s="25">
        <f>IF($C3909="","",Registro_Compras!$Y$437)</f>
        <v/>
      </c>
      <c r="B3909">
        <f>IF($C3909="","","C"&amp;TEXT(INT((ROW()-5)/9)+1,"000")&amp;"-4")</f>
        <v/>
      </c>
      <c r="C3909">
        <f>IF(OR(Registro_Compras!$C$437="",Registro_Compras!$O$437="",Registro_Compras!$Y$437="",Registro_Compras!$F$437="NOTA DE CREDITO"),"","4212")</f>
        <v/>
      </c>
      <c r="D3909">
        <f>IF(OR(Registro_Compras!$C$437="",Registro_Compras!$O$437=""),"","Cuentas por Pagar Comerciales - Terceros")</f>
        <v/>
      </c>
      <c r="E3909" s="20">
        <f>IF($C3909="","",IF(Registro_Compras!$F$437="RHE",(ROUND(Registro_Compras!$L$437*Registro_Compras!$N$437,2)-ROUND(Registro_Compras!$V$437*Registro_Compras!$N$437,2)),ROUND(Registro_Compras!$O$437-Registro_Compras!$S$437,2)))</f>
        <v/>
      </c>
      <c r="F3909" s="20">
        <f>""</f>
        <v/>
      </c>
      <c r="G3909">
        <f>IF($C3909="","","Por la cancelacion del saldo al proveedor")</f>
        <v/>
      </c>
      <c r="H3909">
        <f>IF($C3909="","",Registro_Compras!$C$437)</f>
        <v/>
      </c>
    </row>
    <row r="3910">
      <c r="A3910" s="25">
        <f>IF($C3910="","",Registro_Compras!$Y$437)</f>
        <v/>
      </c>
      <c r="B3910">
        <f>IF($C3910="","","C"&amp;TEXT(INT((ROW()-5)/9)+1,"000")&amp;"-4")</f>
        <v/>
      </c>
      <c r="C3910">
        <f>IF(OR(Registro_Compras!$C$437="",Registro_Compras!$O$437="",Registro_Compras!$Y$437="",Registro_Compras!$F$437="NOTA DE CREDITO"),"","10413")</f>
        <v/>
      </c>
      <c r="D3910">
        <f>IF(OR(Registro_Compras!$C$437="",Registro_Compras!$O$437=""),"","Efectivo y Equivalentes - Cta. Cte. Operativa")</f>
        <v/>
      </c>
      <c r="E3910" s="20">
        <f>""</f>
        <v/>
      </c>
      <c r="F3910" s="20">
        <f>IF($C3910="","",IF(Registro_Compras!$F$437="RHE",(ROUND(Registro_Compras!$L$437*Registro_Compras!$N$437,2)-ROUND(Registro_Compras!$V$437*Registro_Compras!$N$437,2)),ROUND(Registro_Compras!$O$437-Registro_Compras!$S$437,2)))</f>
        <v/>
      </c>
      <c r="G3910">
        <f>IF($C3910="","","Por la cancelacion del saldo al proveedor")</f>
        <v/>
      </c>
      <c r="H3910">
        <f>IF($C3910="","",Registro_Compras!$C$437)</f>
        <v/>
      </c>
    </row>
    <row r="3911">
      <c r="A3911" s="25">
        <f>IF($C3911="","",Registro_Compras!$B$438)</f>
        <v/>
      </c>
      <c r="B3911">
        <f>IF($C3911="","","C"&amp;TEXT(INT((ROW()-5)/9)+1,"000")&amp;"-1")</f>
        <v/>
      </c>
      <c r="C3911">
        <f>IF(OR(Registro_Compras!$C$438="",Registro_Compras!$O$438=""),"",IF(Registro_Compras!$F$438="NOTA DE CREDITO","4212",IF(Registro_Compras!$M$438="","63",Registro_Compras!$M$438)))</f>
        <v/>
      </c>
      <c r="D3911">
        <f>IF(OR(Registro_Compras!$C$438="",Registro_Compras!$O$438=""),"",IF(Registro_Compras!$F$438="NOTA DE CREDITO","Cuentas por Pagar Comerciales - Terceros (Emitidas)",IF(Registro_Compras!$F$438="RHE","Honorarios Profesionales - Servicios de Terceros","Gastos de Servicios Prestados por Terceros")))</f>
        <v/>
      </c>
      <c r="E3911" s="20">
        <f>IF($C3911="","",IF(Registro_Compras!$F$438="NOTA DE CREDITO",ABS(Registro_Compras!$O$438),IF(Registro_Compras!$F$438="RHE",ROUND(Registro_Compras!$L$438*Registro_Compras!$N$438,2),ROUND(Registro_Compras!$J$438*Registro_Compras!$N$438,2))))</f>
        <v/>
      </c>
      <c r="F3911" s="20">
        <f>""</f>
        <v/>
      </c>
      <c r="G3911">
        <f>IF($C3911="","",IF(Registro_Compras!$F$438="NOTA DE CREDITO","Por la nota de credito "&amp;Registro_Compras!$C$438&amp;" de "&amp;Registro_Compras!$E$438&amp;" [PATRON POR CONFIRMAR CON CONTADOR]",IF(Registro_Compras!$F$438="RHE","Por el registro del recibo por honorarios "&amp;Registro_Compras!$C$438&amp;" de "&amp;Registro_Compras!$E$438&amp;" [PATRON POR CONFIRMAR CON CONTADOR]","Por el registro de la factura "&amp;Registro_Compras!$C$438&amp;" de "&amp;Registro_Compras!$E$438)))</f>
        <v/>
      </c>
      <c r="H3911">
        <f>IF($C3911="","",Registro_Compras!$C$438)</f>
        <v/>
      </c>
    </row>
    <row r="3912">
      <c r="A3912" s="25">
        <f>IF($C3912="","",Registro_Compras!$B$438)</f>
        <v/>
      </c>
      <c r="B3912">
        <f>IF($C3912="","","C"&amp;TEXT(INT((ROW()-5)/9)+1,"000")&amp;"-1")</f>
        <v/>
      </c>
      <c r="C3912">
        <f>IF(OR(Registro_Compras!$C$438="",Registro_Compras!$O$438=""),"",IF(Registro_Compras!$F$438="RHE",IF(Registro_Compras!$V$438=0,"","40172"),IF(Registro_Compras!$F$438="NOTA DE CREDITO",IF(Registro_Compras!$M$438="","63",Registro_Compras!$M$438),IF(Registro_Compras!$K$438=0,"","40111"))))</f>
        <v/>
      </c>
      <c r="D3912">
        <f>IF(OR(Registro_Compras!$C$438="",Registro_Compras!$O$438=""),"",IF(Registro_Compras!$F$438="RHE","Retencion Renta 4ta Categoria por Pagar",IF(Registro_Compras!$F$438="NOTA DE CREDITO","Gastos de Servicios Prestados por Terceros","IGV - Cuenta Propia (Credito Fiscal)")))</f>
        <v/>
      </c>
      <c r="E3912" s="20">
        <f>IF($C3912="","",IF(Registro_Compras!$F$438="FACTURA",ROUND(Registro_Compras!$K$438*Registro_Compras!$N$438,2),""))</f>
        <v/>
      </c>
      <c r="F3912" s="20">
        <f>IF($C3912="","",IF(Registro_Compras!$F$438="RHE",ROUND(Registro_Compras!$V$438*Registro_Compras!$N$438,2),IF(Registro_Compras!$F$438="NOTA DE CREDITO",ROUND(ABS(Registro_Compras!$J$438*Registro_Compras!$N$438),2),"")))</f>
        <v/>
      </c>
      <c r="G3912">
        <f>IF($C3912="","",IF(Registro_Compras!$F$438="NOTA DE CREDITO","Por la nota de credito "&amp;Registro_Compras!$C$438&amp;" de "&amp;Registro_Compras!$E$438&amp;" [PATRON POR CONFIRMAR CON CONTADOR]",IF(Registro_Compras!$F$438="RHE","Por el registro del recibo por honorarios "&amp;Registro_Compras!$C$438&amp;" de "&amp;Registro_Compras!$E$438&amp;" [PATRON POR CONFIRMAR CON CONTADOR]","Por el registro de la factura "&amp;Registro_Compras!$C$438&amp;" de "&amp;Registro_Compras!$E$438)))</f>
        <v/>
      </c>
      <c r="H3912">
        <f>IF($C3912="","",Registro_Compras!$C$438)</f>
        <v/>
      </c>
    </row>
    <row r="3913">
      <c r="A3913" s="25">
        <f>IF($C3913="","",Registro_Compras!$B$438)</f>
        <v/>
      </c>
      <c r="B3913">
        <f>IF($C3913="","","C"&amp;TEXT(INT((ROW()-5)/9)+1,"000")&amp;"-1")</f>
        <v/>
      </c>
      <c r="C3913">
        <f>IF(OR(Registro_Compras!$C$438="",Registro_Compras!$O$438=""),"",IF(Registro_Compras!$F$438="NOTA DE CREDITO",IF(Registro_Compras!$K$438=0,"","40111"),"4212"))</f>
        <v/>
      </c>
      <c r="D3913">
        <f>IF(OR(Registro_Compras!$C$438="",Registro_Compras!$O$438=""),"",IF(Registro_Compras!$F$438="NOTA DE CREDITO","IGV - Cuenta Propia (Credito Fiscal)","Cuentas por Pagar Comerciales - Terceros (Emitidas)"))</f>
        <v/>
      </c>
      <c r="E3913" s="20">
        <f>""</f>
        <v/>
      </c>
      <c r="F3913" s="20">
        <f>IF($C3913="","",IF(Registro_Compras!$F$438="NOTA DE CREDITO",ROUND(ABS(Registro_Compras!$K$438*Registro_Compras!$N$438),2),IF(Registro_Compras!$F$438="RHE",(ROUND(Registro_Compras!$L$438*Registro_Compras!$N$438,2)-ROUND(Registro_Compras!$V$438*Registro_Compras!$N$438,2)),Registro_Compras!$O$438)))</f>
        <v/>
      </c>
      <c r="G3913">
        <f>IF($C3913="","",IF(Registro_Compras!$F$438="NOTA DE CREDITO","Por la nota de credito "&amp;Registro_Compras!$C$438&amp;" de "&amp;Registro_Compras!$E$438&amp;" [PATRON POR CONFIRMAR CON CONTADOR]",IF(Registro_Compras!$F$438="RHE","Por el registro del recibo por honorarios "&amp;Registro_Compras!$C$438&amp;" de "&amp;Registro_Compras!$E$438&amp;" [PATRON POR CONFIRMAR CON CONTADOR]","Por el registro de la factura "&amp;Registro_Compras!$C$438&amp;" de "&amp;Registro_Compras!$E$438)))</f>
        <v/>
      </c>
      <c r="H3913">
        <f>IF($C3913="","",Registro_Compras!$C$438)</f>
        <v/>
      </c>
    </row>
    <row r="3914">
      <c r="A3914" s="25">
        <f>IF($C3914="","",Registro_Compras!$B$438)</f>
        <v/>
      </c>
      <c r="B3914">
        <f>IF($C3914="","","C"&amp;TEXT(INT((ROW()-5)/9)+1,"000")&amp;"-2")</f>
        <v/>
      </c>
      <c r="C3914">
        <f>IF(OR(Registro_Compras!$C$438="",Registro_Compras!$O$438=""),"",IF(Registro_Compras!$AB$438="ADMINISTRATIVO","94","95"))</f>
        <v/>
      </c>
      <c r="D3914">
        <f>IF(OR(Registro_Compras!$C$438="",Registro_Compras!$O$438=""),"",IF(Registro_Compras!$AB$438="ADMINISTRATIVO","Gastos Administrativos","Gastos de Venta y Operacion"))</f>
        <v/>
      </c>
      <c r="E3914" s="20">
        <f>IF($C3914="","",IF(Registro_Compras!$F$438="NOTA DE CREDITO","",IF(Registro_Compras!$F$438="RHE",ROUND(Registro_Compras!$L$438*Registro_Compras!$N$438,2),ROUND(Registro_Compras!$J$438*Registro_Compras!$N$438,2))))</f>
        <v/>
      </c>
      <c r="F3914" s="20">
        <f>IF($C3914="","",IF(Registro_Compras!$F$438="NOTA DE CREDITO",ROUND(ABS(Registro_Compras!$J$438*Registro_Compras!$N$438),2),""))</f>
        <v/>
      </c>
      <c r="G3914">
        <f>IF($C3914="","","Por el destino del gasto")</f>
        <v/>
      </c>
      <c r="H3914">
        <f>IF($C3914="","",Registro_Compras!$C$438)</f>
        <v/>
      </c>
    </row>
    <row r="3915">
      <c r="A3915" s="25">
        <f>IF($C3915="","",Registro_Compras!$B$438)</f>
        <v/>
      </c>
      <c r="B3915">
        <f>IF($C3915="","","C"&amp;TEXT(INT((ROW()-5)/9)+1,"000")&amp;"-2")</f>
        <v/>
      </c>
      <c r="C3915">
        <f>IF(OR(Registro_Compras!$C$438="",Registro_Compras!$O$438=""),"","79/791")</f>
        <v/>
      </c>
      <c r="D3915">
        <f>IF(OR(Registro_Compras!$C$438="",Registro_Compras!$O$438=""),"","Cargas Imputables a Cuentas de Costos y Gastos")</f>
        <v/>
      </c>
      <c r="E3915" s="20">
        <f>IF($C3915="","",IF(Registro_Compras!$F$438="NOTA DE CREDITO",ROUND(ABS(Registro_Compras!$J$438*Registro_Compras!$N$438),2),""))</f>
        <v/>
      </c>
      <c r="F3915" s="20">
        <f>IF($C3915="","",IF(Registro_Compras!$F$438="NOTA DE CREDITO","",IF(Registro_Compras!$F$438="RHE",ROUND(Registro_Compras!$L$438*Registro_Compras!$N$438,2),ROUND(Registro_Compras!$J$438*Registro_Compras!$N$438,2))))</f>
        <v/>
      </c>
      <c r="G3915">
        <f>IF($C3915="","","Por el destino del gasto")</f>
        <v/>
      </c>
      <c r="H3915">
        <f>IF($C3915="","",Registro_Compras!$C$438)</f>
        <v/>
      </c>
    </row>
    <row r="3916">
      <c r="A3916" s="25">
        <f>IF($C3916="","",Registro_Compras!$X$438)</f>
        <v/>
      </c>
      <c r="B3916">
        <f>IF($C3916="","","C"&amp;TEXT(INT((ROW()-5)/9)+1,"000")&amp;"-3")</f>
        <v/>
      </c>
      <c r="C3916">
        <f>IF(OR(Registro_Compras!$C$438="",Registro_Compras!$O$438="",Registro_Compras!$R$438&lt;&gt;"SI",Registro_Compras!$X$438=""),"","4212")</f>
        <v/>
      </c>
      <c r="D3916">
        <f>IF(OR(Registro_Compras!$C$438="",Registro_Compras!$O$438=""),"","Cuentas por Pagar Comerciales - Terceros")</f>
        <v/>
      </c>
      <c r="E3916" s="20">
        <f>IF($C3916="","",Registro_Compras!$S$438)</f>
        <v/>
      </c>
      <c r="F3916" s="20">
        <f>""</f>
        <v/>
      </c>
      <c r="G3916">
        <f>IF($C3916="","","Por el deposito de la detraccion en el Banco de la Nacion")</f>
        <v/>
      </c>
      <c r="H3916">
        <f>IF($C3916="","",Registro_Compras!$C$438)</f>
        <v/>
      </c>
    </row>
    <row r="3917">
      <c r="A3917" s="25">
        <f>IF($C3917="","",Registro_Compras!$X$438)</f>
        <v/>
      </c>
      <c r="B3917">
        <f>IF($C3917="","","C"&amp;TEXT(INT((ROW()-5)/9)+1,"000")&amp;"-3")</f>
        <v/>
      </c>
      <c r="C3917">
        <f>IF(OR(Registro_Compras!$C$438="",Registro_Compras!$O$438="",Registro_Compras!$R$438&lt;&gt;"SI",Registro_Compras!$X$438=""),"","10413")</f>
        <v/>
      </c>
      <c r="D3917">
        <f>IF(OR(Registro_Compras!$C$438="",Registro_Compras!$O$438=""),"","Efectivo y Equivalentes - Cta. Cte. Operativa")</f>
        <v/>
      </c>
      <c r="E3917" s="20">
        <f>""</f>
        <v/>
      </c>
      <c r="F3917" s="20">
        <f>IF($C3917="","",Registro_Compras!$S$438)</f>
        <v/>
      </c>
      <c r="G3917">
        <f>IF($C3917="","","Por el deposito de la detraccion en el Banco de la Nacion")</f>
        <v/>
      </c>
      <c r="H3917">
        <f>IF($C3917="","",Registro_Compras!$C$438)</f>
        <v/>
      </c>
    </row>
    <row r="3918">
      <c r="A3918" s="25">
        <f>IF($C3918="","",Registro_Compras!$Y$438)</f>
        <v/>
      </c>
      <c r="B3918">
        <f>IF($C3918="","","C"&amp;TEXT(INT((ROW()-5)/9)+1,"000")&amp;"-4")</f>
        <v/>
      </c>
      <c r="C3918">
        <f>IF(OR(Registro_Compras!$C$438="",Registro_Compras!$O$438="",Registro_Compras!$Y$438="",Registro_Compras!$F$438="NOTA DE CREDITO"),"","4212")</f>
        <v/>
      </c>
      <c r="D3918">
        <f>IF(OR(Registro_Compras!$C$438="",Registro_Compras!$O$438=""),"","Cuentas por Pagar Comerciales - Terceros")</f>
        <v/>
      </c>
      <c r="E3918" s="20">
        <f>IF($C3918="","",IF(Registro_Compras!$F$438="RHE",(ROUND(Registro_Compras!$L$438*Registro_Compras!$N$438,2)-ROUND(Registro_Compras!$V$438*Registro_Compras!$N$438,2)),ROUND(Registro_Compras!$O$438-Registro_Compras!$S$438,2)))</f>
        <v/>
      </c>
      <c r="F3918" s="20">
        <f>""</f>
        <v/>
      </c>
      <c r="G3918">
        <f>IF($C3918="","","Por la cancelacion del saldo al proveedor")</f>
        <v/>
      </c>
      <c r="H3918">
        <f>IF($C3918="","",Registro_Compras!$C$438)</f>
        <v/>
      </c>
    </row>
    <row r="3919">
      <c r="A3919" s="25">
        <f>IF($C3919="","",Registro_Compras!$Y$438)</f>
        <v/>
      </c>
      <c r="B3919">
        <f>IF($C3919="","","C"&amp;TEXT(INT((ROW()-5)/9)+1,"000")&amp;"-4")</f>
        <v/>
      </c>
      <c r="C3919">
        <f>IF(OR(Registro_Compras!$C$438="",Registro_Compras!$O$438="",Registro_Compras!$Y$438="",Registro_Compras!$F$438="NOTA DE CREDITO"),"","10413")</f>
        <v/>
      </c>
      <c r="D3919">
        <f>IF(OR(Registro_Compras!$C$438="",Registro_Compras!$O$438=""),"","Efectivo y Equivalentes - Cta. Cte. Operativa")</f>
        <v/>
      </c>
      <c r="E3919" s="20">
        <f>""</f>
        <v/>
      </c>
      <c r="F3919" s="20">
        <f>IF($C3919="","",IF(Registro_Compras!$F$438="RHE",(ROUND(Registro_Compras!$L$438*Registro_Compras!$N$438,2)-ROUND(Registro_Compras!$V$438*Registro_Compras!$N$438,2)),ROUND(Registro_Compras!$O$438-Registro_Compras!$S$438,2)))</f>
        <v/>
      </c>
      <c r="G3919">
        <f>IF($C3919="","","Por la cancelacion del saldo al proveedor")</f>
        <v/>
      </c>
      <c r="H3919">
        <f>IF($C3919="","",Registro_Compras!$C$438)</f>
        <v/>
      </c>
    </row>
    <row r="3920">
      <c r="A3920" s="25">
        <f>IF($C3920="","",Registro_Compras!$B$439)</f>
        <v/>
      </c>
      <c r="B3920">
        <f>IF($C3920="","","C"&amp;TEXT(INT((ROW()-5)/9)+1,"000")&amp;"-1")</f>
        <v/>
      </c>
      <c r="C3920">
        <f>IF(OR(Registro_Compras!$C$439="",Registro_Compras!$O$439=""),"",IF(Registro_Compras!$F$439="NOTA DE CREDITO","4212",IF(Registro_Compras!$M$439="","63",Registro_Compras!$M$439)))</f>
        <v/>
      </c>
      <c r="D3920">
        <f>IF(OR(Registro_Compras!$C$439="",Registro_Compras!$O$439=""),"",IF(Registro_Compras!$F$439="NOTA DE CREDITO","Cuentas por Pagar Comerciales - Terceros (Emitidas)",IF(Registro_Compras!$F$439="RHE","Honorarios Profesionales - Servicios de Terceros","Gastos de Servicios Prestados por Terceros")))</f>
        <v/>
      </c>
      <c r="E3920" s="20">
        <f>IF($C3920="","",IF(Registro_Compras!$F$439="NOTA DE CREDITO",ABS(Registro_Compras!$O$439),IF(Registro_Compras!$F$439="RHE",ROUND(Registro_Compras!$L$439*Registro_Compras!$N$439,2),ROUND(Registro_Compras!$J$439*Registro_Compras!$N$439,2))))</f>
        <v/>
      </c>
      <c r="F3920" s="20">
        <f>""</f>
        <v/>
      </c>
      <c r="G3920">
        <f>IF($C3920="","",IF(Registro_Compras!$F$439="NOTA DE CREDITO","Por la nota de credito "&amp;Registro_Compras!$C$439&amp;" de "&amp;Registro_Compras!$E$439&amp;" [PATRON POR CONFIRMAR CON CONTADOR]",IF(Registro_Compras!$F$439="RHE","Por el registro del recibo por honorarios "&amp;Registro_Compras!$C$439&amp;" de "&amp;Registro_Compras!$E$439&amp;" [PATRON POR CONFIRMAR CON CONTADOR]","Por el registro de la factura "&amp;Registro_Compras!$C$439&amp;" de "&amp;Registro_Compras!$E$439)))</f>
        <v/>
      </c>
      <c r="H3920">
        <f>IF($C3920="","",Registro_Compras!$C$439)</f>
        <v/>
      </c>
    </row>
    <row r="3921">
      <c r="A3921" s="25">
        <f>IF($C3921="","",Registro_Compras!$B$439)</f>
        <v/>
      </c>
      <c r="B3921">
        <f>IF($C3921="","","C"&amp;TEXT(INT((ROW()-5)/9)+1,"000")&amp;"-1")</f>
        <v/>
      </c>
      <c r="C3921">
        <f>IF(OR(Registro_Compras!$C$439="",Registro_Compras!$O$439=""),"",IF(Registro_Compras!$F$439="RHE",IF(Registro_Compras!$V$439=0,"","40172"),IF(Registro_Compras!$F$439="NOTA DE CREDITO",IF(Registro_Compras!$M$439="","63",Registro_Compras!$M$439),IF(Registro_Compras!$K$439=0,"","40111"))))</f>
        <v/>
      </c>
      <c r="D3921">
        <f>IF(OR(Registro_Compras!$C$439="",Registro_Compras!$O$439=""),"",IF(Registro_Compras!$F$439="RHE","Retencion Renta 4ta Categoria por Pagar",IF(Registro_Compras!$F$439="NOTA DE CREDITO","Gastos de Servicios Prestados por Terceros","IGV - Cuenta Propia (Credito Fiscal)")))</f>
        <v/>
      </c>
      <c r="E3921" s="20">
        <f>IF($C3921="","",IF(Registro_Compras!$F$439="FACTURA",ROUND(Registro_Compras!$K$439*Registro_Compras!$N$439,2),""))</f>
        <v/>
      </c>
      <c r="F3921" s="20">
        <f>IF($C3921="","",IF(Registro_Compras!$F$439="RHE",ROUND(Registro_Compras!$V$439*Registro_Compras!$N$439,2),IF(Registro_Compras!$F$439="NOTA DE CREDITO",ROUND(ABS(Registro_Compras!$J$439*Registro_Compras!$N$439),2),"")))</f>
        <v/>
      </c>
      <c r="G3921">
        <f>IF($C3921="","",IF(Registro_Compras!$F$439="NOTA DE CREDITO","Por la nota de credito "&amp;Registro_Compras!$C$439&amp;" de "&amp;Registro_Compras!$E$439&amp;" [PATRON POR CONFIRMAR CON CONTADOR]",IF(Registro_Compras!$F$439="RHE","Por el registro del recibo por honorarios "&amp;Registro_Compras!$C$439&amp;" de "&amp;Registro_Compras!$E$439&amp;" [PATRON POR CONFIRMAR CON CONTADOR]","Por el registro de la factura "&amp;Registro_Compras!$C$439&amp;" de "&amp;Registro_Compras!$E$439)))</f>
        <v/>
      </c>
      <c r="H3921">
        <f>IF($C3921="","",Registro_Compras!$C$439)</f>
        <v/>
      </c>
    </row>
    <row r="3922">
      <c r="A3922" s="25">
        <f>IF($C3922="","",Registro_Compras!$B$439)</f>
        <v/>
      </c>
      <c r="B3922">
        <f>IF($C3922="","","C"&amp;TEXT(INT((ROW()-5)/9)+1,"000")&amp;"-1")</f>
        <v/>
      </c>
      <c r="C3922">
        <f>IF(OR(Registro_Compras!$C$439="",Registro_Compras!$O$439=""),"",IF(Registro_Compras!$F$439="NOTA DE CREDITO",IF(Registro_Compras!$K$439=0,"","40111"),"4212"))</f>
        <v/>
      </c>
      <c r="D3922">
        <f>IF(OR(Registro_Compras!$C$439="",Registro_Compras!$O$439=""),"",IF(Registro_Compras!$F$439="NOTA DE CREDITO","IGV - Cuenta Propia (Credito Fiscal)","Cuentas por Pagar Comerciales - Terceros (Emitidas)"))</f>
        <v/>
      </c>
      <c r="E3922" s="20">
        <f>""</f>
        <v/>
      </c>
      <c r="F3922" s="20">
        <f>IF($C3922="","",IF(Registro_Compras!$F$439="NOTA DE CREDITO",ROUND(ABS(Registro_Compras!$K$439*Registro_Compras!$N$439),2),IF(Registro_Compras!$F$439="RHE",(ROUND(Registro_Compras!$L$439*Registro_Compras!$N$439,2)-ROUND(Registro_Compras!$V$439*Registro_Compras!$N$439,2)),Registro_Compras!$O$439)))</f>
        <v/>
      </c>
      <c r="G3922">
        <f>IF($C3922="","",IF(Registro_Compras!$F$439="NOTA DE CREDITO","Por la nota de credito "&amp;Registro_Compras!$C$439&amp;" de "&amp;Registro_Compras!$E$439&amp;" [PATRON POR CONFIRMAR CON CONTADOR]",IF(Registro_Compras!$F$439="RHE","Por el registro del recibo por honorarios "&amp;Registro_Compras!$C$439&amp;" de "&amp;Registro_Compras!$E$439&amp;" [PATRON POR CONFIRMAR CON CONTADOR]","Por el registro de la factura "&amp;Registro_Compras!$C$439&amp;" de "&amp;Registro_Compras!$E$439)))</f>
        <v/>
      </c>
      <c r="H3922">
        <f>IF($C3922="","",Registro_Compras!$C$439)</f>
        <v/>
      </c>
    </row>
    <row r="3923">
      <c r="A3923" s="25">
        <f>IF($C3923="","",Registro_Compras!$B$439)</f>
        <v/>
      </c>
      <c r="B3923">
        <f>IF($C3923="","","C"&amp;TEXT(INT((ROW()-5)/9)+1,"000")&amp;"-2")</f>
        <v/>
      </c>
      <c r="C3923">
        <f>IF(OR(Registro_Compras!$C$439="",Registro_Compras!$O$439=""),"",IF(Registro_Compras!$AB$439="ADMINISTRATIVO","94","95"))</f>
        <v/>
      </c>
      <c r="D3923">
        <f>IF(OR(Registro_Compras!$C$439="",Registro_Compras!$O$439=""),"",IF(Registro_Compras!$AB$439="ADMINISTRATIVO","Gastos Administrativos","Gastos de Venta y Operacion"))</f>
        <v/>
      </c>
      <c r="E3923" s="20">
        <f>IF($C3923="","",IF(Registro_Compras!$F$439="NOTA DE CREDITO","",IF(Registro_Compras!$F$439="RHE",ROUND(Registro_Compras!$L$439*Registro_Compras!$N$439,2),ROUND(Registro_Compras!$J$439*Registro_Compras!$N$439,2))))</f>
        <v/>
      </c>
      <c r="F3923" s="20">
        <f>IF($C3923="","",IF(Registro_Compras!$F$439="NOTA DE CREDITO",ROUND(ABS(Registro_Compras!$J$439*Registro_Compras!$N$439),2),""))</f>
        <v/>
      </c>
      <c r="G3923">
        <f>IF($C3923="","","Por el destino del gasto")</f>
        <v/>
      </c>
      <c r="H3923">
        <f>IF($C3923="","",Registro_Compras!$C$439)</f>
        <v/>
      </c>
    </row>
    <row r="3924">
      <c r="A3924" s="25">
        <f>IF($C3924="","",Registro_Compras!$B$439)</f>
        <v/>
      </c>
      <c r="B3924">
        <f>IF($C3924="","","C"&amp;TEXT(INT((ROW()-5)/9)+1,"000")&amp;"-2")</f>
        <v/>
      </c>
      <c r="C3924">
        <f>IF(OR(Registro_Compras!$C$439="",Registro_Compras!$O$439=""),"","79/791")</f>
        <v/>
      </c>
      <c r="D3924">
        <f>IF(OR(Registro_Compras!$C$439="",Registro_Compras!$O$439=""),"","Cargas Imputables a Cuentas de Costos y Gastos")</f>
        <v/>
      </c>
      <c r="E3924" s="20">
        <f>IF($C3924="","",IF(Registro_Compras!$F$439="NOTA DE CREDITO",ROUND(ABS(Registro_Compras!$J$439*Registro_Compras!$N$439),2),""))</f>
        <v/>
      </c>
      <c r="F3924" s="20">
        <f>IF($C3924="","",IF(Registro_Compras!$F$439="NOTA DE CREDITO","",IF(Registro_Compras!$F$439="RHE",ROUND(Registro_Compras!$L$439*Registro_Compras!$N$439,2),ROUND(Registro_Compras!$J$439*Registro_Compras!$N$439,2))))</f>
        <v/>
      </c>
      <c r="G3924">
        <f>IF($C3924="","","Por el destino del gasto")</f>
        <v/>
      </c>
      <c r="H3924">
        <f>IF($C3924="","",Registro_Compras!$C$439)</f>
        <v/>
      </c>
    </row>
    <row r="3925">
      <c r="A3925" s="25">
        <f>IF($C3925="","",Registro_Compras!$X$439)</f>
        <v/>
      </c>
      <c r="B3925">
        <f>IF($C3925="","","C"&amp;TEXT(INT((ROW()-5)/9)+1,"000")&amp;"-3")</f>
        <v/>
      </c>
      <c r="C3925">
        <f>IF(OR(Registro_Compras!$C$439="",Registro_Compras!$O$439="",Registro_Compras!$R$439&lt;&gt;"SI",Registro_Compras!$X$439=""),"","4212")</f>
        <v/>
      </c>
      <c r="D3925">
        <f>IF(OR(Registro_Compras!$C$439="",Registro_Compras!$O$439=""),"","Cuentas por Pagar Comerciales - Terceros")</f>
        <v/>
      </c>
      <c r="E3925" s="20">
        <f>IF($C3925="","",Registro_Compras!$S$439)</f>
        <v/>
      </c>
      <c r="F3925" s="20">
        <f>""</f>
        <v/>
      </c>
      <c r="G3925">
        <f>IF($C3925="","","Por el deposito de la detraccion en el Banco de la Nacion")</f>
        <v/>
      </c>
      <c r="H3925">
        <f>IF($C3925="","",Registro_Compras!$C$439)</f>
        <v/>
      </c>
    </row>
    <row r="3926">
      <c r="A3926" s="25">
        <f>IF($C3926="","",Registro_Compras!$X$439)</f>
        <v/>
      </c>
      <c r="B3926">
        <f>IF($C3926="","","C"&amp;TEXT(INT((ROW()-5)/9)+1,"000")&amp;"-3")</f>
        <v/>
      </c>
      <c r="C3926">
        <f>IF(OR(Registro_Compras!$C$439="",Registro_Compras!$O$439="",Registro_Compras!$R$439&lt;&gt;"SI",Registro_Compras!$X$439=""),"","10413")</f>
        <v/>
      </c>
      <c r="D3926">
        <f>IF(OR(Registro_Compras!$C$439="",Registro_Compras!$O$439=""),"","Efectivo y Equivalentes - Cta. Cte. Operativa")</f>
        <v/>
      </c>
      <c r="E3926" s="20">
        <f>""</f>
        <v/>
      </c>
      <c r="F3926" s="20">
        <f>IF($C3926="","",Registro_Compras!$S$439)</f>
        <v/>
      </c>
      <c r="G3926">
        <f>IF($C3926="","","Por el deposito de la detraccion en el Banco de la Nacion")</f>
        <v/>
      </c>
      <c r="H3926">
        <f>IF($C3926="","",Registro_Compras!$C$439)</f>
        <v/>
      </c>
    </row>
    <row r="3927">
      <c r="A3927" s="25">
        <f>IF($C3927="","",Registro_Compras!$Y$439)</f>
        <v/>
      </c>
      <c r="B3927">
        <f>IF($C3927="","","C"&amp;TEXT(INT((ROW()-5)/9)+1,"000")&amp;"-4")</f>
        <v/>
      </c>
      <c r="C3927">
        <f>IF(OR(Registro_Compras!$C$439="",Registro_Compras!$O$439="",Registro_Compras!$Y$439="",Registro_Compras!$F$439="NOTA DE CREDITO"),"","4212")</f>
        <v/>
      </c>
      <c r="D3927">
        <f>IF(OR(Registro_Compras!$C$439="",Registro_Compras!$O$439=""),"","Cuentas por Pagar Comerciales - Terceros")</f>
        <v/>
      </c>
      <c r="E3927" s="20">
        <f>IF($C3927="","",IF(Registro_Compras!$F$439="RHE",(ROUND(Registro_Compras!$L$439*Registro_Compras!$N$439,2)-ROUND(Registro_Compras!$V$439*Registro_Compras!$N$439,2)),ROUND(Registro_Compras!$O$439-Registro_Compras!$S$439,2)))</f>
        <v/>
      </c>
      <c r="F3927" s="20">
        <f>""</f>
        <v/>
      </c>
      <c r="G3927">
        <f>IF($C3927="","","Por la cancelacion del saldo al proveedor")</f>
        <v/>
      </c>
      <c r="H3927">
        <f>IF($C3927="","",Registro_Compras!$C$439)</f>
        <v/>
      </c>
    </row>
    <row r="3928">
      <c r="A3928" s="25">
        <f>IF($C3928="","",Registro_Compras!$Y$439)</f>
        <v/>
      </c>
      <c r="B3928">
        <f>IF($C3928="","","C"&amp;TEXT(INT((ROW()-5)/9)+1,"000")&amp;"-4")</f>
        <v/>
      </c>
      <c r="C3928">
        <f>IF(OR(Registro_Compras!$C$439="",Registro_Compras!$O$439="",Registro_Compras!$Y$439="",Registro_Compras!$F$439="NOTA DE CREDITO"),"","10413")</f>
        <v/>
      </c>
      <c r="D3928">
        <f>IF(OR(Registro_Compras!$C$439="",Registro_Compras!$O$439=""),"","Efectivo y Equivalentes - Cta. Cte. Operativa")</f>
        <v/>
      </c>
      <c r="E3928" s="20">
        <f>""</f>
        <v/>
      </c>
      <c r="F3928" s="20">
        <f>IF($C3928="","",IF(Registro_Compras!$F$439="RHE",(ROUND(Registro_Compras!$L$439*Registro_Compras!$N$439,2)-ROUND(Registro_Compras!$V$439*Registro_Compras!$N$439,2)),ROUND(Registro_Compras!$O$439-Registro_Compras!$S$439,2)))</f>
        <v/>
      </c>
      <c r="G3928">
        <f>IF($C3928="","","Por la cancelacion del saldo al proveedor")</f>
        <v/>
      </c>
      <c r="H3928">
        <f>IF($C3928="","",Registro_Compras!$C$439)</f>
        <v/>
      </c>
    </row>
    <row r="3929">
      <c r="A3929" s="25">
        <f>IF($C3929="","",Registro_Compras!$B$440)</f>
        <v/>
      </c>
      <c r="B3929">
        <f>IF($C3929="","","C"&amp;TEXT(INT((ROW()-5)/9)+1,"000")&amp;"-1")</f>
        <v/>
      </c>
      <c r="C3929">
        <f>IF(OR(Registro_Compras!$C$440="",Registro_Compras!$O$440=""),"",IF(Registro_Compras!$F$440="NOTA DE CREDITO","4212",IF(Registro_Compras!$M$440="","63",Registro_Compras!$M$440)))</f>
        <v/>
      </c>
      <c r="D3929">
        <f>IF(OR(Registro_Compras!$C$440="",Registro_Compras!$O$440=""),"",IF(Registro_Compras!$F$440="NOTA DE CREDITO","Cuentas por Pagar Comerciales - Terceros (Emitidas)",IF(Registro_Compras!$F$440="RHE","Honorarios Profesionales - Servicios de Terceros","Gastos de Servicios Prestados por Terceros")))</f>
        <v/>
      </c>
      <c r="E3929" s="20">
        <f>IF($C3929="","",IF(Registro_Compras!$F$440="NOTA DE CREDITO",ABS(Registro_Compras!$O$440),IF(Registro_Compras!$F$440="RHE",ROUND(Registro_Compras!$L$440*Registro_Compras!$N$440,2),ROUND(Registro_Compras!$J$440*Registro_Compras!$N$440,2))))</f>
        <v/>
      </c>
      <c r="F3929" s="20">
        <f>""</f>
        <v/>
      </c>
      <c r="G3929">
        <f>IF($C3929="","",IF(Registro_Compras!$F$440="NOTA DE CREDITO","Por la nota de credito "&amp;Registro_Compras!$C$440&amp;" de "&amp;Registro_Compras!$E$440&amp;" [PATRON POR CONFIRMAR CON CONTADOR]",IF(Registro_Compras!$F$440="RHE","Por el registro del recibo por honorarios "&amp;Registro_Compras!$C$440&amp;" de "&amp;Registro_Compras!$E$440&amp;" [PATRON POR CONFIRMAR CON CONTADOR]","Por el registro de la factura "&amp;Registro_Compras!$C$440&amp;" de "&amp;Registro_Compras!$E$440)))</f>
        <v/>
      </c>
      <c r="H3929">
        <f>IF($C3929="","",Registro_Compras!$C$440)</f>
        <v/>
      </c>
    </row>
    <row r="3930">
      <c r="A3930" s="25">
        <f>IF($C3930="","",Registro_Compras!$B$440)</f>
        <v/>
      </c>
      <c r="B3930">
        <f>IF($C3930="","","C"&amp;TEXT(INT((ROW()-5)/9)+1,"000")&amp;"-1")</f>
        <v/>
      </c>
      <c r="C3930">
        <f>IF(OR(Registro_Compras!$C$440="",Registro_Compras!$O$440=""),"",IF(Registro_Compras!$F$440="RHE",IF(Registro_Compras!$V$440=0,"","40172"),IF(Registro_Compras!$F$440="NOTA DE CREDITO",IF(Registro_Compras!$M$440="","63",Registro_Compras!$M$440),IF(Registro_Compras!$K$440=0,"","40111"))))</f>
        <v/>
      </c>
      <c r="D3930">
        <f>IF(OR(Registro_Compras!$C$440="",Registro_Compras!$O$440=""),"",IF(Registro_Compras!$F$440="RHE","Retencion Renta 4ta Categoria por Pagar",IF(Registro_Compras!$F$440="NOTA DE CREDITO","Gastos de Servicios Prestados por Terceros","IGV - Cuenta Propia (Credito Fiscal)")))</f>
        <v/>
      </c>
      <c r="E3930" s="20">
        <f>IF($C3930="","",IF(Registro_Compras!$F$440="FACTURA",ROUND(Registro_Compras!$K$440*Registro_Compras!$N$440,2),""))</f>
        <v/>
      </c>
      <c r="F3930" s="20">
        <f>IF($C3930="","",IF(Registro_Compras!$F$440="RHE",ROUND(Registro_Compras!$V$440*Registro_Compras!$N$440,2),IF(Registro_Compras!$F$440="NOTA DE CREDITO",ROUND(ABS(Registro_Compras!$J$440*Registro_Compras!$N$440),2),"")))</f>
        <v/>
      </c>
      <c r="G3930">
        <f>IF($C3930="","",IF(Registro_Compras!$F$440="NOTA DE CREDITO","Por la nota de credito "&amp;Registro_Compras!$C$440&amp;" de "&amp;Registro_Compras!$E$440&amp;" [PATRON POR CONFIRMAR CON CONTADOR]",IF(Registro_Compras!$F$440="RHE","Por el registro del recibo por honorarios "&amp;Registro_Compras!$C$440&amp;" de "&amp;Registro_Compras!$E$440&amp;" [PATRON POR CONFIRMAR CON CONTADOR]","Por el registro de la factura "&amp;Registro_Compras!$C$440&amp;" de "&amp;Registro_Compras!$E$440)))</f>
        <v/>
      </c>
      <c r="H3930">
        <f>IF($C3930="","",Registro_Compras!$C$440)</f>
        <v/>
      </c>
    </row>
    <row r="3931">
      <c r="A3931" s="25">
        <f>IF($C3931="","",Registro_Compras!$B$440)</f>
        <v/>
      </c>
      <c r="B3931">
        <f>IF($C3931="","","C"&amp;TEXT(INT((ROW()-5)/9)+1,"000")&amp;"-1")</f>
        <v/>
      </c>
      <c r="C3931">
        <f>IF(OR(Registro_Compras!$C$440="",Registro_Compras!$O$440=""),"",IF(Registro_Compras!$F$440="NOTA DE CREDITO",IF(Registro_Compras!$K$440=0,"","40111"),"4212"))</f>
        <v/>
      </c>
      <c r="D3931">
        <f>IF(OR(Registro_Compras!$C$440="",Registro_Compras!$O$440=""),"",IF(Registro_Compras!$F$440="NOTA DE CREDITO","IGV - Cuenta Propia (Credito Fiscal)","Cuentas por Pagar Comerciales - Terceros (Emitidas)"))</f>
        <v/>
      </c>
      <c r="E3931" s="20">
        <f>""</f>
        <v/>
      </c>
      <c r="F3931" s="20">
        <f>IF($C3931="","",IF(Registro_Compras!$F$440="NOTA DE CREDITO",ROUND(ABS(Registro_Compras!$K$440*Registro_Compras!$N$440),2),IF(Registro_Compras!$F$440="RHE",(ROUND(Registro_Compras!$L$440*Registro_Compras!$N$440,2)-ROUND(Registro_Compras!$V$440*Registro_Compras!$N$440,2)),Registro_Compras!$O$440)))</f>
        <v/>
      </c>
      <c r="G3931">
        <f>IF($C3931="","",IF(Registro_Compras!$F$440="NOTA DE CREDITO","Por la nota de credito "&amp;Registro_Compras!$C$440&amp;" de "&amp;Registro_Compras!$E$440&amp;" [PATRON POR CONFIRMAR CON CONTADOR]",IF(Registro_Compras!$F$440="RHE","Por el registro del recibo por honorarios "&amp;Registro_Compras!$C$440&amp;" de "&amp;Registro_Compras!$E$440&amp;" [PATRON POR CONFIRMAR CON CONTADOR]","Por el registro de la factura "&amp;Registro_Compras!$C$440&amp;" de "&amp;Registro_Compras!$E$440)))</f>
        <v/>
      </c>
      <c r="H3931">
        <f>IF($C3931="","",Registro_Compras!$C$440)</f>
        <v/>
      </c>
    </row>
    <row r="3932">
      <c r="A3932" s="25">
        <f>IF($C3932="","",Registro_Compras!$B$440)</f>
        <v/>
      </c>
      <c r="B3932">
        <f>IF($C3932="","","C"&amp;TEXT(INT((ROW()-5)/9)+1,"000")&amp;"-2")</f>
        <v/>
      </c>
      <c r="C3932">
        <f>IF(OR(Registro_Compras!$C$440="",Registro_Compras!$O$440=""),"",IF(Registro_Compras!$AB$440="ADMINISTRATIVO","94","95"))</f>
        <v/>
      </c>
      <c r="D3932">
        <f>IF(OR(Registro_Compras!$C$440="",Registro_Compras!$O$440=""),"",IF(Registro_Compras!$AB$440="ADMINISTRATIVO","Gastos Administrativos","Gastos de Venta y Operacion"))</f>
        <v/>
      </c>
      <c r="E3932" s="20">
        <f>IF($C3932="","",IF(Registro_Compras!$F$440="NOTA DE CREDITO","",IF(Registro_Compras!$F$440="RHE",ROUND(Registro_Compras!$L$440*Registro_Compras!$N$440,2),ROUND(Registro_Compras!$J$440*Registro_Compras!$N$440,2))))</f>
        <v/>
      </c>
      <c r="F3932" s="20">
        <f>IF($C3932="","",IF(Registro_Compras!$F$440="NOTA DE CREDITO",ROUND(ABS(Registro_Compras!$J$440*Registro_Compras!$N$440),2),""))</f>
        <v/>
      </c>
      <c r="G3932">
        <f>IF($C3932="","","Por el destino del gasto")</f>
        <v/>
      </c>
      <c r="H3932">
        <f>IF($C3932="","",Registro_Compras!$C$440)</f>
        <v/>
      </c>
    </row>
    <row r="3933">
      <c r="A3933" s="25">
        <f>IF($C3933="","",Registro_Compras!$B$440)</f>
        <v/>
      </c>
      <c r="B3933">
        <f>IF($C3933="","","C"&amp;TEXT(INT((ROW()-5)/9)+1,"000")&amp;"-2")</f>
        <v/>
      </c>
      <c r="C3933">
        <f>IF(OR(Registro_Compras!$C$440="",Registro_Compras!$O$440=""),"","79/791")</f>
        <v/>
      </c>
      <c r="D3933">
        <f>IF(OR(Registro_Compras!$C$440="",Registro_Compras!$O$440=""),"","Cargas Imputables a Cuentas de Costos y Gastos")</f>
        <v/>
      </c>
      <c r="E3933" s="20">
        <f>IF($C3933="","",IF(Registro_Compras!$F$440="NOTA DE CREDITO",ROUND(ABS(Registro_Compras!$J$440*Registro_Compras!$N$440),2),""))</f>
        <v/>
      </c>
      <c r="F3933" s="20">
        <f>IF($C3933="","",IF(Registro_Compras!$F$440="NOTA DE CREDITO","",IF(Registro_Compras!$F$440="RHE",ROUND(Registro_Compras!$L$440*Registro_Compras!$N$440,2),ROUND(Registro_Compras!$J$440*Registro_Compras!$N$440,2))))</f>
        <v/>
      </c>
      <c r="G3933">
        <f>IF($C3933="","","Por el destino del gasto")</f>
        <v/>
      </c>
      <c r="H3933">
        <f>IF($C3933="","",Registro_Compras!$C$440)</f>
        <v/>
      </c>
    </row>
    <row r="3934">
      <c r="A3934" s="25">
        <f>IF($C3934="","",Registro_Compras!$X$440)</f>
        <v/>
      </c>
      <c r="B3934">
        <f>IF($C3934="","","C"&amp;TEXT(INT((ROW()-5)/9)+1,"000")&amp;"-3")</f>
        <v/>
      </c>
      <c r="C3934">
        <f>IF(OR(Registro_Compras!$C$440="",Registro_Compras!$O$440="",Registro_Compras!$R$440&lt;&gt;"SI",Registro_Compras!$X$440=""),"","4212")</f>
        <v/>
      </c>
      <c r="D3934">
        <f>IF(OR(Registro_Compras!$C$440="",Registro_Compras!$O$440=""),"","Cuentas por Pagar Comerciales - Terceros")</f>
        <v/>
      </c>
      <c r="E3934" s="20">
        <f>IF($C3934="","",Registro_Compras!$S$440)</f>
        <v/>
      </c>
      <c r="F3934" s="20">
        <f>""</f>
        <v/>
      </c>
      <c r="G3934">
        <f>IF($C3934="","","Por el deposito de la detraccion en el Banco de la Nacion")</f>
        <v/>
      </c>
      <c r="H3934">
        <f>IF($C3934="","",Registro_Compras!$C$440)</f>
        <v/>
      </c>
    </row>
    <row r="3935">
      <c r="A3935" s="25">
        <f>IF($C3935="","",Registro_Compras!$X$440)</f>
        <v/>
      </c>
      <c r="B3935">
        <f>IF($C3935="","","C"&amp;TEXT(INT((ROW()-5)/9)+1,"000")&amp;"-3")</f>
        <v/>
      </c>
      <c r="C3935">
        <f>IF(OR(Registro_Compras!$C$440="",Registro_Compras!$O$440="",Registro_Compras!$R$440&lt;&gt;"SI",Registro_Compras!$X$440=""),"","10413")</f>
        <v/>
      </c>
      <c r="D3935">
        <f>IF(OR(Registro_Compras!$C$440="",Registro_Compras!$O$440=""),"","Efectivo y Equivalentes - Cta. Cte. Operativa")</f>
        <v/>
      </c>
      <c r="E3935" s="20">
        <f>""</f>
        <v/>
      </c>
      <c r="F3935" s="20">
        <f>IF($C3935="","",Registro_Compras!$S$440)</f>
        <v/>
      </c>
      <c r="G3935">
        <f>IF($C3935="","","Por el deposito de la detraccion en el Banco de la Nacion")</f>
        <v/>
      </c>
      <c r="H3935">
        <f>IF($C3935="","",Registro_Compras!$C$440)</f>
        <v/>
      </c>
    </row>
    <row r="3936">
      <c r="A3936" s="25">
        <f>IF($C3936="","",Registro_Compras!$Y$440)</f>
        <v/>
      </c>
      <c r="B3936">
        <f>IF($C3936="","","C"&amp;TEXT(INT((ROW()-5)/9)+1,"000")&amp;"-4")</f>
        <v/>
      </c>
      <c r="C3936">
        <f>IF(OR(Registro_Compras!$C$440="",Registro_Compras!$O$440="",Registro_Compras!$Y$440="",Registro_Compras!$F$440="NOTA DE CREDITO"),"","4212")</f>
        <v/>
      </c>
      <c r="D3936">
        <f>IF(OR(Registro_Compras!$C$440="",Registro_Compras!$O$440=""),"","Cuentas por Pagar Comerciales - Terceros")</f>
        <v/>
      </c>
      <c r="E3936" s="20">
        <f>IF($C3936="","",IF(Registro_Compras!$F$440="RHE",(ROUND(Registro_Compras!$L$440*Registro_Compras!$N$440,2)-ROUND(Registro_Compras!$V$440*Registro_Compras!$N$440,2)),ROUND(Registro_Compras!$O$440-Registro_Compras!$S$440,2)))</f>
        <v/>
      </c>
      <c r="F3936" s="20">
        <f>""</f>
        <v/>
      </c>
      <c r="G3936">
        <f>IF($C3936="","","Por la cancelacion del saldo al proveedor")</f>
        <v/>
      </c>
      <c r="H3936">
        <f>IF($C3936="","",Registro_Compras!$C$440)</f>
        <v/>
      </c>
    </row>
    <row r="3937">
      <c r="A3937" s="25">
        <f>IF($C3937="","",Registro_Compras!$Y$440)</f>
        <v/>
      </c>
      <c r="B3937">
        <f>IF($C3937="","","C"&amp;TEXT(INT((ROW()-5)/9)+1,"000")&amp;"-4")</f>
        <v/>
      </c>
      <c r="C3937">
        <f>IF(OR(Registro_Compras!$C$440="",Registro_Compras!$O$440="",Registro_Compras!$Y$440="",Registro_Compras!$F$440="NOTA DE CREDITO"),"","10413")</f>
        <v/>
      </c>
      <c r="D3937">
        <f>IF(OR(Registro_Compras!$C$440="",Registro_Compras!$O$440=""),"","Efectivo y Equivalentes - Cta. Cte. Operativa")</f>
        <v/>
      </c>
      <c r="E3937" s="20">
        <f>""</f>
        <v/>
      </c>
      <c r="F3937" s="20">
        <f>IF($C3937="","",IF(Registro_Compras!$F$440="RHE",(ROUND(Registro_Compras!$L$440*Registro_Compras!$N$440,2)-ROUND(Registro_Compras!$V$440*Registro_Compras!$N$440,2)),ROUND(Registro_Compras!$O$440-Registro_Compras!$S$440,2)))</f>
        <v/>
      </c>
      <c r="G3937">
        <f>IF($C3937="","","Por la cancelacion del saldo al proveedor")</f>
        <v/>
      </c>
      <c r="H3937">
        <f>IF($C3937="","",Registro_Compras!$C$440)</f>
        <v/>
      </c>
    </row>
    <row r="3938">
      <c r="A3938" s="25">
        <f>IF($C3938="","",Registro_Compras!$B$441)</f>
        <v/>
      </c>
      <c r="B3938">
        <f>IF($C3938="","","C"&amp;TEXT(INT((ROW()-5)/9)+1,"000")&amp;"-1")</f>
        <v/>
      </c>
      <c r="C3938">
        <f>IF(OR(Registro_Compras!$C$441="",Registro_Compras!$O$441=""),"",IF(Registro_Compras!$F$441="NOTA DE CREDITO","4212",IF(Registro_Compras!$M$441="","63",Registro_Compras!$M$441)))</f>
        <v/>
      </c>
      <c r="D3938">
        <f>IF(OR(Registro_Compras!$C$441="",Registro_Compras!$O$441=""),"",IF(Registro_Compras!$F$441="NOTA DE CREDITO","Cuentas por Pagar Comerciales - Terceros (Emitidas)",IF(Registro_Compras!$F$441="RHE","Honorarios Profesionales - Servicios de Terceros","Gastos de Servicios Prestados por Terceros")))</f>
        <v/>
      </c>
      <c r="E3938" s="20">
        <f>IF($C3938="","",IF(Registro_Compras!$F$441="NOTA DE CREDITO",ABS(Registro_Compras!$O$441),IF(Registro_Compras!$F$441="RHE",ROUND(Registro_Compras!$L$441*Registro_Compras!$N$441,2),ROUND(Registro_Compras!$J$441*Registro_Compras!$N$441,2))))</f>
        <v/>
      </c>
      <c r="F3938" s="20">
        <f>""</f>
        <v/>
      </c>
      <c r="G3938">
        <f>IF($C3938="","",IF(Registro_Compras!$F$441="NOTA DE CREDITO","Por la nota de credito "&amp;Registro_Compras!$C$441&amp;" de "&amp;Registro_Compras!$E$441&amp;" [PATRON POR CONFIRMAR CON CONTADOR]",IF(Registro_Compras!$F$441="RHE","Por el registro del recibo por honorarios "&amp;Registro_Compras!$C$441&amp;" de "&amp;Registro_Compras!$E$441&amp;" [PATRON POR CONFIRMAR CON CONTADOR]","Por el registro de la factura "&amp;Registro_Compras!$C$441&amp;" de "&amp;Registro_Compras!$E$441)))</f>
        <v/>
      </c>
      <c r="H3938">
        <f>IF($C3938="","",Registro_Compras!$C$441)</f>
        <v/>
      </c>
    </row>
    <row r="3939">
      <c r="A3939" s="25">
        <f>IF($C3939="","",Registro_Compras!$B$441)</f>
        <v/>
      </c>
      <c r="B3939">
        <f>IF($C3939="","","C"&amp;TEXT(INT((ROW()-5)/9)+1,"000")&amp;"-1")</f>
        <v/>
      </c>
      <c r="C3939">
        <f>IF(OR(Registro_Compras!$C$441="",Registro_Compras!$O$441=""),"",IF(Registro_Compras!$F$441="RHE",IF(Registro_Compras!$V$441=0,"","40172"),IF(Registro_Compras!$F$441="NOTA DE CREDITO",IF(Registro_Compras!$M$441="","63",Registro_Compras!$M$441),IF(Registro_Compras!$K$441=0,"","40111"))))</f>
        <v/>
      </c>
      <c r="D3939">
        <f>IF(OR(Registro_Compras!$C$441="",Registro_Compras!$O$441=""),"",IF(Registro_Compras!$F$441="RHE","Retencion Renta 4ta Categoria por Pagar",IF(Registro_Compras!$F$441="NOTA DE CREDITO","Gastos de Servicios Prestados por Terceros","IGV - Cuenta Propia (Credito Fiscal)")))</f>
        <v/>
      </c>
      <c r="E3939" s="20">
        <f>IF($C3939="","",IF(Registro_Compras!$F$441="FACTURA",ROUND(Registro_Compras!$K$441*Registro_Compras!$N$441,2),""))</f>
        <v/>
      </c>
      <c r="F3939" s="20">
        <f>IF($C3939="","",IF(Registro_Compras!$F$441="RHE",ROUND(Registro_Compras!$V$441*Registro_Compras!$N$441,2),IF(Registro_Compras!$F$441="NOTA DE CREDITO",ROUND(ABS(Registro_Compras!$J$441*Registro_Compras!$N$441),2),"")))</f>
        <v/>
      </c>
      <c r="G3939">
        <f>IF($C3939="","",IF(Registro_Compras!$F$441="NOTA DE CREDITO","Por la nota de credito "&amp;Registro_Compras!$C$441&amp;" de "&amp;Registro_Compras!$E$441&amp;" [PATRON POR CONFIRMAR CON CONTADOR]",IF(Registro_Compras!$F$441="RHE","Por el registro del recibo por honorarios "&amp;Registro_Compras!$C$441&amp;" de "&amp;Registro_Compras!$E$441&amp;" [PATRON POR CONFIRMAR CON CONTADOR]","Por el registro de la factura "&amp;Registro_Compras!$C$441&amp;" de "&amp;Registro_Compras!$E$441)))</f>
        <v/>
      </c>
      <c r="H3939">
        <f>IF($C3939="","",Registro_Compras!$C$441)</f>
        <v/>
      </c>
    </row>
    <row r="3940">
      <c r="A3940" s="25">
        <f>IF($C3940="","",Registro_Compras!$B$441)</f>
        <v/>
      </c>
      <c r="B3940">
        <f>IF($C3940="","","C"&amp;TEXT(INT((ROW()-5)/9)+1,"000")&amp;"-1")</f>
        <v/>
      </c>
      <c r="C3940">
        <f>IF(OR(Registro_Compras!$C$441="",Registro_Compras!$O$441=""),"",IF(Registro_Compras!$F$441="NOTA DE CREDITO",IF(Registro_Compras!$K$441=0,"","40111"),"4212"))</f>
        <v/>
      </c>
      <c r="D3940">
        <f>IF(OR(Registro_Compras!$C$441="",Registro_Compras!$O$441=""),"",IF(Registro_Compras!$F$441="NOTA DE CREDITO","IGV - Cuenta Propia (Credito Fiscal)","Cuentas por Pagar Comerciales - Terceros (Emitidas)"))</f>
        <v/>
      </c>
      <c r="E3940" s="20">
        <f>""</f>
        <v/>
      </c>
      <c r="F3940" s="20">
        <f>IF($C3940="","",IF(Registro_Compras!$F$441="NOTA DE CREDITO",ROUND(ABS(Registro_Compras!$K$441*Registro_Compras!$N$441),2),IF(Registro_Compras!$F$441="RHE",(ROUND(Registro_Compras!$L$441*Registro_Compras!$N$441,2)-ROUND(Registro_Compras!$V$441*Registro_Compras!$N$441,2)),Registro_Compras!$O$441)))</f>
        <v/>
      </c>
      <c r="G3940">
        <f>IF($C3940="","",IF(Registro_Compras!$F$441="NOTA DE CREDITO","Por la nota de credito "&amp;Registro_Compras!$C$441&amp;" de "&amp;Registro_Compras!$E$441&amp;" [PATRON POR CONFIRMAR CON CONTADOR]",IF(Registro_Compras!$F$441="RHE","Por el registro del recibo por honorarios "&amp;Registro_Compras!$C$441&amp;" de "&amp;Registro_Compras!$E$441&amp;" [PATRON POR CONFIRMAR CON CONTADOR]","Por el registro de la factura "&amp;Registro_Compras!$C$441&amp;" de "&amp;Registro_Compras!$E$441)))</f>
        <v/>
      </c>
      <c r="H3940">
        <f>IF($C3940="","",Registro_Compras!$C$441)</f>
        <v/>
      </c>
    </row>
    <row r="3941">
      <c r="A3941" s="25">
        <f>IF($C3941="","",Registro_Compras!$B$441)</f>
        <v/>
      </c>
      <c r="B3941">
        <f>IF($C3941="","","C"&amp;TEXT(INT((ROW()-5)/9)+1,"000")&amp;"-2")</f>
        <v/>
      </c>
      <c r="C3941">
        <f>IF(OR(Registro_Compras!$C$441="",Registro_Compras!$O$441=""),"",IF(Registro_Compras!$AB$441="ADMINISTRATIVO","94","95"))</f>
        <v/>
      </c>
      <c r="D3941">
        <f>IF(OR(Registro_Compras!$C$441="",Registro_Compras!$O$441=""),"",IF(Registro_Compras!$AB$441="ADMINISTRATIVO","Gastos Administrativos","Gastos de Venta y Operacion"))</f>
        <v/>
      </c>
      <c r="E3941" s="20">
        <f>IF($C3941="","",IF(Registro_Compras!$F$441="NOTA DE CREDITO","",IF(Registro_Compras!$F$441="RHE",ROUND(Registro_Compras!$L$441*Registro_Compras!$N$441,2),ROUND(Registro_Compras!$J$441*Registro_Compras!$N$441,2))))</f>
        <v/>
      </c>
      <c r="F3941" s="20">
        <f>IF($C3941="","",IF(Registro_Compras!$F$441="NOTA DE CREDITO",ROUND(ABS(Registro_Compras!$J$441*Registro_Compras!$N$441),2),""))</f>
        <v/>
      </c>
      <c r="G3941">
        <f>IF($C3941="","","Por el destino del gasto")</f>
        <v/>
      </c>
      <c r="H3941">
        <f>IF($C3941="","",Registro_Compras!$C$441)</f>
        <v/>
      </c>
    </row>
    <row r="3942">
      <c r="A3942" s="25">
        <f>IF($C3942="","",Registro_Compras!$B$441)</f>
        <v/>
      </c>
      <c r="B3942">
        <f>IF($C3942="","","C"&amp;TEXT(INT((ROW()-5)/9)+1,"000")&amp;"-2")</f>
        <v/>
      </c>
      <c r="C3942">
        <f>IF(OR(Registro_Compras!$C$441="",Registro_Compras!$O$441=""),"","79/791")</f>
        <v/>
      </c>
      <c r="D3942">
        <f>IF(OR(Registro_Compras!$C$441="",Registro_Compras!$O$441=""),"","Cargas Imputables a Cuentas de Costos y Gastos")</f>
        <v/>
      </c>
      <c r="E3942" s="20">
        <f>IF($C3942="","",IF(Registro_Compras!$F$441="NOTA DE CREDITO",ROUND(ABS(Registro_Compras!$J$441*Registro_Compras!$N$441),2),""))</f>
        <v/>
      </c>
      <c r="F3942" s="20">
        <f>IF($C3942="","",IF(Registro_Compras!$F$441="NOTA DE CREDITO","",IF(Registro_Compras!$F$441="RHE",ROUND(Registro_Compras!$L$441*Registro_Compras!$N$441,2),ROUND(Registro_Compras!$J$441*Registro_Compras!$N$441,2))))</f>
        <v/>
      </c>
      <c r="G3942">
        <f>IF($C3942="","","Por el destino del gasto")</f>
        <v/>
      </c>
      <c r="H3942">
        <f>IF($C3942="","",Registro_Compras!$C$441)</f>
        <v/>
      </c>
    </row>
    <row r="3943">
      <c r="A3943" s="25">
        <f>IF($C3943="","",Registro_Compras!$X$441)</f>
        <v/>
      </c>
      <c r="B3943">
        <f>IF($C3943="","","C"&amp;TEXT(INT((ROW()-5)/9)+1,"000")&amp;"-3")</f>
        <v/>
      </c>
      <c r="C3943">
        <f>IF(OR(Registro_Compras!$C$441="",Registro_Compras!$O$441="",Registro_Compras!$R$441&lt;&gt;"SI",Registro_Compras!$X$441=""),"","4212")</f>
        <v/>
      </c>
      <c r="D3943">
        <f>IF(OR(Registro_Compras!$C$441="",Registro_Compras!$O$441=""),"","Cuentas por Pagar Comerciales - Terceros")</f>
        <v/>
      </c>
      <c r="E3943" s="20">
        <f>IF($C3943="","",Registro_Compras!$S$441)</f>
        <v/>
      </c>
      <c r="F3943" s="20">
        <f>""</f>
        <v/>
      </c>
      <c r="G3943">
        <f>IF($C3943="","","Por el deposito de la detraccion en el Banco de la Nacion")</f>
        <v/>
      </c>
      <c r="H3943">
        <f>IF($C3943="","",Registro_Compras!$C$441)</f>
        <v/>
      </c>
    </row>
    <row r="3944">
      <c r="A3944" s="25">
        <f>IF($C3944="","",Registro_Compras!$X$441)</f>
        <v/>
      </c>
      <c r="B3944">
        <f>IF($C3944="","","C"&amp;TEXT(INT((ROW()-5)/9)+1,"000")&amp;"-3")</f>
        <v/>
      </c>
      <c r="C3944">
        <f>IF(OR(Registro_Compras!$C$441="",Registro_Compras!$O$441="",Registro_Compras!$R$441&lt;&gt;"SI",Registro_Compras!$X$441=""),"","10413")</f>
        <v/>
      </c>
      <c r="D3944">
        <f>IF(OR(Registro_Compras!$C$441="",Registro_Compras!$O$441=""),"","Efectivo y Equivalentes - Cta. Cte. Operativa")</f>
        <v/>
      </c>
      <c r="E3944" s="20">
        <f>""</f>
        <v/>
      </c>
      <c r="F3944" s="20">
        <f>IF($C3944="","",Registro_Compras!$S$441)</f>
        <v/>
      </c>
      <c r="G3944">
        <f>IF($C3944="","","Por el deposito de la detraccion en el Banco de la Nacion")</f>
        <v/>
      </c>
      <c r="H3944">
        <f>IF($C3944="","",Registro_Compras!$C$441)</f>
        <v/>
      </c>
    </row>
    <row r="3945">
      <c r="A3945" s="25">
        <f>IF($C3945="","",Registro_Compras!$Y$441)</f>
        <v/>
      </c>
      <c r="B3945">
        <f>IF($C3945="","","C"&amp;TEXT(INT((ROW()-5)/9)+1,"000")&amp;"-4")</f>
        <v/>
      </c>
      <c r="C3945">
        <f>IF(OR(Registro_Compras!$C$441="",Registro_Compras!$O$441="",Registro_Compras!$Y$441="",Registro_Compras!$F$441="NOTA DE CREDITO"),"","4212")</f>
        <v/>
      </c>
      <c r="D3945">
        <f>IF(OR(Registro_Compras!$C$441="",Registro_Compras!$O$441=""),"","Cuentas por Pagar Comerciales - Terceros")</f>
        <v/>
      </c>
      <c r="E3945" s="20">
        <f>IF($C3945="","",IF(Registro_Compras!$F$441="RHE",(ROUND(Registro_Compras!$L$441*Registro_Compras!$N$441,2)-ROUND(Registro_Compras!$V$441*Registro_Compras!$N$441,2)),ROUND(Registro_Compras!$O$441-Registro_Compras!$S$441,2)))</f>
        <v/>
      </c>
      <c r="F3945" s="20">
        <f>""</f>
        <v/>
      </c>
      <c r="G3945">
        <f>IF($C3945="","","Por la cancelacion del saldo al proveedor")</f>
        <v/>
      </c>
      <c r="H3945">
        <f>IF($C3945="","",Registro_Compras!$C$441)</f>
        <v/>
      </c>
    </row>
    <row r="3946">
      <c r="A3946" s="25">
        <f>IF($C3946="","",Registro_Compras!$Y$441)</f>
        <v/>
      </c>
      <c r="B3946">
        <f>IF($C3946="","","C"&amp;TEXT(INT((ROW()-5)/9)+1,"000")&amp;"-4")</f>
        <v/>
      </c>
      <c r="C3946">
        <f>IF(OR(Registro_Compras!$C$441="",Registro_Compras!$O$441="",Registro_Compras!$Y$441="",Registro_Compras!$F$441="NOTA DE CREDITO"),"","10413")</f>
        <v/>
      </c>
      <c r="D3946">
        <f>IF(OR(Registro_Compras!$C$441="",Registro_Compras!$O$441=""),"","Efectivo y Equivalentes - Cta. Cte. Operativa")</f>
        <v/>
      </c>
      <c r="E3946" s="20">
        <f>""</f>
        <v/>
      </c>
      <c r="F3946" s="20">
        <f>IF($C3946="","",IF(Registro_Compras!$F$441="RHE",(ROUND(Registro_Compras!$L$441*Registro_Compras!$N$441,2)-ROUND(Registro_Compras!$V$441*Registro_Compras!$N$441,2)),ROUND(Registro_Compras!$O$441-Registro_Compras!$S$441,2)))</f>
        <v/>
      </c>
      <c r="G3946">
        <f>IF($C3946="","","Por la cancelacion del saldo al proveedor")</f>
        <v/>
      </c>
      <c r="H3946">
        <f>IF($C3946="","",Registro_Compras!$C$441)</f>
        <v/>
      </c>
    </row>
    <row r="3947">
      <c r="A3947" s="25">
        <f>IF($C3947="","",Registro_Compras!$B$442)</f>
        <v/>
      </c>
      <c r="B3947">
        <f>IF($C3947="","","C"&amp;TEXT(INT((ROW()-5)/9)+1,"000")&amp;"-1")</f>
        <v/>
      </c>
      <c r="C3947">
        <f>IF(OR(Registro_Compras!$C$442="",Registro_Compras!$O$442=""),"",IF(Registro_Compras!$F$442="NOTA DE CREDITO","4212",IF(Registro_Compras!$M$442="","63",Registro_Compras!$M$442)))</f>
        <v/>
      </c>
      <c r="D3947">
        <f>IF(OR(Registro_Compras!$C$442="",Registro_Compras!$O$442=""),"",IF(Registro_Compras!$F$442="NOTA DE CREDITO","Cuentas por Pagar Comerciales - Terceros (Emitidas)",IF(Registro_Compras!$F$442="RHE","Honorarios Profesionales - Servicios de Terceros","Gastos de Servicios Prestados por Terceros")))</f>
        <v/>
      </c>
      <c r="E3947" s="20">
        <f>IF($C3947="","",IF(Registro_Compras!$F$442="NOTA DE CREDITO",ABS(Registro_Compras!$O$442),IF(Registro_Compras!$F$442="RHE",ROUND(Registro_Compras!$L$442*Registro_Compras!$N$442,2),ROUND(Registro_Compras!$J$442*Registro_Compras!$N$442,2))))</f>
        <v/>
      </c>
      <c r="F3947" s="20">
        <f>""</f>
        <v/>
      </c>
      <c r="G3947">
        <f>IF($C3947="","",IF(Registro_Compras!$F$442="NOTA DE CREDITO","Por la nota de credito "&amp;Registro_Compras!$C$442&amp;" de "&amp;Registro_Compras!$E$442&amp;" [PATRON POR CONFIRMAR CON CONTADOR]",IF(Registro_Compras!$F$442="RHE","Por el registro del recibo por honorarios "&amp;Registro_Compras!$C$442&amp;" de "&amp;Registro_Compras!$E$442&amp;" [PATRON POR CONFIRMAR CON CONTADOR]","Por el registro de la factura "&amp;Registro_Compras!$C$442&amp;" de "&amp;Registro_Compras!$E$442)))</f>
        <v/>
      </c>
      <c r="H3947">
        <f>IF($C3947="","",Registro_Compras!$C$442)</f>
        <v/>
      </c>
    </row>
    <row r="3948">
      <c r="A3948" s="25">
        <f>IF($C3948="","",Registro_Compras!$B$442)</f>
        <v/>
      </c>
      <c r="B3948">
        <f>IF($C3948="","","C"&amp;TEXT(INT((ROW()-5)/9)+1,"000")&amp;"-1")</f>
        <v/>
      </c>
      <c r="C3948">
        <f>IF(OR(Registro_Compras!$C$442="",Registro_Compras!$O$442=""),"",IF(Registro_Compras!$F$442="RHE",IF(Registro_Compras!$V$442=0,"","40172"),IF(Registro_Compras!$F$442="NOTA DE CREDITO",IF(Registro_Compras!$M$442="","63",Registro_Compras!$M$442),IF(Registro_Compras!$K$442=0,"","40111"))))</f>
        <v/>
      </c>
      <c r="D3948">
        <f>IF(OR(Registro_Compras!$C$442="",Registro_Compras!$O$442=""),"",IF(Registro_Compras!$F$442="RHE","Retencion Renta 4ta Categoria por Pagar",IF(Registro_Compras!$F$442="NOTA DE CREDITO","Gastos de Servicios Prestados por Terceros","IGV - Cuenta Propia (Credito Fiscal)")))</f>
        <v/>
      </c>
      <c r="E3948" s="20">
        <f>IF($C3948="","",IF(Registro_Compras!$F$442="FACTURA",ROUND(Registro_Compras!$K$442*Registro_Compras!$N$442,2),""))</f>
        <v/>
      </c>
      <c r="F3948" s="20">
        <f>IF($C3948="","",IF(Registro_Compras!$F$442="RHE",ROUND(Registro_Compras!$V$442*Registro_Compras!$N$442,2),IF(Registro_Compras!$F$442="NOTA DE CREDITO",ROUND(ABS(Registro_Compras!$J$442*Registro_Compras!$N$442),2),"")))</f>
        <v/>
      </c>
      <c r="G3948">
        <f>IF($C3948="","",IF(Registro_Compras!$F$442="NOTA DE CREDITO","Por la nota de credito "&amp;Registro_Compras!$C$442&amp;" de "&amp;Registro_Compras!$E$442&amp;" [PATRON POR CONFIRMAR CON CONTADOR]",IF(Registro_Compras!$F$442="RHE","Por el registro del recibo por honorarios "&amp;Registro_Compras!$C$442&amp;" de "&amp;Registro_Compras!$E$442&amp;" [PATRON POR CONFIRMAR CON CONTADOR]","Por el registro de la factura "&amp;Registro_Compras!$C$442&amp;" de "&amp;Registro_Compras!$E$442)))</f>
        <v/>
      </c>
      <c r="H3948">
        <f>IF($C3948="","",Registro_Compras!$C$442)</f>
        <v/>
      </c>
    </row>
    <row r="3949">
      <c r="A3949" s="25">
        <f>IF($C3949="","",Registro_Compras!$B$442)</f>
        <v/>
      </c>
      <c r="B3949">
        <f>IF($C3949="","","C"&amp;TEXT(INT((ROW()-5)/9)+1,"000")&amp;"-1")</f>
        <v/>
      </c>
      <c r="C3949">
        <f>IF(OR(Registro_Compras!$C$442="",Registro_Compras!$O$442=""),"",IF(Registro_Compras!$F$442="NOTA DE CREDITO",IF(Registro_Compras!$K$442=0,"","40111"),"4212"))</f>
        <v/>
      </c>
      <c r="D3949">
        <f>IF(OR(Registro_Compras!$C$442="",Registro_Compras!$O$442=""),"",IF(Registro_Compras!$F$442="NOTA DE CREDITO","IGV - Cuenta Propia (Credito Fiscal)","Cuentas por Pagar Comerciales - Terceros (Emitidas)"))</f>
        <v/>
      </c>
      <c r="E3949" s="20">
        <f>""</f>
        <v/>
      </c>
      <c r="F3949" s="20">
        <f>IF($C3949="","",IF(Registro_Compras!$F$442="NOTA DE CREDITO",ROUND(ABS(Registro_Compras!$K$442*Registro_Compras!$N$442),2),IF(Registro_Compras!$F$442="RHE",(ROUND(Registro_Compras!$L$442*Registro_Compras!$N$442,2)-ROUND(Registro_Compras!$V$442*Registro_Compras!$N$442,2)),Registro_Compras!$O$442)))</f>
        <v/>
      </c>
      <c r="G3949">
        <f>IF($C3949="","",IF(Registro_Compras!$F$442="NOTA DE CREDITO","Por la nota de credito "&amp;Registro_Compras!$C$442&amp;" de "&amp;Registro_Compras!$E$442&amp;" [PATRON POR CONFIRMAR CON CONTADOR]",IF(Registro_Compras!$F$442="RHE","Por el registro del recibo por honorarios "&amp;Registro_Compras!$C$442&amp;" de "&amp;Registro_Compras!$E$442&amp;" [PATRON POR CONFIRMAR CON CONTADOR]","Por el registro de la factura "&amp;Registro_Compras!$C$442&amp;" de "&amp;Registro_Compras!$E$442)))</f>
        <v/>
      </c>
      <c r="H3949">
        <f>IF($C3949="","",Registro_Compras!$C$442)</f>
        <v/>
      </c>
    </row>
    <row r="3950">
      <c r="A3950" s="25">
        <f>IF($C3950="","",Registro_Compras!$B$442)</f>
        <v/>
      </c>
      <c r="B3950">
        <f>IF($C3950="","","C"&amp;TEXT(INT((ROW()-5)/9)+1,"000")&amp;"-2")</f>
        <v/>
      </c>
      <c r="C3950">
        <f>IF(OR(Registro_Compras!$C$442="",Registro_Compras!$O$442=""),"",IF(Registro_Compras!$AB$442="ADMINISTRATIVO","94","95"))</f>
        <v/>
      </c>
      <c r="D3950">
        <f>IF(OR(Registro_Compras!$C$442="",Registro_Compras!$O$442=""),"",IF(Registro_Compras!$AB$442="ADMINISTRATIVO","Gastos Administrativos","Gastos de Venta y Operacion"))</f>
        <v/>
      </c>
      <c r="E3950" s="20">
        <f>IF($C3950="","",IF(Registro_Compras!$F$442="NOTA DE CREDITO","",IF(Registro_Compras!$F$442="RHE",ROUND(Registro_Compras!$L$442*Registro_Compras!$N$442,2),ROUND(Registro_Compras!$J$442*Registro_Compras!$N$442,2))))</f>
        <v/>
      </c>
      <c r="F3950" s="20">
        <f>IF($C3950="","",IF(Registro_Compras!$F$442="NOTA DE CREDITO",ROUND(ABS(Registro_Compras!$J$442*Registro_Compras!$N$442),2),""))</f>
        <v/>
      </c>
      <c r="G3950">
        <f>IF($C3950="","","Por el destino del gasto")</f>
        <v/>
      </c>
      <c r="H3950">
        <f>IF($C3950="","",Registro_Compras!$C$442)</f>
        <v/>
      </c>
    </row>
    <row r="3951">
      <c r="A3951" s="25">
        <f>IF($C3951="","",Registro_Compras!$B$442)</f>
        <v/>
      </c>
      <c r="B3951">
        <f>IF($C3951="","","C"&amp;TEXT(INT((ROW()-5)/9)+1,"000")&amp;"-2")</f>
        <v/>
      </c>
      <c r="C3951">
        <f>IF(OR(Registro_Compras!$C$442="",Registro_Compras!$O$442=""),"","79/791")</f>
        <v/>
      </c>
      <c r="D3951">
        <f>IF(OR(Registro_Compras!$C$442="",Registro_Compras!$O$442=""),"","Cargas Imputables a Cuentas de Costos y Gastos")</f>
        <v/>
      </c>
      <c r="E3951" s="20">
        <f>IF($C3951="","",IF(Registro_Compras!$F$442="NOTA DE CREDITO",ROUND(ABS(Registro_Compras!$J$442*Registro_Compras!$N$442),2),""))</f>
        <v/>
      </c>
      <c r="F3951" s="20">
        <f>IF($C3951="","",IF(Registro_Compras!$F$442="NOTA DE CREDITO","",IF(Registro_Compras!$F$442="RHE",ROUND(Registro_Compras!$L$442*Registro_Compras!$N$442,2),ROUND(Registro_Compras!$J$442*Registro_Compras!$N$442,2))))</f>
        <v/>
      </c>
      <c r="G3951">
        <f>IF($C3951="","","Por el destino del gasto")</f>
        <v/>
      </c>
      <c r="H3951">
        <f>IF($C3951="","",Registro_Compras!$C$442)</f>
        <v/>
      </c>
    </row>
    <row r="3952">
      <c r="A3952" s="25">
        <f>IF($C3952="","",Registro_Compras!$X$442)</f>
        <v/>
      </c>
      <c r="B3952">
        <f>IF($C3952="","","C"&amp;TEXT(INT((ROW()-5)/9)+1,"000")&amp;"-3")</f>
        <v/>
      </c>
      <c r="C3952">
        <f>IF(OR(Registro_Compras!$C$442="",Registro_Compras!$O$442="",Registro_Compras!$R$442&lt;&gt;"SI",Registro_Compras!$X$442=""),"","4212")</f>
        <v/>
      </c>
      <c r="D3952">
        <f>IF(OR(Registro_Compras!$C$442="",Registro_Compras!$O$442=""),"","Cuentas por Pagar Comerciales - Terceros")</f>
        <v/>
      </c>
      <c r="E3952" s="20">
        <f>IF($C3952="","",Registro_Compras!$S$442)</f>
        <v/>
      </c>
      <c r="F3952" s="20">
        <f>""</f>
        <v/>
      </c>
      <c r="G3952">
        <f>IF($C3952="","","Por el deposito de la detraccion en el Banco de la Nacion")</f>
        <v/>
      </c>
      <c r="H3952">
        <f>IF($C3952="","",Registro_Compras!$C$442)</f>
        <v/>
      </c>
    </row>
    <row r="3953">
      <c r="A3953" s="25">
        <f>IF($C3953="","",Registro_Compras!$X$442)</f>
        <v/>
      </c>
      <c r="B3953">
        <f>IF($C3953="","","C"&amp;TEXT(INT((ROW()-5)/9)+1,"000")&amp;"-3")</f>
        <v/>
      </c>
      <c r="C3953">
        <f>IF(OR(Registro_Compras!$C$442="",Registro_Compras!$O$442="",Registro_Compras!$R$442&lt;&gt;"SI",Registro_Compras!$X$442=""),"","10413")</f>
        <v/>
      </c>
      <c r="D3953">
        <f>IF(OR(Registro_Compras!$C$442="",Registro_Compras!$O$442=""),"","Efectivo y Equivalentes - Cta. Cte. Operativa")</f>
        <v/>
      </c>
      <c r="E3953" s="20">
        <f>""</f>
        <v/>
      </c>
      <c r="F3953" s="20">
        <f>IF($C3953="","",Registro_Compras!$S$442)</f>
        <v/>
      </c>
      <c r="G3953">
        <f>IF($C3953="","","Por el deposito de la detraccion en el Banco de la Nacion")</f>
        <v/>
      </c>
      <c r="H3953">
        <f>IF($C3953="","",Registro_Compras!$C$442)</f>
        <v/>
      </c>
    </row>
    <row r="3954">
      <c r="A3954" s="25">
        <f>IF($C3954="","",Registro_Compras!$Y$442)</f>
        <v/>
      </c>
      <c r="B3954">
        <f>IF($C3954="","","C"&amp;TEXT(INT((ROW()-5)/9)+1,"000")&amp;"-4")</f>
        <v/>
      </c>
      <c r="C3954">
        <f>IF(OR(Registro_Compras!$C$442="",Registro_Compras!$O$442="",Registro_Compras!$Y$442="",Registro_Compras!$F$442="NOTA DE CREDITO"),"","4212")</f>
        <v/>
      </c>
      <c r="D3954">
        <f>IF(OR(Registro_Compras!$C$442="",Registro_Compras!$O$442=""),"","Cuentas por Pagar Comerciales - Terceros")</f>
        <v/>
      </c>
      <c r="E3954" s="20">
        <f>IF($C3954="","",IF(Registro_Compras!$F$442="RHE",(ROUND(Registro_Compras!$L$442*Registro_Compras!$N$442,2)-ROUND(Registro_Compras!$V$442*Registro_Compras!$N$442,2)),ROUND(Registro_Compras!$O$442-Registro_Compras!$S$442,2)))</f>
        <v/>
      </c>
      <c r="F3954" s="20">
        <f>""</f>
        <v/>
      </c>
      <c r="G3954">
        <f>IF($C3954="","","Por la cancelacion del saldo al proveedor")</f>
        <v/>
      </c>
      <c r="H3954">
        <f>IF($C3954="","",Registro_Compras!$C$442)</f>
        <v/>
      </c>
    </row>
    <row r="3955">
      <c r="A3955" s="25">
        <f>IF($C3955="","",Registro_Compras!$Y$442)</f>
        <v/>
      </c>
      <c r="B3955">
        <f>IF($C3955="","","C"&amp;TEXT(INT((ROW()-5)/9)+1,"000")&amp;"-4")</f>
        <v/>
      </c>
      <c r="C3955">
        <f>IF(OR(Registro_Compras!$C$442="",Registro_Compras!$O$442="",Registro_Compras!$Y$442="",Registro_Compras!$F$442="NOTA DE CREDITO"),"","10413")</f>
        <v/>
      </c>
      <c r="D3955">
        <f>IF(OR(Registro_Compras!$C$442="",Registro_Compras!$O$442=""),"","Efectivo y Equivalentes - Cta. Cte. Operativa")</f>
        <v/>
      </c>
      <c r="E3955" s="20">
        <f>""</f>
        <v/>
      </c>
      <c r="F3955" s="20">
        <f>IF($C3955="","",IF(Registro_Compras!$F$442="RHE",(ROUND(Registro_Compras!$L$442*Registro_Compras!$N$442,2)-ROUND(Registro_Compras!$V$442*Registro_Compras!$N$442,2)),ROUND(Registro_Compras!$O$442-Registro_Compras!$S$442,2)))</f>
        <v/>
      </c>
      <c r="G3955">
        <f>IF($C3955="","","Por la cancelacion del saldo al proveedor")</f>
        <v/>
      </c>
      <c r="H3955">
        <f>IF($C3955="","",Registro_Compras!$C$442)</f>
        <v/>
      </c>
    </row>
    <row r="3956">
      <c r="A3956" s="25">
        <f>IF($C3956="","",Registro_Compras!$B$443)</f>
        <v/>
      </c>
      <c r="B3956">
        <f>IF($C3956="","","C"&amp;TEXT(INT((ROW()-5)/9)+1,"000")&amp;"-1")</f>
        <v/>
      </c>
      <c r="C3956">
        <f>IF(OR(Registro_Compras!$C$443="",Registro_Compras!$O$443=""),"",IF(Registro_Compras!$F$443="NOTA DE CREDITO","4212",IF(Registro_Compras!$M$443="","63",Registro_Compras!$M$443)))</f>
        <v/>
      </c>
      <c r="D3956">
        <f>IF(OR(Registro_Compras!$C$443="",Registro_Compras!$O$443=""),"",IF(Registro_Compras!$F$443="NOTA DE CREDITO","Cuentas por Pagar Comerciales - Terceros (Emitidas)",IF(Registro_Compras!$F$443="RHE","Honorarios Profesionales - Servicios de Terceros","Gastos de Servicios Prestados por Terceros")))</f>
        <v/>
      </c>
      <c r="E3956" s="20">
        <f>IF($C3956="","",IF(Registro_Compras!$F$443="NOTA DE CREDITO",ABS(Registro_Compras!$O$443),IF(Registro_Compras!$F$443="RHE",ROUND(Registro_Compras!$L$443*Registro_Compras!$N$443,2),ROUND(Registro_Compras!$J$443*Registro_Compras!$N$443,2))))</f>
        <v/>
      </c>
      <c r="F3956" s="20">
        <f>""</f>
        <v/>
      </c>
      <c r="G3956">
        <f>IF($C3956="","",IF(Registro_Compras!$F$443="NOTA DE CREDITO","Por la nota de credito "&amp;Registro_Compras!$C$443&amp;" de "&amp;Registro_Compras!$E$443&amp;" [PATRON POR CONFIRMAR CON CONTADOR]",IF(Registro_Compras!$F$443="RHE","Por el registro del recibo por honorarios "&amp;Registro_Compras!$C$443&amp;" de "&amp;Registro_Compras!$E$443&amp;" [PATRON POR CONFIRMAR CON CONTADOR]","Por el registro de la factura "&amp;Registro_Compras!$C$443&amp;" de "&amp;Registro_Compras!$E$443)))</f>
        <v/>
      </c>
      <c r="H3956">
        <f>IF($C3956="","",Registro_Compras!$C$443)</f>
        <v/>
      </c>
    </row>
    <row r="3957">
      <c r="A3957" s="25">
        <f>IF($C3957="","",Registro_Compras!$B$443)</f>
        <v/>
      </c>
      <c r="B3957">
        <f>IF($C3957="","","C"&amp;TEXT(INT((ROW()-5)/9)+1,"000")&amp;"-1")</f>
        <v/>
      </c>
      <c r="C3957">
        <f>IF(OR(Registro_Compras!$C$443="",Registro_Compras!$O$443=""),"",IF(Registro_Compras!$F$443="RHE",IF(Registro_Compras!$V$443=0,"","40172"),IF(Registro_Compras!$F$443="NOTA DE CREDITO",IF(Registro_Compras!$M$443="","63",Registro_Compras!$M$443),IF(Registro_Compras!$K$443=0,"","40111"))))</f>
        <v/>
      </c>
      <c r="D3957">
        <f>IF(OR(Registro_Compras!$C$443="",Registro_Compras!$O$443=""),"",IF(Registro_Compras!$F$443="RHE","Retencion Renta 4ta Categoria por Pagar",IF(Registro_Compras!$F$443="NOTA DE CREDITO","Gastos de Servicios Prestados por Terceros","IGV - Cuenta Propia (Credito Fiscal)")))</f>
        <v/>
      </c>
      <c r="E3957" s="20">
        <f>IF($C3957="","",IF(Registro_Compras!$F$443="FACTURA",ROUND(Registro_Compras!$K$443*Registro_Compras!$N$443,2),""))</f>
        <v/>
      </c>
      <c r="F3957" s="20">
        <f>IF($C3957="","",IF(Registro_Compras!$F$443="RHE",ROUND(Registro_Compras!$V$443*Registro_Compras!$N$443,2),IF(Registro_Compras!$F$443="NOTA DE CREDITO",ROUND(ABS(Registro_Compras!$J$443*Registro_Compras!$N$443),2),"")))</f>
        <v/>
      </c>
      <c r="G3957">
        <f>IF($C3957="","",IF(Registro_Compras!$F$443="NOTA DE CREDITO","Por la nota de credito "&amp;Registro_Compras!$C$443&amp;" de "&amp;Registro_Compras!$E$443&amp;" [PATRON POR CONFIRMAR CON CONTADOR]",IF(Registro_Compras!$F$443="RHE","Por el registro del recibo por honorarios "&amp;Registro_Compras!$C$443&amp;" de "&amp;Registro_Compras!$E$443&amp;" [PATRON POR CONFIRMAR CON CONTADOR]","Por el registro de la factura "&amp;Registro_Compras!$C$443&amp;" de "&amp;Registro_Compras!$E$443)))</f>
        <v/>
      </c>
      <c r="H3957">
        <f>IF($C3957="","",Registro_Compras!$C$443)</f>
        <v/>
      </c>
    </row>
    <row r="3958">
      <c r="A3958" s="25">
        <f>IF($C3958="","",Registro_Compras!$B$443)</f>
        <v/>
      </c>
      <c r="B3958">
        <f>IF($C3958="","","C"&amp;TEXT(INT((ROW()-5)/9)+1,"000")&amp;"-1")</f>
        <v/>
      </c>
      <c r="C3958">
        <f>IF(OR(Registro_Compras!$C$443="",Registro_Compras!$O$443=""),"",IF(Registro_Compras!$F$443="NOTA DE CREDITO",IF(Registro_Compras!$K$443=0,"","40111"),"4212"))</f>
        <v/>
      </c>
      <c r="D3958">
        <f>IF(OR(Registro_Compras!$C$443="",Registro_Compras!$O$443=""),"",IF(Registro_Compras!$F$443="NOTA DE CREDITO","IGV - Cuenta Propia (Credito Fiscal)","Cuentas por Pagar Comerciales - Terceros (Emitidas)"))</f>
        <v/>
      </c>
      <c r="E3958" s="20">
        <f>""</f>
        <v/>
      </c>
      <c r="F3958" s="20">
        <f>IF($C3958="","",IF(Registro_Compras!$F$443="NOTA DE CREDITO",ROUND(ABS(Registro_Compras!$K$443*Registro_Compras!$N$443),2),IF(Registro_Compras!$F$443="RHE",(ROUND(Registro_Compras!$L$443*Registro_Compras!$N$443,2)-ROUND(Registro_Compras!$V$443*Registro_Compras!$N$443,2)),Registro_Compras!$O$443)))</f>
        <v/>
      </c>
      <c r="G3958">
        <f>IF($C3958="","",IF(Registro_Compras!$F$443="NOTA DE CREDITO","Por la nota de credito "&amp;Registro_Compras!$C$443&amp;" de "&amp;Registro_Compras!$E$443&amp;" [PATRON POR CONFIRMAR CON CONTADOR]",IF(Registro_Compras!$F$443="RHE","Por el registro del recibo por honorarios "&amp;Registro_Compras!$C$443&amp;" de "&amp;Registro_Compras!$E$443&amp;" [PATRON POR CONFIRMAR CON CONTADOR]","Por el registro de la factura "&amp;Registro_Compras!$C$443&amp;" de "&amp;Registro_Compras!$E$443)))</f>
        <v/>
      </c>
      <c r="H3958">
        <f>IF($C3958="","",Registro_Compras!$C$443)</f>
        <v/>
      </c>
    </row>
    <row r="3959">
      <c r="A3959" s="25">
        <f>IF($C3959="","",Registro_Compras!$B$443)</f>
        <v/>
      </c>
      <c r="B3959">
        <f>IF($C3959="","","C"&amp;TEXT(INT((ROW()-5)/9)+1,"000")&amp;"-2")</f>
        <v/>
      </c>
      <c r="C3959">
        <f>IF(OR(Registro_Compras!$C$443="",Registro_Compras!$O$443=""),"",IF(Registro_Compras!$AB$443="ADMINISTRATIVO","94","95"))</f>
        <v/>
      </c>
      <c r="D3959">
        <f>IF(OR(Registro_Compras!$C$443="",Registro_Compras!$O$443=""),"",IF(Registro_Compras!$AB$443="ADMINISTRATIVO","Gastos Administrativos","Gastos de Venta y Operacion"))</f>
        <v/>
      </c>
      <c r="E3959" s="20">
        <f>IF($C3959="","",IF(Registro_Compras!$F$443="NOTA DE CREDITO","",IF(Registro_Compras!$F$443="RHE",ROUND(Registro_Compras!$L$443*Registro_Compras!$N$443,2),ROUND(Registro_Compras!$J$443*Registro_Compras!$N$443,2))))</f>
        <v/>
      </c>
      <c r="F3959" s="20">
        <f>IF($C3959="","",IF(Registro_Compras!$F$443="NOTA DE CREDITO",ROUND(ABS(Registro_Compras!$J$443*Registro_Compras!$N$443),2),""))</f>
        <v/>
      </c>
      <c r="G3959">
        <f>IF($C3959="","","Por el destino del gasto")</f>
        <v/>
      </c>
      <c r="H3959">
        <f>IF($C3959="","",Registro_Compras!$C$443)</f>
        <v/>
      </c>
    </row>
    <row r="3960">
      <c r="A3960" s="25">
        <f>IF($C3960="","",Registro_Compras!$B$443)</f>
        <v/>
      </c>
      <c r="B3960">
        <f>IF($C3960="","","C"&amp;TEXT(INT((ROW()-5)/9)+1,"000")&amp;"-2")</f>
        <v/>
      </c>
      <c r="C3960">
        <f>IF(OR(Registro_Compras!$C$443="",Registro_Compras!$O$443=""),"","79/791")</f>
        <v/>
      </c>
      <c r="D3960">
        <f>IF(OR(Registro_Compras!$C$443="",Registro_Compras!$O$443=""),"","Cargas Imputables a Cuentas de Costos y Gastos")</f>
        <v/>
      </c>
      <c r="E3960" s="20">
        <f>IF($C3960="","",IF(Registro_Compras!$F$443="NOTA DE CREDITO",ROUND(ABS(Registro_Compras!$J$443*Registro_Compras!$N$443),2),""))</f>
        <v/>
      </c>
      <c r="F3960" s="20">
        <f>IF($C3960="","",IF(Registro_Compras!$F$443="NOTA DE CREDITO","",IF(Registro_Compras!$F$443="RHE",ROUND(Registro_Compras!$L$443*Registro_Compras!$N$443,2),ROUND(Registro_Compras!$J$443*Registro_Compras!$N$443,2))))</f>
        <v/>
      </c>
      <c r="G3960">
        <f>IF($C3960="","","Por el destino del gasto")</f>
        <v/>
      </c>
      <c r="H3960">
        <f>IF($C3960="","",Registro_Compras!$C$443)</f>
        <v/>
      </c>
    </row>
    <row r="3961">
      <c r="A3961" s="25">
        <f>IF($C3961="","",Registro_Compras!$X$443)</f>
        <v/>
      </c>
      <c r="B3961">
        <f>IF($C3961="","","C"&amp;TEXT(INT((ROW()-5)/9)+1,"000")&amp;"-3")</f>
        <v/>
      </c>
      <c r="C3961">
        <f>IF(OR(Registro_Compras!$C$443="",Registro_Compras!$O$443="",Registro_Compras!$R$443&lt;&gt;"SI",Registro_Compras!$X$443=""),"","4212")</f>
        <v/>
      </c>
      <c r="D3961">
        <f>IF(OR(Registro_Compras!$C$443="",Registro_Compras!$O$443=""),"","Cuentas por Pagar Comerciales - Terceros")</f>
        <v/>
      </c>
      <c r="E3961" s="20">
        <f>IF($C3961="","",Registro_Compras!$S$443)</f>
        <v/>
      </c>
      <c r="F3961" s="20">
        <f>""</f>
        <v/>
      </c>
      <c r="G3961">
        <f>IF($C3961="","","Por el deposito de la detraccion en el Banco de la Nacion")</f>
        <v/>
      </c>
      <c r="H3961">
        <f>IF($C3961="","",Registro_Compras!$C$443)</f>
        <v/>
      </c>
    </row>
    <row r="3962">
      <c r="A3962" s="25">
        <f>IF($C3962="","",Registro_Compras!$X$443)</f>
        <v/>
      </c>
      <c r="B3962">
        <f>IF($C3962="","","C"&amp;TEXT(INT((ROW()-5)/9)+1,"000")&amp;"-3")</f>
        <v/>
      </c>
      <c r="C3962">
        <f>IF(OR(Registro_Compras!$C$443="",Registro_Compras!$O$443="",Registro_Compras!$R$443&lt;&gt;"SI",Registro_Compras!$X$443=""),"","10413")</f>
        <v/>
      </c>
      <c r="D3962">
        <f>IF(OR(Registro_Compras!$C$443="",Registro_Compras!$O$443=""),"","Efectivo y Equivalentes - Cta. Cte. Operativa")</f>
        <v/>
      </c>
      <c r="E3962" s="20">
        <f>""</f>
        <v/>
      </c>
      <c r="F3962" s="20">
        <f>IF($C3962="","",Registro_Compras!$S$443)</f>
        <v/>
      </c>
      <c r="G3962">
        <f>IF($C3962="","","Por el deposito de la detraccion en el Banco de la Nacion")</f>
        <v/>
      </c>
      <c r="H3962">
        <f>IF($C3962="","",Registro_Compras!$C$443)</f>
        <v/>
      </c>
    </row>
    <row r="3963">
      <c r="A3963" s="25">
        <f>IF($C3963="","",Registro_Compras!$Y$443)</f>
        <v/>
      </c>
      <c r="B3963">
        <f>IF($C3963="","","C"&amp;TEXT(INT((ROW()-5)/9)+1,"000")&amp;"-4")</f>
        <v/>
      </c>
      <c r="C3963">
        <f>IF(OR(Registro_Compras!$C$443="",Registro_Compras!$O$443="",Registro_Compras!$Y$443="",Registro_Compras!$F$443="NOTA DE CREDITO"),"","4212")</f>
        <v/>
      </c>
      <c r="D3963">
        <f>IF(OR(Registro_Compras!$C$443="",Registro_Compras!$O$443=""),"","Cuentas por Pagar Comerciales - Terceros")</f>
        <v/>
      </c>
      <c r="E3963" s="20">
        <f>IF($C3963="","",IF(Registro_Compras!$F$443="RHE",(ROUND(Registro_Compras!$L$443*Registro_Compras!$N$443,2)-ROUND(Registro_Compras!$V$443*Registro_Compras!$N$443,2)),ROUND(Registro_Compras!$O$443-Registro_Compras!$S$443,2)))</f>
        <v/>
      </c>
      <c r="F3963" s="20">
        <f>""</f>
        <v/>
      </c>
      <c r="G3963">
        <f>IF($C3963="","","Por la cancelacion del saldo al proveedor")</f>
        <v/>
      </c>
      <c r="H3963">
        <f>IF($C3963="","",Registro_Compras!$C$443)</f>
        <v/>
      </c>
    </row>
    <row r="3964">
      <c r="A3964" s="25">
        <f>IF($C3964="","",Registro_Compras!$Y$443)</f>
        <v/>
      </c>
      <c r="B3964">
        <f>IF($C3964="","","C"&amp;TEXT(INT((ROW()-5)/9)+1,"000")&amp;"-4")</f>
        <v/>
      </c>
      <c r="C3964">
        <f>IF(OR(Registro_Compras!$C$443="",Registro_Compras!$O$443="",Registro_Compras!$Y$443="",Registro_Compras!$F$443="NOTA DE CREDITO"),"","10413")</f>
        <v/>
      </c>
      <c r="D3964">
        <f>IF(OR(Registro_Compras!$C$443="",Registro_Compras!$O$443=""),"","Efectivo y Equivalentes - Cta. Cte. Operativa")</f>
        <v/>
      </c>
      <c r="E3964" s="20">
        <f>""</f>
        <v/>
      </c>
      <c r="F3964" s="20">
        <f>IF($C3964="","",IF(Registro_Compras!$F$443="RHE",(ROUND(Registro_Compras!$L$443*Registro_Compras!$N$443,2)-ROUND(Registro_Compras!$V$443*Registro_Compras!$N$443,2)),ROUND(Registro_Compras!$O$443-Registro_Compras!$S$443,2)))</f>
        <v/>
      </c>
      <c r="G3964">
        <f>IF($C3964="","","Por la cancelacion del saldo al proveedor")</f>
        <v/>
      </c>
      <c r="H3964">
        <f>IF($C3964="","",Registro_Compras!$C$443)</f>
        <v/>
      </c>
    </row>
    <row r="3965">
      <c r="A3965" s="25">
        <f>IF($C3965="","",Registro_Compras!$B$444)</f>
        <v/>
      </c>
      <c r="B3965">
        <f>IF($C3965="","","C"&amp;TEXT(INT((ROW()-5)/9)+1,"000")&amp;"-1")</f>
        <v/>
      </c>
      <c r="C3965">
        <f>IF(OR(Registro_Compras!$C$444="",Registro_Compras!$O$444=""),"",IF(Registro_Compras!$F$444="NOTA DE CREDITO","4212",IF(Registro_Compras!$M$444="","63",Registro_Compras!$M$444)))</f>
        <v/>
      </c>
      <c r="D3965">
        <f>IF(OR(Registro_Compras!$C$444="",Registro_Compras!$O$444=""),"",IF(Registro_Compras!$F$444="NOTA DE CREDITO","Cuentas por Pagar Comerciales - Terceros (Emitidas)",IF(Registro_Compras!$F$444="RHE","Honorarios Profesionales - Servicios de Terceros","Gastos de Servicios Prestados por Terceros")))</f>
        <v/>
      </c>
      <c r="E3965" s="20">
        <f>IF($C3965="","",IF(Registro_Compras!$F$444="NOTA DE CREDITO",ABS(Registro_Compras!$O$444),IF(Registro_Compras!$F$444="RHE",ROUND(Registro_Compras!$L$444*Registro_Compras!$N$444,2),ROUND(Registro_Compras!$J$444*Registro_Compras!$N$444,2))))</f>
        <v/>
      </c>
      <c r="F3965" s="20">
        <f>""</f>
        <v/>
      </c>
      <c r="G3965">
        <f>IF($C3965="","",IF(Registro_Compras!$F$444="NOTA DE CREDITO","Por la nota de credito "&amp;Registro_Compras!$C$444&amp;" de "&amp;Registro_Compras!$E$444&amp;" [PATRON POR CONFIRMAR CON CONTADOR]",IF(Registro_Compras!$F$444="RHE","Por el registro del recibo por honorarios "&amp;Registro_Compras!$C$444&amp;" de "&amp;Registro_Compras!$E$444&amp;" [PATRON POR CONFIRMAR CON CONTADOR]","Por el registro de la factura "&amp;Registro_Compras!$C$444&amp;" de "&amp;Registro_Compras!$E$444)))</f>
        <v/>
      </c>
      <c r="H3965">
        <f>IF($C3965="","",Registro_Compras!$C$444)</f>
        <v/>
      </c>
    </row>
    <row r="3966">
      <c r="A3966" s="25">
        <f>IF($C3966="","",Registro_Compras!$B$444)</f>
        <v/>
      </c>
      <c r="B3966">
        <f>IF($C3966="","","C"&amp;TEXT(INT((ROW()-5)/9)+1,"000")&amp;"-1")</f>
        <v/>
      </c>
      <c r="C3966">
        <f>IF(OR(Registro_Compras!$C$444="",Registro_Compras!$O$444=""),"",IF(Registro_Compras!$F$444="RHE",IF(Registro_Compras!$V$444=0,"","40172"),IF(Registro_Compras!$F$444="NOTA DE CREDITO",IF(Registro_Compras!$M$444="","63",Registro_Compras!$M$444),IF(Registro_Compras!$K$444=0,"","40111"))))</f>
        <v/>
      </c>
      <c r="D3966">
        <f>IF(OR(Registro_Compras!$C$444="",Registro_Compras!$O$444=""),"",IF(Registro_Compras!$F$444="RHE","Retencion Renta 4ta Categoria por Pagar",IF(Registro_Compras!$F$444="NOTA DE CREDITO","Gastos de Servicios Prestados por Terceros","IGV - Cuenta Propia (Credito Fiscal)")))</f>
        <v/>
      </c>
      <c r="E3966" s="20">
        <f>IF($C3966="","",IF(Registro_Compras!$F$444="FACTURA",ROUND(Registro_Compras!$K$444*Registro_Compras!$N$444,2),""))</f>
        <v/>
      </c>
      <c r="F3966" s="20">
        <f>IF($C3966="","",IF(Registro_Compras!$F$444="RHE",ROUND(Registro_Compras!$V$444*Registro_Compras!$N$444,2),IF(Registro_Compras!$F$444="NOTA DE CREDITO",ROUND(ABS(Registro_Compras!$J$444*Registro_Compras!$N$444),2),"")))</f>
        <v/>
      </c>
      <c r="G3966">
        <f>IF($C3966="","",IF(Registro_Compras!$F$444="NOTA DE CREDITO","Por la nota de credito "&amp;Registro_Compras!$C$444&amp;" de "&amp;Registro_Compras!$E$444&amp;" [PATRON POR CONFIRMAR CON CONTADOR]",IF(Registro_Compras!$F$444="RHE","Por el registro del recibo por honorarios "&amp;Registro_Compras!$C$444&amp;" de "&amp;Registro_Compras!$E$444&amp;" [PATRON POR CONFIRMAR CON CONTADOR]","Por el registro de la factura "&amp;Registro_Compras!$C$444&amp;" de "&amp;Registro_Compras!$E$444)))</f>
        <v/>
      </c>
      <c r="H3966">
        <f>IF($C3966="","",Registro_Compras!$C$444)</f>
        <v/>
      </c>
    </row>
    <row r="3967">
      <c r="A3967" s="25">
        <f>IF($C3967="","",Registro_Compras!$B$444)</f>
        <v/>
      </c>
      <c r="B3967">
        <f>IF($C3967="","","C"&amp;TEXT(INT((ROW()-5)/9)+1,"000")&amp;"-1")</f>
        <v/>
      </c>
      <c r="C3967">
        <f>IF(OR(Registro_Compras!$C$444="",Registro_Compras!$O$444=""),"",IF(Registro_Compras!$F$444="NOTA DE CREDITO",IF(Registro_Compras!$K$444=0,"","40111"),"4212"))</f>
        <v/>
      </c>
      <c r="D3967">
        <f>IF(OR(Registro_Compras!$C$444="",Registro_Compras!$O$444=""),"",IF(Registro_Compras!$F$444="NOTA DE CREDITO","IGV - Cuenta Propia (Credito Fiscal)","Cuentas por Pagar Comerciales - Terceros (Emitidas)"))</f>
        <v/>
      </c>
      <c r="E3967" s="20">
        <f>""</f>
        <v/>
      </c>
      <c r="F3967" s="20">
        <f>IF($C3967="","",IF(Registro_Compras!$F$444="NOTA DE CREDITO",ROUND(ABS(Registro_Compras!$K$444*Registro_Compras!$N$444),2),IF(Registro_Compras!$F$444="RHE",(ROUND(Registro_Compras!$L$444*Registro_Compras!$N$444,2)-ROUND(Registro_Compras!$V$444*Registro_Compras!$N$444,2)),Registro_Compras!$O$444)))</f>
        <v/>
      </c>
      <c r="G3967">
        <f>IF($C3967="","",IF(Registro_Compras!$F$444="NOTA DE CREDITO","Por la nota de credito "&amp;Registro_Compras!$C$444&amp;" de "&amp;Registro_Compras!$E$444&amp;" [PATRON POR CONFIRMAR CON CONTADOR]",IF(Registro_Compras!$F$444="RHE","Por el registro del recibo por honorarios "&amp;Registro_Compras!$C$444&amp;" de "&amp;Registro_Compras!$E$444&amp;" [PATRON POR CONFIRMAR CON CONTADOR]","Por el registro de la factura "&amp;Registro_Compras!$C$444&amp;" de "&amp;Registro_Compras!$E$444)))</f>
        <v/>
      </c>
      <c r="H3967">
        <f>IF($C3967="","",Registro_Compras!$C$444)</f>
        <v/>
      </c>
    </row>
    <row r="3968">
      <c r="A3968" s="25">
        <f>IF($C3968="","",Registro_Compras!$B$444)</f>
        <v/>
      </c>
      <c r="B3968">
        <f>IF($C3968="","","C"&amp;TEXT(INT((ROW()-5)/9)+1,"000")&amp;"-2")</f>
        <v/>
      </c>
      <c r="C3968">
        <f>IF(OR(Registro_Compras!$C$444="",Registro_Compras!$O$444=""),"",IF(Registro_Compras!$AB$444="ADMINISTRATIVO","94","95"))</f>
        <v/>
      </c>
      <c r="D3968">
        <f>IF(OR(Registro_Compras!$C$444="",Registro_Compras!$O$444=""),"",IF(Registro_Compras!$AB$444="ADMINISTRATIVO","Gastos Administrativos","Gastos de Venta y Operacion"))</f>
        <v/>
      </c>
      <c r="E3968" s="20">
        <f>IF($C3968="","",IF(Registro_Compras!$F$444="NOTA DE CREDITO","",IF(Registro_Compras!$F$444="RHE",ROUND(Registro_Compras!$L$444*Registro_Compras!$N$444,2),ROUND(Registro_Compras!$J$444*Registro_Compras!$N$444,2))))</f>
        <v/>
      </c>
      <c r="F3968" s="20">
        <f>IF($C3968="","",IF(Registro_Compras!$F$444="NOTA DE CREDITO",ROUND(ABS(Registro_Compras!$J$444*Registro_Compras!$N$444),2),""))</f>
        <v/>
      </c>
      <c r="G3968">
        <f>IF($C3968="","","Por el destino del gasto")</f>
        <v/>
      </c>
      <c r="H3968">
        <f>IF($C3968="","",Registro_Compras!$C$444)</f>
        <v/>
      </c>
    </row>
    <row r="3969">
      <c r="A3969" s="25">
        <f>IF($C3969="","",Registro_Compras!$B$444)</f>
        <v/>
      </c>
      <c r="B3969">
        <f>IF($C3969="","","C"&amp;TEXT(INT((ROW()-5)/9)+1,"000")&amp;"-2")</f>
        <v/>
      </c>
      <c r="C3969">
        <f>IF(OR(Registro_Compras!$C$444="",Registro_Compras!$O$444=""),"","79/791")</f>
        <v/>
      </c>
      <c r="D3969">
        <f>IF(OR(Registro_Compras!$C$444="",Registro_Compras!$O$444=""),"","Cargas Imputables a Cuentas de Costos y Gastos")</f>
        <v/>
      </c>
      <c r="E3969" s="20">
        <f>IF($C3969="","",IF(Registro_Compras!$F$444="NOTA DE CREDITO",ROUND(ABS(Registro_Compras!$J$444*Registro_Compras!$N$444),2),""))</f>
        <v/>
      </c>
      <c r="F3969" s="20">
        <f>IF($C3969="","",IF(Registro_Compras!$F$444="NOTA DE CREDITO","",IF(Registro_Compras!$F$444="RHE",ROUND(Registro_Compras!$L$444*Registro_Compras!$N$444,2),ROUND(Registro_Compras!$J$444*Registro_Compras!$N$444,2))))</f>
        <v/>
      </c>
      <c r="G3969">
        <f>IF($C3969="","","Por el destino del gasto")</f>
        <v/>
      </c>
      <c r="H3969">
        <f>IF($C3969="","",Registro_Compras!$C$444)</f>
        <v/>
      </c>
    </row>
    <row r="3970">
      <c r="A3970" s="25">
        <f>IF($C3970="","",Registro_Compras!$X$444)</f>
        <v/>
      </c>
      <c r="B3970">
        <f>IF($C3970="","","C"&amp;TEXT(INT((ROW()-5)/9)+1,"000")&amp;"-3")</f>
        <v/>
      </c>
      <c r="C3970">
        <f>IF(OR(Registro_Compras!$C$444="",Registro_Compras!$O$444="",Registro_Compras!$R$444&lt;&gt;"SI",Registro_Compras!$X$444=""),"","4212")</f>
        <v/>
      </c>
      <c r="D3970">
        <f>IF(OR(Registro_Compras!$C$444="",Registro_Compras!$O$444=""),"","Cuentas por Pagar Comerciales - Terceros")</f>
        <v/>
      </c>
      <c r="E3970" s="20">
        <f>IF($C3970="","",Registro_Compras!$S$444)</f>
        <v/>
      </c>
      <c r="F3970" s="20">
        <f>""</f>
        <v/>
      </c>
      <c r="G3970">
        <f>IF($C3970="","","Por el deposito de la detraccion en el Banco de la Nacion")</f>
        <v/>
      </c>
      <c r="H3970">
        <f>IF($C3970="","",Registro_Compras!$C$444)</f>
        <v/>
      </c>
    </row>
    <row r="3971">
      <c r="A3971" s="25">
        <f>IF($C3971="","",Registro_Compras!$X$444)</f>
        <v/>
      </c>
      <c r="B3971">
        <f>IF($C3971="","","C"&amp;TEXT(INT((ROW()-5)/9)+1,"000")&amp;"-3")</f>
        <v/>
      </c>
      <c r="C3971">
        <f>IF(OR(Registro_Compras!$C$444="",Registro_Compras!$O$444="",Registro_Compras!$R$444&lt;&gt;"SI",Registro_Compras!$X$444=""),"","10413")</f>
        <v/>
      </c>
      <c r="D3971">
        <f>IF(OR(Registro_Compras!$C$444="",Registro_Compras!$O$444=""),"","Efectivo y Equivalentes - Cta. Cte. Operativa")</f>
        <v/>
      </c>
      <c r="E3971" s="20">
        <f>""</f>
        <v/>
      </c>
      <c r="F3971" s="20">
        <f>IF($C3971="","",Registro_Compras!$S$444)</f>
        <v/>
      </c>
      <c r="G3971">
        <f>IF($C3971="","","Por el deposito de la detraccion en el Banco de la Nacion")</f>
        <v/>
      </c>
      <c r="H3971">
        <f>IF($C3971="","",Registro_Compras!$C$444)</f>
        <v/>
      </c>
    </row>
    <row r="3972">
      <c r="A3972" s="25">
        <f>IF($C3972="","",Registro_Compras!$Y$444)</f>
        <v/>
      </c>
      <c r="B3972">
        <f>IF($C3972="","","C"&amp;TEXT(INT((ROW()-5)/9)+1,"000")&amp;"-4")</f>
        <v/>
      </c>
      <c r="C3972">
        <f>IF(OR(Registro_Compras!$C$444="",Registro_Compras!$O$444="",Registro_Compras!$Y$444="",Registro_Compras!$F$444="NOTA DE CREDITO"),"","4212")</f>
        <v/>
      </c>
      <c r="D3972">
        <f>IF(OR(Registro_Compras!$C$444="",Registro_Compras!$O$444=""),"","Cuentas por Pagar Comerciales - Terceros")</f>
        <v/>
      </c>
      <c r="E3972" s="20">
        <f>IF($C3972="","",IF(Registro_Compras!$F$444="RHE",(ROUND(Registro_Compras!$L$444*Registro_Compras!$N$444,2)-ROUND(Registro_Compras!$V$444*Registro_Compras!$N$444,2)),ROUND(Registro_Compras!$O$444-Registro_Compras!$S$444,2)))</f>
        <v/>
      </c>
      <c r="F3972" s="20">
        <f>""</f>
        <v/>
      </c>
      <c r="G3972">
        <f>IF($C3972="","","Por la cancelacion del saldo al proveedor")</f>
        <v/>
      </c>
      <c r="H3972">
        <f>IF($C3972="","",Registro_Compras!$C$444)</f>
        <v/>
      </c>
    </row>
    <row r="3973">
      <c r="A3973" s="25">
        <f>IF($C3973="","",Registro_Compras!$Y$444)</f>
        <v/>
      </c>
      <c r="B3973">
        <f>IF($C3973="","","C"&amp;TEXT(INT((ROW()-5)/9)+1,"000")&amp;"-4")</f>
        <v/>
      </c>
      <c r="C3973">
        <f>IF(OR(Registro_Compras!$C$444="",Registro_Compras!$O$444="",Registro_Compras!$Y$444="",Registro_Compras!$F$444="NOTA DE CREDITO"),"","10413")</f>
        <v/>
      </c>
      <c r="D3973">
        <f>IF(OR(Registro_Compras!$C$444="",Registro_Compras!$O$444=""),"","Efectivo y Equivalentes - Cta. Cte. Operativa")</f>
        <v/>
      </c>
      <c r="E3973" s="20">
        <f>""</f>
        <v/>
      </c>
      <c r="F3973" s="20">
        <f>IF($C3973="","",IF(Registro_Compras!$F$444="RHE",(ROUND(Registro_Compras!$L$444*Registro_Compras!$N$444,2)-ROUND(Registro_Compras!$V$444*Registro_Compras!$N$444,2)),ROUND(Registro_Compras!$O$444-Registro_Compras!$S$444,2)))</f>
        <v/>
      </c>
      <c r="G3973">
        <f>IF($C3973="","","Por la cancelacion del saldo al proveedor")</f>
        <v/>
      </c>
      <c r="H3973">
        <f>IF($C3973="","",Registro_Compras!$C$444)</f>
        <v/>
      </c>
    </row>
    <row r="3974">
      <c r="A3974" s="25">
        <f>IF($C3974="","",Registro_Compras!$B$445)</f>
        <v/>
      </c>
      <c r="B3974">
        <f>IF($C3974="","","C"&amp;TEXT(INT((ROW()-5)/9)+1,"000")&amp;"-1")</f>
        <v/>
      </c>
      <c r="C3974">
        <f>IF(OR(Registro_Compras!$C$445="",Registro_Compras!$O$445=""),"",IF(Registro_Compras!$F$445="NOTA DE CREDITO","4212",IF(Registro_Compras!$M$445="","63",Registro_Compras!$M$445)))</f>
        <v/>
      </c>
      <c r="D3974">
        <f>IF(OR(Registro_Compras!$C$445="",Registro_Compras!$O$445=""),"",IF(Registro_Compras!$F$445="NOTA DE CREDITO","Cuentas por Pagar Comerciales - Terceros (Emitidas)",IF(Registro_Compras!$F$445="RHE","Honorarios Profesionales - Servicios de Terceros","Gastos de Servicios Prestados por Terceros")))</f>
        <v/>
      </c>
      <c r="E3974" s="20">
        <f>IF($C3974="","",IF(Registro_Compras!$F$445="NOTA DE CREDITO",ABS(Registro_Compras!$O$445),IF(Registro_Compras!$F$445="RHE",ROUND(Registro_Compras!$L$445*Registro_Compras!$N$445,2),ROUND(Registro_Compras!$J$445*Registro_Compras!$N$445,2))))</f>
        <v/>
      </c>
      <c r="F3974" s="20">
        <f>""</f>
        <v/>
      </c>
      <c r="G3974">
        <f>IF($C3974="","",IF(Registro_Compras!$F$445="NOTA DE CREDITO","Por la nota de credito "&amp;Registro_Compras!$C$445&amp;" de "&amp;Registro_Compras!$E$445&amp;" [PATRON POR CONFIRMAR CON CONTADOR]",IF(Registro_Compras!$F$445="RHE","Por el registro del recibo por honorarios "&amp;Registro_Compras!$C$445&amp;" de "&amp;Registro_Compras!$E$445&amp;" [PATRON POR CONFIRMAR CON CONTADOR]","Por el registro de la factura "&amp;Registro_Compras!$C$445&amp;" de "&amp;Registro_Compras!$E$445)))</f>
        <v/>
      </c>
      <c r="H3974">
        <f>IF($C3974="","",Registro_Compras!$C$445)</f>
        <v/>
      </c>
    </row>
    <row r="3975">
      <c r="A3975" s="25">
        <f>IF($C3975="","",Registro_Compras!$B$445)</f>
        <v/>
      </c>
      <c r="B3975">
        <f>IF($C3975="","","C"&amp;TEXT(INT((ROW()-5)/9)+1,"000")&amp;"-1")</f>
        <v/>
      </c>
      <c r="C3975">
        <f>IF(OR(Registro_Compras!$C$445="",Registro_Compras!$O$445=""),"",IF(Registro_Compras!$F$445="RHE",IF(Registro_Compras!$V$445=0,"","40172"),IF(Registro_Compras!$F$445="NOTA DE CREDITO",IF(Registro_Compras!$M$445="","63",Registro_Compras!$M$445),IF(Registro_Compras!$K$445=0,"","40111"))))</f>
        <v/>
      </c>
      <c r="D3975">
        <f>IF(OR(Registro_Compras!$C$445="",Registro_Compras!$O$445=""),"",IF(Registro_Compras!$F$445="RHE","Retencion Renta 4ta Categoria por Pagar",IF(Registro_Compras!$F$445="NOTA DE CREDITO","Gastos de Servicios Prestados por Terceros","IGV - Cuenta Propia (Credito Fiscal)")))</f>
        <v/>
      </c>
      <c r="E3975" s="20">
        <f>IF($C3975="","",IF(Registro_Compras!$F$445="FACTURA",ROUND(Registro_Compras!$K$445*Registro_Compras!$N$445,2),""))</f>
        <v/>
      </c>
      <c r="F3975" s="20">
        <f>IF($C3975="","",IF(Registro_Compras!$F$445="RHE",ROUND(Registro_Compras!$V$445*Registro_Compras!$N$445,2),IF(Registro_Compras!$F$445="NOTA DE CREDITO",ROUND(ABS(Registro_Compras!$J$445*Registro_Compras!$N$445),2),"")))</f>
        <v/>
      </c>
      <c r="G3975">
        <f>IF($C3975="","",IF(Registro_Compras!$F$445="NOTA DE CREDITO","Por la nota de credito "&amp;Registro_Compras!$C$445&amp;" de "&amp;Registro_Compras!$E$445&amp;" [PATRON POR CONFIRMAR CON CONTADOR]",IF(Registro_Compras!$F$445="RHE","Por el registro del recibo por honorarios "&amp;Registro_Compras!$C$445&amp;" de "&amp;Registro_Compras!$E$445&amp;" [PATRON POR CONFIRMAR CON CONTADOR]","Por el registro de la factura "&amp;Registro_Compras!$C$445&amp;" de "&amp;Registro_Compras!$E$445)))</f>
        <v/>
      </c>
      <c r="H3975">
        <f>IF($C3975="","",Registro_Compras!$C$445)</f>
        <v/>
      </c>
    </row>
    <row r="3976">
      <c r="A3976" s="25">
        <f>IF($C3976="","",Registro_Compras!$B$445)</f>
        <v/>
      </c>
      <c r="B3976">
        <f>IF($C3976="","","C"&amp;TEXT(INT((ROW()-5)/9)+1,"000")&amp;"-1")</f>
        <v/>
      </c>
      <c r="C3976">
        <f>IF(OR(Registro_Compras!$C$445="",Registro_Compras!$O$445=""),"",IF(Registro_Compras!$F$445="NOTA DE CREDITO",IF(Registro_Compras!$K$445=0,"","40111"),"4212"))</f>
        <v/>
      </c>
      <c r="D3976">
        <f>IF(OR(Registro_Compras!$C$445="",Registro_Compras!$O$445=""),"",IF(Registro_Compras!$F$445="NOTA DE CREDITO","IGV - Cuenta Propia (Credito Fiscal)","Cuentas por Pagar Comerciales - Terceros (Emitidas)"))</f>
        <v/>
      </c>
      <c r="E3976" s="20">
        <f>""</f>
        <v/>
      </c>
      <c r="F3976" s="20">
        <f>IF($C3976="","",IF(Registro_Compras!$F$445="NOTA DE CREDITO",ROUND(ABS(Registro_Compras!$K$445*Registro_Compras!$N$445),2),IF(Registro_Compras!$F$445="RHE",(ROUND(Registro_Compras!$L$445*Registro_Compras!$N$445,2)-ROUND(Registro_Compras!$V$445*Registro_Compras!$N$445,2)),Registro_Compras!$O$445)))</f>
        <v/>
      </c>
      <c r="G3976">
        <f>IF($C3976="","",IF(Registro_Compras!$F$445="NOTA DE CREDITO","Por la nota de credito "&amp;Registro_Compras!$C$445&amp;" de "&amp;Registro_Compras!$E$445&amp;" [PATRON POR CONFIRMAR CON CONTADOR]",IF(Registro_Compras!$F$445="RHE","Por el registro del recibo por honorarios "&amp;Registro_Compras!$C$445&amp;" de "&amp;Registro_Compras!$E$445&amp;" [PATRON POR CONFIRMAR CON CONTADOR]","Por el registro de la factura "&amp;Registro_Compras!$C$445&amp;" de "&amp;Registro_Compras!$E$445)))</f>
        <v/>
      </c>
      <c r="H3976">
        <f>IF($C3976="","",Registro_Compras!$C$445)</f>
        <v/>
      </c>
    </row>
    <row r="3977">
      <c r="A3977" s="25">
        <f>IF($C3977="","",Registro_Compras!$B$445)</f>
        <v/>
      </c>
      <c r="B3977">
        <f>IF($C3977="","","C"&amp;TEXT(INT((ROW()-5)/9)+1,"000")&amp;"-2")</f>
        <v/>
      </c>
      <c r="C3977">
        <f>IF(OR(Registro_Compras!$C$445="",Registro_Compras!$O$445=""),"",IF(Registro_Compras!$AB$445="ADMINISTRATIVO","94","95"))</f>
        <v/>
      </c>
      <c r="D3977">
        <f>IF(OR(Registro_Compras!$C$445="",Registro_Compras!$O$445=""),"",IF(Registro_Compras!$AB$445="ADMINISTRATIVO","Gastos Administrativos","Gastos de Venta y Operacion"))</f>
        <v/>
      </c>
      <c r="E3977" s="20">
        <f>IF($C3977="","",IF(Registro_Compras!$F$445="NOTA DE CREDITO","",IF(Registro_Compras!$F$445="RHE",ROUND(Registro_Compras!$L$445*Registro_Compras!$N$445,2),ROUND(Registro_Compras!$J$445*Registro_Compras!$N$445,2))))</f>
        <v/>
      </c>
      <c r="F3977" s="20">
        <f>IF($C3977="","",IF(Registro_Compras!$F$445="NOTA DE CREDITO",ROUND(ABS(Registro_Compras!$J$445*Registro_Compras!$N$445),2),""))</f>
        <v/>
      </c>
      <c r="G3977">
        <f>IF($C3977="","","Por el destino del gasto")</f>
        <v/>
      </c>
      <c r="H3977">
        <f>IF($C3977="","",Registro_Compras!$C$445)</f>
        <v/>
      </c>
    </row>
    <row r="3978">
      <c r="A3978" s="25">
        <f>IF($C3978="","",Registro_Compras!$B$445)</f>
        <v/>
      </c>
      <c r="B3978">
        <f>IF($C3978="","","C"&amp;TEXT(INT((ROW()-5)/9)+1,"000")&amp;"-2")</f>
        <v/>
      </c>
      <c r="C3978">
        <f>IF(OR(Registro_Compras!$C$445="",Registro_Compras!$O$445=""),"","79/791")</f>
        <v/>
      </c>
      <c r="D3978">
        <f>IF(OR(Registro_Compras!$C$445="",Registro_Compras!$O$445=""),"","Cargas Imputables a Cuentas de Costos y Gastos")</f>
        <v/>
      </c>
      <c r="E3978" s="20">
        <f>IF($C3978="","",IF(Registro_Compras!$F$445="NOTA DE CREDITO",ROUND(ABS(Registro_Compras!$J$445*Registro_Compras!$N$445),2),""))</f>
        <v/>
      </c>
      <c r="F3978" s="20">
        <f>IF($C3978="","",IF(Registro_Compras!$F$445="NOTA DE CREDITO","",IF(Registro_Compras!$F$445="RHE",ROUND(Registro_Compras!$L$445*Registro_Compras!$N$445,2),ROUND(Registro_Compras!$J$445*Registro_Compras!$N$445,2))))</f>
        <v/>
      </c>
      <c r="G3978">
        <f>IF($C3978="","","Por el destino del gasto")</f>
        <v/>
      </c>
      <c r="H3978">
        <f>IF($C3978="","",Registro_Compras!$C$445)</f>
        <v/>
      </c>
    </row>
    <row r="3979">
      <c r="A3979" s="25">
        <f>IF($C3979="","",Registro_Compras!$X$445)</f>
        <v/>
      </c>
      <c r="B3979">
        <f>IF($C3979="","","C"&amp;TEXT(INT((ROW()-5)/9)+1,"000")&amp;"-3")</f>
        <v/>
      </c>
      <c r="C3979">
        <f>IF(OR(Registro_Compras!$C$445="",Registro_Compras!$O$445="",Registro_Compras!$R$445&lt;&gt;"SI",Registro_Compras!$X$445=""),"","4212")</f>
        <v/>
      </c>
      <c r="D3979">
        <f>IF(OR(Registro_Compras!$C$445="",Registro_Compras!$O$445=""),"","Cuentas por Pagar Comerciales - Terceros")</f>
        <v/>
      </c>
      <c r="E3979" s="20">
        <f>IF($C3979="","",Registro_Compras!$S$445)</f>
        <v/>
      </c>
      <c r="F3979" s="20">
        <f>""</f>
        <v/>
      </c>
      <c r="G3979">
        <f>IF($C3979="","","Por el deposito de la detraccion en el Banco de la Nacion")</f>
        <v/>
      </c>
      <c r="H3979">
        <f>IF($C3979="","",Registro_Compras!$C$445)</f>
        <v/>
      </c>
    </row>
    <row r="3980">
      <c r="A3980" s="25">
        <f>IF($C3980="","",Registro_Compras!$X$445)</f>
        <v/>
      </c>
      <c r="B3980">
        <f>IF($C3980="","","C"&amp;TEXT(INT((ROW()-5)/9)+1,"000")&amp;"-3")</f>
        <v/>
      </c>
      <c r="C3980">
        <f>IF(OR(Registro_Compras!$C$445="",Registro_Compras!$O$445="",Registro_Compras!$R$445&lt;&gt;"SI",Registro_Compras!$X$445=""),"","10413")</f>
        <v/>
      </c>
      <c r="D3980">
        <f>IF(OR(Registro_Compras!$C$445="",Registro_Compras!$O$445=""),"","Efectivo y Equivalentes - Cta. Cte. Operativa")</f>
        <v/>
      </c>
      <c r="E3980" s="20">
        <f>""</f>
        <v/>
      </c>
      <c r="F3980" s="20">
        <f>IF($C3980="","",Registro_Compras!$S$445)</f>
        <v/>
      </c>
      <c r="G3980">
        <f>IF($C3980="","","Por el deposito de la detraccion en el Banco de la Nacion")</f>
        <v/>
      </c>
      <c r="H3980">
        <f>IF($C3980="","",Registro_Compras!$C$445)</f>
        <v/>
      </c>
    </row>
    <row r="3981">
      <c r="A3981" s="25">
        <f>IF($C3981="","",Registro_Compras!$Y$445)</f>
        <v/>
      </c>
      <c r="B3981">
        <f>IF($C3981="","","C"&amp;TEXT(INT((ROW()-5)/9)+1,"000")&amp;"-4")</f>
        <v/>
      </c>
      <c r="C3981">
        <f>IF(OR(Registro_Compras!$C$445="",Registro_Compras!$O$445="",Registro_Compras!$Y$445="",Registro_Compras!$F$445="NOTA DE CREDITO"),"","4212")</f>
        <v/>
      </c>
      <c r="D3981">
        <f>IF(OR(Registro_Compras!$C$445="",Registro_Compras!$O$445=""),"","Cuentas por Pagar Comerciales - Terceros")</f>
        <v/>
      </c>
      <c r="E3981" s="20">
        <f>IF($C3981="","",IF(Registro_Compras!$F$445="RHE",(ROUND(Registro_Compras!$L$445*Registro_Compras!$N$445,2)-ROUND(Registro_Compras!$V$445*Registro_Compras!$N$445,2)),ROUND(Registro_Compras!$O$445-Registro_Compras!$S$445,2)))</f>
        <v/>
      </c>
      <c r="F3981" s="20">
        <f>""</f>
        <v/>
      </c>
      <c r="G3981">
        <f>IF($C3981="","","Por la cancelacion del saldo al proveedor")</f>
        <v/>
      </c>
      <c r="H3981">
        <f>IF($C3981="","",Registro_Compras!$C$445)</f>
        <v/>
      </c>
    </row>
    <row r="3982">
      <c r="A3982" s="25">
        <f>IF($C3982="","",Registro_Compras!$Y$445)</f>
        <v/>
      </c>
      <c r="B3982">
        <f>IF($C3982="","","C"&amp;TEXT(INT((ROW()-5)/9)+1,"000")&amp;"-4")</f>
        <v/>
      </c>
      <c r="C3982">
        <f>IF(OR(Registro_Compras!$C$445="",Registro_Compras!$O$445="",Registro_Compras!$Y$445="",Registro_Compras!$F$445="NOTA DE CREDITO"),"","10413")</f>
        <v/>
      </c>
      <c r="D3982">
        <f>IF(OR(Registro_Compras!$C$445="",Registro_Compras!$O$445=""),"","Efectivo y Equivalentes - Cta. Cte. Operativa")</f>
        <v/>
      </c>
      <c r="E3982" s="20">
        <f>""</f>
        <v/>
      </c>
      <c r="F3982" s="20">
        <f>IF($C3982="","",IF(Registro_Compras!$F$445="RHE",(ROUND(Registro_Compras!$L$445*Registro_Compras!$N$445,2)-ROUND(Registro_Compras!$V$445*Registro_Compras!$N$445,2)),ROUND(Registro_Compras!$O$445-Registro_Compras!$S$445,2)))</f>
        <v/>
      </c>
      <c r="G3982">
        <f>IF($C3982="","","Por la cancelacion del saldo al proveedor")</f>
        <v/>
      </c>
      <c r="H3982">
        <f>IF($C3982="","",Registro_Compras!$C$445)</f>
        <v/>
      </c>
    </row>
    <row r="3983">
      <c r="A3983" s="25">
        <f>IF($C3983="","",Registro_Compras!$B$446)</f>
        <v/>
      </c>
      <c r="B3983">
        <f>IF($C3983="","","C"&amp;TEXT(INT((ROW()-5)/9)+1,"000")&amp;"-1")</f>
        <v/>
      </c>
      <c r="C3983">
        <f>IF(OR(Registro_Compras!$C$446="",Registro_Compras!$O$446=""),"",IF(Registro_Compras!$F$446="NOTA DE CREDITO","4212",IF(Registro_Compras!$M$446="","63",Registro_Compras!$M$446)))</f>
        <v/>
      </c>
      <c r="D3983">
        <f>IF(OR(Registro_Compras!$C$446="",Registro_Compras!$O$446=""),"",IF(Registro_Compras!$F$446="NOTA DE CREDITO","Cuentas por Pagar Comerciales - Terceros (Emitidas)",IF(Registro_Compras!$F$446="RHE","Honorarios Profesionales - Servicios de Terceros","Gastos de Servicios Prestados por Terceros")))</f>
        <v/>
      </c>
      <c r="E3983" s="20">
        <f>IF($C3983="","",IF(Registro_Compras!$F$446="NOTA DE CREDITO",ABS(Registro_Compras!$O$446),IF(Registro_Compras!$F$446="RHE",ROUND(Registro_Compras!$L$446*Registro_Compras!$N$446,2),ROUND(Registro_Compras!$J$446*Registro_Compras!$N$446,2))))</f>
        <v/>
      </c>
      <c r="F3983" s="20">
        <f>""</f>
        <v/>
      </c>
      <c r="G3983">
        <f>IF($C3983="","",IF(Registro_Compras!$F$446="NOTA DE CREDITO","Por la nota de credito "&amp;Registro_Compras!$C$446&amp;" de "&amp;Registro_Compras!$E$446&amp;" [PATRON POR CONFIRMAR CON CONTADOR]",IF(Registro_Compras!$F$446="RHE","Por el registro del recibo por honorarios "&amp;Registro_Compras!$C$446&amp;" de "&amp;Registro_Compras!$E$446&amp;" [PATRON POR CONFIRMAR CON CONTADOR]","Por el registro de la factura "&amp;Registro_Compras!$C$446&amp;" de "&amp;Registro_Compras!$E$446)))</f>
        <v/>
      </c>
      <c r="H3983">
        <f>IF($C3983="","",Registro_Compras!$C$446)</f>
        <v/>
      </c>
    </row>
    <row r="3984">
      <c r="A3984" s="25">
        <f>IF($C3984="","",Registro_Compras!$B$446)</f>
        <v/>
      </c>
      <c r="B3984">
        <f>IF($C3984="","","C"&amp;TEXT(INT((ROW()-5)/9)+1,"000")&amp;"-1")</f>
        <v/>
      </c>
      <c r="C3984">
        <f>IF(OR(Registro_Compras!$C$446="",Registro_Compras!$O$446=""),"",IF(Registro_Compras!$F$446="RHE",IF(Registro_Compras!$V$446=0,"","40172"),IF(Registro_Compras!$F$446="NOTA DE CREDITO",IF(Registro_Compras!$M$446="","63",Registro_Compras!$M$446),IF(Registro_Compras!$K$446=0,"","40111"))))</f>
        <v/>
      </c>
      <c r="D3984">
        <f>IF(OR(Registro_Compras!$C$446="",Registro_Compras!$O$446=""),"",IF(Registro_Compras!$F$446="RHE","Retencion Renta 4ta Categoria por Pagar",IF(Registro_Compras!$F$446="NOTA DE CREDITO","Gastos de Servicios Prestados por Terceros","IGV - Cuenta Propia (Credito Fiscal)")))</f>
        <v/>
      </c>
      <c r="E3984" s="20">
        <f>IF($C3984="","",IF(Registro_Compras!$F$446="FACTURA",ROUND(Registro_Compras!$K$446*Registro_Compras!$N$446,2),""))</f>
        <v/>
      </c>
      <c r="F3984" s="20">
        <f>IF($C3984="","",IF(Registro_Compras!$F$446="RHE",ROUND(Registro_Compras!$V$446*Registro_Compras!$N$446,2),IF(Registro_Compras!$F$446="NOTA DE CREDITO",ROUND(ABS(Registro_Compras!$J$446*Registro_Compras!$N$446),2),"")))</f>
        <v/>
      </c>
      <c r="G3984">
        <f>IF($C3984="","",IF(Registro_Compras!$F$446="NOTA DE CREDITO","Por la nota de credito "&amp;Registro_Compras!$C$446&amp;" de "&amp;Registro_Compras!$E$446&amp;" [PATRON POR CONFIRMAR CON CONTADOR]",IF(Registro_Compras!$F$446="RHE","Por el registro del recibo por honorarios "&amp;Registro_Compras!$C$446&amp;" de "&amp;Registro_Compras!$E$446&amp;" [PATRON POR CONFIRMAR CON CONTADOR]","Por el registro de la factura "&amp;Registro_Compras!$C$446&amp;" de "&amp;Registro_Compras!$E$446)))</f>
        <v/>
      </c>
      <c r="H3984">
        <f>IF($C3984="","",Registro_Compras!$C$446)</f>
        <v/>
      </c>
    </row>
    <row r="3985">
      <c r="A3985" s="25">
        <f>IF($C3985="","",Registro_Compras!$B$446)</f>
        <v/>
      </c>
      <c r="B3985">
        <f>IF($C3985="","","C"&amp;TEXT(INT((ROW()-5)/9)+1,"000")&amp;"-1")</f>
        <v/>
      </c>
      <c r="C3985">
        <f>IF(OR(Registro_Compras!$C$446="",Registro_Compras!$O$446=""),"",IF(Registro_Compras!$F$446="NOTA DE CREDITO",IF(Registro_Compras!$K$446=0,"","40111"),"4212"))</f>
        <v/>
      </c>
      <c r="D3985">
        <f>IF(OR(Registro_Compras!$C$446="",Registro_Compras!$O$446=""),"",IF(Registro_Compras!$F$446="NOTA DE CREDITO","IGV - Cuenta Propia (Credito Fiscal)","Cuentas por Pagar Comerciales - Terceros (Emitidas)"))</f>
        <v/>
      </c>
      <c r="E3985" s="20">
        <f>""</f>
        <v/>
      </c>
      <c r="F3985" s="20">
        <f>IF($C3985="","",IF(Registro_Compras!$F$446="NOTA DE CREDITO",ROUND(ABS(Registro_Compras!$K$446*Registro_Compras!$N$446),2),IF(Registro_Compras!$F$446="RHE",(ROUND(Registro_Compras!$L$446*Registro_Compras!$N$446,2)-ROUND(Registro_Compras!$V$446*Registro_Compras!$N$446,2)),Registro_Compras!$O$446)))</f>
        <v/>
      </c>
      <c r="G3985">
        <f>IF($C3985="","",IF(Registro_Compras!$F$446="NOTA DE CREDITO","Por la nota de credito "&amp;Registro_Compras!$C$446&amp;" de "&amp;Registro_Compras!$E$446&amp;" [PATRON POR CONFIRMAR CON CONTADOR]",IF(Registro_Compras!$F$446="RHE","Por el registro del recibo por honorarios "&amp;Registro_Compras!$C$446&amp;" de "&amp;Registro_Compras!$E$446&amp;" [PATRON POR CONFIRMAR CON CONTADOR]","Por el registro de la factura "&amp;Registro_Compras!$C$446&amp;" de "&amp;Registro_Compras!$E$446)))</f>
        <v/>
      </c>
      <c r="H3985">
        <f>IF($C3985="","",Registro_Compras!$C$446)</f>
        <v/>
      </c>
    </row>
    <row r="3986">
      <c r="A3986" s="25">
        <f>IF($C3986="","",Registro_Compras!$B$446)</f>
        <v/>
      </c>
      <c r="B3986">
        <f>IF($C3986="","","C"&amp;TEXT(INT((ROW()-5)/9)+1,"000")&amp;"-2")</f>
        <v/>
      </c>
      <c r="C3986">
        <f>IF(OR(Registro_Compras!$C$446="",Registro_Compras!$O$446=""),"",IF(Registro_Compras!$AB$446="ADMINISTRATIVO","94","95"))</f>
        <v/>
      </c>
      <c r="D3986">
        <f>IF(OR(Registro_Compras!$C$446="",Registro_Compras!$O$446=""),"",IF(Registro_Compras!$AB$446="ADMINISTRATIVO","Gastos Administrativos","Gastos de Venta y Operacion"))</f>
        <v/>
      </c>
      <c r="E3986" s="20">
        <f>IF($C3986="","",IF(Registro_Compras!$F$446="NOTA DE CREDITO","",IF(Registro_Compras!$F$446="RHE",ROUND(Registro_Compras!$L$446*Registro_Compras!$N$446,2),ROUND(Registro_Compras!$J$446*Registro_Compras!$N$446,2))))</f>
        <v/>
      </c>
      <c r="F3986" s="20">
        <f>IF($C3986="","",IF(Registro_Compras!$F$446="NOTA DE CREDITO",ROUND(ABS(Registro_Compras!$J$446*Registro_Compras!$N$446),2),""))</f>
        <v/>
      </c>
      <c r="G3986">
        <f>IF($C3986="","","Por el destino del gasto")</f>
        <v/>
      </c>
      <c r="H3986">
        <f>IF($C3986="","",Registro_Compras!$C$446)</f>
        <v/>
      </c>
    </row>
    <row r="3987">
      <c r="A3987" s="25">
        <f>IF($C3987="","",Registro_Compras!$B$446)</f>
        <v/>
      </c>
      <c r="B3987">
        <f>IF($C3987="","","C"&amp;TEXT(INT((ROW()-5)/9)+1,"000")&amp;"-2")</f>
        <v/>
      </c>
      <c r="C3987">
        <f>IF(OR(Registro_Compras!$C$446="",Registro_Compras!$O$446=""),"","79/791")</f>
        <v/>
      </c>
      <c r="D3987">
        <f>IF(OR(Registro_Compras!$C$446="",Registro_Compras!$O$446=""),"","Cargas Imputables a Cuentas de Costos y Gastos")</f>
        <v/>
      </c>
      <c r="E3987" s="20">
        <f>IF($C3987="","",IF(Registro_Compras!$F$446="NOTA DE CREDITO",ROUND(ABS(Registro_Compras!$J$446*Registro_Compras!$N$446),2),""))</f>
        <v/>
      </c>
      <c r="F3987" s="20">
        <f>IF($C3987="","",IF(Registro_Compras!$F$446="NOTA DE CREDITO","",IF(Registro_Compras!$F$446="RHE",ROUND(Registro_Compras!$L$446*Registro_Compras!$N$446,2),ROUND(Registro_Compras!$J$446*Registro_Compras!$N$446,2))))</f>
        <v/>
      </c>
      <c r="G3987">
        <f>IF($C3987="","","Por el destino del gasto")</f>
        <v/>
      </c>
      <c r="H3987">
        <f>IF($C3987="","",Registro_Compras!$C$446)</f>
        <v/>
      </c>
    </row>
    <row r="3988">
      <c r="A3988" s="25">
        <f>IF($C3988="","",Registro_Compras!$X$446)</f>
        <v/>
      </c>
      <c r="B3988">
        <f>IF($C3988="","","C"&amp;TEXT(INT((ROW()-5)/9)+1,"000")&amp;"-3")</f>
        <v/>
      </c>
      <c r="C3988">
        <f>IF(OR(Registro_Compras!$C$446="",Registro_Compras!$O$446="",Registro_Compras!$R$446&lt;&gt;"SI",Registro_Compras!$X$446=""),"","4212")</f>
        <v/>
      </c>
      <c r="D3988">
        <f>IF(OR(Registro_Compras!$C$446="",Registro_Compras!$O$446=""),"","Cuentas por Pagar Comerciales - Terceros")</f>
        <v/>
      </c>
      <c r="E3988" s="20">
        <f>IF($C3988="","",Registro_Compras!$S$446)</f>
        <v/>
      </c>
      <c r="F3988" s="20">
        <f>""</f>
        <v/>
      </c>
      <c r="G3988">
        <f>IF($C3988="","","Por el deposito de la detraccion en el Banco de la Nacion")</f>
        <v/>
      </c>
      <c r="H3988">
        <f>IF($C3988="","",Registro_Compras!$C$446)</f>
        <v/>
      </c>
    </row>
    <row r="3989">
      <c r="A3989" s="25">
        <f>IF($C3989="","",Registro_Compras!$X$446)</f>
        <v/>
      </c>
      <c r="B3989">
        <f>IF($C3989="","","C"&amp;TEXT(INT((ROW()-5)/9)+1,"000")&amp;"-3")</f>
        <v/>
      </c>
      <c r="C3989">
        <f>IF(OR(Registro_Compras!$C$446="",Registro_Compras!$O$446="",Registro_Compras!$R$446&lt;&gt;"SI",Registro_Compras!$X$446=""),"","10413")</f>
        <v/>
      </c>
      <c r="D3989">
        <f>IF(OR(Registro_Compras!$C$446="",Registro_Compras!$O$446=""),"","Efectivo y Equivalentes - Cta. Cte. Operativa")</f>
        <v/>
      </c>
      <c r="E3989" s="20">
        <f>""</f>
        <v/>
      </c>
      <c r="F3989" s="20">
        <f>IF($C3989="","",Registro_Compras!$S$446)</f>
        <v/>
      </c>
      <c r="G3989">
        <f>IF($C3989="","","Por el deposito de la detraccion en el Banco de la Nacion")</f>
        <v/>
      </c>
      <c r="H3989">
        <f>IF($C3989="","",Registro_Compras!$C$446)</f>
        <v/>
      </c>
    </row>
    <row r="3990">
      <c r="A3990" s="25">
        <f>IF($C3990="","",Registro_Compras!$Y$446)</f>
        <v/>
      </c>
      <c r="B3990">
        <f>IF($C3990="","","C"&amp;TEXT(INT((ROW()-5)/9)+1,"000")&amp;"-4")</f>
        <v/>
      </c>
      <c r="C3990">
        <f>IF(OR(Registro_Compras!$C$446="",Registro_Compras!$O$446="",Registro_Compras!$Y$446="",Registro_Compras!$F$446="NOTA DE CREDITO"),"","4212")</f>
        <v/>
      </c>
      <c r="D3990">
        <f>IF(OR(Registro_Compras!$C$446="",Registro_Compras!$O$446=""),"","Cuentas por Pagar Comerciales - Terceros")</f>
        <v/>
      </c>
      <c r="E3990" s="20">
        <f>IF($C3990="","",IF(Registro_Compras!$F$446="RHE",(ROUND(Registro_Compras!$L$446*Registro_Compras!$N$446,2)-ROUND(Registro_Compras!$V$446*Registro_Compras!$N$446,2)),ROUND(Registro_Compras!$O$446-Registro_Compras!$S$446,2)))</f>
        <v/>
      </c>
      <c r="F3990" s="20">
        <f>""</f>
        <v/>
      </c>
      <c r="G3990">
        <f>IF($C3990="","","Por la cancelacion del saldo al proveedor")</f>
        <v/>
      </c>
      <c r="H3990">
        <f>IF($C3990="","",Registro_Compras!$C$446)</f>
        <v/>
      </c>
    </row>
    <row r="3991">
      <c r="A3991" s="25">
        <f>IF($C3991="","",Registro_Compras!$Y$446)</f>
        <v/>
      </c>
      <c r="B3991">
        <f>IF($C3991="","","C"&amp;TEXT(INT((ROW()-5)/9)+1,"000")&amp;"-4")</f>
        <v/>
      </c>
      <c r="C3991">
        <f>IF(OR(Registro_Compras!$C$446="",Registro_Compras!$O$446="",Registro_Compras!$Y$446="",Registro_Compras!$F$446="NOTA DE CREDITO"),"","10413")</f>
        <v/>
      </c>
      <c r="D3991">
        <f>IF(OR(Registro_Compras!$C$446="",Registro_Compras!$O$446=""),"","Efectivo y Equivalentes - Cta. Cte. Operativa")</f>
        <v/>
      </c>
      <c r="E3991" s="20">
        <f>""</f>
        <v/>
      </c>
      <c r="F3991" s="20">
        <f>IF($C3991="","",IF(Registro_Compras!$F$446="RHE",(ROUND(Registro_Compras!$L$446*Registro_Compras!$N$446,2)-ROUND(Registro_Compras!$V$446*Registro_Compras!$N$446,2)),ROUND(Registro_Compras!$O$446-Registro_Compras!$S$446,2)))</f>
        <v/>
      </c>
      <c r="G3991">
        <f>IF($C3991="","","Por la cancelacion del saldo al proveedor")</f>
        <v/>
      </c>
      <c r="H3991">
        <f>IF($C3991="","",Registro_Compras!$C$446)</f>
        <v/>
      </c>
    </row>
    <row r="3992">
      <c r="A3992" s="25">
        <f>IF($C3992="","",Registro_Compras!$B$447)</f>
        <v/>
      </c>
      <c r="B3992">
        <f>IF($C3992="","","C"&amp;TEXT(INT((ROW()-5)/9)+1,"000")&amp;"-1")</f>
        <v/>
      </c>
      <c r="C3992">
        <f>IF(OR(Registro_Compras!$C$447="",Registro_Compras!$O$447=""),"",IF(Registro_Compras!$F$447="NOTA DE CREDITO","4212",IF(Registro_Compras!$M$447="","63",Registro_Compras!$M$447)))</f>
        <v/>
      </c>
      <c r="D3992">
        <f>IF(OR(Registro_Compras!$C$447="",Registro_Compras!$O$447=""),"",IF(Registro_Compras!$F$447="NOTA DE CREDITO","Cuentas por Pagar Comerciales - Terceros (Emitidas)",IF(Registro_Compras!$F$447="RHE","Honorarios Profesionales - Servicios de Terceros","Gastos de Servicios Prestados por Terceros")))</f>
        <v/>
      </c>
      <c r="E3992" s="20">
        <f>IF($C3992="","",IF(Registro_Compras!$F$447="NOTA DE CREDITO",ABS(Registro_Compras!$O$447),IF(Registro_Compras!$F$447="RHE",ROUND(Registro_Compras!$L$447*Registro_Compras!$N$447,2),ROUND(Registro_Compras!$J$447*Registro_Compras!$N$447,2))))</f>
        <v/>
      </c>
      <c r="F3992" s="20">
        <f>""</f>
        <v/>
      </c>
      <c r="G3992">
        <f>IF($C3992="","",IF(Registro_Compras!$F$447="NOTA DE CREDITO","Por la nota de credito "&amp;Registro_Compras!$C$447&amp;" de "&amp;Registro_Compras!$E$447&amp;" [PATRON POR CONFIRMAR CON CONTADOR]",IF(Registro_Compras!$F$447="RHE","Por el registro del recibo por honorarios "&amp;Registro_Compras!$C$447&amp;" de "&amp;Registro_Compras!$E$447&amp;" [PATRON POR CONFIRMAR CON CONTADOR]","Por el registro de la factura "&amp;Registro_Compras!$C$447&amp;" de "&amp;Registro_Compras!$E$447)))</f>
        <v/>
      </c>
      <c r="H3992">
        <f>IF($C3992="","",Registro_Compras!$C$447)</f>
        <v/>
      </c>
    </row>
    <row r="3993">
      <c r="A3993" s="25">
        <f>IF($C3993="","",Registro_Compras!$B$447)</f>
        <v/>
      </c>
      <c r="B3993">
        <f>IF($C3993="","","C"&amp;TEXT(INT((ROW()-5)/9)+1,"000")&amp;"-1")</f>
        <v/>
      </c>
      <c r="C3993">
        <f>IF(OR(Registro_Compras!$C$447="",Registro_Compras!$O$447=""),"",IF(Registro_Compras!$F$447="RHE",IF(Registro_Compras!$V$447=0,"","40172"),IF(Registro_Compras!$F$447="NOTA DE CREDITO",IF(Registro_Compras!$M$447="","63",Registro_Compras!$M$447),IF(Registro_Compras!$K$447=0,"","40111"))))</f>
        <v/>
      </c>
      <c r="D3993">
        <f>IF(OR(Registro_Compras!$C$447="",Registro_Compras!$O$447=""),"",IF(Registro_Compras!$F$447="RHE","Retencion Renta 4ta Categoria por Pagar",IF(Registro_Compras!$F$447="NOTA DE CREDITO","Gastos de Servicios Prestados por Terceros","IGV - Cuenta Propia (Credito Fiscal)")))</f>
        <v/>
      </c>
      <c r="E3993" s="20">
        <f>IF($C3993="","",IF(Registro_Compras!$F$447="FACTURA",ROUND(Registro_Compras!$K$447*Registro_Compras!$N$447,2),""))</f>
        <v/>
      </c>
      <c r="F3993" s="20">
        <f>IF($C3993="","",IF(Registro_Compras!$F$447="RHE",ROUND(Registro_Compras!$V$447*Registro_Compras!$N$447,2),IF(Registro_Compras!$F$447="NOTA DE CREDITO",ROUND(ABS(Registro_Compras!$J$447*Registro_Compras!$N$447),2),"")))</f>
        <v/>
      </c>
      <c r="G3993">
        <f>IF($C3993="","",IF(Registro_Compras!$F$447="NOTA DE CREDITO","Por la nota de credito "&amp;Registro_Compras!$C$447&amp;" de "&amp;Registro_Compras!$E$447&amp;" [PATRON POR CONFIRMAR CON CONTADOR]",IF(Registro_Compras!$F$447="RHE","Por el registro del recibo por honorarios "&amp;Registro_Compras!$C$447&amp;" de "&amp;Registro_Compras!$E$447&amp;" [PATRON POR CONFIRMAR CON CONTADOR]","Por el registro de la factura "&amp;Registro_Compras!$C$447&amp;" de "&amp;Registro_Compras!$E$447)))</f>
        <v/>
      </c>
      <c r="H3993">
        <f>IF($C3993="","",Registro_Compras!$C$447)</f>
        <v/>
      </c>
    </row>
    <row r="3994">
      <c r="A3994" s="25">
        <f>IF($C3994="","",Registro_Compras!$B$447)</f>
        <v/>
      </c>
      <c r="B3994">
        <f>IF($C3994="","","C"&amp;TEXT(INT((ROW()-5)/9)+1,"000")&amp;"-1")</f>
        <v/>
      </c>
      <c r="C3994">
        <f>IF(OR(Registro_Compras!$C$447="",Registro_Compras!$O$447=""),"",IF(Registro_Compras!$F$447="NOTA DE CREDITO",IF(Registro_Compras!$K$447=0,"","40111"),"4212"))</f>
        <v/>
      </c>
      <c r="D3994">
        <f>IF(OR(Registro_Compras!$C$447="",Registro_Compras!$O$447=""),"",IF(Registro_Compras!$F$447="NOTA DE CREDITO","IGV - Cuenta Propia (Credito Fiscal)","Cuentas por Pagar Comerciales - Terceros (Emitidas)"))</f>
        <v/>
      </c>
      <c r="E3994" s="20">
        <f>""</f>
        <v/>
      </c>
      <c r="F3994" s="20">
        <f>IF($C3994="","",IF(Registro_Compras!$F$447="NOTA DE CREDITO",ROUND(ABS(Registro_Compras!$K$447*Registro_Compras!$N$447),2),IF(Registro_Compras!$F$447="RHE",(ROUND(Registro_Compras!$L$447*Registro_Compras!$N$447,2)-ROUND(Registro_Compras!$V$447*Registro_Compras!$N$447,2)),Registro_Compras!$O$447)))</f>
        <v/>
      </c>
      <c r="G3994">
        <f>IF($C3994="","",IF(Registro_Compras!$F$447="NOTA DE CREDITO","Por la nota de credito "&amp;Registro_Compras!$C$447&amp;" de "&amp;Registro_Compras!$E$447&amp;" [PATRON POR CONFIRMAR CON CONTADOR]",IF(Registro_Compras!$F$447="RHE","Por el registro del recibo por honorarios "&amp;Registro_Compras!$C$447&amp;" de "&amp;Registro_Compras!$E$447&amp;" [PATRON POR CONFIRMAR CON CONTADOR]","Por el registro de la factura "&amp;Registro_Compras!$C$447&amp;" de "&amp;Registro_Compras!$E$447)))</f>
        <v/>
      </c>
      <c r="H3994">
        <f>IF($C3994="","",Registro_Compras!$C$447)</f>
        <v/>
      </c>
    </row>
    <row r="3995">
      <c r="A3995" s="25">
        <f>IF($C3995="","",Registro_Compras!$B$447)</f>
        <v/>
      </c>
      <c r="B3995">
        <f>IF($C3995="","","C"&amp;TEXT(INT((ROW()-5)/9)+1,"000")&amp;"-2")</f>
        <v/>
      </c>
      <c r="C3995">
        <f>IF(OR(Registro_Compras!$C$447="",Registro_Compras!$O$447=""),"",IF(Registro_Compras!$AB$447="ADMINISTRATIVO","94","95"))</f>
        <v/>
      </c>
      <c r="D3995">
        <f>IF(OR(Registro_Compras!$C$447="",Registro_Compras!$O$447=""),"",IF(Registro_Compras!$AB$447="ADMINISTRATIVO","Gastos Administrativos","Gastos de Venta y Operacion"))</f>
        <v/>
      </c>
      <c r="E3995" s="20">
        <f>IF($C3995="","",IF(Registro_Compras!$F$447="NOTA DE CREDITO","",IF(Registro_Compras!$F$447="RHE",ROUND(Registro_Compras!$L$447*Registro_Compras!$N$447,2),ROUND(Registro_Compras!$J$447*Registro_Compras!$N$447,2))))</f>
        <v/>
      </c>
      <c r="F3995" s="20">
        <f>IF($C3995="","",IF(Registro_Compras!$F$447="NOTA DE CREDITO",ROUND(ABS(Registro_Compras!$J$447*Registro_Compras!$N$447),2),""))</f>
        <v/>
      </c>
      <c r="G3995">
        <f>IF($C3995="","","Por el destino del gasto")</f>
        <v/>
      </c>
      <c r="H3995">
        <f>IF($C3995="","",Registro_Compras!$C$447)</f>
        <v/>
      </c>
    </row>
    <row r="3996">
      <c r="A3996" s="25">
        <f>IF($C3996="","",Registro_Compras!$B$447)</f>
        <v/>
      </c>
      <c r="B3996">
        <f>IF($C3996="","","C"&amp;TEXT(INT((ROW()-5)/9)+1,"000")&amp;"-2")</f>
        <v/>
      </c>
      <c r="C3996">
        <f>IF(OR(Registro_Compras!$C$447="",Registro_Compras!$O$447=""),"","79/791")</f>
        <v/>
      </c>
      <c r="D3996">
        <f>IF(OR(Registro_Compras!$C$447="",Registro_Compras!$O$447=""),"","Cargas Imputables a Cuentas de Costos y Gastos")</f>
        <v/>
      </c>
      <c r="E3996" s="20">
        <f>IF($C3996="","",IF(Registro_Compras!$F$447="NOTA DE CREDITO",ROUND(ABS(Registro_Compras!$J$447*Registro_Compras!$N$447),2),""))</f>
        <v/>
      </c>
      <c r="F3996" s="20">
        <f>IF($C3996="","",IF(Registro_Compras!$F$447="NOTA DE CREDITO","",IF(Registro_Compras!$F$447="RHE",ROUND(Registro_Compras!$L$447*Registro_Compras!$N$447,2),ROUND(Registro_Compras!$J$447*Registro_Compras!$N$447,2))))</f>
        <v/>
      </c>
      <c r="G3996">
        <f>IF($C3996="","","Por el destino del gasto")</f>
        <v/>
      </c>
      <c r="H3996">
        <f>IF($C3996="","",Registro_Compras!$C$447)</f>
        <v/>
      </c>
    </row>
    <row r="3997">
      <c r="A3997" s="25">
        <f>IF($C3997="","",Registro_Compras!$X$447)</f>
        <v/>
      </c>
      <c r="B3997">
        <f>IF($C3997="","","C"&amp;TEXT(INT((ROW()-5)/9)+1,"000")&amp;"-3")</f>
        <v/>
      </c>
      <c r="C3997">
        <f>IF(OR(Registro_Compras!$C$447="",Registro_Compras!$O$447="",Registro_Compras!$R$447&lt;&gt;"SI",Registro_Compras!$X$447=""),"","4212")</f>
        <v/>
      </c>
      <c r="D3997">
        <f>IF(OR(Registro_Compras!$C$447="",Registro_Compras!$O$447=""),"","Cuentas por Pagar Comerciales - Terceros")</f>
        <v/>
      </c>
      <c r="E3997" s="20">
        <f>IF($C3997="","",Registro_Compras!$S$447)</f>
        <v/>
      </c>
      <c r="F3997" s="20">
        <f>""</f>
        <v/>
      </c>
      <c r="G3997">
        <f>IF($C3997="","","Por el deposito de la detraccion en el Banco de la Nacion")</f>
        <v/>
      </c>
      <c r="H3997">
        <f>IF($C3997="","",Registro_Compras!$C$447)</f>
        <v/>
      </c>
    </row>
    <row r="3998">
      <c r="A3998" s="25">
        <f>IF($C3998="","",Registro_Compras!$X$447)</f>
        <v/>
      </c>
      <c r="B3998">
        <f>IF($C3998="","","C"&amp;TEXT(INT((ROW()-5)/9)+1,"000")&amp;"-3")</f>
        <v/>
      </c>
      <c r="C3998">
        <f>IF(OR(Registro_Compras!$C$447="",Registro_Compras!$O$447="",Registro_Compras!$R$447&lt;&gt;"SI",Registro_Compras!$X$447=""),"","10413")</f>
        <v/>
      </c>
      <c r="D3998">
        <f>IF(OR(Registro_Compras!$C$447="",Registro_Compras!$O$447=""),"","Efectivo y Equivalentes - Cta. Cte. Operativa")</f>
        <v/>
      </c>
      <c r="E3998" s="20">
        <f>""</f>
        <v/>
      </c>
      <c r="F3998" s="20">
        <f>IF($C3998="","",Registro_Compras!$S$447)</f>
        <v/>
      </c>
      <c r="G3998">
        <f>IF($C3998="","","Por el deposito de la detraccion en el Banco de la Nacion")</f>
        <v/>
      </c>
      <c r="H3998">
        <f>IF($C3998="","",Registro_Compras!$C$447)</f>
        <v/>
      </c>
    </row>
    <row r="3999">
      <c r="A3999" s="25">
        <f>IF($C3999="","",Registro_Compras!$Y$447)</f>
        <v/>
      </c>
      <c r="B3999">
        <f>IF($C3999="","","C"&amp;TEXT(INT((ROW()-5)/9)+1,"000")&amp;"-4")</f>
        <v/>
      </c>
      <c r="C3999">
        <f>IF(OR(Registro_Compras!$C$447="",Registro_Compras!$O$447="",Registro_Compras!$Y$447="",Registro_Compras!$F$447="NOTA DE CREDITO"),"","4212")</f>
        <v/>
      </c>
      <c r="D3999">
        <f>IF(OR(Registro_Compras!$C$447="",Registro_Compras!$O$447=""),"","Cuentas por Pagar Comerciales - Terceros")</f>
        <v/>
      </c>
      <c r="E3999" s="20">
        <f>IF($C3999="","",IF(Registro_Compras!$F$447="RHE",(ROUND(Registro_Compras!$L$447*Registro_Compras!$N$447,2)-ROUND(Registro_Compras!$V$447*Registro_Compras!$N$447,2)),ROUND(Registro_Compras!$O$447-Registro_Compras!$S$447,2)))</f>
        <v/>
      </c>
      <c r="F3999" s="20">
        <f>""</f>
        <v/>
      </c>
      <c r="G3999">
        <f>IF($C3999="","","Por la cancelacion del saldo al proveedor")</f>
        <v/>
      </c>
      <c r="H3999">
        <f>IF($C3999="","",Registro_Compras!$C$447)</f>
        <v/>
      </c>
    </row>
    <row r="4000">
      <c r="A4000" s="25">
        <f>IF($C4000="","",Registro_Compras!$Y$447)</f>
        <v/>
      </c>
      <c r="B4000">
        <f>IF($C4000="","","C"&amp;TEXT(INT((ROW()-5)/9)+1,"000")&amp;"-4")</f>
        <v/>
      </c>
      <c r="C4000">
        <f>IF(OR(Registro_Compras!$C$447="",Registro_Compras!$O$447="",Registro_Compras!$Y$447="",Registro_Compras!$F$447="NOTA DE CREDITO"),"","10413")</f>
        <v/>
      </c>
      <c r="D4000">
        <f>IF(OR(Registro_Compras!$C$447="",Registro_Compras!$O$447=""),"","Efectivo y Equivalentes - Cta. Cte. Operativa")</f>
        <v/>
      </c>
      <c r="E4000" s="20">
        <f>""</f>
        <v/>
      </c>
      <c r="F4000" s="20">
        <f>IF($C4000="","",IF(Registro_Compras!$F$447="RHE",(ROUND(Registro_Compras!$L$447*Registro_Compras!$N$447,2)-ROUND(Registro_Compras!$V$447*Registro_Compras!$N$447,2)),ROUND(Registro_Compras!$O$447-Registro_Compras!$S$447,2)))</f>
        <v/>
      </c>
      <c r="G4000">
        <f>IF($C4000="","","Por la cancelacion del saldo al proveedor")</f>
        <v/>
      </c>
      <c r="H4000">
        <f>IF($C4000="","",Registro_Compras!$C$447)</f>
        <v/>
      </c>
    </row>
    <row r="4001">
      <c r="A4001" s="25">
        <f>IF($C4001="","",Registro_Compras!$B$448)</f>
        <v/>
      </c>
      <c r="B4001">
        <f>IF($C4001="","","C"&amp;TEXT(INT((ROW()-5)/9)+1,"000")&amp;"-1")</f>
        <v/>
      </c>
      <c r="C4001">
        <f>IF(OR(Registro_Compras!$C$448="",Registro_Compras!$O$448=""),"",IF(Registro_Compras!$F$448="NOTA DE CREDITO","4212",IF(Registro_Compras!$M$448="","63",Registro_Compras!$M$448)))</f>
        <v/>
      </c>
      <c r="D4001">
        <f>IF(OR(Registro_Compras!$C$448="",Registro_Compras!$O$448=""),"",IF(Registro_Compras!$F$448="NOTA DE CREDITO","Cuentas por Pagar Comerciales - Terceros (Emitidas)",IF(Registro_Compras!$F$448="RHE","Honorarios Profesionales - Servicios de Terceros","Gastos de Servicios Prestados por Terceros")))</f>
        <v/>
      </c>
      <c r="E4001" s="20">
        <f>IF($C4001="","",IF(Registro_Compras!$F$448="NOTA DE CREDITO",ABS(Registro_Compras!$O$448),IF(Registro_Compras!$F$448="RHE",ROUND(Registro_Compras!$L$448*Registro_Compras!$N$448,2),ROUND(Registro_Compras!$J$448*Registro_Compras!$N$448,2))))</f>
        <v/>
      </c>
      <c r="F4001" s="20">
        <f>""</f>
        <v/>
      </c>
      <c r="G4001">
        <f>IF($C4001="","",IF(Registro_Compras!$F$448="NOTA DE CREDITO","Por la nota de credito "&amp;Registro_Compras!$C$448&amp;" de "&amp;Registro_Compras!$E$448&amp;" [PATRON POR CONFIRMAR CON CONTADOR]",IF(Registro_Compras!$F$448="RHE","Por el registro del recibo por honorarios "&amp;Registro_Compras!$C$448&amp;" de "&amp;Registro_Compras!$E$448&amp;" [PATRON POR CONFIRMAR CON CONTADOR]","Por el registro de la factura "&amp;Registro_Compras!$C$448&amp;" de "&amp;Registro_Compras!$E$448)))</f>
        <v/>
      </c>
      <c r="H4001">
        <f>IF($C4001="","",Registro_Compras!$C$448)</f>
        <v/>
      </c>
    </row>
    <row r="4002">
      <c r="A4002" s="25">
        <f>IF($C4002="","",Registro_Compras!$B$448)</f>
        <v/>
      </c>
      <c r="B4002">
        <f>IF($C4002="","","C"&amp;TEXT(INT((ROW()-5)/9)+1,"000")&amp;"-1")</f>
        <v/>
      </c>
      <c r="C4002">
        <f>IF(OR(Registro_Compras!$C$448="",Registro_Compras!$O$448=""),"",IF(Registro_Compras!$F$448="RHE",IF(Registro_Compras!$V$448=0,"","40172"),IF(Registro_Compras!$F$448="NOTA DE CREDITO",IF(Registro_Compras!$M$448="","63",Registro_Compras!$M$448),IF(Registro_Compras!$K$448=0,"","40111"))))</f>
        <v/>
      </c>
      <c r="D4002">
        <f>IF(OR(Registro_Compras!$C$448="",Registro_Compras!$O$448=""),"",IF(Registro_Compras!$F$448="RHE","Retencion Renta 4ta Categoria por Pagar",IF(Registro_Compras!$F$448="NOTA DE CREDITO","Gastos de Servicios Prestados por Terceros","IGV - Cuenta Propia (Credito Fiscal)")))</f>
        <v/>
      </c>
      <c r="E4002" s="20">
        <f>IF($C4002="","",IF(Registro_Compras!$F$448="FACTURA",ROUND(Registro_Compras!$K$448*Registro_Compras!$N$448,2),""))</f>
        <v/>
      </c>
      <c r="F4002" s="20">
        <f>IF($C4002="","",IF(Registro_Compras!$F$448="RHE",ROUND(Registro_Compras!$V$448*Registro_Compras!$N$448,2),IF(Registro_Compras!$F$448="NOTA DE CREDITO",ROUND(ABS(Registro_Compras!$J$448*Registro_Compras!$N$448),2),"")))</f>
        <v/>
      </c>
      <c r="G4002">
        <f>IF($C4002="","",IF(Registro_Compras!$F$448="NOTA DE CREDITO","Por la nota de credito "&amp;Registro_Compras!$C$448&amp;" de "&amp;Registro_Compras!$E$448&amp;" [PATRON POR CONFIRMAR CON CONTADOR]",IF(Registro_Compras!$F$448="RHE","Por el registro del recibo por honorarios "&amp;Registro_Compras!$C$448&amp;" de "&amp;Registro_Compras!$E$448&amp;" [PATRON POR CONFIRMAR CON CONTADOR]","Por el registro de la factura "&amp;Registro_Compras!$C$448&amp;" de "&amp;Registro_Compras!$E$448)))</f>
        <v/>
      </c>
      <c r="H4002">
        <f>IF($C4002="","",Registro_Compras!$C$448)</f>
        <v/>
      </c>
    </row>
    <row r="4003">
      <c r="A4003" s="25">
        <f>IF($C4003="","",Registro_Compras!$B$448)</f>
        <v/>
      </c>
      <c r="B4003">
        <f>IF($C4003="","","C"&amp;TEXT(INT((ROW()-5)/9)+1,"000")&amp;"-1")</f>
        <v/>
      </c>
      <c r="C4003">
        <f>IF(OR(Registro_Compras!$C$448="",Registro_Compras!$O$448=""),"",IF(Registro_Compras!$F$448="NOTA DE CREDITO",IF(Registro_Compras!$K$448=0,"","40111"),"4212"))</f>
        <v/>
      </c>
      <c r="D4003">
        <f>IF(OR(Registro_Compras!$C$448="",Registro_Compras!$O$448=""),"",IF(Registro_Compras!$F$448="NOTA DE CREDITO","IGV - Cuenta Propia (Credito Fiscal)","Cuentas por Pagar Comerciales - Terceros (Emitidas)"))</f>
        <v/>
      </c>
      <c r="E4003" s="20">
        <f>""</f>
        <v/>
      </c>
      <c r="F4003" s="20">
        <f>IF($C4003="","",IF(Registro_Compras!$F$448="NOTA DE CREDITO",ROUND(ABS(Registro_Compras!$K$448*Registro_Compras!$N$448),2),IF(Registro_Compras!$F$448="RHE",(ROUND(Registro_Compras!$L$448*Registro_Compras!$N$448,2)-ROUND(Registro_Compras!$V$448*Registro_Compras!$N$448,2)),Registro_Compras!$O$448)))</f>
        <v/>
      </c>
      <c r="G4003">
        <f>IF($C4003="","",IF(Registro_Compras!$F$448="NOTA DE CREDITO","Por la nota de credito "&amp;Registro_Compras!$C$448&amp;" de "&amp;Registro_Compras!$E$448&amp;" [PATRON POR CONFIRMAR CON CONTADOR]",IF(Registro_Compras!$F$448="RHE","Por el registro del recibo por honorarios "&amp;Registro_Compras!$C$448&amp;" de "&amp;Registro_Compras!$E$448&amp;" [PATRON POR CONFIRMAR CON CONTADOR]","Por el registro de la factura "&amp;Registro_Compras!$C$448&amp;" de "&amp;Registro_Compras!$E$448)))</f>
        <v/>
      </c>
      <c r="H4003">
        <f>IF($C4003="","",Registro_Compras!$C$448)</f>
        <v/>
      </c>
    </row>
    <row r="4004">
      <c r="A4004" s="25">
        <f>IF($C4004="","",Registro_Compras!$B$448)</f>
        <v/>
      </c>
      <c r="B4004">
        <f>IF($C4004="","","C"&amp;TEXT(INT((ROW()-5)/9)+1,"000")&amp;"-2")</f>
        <v/>
      </c>
      <c r="C4004">
        <f>IF(OR(Registro_Compras!$C$448="",Registro_Compras!$O$448=""),"",IF(Registro_Compras!$AB$448="ADMINISTRATIVO","94","95"))</f>
        <v/>
      </c>
      <c r="D4004">
        <f>IF(OR(Registro_Compras!$C$448="",Registro_Compras!$O$448=""),"",IF(Registro_Compras!$AB$448="ADMINISTRATIVO","Gastos Administrativos","Gastos de Venta y Operacion"))</f>
        <v/>
      </c>
      <c r="E4004" s="20">
        <f>IF($C4004="","",IF(Registro_Compras!$F$448="NOTA DE CREDITO","",IF(Registro_Compras!$F$448="RHE",ROUND(Registro_Compras!$L$448*Registro_Compras!$N$448,2),ROUND(Registro_Compras!$J$448*Registro_Compras!$N$448,2))))</f>
        <v/>
      </c>
      <c r="F4004" s="20">
        <f>IF($C4004="","",IF(Registro_Compras!$F$448="NOTA DE CREDITO",ROUND(ABS(Registro_Compras!$J$448*Registro_Compras!$N$448),2),""))</f>
        <v/>
      </c>
      <c r="G4004">
        <f>IF($C4004="","","Por el destino del gasto")</f>
        <v/>
      </c>
      <c r="H4004">
        <f>IF($C4004="","",Registro_Compras!$C$448)</f>
        <v/>
      </c>
    </row>
    <row r="4005">
      <c r="A4005" s="25">
        <f>IF($C4005="","",Registro_Compras!$B$448)</f>
        <v/>
      </c>
      <c r="B4005">
        <f>IF($C4005="","","C"&amp;TEXT(INT((ROW()-5)/9)+1,"000")&amp;"-2")</f>
        <v/>
      </c>
      <c r="C4005">
        <f>IF(OR(Registro_Compras!$C$448="",Registro_Compras!$O$448=""),"","79/791")</f>
        <v/>
      </c>
      <c r="D4005">
        <f>IF(OR(Registro_Compras!$C$448="",Registro_Compras!$O$448=""),"","Cargas Imputables a Cuentas de Costos y Gastos")</f>
        <v/>
      </c>
      <c r="E4005" s="20">
        <f>IF($C4005="","",IF(Registro_Compras!$F$448="NOTA DE CREDITO",ROUND(ABS(Registro_Compras!$J$448*Registro_Compras!$N$448),2),""))</f>
        <v/>
      </c>
      <c r="F4005" s="20">
        <f>IF($C4005="","",IF(Registro_Compras!$F$448="NOTA DE CREDITO","",IF(Registro_Compras!$F$448="RHE",ROUND(Registro_Compras!$L$448*Registro_Compras!$N$448,2),ROUND(Registro_Compras!$J$448*Registro_Compras!$N$448,2))))</f>
        <v/>
      </c>
      <c r="G4005">
        <f>IF($C4005="","","Por el destino del gasto")</f>
        <v/>
      </c>
      <c r="H4005">
        <f>IF($C4005="","",Registro_Compras!$C$448)</f>
        <v/>
      </c>
    </row>
    <row r="4006">
      <c r="A4006" s="25">
        <f>IF($C4006="","",Registro_Compras!$X$448)</f>
        <v/>
      </c>
      <c r="B4006">
        <f>IF($C4006="","","C"&amp;TEXT(INT((ROW()-5)/9)+1,"000")&amp;"-3")</f>
        <v/>
      </c>
      <c r="C4006">
        <f>IF(OR(Registro_Compras!$C$448="",Registro_Compras!$O$448="",Registro_Compras!$R$448&lt;&gt;"SI",Registro_Compras!$X$448=""),"","4212")</f>
        <v/>
      </c>
      <c r="D4006">
        <f>IF(OR(Registro_Compras!$C$448="",Registro_Compras!$O$448=""),"","Cuentas por Pagar Comerciales - Terceros")</f>
        <v/>
      </c>
      <c r="E4006" s="20">
        <f>IF($C4006="","",Registro_Compras!$S$448)</f>
        <v/>
      </c>
      <c r="F4006" s="20">
        <f>""</f>
        <v/>
      </c>
      <c r="G4006">
        <f>IF($C4006="","","Por el deposito de la detraccion en el Banco de la Nacion")</f>
        <v/>
      </c>
      <c r="H4006">
        <f>IF($C4006="","",Registro_Compras!$C$448)</f>
        <v/>
      </c>
    </row>
    <row r="4007">
      <c r="A4007" s="25">
        <f>IF($C4007="","",Registro_Compras!$X$448)</f>
        <v/>
      </c>
      <c r="B4007">
        <f>IF($C4007="","","C"&amp;TEXT(INT((ROW()-5)/9)+1,"000")&amp;"-3")</f>
        <v/>
      </c>
      <c r="C4007">
        <f>IF(OR(Registro_Compras!$C$448="",Registro_Compras!$O$448="",Registro_Compras!$R$448&lt;&gt;"SI",Registro_Compras!$X$448=""),"","10413")</f>
        <v/>
      </c>
      <c r="D4007">
        <f>IF(OR(Registro_Compras!$C$448="",Registro_Compras!$O$448=""),"","Efectivo y Equivalentes - Cta. Cte. Operativa")</f>
        <v/>
      </c>
      <c r="E4007" s="20">
        <f>""</f>
        <v/>
      </c>
      <c r="F4007" s="20">
        <f>IF($C4007="","",Registro_Compras!$S$448)</f>
        <v/>
      </c>
      <c r="G4007">
        <f>IF($C4007="","","Por el deposito de la detraccion en el Banco de la Nacion")</f>
        <v/>
      </c>
      <c r="H4007">
        <f>IF($C4007="","",Registro_Compras!$C$448)</f>
        <v/>
      </c>
    </row>
    <row r="4008">
      <c r="A4008" s="25">
        <f>IF($C4008="","",Registro_Compras!$Y$448)</f>
        <v/>
      </c>
      <c r="B4008">
        <f>IF($C4008="","","C"&amp;TEXT(INT((ROW()-5)/9)+1,"000")&amp;"-4")</f>
        <v/>
      </c>
      <c r="C4008">
        <f>IF(OR(Registro_Compras!$C$448="",Registro_Compras!$O$448="",Registro_Compras!$Y$448="",Registro_Compras!$F$448="NOTA DE CREDITO"),"","4212")</f>
        <v/>
      </c>
      <c r="D4008">
        <f>IF(OR(Registro_Compras!$C$448="",Registro_Compras!$O$448=""),"","Cuentas por Pagar Comerciales - Terceros")</f>
        <v/>
      </c>
      <c r="E4008" s="20">
        <f>IF($C4008="","",IF(Registro_Compras!$F$448="RHE",(ROUND(Registro_Compras!$L$448*Registro_Compras!$N$448,2)-ROUND(Registro_Compras!$V$448*Registro_Compras!$N$448,2)),ROUND(Registro_Compras!$O$448-Registro_Compras!$S$448,2)))</f>
        <v/>
      </c>
      <c r="F4008" s="20">
        <f>""</f>
        <v/>
      </c>
      <c r="G4008">
        <f>IF($C4008="","","Por la cancelacion del saldo al proveedor")</f>
        <v/>
      </c>
      <c r="H4008">
        <f>IF($C4008="","",Registro_Compras!$C$448)</f>
        <v/>
      </c>
    </row>
    <row r="4009">
      <c r="A4009" s="25">
        <f>IF($C4009="","",Registro_Compras!$Y$448)</f>
        <v/>
      </c>
      <c r="B4009">
        <f>IF($C4009="","","C"&amp;TEXT(INT((ROW()-5)/9)+1,"000")&amp;"-4")</f>
        <v/>
      </c>
      <c r="C4009">
        <f>IF(OR(Registro_Compras!$C$448="",Registro_Compras!$O$448="",Registro_Compras!$Y$448="",Registro_Compras!$F$448="NOTA DE CREDITO"),"","10413")</f>
        <v/>
      </c>
      <c r="D4009">
        <f>IF(OR(Registro_Compras!$C$448="",Registro_Compras!$O$448=""),"","Efectivo y Equivalentes - Cta. Cte. Operativa")</f>
        <v/>
      </c>
      <c r="E4009" s="20">
        <f>""</f>
        <v/>
      </c>
      <c r="F4009" s="20">
        <f>IF($C4009="","",IF(Registro_Compras!$F$448="RHE",(ROUND(Registro_Compras!$L$448*Registro_Compras!$N$448,2)-ROUND(Registro_Compras!$V$448*Registro_Compras!$N$448,2)),ROUND(Registro_Compras!$O$448-Registro_Compras!$S$448,2)))</f>
        <v/>
      </c>
      <c r="G4009">
        <f>IF($C4009="","","Por la cancelacion del saldo al proveedor")</f>
        <v/>
      </c>
      <c r="H4009">
        <f>IF($C4009="","",Registro_Compras!$C$448)</f>
        <v/>
      </c>
    </row>
    <row r="4010">
      <c r="A4010" s="25">
        <f>IF($C4010="","",Registro_Compras!$B$449)</f>
        <v/>
      </c>
      <c r="B4010">
        <f>IF($C4010="","","C"&amp;TEXT(INT((ROW()-5)/9)+1,"000")&amp;"-1")</f>
        <v/>
      </c>
      <c r="C4010">
        <f>IF(OR(Registro_Compras!$C$449="",Registro_Compras!$O$449=""),"",IF(Registro_Compras!$F$449="NOTA DE CREDITO","4212",IF(Registro_Compras!$M$449="","63",Registro_Compras!$M$449)))</f>
        <v/>
      </c>
      <c r="D4010">
        <f>IF(OR(Registro_Compras!$C$449="",Registro_Compras!$O$449=""),"",IF(Registro_Compras!$F$449="NOTA DE CREDITO","Cuentas por Pagar Comerciales - Terceros (Emitidas)",IF(Registro_Compras!$F$449="RHE","Honorarios Profesionales - Servicios de Terceros","Gastos de Servicios Prestados por Terceros")))</f>
        <v/>
      </c>
      <c r="E4010" s="20">
        <f>IF($C4010="","",IF(Registro_Compras!$F$449="NOTA DE CREDITO",ABS(Registro_Compras!$O$449),IF(Registro_Compras!$F$449="RHE",ROUND(Registro_Compras!$L$449*Registro_Compras!$N$449,2),ROUND(Registro_Compras!$J$449*Registro_Compras!$N$449,2))))</f>
        <v/>
      </c>
      <c r="F4010" s="20">
        <f>""</f>
        <v/>
      </c>
      <c r="G4010">
        <f>IF($C4010="","",IF(Registro_Compras!$F$449="NOTA DE CREDITO","Por la nota de credito "&amp;Registro_Compras!$C$449&amp;" de "&amp;Registro_Compras!$E$449&amp;" [PATRON POR CONFIRMAR CON CONTADOR]",IF(Registro_Compras!$F$449="RHE","Por el registro del recibo por honorarios "&amp;Registro_Compras!$C$449&amp;" de "&amp;Registro_Compras!$E$449&amp;" [PATRON POR CONFIRMAR CON CONTADOR]","Por el registro de la factura "&amp;Registro_Compras!$C$449&amp;" de "&amp;Registro_Compras!$E$449)))</f>
        <v/>
      </c>
      <c r="H4010">
        <f>IF($C4010="","",Registro_Compras!$C$449)</f>
        <v/>
      </c>
    </row>
    <row r="4011">
      <c r="A4011" s="25">
        <f>IF($C4011="","",Registro_Compras!$B$449)</f>
        <v/>
      </c>
      <c r="B4011">
        <f>IF($C4011="","","C"&amp;TEXT(INT((ROW()-5)/9)+1,"000")&amp;"-1")</f>
        <v/>
      </c>
      <c r="C4011">
        <f>IF(OR(Registro_Compras!$C$449="",Registro_Compras!$O$449=""),"",IF(Registro_Compras!$F$449="RHE",IF(Registro_Compras!$V$449=0,"","40172"),IF(Registro_Compras!$F$449="NOTA DE CREDITO",IF(Registro_Compras!$M$449="","63",Registro_Compras!$M$449),IF(Registro_Compras!$K$449=0,"","40111"))))</f>
        <v/>
      </c>
      <c r="D4011">
        <f>IF(OR(Registro_Compras!$C$449="",Registro_Compras!$O$449=""),"",IF(Registro_Compras!$F$449="RHE","Retencion Renta 4ta Categoria por Pagar",IF(Registro_Compras!$F$449="NOTA DE CREDITO","Gastos de Servicios Prestados por Terceros","IGV - Cuenta Propia (Credito Fiscal)")))</f>
        <v/>
      </c>
      <c r="E4011" s="20">
        <f>IF($C4011="","",IF(Registro_Compras!$F$449="FACTURA",ROUND(Registro_Compras!$K$449*Registro_Compras!$N$449,2),""))</f>
        <v/>
      </c>
      <c r="F4011" s="20">
        <f>IF($C4011="","",IF(Registro_Compras!$F$449="RHE",ROUND(Registro_Compras!$V$449*Registro_Compras!$N$449,2),IF(Registro_Compras!$F$449="NOTA DE CREDITO",ROUND(ABS(Registro_Compras!$J$449*Registro_Compras!$N$449),2),"")))</f>
        <v/>
      </c>
      <c r="G4011">
        <f>IF($C4011="","",IF(Registro_Compras!$F$449="NOTA DE CREDITO","Por la nota de credito "&amp;Registro_Compras!$C$449&amp;" de "&amp;Registro_Compras!$E$449&amp;" [PATRON POR CONFIRMAR CON CONTADOR]",IF(Registro_Compras!$F$449="RHE","Por el registro del recibo por honorarios "&amp;Registro_Compras!$C$449&amp;" de "&amp;Registro_Compras!$E$449&amp;" [PATRON POR CONFIRMAR CON CONTADOR]","Por el registro de la factura "&amp;Registro_Compras!$C$449&amp;" de "&amp;Registro_Compras!$E$449)))</f>
        <v/>
      </c>
      <c r="H4011">
        <f>IF($C4011="","",Registro_Compras!$C$449)</f>
        <v/>
      </c>
    </row>
    <row r="4012">
      <c r="A4012" s="25">
        <f>IF($C4012="","",Registro_Compras!$B$449)</f>
        <v/>
      </c>
      <c r="B4012">
        <f>IF($C4012="","","C"&amp;TEXT(INT((ROW()-5)/9)+1,"000")&amp;"-1")</f>
        <v/>
      </c>
      <c r="C4012">
        <f>IF(OR(Registro_Compras!$C$449="",Registro_Compras!$O$449=""),"",IF(Registro_Compras!$F$449="NOTA DE CREDITO",IF(Registro_Compras!$K$449=0,"","40111"),"4212"))</f>
        <v/>
      </c>
      <c r="D4012">
        <f>IF(OR(Registro_Compras!$C$449="",Registro_Compras!$O$449=""),"",IF(Registro_Compras!$F$449="NOTA DE CREDITO","IGV - Cuenta Propia (Credito Fiscal)","Cuentas por Pagar Comerciales - Terceros (Emitidas)"))</f>
        <v/>
      </c>
      <c r="E4012" s="20">
        <f>""</f>
        <v/>
      </c>
      <c r="F4012" s="20">
        <f>IF($C4012="","",IF(Registro_Compras!$F$449="NOTA DE CREDITO",ROUND(ABS(Registro_Compras!$K$449*Registro_Compras!$N$449),2),IF(Registro_Compras!$F$449="RHE",(ROUND(Registro_Compras!$L$449*Registro_Compras!$N$449,2)-ROUND(Registro_Compras!$V$449*Registro_Compras!$N$449,2)),Registro_Compras!$O$449)))</f>
        <v/>
      </c>
      <c r="G4012">
        <f>IF($C4012="","",IF(Registro_Compras!$F$449="NOTA DE CREDITO","Por la nota de credito "&amp;Registro_Compras!$C$449&amp;" de "&amp;Registro_Compras!$E$449&amp;" [PATRON POR CONFIRMAR CON CONTADOR]",IF(Registro_Compras!$F$449="RHE","Por el registro del recibo por honorarios "&amp;Registro_Compras!$C$449&amp;" de "&amp;Registro_Compras!$E$449&amp;" [PATRON POR CONFIRMAR CON CONTADOR]","Por el registro de la factura "&amp;Registro_Compras!$C$449&amp;" de "&amp;Registro_Compras!$E$449)))</f>
        <v/>
      </c>
      <c r="H4012">
        <f>IF($C4012="","",Registro_Compras!$C$449)</f>
        <v/>
      </c>
    </row>
    <row r="4013">
      <c r="A4013" s="25">
        <f>IF($C4013="","",Registro_Compras!$B$449)</f>
        <v/>
      </c>
      <c r="B4013">
        <f>IF($C4013="","","C"&amp;TEXT(INT((ROW()-5)/9)+1,"000")&amp;"-2")</f>
        <v/>
      </c>
      <c r="C4013">
        <f>IF(OR(Registro_Compras!$C$449="",Registro_Compras!$O$449=""),"",IF(Registro_Compras!$AB$449="ADMINISTRATIVO","94","95"))</f>
        <v/>
      </c>
      <c r="D4013">
        <f>IF(OR(Registro_Compras!$C$449="",Registro_Compras!$O$449=""),"",IF(Registro_Compras!$AB$449="ADMINISTRATIVO","Gastos Administrativos","Gastos de Venta y Operacion"))</f>
        <v/>
      </c>
      <c r="E4013" s="20">
        <f>IF($C4013="","",IF(Registro_Compras!$F$449="NOTA DE CREDITO","",IF(Registro_Compras!$F$449="RHE",ROUND(Registro_Compras!$L$449*Registro_Compras!$N$449,2),ROUND(Registro_Compras!$J$449*Registro_Compras!$N$449,2))))</f>
        <v/>
      </c>
      <c r="F4013" s="20">
        <f>IF($C4013="","",IF(Registro_Compras!$F$449="NOTA DE CREDITO",ROUND(ABS(Registro_Compras!$J$449*Registro_Compras!$N$449),2),""))</f>
        <v/>
      </c>
      <c r="G4013">
        <f>IF($C4013="","","Por el destino del gasto")</f>
        <v/>
      </c>
      <c r="H4013">
        <f>IF($C4013="","",Registro_Compras!$C$449)</f>
        <v/>
      </c>
    </row>
    <row r="4014">
      <c r="A4014" s="25">
        <f>IF($C4014="","",Registro_Compras!$B$449)</f>
        <v/>
      </c>
      <c r="B4014">
        <f>IF($C4014="","","C"&amp;TEXT(INT((ROW()-5)/9)+1,"000")&amp;"-2")</f>
        <v/>
      </c>
      <c r="C4014">
        <f>IF(OR(Registro_Compras!$C$449="",Registro_Compras!$O$449=""),"","79/791")</f>
        <v/>
      </c>
      <c r="D4014">
        <f>IF(OR(Registro_Compras!$C$449="",Registro_Compras!$O$449=""),"","Cargas Imputables a Cuentas de Costos y Gastos")</f>
        <v/>
      </c>
      <c r="E4014" s="20">
        <f>IF($C4014="","",IF(Registro_Compras!$F$449="NOTA DE CREDITO",ROUND(ABS(Registro_Compras!$J$449*Registro_Compras!$N$449),2),""))</f>
        <v/>
      </c>
      <c r="F4014" s="20">
        <f>IF($C4014="","",IF(Registro_Compras!$F$449="NOTA DE CREDITO","",IF(Registro_Compras!$F$449="RHE",ROUND(Registro_Compras!$L$449*Registro_Compras!$N$449,2),ROUND(Registro_Compras!$J$449*Registro_Compras!$N$449,2))))</f>
        <v/>
      </c>
      <c r="G4014">
        <f>IF($C4014="","","Por el destino del gasto")</f>
        <v/>
      </c>
      <c r="H4014">
        <f>IF($C4014="","",Registro_Compras!$C$449)</f>
        <v/>
      </c>
    </row>
    <row r="4015">
      <c r="A4015" s="25">
        <f>IF($C4015="","",Registro_Compras!$X$449)</f>
        <v/>
      </c>
      <c r="B4015">
        <f>IF($C4015="","","C"&amp;TEXT(INT((ROW()-5)/9)+1,"000")&amp;"-3")</f>
        <v/>
      </c>
      <c r="C4015">
        <f>IF(OR(Registro_Compras!$C$449="",Registro_Compras!$O$449="",Registro_Compras!$R$449&lt;&gt;"SI",Registro_Compras!$X$449=""),"","4212")</f>
        <v/>
      </c>
      <c r="D4015">
        <f>IF(OR(Registro_Compras!$C$449="",Registro_Compras!$O$449=""),"","Cuentas por Pagar Comerciales - Terceros")</f>
        <v/>
      </c>
      <c r="E4015" s="20">
        <f>IF($C4015="","",Registro_Compras!$S$449)</f>
        <v/>
      </c>
      <c r="F4015" s="20">
        <f>""</f>
        <v/>
      </c>
      <c r="G4015">
        <f>IF($C4015="","","Por el deposito de la detraccion en el Banco de la Nacion")</f>
        <v/>
      </c>
      <c r="H4015">
        <f>IF($C4015="","",Registro_Compras!$C$449)</f>
        <v/>
      </c>
    </row>
    <row r="4016">
      <c r="A4016" s="25">
        <f>IF($C4016="","",Registro_Compras!$X$449)</f>
        <v/>
      </c>
      <c r="B4016">
        <f>IF($C4016="","","C"&amp;TEXT(INT((ROW()-5)/9)+1,"000")&amp;"-3")</f>
        <v/>
      </c>
      <c r="C4016">
        <f>IF(OR(Registro_Compras!$C$449="",Registro_Compras!$O$449="",Registro_Compras!$R$449&lt;&gt;"SI",Registro_Compras!$X$449=""),"","10413")</f>
        <v/>
      </c>
      <c r="D4016">
        <f>IF(OR(Registro_Compras!$C$449="",Registro_Compras!$O$449=""),"","Efectivo y Equivalentes - Cta. Cte. Operativa")</f>
        <v/>
      </c>
      <c r="E4016" s="20">
        <f>""</f>
        <v/>
      </c>
      <c r="F4016" s="20">
        <f>IF($C4016="","",Registro_Compras!$S$449)</f>
        <v/>
      </c>
      <c r="G4016">
        <f>IF($C4016="","","Por el deposito de la detraccion en el Banco de la Nacion")</f>
        <v/>
      </c>
      <c r="H4016">
        <f>IF($C4016="","",Registro_Compras!$C$449)</f>
        <v/>
      </c>
    </row>
    <row r="4017">
      <c r="A4017" s="25">
        <f>IF($C4017="","",Registro_Compras!$Y$449)</f>
        <v/>
      </c>
      <c r="B4017">
        <f>IF($C4017="","","C"&amp;TEXT(INT((ROW()-5)/9)+1,"000")&amp;"-4")</f>
        <v/>
      </c>
      <c r="C4017">
        <f>IF(OR(Registro_Compras!$C$449="",Registro_Compras!$O$449="",Registro_Compras!$Y$449="",Registro_Compras!$F$449="NOTA DE CREDITO"),"","4212")</f>
        <v/>
      </c>
      <c r="D4017">
        <f>IF(OR(Registro_Compras!$C$449="",Registro_Compras!$O$449=""),"","Cuentas por Pagar Comerciales - Terceros")</f>
        <v/>
      </c>
      <c r="E4017" s="20">
        <f>IF($C4017="","",IF(Registro_Compras!$F$449="RHE",(ROUND(Registro_Compras!$L$449*Registro_Compras!$N$449,2)-ROUND(Registro_Compras!$V$449*Registro_Compras!$N$449,2)),ROUND(Registro_Compras!$O$449-Registro_Compras!$S$449,2)))</f>
        <v/>
      </c>
      <c r="F4017" s="20">
        <f>""</f>
        <v/>
      </c>
      <c r="G4017">
        <f>IF($C4017="","","Por la cancelacion del saldo al proveedor")</f>
        <v/>
      </c>
      <c r="H4017">
        <f>IF($C4017="","",Registro_Compras!$C$449)</f>
        <v/>
      </c>
    </row>
    <row r="4018">
      <c r="A4018" s="25">
        <f>IF($C4018="","",Registro_Compras!$Y$449)</f>
        <v/>
      </c>
      <c r="B4018">
        <f>IF($C4018="","","C"&amp;TEXT(INT((ROW()-5)/9)+1,"000")&amp;"-4")</f>
        <v/>
      </c>
      <c r="C4018">
        <f>IF(OR(Registro_Compras!$C$449="",Registro_Compras!$O$449="",Registro_Compras!$Y$449="",Registro_Compras!$F$449="NOTA DE CREDITO"),"","10413")</f>
        <v/>
      </c>
      <c r="D4018">
        <f>IF(OR(Registro_Compras!$C$449="",Registro_Compras!$O$449=""),"","Efectivo y Equivalentes - Cta. Cte. Operativa")</f>
        <v/>
      </c>
      <c r="E4018" s="20">
        <f>""</f>
        <v/>
      </c>
      <c r="F4018" s="20">
        <f>IF($C4018="","",IF(Registro_Compras!$F$449="RHE",(ROUND(Registro_Compras!$L$449*Registro_Compras!$N$449,2)-ROUND(Registro_Compras!$V$449*Registro_Compras!$N$449,2)),ROUND(Registro_Compras!$O$449-Registro_Compras!$S$449,2)))</f>
        <v/>
      </c>
      <c r="G4018">
        <f>IF($C4018="","","Por la cancelacion del saldo al proveedor")</f>
        <v/>
      </c>
      <c r="H4018">
        <f>IF($C4018="","",Registro_Compras!$C$449)</f>
        <v/>
      </c>
    </row>
    <row r="4019">
      <c r="A4019" s="25">
        <f>IF($C4019="","",Registro_Compras!$B$450)</f>
        <v/>
      </c>
      <c r="B4019">
        <f>IF($C4019="","","C"&amp;TEXT(INT((ROW()-5)/9)+1,"000")&amp;"-1")</f>
        <v/>
      </c>
      <c r="C4019">
        <f>IF(OR(Registro_Compras!$C$450="",Registro_Compras!$O$450=""),"",IF(Registro_Compras!$F$450="NOTA DE CREDITO","4212",IF(Registro_Compras!$M$450="","63",Registro_Compras!$M$450)))</f>
        <v/>
      </c>
      <c r="D4019">
        <f>IF(OR(Registro_Compras!$C$450="",Registro_Compras!$O$450=""),"",IF(Registro_Compras!$F$450="NOTA DE CREDITO","Cuentas por Pagar Comerciales - Terceros (Emitidas)",IF(Registro_Compras!$F$450="RHE","Honorarios Profesionales - Servicios de Terceros","Gastos de Servicios Prestados por Terceros")))</f>
        <v/>
      </c>
      <c r="E4019" s="20">
        <f>IF($C4019="","",IF(Registro_Compras!$F$450="NOTA DE CREDITO",ABS(Registro_Compras!$O$450),IF(Registro_Compras!$F$450="RHE",ROUND(Registro_Compras!$L$450*Registro_Compras!$N$450,2),ROUND(Registro_Compras!$J$450*Registro_Compras!$N$450,2))))</f>
        <v/>
      </c>
      <c r="F4019" s="20">
        <f>""</f>
        <v/>
      </c>
      <c r="G4019">
        <f>IF($C4019="","",IF(Registro_Compras!$F$450="NOTA DE CREDITO","Por la nota de credito "&amp;Registro_Compras!$C$450&amp;" de "&amp;Registro_Compras!$E$450&amp;" [PATRON POR CONFIRMAR CON CONTADOR]",IF(Registro_Compras!$F$450="RHE","Por el registro del recibo por honorarios "&amp;Registro_Compras!$C$450&amp;" de "&amp;Registro_Compras!$E$450&amp;" [PATRON POR CONFIRMAR CON CONTADOR]","Por el registro de la factura "&amp;Registro_Compras!$C$450&amp;" de "&amp;Registro_Compras!$E$450)))</f>
        <v/>
      </c>
      <c r="H4019">
        <f>IF($C4019="","",Registro_Compras!$C$450)</f>
        <v/>
      </c>
    </row>
    <row r="4020">
      <c r="A4020" s="25">
        <f>IF($C4020="","",Registro_Compras!$B$450)</f>
        <v/>
      </c>
      <c r="B4020">
        <f>IF($C4020="","","C"&amp;TEXT(INT((ROW()-5)/9)+1,"000")&amp;"-1")</f>
        <v/>
      </c>
      <c r="C4020">
        <f>IF(OR(Registro_Compras!$C$450="",Registro_Compras!$O$450=""),"",IF(Registro_Compras!$F$450="RHE",IF(Registro_Compras!$V$450=0,"","40172"),IF(Registro_Compras!$F$450="NOTA DE CREDITO",IF(Registro_Compras!$M$450="","63",Registro_Compras!$M$450),IF(Registro_Compras!$K$450=0,"","40111"))))</f>
        <v/>
      </c>
      <c r="D4020">
        <f>IF(OR(Registro_Compras!$C$450="",Registro_Compras!$O$450=""),"",IF(Registro_Compras!$F$450="RHE","Retencion Renta 4ta Categoria por Pagar",IF(Registro_Compras!$F$450="NOTA DE CREDITO","Gastos de Servicios Prestados por Terceros","IGV - Cuenta Propia (Credito Fiscal)")))</f>
        <v/>
      </c>
      <c r="E4020" s="20">
        <f>IF($C4020="","",IF(Registro_Compras!$F$450="FACTURA",ROUND(Registro_Compras!$K$450*Registro_Compras!$N$450,2),""))</f>
        <v/>
      </c>
      <c r="F4020" s="20">
        <f>IF($C4020="","",IF(Registro_Compras!$F$450="RHE",ROUND(Registro_Compras!$V$450*Registro_Compras!$N$450,2),IF(Registro_Compras!$F$450="NOTA DE CREDITO",ROUND(ABS(Registro_Compras!$J$450*Registro_Compras!$N$450),2),"")))</f>
        <v/>
      </c>
      <c r="G4020">
        <f>IF($C4020="","",IF(Registro_Compras!$F$450="NOTA DE CREDITO","Por la nota de credito "&amp;Registro_Compras!$C$450&amp;" de "&amp;Registro_Compras!$E$450&amp;" [PATRON POR CONFIRMAR CON CONTADOR]",IF(Registro_Compras!$F$450="RHE","Por el registro del recibo por honorarios "&amp;Registro_Compras!$C$450&amp;" de "&amp;Registro_Compras!$E$450&amp;" [PATRON POR CONFIRMAR CON CONTADOR]","Por el registro de la factura "&amp;Registro_Compras!$C$450&amp;" de "&amp;Registro_Compras!$E$450)))</f>
        <v/>
      </c>
      <c r="H4020">
        <f>IF($C4020="","",Registro_Compras!$C$450)</f>
        <v/>
      </c>
    </row>
    <row r="4021">
      <c r="A4021" s="25">
        <f>IF($C4021="","",Registro_Compras!$B$450)</f>
        <v/>
      </c>
      <c r="B4021">
        <f>IF($C4021="","","C"&amp;TEXT(INT((ROW()-5)/9)+1,"000")&amp;"-1")</f>
        <v/>
      </c>
      <c r="C4021">
        <f>IF(OR(Registro_Compras!$C$450="",Registro_Compras!$O$450=""),"",IF(Registro_Compras!$F$450="NOTA DE CREDITO",IF(Registro_Compras!$K$450=0,"","40111"),"4212"))</f>
        <v/>
      </c>
      <c r="D4021">
        <f>IF(OR(Registro_Compras!$C$450="",Registro_Compras!$O$450=""),"",IF(Registro_Compras!$F$450="NOTA DE CREDITO","IGV - Cuenta Propia (Credito Fiscal)","Cuentas por Pagar Comerciales - Terceros (Emitidas)"))</f>
        <v/>
      </c>
      <c r="E4021" s="20">
        <f>""</f>
        <v/>
      </c>
      <c r="F4021" s="20">
        <f>IF($C4021="","",IF(Registro_Compras!$F$450="NOTA DE CREDITO",ROUND(ABS(Registro_Compras!$K$450*Registro_Compras!$N$450),2),IF(Registro_Compras!$F$450="RHE",(ROUND(Registro_Compras!$L$450*Registro_Compras!$N$450,2)-ROUND(Registro_Compras!$V$450*Registro_Compras!$N$450,2)),Registro_Compras!$O$450)))</f>
        <v/>
      </c>
      <c r="G4021">
        <f>IF($C4021="","",IF(Registro_Compras!$F$450="NOTA DE CREDITO","Por la nota de credito "&amp;Registro_Compras!$C$450&amp;" de "&amp;Registro_Compras!$E$450&amp;" [PATRON POR CONFIRMAR CON CONTADOR]",IF(Registro_Compras!$F$450="RHE","Por el registro del recibo por honorarios "&amp;Registro_Compras!$C$450&amp;" de "&amp;Registro_Compras!$E$450&amp;" [PATRON POR CONFIRMAR CON CONTADOR]","Por el registro de la factura "&amp;Registro_Compras!$C$450&amp;" de "&amp;Registro_Compras!$E$450)))</f>
        <v/>
      </c>
      <c r="H4021">
        <f>IF($C4021="","",Registro_Compras!$C$450)</f>
        <v/>
      </c>
    </row>
    <row r="4022">
      <c r="A4022" s="25">
        <f>IF($C4022="","",Registro_Compras!$B$450)</f>
        <v/>
      </c>
      <c r="B4022">
        <f>IF($C4022="","","C"&amp;TEXT(INT((ROW()-5)/9)+1,"000")&amp;"-2")</f>
        <v/>
      </c>
      <c r="C4022">
        <f>IF(OR(Registro_Compras!$C$450="",Registro_Compras!$O$450=""),"",IF(Registro_Compras!$AB$450="ADMINISTRATIVO","94","95"))</f>
        <v/>
      </c>
      <c r="D4022">
        <f>IF(OR(Registro_Compras!$C$450="",Registro_Compras!$O$450=""),"",IF(Registro_Compras!$AB$450="ADMINISTRATIVO","Gastos Administrativos","Gastos de Venta y Operacion"))</f>
        <v/>
      </c>
      <c r="E4022" s="20">
        <f>IF($C4022="","",IF(Registro_Compras!$F$450="NOTA DE CREDITO","",IF(Registro_Compras!$F$450="RHE",ROUND(Registro_Compras!$L$450*Registro_Compras!$N$450,2),ROUND(Registro_Compras!$J$450*Registro_Compras!$N$450,2))))</f>
        <v/>
      </c>
      <c r="F4022" s="20">
        <f>IF($C4022="","",IF(Registro_Compras!$F$450="NOTA DE CREDITO",ROUND(ABS(Registro_Compras!$J$450*Registro_Compras!$N$450),2),""))</f>
        <v/>
      </c>
      <c r="G4022">
        <f>IF($C4022="","","Por el destino del gasto")</f>
        <v/>
      </c>
      <c r="H4022">
        <f>IF($C4022="","",Registro_Compras!$C$450)</f>
        <v/>
      </c>
    </row>
    <row r="4023">
      <c r="A4023" s="25">
        <f>IF($C4023="","",Registro_Compras!$B$450)</f>
        <v/>
      </c>
      <c r="B4023">
        <f>IF($C4023="","","C"&amp;TEXT(INT((ROW()-5)/9)+1,"000")&amp;"-2")</f>
        <v/>
      </c>
      <c r="C4023">
        <f>IF(OR(Registro_Compras!$C$450="",Registro_Compras!$O$450=""),"","79/791")</f>
        <v/>
      </c>
      <c r="D4023">
        <f>IF(OR(Registro_Compras!$C$450="",Registro_Compras!$O$450=""),"","Cargas Imputables a Cuentas de Costos y Gastos")</f>
        <v/>
      </c>
      <c r="E4023" s="20">
        <f>IF($C4023="","",IF(Registro_Compras!$F$450="NOTA DE CREDITO",ROUND(ABS(Registro_Compras!$J$450*Registro_Compras!$N$450),2),""))</f>
        <v/>
      </c>
      <c r="F4023" s="20">
        <f>IF($C4023="","",IF(Registro_Compras!$F$450="NOTA DE CREDITO","",IF(Registro_Compras!$F$450="RHE",ROUND(Registro_Compras!$L$450*Registro_Compras!$N$450,2),ROUND(Registro_Compras!$J$450*Registro_Compras!$N$450,2))))</f>
        <v/>
      </c>
      <c r="G4023">
        <f>IF($C4023="","","Por el destino del gasto")</f>
        <v/>
      </c>
      <c r="H4023">
        <f>IF($C4023="","",Registro_Compras!$C$450)</f>
        <v/>
      </c>
    </row>
    <row r="4024">
      <c r="A4024" s="25">
        <f>IF($C4024="","",Registro_Compras!$X$450)</f>
        <v/>
      </c>
      <c r="B4024">
        <f>IF($C4024="","","C"&amp;TEXT(INT((ROW()-5)/9)+1,"000")&amp;"-3")</f>
        <v/>
      </c>
      <c r="C4024">
        <f>IF(OR(Registro_Compras!$C$450="",Registro_Compras!$O$450="",Registro_Compras!$R$450&lt;&gt;"SI",Registro_Compras!$X$450=""),"","4212")</f>
        <v/>
      </c>
      <c r="D4024">
        <f>IF(OR(Registro_Compras!$C$450="",Registro_Compras!$O$450=""),"","Cuentas por Pagar Comerciales - Terceros")</f>
        <v/>
      </c>
      <c r="E4024" s="20">
        <f>IF($C4024="","",Registro_Compras!$S$450)</f>
        <v/>
      </c>
      <c r="F4024" s="20">
        <f>""</f>
        <v/>
      </c>
      <c r="G4024">
        <f>IF($C4024="","","Por el deposito de la detraccion en el Banco de la Nacion")</f>
        <v/>
      </c>
      <c r="H4024">
        <f>IF($C4024="","",Registro_Compras!$C$450)</f>
        <v/>
      </c>
    </row>
    <row r="4025">
      <c r="A4025" s="25">
        <f>IF($C4025="","",Registro_Compras!$X$450)</f>
        <v/>
      </c>
      <c r="B4025">
        <f>IF($C4025="","","C"&amp;TEXT(INT((ROW()-5)/9)+1,"000")&amp;"-3")</f>
        <v/>
      </c>
      <c r="C4025">
        <f>IF(OR(Registro_Compras!$C$450="",Registro_Compras!$O$450="",Registro_Compras!$R$450&lt;&gt;"SI",Registro_Compras!$X$450=""),"","10413")</f>
        <v/>
      </c>
      <c r="D4025">
        <f>IF(OR(Registro_Compras!$C$450="",Registro_Compras!$O$450=""),"","Efectivo y Equivalentes - Cta. Cte. Operativa")</f>
        <v/>
      </c>
      <c r="E4025" s="20">
        <f>""</f>
        <v/>
      </c>
      <c r="F4025" s="20">
        <f>IF($C4025="","",Registro_Compras!$S$450)</f>
        <v/>
      </c>
      <c r="G4025">
        <f>IF($C4025="","","Por el deposito de la detraccion en el Banco de la Nacion")</f>
        <v/>
      </c>
      <c r="H4025">
        <f>IF($C4025="","",Registro_Compras!$C$450)</f>
        <v/>
      </c>
    </row>
    <row r="4026">
      <c r="A4026" s="25">
        <f>IF($C4026="","",Registro_Compras!$Y$450)</f>
        <v/>
      </c>
      <c r="B4026">
        <f>IF($C4026="","","C"&amp;TEXT(INT((ROW()-5)/9)+1,"000")&amp;"-4")</f>
        <v/>
      </c>
      <c r="C4026">
        <f>IF(OR(Registro_Compras!$C$450="",Registro_Compras!$O$450="",Registro_Compras!$Y$450="",Registro_Compras!$F$450="NOTA DE CREDITO"),"","4212")</f>
        <v/>
      </c>
      <c r="D4026">
        <f>IF(OR(Registro_Compras!$C$450="",Registro_Compras!$O$450=""),"","Cuentas por Pagar Comerciales - Terceros")</f>
        <v/>
      </c>
      <c r="E4026" s="20">
        <f>IF($C4026="","",IF(Registro_Compras!$F$450="RHE",(ROUND(Registro_Compras!$L$450*Registro_Compras!$N$450,2)-ROUND(Registro_Compras!$V$450*Registro_Compras!$N$450,2)),ROUND(Registro_Compras!$O$450-Registro_Compras!$S$450,2)))</f>
        <v/>
      </c>
      <c r="F4026" s="20">
        <f>""</f>
        <v/>
      </c>
      <c r="G4026">
        <f>IF($C4026="","","Por la cancelacion del saldo al proveedor")</f>
        <v/>
      </c>
      <c r="H4026">
        <f>IF($C4026="","",Registro_Compras!$C$450)</f>
        <v/>
      </c>
    </row>
    <row r="4027">
      <c r="A4027" s="25">
        <f>IF($C4027="","",Registro_Compras!$Y$450)</f>
        <v/>
      </c>
      <c r="B4027">
        <f>IF($C4027="","","C"&amp;TEXT(INT((ROW()-5)/9)+1,"000")&amp;"-4")</f>
        <v/>
      </c>
      <c r="C4027">
        <f>IF(OR(Registro_Compras!$C$450="",Registro_Compras!$O$450="",Registro_Compras!$Y$450="",Registro_Compras!$F$450="NOTA DE CREDITO"),"","10413")</f>
        <v/>
      </c>
      <c r="D4027">
        <f>IF(OR(Registro_Compras!$C$450="",Registro_Compras!$O$450=""),"","Efectivo y Equivalentes - Cta. Cte. Operativa")</f>
        <v/>
      </c>
      <c r="E4027" s="20">
        <f>""</f>
        <v/>
      </c>
      <c r="F4027" s="20">
        <f>IF($C4027="","",IF(Registro_Compras!$F$450="RHE",(ROUND(Registro_Compras!$L$450*Registro_Compras!$N$450,2)-ROUND(Registro_Compras!$V$450*Registro_Compras!$N$450,2)),ROUND(Registro_Compras!$O$450-Registro_Compras!$S$450,2)))</f>
        <v/>
      </c>
      <c r="G4027">
        <f>IF($C4027="","","Por la cancelacion del saldo al proveedor")</f>
        <v/>
      </c>
      <c r="H4027">
        <f>IF($C4027="","",Registro_Compras!$C$450)</f>
        <v/>
      </c>
    </row>
    <row r="4028">
      <c r="A4028" s="25">
        <f>IF($C4028="","",Registro_Compras!$B$451)</f>
        <v/>
      </c>
      <c r="B4028">
        <f>IF($C4028="","","C"&amp;TEXT(INT((ROW()-5)/9)+1,"000")&amp;"-1")</f>
        <v/>
      </c>
      <c r="C4028">
        <f>IF(OR(Registro_Compras!$C$451="",Registro_Compras!$O$451=""),"",IF(Registro_Compras!$F$451="NOTA DE CREDITO","4212",IF(Registro_Compras!$M$451="","63",Registro_Compras!$M$451)))</f>
        <v/>
      </c>
      <c r="D4028">
        <f>IF(OR(Registro_Compras!$C$451="",Registro_Compras!$O$451=""),"",IF(Registro_Compras!$F$451="NOTA DE CREDITO","Cuentas por Pagar Comerciales - Terceros (Emitidas)",IF(Registro_Compras!$F$451="RHE","Honorarios Profesionales - Servicios de Terceros","Gastos de Servicios Prestados por Terceros")))</f>
        <v/>
      </c>
      <c r="E4028" s="20">
        <f>IF($C4028="","",IF(Registro_Compras!$F$451="NOTA DE CREDITO",ABS(Registro_Compras!$O$451),IF(Registro_Compras!$F$451="RHE",ROUND(Registro_Compras!$L$451*Registro_Compras!$N$451,2),ROUND(Registro_Compras!$J$451*Registro_Compras!$N$451,2))))</f>
        <v/>
      </c>
      <c r="F4028" s="20">
        <f>""</f>
        <v/>
      </c>
      <c r="G4028">
        <f>IF($C4028="","",IF(Registro_Compras!$F$451="NOTA DE CREDITO","Por la nota de credito "&amp;Registro_Compras!$C$451&amp;" de "&amp;Registro_Compras!$E$451&amp;" [PATRON POR CONFIRMAR CON CONTADOR]",IF(Registro_Compras!$F$451="RHE","Por el registro del recibo por honorarios "&amp;Registro_Compras!$C$451&amp;" de "&amp;Registro_Compras!$E$451&amp;" [PATRON POR CONFIRMAR CON CONTADOR]","Por el registro de la factura "&amp;Registro_Compras!$C$451&amp;" de "&amp;Registro_Compras!$E$451)))</f>
        <v/>
      </c>
      <c r="H4028">
        <f>IF($C4028="","",Registro_Compras!$C$451)</f>
        <v/>
      </c>
    </row>
    <row r="4029">
      <c r="A4029" s="25">
        <f>IF($C4029="","",Registro_Compras!$B$451)</f>
        <v/>
      </c>
      <c r="B4029">
        <f>IF($C4029="","","C"&amp;TEXT(INT((ROW()-5)/9)+1,"000")&amp;"-1")</f>
        <v/>
      </c>
      <c r="C4029">
        <f>IF(OR(Registro_Compras!$C$451="",Registro_Compras!$O$451=""),"",IF(Registro_Compras!$F$451="RHE",IF(Registro_Compras!$V$451=0,"","40172"),IF(Registro_Compras!$F$451="NOTA DE CREDITO",IF(Registro_Compras!$M$451="","63",Registro_Compras!$M$451),IF(Registro_Compras!$K$451=0,"","40111"))))</f>
        <v/>
      </c>
      <c r="D4029">
        <f>IF(OR(Registro_Compras!$C$451="",Registro_Compras!$O$451=""),"",IF(Registro_Compras!$F$451="RHE","Retencion Renta 4ta Categoria por Pagar",IF(Registro_Compras!$F$451="NOTA DE CREDITO","Gastos de Servicios Prestados por Terceros","IGV - Cuenta Propia (Credito Fiscal)")))</f>
        <v/>
      </c>
      <c r="E4029" s="20">
        <f>IF($C4029="","",IF(Registro_Compras!$F$451="FACTURA",ROUND(Registro_Compras!$K$451*Registro_Compras!$N$451,2),""))</f>
        <v/>
      </c>
      <c r="F4029" s="20">
        <f>IF($C4029="","",IF(Registro_Compras!$F$451="RHE",ROUND(Registro_Compras!$V$451*Registro_Compras!$N$451,2),IF(Registro_Compras!$F$451="NOTA DE CREDITO",ROUND(ABS(Registro_Compras!$J$451*Registro_Compras!$N$451),2),"")))</f>
        <v/>
      </c>
      <c r="G4029">
        <f>IF($C4029="","",IF(Registro_Compras!$F$451="NOTA DE CREDITO","Por la nota de credito "&amp;Registro_Compras!$C$451&amp;" de "&amp;Registro_Compras!$E$451&amp;" [PATRON POR CONFIRMAR CON CONTADOR]",IF(Registro_Compras!$F$451="RHE","Por el registro del recibo por honorarios "&amp;Registro_Compras!$C$451&amp;" de "&amp;Registro_Compras!$E$451&amp;" [PATRON POR CONFIRMAR CON CONTADOR]","Por el registro de la factura "&amp;Registro_Compras!$C$451&amp;" de "&amp;Registro_Compras!$E$451)))</f>
        <v/>
      </c>
      <c r="H4029">
        <f>IF($C4029="","",Registro_Compras!$C$451)</f>
        <v/>
      </c>
    </row>
    <row r="4030">
      <c r="A4030" s="25">
        <f>IF($C4030="","",Registro_Compras!$B$451)</f>
        <v/>
      </c>
      <c r="B4030">
        <f>IF($C4030="","","C"&amp;TEXT(INT((ROW()-5)/9)+1,"000")&amp;"-1")</f>
        <v/>
      </c>
      <c r="C4030">
        <f>IF(OR(Registro_Compras!$C$451="",Registro_Compras!$O$451=""),"",IF(Registro_Compras!$F$451="NOTA DE CREDITO",IF(Registro_Compras!$K$451=0,"","40111"),"4212"))</f>
        <v/>
      </c>
      <c r="D4030">
        <f>IF(OR(Registro_Compras!$C$451="",Registro_Compras!$O$451=""),"",IF(Registro_Compras!$F$451="NOTA DE CREDITO","IGV - Cuenta Propia (Credito Fiscal)","Cuentas por Pagar Comerciales - Terceros (Emitidas)"))</f>
        <v/>
      </c>
      <c r="E4030" s="20">
        <f>""</f>
        <v/>
      </c>
      <c r="F4030" s="20">
        <f>IF($C4030="","",IF(Registro_Compras!$F$451="NOTA DE CREDITO",ROUND(ABS(Registro_Compras!$K$451*Registro_Compras!$N$451),2),IF(Registro_Compras!$F$451="RHE",(ROUND(Registro_Compras!$L$451*Registro_Compras!$N$451,2)-ROUND(Registro_Compras!$V$451*Registro_Compras!$N$451,2)),Registro_Compras!$O$451)))</f>
        <v/>
      </c>
      <c r="G4030">
        <f>IF($C4030="","",IF(Registro_Compras!$F$451="NOTA DE CREDITO","Por la nota de credito "&amp;Registro_Compras!$C$451&amp;" de "&amp;Registro_Compras!$E$451&amp;" [PATRON POR CONFIRMAR CON CONTADOR]",IF(Registro_Compras!$F$451="RHE","Por el registro del recibo por honorarios "&amp;Registro_Compras!$C$451&amp;" de "&amp;Registro_Compras!$E$451&amp;" [PATRON POR CONFIRMAR CON CONTADOR]","Por el registro de la factura "&amp;Registro_Compras!$C$451&amp;" de "&amp;Registro_Compras!$E$451)))</f>
        <v/>
      </c>
      <c r="H4030">
        <f>IF($C4030="","",Registro_Compras!$C$451)</f>
        <v/>
      </c>
    </row>
    <row r="4031">
      <c r="A4031" s="25">
        <f>IF($C4031="","",Registro_Compras!$B$451)</f>
        <v/>
      </c>
      <c r="B4031">
        <f>IF($C4031="","","C"&amp;TEXT(INT((ROW()-5)/9)+1,"000")&amp;"-2")</f>
        <v/>
      </c>
      <c r="C4031">
        <f>IF(OR(Registro_Compras!$C$451="",Registro_Compras!$O$451=""),"",IF(Registro_Compras!$AB$451="ADMINISTRATIVO","94","95"))</f>
        <v/>
      </c>
      <c r="D4031">
        <f>IF(OR(Registro_Compras!$C$451="",Registro_Compras!$O$451=""),"",IF(Registro_Compras!$AB$451="ADMINISTRATIVO","Gastos Administrativos","Gastos de Venta y Operacion"))</f>
        <v/>
      </c>
      <c r="E4031" s="20">
        <f>IF($C4031="","",IF(Registro_Compras!$F$451="NOTA DE CREDITO","",IF(Registro_Compras!$F$451="RHE",ROUND(Registro_Compras!$L$451*Registro_Compras!$N$451,2),ROUND(Registro_Compras!$J$451*Registro_Compras!$N$451,2))))</f>
        <v/>
      </c>
      <c r="F4031" s="20">
        <f>IF($C4031="","",IF(Registro_Compras!$F$451="NOTA DE CREDITO",ROUND(ABS(Registro_Compras!$J$451*Registro_Compras!$N$451),2),""))</f>
        <v/>
      </c>
      <c r="G4031">
        <f>IF($C4031="","","Por el destino del gasto")</f>
        <v/>
      </c>
      <c r="H4031">
        <f>IF($C4031="","",Registro_Compras!$C$451)</f>
        <v/>
      </c>
    </row>
    <row r="4032">
      <c r="A4032" s="25">
        <f>IF($C4032="","",Registro_Compras!$B$451)</f>
        <v/>
      </c>
      <c r="B4032">
        <f>IF($C4032="","","C"&amp;TEXT(INT((ROW()-5)/9)+1,"000")&amp;"-2")</f>
        <v/>
      </c>
      <c r="C4032">
        <f>IF(OR(Registro_Compras!$C$451="",Registro_Compras!$O$451=""),"","79/791")</f>
        <v/>
      </c>
      <c r="D4032">
        <f>IF(OR(Registro_Compras!$C$451="",Registro_Compras!$O$451=""),"","Cargas Imputables a Cuentas de Costos y Gastos")</f>
        <v/>
      </c>
      <c r="E4032" s="20">
        <f>IF($C4032="","",IF(Registro_Compras!$F$451="NOTA DE CREDITO",ROUND(ABS(Registro_Compras!$J$451*Registro_Compras!$N$451),2),""))</f>
        <v/>
      </c>
      <c r="F4032" s="20">
        <f>IF($C4032="","",IF(Registro_Compras!$F$451="NOTA DE CREDITO","",IF(Registro_Compras!$F$451="RHE",ROUND(Registro_Compras!$L$451*Registro_Compras!$N$451,2),ROUND(Registro_Compras!$J$451*Registro_Compras!$N$451,2))))</f>
        <v/>
      </c>
      <c r="G4032">
        <f>IF($C4032="","","Por el destino del gasto")</f>
        <v/>
      </c>
      <c r="H4032">
        <f>IF($C4032="","",Registro_Compras!$C$451)</f>
        <v/>
      </c>
    </row>
    <row r="4033">
      <c r="A4033" s="25">
        <f>IF($C4033="","",Registro_Compras!$X$451)</f>
        <v/>
      </c>
      <c r="B4033">
        <f>IF($C4033="","","C"&amp;TEXT(INT((ROW()-5)/9)+1,"000")&amp;"-3")</f>
        <v/>
      </c>
      <c r="C4033">
        <f>IF(OR(Registro_Compras!$C$451="",Registro_Compras!$O$451="",Registro_Compras!$R$451&lt;&gt;"SI",Registro_Compras!$X$451=""),"","4212")</f>
        <v/>
      </c>
      <c r="D4033">
        <f>IF(OR(Registro_Compras!$C$451="",Registro_Compras!$O$451=""),"","Cuentas por Pagar Comerciales - Terceros")</f>
        <v/>
      </c>
      <c r="E4033" s="20">
        <f>IF($C4033="","",Registro_Compras!$S$451)</f>
        <v/>
      </c>
      <c r="F4033" s="20">
        <f>""</f>
        <v/>
      </c>
      <c r="G4033">
        <f>IF($C4033="","","Por el deposito de la detraccion en el Banco de la Nacion")</f>
        <v/>
      </c>
      <c r="H4033">
        <f>IF($C4033="","",Registro_Compras!$C$451)</f>
        <v/>
      </c>
    </row>
    <row r="4034">
      <c r="A4034" s="25">
        <f>IF($C4034="","",Registro_Compras!$X$451)</f>
        <v/>
      </c>
      <c r="B4034">
        <f>IF($C4034="","","C"&amp;TEXT(INT((ROW()-5)/9)+1,"000")&amp;"-3")</f>
        <v/>
      </c>
      <c r="C4034">
        <f>IF(OR(Registro_Compras!$C$451="",Registro_Compras!$O$451="",Registro_Compras!$R$451&lt;&gt;"SI",Registro_Compras!$X$451=""),"","10413")</f>
        <v/>
      </c>
      <c r="D4034">
        <f>IF(OR(Registro_Compras!$C$451="",Registro_Compras!$O$451=""),"","Efectivo y Equivalentes - Cta. Cte. Operativa")</f>
        <v/>
      </c>
      <c r="E4034" s="20">
        <f>""</f>
        <v/>
      </c>
      <c r="F4034" s="20">
        <f>IF($C4034="","",Registro_Compras!$S$451)</f>
        <v/>
      </c>
      <c r="G4034">
        <f>IF($C4034="","","Por el deposito de la detraccion en el Banco de la Nacion")</f>
        <v/>
      </c>
      <c r="H4034">
        <f>IF($C4034="","",Registro_Compras!$C$451)</f>
        <v/>
      </c>
    </row>
    <row r="4035">
      <c r="A4035" s="25">
        <f>IF($C4035="","",Registro_Compras!$Y$451)</f>
        <v/>
      </c>
      <c r="B4035">
        <f>IF($C4035="","","C"&amp;TEXT(INT((ROW()-5)/9)+1,"000")&amp;"-4")</f>
        <v/>
      </c>
      <c r="C4035">
        <f>IF(OR(Registro_Compras!$C$451="",Registro_Compras!$O$451="",Registro_Compras!$Y$451="",Registro_Compras!$F$451="NOTA DE CREDITO"),"","4212")</f>
        <v/>
      </c>
      <c r="D4035">
        <f>IF(OR(Registro_Compras!$C$451="",Registro_Compras!$O$451=""),"","Cuentas por Pagar Comerciales - Terceros")</f>
        <v/>
      </c>
      <c r="E4035" s="20">
        <f>IF($C4035="","",IF(Registro_Compras!$F$451="RHE",(ROUND(Registro_Compras!$L$451*Registro_Compras!$N$451,2)-ROUND(Registro_Compras!$V$451*Registro_Compras!$N$451,2)),ROUND(Registro_Compras!$O$451-Registro_Compras!$S$451,2)))</f>
        <v/>
      </c>
      <c r="F4035" s="20">
        <f>""</f>
        <v/>
      </c>
      <c r="G4035">
        <f>IF($C4035="","","Por la cancelacion del saldo al proveedor")</f>
        <v/>
      </c>
      <c r="H4035">
        <f>IF($C4035="","",Registro_Compras!$C$451)</f>
        <v/>
      </c>
    </row>
    <row r="4036">
      <c r="A4036" s="25">
        <f>IF($C4036="","",Registro_Compras!$Y$451)</f>
        <v/>
      </c>
      <c r="B4036">
        <f>IF($C4036="","","C"&amp;TEXT(INT((ROW()-5)/9)+1,"000")&amp;"-4")</f>
        <v/>
      </c>
      <c r="C4036">
        <f>IF(OR(Registro_Compras!$C$451="",Registro_Compras!$O$451="",Registro_Compras!$Y$451="",Registro_Compras!$F$451="NOTA DE CREDITO"),"","10413")</f>
        <v/>
      </c>
      <c r="D4036">
        <f>IF(OR(Registro_Compras!$C$451="",Registro_Compras!$O$451=""),"","Efectivo y Equivalentes - Cta. Cte. Operativa")</f>
        <v/>
      </c>
      <c r="E4036" s="20">
        <f>""</f>
        <v/>
      </c>
      <c r="F4036" s="20">
        <f>IF($C4036="","",IF(Registro_Compras!$F$451="RHE",(ROUND(Registro_Compras!$L$451*Registro_Compras!$N$451,2)-ROUND(Registro_Compras!$V$451*Registro_Compras!$N$451,2)),ROUND(Registro_Compras!$O$451-Registro_Compras!$S$451,2)))</f>
        <v/>
      </c>
      <c r="G4036">
        <f>IF($C4036="","","Por la cancelacion del saldo al proveedor")</f>
        <v/>
      </c>
      <c r="H4036">
        <f>IF($C4036="","",Registro_Compras!$C$451)</f>
        <v/>
      </c>
    </row>
    <row r="4037">
      <c r="A4037" s="25">
        <f>IF($C4037="","",Registro_Compras!$B$452)</f>
        <v/>
      </c>
      <c r="B4037">
        <f>IF($C4037="","","C"&amp;TEXT(INT((ROW()-5)/9)+1,"000")&amp;"-1")</f>
        <v/>
      </c>
      <c r="C4037">
        <f>IF(OR(Registro_Compras!$C$452="",Registro_Compras!$O$452=""),"",IF(Registro_Compras!$F$452="NOTA DE CREDITO","4212",IF(Registro_Compras!$M$452="","63",Registro_Compras!$M$452)))</f>
        <v/>
      </c>
      <c r="D4037">
        <f>IF(OR(Registro_Compras!$C$452="",Registro_Compras!$O$452=""),"",IF(Registro_Compras!$F$452="NOTA DE CREDITO","Cuentas por Pagar Comerciales - Terceros (Emitidas)",IF(Registro_Compras!$F$452="RHE","Honorarios Profesionales - Servicios de Terceros","Gastos de Servicios Prestados por Terceros")))</f>
        <v/>
      </c>
      <c r="E4037" s="20">
        <f>IF($C4037="","",IF(Registro_Compras!$F$452="NOTA DE CREDITO",ABS(Registro_Compras!$O$452),IF(Registro_Compras!$F$452="RHE",ROUND(Registro_Compras!$L$452*Registro_Compras!$N$452,2),ROUND(Registro_Compras!$J$452*Registro_Compras!$N$452,2))))</f>
        <v/>
      </c>
      <c r="F4037" s="20">
        <f>""</f>
        <v/>
      </c>
      <c r="G4037">
        <f>IF($C4037="","",IF(Registro_Compras!$F$452="NOTA DE CREDITO","Por la nota de credito "&amp;Registro_Compras!$C$452&amp;" de "&amp;Registro_Compras!$E$452&amp;" [PATRON POR CONFIRMAR CON CONTADOR]",IF(Registro_Compras!$F$452="RHE","Por el registro del recibo por honorarios "&amp;Registro_Compras!$C$452&amp;" de "&amp;Registro_Compras!$E$452&amp;" [PATRON POR CONFIRMAR CON CONTADOR]","Por el registro de la factura "&amp;Registro_Compras!$C$452&amp;" de "&amp;Registro_Compras!$E$452)))</f>
        <v/>
      </c>
      <c r="H4037">
        <f>IF($C4037="","",Registro_Compras!$C$452)</f>
        <v/>
      </c>
    </row>
    <row r="4038">
      <c r="A4038" s="25">
        <f>IF($C4038="","",Registro_Compras!$B$452)</f>
        <v/>
      </c>
      <c r="B4038">
        <f>IF($C4038="","","C"&amp;TEXT(INT((ROW()-5)/9)+1,"000")&amp;"-1")</f>
        <v/>
      </c>
      <c r="C4038">
        <f>IF(OR(Registro_Compras!$C$452="",Registro_Compras!$O$452=""),"",IF(Registro_Compras!$F$452="RHE",IF(Registro_Compras!$V$452=0,"","40172"),IF(Registro_Compras!$F$452="NOTA DE CREDITO",IF(Registro_Compras!$M$452="","63",Registro_Compras!$M$452),IF(Registro_Compras!$K$452=0,"","40111"))))</f>
        <v/>
      </c>
      <c r="D4038">
        <f>IF(OR(Registro_Compras!$C$452="",Registro_Compras!$O$452=""),"",IF(Registro_Compras!$F$452="RHE","Retencion Renta 4ta Categoria por Pagar",IF(Registro_Compras!$F$452="NOTA DE CREDITO","Gastos de Servicios Prestados por Terceros","IGV - Cuenta Propia (Credito Fiscal)")))</f>
        <v/>
      </c>
      <c r="E4038" s="20">
        <f>IF($C4038="","",IF(Registro_Compras!$F$452="FACTURA",ROUND(Registro_Compras!$K$452*Registro_Compras!$N$452,2),""))</f>
        <v/>
      </c>
      <c r="F4038" s="20">
        <f>IF($C4038="","",IF(Registro_Compras!$F$452="RHE",ROUND(Registro_Compras!$V$452*Registro_Compras!$N$452,2),IF(Registro_Compras!$F$452="NOTA DE CREDITO",ROUND(ABS(Registro_Compras!$J$452*Registro_Compras!$N$452),2),"")))</f>
        <v/>
      </c>
      <c r="G4038">
        <f>IF($C4038="","",IF(Registro_Compras!$F$452="NOTA DE CREDITO","Por la nota de credito "&amp;Registro_Compras!$C$452&amp;" de "&amp;Registro_Compras!$E$452&amp;" [PATRON POR CONFIRMAR CON CONTADOR]",IF(Registro_Compras!$F$452="RHE","Por el registro del recibo por honorarios "&amp;Registro_Compras!$C$452&amp;" de "&amp;Registro_Compras!$E$452&amp;" [PATRON POR CONFIRMAR CON CONTADOR]","Por el registro de la factura "&amp;Registro_Compras!$C$452&amp;" de "&amp;Registro_Compras!$E$452)))</f>
        <v/>
      </c>
      <c r="H4038">
        <f>IF($C4038="","",Registro_Compras!$C$452)</f>
        <v/>
      </c>
    </row>
    <row r="4039">
      <c r="A4039" s="25">
        <f>IF($C4039="","",Registro_Compras!$B$452)</f>
        <v/>
      </c>
      <c r="B4039">
        <f>IF($C4039="","","C"&amp;TEXT(INT((ROW()-5)/9)+1,"000")&amp;"-1")</f>
        <v/>
      </c>
      <c r="C4039">
        <f>IF(OR(Registro_Compras!$C$452="",Registro_Compras!$O$452=""),"",IF(Registro_Compras!$F$452="NOTA DE CREDITO",IF(Registro_Compras!$K$452=0,"","40111"),"4212"))</f>
        <v/>
      </c>
      <c r="D4039">
        <f>IF(OR(Registro_Compras!$C$452="",Registro_Compras!$O$452=""),"",IF(Registro_Compras!$F$452="NOTA DE CREDITO","IGV - Cuenta Propia (Credito Fiscal)","Cuentas por Pagar Comerciales - Terceros (Emitidas)"))</f>
        <v/>
      </c>
      <c r="E4039" s="20">
        <f>""</f>
        <v/>
      </c>
      <c r="F4039" s="20">
        <f>IF($C4039="","",IF(Registro_Compras!$F$452="NOTA DE CREDITO",ROUND(ABS(Registro_Compras!$K$452*Registro_Compras!$N$452),2),IF(Registro_Compras!$F$452="RHE",(ROUND(Registro_Compras!$L$452*Registro_Compras!$N$452,2)-ROUND(Registro_Compras!$V$452*Registro_Compras!$N$452,2)),Registro_Compras!$O$452)))</f>
        <v/>
      </c>
      <c r="G4039">
        <f>IF($C4039="","",IF(Registro_Compras!$F$452="NOTA DE CREDITO","Por la nota de credito "&amp;Registro_Compras!$C$452&amp;" de "&amp;Registro_Compras!$E$452&amp;" [PATRON POR CONFIRMAR CON CONTADOR]",IF(Registro_Compras!$F$452="RHE","Por el registro del recibo por honorarios "&amp;Registro_Compras!$C$452&amp;" de "&amp;Registro_Compras!$E$452&amp;" [PATRON POR CONFIRMAR CON CONTADOR]","Por el registro de la factura "&amp;Registro_Compras!$C$452&amp;" de "&amp;Registro_Compras!$E$452)))</f>
        <v/>
      </c>
      <c r="H4039">
        <f>IF($C4039="","",Registro_Compras!$C$452)</f>
        <v/>
      </c>
    </row>
    <row r="4040">
      <c r="A4040" s="25">
        <f>IF($C4040="","",Registro_Compras!$B$452)</f>
        <v/>
      </c>
      <c r="B4040">
        <f>IF($C4040="","","C"&amp;TEXT(INT((ROW()-5)/9)+1,"000")&amp;"-2")</f>
        <v/>
      </c>
      <c r="C4040">
        <f>IF(OR(Registro_Compras!$C$452="",Registro_Compras!$O$452=""),"",IF(Registro_Compras!$AB$452="ADMINISTRATIVO","94","95"))</f>
        <v/>
      </c>
      <c r="D4040">
        <f>IF(OR(Registro_Compras!$C$452="",Registro_Compras!$O$452=""),"",IF(Registro_Compras!$AB$452="ADMINISTRATIVO","Gastos Administrativos","Gastos de Venta y Operacion"))</f>
        <v/>
      </c>
      <c r="E4040" s="20">
        <f>IF($C4040="","",IF(Registro_Compras!$F$452="NOTA DE CREDITO","",IF(Registro_Compras!$F$452="RHE",ROUND(Registro_Compras!$L$452*Registro_Compras!$N$452,2),ROUND(Registro_Compras!$J$452*Registro_Compras!$N$452,2))))</f>
        <v/>
      </c>
      <c r="F4040" s="20">
        <f>IF($C4040="","",IF(Registro_Compras!$F$452="NOTA DE CREDITO",ROUND(ABS(Registro_Compras!$J$452*Registro_Compras!$N$452),2),""))</f>
        <v/>
      </c>
      <c r="G4040">
        <f>IF($C4040="","","Por el destino del gasto")</f>
        <v/>
      </c>
      <c r="H4040">
        <f>IF($C4040="","",Registro_Compras!$C$452)</f>
        <v/>
      </c>
    </row>
    <row r="4041">
      <c r="A4041" s="25">
        <f>IF($C4041="","",Registro_Compras!$B$452)</f>
        <v/>
      </c>
      <c r="B4041">
        <f>IF($C4041="","","C"&amp;TEXT(INT((ROW()-5)/9)+1,"000")&amp;"-2")</f>
        <v/>
      </c>
      <c r="C4041">
        <f>IF(OR(Registro_Compras!$C$452="",Registro_Compras!$O$452=""),"","79/791")</f>
        <v/>
      </c>
      <c r="D4041">
        <f>IF(OR(Registro_Compras!$C$452="",Registro_Compras!$O$452=""),"","Cargas Imputables a Cuentas de Costos y Gastos")</f>
        <v/>
      </c>
      <c r="E4041" s="20">
        <f>IF($C4041="","",IF(Registro_Compras!$F$452="NOTA DE CREDITO",ROUND(ABS(Registro_Compras!$J$452*Registro_Compras!$N$452),2),""))</f>
        <v/>
      </c>
      <c r="F4041" s="20">
        <f>IF($C4041="","",IF(Registro_Compras!$F$452="NOTA DE CREDITO","",IF(Registro_Compras!$F$452="RHE",ROUND(Registro_Compras!$L$452*Registro_Compras!$N$452,2),ROUND(Registro_Compras!$J$452*Registro_Compras!$N$452,2))))</f>
        <v/>
      </c>
      <c r="G4041">
        <f>IF($C4041="","","Por el destino del gasto")</f>
        <v/>
      </c>
      <c r="H4041">
        <f>IF($C4041="","",Registro_Compras!$C$452)</f>
        <v/>
      </c>
    </row>
    <row r="4042">
      <c r="A4042" s="25">
        <f>IF($C4042="","",Registro_Compras!$X$452)</f>
        <v/>
      </c>
      <c r="B4042">
        <f>IF($C4042="","","C"&amp;TEXT(INT((ROW()-5)/9)+1,"000")&amp;"-3")</f>
        <v/>
      </c>
      <c r="C4042">
        <f>IF(OR(Registro_Compras!$C$452="",Registro_Compras!$O$452="",Registro_Compras!$R$452&lt;&gt;"SI",Registro_Compras!$X$452=""),"","4212")</f>
        <v/>
      </c>
      <c r="D4042">
        <f>IF(OR(Registro_Compras!$C$452="",Registro_Compras!$O$452=""),"","Cuentas por Pagar Comerciales - Terceros")</f>
        <v/>
      </c>
      <c r="E4042" s="20">
        <f>IF($C4042="","",Registro_Compras!$S$452)</f>
        <v/>
      </c>
      <c r="F4042" s="20">
        <f>""</f>
        <v/>
      </c>
      <c r="G4042">
        <f>IF($C4042="","","Por el deposito de la detraccion en el Banco de la Nacion")</f>
        <v/>
      </c>
      <c r="H4042">
        <f>IF($C4042="","",Registro_Compras!$C$452)</f>
        <v/>
      </c>
    </row>
    <row r="4043">
      <c r="A4043" s="25">
        <f>IF($C4043="","",Registro_Compras!$X$452)</f>
        <v/>
      </c>
      <c r="B4043">
        <f>IF($C4043="","","C"&amp;TEXT(INT((ROW()-5)/9)+1,"000")&amp;"-3")</f>
        <v/>
      </c>
      <c r="C4043">
        <f>IF(OR(Registro_Compras!$C$452="",Registro_Compras!$O$452="",Registro_Compras!$R$452&lt;&gt;"SI",Registro_Compras!$X$452=""),"","10413")</f>
        <v/>
      </c>
      <c r="D4043">
        <f>IF(OR(Registro_Compras!$C$452="",Registro_Compras!$O$452=""),"","Efectivo y Equivalentes - Cta. Cte. Operativa")</f>
        <v/>
      </c>
      <c r="E4043" s="20">
        <f>""</f>
        <v/>
      </c>
      <c r="F4043" s="20">
        <f>IF($C4043="","",Registro_Compras!$S$452)</f>
        <v/>
      </c>
      <c r="G4043">
        <f>IF($C4043="","","Por el deposito de la detraccion en el Banco de la Nacion")</f>
        <v/>
      </c>
      <c r="H4043">
        <f>IF($C4043="","",Registro_Compras!$C$452)</f>
        <v/>
      </c>
    </row>
    <row r="4044">
      <c r="A4044" s="25">
        <f>IF($C4044="","",Registro_Compras!$Y$452)</f>
        <v/>
      </c>
      <c r="B4044">
        <f>IF($C4044="","","C"&amp;TEXT(INT((ROW()-5)/9)+1,"000")&amp;"-4")</f>
        <v/>
      </c>
      <c r="C4044">
        <f>IF(OR(Registro_Compras!$C$452="",Registro_Compras!$O$452="",Registro_Compras!$Y$452="",Registro_Compras!$F$452="NOTA DE CREDITO"),"","4212")</f>
        <v/>
      </c>
      <c r="D4044">
        <f>IF(OR(Registro_Compras!$C$452="",Registro_Compras!$O$452=""),"","Cuentas por Pagar Comerciales - Terceros")</f>
        <v/>
      </c>
      <c r="E4044" s="20">
        <f>IF($C4044="","",IF(Registro_Compras!$F$452="RHE",(ROUND(Registro_Compras!$L$452*Registro_Compras!$N$452,2)-ROUND(Registro_Compras!$V$452*Registro_Compras!$N$452,2)),ROUND(Registro_Compras!$O$452-Registro_Compras!$S$452,2)))</f>
        <v/>
      </c>
      <c r="F4044" s="20">
        <f>""</f>
        <v/>
      </c>
      <c r="G4044">
        <f>IF($C4044="","","Por la cancelacion del saldo al proveedor")</f>
        <v/>
      </c>
      <c r="H4044">
        <f>IF($C4044="","",Registro_Compras!$C$452)</f>
        <v/>
      </c>
    </row>
    <row r="4045">
      <c r="A4045" s="25">
        <f>IF($C4045="","",Registro_Compras!$Y$452)</f>
        <v/>
      </c>
      <c r="B4045">
        <f>IF($C4045="","","C"&amp;TEXT(INT((ROW()-5)/9)+1,"000")&amp;"-4")</f>
        <v/>
      </c>
      <c r="C4045">
        <f>IF(OR(Registro_Compras!$C$452="",Registro_Compras!$O$452="",Registro_Compras!$Y$452="",Registro_Compras!$F$452="NOTA DE CREDITO"),"","10413")</f>
        <v/>
      </c>
      <c r="D4045">
        <f>IF(OR(Registro_Compras!$C$452="",Registro_Compras!$O$452=""),"","Efectivo y Equivalentes - Cta. Cte. Operativa")</f>
        <v/>
      </c>
      <c r="E4045" s="20">
        <f>""</f>
        <v/>
      </c>
      <c r="F4045" s="20">
        <f>IF($C4045="","",IF(Registro_Compras!$F$452="RHE",(ROUND(Registro_Compras!$L$452*Registro_Compras!$N$452,2)-ROUND(Registro_Compras!$V$452*Registro_Compras!$N$452,2)),ROUND(Registro_Compras!$O$452-Registro_Compras!$S$452,2)))</f>
        <v/>
      </c>
      <c r="G4045">
        <f>IF($C4045="","","Por la cancelacion del saldo al proveedor")</f>
        <v/>
      </c>
      <c r="H4045">
        <f>IF($C4045="","",Registro_Compras!$C$452)</f>
        <v/>
      </c>
    </row>
    <row r="4046">
      <c r="A4046" s="25">
        <f>IF($C4046="","",Registro_Compras!$B$453)</f>
        <v/>
      </c>
      <c r="B4046">
        <f>IF($C4046="","","C"&amp;TEXT(INT((ROW()-5)/9)+1,"000")&amp;"-1")</f>
        <v/>
      </c>
      <c r="C4046">
        <f>IF(OR(Registro_Compras!$C$453="",Registro_Compras!$O$453=""),"",IF(Registro_Compras!$F$453="NOTA DE CREDITO","4212",IF(Registro_Compras!$M$453="","63",Registro_Compras!$M$453)))</f>
        <v/>
      </c>
      <c r="D4046">
        <f>IF(OR(Registro_Compras!$C$453="",Registro_Compras!$O$453=""),"",IF(Registro_Compras!$F$453="NOTA DE CREDITO","Cuentas por Pagar Comerciales - Terceros (Emitidas)",IF(Registro_Compras!$F$453="RHE","Honorarios Profesionales - Servicios de Terceros","Gastos de Servicios Prestados por Terceros")))</f>
        <v/>
      </c>
      <c r="E4046" s="20">
        <f>IF($C4046="","",IF(Registro_Compras!$F$453="NOTA DE CREDITO",ABS(Registro_Compras!$O$453),IF(Registro_Compras!$F$453="RHE",ROUND(Registro_Compras!$L$453*Registro_Compras!$N$453,2),ROUND(Registro_Compras!$J$453*Registro_Compras!$N$453,2))))</f>
        <v/>
      </c>
      <c r="F4046" s="20">
        <f>""</f>
        <v/>
      </c>
      <c r="G4046">
        <f>IF($C4046="","",IF(Registro_Compras!$F$453="NOTA DE CREDITO","Por la nota de credito "&amp;Registro_Compras!$C$453&amp;" de "&amp;Registro_Compras!$E$453&amp;" [PATRON POR CONFIRMAR CON CONTADOR]",IF(Registro_Compras!$F$453="RHE","Por el registro del recibo por honorarios "&amp;Registro_Compras!$C$453&amp;" de "&amp;Registro_Compras!$E$453&amp;" [PATRON POR CONFIRMAR CON CONTADOR]","Por el registro de la factura "&amp;Registro_Compras!$C$453&amp;" de "&amp;Registro_Compras!$E$453)))</f>
        <v/>
      </c>
      <c r="H4046">
        <f>IF($C4046="","",Registro_Compras!$C$453)</f>
        <v/>
      </c>
    </row>
    <row r="4047">
      <c r="A4047" s="25">
        <f>IF($C4047="","",Registro_Compras!$B$453)</f>
        <v/>
      </c>
      <c r="B4047">
        <f>IF($C4047="","","C"&amp;TEXT(INT((ROW()-5)/9)+1,"000")&amp;"-1")</f>
        <v/>
      </c>
      <c r="C4047">
        <f>IF(OR(Registro_Compras!$C$453="",Registro_Compras!$O$453=""),"",IF(Registro_Compras!$F$453="RHE",IF(Registro_Compras!$V$453=0,"","40172"),IF(Registro_Compras!$F$453="NOTA DE CREDITO",IF(Registro_Compras!$M$453="","63",Registro_Compras!$M$453),IF(Registro_Compras!$K$453=0,"","40111"))))</f>
        <v/>
      </c>
      <c r="D4047">
        <f>IF(OR(Registro_Compras!$C$453="",Registro_Compras!$O$453=""),"",IF(Registro_Compras!$F$453="RHE","Retencion Renta 4ta Categoria por Pagar",IF(Registro_Compras!$F$453="NOTA DE CREDITO","Gastos de Servicios Prestados por Terceros","IGV - Cuenta Propia (Credito Fiscal)")))</f>
        <v/>
      </c>
      <c r="E4047" s="20">
        <f>IF($C4047="","",IF(Registro_Compras!$F$453="FACTURA",ROUND(Registro_Compras!$K$453*Registro_Compras!$N$453,2),""))</f>
        <v/>
      </c>
      <c r="F4047" s="20">
        <f>IF($C4047="","",IF(Registro_Compras!$F$453="RHE",ROUND(Registro_Compras!$V$453*Registro_Compras!$N$453,2),IF(Registro_Compras!$F$453="NOTA DE CREDITO",ROUND(ABS(Registro_Compras!$J$453*Registro_Compras!$N$453),2),"")))</f>
        <v/>
      </c>
      <c r="G4047">
        <f>IF($C4047="","",IF(Registro_Compras!$F$453="NOTA DE CREDITO","Por la nota de credito "&amp;Registro_Compras!$C$453&amp;" de "&amp;Registro_Compras!$E$453&amp;" [PATRON POR CONFIRMAR CON CONTADOR]",IF(Registro_Compras!$F$453="RHE","Por el registro del recibo por honorarios "&amp;Registro_Compras!$C$453&amp;" de "&amp;Registro_Compras!$E$453&amp;" [PATRON POR CONFIRMAR CON CONTADOR]","Por el registro de la factura "&amp;Registro_Compras!$C$453&amp;" de "&amp;Registro_Compras!$E$453)))</f>
        <v/>
      </c>
      <c r="H4047">
        <f>IF($C4047="","",Registro_Compras!$C$453)</f>
        <v/>
      </c>
    </row>
    <row r="4048">
      <c r="A4048" s="25">
        <f>IF($C4048="","",Registro_Compras!$B$453)</f>
        <v/>
      </c>
      <c r="B4048">
        <f>IF($C4048="","","C"&amp;TEXT(INT((ROW()-5)/9)+1,"000")&amp;"-1")</f>
        <v/>
      </c>
      <c r="C4048">
        <f>IF(OR(Registro_Compras!$C$453="",Registro_Compras!$O$453=""),"",IF(Registro_Compras!$F$453="NOTA DE CREDITO",IF(Registro_Compras!$K$453=0,"","40111"),"4212"))</f>
        <v/>
      </c>
      <c r="D4048">
        <f>IF(OR(Registro_Compras!$C$453="",Registro_Compras!$O$453=""),"",IF(Registro_Compras!$F$453="NOTA DE CREDITO","IGV - Cuenta Propia (Credito Fiscal)","Cuentas por Pagar Comerciales - Terceros (Emitidas)"))</f>
        <v/>
      </c>
      <c r="E4048" s="20">
        <f>""</f>
        <v/>
      </c>
      <c r="F4048" s="20">
        <f>IF($C4048="","",IF(Registro_Compras!$F$453="NOTA DE CREDITO",ROUND(ABS(Registro_Compras!$K$453*Registro_Compras!$N$453),2),IF(Registro_Compras!$F$453="RHE",(ROUND(Registro_Compras!$L$453*Registro_Compras!$N$453,2)-ROUND(Registro_Compras!$V$453*Registro_Compras!$N$453,2)),Registro_Compras!$O$453)))</f>
        <v/>
      </c>
      <c r="G4048">
        <f>IF($C4048="","",IF(Registro_Compras!$F$453="NOTA DE CREDITO","Por la nota de credito "&amp;Registro_Compras!$C$453&amp;" de "&amp;Registro_Compras!$E$453&amp;" [PATRON POR CONFIRMAR CON CONTADOR]",IF(Registro_Compras!$F$453="RHE","Por el registro del recibo por honorarios "&amp;Registro_Compras!$C$453&amp;" de "&amp;Registro_Compras!$E$453&amp;" [PATRON POR CONFIRMAR CON CONTADOR]","Por el registro de la factura "&amp;Registro_Compras!$C$453&amp;" de "&amp;Registro_Compras!$E$453)))</f>
        <v/>
      </c>
      <c r="H4048">
        <f>IF($C4048="","",Registro_Compras!$C$453)</f>
        <v/>
      </c>
    </row>
    <row r="4049">
      <c r="A4049" s="25">
        <f>IF($C4049="","",Registro_Compras!$B$453)</f>
        <v/>
      </c>
      <c r="B4049">
        <f>IF($C4049="","","C"&amp;TEXT(INT((ROW()-5)/9)+1,"000")&amp;"-2")</f>
        <v/>
      </c>
      <c r="C4049">
        <f>IF(OR(Registro_Compras!$C$453="",Registro_Compras!$O$453=""),"",IF(Registro_Compras!$AB$453="ADMINISTRATIVO","94","95"))</f>
        <v/>
      </c>
      <c r="D4049">
        <f>IF(OR(Registro_Compras!$C$453="",Registro_Compras!$O$453=""),"",IF(Registro_Compras!$AB$453="ADMINISTRATIVO","Gastos Administrativos","Gastos de Venta y Operacion"))</f>
        <v/>
      </c>
      <c r="E4049" s="20">
        <f>IF($C4049="","",IF(Registro_Compras!$F$453="NOTA DE CREDITO","",IF(Registro_Compras!$F$453="RHE",ROUND(Registro_Compras!$L$453*Registro_Compras!$N$453,2),ROUND(Registro_Compras!$J$453*Registro_Compras!$N$453,2))))</f>
        <v/>
      </c>
      <c r="F4049" s="20">
        <f>IF($C4049="","",IF(Registro_Compras!$F$453="NOTA DE CREDITO",ROUND(ABS(Registro_Compras!$J$453*Registro_Compras!$N$453),2),""))</f>
        <v/>
      </c>
      <c r="G4049">
        <f>IF($C4049="","","Por el destino del gasto")</f>
        <v/>
      </c>
      <c r="H4049">
        <f>IF($C4049="","",Registro_Compras!$C$453)</f>
        <v/>
      </c>
    </row>
    <row r="4050">
      <c r="A4050" s="25">
        <f>IF($C4050="","",Registro_Compras!$B$453)</f>
        <v/>
      </c>
      <c r="B4050">
        <f>IF($C4050="","","C"&amp;TEXT(INT((ROW()-5)/9)+1,"000")&amp;"-2")</f>
        <v/>
      </c>
      <c r="C4050">
        <f>IF(OR(Registro_Compras!$C$453="",Registro_Compras!$O$453=""),"","79/791")</f>
        <v/>
      </c>
      <c r="D4050">
        <f>IF(OR(Registro_Compras!$C$453="",Registro_Compras!$O$453=""),"","Cargas Imputables a Cuentas de Costos y Gastos")</f>
        <v/>
      </c>
      <c r="E4050" s="20">
        <f>IF($C4050="","",IF(Registro_Compras!$F$453="NOTA DE CREDITO",ROUND(ABS(Registro_Compras!$J$453*Registro_Compras!$N$453),2),""))</f>
        <v/>
      </c>
      <c r="F4050" s="20">
        <f>IF($C4050="","",IF(Registro_Compras!$F$453="NOTA DE CREDITO","",IF(Registro_Compras!$F$453="RHE",ROUND(Registro_Compras!$L$453*Registro_Compras!$N$453,2),ROUND(Registro_Compras!$J$453*Registro_Compras!$N$453,2))))</f>
        <v/>
      </c>
      <c r="G4050">
        <f>IF($C4050="","","Por el destino del gasto")</f>
        <v/>
      </c>
      <c r="H4050">
        <f>IF($C4050="","",Registro_Compras!$C$453)</f>
        <v/>
      </c>
    </row>
    <row r="4051">
      <c r="A4051" s="25">
        <f>IF($C4051="","",Registro_Compras!$X$453)</f>
        <v/>
      </c>
      <c r="B4051">
        <f>IF($C4051="","","C"&amp;TEXT(INT((ROW()-5)/9)+1,"000")&amp;"-3")</f>
        <v/>
      </c>
      <c r="C4051">
        <f>IF(OR(Registro_Compras!$C$453="",Registro_Compras!$O$453="",Registro_Compras!$R$453&lt;&gt;"SI",Registro_Compras!$X$453=""),"","4212")</f>
        <v/>
      </c>
      <c r="D4051">
        <f>IF(OR(Registro_Compras!$C$453="",Registro_Compras!$O$453=""),"","Cuentas por Pagar Comerciales - Terceros")</f>
        <v/>
      </c>
      <c r="E4051" s="20">
        <f>IF($C4051="","",Registro_Compras!$S$453)</f>
        <v/>
      </c>
      <c r="F4051" s="20">
        <f>""</f>
        <v/>
      </c>
      <c r="G4051">
        <f>IF($C4051="","","Por el deposito de la detraccion en el Banco de la Nacion")</f>
        <v/>
      </c>
      <c r="H4051">
        <f>IF($C4051="","",Registro_Compras!$C$453)</f>
        <v/>
      </c>
    </row>
    <row r="4052">
      <c r="A4052" s="25">
        <f>IF($C4052="","",Registro_Compras!$X$453)</f>
        <v/>
      </c>
      <c r="B4052">
        <f>IF($C4052="","","C"&amp;TEXT(INT((ROW()-5)/9)+1,"000")&amp;"-3")</f>
        <v/>
      </c>
      <c r="C4052">
        <f>IF(OR(Registro_Compras!$C$453="",Registro_Compras!$O$453="",Registro_Compras!$R$453&lt;&gt;"SI",Registro_Compras!$X$453=""),"","10413")</f>
        <v/>
      </c>
      <c r="D4052">
        <f>IF(OR(Registro_Compras!$C$453="",Registro_Compras!$O$453=""),"","Efectivo y Equivalentes - Cta. Cte. Operativa")</f>
        <v/>
      </c>
      <c r="E4052" s="20">
        <f>""</f>
        <v/>
      </c>
      <c r="F4052" s="20">
        <f>IF($C4052="","",Registro_Compras!$S$453)</f>
        <v/>
      </c>
      <c r="G4052">
        <f>IF($C4052="","","Por el deposito de la detraccion en el Banco de la Nacion")</f>
        <v/>
      </c>
      <c r="H4052">
        <f>IF($C4052="","",Registro_Compras!$C$453)</f>
        <v/>
      </c>
    </row>
    <row r="4053">
      <c r="A4053" s="25">
        <f>IF($C4053="","",Registro_Compras!$Y$453)</f>
        <v/>
      </c>
      <c r="B4053">
        <f>IF($C4053="","","C"&amp;TEXT(INT((ROW()-5)/9)+1,"000")&amp;"-4")</f>
        <v/>
      </c>
      <c r="C4053">
        <f>IF(OR(Registro_Compras!$C$453="",Registro_Compras!$O$453="",Registro_Compras!$Y$453="",Registro_Compras!$F$453="NOTA DE CREDITO"),"","4212")</f>
        <v/>
      </c>
      <c r="D4053">
        <f>IF(OR(Registro_Compras!$C$453="",Registro_Compras!$O$453=""),"","Cuentas por Pagar Comerciales - Terceros")</f>
        <v/>
      </c>
      <c r="E4053" s="20">
        <f>IF($C4053="","",IF(Registro_Compras!$F$453="RHE",(ROUND(Registro_Compras!$L$453*Registro_Compras!$N$453,2)-ROUND(Registro_Compras!$V$453*Registro_Compras!$N$453,2)),ROUND(Registro_Compras!$O$453-Registro_Compras!$S$453,2)))</f>
        <v/>
      </c>
      <c r="F4053" s="20">
        <f>""</f>
        <v/>
      </c>
      <c r="G4053">
        <f>IF($C4053="","","Por la cancelacion del saldo al proveedor")</f>
        <v/>
      </c>
      <c r="H4053">
        <f>IF($C4053="","",Registro_Compras!$C$453)</f>
        <v/>
      </c>
    </row>
    <row r="4054">
      <c r="A4054" s="25">
        <f>IF($C4054="","",Registro_Compras!$Y$453)</f>
        <v/>
      </c>
      <c r="B4054">
        <f>IF($C4054="","","C"&amp;TEXT(INT((ROW()-5)/9)+1,"000")&amp;"-4")</f>
        <v/>
      </c>
      <c r="C4054">
        <f>IF(OR(Registro_Compras!$C$453="",Registro_Compras!$O$453="",Registro_Compras!$Y$453="",Registro_Compras!$F$453="NOTA DE CREDITO"),"","10413")</f>
        <v/>
      </c>
      <c r="D4054">
        <f>IF(OR(Registro_Compras!$C$453="",Registro_Compras!$O$453=""),"","Efectivo y Equivalentes - Cta. Cte. Operativa")</f>
        <v/>
      </c>
      <c r="E4054" s="20">
        <f>""</f>
        <v/>
      </c>
      <c r="F4054" s="20">
        <f>IF($C4054="","",IF(Registro_Compras!$F$453="RHE",(ROUND(Registro_Compras!$L$453*Registro_Compras!$N$453,2)-ROUND(Registro_Compras!$V$453*Registro_Compras!$N$453,2)),ROUND(Registro_Compras!$O$453-Registro_Compras!$S$453,2)))</f>
        <v/>
      </c>
      <c r="G4054">
        <f>IF($C4054="","","Por la cancelacion del saldo al proveedor")</f>
        <v/>
      </c>
      <c r="H4054">
        <f>IF($C4054="","",Registro_Compras!$C$453)</f>
        <v/>
      </c>
    </row>
    <row r="4055">
      <c r="A4055" s="25">
        <f>IF($C4055="","",Registro_Compras!$B$454)</f>
        <v/>
      </c>
      <c r="B4055">
        <f>IF($C4055="","","C"&amp;TEXT(INT((ROW()-5)/9)+1,"000")&amp;"-1")</f>
        <v/>
      </c>
      <c r="C4055">
        <f>IF(OR(Registro_Compras!$C$454="",Registro_Compras!$O$454=""),"",IF(Registro_Compras!$F$454="NOTA DE CREDITO","4212",IF(Registro_Compras!$M$454="","63",Registro_Compras!$M$454)))</f>
        <v/>
      </c>
      <c r="D4055">
        <f>IF(OR(Registro_Compras!$C$454="",Registro_Compras!$O$454=""),"",IF(Registro_Compras!$F$454="NOTA DE CREDITO","Cuentas por Pagar Comerciales - Terceros (Emitidas)",IF(Registro_Compras!$F$454="RHE","Honorarios Profesionales - Servicios de Terceros","Gastos de Servicios Prestados por Terceros")))</f>
        <v/>
      </c>
      <c r="E4055" s="20">
        <f>IF($C4055="","",IF(Registro_Compras!$F$454="NOTA DE CREDITO",ABS(Registro_Compras!$O$454),IF(Registro_Compras!$F$454="RHE",ROUND(Registro_Compras!$L$454*Registro_Compras!$N$454,2),ROUND(Registro_Compras!$J$454*Registro_Compras!$N$454,2))))</f>
        <v/>
      </c>
      <c r="F4055" s="20">
        <f>""</f>
        <v/>
      </c>
      <c r="G4055">
        <f>IF($C4055="","",IF(Registro_Compras!$F$454="NOTA DE CREDITO","Por la nota de credito "&amp;Registro_Compras!$C$454&amp;" de "&amp;Registro_Compras!$E$454&amp;" [PATRON POR CONFIRMAR CON CONTADOR]",IF(Registro_Compras!$F$454="RHE","Por el registro del recibo por honorarios "&amp;Registro_Compras!$C$454&amp;" de "&amp;Registro_Compras!$E$454&amp;" [PATRON POR CONFIRMAR CON CONTADOR]","Por el registro de la factura "&amp;Registro_Compras!$C$454&amp;" de "&amp;Registro_Compras!$E$454)))</f>
        <v/>
      </c>
      <c r="H4055">
        <f>IF($C4055="","",Registro_Compras!$C$454)</f>
        <v/>
      </c>
    </row>
    <row r="4056">
      <c r="A4056" s="25">
        <f>IF($C4056="","",Registro_Compras!$B$454)</f>
        <v/>
      </c>
      <c r="B4056">
        <f>IF($C4056="","","C"&amp;TEXT(INT((ROW()-5)/9)+1,"000")&amp;"-1")</f>
        <v/>
      </c>
      <c r="C4056">
        <f>IF(OR(Registro_Compras!$C$454="",Registro_Compras!$O$454=""),"",IF(Registro_Compras!$F$454="RHE",IF(Registro_Compras!$V$454=0,"","40172"),IF(Registro_Compras!$F$454="NOTA DE CREDITO",IF(Registro_Compras!$M$454="","63",Registro_Compras!$M$454),IF(Registro_Compras!$K$454=0,"","40111"))))</f>
        <v/>
      </c>
      <c r="D4056">
        <f>IF(OR(Registro_Compras!$C$454="",Registro_Compras!$O$454=""),"",IF(Registro_Compras!$F$454="RHE","Retencion Renta 4ta Categoria por Pagar",IF(Registro_Compras!$F$454="NOTA DE CREDITO","Gastos de Servicios Prestados por Terceros","IGV - Cuenta Propia (Credito Fiscal)")))</f>
        <v/>
      </c>
      <c r="E4056" s="20">
        <f>IF($C4056="","",IF(Registro_Compras!$F$454="FACTURA",ROUND(Registro_Compras!$K$454*Registro_Compras!$N$454,2),""))</f>
        <v/>
      </c>
      <c r="F4056" s="20">
        <f>IF($C4056="","",IF(Registro_Compras!$F$454="RHE",ROUND(Registro_Compras!$V$454*Registro_Compras!$N$454,2),IF(Registro_Compras!$F$454="NOTA DE CREDITO",ROUND(ABS(Registro_Compras!$J$454*Registro_Compras!$N$454),2),"")))</f>
        <v/>
      </c>
      <c r="G4056">
        <f>IF($C4056="","",IF(Registro_Compras!$F$454="NOTA DE CREDITO","Por la nota de credito "&amp;Registro_Compras!$C$454&amp;" de "&amp;Registro_Compras!$E$454&amp;" [PATRON POR CONFIRMAR CON CONTADOR]",IF(Registro_Compras!$F$454="RHE","Por el registro del recibo por honorarios "&amp;Registro_Compras!$C$454&amp;" de "&amp;Registro_Compras!$E$454&amp;" [PATRON POR CONFIRMAR CON CONTADOR]","Por el registro de la factura "&amp;Registro_Compras!$C$454&amp;" de "&amp;Registro_Compras!$E$454)))</f>
        <v/>
      </c>
      <c r="H4056">
        <f>IF($C4056="","",Registro_Compras!$C$454)</f>
        <v/>
      </c>
    </row>
    <row r="4057">
      <c r="A4057" s="25">
        <f>IF($C4057="","",Registro_Compras!$B$454)</f>
        <v/>
      </c>
      <c r="B4057">
        <f>IF($C4057="","","C"&amp;TEXT(INT((ROW()-5)/9)+1,"000")&amp;"-1")</f>
        <v/>
      </c>
      <c r="C4057">
        <f>IF(OR(Registro_Compras!$C$454="",Registro_Compras!$O$454=""),"",IF(Registro_Compras!$F$454="NOTA DE CREDITO",IF(Registro_Compras!$K$454=0,"","40111"),"4212"))</f>
        <v/>
      </c>
      <c r="D4057">
        <f>IF(OR(Registro_Compras!$C$454="",Registro_Compras!$O$454=""),"",IF(Registro_Compras!$F$454="NOTA DE CREDITO","IGV - Cuenta Propia (Credito Fiscal)","Cuentas por Pagar Comerciales - Terceros (Emitidas)"))</f>
        <v/>
      </c>
      <c r="E4057" s="20">
        <f>""</f>
        <v/>
      </c>
      <c r="F4057" s="20">
        <f>IF($C4057="","",IF(Registro_Compras!$F$454="NOTA DE CREDITO",ROUND(ABS(Registro_Compras!$K$454*Registro_Compras!$N$454),2),IF(Registro_Compras!$F$454="RHE",(ROUND(Registro_Compras!$L$454*Registro_Compras!$N$454,2)-ROUND(Registro_Compras!$V$454*Registro_Compras!$N$454,2)),Registro_Compras!$O$454)))</f>
        <v/>
      </c>
      <c r="G4057">
        <f>IF($C4057="","",IF(Registro_Compras!$F$454="NOTA DE CREDITO","Por la nota de credito "&amp;Registro_Compras!$C$454&amp;" de "&amp;Registro_Compras!$E$454&amp;" [PATRON POR CONFIRMAR CON CONTADOR]",IF(Registro_Compras!$F$454="RHE","Por el registro del recibo por honorarios "&amp;Registro_Compras!$C$454&amp;" de "&amp;Registro_Compras!$E$454&amp;" [PATRON POR CONFIRMAR CON CONTADOR]","Por el registro de la factura "&amp;Registro_Compras!$C$454&amp;" de "&amp;Registro_Compras!$E$454)))</f>
        <v/>
      </c>
      <c r="H4057">
        <f>IF($C4057="","",Registro_Compras!$C$454)</f>
        <v/>
      </c>
    </row>
    <row r="4058">
      <c r="A4058" s="25">
        <f>IF($C4058="","",Registro_Compras!$B$454)</f>
        <v/>
      </c>
      <c r="B4058">
        <f>IF($C4058="","","C"&amp;TEXT(INT((ROW()-5)/9)+1,"000")&amp;"-2")</f>
        <v/>
      </c>
      <c r="C4058">
        <f>IF(OR(Registro_Compras!$C$454="",Registro_Compras!$O$454=""),"",IF(Registro_Compras!$AB$454="ADMINISTRATIVO","94","95"))</f>
        <v/>
      </c>
      <c r="D4058">
        <f>IF(OR(Registro_Compras!$C$454="",Registro_Compras!$O$454=""),"",IF(Registro_Compras!$AB$454="ADMINISTRATIVO","Gastos Administrativos","Gastos de Venta y Operacion"))</f>
        <v/>
      </c>
      <c r="E4058" s="20">
        <f>IF($C4058="","",IF(Registro_Compras!$F$454="NOTA DE CREDITO","",IF(Registro_Compras!$F$454="RHE",ROUND(Registro_Compras!$L$454*Registro_Compras!$N$454,2),ROUND(Registro_Compras!$J$454*Registro_Compras!$N$454,2))))</f>
        <v/>
      </c>
      <c r="F4058" s="20">
        <f>IF($C4058="","",IF(Registro_Compras!$F$454="NOTA DE CREDITO",ROUND(ABS(Registro_Compras!$J$454*Registro_Compras!$N$454),2),""))</f>
        <v/>
      </c>
      <c r="G4058">
        <f>IF($C4058="","","Por el destino del gasto")</f>
        <v/>
      </c>
      <c r="H4058">
        <f>IF($C4058="","",Registro_Compras!$C$454)</f>
        <v/>
      </c>
    </row>
    <row r="4059">
      <c r="A4059" s="25">
        <f>IF($C4059="","",Registro_Compras!$B$454)</f>
        <v/>
      </c>
      <c r="B4059">
        <f>IF($C4059="","","C"&amp;TEXT(INT((ROW()-5)/9)+1,"000")&amp;"-2")</f>
        <v/>
      </c>
      <c r="C4059">
        <f>IF(OR(Registro_Compras!$C$454="",Registro_Compras!$O$454=""),"","79/791")</f>
        <v/>
      </c>
      <c r="D4059">
        <f>IF(OR(Registro_Compras!$C$454="",Registro_Compras!$O$454=""),"","Cargas Imputables a Cuentas de Costos y Gastos")</f>
        <v/>
      </c>
      <c r="E4059" s="20">
        <f>IF($C4059="","",IF(Registro_Compras!$F$454="NOTA DE CREDITO",ROUND(ABS(Registro_Compras!$J$454*Registro_Compras!$N$454),2),""))</f>
        <v/>
      </c>
      <c r="F4059" s="20">
        <f>IF($C4059="","",IF(Registro_Compras!$F$454="NOTA DE CREDITO","",IF(Registro_Compras!$F$454="RHE",ROUND(Registro_Compras!$L$454*Registro_Compras!$N$454,2),ROUND(Registro_Compras!$J$454*Registro_Compras!$N$454,2))))</f>
        <v/>
      </c>
      <c r="G4059">
        <f>IF($C4059="","","Por el destino del gasto")</f>
        <v/>
      </c>
      <c r="H4059">
        <f>IF($C4059="","",Registro_Compras!$C$454)</f>
        <v/>
      </c>
    </row>
    <row r="4060">
      <c r="A4060" s="25">
        <f>IF($C4060="","",Registro_Compras!$X$454)</f>
        <v/>
      </c>
      <c r="B4060">
        <f>IF($C4060="","","C"&amp;TEXT(INT((ROW()-5)/9)+1,"000")&amp;"-3")</f>
        <v/>
      </c>
      <c r="C4060">
        <f>IF(OR(Registro_Compras!$C$454="",Registro_Compras!$O$454="",Registro_Compras!$R$454&lt;&gt;"SI",Registro_Compras!$X$454=""),"","4212")</f>
        <v/>
      </c>
      <c r="D4060">
        <f>IF(OR(Registro_Compras!$C$454="",Registro_Compras!$O$454=""),"","Cuentas por Pagar Comerciales - Terceros")</f>
        <v/>
      </c>
      <c r="E4060" s="20">
        <f>IF($C4060="","",Registro_Compras!$S$454)</f>
        <v/>
      </c>
      <c r="F4060" s="20">
        <f>""</f>
        <v/>
      </c>
      <c r="G4060">
        <f>IF($C4060="","","Por el deposito de la detraccion en el Banco de la Nacion")</f>
        <v/>
      </c>
      <c r="H4060">
        <f>IF($C4060="","",Registro_Compras!$C$454)</f>
        <v/>
      </c>
    </row>
    <row r="4061">
      <c r="A4061" s="25">
        <f>IF($C4061="","",Registro_Compras!$X$454)</f>
        <v/>
      </c>
      <c r="B4061">
        <f>IF($C4061="","","C"&amp;TEXT(INT((ROW()-5)/9)+1,"000")&amp;"-3")</f>
        <v/>
      </c>
      <c r="C4061">
        <f>IF(OR(Registro_Compras!$C$454="",Registro_Compras!$O$454="",Registro_Compras!$R$454&lt;&gt;"SI",Registro_Compras!$X$454=""),"","10413")</f>
        <v/>
      </c>
      <c r="D4061">
        <f>IF(OR(Registro_Compras!$C$454="",Registro_Compras!$O$454=""),"","Efectivo y Equivalentes - Cta. Cte. Operativa")</f>
        <v/>
      </c>
      <c r="E4061" s="20">
        <f>""</f>
        <v/>
      </c>
      <c r="F4061" s="20">
        <f>IF($C4061="","",Registro_Compras!$S$454)</f>
        <v/>
      </c>
      <c r="G4061">
        <f>IF($C4061="","","Por el deposito de la detraccion en el Banco de la Nacion")</f>
        <v/>
      </c>
      <c r="H4061">
        <f>IF($C4061="","",Registro_Compras!$C$454)</f>
        <v/>
      </c>
    </row>
    <row r="4062">
      <c r="A4062" s="25">
        <f>IF($C4062="","",Registro_Compras!$Y$454)</f>
        <v/>
      </c>
      <c r="B4062">
        <f>IF($C4062="","","C"&amp;TEXT(INT((ROW()-5)/9)+1,"000")&amp;"-4")</f>
        <v/>
      </c>
      <c r="C4062">
        <f>IF(OR(Registro_Compras!$C$454="",Registro_Compras!$O$454="",Registro_Compras!$Y$454="",Registro_Compras!$F$454="NOTA DE CREDITO"),"","4212")</f>
        <v/>
      </c>
      <c r="D4062">
        <f>IF(OR(Registro_Compras!$C$454="",Registro_Compras!$O$454=""),"","Cuentas por Pagar Comerciales - Terceros")</f>
        <v/>
      </c>
      <c r="E4062" s="20">
        <f>IF($C4062="","",IF(Registro_Compras!$F$454="RHE",(ROUND(Registro_Compras!$L$454*Registro_Compras!$N$454,2)-ROUND(Registro_Compras!$V$454*Registro_Compras!$N$454,2)),ROUND(Registro_Compras!$O$454-Registro_Compras!$S$454,2)))</f>
        <v/>
      </c>
      <c r="F4062" s="20">
        <f>""</f>
        <v/>
      </c>
      <c r="G4062">
        <f>IF($C4062="","","Por la cancelacion del saldo al proveedor")</f>
        <v/>
      </c>
      <c r="H4062">
        <f>IF($C4062="","",Registro_Compras!$C$454)</f>
        <v/>
      </c>
    </row>
    <row r="4063">
      <c r="A4063" s="25">
        <f>IF($C4063="","",Registro_Compras!$Y$454)</f>
        <v/>
      </c>
      <c r="B4063">
        <f>IF($C4063="","","C"&amp;TEXT(INT((ROW()-5)/9)+1,"000")&amp;"-4")</f>
        <v/>
      </c>
      <c r="C4063">
        <f>IF(OR(Registro_Compras!$C$454="",Registro_Compras!$O$454="",Registro_Compras!$Y$454="",Registro_Compras!$F$454="NOTA DE CREDITO"),"","10413")</f>
        <v/>
      </c>
      <c r="D4063">
        <f>IF(OR(Registro_Compras!$C$454="",Registro_Compras!$O$454=""),"","Efectivo y Equivalentes - Cta. Cte. Operativa")</f>
        <v/>
      </c>
      <c r="E4063" s="20">
        <f>""</f>
        <v/>
      </c>
      <c r="F4063" s="20">
        <f>IF($C4063="","",IF(Registro_Compras!$F$454="RHE",(ROUND(Registro_Compras!$L$454*Registro_Compras!$N$454,2)-ROUND(Registro_Compras!$V$454*Registro_Compras!$N$454,2)),ROUND(Registro_Compras!$O$454-Registro_Compras!$S$454,2)))</f>
        <v/>
      </c>
      <c r="G4063">
        <f>IF($C4063="","","Por la cancelacion del saldo al proveedor")</f>
        <v/>
      </c>
      <c r="H4063">
        <f>IF($C4063="","",Registro_Compras!$C$454)</f>
        <v/>
      </c>
    </row>
    <row r="4064">
      <c r="A4064" s="25">
        <f>IF($C4064="","",Registro_Compras!$B$455)</f>
        <v/>
      </c>
      <c r="B4064">
        <f>IF($C4064="","","C"&amp;TEXT(INT((ROW()-5)/9)+1,"000")&amp;"-1")</f>
        <v/>
      </c>
      <c r="C4064">
        <f>IF(OR(Registro_Compras!$C$455="",Registro_Compras!$O$455=""),"",IF(Registro_Compras!$F$455="NOTA DE CREDITO","4212",IF(Registro_Compras!$M$455="","63",Registro_Compras!$M$455)))</f>
        <v/>
      </c>
      <c r="D4064">
        <f>IF(OR(Registro_Compras!$C$455="",Registro_Compras!$O$455=""),"",IF(Registro_Compras!$F$455="NOTA DE CREDITO","Cuentas por Pagar Comerciales - Terceros (Emitidas)",IF(Registro_Compras!$F$455="RHE","Honorarios Profesionales - Servicios de Terceros","Gastos de Servicios Prestados por Terceros")))</f>
        <v/>
      </c>
      <c r="E4064" s="20">
        <f>IF($C4064="","",IF(Registro_Compras!$F$455="NOTA DE CREDITO",ABS(Registro_Compras!$O$455),IF(Registro_Compras!$F$455="RHE",ROUND(Registro_Compras!$L$455*Registro_Compras!$N$455,2),ROUND(Registro_Compras!$J$455*Registro_Compras!$N$455,2))))</f>
        <v/>
      </c>
      <c r="F4064" s="20">
        <f>""</f>
        <v/>
      </c>
      <c r="G4064">
        <f>IF($C4064="","",IF(Registro_Compras!$F$455="NOTA DE CREDITO","Por la nota de credito "&amp;Registro_Compras!$C$455&amp;" de "&amp;Registro_Compras!$E$455&amp;" [PATRON POR CONFIRMAR CON CONTADOR]",IF(Registro_Compras!$F$455="RHE","Por el registro del recibo por honorarios "&amp;Registro_Compras!$C$455&amp;" de "&amp;Registro_Compras!$E$455&amp;" [PATRON POR CONFIRMAR CON CONTADOR]","Por el registro de la factura "&amp;Registro_Compras!$C$455&amp;" de "&amp;Registro_Compras!$E$455)))</f>
        <v/>
      </c>
      <c r="H4064">
        <f>IF($C4064="","",Registro_Compras!$C$455)</f>
        <v/>
      </c>
    </row>
    <row r="4065">
      <c r="A4065" s="25">
        <f>IF($C4065="","",Registro_Compras!$B$455)</f>
        <v/>
      </c>
      <c r="B4065">
        <f>IF($C4065="","","C"&amp;TEXT(INT((ROW()-5)/9)+1,"000")&amp;"-1")</f>
        <v/>
      </c>
      <c r="C4065">
        <f>IF(OR(Registro_Compras!$C$455="",Registro_Compras!$O$455=""),"",IF(Registro_Compras!$F$455="RHE",IF(Registro_Compras!$V$455=0,"","40172"),IF(Registro_Compras!$F$455="NOTA DE CREDITO",IF(Registro_Compras!$M$455="","63",Registro_Compras!$M$455),IF(Registro_Compras!$K$455=0,"","40111"))))</f>
        <v/>
      </c>
      <c r="D4065">
        <f>IF(OR(Registro_Compras!$C$455="",Registro_Compras!$O$455=""),"",IF(Registro_Compras!$F$455="RHE","Retencion Renta 4ta Categoria por Pagar",IF(Registro_Compras!$F$455="NOTA DE CREDITO","Gastos de Servicios Prestados por Terceros","IGV - Cuenta Propia (Credito Fiscal)")))</f>
        <v/>
      </c>
      <c r="E4065" s="20">
        <f>IF($C4065="","",IF(Registro_Compras!$F$455="FACTURA",ROUND(Registro_Compras!$K$455*Registro_Compras!$N$455,2),""))</f>
        <v/>
      </c>
      <c r="F4065" s="20">
        <f>IF($C4065="","",IF(Registro_Compras!$F$455="RHE",ROUND(Registro_Compras!$V$455*Registro_Compras!$N$455,2),IF(Registro_Compras!$F$455="NOTA DE CREDITO",ROUND(ABS(Registro_Compras!$J$455*Registro_Compras!$N$455),2),"")))</f>
        <v/>
      </c>
      <c r="G4065">
        <f>IF($C4065="","",IF(Registro_Compras!$F$455="NOTA DE CREDITO","Por la nota de credito "&amp;Registro_Compras!$C$455&amp;" de "&amp;Registro_Compras!$E$455&amp;" [PATRON POR CONFIRMAR CON CONTADOR]",IF(Registro_Compras!$F$455="RHE","Por el registro del recibo por honorarios "&amp;Registro_Compras!$C$455&amp;" de "&amp;Registro_Compras!$E$455&amp;" [PATRON POR CONFIRMAR CON CONTADOR]","Por el registro de la factura "&amp;Registro_Compras!$C$455&amp;" de "&amp;Registro_Compras!$E$455)))</f>
        <v/>
      </c>
      <c r="H4065">
        <f>IF($C4065="","",Registro_Compras!$C$455)</f>
        <v/>
      </c>
    </row>
    <row r="4066">
      <c r="A4066" s="25">
        <f>IF($C4066="","",Registro_Compras!$B$455)</f>
        <v/>
      </c>
      <c r="B4066">
        <f>IF($C4066="","","C"&amp;TEXT(INT((ROW()-5)/9)+1,"000")&amp;"-1")</f>
        <v/>
      </c>
      <c r="C4066">
        <f>IF(OR(Registro_Compras!$C$455="",Registro_Compras!$O$455=""),"",IF(Registro_Compras!$F$455="NOTA DE CREDITO",IF(Registro_Compras!$K$455=0,"","40111"),"4212"))</f>
        <v/>
      </c>
      <c r="D4066">
        <f>IF(OR(Registro_Compras!$C$455="",Registro_Compras!$O$455=""),"",IF(Registro_Compras!$F$455="NOTA DE CREDITO","IGV - Cuenta Propia (Credito Fiscal)","Cuentas por Pagar Comerciales - Terceros (Emitidas)"))</f>
        <v/>
      </c>
      <c r="E4066" s="20">
        <f>""</f>
        <v/>
      </c>
      <c r="F4066" s="20">
        <f>IF($C4066="","",IF(Registro_Compras!$F$455="NOTA DE CREDITO",ROUND(ABS(Registro_Compras!$K$455*Registro_Compras!$N$455),2),IF(Registro_Compras!$F$455="RHE",(ROUND(Registro_Compras!$L$455*Registro_Compras!$N$455,2)-ROUND(Registro_Compras!$V$455*Registro_Compras!$N$455,2)),Registro_Compras!$O$455)))</f>
        <v/>
      </c>
      <c r="G4066">
        <f>IF($C4066="","",IF(Registro_Compras!$F$455="NOTA DE CREDITO","Por la nota de credito "&amp;Registro_Compras!$C$455&amp;" de "&amp;Registro_Compras!$E$455&amp;" [PATRON POR CONFIRMAR CON CONTADOR]",IF(Registro_Compras!$F$455="RHE","Por el registro del recibo por honorarios "&amp;Registro_Compras!$C$455&amp;" de "&amp;Registro_Compras!$E$455&amp;" [PATRON POR CONFIRMAR CON CONTADOR]","Por el registro de la factura "&amp;Registro_Compras!$C$455&amp;" de "&amp;Registro_Compras!$E$455)))</f>
        <v/>
      </c>
      <c r="H4066">
        <f>IF($C4066="","",Registro_Compras!$C$455)</f>
        <v/>
      </c>
    </row>
    <row r="4067">
      <c r="A4067" s="25">
        <f>IF($C4067="","",Registro_Compras!$B$455)</f>
        <v/>
      </c>
      <c r="B4067">
        <f>IF($C4067="","","C"&amp;TEXT(INT((ROW()-5)/9)+1,"000")&amp;"-2")</f>
        <v/>
      </c>
      <c r="C4067">
        <f>IF(OR(Registro_Compras!$C$455="",Registro_Compras!$O$455=""),"",IF(Registro_Compras!$AB$455="ADMINISTRATIVO","94","95"))</f>
        <v/>
      </c>
      <c r="D4067">
        <f>IF(OR(Registro_Compras!$C$455="",Registro_Compras!$O$455=""),"",IF(Registro_Compras!$AB$455="ADMINISTRATIVO","Gastos Administrativos","Gastos de Venta y Operacion"))</f>
        <v/>
      </c>
      <c r="E4067" s="20">
        <f>IF($C4067="","",IF(Registro_Compras!$F$455="NOTA DE CREDITO","",IF(Registro_Compras!$F$455="RHE",ROUND(Registro_Compras!$L$455*Registro_Compras!$N$455,2),ROUND(Registro_Compras!$J$455*Registro_Compras!$N$455,2))))</f>
        <v/>
      </c>
      <c r="F4067" s="20">
        <f>IF($C4067="","",IF(Registro_Compras!$F$455="NOTA DE CREDITO",ROUND(ABS(Registro_Compras!$J$455*Registro_Compras!$N$455),2),""))</f>
        <v/>
      </c>
      <c r="G4067">
        <f>IF($C4067="","","Por el destino del gasto")</f>
        <v/>
      </c>
      <c r="H4067">
        <f>IF($C4067="","",Registro_Compras!$C$455)</f>
        <v/>
      </c>
    </row>
    <row r="4068">
      <c r="A4068" s="25">
        <f>IF($C4068="","",Registro_Compras!$B$455)</f>
        <v/>
      </c>
      <c r="B4068">
        <f>IF($C4068="","","C"&amp;TEXT(INT((ROW()-5)/9)+1,"000")&amp;"-2")</f>
        <v/>
      </c>
      <c r="C4068">
        <f>IF(OR(Registro_Compras!$C$455="",Registro_Compras!$O$455=""),"","79/791")</f>
        <v/>
      </c>
      <c r="D4068">
        <f>IF(OR(Registro_Compras!$C$455="",Registro_Compras!$O$455=""),"","Cargas Imputables a Cuentas de Costos y Gastos")</f>
        <v/>
      </c>
      <c r="E4068" s="20">
        <f>IF($C4068="","",IF(Registro_Compras!$F$455="NOTA DE CREDITO",ROUND(ABS(Registro_Compras!$J$455*Registro_Compras!$N$455),2),""))</f>
        <v/>
      </c>
      <c r="F4068" s="20">
        <f>IF($C4068="","",IF(Registro_Compras!$F$455="NOTA DE CREDITO","",IF(Registro_Compras!$F$455="RHE",ROUND(Registro_Compras!$L$455*Registro_Compras!$N$455,2),ROUND(Registro_Compras!$J$455*Registro_Compras!$N$455,2))))</f>
        <v/>
      </c>
      <c r="G4068">
        <f>IF($C4068="","","Por el destino del gasto")</f>
        <v/>
      </c>
      <c r="H4068">
        <f>IF($C4068="","",Registro_Compras!$C$455)</f>
        <v/>
      </c>
    </row>
    <row r="4069">
      <c r="A4069" s="25">
        <f>IF($C4069="","",Registro_Compras!$X$455)</f>
        <v/>
      </c>
      <c r="B4069">
        <f>IF($C4069="","","C"&amp;TEXT(INT((ROW()-5)/9)+1,"000")&amp;"-3")</f>
        <v/>
      </c>
      <c r="C4069">
        <f>IF(OR(Registro_Compras!$C$455="",Registro_Compras!$O$455="",Registro_Compras!$R$455&lt;&gt;"SI",Registro_Compras!$X$455=""),"","4212")</f>
        <v/>
      </c>
      <c r="D4069">
        <f>IF(OR(Registro_Compras!$C$455="",Registro_Compras!$O$455=""),"","Cuentas por Pagar Comerciales - Terceros")</f>
        <v/>
      </c>
      <c r="E4069" s="20">
        <f>IF($C4069="","",Registro_Compras!$S$455)</f>
        <v/>
      </c>
      <c r="F4069" s="20">
        <f>""</f>
        <v/>
      </c>
      <c r="G4069">
        <f>IF($C4069="","","Por el deposito de la detraccion en el Banco de la Nacion")</f>
        <v/>
      </c>
      <c r="H4069">
        <f>IF($C4069="","",Registro_Compras!$C$455)</f>
        <v/>
      </c>
    </row>
    <row r="4070">
      <c r="A4070" s="25">
        <f>IF($C4070="","",Registro_Compras!$X$455)</f>
        <v/>
      </c>
      <c r="B4070">
        <f>IF($C4070="","","C"&amp;TEXT(INT((ROW()-5)/9)+1,"000")&amp;"-3")</f>
        <v/>
      </c>
      <c r="C4070">
        <f>IF(OR(Registro_Compras!$C$455="",Registro_Compras!$O$455="",Registro_Compras!$R$455&lt;&gt;"SI",Registro_Compras!$X$455=""),"","10413")</f>
        <v/>
      </c>
      <c r="D4070">
        <f>IF(OR(Registro_Compras!$C$455="",Registro_Compras!$O$455=""),"","Efectivo y Equivalentes - Cta. Cte. Operativa")</f>
        <v/>
      </c>
      <c r="E4070" s="20">
        <f>""</f>
        <v/>
      </c>
      <c r="F4070" s="20">
        <f>IF($C4070="","",Registro_Compras!$S$455)</f>
        <v/>
      </c>
      <c r="G4070">
        <f>IF($C4070="","","Por el deposito de la detraccion en el Banco de la Nacion")</f>
        <v/>
      </c>
      <c r="H4070">
        <f>IF($C4070="","",Registro_Compras!$C$455)</f>
        <v/>
      </c>
    </row>
    <row r="4071">
      <c r="A4071" s="25">
        <f>IF($C4071="","",Registro_Compras!$Y$455)</f>
        <v/>
      </c>
      <c r="B4071">
        <f>IF($C4071="","","C"&amp;TEXT(INT((ROW()-5)/9)+1,"000")&amp;"-4")</f>
        <v/>
      </c>
      <c r="C4071">
        <f>IF(OR(Registro_Compras!$C$455="",Registro_Compras!$O$455="",Registro_Compras!$Y$455="",Registro_Compras!$F$455="NOTA DE CREDITO"),"","4212")</f>
        <v/>
      </c>
      <c r="D4071">
        <f>IF(OR(Registro_Compras!$C$455="",Registro_Compras!$O$455=""),"","Cuentas por Pagar Comerciales - Terceros")</f>
        <v/>
      </c>
      <c r="E4071" s="20">
        <f>IF($C4071="","",IF(Registro_Compras!$F$455="RHE",(ROUND(Registro_Compras!$L$455*Registro_Compras!$N$455,2)-ROUND(Registro_Compras!$V$455*Registro_Compras!$N$455,2)),ROUND(Registro_Compras!$O$455-Registro_Compras!$S$455,2)))</f>
        <v/>
      </c>
      <c r="F4071" s="20">
        <f>""</f>
        <v/>
      </c>
      <c r="G4071">
        <f>IF($C4071="","","Por la cancelacion del saldo al proveedor")</f>
        <v/>
      </c>
      <c r="H4071">
        <f>IF($C4071="","",Registro_Compras!$C$455)</f>
        <v/>
      </c>
    </row>
    <row r="4072">
      <c r="A4072" s="25">
        <f>IF($C4072="","",Registro_Compras!$Y$455)</f>
        <v/>
      </c>
      <c r="B4072">
        <f>IF($C4072="","","C"&amp;TEXT(INT((ROW()-5)/9)+1,"000")&amp;"-4")</f>
        <v/>
      </c>
      <c r="C4072">
        <f>IF(OR(Registro_Compras!$C$455="",Registro_Compras!$O$455="",Registro_Compras!$Y$455="",Registro_Compras!$F$455="NOTA DE CREDITO"),"","10413")</f>
        <v/>
      </c>
      <c r="D4072">
        <f>IF(OR(Registro_Compras!$C$455="",Registro_Compras!$O$455=""),"","Efectivo y Equivalentes - Cta. Cte. Operativa")</f>
        <v/>
      </c>
      <c r="E4072" s="20">
        <f>""</f>
        <v/>
      </c>
      <c r="F4072" s="20">
        <f>IF($C4072="","",IF(Registro_Compras!$F$455="RHE",(ROUND(Registro_Compras!$L$455*Registro_Compras!$N$455,2)-ROUND(Registro_Compras!$V$455*Registro_Compras!$N$455,2)),ROUND(Registro_Compras!$O$455-Registro_Compras!$S$455,2)))</f>
        <v/>
      </c>
      <c r="G4072">
        <f>IF($C4072="","","Por la cancelacion del saldo al proveedor")</f>
        <v/>
      </c>
      <c r="H4072">
        <f>IF($C4072="","",Registro_Compras!$C$455)</f>
        <v/>
      </c>
    </row>
    <row r="4073">
      <c r="A4073" s="25">
        <f>IF($C4073="","",Registro_Compras!$B$456)</f>
        <v/>
      </c>
      <c r="B4073">
        <f>IF($C4073="","","C"&amp;TEXT(INT((ROW()-5)/9)+1,"000")&amp;"-1")</f>
        <v/>
      </c>
      <c r="C4073">
        <f>IF(OR(Registro_Compras!$C$456="",Registro_Compras!$O$456=""),"",IF(Registro_Compras!$F$456="NOTA DE CREDITO","4212",IF(Registro_Compras!$M$456="","63",Registro_Compras!$M$456)))</f>
        <v/>
      </c>
      <c r="D4073">
        <f>IF(OR(Registro_Compras!$C$456="",Registro_Compras!$O$456=""),"",IF(Registro_Compras!$F$456="NOTA DE CREDITO","Cuentas por Pagar Comerciales - Terceros (Emitidas)",IF(Registro_Compras!$F$456="RHE","Honorarios Profesionales - Servicios de Terceros","Gastos de Servicios Prestados por Terceros")))</f>
        <v/>
      </c>
      <c r="E4073" s="20">
        <f>IF($C4073="","",IF(Registro_Compras!$F$456="NOTA DE CREDITO",ABS(Registro_Compras!$O$456),IF(Registro_Compras!$F$456="RHE",ROUND(Registro_Compras!$L$456*Registro_Compras!$N$456,2),ROUND(Registro_Compras!$J$456*Registro_Compras!$N$456,2))))</f>
        <v/>
      </c>
      <c r="F4073" s="20">
        <f>""</f>
        <v/>
      </c>
      <c r="G4073">
        <f>IF($C4073="","",IF(Registro_Compras!$F$456="NOTA DE CREDITO","Por la nota de credito "&amp;Registro_Compras!$C$456&amp;" de "&amp;Registro_Compras!$E$456&amp;" [PATRON POR CONFIRMAR CON CONTADOR]",IF(Registro_Compras!$F$456="RHE","Por el registro del recibo por honorarios "&amp;Registro_Compras!$C$456&amp;" de "&amp;Registro_Compras!$E$456&amp;" [PATRON POR CONFIRMAR CON CONTADOR]","Por el registro de la factura "&amp;Registro_Compras!$C$456&amp;" de "&amp;Registro_Compras!$E$456)))</f>
        <v/>
      </c>
      <c r="H4073">
        <f>IF($C4073="","",Registro_Compras!$C$456)</f>
        <v/>
      </c>
    </row>
    <row r="4074">
      <c r="A4074" s="25">
        <f>IF($C4074="","",Registro_Compras!$B$456)</f>
        <v/>
      </c>
      <c r="B4074">
        <f>IF($C4074="","","C"&amp;TEXT(INT((ROW()-5)/9)+1,"000")&amp;"-1")</f>
        <v/>
      </c>
      <c r="C4074">
        <f>IF(OR(Registro_Compras!$C$456="",Registro_Compras!$O$456=""),"",IF(Registro_Compras!$F$456="RHE",IF(Registro_Compras!$V$456=0,"","40172"),IF(Registro_Compras!$F$456="NOTA DE CREDITO",IF(Registro_Compras!$M$456="","63",Registro_Compras!$M$456),IF(Registro_Compras!$K$456=0,"","40111"))))</f>
        <v/>
      </c>
      <c r="D4074">
        <f>IF(OR(Registro_Compras!$C$456="",Registro_Compras!$O$456=""),"",IF(Registro_Compras!$F$456="RHE","Retencion Renta 4ta Categoria por Pagar",IF(Registro_Compras!$F$456="NOTA DE CREDITO","Gastos de Servicios Prestados por Terceros","IGV - Cuenta Propia (Credito Fiscal)")))</f>
        <v/>
      </c>
      <c r="E4074" s="20">
        <f>IF($C4074="","",IF(Registro_Compras!$F$456="FACTURA",ROUND(Registro_Compras!$K$456*Registro_Compras!$N$456,2),""))</f>
        <v/>
      </c>
      <c r="F4074" s="20">
        <f>IF($C4074="","",IF(Registro_Compras!$F$456="RHE",ROUND(Registro_Compras!$V$456*Registro_Compras!$N$456,2),IF(Registro_Compras!$F$456="NOTA DE CREDITO",ROUND(ABS(Registro_Compras!$J$456*Registro_Compras!$N$456),2),"")))</f>
        <v/>
      </c>
      <c r="G4074">
        <f>IF($C4074="","",IF(Registro_Compras!$F$456="NOTA DE CREDITO","Por la nota de credito "&amp;Registro_Compras!$C$456&amp;" de "&amp;Registro_Compras!$E$456&amp;" [PATRON POR CONFIRMAR CON CONTADOR]",IF(Registro_Compras!$F$456="RHE","Por el registro del recibo por honorarios "&amp;Registro_Compras!$C$456&amp;" de "&amp;Registro_Compras!$E$456&amp;" [PATRON POR CONFIRMAR CON CONTADOR]","Por el registro de la factura "&amp;Registro_Compras!$C$456&amp;" de "&amp;Registro_Compras!$E$456)))</f>
        <v/>
      </c>
      <c r="H4074">
        <f>IF($C4074="","",Registro_Compras!$C$456)</f>
        <v/>
      </c>
    </row>
    <row r="4075">
      <c r="A4075" s="25">
        <f>IF($C4075="","",Registro_Compras!$B$456)</f>
        <v/>
      </c>
      <c r="B4075">
        <f>IF($C4075="","","C"&amp;TEXT(INT((ROW()-5)/9)+1,"000")&amp;"-1")</f>
        <v/>
      </c>
      <c r="C4075">
        <f>IF(OR(Registro_Compras!$C$456="",Registro_Compras!$O$456=""),"",IF(Registro_Compras!$F$456="NOTA DE CREDITO",IF(Registro_Compras!$K$456=0,"","40111"),"4212"))</f>
        <v/>
      </c>
      <c r="D4075">
        <f>IF(OR(Registro_Compras!$C$456="",Registro_Compras!$O$456=""),"",IF(Registro_Compras!$F$456="NOTA DE CREDITO","IGV - Cuenta Propia (Credito Fiscal)","Cuentas por Pagar Comerciales - Terceros (Emitidas)"))</f>
        <v/>
      </c>
      <c r="E4075" s="20">
        <f>""</f>
        <v/>
      </c>
      <c r="F4075" s="20">
        <f>IF($C4075="","",IF(Registro_Compras!$F$456="NOTA DE CREDITO",ROUND(ABS(Registro_Compras!$K$456*Registro_Compras!$N$456),2),IF(Registro_Compras!$F$456="RHE",(ROUND(Registro_Compras!$L$456*Registro_Compras!$N$456,2)-ROUND(Registro_Compras!$V$456*Registro_Compras!$N$456,2)),Registro_Compras!$O$456)))</f>
        <v/>
      </c>
      <c r="G4075">
        <f>IF($C4075="","",IF(Registro_Compras!$F$456="NOTA DE CREDITO","Por la nota de credito "&amp;Registro_Compras!$C$456&amp;" de "&amp;Registro_Compras!$E$456&amp;" [PATRON POR CONFIRMAR CON CONTADOR]",IF(Registro_Compras!$F$456="RHE","Por el registro del recibo por honorarios "&amp;Registro_Compras!$C$456&amp;" de "&amp;Registro_Compras!$E$456&amp;" [PATRON POR CONFIRMAR CON CONTADOR]","Por el registro de la factura "&amp;Registro_Compras!$C$456&amp;" de "&amp;Registro_Compras!$E$456)))</f>
        <v/>
      </c>
      <c r="H4075">
        <f>IF($C4075="","",Registro_Compras!$C$456)</f>
        <v/>
      </c>
    </row>
    <row r="4076">
      <c r="A4076" s="25">
        <f>IF($C4076="","",Registro_Compras!$B$456)</f>
        <v/>
      </c>
      <c r="B4076">
        <f>IF($C4076="","","C"&amp;TEXT(INT((ROW()-5)/9)+1,"000")&amp;"-2")</f>
        <v/>
      </c>
      <c r="C4076">
        <f>IF(OR(Registro_Compras!$C$456="",Registro_Compras!$O$456=""),"",IF(Registro_Compras!$AB$456="ADMINISTRATIVO","94","95"))</f>
        <v/>
      </c>
      <c r="D4076">
        <f>IF(OR(Registro_Compras!$C$456="",Registro_Compras!$O$456=""),"",IF(Registro_Compras!$AB$456="ADMINISTRATIVO","Gastos Administrativos","Gastos de Venta y Operacion"))</f>
        <v/>
      </c>
      <c r="E4076" s="20">
        <f>IF($C4076="","",IF(Registro_Compras!$F$456="NOTA DE CREDITO","",IF(Registro_Compras!$F$456="RHE",ROUND(Registro_Compras!$L$456*Registro_Compras!$N$456,2),ROUND(Registro_Compras!$J$456*Registro_Compras!$N$456,2))))</f>
        <v/>
      </c>
      <c r="F4076" s="20">
        <f>IF($C4076="","",IF(Registro_Compras!$F$456="NOTA DE CREDITO",ROUND(ABS(Registro_Compras!$J$456*Registro_Compras!$N$456),2),""))</f>
        <v/>
      </c>
      <c r="G4076">
        <f>IF($C4076="","","Por el destino del gasto")</f>
        <v/>
      </c>
      <c r="H4076">
        <f>IF($C4076="","",Registro_Compras!$C$456)</f>
        <v/>
      </c>
    </row>
    <row r="4077">
      <c r="A4077" s="25">
        <f>IF($C4077="","",Registro_Compras!$B$456)</f>
        <v/>
      </c>
      <c r="B4077">
        <f>IF($C4077="","","C"&amp;TEXT(INT((ROW()-5)/9)+1,"000")&amp;"-2")</f>
        <v/>
      </c>
      <c r="C4077">
        <f>IF(OR(Registro_Compras!$C$456="",Registro_Compras!$O$456=""),"","79/791")</f>
        <v/>
      </c>
      <c r="D4077">
        <f>IF(OR(Registro_Compras!$C$456="",Registro_Compras!$O$456=""),"","Cargas Imputables a Cuentas de Costos y Gastos")</f>
        <v/>
      </c>
      <c r="E4077" s="20">
        <f>IF($C4077="","",IF(Registro_Compras!$F$456="NOTA DE CREDITO",ROUND(ABS(Registro_Compras!$J$456*Registro_Compras!$N$456),2),""))</f>
        <v/>
      </c>
      <c r="F4077" s="20">
        <f>IF($C4077="","",IF(Registro_Compras!$F$456="NOTA DE CREDITO","",IF(Registro_Compras!$F$456="RHE",ROUND(Registro_Compras!$L$456*Registro_Compras!$N$456,2),ROUND(Registro_Compras!$J$456*Registro_Compras!$N$456,2))))</f>
        <v/>
      </c>
      <c r="G4077">
        <f>IF($C4077="","","Por el destino del gasto")</f>
        <v/>
      </c>
      <c r="H4077">
        <f>IF($C4077="","",Registro_Compras!$C$456)</f>
        <v/>
      </c>
    </row>
    <row r="4078">
      <c r="A4078" s="25">
        <f>IF($C4078="","",Registro_Compras!$X$456)</f>
        <v/>
      </c>
      <c r="B4078">
        <f>IF($C4078="","","C"&amp;TEXT(INT((ROW()-5)/9)+1,"000")&amp;"-3")</f>
        <v/>
      </c>
      <c r="C4078">
        <f>IF(OR(Registro_Compras!$C$456="",Registro_Compras!$O$456="",Registro_Compras!$R$456&lt;&gt;"SI",Registro_Compras!$X$456=""),"","4212")</f>
        <v/>
      </c>
      <c r="D4078">
        <f>IF(OR(Registro_Compras!$C$456="",Registro_Compras!$O$456=""),"","Cuentas por Pagar Comerciales - Terceros")</f>
        <v/>
      </c>
      <c r="E4078" s="20">
        <f>IF($C4078="","",Registro_Compras!$S$456)</f>
        <v/>
      </c>
      <c r="F4078" s="20">
        <f>""</f>
        <v/>
      </c>
      <c r="G4078">
        <f>IF($C4078="","","Por el deposito de la detraccion en el Banco de la Nacion")</f>
        <v/>
      </c>
      <c r="H4078">
        <f>IF($C4078="","",Registro_Compras!$C$456)</f>
        <v/>
      </c>
    </row>
    <row r="4079">
      <c r="A4079" s="25">
        <f>IF($C4079="","",Registro_Compras!$X$456)</f>
        <v/>
      </c>
      <c r="B4079">
        <f>IF($C4079="","","C"&amp;TEXT(INT((ROW()-5)/9)+1,"000")&amp;"-3")</f>
        <v/>
      </c>
      <c r="C4079">
        <f>IF(OR(Registro_Compras!$C$456="",Registro_Compras!$O$456="",Registro_Compras!$R$456&lt;&gt;"SI",Registro_Compras!$X$456=""),"","10413")</f>
        <v/>
      </c>
      <c r="D4079">
        <f>IF(OR(Registro_Compras!$C$456="",Registro_Compras!$O$456=""),"","Efectivo y Equivalentes - Cta. Cte. Operativa")</f>
        <v/>
      </c>
      <c r="E4079" s="20">
        <f>""</f>
        <v/>
      </c>
      <c r="F4079" s="20">
        <f>IF($C4079="","",Registro_Compras!$S$456)</f>
        <v/>
      </c>
      <c r="G4079">
        <f>IF($C4079="","","Por el deposito de la detraccion en el Banco de la Nacion")</f>
        <v/>
      </c>
      <c r="H4079">
        <f>IF($C4079="","",Registro_Compras!$C$456)</f>
        <v/>
      </c>
    </row>
    <row r="4080">
      <c r="A4080" s="25">
        <f>IF($C4080="","",Registro_Compras!$Y$456)</f>
        <v/>
      </c>
      <c r="B4080">
        <f>IF($C4080="","","C"&amp;TEXT(INT((ROW()-5)/9)+1,"000")&amp;"-4")</f>
        <v/>
      </c>
      <c r="C4080">
        <f>IF(OR(Registro_Compras!$C$456="",Registro_Compras!$O$456="",Registro_Compras!$Y$456="",Registro_Compras!$F$456="NOTA DE CREDITO"),"","4212")</f>
        <v/>
      </c>
      <c r="D4080">
        <f>IF(OR(Registro_Compras!$C$456="",Registro_Compras!$O$456=""),"","Cuentas por Pagar Comerciales - Terceros")</f>
        <v/>
      </c>
      <c r="E4080" s="20">
        <f>IF($C4080="","",IF(Registro_Compras!$F$456="RHE",(ROUND(Registro_Compras!$L$456*Registro_Compras!$N$456,2)-ROUND(Registro_Compras!$V$456*Registro_Compras!$N$456,2)),ROUND(Registro_Compras!$O$456-Registro_Compras!$S$456,2)))</f>
        <v/>
      </c>
      <c r="F4080" s="20">
        <f>""</f>
        <v/>
      </c>
      <c r="G4080">
        <f>IF($C4080="","","Por la cancelacion del saldo al proveedor")</f>
        <v/>
      </c>
      <c r="H4080">
        <f>IF($C4080="","",Registro_Compras!$C$456)</f>
        <v/>
      </c>
    </row>
    <row r="4081">
      <c r="A4081" s="25">
        <f>IF($C4081="","",Registro_Compras!$Y$456)</f>
        <v/>
      </c>
      <c r="B4081">
        <f>IF($C4081="","","C"&amp;TEXT(INT((ROW()-5)/9)+1,"000")&amp;"-4")</f>
        <v/>
      </c>
      <c r="C4081">
        <f>IF(OR(Registro_Compras!$C$456="",Registro_Compras!$O$456="",Registro_Compras!$Y$456="",Registro_Compras!$F$456="NOTA DE CREDITO"),"","10413")</f>
        <v/>
      </c>
      <c r="D4081">
        <f>IF(OR(Registro_Compras!$C$456="",Registro_Compras!$O$456=""),"","Efectivo y Equivalentes - Cta. Cte. Operativa")</f>
        <v/>
      </c>
      <c r="E4081" s="20">
        <f>""</f>
        <v/>
      </c>
      <c r="F4081" s="20">
        <f>IF($C4081="","",IF(Registro_Compras!$F$456="RHE",(ROUND(Registro_Compras!$L$456*Registro_Compras!$N$456,2)-ROUND(Registro_Compras!$V$456*Registro_Compras!$N$456,2)),ROUND(Registro_Compras!$O$456-Registro_Compras!$S$456,2)))</f>
        <v/>
      </c>
      <c r="G4081">
        <f>IF($C4081="","","Por la cancelacion del saldo al proveedor")</f>
        <v/>
      </c>
      <c r="H4081">
        <f>IF($C4081="","",Registro_Compras!$C$456)</f>
        <v/>
      </c>
    </row>
    <row r="4082">
      <c r="A4082" s="25">
        <f>IF($C4082="","",Registro_Compras!$B$457)</f>
        <v/>
      </c>
      <c r="B4082">
        <f>IF($C4082="","","C"&amp;TEXT(INT((ROW()-5)/9)+1,"000")&amp;"-1")</f>
        <v/>
      </c>
      <c r="C4082">
        <f>IF(OR(Registro_Compras!$C$457="",Registro_Compras!$O$457=""),"",IF(Registro_Compras!$F$457="NOTA DE CREDITO","4212",IF(Registro_Compras!$M$457="","63",Registro_Compras!$M$457)))</f>
        <v/>
      </c>
      <c r="D4082">
        <f>IF(OR(Registro_Compras!$C$457="",Registro_Compras!$O$457=""),"",IF(Registro_Compras!$F$457="NOTA DE CREDITO","Cuentas por Pagar Comerciales - Terceros (Emitidas)",IF(Registro_Compras!$F$457="RHE","Honorarios Profesionales - Servicios de Terceros","Gastos de Servicios Prestados por Terceros")))</f>
        <v/>
      </c>
      <c r="E4082" s="20">
        <f>IF($C4082="","",IF(Registro_Compras!$F$457="NOTA DE CREDITO",ABS(Registro_Compras!$O$457),IF(Registro_Compras!$F$457="RHE",ROUND(Registro_Compras!$L$457*Registro_Compras!$N$457,2),ROUND(Registro_Compras!$J$457*Registro_Compras!$N$457,2))))</f>
        <v/>
      </c>
      <c r="F4082" s="20">
        <f>""</f>
        <v/>
      </c>
      <c r="G4082">
        <f>IF($C4082="","",IF(Registro_Compras!$F$457="NOTA DE CREDITO","Por la nota de credito "&amp;Registro_Compras!$C$457&amp;" de "&amp;Registro_Compras!$E$457&amp;" [PATRON POR CONFIRMAR CON CONTADOR]",IF(Registro_Compras!$F$457="RHE","Por el registro del recibo por honorarios "&amp;Registro_Compras!$C$457&amp;" de "&amp;Registro_Compras!$E$457&amp;" [PATRON POR CONFIRMAR CON CONTADOR]","Por el registro de la factura "&amp;Registro_Compras!$C$457&amp;" de "&amp;Registro_Compras!$E$457)))</f>
        <v/>
      </c>
      <c r="H4082">
        <f>IF($C4082="","",Registro_Compras!$C$457)</f>
        <v/>
      </c>
    </row>
    <row r="4083">
      <c r="A4083" s="25">
        <f>IF($C4083="","",Registro_Compras!$B$457)</f>
        <v/>
      </c>
      <c r="B4083">
        <f>IF($C4083="","","C"&amp;TEXT(INT((ROW()-5)/9)+1,"000")&amp;"-1")</f>
        <v/>
      </c>
      <c r="C4083">
        <f>IF(OR(Registro_Compras!$C$457="",Registro_Compras!$O$457=""),"",IF(Registro_Compras!$F$457="RHE",IF(Registro_Compras!$V$457=0,"","40172"),IF(Registro_Compras!$F$457="NOTA DE CREDITO",IF(Registro_Compras!$M$457="","63",Registro_Compras!$M$457),IF(Registro_Compras!$K$457=0,"","40111"))))</f>
        <v/>
      </c>
      <c r="D4083">
        <f>IF(OR(Registro_Compras!$C$457="",Registro_Compras!$O$457=""),"",IF(Registro_Compras!$F$457="RHE","Retencion Renta 4ta Categoria por Pagar",IF(Registro_Compras!$F$457="NOTA DE CREDITO","Gastos de Servicios Prestados por Terceros","IGV - Cuenta Propia (Credito Fiscal)")))</f>
        <v/>
      </c>
      <c r="E4083" s="20">
        <f>IF($C4083="","",IF(Registro_Compras!$F$457="FACTURA",ROUND(Registro_Compras!$K$457*Registro_Compras!$N$457,2),""))</f>
        <v/>
      </c>
      <c r="F4083" s="20">
        <f>IF($C4083="","",IF(Registro_Compras!$F$457="RHE",ROUND(Registro_Compras!$V$457*Registro_Compras!$N$457,2),IF(Registro_Compras!$F$457="NOTA DE CREDITO",ROUND(ABS(Registro_Compras!$J$457*Registro_Compras!$N$457),2),"")))</f>
        <v/>
      </c>
      <c r="G4083">
        <f>IF($C4083="","",IF(Registro_Compras!$F$457="NOTA DE CREDITO","Por la nota de credito "&amp;Registro_Compras!$C$457&amp;" de "&amp;Registro_Compras!$E$457&amp;" [PATRON POR CONFIRMAR CON CONTADOR]",IF(Registro_Compras!$F$457="RHE","Por el registro del recibo por honorarios "&amp;Registro_Compras!$C$457&amp;" de "&amp;Registro_Compras!$E$457&amp;" [PATRON POR CONFIRMAR CON CONTADOR]","Por el registro de la factura "&amp;Registro_Compras!$C$457&amp;" de "&amp;Registro_Compras!$E$457)))</f>
        <v/>
      </c>
      <c r="H4083">
        <f>IF($C4083="","",Registro_Compras!$C$457)</f>
        <v/>
      </c>
    </row>
    <row r="4084">
      <c r="A4084" s="25">
        <f>IF($C4084="","",Registro_Compras!$B$457)</f>
        <v/>
      </c>
      <c r="B4084">
        <f>IF($C4084="","","C"&amp;TEXT(INT((ROW()-5)/9)+1,"000")&amp;"-1")</f>
        <v/>
      </c>
      <c r="C4084">
        <f>IF(OR(Registro_Compras!$C$457="",Registro_Compras!$O$457=""),"",IF(Registro_Compras!$F$457="NOTA DE CREDITO",IF(Registro_Compras!$K$457=0,"","40111"),"4212"))</f>
        <v/>
      </c>
      <c r="D4084">
        <f>IF(OR(Registro_Compras!$C$457="",Registro_Compras!$O$457=""),"",IF(Registro_Compras!$F$457="NOTA DE CREDITO","IGV - Cuenta Propia (Credito Fiscal)","Cuentas por Pagar Comerciales - Terceros (Emitidas)"))</f>
        <v/>
      </c>
      <c r="E4084" s="20">
        <f>""</f>
        <v/>
      </c>
      <c r="F4084" s="20">
        <f>IF($C4084="","",IF(Registro_Compras!$F$457="NOTA DE CREDITO",ROUND(ABS(Registro_Compras!$K$457*Registro_Compras!$N$457),2),IF(Registro_Compras!$F$457="RHE",(ROUND(Registro_Compras!$L$457*Registro_Compras!$N$457,2)-ROUND(Registro_Compras!$V$457*Registro_Compras!$N$457,2)),Registro_Compras!$O$457)))</f>
        <v/>
      </c>
      <c r="G4084">
        <f>IF($C4084="","",IF(Registro_Compras!$F$457="NOTA DE CREDITO","Por la nota de credito "&amp;Registro_Compras!$C$457&amp;" de "&amp;Registro_Compras!$E$457&amp;" [PATRON POR CONFIRMAR CON CONTADOR]",IF(Registro_Compras!$F$457="RHE","Por el registro del recibo por honorarios "&amp;Registro_Compras!$C$457&amp;" de "&amp;Registro_Compras!$E$457&amp;" [PATRON POR CONFIRMAR CON CONTADOR]","Por el registro de la factura "&amp;Registro_Compras!$C$457&amp;" de "&amp;Registro_Compras!$E$457)))</f>
        <v/>
      </c>
      <c r="H4084">
        <f>IF($C4084="","",Registro_Compras!$C$457)</f>
        <v/>
      </c>
    </row>
    <row r="4085">
      <c r="A4085" s="25">
        <f>IF($C4085="","",Registro_Compras!$B$457)</f>
        <v/>
      </c>
      <c r="B4085">
        <f>IF($C4085="","","C"&amp;TEXT(INT((ROW()-5)/9)+1,"000")&amp;"-2")</f>
        <v/>
      </c>
      <c r="C4085">
        <f>IF(OR(Registro_Compras!$C$457="",Registro_Compras!$O$457=""),"",IF(Registro_Compras!$AB$457="ADMINISTRATIVO","94","95"))</f>
        <v/>
      </c>
      <c r="D4085">
        <f>IF(OR(Registro_Compras!$C$457="",Registro_Compras!$O$457=""),"",IF(Registro_Compras!$AB$457="ADMINISTRATIVO","Gastos Administrativos","Gastos de Venta y Operacion"))</f>
        <v/>
      </c>
      <c r="E4085" s="20">
        <f>IF($C4085="","",IF(Registro_Compras!$F$457="NOTA DE CREDITO","",IF(Registro_Compras!$F$457="RHE",ROUND(Registro_Compras!$L$457*Registro_Compras!$N$457,2),ROUND(Registro_Compras!$J$457*Registro_Compras!$N$457,2))))</f>
        <v/>
      </c>
      <c r="F4085" s="20">
        <f>IF($C4085="","",IF(Registro_Compras!$F$457="NOTA DE CREDITO",ROUND(ABS(Registro_Compras!$J$457*Registro_Compras!$N$457),2),""))</f>
        <v/>
      </c>
      <c r="G4085">
        <f>IF($C4085="","","Por el destino del gasto")</f>
        <v/>
      </c>
      <c r="H4085">
        <f>IF($C4085="","",Registro_Compras!$C$457)</f>
        <v/>
      </c>
    </row>
    <row r="4086">
      <c r="A4086" s="25">
        <f>IF($C4086="","",Registro_Compras!$B$457)</f>
        <v/>
      </c>
      <c r="B4086">
        <f>IF($C4086="","","C"&amp;TEXT(INT((ROW()-5)/9)+1,"000")&amp;"-2")</f>
        <v/>
      </c>
      <c r="C4086">
        <f>IF(OR(Registro_Compras!$C$457="",Registro_Compras!$O$457=""),"","79/791")</f>
        <v/>
      </c>
      <c r="D4086">
        <f>IF(OR(Registro_Compras!$C$457="",Registro_Compras!$O$457=""),"","Cargas Imputables a Cuentas de Costos y Gastos")</f>
        <v/>
      </c>
      <c r="E4086" s="20">
        <f>IF($C4086="","",IF(Registro_Compras!$F$457="NOTA DE CREDITO",ROUND(ABS(Registro_Compras!$J$457*Registro_Compras!$N$457),2),""))</f>
        <v/>
      </c>
      <c r="F4086" s="20">
        <f>IF($C4086="","",IF(Registro_Compras!$F$457="NOTA DE CREDITO","",IF(Registro_Compras!$F$457="RHE",ROUND(Registro_Compras!$L$457*Registro_Compras!$N$457,2),ROUND(Registro_Compras!$J$457*Registro_Compras!$N$457,2))))</f>
        <v/>
      </c>
      <c r="G4086">
        <f>IF($C4086="","","Por el destino del gasto")</f>
        <v/>
      </c>
      <c r="H4086">
        <f>IF($C4086="","",Registro_Compras!$C$457)</f>
        <v/>
      </c>
    </row>
    <row r="4087">
      <c r="A4087" s="25">
        <f>IF($C4087="","",Registro_Compras!$X$457)</f>
        <v/>
      </c>
      <c r="B4087">
        <f>IF($C4087="","","C"&amp;TEXT(INT((ROW()-5)/9)+1,"000")&amp;"-3")</f>
        <v/>
      </c>
      <c r="C4087">
        <f>IF(OR(Registro_Compras!$C$457="",Registro_Compras!$O$457="",Registro_Compras!$R$457&lt;&gt;"SI",Registro_Compras!$X$457=""),"","4212")</f>
        <v/>
      </c>
      <c r="D4087">
        <f>IF(OR(Registro_Compras!$C$457="",Registro_Compras!$O$457=""),"","Cuentas por Pagar Comerciales - Terceros")</f>
        <v/>
      </c>
      <c r="E4087" s="20">
        <f>IF($C4087="","",Registro_Compras!$S$457)</f>
        <v/>
      </c>
      <c r="F4087" s="20">
        <f>""</f>
        <v/>
      </c>
      <c r="G4087">
        <f>IF($C4087="","","Por el deposito de la detraccion en el Banco de la Nacion")</f>
        <v/>
      </c>
      <c r="H4087">
        <f>IF($C4087="","",Registro_Compras!$C$457)</f>
        <v/>
      </c>
    </row>
    <row r="4088">
      <c r="A4088" s="25">
        <f>IF($C4088="","",Registro_Compras!$X$457)</f>
        <v/>
      </c>
      <c r="B4088">
        <f>IF($C4088="","","C"&amp;TEXT(INT((ROW()-5)/9)+1,"000")&amp;"-3")</f>
        <v/>
      </c>
      <c r="C4088">
        <f>IF(OR(Registro_Compras!$C$457="",Registro_Compras!$O$457="",Registro_Compras!$R$457&lt;&gt;"SI",Registro_Compras!$X$457=""),"","10413")</f>
        <v/>
      </c>
      <c r="D4088">
        <f>IF(OR(Registro_Compras!$C$457="",Registro_Compras!$O$457=""),"","Efectivo y Equivalentes - Cta. Cte. Operativa")</f>
        <v/>
      </c>
      <c r="E4088" s="20">
        <f>""</f>
        <v/>
      </c>
      <c r="F4088" s="20">
        <f>IF($C4088="","",Registro_Compras!$S$457)</f>
        <v/>
      </c>
      <c r="G4088">
        <f>IF($C4088="","","Por el deposito de la detraccion en el Banco de la Nacion")</f>
        <v/>
      </c>
      <c r="H4088">
        <f>IF($C4088="","",Registro_Compras!$C$457)</f>
        <v/>
      </c>
    </row>
    <row r="4089">
      <c r="A4089" s="25">
        <f>IF($C4089="","",Registro_Compras!$Y$457)</f>
        <v/>
      </c>
      <c r="B4089">
        <f>IF($C4089="","","C"&amp;TEXT(INT((ROW()-5)/9)+1,"000")&amp;"-4")</f>
        <v/>
      </c>
      <c r="C4089">
        <f>IF(OR(Registro_Compras!$C$457="",Registro_Compras!$O$457="",Registro_Compras!$Y$457="",Registro_Compras!$F$457="NOTA DE CREDITO"),"","4212")</f>
        <v/>
      </c>
      <c r="D4089">
        <f>IF(OR(Registro_Compras!$C$457="",Registro_Compras!$O$457=""),"","Cuentas por Pagar Comerciales - Terceros")</f>
        <v/>
      </c>
      <c r="E4089" s="20">
        <f>IF($C4089="","",IF(Registro_Compras!$F$457="RHE",(ROUND(Registro_Compras!$L$457*Registro_Compras!$N$457,2)-ROUND(Registro_Compras!$V$457*Registro_Compras!$N$457,2)),ROUND(Registro_Compras!$O$457-Registro_Compras!$S$457,2)))</f>
        <v/>
      </c>
      <c r="F4089" s="20">
        <f>""</f>
        <v/>
      </c>
      <c r="G4089">
        <f>IF($C4089="","","Por la cancelacion del saldo al proveedor")</f>
        <v/>
      </c>
      <c r="H4089">
        <f>IF($C4089="","",Registro_Compras!$C$457)</f>
        <v/>
      </c>
    </row>
    <row r="4090">
      <c r="A4090" s="25">
        <f>IF($C4090="","",Registro_Compras!$Y$457)</f>
        <v/>
      </c>
      <c r="B4090">
        <f>IF($C4090="","","C"&amp;TEXT(INT((ROW()-5)/9)+1,"000")&amp;"-4")</f>
        <v/>
      </c>
      <c r="C4090">
        <f>IF(OR(Registro_Compras!$C$457="",Registro_Compras!$O$457="",Registro_Compras!$Y$457="",Registro_Compras!$F$457="NOTA DE CREDITO"),"","10413")</f>
        <v/>
      </c>
      <c r="D4090">
        <f>IF(OR(Registro_Compras!$C$457="",Registro_Compras!$O$457=""),"","Efectivo y Equivalentes - Cta. Cte. Operativa")</f>
        <v/>
      </c>
      <c r="E4090" s="20">
        <f>""</f>
        <v/>
      </c>
      <c r="F4090" s="20">
        <f>IF($C4090="","",IF(Registro_Compras!$F$457="RHE",(ROUND(Registro_Compras!$L$457*Registro_Compras!$N$457,2)-ROUND(Registro_Compras!$V$457*Registro_Compras!$N$457,2)),ROUND(Registro_Compras!$O$457-Registro_Compras!$S$457,2)))</f>
        <v/>
      </c>
      <c r="G4090">
        <f>IF($C4090="","","Por la cancelacion del saldo al proveedor")</f>
        <v/>
      </c>
      <c r="H4090">
        <f>IF($C4090="","",Registro_Compras!$C$457)</f>
        <v/>
      </c>
    </row>
    <row r="4091">
      <c r="A4091" s="25">
        <f>IF($C4091="","",Registro_Compras!$B$458)</f>
        <v/>
      </c>
      <c r="B4091">
        <f>IF($C4091="","","C"&amp;TEXT(INT((ROW()-5)/9)+1,"000")&amp;"-1")</f>
        <v/>
      </c>
      <c r="C4091">
        <f>IF(OR(Registro_Compras!$C$458="",Registro_Compras!$O$458=""),"",IF(Registro_Compras!$F$458="NOTA DE CREDITO","4212",IF(Registro_Compras!$M$458="","63",Registro_Compras!$M$458)))</f>
        <v/>
      </c>
      <c r="D4091">
        <f>IF(OR(Registro_Compras!$C$458="",Registro_Compras!$O$458=""),"",IF(Registro_Compras!$F$458="NOTA DE CREDITO","Cuentas por Pagar Comerciales - Terceros (Emitidas)",IF(Registro_Compras!$F$458="RHE","Honorarios Profesionales - Servicios de Terceros","Gastos de Servicios Prestados por Terceros")))</f>
        <v/>
      </c>
      <c r="E4091" s="20">
        <f>IF($C4091="","",IF(Registro_Compras!$F$458="NOTA DE CREDITO",ABS(Registro_Compras!$O$458),IF(Registro_Compras!$F$458="RHE",ROUND(Registro_Compras!$L$458*Registro_Compras!$N$458,2),ROUND(Registro_Compras!$J$458*Registro_Compras!$N$458,2))))</f>
        <v/>
      </c>
      <c r="F4091" s="20">
        <f>""</f>
        <v/>
      </c>
      <c r="G4091">
        <f>IF($C4091="","",IF(Registro_Compras!$F$458="NOTA DE CREDITO","Por la nota de credito "&amp;Registro_Compras!$C$458&amp;" de "&amp;Registro_Compras!$E$458&amp;" [PATRON POR CONFIRMAR CON CONTADOR]",IF(Registro_Compras!$F$458="RHE","Por el registro del recibo por honorarios "&amp;Registro_Compras!$C$458&amp;" de "&amp;Registro_Compras!$E$458&amp;" [PATRON POR CONFIRMAR CON CONTADOR]","Por el registro de la factura "&amp;Registro_Compras!$C$458&amp;" de "&amp;Registro_Compras!$E$458)))</f>
        <v/>
      </c>
      <c r="H4091">
        <f>IF($C4091="","",Registro_Compras!$C$458)</f>
        <v/>
      </c>
    </row>
    <row r="4092">
      <c r="A4092" s="25">
        <f>IF($C4092="","",Registro_Compras!$B$458)</f>
        <v/>
      </c>
      <c r="B4092">
        <f>IF($C4092="","","C"&amp;TEXT(INT((ROW()-5)/9)+1,"000")&amp;"-1")</f>
        <v/>
      </c>
      <c r="C4092">
        <f>IF(OR(Registro_Compras!$C$458="",Registro_Compras!$O$458=""),"",IF(Registro_Compras!$F$458="RHE",IF(Registro_Compras!$V$458=0,"","40172"),IF(Registro_Compras!$F$458="NOTA DE CREDITO",IF(Registro_Compras!$M$458="","63",Registro_Compras!$M$458),IF(Registro_Compras!$K$458=0,"","40111"))))</f>
        <v/>
      </c>
      <c r="D4092">
        <f>IF(OR(Registro_Compras!$C$458="",Registro_Compras!$O$458=""),"",IF(Registro_Compras!$F$458="RHE","Retencion Renta 4ta Categoria por Pagar",IF(Registro_Compras!$F$458="NOTA DE CREDITO","Gastos de Servicios Prestados por Terceros","IGV - Cuenta Propia (Credito Fiscal)")))</f>
        <v/>
      </c>
      <c r="E4092" s="20">
        <f>IF($C4092="","",IF(Registro_Compras!$F$458="FACTURA",ROUND(Registro_Compras!$K$458*Registro_Compras!$N$458,2),""))</f>
        <v/>
      </c>
      <c r="F4092" s="20">
        <f>IF($C4092="","",IF(Registro_Compras!$F$458="RHE",ROUND(Registro_Compras!$V$458*Registro_Compras!$N$458,2),IF(Registro_Compras!$F$458="NOTA DE CREDITO",ROUND(ABS(Registro_Compras!$J$458*Registro_Compras!$N$458),2),"")))</f>
        <v/>
      </c>
      <c r="G4092">
        <f>IF($C4092="","",IF(Registro_Compras!$F$458="NOTA DE CREDITO","Por la nota de credito "&amp;Registro_Compras!$C$458&amp;" de "&amp;Registro_Compras!$E$458&amp;" [PATRON POR CONFIRMAR CON CONTADOR]",IF(Registro_Compras!$F$458="RHE","Por el registro del recibo por honorarios "&amp;Registro_Compras!$C$458&amp;" de "&amp;Registro_Compras!$E$458&amp;" [PATRON POR CONFIRMAR CON CONTADOR]","Por el registro de la factura "&amp;Registro_Compras!$C$458&amp;" de "&amp;Registro_Compras!$E$458)))</f>
        <v/>
      </c>
      <c r="H4092">
        <f>IF($C4092="","",Registro_Compras!$C$458)</f>
        <v/>
      </c>
    </row>
    <row r="4093">
      <c r="A4093" s="25">
        <f>IF($C4093="","",Registro_Compras!$B$458)</f>
        <v/>
      </c>
      <c r="B4093">
        <f>IF($C4093="","","C"&amp;TEXT(INT((ROW()-5)/9)+1,"000")&amp;"-1")</f>
        <v/>
      </c>
      <c r="C4093">
        <f>IF(OR(Registro_Compras!$C$458="",Registro_Compras!$O$458=""),"",IF(Registro_Compras!$F$458="NOTA DE CREDITO",IF(Registro_Compras!$K$458=0,"","40111"),"4212"))</f>
        <v/>
      </c>
      <c r="D4093">
        <f>IF(OR(Registro_Compras!$C$458="",Registro_Compras!$O$458=""),"",IF(Registro_Compras!$F$458="NOTA DE CREDITO","IGV - Cuenta Propia (Credito Fiscal)","Cuentas por Pagar Comerciales - Terceros (Emitidas)"))</f>
        <v/>
      </c>
      <c r="E4093" s="20">
        <f>""</f>
        <v/>
      </c>
      <c r="F4093" s="20">
        <f>IF($C4093="","",IF(Registro_Compras!$F$458="NOTA DE CREDITO",ROUND(ABS(Registro_Compras!$K$458*Registro_Compras!$N$458),2),IF(Registro_Compras!$F$458="RHE",(ROUND(Registro_Compras!$L$458*Registro_Compras!$N$458,2)-ROUND(Registro_Compras!$V$458*Registro_Compras!$N$458,2)),Registro_Compras!$O$458)))</f>
        <v/>
      </c>
      <c r="G4093">
        <f>IF($C4093="","",IF(Registro_Compras!$F$458="NOTA DE CREDITO","Por la nota de credito "&amp;Registro_Compras!$C$458&amp;" de "&amp;Registro_Compras!$E$458&amp;" [PATRON POR CONFIRMAR CON CONTADOR]",IF(Registro_Compras!$F$458="RHE","Por el registro del recibo por honorarios "&amp;Registro_Compras!$C$458&amp;" de "&amp;Registro_Compras!$E$458&amp;" [PATRON POR CONFIRMAR CON CONTADOR]","Por el registro de la factura "&amp;Registro_Compras!$C$458&amp;" de "&amp;Registro_Compras!$E$458)))</f>
        <v/>
      </c>
      <c r="H4093">
        <f>IF($C4093="","",Registro_Compras!$C$458)</f>
        <v/>
      </c>
    </row>
    <row r="4094">
      <c r="A4094" s="25">
        <f>IF($C4094="","",Registro_Compras!$B$458)</f>
        <v/>
      </c>
      <c r="B4094">
        <f>IF($C4094="","","C"&amp;TEXT(INT((ROW()-5)/9)+1,"000")&amp;"-2")</f>
        <v/>
      </c>
      <c r="C4094">
        <f>IF(OR(Registro_Compras!$C$458="",Registro_Compras!$O$458=""),"",IF(Registro_Compras!$AB$458="ADMINISTRATIVO","94","95"))</f>
        <v/>
      </c>
      <c r="D4094">
        <f>IF(OR(Registro_Compras!$C$458="",Registro_Compras!$O$458=""),"",IF(Registro_Compras!$AB$458="ADMINISTRATIVO","Gastos Administrativos","Gastos de Venta y Operacion"))</f>
        <v/>
      </c>
      <c r="E4094" s="20">
        <f>IF($C4094="","",IF(Registro_Compras!$F$458="NOTA DE CREDITO","",IF(Registro_Compras!$F$458="RHE",ROUND(Registro_Compras!$L$458*Registro_Compras!$N$458,2),ROUND(Registro_Compras!$J$458*Registro_Compras!$N$458,2))))</f>
        <v/>
      </c>
      <c r="F4094" s="20">
        <f>IF($C4094="","",IF(Registro_Compras!$F$458="NOTA DE CREDITO",ROUND(ABS(Registro_Compras!$J$458*Registro_Compras!$N$458),2),""))</f>
        <v/>
      </c>
      <c r="G4094">
        <f>IF($C4094="","","Por el destino del gasto")</f>
        <v/>
      </c>
      <c r="H4094">
        <f>IF($C4094="","",Registro_Compras!$C$458)</f>
        <v/>
      </c>
    </row>
    <row r="4095">
      <c r="A4095" s="25">
        <f>IF($C4095="","",Registro_Compras!$B$458)</f>
        <v/>
      </c>
      <c r="B4095">
        <f>IF($C4095="","","C"&amp;TEXT(INT((ROW()-5)/9)+1,"000")&amp;"-2")</f>
        <v/>
      </c>
      <c r="C4095">
        <f>IF(OR(Registro_Compras!$C$458="",Registro_Compras!$O$458=""),"","79/791")</f>
        <v/>
      </c>
      <c r="D4095">
        <f>IF(OR(Registro_Compras!$C$458="",Registro_Compras!$O$458=""),"","Cargas Imputables a Cuentas de Costos y Gastos")</f>
        <v/>
      </c>
      <c r="E4095" s="20">
        <f>IF($C4095="","",IF(Registro_Compras!$F$458="NOTA DE CREDITO",ROUND(ABS(Registro_Compras!$J$458*Registro_Compras!$N$458),2),""))</f>
        <v/>
      </c>
      <c r="F4095" s="20">
        <f>IF($C4095="","",IF(Registro_Compras!$F$458="NOTA DE CREDITO","",IF(Registro_Compras!$F$458="RHE",ROUND(Registro_Compras!$L$458*Registro_Compras!$N$458,2),ROUND(Registro_Compras!$J$458*Registro_Compras!$N$458,2))))</f>
        <v/>
      </c>
      <c r="G4095">
        <f>IF($C4095="","","Por el destino del gasto")</f>
        <v/>
      </c>
      <c r="H4095">
        <f>IF($C4095="","",Registro_Compras!$C$458)</f>
        <v/>
      </c>
    </row>
    <row r="4096">
      <c r="A4096" s="25">
        <f>IF($C4096="","",Registro_Compras!$X$458)</f>
        <v/>
      </c>
      <c r="B4096">
        <f>IF($C4096="","","C"&amp;TEXT(INT((ROW()-5)/9)+1,"000")&amp;"-3")</f>
        <v/>
      </c>
      <c r="C4096">
        <f>IF(OR(Registro_Compras!$C$458="",Registro_Compras!$O$458="",Registro_Compras!$R$458&lt;&gt;"SI",Registro_Compras!$X$458=""),"","4212")</f>
        <v/>
      </c>
      <c r="D4096">
        <f>IF(OR(Registro_Compras!$C$458="",Registro_Compras!$O$458=""),"","Cuentas por Pagar Comerciales - Terceros")</f>
        <v/>
      </c>
      <c r="E4096" s="20">
        <f>IF($C4096="","",Registro_Compras!$S$458)</f>
        <v/>
      </c>
      <c r="F4096" s="20">
        <f>""</f>
        <v/>
      </c>
      <c r="G4096">
        <f>IF($C4096="","","Por el deposito de la detraccion en el Banco de la Nacion")</f>
        <v/>
      </c>
      <c r="H4096">
        <f>IF($C4096="","",Registro_Compras!$C$458)</f>
        <v/>
      </c>
    </row>
    <row r="4097">
      <c r="A4097" s="25">
        <f>IF($C4097="","",Registro_Compras!$X$458)</f>
        <v/>
      </c>
      <c r="B4097">
        <f>IF($C4097="","","C"&amp;TEXT(INT((ROW()-5)/9)+1,"000")&amp;"-3")</f>
        <v/>
      </c>
      <c r="C4097">
        <f>IF(OR(Registro_Compras!$C$458="",Registro_Compras!$O$458="",Registro_Compras!$R$458&lt;&gt;"SI",Registro_Compras!$X$458=""),"","10413")</f>
        <v/>
      </c>
      <c r="D4097">
        <f>IF(OR(Registro_Compras!$C$458="",Registro_Compras!$O$458=""),"","Efectivo y Equivalentes - Cta. Cte. Operativa")</f>
        <v/>
      </c>
      <c r="E4097" s="20">
        <f>""</f>
        <v/>
      </c>
      <c r="F4097" s="20">
        <f>IF($C4097="","",Registro_Compras!$S$458)</f>
        <v/>
      </c>
      <c r="G4097">
        <f>IF($C4097="","","Por el deposito de la detraccion en el Banco de la Nacion")</f>
        <v/>
      </c>
      <c r="H4097">
        <f>IF($C4097="","",Registro_Compras!$C$458)</f>
        <v/>
      </c>
    </row>
    <row r="4098">
      <c r="A4098" s="25">
        <f>IF($C4098="","",Registro_Compras!$Y$458)</f>
        <v/>
      </c>
      <c r="B4098">
        <f>IF($C4098="","","C"&amp;TEXT(INT((ROW()-5)/9)+1,"000")&amp;"-4")</f>
        <v/>
      </c>
      <c r="C4098">
        <f>IF(OR(Registro_Compras!$C$458="",Registro_Compras!$O$458="",Registro_Compras!$Y$458="",Registro_Compras!$F$458="NOTA DE CREDITO"),"","4212")</f>
        <v/>
      </c>
      <c r="D4098">
        <f>IF(OR(Registro_Compras!$C$458="",Registro_Compras!$O$458=""),"","Cuentas por Pagar Comerciales - Terceros")</f>
        <v/>
      </c>
      <c r="E4098" s="20">
        <f>IF($C4098="","",IF(Registro_Compras!$F$458="RHE",(ROUND(Registro_Compras!$L$458*Registro_Compras!$N$458,2)-ROUND(Registro_Compras!$V$458*Registro_Compras!$N$458,2)),ROUND(Registro_Compras!$O$458-Registro_Compras!$S$458,2)))</f>
        <v/>
      </c>
      <c r="F4098" s="20">
        <f>""</f>
        <v/>
      </c>
      <c r="G4098">
        <f>IF($C4098="","","Por la cancelacion del saldo al proveedor")</f>
        <v/>
      </c>
      <c r="H4098">
        <f>IF($C4098="","",Registro_Compras!$C$458)</f>
        <v/>
      </c>
    </row>
    <row r="4099">
      <c r="A4099" s="25">
        <f>IF($C4099="","",Registro_Compras!$Y$458)</f>
        <v/>
      </c>
      <c r="B4099">
        <f>IF($C4099="","","C"&amp;TEXT(INT((ROW()-5)/9)+1,"000")&amp;"-4")</f>
        <v/>
      </c>
      <c r="C4099">
        <f>IF(OR(Registro_Compras!$C$458="",Registro_Compras!$O$458="",Registro_Compras!$Y$458="",Registro_Compras!$F$458="NOTA DE CREDITO"),"","10413")</f>
        <v/>
      </c>
      <c r="D4099">
        <f>IF(OR(Registro_Compras!$C$458="",Registro_Compras!$O$458=""),"","Efectivo y Equivalentes - Cta. Cte. Operativa")</f>
        <v/>
      </c>
      <c r="E4099" s="20">
        <f>""</f>
        <v/>
      </c>
      <c r="F4099" s="20">
        <f>IF($C4099="","",IF(Registro_Compras!$F$458="RHE",(ROUND(Registro_Compras!$L$458*Registro_Compras!$N$458,2)-ROUND(Registro_Compras!$V$458*Registro_Compras!$N$458,2)),ROUND(Registro_Compras!$O$458-Registro_Compras!$S$458,2)))</f>
        <v/>
      </c>
      <c r="G4099">
        <f>IF($C4099="","","Por la cancelacion del saldo al proveedor")</f>
        <v/>
      </c>
      <c r="H4099">
        <f>IF($C4099="","",Registro_Compras!$C$458)</f>
        <v/>
      </c>
    </row>
    <row r="4100">
      <c r="A4100" s="25">
        <f>IF($C4100="","",Registro_Compras!$B$459)</f>
        <v/>
      </c>
      <c r="B4100">
        <f>IF($C4100="","","C"&amp;TEXT(INT((ROW()-5)/9)+1,"000")&amp;"-1")</f>
        <v/>
      </c>
      <c r="C4100">
        <f>IF(OR(Registro_Compras!$C$459="",Registro_Compras!$O$459=""),"",IF(Registro_Compras!$F$459="NOTA DE CREDITO","4212",IF(Registro_Compras!$M$459="","63",Registro_Compras!$M$459)))</f>
        <v/>
      </c>
      <c r="D4100">
        <f>IF(OR(Registro_Compras!$C$459="",Registro_Compras!$O$459=""),"",IF(Registro_Compras!$F$459="NOTA DE CREDITO","Cuentas por Pagar Comerciales - Terceros (Emitidas)",IF(Registro_Compras!$F$459="RHE","Honorarios Profesionales - Servicios de Terceros","Gastos de Servicios Prestados por Terceros")))</f>
        <v/>
      </c>
      <c r="E4100" s="20">
        <f>IF($C4100="","",IF(Registro_Compras!$F$459="NOTA DE CREDITO",ABS(Registro_Compras!$O$459),IF(Registro_Compras!$F$459="RHE",ROUND(Registro_Compras!$L$459*Registro_Compras!$N$459,2),ROUND(Registro_Compras!$J$459*Registro_Compras!$N$459,2))))</f>
        <v/>
      </c>
      <c r="F4100" s="20">
        <f>""</f>
        <v/>
      </c>
      <c r="G4100">
        <f>IF($C4100="","",IF(Registro_Compras!$F$459="NOTA DE CREDITO","Por la nota de credito "&amp;Registro_Compras!$C$459&amp;" de "&amp;Registro_Compras!$E$459&amp;" [PATRON POR CONFIRMAR CON CONTADOR]",IF(Registro_Compras!$F$459="RHE","Por el registro del recibo por honorarios "&amp;Registro_Compras!$C$459&amp;" de "&amp;Registro_Compras!$E$459&amp;" [PATRON POR CONFIRMAR CON CONTADOR]","Por el registro de la factura "&amp;Registro_Compras!$C$459&amp;" de "&amp;Registro_Compras!$E$459)))</f>
        <v/>
      </c>
      <c r="H4100">
        <f>IF($C4100="","",Registro_Compras!$C$459)</f>
        <v/>
      </c>
    </row>
    <row r="4101">
      <c r="A4101" s="25">
        <f>IF($C4101="","",Registro_Compras!$B$459)</f>
        <v/>
      </c>
      <c r="B4101">
        <f>IF($C4101="","","C"&amp;TEXT(INT((ROW()-5)/9)+1,"000")&amp;"-1")</f>
        <v/>
      </c>
      <c r="C4101">
        <f>IF(OR(Registro_Compras!$C$459="",Registro_Compras!$O$459=""),"",IF(Registro_Compras!$F$459="RHE",IF(Registro_Compras!$V$459=0,"","40172"),IF(Registro_Compras!$F$459="NOTA DE CREDITO",IF(Registro_Compras!$M$459="","63",Registro_Compras!$M$459),IF(Registro_Compras!$K$459=0,"","40111"))))</f>
        <v/>
      </c>
      <c r="D4101">
        <f>IF(OR(Registro_Compras!$C$459="",Registro_Compras!$O$459=""),"",IF(Registro_Compras!$F$459="RHE","Retencion Renta 4ta Categoria por Pagar",IF(Registro_Compras!$F$459="NOTA DE CREDITO","Gastos de Servicios Prestados por Terceros","IGV - Cuenta Propia (Credito Fiscal)")))</f>
        <v/>
      </c>
      <c r="E4101" s="20">
        <f>IF($C4101="","",IF(Registro_Compras!$F$459="FACTURA",ROUND(Registro_Compras!$K$459*Registro_Compras!$N$459,2),""))</f>
        <v/>
      </c>
      <c r="F4101" s="20">
        <f>IF($C4101="","",IF(Registro_Compras!$F$459="RHE",ROUND(Registro_Compras!$V$459*Registro_Compras!$N$459,2),IF(Registro_Compras!$F$459="NOTA DE CREDITO",ROUND(ABS(Registro_Compras!$J$459*Registro_Compras!$N$459),2),"")))</f>
        <v/>
      </c>
      <c r="G4101">
        <f>IF($C4101="","",IF(Registro_Compras!$F$459="NOTA DE CREDITO","Por la nota de credito "&amp;Registro_Compras!$C$459&amp;" de "&amp;Registro_Compras!$E$459&amp;" [PATRON POR CONFIRMAR CON CONTADOR]",IF(Registro_Compras!$F$459="RHE","Por el registro del recibo por honorarios "&amp;Registro_Compras!$C$459&amp;" de "&amp;Registro_Compras!$E$459&amp;" [PATRON POR CONFIRMAR CON CONTADOR]","Por el registro de la factura "&amp;Registro_Compras!$C$459&amp;" de "&amp;Registro_Compras!$E$459)))</f>
        <v/>
      </c>
      <c r="H4101">
        <f>IF($C4101="","",Registro_Compras!$C$459)</f>
        <v/>
      </c>
    </row>
    <row r="4102">
      <c r="A4102" s="25">
        <f>IF($C4102="","",Registro_Compras!$B$459)</f>
        <v/>
      </c>
      <c r="B4102">
        <f>IF($C4102="","","C"&amp;TEXT(INT((ROW()-5)/9)+1,"000")&amp;"-1")</f>
        <v/>
      </c>
      <c r="C4102">
        <f>IF(OR(Registro_Compras!$C$459="",Registro_Compras!$O$459=""),"",IF(Registro_Compras!$F$459="NOTA DE CREDITO",IF(Registro_Compras!$K$459=0,"","40111"),"4212"))</f>
        <v/>
      </c>
      <c r="D4102">
        <f>IF(OR(Registro_Compras!$C$459="",Registro_Compras!$O$459=""),"",IF(Registro_Compras!$F$459="NOTA DE CREDITO","IGV - Cuenta Propia (Credito Fiscal)","Cuentas por Pagar Comerciales - Terceros (Emitidas)"))</f>
        <v/>
      </c>
      <c r="E4102" s="20">
        <f>""</f>
        <v/>
      </c>
      <c r="F4102" s="20">
        <f>IF($C4102="","",IF(Registro_Compras!$F$459="NOTA DE CREDITO",ROUND(ABS(Registro_Compras!$K$459*Registro_Compras!$N$459),2),IF(Registro_Compras!$F$459="RHE",(ROUND(Registro_Compras!$L$459*Registro_Compras!$N$459,2)-ROUND(Registro_Compras!$V$459*Registro_Compras!$N$459,2)),Registro_Compras!$O$459)))</f>
        <v/>
      </c>
      <c r="G4102">
        <f>IF($C4102="","",IF(Registro_Compras!$F$459="NOTA DE CREDITO","Por la nota de credito "&amp;Registro_Compras!$C$459&amp;" de "&amp;Registro_Compras!$E$459&amp;" [PATRON POR CONFIRMAR CON CONTADOR]",IF(Registro_Compras!$F$459="RHE","Por el registro del recibo por honorarios "&amp;Registro_Compras!$C$459&amp;" de "&amp;Registro_Compras!$E$459&amp;" [PATRON POR CONFIRMAR CON CONTADOR]","Por el registro de la factura "&amp;Registro_Compras!$C$459&amp;" de "&amp;Registro_Compras!$E$459)))</f>
        <v/>
      </c>
      <c r="H4102">
        <f>IF($C4102="","",Registro_Compras!$C$459)</f>
        <v/>
      </c>
    </row>
    <row r="4103">
      <c r="A4103" s="25">
        <f>IF($C4103="","",Registro_Compras!$B$459)</f>
        <v/>
      </c>
      <c r="B4103">
        <f>IF($C4103="","","C"&amp;TEXT(INT((ROW()-5)/9)+1,"000")&amp;"-2")</f>
        <v/>
      </c>
      <c r="C4103">
        <f>IF(OR(Registro_Compras!$C$459="",Registro_Compras!$O$459=""),"",IF(Registro_Compras!$AB$459="ADMINISTRATIVO","94","95"))</f>
        <v/>
      </c>
      <c r="D4103">
        <f>IF(OR(Registro_Compras!$C$459="",Registro_Compras!$O$459=""),"",IF(Registro_Compras!$AB$459="ADMINISTRATIVO","Gastos Administrativos","Gastos de Venta y Operacion"))</f>
        <v/>
      </c>
      <c r="E4103" s="20">
        <f>IF($C4103="","",IF(Registro_Compras!$F$459="NOTA DE CREDITO","",IF(Registro_Compras!$F$459="RHE",ROUND(Registro_Compras!$L$459*Registro_Compras!$N$459,2),ROUND(Registro_Compras!$J$459*Registro_Compras!$N$459,2))))</f>
        <v/>
      </c>
      <c r="F4103" s="20">
        <f>IF($C4103="","",IF(Registro_Compras!$F$459="NOTA DE CREDITO",ROUND(ABS(Registro_Compras!$J$459*Registro_Compras!$N$459),2),""))</f>
        <v/>
      </c>
      <c r="G4103">
        <f>IF($C4103="","","Por el destino del gasto")</f>
        <v/>
      </c>
      <c r="H4103">
        <f>IF($C4103="","",Registro_Compras!$C$459)</f>
        <v/>
      </c>
    </row>
    <row r="4104">
      <c r="A4104" s="25">
        <f>IF($C4104="","",Registro_Compras!$B$459)</f>
        <v/>
      </c>
      <c r="B4104">
        <f>IF($C4104="","","C"&amp;TEXT(INT((ROW()-5)/9)+1,"000")&amp;"-2")</f>
        <v/>
      </c>
      <c r="C4104">
        <f>IF(OR(Registro_Compras!$C$459="",Registro_Compras!$O$459=""),"","79/791")</f>
        <v/>
      </c>
      <c r="D4104">
        <f>IF(OR(Registro_Compras!$C$459="",Registro_Compras!$O$459=""),"","Cargas Imputables a Cuentas de Costos y Gastos")</f>
        <v/>
      </c>
      <c r="E4104" s="20">
        <f>IF($C4104="","",IF(Registro_Compras!$F$459="NOTA DE CREDITO",ROUND(ABS(Registro_Compras!$J$459*Registro_Compras!$N$459),2),""))</f>
        <v/>
      </c>
      <c r="F4104" s="20">
        <f>IF($C4104="","",IF(Registro_Compras!$F$459="NOTA DE CREDITO","",IF(Registro_Compras!$F$459="RHE",ROUND(Registro_Compras!$L$459*Registro_Compras!$N$459,2),ROUND(Registro_Compras!$J$459*Registro_Compras!$N$459,2))))</f>
        <v/>
      </c>
      <c r="G4104">
        <f>IF($C4104="","","Por el destino del gasto")</f>
        <v/>
      </c>
      <c r="H4104">
        <f>IF($C4104="","",Registro_Compras!$C$459)</f>
        <v/>
      </c>
    </row>
    <row r="4105">
      <c r="A4105" s="25">
        <f>IF($C4105="","",Registro_Compras!$X$459)</f>
        <v/>
      </c>
      <c r="B4105">
        <f>IF($C4105="","","C"&amp;TEXT(INT((ROW()-5)/9)+1,"000")&amp;"-3")</f>
        <v/>
      </c>
      <c r="C4105">
        <f>IF(OR(Registro_Compras!$C$459="",Registro_Compras!$O$459="",Registro_Compras!$R$459&lt;&gt;"SI",Registro_Compras!$X$459=""),"","4212")</f>
        <v/>
      </c>
      <c r="D4105">
        <f>IF(OR(Registro_Compras!$C$459="",Registro_Compras!$O$459=""),"","Cuentas por Pagar Comerciales - Terceros")</f>
        <v/>
      </c>
      <c r="E4105" s="20">
        <f>IF($C4105="","",Registro_Compras!$S$459)</f>
        <v/>
      </c>
      <c r="F4105" s="20">
        <f>""</f>
        <v/>
      </c>
      <c r="G4105">
        <f>IF($C4105="","","Por el deposito de la detraccion en el Banco de la Nacion")</f>
        <v/>
      </c>
      <c r="H4105">
        <f>IF($C4105="","",Registro_Compras!$C$459)</f>
        <v/>
      </c>
    </row>
    <row r="4106">
      <c r="A4106" s="25">
        <f>IF($C4106="","",Registro_Compras!$X$459)</f>
        <v/>
      </c>
      <c r="B4106">
        <f>IF($C4106="","","C"&amp;TEXT(INT((ROW()-5)/9)+1,"000")&amp;"-3")</f>
        <v/>
      </c>
      <c r="C4106">
        <f>IF(OR(Registro_Compras!$C$459="",Registro_Compras!$O$459="",Registro_Compras!$R$459&lt;&gt;"SI",Registro_Compras!$X$459=""),"","10413")</f>
        <v/>
      </c>
      <c r="D4106">
        <f>IF(OR(Registro_Compras!$C$459="",Registro_Compras!$O$459=""),"","Efectivo y Equivalentes - Cta. Cte. Operativa")</f>
        <v/>
      </c>
      <c r="E4106" s="20">
        <f>""</f>
        <v/>
      </c>
      <c r="F4106" s="20">
        <f>IF($C4106="","",Registro_Compras!$S$459)</f>
        <v/>
      </c>
      <c r="G4106">
        <f>IF($C4106="","","Por el deposito de la detraccion en el Banco de la Nacion")</f>
        <v/>
      </c>
      <c r="H4106">
        <f>IF($C4106="","",Registro_Compras!$C$459)</f>
        <v/>
      </c>
    </row>
    <row r="4107">
      <c r="A4107" s="25">
        <f>IF($C4107="","",Registro_Compras!$Y$459)</f>
        <v/>
      </c>
      <c r="B4107">
        <f>IF($C4107="","","C"&amp;TEXT(INT((ROW()-5)/9)+1,"000")&amp;"-4")</f>
        <v/>
      </c>
      <c r="C4107">
        <f>IF(OR(Registro_Compras!$C$459="",Registro_Compras!$O$459="",Registro_Compras!$Y$459="",Registro_Compras!$F$459="NOTA DE CREDITO"),"","4212")</f>
        <v/>
      </c>
      <c r="D4107">
        <f>IF(OR(Registro_Compras!$C$459="",Registro_Compras!$O$459=""),"","Cuentas por Pagar Comerciales - Terceros")</f>
        <v/>
      </c>
      <c r="E4107" s="20">
        <f>IF($C4107="","",IF(Registro_Compras!$F$459="RHE",(ROUND(Registro_Compras!$L$459*Registro_Compras!$N$459,2)-ROUND(Registro_Compras!$V$459*Registro_Compras!$N$459,2)),ROUND(Registro_Compras!$O$459-Registro_Compras!$S$459,2)))</f>
        <v/>
      </c>
      <c r="F4107" s="20">
        <f>""</f>
        <v/>
      </c>
      <c r="G4107">
        <f>IF($C4107="","","Por la cancelacion del saldo al proveedor")</f>
        <v/>
      </c>
      <c r="H4107">
        <f>IF($C4107="","",Registro_Compras!$C$459)</f>
        <v/>
      </c>
    </row>
    <row r="4108">
      <c r="A4108" s="25">
        <f>IF($C4108="","",Registro_Compras!$Y$459)</f>
        <v/>
      </c>
      <c r="B4108">
        <f>IF($C4108="","","C"&amp;TEXT(INT((ROW()-5)/9)+1,"000")&amp;"-4")</f>
        <v/>
      </c>
      <c r="C4108">
        <f>IF(OR(Registro_Compras!$C$459="",Registro_Compras!$O$459="",Registro_Compras!$Y$459="",Registro_Compras!$F$459="NOTA DE CREDITO"),"","10413")</f>
        <v/>
      </c>
      <c r="D4108">
        <f>IF(OR(Registro_Compras!$C$459="",Registro_Compras!$O$459=""),"","Efectivo y Equivalentes - Cta. Cte. Operativa")</f>
        <v/>
      </c>
      <c r="E4108" s="20">
        <f>""</f>
        <v/>
      </c>
      <c r="F4108" s="20">
        <f>IF($C4108="","",IF(Registro_Compras!$F$459="RHE",(ROUND(Registro_Compras!$L$459*Registro_Compras!$N$459,2)-ROUND(Registro_Compras!$V$459*Registro_Compras!$N$459,2)),ROUND(Registro_Compras!$O$459-Registro_Compras!$S$459,2)))</f>
        <v/>
      </c>
      <c r="G4108">
        <f>IF($C4108="","","Por la cancelacion del saldo al proveedor")</f>
        <v/>
      </c>
      <c r="H4108">
        <f>IF($C4108="","",Registro_Compras!$C$459)</f>
        <v/>
      </c>
    </row>
    <row r="4109">
      <c r="A4109" s="25">
        <f>IF($C4109="","",Registro_Compras!$B$460)</f>
        <v/>
      </c>
      <c r="B4109">
        <f>IF($C4109="","","C"&amp;TEXT(INT((ROW()-5)/9)+1,"000")&amp;"-1")</f>
        <v/>
      </c>
      <c r="C4109">
        <f>IF(OR(Registro_Compras!$C$460="",Registro_Compras!$O$460=""),"",IF(Registro_Compras!$F$460="NOTA DE CREDITO","4212",IF(Registro_Compras!$M$460="","63",Registro_Compras!$M$460)))</f>
        <v/>
      </c>
      <c r="D4109">
        <f>IF(OR(Registro_Compras!$C$460="",Registro_Compras!$O$460=""),"",IF(Registro_Compras!$F$460="NOTA DE CREDITO","Cuentas por Pagar Comerciales - Terceros (Emitidas)",IF(Registro_Compras!$F$460="RHE","Honorarios Profesionales - Servicios de Terceros","Gastos de Servicios Prestados por Terceros")))</f>
        <v/>
      </c>
      <c r="E4109" s="20">
        <f>IF($C4109="","",IF(Registro_Compras!$F$460="NOTA DE CREDITO",ABS(Registro_Compras!$O$460),IF(Registro_Compras!$F$460="RHE",ROUND(Registro_Compras!$L$460*Registro_Compras!$N$460,2),ROUND(Registro_Compras!$J$460*Registro_Compras!$N$460,2))))</f>
        <v/>
      </c>
      <c r="F4109" s="20">
        <f>""</f>
        <v/>
      </c>
      <c r="G4109">
        <f>IF($C4109="","",IF(Registro_Compras!$F$460="NOTA DE CREDITO","Por la nota de credito "&amp;Registro_Compras!$C$460&amp;" de "&amp;Registro_Compras!$E$460&amp;" [PATRON POR CONFIRMAR CON CONTADOR]",IF(Registro_Compras!$F$460="RHE","Por el registro del recibo por honorarios "&amp;Registro_Compras!$C$460&amp;" de "&amp;Registro_Compras!$E$460&amp;" [PATRON POR CONFIRMAR CON CONTADOR]","Por el registro de la factura "&amp;Registro_Compras!$C$460&amp;" de "&amp;Registro_Compras!$E$460)))</f>
        <v/>
      </c>
      <c r="H4109">
        <f>IF($C4109="","",Registro_Compras!$C$460)</f>
        <v/>
      </c>
    </row>
    <row r="4110">
      <c r="A4110" s="25">
        <f>IF($C4110="","",Registro_Compras!$B$460)</f>
        <v/>
      </c>
      <c r="B4110">
        <f>IF($C4110="","","C"&amp;TEXT(INT((ROW()-5)/9)+1,"000")&amp;"-1")</f>
        <v/>
      </c>
      <c r="C4110">
        <f>IF(OR(Registro_Compras!$C$460="",Registro_Compras!$O$460=""),"",IF(Registro_Compras!$F$460="RHE",IF(Registro_Compras!$V$460=0,"","40172"),IF(Registro_Compras!$F$460="NOTA DE CREDITO",IF(Registro_Compras!$M$460="","63",Registro_Compras!$M$460),IF(Registro_Compras!$K$460=0,"","40111"))))</f>
        <v/>
      </c>
      <c r="D4110">
        <f>IF(OR(Registro_Compras!$C$460="",Registro_Compras!$O$460=""),"",IF(Registro_Compras!$F$460="RHE","Retencion Renta 4ta Categoria por Pagar",IF(Registro_Compras!$F$460="NOTA DE CREDITO","Gastos de Servicios Prestados por Terceros","IGV - Cuenta Propia (Credito Fiscal)")))</f>
        <v/>
      </c>
      <c r="E4110" s="20">
        <f>IF($C4110="","",IF(Registro_Compras!$F$460="FACTURA",ROUND(Registro_Compras!$K$460*Registro_Compras!$N$460,2),""))</f>
        <v/>
      </c>
      <c r="F4110" s="20">
        <f>IF($C4110="","",IF(Registro_Compras!$F$460="RHE",ROUND(Registro_Compras!$V$460*Registro_Compras!$N$460,2),IF(Registro_Compras!$F$460="NOTA DE CREDITO",ROUND(ABS(Registro_Compras!$J$460*Registro_Compras!$N$460),2),"")))</f>
        <v/>
      </c>
      <c r="G4110">
        <f>IF($C4110="","",IF(Registro_Compras!$F$460="NOTA DE CREDITO","Por la nota de credito "&amp;Registro_Compras!$C$460&amp;" de "&amp;Registro_Compras!$E$460&amp;" [PATRON POR CONFIRMAR CON CONTADOR]",IF(Registro_Compras!$F$460="RHE","Por el registro del recibo por honorarios "&amp;Registro_Compras!$C$460&amp;" de "&amp;Registro_Compras!$E$460&amp;" [PATRON POR CONFIRMAR CON CONTADOR]","Por el registro de la factura "&amp;Registro_Compras!$C$460&amp;" de "&amp;Registro_Compras!$E$460)))</f>
        <v/>
      </c>
      <c r="H4110">
        <f>IF($C4110="","",Registro_Compras!$C$460)</f>
        <v/>
      </c>
    </row>
    <row r="4111">
      <c r="A4111" s="25">
        <f>IF($C4111="","",Registro_Compras!$B$460)</f>
        <v/>
      </c>
      <c r="B4111">
        <f>IF($C4111="","","C"&amp;TEXT(INT((ROW()-5)/9)+1,"000")&amp;"-1")</f>
        <v/>
      </c>
      <c r="C4111">
        <f>IF(OR(Registro_Compras!$C$460="",Registro_Compras!$O$460=""),"",IF(Registro_Compras!$F$460="NOTA DE CREDITO",IF(Registro_Compras!$K$460=0,"","40111"),"4212"))</f>
        <v/>
      </c>
      <c r="D4111">
        <f>IF(OR(Registro_Compras!$C$460="",Registro_Compras!$O$460=""),"",IF(Registro_Compras!$F$460="NOTA DE CREDITO","IGV - Cuenta Propia (Credito Fiscal)","Cuentas por Pagar Comerciales - Terceros (Emitidas)"))</f>
        <v/>
      </c>
      <c r="E4111" s="20">
        <f>""</f>
        <v/>
      </c>
      <c r="F4111" s="20">
        <f>IF($C4111="","",IF(Registro_Compras!$F$460="NOTA DE CREDITO",ROUND(ABS(Registro_Compras!$K$460*Registro_Compras!$N$460),2),IF(Registro_Compras!$F$460="RHE",(ROUND(Registro_Compras!$L$460*Registro_Compras!$N$460,2)-ROUND(Registro_Compras!$V$460*Registro_Compras!$N$460,2)),Registro_Compras!$O$460)))</f>
        <v/>
      </c>
      <c r="G4111">
        <f>IF($C4111="","",IF(Registro_Compras!$F$460="NOTA DE CREDITO","Por la nota de credito "&amp;Registro_Compras!$C$460&amp;" de "&amp;Registro_Compras!$E$460&amp;" [PATRON POR CONFIRMAR CON CONTADOR]",IF(Registro_Compras!$F$460="RHE","Por el registro del recibo por honorarios "&amp;Registro_Compras!$C$460&amp;" de "&amp;Registro_Compras!$E$460&amp;" [PATRON POR CONFIRMAR CON CONTADOR]","Por el registro de la factura "&amp;Registro_Compras!$C$460&amp;" de "&amp;Registro_Compras!$E$460)))</f>
        <v/>
      </c>
      <c r="H4111">
        <f>IF($C4111="","",Registro_Compras!$C$460)</f>
        <v/>
      </c>
    </row>
    <row r="4112">
      <c r="A4112" s="25">
        <f>IF($C4112="","",Registro_Compras!$B$460)</f>
        <v/>
      </c>
      <c r="B4112">
        <f>IF($C4112="","","C"&amp;TEXT(INT((ROW()-5)/9)+1,"000")&amp;"-2")</f>
        <v/>
      </c>
      <c r="C4112">
        <f>IF(OR(Registro_Compras!$C$460="",Registro_Compras!$O$460=""),"",IF(Registro_Compras!$AB$460="ADMINISTRATIVO","94","95"))</f>
        <v/>
      </c>
      <c r="D4112">
        <f>IF(OR(Registro_Compras!$C$460="",Registro_Compras!$O$460=""),"",IF(Registro_Compras!$AB$460="ADMINISTRATIVO","Gastos Administrativos","Gastos de Venta y Operacion"))</f>
        <v/>
      </c>
      <c r="E4112" s="20">
        <f>IF($C4112="","",IF(Registro_Compras!$F$460="NOTA DE CREDITO","",IF(Registro_Compras!$F$460="RHE",ROUND(Registro_Compras!$L$460*Registro_Compras!$N$460,2),ROUND(Registro_Compras!$J$460*Registro_Compras!$N$460,2))))</f>
        <v/>
      </c>
      <c r="F4112" s="20">
        <f>IF($C4112="","",IF(Registro_Compras!$F$460="NOTA DE CREDITO",ROUND(ABS(Registro_Compras!$J$460*Registro_Compras!$N$460),2),""))</f>
        <v/>
      </c>
      <c r="G4112">
        <f>IF($C4112="","","Por el destino del gasto")</f>
        <v/>
      </c>
      <c r="H4112">
        <f>IF($C4112="","",Registro_Compras!$C$460)</f>
        <v/>
      </c>
    </row>
    <row r="4113">
      <c r="A4113" s="25">
        <f>IF($C4113="","",Registro_Compras!$B$460)</f>
        <v/>
      </c>
      <c r="B4113">
        <f>IF($C4113="","","C"&amp;TEXT(INT((ROW()-5)/9)+1,"000")&amp;"-2")</f>
        <v/>
      </c>
      <c r="C4113">
        <f>IF(OR(Registro_Compras!$C$460="",Registro_Compras!$O$460=""),"","79/791")</f>
        <v/>
      </c>
      <c r="D4113">
        <f>IF(OR(Registro_Compras!$C$460="",Registro_Compras!$O$460=""),"","Cargas Imputables a Cuentas de Costos y Gastos")</f>
        <v/>
      </c>
      <c r="E4113" s="20">
        <f>IF($C4113="","",IF(Registro_Compras!$F$460="NOTA DE CREDITO",ROUND(ABS(Registro_Compras!$J$460*Registro_Compras!$N$460),2),""))</f>
        <v/>
      </c>
      <c r="F4113" s="20">
        <f>IF($C4113="","",IF(Registro_Compras!$F$460="NOTA DE CREDITO","",IF(Registro_Compras!$F$460="RHE",ROUND(Registro_Compras!$L$460*Registro_Compras!$N$460,2),ROUND(Registro_Compras!$J$460*Registro_Compras!$N$460,2))))</f>
        <v/>
      </c>
      <c r="G4113">
        <f>IF($C4113="","","Por el destino del gasto")</f>
        <v/>
      </c>
      <c r="H4113">
        <f>IF($C4113="","",Registro_Compras!$C$460)</f>
        <v/>
      </c>
    </row>
    <row r="4114">
      <c r="A4114" s="25">
        <f>IF($C4114="","",Registro_Compras!$X$460)</f>
        <v/>
      </c>
      <c r="B4114">
        <f>IF($C4114="","","C"&amp;TEXT(INT((ROW()-5)/9)+1,"000")&amp;"-3")</f>
        <v/>
      </c>
      <c r="C4114">
        <f>IF(OR(Registro_Compras!$C$460="",Registro_Compras!$O$460="",Registro_Compras!$R$460&lt;&gt;"SI",Registro_Compras!$X$460=""),"","4212")</f>
        <v/>
      </c>
      <c r="D4114">
        <f>IF(OR(Registro_Compras!$C$460="",Registro_Compras!$O$460=""),"","Cuentas por Pagar Comerciales - Terceros")</f>
        <v/>
      </c>
      <c r="E4114" s="20">
        <f>IF($C4114="","",Registro_Compras!$S$460)</f>
        <v/>
      </c>
      <c r="F4114" s="20">
        <f>""</f>
        <v/>
      </c>
      <c r="G4114">
        <f>IF($C4114="","","Por el deposito de la detraccion en el Banco de la Nacion")</f>
        <v/>
      </c>
      <c r="H4114">
        <f>IF($C4114="","",Registro_Compras!$C$460)</f>
        <v/>
      </c>
    </row>
    <row r="4115">
      <c r="A4115" s="25">
        <f>IF($C4115="","",Registro_Compras!$X$460)</f>
        <v/>
      </c>
      <c r="B4115">
        <f>IF($C4115="","","C"&amp;TEXT(INT((ROW()-5)/9)+1,"000")&amp;"-3")</f>
        <v/>
      </c>
      <c r="C4115">
        <f>IF(OR(Registro_Compras!$C$460="",Registro_Compras!$O$460="",Registro_Compras!$R$460&lt;&gt;"SI",Registro_Compras!$X$460=""),"","10413")</f>
        <v/>
      </c>
      <c r="D4115">
        <f>IF(OR(Registro_Compras!$C$460="",Registro_Compras!$O$460=""),"","Efectivo y Equivalentes - Cta. Cte. Operativa")</f>
        <v/>
      </c>
      <c r="E4115" s="20">
        <f>""</f>
        <v/>
      </c>
      <c r="F4115" s="20">
        <f>IF($C4115="","",Registro_Compras!$S$460)</f>
        <v/>
      </c>
      <c r="G4115">
        <f>IF($C4115="","","Por el deposito de la detraccion en el Banco de la Nacion")</f>
        <v/>
      </c>
      <c r="H4115">
        <f>IF($C4115="","",Registro_Compras!$C$460)</f>
        <v/>
      </c>
    </row>
    <row r="4116">
      <c r="A4116" s="25">
        <f>IF($C4116="","",Registro_Compras!$Y$460)</f>
        <v/>
      </c>
      <c r="B4116">
        <f>IF($C4116="","","C"&amp;TEXT(INT((ROW()-5)/9)+1,"000")&amp;"-4")</f>
        <v/>
      </c>
      <c r="C4116">
        <f>IF(OR(Registro_Compras!$C$460="",Registro_Compras!$O$460="",Registro_Compras!$Y$460="",Registro_Compras!$F$460="NOTA DE CREDITO"),"","4212")</f>
        <v/>
      </c>
      <c r="D4116">
        <f>IF(OR(Registro_Compras!$C$460="",Registro_Compras!$O$460=""),"","Cuentas por Pagar Comerciales - Terceros")</f>
        <v/>
      </c>
      <c r="E4116" s="20">
        <f>IF($C4116="","",IF(Registro_Compras!$F$460="RHE",(ROUND(Registro_Compras!$L$460*Registro_Compras!$N$460,2)-ROUND(Registro_Compras!$V$460*Registro_Compras!$N$460,2)),ROUND(Registro_Compras!$O$460-Registro_Compras!$S$460,2)))</f>
        <v/>
      </c>
      <c r="F4116" s="20">
        <f>""</f>
        <v/>
      </c>
      <c r="G4116">
        <f>IF($C4116="","","Por la cancelacion del saldo al proveedor")</f>
        <v/>
      </c>
      <c r="H4116">
        <f>IF($C4116="","",Registro_Compras!$C$460)</f>
        <v/>
      </c>
    </row>
    <row r="4117">
      <c r="A4117" s="25">
        <f>IF($C4117="","",Registro_Compras!$Y$460)</f>
        <v/>
      </c>
      <c r="B4117">
        <f>IF($C4117="","","C"&amp;TEXT(INT((ROW()-5)/9)+1,"000")&amp;"-4")</f>
        <v/>
      </c>
      <c r="C4117">
        <f>IF(OR(Registro_Compras!$C$460="",Registro_Compras!$O$460="",Registro_Compras!$Y$460="",Registro_Compras!$F$460="NOTA DE CREDITO"),"","10413")</f>
        <v/>
      </c>
      <c r="D4117">
        <f>IF(OR(Registro_Compras!$C$460="",Registro_Compras!$O$460=""),"","Efectivo y Equivalentes - Cta. Cte. Operativa")</f>
        <v/>
      </c>
      <c r="E4117" s="20">
        <f>""</f>
        <v/>
      </c>
      <c r="F4117" s="20">
        <f>IF($C4117="","",IF(Registro_Compras!$F$460="RHE",(ROUND(Registro_Compras!$L$460*Registro_Compras!$N$460,2)-ROUND(Registro_Compras!$V$460*Registro_Compras!$N$460,2)),ROUND(Registro_Compras!$O$460-Registro_Compras!$S$460,2)))</f>
        <v/>
      </c>
      <c r="G4117">
        <f>IF($C4117="","","Por la cancelacion del saldo al proveedor")</f>
        <v/>
      </c>
      <c r="H4117">
        <f>IF($C4117="","",Registro_Compras!$C$460)</f>
        <v/>
      </c>
    </row>
    <row r="4118">
      <c r="A4118" s="25">
        <f>IF($C4118="","",Registro_Compras!$B$461)</f>
        <v/>
      </c>
      <c r="B4118">
        <f>IF($C4118="","","C"&amp;TEXT(INT((ROW()-5)/9)+1,"000")&amp;"-1")</f>
        <v/>
      </c>
      <c r="C4118">
        <f>IF(OR(Registro_Compras!$C$461="",Registro_Compras!$O$461=""),"",IF(Registro_Compras!$F$461="NOTA DE CREDITO","4212",IF(Registro_Compras!$M$461="","63",Registro_Compras!$M$461)))</f>
        <v/>
      </c>
      <c r="D4118">
        <f>IF(OR(Registro_Compras!$C$461="",Registro_Compras!$O$461=""),"",IF(Registro_Compras!$F$461="NOTA DE CREDITO","Cuentas por Pagar Comerciales - Terceros (Emitidas)",IF(Registro_Compras!$F$461="RHE","Honorarios Profesionales - Servicios de Terceros","Gastos de Servicios Prestados por Terceros")))</f>
        <v/>
      </c>
      <c r="E4118" s="20">
        <f>IF($C4118="","",IF(Registro_Compras!$F$461="NOTA DE CREDITO",ABS(Registro_Compras!$O$461),IF(Registro_Compras!$F$461="RHE",ROUND(Registro_Compras!$L$461*Registro_Compras!$N$461,2),ROUND(Registro_Compras!$J$461*Registro_Compras!$N$461,2))))</f>
        <v/>
      </c>
      <c r="F4118" s="20">
        <f>""</f>
        <v/>
      </c>
      <c r="G4118">
        <f>IF($C4118="","",IF(Registro_Compras!$F$461="NOTA DE CREDITO","Por la nota de credito "&amp;Registro_Compras!$C$461&amp;" de "&amp;Registro_Compras!$E$461&amp;" [PATRON POR CONFIRMAR CON CONTADOR]",IF(Registro_Compras!$F$461="RHE","Por el registro del recibo por honorarios "&amp;Registro_Compras!$C$461&amp;" de "&amp;Registro_Compras!$E$461&amp;" [PATRON POR CONFIRMAR CON CONTADOR]","Por el registro de la factura "&amp;Registro_Compras!$C$461&amp;" de "&amp;Registro_Compras!$E$461)))</f>
        <v/>
      </c>
      <c r="H4118">
        <f>IF($C4118="","",Registro_Compras!$C$461)</f>
        <v/>
      </c>
    </row>
    <row r="4119">
      <c r="A4119" s="25">
        <f>IF($C4119="","",Registro_Compras!$B$461)</f>
        <v/>
      </c>
      <c r="B4119">
        <f>IF($C4119="","","C"&amp;TEXT(INT((ROW()-5)/9)+1,"000")&amp;"-1")</f>
        <v/>
      </c>
      <c r="C4119">
        <f>IF(OR(Registro_Compras!$C$461="",Registro_Compras!$O$461=""),"",IF(Registro_Compras!$F$461="RHE",IF(Registro_Compras!$V$461=0,"","40172"),IF(Registro_Compras!$F$461="NOTA DE CREDITO",IF(Registro_Compras!$M$461="","63",Registro_Compras!$M$461),IF(Registro_Compras!$K$461=0,"","40111"))))</f>
        <v/>
      </c>
      <c r="D4119">
        <f>IF(OR(Registro_Compras!$C$461="",Registro_Compras!$O$461=""),"",IF(Registro_Compras!$F$461="RHE","Retencion Renta 4ta Categoria por Pagar",IF(Registro_Compras!$F$461="NOTA DE CREDITO","Gastos de Servicios Prestados por Terceros","IGV - Cuenta Propia (Credito Fiscal)")))</f>
        <v/>
      </c>
      <c r="E4119" s="20">
        <f>IF($C4119="","",IF(Registro_Compras!$F$461="FACTURA",ROUND(Registro_Compras!$K$461*Registro_Compras!$N$461,2),""))</f>
        <v/>
      </c>
      <c r="F4119" s="20">
        <f>IF($C4119="","",IF(Registro_Compras!$F$461="RHE",ROUND(Registro_Compras!$V$461*Registro_Compras!$N$461,2),IF(Registro_Compras!$F$461="NOTA DE CREDITO",ROUND(ABS(Registro_Compras!$J$461*Registro_Compras!$N$461),2),"")))</f>
        <v/>
      </c>
      <c r="G4119">
        <f>IF($C4119="","",IF(Registro_Compras!$F$461="NOTA DE CREDITO","Por la nota de credito "&amp;Registro_Compras!$C$461&amp;" de "&amp;Registro_Compras!$E$461&amp;" [PATRON POR CONFIRMAR CON CONTADOR]",IF(Registro_Compras!$F$461="RHE","Por el registro del recibo por honorarios "&amp;Registro_Compras!$C$461&amp;" de "&amp;Registro_Compras!$E$461&amp;" [PATRON POR CONFIRMAR CON CONTADOR]","Por el registro de la factura "&amp;Registro_Compras!$C$461&amp;" de "&amp;Registro_Compras!$E$461)))</f>
        <v/>
      </c>
      <c r="H4119">
        <f>IF($C4119="","",Registro_Compras!$C$461)</f>
        <v/>
      </c>
    </row>
    <row r="4120">
      <c r="A4120" s="25">
        <f>IF($C4120="","",Registro_Compras!$B$461)</f>
        <v/>
      </c>
      <c r="B4120">
        <f>IF($C4120="","","C"&amp;TEXT(INT((ROW()-5)/9)+1,"000")&amp;"-1")</f>
        <v/>
      </c>
      <c r="C4120">
        <f>IF(OR(Registro_Compras!$C$461="",Registro_Compras!$O$461=""),"",IF(Registro_Compras!$F$461="NOTA DE CREDITO",IF(Registro_Compras!$K$461=0,"","40111"),"4212"))</f>
        <v/>
      </c>
      <c r="D4120">
        <f>IF(OR(Registro_Compras!$C$461="",Registro_Compras!$O$461=""),"",IF(Registro_Compras!$F$461="NOTA DE CREDITO","IGV - Cuenta Propia (Credito Fiscal)","Cuentas por Pagar Comerciales - Terceros (Emitidas)"))</f>
        <v/>
      </c>
      <c r="E4120" s="20">
        <f>""</f>
        <v/>
      </c>
      <c r="F4120" s="20">
        <f>IF($C4120="","",IF(Registro_Compras!$F$461="NOTA DE CREDITO",ROUND(ABS(Registro_Compras!$K$461*Registro_Compras!$N$461),2),IF(Registro_Compras!$F$461="RHE",(ROUND(Registro_Compras!$L$461*Registro_Compras!$N$461,2)-ROUND(Registro_Compras!$V$461*Registro_Compras!$N$461,2)),Registro_Compras!$O$461)))</f>
        <v/>
      </c>
      <c r="G4120">
        <f>IF($C4120="","",IF(Registro_Compras!$F$461="NOTA DE CREDITO","Por la nota de credito "&amp;Registro_Compras!$C$461&amp;" de "&amp;Registro_Compras!$E$461&amp;" [PATRON POR CONFIRMAR CON CONTADOR]",IF(Registro_Compras!$F$461="RHE","Por el registro del recibo por honorarios "&amp;Registro_Compras!$C$461&amp;" de "&amp;Registro_Compras!$E$461&amp;" [PATRON POR CONFIRMAR CON CONTADOR]","Por el registro de la factura "&amp;Registro_Compras!$C$461&amp;" de "&amp;Registro_Compras!$E$461)))</f>
        <v/>
      </c>
      <c r="H4120">
        <f>IF($C4120="","",Registro_Compras!$C$461)</f>
        <v/>
      </c>
    </row>
    <row r="4121">
      <c r="A4121" s="25">
        <f>IF($C4121="","",Registro_Compras!$B$461)</f>
        <v/>
      </c>
      <c r="B4121">
        <f>IF($C4121="","","C"&amp;TEXT(INT((ROW()-5)/9)+1,"000")&amp;"-2")</f>
        <v/>
      </c>
      <c r="C4121">
        <f>IF(OR(Registro_Compras!$C$461="",Registro_Compras!$O$461=""),"",IF(Registro_Compras!$AB$461="ADMINISTRATIVO","94","95"))</f>
        <v/>
      </c>
      <c r="D4121">
        <f>IF(OR(Registro_Compras!$C$461="",Registro_Compras!$O$461=""),"",IF(Registro_Compras!$AB$461="ADMINISTRATIVO","Gastos Administrativos","Gastos de Venta y Operacion"))</f>
        <v/>
      </c>
      <c r="E4121" s="20">
        <f>IF($C4121="","",IF(Registro_Compras!$F$461="NOTA DE CREDITO","",IF(Registro_Compras!$F$461="RHE",ROUND(Registro_Compras!$L$461*Registro_Compras!$N$461,2),ROUND(Registro_Compras!$J$461*Registro_Compras!$N$461,2))))</f>
        <v/>
      </c>
      <c r="F4121" s="20">
        <f>IF($C4121="","",IF(Registro_Compras!$F$461="NOTA DE CREDITO",ROUND(ABS(Registro_Compras!$J$461*Registro_Compras!$N$461),2),""))</f>
        <v/>
      </c>
      <c r="G4121">
        <f>IF($C4121="","","Por el destino del gasto")</f>
        <v/>
      </c>
      <c r="H4121">
        <f>IF($C4121="","",Registro_Compras!$C$461)</f>
        <v/>
      </c>
    </row>
    <row r="4122">
      <c r="A4122" s="25">
        <f>IF($C4122="","",Registro_Compras!$B$461)</f>
        <v/>
      </c>
      <c r="B4122">
        <f>IF($C4122="","","C"&amp;TEXT(INT((ROW()-5)/9)+1,"000")&amp;"-2")</f>
        <v/>
      </c>
      <c r="C4122">
        <f>IF(OR(Registro_Compras!$C$461="",Registro_Compras!$O$461=""),"","79/791")</f>
        <v/>
      </c>
      <c r="D4122">
        <f>IF(OR(Registro_Compras!$C$461="",Registro_Compras!$O$461=""),"","Cargas Imputables a Cuentas de Costos y Gastos")</f>
        <v/>
      </c>
      <c r="E4122" s="20">
        <f>IF($C4122="","",IF(Registro_Compras!$F$461="NOTA DE CREDITO",ROUND(ABS(Registro_Compras!$J$461*Registro_Compras!$N$461),2),""))</f>
        <v/>
      </c>
      <c r="F4122" s="20">
        <f>IF($C4122="","",IF(Registro_Compras!$F$461="NOTA DE CREDITO","",IF(Registro_Compras!$F$461="RHE",ROUND(Registro_Compras!$L$461*Registro_Compras!$N$461,2),ROUND(Registro_Compras!$J$461*Registro_Compras!$N$461,2))))</f>
        <v/>
      </c>
      <c r="G4122">
        <f>IF($C4122="","","Por el destino del gasto")</f>
        <v/>
      </c>
      <c r="H4122">
        <f>IF($C4122="","",Registro_Compras!$C$461)</f>
        <v/>
      </c>
    </row>
    <row r="4123">
      <c r="A4123" s="25">
        <f>IF($C4123="","",Registro_Compras!$X$461)</f>
        <v/>
      </c>
      <c r="B4123">
        <f>IF($C4123="","","C"&amp;TEXT(INT((ROW()-5)/9)+1,"000")&amp;"-3")</f>
        <v/>
      </c>
      <c r="C4123">
        <f>IF(OR(Registro_Compras!$C$461="",Registro_Compras!$O$461="",Registro_Compras!$R$461&lt;&gt;"SI",Registro_Compras!$X$461=""),"","4212")</f>
        <v/>
      </c>
      <c r="D4123">
        <f>IF(OR(Registro_Compras!$C$461="",Registro_Compras!$O$461=""),"","Cuentas por Pagar Comerciales - Terceros")</f>
        <v/>
      </c>
      <c r="E4123" s="20">
        <f>IF($C4123="","",Registro_Compras!$S$461)</f>
        <v/>
      </c>
      <c r="F4123" s="20">
        <f>""</f>
        <v/>
      </c>
      <c r="G4123">
        <f>IF($C4123="","","Por el deposito de la detraccion en el Banco de la Nacion")</f>
        <v/>
      </c>
      <c r="H4123">
        <f>IF($C4123="","",Registro_Compras!$C$461)</f>
        <v/>
      </c>
    </row>
    <row r="4124">
      <c r="A4124" s="25">
        <f>IF($C4124="","",Registro_Compras!$X$461)</f>
        <v/>
      </c>
      <c r="B4124">
        <f>IF($C4124="","","C"&amp;TEXT(INT((ROW()-5)/9)+1,"000")&amp;"-3")</f>
        <v/>
      </c>
      <c r="C4124">
        <f>IF(OR(Registro_Compras!$C$461="",Registro_Compras!$O$461="",Registro_Compras!$R$461&lt;&gt;"SI",Registro_Compras!$X$461=""),"","10413")</f>
        <v/>
      </c>
      <c r="D4124">
        <f>IF(OR(Registro_Compras!$C$461="",Registro_Compras!$O$461=""),"","Efectivo y Equivalentes - Cta. Cte. Operativa")</f>
        <v/>
      </c>
      <c r="E4124" s="20">
        <f>""</f>
        <v/>
      </c>
      <c r="F4124" s="20">
        <f>IF($C4124="","",Registro_Compras!$S$461)</f>
        <v/>
      </c>
      <c r="G4124">
        <f>IF($C4124="","","Por el deposito de la detraccion en el Banco de la Nacion")</f>
        <v/>
      </c>
      <c r="H4124">
        <f>IF($C4124="","",Registro_Compras!$C$461)</f>
        <v/>
      </c>
    </row>
    <row r="4125">
      <c r="A4125" s="25">
        <f>IF($C4125="","",Registro_Compras!$Y$461)</f>
        <v/>
      </c>
      <c r="B4125">
        <f>IF($C4125="","","C"&amp;TEXT(INT((ROW()-5)/9)+1,"000")&amp;"-4")</f>
        <v/>
      </c>
      <c r="C4125">
        <f>IF(OR(Registro_Compras!$C$461="",Registro_Compras!$O$461="",Registro_Compras!$Y$461="",Registro_Compras!$F$461="NOTA DE CREDITO"),"","4212")</f>
        <v/>
      </c>
      <c r="D4125">
        <f>IF(OR(Registro_Compras!$C$461="",Registro_Compras!$O$461=""),"","Cuentas por Pagar Comerciales - Terceros")</f>
        <v/>
      </c>
      <c r="E4125" s="20">
        <f>IF($C4125="","",IF(Registro_Compras!$F$461="RHE",(ROUND(Registro_Compras!$L$461*Registro_Compras!$N$461,2)-ROUND(Registro_Compras!$V$461*Registro_Compras!$N$461,2)),ROUND(Registro_Compras!$O$461-Registro_Compras!$S$461,2)))</f>
        <v/>
      </c>
      <c r="F4125" s="20">
        <f>""</f>
        <v/>
      </c>
      <c r="G4125">
        <f>IF($C4125="","","Por la cancelacion del saldo al proveedor")</f>
        <v/>
      </c>
      <c r="H4125">
        <f>IF($C4125="","",Registro_Compras!$C$461)</f>
        <v/>
      </c>
    </row>
    <row r="4126">
      <c r="A4126" s="25">
        <f>IF($C4126="","",Registro_Compras!$Y$461)</f>
        <v/>
      </c>
      <c r="B4126">
        <f>IF($C4126="","","C"&amp;TEXT(INT((ROW()-5)/9)+1,"000")&amp;"-4")</f>
        <v/>
      </c>
      <c r="C4126">
        <f>IF(OR(Registro_Compras!$C$461="",Registro_Compras!$O$461="",Registro_Compras!$Y$461="",Registro_Compras!$F$461="NOTA DE CREDITO"),"","10413")</f>
        <v/>
      </c>
      <c r="D4126">
        <f>IF(OR(Registro_Compras!$C$461="",Registro_Compras!$O$461=""),"","Efectivo y Equivalentes - Cta. Cte. Operativa")</f>
        <v/>
      </c>
      <c r="E4126" s="20">
        <f>""</f>
        <v/>
      </c>
      <c r="F4126" s="20">
        <f>IF($C4126="","",IF(Registro_Compras!$F$461="RHE",(ROUND(Registro_Compras!$L$461*Registro_Compras!$N$461,2)-ROUND(Registro_Compras!$V$461*Registro_Compras!$N$461,2)),ROUND(Registro_Compras!$O$461-Registro_Compras!$S$461,2)))</f>
        <v/>
      </c>
      <c r="G4126">
        <f>IF($C4126="","","Por la cancelacion del saldo al proveedor")</f>
        <v/>
      </c>
      <c r="H4126">
        <f>IF($C4126="","",Registro_Compras!$C$461)</f>
        <v/>
      </c>
    </row>
    <row r="4127">
      <c r="A4127" s="25">
        <f>IF($C4127="","",Registro_Compras!$B$462)</f>
        <v/>
      </c>
      <c r="B4127">
        <f>IF($C4127="","","C"&amp;TEXT(INT((ROW()-5)/9)+1,"000")&amp;"-1")</f>
        <v/>
      </c>
      <c r="C4127">
        <f>IF(OR(Registro_Compras!$C$462="",Registro_Compras!$O$462=""),"",IF(Registro_Compras!$F$462="NOTA DE CREDITO","4212",IF(Registro_Compras!$M$462="","63",Registro_Compras!$M$462)))</f>
        <v/>
      </c>
      <c r="D4127">
        <f>IF(OR(Registro_Compras!$C$462="",Registro_Compras!$O$462=""),"",IF(Registro_Compras!$F$462="NOTA DE CREDITO","Cuentas por Pagar Comerciales - Terceros (Emitidas)",IF(Registro_Compras!$F$462="RHE","Honorarios Profesionales - Servicios de Terceros","Gastos de Servicios Prestados por Terceros")))</f>
        <v/>
      </c>
      <c r="E4127" s="20">
        <f>IF($C4127="","",IF(Registro_Compras!$F$462="NOTA DE CREDITO",ABS(Registro_Compras!$O$462),IF(Registro_Compras!$F$462="RHE",ROUND(Registro_Compras!$L$462*Registro_Compras!$N$462,2),ROUND(Registro_Compras!$J$462*Registro_Compras!$N$462,2))))</f>
        <v/>
      </c>
      <c r="F4127" s="20">
        <f>""</f>
        <v/>
      </c>
      <c r="G4127">
        <f>IF($C4127="","",IF(Registro_Compras!$F$462="NOTA DE CREDITO","Por la nota de credito "&amp;Registro_Compras!$C$462&amp;" de "&amp;Registro_Compras!$E$462&amp;" [PATRON POR CONFIRMAR CON CONTADOR]",IF(Registro_Compras!$F$462="RHE","Por el registro del recibo por honorarios "&amp;Registro_Compras!$C$462&amp;" de "&amp;Registro_Compras!$E$462&amp;" [PATRON POR CONFIRMAR CON CONTADOR]","Por el registro de la factura "&amp;Registro_Compras!$C$462&amp;" de "&amp;Registro_Compras!$E$462)))</f>
        <v/>
      </c>
      <c r="H4127">
        <f>IF($C4127="","",Registro_Compras!$C$462)</f>
        <v/>
      </c>
    </row>
    <row r="4128">
      <c r="A4128" s="25">
        <f>IF($C4128="","",Registro_Compras!$B$462)</f>
        <v/>
      </c>
      <c r="B4128">
        <f>IF($C4128="","","C"&amp;TEXT(INT((ROW()-5)/9)+1,"000")&amp;"-1")</f>
        <v/>
      </c>
      <c r="C4128">
        <f>IF(OR(Registro_Compras!$C$462="",Registro_Compras!$O$462=""),"",IF(Registro_Compras!$F$462="RHE",IF(Registro_Compras!$V$462=0,"","40172"),IF(Registro_Compras!$F$462="NOTA DE CREDITO",IF(Registro_Compras!$M$462="","63",Registro_Compras!$M$462),IF(Registro_Compras!$K$462=0,"","40111"))))</f>
        <v/>
      </c>
      <c r="D4128">
        <f>IF(OR(Registro_Compras!$C$462="",Registro_Compras!$O$462=""),"",IF(Registro_Compras!$F$462="RHE","Retencion Renta 4ta Categoria por Pagar",IF(Registro_Compras!$F$462="NOTA DE CREDITO","Gastos de Servicios Prestados por Terceros","IGV - Cuenta Propia (Credito Fiscal)")))</f>
        <v/>
      </c>
      <c r="E4128" s="20">
        <f>IF($C4128="","",IF(Registro_Compras!$F$462="FACTURA",ROUND(Registro_Compras!$K$462*Registro_Compras!$N$462,2),""))</f>
        <v/>
      </c>
      <c r="F4128" s="20">
        <f>IF($C4128="","",IF(Registro_Compras!$F$462="RHE",ROUND(Registro_Compras!$V$462*Registro_Compras!$N$462,2),IF(Registro_Compras!$F$462="NOTA DE CREDITO",ROUND(ABS(Registro_Compras!$J$462*Registro_Compras!$N$462),2),"")))</f>
        <v/>
      </c>
      <c r="G4128">
        <f>IF($C4128="","",IF(Registro_Compras!$F$462="NOTA DE CREDITO","Por la nota de credito "&amp;Registro_Compras!$C$462&amp;" de "&amp;Registro_Compras!$E$462&amp;" [PATRON POR CONFIRMAR CON CONTADOR]",IF(Registro_Compras!$F$462="RHE","Por el registro del recibo por honorarios "&amp;Registro_Compras!$C$462&amp;" de "&amp;Registro_Compras!$E$462&amp;" [PATRON POR CONFIRMAR CON CONTADOR]","Por el registro de la factura "&amp;Registro_Compras!$C$462&amp;" de "&amp;Registro_Compras!$E$462)))</f>
        <v/>
      </c>
      <c r="H4128">
        <f>IF($C4128="","",Registro_Compras!$C$462)</f>
        <v/>
      </c>
    </row>
    <row r="4129">
      <c r="A4129" s="25">
        <f>IF($C4129="","",Registro_Compras!$B$462)</f>
        <v/>
      </c>
      <c r="B4129">
        <f>IF($C4129="","","C"&amp;TEXT(INT((ROW()-5)/9)+1,"000")&amp;"-1")</f>
        <v/>
      </c>
      <c r="C4129">
        <f>IF(OR(Registro_Compras!$C$462="",Registro_Compras!$O$462=""),"",IF(Registro_Compras!$F$462="NOTA DE CREDITO",IF(Registro_Compras!$K$462=0,"","40111"),"4212"))</f>
        <v/>
      </c>
      <c r="D4129">
        <f>IF(OR(Registro_Compras!$C$462="",Registro_Compras!$O$462=""),"",IF(Registro_Compras!$F$462="NOTA DE CREDITO","IGV - Cuenta Propia (Credito Fiscal)","Cuentas por Pagar Comerciales - Terceros (Emitidas)"))</f>
        <v/>
      </c>
      <c r="E4129" s="20">
        <f>""</f>
        <v/>
      </c>
      <c r="F4129" s="20">
        <f>IF($C4129="","",IF(Registro_Compras!$F$462="NOTA DE CREDITO",ROUND(ABS(Registro_Compras!$K$462*Registro_Compras!$N$462),2),IF(Registro_Compras!$F$462="RHE",(ROUND(Registro_Compras!$L$462*Registro_Compras!$N$462,2)-ROUND(Registro_Compras!$V$462*Registro_Compras!$N$462,2)),Registro_Compras!$O$462)))</f>
        <v/>
      </c>
      <c r="G4129">
        <f>IF($C4129="","",IF(Registro_Compras!$F$462="NOTA DE CREDITO","Por la nota de credito "&amp;Registro_Compras!$C$462&amp;" de "&amp;Registro_Compras!$E$462&amp;" [PATRON POR CONFIRMAR CON CONTADOR]",IF(Registro_Compras!$F$462="RHE","Por el registro del recibo por honorarios "&amp;Registro_Compras!$C$462&amp;" de "&amp;Registro_Compras!$E$462&amp;" [PATRON POR CONFIRMAR CON CONTADOR]","Por el registro de la factura "&amp;Registro_Compras!$C$462&amp;" de "&amp;Registro_Compras!$E$462)))</f>
        <v/>
      </c>
      <c r="H4129">
        <f>IF($C4129="","",Registro_Compras!$C$462)</f>
        <v/>
      </c>
    </row>
    <row r="4130">
      <c r="A4130" s="25">
        <f>IF($C4130="","",Registro_Compras!$B$462)</f>
        <v/>
      </c>
      <c r="B4130">
        <f>IF($C4130="","","C"&amp;TEXT(INT((ROW()-5)/9)+1,"000")&amp;"-2")</f>
        <v/>
      </c>
      <c r="C4130">
        <f>IF(OR(Registro_Compras!$C$462="",Registro_Compras!$O$462=""),"",IF(Registro_Compras!$AB$462="ADMINISTRATIVO","94","95"))</f>
        <v/>
      </c>
      <c r="D4130">
        <f>IF(OR(Registro_Compras!$C$462="",Registro_Compras!$O$462=""),"",IF(Registro_Compras!$AB$462="ADMINISTRATIVO","Gastos Administrativos","Gastos de Venta y Operacion"))</f>
        <v/>
      </c>
      <c r="E4130" s="20">
        <f>IF($C4130="","",IF(Registro_Compras!$F$462="NOTA DE CREDITO","",IF(Registro_Compras!$F$462="RHE",ROUND(Registro_Compras!$L$462*Registro_Compras!$N$462,2),ROUND(Registro_Compras!$J$462*Registro_Compras!$N$462,2))))</f>
        <v/>
      </c>
      <c r="F4130" s="20">
        <f>IF($C4130="","",IF(Registro_Compras!$F$462="NOTA DE CREDITO",ROUND(ABS(Registro_Compras!$J$462*Registro_Compras!$N$462),2),""))</f>
        <v/>
      </c>
      <c r="G4130">
        <f>IF($C4130="","","Por el destino del gasto")</f>
        <v/>
      </c>
      <c r="H4130">
        <f>IF($C4130="","",Registro_Compras!$C$462)</f>
        <v/>
      </c>
    </row>
    <row r="4131">
      <c r="A4131" s="25">
        <f>IF($C4131="","",Registro_Compras!$B$462)</f>
        <v/>
      </c>
      <c r="B4131">
        <f>IF($C4131="","","C"&amp;TEXT(INT((ROW()-5)/9)+1,"000")&amp;"-2")</f>
        <v/>
      </c>
      <c r="C4131">
        <f>IF(OR(Registro_Compras!$C$462="",Registro_Compras!$O$462=""),"","79/791")</f>
        <v/>
      </c>
      <c r="D4131">
        <f>IF(OR(Registro_Compras!$C$462="",Registro_Compras!$O$462=""),"","Cargas Imputables a Cuentas de Costos y Gastos")</f>
        <v/>
      </c>
      <c r="E4131" s="20">
        <f>IF($C4131="","",IF(Registro_Compras!$F$462="NOTA DE CREDITO",ROUND(ABS(Registro_Compras!$J$462*Registro_Compras!$N$462),2),""))</f>
        <v/>
      </c>
      <c r="F4131" s="20">
        <f>IF($C4131="","",IF(Registro_Compras!$F$462="NOTA DE CREDITO","",IF(Registro_Compras!$F$462="RHE",ROUND(Registro_Compras!$L$462*Registro_Compras!$N$462,2),ROUND(Registro_Compras!$J$462*Registro_Compras!$N$462,2))))</f>
        <v/>
      </c>
      <c r="G4131">
        <f>IF($C4131="","","Por el destino del gasto")</f>
        <v/>
      </c>
      <c r="H4131">
        <f>IF($C4131="","",Registro_Compras!$C$462)</f>
        <v/>
      </c>
    </row>
    <row r="4132">
      <c r="A4132" s="25">
        <f>IF($C4132="","",Registro_Compras!$X$462)</f>
        <v/>
      </c>
      <c r="B4132">
        <f>IF($C4132="","","C"&amp;TEXT(INT((ROW()-5)/9)+1,"000")&amp;"-3")</f>
        <v/>
      </c>
      <c r="C4132">
        <f>IF(OR(Registro_Compras!$C$462="",Registro_Compras!$O$462="",Registro_Compras!$R$462&lt;&gt;"SI",Registro_Compras!$X$462=""),"","4212")</f>
        <v/>
      </c>
      <c r="D4132">
        <f>IF(OR(Registro_Compras!$C$462="",Registro_Compras!$O$462=""),"","Cuentas por Pagar Comerciales - Terceros")</f>
        <v/>
      </c>
      <c r="E4132" s="20">
        <f>IF($C4132="","",Registro_Compras!$S$462)</f>
        <v/>
      </c>
      <c r="F4132" s="20">
        <f>""</f>
        <v/>
      </c>
      <c r="G4132">
        <f>IF($C4132="","","Por el deposito de la detraccion en el Banco de la Nacion")</f>
        <v/>
      </c>
      <c r="H4132">
        <f>IF($C4132="","",Registro_Compras!$C$462)</f>
        <v/>
      </c>
    </row>
    <row r="4133">
      <c r="A4133" s="25">
        <f>IF($C4133="","",Registro_Compras!$X$462)</f>
        <v/>
      </c>
      <c r="B4133">
        <f>IF($C4133="","","C"&amp;TEXT(INT((ROW()-5)/9)+1,"000")&amp;"-3")</f>
        <v/>
      </c>
      <c r="C4133">
        <f>IF(OR(Registro_Compras!$C$462="",Registro_Compras!$O$462="",Registro_Compras!$R$462&lt;&gt;"SI",Registro_Compras!$X$462=""),"","10413")</f>
        <v/>
      </c>
      <c r="D4133">
        <f>IF(OR(Registro_Compras!$C$462="",Registro_Compras!$O$462=""),"","Efectivo y Equivalentes - Cta. Cte. Operativa")</f>
        <v/>
      </c>
      <c r="E4133" s="20">
        <f>""</f>
        <v/>
      </c>
      <c r="F4133" s="20">
        <f>IF($C4133="","",Registro_Compras!$S$462)</f>
        <v/>
      </c>
      <c r="G4133">
        <f>IF($C4133="","","Por el deposito de la detraccion en el Banco de la Nacion")</f>
        <v/>
      </c>
      <c r="H4133">
        <f>IF($C4133="","",Registro_Compras!$C$462)</f>
        <v/>
      </c>
    </row>
    <row r="4134">
      <c r="A4134" s="25">
        <f>IF($C4134="","",Registro_Compras!$Y$462)</f>
        <v/>
      </c>
      <c r="B4134">
        <f>IF($C4134="","","C"&amp;TEXT(INT((ROW()-5)/9)+1,"000")&amp;"-4")</f>
        <v/>
      </c>
      <c r="C4134">
        <f>IF(OR(Registro_Compras!$C$462="",Registro_Compras!$O$462="",Registro_Compras!$Y$462="",Registro_Compras!$F$462="NOTA DE CREDITO"),"","4212")</f>
        <v/>
      </c>
      <c r="D4134">
        <f>IF(OR(Registro_Compras!$C$462="",Registro_Compras!$O$462=""),"","Cuentas por Pagar Comerciales - Terceros")</f>
        <v/>
      </c>
      <c r="E4134" s="20">
        <f>IF($C4134="","",IF(Registro_Compras!$F$462="RHE",(ROUND(Registro_Compras!$L$462*Registro_Compras!$N$462,2)-ROUND(Registro_Compras!$V$462*Registro_Compras!$N$462,2)),ROUND(Registro_Compras!$O$462-Registro_Compras!$S$462,2)))</f>
        <v/>
      </c>
      <c r="F4134" s="20">
        <f>""</f>
        <v/>
      </c>
      <c r="G4134">
        <f>IF($C4134="","","Por la cancelacion del saldo al proveedor")</f>
        <v/>
      </c>
      <c r="H4134">
        <f>IF($C4134="","",Registro_Compras!$C$462)</f>
        <v/>
      </c>
    </row>
    <row r="4135">
      <c r="A4135" s="25">
        <f>IF($C4135="","",Registro_Compras!$Y$462)</f>
        <v/>
      </c>
      <c r="B4135">
        <f>IF($C4135="","","C"&amp;TEXT(INT((ROW()-5)/9)+1,"000")&amp;"-4")</f>
        <v/>
      </c>
      <c r="C4135">
        <f>IF(OR(Registro_Compras!$C$462="",Registro_Compras!$O$462="",Registro_Compras!$Y$462="",Registro_Compras!$F$462="NOTA DE CREDITO"),"","10413")</f>
        <v/>
      </c>
      <c r="D4135">
        <f>IF(OR(Registro_Compras!$C$462="",Registro_Compras!$O$462=""),"","Efectivo y Equivalentes - Cta. Cte. Operativa")</f>
        <v/>
      </c>
      <c r="E4135" s="20">
        <f>""</f>
        <v/>
      </c>
      <c r="F4135" s="20">
        <f>IF($C4135="","",IF(Registro_Compras!$F$462="RHE",(ROUND(Registro_Compras!$L$462*Registro_Compras!$N$462,2)-ROUND(Registro_Compras!$V$462*Registro_Compras!$N$462,2)),ROUND(Registro_Compras!$O$462-Registro_Compras!$S$462,2)))</f>
        <v/>
      </c>
      <c r="G4135">
        <f>IF($C4135="","","Por la cancelacion del saldo al proveedor")</f>
        <v/>
      </c>
      <c r="H4135">
        <f>IF($C4135="","",Registro_Compras!$C$462)</f>
        <v/>
      </c>
    </row>
    <row r="4136">
      <c r="A4136" s="25">
        <f>IF($C4136="","",Registro_Compras!$B$463)</f>
        <v/>
      </c>
      <c r="B4136">
        <f>IF($C4136="","","C"&amp;TEXT(INT((ROW()-5)/9)+1,"000")&amp;"-1")</f>
        <v/>
      </c>
      <c r="C4136">
        <f>IF(OR(Registro_Compras!$C$463="",Registro_Compras!$O$463=""),"",IF(Registro_Compras!$F$463="NOTA DE CREDITO","4212",IF(Registro_Compras!$M$463="","63",Registro_Compras!$M$463)))</f>
        <v/>
      </c>
      <c r="D4136">
        <f>IF(OR(Registro_Compras!$C$463="",Registro_Compras!$O$463=""),"",IF(Registro_Compras!$F$463="NOTA DE CREDITO","Cuentas por Pagar Comerciales - Terceros (Emitidas)",IF(Registro_Compras!$F$463="RHE","Honorarios Profesionales - Servicios de Terceros","Gastos de Servicios Prestados por Terceros")))</f>
        <v/>
      </c>
      <c r="E4136" s="20">
        <f>IF($C4136="","",IF(Registro_Compras!$F$463="NOTA DE CREDITO",ABS(Registro_Compras!$O$463),IF(Registro_Compras!$F$463="RHE",ROUND(Registro_Compras!$L$463*Registro_Compras!$N$463,2),ROUND(Registro_Compras!$J$463*Registro_Compras!$N$463,2))))</f>
        <v/>
      </c>
      <c r="F4136" s="20">
        <f>""</f>
        <v/>
      </c>
      <c r="G4136">
        <f>IF($C4136="","",IF(Registro_Compras!$F$463="NOTA DE CREDITO","Por la nota de credito "&amp;Registro_Compras!$C$463&amp;" de "&amp;Registro_Compras!$E$463&amp;" [PATRON POR CONFIRMAR CON CONTADOR]",IF(Registro_Compras!$F$463="RHE","Por el registro del recibo por honorarios "&amp;Registro_Compras!$C$463&amp;" de "&amp;Registro_Compras!$E$463&amp;" [PATRON POR CONFIRMAR CON CONTADOR]","Por el registro de la factura "&amp;Registro_Compras!$C$463&amp;" de "&amp;Registro_Compras!$E$463)))</f>
        <v/>
      </c>
      <c r="H4136">
        <f>IF($C4136="","",Registro_Compras!$C$463)</f>
        <v/>
      </c>
    </row>
    <row r="4137">
      <c r="A4137" s="25">
        <f>IF($C4137="","",Registro_Compras!$B$463)</f>
        <v/>
      </c>
      <c r="B4137">
        <f>IF($C4137="","","C"&amp;TEXT(INT((ROW()-5)/9)+1,"000")&amp;"-1")</f>
        <v/>
      </c>
      <c r="C4137">
        <f>IF(OR(Registro_Compras!$C$463="",Registro_Compras!$O$463=""),"",IF(Registro_Compras!$F$463="RHE",IF(Registro_Compras!$V$463=0,"","40172"),IF(Registro_Compras!$F$463="NOTA DE CREDITO",IF(Registro_Compras!$M$463="","63",Registro_Compras!$M$463),IF(Registro_Compras!$K$463=0,"","40111"))))</f>
        <v/>
      </c>
      <c r="D4137">
        <f>IF(OR(Registro_Compras!$C$463="",Registro_Compras!$O$463=""),"",IF(Registro_Compras!$F$463="RHE","Retencion Renta 4ta Categoria por Pagar",IF(Registro_Compras!$F$463="NOTA DE CREDITO","Gastos de Servicios Prestados por Terceros","IGV - Cuenta Propia (Credito Fiscal)")))</f>
        <v/>
      </c>
      <c r="E4137" s="20">
        <f>IF($C4137="","",IF(Registro_Compras!$F$463="FACTURA",ROUND(Registro_Compras!$K$463*Registro_Compras!$N$463,2),""))</f>
        <v/>
      </c>
      <c r="F4137" s="20">
        <f>IF($C4137="","",IF(Registro_Compras!$F$463="RHE",ROUND(Registro_Compras!$V$463*Registro_Compras!$N$463,2),IF(Registro_Compras!$F$463="NOTA DE CREDITO",ROUND(ABS(Registro_Compras!$J$463*Registro_Compras!$N$463),2),"")))</f>
        <v/>
      </c>
      <c r="G4137">
        <f>IF($C4137="","",IF(Registro_Compras!$F$463="NOTA DE CREDITO","Por la nota de credito "&amp;Registro_Compras!$C$463&amp;" de "&amp;Registro_Compras!$E$463&amp;" [PATRON POR CONFIRMAR CON CONTADOR]",IF(Registro_Compras!$F$463="RHE","Por el registro del recibo por honorarios "&amp;Registro_Compras!$C$463&amp;" de "&amp;Registro_Compras!$E$463&amp;" [PATRON POR CONFIRMAR CON CONTADOR]","Por el registro de la factura "&amp;Registro_Compras!$C$463&amp;" de "&amp;Registro_Compras!$E$463)))</f>
        <v/>
      </c>
      <c r="H4137">
        <f>IF($C4137="","",Registro_Compras!$C$463)</f>
        <v/>
      </c>
    </row>
    <row r="4138">
      <c r="A4138" s="25">
        <f>IF($C4138="","",Registro_Compras!$B$463)</f>
        <v/>
      </c>
      <c r="B4138">
        <f>IF($C4138="","","C"&amp;TEXT(INT((ROW()-5)/9)+1,"000")&amp;"-1")</f>
        <v/>
      </c>
      <c r="C4138">
        <f>IF(OR(Registro_Compras!$C$463="",Registro_Compras!$O$463=""),"",IF(Registro_Compras!$F$463="NOTA DE CREDITO",IF(Registro_Compras!$K$463=0,"","40111"),"4212"))</f>
        <v/>
      </c>
      <c r="D4138">
        <f>IF(OR(Registro_Compras!$C$463="",Registro_Compras!$O$463=""),"",IF(Registro_Compras!$F$463="NOTA DE CREDITO","IGV - Cuenta Propia (Credito Fiscal)","Cuentas por Pagar Comerciales - Terceros (Emitidas)"))</f>
        <v/>
      </c>
      <c r="E4138" s="20">
        <f>""</f>
        <v/>
      </c>
      <c r="F4138" s="20">
        <f>IF($C4138="","",IF(Registro_Compras!$F$463="NOTA DE CREDITO",ROUND(ABS(Registro_Compras!$K$463*Registro_Compras!$N$463),2),IF(Registro_Compras!$F$463="RHE",(ROUND(Registro_Compras!$L$463*Registro_Compras!$N$463,2)-ROUND(Registro_Compras!$V$463*Registro_Compras!$N$463,2)),Registro_Compras!$O$463)))</f>
        <v/>
      </c>
      <c r="G4138">
        <f>IF($C4138="","",IF(Registro_Compras!$F$463="NOTA DE CREDITO","Por la nota de credito "&amp;Registro_Compras!$C$463&amp;" de "&amp;Registro_Compras!$E$463&amp;" [PATRON POR CONFIRMAR CON CONTADOR]",IF(Registro_Compras!$F$463="RHE","Por el registro del recibo por honorarios "&amp;Registro_Compras!$C$463&amp;" de "&amp;Registro_Compras!$E$463&amp;" [PATRON POR CONFIRMAR CON CONTADOR]","Por el registro de la factura "&amp;Registro_Compras!$C$463&amp;" de "&amp;Registro_Compras!$E$463)))</f>
        <v/>
      </c>
      <c r="H4138">
        <f>IF($C4138="","",Registro_Compras!$C$463)</f>
        <v/>
      </c>
    </row>
    <row r="4139">
      <c r="A4139" s="25">
        <f>IF($C4139="","",Registro_Compras!$B$463)</f>
        <v/>
      </c>
      <c r="B4139">
        <f>IF($C4139="","","C"&amp;TEXT(INT((ROW()-5)/9)+1,"000")&amp;"-2")</f>
        <v/>
      </c>
      <c r="C4139">
        <f>IF(OR(Registro_Compras!$C$463="",Registro_Compras!$O$463=""),"",IF(Registro_Compras!$AB$463="ADMINISTRATIVO","94","95"))</f>
        <v/>
      </c>
      <c r="D4139">
        <f>IF(OR(Registro_Compras!$C$463="",Registro_Compras!$O$463=""),"",IF(Registro_Compras!$AB$463="ADMINISTRATIVO","Gastos Administrativos","Gastos de Venta y Operacion"))</f>
        <v/>
      </c>
      <c r="E4139" s="20">
        <f>IF($C4139="","",IF(Registro_Compras!$F$463="NOTA DE CREDITO","",IF(Registro_Compras!$F$463="RHE",ROUND(Registro_Compras!$L$463*Registro_Compras!$N$463,2),ROUND(Registro_Compras!$J$463*Registro_Compras!$N$463,2))))</f>
        <v/>
      </c>
      <c r="F4139" s="20">
        <f>IF($C4139="","",IF(Registro_Compras!$F$463="NOTA DE CREDITO",ROUND(ABS(Registro_Compras!$J$463*Registro_Compras!$N$463),2),""))</f>
        <v/>
      </c>
      <c r="G4139">
        <f>IF($C4139="","","Por el destino del gasto")</f>
        <v/>
      </c>
      <c r="H4139">
        <f>IF($C4139="","",Registro_Compras!$C$463)</f>
        <v/>
      </c>
    </row>
    <row r="4140">
      <c r="A4140" s="25">
        <f>IF($C4140="","",Registro_Compras!$B$463)</f>
        <v/>
      </c>
      <c r="B4140">
        <f>IF($C4140="","","C"&amp;TEXT(INT((ROW()-5)/9)+1,"000")&amp;"-2")</f>
        <v/>
      </c>
      <c r="C4140">
        <f>IF(OR(Registro_Compras!$C$463="",Registro_Compras!$O$463=""),"","79/791")</f>
        <v/>
      </c>
      <c r="D4140">
        <f>IF(OR(Registro_Compras!$C$463="",Registro_Compras!$O$463=""),"","Cargas Imputables a Cuentas de Costos y Gastos")</f>
        <v/>
      </c>
      <c r="E4140" s="20">
        <f>IF($C4140="","",IF(Registro_Compras!$F$463="NOTA DE CREDITO",ROUND(ABS(Registro_Compras!$J$463*Registro_Compras!$N$463),2),""))</f>
        <v/>
      </c>
      <c r="F4140" s="20">
        <f>IF($C4140="","",IF(Registro_Compras!$F$463="NOTA DE CREDITO","",IF(Registro_Compras!$F$463="RHE",ROUND(Registro_Compras!$L$463*Registro_Compras!$N$463,2),ROUND(Registro_Compras!$J$463*Registro_Compras!$N$463,2))))</f>
        <v/>
      </c>
      <c r="G4140">
        <f>IF($C4140="","","Por el destino del gasto")</f>
        <v/>
      </c>
      <c r="H4140">
        <f>IF($C4140="","",Registro_Compras!$C$463)</f>
        <v/>
      </c>
    </row>
    <row r="4141">
      <c r="A4141" s="25">
        <f>IF($C4141="","",Registro_Compras!$X$463)</f>
        <v/>
      </c>
      <c r="B4141">
        <f>IF($C4141="","","C"&amp;TEXT(INT((ROW()-5)/9)+1,"000")&amp;"-3")</f>
        <v/>
      </c>
      <c r="C4141">
        <f>IF(OR(Registro_Compras!$C$463="",Registro_Compras!$O$463="",Registro_Compras!$R$463&lt;&gt;"SI",Registro_Compras!$X$463=""),"","4212")</f>
        <v/>
      </c>
      <c r="D4141">
        <f>IF(OR(Registro_Compras!$C$463="",Registro_Compras!$O$463=""),"","Cuentas por Pagar Comerciales - Terceros")</f>
        <v/>
      </c>
      <c r="E4141" s="20">
        <f>IF($C4141="","",Registro_Compras!$S$463)</f>
        <v/>
      </c>
      <c r="F4141" s="20">
        <f>""</f>
        <v/>
      </c>
      <c r="G4141">
        <f>IF($C4141="","","Por el deposito de la detraccion en el Banco de la Nacion")</f>
        <v/>
      </c>
      <c r="H4141">
        <f>IF($C4141="","",Registro_Compras!$C$463)</f>
        <v/>
      </c>
    </row>
    <row r="4142">
      <c r="A4142" s="25">
        <f>IF($C4142="","",Registro_Compras!$X$463)</f>
        <v/>
      </c>
      <c r="B4142">
        <f>IF($C4142="","","C"&amp;TEXT(INT((ROW()-5)/9)+1,"000")&amp;"-3")</f>
        <v/>
      </c>
      <c r="C4142">
        <f>IF(OR(Registro_Compras!$C$463="",Registro_Compras!$O$463="",Registro_Compras!$R$463&lt;&gt;"SI",Registro_Compras!$X$463=""),"","10413")</f>
        <v/>
      </c>
      <c r="D4142">
        <f>IF(OR(Registro_Compras!$C$463="",Registro_Compras!$O$463=""),"","Efectivo y Equivalentes - Cta. Cte. Operativa")</f>
        <v/>
      </c>
      <c r="E4142" s="20">
        <f>""</f>
        <v/>
      </c>
      <c r="F4142" s="20">
        <f>IF($C4142="","",Registro_Compras!$S$463)</f>
        <v/>
      </c>
      <c r="G4142">
        <f>IF($C4142="","","Por el deposito de la detraccion en el Banco de la Nacion")</f>
        <v/>
      </c>
      <c r="H4142">
        <f>IF($C4142="","",Registro_Compras!$C$463)</f>
        <v/>
      </c>
    </row>
    <row r="4143">
      <c r="A4143" s="25">
        <f>IF($C4143="","",Registro_Compras!$Y$463)</f>
        <v/>
      </c>
      <c r="B4143">
        <f>IF($C4143="","","C"&amp;TEXT(INT((ROW()-5)/9)+1,"000")&amp;"-4")</f>
        <v/>
      </c>
      <c r="C4143">
        <f>IF(OR(Registro_Compras!$C$463="",Registro_Compras!$O$463="",Registro_Compras!$Y$463="",Registro_Compras!$F$463="NOTA DE CREDITO"),"","4212")</f>
        <v/>
      </c>
      <c r="D4143">
        <f>IF(OR(Registro_Compras!$C$463="",Registro_Compras!$O$463=""),"","Cuentas por Pagar Comerciales - Terceros")</f>
        <v/>
      </c>
      <c r="E4143" s="20">
        <f>IF($C4143="","",IF(Registro_Compras!$F$463="RHE",(ROUND(Registro_Compras!$L$463*Registro_Compras!$N$463,2)-ROUND(Registro_Compras!$V$463*Registro_Compras!$N$463,2)),ROUND(Registro_Compras!$O$463-Registro_Compras!$S$463,2)))</f>
        <v/>
      </c>
      <c r="F4143" s="20">
        <f>""</f>
        <v/>
      </c>
      <c r="G4143">
        <f>IF($C4143="","","Por la cancelacion del saldo al proveedor")</f>
        <v/>
      </c>
      <c r="H4143">
        <f>IF($C4143="","",Registro_Compras!$C$463)</f>
        <v/>
      </c>
    </row>
    <row r="4144">
      <c r="A4144" s="25">
        <f>IF($C4144="","",Registro_Compras!$Y$463)</f>
        <v/>
      </c>
      <c r="B4144">
        <f>IF($C4144="","","C"&amp;TEXT(INT((ROW()-5)/9)+1,"000")&amp;"-4")</f>
        <v/>
      </c>
      <c r="C4144">
        <f>IF(OR(Registro_Compras!$C$463="",Registro_Compras!$O$463="",Registro_Compras!$Y$463="",Registro_Compras!$F$463="NOTA DE CREDITO"),"","10413")</f>
        <v/>
      </c>
      <c r="D4144">
        <f>IF(OR(Registro_Compras!$C$463="",Registro_Compras!$O$463=""),"","Efectivo y Equivalentes - Cta. Cte. Operativa")</f>
        <v/>
      </c>
      <c r="E4144" s="20">
        <f>""</f>
        <v/>
      </c>
      <c r="F4144" s="20">
        <f>IF($C4144="","",IF(Registro_Compras!$F$463="RHE",(ROUND(Registro_Compras!$L$463*Registro_Compras!$N$463,2)-ROUND(Registro_Compras!$V$463*Registro_Compras!$N$463,2)),ROUND(Registro_Compras!$O$463-Registro_Compras!$S$463,2)))</f>
        <v/>
      </c>
      <c r="G4144">
        <f>IF($C4144="","","Por la cancelacion del saldo al proveedor")</f>
        <v/>
      </c>
      <c r="H4144">
        <f>IF($C4144="","",Registro_Compras!$C$463)</f>
        <v/>
      </c>
    </row>
    <row r="4145">
      <c r="A4145" s="25">
        <f>IF($C4145="","",Registro_Compras!$B$464)</f>
        <v/>
      </c>
      <c r="B4145">
        <f>IF($C4145="","","C"&amp;TEXT(INT((ROW()-5)/9)+1,"000")&amp;"-1")</f>
        <v/>
      </c>
      <c r="C4145">
        <f>IF(OR(Registro_Compras!$C$464="",Registro_Compras!$O$464=""),"",IF(Registro_Compras!$F$464="NOTA DE CREDITO","4212",IF(Registro_Compras!$M$464="","63",Registro_Compras!$M$464)))</f>
        <v/>
      </c>
      <c r="D4145">
        <f>IF(OR(Registro_Compras!$C$464="",Registro_Compras!$O$464=""),"",IF(Registro_Compras!$F$464="NOTA DE CREDITO","Cuentas por Pagar Comerciales - Terceros (Emitidas)",IF(Registro_Compras!$F$464="RHE","Honorarios Profesionales - Servicios de Terceros","Gastos de Servicios Prestados por Terceros")))</f>
        <v/>
      </c>
      <c r="E4145" s="20">
        <f>IF($C4145="","",IF(Registro_Compras!$F$464="NOTA DE CREDITO",ABS(Registro_Compras!$O$464),IF(Registro_Compras!$F$464="RHE",ROUND(Registro_Compras!$L$464*Registro_Compras!$N$464,2),ROUND(Registro_Compras!$J$464*Registro_Compras!$N$464,2))))</f>
        <v/>
      </c>
      <c r="F4145" s="20">
        <f>""</f>
        <v/>
      </c>
      <c r="G4145">
        <f>IF($C4145="","",IF(Registro_Compras!$F$464="NOTA DE CREDITO","Por la nota de credito "&amp;Registro_Compras!$C$464&amp;" de "&amp;Registro_Compras!$E$464&amp;" [PATRON POR CONFIRMAR CON CONTADOR]",IF(Registro_Compras!$F$464="RHE","Por el registro del recibo por honorarios "&amp;Registro_Compras!$C$464&amp;" de "&amp;Registro_Compras!$E$464&amp;" [PATRON POR CONFIRMAR CON CONTADOR]","Por el registro de la factura "&amp;Registro_Compras!$C$464&amp;" de "&amp;Registro_Compras!$E$464)))</f>
        <v/>
      </c>
      <c r="H4145">
        <f>IF($C4145="","",Registro_Compras!$C$464)</f>
        <v/>
      </c>
    </row>
    <row r="4146">
      <c r="A4146" s="25">
        <f>IF($C4146="","",Registro_Compras!$B$464)</f>
        <v/>
      </c>
      <c r="B4146">
        <f>IF($C4146="","","C"&amp;TEXT(INT((ROW()-5)/9)+1,"000")&amp;"-1")</f>
        <v/>
      </c>
      <c r="C4146">
        <f>IF(OR(Registro_Compras!$C$464="",Registro_Compras!$O$464=""),"",IF(Registro_Compras!$F$464="RHE",IF(Registro_Compras!$V$464=0,"","40172"),IF(Registro_Compras!$F$464="NOTA DE CREDITO",IF(Registro_Compras!$M$464="","63",Registro_Compras!$M$464),IF(Registro_Compras!$K$464=0,"","40111"))))</f>
        <v/>
      </c>
      <c r="D4146">
        <f>IF(OR(Registro_Compras!$C$464="",Registro_Compras!$O$464=""),"",IF(Registro_Compras!$F$464="RHE","Retencion Renta 4ta Categoria por Pagar",IF(Registro_Compras!$F$464="NOTA DE CREDITO","Gastos de Servicios Prestados por Terceros","IGV - Cuenta Propia (Credito Fiscal)")))</f>
        <v/>
      </c>
      <c r="E4146" s="20">
        <f>IF($C4146="","",IF(Registro_Compras!$F$464="FACTURA",ROUND(Registro_Compras!$K$464*Registro_Compras!$N$464,2),""))</f>
        <v/>
      </c>
      <c r="F4146" s="20">
        <f>IF($C4146="","",IF(Registro_Compras!$F$464="RHE",ROUND(Registro_Compras!$V$464*Registro_Compras!$N$464,2),IF(Registro_Compras!$F$464="NOTA DE CREDITO",ROUND(ABS(Registro_Compras!$J$464*Registro_Compras!$N$464),2),"")))</f>
        <v/>
      </c>
      <c r="G4146">
        <f>IF($C4146="","",IF(Registro_Compras!$F$464="NOTA DE CREDITO","Por la nota de credito "&amp;Registro_Compras!$C$464&amp;" de "&amp;Registro_Compras!$E$464&amp;" [PATRON POR CONFIRMAR CON CONTADOR]",IF(Registro_Compras!$F$464="RHE","Por el registro del recibo por honorarios "&amp;Registro_Compras!$C$464&amp;" de "&amp;Registro_Compras!$E$464&amp;" [PATRON POR CONFIRMAR CON CONTADOR]","Por el registro de la factura "&amp;Registro_Compras!$C$464&amp;" de "&amp;Registro_Compras!$E$464)))</f>
        <v/>
      </c>
      <c r="H4146">
        <f>IF($C4146="","",Registro_Compras!$C$464)</f>
        <v/>
      </c>
    </row>
    <row r="4147">
      <c r="A4147" s="25">
        <f>IF($C4147="","",Registro_Compras!$B$464)</f>
        <v/>
      </c>
      <c r="B4147">
        <f>IF($C4147="","","C"&amp;TEXT(INT((ROW()-5)/9)+1,"000")&amp;"-1")</f>
        <v/>
      </c>
      <c r="C4147">
        <f>IF(OR(Registro_Compras!$C$464="",Registro_Compras!$O$464=""),"",IF(Registro_Compras!$F$464="NOTA DE CREDITO",IF(Registro_Compras!$K$464=0,"","40111"),"4212"))</f>
        <v/>
      </c>
      <c r="D4147">
        <f>IF(OR(Registro_Compras!$C$464="",Registro_Compras!$O$464=""),"",IF(Registro_Compras!$F$464="NOTA DE CREDITO","IGV - Cuenta Propia (Credito Fiscal)","Cuentas por Pagar Comerciales - Terceros (Emitidas)"))</f>
        <v/>
      </c>
      <c r="E4147" s="20">
        <f>""</f>
        <v/>
      </c>
      <c r="F4147" s="20">
        <f>IF($C4147="","",IF(Registro_Compras!$F$464="NOTA DE CREDITO",ROUND(ABS(Registro_Compras!$K$464*Registro_Compras!$N$464),2),IF(Registro_Compras!$F$464="RHE",(ROUND(Registro_Compras!$L$464*Registro_Compras!$N$464,2)-ROUND(Registro_Compras!$V$464*Registro_Compras!$N$464,2)),Registro_Compras!$O$464)))</f>
        <v/>
      </c>
      <c r="G4147">
        <f>IF($C4147="","",IF(Registro_Compras!$F$464="NOTA DE CREDITO","Por la nota de credito "&amp;Registro_Compras!$C$464&amp;" de "&amp;Registro_Compras!$E$464&amp;" [PATRON POR CONFIRMAR CON CONTADOR]",IF(Registro_Compras!$F$464="RHE","Por el registro del recibo por honorarios "&amp;Registro_Compras!$C$464&amp;" de "&amp;Registro_Compras!$E$464&amp;" [PATRON POR CONFIRMAR CON CONTADOR]","Por el registro de la factura "&amp;Registro_Compras!$C$464&amp;" de "&amp;Registro_Compras!$E$464)))</f>
        <v/>
      </c>
      <c r="H4147">
        <f>IF($C4147="","",Registro_Compras!$C$464)</f>
        <v/>
      </c>
    </row>
    <row r="4148">
      <c r="A4148" s="25">
        <f>IF($C4148="","",Registro_Compras!$B$464)</f>
        <v/>
      </c>
      <c r="B4148">
        <f>IF($C4148="","","C"&amp;TEXT(INT((ROW()-5)/9)+1,"000")&amp;"-2")</f>
        <v/>
      </c>
      <c r="C4148">
        <f>IF(OR(Registro_Compras!$C$464="",Registro_Compras!$O$464=""),"",IF(Registro_Compras!$AB$464="ADMINISTRATIVO","94","95"))</f>
        <v/>
      </c>
      <c r="D4148">
        <f>IF(OR(Registro_Compras!$C$464="",Registro_Compras!$O$464=""),"",IF(Registro_Compras!$AB$464="ADMINISTRATIVO","Gastos Administrativos","Gastos de Venta y Operacion"))</f>
        <v/>
      </c>
      <c r="E4148" s="20">
        <f>IF($C4148="","",IF(Registro_Compras!$F$464="NOTA DE CREDITO","",IF(Registro_Compras!$F$464="RHE",ROUND(Registro_Compras!$L$464*Registro_Compras!$N$464,2),ROUND(Registro_Compras!$J$464*Registro_Compras!$N$464,2))))</f>
        <v/>
      </c>
      <c r="F4148" s="20">
        <f>IF($C4148="","",IF(Registro_Compras!$F$464="NOTA DE CREDITO",ROUND(ABS(Registro_Compras!$J$464*Registro_Compras!$N$464),2),""))</f>
        <v/>
      </c>
      <c r="G4148">
        <f>IF($C4148="","","Por el destino del gasto")</f>
        <v/>
      </c>
      <c r="H4148">
        <f>IF($C4148="","",Registro_Compras!$C$464)</f>
        <v/>
      </c>
    </row>
    <row r="4149">
      <c r="A4149" s="25">
        <f>IF($C4149="","",Registro_Compras!$B$464)</f>
        <v/>
      </c>
      <c r="B4149">
        <f>IF($C4149="","","C"&amp;TEXT(INT((ROW()-5)/9)+1,"000")&amp;"-2")</f>
        <v/>
      </c>
      <c r="C4149">
        <f>IF(OR(Registro_Compras!$C$464="",Registro_Compras!$O$464=""),"","79/791")</f>
        <v/>
      </c>
      <c r="D4149">
        <f>IF(OR(Registro_Compras!$C$464="",Registro_Compras!$O$464=""),"","Cargas Imputables a Cuentas de Costos y Gastos")</f>
        <v/>
      </c>
      <c r="E4149" s="20">
        <f>IF($C4149="","",IF(Registro_Compras!$F$464="NOTA DE CREDITO",ROUND(ABS(Registro_Compras!$J$464*Registro_Compras!$N$464),2),""))</f>
        <v/>
      </c>
      <c r="F4149" s="20">
        <f>IF($C4149="","",IF(Registro_Compras!$F$464="NOTA DE CREDITO","",IF(Registro_Compras!$F$464="RHE",ROUND(Registro_Compras!$L$464*Registro_Compras!$N$464,2),ROUND(Registro_Compras!$J$464*Registro_Compras!$N$464,2))))</f>
        <v/>
      </c>
      <c r="G4149">
        <f>IF($C4149="","","Por el destino del gasto")</f>
        <v/>
      </c>
      <c r="H4149">
        <f>IF($C4149="","",Registro_Compras!$C$464)</f>
        <v/>
      </c>
    </row>
    <row r="4150">
      <c r="A4150" s="25">
        <f>IF($C4150="","",Registro_Compras!$X$464)</f>
        <v/>
      </c>
      <c r="B4150">
        <f>IF($C4150="","","C"&amp;TEXT(INT((ROW()-5)/9)+1,"000")&amp;"-3")</f>
        <v/>
      </c>
      <c r="C4150">
        <f>IF(OR(Registro_Compras!$C$464="",Registro_Compras!$O$464="",Registro_Compras!$R$464&lt;&gt;"SI",Registro_Compras!$X$464=""),"","4212")</f>
        <v/>
      </c>
      <c r="D4150">
        <f>IF(OR(Registro_Compras!$C$464="",Registro_Compras!$O$464=""),"","Cuentas por Pagar Comerciales - Terceros")</f>
        <v/>
      </c>
      <c r="E4150" s="20">
        <f>IF($C4150="","",Registro_Compras!$S$464)</f>
        <v/>
      </c>
      <c r="F4150" s="20">
        <f>""</f>
        <v/>
      </c>
      <c r="G4150">
        <f>IF($C4150="","","Por el deposito de la detraccion en el Banco de la Nacion")</f>
        <v/>
      </c>
      <c r="H4150">
        <f>IF($C4150="","",Registro_Compras!$C$464)</f>
        <v/>
      </c>
    </row>
    <row r="4151">
      <c r="A4151" s="25">
        <f>IF($C4151="","",Registro_Compras!$X$464)</f>
        <v/>
      </c>
      <c r="B4151">
        <f>IF($C4151="","","C"&amp;TEXT(INT((ROW()-5)/9)+1,"000")&amp;"-3")</f>
        <v/>
      </c>
      <c r="C4151">
        <f>IF(OR(Registro_Compras!$C$464="",Registro_Compras!$O$464="",Registro_Compras!$R$464&lt;&gt;"SI",Registro_Compras!$X$464=""),"","10413")</f>
        <v/>
      </c>
      <c r="D4151">
        <f>IF(OR(Registro_Compras!$C$464="",Registro_Compras!$O$464=""),"","Efectivo y Equivalentes - Cta. Cte. Operativa")</f>
        <v/>
      </c>
      <c r="E4151" s="20">
        <f>""</f>
        <v/>
      </c>
      <c r="F4151" s="20">
        <f>IF($C4151="","",Registro_Compras!$S$464)</f>
        <v/>
      </c>
      <c r="G4151">
        <f>IF($C4151="","","Por el deposito de la detraccion en el Banco de la Nacion")</f>
        <v/>
      </c>
      <c r="H4151">
        <f>IF($C4151="","",Registro_Compras!$C$464)</f>
        <v/>
      </c>
    </row>
    <row r="4152">
      <c r="A4152" s="25">
        <f>IF($C4152="","",Registro_Compras!$Y$464)</f>
        <v/>
      </c>
      <c r="B4152">
        <f>IF($C4152="","","C"&amp;TEXT(INT((ROW()-5)/9)+1,"000")&amp;"-4")</f>
        <v/>
      </c>
      <c r="C4152">
        <f>IF(OR(Registro_Compras!$C$464="",Registro_Compras!$O$464="",Registro_Compras!$Y$464="",Registro_Compras!$F$464="NOTA DE CREDITO"),"","4212")</f>
        <v/>
      </c>
      <c r="D4152">
        <f>IF(OR(Registro_Compras!$C$464="",Registro_Compras!$O$464=""),"","Cuentas por Pagar Comerciales - Terceros")</f>
        <v/>
      </c>
      <c r="E4152" s="20">
        <f>IF($C4152="","",IF(Registro_Compras!$F$464="RHE",(ROUND(Registro_Compras!$L$464*Registro_Compras!$N$464,2)-ROUND(Registro_Compras!$V$464*Registro_Compras!$N$464,2)),ROUND(Registro_Compras!$O$464-Registro_Compras!$S$464,2)))</f>
        <v/>
      </c>
      <c r="F4152" s="20">
        <f>""</f>
        <v/>
      </c>
      <c r="G4152">
        <f>IF($C4152="","","Por la cancelacion del saldo al proveedor")</f>
        <v/>
      </c>
      <c r="H4152">
        <f>IF($C4152="","",Registro_Compras!$C$464)</f>
        <v/>
      </c>
    </row>
    <row r="4153">
      <c r="A4153" s="25">
        <f>IF($C4153="","",Registro_Compras!$Y$464)</f>
        <v/>
      </c>
      <c r="B4153">
        <f>IF($C4153="","","C"&amp;TEXT(INT((ROW()-5)/9)+1,"000")&amp;"-4")</f>
        <v/>
      </c>
      <c r="C4153">
        <f>IF(OR(Registro_Compras!$C$464="",Registro_Compras!$O$464="",Registro_Compras!$Y$464="",Registro_Compras!$F$464="NOTA DE CREDITO"),"","10413")</f>
        <v/>
      </c>
      <c r="D4153">
        <f>IF(OR(Registro_Compras!$C$464="",Registro_Compras!$O$464=""),"","Efectivo y Equivalentes - Cta. Cte. Operativa")</f>
        <v/>
      </c>
      <c r="E4153" s="20">
        <f>""</f>
        <v/>
      </c>
      <c r="F4153" s="20">
        <f>IF($C4153="","",IF(Registro_Compras!$F$464="RHE",(ROUND(Registro_Compras!$L$464*Registro_Compras!$N$464,2)-ROUND(Registro_Compras!$V$464*Registro_Compras!$N$464,2)),ROUND(Registro_Compras!$O$464-Registro_Compras!$S$464,2)))</f>
        <v/>
      </c>
      <c r="G4153">
        <f>IF($C4153="","","Por la cancelacion del saldo al proveedor")</f>
        <v/>
      </c>
      <c r="H4153">
        <f>IF($C4153="","",Registro_Compras!$C$464)</f>
        <v/>
      </c>
    </row>
    <row r="4154">
      <c r="A4154" s="25">
        <f>IF($C4154="","",Registro_Compras!$B$465)</f>
        <v/>
      </c>
      <c r="B4154">
        <f>IF($C4154="","","C"&amp;TEXT(INT((ROW()-5)/9)+1,"000")&amp;"-1")</f>
        <v/>
      </c>
      <c r="C4154">
        <f>IF(OR(Registro_Compras!$C$465="",Registro_Compras!$O$465=""),"",IF(Registro_Compras!$F$465="NOTA DE CREDITO","4212",IF(Registro_Compras!$M$465="","63",Registro_Compras!$M$465)))</f>
        <v/>
      </c>
      <c r="D4154">
        <f>IF(OR(Registro_Compras!$C$465="",Registro_Compras!$O$465=""),"",IF(Registro_Compras!$F$465="NOTA DE CREDITO","Cuentas por Pagar Comerciales - Terceros (Emitidas)",IF(Registro_Compras!$F$465="RHE","Honorarios Profesionales - Servicios de Terceros","Gastos de Servicios Prestados por Terceros")))</f>
        <v/>
      </c>
      <c r="E4154" s="20">
        <f>IF($C4154="","",IF(Registro_Compras!$F$465="NOTA DE CREDITO",ABS(Registro_Compras!$O$465),IF(Registro_Compras!$F$465="RHE",ROUND(Registro_Compras!$L$465*Registro_Compras!$N$465,2),ROUND(Registro_Compras!$J$465*Registro_Compras!$N$465,2))))</f>
        <v/>
      </c>
      <c r="F4154" s="20">
        <f>""</f>
        <v/>
      </c>
      <c r="G4154">
        <f>IF($C4154="","",IF(Registro_Compras!$F$465="NOTA DE CREDITO","Por la nota de credito "&amp;Registro_Compras!$C$465&amp;" de "&amp;Registro_Compras!$E$465&amp;" [PATRON POR CONFIRMAR CON CONTADOR]",IF(Registro_Compras!$F$465="RHE","Por el registro del recibo por honorarios "&amp;Registro_Compras!$C$465&amp;" de "&amp;Registro_Compras!$E$465&amp;" [PATRON POR CONFIRMAR CON CONTADOR]","Por el registro de la factura "&amp;Registro_Compras!$C$465&amp;" de "&amp;Registro_Compras!$E$465)))</f>
        <v/>
      </c>
      <c r="H4154">
        <f>IF($C4154="","",Registro_Compras!$C$465)</f>
        <v/>
      </c>
    </row>
    <row r="4155">
      <c r="A4155" s="25">
        <f>IF($C4155="","",Registro_Compras!$B$465)</f>
        <v/>
      </c>
      <c r="B4155">
        <f>IF($C4155="","","C"&amp;TEXT(INT((ROW()-5)/9)+1,"000")&amp;"-1")</f>
        <v/>
      </c>
      <c r="C4155">
        <f>IF(OR(Registro_Compras!$C$465="",Registro_Compras!$O$465=""),"",IF(Registro_Compras!$F$465="RHE",IF(Registro_Compras!$V$465=0,"","40172"),IF(Registro_Compras!$F$465="NOTA DE CREDITO",IF(Registro_Compras!$M$465="","63",Registro_Compras!$M$465),IF(Registro_Compras!$K$465=0,"","40111"))))</f>
        <v/>
      </c>
      <c r="D4155">
        <f>IF(OR(Registro_Compras!$C$465="",Registro_Compras!$O$465=""),"",IF(Registro_Compras!$F$465="RHE","Retencion Renta 4ta Categoria por Pagar",IF(Registro_Compras!$F$465="NOTA DE CREDITO","Gastos de Servicios Prestados por Terceros","IGV - Cuenta Propia (Credito Fiscal)")))</f>
        <v/>
      </c>
      <c r="E4155" s="20">
        <f>IF($C4155="","",IF(Registro_Compras!$F$465="FACTURA",ROUND(Registro_Compras!$K$465*Registro_Compras!$N$465,2),""))</f>
        <v/>
      </c>
      <c r="F4155" s="20">
        <f>IF($C4155="","",IF(Registro_Compras!$F$465="RHE",ROUND(Registro_Compras!$V$465*Registro_Compras!$N$465,2),IF(Registro_Compras!$F$465="NOTA DE CREDITO",ROUND(ABS(Registro_Compras!$J$465*Registro_Compras!$N$465),2),"")))</f>
        <v/>
      </c>
      <c r="G4155">
        <f>IF($C4155="","",IF(Registro_Compras!$F$465="NOTA DE CREDITO","Por la nota de credito "&amp;Registro_Compras!$C$465&amp;" de "&amp;Registro_Compras!$E$465&amp;" [PATRON POR CONFIRMAR CON CONTADOR]",IF(Registro_Compras!$F$465="RHE","Por el registro del recibo por honorarios "&amp;Registro_Compras!$C$465&amp;" de "&amp;Registro_Compras!$E$465&amp;" [PATRON POR CONFIRMAR CON CONTADOR]","Por el registro de la factura "&amp;Registro_Compras!$C$465&amp;" de "&amp;Registro_Compras!$E$465)))</f>
        <v/>
      </c>
      <c r="H4155">
        <f>IF($C4155="","",Registro_Compras!$C$465)</f>
        <v/>
      </c>
    </row>
    <row r="4156">
      <c r="A4156" s="25">
        <f>IF($C4156="","",Registro_Compras!$B$465)</f>
        <v/>
      </c>
      <c r="B4156">
        <f>IF($C4156="","","C"&amp;TEXT(INT((ROW()-5)/9)+1,"000")&amp;"-1")</f>
        <v/>
      </c>
      <c r="C4156">
        <f>IF(OR(Registro_Compras!$C$465="",Registro_Compras!$O$465=""),"",IF(Registro_Compras!$F$465="NOTA DE CREDITO",IF(Registro_Compras!$K$465=0,"","40111"),"4212"))</f>
        <v/>
      </c>
      <c r="D4156">
        <f>IF(OR(Registro_Compras!$C$465="",Registro_Compras!$O$465=""),"",IF(Registro_Compras!$F$465="NOTA DE CREDITO","IGV - Cuenta Propia (Credito Fiscal)","Cuentas por Pagar Comerciales - Terceros (Emitidas)"))</f>
        <v/>
      </c>
      <c r="E4156" s="20">
        <f>""</f>
        <v/>
      </c>
      <c r="F4156" s="20">
        <f>IF($C4156="","",IF(Registro_Compras!$F$465="NOTA DE CREDITO",ROUND(ABS(Registro_Compras!$K$465*Registro_Compras!$N$465),2),IF(Registro_Compras!$F$465="RHE",(ROUND(Registro_Compras!$L$465*Registro_Compras!$N$465,2)-ROUND(Registro_Compras!$V$465*Registro_Compras!$N$465,2)),Registro_Compras!$O$465)))</f>
        <v/>
      </c>
      <c r="G4156">
        <f>IF($C4156="","",IF(Registro_Compras!$F$465="NOTA DE CREDITO","Por la nota de credito "&amp;Registro_Compras!$C$465&amp;" de "&amp;Registro_Compras!$E$465&amp;" [PATRON POR CONFIRMAR CON CONTADOR]",IF(Registro_Compras!$F$465="RHE","Por el registro del recibo por honorarios "&amp;Registro_Compras!$C$465&amp;" de "&amp;Registro_Compras!$E$465&amp;" [PATRON POR CONFIRMAR CON CONTADOR]","Por el registro de la factura "&amp;Registro_Compras!$C$465&amp;" de "&amp;Registro_Compras!$E$465)))</f>
        <v/>
      </c>
      <c r="H4156">
        <f>IF($C4156="","",Registro_Compras!$C$465)</f>
        <v/>
      </c>
    </row>
    <row r="4157">
      <c r="A4157" s="25">
        <f>IF($C4157="","",Registro_Compras!$B$465)</f>
        <v/>
      </c>
      <c r="B4157">
        <f>IF($C4157="","","C"&amp;TEXT(INT((ROW()-5)/9)+1,"000")&amp;"-2")</f>
        <v/>
      </c>
      <c r="C4157">
        <f>IF(OR(Registro_Compras!$C$465="",Registro_Compras!$O$465=""),"",IF(Registro_Compras!$AB$465="ADMINISTRATIVO","94","95"))</f>
        <v/>
      </c>
      <c r="D4157">
        <f>IF(OR(Registro_Compras!$C$465="",Registro_Compras!$O$465=""),"",IF(Registro_Compras!$AB$465="ADMINISTRATIVO","Gastos Administrativos","Gastos de Venta y Operacion"))</f>
        <v/>
      </c>
      <c r="E4157" s="20">
        <f>IF($C4157="","",IF(Registro_Compras!$F$465="NOTA DE CREDITO","",IF(Registro_Compras!$F$465="RHE",ROUND(Registro_Compras!$L$465*Registro_Compras!$N$465,2),ROUND(Registro_Compras!$J$465*Registro_Compras!$N$465,2))))</f>
        <v/>
      </c>
      <c r="F4157" s="20">
        <f>IF($C4157="","",IF(Registro_Compras!$F$465="NOTA DE CREDITO",ROUND(ABS(Registro_Compras!$J$465*Registro_Compras!$N$465),2),""))</f>
        <v/>
      </c>
      <c r="G4157">
        <f>IF($C4157="","","Por el destino del gasto")</f>
        <v/>
      </c>
      <c r="H4157">
        <f>IF($C4157="","",Registro_Compras!$C$465)</f>
        <v/>
      </c>
    </row>
    <row r="4158">
      <c r="A4158" s="25">
        <f>IF($C4158="","",Registro_Compras!$B$465)</f>
        <v/>
      </c>
      <c r="B4158">
        <f>IF($C4158="","","C"&amp;TEXT(INT((ROW()-5)/9)+1,"000")&amp;"-2")</f>
        <v/>
      </c>
      <c r="C4158">
        <f>IF(OR(Registro_Compras!$C$465="",Registro_Compras!$O$465=""),"","79/791")</f>
        <v/>
      </c>
      <c r="D4158">
        <f>IF(OR(Registro_Compras!$C$465="",Registro_Compras!$O$465=""),"","Cargas Imputables a Cuentas de Costos y Gastos")</f>
        <v/>
      </c>
      <c r="E4158" s="20">
        <f>IF($C4158="","",IF(Registro_Compras!$F$465="NOTA DE CREDITO",ROUND(ABS(Registro_Compras!$J$465*Registro_Compras!$N$465),2),""))</f>
        <v/>
      </c>
      <c r="F4158" s="20">
        <f>IF($C4158="","",IF(Registro_Compras!$F$465="NOTA DE CREDITO","",IF(Registro_Compras!$F$465="RHE",ROUND(Registro_Compras!$L$465*Registro_Compras!$N$465,2),ROUND(Registro_Compras!$J$465*Registro_Compras!$N$465,2))))</f>
        <v/>
      </c>
      <c r="G4158">
        <f>IF($C4158="","","Por el destino del gasto")</f>
        <v/>
      </c>
      <c r="H4158">
        <f>IF($C4158="","",Registro_Compras!$C$465)</f>
        <v/>
      </c>
    </row>
    <row r="4159">
      <c r="A4159" s="25">
        <f>IF($C4159="","",Registro_Compras!$X$465)</f>
        <v/>
      </c>
      <c r="B4159">
        <f>IF($C4159="","","C"&amp;TEXT(INT((ROW()-5)/9)+1,"000")&amp;"-3")</f>
        <v/>
      </c>
      <c r="C4159">
        <f>IF(OR(Registro_Compras!$C$465="",Registro_Compras!$O$465="",Registro_Compras!$R$465&lt;&gt;"SI",Registro_Compras!$X$465=""),"","4212")</f>
        <v/>
      </c>
      <c r="D4159">
        <f>IF(OR(Registro_Compras!$C$465="",Registro_Compras!$O$465=""),"","Cuentas por Pagar Comerciales - Terceros")</f>
        <v/>
      </c>
      <c r="E4159" s="20">
        <f>IF($C4159="","",Registro_Compras!$S$465)</f>
        <v/>
      </c>
      <c r="F4159" s="20">
        <f>""</f>
        <v/>
      </c>
      <c r="G4159">
        <f>IF($C4159="","","Por el deposito de la detraccion en el Banco de la Nacion")</f>
        <v/>
      </c>
      <c r="H4159">
        <f>IF($C4159="","",Registro_Compras!$C$465)</f>
        <v/>
      </c>
    </row>
    <row r="4160">
      <c r="A4160" s="25">
        <f>IF($C4160="","",Registro_Compras!$X$465)</f>
        <v/>
      </c>
      <c r="B4160">
        <f>IF($C4160="","","C"&amp;TEXT(INT((ROW()-5)/9)+1,"000")&amp;"-3")</f>
        <v/>
      </c>
      <c r="C4160">
        <f>IF(OR(Registro_Compras!$C$465="",Registro_Compras!$O$465="",Registro_Compras!$R$465&lt;&gt;"SI",Registro_Compras!$X$465=""),"","10413")</f>
        <v/>
      </c>
      <c r="D4160">
        <f>IF(OR(Registro_Compras!$C$465="",Registro_Compras!$O$465=""),"","Efectivo y Equivalentes - Cta. Cte. Operativa")</f>
        <v/>
      </c>
      <c r="E4160" s="20">
        <f>""</f>
        <v/>
      </c>
      <c r="F4160" s="20">
        <f>IF($C4160="","",Registro_Compras!$S$465)</f>
        <v/>
      </c>
      <c r="G4160">
        <f>IF($C4160="","","Por el deposito de la detraccion en el Banco de la Nacion")</f>
        <v/>
      </c>
      <c r="H4160">
        <f>IF($C4160="","",Registro_Compras!$C$465)</f>
        <v/>
      </c>
    </row>
    <row r="4161">
      <c r="A4161" s="25">
        <f>IF($C4161="","",Registro_Compras!$Y$465)</f>
        <v/>
      </c>
      <c r="B4161">
        <f>IF($C4161="","","C"&amp;TEXT(INT((ROW()-5)/9)+1,"000")&amp;"-4")</f>
        <v/>
      </c>
      <c r="C4161">
        <f>IF(OR(Registro_Compras!$C$465="",Registro_Compras!$O$465="",Registro_Compras!$Y$465="",Registro_Compras!$F$465="NOTA DE CREDITO"),"","4212")</f>
        <v/>
      </c>
      <c r="D4161">
        <f>IF(OR(Registro_Compras!$C$465="",Registro_Compras!$O$465=""),"","Cuentas por Pagar Comerciales - Terceros")</f>
        <v/>
      </c>
      <c r="E4161" s="20">
        <f>IF($C4161="","",IF(Registro_Compras!$F$465="RHE",(ROUND(Registro_Compras!$L$465*Registro_Compras!$N$465,2)-ROUND(Registro_Compras!$V$465*Registro_Compras!$N$465,2)),ROUND(Registro_Compras!$O$465-Registro_Compras!$S$465,2)))</f>
        <v/>
      </c>
      <c r="F4161" s="20">
        <f>""</f>
        <v/>
      </c>
      <c r="G4161">
        <f>IF($C4161="","","Por la cancelacion del saldo al proveedor")</f>
        <v/>
      </c>
      <c r="H4161">
        <f>IF($C4161="","",Registro_Compras!$C$465)</f>
        <v/>
      </c>
    </row>
    <row r="4162">
      <c r="A4162" s="25">
        <f>IF($C4162="","",Registro_Compras!$Y$465)</f>
        <v/>
      </c>
      <c r="B4162">
        <f>IF($C4162="","","C"&amp;TEXT(INT((ROW()-5)/9)+1,"000")&amp;"-4")</f>
        <v/>
      </c>
      <c r="C4162">
        <f>IF(OR(Registro_Compras!$C$465="",Registro_Compras!$O$465="",Registro_Compras!$Y$465="",Registro_Compras!$F$465="NOTA DE CREDITO"),"","10413")</f>
        <v/>
      </c>
      <c r="D4162">
        <f>IF(OR(Registro_Compras!$C$465="",Registro_Compras!$O$465=""),"","Efectivo y Equivalentes - Cta. Cte. Operativa")</f>
        <v/>
      </c>
      <c r="E4162" s="20">
        <f>""</f>
        <v/>
      </c>
      <c r="F4162" s="20">
        <f>IF($C4162="","",IF(Registro_Compras!$F$465="RHE",(ROUND(Registro_Compras!$L$465*Registro_Compras!$N$465,2)-ROUND(Registro_Compras!$V$465*Registro_Compras!$N$465,2)),ROUND(Registro_Compras!$O$465-Registro_Compras!$S$465,2)))</f>
        <v/>
      </c>
      <c r="G4162">
        <f>IF($C4162="","","Por la cancelacion del saldo al proveedor")</f>
        <v/>
      </c>
      <c r="H4162">
        <f>IF($C4162="","",Registro_Compras!$C$465)</f>
        <v/>
      </c>
    </row>
    <row r="4163">
      <c r="A4163" s="25">
        <f>IF($C4163="","",Registro_Compras!$B$466)</f>
        <v/>
      </c>
      <c r="B4163">
        <f>IF($C4163="","","C"&amp;TEXT(INT((ROW()-5)/9)+1,"000")&amp;"-1")</f>
        <v/>
      </c>
      <c r="C4163">
        <f>IF(OR(Registro_Compras!$C$466="",Registro_Compras!$O$466=""),"",IF(Registro_Compras!$F$466="NOTA DE CREDITO","4212",IF(Registro_Compras!$M$466="","63",Registro_Compras!$M$466)))</f>
        <v/>
      </c>
      <c r="D4163">
        <f>IF(OR(Registro_Compras!$C$466="",Registro_Compras!$O$466=""),"",IF(Registro_Compras!$F$466="NOTA DE CREDITO","Cuentas por Pagar Comerciales - Terceros (Emitidas)",IF(Registro_Compras!$F$466="RHE","Honorarios Profesionales - Servicios de Terceros","Gastos de Servicios Prestados por Terceros")))</f>
        <v/>
      </c>
      <c r="E4163" s="20">
        <f>IF($C4163="","",IF(Registro_Compras!$F$466="NOTA DE CREDITO",ABS(Registro_Compras!$O$466),IF(Registro_Compras!$F$466="RHE",ROUND(Registro_Compras!$L$466*Registro_Compras!$N$466,2),ROUND(Registro_Compras!$J$466*Registro_Compras!$N$466,2))))</f>
        <v/>
      </c>
      <c r="F4163" s="20">
        <f>""</f>
        <v/>
      </c>
      <c r="G4163">
        <f>IF($C4163="","",IF(Registro_Compras!$F$466="NOTA DE CREDITO","Por la nota de credito "&amp;Registro_Compras!$C$466&amp;" de "&amp;Registro_Compras!$E$466&amp;" [PATRON POR CONFIRMAR CON CONTADOR]",IF(Registro_Compras!$F$466="RHE","Por el registro del recibo por honorarios "&amp;Registro_Compras!$C$466&amp;" de "&amp;Registro_Compras!$E$466&amp;" [PATRON POR CONFIRMAR CON CONTADOR]","Por el registro de la factura "&amp;Registro_Compras!$C$466&amp;" de "&amp;Registro_Compras!$E$466)))</f>
        <v/>
      </c>
      <c r="H4163">
        <f>IF($C4163="","",Registro_Compras!$C$466)</f>
        <v/>
      </c>
    </row>
    <row r="4164">
      <c r="A4164" s="25">
        <f>IF($C4164="","",Registro_Compras!$B$466)</f>
        <v/>
      </c>
      <c r="B4164">
        <f>IF($C4164="","","C"&amp;TEXT(INT((ROW()-5)/9)+1,"000")&amp;"-1")</f>
        <v/>
      </c>
      <c r="C4164">
        <f>IF(OR(Registro_Compras!$C$466="",Registro_Compras!$O$466=""),"",IF(Registro_Compras!$F$466="RHE",IF(Registro_Compras!$V$466=0,"","40172"),IF(Registro_Compras!$F$466="NOTA DE CREDITO",IF(Registro_Compras!$M$466="","63",Registro_Compras!$M$466),IF(Registro_Compras!$K$466=0,"","40111"))))</f>
        <v/>
      </c>
      <c r="D4164">
        <f>IF(OR(Registro_Compras!$C$466="",Registro_Compras!$O$466=""),"",IF(Registro_Compras!$F$466="RHE","Retencion Renta 4ta Categoria por Pagar",IF(Registro_Compras!$F$466="NOTA DE CREDITO","Gastos de Servicios Prestados por Terceros","IGV - Cuenta Propia (Credito Fiscal)")))</f>
        <v/>
      </c>
      <c r="E4164" s="20">
        <f>IF($C4164="","",IF(Registro_Compras!$F$466="FACTURA",ROUND(Registro_Compras!$K$466*Registro_Compras!$N$466,2),""))</f>
        <v/>
      </c>
      <c r="F4164" s="20">
        <f>IF($C4164="","",IF(Registro_Compras!$F$466="RHE",ROUND(Registro_Compras!$V$466*Registro_Compras!$N$466,2),IF(Registro_Compras!$F$466="NOTA DE CREDITO",ROUND(ABS(Registro_Compras!$J$466*Registro_Compras!$N$466),2),"")))</f>
        <v/>
      </c>
      <c r="G4164">
        <f>IF($C4164="","",IF(Registro_Compras!$F$466="NOTA DE CREDITO","Por la nota de credito "&amp;Registro_Compras!$C$466&amp;" de "&amp;Registro_Compras!$E$466&amp;" [PATRON POR CONFIRMAR CON CONTADOR]",IF(Registro_Compras!$F$466="RHE","Por el registro del recibo por honorarios "&amp;Registro_Compras!$C$466&amp;" de "&amp;Registro_Compras!$E$466&amp;" [PATRON POR CONFIRMAR CON CONTADOR]","Por el registro de la factura "&amp;Registro_Compras!$C$466&amp;" de "&amp;Registro_Compras!$E$466)))</f>
        <v/>
      </c>
      <c r="H4164">
        <f>IF($C4164="","",Registro_Compras!$C$466)</f>
        <v/>
      </c>
    </row>
    <row r="4165">
      <c r="A4165" s="25">
        <f>IF($C4165="","",Registro_Compras!$B$466)</f>
        <v/>
      </c>
      <c r="B4165">
        <f>IF($C4165="","","C"&amp;TEXT(INT((ROW()-5)/9)+1,"000")&amp;"-1")</f>
        <v/>
      </c>
      <c r="C4165">
        <f>IF(OR(Registro_Compras!$C$466="",Registro_Compras!$O$466=""),"",IF(Registro_Compras!$F$466="NOTA DE CREDITO",IF(Registro_Compras!$K$466=0,"","40111"),"4212"))</f>
        <v/>
      </c>
      <c r="D4165">
        <f>IF(OR(Registro_Compras!$C$466="",Registro_Compras!$O$466=""),"",IF(Registro_Compras!$F$466="NOTA DE CREDITO","IGV - Cuenta Propia (Credito Fiscal)","Cuentas por Pagar Comerciales - Terceros (Emitidas)"))</f>
        <v/>
      </c>
      <c r="E4165" s="20">
        <f>""</f>
        <v/>
      </c>
      <c r="F4165" s="20">
        <f>IF($C4165="","",IF(Registro_Compras!$F$466="NOTA DE CREDITO",ROUND(ABS(Registro_Compras!$K$466*Registro_Compras!$N$466),2),IF(Registro_Compras!$F$466="RHE",(ROUND(Registro_Compras!$L$466*Registro_Compras!$N$466,2)-ROUND(Registro_Compras!$V$466*Registro_Compras!$N$466,2)),Registro_Compras!$O$466)))</f>
        <v/>
      </c>
      <c r="G4165">
        <f>IF($C4165="","",IF(Registro_Compras!$F$466="NOTA DE CREDITO","Por la nota de credito "&amp;Registro_Compras!$C$466&amp;" de "&amp;Registro_Compras!$E$466&amp;" [PATRON POR CONFIRMAR CON CONTADOR]",IF(Registro_Compras!$F$466="RHE","Por el registro del recibo por honorarios "&amp;Registro_Compras!$C$466&amp;" de "&amp;Registro_Compras!$E$466&amp;" [PATRON POR CONFIRMAR CON CONTADOR]","Por el registro de la factura "&amp;Registro_Compras!$C$466&amp;" de "&amp;Registro_Compras!$E$466)))</f>
        <v/>
      </c>
      <c r="H4165">
        <f>IF($C4165="","",Registro_Compras!$C$466)</f>
        <v/>
      </c>
    </row>
    <row r="4166">
      <c r="A4166" s="25">
        <f>IF($C4166="","",Registro_Compras!$B$466)</f>
        <v/>
      </c>
      <c r="B4166">
        <f>IF($C4166="","","C"&amp;TEXT(INT((ROW()-5)/9)+1,"000")&amp;"-2")</f>
        <v/>
      </c>
      <c r="C4166">
        <f>IF(OR(Registro_Compras!$C$466="",Registro_Compras!$O$466=""),"",IF(Registro_Compras!$AB$466="ADMINISTRATIVO","94","95"))</f>
        <v/>
      </c>
      <c r="D4166">
        <f>IF(OR(Registro_Compras!$C$466="",Registro_Compras!$O$466=""),"",IF(Registro_Compras!$AB$466="ADMINISTRATIVO","Gastos Administrativos","Gastos de Venta y Operacion"))</f>
        <v/>
      </c>
      <c r="E4166" s="20">
        <f>IF($C4166="","",IF(Registro_Compras!$F$466="NOTA DE CREDITO","",IF(Registro_Compras!$F$466="RHE",ROUND(Registro_Compras!$L$466*Registro_Compras!$N$466,2),ROUND(Registro_Compras!$J$466*Registro_Compras!$N$466,2))))</f>
        <v/>
      </c>
      <c r="F4166" s="20">
        <f>IF($C4166="","",IF(Registro_Compras!$F$466="NOTA DE CREDITO",ROUND(ABS(Registro_Compras!$J$466*Registro_Compras!$N$466),2),""))</f>
        <v/>
      </c>
      <c r="G4166">
        <f>IF($C4166="","","Por el destino del gasto")</f>
        <v/>
      </c>
      <c r="H4166">
        <f>IF($C4166="","",Registro_Compras!$C$466)</f>
        <v/>
      </c>
    </row>
    <row r="4167">
      <c r="A4167" s="25">
        <f>IF($C4167="","",Registro_Compras!$B$466)</f>
        <v/>
      </c>
      <c r="B4167">
        <f>IF($C4167="","","C"&amp;TEXT(INT((ROW()-5)/9)+1,"000")&amp;"-2")</f>
        <v/>
      </c>
      <c r="C4167">
        <f>IF(OR(Registro_Compras!$C$466="",Registro_Compras!$O$466=""),"","79/791")</f>
        <v/>
      </c>
      <c r="D4167">
        <f>IF(OR(Registro_Compras!$C$466="",Registro_Compras!$O$466=""),"","Cargas Imputables a Cuentas de Costos y Gastos")</f>
        <v/>
      </c>
      <c r="E4167" s="20">
        <f>IF($C4167="","",IF(Registro_Compras!$F$466="NOTA DE CREDITO",ROUND(ABS(Registro_Compras!$J$466*Registro_Compras!$N$466),2),""))</f>
        <v/>
      </c>
      <c r="F4167" s="20">
        <f>IF($C4167="","",IF(Registro_Compras!$F$466="NOTA DE CREDITO","",IF(Registro_Compras!$F$466="RHE",ROUND(Registro_Compras!$L$466*Registro_Compras!$N$466,2),ROUND(Registro_Compras!$J$466*Registro_Compras!$N$466,2))))</f>
        <v/>
      </c>
      <c r="G4167">
        <f>IF($C4167="","","Por el destino del gasto")</f>
        <v/>
      </c>
      <c r="H4167">
        <f>IF($C4167="","",Registro_Compras!$C$466)</f>
        <v/>
      </c>
    </row>
    <row r="4168">
      <c r="A4168" s="25">
        <f>IF($C4168="","",Registro_Compras!$X$466)</f>
        <v/>
      </c>
      <c r="B4168">
        <f>IF($C4168="","","C"&amp;TEXT(INT((ROW()-5)/9)+1,"000")&amp;"-3")</f>
        <v/>
      </c>
      <c r="C4168">
        <f>IF(OR(Registro_Compras!$C$466="",Registro_Compras!$O$466="",Registro_Compras!$R$466&lt;&gt;"SI",Registro_Compras!$X$466=""),"","4212")</f>
        <v/>
      </c>
      <c r="D4168">
        <f>IF(OR(Registro_Compras!$C$466="",Registro_Compras!$O$466=""),"","Cuentas por Pagar Comerciales - Terceros")</f>
        <v/>
      </c>
      <c r="E4168" s="20">
        <f>IF($C4168="","",Registro_Compras!$S$466)</f>
        <v/>
      </c>
      <c r="F4168" s="20">
        <f>""</f>
        <v/>
      </c>
      <c r="G4168">
        <f>IF($C4168="","","Por el deposito de la detraccion en el Banco de la Nacion")</f>
        <v/>
      </c>
      <c r="H4168">
        <f>IF($C4168="","",Registro_Compras!$C$466)</f>
        <v/>
      </c>
    </row>
    <row r="4169">
      <c r="A4169" s="25">
        <f>IF($C4169="","",Registro_Compras!$X$466)</f>
        <v/>
      </c>
      <c r="B4169">
        <f>IF($C4169="","","C"&amp;TEXT(INT((ROW()-5)/9)+1,"000")&amp;"-3")</f>
        <v/>
      </c>
      <c r="C4169">
        <f>IF(OR(Registro_Compras!$C$466="",Registro_Compras!$O$466="",Registro_Compras!$R$466&lt;&gt;"SI",Registro_Compras!$X$466=""),"","10413")</f>
        <v/>
      </c>
      <c r="D4169">
        <f>IF(OR(Registro_Compras!$C$466="",Registro_Compras!$O$466=""),"","Efectivo y Equivalentes - Cta. Cte. Operativa")</f>
        <v/>
      </c>
      <c r="E4169" s="20">
        <f>""</f>
        <v/>
      </c>
      <c r="F4169" s="20">
        <f>IF($C4169="","",Registro_Compras!$S$466)</f>
        <v/>
      </c>
      <c r="G4169">
        <f>IF($C4169="","","Por el deposito de la detraccion en el Banco de la Nacion")</f>
        <v/>
      </c>
      <c r="H4169">
        <f>IF($C4169="","",Registro_Compras!$C$466)</f>
        <v/>
      </c>
    </row>
    <row r="4170">
      <c r="A4170" s="25">
        <f>IF($C4170="","",Registro_Compras!$Y$466)</f>
        <v/>
      </c>
      <c r="B4170">
        <f>IF($C4170="","","C"&amp;TEXT(INT((ROW()-5)/9)+1,"000")&amp;"-4")</f>
        <v/>
      </c>
      <c r="C4170">
        <f>IF(OR(Registro_Compras!$C$466="",Registro_Compras!$O$466="",Registro_Compras!$Y$466="",Registro_Compras!$F$466="NOTA DE CREDITO"),"","4212")</f>
        <v/>
      </c>
      <c r="D4170">
        <f>IF(OR(Registro_Compras!$C$466="",Registro_Compras!$O$466=""),"","Cuentas por Pagar Comerciales - Terceros")</f>
        <v/>
      </c>
      <c r="E4170" s="20">
        <f>IF($C4170="","",IF(Registro_Compras!$F$466="RHE",(ROUND(Registro_Compras!$L$466*Registro_Compras!$N$466,2)-ROUND(Registro_Compras!$V$466*Registro_Compras!$N$466,2)),ROUND(Registro_Compras!$O$466-Registro_Compras!$S$466,2)))</f>
        <v/>
      </c>
      <c r="F4170" s="20">
        <f>""</f>
        <v/>
      </c>
      <c r="G4170">
        <f>IF($C4170="","","Por la cancelacion del saldo al proveedor")</f>
        <v/>
      </c>
      <c r="H4170">
        <f>IF($C4170="","",Registro_Compras!$C$466)</f>
        <v/>
      </c>
    </row>
    <row r="4171">
      <c r="A4171" s="25">
        <f>IF($C4171="","",Registro_Compras!$Y$466)</f>
        <v/>
      </c>
      <c r="B4171">
        <f>IF($C4171="","","C"&amp;TEXT(INT((ROW()-5)/9)+1,"000")&amp;"-4")</f>
        <v/>
      </c>
      <c r="C4171">
        <f>IF(OR(Registro_Compras!$C$466="",Registro_Compras!$O$466="",Registro_Compras!$Y$466="",Registro_Compras!$F$466="NOTA DE CREDITO"),"","10413")</f>
        <v/>
      </c>
      <c r="D4171">
        <f>IF(OR(Registro_Compras!$C$466="",Registro_Compras!$O$466=""),"","Efectivo y Equivalentes - Cta. Cte. Operativa")</f>
        <v/>
      </c>
      <c r="E4171" s="20">
        <f>""</f>
        <v/>
      </c>
      <c r="F4171" s="20">
        <f>IF($C4171="","",IF(Registro_Compras!$F$466="RHE",(ROUND(Registro_Compras!$L$466*Registro_Compras!$N$466,2)-ROUND(Registro_Compras!$V$466*Registro_Compras!$N$466,2)),ROUND(Registro_Compras!$O$466-Registro_Compras!$S$466,2)))</f>
        <v/>
      </c>
      <c r="G4171">
        <f>IF($C4171="","","Por la cancelacion del saldo al proveedor")</f>
        <v/>
      </c>
      <c r="H4171">
        <f>IF($C4171="","",Registro_Compras!$C$466)</f>
        <v/>
      </c>
    </row>
    <row r="4172">
      <c r="A4172" s="25">
        <f>IF($C4172="","",Registro_Compras!$B$467)</f>
        <v/>
      </c>
      <c r="B4172">
        <f>IF($C4172="","","C"&amp;TEXT(INT((ROW()-5)/9)+1,"000")&amp;"-1")</f>
        <v/>
      </c>
      <c r="C4172">
        <f>IF(OR(Registro_Compras!$C$467="",Registro_Compras!$O$467=""),"",IF(Registro_Compras!$F$467="NOTA DE CREDITO","4212",IF(Registro_Compras!$M$467="","63",Registro_Compras!$M$467)))</f>
        <v/>
      </c>
      <c r="D4172">
        <f>IF(OR(Registro_Compras!$C$467="",Registro_Compras!$O$467=""),"",IF(Registro_Compras!$F$467="NOTA DE CREDITO","Cuentas por Pagar Comerciales - Terceros (Emitidas)",IF(Registro_Compras!$F$467="RHE","Honorarios Profesionales - Servicios de Terceros","Gastos de Servicios Prestados por Terceros")))</f>
        <v/>
      </c>
      <c r="E4172" s="20">
        <f>IF($C4172="","",IF(Registro_Compras!$F$467="NOTA DE CREDITO",ABS(Registro_Compras!$O$467),IF(Registro_Compras!$F$467="RHE",ROUND(Registro_Compras!$L$467*Registro_Compras!$N$467,2),ROUND(Registro_Compras!$J$467*Registro_Compras!$N$467,2))))</f>
        <v/>
      </c>
      <c r="F4172" s="20">
        <f>""</f>
        <v/>
      </c>
      <c r="G4172">
        <f>IF($C4172="","",IF(Registro_Compras!$F$467="NOTA DE CREDITO","Por la nota de credito "&amp;Registro_Compras!$C$467&amp;" de "&amp;Registro_Compras!$E$467&amp;" [PATRON POR CONFIRMAR CON CONTADOR]",IF(Registro_Compras!$F$467="RHE","Por el registro del recibo por honorarios "&amp;Registro_Compras!$C$467&amp;" de "&amp;Registro_Compras!$E$467&amp;" [PATRON POR CONFIRMAR CON CONTADOR]","Por el registro de la factura "&amp;Registro_Compras!$C$467&amp;" de "&amp;Registro_Compras!$E$467)))</f>
        <v/>
      </c>
      <c r="H4172">
        <f>IF($C4172="","",Registro_Compras!$C$467)</f>
        <v/>
      </c>
    </row>
    <row r="4173">
      <c r="A4173" s="25">
        <f>IF($C4173="","",Registro_Compras!$B$467)</f>
        <v/>
      </c>
      <c r="B4173">
        <f>IF($C4173="","","C"&amp;TEXT(INT((ROW()-5)/9)+1,"000")&amp;"-1")</f>
        <v/>
      </c>
      <c r="C4173">
        <f>IF(OR(Registro_Compras!$C$467="",Registro_Compras!$O$467=""),"",IF(Registro_Compras!$F$467="RHE",IF(Registro_Compras!$V$467=0,"","40172"),IF(Registro_Compras!$F$467="NOTA DE CREDITO",IF(Registro_Compras!$M$467="","63",Registro_Compras!$M$467),IF(Registro_Compras!$K$467=0,"","40111"))))</f>
        <v/>
      </c>
      <c r="D4173">
        <f>IF(OR(Registro_Compras!$C$467="",Registro_Compras!$O$467=""),"",IF(Registro_Compras!$F$467="RHE","Retencion Renta 4ta Categoria por Pagar",IF(Registro_Compras!$F$467="NOTA DE CREDITO","Gastos de Servicios Prestados por Terceros","IGV - Cuenta Propia (Credito Fiscal)")))</f>
        <v/>
      </c>
      <c r="E4173" s="20">
        <f>IF($C4173="","",IF(Registro_Compras!$F$467="FACTURA",ROUND(Registro_Compras!$K$467*Registro_Compras!$N$467,2),""))</f>
        <v/>
      </c>
      <c r="F4173" s="20">
        <f>IF($C4173="","",IF(Registro_Compras!$F$467="RHE",ROUND(Registro_Compras!$V$467*Registro_Compras!$N$467,2),IF(Registro_Compras!$F$467="NOTA DE CREDITO",ROUND(ABS(Registro_Compras!$J$467*Registro_Compras!$N$467),2),"")))</f>
        <v/>
      </c>
      <c r="G4173">
        <f>IF($C4173="","",IF(Registro_Compras!$F$467="NOTA DE CREDITO","Por la nota de credito "&amp;Registro_Compras!$C$467&amp;" de "&amp;Registro_Compras!$E$467&amp;" [PATRON POR CONFIRMAR CON CONTADOR]",IF(Registro_Compras!$F$467="RHE","Por el registro del recibo por honorarios "&amp;Registro_Compras!$C$467&amp;" de "&amp;Registro_Compras!$E$467&amp;" [PATRON POR CONFIRMAR CON CONTADOR]","Por el registro de la factura "&amp;Registro_Compras!$C$467&amp;" de "&amp;Registro_Compras!$E$467)))</f>
        <v/>
      </c>
      <c r="H4173">
        <f>IF($C4173="","",Registro_Compras!$C$467)</f>
        <v/>
      </c>
    </row>
    <row r="4174">
      <c r="A4174" s="25">
        <f>IF($C4174="","",Registro_Compras!$B$467)</f>
        <v/>
      </c>
      <c r="B4174">
        <f>IF($C4174="","","C"&amp;TEXT(INT((ROW()-5)/9)+1,"000")&amp;"-1")</f>
        <v/>
      </c>
      <c r="C4174">
        <f>IF(OR(Registro_Compras!$C$467="",Registro_Compras!$O$467=""),"",IF(Registro_Compras!$F$467="NOTA DE CREDITO",IF(Registro_Compras!$K$467=0,"","40111"),"4212"))</f>
        <v/>
      </c>
      <c r="D4174">
        <f>IF(OR(Registro_Compras!$C$467="",Registro_Compras!$O$467=""),"",IF(Registro_Compras!$F$467="NOTA DE CREDITO","IGV - Cuenta Propia (Credito Fiscal)","Cuentas por Pagar Comerciales - Terceros (Emitidas)"))</f>
        <v/>
      </c>
      <c r="E4174" s="20">
        <f>""</f>
        <v/>
      </c>
      <c r="F4174" s="20">
        <f>IF($C4174="","",IF(Registro_Compras!$F$467="NOTA DE CREDITO",ROUND(ABS(Registro_Compras!$K$467*Registro_Compras!$N$467),2),IF(Registro_Compras!$F$467="RHE",(ROUND(Registro_Compras!$L$467*Registro_Compras!$N$467,2)-ROUND(Registro_Compras!$V$467*Registro_Compras!$N$467,2)),Registro_Compras!$O$467)))</f>
        <v/>
      </c>
      <c r="G4174">
        <f>IF($C4174="","",IF(Registro_Compras!$F$467="NOTA DE CREDITO","Por la nota de credito "&amp;Registro_Compras!$C$467&amp;" de "&amp;Registro_Compras!$E$467&amp;" [PATRON POR CONFIRMAR CON CONTADOR]",IF(Registro_Compras!$F$467="RHE","Por el registro del recibo por honorarios "&amp;Registro_Compras!$C$467&amp;" de "&amp;Registro_Compras!$E$467&amp;" [PATRON POR CONFIRMAR CON CONTADOR]","Por el registro de la factura "&amp;Registro_Compras!$C$467&amp;" de "&amp;Registro_Compras!$E$467)))</f>
        <v/>
      </c>
      <c r="H4174">
        <f>IF($C4174="","",Registro_Compras!$C$467)</f>
        <v/>
      </c>
    </row>
    <row r="4175">
      <c r="A4175" s="25">
        <f>IF($C4175="","",Registro_Compras!$B$467)</f>
        <v/>
      </c>
      <c r="B4175">
        <f>IF($C4175="","","C"&amp;TEXT(INT((ROW()-5)/9)+1,"000")&amp;"-2")</f>
        <v/>
      </c>
      <c r="C4175">
        <f>IF(OR(Registro_Compras!$C$467="",Registro_Compras!$O$467=""),"",IF(Registro_Compras!$AB$467="ADMINISTRATIVO","94","95"))</f>
        <v/>
      </c>
      <c r="D4175">
        <f>IF(OR(Registro_Compras!$C$467="",Registro_Compras!$O$467=""),"",IF(Registro_Compras!$AB$467="ADMINISTRATIVO","Gastos Administrativos","Gastos de Venta y Operacion"))</f>
        <v/>
      </c>
      <c r="E4175" s="20">
        <f>IF($C4175="","",IF(Registro_Compras!$F$467="NOTA DE CREDITO","",IF(Registro_Compras!$F$467="RHE",ROUND(Registro_Compras!$L$467*Registro_Compras!$N$467,2),ROUND(Registro_Compras!$J$467*Registro_Compras!$N$467,2))))</f>
        <v/>
      </c>
      <c r="F4175" s="20">
        <f>IF($C4175="","",IF(Registro_Compras!$F$467="NOTA DE CREDITO",ROUND(ABS(Registro_Compras!$J$467*Registro_Compras!$N$467),2),""))</f>
        <v/>
      </c>
      <c r="G4175">
        <f>IF($C4175="","","Por el destino del gasto")</f>
        <v/>
      </c>
      <c r="H4175">
        <f>IF($C4175="","",Registro_Compras!$C$467)</f>
        <v/>
      </c>
    </row>
    <row r="4176">
      <c r="A4176" s="25">
        <f>IF($C4176="","",Registro_Compras!$B$467)</f>
        <v/>
      </c>
      <c r="B4176">
        <f>IF($C4176="","","C"&amp;TEXT(INT((ROW()-5)/9)+1,"000")&amp;"-2")</f>
        <v/>
      </c>
      <c r="C4176">
        <f>IF(OR(Registro_Compras!$C$467="",Registro_Compras!$O$467=""),"","79/791")</f>
        <v/>
      </c>
      <c r="D4176">
        <f>IF(OR(Registro_Compras!$C$467="",Registro_Compras!$O$467=""),"","Cargas Imputables a Cuentas de Costos y Gastos")</f>
        <v/>
      </c>
      <c r="E4176" s="20">
        <f>IF($C4176="","",IF(Registro_Compras!$F$467="NOTA DE CREDITO",ROUND(ABS(Registro_Compras!$J$467*Registro_Compras!$N$467),2),""))</f>
        <v/>
      </c>
      <c r="F4176" s="20">
        <f>IF($C4176="","",IF(Registro_Compras!$F$467="NOTA DE CREDITO","",IF(Registro_Compras!$F$467="RHE",ROUND(Registro_Compras!$L$467*Registro_Compras!$N$467,2),ROUND(Registro_Compras!$J$467*Registro_Compras!$N$467,2))))</f>
        <v/>
      </c>
      <c r="G4176">
        <f>IF($C4176="","","Por el destino del gasto")</f>
        <v/>
      </c>
      <c r="H4176">
        <f>IF($C4176="","",Registro_Compras!$C$467)</f>
        <v/>
      </c>
    </row>
    <row r="4177">
      <c r="A4177" s="25">
        <f>IF($C4177="","",Registro_Compras!$X$467)</f>
        <v/>
      </c>
      <c r="B4177">
        <f>IF($C4177="","","C"&amp;TEXT(INT((ROW()-5)/9)+1,"000")&amp;"-3")</f>
        <v/>
      </c>
      <c r="C4177">
        <f>IF(OR(Registro_Compras!$C$467="",Registro_Compras!$O$467="",Registro_Compras!$R$467&lt;&gt;"SI",Registro_Compras!$X$467=""),"","4212")</f>
        <v/>
      </c>
      <c r="D4177">
        <f>IF(OR(Registro_Compras!$C$467="",Registro_Compras!$O$467=""),"","Cuentas por Pagar Comerciales - Terceros")</f>
        <v/>
      </c>
      <c r="E4177" s="20">
        <f>IF($C4177="","",Registro_Compras!$S$467)</f>
        <v/>
      </c>
      <c r="F4177" s="20">
        <f>""</f>
        <v/>
      </c>
      <c r="G4177">
        <f>IF($C4177="","","Por el deposito de la detraccion en el Banco de la Nacion")</f>
        <v/>
      </c>
      <c r="H4177">
        <f>IF($C4177="","",Registro_Compras!$C$467)</f>
        <v/>
      </c>
    </row>
    <row r="4178">
      <c r="A4178" s="25">
        <f>IF($C4178="","",Registro_Compras!$X$467)</f>
        <v/>
      </c>
      <c r="B4178">
        <f>IF($C4178="","","C"&amp;TEXT(INT((ROW()-5)/9)+1,"000")&amp;"-3")</f>
        <v/>
      </c>
      <c r="C4178">
        <f>IF(OR(Registro_Compras!$C$467="",Registro_Compras!$O$467="",Registro_Compras!$R$467&lt;&gt;"SI",Registro_Compras!$X$467=""),"","10413")</f>
        <v/>
      </c>
      <c r="D4178">
        <f>IF(OR(Registro_Compras!$C$467="",Registro_Compras!$O$467=""),"","Efectivo y Equivalentes - Cta. Cte. Operativa")</f>
        <v/>
      </c>
      <c r="E4178" s="20">
        <f>""</f>
        <v/>
      </c>
      <c r="F4178" s="20">
        <f>IF($C4178="","",Registro_Compras!$S$467)</f>
        <v/>
      </c>
      <c r="G4178">
        <f>IF($C4178="","","Por el deposito de la detraccion en el Banco de la Nacion")</f>
        <v/>
      </c>
      <c r="H4178">
        <f>IF($C4178="","",Registro_Compras!$C$467)</f>
        <v/>
      </c>
    </row>
    <row r="4179">
      <c r="A4179" s="25">
        <f>IF($C4179="","",Registro_Compras!$Y$467)</f>
        <v/>
      </c>
      <c r="B4179">
        <f>IF($C4179="","","C"&amp;TEXT(INT((ROW()-5)/9)+1,"000")&amp;"-4")</f>
        <v/>
      </c>
      <c r="C4179">
        <f>IF(OR(Registro_Compras!$C$467="",Registro_Compras!$O$467="",Registro_Compras!$Y$467="",Registro_Compras!$F$467="NOTA DE CREDITO"),"","4212")</f>
        <v/>
      </c>
      <c r="D4179">
        <f>IF(OR(Registro_Compras!$C$467="",Registro_Compras!$O$467=""),"","Cuentas por Pagar Comerciales - Terceros")</f>
        <v/>
      </c>
      <c r="E4179" s="20">
        <f>IF($C4179="","",IF(Registro_Compras!$F$467="RHE",(ROUND(Registro_Compras!$L$467*Registro_Compras!$N$467,2)-ROUND(Registro_Compras!$V$467*Registro_Compras!$N$467,2)),ROUND(Registro_Compras!$O$467-Registro_Compras!$S$467,2)))</f>
        <v/>
      </c>
      <c r="F4179" s="20">
        <f>""</f>
        <v/>
      </c>
      <c r="G4179">
        <f>IF($C4179="","","Por la cancelacion del saldo al proveedor")</f>
        <v/>
      </c>
      <c r="H4179">
        <f>IF($C4179="","",Registro_Compras!$C$467)</f>
        <v/>
      </c>
    </row>
    <row r="4180">
      <c r="A4180" s="25">
        <f>IF($C4180="","",Registro_Compras!$Y$467)</f>
        <v/>
      </c>
      <c r="B4180">
        <f>IF($C4180="","","C"&amp;TEXT(INT((ROW()-5)/9)+1,"000")&amp;"-4")</f>
        <v/>
      </c>
      <c r="C4180">
        <f>IF(OR(Registro_Compras!$C$467="",Registro_Compras!$O$467="",Registro_Compras!$Y$467="",Registro_Compras!$F$467="NOTA DE CREDITO"),"","10413")</f>
        <v/>
      </c>
      <c r="D4180">
        <f>IF(OR(Registro_Compras!$C$467="",Registro_Compras!$O$467=""),"","Efectivo y Equivalentes - Cta. Cte. Operativa")</f>
        <v/>
      </c>
      <c r="E4180" s="20">
        <f>""</f>
        <v/>
      </c>
      <c r="F4180" s="20">
        <f>IF($C4180="","",IF(Registro_Compras!$F$467="RHE",(ROUND(Registro_Compras!$L$467*Registro_Compras!$N$467,2)-ROUND(Registro_Compras!$V$467*Registro_Compras!$N$467,2)),ROUND(Registro_Compras!$O$467-Registro_Compras!$S$467,2)))</f>
        <v/>
      </c>
      <c r="G4180">
        <f>IF($C4180="","","Por la cancelacion del saldo al proveedor")</f>
        <v/>
      </c>
      <c r="H4180">
        <f>IF($C4180="","",Registro_Compras!$C$467)</f>
        <v/>
      </c>
    </row>
    <row r="4181">
      <c r="A4181" s="25">
        <f>IF($C4181="","",Registro_Compras!$B$468)</f>
        <v/>
      </c>
      <c r="B4181">
        <f>IF($C4181="","","C"&amp;TEXT(INT((ROW()-5)/9)+1,"000")&amp;"-1")</f>
        <v/>
      </c>
      <c r="C4181">
        <f>IF(OR(Registro_Compras!$C$468="",Registro_Compras!$O$468=""),"",IF(Registro_Compras!$F$468="NOTA DE CREDITO","4212",IF(Registro_Compras!$M$468="","63",Registro_Compras!$M$468)))</f>
        <v/>
      </c>
      <c r="D4181">
        <f>IF(OR(Registro_Compras!$C$468="",Registro_Compras!$O$468=""),"",IF(Registro_Compras!$F$468="NOTA DE CREDITO","Cuentas por Pagar Comerciales - Terceros (Emitidas)",IF(Registro_Compras!$F$468="RHE","Honorarios Profesionales - Servicios de Terceros","Gastos de Servicios Prestados por Terceros")))</f>
        <v/>
      </c>
      <c r="E4181" s="20">
        <f>IF($C4181="","",IF(Registro_Compras!$F$468="NOTA DE CREDITO",ABS(Registro_Compras!$O$468),IF(Registro_Compras!$F$468="RHE",ROUND(Registro_Compras!$L$468*Registro_Compras!$N$468,2),ROUND(Registro_Compras!$J$468*Registro_Compras!$N$468,2))))</f>
        <v/>
      </c>
      <c r="F4181" s="20">
        <f>""</f>
        <v/>
      </c>
      <c r="G4181">
        <f>IF($C4181="","",IF(Registro_Compras!$F$468="NOTA DE CREDITO","Por la nota de credito "&amp;Registro_Compras!$C$468&amp;" de "&amp;Registro_Compras!$E$468&amp;" [PATRON POR CONFIRMAR CON CONTADOR]",IF(Registro_Compras!$F$468="RHE","Por el registro del recibo por honorarios "&amp;Registro_Compras!$C$468&amp;" de "&amp;Registro_Compras!$E$468&amp;" [PATRON POR CONFIRMAR CON CONTADOR]","Por el registro de la factura "&amp;Registro_Compras!$C$468&amp;" de "&amp;Registro_Compras!$E$468)))</f>
        <v/>
      </c>
      <c r="H4181">
        <f>IF($C4181="","",Registro_Compras!$C$468)</f>
        <v/>
      </c>
    </row>
    <row r="4182">
      <c r="A4182" s="25">
        <f>IF($C4182="","",Registro_Compras!$B$468)</f>
        <v/>
      </c>
      <c r="B4182">
        <f>IF($C4182="","","C"&amp;TEXT(INT((ROW()-5)/9)+1,"000")&amp;"-1")</f>
        <v/>
      </c>
      <c r="C4182">
        <f>IF(OR(Registro_Compras!$C$468="",Registro_Compras!$O$468=""),"",IF(Registro_Compras!$F$468="RHE",IF(Registro_Compras!$V$468=0,"","40172"),IF(Registro_Compras!$F$468="NOTA DE CREDITO",IF(Registro_Compras!$M$468="","63",Registro_Compras!$M$468),IF(Registro_Compras!$K$468=0,"","40111"))))</f>
        <v/>
      </c>
      <c r="D4182">
        <f>IF(OR(Registro_Compras!$C$468="",Registro_Compras!$O$468=""),"",IF(Registro_Compras!$F$468="RHE","Retencion Renta 4ta Categoria por Pagar",IF(Registro_Compras!$F$468="NOTA DE CREDITO","Gastos de Servicios Prestados por Terceros","IGV - Cuenta Propia (Credito Fiscal)")))</f>
        <v/>
      </c>
      <c r="E4182" s="20">
        <f>IF($C4182="","",IF(Registro_Compras!$F$468="FACTURA",ROUND(Registro_Compras!$K$468*Registro_Compras!$N$468,2),""))</f>
        <v/>
      </c>
      <c r="F4182" s="20">
        <f>IF($C4182="","",IF(Registro_Compras!$F$468="RHE",ROUND(Registro_Compras!$V$468*Registro_Compras!$N$468,2),IF(Registro_Compras!$F$468="NOTA DE CREDITO",ROUND(ABS(Registro_Compras!$J$468*Registro_Compras!$N$468),2),"")))</f>
        <v/>
      </c>
      <c r="G4182">
        <f>IF($C4182="","",IF(Registro_Compras!$F$468="NOTA DE CREDITO","Por la nota de credito "&amp;Registro_Compras!$C$468&amp;" de "&amp;Registro_Compras!$E$468&amp;" [PATRON POR CONFIRMAR CON CONTADOR]",IF(Registro_Compras!$F$468="RHE","Por el registro del recibo por honorarios "&amp;Registro_Compras!$C$468&amp;" de "&amp;Registro_Compras!$E$468&amp;" [PATRON POR CONFIRMAR CON CONTADOR]","Por el registro de la factura "&amp;Registro_Compras!$C$468&amp;" de "&amp;Registro_Compras!$E$468)))</f>
        <v/>
      </c>
      <c r="H4182">
        <f>IF($C4182="","",Registro_Compras!$C$468)</f>
        <v/>
      </c>
    </row>
    <row r="4183">
      <c r="A4183" s="25">
        <f>IF($C4183="","",Registro_Compras!$B$468)</f>
        <v/>
      </c>
      <c r="B4183">
        <f>IF($C4183="","","C"&amp;TEXT(INT((ROW()-5)/9)+1,"000")&amp;"-1")</f>
        <v/>
      </c>
      <c r="C4183">
        <f>IF(OR(Registro_Compras!$C$468="",Registro_Compras!$O$468=""),"",IF(Registro_Compras!$F$468="NOTA DE CREDITO",IF(Registro_Compras!$K$468=0,"","40111"),"4212"))</f>
        <v/>
      </c>
      <c r="D4183">
        <f>IF(OR(Registro_Compras!$C$468="",Registro_Compras!$O$468=""),"",IF(Registro_Compras!$F$468="NOTA DE CREDITO","IGV - Cuenta Propia (Credito Fiscal)","Cuentas por Pagar Comerciales - Terceros (Emitidas)"))</f>
        <v/>
      </c>
      <c r="E4183" s="20">
        <f>""</f>
        <v/>
      </c>
      <c r="F4183" s="20">
        <f>IF($C4183="","",IF(Registro_Compras!$F$468="NOTA DE CREDITO",ROUND(ABS(Registro_Compras!$K$468*Registro_Compras!$N$468),2),IF(Registro_Compras!$F$468="RHE",(ROUND(Registro_Compras!$L$468*Registro_Compras!$N$468,2)-ROUND(Registro_Compras!$V$468*Registro_Compras!$N$468,2)),Registro_Compras!$O$468)))</f>
        <v/>
      </c>
      <c r="G4183">
        <f>IF($C4183="","",IF(Registro_Compras!$F$468="NOTA DE CREDITO","Por la nota de credito "&amp;Registro_Compras!$C$468&amp;" de "&amp;Registro_Compras!$E$468&amp;" [PATRON POR CONFIRMAR CON CONTADOR]",IF(Registro_Compras!$F$468="RHE","Por el registro del recibo por honorarios "&amp;Registro_Compras!$C$468&amp;" de "&amp;Registro_Compras!$E$468&amp;" [PATRON POR CONFIRMAR CON CONTADOR]","Por el registro de la factura "&amp;Registro_Compras!$C$468&amp;" de "&amp;Registro_Compras!$E$468)))</f>
        <v/>
      </c>
      <c r="H4183">
        <f>IF($C4183="","",Registro_Compras!$C$468)</f>
        <v/>
      </c>
    </row>
    <row r="4184">
      <c r="A4184" s="25">
        <f>IF($C4184="","",Registro_Compras!$B$468)</f>
        <v/>
      </c>
      <c r="B4184">
        <f>IF($C4184="","","C"&amp;TEXT(INT((ROW()-5)/9)+1,"000")&amp;"-2")</f>
        <v/>
      </c>
      <c r="C4184">
        <f>IF(OR(Registro_Compras!$C$468="",Registro_Compras!$O$468=""),"",IF(Registro_Compras!$AB$468="ADMINISTRATIVO","94","95"))</f>
        <v/>
      </c>
      <c r="D4184">
        <f>IF(OR(Registro_Compras!$C$468="",Registro_Compras!$O$468=""),"",IF(Registro_Compras!$AB$468="ADMINISTRATIVO","Gastos Administrativos","Gastos de Venta y Operacion"))</f>
        <v/>
      </c>
      <c r="E4184" s="20">
        <f>IF($C4184="","",IF(Registro_Compras!$F$468="NOTA DE CREDITO","",IF(Registro_Compras!$F$468="RHE",ROUND(Registro_Compras!$L$468*Registro_Compras!$N$468,2),ROUND(Registro_Compras!$J$468*Registro_Compras!$N$468,2))))</f>
        <v/>
      </c>
      <c r="F4184" s="20">
        <f>IF($C4184="","",IF(Registro_Compras!$F$468="NOTA DE CREDITO",ROUND(ABS(Registro_Compras!$J$468*Registro_Compras!$N$468),2),""))</f>
        <v/>
      </c>
      <c r="G4184">
        <f>IF($C4184="","","Por el destino del gasto")</f>
        <v/>
      </c>
      <c r="H4184">
        <f>IF($C4184="","",Registro_Compras!$C$468)</f>
        <v/>
      </c>
    </row>
    <row r="4185">
      <c r="A4185" s="25">
        <f>IF($C4185="","",Registro_Compras!$B$468)</f>
        <v/>
      </c>
      <c r="B4185">
        <f>IF($C4185="","","C"&amp;TEXT(INT((ROW()-5)/9)+1,"000")&amp;"-2")</f>
        <v/>
      </c>
      <c r="C4185">
        <f>IF(OR(Registro_Compras!$C$468="",Registro_Compras!$O$468=""),"","79/791")</f>
        <v/>
      </c>
      <c r="D4185">
        <f>IF(OR(Registro_Compras!$C$468="",Registro_Compras!$O$468=""),"","Cargas Imputables a Cuentas de Costos y Gastos")</f>
        <v/>
      </c>
      <c r="E4185" s="20">
        <f>IF($C4185="","",IF(Registro_Compras!$F$468="NOTA DE CREDITO",ROUND(ABS(Registro_Compras!$J$468*Registro_Compras!$N$468),2),""))</f>
        <v/>
      </c>
      <c r="F4185" s="20">
        <f>IF($C4185="","",IF(Registro_Compras!$F$468="NOTA DE CREDITO","",IF(Registro_Compras!$F$468="RHE",ROUND(Registro_Compras!$L$468*Registro_Compras!$N$468,2),ROUND(Registro_Compras!$J$468*Registro_Compras!$N$468,2))))</f>
        <v/>
      </c>
      <c r="G4185">
        <f>IF($C4185="","","Por el destino del gasto")</f>
        <v/>
      </c>
      <c r="H4185">
        <f>IF($C4185="","",Registro_Compras!$C$468)</f>
        <v/>
      </c>
    </row>
    <row r="4186">
      <c r="A4186" s="25">
        <f>IF($C4186="","",Registro_Compras!$X$468)</f>
        <v/>
      </c>
      <c r="B4186">
        <f>IF($C4186="","","C"&amp;TEXT(INT((ROW()-5)/9)+1,"000")&amp;"-3")</f>
        <v/>
      </c>
      <c r="C4186">
        <f>IF(OR(Registro_Compras!$C$468="",Registro_Compras!$O$468="",Registro_Compras!$R$468&lt;&gt;"SI",Registro_Compras!$X$468=""),"","4212")</f>
        <v/>
      </c>
      <c r="D4186">
        <f>IF(OR(Registro_Compras!$C$468="",Registro_Compras!$O$468=""),"","Cuentas por Pagar Comerciales - Terceros")</f>
        <v/>
      </c>
      <c r="E4186" s="20">
        <f>IF($C4186="","",Registro_Compras!$S$468)</f>
        <v/>
      </c>
      <c r="F4186" s="20">
        <f>""</f>
        <v/>
      </c>
      <c r="G4186">
        <f>IF($C4186="","","Por el deposito de la detraccion en el Banco de la Nacion")</f>
        <v/>
      </c>
      <c r="H4186">
        <f>IF($C4186="","",Registro_Compras!$C$468)</f>
        <v/>
      </c>
    </row>
    <row r="4187">
      <c r="A4187" s="25">
        <f>IF($C4187="","",Registro_Compras!$X$468)</f>
        <v/>
      </c>
      <c r="B4187">
        <f>IF($C4187="","","C"&amp;TEXT(INT((ROW()-5)/9)+1,"000")&amp;"-3")</f>
        <v/>
      </c>
      <c r="C4187">
        <f>IF(OR(Registro_Compras!$C$468="",Registro_Compras!$O$468="",Registro_Compras!$R$468&lt;&gt;"SI",Registro_Compras!$X$468=""),"","10413")</f>
        <v/>
      </c>
      <c r="D4187">
        <f>IF(OR(Registro_Compras!$C$468="",Registro_Compras!$O$468=""),"","Efectivo y Equivalentes - Cta. Cte. Operativa")</f>
        <v/>
      </c>
      <c r="E4187" s="20">
        <f>""</f>
        <v/>
      </c>
      <c r="F4187" s="20">
        <f>IF($C4187="","",Registro_Compras!$S$468)</f>
        <v/>
      </c>
      <c r="G4187">
        <f>IF($C4187="","","Por el deposito de la detraccion en el Banco de la Nacion")</f>
        <v/>
      </c>
      <c r="H4187">
        <f>IF($C4187="","",Registro_Compras!$C$468)</f>
        <v/>
      </c>
    </row>
    <row r="4188">
      <c r="A4188" s="25">
        <f>IF($C4188="","",Registro_Compras!$Y$468)</f>
        <v/>
      </c>
      <c r="B4188">
        <f>IF($C4188="","","C"&amp;TEXT(INT((ROW()-5)/9)+1,"000")&amp;"-4")</f>
        <v/>
      </c>
      <c r="C4188">
        <f>IF(OR(Registro_Compras!$C$468="",Registro_Compras!$O$468="",Registro_Compras!$Y$468="",Registro_Compras!$F$468="NOTA DE CREDITO"),"","4212")</f>
        <v/>
      </c>
      <c r="D4188">
        <f>IF(OR(Registro_Compras!$C$468="",Registro_Compras!$O$468=""),"","Cuentas por Pagar Comerciales - Terceros")</f>
        <v/>
      </c>
      <c r="E4188" s="20">
        <f>IF($C4188="","",IF(Registro_Compras!$F$468="RHE",(ROUND(Registro_Compras!$L$468*Registro_Compras!$N$468,2)-ROUND(Registro_Compras!$V$468*Registro_Compras!$N$468,2)),ROUND(Registro_Compras!$O$468-Registro_Compras!$S$468,2)))</f>
        <v/>
      </c>
      <c r="F4188" s="20">
        <f>""</f>
        <v/>
      </c>
      <c r="G4188">
        <f>IF($C4188="","","Por la cancelacion del saldo al proveedor")</f>
        <v/>
      </c>
      <c r="H4188">
        <f>IF($C4188="","",Registro_Compras!$C$468)</f>
        <v/>
      </c>
    </row>
    <row r="4189">
      <c r="A4189" s="25">
        <f>IF($C4189="","",Registro_Compras!$Y$468)</f>
        <v/>
      </c>
      <c r="B4189">
        <f>IF($C4189="","","C"&amp;TEXT(INT((ROW()-5)/9)+1,"000")&amp;"-4")</f>
        <v/>
      </c>
      <c r="C4189">
        <f>IF(OR(Registro_Compras!$C$468="",Registro_Compras!$O$468="",Registro_Compras!$Y$468="",Registro_Compras!$F$468="NOTA DE CREDITO"),"","10413")</f>
        <v/>
      </c>
      <c r="D4189">
        <f>IF(OR(Registro_Compras!$C$468="",Registro_Compras!$O$468=""),"","Efectivo y Equivalentes - Cta. Cte. Operativa")</f>
        <v/>
      </c>
      <c r="E4189" s="20">
        <f>""</f>
        <v/>
      </c>
      <c r="F4189" s="20">
        <f>IF($C4189="","",IF(Registro_Compras!$F$468="RHE",(ROUND(Registro_Compras!$L$468*Registro_Compras!$N$468,2)-ROUND(Registro_Compras!$V$468*Registro_Compras!$N$468,2)),ROUND(Registro_Compras!$O$468-Registro_Compras!$S$468,2)))</f>
        <v/>
      </c>
      <c r="G4189">
        <f>IF($C4189="","","Por la cancelacion del saldo al proveedor")</f>
        <v/>
      </c>
      <c r="H4189">
        <f>IF($C4189="","",Registro_Compras!$C$468)</f>
        <v/>
      </c>
    </row>
    <row r="4190">
      <c r="A4190" s="25">
        <f>IF($C4190="","",Registro_Compras!$B$469)</f>
        <v/>
      </c>
      <c r="B4190">
        <f>IF($C4190="","","C"&amp;TEXT(INT((ROW()-5)/9)+1,"000")&amp;"-1")</f>
        <v/>
      </c>
      <c r="C4190">
        <f>IF(OR(Registro_Compras!$C$469="",Registro_Compras!$O$469=""),"",IF(Registro_Compras!$F$469="NOTA DE CREDITO","4212",IF(Registro_Compras!$M$469="","63",Registro_Compras!$M$469)))</f>
        <v/>
      </c>
      <c r="D4190">
        <f>IF(OR(Registro_Compras!$C$469="",Registro_Compras!$O$469=""),"",IF(Registro_Compras!$F$469="NOTA DE CREDITO","Cuentas por Pagar Comerciales - Terceros (Emitidas)",IF(Registro_Compras!$F$469="RHE","Honorarios Profesionales - Servicios de Terceros","Gastos de Servicios Prestados por Terceros")))</f>
        <v/>
      </c>
      <c r="E4190" s="20">
        <f>IF($C4190="","",IF(Registro_Compras!$F$469="NOTA DE CREDITO",ABS(Registro_Compras!$O$469),IF(Registro_Compras!$F$469="RHE",ROUND(Registro_Compras!$L$469*Registro_Compras!$N$469,2),ROUND(Registro_Compras!$J$469*Registro_Compras!$N$469,2))))</f>
        <v/>
      </c>
      <c r="F4190" s="20">
        <f>""</f>
        <v/>
      </c>
      <c r="G4190">
        <f>IF($C4190="","",IF(Registro_Compras!$F$469="NOTA DE CREDITO","Por la nota de credito "&amp;Registro_Compras!$C$469&amp;" de "&amp;Registro_Compras!$E$469&amp;" [PATRON POR CONFIRMAR CON CONTADOR]",IF(Registro_Compras!$F$469="RHE","Por el registro del recibo por honorarios "&amp;Registro_Compras!$C$469&amp;" de "&amp;Registro_Compras!$E$469&amp;" [PATRON POR CONFIRMAR CON CONTADOR]","Por el registro de la factura "&amp;Registro_Compras!$C$469&amp;" de "&amp;Registro_Compras!$E$469)))</f>
        <v/>
      </c>
      <c r="H4190">
        <f>IF($C4190="","",Registro_Compras!$C$469)</f>
        <v/>
      </c>
    </row>
    <row r="4191">
      <c r="A4191" s="25">
        <f>IF($C4191="","",Registro_Compras!$B$469)</f>
        <v/>
      </c>
      <c r="B4191">
        <f>IF($C4191="","","C"&amp;TEXT(INT((ROW()-5)/9)+1,"000")&amp;"-1")</f>
        <v/>
      </c>
      <c r="C4191">
        <f>IF(OR(Registro_Compras!$C$469="",Registro_Compras!$O$469=""),"",IF(Registro_Compras!$F$469="RHE",IF(Registro_Compras!$V$469=0,"","40172"),IF(Registro_Compras!$F$469="NOTA DE CREDITO",IF(Registro_Compras!$M$469="","63",Registro_Compras!$M$469),IF(Registro_Compras!$K$469=0,"","40111"))))</f>
        <v/>
      </c>
      <c r="D4191">
        <f>IF(OR(Registro_Compras!$C$469="",Registro_Compras!$O$469=""),"",IF(Registro_Compras!$F$469="RHE","Retencion Renta 4ta Categoria por Pagar",IF(Registro_Compras!$F$469="NOTA DE CREDITO","Gastos de Servicios Prestados por Terceros","IGV - Cuenta Propia (Credito Fiscal)")))</f>
        <v/>
      </c>
      <c r="E4191" s="20">
        <f>IF($C4191="","",IF(Registro_Compras!$F$469="FACTURA",ROUND(Registro_Compras!$K$469*Registro_Compras!$N$469,2),""))</f>
        <v/>
      </c>
      <c r="F4191" s="20">
        <f>IF($C4191="","",IF(Registro_Compras!$F$469="RHE",ROUND(Registro_Compras!$V$469*Registro_Compras!$N$469,2),IF(Registro_Compras!$F$469="NOTA DE CREDITO",ROUND(ABS(Registro_Compras!$J$469*Registro_Compras!$N$469),2),"")))</f>
        <v/>
      </c>
      <c r="G4191">
        <f>IF($C4191="","",IF(Registro_Compras!$F$469="NOTA DE CREDITO","Por la nota de credito "&amp;Registro_Compras!$C$469&amp;" de "&amp;Registro_Compras!$E$469&amp;" [PATRON POR CONFIRMAR CON CONTADOR]",IF(Registro_Compras!$F$469="RHE","Por el registro del recibo por honorarios "&amp;Registro_Compras!$C$469&amp;" de "&amp;Registro_Compras!$E$469&amp;" [PATRON POR CONFIRMAR CON CONTADOR]","Por el registro de la factura "&amp;Registro_Compras!$C$469&amp;" de "&amp;Registro_Compras!$E$469)))</f>
        <v/>
      </c>
      <c r="H4191">
        <f>IF($C4191="","",Registro_Compras!$C$469)</f>
        <v/>
      </c>
    </row>
    <row r="4192">
      <c r="A4192" s="25">
        <f>IF($C4192="","",Registro_Compras!$B$469)</f>
        <v/>
      </c>
      <c r="B4192">
        <f>IF($C4192="","","C"&amp;TEXT(INT((ROW()-5)/9)+1,"000")&amp;"-1")</f>
        <v/>
      </c>
      <c r="C4192">
        <f>IF(OR(Registro_Compras!$C$469="",Registro_Compras!$O$469=""),"",IF(Registro_Compras!$F$469="NOTA DE CREDITO",IF(Registro_Compras!$K$469=0,"","40111"),"4212"))</f>
        <v/>
      </c>
      <c r="D4192">
        <f>IF(OR(Registro_Compras!$C$469="",Registro_Compras!$O$469=""),"",IF(Registro_Compras!$F$469="NOTA DE CREDITO","IGV - Cuenta Propia (Credito Fiscal)","Cuentas por Pagar Comerciales - Terceros (Emitidas)"))</f>
        <v/>
      </c>
      <c r="E4192" s="20">
        <f>""</f>
        <v/>
      </c>
      <c r="F4192" s="20">
        <f>IF($C4192="","",IF(Registro_Compras!$F$469="NOTA DE CREDITO",ROUND(ABS(Registro_Compras!$K$469*Registro_Compras!$N$469),2),IF(Registro_Compras!$F$469="RHE",(ROUND(Registro_Compras!$L$469*Registro_Compras!$N$469,2)-ROUND(Registro_Compras!$V$469*Registro_Compras!$N$469,2)),Registro_Compras!$O$469)))</f>
        <v/>
      </c>
      <c r="G4192">
        <f>IF($C4192="","",IF(Registro_Compras!$F$469="NOTA DE CREDITO","Por la nota de credito "&amp;Registro_Compras!$C$469&amp;" de "&amp;Registro_Compras!$E$469&amp;" [PATRON POR CONFIRMAR CON CONTADOR]",IF(Registro_Compras!$F$469="RHE","Por el registro del recibo por honorarios "&amp;Registro_Compras!$C$469&amp;" de "&amp;Registro_Compras!$E$469&amp;" [PATRON POR CONFIRMAR CON CONTADOR]","Por el registro de la factura "&amp;Registro_Compras!$C$469&amp;" de "&amp;Registro_Compras!$E$469)))</f>
        <v/>
      </c>
      <c r="H4192">
        <f>IF($C4192="","",Registro_Compras!$C$469)</f>
        <v/>
      </c>
    </row>
    <row r="4193">
      <c r="A4193" s="25">
        <f>IF($C4193="","",Registro_Compras!$B$469)</f>
        <v/>
      </c>
      <c r="B4193">
        <f>IF($C4193="","","C"&amp;TEXT(INT((ROW()-5)/9)+1,"000")&amp;"-2")</f>
        <v/>
      </c>
      <c r="C4193">
        <f>IF(OR(Registro_Compras!$C$469="",Registro_Compras!$O$469=""),"",IF(Registro_Compras!$AB$469="ADMINISTRATIVO","94","95"))</f>
        <v/>
      </c>
      <c r="D4193">
        <f>IF(OR(Registro_Compras!$C$469="",Registro_Compras!$O$469=""),"",IF(Registro_Compras!$AB$469="ADMINISTRATIVO","Gastos Administrativos","Gastos de Venta y Operacion"))</f>
        <v/>
      </c>
      <c r="E4193" s="20">
        <f>IF($C4193="","",IF(Registro_Compras!$F$469="NOTA DE CREDITO","",IF(Registro_Compras!$F$469="RHE",ROUND(Registro_Compras!$L$469*Registro_Compras!$N$469,2),ROUND(Registro_Compras!$J$469*Registro_Compras!$N$469,2))))</f>
        <v/>
      </c>
      <c r="F4193" s="20">
        <f>IF($C4193="","",IF(Registro_Compras!$F$469="NOTA DE CREDITO",ROUND(ABS(Registro_Compras!$J$469*Registro_Compras!$N$469),2),""))</f>
        <v/>
      </c>
      <c r="G4193">
        <f>IF($C4193="","","Por el destino del gasto")</f>
        <v/>
      </c>
      <c r="H4193">
        <f>IF($C4193="","",Registro_Compras!$C$469)</f>
        <v/>
      </c>
    </row>
    <row r="4194">
      <c r="A4194" s="25">
        <f>IF($C4194="","",Registro_Compras!$B$469)</f>
        <v/>
      </c>
      <c r="B4194">
        <f>IF($C4194="","","C"&amp;TEXT(INT((ROW()-5)/9)+1,"000")&amp;"-2")</f>
        <v/>
      </c>
      <c r="C4194">
        <f>IF(OR(Registro_Compras!$C$469="",Registro_Compras!$O$469=""),"","79/791")</f>
        <v/>
      </c>
      <c r="D4194">
        <f>IF(OR(Registro_Compras!$C$469="",Registro_Compras!$O$469=""),"","Cargas Imputables a Cuentas de Costos y Gastos")</f>
        <v/>
      </c>
      <c r="E4194" s="20">
        <f>IF($C4194="","",IF(Registro_Compras!$F$469="NOTA DE CREDITO",ROUND(ABS(Registro_Compras!$J$469*Registro_Compras!$N$469),2),""))</f>
        <v/>
      </c>
      <c r="F4194" s="20">
        <f>IF($C4194="","",IF(Registro_Compras!$F$469="NOTA DE CREDITO","",IF(Registro_Compras!$F$469="RHE",ROUND(Registro_Compras!$L$469*Registro_Compras!$N$469,2),ROUND(Registro_Compras!$J$469*Registro_Compras!$N$469,2))))</f>
        <v/>
      </c>
      <c r="G4194">
        <f>IF($C4194="","","Por el destino del gasto")</f>
        <v/>
      </c>
      <c r="H4194">
        <f>IF($C4194="","",Registro_Compras!$C$469)</f>
        <v/>
      </c>
    </row>
    <row r="4195">
      <c r="A4195" s="25">
        <f>IF($C4195="","",Registro_Compras!$X$469)</f>
        <v/>
      </c>
      <c r="B4195">
        <f>IF($C4195="","","C"&amp;TEXT(INT((ROW()-5)/9)+1,"000")&amp;"-3")</f>
        <v/>
      </c>
      <c r="C4195">
        <f>IF(OR(Registro_Compras!$C$469="",Registro_Compras!$O$469="",Registro_Compras!$R$469&lt;&gt;"SI",Registro_Compras!$X$469=""),"","4212")</f>
        <v/>
      </c>
      <c r="D4195">
        <f>IF(OR(Registro_Compras!$C$469="",Registro_Compras!$O$469=""),"","Cuentas por Pagar Comerciales - Terceros")</f>
        <v/>
      </c>
      <c r="E4195" s="20">
        <f>IF($C4195="","",Registro_Compras!$S$469)</f>
        <v/>
      </c>
      <c r="F4195" s="20">
        <f>""</f>
        <v/>
      </c>
      <c r="G4195">
        <f>IF($C4195="","","Por el deposito de la detraccion en el Banco de la Nacion")</f>
        <v/>
      </c>
      <c r="H4195">
        <f>IF($C4195="","",Registro_Compras!$C$469)</f>
        <v/>
      </c>
    </row>
    <row r="4196">
      <c r="A4196" s="25">
        <f>IF($C4196="","",Registro_Compras!$X$469)</f>
        <v/>
      </c>
      <c r="B4196">
        <f>IF($C4196="","","C"&amp;TEXT(INT((ROW()-5)/9)+1,"000")&amp;"-3")</f>
        <v/>
      </c>
      <c r="C4196">
        <f>IF(OR(Registro_Compras!$C$469="",Registro_Compras!$O$469="",Registro_Compras!$R$469&lt;&gt;"SI",Registro_Compras!$X$469=""),"","10413")</f>
        <v/>
      </c>
      <c r="D4196">
        <f>IF(OR(Registro_Compras!$C$469="",Registro_Compras!$O$469=""),"","Efectivo y Equivalentes - Cta. Cte. Operativa")</f>
        <v/>
      </c>
      <c r="E4196" s="20">
        <f>""</f>
        <v/>
      </c>
      <c r="F4196" s="20">
        <f>IF($C4196="","",Registro_Compras!$S$469)</f>
        <v/>
      </c>
      <c r="G4196">
        <f>IF($C4196="","","Por el deposito de la detraccion en el Banco de la Nacion")</f>
        <v/>
      </c>
      <c r="H4196">
        <f>IF($C4196="","",Registro_Compras!$C$469)</f>
        <v/>
      </c>
    </row>
    <row r="4197">
      <c r="A4197" s="25">
        <f>IF($C4197="","",Registro_Compras!$Y$469)</f>
        <v/>
      </c>
      <c r="B4197">
        <f>IF($C4197="","","C"&amp;TEXT(INT((ROW()-5)/9)+1,"000")&amp;"-4")</f>
        <v/>
      </c>
      <c r="C4197">
        <f>IF(OR(Registro_Compras!$C$469="",Registro_Compras!$O$469="",Registro_Compras!$Y$469="",Registro_Compras!$F$469="NOTA DE CREDITO"),"","4212")</f>
        <v/>
      </c>
      <c r="D4197">
        <f>IF(OR(Registro_Compras!$C$469="",Registro_Compras!$O$469=""),"","Cuentas por Pagar Comerciales - Terceros")</f>
        <v/>
      </c>
      <c r="E4197" s="20">
        <f>IF($C4197="","",IF(Registro_Compras!$F$469="RHE",(ROUND(Registro_Compras!$L$469*Registro_Compras!$N$469,2)-ROUND(Registro_Compras!$V$469*Registro_Compras!$N$469,2)),ROUND(Registro_Compras!$O$469-Registro_Compras!$S$469,2)))</f>
        <v/>
      </c>
      <c r="F4197" s="20">
        <f>""</f>
        <v/>
      </c>
      <c r="G4197">
        <f>IF($C4197="","","Por la cancelacion del saldo al proveedor")</f>
        <v/>
      </c>
      <c r="H4197">
        <f>IF($C4197="","",Registro_Compras!$C$469)</f>
        <v/>
      </c>
    </row>
    <row r="4198">
      <c r="A4198" s="25">
        <f>IF($C4198="","",Registro_Compras!$Y$469)</f>
        <v/>
      </c>
      <c r="B4198">
        <f>IF($C4198="","","C"&amp;TEXT(INT((ROW()-5)/9)+1,"000")&amp;"-4")</f>
        <v/>
      </c>
      <c r="C4198">
        <f>IF(OR(Registro_Compras!$C$469="",Registro_Compras!$O$469="",Registro_Compras!$Y$469="",Registro_Compras!$F$469="NOTA DE CREDITO"),"","10413")</f>
        <v/>
      </c>
      <c r="D4198">
        <f>IF(OR(Registro_Compras!$C$469="",Registro_Compras!$O$469=""),"","Efectivo y Equivalentes - Cta. Cte. Operativa")</f>
        <v/>
      </c>
      <c r="E4198" s="20">
        <f>""</f>
        <v/>
      </c>
      <c r="F4198" s="20">
        <f>IF($C4198="","",IF(Registro_Compras!$F$469="RHE",(ROUND(Registro_Compras!$L$469*Registro_Compras!$N$469,2)-ROUND(Registro_Compras!$V$469*Registro_Compras!$N$469,2)),ROUND(Registro_Compras!$O$469-Registro_Compras!$S$469,2)))</f>
        <v/>
      </c>
      <c r="G4198">
        <f>IF($C4198="","","Por la cancelacion del saldo al proveedor")</f>
        <v/>
      </c>
      <c r="H4198">
        <f>IF($C4198="","",Registro_Compras!$C$469)</f>
        <v/>
      </c>
    </row>
    <row r="4199">
      <c r="A4199" s="25">
        <f>IF($C4199="","",Registro_Compras!$B$470)</f>
        <v/>
      </c>
      <c r="B4199">
        <f>IF($C4199="","","C"&amp;TEXT(INT((ROW()-5)/9)+1,"000")&amp;"-1")</f>
        <v/>
      </c>
      <c r="C4199">
        <f>IF(OR(Registro_Compras!$C$470="",Registro_Compras!$O$470=""),"",IF(Registro_Compras!$F$470="NOTA DE CREDITO","4212",IF(Registro_Compras!$M$470="","63",Registro_Compras!$M$470)))</f>
        <v/>
      </c>
      <c r="D4199">
        <f>IF(OR(Registro_Compras!$C$470="",Registro_Compras!$O$470=""),"",IF(Registro_Compras!$F$470="NOTA DE CREDITO","Cuentas por Pagar Comerciales - Terceros (Emitidas)",IF(Registro_Compras!$F$470="RHE","Honorarios Profesionales - Servicios de Terceros","Gastos de Servicios Prestados por Terceros")))</f>
        <v/>
      </c>
      <c r="E4199" s="20">
        <f>IF($C4199="","",IF(Registro_Compras!$F$470="NOTA DE CREDITO",ABS(Registro_Compras!$O$470),IF(Registro_Compras!$F$470="RHE",ROUND(Registro_Compras!$L$470*Registro_Compras!$N$470,2),ROUND(Registro_Compras!$J$470*Registro_Compras!$N$470,2))))</f>
        <v/>
      </c>
      <c r="F4199" s="20">
        <f>""</f>
        <v/>
      </c>
      <c r="G4199">
        <f>IF($C4199="","",IF(Registro_Compras!$F$470="NOTA DE CREDITO","Por la nota de credito "&amp;Registro_Compras!$C$470&amp;" de "&amp;Registro_Compras!$E$470&amp;" [PATRON POR CONFIRMAR CON CONTADOR]",IF(Registro_Compras!$F$470="RHE","Por el registro del recibo por honorarios "&amp;Registro_Compras!$C$470&amp;" de "&amp;Registro_Compras!$E$470&amp;" [PATRON POR CONFIRMAR CON CONTADOR]","Por el registro de la factura "&amp;Registro_Compras!$C$470&amp;" de "&amp;Registro_Compras!$E$470)))</f>
        <v/>
      </c>
      <c r="H4199">
        <f>IF($C4199="","",Registro_Compras!$C$470)</f>
        <v/>
      </c>
    </row>
    <row r="4200">
      <c r="A4200" s="25">
        <f>IF($C4200="","",Registro_Compras!$B$470)</f>
        <v/>
      </c>
      <c r="B4200">
        <f>IF($C4200="","","C"&amp;TEXT(INT((ROW()-5)/9)+1,"000")&amp;"-1")</f>
        <v/>
      </c>
      <c r="C4200">
        <f>IF(OR(Registro_Compras!$C$470="",Registro_Compras!$O$470=""),"",IF(Registro_Compras!$F$470="RHE",IF(Registro_Compras!$V$470=0,"","40172"),IF(Registro_Compras!$F$470="NOTA DE CREDITO",IF(Registro_Compras!$M$470="","63",Registro_Compras!$M$470),IF(Registro_Compras!$K$470=0,"","40111"))))</f>
        <v/>
      </c>
      <c r="D4200">
        <f>IF(OR(Registro_Compras!$C$470="",Registro_Compras!$O$470=""),"",IF(Registro_Compras!$F$470="RHE","Retencion Renta 4ta Categoria por Pagar",IF(Registro_Compras!$F$470="NOTA DE CREDITO","Gastos de Servicios Prestados por Terceros","IGV - Cuenta Propia (Credito Fiscal)")))</f>
        <v/>
      </c>
      <c r="E4200" s="20">
        <f>IF($C4200="","",IF(Registro_Compras!$F$470="FACTURA",ROUND(Registro_Compras!$K$470*Registro_Compras!$N$470,2),""))</f>
        <v/>
      </c>
      <c r="F4200" s="20">
        <f>IF($C4200="","",IF(Registro_Compras!$F$470="RHE",ROUND(Registro_Compras!$V$470*Registro_Compras!$N$470,2),IF(Registro_Compras!$F$470="NOTA DE CREDITO",ROUND(ABS(Registro_Compras!$J$470*Registro_Compras!$N$470),2),"")))</f>
        <v/>
      </c>
      <c r="G4200">
        <f>IF($C4200="","",IF(Registro_Compras!$F$470="NOTA DE CREDITO","Por la nota de credito "&amp;Registro_Compras!$C$470&amp;" de "&amp;Registro_Compras!$E$470&amp;" [PATRON POR CONFIRMAR CON CONTADOR]",IF(Registro_Compras!$F$470="RHE","Por el registro del recibo por honorarios "&amp;Registro_Compras!$C$470&amp;" de "&amp;Registro_Compras!$E$470&amp;" [PATRON POR CONFIRMAR CON CONTADOR]","Por el registro de la factura "&amp;Registro_Compras!$C$470&amp;" de "&amp;Registro_Compras!$E$470)))</f>
        <v/>
      </c>
      <c r="H4200">
        <f>IF($C4200="","",Registro_Compras!$C$470)</f>
        <v/>
      </c>
    </row>
    <row r="4201">
      <c r="A4201" s="25">
        <f>IF($C4201="","",Registro_Compras!$B$470)</f>
        <v/>
      </c>
      <c r="B4201">
        <f>IF($C4201="","","C"&amp;TEXT(INT((ROW()-5)/9)+1,"000")&amp;"-1")</f>
        <v/>
      </c>
      <c r="C4201">
        <f>IF(OR(Registro_Compras!$C$470="",Registro_Compras!$O$470=""),"",IF(Registro_Compras!$F$470="NOTA DE CREDITO",IF(Registro_Compras!$K$470=0,"","40111"),"4212"))</f>
        <v/>
      </c>
      <c r="D4201">
        <f>IF(OR(Registro_Compras!$C$470="",Registro_Compras!$O$470=""),"",IF(Registro_Compras!$F$470="NOTA DE CREDITO","IGV - Cuenta Propia (Credito Fiscal)","Cuentas por Pagar Comerciales - Terceros (Emitidas)"))</f>
        <v/>
      </c>
      <c r="E4201" s="20">
        <f>""</f>
        <v/>
      </c>
      <c r="F4201" s="20">
        <f>IF($C4201="","",IF(Registro_Compras!$F$470="NOTA DE CREDITO",ROUND(ABS(Registro_Compras!$K$470*Registro_Compras!$N$470),2),IF(Registro_Compras!$F$470="RHE",(ROUND(Registro_Compras!$L$470*Registro_Compras!$N$470,2)-ROUND(Registro_Compras!$V$470*Registro_Compras!$N$470,2)),Registro_Compras!$O$470)))</f>
        <v/>
      </c>
      <c r="G4201">
        <f>IF($C4201="","",IF(Registro_Compras!$F$470="NOTA DE CREDITO","Por la nota de credito "&amp;Registro_Compras!$C$470&amp;" de "&amp;Registro_Compras!$E$470&amp;" [PATRON POR CONFIRMAR CON CONTADOR]",IF(Registro_Compras!$F$470="RHE","Por el registro del recibo por honorarios "&amp;Registro_Compras!$C$470&amp;" de "&amp;Registro_Compras!$E$470&amp;" [PATRON POR CONFIRMAR CON CONTADOR]","Por el registro de la factura "&amp;Registro_Compras!$C$470&amp;" de "&amp;Registro_Compras!$E$470)))</f>
        <v/>
      </c>
      <c r="H4201">
        <f>IF($C4201="","",Registro_Compras!$C$470)</f>
        <v/>
      </c>
    </row>
    <row r="4202">
      <c r="A4202" s="25">
        <f>IF($C4202="","",Registro_Compras!$B$470)</f>
        <v/>
      </c>
      <c r="B4202">
        <f>IF($C4202="","","C"&amp;TEXT(INT((ROW()-5)/9)+1,"000")&amp;"-2")</f>
        <v/>
      </c>
      <c r="C4202">
        <f>IF(OR(Registro_Compras!$C$470="",Registro_Compras!$O$470=""),"",IF(Registro_Compras!$AB$470="ADMINISTRATIVO","94","95"))</f>
        <v/>
      </c>
      <c r="D4202">
        <f>IF(OR(Registro_Compras!$C$470="",Registro_Compras!$O$470=""),"",IF(Registro_Compras!$AB$470="ADMINISTRATIVO","Gastos Administrativos","Gastos de Venta y Operacion"))</f>
        <v/>
      </c>
      <c r="E4202" s="20">
        <f>IF($C4202="","",IF(Registro_Compras!$F$470="NOTA DE CREDITO","",IF(Registro_Compras!$F$470="RHE",ROUND(Registro_Compras!$L$470*Registro_Compras!$N$470,2),ROUND(Registro_Compras!$J$470*Registro_Compras!$N$470,2))))</f>
        <v/>
      </c>
      <c r="F4202" s="20">
        <f>IF($C4202="","",IF(Registro_Compras!$F$470="NOTA DE CREDITO",ROUND(ABS(Registro_Compras!$J$470*Registro_Compras!$N$470),2),""))</f>
        <v/>
      </c>
      <c r="G4202">
        <f>IF($C4202="","","Por el destino del gasto")</f>
        <v/>
      </c>
      <c r="H4202">
        <f>IF($C4202="","",Registro_Compras!$C$470)</f>
        <v/>
      </c>
    </row>
    <row r="4203">
      <c r="A4203" s="25">
        <f>IF($C4203="","",Registro_Compras!$B$470)</f>
        <v/>
      </c>
      <c r="B4203">
        <f>IF($C4203="","","C"&amp;TEXT(INT((ROW()-5)/9)+1,"000")&amp;"-2")</f>
        <v/>
      </c>
      <c r="C4203">
        <f>IF(OR(Registro_Compras!$C$470="",Registro_Compras!$O$470=""),"","79/791")</f>
        <v/>
      </c>
      <c r="D4203">
        <f>IF(OR(Registro_Compras!$C$470="",Registro_Compras!$O$470=""),"","Cargas Imputables a Cuentas de Costos y Gastos")</f>
        <v/>
      </c>
      <c r="E4203" s="20">
        <f>IF($C4203="","",IF(Registro_Compras!$F$470="NOTA DE CREDITO",ROUND(ABS(Registro_Compras!$J$470*Registro_Compras!$N$470),2),""))</f>
        <v/>
      </c>
      <c r="F4203" s="20">
        <f>IF($C4203="","",IF(Registro_Compras!$F$470="NOTA DE CREDITO","",IF(Registro_Compras!$F$470="RHE",ROUND(Registro_Compras!$L$470*Registro_Compras!$N$470,2),ROUND(Registro_Compras!$J$470*Registro_Compras!$N$470,2))))</f>
        <v/>
      </c>
      <c r="G4203">
        <f>IF($C4203="","","Por el destino del gasto")</f>
        <v/>
      </c>
      <c r="H4203">
        <f>IF($C4203="","",Registro_Compras!$C$470)</f>
        <v/>
      </c>
    </row>
    <row r="4204">
      <c r="A4204" s="25">
        <f>IF($C4204="","",Registro_Compras!$X$470)</f>
        <v/>
      </c>
      <c r="B4204">
        <f>IF($C4204="","","C"&amp;TEXT(INT((ROW()-5)/9)+1,"000")&amp;"-3")</f>
        <v/>
      </c>
      <c r="C4204">
        <f>IF(OR(Registro_Compras!$C$470="",Registro_Compras!$O$470="",Registro_Compras!$R$470&lt;&gt;"SI",Registro_Compras!$X$470=""),"","4212")</f>
        <v/>
      </c>
      <c r="D4204">
        <f>IF(OR(Registro_Compras!$C$470="",Registro_Compras!$O$470=""),"","Cuentas por Pagar Comerciales - Terceros")</f>
        <v/>
      </c>
      <c r="E4204" s="20">
        <f>IF($C4204="","",Registro_Compras!$S$470)</f>
        <v/>
      </c>
      <c r="F4204" s="20">
        <f>""</f>
        <v/>
      </c>
      <c r="G4204">
        <f>IF($C4204="","","Por el deposito de la detraccion en el Banco de la Nacion")</f>
        <v/>
      </c>
      <c r="H4204">
        <f>IF($C4204="","",Registro_Compras!$C$470)</f>
        <v/>
      </c>
    </row>
    <row r="4205">
      <c r="A4205" s="25">
        <f>IF($C4205="","",Registro_Compras!$X$470)</f>
        <v/>
      </c>
      <c r="B4205">
        <f>IF($C4205="","","C"&amp;TEXT(INT((ROW()-5)/9)+1,"000")&amp;"-3")</f>
        <v/>
      </c>
      <c r="C4205">
        <f>IF(OR(Registro_Compras!$C$470="",Registro_Compras!$O$470="",Registro_Compras!$R$470&lt;&gt;"SI",Registro_Compras!$X$470=""),"","10413")</f>
        <v/>
      </c>
      <c r="D4205">
        <f>IF(OR(Registro_Compras!$C$470="",Registro_Compras!$O$470=""),"","Efectivo y Equivalentes - Cta. Cte. Operativa")</f>
        <v/>
      </c>
      <c r="E4205" s="20">
        <f>""</f>
        <v/>
      </c>
      <c r="F4205" s="20">
        <f>IF($C4205="","",Registro_Compras!$S$470)</f>
        <v/>
      </c>
      <c r="G4205">
        <f>IF($C4205="","","Por el deposito de la detraccion en el Banco de la Nacion")</f>
        <v/>
      </c>
      <c r="H4205">
        <f>IF($C4205="","",Registro_Compras!$C$470)</f>
        <v/>
      </c>
    </row>
    <row r="4206">
      <c r="A4206" s="25">
        <f>IF($C4206="","",Registro_Compras!$Y$470)</f>
        <v/>
      </c>
      <c r="B4206">
        <f>IF($C4206="","","C"&amp;TEXT(INT((ROW()-5)/9)+1,"000")&amp;"-4")</f>
        <v/>
      </c>
      <c r="C4206">
        <f>IF(OR(Registro_Compras!$C$470="",Registro_Compras!$O$470="",Registro_Compras!$Y$470="",Registro_Compras!$F$470="NOTA DE CREDITO"),"","4212")</f>
        <v/>
      </c>
      <c r="D4206">
        <f>IF(OR(Registro_Compras!$C$470="",Registro_Compras!$O$470=""),"","Cuentas por Pagar Comerciales - Terceros")</f>
        <v/>
      </c>
      <c r="E4206" s="20">
        <f>IF($C4206="","",IF(Registro_Compras!$F$470="RHE",(ROUND(Registro_Compras!$L$470*Registro_Compras!$N$470,2)-ROUND(Registro_Compras!$V$470*Registro_Compras!$N$470,2)),ROUND(Registro_Compras!$O$470-Registro_Compras!$S$470,2)))</f>
        <v/>
      </c>
      <c r="F4206" s="20">
        <f>""</f>
        <v/>
      </c>
      <c r="G4206">
        <f>IF($C4206="","","Por la cancelacion del saldo al proveedor")</f>
        <v/>
      </c>
      <c r="H4206">
        <f>IF($C4206="","",Registro_Compras!$C$470)</f>
        <v/>
      </c>
    </row>
    <row r="4207">
      <c r="A4207" s="25">
        <f>IF($C4207="","",Registro_Compras!$Y$470)</f>
        <v/>
      </c>
      <c r="B4207">
        <f>IF($C4207="","","C"&amp;TEXT(INT((ROW()-5)/9)+1,"000")&amp;"-4")</f>
        <v/>
      </c>
      <c r="C4207">
        <f>IF(OR(Registro_Compras!$C$470="",Registro_Compras!$O$470="",Registro_Compras!$Y$470="",Registro_Compras!$F$470="NOTA DE CREDITO"),"","10413")</f>
        <v/>
      </c>
      <c r="D4207">
        <f>IF(OR(Registro_Compras!$C$470="",Registro_Compras!$O$470=""),"","Efectivo y Equivalentes - Cta. Cte. Operativa")</f>
        <v/>
      </c>
      <c r="E4207" s="20">
        <f>""</f>
        <v/>
      </c>
      <c r="F4207" s="20">
        <f>IF($C4207="","",IF(Registro_Compras!$F$470="RHE",(ROUND(Registro_Compras!$L$470*Registro_Compras!$N$470,2)-ROUND(Registro_Compras!$V$470*Registro_Compras!$N$470,2)),ROUND(Registro_Compras!$O$470-Registro_Compras!$S$470,2)))</f>
        <v/>
      </c>
      <c r="G4207">
        <f>IF($C4207="","","Por la cancelacion del saldo al proveedor")</f>
        <v/>
      </c>
      <c r="H4207">
        <f>IF($C4207="","",Registro_Compras!$C$470)</f>
        <v/>
      </c>
    </row>
    <row r="4208">
      <c r="A4208" s="25">
        <f>IF($C4208="","",Registro_Compras!$B$471)</f>
        <v/>
      </c>
      <c r="B4208">
        <f>IF($C4208="","","C"&amp;TEXT(INT((ROW()-5)/9)+1,"000")&amp;"-1")</f>
        <v/>
      </c>
      <c r="C4208">
        <f>IF(OR(Registro_Compras!$C$471="",Registro_Compras!$O$471=""),"",IF(Registro_Compras!$F$471="NOTA DE CREDITO","4212",IF(Registro_Compras!$M$471="","63",Registro_Compras!$M$471)))</f>
        <v/>
      </c>
      <c r="D4208">
        <f>IF(OR(Registro_Compras!$C$471="",Registro_Compras!$O$471=""),"",IF(Registro_Compras!$F$471="NOTA DE CREDITO","Cuentas por Pagar Comerciales - Terceros (Emitidas)",IF(Registro_Compras!$F$471="RHE","Honorarios Profesionales - Servicios de Terceros","Gastos de Servicios Prestados por Terceros")))</f>
        <v/>
      </c>
      <c r="E4208" s="20">
        <f>IF($C4208="","",IF(Registro_Compras!$F$471="NOTA DE CREDITO",ABS(Registro_Compras!$O$471),IF(Registro_Compras!$F$471="RHE",ROUND(Registro_Compras!$L$471*Registro_Compras!$N$471,2),ROUND(Registro_Compras!$J$471*Registro_Compras!$N$471,2))))</f>
        <v/>
      </c>
      <c r="F4208" s="20">
        <f>""</f>
        <v/>
      </c>
      <c r="G4208">
        <f>IF($C4208="","",IF(Registro_Compras!$F$471="NOTA DE CREDITO","Por la nota de credito "&amp;Registro_Compras!$C$471&amp;" de "&amp;Registro_Compras!$E$471&amp;" [PATRON POR CONFIRMAR CON CONTADOR]",IF(Registro_Compras!$F$471="RHE","Por el registro del recibo por honorarios "&amp;Registro_Compras!$C$471&amp;" de "&amp;Registro_Compras!$E$471&amp;" [PATRON POR CONFIRMAR CON CONTADOR]","Por el registro de la factura "&amp;Registro_Compras!$C$471&amp;" de "&amp;Registro_Compras!$E$471)))</f>
        <v/>
      </c>
      <c r="H4208">
        <f>IF($C4208="","",Registro_Compras!$C$471)</f>
        <v/>
      </c>
    </row>
    <row r="4209">
      <c r="A4209" s="25">
        <f>IF($C4209="","",Registro_Compras!$B$471)</f>
        <v/>
      </c>
      <c r="B4209">
        <f>IF($C4209="","","C"&amp;TEXT(INT((ROW()-5)/9)+1,"000")&amp;"-1")</f>
        <v/>
      </c>
      <c r="C4209">
        <f>IF(OR(Registro_Compras!$C$471="",Registro_Compras!$O$471=""),"",IF(Registro_Compras!$F$471="RHE",IF(Registro_Compras!$V$471=0,"","40172"),IF(Registro_Compras!$F$471="NOTA DE CREDITO",IF(Registro_Compras!$M$471="","63",Registro_Compras!$M$471),IF(Registro_Compras!$K$471=0,"","40111"))))</f>
        <v/>
      </c>
      <c r="D4209">
        <f>IF(OR(Registro_Compras!$C$471="",Registro_Compras!$O$471=""),"",IF(Registro_Compras!$F$471="RHE","Retencion Renta 4ta Categoria por Pagar",IF(Registro_Compras!$F$471="NOTA DE CREDITO","Gastos de Servicios Prestados por Terceros","IGV - Cuenta Propia (Credito Fiscal)")))</f>
        <v/>
      </c>
      <c r="E4209" s="20">
        <f>IF($C4209="","",IF(Registro_Compras!$F$471="FACTURA",ROUND(Registro_Compras!$K$471*Registro_Compras!$N$471,2),""))</f>
        <v/>
      </c>
      <c r="F4209" s="20">
        <f>IF($C4209="","",IF(Registro_Compras!$F$471="RHE",ROUND(Registro_Compras!$V$471*Registro_Compras!$N$471,2),IF(Registro_Compras!$F$471="NOTA DE CREDITO",ROUND(ABS(Registro_Compras!$J$471*Registro_Compras!$N$471),2),"")))</f>
        <v/>
      </c>
      <c r="G4209">
        <f>IF($C4209="","",IF(Registro_Compras!$F$471="NOTA DE CREDITO","Por la nota de credito "&amp;Registro_Compras!$C$471&amp;" de "&amp;Registro_Compras!$E$471&amp;" [PATRON POR CONFIRMAR CON CONTADOR]",IF(Registro_Compras!$F$471="RHE","Por el registro del recibo por honorarios "&amp;Registro_Compras!$C$471&amp;" de "&amp;Registro_Compras!$E$471&amp;" [PATRON POR CONFIRMAR CON CONTADOR]","Por el registro de la factura "&amp;Registro_Compras!$C$471&amp;" de "&amp;Registro_Compras!$E$471)))</f>
        <v/>
      </c>
      <c r="H4209">
        <f>IF($C4209="","",Registro_Compras!$C$471)</f>
        <v/>
      </c>
    </row>
    <row r="4210">
      <c r="A4210" s="25">
        <f>IF($C4210="","",Registro_Compras!$B$471)</f>
        <v/>
      </c>
      <c r="B4210">
        <f>IF($C4210="","","C"&amp;TEXT(INT((ROW()-5)/9)+1,"000")&amp;"-1")</f>
        <v/>
      </c>
      <c r="C4210">
        <f>IF(OR(Registro_Compras!$C$471="",Registro_Compras!$O$471=""),"",IF(Registro_Compras!$F$471="NOTA DE CREDITO",IF(Registro_Compras!$K$471=0,"","40111"),"4212"))</f>
        <v/>
      </c>
      <c r="D4210">
        <f>IF(OR(Registro_Compras!$C$471="",Registro_Compras!$O$471=""),"",IF(Registro_Compras!$F$471="NOTA DE CREDITO","IGV - Cuenta Propia (Credito Fiscal)","Cuentas por Pagar Comerciales - Terceros (Emitidas)"))</f>
        <v/>
      </c>
      <c r="E4210" s="20">
        <f>""</f>
        <v/>
      </c>
      <c r="F4210" s="20">
        <f>IF($C4210="","",IF(Registro_Compras!$F$471="NOTA DE CREDITO",ROUND(ABS(Registro_Compras!$K$471*Registro_Compras!$N$471),2),IF(Registro_Compras!$F$471="RHE",(ROUND(Registro_Compras!$L$471*Registro_Compras!$N$471,2)-ROUND(Registro_Compras!$V$471*Registro_Compras!$N$471,2)),Registro_Compras!$O$471)))</f>
        <v/>
      </c>
      <c r="G4210">
        <f>IF($C4210="","",IF(Registro_Compras!$F$471="NOTA DE CREDITO","Por la nota de credito "&amp;Registro_Compras!$C$471&amp;" de "&amp;Registro_Compras!$E$471&amp;" [PATRON POR CONFIRMAR CON CONTADOR]",IF(Registro_Compras!$F$471="RHE","Por el registro del recibo por honorarios "&amp;Registro_Compras!$C$471&amp;" de "&amp;Registro_Compras!$E$471&amp;" [PATRON POR CONFIRMAR CON CONTADOR]","Por el registro de la factura "&amp;Registro_Compras!$C$471&amp;" de "&amp;Registro_Compras!$E$471)))</f>
        <v/>
      </c>
      <c r="H4210">
        <f>IF($C4210="","",Registro_Compras!$C$471)</f>
        <v/>
      </c>
    </row>
    <row r="4211">
      <c r="A4211" s="25">
        <f>IF($C4211="","",Registro_Compras!$B$471)</f>
        <v/>
      </c>
      <c r="B4211">
        <f>IF($C4211="","","C"&amp;TEXT(INT((ROW()-5)/9)+1,"000")&amp;"-2")</f>
        <v/>
      </c>
      <c r="C4211">
        <f>IF(OR(Registro_Compras!$C$471="",Registro_Compras!$O$471=""),"",IF(Registro_Compras!$AB$471="ADMINISTRATIVO","94","95"))</f>
        <v/>
      </c>
      <c r="D4211">
        <f>IF(OR(Registro_Compras!$C$471="",Registro_Compras!$O$471=""),"",IF(Registro_Compras!$AB$471="ADMINISTRATIVO","Gastos Administrativos","Gastos de Venta y Operacion"))</f>
        <v/>
      </c>
      <c r="E4211" s="20">
        <f>IF($C4211="","",IF(Registro_Compras!$F$471="NOTA DE CREDITO","",IF(Registro_Compras!$F$471="RHE",ROUND(Registro_Compras!$L$471*Registro_Compras!$N$471,2),ROUND(Registro_Compras!$J$471*Registro_Compras!$N$471,2))))</f>
        <v/>
      </c>
      <c r="F4211" s="20">
        <f>IF($C4211="","",IF(Registro_Compras!$F$471="NOTA DE CREDITO",ROUND(ABS(Registro_Compras!$J$471*Registro_Compras!$N$471),2),""))</f>
        <v/>
      </c>
      <c r="G4211">
        <f>IF($C4211="","","Por el destino del gasto")</f>
        <v/>
      </c>
      <c r="H4211">
        <f>IF($C4211="","",Registro_Compras!$C$471)</f>
        <v/>
      </c>
    </row>
    <row r="4212">
      <c r="A4212" s="25">
        <f>IF($C4212="","",Registro_Compras!$B$471)</f>
        <v/>
      </c>
      <c r="B4212">
        <f>IF($C4212="","","C"&amp;TEXT(INT((ROW()-5)/9)+1,"000")&amp;"-2")</f>
        <v/>
      </c>
      <c r="C4212">
        <f>IF(OR(Registro_Compras!$C$471="",Registro_Compras!$O$471=""),"","79/791")</f>
        <v/>
      </c>
      <c r="D4212">
        <f>IF(OR(Registro_Compras!$C$471="",Registro_Compras!$O$471=""),"","Cargas Imputables a Cuentas de Costos y Gastos")</f>
        <v/>
      </c>
      <c r="E4212" s="20">
        <f>IF($C4212="","",IF(Registro_Compras!$F$471="NOTA DE CREDITO",ROUND(ABS(Registro_Compras!$J$471*Registro_Compras!$N$471),2),""))</f>
        <v/>
      </c>
      <c r="F4212" s="20">
        <f>IF($C4212="","",IF(Registro_Compras!$F$471="NOTA DE CREDITO","",IF(Registro_Compras!$F$471="RHE",ROUND(Registro_Compras!$L$471*Registro_Compras!$N$471,2),ROUND(Registro_Compras!$J$471*Registro_Compras!$N$471,2))))</f>
        <v/>
      </c>
      <c r="G4212">
        <f>IF($C4212="","","Por el destino del gasto")</f>
        <v/>
      </c>
      <c r="H4212">
        <f>IF($C4212="","",Registro_Compras!$C$471)</f>
        <v/>
      </c>
    </row>
    <row r="4213">
      <c r="A4213" s="25">
        <f>IF($C4213="","",Registro_Compras!$X$471)</f>
        <v/>
      </c>
      <c r="B4213">
        <f>IF($C4213="","","C"&amp;TEXT(INT((ROW()-5)/9)+1,"000")&amp;"-3")</f>
        <v/>
      </c>
      <c r="C4213">
        <f>IF(OR(Registro_Compras!$C$471="",Registro_Compras!$O$471="",Registro_Compras!$R$471&lt;&gt;"SI",Registro_Compras!$X$471=""),"","4212")</f>
        <v/>
      </c>
      <c r="D4213">
        <f>IF(OR(Registro_Compras!$C$471="",Registro_Compras!$O$471=""),"","Cuentas por Pagar Comerciales - Terceros")</f>
        <v/>
      </c>
      <c r="E4213" s="20">
        <f>IF($C4213="","",Registro_Compras!$S$471)</f>
        <v/>
      </c>
      <c r="F4213" s="20">
        <f>""</f>
        <v/>
      </c>
      <c r="G4213">
        <f>IF($C4213="","","Por el deposito de la detraccion en el Banco de la Nacion")</f>
        <v/>
      </c>
      <c r="H4213">
        <f>IF($C4213="","",Registro_Compras!$C$471)</f>
        <v/>
      </c>
    </row>
    <row r="4214">
      <c r="A4214" s="25">
        <f>IF($C4214="","",Registro_Compras!$X$471)</f>
        <v/>
      </c>
      <c r="B4214">
        <f>IF($C4214="","","C"&amp;TEXT(INT((ROW()-5)/9)+1,"000")&amp;"-3")</f>
        <v/>
      </c>
      <c r="C4214">
        <f>IF(OR(Registro_Compras!$C$471="",Registro_Compras!$O$471="",Registro_Compras!$R$471&lt;&gt;"SI",Registro_Compras!$X$471=""),"","10413")</f>
        <v/>
      </c>
      <c r="D4214">
        <f>IF(OR(Registro_Compras!$C$471="",Registro_Compras!$O$471=""),"","Efectivo y Equivalentes - Cta. Cte. Operativa")</f>
        <v/>
      </c>
      <c r="E4214" s="20">
        <f>""</f>
        <v/>
      </c>
      <c r="F4214" s="20">
        <f>IF($C4214="","",Registro_Compras!$S$471)</f>
        <v/>
      </c>
      <c r="G4214">
        <f>IF($C4214="","","Por el deposito de la detraccion en el Banco de la Nacion")</f>
        <v/>
      </c>
      <c r="H4214">
        <f>IF($C4214="","",Registro_Compras!$C$471)</f>
        <v/>
      </c>
    </row>
    <row r="4215">
      <c r="A4215" s="25">
        <f>IF($C4215="","",Registro_Compras!$Y$471)</f>
        <v/>
      </c>
      <c r="B4215">
        <f>IF($C4215="","","C"&amp;TEXT(INT((ROW()-5)/9)+1,"000")&amp;"-4")</f>
        <v/>
      </c>
      <c r="C4215">
        <f>IF(OR(Registro_Compras!$C$471="",Registro_Compras!$O$471="",Registro_Compras!$Y$471="",Registro_Compras!$F$471="NOTA DE CREDITO"),"","4212")</f>
        <v/>
      </c>
      <c r="D4215">
        <f>IF(OR(Registro_Compras!$C$471="",Registro_Compras!$O$471=""),"","Cuentas por Pagar Comerciales - Terceros")</f>
        <v/>
      </c>
      <c r="E4215" s="20">
        <f>IF($C4215="","",IF(Registro_Compras!$F$471="RHE",(ROUND(Registro_Compras!$L$471*Registro_Compras!$N$471,2)-ROUND(Registro_Compras!$V$471*Registro_Compras!$N$471,2)),ROUND(Registro_Compras!$O$471-Registro_Compras!$S$471,2)))</f>
        <v/>
      </c>
      <c r="F4215" s="20">
        <f>""</f>
        <v/>
      </c>
      <c r="G4215">
        <f>IF($C4215="","","Por la cancelacion del saldo al proveedor")</f>
        <v/>
      </c>
      <c r="H4215">
        <f>IF($C4215="","",Registro_Compras!$C$471)</f>
        <v/>
      </c>
    </row>
    <row r="4216">
      <c r="A4216" s="25">
        <f>IF($C4216="","",Registro_Compras!$Y$471)</f>
        <v/>
      </c>
      <c r="B4216">
        <f>IF($C4216="","","C"&amp;TEXT(INT((ROW()-5)/9)+1,"000")&amp;"-4")</f>
        <v/>
      </c>
      <c r="C4216">
        <f>IF(OR(Registro_Compras!$C$471="",Registro_Compras!$O$471="",Registro_Compras!$Y$471="",Registro_Compras!$F$471="NOTA DE CREDITO"),"","10413")</f>
        <v/>
      </c>
      <c r="D4216">
        <f>IF(OR(Registro_Compras!$C$471="",Registro_Compras!$O$471=""),"","Efectivo y Equivalentes - Cta. Cte. Operativa")</f>
        <v/>
      </c>
      <c r="E4216" s="20">
        <f>""</f>
        <v/>
      </c>
      <c r="F4216" s="20">
        <f>IF($C4216="","",IF(Registro_Compras!$F$471="RHE",(ROUND(Registro_Compras!$L$471*Registro_Compras!$N$471,2)-ROUND(Registro_Compras!$V$471*Registro_Compras!$N$471,2)),ROUND(Registro_Compras!$O$471-Registro_Compras!$S$471,2)))</f>
        <v/>
      </c>
      <c r="G4216">
        <f>IF($C4216="","","Por la cancelacion del saldo al proveedor")</f>
        <v/>
      </c>
      <c r="H4216">
        <f>IF($C4216="","",Registro_Compras!$C$471)</f>
        <v/>
      </c>
    </row>
    <row r="4217">
      <c r="A4217" s="25">
        <f>IF($C4217="","",Registro_Compras!$B$472)</f>
        <v/>
      </c>
      <c r="B4217">
        <f>IF($C4217="","","C"&amp;TEXT(INT((ROW()-5)/9)+1,"000")&amp;"-1")</f>
        <v/>
      </c>
      <c r="C4217">
        <f>IF(OR(Registro_Compras!$C$472="",Registro_Compras!$O$472=""),"",IF(Registro_Compras!$F$472="NOTA DE CREDITO","4212",IF(Registro_Compras!$M$472="","63",Registro_Compras!$M$472)))</f>
        <v/>
      </c>
      <c r="D4217">
        <f>IF(OR(Registro_Compras!$C$472="",Registro_Compras!$O$472=""),"",IF(Registro_Compras!$F$472="NOTA DE CREDITO","Cuentas por Pagar Comerciales - Terceros (Emitidas)",IF(Registro_Compras!$F$472="RHE","Honorarios Profesionales - Servicios de Terceros","Gastos de Servicios Prestados por Terceros")))</f>
        <v/>
      </c>
      <c r="E4217" s="20">
        <f>IF($C4217="","",IF(Registro_Compras!$F$472="NOTA DE CREDITO",ABS(Registro_Compras!$O$472),IF(Registro_Compras!$F$472="RHE",ROUND(Registro_Compras!$L$472*Registro_Compras!$N$472,2),ROUND(Registro_Compras!$J$472*Registro_Compras!$N$472,2))))</f>
        <v/>
      </c>
      <c r="F4217" s="20">
        <f>""</f>
        <v/>
      </c>
      <c r="G4217">
        <f>IF($C4217="","",IF(Registro_Compras!$F$472="NOTA DE CREDITO","Por la nota de credito "&amp;Registro_Compras!$C$472&amp;" de "&amp;Registro_Compras!$E$472&amp;" [PATRON POR CONFIRMAR CON CONTADOR]",IF(Registro_Compras!$F$472="RHE","Por el registro del recibo por honorarios "&amp;Registro_Compras!$C$472&amp;" de "&amp;Registro_Compras!$E$472&amp;" [PATRON POR CONFIRMAR CON CONTADOR]","Por el registro de la factura "&amp;Registro_Compras!$C$472&amp;" de "&amp;Registro_Compras!$E$472)))</f>
        <v/>
      </c>
      <c r="H4217">
        <f>IF($C4217="","",Registro_Compras!$C$472)</f>
        <v/>
      </c>
    </row>
    <row r="4218">
      <c r="A4218" s="25">
        <f>IF($C4218="","",Registro_Compras!$B$472)</f>
        <v/>
      </c>
      <c r="B4218">
        <f>IF($C4218="","","C"&amp;TEXT(INT((ROW()-5)/9)+1,"000")&amp;"-1")</f>
        <v/>
      </c>
      <c r="C4218">
        <f>IF(OR(Registro_Compras!$C$472="",Registro_Compras!$O$472=""),"",IF(Registro_Compras!$F$472="RHE",IF(Registro_Compras!$V$472=0,"","40172"),IF(Registro_Compras!$F$472="NOTA DE CREDITO",IF(Registro_Compras!$M$472="","63",Registro_Compras!$M$472),IF(Registro_Compras!$K$472=0,"","40111"))))</f>
        <v/>
      </c>
      <c r="D4218">
        <f>IF(OR(Registro_Compras!$C$472="",Registro_Compras!$O$472=""),"",IF(Registro_Compras!$F$472="RHE","Retencion Renta 4ta Categoria por Pagar",IF(Registro_Compras!$F$472="NOTA DE CREDITO","Gastos de Servicios Prestados por Terceros","IGV - Cuenta Propia (Credito Fiscal)")))</f>
        <v/>
      </c>
      <c r="E4218" s="20">
        <f>IF($C4218="","",IF(Registro_Compras!$F$472="FACTURA",ROUND(Registro_Compras!$K$472*Registro_Compras!$N$472,2),""))</f>
        <v/>
      </c>
      <c r="F4218" s="20">
        <f>IF($C4218="","",IF(Registro_Compras!$F$472="RHE",ROUND(Registro_Compras!$V$472*Registro_Compras!$N$472,2),IF(Registro_Compras!$F$472="NOTA DE CREDITO",ROUND(ABS(Registro_Compras!$J$472*Registro_Compras!$N$472),2),"")))</f>
        <v/>
      </c>
      <c r="G4218">
        <f>IF($C4218="","",IF(Registro_Compras!$F$472="NOTA DE CREDITO","Por la nota de credito "&amp;Registro_Compras!$C$472&amp;" de "&amp;Registro_Compras!$E$472&amp;" [PATRON POR CONFIRMAR CON CONTADOR]",IF(Registro_Compras!$F$472="RHE","Por el registro del recibo por honorarios "&amp;Registro_Compras!$C$472&amp;" de "&amp;Registro_Compras!$E$472&amp;" [PATRON POR CONFIRMAR CON CONTADOR]","Por el registro de la factura "&amp;Registro_Compras!$C$472&amp;" de "&amp;Registro_Compras!$E$472)))</f>
        <v/>
      </c>
      <c r="H4218">
        <f>IF($C4218="","",Registro_Compras!$C$472)</f>
        <v/>
      </c>
    </row>
    <row r="4219">
      <c r="A4219" s="25">
        <f>IF($C4219="","",Registro_Compras!$B$472)</f>
        <v/>
      </c>
      <c r="B4219">
        <f>IF($C4219="","","C"&amp;TEXT(INT((ROW()-5)/9)+1,"000")&amp;"-1")</f>
        <v/>
      </c>
      <c r="C4219">
        <f>IF(OR(Registro_Compras!$C$472="",Registro_Compras!$O$472=""),"",IF(Registro_Compras!$F$472="NOTA DE CREDITO",IF(Registro_Compras!$K$472=0,"","40111"),"4212"))</f>
        <v/>
      </c>
      <c r="D4219">
        <f>IF(OR(Registro_Compras!$C$472="",Registro_Compras!$O$472=""),"",IF(Registro_Compras!$F$472="NOTA DE CREDITO","IGV - Cuenta Propia (Credito Fiscal)","Cuentas por Pagar Comerciales - Terceros (Emitidas)"))</f>
        <v/>
      </c>
      <c r="E4219" s="20">
        <f>""</f>
        <v/>
      </c>
      <c r="F4219" s="20">
        <f>IF($C4219="","",IF(Registro_Compras!$F$472="NOTA DE CREDITO",ROUND(ABS(Registro_Compras!$K$472*Registro_Compras!$N$472),2),IF(Registro_Compras!$F$472="RHE",(ROUND(Registro_Compras!$L$472*Registro_Compras!$N$472,2)-ROUND(Registro_Compras!$V$472*Registro_Compras!$N$472,2)),Registro_Compras!$O$472)))</f>
        <v/>
      </c>
      <c r="G4219">
        <f>IF($C4219="","",IF(Registro_Compras!$F$472="NOTA DE CREDITO","Por la nota de credito "&amp;Registro_Compras!$C$472&amp;" de "&amp;Registro_Compras!$E$472&amp;" [PATRON POR CONFIRMAR CON CONTADOR]",IF(Registro_Compras!$F$472="RHE","Por el registro del recibo por honorarios "&amp;Registro_Compras!$C$472&amp;" de "&amp;Registro_Compras!$E$472&amp;" [PATRON POR CONFIRMAR CON CONTADOR]","Por el registro de la factura "&amp;Registro_Compras!$C$472&amp;" de "&amp;Registro_Compras!$E$472)))</f>
        <v/>
      </c>
      <c r="H4219">
        <f>IF($C4219="","",Registro_Compras!$C$472)</f>
        <v/>
      </c>
    </row>
    <row r="4220">
      <c r="A4220" s="25">
        <f>IF($C4220="","",Registro_Compras!$B$472)</f>
        <v/>
      </c>
      <c r="B4220">
        <f>IF($C4220="","","C"&amp;TEXT(INT((ROW()-5)/9)+1,"000")&amp;"-2")</f>
        <v/>
      </c>
      <c r="C4220">
        <f>IF(OR(Registro_Compras!$C$472="",Registro_Compras!$O$472=""),"",IF(Registro_Compras!$AB$472="ADMINISTRATIVO","94","95"))</f>
        <v/>
      </c>
      <c r="D4220">
        <f>IF(OR(Registro_Compras!$C$472="",Registro_Compras!$O$472=""),"",IF(Registro_Compras!$AB$472="ADMINISTRATIVO","Gastos Administrativos","Gastos de Venta y Operacion"))</f>
        <v/>
      </c>
      <c r="E4220" s="20">
        <f>IF($C4220="","",IF(Registro_Compras!$F$472="NOTA DE CREDITO","",IF(Registro_Compras!$F$472="RHE",ROUND(Registro_Compras!$L$472*Registro_Compras!$N$472,2),ROUND(Registro_Compras!$J$472*Registro_Compras!$N$472,2))))</f>
        <v/>
      </c>
      <c r="F4220" s="20">
        <f>IF($C4220="","",IF(Registro_Compras!$F$472="NOTA DE CREDITO",ROUND(ABS(Registro_Compras!$J$472*Registro_Compras!$N$472),2),""))</f>
        <v/>
      </c>
      <c r="G4220">
        <f>IF($C4220="","","Por el destino del gasto")</f>
        <v/>
      </c>
      <c r="H4220">
        <f>IF($C4220="","",Registro_Compras!$C$472)</f>
        <v/>
      </c>
    </row>
    <row r="4221">
      <c r="A4221" s="25">
        <f>IF($C4221="","",Registro_Compras!$B$472)</f>
        <v/>
      </c>
      <c r="B4221">
        <f>IF($C4221="","","C"&amp;TEXT(INT((ROW()-5)/9)+1,"000")&amp;"-2")</f>
        <v/>
      </c>
      <c r="C4221">
        <f>IF(OR(Registro_Compras!$C$472="",Registro_Compras!$O$472=""),"","79/791")</f>
        <v/>
      </c>
      <c r="D4221">
        <f>IF(OR(Registro_Compras!$C$472="",Registro_Compras!$O$472=""),"","Cargas Imputables a Cuentas de Costos y Gastos")</f>
        <v/>
      </c>
      <c r="E4221" s="20">
        <f>IF($C4221="","",IF(Registro_Compras!$F$472="NOTA DE CREDITO",ROUND(ABS(Registro_Compras!$J$472*Registro_Compras!$N$472),2),""))</f>
        <v/>
      </c>
      <c r="F4221" s="20">
        <f>IF($C4221="","",IF(Registro_Compras!$F$472="NOTA DE CREDITO","",IF(Registro_Compras!$F$472="RHE",ROUND(Registro_Compras!$L$472*Registro_Compras!$N$472,2),ROUND(Registro_Compras!$J$472*Registro_Compras!$N$472,2))))</f>
        <v/>
      </c>
      <c r="G4221">
        <f>IF($C4221="","","Por el destino del gasto")</f>
        <v/>
      </c>
      <c r="H4221">
        <f>IF($C4221="","",Registro_Compras!$C$472)</f>
        <v/>
      </c>
    </row>
    <row r="4222">
      <c r="A4222" s="25">
        <f>IF($C4222="","",Registro_Compras!$X$472)</f>
        <v/>
      </c>
      <c r="B4222">
        <f>IF($C4222="","","C"&amp;TEXT(INT((ROW()-5)/9)+1,"000")&amp;"-3")</f>
        <v/>
      </c>
      <c r="C4222">
        <f>IF(OR(Registro_Compras!$C$472="",Registro_Compras!$O$472="",Registro_Compras!$R$472&lt;&gt;"SI",Registro_Compras!$X$472=""),"","4212")</f>
        <v/>
      </c>
      <c r="D4222">
        <f>IF(OR(Registro_Compras!$C$472="",Registro_Compras!$O$472=""),"","Cuentas por Pagar Comerciales - Terceros")</f>
        <v/>
      </c>
      <c r="E4222" s="20">
        <f>IF($C4222="","",Registro_Compras!$S$472)</f>
        <v/>
      </c>
      <c r="F4222" s="20">
        <f>""</f>
        <v/>
      </c>
      <c r="G4222">
        <f>IF($C4222="","","Por el deposito de la detraccion en el Banco de la Nacion")</f>
        <v/>
      </c>
      <c r="H4222">
        <f>IF($C4222="","",Registro_Compras!$C$472)</f>
        <v/>
      </c>
    </row>
    <row r="4223">
      <c r="A4223" s="25">
        <f>IF($C4223="","",Registro_Compras!$X$472)</f>
        <v/>
      </c>
      <c r="B4223">
        <f>IF($C4223="","","C"&amp;TEXT(INT((ROW()-5)/9)+1,"000")&amp;"-3")</f>
        <v/>
      </c>
      <c r="C4223">
        <f>IF(OR(Registro_Compras!$C$472="",Registro_Compras!$O$472="",Registro_Compras!$R$472&lt;&gt;"SI",Registro_Compras!$X$472=""),"","10413")</f>
        <v/>
      </c>
      <c r="D4223">
        <f>IF(OR(Registro_Compras!$C$472="",Registro_Compras!$O$472=""),"","Efectivo y Equivalentes - Cta. Cte. Operativa")</f>
        <v/>
      </c>
      <c r="E4223" s="20">
        <f>""</f>
        <v/>
      </c>
      <c r="F4223" s="20">
        <f>IF($C4223="","",Registro_Compras!$S$472)</f>
        <v/>
      </c>
      <c r="G4223">
        <f>IF($C4223="","","Por el deposito de la detraccion en el Banco de la Nacion")</f>
        <v/>
      </c>
      <c r="H4223">
        <f>IF($C4223="","",Registro_Compras!$C$472)</f>
        <v/>
      </c>
    </row>
    <row r="4224">
      <c r="A4224" s="25">
        <f>IF($C4224="","",Registro_Compras!$Y$472)</f>
        <v/>
      </c>
      <c r="B4224">
        <f>IF($C4224="","","C"&amp;TEXT(INT((ROW()-5)/9)+1,"000")&amp;"-4")</f>
        <v/>
      </c>
      <c r="C4224">
        <f>IF(OR(Registro_Compras!$C$472="",Registro_Compras!$O$472="",Registro_Compras!$Y$472="",Registro_Compras!$F$472="NOTA DE CREDITO"),"","4212")</f>
        <v/>
      </c>
      <c r="D4224">
        <f>IF(OR(Registro_Compras!$C$472="",Registro_Compras!$O$472=""),"","Cuentas por Pagar Comerciales - Terceros")</f>
        <v/>
      </c>
      <c r="E4224" s="20">
        <f>IF($C4224="","",IF(Registro_Compras!$F$472="RHE",(ROUND(Registro_Compras!$L$472*Registro_Compras!$N$472,2)-ROUND(Registro_Compras!$V$472*Registro_Compras!$N$472,2)),ROUND(Registro_Compras!$O$472-Registro_Compras!$S$472,2)))</f>
        <v/>
      </c>
      <c r="F4224" s="20">
        <f>""</f>
        <v/>
      </c>
      <c r="G4224">
        <f>IF($C4224="","","Por la cancelacion del saldo al proveedor")</f>
        <v/>
      </c>
      <c r="H4224">
        <f>IF($C4224="","",Registro_Compras!$C$472)</f>
        <v/>
      </c>
    </row>
    <row r="4225">
      <c r="A4225" s="25">
        <f>IF($C4225="","",Registro_Compras!$Y$472)</f>
        <v/>
      </c>
      <c r="B4225">
        <f>IF($C4225="","","C"&amp;TEXT(INT((ROW()-5)/9)+1,"000")&amp;"-4")</f>
        <v/>
      </c>
      <c r="C4225">
        <f>IF(OR(Registro_Compras!$C$472="",Registro_Compras!$O$472="",Registro_Compras!$Y$472="",Registro_Compras!$F$472="NOTA DE CREDITO"),"","10413")</f>
        <v/>
      </c>
      <c r="D4225">
        <f>IF(OR(Registro_Compras!$C$472="",Registro_Compras!$O$472=""),"","Efectivo y Equivalentes - Cta. Cte. Operativa")</f>
        <v/>
      </c>
      <c r="E4225" s="20">
        <f>""</f>
        <v/>
      </c>
      <c r="F4225" s="20">
        <f>IF($C4225="","",IF(Registro_Compras!$F$472="RHE",(ROUND(Registro_Compras!$L$472*Registro_Compras!$N$472,2)-ROUND(Registro_Compras!$V$472*Registro_Compras!$N$472,2)),ROUND(Registro_Compras!$O$472-Registro_Compras!$S$472,2)))</f>
        <v/>
      </c>
      <c r="G4225">
        <f>IF($C4225="","","Por la cancelacion del saldo al proveedor")</f>
        <v/>
      </c>
      <c r="H4225">
        <f>IF($C4225="","",Registro_Compras!$C$472)</f>
        <v/>
      </c>
    </row>
    <row r="4226">
      <c r="A4226" s="25">
        <f>IF($C4226="","",Registro_Compras!$B$473)</f>
        <v/>
      </c>
      <c r="B4226">
        <f>IF($C4226="","","C"&amp;TEXT(INT((ROW()-5)/9)+1,"000")&amp;"-1")</f>
        <v/>
      </c>
      <c r="C4226">
        <f>IF(OR(Registro_Compras!$C$473="",Registro_Compras!$O$473=""),"",IF(Registro_Compras!$F$473="NOTA DE CREDITO","4212",IF(Registro_Compras!$M$473="","63",Registro_Compras!$M$473)))</f>
        <v/>
      </c>
      <c r="D4226">
        <f>IF(OR(Registro_Compras!$C$473="",Registro_Compras!$O$473=""),"",IF(Registro_Compras!$F$473="NOTA DE CREDITO","Cuentas por Pagar Comerciales - Terceros (Emitidas)",IF(Registro_Compras!$F$473="RHE","Honorarios Profesionales - Servicios de Terceros","Gastos de Servicios Prestados por Terceros")))</f>
        <v/>
      </c>
      <c r="E4226" s="20">
        <f>IF($C4226="","",IF(Registro_Compras!$F$473="NOTA DE CREDITO",ABS(Registro_Compras!$O$473),IF(Registro_Compras!$F$473="RHE",ROUND(Registro_Compras!$L$473*Registro_Compras!$N$473,2),ROUND(Registro_Compras!$J$473*Registro_Compras!$N$473,2))))</f>
        <v/>
      </c>
      <c r="F4226" s="20">
        <f>""</f>
        <v/>
      </c>
      <c r="G4226">
        <f>IF($C4226="","",IF(Registro_Compras!$F$473="NOTA DE CREDITO","Por la nota de credito "&amp;Registro_Compras!$C$473&amp;" de "&amp;Registro_Compras!$E$473&amp;" [PATRON POR CONFIRMAR CON CONTADOR]",IF(Registro_Compras!$F$473="RHE","Por el registro del recibo por honorarios "&amp;Registro_Compras!$C$473&amp;" de "&amp;Registro_Compras!$E$473&amp;" [PATRON POR CONFIRMAR CON CONTADOR]","Por el registro de la factura "&amp;Registro_Compras!$C$473&amp;" de "&amp;Registro_Compras!$E$473)))</f>
        <v/>
      </c>
      <c r="H4226">
        <f>IF($C4226="","",Registro_Compras!$C$473)</f>
        <v/>
      </c>
    </row>
    <row r="4227">
      <c r="A4227" s="25">
        <f>IF($C4227="","",Registro_Compras!$B$473)</f>
        <v/>
      </c>
      <c r="B4227">
        <f>IF($C4227="","","C"&amp;TEXT(INT((ROW()-5)/9)+1,"000")&amp;"-1")</f>
        <v/>
      </c>
      <c r="C4227">
        <f>IF(OR(Registro_Compras!$C$473="",Registro_Compras!$O$473=""),"",IF(Registro_Compras!$F$473="RHE",IF(Registro_Compras!$V$473=0,"","40172"),IF(Registro_Compras!$F$473="NOTA DE CREDITO",IF(Registro_Compras!$M$473="","63",Registro_Compras!$M$473),IF(Registro_Compras!$K$473=0,"","40111"))))</f>
        <v/>
      </c>
      <c r="D4227">
        <f>IF(OR(Registro_Compras!$C$473="",Registro_Compras!$O$473=""),"",IF(Registro_Compras!$F$473="RHE","Retencion Renta 4ta Categoria por Pagar",IF(Registro_Compras!$F$473="NOTA DE CREDITO","Gastos de Servicios Prestados por Terceros","IGV - Cuenta Propia (Credito Fiscal)")))</f>
        <v/>
      </c>
      <c r="E4227" s="20">
        <f>IF($C4227="","",IF(Registro_Compras!$F$473="FACTURA",ROUND(Registro_Compras!$K$473*Registro_Compras!$N$473,2),""))</f>
        <v/>
      </c>
      <c r="F4227" s="20">
        <f>IF($C4227="","",IF(Registro_Compras!$F$473="RHE",ROUND(Registro_Compras!$V$473*Registro_Compras!$N$473,2),IF(Registro_Compras!$F$473="NOTA DE CREDITO",ROUND(ABS(Registro_Compras!$J$473*Registro_Compras!$N$473),2),"")))</f>
        <v/>
      </c>
      <c r="G4227">
        <f>IF($C4227="","",IF(Registro_Compras!$F$473="NOTA DE CREDITO","Por la nota de credito "&amp;Registro_Compras!$C$473&amp;" de "&amp;Registro_Compras!$E$473&amp;" [PATRON POR CONFIRMAR CON CONTADOR]",IF(Registro_Compras!$F$473="RHE","Por el registro del recibo por honorarios "&amp;Registro_Compras!$C$473&amp;" de "&amp;Registro_Compras!$E$473&amp;" [PATRON POR CONFIRMAR CON CONTADOR]","Por el registro de la factura "&amp;Registro_Compras!$C$473&amp;" de "&amp;Registro_Compras!$E$473)))</f>
        <v/>
      </c>
      <c r="H4227">
        <f>IF($C4227="","",Registro_Compras!$C$473)</f>
        <v/>
      </c>
    </row>
    <row r="4228">
      <c r="A4228" s="25">
        <f>IF($C4228="","",Registro_Compras!$B$473)</f>
        <v/>
      </c>
      <c r="B4228">
        <f>IF($C4228="","","C"&amp;TEXT(INT((ROW()-5)/9)+1,"000")&amp;"-1")</f>
        <v/>
      </c>
      <c r="C4228">
        <f>IF(OR(Registro_Compras!$C$473="",Registro_Compras!$O$473=""),"",IF(Registro_Compras!$F$473="NOTA DE CREDITO",IF(Registro_Compras!$K$473=0,"","40111"),"4212"))</f>
        <v/>
      </c>
      <c r="D4228">
        <f>IF(OR(Registro_Compras!$C$473="",Registro_Compras!$O$473=""),"",IF(Registro_Compras!$F$473="NOTA DE CREDITO","IGV - Cuenta Propia (Credito Fiscal)","Cuentas por Pagar Comerciales - Terceros (Emitidas)"))</f>
        <v/>
      </c>
      <c r="E4228" s="20">
        <f>""</f>
        <v/>
      </c>
      <c r="F4228" s="20">
        <f>IF($C4228="","",IF(Registro_Compras!$F$473="NOTA DE CREDITO",ROUND(ABS(Registro_Compras!$K$473*Registro_Compras!$N$473),2),IF(Registro_Compras!$F$473="RHE",(ROUND(Registro_Compras!$L$473*Registro_Compras!$N$473,2)-ROUND(Registro_Compras!$V$473*Registro_Compras!$N$473,2)),Registro_Compras!$O$473)))</f>
        <v/>
      </c>
      <c r="G4228">
        <f>IF($C4228="","",IF(Registro_Compras!$F$473="NOTA DE CREDITO","Por la nota de credito "&amp;Registro_Compras!$C$473&amp;" de "&amp;Registro_Compras!$E$473&amp;" [PATRON POR CONFIRMAR CON CONTADOR]",IF(Registro_Compras!$F$473="RHE","Por el registro del recibo por honorarios "&amp;Registro_Compras!$C$473&amp;" de "&amp;Registro_Compras!$E$473&amp;" [PATRON POR CONFIRMAR CON CONTADOR]","Por el registro de la factura "&amp;Registro_Compras!$C$473&amp;" de "&amp;Registro_Compras!$E$473)))</f>
        <v/>
      </c>
      <c r="H4228">
        <f>IF($C4228="","",Registro_Compras!$C$473)</f>
        <v/>
      </c>
    </row>
    <row r="4229">
      <c r="A4229" s="25">
        <f>IF($C4229="","",Registro_Compras!$B$473)</f>
        <v/>
      </c>
      <c r="B4229">
        <f>IF($C4229="","","C"&amp;TEXT(INT((ROW()-5)/9)+1,"000")&amp;"-2")</f>
        <v/>
      </c>
      <c r="C4229">
        <f>IF(OR(Registro_Compras!$C$473="",Registro_Compras!$O$473=""),"",IF(Registro_Compras!$AB$473="ADMINISTRATIVO","94","95"))</f>
        <v/>
      </c>
      <c r="D4229">
        <f>IF(OR(Registro_Compras!$C$473="",Registro_Compras!$O$473=""),"",IF(Registro_Compras!$AB$473="ADMINISTRATIVO","Gastos Administrativos","Gastos de Venta y Operacion"))</f>
        <v/>
      </c>
      <c r="E4229" s="20">
        <f>IF($C4229="","",IF(Registro_Compras!$F$473="NOTA DE CREDITO","",IF(Registro_Compras!$F$473="RHE",ROUND(Registro_Compras!$L$473*Registro_Compras!$N$473,2),ROUND(Registro_Compras!$J$473*Registro_Compras!$N$473,2))))</f>
        <v/>
      </c>
      <c r="F4229" s="20">
        <f>IF($C4229="","",IF(Registro_Compras!$F$473="NOTA DE CREDITO",ROUND(ABS(Registro_Compras!$J$473*Registro_Compras!$N$473),2),""))</f>
        <v/>
      </c>
      <c r="G4229">
        <f>IF($C4229="","","Por el destino del gasto")</f>
        <v/>
      </c>
      <c r="H4229">
        <f>IF($C4229="","",Registro_Compras!$C$473)</f>
        <v/>
      </c>
    </row>
    <row r="4230">
      <c r="A4230" s="25">
        <f>IF($C4230="","",Registro_Compras!$B$473)</f>
        <v/>
      </c>
      <c r="B4230">
        <f>IF($C4230="","","C"&amp;TEXT(INT((ROW()-5)/9)+1,"000")&amp;"-2")</f>
        <v/>
      </c>
      <c r="C4230">
        <f>IF(OR(Registro_Compras!$C$473="",Registro_Compras!$O$473=""),"","79/791")</f>
        <v/>
      </c>
      <c r="D4230">
        <f>IF(OR(Registro_Compras!$C$473="",Registro_Compras!$O$473=""),"","Cargas Imputables a Cuentas de Costos y Gastos")</f>
        <v/>
      </c>
      <c r="E4230" s="20">
        <f>IF($C4230="","",IF(Registro_Compras!$F$473="NOTA DE CREDITO",ROUND(ABS(Registro_Compras!$J$473*Registro_Compras!$N$473),2),""))</f>
        <v/>
      </c>
      <c r="F4230" s="20">
        <f>IF($C4230="","",IF(Registro_Compras!$F$473="NOTA DE CREDITO","",IF(Registro_Compras!$F$473="RHE",ROUND(Registro_Compras!$L$473*Registro_Compras!$N$473,2),ROUND(Registro_Compras!$J$473*Registro_Compras!$N$473,2))))</f>
        <v/>
      </c>
      <c r="G4230">
        <f>IF($C4230="","","Por el destino del gasto")</f>
        <v/>
      </c>
      <c r="H4230">
        <f>IF($C4230="","",Registro_Compras!$C$473)</f>
        <v/>
      </c>
    </row>
    <row r="4231">
      <c r="A4231" s="25">
        <f>IF($C4231="","",Registro_Compras!$X$473)</f>
        <v/>
      </c>
      <c r="B4231">
        <f>IF($C4231="","","C"&amp;TEXT(INT((ROW()-5)/9)+1,"000")&amp;"-3")</f>
        <v/>
      </c>
      <c r="C4231">
        <f>IF(OR(Registro_Compras!$C$473="",Registro_Compras!$O$473="",Registro_Compras!$R$473&lt;&gt;"SI",Registro_Compras!$X$473=""),"","4212")</f>
        <v/>
      </c>
      <c r="D4231">
        <f>IF(OR(Registro_Compras!$C$473="",Registro_Compras!$O$473=""),"","Cuentas por Pagar Comerciales - Terceros")</f>
        <v/>
      </c>
      <c r="E4231" s="20">
        <f>IF($C4231="","",Registro_Compras!$S$473)</f>
        <v/>
      </c>
      <c r="F4231" s="20">
        <f>""</f>
        <v/>
      </c>
      <c r="G4231">
        <f>IF($C4231="","","Por el deposito de la detraccion en el Banco de la Nacion")</f>
        <v/>
      </c>
      <c r="H4231">
        <f>IF($C4231="","",Registro_Compras!$C$473)</f>
        <v/>
      </c>
    </row>
    <row r="4232">
      <c r="A4232" s="25">
        <f>IF($C4232="","",Registro_Compras!$X$473)</f>
        <v/>
      </c>
      <c r="B4232">
        <f>IF($C4232="","","C"&amp;TEXT(INT((ROW()-5)/9)+1,"000")&amp;"-3")</f>
        <v/>
      </c>
      <c r="C4232">
        <f>IF(OR(Registro_Compras!$C$473="",Registro_Compras!$O$473="",Registro_Compras!$R$473&lt;&gt;"SI",Registro_Compras!$X$473=""),"","10413")</f>
        <v/>
      </c>
      <c r="D4232">
        <f>IF(OR(Registro_Compras!$C$473="",Registro_Compras!$O$473=""),"","Efectivo y Equivalentes - Cta. Cte. Operativa")</f>
        <v/>
      </c>
      <c r="E4232" s="20">
        <f>""</f>
        <v/>
      </c>
      <c r="F4232" s="20">
        <f>IF($C4232="","",Registro_Compras!$S$473)</f>
        <v/>
      </c>
      <c r="G4232">
        <f>IF($C4232="","","Por el deposito de la detraccion en el Banco de la Nacion")</f>
        <v/>
      </c>
      <c r="H4232">
        <f>IF($C4232="","",Registro_Compras!$C$473)</f>
        <v/>
      </c>
    </row>
    <row r="4233">
      <c r="A4233" s="25">
        <f>IF($C4233="","",Registro_Compras!$Y$473)</f>
        <v/>
      </c>
      <c r="B4233">
        <f>IF($C4233="","","C"&amp;TEXT(INT((ROW()-5)/9)+1,"000")&amp;"-4")</f>
        <v/>
      </c>
      <c r="C4233">
        <f>IF(OR(Registro_Compras!$C$473="",Registro_Compras!$O$473="",Registro_Compras!$Y$473="",Registro_Compras!$F$473="NOTA DE CREDITO"),"","4212")</f>
        <v/>
      </c>
      <c r="D4233">
        <f>IF(OR(Registro_Compras!$C$473="",Registro_Compras!$O$473=""),"","Cuentas por Pagar Comerciales - Terceros")</f>
        <v/>
      </c>
      <c r="E4233" s="20">
        <f>IF($C4233="","",IF(Registro_Compras!$F$473="RHE",(ROUND(Registro_Compras!$L$473*Registro_Compras!$N$473,2)-ROUND(Registro_Compras!$V$473*Registro_Compras!$N$473,2)),ROUND(Registro_Compras!$O$473-Registro_Compras!$S$473,2)))</f>
        <v/>
      </c>
      <c r="F4233" s="20">
        <f>""</f>
        <v/>
      </c>
      <c r="G4233">
        <f>IF($C4233="","","Por la cancelacion del saldo al proveedor")</f>
        <v/>
      </c>
      <c r="H4233">
        <f>IF($C4233="","",Registro_Compras!$C$473)</f>
        <v/>
      </c>
    </row>
    <row r="4234">
      <c r="A4234" s="25">
        <f>IF($C4234="","",Registro_Compras!$Y$473)</f>
        <v/>
      </c>
      <c r="B4234">
        <f>IF($C4234="","","C"&amp;TEXT(INT((ROW()-5)/9)+1,"000")&amp;"-4")</f>
        <v/>
      </c>
      <c r="C4234">
        <f>IF(OR(Registro_Compras!$C$473="",Registro_Compras!$O$473="",Registro_Compras!$Y$473="",Registro_Compras!$F$473="NOTA DE CREDITO"),"","10413")</f>
        <v/>
      </c>
      <c r="D4234">
        <f>IF(OR(Registro_Compras!$C$473="",Registro_Compras!$O$473=""),"","Efectivo y Equivalentes - Cta. Cte. Operativa")</f>
        <v/>
      </c>
      <c r="E4234" s="20">
        <f>""</f>
        <v/>
      </c>
      <c r="F4234" s="20">
        <f>IF($C4234="","",IF(Registro_Compras!$F$473="RHE",(ROUND(Registro_Compras!$L$473*Registro_Compras!$N$473,2)-ROUND(Registro_Compras!$V$473*Registro_Compras!$N$473,2)),ROUND(Registro_Compras!$O$473-Registro_Compras!$S$473,2)))</f>
        <v/>
      </c>
      <c r="G4234">
        <f>IF($C4234="","","Por la cancelacion del saldo al proveedor")</f>
        <v/>
      </c>
      <c r="H4234">
        <f>IF($C4234="","",Registro_Compras!$C$473)</f>
        <v/>
      </c>
    </row>
    <row r="4235">
      <c r="A4235" s="25">
        <f>IF($C4235="","",Registro_Compras!$B$474)</f>
        <v/>
      </c>
      <c r="B4235">
        <f>IF($C4235="","","C"&amp;TEXT(INT((ROW()-5)/9)+1,"000")&amp;"-1")</f>
        <v/>
      </c>
      <c r="C4235">
        <f>IF(OR(Registro_Compras!$C$474="",Registro_Compras!$O$474=""),"",IF(Registro_Compras!$F$474="NOTA DE CREDITO","4212",IF(Registro_Compras!$M$474="","63",Registro_Compras!$M$474)))</f>
        <v/>
      </c>
      <c r="D4235">
        <f>IF(OR(Registro_Compras!$C$474="",Registro_Compras!$O$474=""),"",IF(Registro_Compras!$F$474="NOTA DE CREDITO","Cuentas por Pagar Comerciales - Terceros (Emitidas)",IF(Registro_Compras!$F$474="RHE","Honorarios Profesionales - Servicios de Terceros","Gastos de Servicios Prestados por Terceros")))</f>
        <v/>
      </c>
      <c r="E4235" s="20">
        <f>IF($C4235="","",IF(Registro_Compras!$F$474="NOTA DE CREDITO",ABS(Registro_Compras!$O$474),IF(Registro_Compras!$F$474="RHE",ROUND(Registro_Compras!$L$474*Registro_Compras!$N$474,2),ROUND(Registro_Compras!$J$474*Registro_Compras!$N$474,2))))</f>
        <v/>
      </c>
      <c r="F4235" s="20">
        <f>""</f>
        <v/>
      </c>
      <c r="G4235">
        <f>IF($C4235="","",IF(Registro_Compras!$F$474="NOTA DE CREDITO","Por la nota de credito "&amp;Registro_Compras!$C$474&amp;" de "&amp;Registro_Compras!$E$474&amp;" [PATRON POR CONFIRMAR CON CONTADOR]",IF(Registro_Compras!$F$474="RHE","Por el registro del recibo por honorarios "&amp;Registro_Compras!$C$474&amp;" de "&amp;Registro_Compras!$E$474&amp;" [PATRON POR CONFIRMAR CON CONTADOR]","Por el registro de la factura "&amp;Registro_Compras!$C$474&amp;" de "&amp;Registro_Compras!$E$474)))</f>
        <v/>
      </c>
      <c r="H4235">
        <f>IF($C4235="","",Registro_Compras!$C$474)</f>
        <v/>
      </c>
    </row>
    <row r="4236">
      <c r="A4236" s="25">
        <f>IF($C4236="","",Registro_Compras!$B$474)</f>
        <v/>
      </c>
      <c r="B4236">
        <f>IF($C4236="","","C"&amp;TEXT(INT((ROW()-5)/9)+1,"000")&amp;"-1")</f>
        <v/>
      </c>
      <c r="C4236">
        <f>IF(OR(Registro_Compras!$C$474="",Registro_Compras!$O$474=""),"",IF(Registro_Compras!$F$474="RHE",IF(Registro_Compras!$V$474=0,"","40172"),IF(Registro_Compras!$F$474="NOTA DE CREDITO",IF(Registro_Compras!$M$474="","63",Registro_Compras!$M$474),IF(Registro_Compras!$K$474=0,"","40111"))))</f>
        <v/>
      </c>
      <c r="D4236">
        <f>IF(OR(Registro_Compras!$C$474="",Registro_Compras!$O$474=""),"",IF(Registro_Compras!$F$474="RHE","Retencion Renta 4ta Categoria por Pagar",IF(Registro_Compras!$F$474="NOTA DE CREDITO","Gastos de Servicios Prestados por Terceros","IGV - Cuenta Propia (Credito Fiscal)")))</f>
        <v/>
      </c>
      <c r="E4236" s="20">
        <f>IF($C4236="","",IF(Registro_Compras!$F$474="FACTURA",ROUND(Registro_Compras!$K$474*Registro_Compras!$N$474,2),""))</f>
        <v/>
      </c>
      <c r="F4236" s="20">
        <f>IF($C4236="","",IF(Registro_Compras!$F$474="RHE",ROUND(Registro_Compras!$V$474*Registro_Compras!$N$474,2),IF(Registro_Compras!$F$474="NOTA DE CREDITO",ROUND(ABS(Registro_Compras!$J$474*Registro_Compras!$N$474),2),"")))</f>
        <v/>
      </c>
      <c r="G4236">
        <f>IF($C4236="","",IF(Registro_Compras!$F$474="NOTA DE CREDITO","Por la nota de credito "&amp;Registro_Compras!$C$474&amp;" de "&amp;Registro_Compras!$E$474&amp;" [PATRON POR CONFIRMAR CON CONTADOR]",IF(Registro_Compras!$F$474="RHE","Por el registro del recibo por honorarios "&amp;Registro_Compras!$C$474&amp;" de "&amp;Registro_Compras!$E$474&amp;" [PATRON POR CONFIRMAR CON CONTADOR]","Por el registro de la factura "&amp;Registro_Compras!$C$474&amp;" de "&amp;Registro_Compras!$E$474)))</f>
        <v/>
      </c>
      <c r="H4236">
        <f>IF($C4236="","",Registro_Compras!$C$474)</f>
        <v/>
      </c>
    </row>
    <row r="4237">
      <c r="A4237" s="25">
        <f>IF($C4237="","",Registro_Compras!$B$474)</f>
        <v/>
      </c>
      <c r="B4237">
        <f>IF($C4237="","","C"&amp;TEXT(INT((ROW()-5)/9)+1,"000")&amp;"-1")</f>
        <v/>
      </c>
      <c r="C4237">
        <f>IF(OR(Registro_Compras!$C$474="",Registro_Compras!$O$474=""),"",IF(Registro_Compras!$F$474="NOTA DE CREDITO",IF(Registro_Compras!$K$474=0,"","40111"),"4212"))</f>
        <v/>
      </c>
      <c r="D4237">
        <f>IF(OR(Registro_Compras!$C$474="",Registro_Compras!$O$474=""),"",IF(Registro_Compras!$F$474="NOTA DE CREDITO","IGV - Cuenta Propia (Credito Fiscal)","Cuentas por Pagar Comerciales - Terceros (Emitidas)"))</f>
        <v/>
      </c>
      <c r="E4237" s="20">
        <f>""</f>
        <v/>
      </c>
      <c r="F4237" s="20">
        <f>IF($C4237="","",IF(Registro_Compras!$F$474="NOTA DE CREDITO",ROUND(ABS(Registro_Compras!$K$474*Registro_Compras!$N$474),2),IF(Registro_Compras!$F$474="RHE",(ROUND(Registro_Compras!$L$474*Registro_Compras!$N$474,2)-ROUND(Registro_Compras!$V$474*Registro_Compras!$N$474,2)),Registro_Compras!$O$474)))</f>
        <v/>
      </c>
      <c r="G4237">
        <f>IF($C4237="","",IF(Registro_Compras!$F$474="NOTA DE CREDITO","Por la nota de credito "&amp;Registro_Compras!$C$474&amp;" de "&amp;Registro_Compras!$E$474&amp;" [PATRON POR CONFIRMAR CON CONTADOR]",IF(Registro_Compras!$F$474="RHE","Por el registro del recibo por honorarios "&amp;Registro_Compras!$C$474&amp;" de "&amp;Registro_Compras!$E$474&amp;" [PATRON POR CONFIRMAR CON CONTADOR]","Por el registro de la factura "&amp;Registro_Compras!$C$474&amp;" de "&amp;Registro_Compras!$E$474)))</f>
        <v/>
      </c>
      <c r="H4237">
        <f>IF($C4237="","",Registro_Compras!$C$474)</f>
        <v/>
      </c>
    </row>
    <row r="4238">
      <c r="A4238" s="25">
        <f>IF($C4238="","",Registro_Compras!$B$474)</f>
        <v/>
      </c>
      <c r="B4238">
        <f>IF($C4238="","","C"&amp;TEXT(INT((ROW()-5)/9)+1,"000")&amp;"-2")</f>
        <v/>
      </c>
      <c r="C4238">
        <f>IF(OR(Registro_Compras!$C$474="",Registro_Compras!$O$474=""),"",IF(Registro_Compras!$AB$474="ADMINISTRATIVO","94","95"))</f>
        <v/>
      </c>
      <c r="D4238">
        <f>IF(OR(Registro_Compras!$C$474="",Registro_Compras!$O$474=""),"",IF(Registro_Compras!$AB$474="ADMINISTRATIVO","Gastos Administrativos","Gastos de Venta y Operacion"))</f>
        <v/>
      </c>
      <c r="E4238" s="20">
        <f>IF($C4238="","",IF(Registro_Compras!$F$474="NOTA DE CREDITO","",IF(Registro_Compras!$F$474="RHE",ROUND(Registro_Compras!$L$474*Registro_Compras!$N$474,2),ROUND(Registro_Compras!$J$474*Registro_Compras!$N$474,2))))</f>
        <v/>
      </c>
      <c r="F4238" s="20">
        <f>IF($C4238="","",IF(Registro_Compras!$F$474="NOTA DE CREDITO",ROUND(ABS(Registro_Compras!$J$474*Registro_Compras!$N$474),2),""))</f>
        <v/>
      </c>
      <c r="G4238">
        <f>IF($C4238="","","Por el destino del gasto")</f>
        <v/>
      </c>
      <c r="H4238">
        <f>IF($C4238="","",Registro_Compras!$C$474)</f>
        <v/>
      </c>
    </row>
    <row r="4239">
      <c r="A4239" s="25">
        <f>IF($C4239="","",Registro_Compras!$B$474)</f>
        <v/>
      </c>
      <c r="B4239">
        <f>IF($C4239="","","C"&amp;TEXT(INT((ROW()-5)/9)+1,"000")&amp;"-2")</f>
        <v/>
      </c>
      <c r="C4239">
        <f>IF(OR(Registro_Compras!$C$474="",Registro_Compras!$O$474=""),"","79/791")</f>
        <v/>
      </c>
      <c r="D4239">
        <f>IF(OR(Registro_Compras!$C$474="",Registro_Compras!$O$474=""),"","Cargas Imputables a Cuentas de Costos y Gastos")</f>
        <v/>
      </c>
      <c r="E4239" s="20">
        <f>IF($C4239="","",IF(Registro_Compras!$F$474="NOTA DE CREDITO",ROUND(ABS(Registro_Compras!$J$474*Registro_Compras!$N$474),2),""))</f>
        <v/>
      </c>
      <c r="F4239" s="20">
        <f>IF($C4239="","",IF(Registro_Compras!$F$474="NOTA DE CREDITO","",IF(Registro_Compras!$F$474="RHE",ROUND(Registro_Compras!$L$474*Registro_Compras!$N$474,2),ROUND(Registro_Compras!$J$474*Registro_Compras!$N$474,2))))</f>
        <v/>
      </c>
      <c r="G4239">
        <f>IF($C4239="","","Por el destino del gasto")</f>
        <v/>
      </c>
      <c r="H4239">
        <f>IF($C4239="","",Registro_Compras!$C$474)</f>
        <v/>
      </c>
    </row>
    <row r="4240">
      <c r="A4240" s="25">
        <f>IF($C4240="","",Registro_Compras!$X$474)</f>
        <v/>
      </c>
      <c r="B4240">
        <f>IF($C4240="","","C"&amp;TEXT(INT((ROW()-5)/9)+1,"000")&amp;"-3")</f>
        <v/>
      </c>
      <c r="C4240">
        <f>IF(OR(Registro_Compras!$C$474="",Registro_Compras!$O$474="",Registro_Compras!$R$474&lt;&gt;"SI",Registro_Compras!$X$474=""),"","4212")</f>
        <v/>
      </c>
      <c r="D4240">
        <f>IF(OR(Registro_Compras!$C$474="",Registro_Compras!$O$474=""),"","Cuentas por Pagar Comerciales - Terceros")</f>
        <v/>
      </c>
      <c r="E4240" s="20">
        <f>IF($C4240="","",Registro_Compras!$S$474)</f>
        <v/>
      </c>
      <c r="F4240" s="20">
        <f>""</f>
        <v/>
      </c>
      <c r="G4240">
        <f>IF($C4240="","","Por el deposito de la detraccion en el Banco de la Nacion")</f>
        <v/>
      </c>
      <c r="H4240">
        <f>IF($C4240="","",Registro_Compras!$C$474)</f>
        <v/>
      </c>
    </row>
    <row r="4241">
      <c r="A4241" s="25">
        <f>IF($C4241="","",Registro_Compras!$X$474)</f>
        <v/>
      </c>
      <c r="B4241">
        <f>IF($C4241="","","C"&amp;TEXT(INT((ROW()-5)/9)+1,"000")&amp;"-3")</f>
        <v/>
      </c>
      <c r="C4241">
        <f>IF(OR(Registro_Compras!$C$474="",Registro_Compras!$O$474="",Registro_Compras!$R$474&lt;&gt;"SI",Registro_Compras!$X$474=""),"","10413")</f>
        <v/>
      </c>
      <c r="D4241">
        <f>IF(OR(Registro_Compras!$C$474="",Registro_Compras!$O$474=""),"","Efectivo y Equivalentes - Cta. Cte. Operativa")</f>
        <v/>
      </c>
      <c r="E4241" s="20">
        <f>""</f>
        <v/>
      </c>
      <c r="F4241" s="20">
        <f>IF($C4241="","",Registro_Compras!$S$474)</f>
        <v/>
      </c>
      <c r="G4241">
        <f>IF($C4241="","","Por el deposito de la detraccion en el Banco de la Nacion")</f>
        <v/>
      </c>
      <c r="H4241">
        <f>IF($C4241="","",Registro_Compras!$C$474)</f>
        <v/>
      </c>
    </row>
    <row r="4242">
      <c r="A4242" s="25">
        <f>IF($C4242="","",Registro_Compras!$Y$474)</f>
        <v/>
      </c>
      <c r="B4242">
        <f>IF($C4242="","","C"&amp;TEXT(INT((ROW()-5)/9)+1,"000")&amp;"-4")</f>
        <v/>
      </c>
      <c r="C4242">
        <f>IF(OR(Registro_Compras!$C$474="",Registro_Compras!$O$474="",Registro_Compras!$Y$474="",Registro_Compras!$F$474="NOTA DE CREDITO"),"","4212")</f>
        <v/>
      </c>
      <c r="D4242">
        <f>IF(OR(Registro_Compras!$C$474="",Registro_Compras!$O$474=""),"","Cuentas por Pagar Comerciales - Terceros")</f>
        <v/>
      </c>
      <c r="E4242" s="20">
        <f>IF($C4242="","",IF(Registro_Compras!$F$474="RHE",(ROUND(Registro_Compras!$L$474*Registro_Compras!$N$474,2)-ROUND(Registro_Compras!$V$474*Registro_Compras!$N$474,2)),ROUND(Registro_Compras!$O$474-Registro_Compras!$S$474,2)))</f>
        <v/>
      </c>
      <c r="F4242" s="20">
        <f>""</f>
        <v/>
      </c>
      <c r="G4242">
        <f>IF($C4242="","","Por la cancelacion del saldo al proveedor")</f>
        <v/>
      </c>
      <c r="H4242">
        <f>IF($C4242="","",Registro_Compras!$C$474)</f>
        <v/>
      </c>
    </row>
    <row r="4243">
      <c r="A4243" s="25">
        <f>IF($C4243="","",Registro_Compras!$Y$474)</f>
        <v/>
      </c>
      <c r="B4243">
        <f>IF($C4243="","","C"&amp;TEXT(INT((ROW()-5)/9)+1,"000")&amp;"-4")</f>
        <v/>
      </c>
      <c r="C4243">
        <f>IF(OR(Registro_Compras!$C$474="",Registro_Compras!$O$474="",Registro_Compras!$Y$474="",Registro_Compras!$F$474="NOTA DE CREDITO"),"","10413")</f>
        <v/>
      </c>
      <c r="D4243">
        <f>IF(OR(Registro_Compras!$C$474="",Registro_Compras!$O$474=""),"","Efectivo y Equivalentes - Cta. Cte. Operativa")</f>
        <v/>
      </c>
      <c r="E4243" s="20">
        <f>""</f>
        <v/>
      </c>
      <c r="F4243" s="20">
        <f>IF($C4243="","",IF(Registro_Compras!$F$474="RHE",(ROUND(Registro_Compras!$L$474*Registro_Compras!$N$474,2)-ROUND(Registro_Compras!$V$474*Registro_Compras!$N$474,2)),ROUND(Registro_Compras!$O$474-Registro_Compras!$S$474,2)))</f>
        <v/>
      </c>
      <c r="G4243">
        <f>IF($C4243="","","Por la cancelacion del saldo al proveedor")</f>
        <v/>
      </c>
      <c r="H4243">
        <f>IF($C4243="","",Registro_Compras!$C$474)</f>
        <v/>
      </c>
    </row>
    <row r="4244">
      <c r="A4244" s="25">
        <f>IF($C4244="","",Registro_Compras!$B$475)</f>
        <v/>
      </c>
      <c r="B4244">
        <f>IF($C4244="","","C"&amp;TEXT(INT((ROW()-5)/9)+1,"000")&amp;"-1")</f>
        <v/>
      </c>
      <c r="C4244">
        <f>IF(OR(Registro_Compras!$C$475="",Registro_Compras!$O$475=""),"",IF(Registro_Compras!$F$475="NOTA DE CREDITO","4212",IF(Registro_Compras!$M$475="","63",Registro_Compras!$M$475)))</f>
        <v/>
      </c>
      <c r="D4244">
        <f>IF(OR(Registro_Compras!$C$475="",Registro_Compras!$O$475=""),"",IF(Registro_Compras!$F$475="NOTA DE CREDITO","Cuentas por Pagar Comerciales - Terceros (Emitidas)",IF(Registro_Compras!$F$475="RHE","Honorarios Profesionales - Servicios de Terceros","Gastos de Servicios Prestados por Terceros")))</f>
        <v/>
      </c>
      <c r="E4244" s="20">
        <f>IF($C4244="","",IF(Registro_Compras!$F$475="NOTA DE CREDITO",ABS(Registro_Compras!$O$475),IF(Registro_Compras!$F$475="RHE",ROUND(Registro_Compras!$L$475*Registro_Compras!$N$475,2),ROUND(Registro_Compras!$J$475*Registro_Compras!$N$475,2))))</f>
        <v/>
      </c>
      <c r="F4244" s="20">
        <f>""</f>
        <v/>
      </c>
      <c r="G4244">
        <f>IF($C4244="","",IF(Registro_Compras!$F$475="NOTA DE CREDITO","Por la nota de credito "&amp;Registro_Compras!$C$475&amp;" de "&amp;Registro_Compras!$E$475&amp;" [PATRON POR CONFIRMAR CON CONTADOR]",IF(Registro_Compras!$F$475="RHE","Por el registro del recibo por honorarios "&amp;Registro_Compras!$C$475&amp;" de "&amp;Registro_Compras!$E$475&amp;" [PATRON POR CONFIRMAR CON CONTADOR]","Por el registro de la factura "&amp;Registro_Compras!$C$475&amp;" de "&amp;Registro_Compras!$E$475)))</f>
        <v/>
      </c>
      <c r="H4244">
        <f>IF($C4244="","",Registro_Compras!$C$475)</f>
        <v/>
      </c>
    </row>
    <row r="4245">
      <c r="A4245" s="25">
        <f>IF($C4245="","",Registro_Compras!$B$475)</f>
        <v/>
      </c>
      <c r="B4245">
        <f>IF($C4245="","","C"&amp;TEXT(INT((ROW()-5)/9)+1,"000")&amp;"-1")</f>
        <v/>
      </c>
      <c r="C4245">
        <f>IF(OR(Registro_Compras!$C$475="",Registro_Compras!$O$475=""),"",IF(Registro_Compras!$F$475="RHE",IF(Registro_Compras!$V$475=0,"","40172"),IF(Registro_Compras!$F$475="NOTA DE CREDITO",IF(Registro_Compras!$M$475="","63",Registro_Compras!$M$475),IF(Registro_Compras!$K$475=0,"","40111"))))</f>
        <v/>
      </c>
      <c r="D4245">
        <f>IF(OR(Registro_Compras!$C$475="",Registro_Compras!$O$475=""),"",IF(Registro_Compras!$F$475="RHE","Retencion Renta 4ta Categoria por Pagar",IF(Registro_Compras!$F$475="NOTA DE CREDITO","Gastos de Servicios Prestados por Terceros","IGV - Cuenta Propia (Credito Fiscal)")))</f>
        <v/>
      </c>
      <c r="E4245" s="20">
        <f>IF($C4245="","",IF(Registro_Compras!$F$475="FACTURA",ROUND(Registro_Compras!$K$475*Registro_Compras!$N$475,2),""))</f>
        <v/>
      </c>
      <c r="F4245" s="20">
        <f>IF($C4245="","",IF(Registro_Compras!$F$475="RHE",ROUND(Registro_Compras!$V$475*Registro_Compras!$N$475,2),IF(Registro_Compras!$F$475="NOTA DE CREDITO",ROUND(ABS(Registro_Compras!$J$475*Registro_Compras!$N$475),2),"")))</f>
        <v/>
      </c>
      <c r="G4245">
        <f>IF($C4245="","",IF(Registro_Compras!$F$475="NOTA DE CREDITO","Por la nota de credito "&amp;Registro_Compras!$C$475&amp;" de "&amp;Registro_Compras!$E$475&amp;" [PATRON POR CONFIRMAR CON CONTADOR]",IF(Registro_Compras!$F$475="RHE","Por el registro del recibo por honorarios "&amp;Registro_Compras!$C$475&amp;" de "&amp;Registro_Compras!$E$475&amp;" [PATRON POR CONFIRMAR CON CONTADOR]","Por el registro de la factura "&amp;Registro_Compras!$C$475&amp;" de "&amp;Registro_Compras!$E$475)))</f>
        <v/>
      </c>
      <c r="H4245">
        <f>IF($C4245="","",Registro_Compras!$C$475)</f>
        <v/>
      </c>
    </row>
    <row r="4246">
      <c r="A4246" s="25">
        <f>IF($C4246="","",Registro_Compras!$B$475)</f>
        <v/>
      </c>
      <c r="B4246">
        <f>IF($C4246="","","C"&amp;TEXT(INT((ROW()-5)/9)+1,"000")&amp;"-1")</f>
        <v/>
      </c>
      <c r="C4246">
        <f>IF(OR(Registro_Compras!$C$475="",Registro_Compras!$O$475=""),"",IF(Registro_Compras!$F$475="NOTA DE CREDITO",IF(Registro_Compras!$K$475=0,"","40111"),"4212"))</f>
        <v/>
      </c>
      <c r="D4246">
        <f>IF(OR(Registro_Compras!$C$475="",Registro_Compras!$O$475=""),"",IF(Registro_Compras!$F$475="NOTA DE CREDITO","IGV - Cuenta Propia (Credito Fiscal)","Cuentas por Pagar Comerciales - Terceros (Emitidas)"))</f>
        <v/>
      </c>
      <c r="E4246" s="20">
        <f>""</f>
        <v/>
      </c>
      <c r="F4246" s="20">
        <f>IF($C4246="","",IF(Registro_Compras!$F$475="NOTA DE CREDITO",ROUND(ABS(Registro_Compras!$K$475*Registro_Compras!$N$475),2),IF(Registro_Compras!$F$475="RHE",(ROUND(Registro_Compras!$L$475*Registro_Compras!$N$475,2)-ROUND(Registro_Compras!$V$475*Registro_Compras!$N$475,2)),Registro_Compras!$O$475)))</f>
        <v/>
      </c>
      <c r="G4246">
        <f>IF($C4246="","",IF(Registro_Compras!$F$475="NOTA DE CREDITO","Por la nota de credito "&amp;Registro_Compras!$C$475&amp;" de "&amp;Registro_Compras!$E$475&amp;" [PATRON POR CONFIRMAR CON CONTADOR]",IF(Registro_Compras!$F$475="RHE","Por el registro del recibo por honorarios "&amp;Registro_Compras!$C$475&amp;" de "&amp;Registro_Compras!$E$475&amp;" [PATRON POR CONFIRMAR CON CONTADOR]","Por el registro de la factura "&amp;Registro_Compras!$C$475&amp;" de "&amp;Registro_Compras!$E$475)))</f>
        <v/>
      </c>
      <c r="H4246">
        <f>IF($C4246="","",Registro_Compras!$C$475)</f>
        <v/>
      </c>
    </row>
    <row r="4247">
      <c r="A4247" s="25">
        <f>IF($C4247="","",Registro_Compras!$B$475)</f>
        <v/>
      </c>
      <c r="B4247">
        <f>IF($C4247="","","C"&amp;TEXT(INT((ROW()-5)/9)+1,"000")&amp;"-2")</f>
        <v/>
      </c>
      <c r="C4247">
        <f>IF(OR(Registro_Compras!$C$475="",Registro_Compras!$O$475=""),"",IF(Registro_Compras!$AB$475="ADMINISTRATIVO","94","95"))</f>
        <v/>
      </c>
      <c r="D4247">
        <f>IF(OR(Registro_Compras!$C$475="",Registro_Compras!$O$475=""),"",IF(Registro_Compras!$AB$475="ADMINISTRATIVO","Gastos Administrativos","Gastos de Venta y Operacion"))</f>
        <v/>
      </c>
      <c r="E4247" s="20">
        <f>IF($C4247="","",IF(Registro_Compras!$F$475="NOTA DE CREDITO","",IF(Registro_Compras!$F$475="RHE",ROUND(Registro_Compras!$L$475*Registro_Compras!$N$475,2),ROUND(Registro_Compras!$J$475*Registro_Compras!$N$475,2))))</f>
        <v/>
      </c>
      <c r="F4247" s="20">
        <f>IF($C4247="","",IF(Registro_Compras!$F$475="NOTA DE CREDITO",ROUND(ABS(Registro_Compras!$J$475*Registro_Compras!$N$475),2),""))</f>
        <v/>
      </c>
      <c r="G4247">
        <f>IF($C4247="","","Por el destino del gasto")</f>
        <v/>
      </c>
      <c r="H4247">
        <f>IF($C4247="","",Registro_Compras!$C$475)</f>
        <v/>
      </c>
    </row>
    <row r="4248">
      <c r="A4248" s="25">
        <f>IF($C4248="","",Registro_Compras!$B$475)</f>
        <v/>
      </c>
      <c r="B4248">
        <f>IF($C4248="","","C"&amp;TEXT(INT((ROW()-5)/9)+1,"000")&amp;"-2")</f>
        <v/>
      </c>
      <c r="C4248">
        <f>IF(OR(Registro_Compras!$C$475="",Registro_Compras!$O$475=""),"","79/791")</f>
        <v/>
      </c>
      <c r="D4248">
        <f>IF(OR(Registro_Compras!$C$475="",Registro_Compras!$O$475=""),"","Cargas Imputables a Cuentas de Costos y Gastos")</f>
        <v/>
      </c>
      <c r="E4248" s="20">
        <f>IF($C4248="","",IF(Registro_Compras!$F$475="NOTA DE CREDITO",ROUND(ABS(Registro_Compras!$J$475*Registro_Compras!$N$475),2),""))</f>
        <v/>
      </c>
      <c r="F4248" s="20">
        <f>IF($C4248="","",IF(Registro_Compras!$F$475="NOTA DE CREDITO","",IF(Registro_Compras!$F$475="RHE",ROUND(Registro_Compras!$L$475*Registro_Compras!$N$475,2),ROUND(Registro_Compras!$J$475*Registro_Compras!$N$475,2))))</f>
        <v/>
      </c>
      <c r="G4248">
        <f>IF($C4248="","","Por el destino del gasto")</f>
        <v/>
      </c>
      <c r="H4248">
        <f>IF($C4248="","",Registro_Compras!$C$475)</f>
        <v/>
      </c>
    </row>
    <row r="4249">
      <c r="A4249" s="25">
        <f>IF($C4249="","",Registro_Compras!$X$475)</f>
        <v/>
      </c>
      <c r="B4249">
        <f>IF($C4249="","","C"&amp;TEXT(INT((ROW()-5)/9)+1,"000")&amp;"-3")</f>
        <v/>
      </c>
      <c r="C4249">
        <f>IF(OR(Registro_Compras!$C$475="",Registro_Compras!$O$475="",Registro_Compras!$R$475&lt;&gt;"SI",Registro_Compras!$X$475=""),"","4212")</f>
        <v/>
      </c>
      <c r="D4249">
        <f>IF(OR(Registro_Compras!$C$475="",Registro_Compras!$O$475=""),"","Cuentas por Pagar Comerciales - Terceros")</f>
        <v/>
      </c>
      <c r="E4249" s="20">
        <f>IF($C4249="","",Registro_Compras!$S$475)</f>
        <v/>
      </c>
      <c r="F4249" s="20">
        <f>""</f>
        <v/>
      </c>
      <c r="G4249">
        <f>IF($C4249="","","Por el deposito de la detraccion en el Banco de la Nacion")</f>
        <v/>
      </c>
      <c r="H4249">
        <f>IF($C4249="","",Registro_Compras!$C$475)</f>
        <v/>
      </c>
    </row>
    <row r="4250">
      <c r="A4250" s="25">
        <f>IF($C4250="","",Registro_Compras!$X$475)</f>
        <v/>
      </c>
      <c r="B4250">
        <f>IF($C4250="","","C"&amp;TEXT(INT((ROW()-5)/9)+1,"000")&amp;"-3")</f>
        <v/>
      </c>
      <c r="C4250">
        <f>IF(OR(Registro_Compras!$C$475="",Registro_Compras!$O$475="",Registro_Compras!$R$475&lt;&gt;"SI",Registro_Compras!$X$475=""),"","10413")</f>
        <v/>
      </c>
      <c r="D4250">
        <f>IF(OR(Registro_Compras!$C$475="",Registro_Compras!$O$475=""),"","Efectivo y Equivalentes - Cta. Cte. Operativa")</f>
        <v/>
      </c>
      <c r="E4250" s="20">
        <f>""</f>
        <v/>
      </c>
      <c r="F4250" s="20">
        <f>IF($C4250="","",Registro_Compras!$S$475)</f>
        <v/>
      </c>
      <c r="G4250">
        <f>IF($C4250="","","Por el deposito de la detraccion en el Banco de la Nacion")</f>
        <v/>
      </c>
      <c r="H4250">
        <f>IF($C4250="","",Registro_Compras!$C$475)</f>
        <v/>
      </c>
    </row>
    <row r="4251">
      <c r="A4251" s="25">
        <f>IF($C4251="","",Registro_Compras!$Y$475)</f>
        <v/>
      </c>
      <c r="B4251">
        <f>IF($C4251="","","C"&amp;TEXT(INT((ROW()-5)/9)+1,"000")&amp;"-4")</f>
        <v/>
      </c>
      <c r="C4251">
        <f>IF(OR(Registro_Compras!$C$475="",Registro_Compras!$O$475="",Registro_Compras!$Y$475="",Registro_Compras!$F$475="NOTA DE CREDITO"),"","4212")</f>
        <v/>
      </c>
      <c r="D4251">
        <f>IF(OR(Registro_Compras!$C$475="",Registro_Compras!$O$475=""),"","Cuentas por Pagar Comerciales - Terceros")</f>
        <v/>
      </c>
      <c r="E4251" s="20">
        <f>IF($C4251="","",IF(Registro_Compras!$F$475="RHE",(ROUND(Registro_Compras!$L$475*Registro_Compras!$N$475,2)-ROUND(Registro_Compras!$V$475*Registro_Compras!$N$475,2)),ROUND(Registro_Compras!$O$475-Registro_Compras!$S$475,2)))</f>
        <v/>
      </c>
      <c r="F4251" s="20">
        <f>""</f>
        <v/>
      </c>
      <c r="G4251">
        <f>IF($C4251="","","Por la cancelacion del saldo al proveedor")</f>
        <v/>
      </c>
      <c r="H4251">
        <f>IF($C4251="","",Registro_Compras!$C$475)</f>
        <v/>
      </c>
    </row>
    <row r="4252">
      <c r="A4252" s="25">
        <f>IF($C4252="","",Registro_Compras!$Y$475)</f>
        <v/>
      </c>
      <c r="B4252">
        <f>IF($C4252="","","C"&amp;TEXT(INT((ROW()-5)/9)+1,"000")&amp;"-4")</f>
        <v/>
      </c>
      <c r="C4252">
        <f>IF(OR(Registro_Compras!$C$475="",Registro_Compras!$O$475="",Registro_Compras!$Y$475="",Registro_Compras!$F$475="NOTA DE CREDITO"),"","10413")</f>
        <v/>
      </c>
      <c r="D4252">
        <f>IF(OR(Registro_Compras!$C$475="",Registro_Compras!$O$475=""),"","Efectivo y Equivalentes - Cta. Cte. Operativa")</f>
        <v/>
      </c>
      <c r="E4252" s="20">
        <f>""</f>
        <v/>
      </c>
      <c r="F4252" s="20">
        <f>IF($C4252="","",IF(Registro_Compras!$F$475="RHE",(ROUND(Registro_Compras!$L$475*Registro_Compras!$N$475,2)-ROUND(Registro_Compras!$V$475*Registro_Compras!$N$475,2)),ROUND(Registro_Compras!$O$475-Registro_Compras!$S$475,2)))</f>
        <v/>
      </c>
      <c r="G4252">
        <f>IF($C4252="","","Por la cancelacion del saldo al proveedor")</f>
        <v/>
      </c>
      <c r="H4252">
        <f>IF($C4252="","",Registro_Compras!$C$475)</f>
        <v/>
      </c>
    </row>
    <row r="4253">
      <c r="A4253" s="25">
        <f>IF($C4253="","",Registro_Compras!$B$476)</f>
        <v/>
      </c>
      <c r="B4253">
        <f>IF($C4253="","","C"&amp;TEXT(INT((ROW()-5)/9)+1,"000")&amp;"-1")</f>
        <v/>
      </c>
      <c r="C4253">
        <f>IF(OR(Registro_Compras!$C$476="",Registro_Compras!$O$476=""),"",IF(Registro_Compras!$F$476="NOTA DE CREDITO","4212",IF(Registro_Compras!$M$476="","63",Registro_Compras!$M$476)))</f>
        <v/>
      </c>
      <c r="D4253">
        <f>IF(OR(Registro_Compras!$C$476="",Registro_Compras!$O$476=""),"",IF(Registro_Compras!$F$476="NOTA DE CREDITO","Cuentas por Pagar Comerciales - Terceros (Emitidas)",IF(Registro_Compras!$F$476="RHE","Honorarios Profesionales - Servicios de Terceros","Gastos de Servicios Prestados por Terceros")))</f>
        <v/>
      </c>
      <c r="E4253" s="20">
        <f>IF($C4253="","",IF(Registro_Compras!$F$476="NOTA DE CREDITO",ABS(Registro_Compras!$O$476),IF(Registro_Compras!$F$476="RHE",ROUND(Registro_Compras!$L$476*Registro_Compras!$N$476,2),ROUND(Registro_Compras!$J$476*Registro_Compras!$N$476,2))))</f>
        <v/>
      </c>
      <c r="F4253" s="20">
        <f>""</f>
        <v/>
      </c>
      <c r="G4253">
        <f>IF($C4253="","",IF(Registro_Compras!$F$476="NOTA DE CREDITO","Por la nota de credito "&amp;Registro_Compras!$C$476&amp;" de "&amp;Registro_Compras!$E$476&amp;" [PATRON POR CONFIRMAR CON CONTADOR]",IF(Registro_Compras!$F$476="RHE","Por el registro del recibo por honorarios "&amp;Registro_Compras!$C$476&amp;" de "&amp;Registro_Compras!$E$476&amp;" [PATRON POR CONFIRMAR CON CONTADOR]","Por el registro de la factura "&amp;Registro_Compras!$C$476&amp;" de "&amp;Registro_Compras!$E$476)))</f>
        <v/>
      </c>
      <c r="H4253">
        <f>IF($C4253="","",Registro_Compras!$C$476)</f>
        <v/>
      </c>
    </row>
    <row r="4254">
      <c r="A4254" s="25">
        <f>IF($C4254="","",Registro_Compras!$B$476)</f>
        <v/>
      </c>
      <c r="B4254">
        <f>IF($C4254="","","C"&amp;TEXT(INT((ROW()-5)/9)+1,"000")&amp;"-1")</f>
        <v/>
      </c>
      <c r="C4254">
        <f>IF(OR(Registro_Compras!$C$476="",Registro_Compras!$O$476=""),"",IF(Registro_Compras!$F$476="RHE",IF(Registro_Compras!$V$476=0,"","40172"),IF(Registro_Compras!$F$476="NOTA DE CREDITO",IF(Registro_Compras!$M$476="","63",Registro_Compras!$M$476),IF(Registro_Compras!$K$476=0,"","40111"))))</f>
        <v/>
      </c>
      <c r="D4254">
        <f>IF(OR(Registro_Compras!$C$476="",Registro_Compras!$O$476=""),"",IF(Registro_Compras!$F$476="RHE","Retencion Renta 4ta Categoria por Pagar",IF(Registro_Compras!$F$476="NOTA DE CREDITO","Gastos de Servicios Prestados por Terceros","IGV - Cuenta Propia (Credito Fiscal)")))</f>
        <v/>
      </c>
      <c r="E4254" s="20">
        <f>IF($C4254="","",IF(Registro_Compras!$F$476="FACTURA",ROUND(Registro_Compras!$K$476*Registro_Compras!$N$476,2),""))</f>
        <v/>
      </c>
      <c r="F4254" s="20">
        <f>IF($C4254="","",IF(Registro_Compras!$F$476="RHE",ROUND(Registro_Compras!$V$476*Registro_Compras!$N$476,2),IF(Registro_Compras!$F$476="NOTA DE CREDITO",ROUND(ABS(Registro_Compras!$J$476*Registro_Compras!$N$476),2),"")))</f>
        <v/>
      </c>
      <c r="G4254">
        <f>IF($C4254="","",IF(Registro_Compras!$F$476="NOTA DE CREDITO","Por la nota de credito "&amp;Registro_Compras!$C$476&amp;" de "&amp;Registro_Compras!$E$476&amp;" [PATRON POR CONFIRMAR CON CONTADOR]",IF(Registro_Compras!$F$476="RHE","Por el registro del recibo por honorarios "&amp;Registro_Compras!$C$476&amp;" de "&amp;Registro_Compras!$E$476&amp;" [PATRON POR CONFIRMAR CON CONTADOR]","Por el registro de la factura "&amp;Registro_Compras!$C$476&amp;" de "&amp;Registro_Compras!$E$476)))</f>
        <v/>
      </c>
      <c r="H4254">
        <f>IF($C4254="","",Registro_Compras!$C$476)</f>
        <v/>
      </c>
    </row>
    <row r="4255">
      <c r="A4255" s="25">
        <f>IF($C4255="","",Registro_Compras!$B$476)</f>
        <v/>
      </c>
      <c r="B4255">
        <f>IF($C4255="","","C"&amp;TEXT(INT((ROW()-5)/9)+1,"000")&amp;"-1")</f>
        <v/>
      </c>
      <c r="C4255">
        <f>IF(OR(Registro_Compras!$C$476="",Registro_Compras!$O$476=""),"",IF(Registro_Compras!$F$476="NOTA DE CREDITO",IF(Registro_Compras!$K$476=0,"","40111"),"4212"))</f>
        <v/>
      </c>
      <c r="D4255">
        <f>IF(OR(Registro_Compras!$C$476="",Registro_Compras!$O$476=""),"",IF(Registro_Compras!$F$476="NOTA DE CREDITO","IGV - Cuenta Propia (Credito Fiscal)","Cuentas por Pagar Comerciales - Terceros (Emitidas)"))</f>
        <v/>
      </c>
      <c r="E4255" s="20">
        <f>""</f>
        <v/>
      </c>
      <c r="F4255" s="20">
        <f>IF($C4255="","",IF(Registro_Compras!$F$476="NOTA DE CREDITO",ROUND(ABS(Registro_Compras!$K$476*Registro_Compras!$N$476),2),IF(Registro_Compras!$F$476="RHE",(ROUND(Registro_Compras!$L$476*Registro_Compras!$N$476,2)-ROUND(Registro_Compras!$V$476*Registro_Compras!$N$476,2)),Registro_Compras!$O$476)))</f>
        <v/>
      </c>
      <c r="G4255">
        <f>IF($C4255="","",IF(Registro_Compras!$F$476="NOTA DE CREDITO","Por la nota de credito "&amp;Registro_Compras!$C$476&amp;" de "&amp;Registro_Compras!$E$476&amp;" [PATRON POR CONFIRMAR CON CONTADOR]",IF(Registro_Compras!$F$476="RHE","Por el registro del recibo por honorarios "&amp;Registro_Compras!$C$476&amp;" de "&amp;Registro_Compras!$E$476&amp;" [PATRON POR CONFIRMAR CON CONTADOR]","Por el registro de la factura "&amp;Registro_Compras!$C$476&amp;" de "&amp;Registro_Compras!$E$476)))</f>
        <v/>
      </c>
      <c r="H4255">
        <f>IF($C4255="","",Registro_Compras!$C$476)</f>
        <v/>
      </c>
    </row>
    <row r="4256">
      <c r="A4256" s="25">
        <f>IF($C4256="","",Registro_Compras!$B$476)</f>
        <v/>
      </c>
      <c r="B4256">
        <f>IF($C4256="","","C"&amp;TEXT(INT((ROW()-5)/9)+1,"000")&amp;"-2")</f>
        <v/>
      </c>
      <c r="C4256">
        <f>IF(OR(Registro_Compras!$C$476="",Registro_Compras!$O$476=""),"",IF(Registro_Compras!$AB$476="ADMINISTRATIVO","94","95"))</f>
        <v/>
      </c>
      <c r="D4256">
        <f>IF(OR(Registro_Compras!$C$476="",Registro_Compras!$O$476=""),"",IF(Registro_Compras!$AB$476="ADMINISTRATIVO","Gastos Administrativos","Gastos de Venta y Operacion"))</f>
        <v/>
      </c>
      <c r="E4256" s="20">
        <f>IF($C4256="","",IF(Registro_Compras!$F$476="NOTA DE CREDITO","",IF(Registro_Compras!$F$476="RHE",ROUND(Registro_Compras!$L$476*Registro_Compras!$N$476,2),ROUND(Registro_Compras!$J$476*Registro_Compras!$N$476,2))))</f>
        <v/>
      </c>
      <c r="F4256" s="20">
        <f>IF($C4256="","",IF(Registro_Compras!$F$476="NOTA DE CREDITO",ROUND(ABS(Registro_Compras!$J$476*Registro_Compras!$N$476),2),""))</f>
        <v/>
      </c>
      <c r="G4256">
        <f>IF($C4256="","","Por el destino del gasto")</f>
        <v/>
      </c>
      <c r="H4256">
        <f>IF($C4256="","",Registro_Compras!$C$476)</f>
        <v/>
      </c>
    </row>
    <row r="4257">
      <c r="A4257" s="25">
        <f>IF($C4257="","",Registro_Compras!$B$476)</f>
        <v/>
      </c>
      <c r="B4257">
        <f>IF($C4257="","","C"&amp;TEXT(INT((ROW()-5)/9)+1,"000")&amp;"-2")</f>
        <v/>
      </c>
      <c r="C4257">
        <f>IF(OR(Registro_Compras!$C$476="",Registro_Compras!$O$476=""),"","79/791")</f>
        <v/>
      </c>
      <c r="D4257">
        <f>IF(OR(Registro_Compras!$C$476="",Registro_Compras!$O$476=""),"","Cargas Imputables a Cuentas de Costos y Gastos")</f>
        <v/>
      </c>
      <c r="E4257" s="20">
        <f>IF($C4257="","",IF(Registro_Compras!$F$476="NOTA DE CREDITO",ROUND(ABS(Registro_Compras!$J$476*Registro_Compras!$N$476),2),""))</f>
        <v/>
      </c>
      <c r="F4257" s="20">
        <f>IF($C4257="","",IF(Registro_Compras!$F$476="NOTA DE CREDITO","",IF(Registro_Compras!$F$476="RHE",ROUND(Registro_Compras!$L$476*Registro_Compras!$N$476,2),ROUND(Registro_Compras!$J$476*Registro_Compras!$N$476,2))))</f>
        <v/>
      </c>
      <c r="G4257">
        <f>IF($C4257="","","Por el destino del gasto")</f>
        <v/>
      </c>
      <c r="H4257">
        <f>IF($C4257="","",Registro_Compras!$C$476)</f>
        <v/>
      </c>
    </row>
    <row r="4258">
      <c r="A4258" s="25">
        <f>IF($C4258="","",Registro_Compras!$X$476)</f>
        <v/>
      </c>
      <c r="B4258">
        <f>IF($C4258="","","C"&amp;TEXT(INT((ROW()-5)/9)+1,"000")&amp;"-3")</f>
        <v/>
      </c>
      <c r="C4258">
        <f>IF(OR(Registro_Compras!$C$476="",Registro_Compras!$O$476="",Registro_Compras!$R$476&lt;&gt;"SI",Registro_Compras!$X$476=""),"","4212")</f>
        <v/>
      </c>
      <c r="D4258">
        <f>IF(OR(Registro_Compras!$C$476="",Registro_Compras!$O$476=""),"","Cuentas por Pagar Comerciales - Terceros")</f>
        <v/>
      </c>
      <c r="E4258" s="20">
        <f>IF($C4258="","",Registro_Compras!$S$476)</f>
        <v/>
      </c>
      <c r="F4258" s="20">
        <f>""</f>
        <v/>
      </c>
      <c r="G4258">
        <f>IF($C4258="","","Por el deposito de la detraccion en el Banco de la Nacion")</f>
        <v/>
      </c>
      <c r="H4258">
        <f>IF($C4258="","",Registro_Compras!$C$476)</f>
        <v/>
      </c>
    </row>
    <row r="4259">
      <c r="A4259" s="25">
        <f>IF($C4259="","",Registro_Compras!$X$476)</f>
        <v/>
      </c>
      <c r="B4259">
        <f>IF($C4259="","","C"&amp;TEXT(INT((ROW()-5)/9)+1,"000")&amp;"-3")</f>
        <v/>
      </c>
      <c r="C4259">
        <f>IF(OR(Registro_Compras!$C$476="",Registro_Compras!$O$476="",Registro_Compras!$R$476&lt;&gt;"SI",Registro_Compras!$X$476=""),"","10413")</f>
        <v/>
      </c>
      <c r="D4259">
        <f>IF(OR(Registro_Compras!$C$476="",Registro_Compras!$O$476=""),"","Efectivo y Equivalentes - Cta. Cte. Operativa")</f>
        <v/>
      </c>
      <c r="E4259" s="20">
        <f>""</f>
        <v/>
      </c>
      <c r="F4259" s="20">
        <f>IF($C4259="","",Registro_Compras!$S$476)</f>
        <v/>
      </c>
      <c r="G4259">
        <f>IF($C4259="","","Por el deposito de la detraccion en el Banco de la Nacion")</f>
        <v/>
      </c>
      <c r="H4259">
        <f>IF($C4259="","",Registro_Compras!$C$476)</f>
        <v/>
      </c>
    </row>
    <row r="4260">
      <c r="A4260" s="25">
        <f>IF($C4260="","",Registro_Compras!$Y$476)</f>
        <v/>
      </c>
      <c r="B4260">
        <f>IF($C4260="","","C"&amp;TEXT(INT((ROW()-5)/9)+1,"000")&amp;"-4")</f>
        <v/>
      </c>
      <c r="C4260">
        <f>IF(OR(Registro_Compras!$C$476="",Registro_Compras!$O$476="",Registro_Compras!$Y$476="",Registro_Compras!$F$476="NOTA DE CREDITO"),"","4212")</f>
        <v/>
      </c>
      <c r="D4260">
        <f>IF(OR(Registro_Compras!$C$476="",Registro_Compras!$O$476=""),"","Cuentas por Pagar Comerciales - Terceros")</f>
        <v/>
      </c>
      <c r="E4260" s="20">
        <f>IF($C4260="","",IF(Registro_Compras!$F$476="RHE",(ROUND(Registro_Compras!$L$476*Registro_Compras!$N$476,2)-ROUND(Registro_Compras!$V$476*Registro_Compras!$N$476,2)),ROUND(Registro_Compras!$O$476-Registro_Compras!$S$476,2)))</f>
        <v/>
      </c>
      <c r="F4260" s="20">
        <f>""</f>
        <v/>
      </c>
      <c r="G4260">
        <f>IF($C4260="","","Por la cancelacion del saldo al proveedor")</f>
        <v/>
      </c>
      <c r="H4260">
        <f>IF($C4260="","",Registro_Compras!$C$476)</f>
        <v/>
      </c>
    </row>
    <row r="4261">
      <c r="A4261" s="25">
        <f>IF($C4261="","",Registro_Compras!$Y$476)</f>
        <v/>
      </c>
      <c r="B4261">
        <f>IF($C4261="","","C"&amp;TEXT(INT((ROW()-5)/9)+1,"000")&amp;"-4")</f>
        <v/>
      </c>
      <c r="C4261">
        <f>IF(OR(Registro_Compras!$C$476="",Registro_Compras!$O$476="",Registro_Compras!$Y$476="",Registro_Compras!$F$476="NOTA DE CREDITO"),"","10413")</f>
        <v/>
      </c>
      <c r="D4261">
        <f>IF(OR(Registro_Compras!$C$476="",Registro_Compras!$O$476=""),"","Efectivo y Equivalentes - Cta. Cte. Operativa")</f>
        <v/>
      </c>
      <c r="E4261" s="20">
        <f>""</f>
        <v/>
      </c>
      <c r="F4261" s="20">
        <f>IF($C4261="","",IF(Registro_Compras!$F$476="RHE",(ROUND(Registro_Compras!$L$476*Registro_Compras!$N$476,2)-ROUND(Registro_Compras!$V$476*Registro_Compras!$N$476,2)),ROUND(Registro_Compras!$O$476-Registro_Compras!$S$476,2)))</f>
        <v/>
      </c>
      <c r="G4261">
        <f>IF($C4261="","","Por la cancelacion del saldo al proveedor")</f>
        <v/>
      </c>
      <c r="H4261">
        <f>IF($C4261="","",Registro_Compras!$C$476)</f>
        <v/>
      </c>
    </row>
    <row r="4262">
      <c r="A4262" s="25">
        <f>IF($C4262="","",Registro_Compras!$B$477)</f>
        <v/>
      </c>
      <c r="B4262">
        <f>IF($C4262="","","C"&amp;TEXT(INT((ROW()-5)/9)+1,"000")&amp;"-1")</f>
        <v/>
      </c>
      <c r="C4262">
        <f>IF(OR(Registro_Compras!$C$477="",Registro_Compras!$O$477=""),"",IF(Registro_Compras!$F$477="NOTA DE CREDITO","4212",IF(Registro_Compras!$M$477="","63",Registro_Compras!$M$477)))</f>
        <v/>
      </c>
      <c r="D4262">
        <f>IF(OR(Registro_Compras!$C$477="",Registro_Compras!$O$477=""),"",IF(Registro_Compras!$F$477="NOTA DE CREDITO","Cuentas por Pagar Comerciales - Terceros (Emitidas)",IF(Registro_Compras!$F$477="RHE","Honorarios Profesionales - Servicios de Terceros","Gastos de Servicios Prestados por Terceros")))</f>
        <v/>
      </c>
      <c r="E4262" s="20">
        <f>IF($C4262="","",IF(Registro_Compras!$F$477="NOTA DE CREDITO",ABS(Registro_Compras!$O$477),IF(Registro_Compras!$F$477="RHE",ROUND(Registro_Compras!$L$477*Registro_Compras!$N$477,2),ROUND(Registro_Compras!$J$477*Registro_Compras!$N$477,2))))</f>
        <v/>
      </c>
      <c r="F4262" s="20">
        <f>""</f>
        <v/>
      </c>
      <c r="G4262">
        <f>IF($C4262="","",IF(Registro_Compras!$F$477="NOTA DE CREDITO","Por la nota de credito "&amp;Registro_Compras!$C$477&amp;" de "&amp;Registro_Compras!$E$477&amp;" [PATRON POR CONFIRMAR CON CONTADOR]",IF(Registro_Compras!$F$477="RHE","Por el registro del recibo por honorarios "&amp;Registro_Compras!$C$477&amp;" de "&amp;Registro_Compras!$E$477&amp;" [PATRON POR CONFIRMAR CON CONTADOR]","Por el registro de la factura "&amp;Registro_Compras!$C$477&amp;" de "&amp;Registro_Compras!$E$477)))</f>
        <v/>
      </c>
      <c r="H4262">
        <f>IF($C4262="","",Registro_Compras!$C$477)</f>
        <v/>
      </c>
    </row>
    <row r="4263">
      <c r="A4263" s="25">
        <f>IF($C4263="","",Registro_Compras!$B$477)</f>
        <v/>
      </c>
      <c r="B4263">
        <f>IF($C4263="","","C"&amp;TEXT(INT((ROW()-5)/9)+1,"000")&amp;"-1")</f>
        <v/>
      </c>
      <c r="C4263">
        <f>IF(OR(Registro_Compras!$C$477="",Registro_Compras!$O$477=""),"",IF(Registro_Compras!$F$477="RHE",IF(Registro_Compras!$V$477=0,"","40172"),IF(Registro_Compras!$F$477="NOTA DE CREDITO",IF(Registro_Compras!$M$477="","63",Registro_Compras!$M$477),IF(Registro_Compras!$K$477=0,"","40111"))))</f>
        <v/>
      </c>
      <c r="D4263">
        <f>IF(OR(Registro_Compras!$C$477="",Registro_Compras!$O$477=""),"",IF(Registro_Compras!$F$477="RHE","Retencion Renta 4ta Categoria por Pagar",IF(Registro_Compras!$F$477="NOTA DE CREDITO","Gastos de Servicios Prestados por Terceros","IGV - Cuenta Propia (Credito Fiscal)")))</f>
        <v/>
      </c>
      <c r="E4263" s="20">
        <f>IF($C4263="","",IF(Registro_Compras!$F$477="FACTURA",ROUND(Registro_Compras!$K$477*Registro_Compras!$N$477,2),""))</f>
        <v/>
      </c>
      <c r="F4263" s="20">
        <f>IF($C4263="","",IF(Registro_Compras!$F$477="RHE",ROUND(Registro_Compras!$V$477*Registro_Compras!$N$477,2),IF(Registro_Compras!$F$477="NOTA DE CREDITO",ROUND(ABS(Registro_Compras!$J$477*Registro_Compras!$N$477),2),"")))</f>
        <v/>
      </c>
      <c r="G4263">
        <f>IF($C4263="","",IF(Registro_Compras!$F$477="NOTA DE CREDITO","Por la nota de credito "&amp;Registro_Compras!$C$477&amp;" de "&amp;Registro_Compras!$E$477&amp;" [PATRON POR CONFIRMAR CON CONTADOR]",IF(Registro_Compras!$F$477="RHE","Por el registro del recibo por honorarios "&amp;Registro_Compras!$C$477&amp;" de "&amp;Registro_Compras!$E$477&amp;" [PATRON POR CONFIRMAR CON CONTADOR]","Por el registro de la factura "&amp;Registro_Compras!$C$477&amp;" de "&amp;Registro_Compras!$E$477)))</f>
        <v/>
      </c>
      <c r="H4263">
        <f>IF($C4263="","",Registro_Compras!$C$477)</f>
        <v/>
      </c>
    </row>
    <row r="4264">
      <c r="A4264" s="25">
        <f>IF($C4264="","",Registro_Compras!$B$477)</f>
        <v/>
      </c>
      <c r="B4264">
        <f>IF($C4264="","","C"&amp;TEXT(INT((ROW()-5)/9)+1,"000")&amp;"-1")</f>
        <v/>
      </c>
      <c r="C4264">
        <f>IF(OR(Registro_Compras!$C$477="",Registro_Compras!$O$477=""),"",IF(Registro_Compras!$F$477="NOTA DE CREDITO",IF(Registro_Compras!$K$477=0,"","40111"),"4212"))</f>
        <v/>
      </c>
      <c r="D4264">
        <f>IF(OR(Registro_Compras!$C$477="",Registro_Compras!$O$477=""),"",IF(Registro_Compras!$F$477="NOTA DE CREDITO","IGV - Cuenta Propia (Credito Fiscal)","Cuentas por Pagar Comerciales - Terceros (Emitidas)"))</f>
        <v/>
      </c>
      <c r="E4264" s="20">
        <f>""</f>
        <v/>
      </c>
      <c r="F4264" s="20">
        <f>IF($C4264="","",IF(Registro_Compras!$F$477="NOTA DE CREDITO",ROUND(ABS(Registro_Compras!$K$477*Registro_Compras!$N$477),2),IF(Registro_Compras!$F$477="RHE",(ROUND(Registro_Compras!$L$477*Registro_Compras!$N$477,2)-ROUND(Registro_Compras!$V$477*Registro_Compras!$N$477,2)),Registro_Compras!$O$477)))</f>
        <v/>
      </c>
      <c r="G4264">
        <f>IF($C4264="","",IF(Registro_Compras!$F$477="NOTA DE CREDITO","Por la nota de credito "&amp;Registro_Compras!$C$477&amp;" de "&amp;Registro_Compras!$E$477&amp;" [PATRON POR CONFIRMAR CON CONTADOR]",IF(Registro_Compras!$F$477="RHE","Por el registro del recibo por honorarios "&amp;Registro_Compras!$C$477&amp;" de "&amp;Registro_Compras!$E$477&amp;" [PATRON POR CONFIRMAR CON CONTADOR]","Por el registro de la factura "&amp;Registro_Compras!$C$477&amp;" de "&amp;Registro_Compras!$E$477)))</f>
        <v/>
      </c>
      <c r="H4264">
        <f>IF($C4264="","",Registro_Compras!$C$477)</f>
        <v/>
      </c>
    </row>
    <row r="4265">
      <c r="A4265" s="25">
        <f>IF($C4265="","",Registro_Compras!$B$477)</f>
        <v/>
      </c>
      <c r="B4265">
        <f>IF($C4265="","","C"&amp;TEXT(INT((ROW()-5)/9)+1,"000")&amp;"-2")</f>
        <v/>
      </c>
      <c r="C4265">
        <f>IF(OR(Registro_Compras!$C$477="",Registro_Compras!$O$477=""),"",IF(Registro_Compras!$AB$477="ADMINISTRATIVO","94","95"))</f>
        <v/>
      </c>
      <c r="D4265">
        <f>IF(OR(Registro_Compras!$C$477="",Registro_Compras!$O$477=""),"",IF(Registro_Compras!$AB$477="ADMINISTRATIVO","Gastos Administrativos","Gastos de Venta y Operacion"))</f>
        <v/>
      </c>
      <c r="E4265" s="20">
        <f>IF($C4265="","",IF(Registro_Compras!$F$477="NOTA DE CREDITO","",IF(Registro_Compras!$F$477="RHE",ROUND(Registro_Compras!$L$477*Registro_Compras!$N$477,2),ROUND(Registro_Compras!$J$477*Registro_Compras!$N$477,2))))</f>
        <v/>
      </c>
      <c r="F4265" s="20">
        <f>IF($C4265="","",IF(Registro_Compras!$F$477="NOTA DE CREDITO",ROUND(ABS(Registro_Compras!$J$477*Registro_Compras!$N$477),2),""))</f>
        <v/>
      </c>
      <c r="G4265">
        <f>IF($C4265="","","Por el destino del gasto")</f>
        <v/>
      </c>
      <c r="H4265">
        <f>IF($C4265="","",Registro_Compras!$C$477)</f>
        <v/>
      </c>
    </row>
    <row r="4266">
      <c r="A4266" s="25">
        <f>IF($C4266="","",Registro_Compras!$B$477)</f>
        <v/>
      </c>
      <c r="B4266">
        <f>IF($C4266="","","C"&amp;TEXT(INT((ROW()-5)/9)+1,"000")&amp;"-2")</f>
        <v/>
      </c>
      <c r="C4266">
        <f>IF(OR(Registro_Compras!$C$477="",Registro_Compras!$O$477=""),"","79/791")</f>
        <v/>
      </c>
      <c r="D4266">
        <f>IF(OR(Registro_Compras!$C$477="",Registro_Compras!$O$477=""),"","Cargas Imputables a Cuentas de Costos y Gastos")</f>
        <v/>
      </c>
      <c r="E4266" s="20">
        <f>IF($C4266="","",IF(Registro_Compras!$F$477="NOTA DE CREDITO",ROUND(ABS(Registro_Compras!$J$477*Registro_Compras!$N$477),2),""))</f>
        <v/>
      </c>
      <c r="F4266" s="20">
        <f>IF($C4266="","",IF(Registro_Compras!$F$477="NOTA DE CREDITO","",IF(Registro_Compras!$F$477="RHE",ROUND(Registro_Compras!$L$477*Registro_Compras!$N$477,2),ROUND(Registro_Compras!$J$477*Registro_Compras!$N$477,2))))</f>
        <v/>
      </c>
      <c r="G4266">
        <f>IF($C4266="","","Por el destino del gasto")</f>
        <v/>
      </c>
      <c r="H4266">
        <f>IF($C4266="","",Registro_Compras!$C$477)</f>
        <v/>
      </c>
    </row>
    <row r="4267">
      <c r="A4267" s="25">
        <f>IF($C4267="","",Registro_Compras!$X$477)</f>
        <v/>
      </c>
      <c r="B4267">
        <f>IF($C4267="","","C"&amp;TEXT(INT((ROW()-5)/9)+1,"000")&amp;"-3")</f>
        <v/>
      </c>
      <c r="C4267">
        <f>IF(OR(Registro_Compras!$C$477="",Registro_Compras!$O$477="",Registro_Compras!$R$477&lt;&gt;"SI",Registro_Compras!$X$477=""),"","4212")</f>
        <v/>
      </c>
      <c r="D4267">
        <f>IF(OR(Registro_Compras!$C$477="",Registro_Compras!$O$477=""),"","Cuentas por Pagar Comerciales - Terceros")</f>
        <v/>
      </c>
      <c r="E4267" s="20">
        <f>IF($C4267="","",Registro_Compras!$S$477)</f>
        <v/>
      </c>
      <c r="F4267" s="20">
        <f>""</f>
        <v/>
      </c>
      <c r="G4267">
        <f>IF($C4267="","","Por el deposito de la detraccion en el Banco de la Nacion")</f>
        <v/>
      </c>
      <c r="H4267">
        <f>IF($C4267="","",Registro_Compras!$C$477)</f>
        <v/>
      </c>
    </row>
    <row r="4268">
      <c r="A4268" s="25">
        <f>IF($C4268="","",Registro_Compras!$X$477)</f>
        <v/>
      </c>
      <c r="B4268">
        <f>IF($C4268="","","C"&amp;TEXT(INT((ROW()-5)/9)+1,"000")&amp;"-3")</f>
        <v/>
      </c>
      <c r="C4268">
        <f>IF(OR(Registro_Compras!$C$477="",Registro_Compras!$O$477="",Registro_Compras!$R$477&lt;&gt;"SI",Registro_Compras!$X$477=""),"","10413")</f>
        <v/>
      </c>
      <c r="D4268">
        <f>IF(OR(Registro_Compras!$C$477="",Registro_Compras!$O$477=""),"","Efectivo y Equivalentes - Cta. Cte. Operativa")</f>
        <v/>
      </c>
      <c r="E4268" s="20">
        <f>""</f>
        <v/>
      </c>
      <c r="F4268" s="20">
        <f>IF($C4268="","",Registro_Compras!$S$477)</f>
        <v/>
      </c>
      <c r="G4268">
        <f>IF($C4268="","","Por el deposito de la detraccion en el Banco de la Nacion")</f>
        <v/>
      </c>
      <c r="H4268">
        <f>IF($C4268="","",Registro_Compras!$C$477)</f>
        <v/>
      </c>
    </row>
    <row r="4269">
      <c r="A4269" s="25">
        <f>IF($C4269="","",Registro_Compras!$Y$477)</f>
        <v/>
      </c>
      <c r="B4269">
        <f>IF($C4269="","","C"&amp;TEXT(INT((ROW()-5)/9)+1,"000")&amp;"-4")</f>
        <v/>
      </c>
      <c r="C4269">
        <f>IF(OR(Registro_Compras!$C$477="",Registro_Compras!$O$477="",Registro_Compras!$Y$477="",Registro_Compras!$F$477="NOTA DE CREDITO"),"","4212")</f>
        <v/>
      </c>
      <c r="D4269">
        <f>IF(OR(Registro_Compras!$C$477="",Registro_Compras!$O$477=""),"","Cuentas por Pagar Comerciales - Terceros")</f>
        <v/>
      </c>
      <c r="E4269" s="20">
        <f>IF($C4269="","",IF(Registro_Compras!$F$477="RHE",(ROUND(Registro_Compras!$L$477*Registro_Compras!$N$477,2)-ROUND(Registro_Compras!$V$477*Registro_Compras!$N$477,2)),ROUND(Registro_Compras!$O$477-Registro_Compras!$S$477,2)))</f>
        <v/>
      </c>
      <c r="F4269" s="20">
        <f>""</f>
        <v/>
      </c>
      <c r="G4269">
        <f>IF($C4269="","","Por la cancelacion del saldo al proveedor")</f>
        <v/>
      </c>
      <c r="H4269">
        <f>IF($C4269="","",Registro_Compras!$C$477)</f>
        <v/>
      </c>
    </row>
    <row r="4270">
      <c r="A4270" s="25">
        <f>IF($C4270="","",Registro_Compras!$Y$477)</f>
        <v/>
      </c>
      <c r="B4270">
        <f>IF($C4270="","","C"&amp;TEXT(INT((ROW()-5)/9)+1,"000")&amp;"-4")</f>
        <v/>
      </c>
      <c r="C4270">
        <f>IF(OR(Registro_Compras!$C$477="",Registro_Compras!$O$477="",Registro_Compras!$Y$477="",Registro_Compras!$F$477="NOTA DE CREDITO"),"","10413")</f>
        <v/>
      </c>
      <c r="D4270">
        <f>IF(OR(Registro_Compras!$C$477="",Registro_Compras!$O$477=""),"","Efectivo y Equivalentes - Cta. Cte. Operativa")</f>
        <v/>
      </c>
      <c r="E4270" s="20">
        <f>""</f>
        <v/>
      </c>
      <c r="F4270" s="20">
        <f>IF($C4270="","",IF(Registro_Compras!$F$477="RHE",(ROUND(Registro_Compras!$L$477*Registro_Compras!$N$477,2)-ROUND(Registro_Compras!$V$477*Registro_Compras!$N$477,2)),ROUND(Registro_Compras!$O$477-Registro_Compras!$S$477,2)))</f>
        <v/>
      </c>
      <c r="G4270">
        <f>IF($C4270="","","Por la cancelacion del saldo al proveedor")</f>
        <v/>
      </c>
      <c r="H4270">
        <f>IF($C4270="","",Registro_Compras!$C$477)</f>
        <v/>
      </c>
    </row>
    <row r="4271">
      <c r="A4271" s="25">
        <f>IF($C4271="","",Registro_Compras!$B$478)</f>
        <v/>
      </c>
      <c r="B4271">
        <f>IF($C4271="","","C"&amp;TEXT(INT((ROW()-5)/9)+1,"000")&amp;"-1")</f>
        <v/>
      </c>
      <c r="C4271">
        <f>IF(OR(Registro_Compras!$C$478="",Registro_Compras!$O$478=""),"",IF(Registro_Compras!$F$478="NOTA DE CREDITO","4212",IF(Registro_Compras!$M$478="","63",Registro_Compras!$M$478)))</f>
        <v/>
      </c>
      <c r="D4271">
        <f>IF(OR(Registro_Compras!$C$478="",Registro_Compras!$O$478=""),"",IF(Registro_Compras!$F$478="NOTA DE CREDITO","Cuentas por Pagar Comerciales - Terceros (Emitidas)",IF(Registro_Compras!$F$478="RHE","Honorarios Profesionales - Servicios de Terceros","Gastos de Servicios Prestados por Terceros")))</f>
        <v/>
      </c>
      <c r="E4271" s="20">
        <f>IF($C4271="","",IF(Registro_Compras!$F$478="NOTA DE CREDITO",ABS(Registro_Compras!$O$478),IF(Registro_Compras!$F$478="RHE",ROUND(Registro_Compras!$L$478*Registro_Compras!$N$478,2),ROUND(Registro_Compras!$J$478*Registro_Compras!$N$478,2))))</f>
        <v/>
      </c>
      <c r="F4271" s="20">
        <f>""</f>
        <v/>
      </c>
      <c r="G4271">
        <f>IF($C4271="","",IF(Registro_Compras!$F$478="NOTA DE CREDITO","Por la nota de credito "&amp;Registro_Compras!$C$478&amp;" de "&amp;Registro_Compras!$E$478&amp;" [PATRON POR CONFIRMAR CON CONTADOR]",IF(Registro_Compras!$F$478="RHE","Por el registro del recibo por honorarios "&amp;Registro_Compras!$C$478&amp;" de "&amp;Registro_Compras!$E$478&amp;" [PATRON POR CONFIRMAR CON CONTADOR]","Por el registro de la factura "&amp;Registro_Compras!$C$478&amp;" de "&amp;Registro_Compras!$E$478)))</f>
        <v/>
      </c>
      <c r="H4271">
        <f>IF($C4271="","",Registro_Compras!$C$478)</f>
        <v/>
      </c>
    </row>
    <row r="4272">
      <c r="A4272" s="25">
        <f>IF($C4272="","",Registro_Compras!$B$478)</f>
        <v/>
      </c>
      <c r="B4272">
        <f>IF($C4272="","","C"&amp;TEXT(INT((ROW()-5)/9)+1,"000")&amp;"-1")</f>
        <v/>
      </c>
      <c r="C4272">
        <f>IF(OR(Registro_Compras!$C$478="",Registro_Compras!$O$478=""),"",IF(Registro_Compras!$F$478="RHE",IF(Registro_Compras!$V$478=0,"","40172"),IF(Registro_Compras!$F$478="NOTA DE CREDITO",IF(Registro_Compras!$M$478="","63",Registro_Compras!$M$478),IF(Registro_Compras!$K$478=0,"","40111"))))</f>
        <v/>
      </c>
      <c r="D4272">
        <f>IF(OR(Registro_Compras!$C$478="",Registro_Compras!$O$478=""),"",IF(Registro_Compras!$F$478="RHE","Retencion Renta 4ta Categoria por Pagar",IF(Registro_Compras!$F$478="NOTA DE CREDITO","Gastos de Servicios Prestados por Terceros","IGV - Cuenta Propia (Credito Fiscal)")))</f>
        <v/>
      </c>
      <c r="E4272" s="20">
        <f>IF($C4272="","",IF(Registro_Compras!$F$478="FACTURA",ROUND(Registro_Compras!$K$478*Registro_Compras!$N$478,2),""))</f>
        <v/>
      </c>
      <c r="F4272" s="20">
        <f>IF($C4272="","",IF(Registro_Compras!$F$478="RHE",ROUND(Registro_Compras!$V$478*Registro_Compras!$N$478,2),IF(Registro_Compras!$F$478="NOTA DE CREDITO",ROUND(ABS(Registro_Compras!$J$478*Registro_Compras!$N$478),2),"")))</f>
        <v/>
      </c>
      <c r="G4272">
        <f>IF($C4272="","",IF(Registro_Compras!$F$478="NOTA DE CREDITO","Por la nota de credito "&amp;Registro_Compras!$C$478&amp;" de "&amp;Registro_Compras!$E$478&amp;" [PATRON POR CONFIRMAR CON CONTADOR]",IF(Registro_Compras!$F$478="RHE","Por el registro del recibo por honorarios "&amp;Registro_Compras!$C$478&amp;" de "&amp;Registro_Compras!$E$478&amp;" [PATRON POR CONFIRMAR CON CONTADOR]","Por el registro de la factura "&amp;Registro_Compras!$C$478&amp;" de "&amp;Registro_Compras!$E$478)))</f>
        <v/>
      </c>
      <c r="H4272">
        <f>IF($C4272="","",Registro_Compras!$C$478)</f>
        <v/>
      </c>
    </row>
    <row r="4273">
      <c r="A4273" s="25">
        <f>IF($C4273="","",Registro_Compras!$B$478)</f>
        <v/>
      </c>
      <c r="B4273">
        <f>IF($C4273="","","C"&amp;TEXT(INT((ROW()-5)/9)+1,"000")&amp;"-1")</f>
        <v/>
      </c>
      <c r="C4273">
        <f>IF(OR(Registro_Compras!$C$478="",Registro_Compras!$O$478=""),"",IF(Registro_Compras!$F$478="NOTA DE CREDITO",IF(Registro_Compras!$K$478=0,"","40111"),"4212"))</f>
        <v/>
      </c>
      <c r="D4273">
        <f>IF(OR(Registro_Compras!$C$478="",Registro_Compras!$O$478=""),"",IF(Registro_Compras!$F$478="NOTA DE CREDITO","IGV - Cuenta Propia (Credito Fiscal)","Cuentas por Pagar Comerciales - Terceros (Emitidas)"))</f>
        <v/>
      </c>
      <c r="E4273" s="20">
        <f>""</f>
        <v/>
      </c>
      <c r="F4273" s="20">
        <f>IF($C4273="","",IF(Registro_Compras!$F$478="NOTA DE CREDITO",ROUND(ABS(Registro_Compras!$K$478*Registro_Compras!$N$478),2),IF(Registro_Compras!$F$478="RHE",(ROUND(Registro_Compras!$L$478*Registro_Compras!$N$478,2)-ROUND(Registro_Compras!$V$478*Registro_Compras!$N$478,2)),Registro_Compras!$O$478)))</f>
        <v/>
      </c>
      <c r="G4273">
        <f>IF($C4273="","",IF(Registro_Compras!$F$478="NOTA DE CREDITO","Por la nota de credito "&amp;Registro_Compras!$C$478&amp;" de "&amp;Registro_Compras!$E$478&amp;" [PATRON POR CONFIRMAR CON CONTADOR]",IF(Registro_Compras!$F$478="RHE","Por el registro del recibo por honorarios "&amp;Registro_Compras!$C$478&amp;" de "&amp;Registro_Compras!$E$478&amp;" [PATRON POR CONFIRMAR CON CONTADOR]","Por el registro de la factura "&amp;Registro_Compras!$C$478&amp;" de "&amp;Registro_Compras!$E$478)))</f>
        <v/>
      </c>
      <c r="H4273">
        <f>IF($C4273="","",Registro_Compras!$C$478)</f>
        <v/>
      </c>
    </row>
    <row r="4274">
      <c r="A4274" s="25">
        <f>IF($C4274="","",Registro_Compras!$B$478)</f>
        <v/>
      </c>
      <c r="B4274">
        <f>IF($C4274="","","C"&amp;TEXT(INT((ROW()-5)/9)+1,"000")&amp;"-2")</f>
        <v/>
      </c>
      <c r="C4274">
        <f>IF(OR(Registro_Compras!$C$478="",Registro_Compras!$O$478=""),"",IF(Registro_Compras!$AB$478="ADMINISTRATIVO","94","95"))</f>
        <v/>
      </c>
      <c r="D4274">
        <f>IF(OR(Registro_Compras!$C$478="",Registro_Compras!$O$478=""),"",IF(Registro_Compras!$AB$478="ADMINISTRATIVO","Gastos Administrativos","Gastos de Venta y Operacion"))</f>
        <v/>
      </c>
      <c r="E4274" s="20">
        <f>IF($C4274="","",IF(Registro_Compras!$F$478="NOTA DE CREDITO","",IF(Registro_Compras!$F$478="RHE",ROUND(Registro_Compras!$L$478*Registro_Compras!$N$478,2),ROUND(Registro_Compras!$J$478*Registro_Compras!$N$478,2))))</f>
        <v/>
      </c>
      <c r="F4274" s="20">
        <f>IF($C4274="","",IF(Registro_Compras!$F$478="NOTA DE CREDITO",ROUND(ABS(Registro_Compras!$J$478*Registro_Compras!$N$478),2),""))</f>
        <v/>
      </c>
      <c r="G4274">
        <f>IF($C4274="","","Por el destino del gasto")</f>
        <v/>
      </c>
      <c r="H4274">
        <f>IF($C4274="","",Registro_Compras!$C$478)</f>
        <v/>
      </c>
    </row>
    <row r="4275">
      <c r="A4275" s="25">
        <f>IF($C4275="","",Registro_Compras!$B$478)</f>
        <v/>
      </c>
      <c r="B4275">
        <f>IF($C4275="","","C"&amp;TEXT(INT((ROW()-5)/9)+1,"000")&amp;"-2")</f>
        <v/>
      </c>
      <c r="C4275">
        <f>IF(OR(Registro_Compras!$C$478="",Registro_Compras!$O$478=""),"","79/791")</f>
        <v/>
      </c>
      <c r="D4275">
        <f>IF(OR(Registro_Compras!$C$478="",Registro_Compras!$O$478=""),"","Cargas Imputables a Cuentas de Costos y Gastos")</f>
        <v/>
      </c>
      <c r="E4275" s="20">
        <f>IF($C4275="","",IF(Registro_Compras!$F$478="NOTA DE CREDITO",ROUND(ABS(Registro_Compras!$J$478*Registro_Compras!$N$478),2),""))</f>
        <v/>
      </c>
      <c r="F4275" s="20">
        <f>IF($C4275="","",IF(Registro_Compras!$F$478="NOTA DE CREDITO","",IF(Registro_Compras!$F$478="RHE",ROUND(Registro_Compras!$L$478*Registro_Compras!$N$478,2),ROUND(Registro_Compras!$J$478*Registro_Compras!$N$478,2))))</f>
        <v/>
      </c>
      <c r="G4275">
        <f>IF($C4275="","","Por el destino del gasto")</f>
        <v/>
      </c>
      <c r="H4275">
        <f>IF($C4275="","",Registro_Compras!$C$478)</f>
        <v/>
      </c>
    </row>
    <row r="4276">
      <c r="A4276" s="25">
        <f>IF($C4276="","",Registro_Compras!$X$478)</f>
        <v/>
      </c>
      <c r="B4276">
        <f>IF($C4276="","","C"&amp;TEXT(INT((ROW()-5)/9)+1,"000")&amp;"-3")</f>
        <v/>
      </c>
      <c r="C4276">
        <f>IF(OR(Registro_Compras!$C$478="",Registro_Compras!$O$478="",Registro_Compras!$R$478&lt;&gt;"SI",Registro_Compras!$X$478=""),"","4212")</f>
        <v/>
      </c>
      <c r="D4276">
        <f>IF(OR(Registro_Compras!$C$478="",Registro_Compras!$O$478=""),"","Cuentas por Pagar Comerciales - Terceros")</f>
        <v/>
      </c>
      <c r="E4276" s="20">
        <f>IF($C4276="","",Registro_Compras!$S$478)</f>
        <v/>
      </c>
      <c r="F4276" s="20">
        <f>""</f>
        <v/>
      </c>
      <c r="G4276">
        <f>IF($C4276="","","Por el deposito de la detraccion en el Banco de la Nacion")</f>
        <v/>
      </c>
      <c r="H4276">
        <f>IF($C4276="","",Registro_Compras!$C$478)</f>
        <v/>
      </c>
    </row>
    <row r="4277">
      <c r="A4277" s="25">
        <f>IF($C4277="","",Registro_Compras!$X$478)</f>
        <v/>
      </c>
      <c r="B4277">
        <f>IF($C4277="","","C"&amp;TEXT(INT((ROW()-5)/9)+1,"000")&amp;"-3")</f>
        <v/>
      </c>
      <c r="C4277">
        <f>IF(OR(Registro_Compras!$C$478="",Registro_Compras!$O$478="",Registro_Compras!$R$478&lt;&gt;"SI",Registro_Compras!$X$478=""),"","10413")</f>
        <v/>
      </c>
      <c r="D4277">
        <f>IF(OR(Registro_Compras!$C$478="",Registro_Compras!$O$478=""),"","Efectivo y Equivalentes - Cta. Cte. Operativa")</f>
        <v/>
      </c>
      <c r="E4277" s="20">
        <f>""</f>
        <v/>
      </c>
      <c r="F4277" s="20">
        <f>IF($C4277="","",Registro_Compras!$S$478)</f>
        <v/>
      </c>
      <c r="G4277">
        <f>IF($C4277="","","Por el deposito de la detraccion en el Banco de la Nacion")</f>
        <v/>
      </c>
      <c r="H4277">
        <f>IF($C4277="","",Registro_Compras!$C$478)</f>
        <v/>
      </c>
    </row>
    <row r="4278">
      <c r="A4278" s="25">
        <f>IF($C4278="","",Registro_Compras!$Y$478)</f>
        <v/>
      </c>
      <c r="B4278">
        <f>IF($C4278="","","C"&amp;TEXT(INT((ROW()-5)/9)+1,"000")&amp;"-4")</f>
        <v/>
      </c>
      <c r="C4278">
        <f>IF(OR(Registro_Compras!$C$478="",Registro_Compras!$O$478="",Registro_Compras!$Y$478="",Registro_Compras!$F$478="NOTA DE CREDITO"),"","4212")</f>
        <v/>
      </c>
      <c r="D4278">
        <f>IF(OR(Registro_Compras!$C$478="",Registro_Compras!$O$478=""),"","Cuentas por Pagar Comerciales - Terceros")</f>
        <v/>
      </c>
      <c r="E4278" s="20">
        <f>IF($C4278="","",IF(Registro_Compras!$F$478="RHE",(ROUND(Registro_Compras!$L$478*Registro_Compras!$N$478,2)-ROUND(Registro_Compras!$V$478*Registro_Compras!$N$478,2)),ROUND(Registro_Compras!$O$478-Registro_Compras!$S$478,2)))</f>
        <v/>
      </c>
      <c r="F4278" s="20">
        <f>""</f>
        <v/>
      </c>
      <c r="G4278">
        <f>IF($C4278="","","Por la cancelacion del saldo al proveedor")</f>
        <v/>
      </c>
      <c r="H4278">
        <f>IF($C4278="","",Registro_Compras!$C$478)</f>
        <v/>
      </c>
    </row>
    <row r="4279">
      <c r="A4279" s="25">
        <f>IF($C4279="","",Registro_Compras!$Y$478)</f>
        <v/>
      </c>
      <c r="B4279">
        <f>IF($C4279="","","C"&amp;TEXT(INT((ROW()-5)/9)+1,"000")&amp;"-4")</f>
        <v/>
      </c>
      <c r="C4279">
        <f>IF(OR(Registro_Compras!$C$478="",Registro_Compras!$O$478="",Registro_Compras!$Y$478="",Registro_Compras!$F$478="NOTA DE CREDITO"),"","10413")</f>
        <v/>
      </c>
      <c r="D4279">
        <f>IF(OR(Registro_Compras!$C$478="",Registro_Compras!$O$478=""),"","Efectivo y Equivalentes - Cta. Cte. Operativa")</f>
        <v/>
      </c>
      <c r="E4279" s="20">
        <f>""</f>
        <v/>
      </c>
      <c r="F4279" s="20">
        <f>IF($C4279="","",IF(Registro_Compras!$F$478="RHE",(ROUND(Registro_Compras!$L$478*Registro_Compras!$N$478,2)-ROUND(Registro_Compras!$V$478*Registro_Compras!$N$478,2)),ROUND(Registro_Compras!$O$478-Registro_Compras!$S$478,2)))</f>
        <v/>
      </c>
      <c r="G4279">
        <f>IF($C4279="","","Por la cancelacion del saldo al proveedor")</f>
        <v/>
      </c>
      <c r="H4279">
        <f>IF($C4279="","",Registro_Compras!$C$478)</f>
        <v/>
      </c>
    </row>
    <row r="4280">
      <c r="A4280" s="25">
        <f>IF($C4280="","",Registro_Compras!$B$479)</f>
        <v/>
      </c>
      <c r="B4280">
        <f>IF($C4280="","","C"&amp;TEXT(INT((ROW()-5)/9)+1,"000")&amp;"-1")</f>
        <v/>
      </c>
      <c r="C4280">
        <f>IF(OR(Registro_Compras!$C$479="",Registro_Compras!$O$479=""),"",IF(Registro_Compras!$F$479="NOTA DE CREDITO","4212",IF(Registro_Compras!$M$479="","63",Registro_Compras!$M$479)))</f>
        <v/>
      </c>
      <c r="D4280">
        <f>IF(OR(Registro_Compras!$C$479="",Registro_Compras!$O$479=""),"",IF(Registro_Compras!$F$479="NOTA DE CREDITO","Cuentas por Pagar Comerciales - Terceros (Emitidas)",IF(Registro_Compras!$F$479="RHE","Honorarios Profesionales - Servicios de Terceros","Gastos de Servicios Prestados por Terceros")))</f>
        <v/>
      </c>
      <c r="E4280" s="20">
        <f>IF($C4280="","",IF(Registro_Compras!$F$479="NOTA DE CREDITO",ABS(Registro_Compras!$O$479),IF(Registro_Compras!$F$479="RHE",ROUND(Registro_Compras!$L$479*Registro_Compras!$N$479,2),ROUND(Registro_Compras!$J$479*Registro_Compras!$N$479,2))))</f>
        <v/>
      </c>
      <c r="F4280" s="20">
        <f>""</f>
        <v/>
      </c>
      <c r="G4280">
        <f>IF($C4280="","",IF(Registro_Compras!$F$479="NOTA DE CREDITO","Por la nota de credito "&amp;Registro_Compras!$C$479&amp;" de "&amp;Registro_Compras!$E$479&amp;" [PATRON POR CONFIRMAR CON CONTADOR]",IF(Registro_Compras!$F$479="RHE","Por el registro del recibo por honorarios "&amp;Registro_Compras!$C$479&amp;" de "&amp;Registro_Compras!$E$479&amp;" [PATRON POR CONFIRMAR CON CONTADOR]","Por el registro de la factura "&amp;Registro_Compras!$C$479&amp;" de "&amp;Registro_Compras!$E$479)))</f>
        <v/>
      </c>
      <c r="H4280">
        <f>IF($C4280="","",Registro_Compras!$C$479)</f>
        <v/>
      </c>
    </row>
    <row r="4281">
      <c r="A4281" s="25">
        <f>IF($C4281="","",Registro_Compras!$B$479)</f>
        <v/>
      </c>
      <c r="B4281">
        <f>IF($C4281="","","C"&amp;TEXT(INT((ROW()-5)/9)+1,"000")&amp;"-1")</f>
        <v/>
      </c>
      <c r="C4281">
        <f>IF(OR(Registro_Compras!$C$479="",Registro_Compras!$O$479=""),"",IF(Registro_Compras!$F$479="RHE",IF(Registro_Compras!$V$479=0,"","40172"),IF(Registro_Compras!$F$479="NOTA DE CREDITO",IF(Registro_Compras!$M$479="","63",Registro_Compras!$M$479),IF(Registro_Compras!$K$479=0,"","40111"))))</f>
        <v/>
      </c>
      <c r="D4281">
        <f>IF(OR(Registro_Compras!$C$479="",Registro_Compras!$O$479=""),"",IF(Registro_Compras!$F$479="RHE","Retencion Renta 4ta Categoria por Pagar",IF(Registro_Compras!$F$479="NOTA DE CREDITO","Gastos de Servicios Prestados por Terceros","IGV - Cuenta Propia (Credito Fiscal)")))</f>
        <v/>
      </c>
      <c r="E4281" s="20">
        <f>IF($C4281="","",IF(Registro_Compras!$F$479="FACTURA",ROUND(Registro_Compras!$K$479*Registro_Compras!$N$479,2),""))</f>
        <v/>
      </c>
      <c r="F4281" s="20">
        <f>IF($C4281="","",IF(Registro_Compras!$F$479="RHE",ROUND(Registro_Compras!$V$479*Registro_Compras!$N$479,2),IF(Registro_Compras!$F$479="NOTA DE CREDITO",ROUND(ABS(Registro_Compras!$J$479*Registro_Compras!$N$479),2),"")))</f>
        <v/>
      </c>
      <c r="G4281">
        <f>IF($C4281="","",IF(Registro_Compras!$F$479="NOTA DE CREDITO","Por la nota de credito "&amp;Registro_Compras!$C$479&amp;" de "&amp;Registro_Compras!$E$479&amp;" [PATRON POR CONFIRMAR CON CONTADOR]",IF(Registro_Compras!$F$479="RHE","Por el registro del recibo por honorarios "&amp;Registro_Compras!$C$479&amp;" de "&amp;Registro_Compras!$E$479&amp;" [PATRON POR CONFIRMAR CON CONTADOR]","Por el registro de la factura "&amp;Registro_Compras!$C$479&amp;" de "&amp;Registro_Compras!$E$479)))</f>
        <v/>
      </c>
      <c r="H4281">
        <f>IF($C4281="","",Registro_Compras!$C$479)</f>
        <v/>
      </c>
    </row>
    <row r="4282">
      <c r="A4282" s="25">
        <f>IF($C4282="","",Registro_Compras!$B$479)</f>
        <v/>
      </c>
      <c r="B4282">
        <f>IF($C4282="","","C"&amp;TEXT(INT((ROW()-5)/9)+1,"000")&amp;"-1")</f>
        <v/>
      </c>
      <c r="C4282">
        <f>IF(OR(Registro_Compras!$C$479="",Registro_Compras!$O$479=""),"",IF(Registro_Compras!$F$479="NOTA DE CREDITO",IF(Registro_Compras!$K$479=0,"","40111"),"4212"))</f>
        <v/>
      </c>
      <c r="D4282">
        <f>IF(OR(Registro_Compras!$C$479="",Registro_Compras!$O$479=""),"",IF(Registro_Compras!$F$479="NOTA DE CREDITO","IGV - Cuenta Propia (Credito Fiscal)","Cuentas por Pagar Comerciales - Terceros (Emitidas)"))</f>
        <v/>
      </c>
      <c r="E4282" s="20">
        <f>""</f>
        <v/>
      </c>
      <c r="F4282" s="20">
        <f>IF($C4282="","",IF(Registro_Compras!$F$479="NOTA DE CREDITO",ROUND(ABS(Registro_Compras!$K$479*Registro_Compras!$N$479),2),IF(Registro_Compras!$F$479="RHE",(ROUND(Registro_Compras!$L$479*Registro_Compras!$N$479,2)-ROUND(Registro_Compras!$V$479*Registro_Compras!$N$479,2)),Registro_Compras!$O$479)))</f>
        <v/>
      </c>
      <c r="G4282">
        <f>IF($C4282="","",IF(Registro_Compras!$F$479="NOTA DE CREDITO","Por la nota de credito "&amp;Registro_Compras!$C$479&amp;" de "&amp;Registro_Compras!$E$479&amp;" [PATRON POR CONFIRMAR CON CONTADOR]",IF(Registro_Compras!$F$479="RHE","Por el registro del recibo por honorarios "&amp;Registro_Compras!$C$479&amp;" de "&amp;Registro_Compras!$E$479&amp;" [PATRON POR CONFIRMAR CON CONTADOR]","Por el registro de la factura "&amp;Registro_Compras!$C$479&amp;" de "&amp;Registro_Compras!$E$479)))</f>
        <v/>
      </c>
      <c r="H4282">
        <f>IF($C4282="","",Registro_Compras!$C$479)</f>
        <v/>
      </c>
    </row>
    <row r="4283">
      <c r="A4283" s="25">
        <f>IF($C4283="","",Registro_Compras!$B$479)</f>
        <v/>
      </c>
      <c r="B4283">
        <f>IF($C4283="","","C"&amp;TEXT(INT((ROW()-5)/9)+1,"000")&amp;"-2")</f>
        <v/>
      </c>
      <c r="C4283">
        <f>IF(OR(Registro_Compras!$C$479="",Registro_Compras!$O$479=""),"",IF(Registro_Compras!$AB$479="ADMINISTRATIVO","94","95"))</f>
        <v/>
      </c>
      <c r="D4283">
        <f>IF(OR(Registro_Compras!$C$479="",Registro_Compras!$O$479=""),"",IF(Registro_Compras!$AB$479="ADMINISTRATIVO","Gastos Administrativos","Gastos de Venta y Operacion"))</f>
        <v/>
      </c>
      <c r="E4283" s="20">
        <f>IF($C4283="","",IF(Registro_Compras!$F$479="NOTA DE CREDITO","",IF(Registro_Compras!$F$479="RHE",ROUND(Registro_Compras!$L$479*Registro_Compras!$N$479,2),ROUND(Registro_Compras!$J$479*Registro_Compras!$N$479,2))))</f>
        <v/>
      </c>
      <c r="F4283" s="20">
        <f>IF($C4283="","",IF(Registro_Compras!$F$479="NOTA DE CREDITO",ROUND(ABS(Registro_Compras!$J$479*Registro_Compras!$N$479),2),""))</f>
        <v/>
      </c>
      <c r="G4283">
        <f>IF($C4283="","","Por el destino del gasto")</f>
        <v/>
      </c>
      <c r="H4283">
        <f>IF($C4283="","",Registro_Compras!$C$479)</f>
        <v/>
      </c>
    </row>
    <row r="4284">
      <c r="A4284" s="25">
        <f>IF($C4284="","",Registro_Compras!$B$479)</f>
        <v/>
      </c>
      <c r="B4284">
        <f>IF($C4284="","","C"&amp;TEXT(INT((ROW()-5)/9)+1,"000")&amp;"-2")</f>
        <v/>
      </c>
      <c r="C4284">
        <f>IF(OR(Registro_Compras!$C$479="",Registro_Compras!$O$479=""),"","79/791")</f>
        <v/>
      </c>
      <c r="D4284">
        <f>IF(OR(Registro_Compras!$C$479="",Registro_Compras!$O$479=""),"","Cargas Imputables a Cuentas de Costos y Gastos")</f>
        <v/>
      </c>
      <c r="E4284" s="20">
        <f>IF($C4284="","",IF(Registro_Compras!$F$479="NOTA DE CREDITO",ROUND(ABS(Registro_Compras!$J$479*Registro_Compras!$N$479),2),""))</f>
        <v/>
      </c>
      <c r="F4284" s="20">
        <f>IF($C4284="","",IF(Registro_Compras!$F$479="NOTA DE CREDITO","",IF(Registro_Compras!$F$479="RHE",ROUND(Registro_Compras!$L$479*Registro_Compras!$N$479,2),ROUND(Registro_Compras!$J$479*Registro_Compras!$N$479,2))))</f>
        <v/>
      </c>
      <c r="G4284">
        <f>IF($C4284="","","Por el destino del gasto")</f>
        <v/>
      </c>
      <c r="H4284">
        <f>IF($C4284="","",Registro_Compras!$C$479)</f>
        <v/>
      </c>
    </row>
    <row r="4285">
      <c r="A4285" s="25">
        <f>IF($C4285="","",Registro_Compras!$X$479)</f>
        <v/>
      </c>
      <c r="B4285">
        <f>IF($C4285="","","C"&amp;TEXT(INT((ROW()-5)/9)+1,"000")&amp;"-3")</f>
        <v/>
      </c>
      <c r="C4285">
        <f>IF(OR(Registro_Compras!$C$479="",Registro_Compras!$O$479="",Registro_Compras!$R$479&lt;&gt;"SI",Registro_Compras!$X$479=""),"","4212")</f>
        <v/>
      </c>
      <c r="D4285">
        <f>IF(OR(Registro_Compras!$C$479="",Registro_Compras!$O$479=""),"","Cuentas por Pagar Comerciales - Terceros")</f>
        <v/>
      </c>
      <c r="E4285" s="20">
        <f>IF($C4285="","",Registro_Compras!$S$479)</f>
        <v/>
      </c>
      <c r="F4285" s="20">
        <f>""</f>
        <v/>
      </c>
      <c r="G4285">
        <f>IF($C4285="","","Por el deposito de la detraccion en el Banco de la Nacion")</f>
        <v/>
      </c>
      <c r="H4285">
        <f>IF($C4285="","",Registro_Compras!$C$479)</f>
        <v/>
      </c>
    </row>
    <row r="4286">
      <c r="A4286" s="25">
        <f>IF($C4286="","",Registro_Compras!$X$479)</f>
        <v/>
      </c>
      <c r="B4286">
        <f>IF($C4286="","","C"&amp;TEXT(INT((ROW()-5)/9)+1,"000")&amp;"-3")</f>
        <v/>
      </c>
      <c r="C4286">
        <f>IF(OR(Registro_Compras!$C$479="",Registro_Compras!$O$479="",Registro_Compras!$R$479&lt;&gt;"SI",Registro_Compras!$X$479=""),"","10413")</f>
        <v/>
      </c>
      <c r="D4286">
        <f>IF(OR(Registro_Compras!$C$479="",Registro_Compras!$O$479=""),"","Efectivo y Equivalentes - Cta. Cte. Operativa")</f>
        <v/>
      </c>
      <c r="E4286" s="20">
        <f>""</f>
        <v/>
      </c>
      <c r="F4286" s="20">
        <f>IF($C4286="","",Registro_Compras!$S$479)</f>
        <v/>
      </c>
      <c r="G4286">
        <f>IF($C4286="","","Por el deposito de la detraccion en el Banco de la Nacion")</f>
        <v/>
      </c>
      <c r="H4286">
        <f>IF($C4286="","",Registro_Compras!$C$479)</f>
        <v/>
      </c>
    </row>
    <row r="4287">
      <c r="A4287" s="25">
        <f>IF($C4287="","",Registro_Compras!$Y$479)</f>
        <v/>
      </c>
      <c r="B4287">
        <f>IF($C4287="","","C"&amp;TEXT(INT((ROW()-5)/9)+1,"000")&amp;"-4")</f>
        <v/>
      </c>
      <c r="C4287">
        <f>IF(OR(Registro_Compras!$C$479="",Registro_Compras!$O$479="",Registro_Compras!$Y$479="",Registro_Compras!$F$479="NOTA DE CREDITO"),"","4212")</f>
        <v/>
      </c>
      <c r="D4287">
        <f>IF(OR(Registro_Compras!$C$479="",Registro_Compras!$O$479=""),"","Cuentas por Pagar Comerciales - Terceros")</f>
        <v/>
      </c>
      <c r="E4287" s="20">
        <f>IF($C4287="","",IF(Registro_Compras!$F$479="RHE",(ROUND(Registro_Compras!$L$479*Registro_Compras!$N$479,2)-ROUND(Registro_Compras!$V$479*Registro_Compras!$N$479,2)),ROUND(Registro_Compras!$O$479-Registro_Compras!$S$479,2)))</f>
        <v/>
      </c>
      <c r="F4287" s="20">
        <f>""</f>
        <v/>
      </c>
      <c r="G4287">
        <f>IF($C4287="","","Por la cancelacion del saldo al proveedor")</f>
        <v/>
      </c>
      <c r="H4287">
        <f>IF($C4287="","",Registro_Compras!$C$479)</f>
        <v/>
      </c>
    </row>
    <row r="4288">
      <c r="A4288" s="25">
        <f>IF($C4288="","",Registro_Compras!$Y$479)</f>
        <v/>
      </c>
      <c r="B4288">
        <f>IF($C4288="","","C"&amp;TEXT(INT((ROW()-5)/9)+1,"000")&amp;"-4")</f>
        <v/>
      </c>
      <c r="C4288">
        <f>IF(OR(Registro_Compras!$C$479="",Registro_Compras!$O$479="",Registro_Compras!$Y$479="",Registro_Compras!$F$479="NOTA DE CREDITO"),"","10413")</f>
        <v/>
      </c>
      <c r="D4288">
        <f>IF(OR(Registro_Compras!$C$479="",Registro_Compras!$O$479=""),"","Efectivo y Equivalentes - Cta. Cte. Operativa")</f>
        <v/>
      </c>
      <c r="E4288" s="20">
        <f>""</f>
        <v/>
      </c>
      <c r="F4288" s="20">
        <f>IF($C4288="","",IF(Registro_Compras!$F$479="RHE",(ROUND(Registro_Compras!$L$479*Registro_Compras!$N$479,2)-ROUND(Registro_Compras!$V$479*Registro_Compras!$N$479,2)),ROUND(Registro_Compras!$O$479-Registro_Compras!$S$479,2)))</f>
        <v/>
      </c>
      <c r="G4288">
        <f>IF($C4288="","","Por la cancelacion del saldo al proveedor")</f>
        <v/>
      </c>
      <c r="H4288">
        <f>IF($C4288="","",Registro_Compras!$C$479)</f>
        <v/>
      </c>
    </row>
    <row r="4289">
      <c r="A4289" s="25">
        <f>IF($C4289="","",Registro_Compras!$B$480)</f>
        <v/>
      </c>
      <c r="B4289">
        <f>IF($C4289="","","C"&amp;TEXT(INT((ROW()-5)/9)+1,"000")&amp;"-1")</f>
        <v/>
      </c>
      <c r="C4289">
        <f>IF(OR(Registro_Compras!$C$480="",Registro_Compras!$O$480=""),"",IF(Registro_Compras!$F$480="NOTA DE CREDITO","4212",IF(Registro_Compras!$M$480="","63",Registro_Compras!$M$480)))</f>
        <v/>
      </c>
      <c r="D4289">
        <f>IF(OR(Registro_Compras!$C$480="",Registro_Compras!$O$480=""),"",IF(Registro_Compras!$F$480="NOTA DE CREDITO","Cuentas por Pagar Comerciales - Terceros (Emitidas)",IF(Registro_Compras!$F$480="RHE","Honorarios Profesionales - Servicios de Terceros","Gastos de Servicios Prestados por Terceros")))</f>
        <v/>
      </c>
      <c r="E4289" s="20">
        <f>IF($C4289="","",IF(Registro_Compras!$F$480="NOTA DE CREDITO",ABS(Registro_Compras!$O$480),IF(Registro_Compras!$F$480="RHE",ROUND(Registro_Compras!$L$480*Registro_Compras!$N$480,2),ROUND(Registro_Compras!$J$480*Registro_Compras!$N$480,2))))</f>
        <v/>
      </c>
      <c r="F4289" s="20">
        <f>""</f>
        <v/>
      </c>
      <c r="G4289">
        <f>IF($C4289="","",IF(Registro_Compras!$F$480="NOTA DE CREDITO","Por la nota de credito "&amp;Registro_Compras!$C$480&amp;" de "&amp;Registro_Compras!$E$480&amp;" [PATRON POR CONFIRMAR CON CONTADOR]",IF(Registro_Compras!$F$480="RHE","Por el registro del recibo por honorarios "&amp;Registro_Compras!$C$480&amp;" de "&amp;Registro_Compras!$E$480&amp;" [PATRON POR CONFIRMAR CON CONTADOR]","Por el registro de la factura "&amp;Registro_Compras!$C$480&amp;" de "&amp;Registro_Compras!$E$480)))</f>
        <v/>
      </c>
      <c r="H4289">
        <f>IF($C4289="","",Registro_Compras!$C$480)</f>
        <v/>
      </c>
    </row>
    <row r="4290">
      <c r="A4290" s="25">
        <f>IF($C4290="","",Registro_Compras!$B$480)</f>
        <v/>
      </c>
      <c r="B4290">
        <f>IF($C4290="","","C"&amp;TEXT(INT((ROW()-5)/9)+1,"000")&amp;"-1")</f>
        <v/>
      </c>
      <c r="C4290">
        <f>IF(OR(Registro_Compras!$C$480="",Registro_Compras!$O$480=""),"",IF(Registro_Compras!$F$480="RHE",IF(Registro_Compras!$V$480=0,"","40172"),IF(Registro_Compras!$F$480="NOTA DE CREDITO",IF(Registro_Compras!$M$480="","63",Registro_Compras!$M$480),IF(Registro_Compras!$K$480=0,"","40111"))))</f>
        <v/>
      </c>
      <c r="D4290">
        <f>IF(OR(Registro_Compras!$C$480="",Registro_Compras!$O$480=""),"",IF(Registro_Compras!$F$480="RHE","Retencion Renta 4ta Categoria por Pagar",IF(Registro_Compras!$F$480="NOTA DE CREDITO","Gastos de Servicios Prestados por Terceros","IGV - Cuenta Propia (Credito Fiscal)")))</f>
        <v/>
      </c>
      <c r="E4290" s="20">
        <f>IF($C4290="","",IF(Registro_Compras!$F$480="FACTURA",ROUND(Registro_Compras!$K$480*Registro_Compras!$N$480,2),""))</f>
        <v/>
      </c>
      <c r="F4290" s="20">
        <f>IF($C4290="","",IF(Registro_Compras!$F$480="RHE",ROUND(Registro_Compras!$V$480*Registro_Compras!$N$480,2),IF(Registro_Compras!$F$480="NOTA DE CREDITO",ROUND(ABS(Registro_Compras!$J$480*Registro_Compras!$N$480),2),"")))</f>
        <v/>
      </c>
      <c r="G4290">
        <f>IF($C4290="","",IF(Registro_Compras!$F$480="NOTA DE CREDITO","Por la nota de credito "&amp;Registro_Compras!$C$480&amp;" de "&amp;Registro_Compras!$E$480&amp;" [PATRON POR CONFIRMAR CON CONTADOR]",IF(Registro_Compras!$F$480="RHE","Por el registro del recibo por honorarios "&amp;Registro_Compras!$C$480&amp;" de "&amp;Registro_Compras!$E$480&amp;" [PATRON POR CONFIRMAR CON CONTADOR]","Por el registro de la factura "&amp;Registro_Compras!$C$480&amp;" de "&amp;Registro_Compras!$E$480)))</f>
        <v/>
      </c>
      <c r="H4290">
        <f>IF($C4290="","",Registro_Compras!$C$480)</f>
        <v/>
      </c>
    </row>
    <row r="4291">
      <c r="A4291" s="25">
        <f>IF($C4291="","",Registro_Compras!$B$480)</f>
        <v/>
      </c>
      <c r="B4291">
        <f>IF($C4291="","","C"&amp;TEXT(INT((ROW()-5)/9)+1,"000")&amp;"-1")</f>
        <v/>
      </c>
      <c r="C4291">
        <f>IF(OR(Registro_Compras!$C$480="",Registro_Compras!$O$480=""),"",IF(Registro_Compras!$F$480="NOTA DE CREDITO",IF(Registro_Compras!$K$480=0,"","40111"),"4212"))</f>
        <v/>
      </c>
      <c r="D4291">
        <f>IF(OR(Registro_Compras!$C$480="",Registro_Compras!$O$480=""),"",IF(Registro_Compras!$F$480="NOTA DE CREDITO","IGV - Cuenta Propia (Credito Fiscal)","Cuentas por Pagar Comerciales - Terceros (Emitidas)"))</f>
        <v/>
      </c>
      <c r="E4291" s="20">
        <f>""</f>
        <v/>
      </c>
      <c r="F4291" s="20">
        <f>IF($C4291="","",IF(Registro_Compras!$F$480="NOTA DE CREDITO",ROUND(ABS(Registro_Compras!$K$480*Registro_Compras!$N$480),2),IF(Registro_Compras!$F$480="RHE",(ROUND(Registro_Compras!$L$480*Registro_Compras!$N$480,2)-ROUND(Registro_Compras!$V$480*Registro_Compras!$N$480,2)),Registro_Compras!$O$480)))</f>
        <v/>
      </c>
      <c r="G4291">
        <f>IF($C4291="","",IF(Registro_Compras!$F$480="NOTA DE CREDITO","Por la nota de credito "&amp;Registro_Compras!$C$480&amp;" de "&amp;Registro_Compras!$E$480&amp;" [PATRON POR CONFIRMAR CON CONTADOR]",IF(Registro_Compras!$F$480="RHE","Por el registro del recibo por honorarios "&amp;Registro_Compras!$C$480&amp;" de "&amp;Registro_Compras!$E$480&amp;" [PATRON POR CONFIRMAR CON CONTADOR]","Por el registro de la factura "&amp;Registro_Compras!$C$480&amp;" de "&amp;Registro_Compras!$E$480)))</f>
        <v/>
      </c>
      <c r="H4291">
        <f>IF($C4291="","",Registro_Compras!$C$480)</f>
        <v/>
      </c>
    </row>
    <row r="4292">
      <c r="A4292" s="25">
        <f>IF($C4292="","",Registro_Compras!$B$480)</f>
        <v/>
      </c>
      <c r="B4292">
        <f>IF($C4292="","","C"&amp;TEXT(INT((ROW()-5)/9)+1,"000")&amp;"-2")</f>
        <v/>
      </c>
      <c r="C4292">
        <f>IF(OR(Registro_Compras!$C$480="",Registro_Compras!$O$480=""),"",IF(Registro_Compras!$AB$480="ADMINISTRATIVO","94","95"))</f>
        <v/>
      </c>
      <c r="D4292">
        <f>IF(OR(Registro_Compras!$C$480="",Registro_Compras!$O$480=""),"",IF(Registro_Compras!$AB$480="ADMINISTRATIVO","Gastos Administrativos","Gastos de Venta y Operacion"))</f>
        <v/>
      </c>
      <c r="E4292" s="20">
        <f>IF($C4292="","",IF(Registro_Compras!$F$480="NOTA DE CREDITO","",IF(Registro_Compras!$F$480="RHE",ROUND(Registro_Compras!$L$480*Registro_Compras!$N$480,2),ROUND(Registro_Compras!$J$480*Registro_Compras!$N$480,2))))</f>
        <v/>
      </c>
      <c r="F4292" s="20">
        <f>IF($C4292="","",IF(Registro_Compras!$F$480="NOTA DE CREDITO",ROUND(ABS(Registro_Compras!$J$480*Registro_Compras!$N$480),2),""))</f>
        <v/>
      </c>
      <c r="G4292">
        <f>IF($C4292="","","Por el destino del gasto")</f>
        <v/>
      </c>
      <c r="H4292">
        <f>IF($C4292="","",Registro_Compras!$C$480)</f>
        <v/>
      </c>
    </row>
    <row r="4293">
      <c r="A4293" s="25">
        <f>IF($C4293="","",Registro_Compras!$B$480)</f>
        <v/>
      </c>
      <c r="B4293">
        <f>IF($C4293="","","C"&amp;TEXT(INT((ROW()-5)/9)+1,"000")&amp;"-2")</f>
        <v/>
      </c>
      <c r="C4293">
        <f>IF(OR(Registro_Compras!$C$480="",Registro_Compras!$O$480=""),"","79/791")</f>
        <v/>
      </c>
      <c r="D4293">
        <f>IF(OR(Registro_Compras!$C$480="",Registro_Compras!$O$480=""),"","Cargas Imputables a Cuentas de Costos y Gastos")</f>
        <v/>
      </c>
      <c r="E4293" s="20">
        <f>IF($C4293="","",IF(Registro_Compras!$F$480="NOTA DE CREDITO",ROUND(ABS(Registro_Compras!$J$480*Registro_Compras!$N$480),2),""))</f>
        <v/>
      </c>
      <c r="F4293" s="20">
        <f>IF($C4293="","",IF(Registro_Compras!$F$480="NOTA DE CREDITO","",IF(Registro_Compras!$F$480="RHE",ROUND(Registro_Compras!$L$480*Registro_Compras!$N$480,2),ROUND(Registro_Compras!$J$480*Registro_Compras!$N$480,2))))</f>
        <v/>
      </c>
      <c r="G4293">
        <f>IF($C4293="","","Por el destino del gasto")</f>
        <v/>
      </c>
      <c r="H4293">
        <f>IF($C4293="","",Registro_Compras!$C$480)</f>
        <v/>
      </c>
    </row>
    <row r="4294">
      <c r="A4294" s="25">
        <f>IF($C4294="","",Registro_Compras!$X$480)</f>
        <v/>
      </c>
      <c r="B4294">
        <f>IF($C4294="","","C"&amp;TEXT(INT((ROW()-5)/9)+1,"000")&amp;"-3")</f>
        <v/>
      </c>
      <c r="C4294">
        <f>IF(OR(Registro_Compras!$C$480="",Registro_Compras!$O$480="",Registro_Compras!$R$480&lt;&gt;"SI",Registro_Compras!$X$480=""),"","4212")</f>
        <v/>
      </c>
      <c r="D4294">
        <f>IF(OR(Registro_Compras!$C$480="",Registro_Compras!$O$480=""),"","Cuentas por Pagar Comerciales - Terceros")</f>
        <v/>
      </c>
      <c r="E4294" s="20">
        <f>IF($C4294="","",Registro_Compras!$S$480)</f>
        <v/>
      </c>
      <c r="F4294" s="20">
        <f>""</f>
        <v/>
      </c>
      <c r="G4294">
        <f>IF($C4294="","","Por el deposito de la detraccion en el Banco de la Nacion")</f>
        <v/>
      </c>
      <c r="H4294">
        <f>IF($C4294="","",Registro_Compras!$C$480)</f>
        <v/>
      </c>
    </row>
    <row r="4295">
      <c r="A4295" s="25">
        <f>IF($C4295="","",Registro_Compras!$X$480)</f>
        <v/>
      </c>
      <c r="B4295">
        <f>IF($C4295="","","C"&amp;TEXT(INT((ROW()-5)/9)+1,"000")&amp;"-3")</f>
        <v/>
      </c>
      <c r="C4295">
        <f>IF(OR(Registro_Compras!$C$480="",Registro_Compras!$O$480="",Registro_Compras!$R$480&lt;&gt;"SI",Registro_Compras!$X$480=""),"","10413")</f>
        <v/>
      </c>
      <c r="D4295">
        <f>IF(OR(Registro_Compras!$C$480="",Registro_Compras!$O$480=""),"","Efectivo y Equivalentes - Cta. Cte. Operativa")</f>
        <v/>
      </c>
      <c r="E4295" s="20">
        <f>""</f>
        <v/>
      </c>
      <c r="F4295" s="20">
        <f>IF($C4295="","",Registro_Compras!$S$480)</f>
        <v/>
      </c>
      <c r="G4295">
        <f>IF($C4295="","","Por el deposito de la detraccion en el Banco de la Nacion")</f>
        <v/>
      </c>
      <c r="H4295">
        <f>IF($C4295="","",Registro_Compras!$C$480)</f>
        <v/>
      </c>
    </row>
    <row r="4296">
      <c r="A4296" s="25">
        <f>IF($C4296="","",Registro_Compras!$Y$480)</f>
        <v/>
      </c>
      <c r="B4296">
        <f>IF($C4296="","","C"&amp;TEXT(INT((ROW()-5)/9)+1,"000")&amp;"-4")</f>
        <v/>
      </c>
      <c r="C4296">
        <f>IF(OR(Registro_Compras!$C$480="",Registro_Compras!$O$480="",Registro_Compras!$Y$480="",Registro_Compras!$F$480="NOTA DE CREDITO"),"","4212")</f>
        <v/>
      </c>
      <c r="D4296">
        <f>IF(OR(Registro_Compras!$C$480="",Registro_Compras!$O$480=""),"","Cuentas por Pagar Comerciales - Terceros")</f>
        <v/>
      </c>
      <c r="E4296" s="20">
        <f>IF($C4296="","",IF(Registro_Compras!$F$480="RHE",(ROUND(Registro_Compras!$L$480*Registro_Compras!$N$480,2)-ROUND(Registro_Compras!$V$480*Registro_Compras!$N$480,2)),ROUND(Registro_Compras!$O$480-Registro_Compras!$S$480,2)))</f>
        <v/>
      </c>
      <c r="F4296" s="20">
        <f>""</f>
        <v/>
      </c>
      <c r="G4296">
        <f>IF($C4296="","","Por la cancelacion del saldo al proveedor")</f>
        <v/>
      </c>
      <c r="H4296">
        <f>IF($C4296="","",Registro_Compras!$C$480)</f>
        <v/>
      </c>
    </row>
    <row r="4297">
      <c r="A4297" s="25">
        <f>IF($C4297="","",Registro_Compras!$Y$480)</f>
        <v/>
      </c>
      <c r="B4297">
        <f>IF($C4297="","","C"&amp;TEXT(INT((ROW()-5)/9)+1,"000")&amp;"-4")</f>
        <v/>
      </c>
      <c r="C4297">
        <f>IF(OR(Registro_Compras!$C$480="",Registro_Compras!$O$480="",Registro_Compras!$Y$480="",Registro_Compras!$F$480="NOTA DE CREDITO"),"","10413")</f>
        <v/>
      </c>
      <c r="D4297">
        <f>IF(OR(Registro_Compras!$C$480="",Registro_Compras!$O$480=""),"","Efectivo y Equivalentes - Cta. Cte. Operativa")</f>
        <v/>
      </c>
      <c r="E4297" s="20">
        <f>""</f>
        <v/>
      </c>
      <c r="F4297" s="20">
        <f>IF($C4297="","",IF(Registro_Compras!$F$480="RHE",(ROUND(Registro_Compras!$L$480*Registro_Compras!$N$480,2)-ROUND(Registro_Compras!$V$480*Registro_Compras!$N$480,2)),ROUND(Registro_Compras!$O$480-Registro_Compras!$S$480,2)))</f>
        <v/>
      </c>
      <c r="G4297">
        <f>IF($C4297="","","Por la cancelacion del saldo al proveedor")</f>
        <v/>
      </c>
      <c r="H4297">
        <f>IF($C4297="","",Registro_Compras!$C$480)</f>
        <v/>
      </c>
    </row>
    <row r="4298">
      <c r="A4298" s="25">
        <f>IF($C4298="","",Registro_Compras!$B$481)</f>
        <v/>
      </c>
      <c r="B4298">
        <f>IF($C4298="","","C"&amp;TEXT(INT((ROW()-5)/9)+1,"000")&amp;"-1")</f>
        <v/>
      </c>
      <c r="C4298">
        <f>IF(OR(Registro_Compras!$C$481="",Registro_Compras!$O$481=""),"",IF(Registro_Compras!$F$481="NOTA DE CREDITO","4212",IF(Registro_Compras!$M$481="","63",Registro_Compras!$M$481)))</f>
        <v/>
      </c>
      <c r="D4298">
        <f>IF(OR(Registro_Compras!$C$481="",Registro_Compras!$O$481=""),"",IF(Registro_Compras!$F$481="NOTA DE CREDITO","Cuentas por Pagar Comerciales - Terceros (Emitidas)",IF(Registro_Compras!$F$481="RHE","Honorarios Profesionales - Servicios de Terceros","Gastos de Servicios Prestados por Terceros")))</f>
        <v/>
      </c>
      <c r="E4298" s="20">
        <f>IF($C4298="","",IF(Registro_Compras!$F$481="NOTA DE CREDITO",ABS(Registro_Compras!$O$481),IF(Registro_Compras!$F$481="RHE",ROUND(Registro_Compras!$L$481*Registro_Compras!$N$481,2),ROUND(Registro_Compras!$J$481*Registro_Compras!$N$481,2))))</f>
        <v/>
      </c>
      <c r="F4298" s="20">
        <f>""</f>
        <v/>
      </c>
      <c r="G4298">
        <f>IF($C4298="","",IF(Registro_Compras!$F$481="NOTA DE CREDITO","Por la nota de credito "&amp;Registro_Compras!$C$481&amp;" de "&amp;Registro_Compras!$E$481&amp;" [PATRON POR CONFIRMAR CON CONTADOR]",IF(Registro_Compras!$F$481="RHE","Por el registro del recibo por honorarios "&amp;Registro_Compras!$C$481&amp;" de "&amp;Registro_Compras!$E$481&amp;" [PATRON POR CONFIRMAR CON CONTADOR]","Por el registro de la factura "&amp;Registro_Compras!$C$481&amp;" de "&amp;Registro_Compras!$E$481)))</f>
        <v/>
      </c>
      <c r="H4298">
        <f>IF($C4298="","",Registro_Compras!$C$481)</f>
        <v/>
      </c>
    </row>
    <row r="4299">
      <c r="A4299" s="25">
        <f>IF($C4299="","",Registro_Compras!$B$481)</f>
        <v/>
      </c>
      <c r="B4299">
        <f>IF($C4299="","","C"&amp;TEXT(INT((ROW()-5)/9)+1,"000")&amp;"-1")</f>
        <v/>
      </c>
      <c r="C4299">
        <f>IF(OR(Registro_Compras!$C$481="",Registro_Compras!$O$481=""),"",IF(Registro_Compras!$F$481="RHE",IF(Registro_Compras!$V$481=0,"","40172"),IF(Registro_Compras!$F$481="NOTA DE CREDITO",IF(Registro_Compras!$M$481="","63",Registro_Compras!$M$481),IF(Registro_Compras!$K$481=0,"","40111"))))</f>
        <v/>
      </c>
      <c r="D4299">
        <f>IF(OR(Registro_Compras!$C$481="",Registro_Compras!$O$481=""),"",IF(Registro_Compras!$F$481="RHE","Retencion Renta 4ta Categoria por Pagar",IF(Registro_Compras!$F$481="NOTA DE CREDITO","Gastos de Servicios Prestados por Terceros","IGV - Cuenta Propia (Credito Fiscal)")))</f>
        <v/>
      </c>
      <c r="E4299" s="20">
        <f>IF($C4299="","",IF(Registro_Compras!$F$481="FACTURA",ROUND(Registro_Compras!$K$481*Registro_Compras!$N$481,2),""))</f>
        <v/>
      </c>
      <c r="F4299" s="20">
        <f>IF($C4299="","",IF(Registro_Compras!$F$481="RHE",ROUND(Registro_Compras!$V$481*Registro_Compras!$N$481,2),IF(Registro_Compras!$F$481="NOTA DE CREDITO",ROUND(ABS(Registro_Compras!$J$481*Registro_Compras!$N$481),2),"")))</f>
        <v/>
      </c>
      <c r="G4299">
        <f>IF($C4299="","",IF(Registro_Compras!$F$481="NOTA DE CREDITO","Por la nota de credito "&amp;Registro_Compras!$C$481&amp;" de "&amp;Registro_Compras!$E$481&amp;" [PATRON POR CONFIRMAR CON CONTADOR]",IF(Registro_Compras!$F$481="RHE","Por el registro del recibo por honorarios "&amp;Registro_Compras!$C$481&amp;" de "&amp;Registro_Compras!$E$481&amp;" [PATRON POR CONFIRMAR CON CONTADOR]","Por el registro de la factura "&amp;Registro_Compras!$C$481&amp;" de "&amp;Registro_Compras!$E$481)))</f>
        <v/>
      </c>
      <c r="H4299">
        <f>IF($C4299="","",Registro_Compras!$C$481)</f>
        <v/>
      </c>
    </row>
    <row r="4300">
      <c r="A4300" s="25">
        <f>IF($C4300="","",Registro_Compras!$B$481)</f>
        <v/>
      </c>
      <c r="B4300">
        <f>IF($C4300="","","C"&amp;TEXT(INT((ROW()-5)/9)+1,"000")&amp;"-1")</f>
        <v/>
      </c>
      <c r="C4300">
        <f>IF(OR(Registro_Compras!$C$481="",Registro_Compras!$O$481=""),"",IF(Registro_Compras!$F$481="NOTA DE CREDITO",IF(Registro_Compras!$K$481=0,"","40111"),"4212"))</f>
        <v/>
      </c>
      <c r="D4300">
        <f>IF(OR(Registro_Compras!$C$481="",Registro_Compras!$O$481=""),"",IF(Registro_Compras!$F$481="NOTA DE CREDITO","IGV - Cuenta Propia (Credito Fiscal)","Cuentas por Pagar Comerciales - Terceros (Emitidas)"))</f>
        <v/>
      </c>
      <c r="E4300" s="20">
        <f>""</f>
        <v/>
      </c>
      <c r="F4300" s="20">
        <f>IF($C4300="","",IF(Registro_Compras!$F$481="NOTA DE CREDITO",ROUND(ABS(Registro_Compras!$K$481*Registro_Compras!$N$481),2),IF(Registro_Compras!$F$481="RHE",(ROUND(Registro_Compras!$L$481*Registro_Compras!$N$481,2)-ROUND(Registro_Compras!$V$481*Registro_Compras!$N$481,2)),Registro_Compras!$O$481)))</f>
        <v/>
      </c>
      <c r="G4300">
        <f>IF($C4300="","",IF(Registro_Compras!$F$481="NOTA DE CREDITO","Por la nota de credito "&amp;Registro_Compras!$C$481&amp;" de "&amp;Registro_Compras!$E$481&amp;" [PATRON POR CONFIRMAR CON CONTADOR]",IF(Registro_Compras!$F$481="RHE","Por el registro del recibo por honorarios "&amp;Registro_Compras!$C$481&amp;" de "&amp;Registro_Compras!$E$481&amp;" [PATRON POR CONFIRMAR CON CONTADOR]","Por el registro de la factura "&amp;Registro_Compras!$C$481&amp;" de "&amp;Registro_Compras!$E$481)))</f>
        <v/>
      </c>
      <c r="H4300">
        <f>IF($C4300="","",Registro_Compras!$C$481)</f>
        <v/>
      </c>
    </row>
    <row r="4301">
      <c r="A4301" s="25">
        <f>IF($C4301="","",Registro_Compras!$B$481)</f>
        <v/>
      </c>
      <c r="B4301">
        <f>IF($C4301="","","C"&amp;TEXT(INT((ROW()-5)/9)+1,"000")&amp;"-2")</f>
        <v/>
      </c>
      <c r="C4301">
        <f>IF(OR(Registro_Compras!$C$481="",Registro_Compras!$O$481=""),"",IF(Registro_Compras!$AB$481="ADMINISTRATIVO","94","95"))</f>
        <v/>
      </c>
      <c r="D4301">
        <f>IF(OR(Registro_Compras!$C$481="",Registro_Compras!$O$481=""),"",IF(Registro_Compras!$AB$481="ADMINISTRATIVO","Gastos Administrativos","Gastos de Venta y Operacion"))</f>
        <v/>
      </c>
      <c r="E4301" s="20">
        <f>IF($C4301="","",IF(Registro_Compras!$F$481="NOTA DE CREDITO","",IF(Registro_Compras!$F$481="RHE",ROUND(Registro_Compras!$L$481*Registro_Compras!$N$481,2),ROUND(Registro_Compras!$J$481*Registro_Compras!$N$481,2))))</f>
        <v/>
      </c>
      <c r="F4301" s="20">
        <f>IF($C4301="","",IF(Registro_Compras!$F$481="NOTA DE CREDITO",ROUND(ABS(Registro_Compras!$J$481*Registro_Compras!$N$481),2),""))</f>
        <v/>
      </c>
      <c r="G4301">
        <f>IF($C4301="","","Por el destino del gasto")</f>
        <v/>
      </c>
      <c r="H4301">
        <f>IF($C4301="","",Registro_Compras!$C$481)</f>
        <v/>
      </c>
    </row>
    <row r="4302">
      <c r="A4302" s="25">
        <f>IF($C4302="","",Registro_Compras!$B$481)</f>
        <v/>
      </c>
      <c r="B4302">
        <f>IF($C4302="","","C"&amp;TEXT(INT((ROW()-5)/9)+1,"000")&amp;"-2")</f>
        <v/>
      </c>
      <c r="C4302">
        <f>IF(OR(Registro_Compras!$C$481="",Registro_Compras!$O$481=""),"","79/791")</f>
        <v/>
      </c>
      <c r="D4302">
        <f>IF(OR(Registro_Compras!$C$481="",Registro_Compras!$O$481=""),"","Cargas Imputables a Cuentas de Costos y Gastos")</f>
        <v/>
      </c>
      <c r="E4302" s="20">
        <f>IF($C4302="","",IF(Registro_Compras!$F$481="NOTA DE CREDITO",ROUND(ABS(Registro_Compras!$J$481*Registro_Compras!$N$481),2),""))</f>
        <v/>
      </c>
      <c r="F4302" s="20">
        <f>IF($C4302="","",IF(Registro_Compras!$F$481="NOTA DE CREDITO","",IF(Registro_Compras!$F$481="RHE",ROUND(Registro_Compras!$L$481*Registro_Compras!$N$481,2),ROUND(Registro_Compras!$J$481*Registro_Compras!$N$481,2))))</f>
        <v/>
      </c>
      <c r="G4302">
        <f>IF($C4302="","","Por el destino del gasto")</f>
        <v/>
      </c>
      <c r="H4302">
        <f>IF($C4302="","",Registro_Compras!$C$481)</f>
        <v/>
      </c>
    </row>
    <row r="4303">
      <c r="A4303" s="25">
        <f>IF($C4303="","",Registro_Compras!$X$481)</f>
        <v/>
      </c>
      <c r="B4303">
        <f>IF($C4303="","","C"&amp;TEXT(INT((ROW()-5)/9)+1,"000")&amp;"-3")</f>
        <v/>
      </c>
      <c r="C4303">
        <f>IF(OR(Registro_Compras!$C$481="",Registro_Compras!$O$481="",Registro_Compras!$R$481&lt;&gt;"SI",Registro_Compras!$X$481=""),"","4212")</f>
        <v/>
      </c>
      <c r="D4303">
        <f>IF(OR(Registro_Compras!$C$481="",Registro_Compras!$O$481=""),"","Cuentas por Pagar Comerciales - Terceros")</f>
        <v/>
      </c>
      <c r="E4303" s="20">
        <f>IF($C4303="","",Registro_Compras!$S$481)</f>
        <v/>
      </c>
      <c r="F4303" s="20">
        <f>""</f>
        <v/>
      </c>
      <c r="G4303">
        <f>IF($C4303="","","Por el deposito de la detraccion en el Banco de la Nacion")</f>
        <v/>
      </c>
      <c r="H4303">
        <f>IF($C4303="","",Registro_Compras!$C$481)</f>
        <v/>
      </c>
    </row>
    <row r="4304">
      <c r="A4304" s="25">
        <f>IF($C4304="","",Registro_Compras!$X$481)</f>
        <v/>
      </c>
      <c r="B4304">
        <f>IF($C4304="","","C"&amp;TEXT(INT((ROW()-5)/9)+1,"000")&amp;"-3")</f>
        <v/>
      </c>
      <c r="C4304">
        <f>IF(OR(Registro_Compras!$C$481="",Registro_Compras!$O$481="",Registro_Compras!$R$481&lt;&gt;"SI",Registro_Compras!$X$481=""),"","10413")</f>
        <v/>
      </c>
      <c r="D4304">
        <f>IF(OR(Registro_Compras!$C$481="",Registro_Compras!$O$481=""),"","Efectivo y Equivalentes - Cta. Cte. Operativa")</f>
        <v/>
      </c>
      <c r="E4304" s="20">
        <f>""</f>
        <v/>
      </c>
      <c r="F4304" s="20">
        <f>IF($C4304="","",Registro_Compras!$S$481)</f>
        <v/>
      </c>
      <c r="G4304">
        <f>IF($C4304="","","Por el deposito de la detraccion en el Banco de la Nacion")</f>
        <v/>
      </c>
      <c r="H4304">
        <f>IF($C4304="","",Registro_Compras!$C$481)</f>
        <v/>
      </c>
    </row>
    <row r="4305">
      <c r="A4305" s="25">
        <f>IF($C4305="","",Registro_Compras!$Y$481)</f>
        <v/>
      </c>
      <c r="B4305">
        <f>IF($C4305="","","C"&amp;TEXT(INT((ROW()-5)/9)+1,"000")&amp;"-4")</f>
        <v/>
      </c>
      <c r="C4305">
        <f>IF(OR(Registro_Compras!$C$481="",Registro_Compras!$O$481="",Registro_Compras!$Y$481="",Registro_Compras!$F$481="NOTA DE CREDITO"),"","4212")</f>
        <v/>
      </c>
      <c r="D4305">
        <f>IF(OR(Registro_Compras!$C$481="",Registro_Compras!$O$481=""),"","Cuentas por Pagar Comerciales - Terceros")</f>
        <v/>
      </c>
      <c r="E4305" s="20">
        <f>IF($C4305="","",IF(Registro_Compras!$F$481="RHE",(ROUND(Registro_Compras!$L$481*Registro_Compras!$N$481,2)-ROUND(Registro_Compras!$V$481*Registro_Compras!$N$481,2)),ROUND(Registro_Compras!$O$481-Registro_Compras!$S$481,2)))</f>
        <v/>
      </c>
      <c r="F4305" s="20">
        <f>""</f>
        <v/>
      </c>
      <c r="G4305">
        <f>IF($C4305="","","Por la cancelacion del saldo al proveedor")</f>
        <v/>
      </c>
      <c r="H4305">
        <f>IF($C4305="","",Registro_Compras!$C$481)</f>
        <v/>
      </c>
    </row>
    <row r="4306">
      <c r="A4306" s="25">
        <f>IF($C4306="","",Registro_Compras!$Y$481)</f>
        <v/>
      </c>
      <c r="B4306">
        <f>IF($C4306="","","C"&amp;TEXT(INT((ROW()-5)/9)+1,"000")&amp;"-4")</f>
        <v/>
      </c>
      <c r="C4306">
        <f>IF(OR(Registro_Compras!$C$481="",Registro_Compras!$O$481="",Registro_Compras!$Y$481="",Registro_Compras!$F$481="NOTA DE CREDITO"),"","10413")</f>
        <v/>
      </c>
      <c r="D4306">
        <f>IF(OR(Registro_Compras!$C$481="",Registro_Compras!$O$481=""),"","Efectivo y Equivalentes - Cta. Cte. Operativa")</f>
        <v/>
      </c>
      <c r="E4306" s="20">
        <f>""</f>
        <v/>
      </c>
      <c r="F4306" s="20">
        <f>IF($C4306="","",IF(Registro_Compras!$F$481="RHE",(ROUND(Registro_Compras!$L$481*Registro_Compras!$N$481,2)-ROUND(Registro_Compras!$V$481*Registro_Compras!$N$481,2)),ROUND(Registro_Compras!$O$481-Registro_Compras!$S$481,2)))</f>
        <v/>
      </c>
      <c r="G4306">
        <f>IF($C4306="","","Por la cancelacion del saldo al proveedor")</f>
        <v/>
      </c>
      <c r="H4306">
        <f>IF($C4306="","",Registro_Compras!$C$481)</f>
        <v/>
      </c>
    </row>
    <row r="4307">
      <c r="A4307" s="25">
        <f>IF($C4307="","",Registro_Compras!$B$482)</f>
        <v/>
      </c>
      <c r="B4307">
        <f>IF($C4307="","","C"&amp;TEXT(INT((ROW()-5)/9)+1,"000")&amp;"-1")</f>
        <v/>
      </c>
      <c r="C4307">
        <f>IF(OR(Registro_Compras!$C$482="",Registro_Compras!$O$482=""),"",IF(Registro_Compras!$F$482="NOTA DE CREDITO","4212",IF(Registro_Compras!$M$482="","63",Registro_Compras!$M$482)))</f>
        <v/>
      </c>
      <c r="D4307">
        <f>IF(OR(Registro_Compras!$C$482="",Registro_Compras!$O$482=""),"",IF(Registro_Compras!$F$482="NOTA DE CREDITO","Cuentas por Pagar Comerciales - Terceros (Emitidas)",IF(Registro_Compras!$F$482="RHE","Honorarios Profesionales - Servicios de Terceros","Gastos de Servicios Prestados por Terceros")))</f>
        <v/>
      </c>
      <c r="E4307" s="20">
        <f>IF($C4307="","",IF(Registro_Compras!$F$482="NOTA DE CREDITO",ABS(Registro_Compras!$O$482),IF(Registro_Compras!$F$482="RHE",ROUND(Registro_Compras!$L$482*Registro_Compras!$N$482,2),ROUND(Registro_Compras!$J$482*Registro_Compras!$N$482,2))))</f>
        <v/>
      </c>
      <c r="F4307" s="20">
        <f>""</f>
        <v/>
      </c>
      <c r="G4307">
        <f>IF($C4307="","",IF(Registro_Compras!$F$482="NOTA DE CREDITO","Por la nota de credito "&amp;Registro_Compras!$C$482&amp;" de "&amp;Registro_Compras!$E$482&amp;" [PATRON POR CONFIRMAR CON CONTADOR]",IF(Registro_Compras!$F$482="RHE","Por el registro del recibo por honorarios "&amp;Registro_Compras!$C$482&amp;" de "&amp;Registro_Compras!$E$482&amp;" [PATRON POR CONFIRMAR CON CONTADOR]","Por el registro de la factura "&amp;Registro_Compras!$C$482&amp;" de "&amp;Registro_Compras!$E$482)))</f>
        <v/>
      </c>
      <c r="H4307">
        <f>IF($C4307="","",Registro_Compras!$C$482)</f>
        <v/>
      </c>
    </row>
    <row r="4308">
      <c r="A4308" s="25">
        <f>IF($C4308="","",Registro_Compras!$B$482)</f>
        <v/>
      </c>
      <c r="B4308">
        <f>IF($C4308="","","C"&amp;TEXT(INT((ROW()-5)/9)+1,"000")&amp;"-1")</f>
        <v/>
      </c>
      <c r="C4308">
        <f>IF(OR(Registro_Compras!$C$482="",Registro_Compras!$O$482=""),"",IF(Registro_Compras!$F$482="RHE",IF(Registro_Compras!$V$482=0,"","40172"),IF(Registro_Compras!$F$482="NOTA DE CREDITO",IF(Registro_Compras!$M$482="","63",Registro_Compras!$M$482),IF(Registro_Compras!$K$482=0,"","40111"))))</f>
        <v/>
      </c>
      <c r="D4308">
        <f>IF(OR(Registro_Compras!$C$482="",Registro_Compras!$O$482=""),"",IF(Registro_Compras!$F$482="RHE","Retencion Renta 4ta Categoria por Pagar",IF(Registro_Compras!$F$482="NOTA DE CREDITO","Gastos de Servicios Prestados por Terceros","IGV - Cuenta Propia (Credito Fiscal)")))</f>
        <v/>
      </c>
      <c r="E4308" s="20">
        <f>IF($C4308="","",IF(Registro_Compras!$F$482="FACTURA",ROUND(Registro_Compras!$K$482*Registro_Compras!$N$482,2),""))</f>
        <v/>
      </c>
      <c r="F4308" s="20">
        <f>IF($C4308="","",IF(Registro_Compras!$F$482="RHE",ROUND(Registro_Compras!$V$482*Registro_Compras!$N$482,2),IF(Registro_Compras!$F$482="NOTA DE CREDITO",ROUND(ABS(Registro_Compras!$J$482*Registro_Compras!$N$482),2),"")))</f>
        <v/>
      </c>
      <c r="G4308">
        <f>IF($C4308="","",IF(Registro_Compras!$F$482="NOTA DE CREDITO","Por la nota de credito "&amp;Registro_Compras!$C$482&amp;" de "&amp;Registro_Compras!$E$482&amp;" [PATRON POR CONFIRMAR CON CONTADOR]",IF(Registro_Compras!$F$482="RHE","Por el registro del recibo por honorarios "&amp;Registro_Compras!$C$482&amp;" de "&amp;Registro_Compras!$E$482&amp;" [PATRON POR CONFIRMAR CON CONTADOR]","Por el registro de la factura "&amp;Registro_Compras!$C$482&amp;" de "&amp;Registro_Compras!$E$482)))</f>
        <v/>
      </c>
      <c r="H4308">
        <f>IF($C4308="","",Registro_Compras!$C$482)</f>
        <v/>
      </c>
    </row>
    <row r="4309">
      <c r="A4309" s="25">
        <f>IF($C4309="","",Registro_Compras!$B$482)</f>
        <v/>
      </c>
      <c r="B4309">
        <f>IF($C4309="","","C"&amp;TEXT(INT((ROW()-5)/9)+1,"000")&amp;"-1")</f>
        <v/>
      </c>
      <c r="C4309">
        <f>IF(OR(Registro_Compras!$C$482="",Registro_Compras!$O$482=""),"",IF(Registro_Compras!$F$482="NOTA DE CREDITO",IF(Registro_Compras!$K$482=0,"","40111"),"4212"))</f>
        <v/>
      </c>
      <c r="D4309">
        <f>IF(OR(Registro_Compras!$C$482="",Registro_Compras!$O$482=""),"",IF(Registro_Compras!$F$482="NOTA DE CREDITO","IGV - Cuenta Propia (Credito Fiscal)","Cuentas por Pagar Comerciales - Terceros (Emitidas)"))</f>
        <v/>
      </c>
      <c r="E4309" s="20">
        <f>""</f>
        <v/>
      </c>
      <c r="F4309" s="20">
        <f>IF($C4309="","",IF(Registro_Compras!$F$482="NOTA DE CREDITO",ROUND(ABS(Registro_Compras!$K$482*Registro_Compras!$N$482),2),IF(Registro_Compras!$F$482="RHE",(ROUND(Registro_Compras!$L$482*Registro_Compras!$N$482,2)-ROUND(Registro_Compras!$V$482*Registro_Compras!$N$482,2)),Registro_Compras!$O$482)))</f>
        <v/>
      </c>
      <c r="G4309">
        <f>IF($C4309="","",IF(Registro_Compras!$F$482="NOTA DE CREDITO","Por la nota de credito "&amp;Registro_Compras!$C$482&amp;" de "&amp;Registro_Compras!$E$482&amp;" [PATRON POR CONFIRMAR CON CONTADOR]",IF(Registro_Compras!$F$482="RHE","Por el registro del recibo por honorarios "&amp;Registro_Compras!$C$482&amp;" de "&amp;Registro_Compras!$E$482&amp;" [PATRON POR CONFIRMAR CON CONTADOR]","Por el registro de la factura "&amp;Registro_Compras!$C$482&amp;" de "&amp;Registro_Compras!$E$482)))</f>
        <v/>
      </c>
      <c r="H4309">
        <f>IF($C4309="","",Registro_Compras!$C$482)</f>
        <v/>
      </c>
    </row>
    <row r="4310">
      <c r="A4310" s="25">
        <f>IF($C4310="","",Registro_Compras!$B$482)</f>
        <v/>
      </c>
      <c r="B4310">
        <f>IF($C4310="","","C"&amp;TEXT(INT((ROW()-5)/9)+1,"000")&amp;"-2")</f>
        <v/>
      </c>
      <c r="C4310">
        <f>IF(OR(Registro_Compras!$C$482="",Registro_Compras!$O$482=""),"",IF(Registro_Compras!$AB$482="ADMINISTRATIVO","94","95"))</f>
        <v/>
      </c>
      <c r="D4310">
        <f>IF(OR(Registro_Compras!$C$482="",Registro_Compras!$O$482=""),"",IF(Registro_Compras!$AB$482="ADMINISTRATIVO","Gastos Administrativos","Gastos de Venta y Operacion"))</f>
        <v/>
      </c>
      <c r="E4310" s="20">
        <f>IF($C4310="","",IF(Registro_Compras!$F$482="NOTA DE CREDITO","",IF(Registro_Compras!$F$482="RHE",ROUND(Registro_Compras!$L$482*Registro_Compras!$N$482,2),ROUND(Registro_Compras!$J$482*Registro_Compras!$N$482,2))))</f>
        <v/>
      </c>
      <c r="F4310" s="20">
        <f>IF($C4310="","",IF(Registro_Compras!$F$482="NOTA DE CREDITO",ROUND(ABS(Registro_Compras!$J$482*Registro_Compras!$N$482),2),""))</f>
        <v/>
      </c>
      <c r="G4310">
        <f>IF($C4310="","","Por el destino del gasto")</f>
        <v/>
      </c>
      <c r="H4310">
        <f>IF($C4310="","",Registro_Compras!$C$482)</f>
        <v/>
      </c>
    </row>
    <row r="4311">
      <c r="A4311" s="25">
        <f>IF($C4311="","",Registro_Compras!$B$482)</f>
        <v/>
      </c>
      <c r="B4311">
        <f>IF($C4311="","","C"&amp;TEXT(INT((ROW()-5)/9)+1,"000")&amp;"-2")</f>
        <v/>
      </c>
      <c r="C4311">
        <f>IF(OR(Registro_Compras!$C$482="",Registro_Compras!$O$482=""),"","79/791")</f>
        <v/>
      </c>
      <c r="D4311">
        <f>IF(OR(Registro_Compras!$C$482="",Registro_Compras!$O$482=""),"","Cargas Imputables a Cuentas de Costos y Gastos")</f>
        <v/>
      </c>
      <c r="E4311" s="20">
        <f>IF($C4311="","",IF(Registro_Compras!$F$482="NOTA DE CREDITO",ROUND(ABS(Registro_Compras!$J$482*Registro_Compras!$N$482),2),""))</f>
        <v/>
      </c>
      <c r="F4311" s="20">
        <f>IF($C4311="","",IF(Registro_Compras!$F$482="NOTA DE CREDITO","",IF(Registro_Compras!$F$482="RHE",ROUND(Registro_Compras!$L$482*Registro_Compras!$N$482,2),ROUND(Registro_Compras!$J$482*Registro_Compras!$N$482,2))))</f>
        <v/>
      </c>
      <c r="G4311">
        <f>IF($C4311="","","Por el destino del gasto")</f>
        <v/>
      </c>
      <c r="H4311">
        <f>IF($C4311="","",Registro_Compras!$C$482)</f>
        <v/>
      </c>
    </row>
    <row r="4312">
      <c r="A4312" s="25">
        <f>IF($C4312="","",Registro_Compras!$X$482)</f>
        <v/>
      </c>
      <c r="B4312">
        <f>IF($C4312="","","C"&amp;TEXT(INT((ROW()-5)/9)+1,"000")&amp;"-3")</f>
        <v/>
      </c>
      <c r="C4312">
        <f>IF(OR(Registro_Compras!$C$482="",Registro_Compras!$O$482="",Registro_Compras!$R$482&lt;&gt;"SI",Registro_Compras!$X$482=""),"","4212")</f>
        <v/>
      </c>
      <c r="D4312">
        <f>IF(OR(Registro_Compras!$C$482="",Registro_Compras!$O$482=""),"","Cuentas por Pagar Comerciales - Terceros")</f>
        <v/>
      </c>
      <c r="E4312" s="20">
        <f>IF($C4312="","",Registro_Compras!$S$482)</f>
        <v/>
      </c>
      <c r="F4312" s="20">
        <f>""</f>
        <v/>
      </c>
      <c r="G4312">
        <f>IF($C4312="","","Por el deposito de la detraccion en el Banco de la Nacion")</f>
        <v/>
      </c>
      <c r="H4312">
        <f>IF($C4312="","",Registro_Compras!$C$482)</f>
        <v/>
      </c>
    </row>
    <row r="4313">
      <c r="A4313" s="25">
        <f>IF($C4313="","",Registro_Compras!$X$482)</f>
        <v/>
      </c>
      <c r="B4313">
        <f>IF($C4313="","","C"&amp;TEXT(INT((ROW()-5)/9)+1,"000")&amp;"-3")</f>
        <v/>
      </c>
      <c r="C4313">
        <f>IF(OR(Registro_Compras!$C$482="",Registro_Compras!$O$482="",Registro_Compras!$R$482&lt;&gt;"SI",Registro_Compras!$X$482=""),"","10413")</f>
        <v/>
      </c>
      <c r="D4313">
        <f>IF(OR(Registro_Compras!$C$482="",Registro_Compras!$O$482=""),"","Efectivo y Equivalentes - Cta. Cte. Operativa")</f>
        <v/>
      </c>
      <c r="E4313" s="20">
        <f>""</f>
        <v/>
      </c>
      <c r="F4313" s="20">
        <f>IF($C4313="","",Registro_Compras!$S$482)</f>
        <v/>
      </c>
      <c r="G4313">
        <f>IF($C4313="","","Por el deposito de la detraccion en el Banco de la Nacion")</f>
        <v/>
      </c>
      <c r="H4313">
        <f>IF($C4313="","",Registro_Compras!$C$482)</f>
        <v/>
      </c>
    </row>
    <row r="4314">
      <c r="A4314" s="25">
        <f>IF($C4314="","",Registro_Compras!$Y$482)</f>
        <v/>
      </c>
      <c r="B4314">
        <f>IF($C4314="","","C"&amp;TEXT(INT((ROW()-5)/9)+1,"000")&amp;"-4")</f>
        <v/>
      </c>
      <c r="C4314">
        <f>IF(OR(Registro_Compras!$C$482="",Registro_Compras!$O$482="",Registro_Compras!$Y$482="",Registro_Compras!$F$482="NOTA DE CREDITO"),"","4212")</f>
        <v/>
      </c>
      <c r="D4314">
        <f>IF(OR(Registro_Compras!$C$482="",Registro_Compras!$O$482=""),"","Cuentas por Pagar Comerciales - Terceros")</f>
        <v/>
      </c>
      <c r="E4314" s="20">
        <f>IF($C4314="","",IF(Registro_Compras!$F$482="RHE",(ROUND(Registro_Compras!$L$482*Registro_Compras!$N$482,2)-ROUND(Registro_Compras!$V$482*Registro_Compras!$N$482,2)),ROUND(Registro_Compras!$O$482-Registro_Compras!$S$482,2)))</f>
        <v/>
      </c>
      <c r="F4314" s="20">
        <f>""</f>
        <v/>
      </c>
      <c r="G4314">
        <f>IF($C4314="","","Por la cancelacion del saldo al proveedor")</f>
        <v/>
      </c>
      <c r="H4314">
        <f>IF($C4314="","",Registro_Compras!$C$482)</f>
        <v/>
      </c>
    </row>
    <row r="4315">
      <c r="A4315" s="25">
        <f>IF($C4315="","",Registro_Compras!$Y$482)</f>
        <v/>
      </c>
      <c r="B4315">
        <f>IF($C4315="","","C"&amp;TEXT(INT((ROW()-5)/9)+1,"000")&amp;"-4")</f>
        <v/>
      </c>
      <c r="C4315">
        <f>IF(OR(Registro_Compras!$C$482="",Registro_Compras!$O$482="",Registro_Compras!$Y$482="",Registro_Compras!$F$482="NOTA DE CREDITO"),"","10413")</f>
        <v/>
      </c>
      <c r="D4315">
        <f>IF(OR(Registro_Compras!$C$482="",Registro_Compras!$O$482=""),"","Efectivo y Equivalentes - Cta. Cte. Operativa")</f>
        <v/>
      </c>
      <c r="E4315" s="20">
        <f>""</f>
        <v/>
      </c>
      <c r="F4315" s="20">
        <f>IF($C4315="","",IF(Registro_Compras!$F$482="RHE",(ROUND(Registro_Compras!$L$482*Registro_Compras!$N$482,2)-ROUND(Registro_Compras!$V$482*Registro_Compras!$N$482,2)),ROUND(Registro_Compras!$O$482-Registro_Compras!$S$482,2)))</f>
        <v/>
      </c>
      <c r="G4315">
        <f>IF($C4315="","","Por la cancelacion del saldo al proveedor")</f>
        <v/>
      </c>
      <c r="H4315">
        <f>IF($C4315="","",Registro_Compras!$C$482)</f>
        <v/>
      </c>
    </row>
    <row r="4316">
      <c r="A4316" s="25">
        <f>IF($C4316="","",Registro_Compras!$B$483)</f>
        <v/>
      </c>
      <c r="B4316">
        <f>IF($C4316="","","C"&amp;TEXT(INT((ROW()-5)/9)+1,"000")&amp;"-1")</f>
        <v/>
      </c>
      <c r="C4316">
        <f>IF(OR(Registro_Compras!$C$483="",Registro_Compras!$O$483=""),"",IF(Registro_Compras!$F$483="NOTA DE CREDITO","4212",IF(Registro_Compras!$M$483="","63",Registro_Compras!$M$483)))</f>
        <v/>
      </c>
      <c r="D4316">
        <f>IF(OR(Registro_Compras!$C$483="",Registro_Compras!$O$483=""),"",IF(Registro_Compras!$F$483="NOTA DE CREDITO","Cuentas por Pagar Comerciales - Terceros (Emitidas)",IF(Registro_Compras!$F$483="RHE","Honorarios Profesionales - Servicios de Terceros","Gastos de Servicios Prestados por Terceros")))</f>
        <v/>
      </c>
      <c r="E4316" s="20">
        <f>IF($C4316="","",IF(Registro_Compras!$F$483="NOTA DE CREDITO",ABS(Registro_Compras!$O$483),IF(Registro_Compras!$F$483="RHE",ROUND(Registro_Compras!$L$483*Registro_Compras!$N$483,2),ROUND(Registro_Compras!$J$483*Registro_Compras!$N$483,2))))</f>
        <v/>
      </c>
      <c r="F4316" s="20">
        <f>""</f>
        <v/>
      </c>
      <c r="G4316">
        <f>IF($C4316="","",IF(Registro_Compras!$F$483="NOTA DE CREDITO","Por la nota de credito "&amp;Registro_Compras!$C$483&amp;" de "&amp;Registro_Compras!$E$483&amp;" [PATRON POR CONFIRMAR CON CONTADOR]",IF(Registro_Compras!$F$483="RHE","Por el registro del recibo por honorarios "&amp;Registro_Compras!$C$483&amp;" de "&amp;Registro_Compras!$E$483&amp;" [PATRON POR CONFIRMAR CON CONTADOR]","Por el registro de la factura "&amp;Registro_Compras!$C$483&amp;" de "&amp;Registro_Compras!$E$483)))</f>
        <v/>
      </c>
      <c r="H4316">
        <f>IF($C4316="","",Registro_Compras!$C$483)</f>
        <v/>
      </c>
    </row>
    <row r="4317">
      <c r="A4317" s="25">
        <f>IF($C4317="","",Registro_Compras!$B$483)</f>
        <v/>
      </c>
      <c r="B4317">
        <f>IF($C4317="","","C"&amp;TEXT(INT((ROW()-5)/9)+1,"000")&amp;"-1")</f>
        <v/>
      </c>
      <c r="C4317">
        <f>IF(OR(Registro_Compras!$C$483="",Registro_Compras!$O$483=""),"",IF(Registro_Compras!$F$483="RHE",IF(Registro_Compras!$V$483=0,"","40172"),IF(Registro_Compras!$F$483="NOTA DE CREDITO",IF(Registro_Compras!$M$483="","63",Registro_Compras!$M$483),IF(Registro_Compras!$K$483=0,"","40111"))))</f>
        <v/>
      </c>
      <c r="D4317">
        <f>IF(OR(Registro_Compras!$C$483="",Registro_Compras!$O$483=""),"",IF(Registro_Compras!$F$483="RHE","Retencion Renta 4ta Categoria por Pagar",IF(Registro_Compras!$F$483="NOTA DE CREDITO","Gastos de Servicios Prestados por Terceros","IGV - Cuenta Propia (Credito Fiscal)")))</f>
        <v/>
      </c>
      <c r="E4317" s="20">
        <f>IF($C4317="","",IF(Registro_Compras!$F$483="FACTURA",ROUND(Registro_Compras!$K$483*Registro_Compras!$N$483,2),""))</f>
        <v/>
      </c>
      <c r="F4317" s="20">
        <f>IF($C4317="","",IF(Registro_Compras!$F$483="RHE",ROUND(Registro_Compras!$V$483*Registro_Compras!$N$483,2),IF(Registro_Compras!$F$483="NOTA DE CREDITO",ROUND(ABS(Registro_Compras!$J$483*Registro_Compras!$N$483),2),"")))</f>
        <v/>
      </c>
      <c r="G4317">
        <f>IF($C4317="","",IF(Registro_Compras!$F$483="NOTA DE CREDITO","Por la nota de credito "&amp;Registro_Compras!$C$483&amp;" de "&amp;Registro_Compras!$E$483&amp;" [PATRON POR CONFIRMAR CON CONTADOR]",IF(Registro_Compras!$F$483="RHE","Por el registro del recibo por honorarios "&amp;Registro_Compras!$C$483&amp;" de "&amp;Registro_Compras!$E$483&amp;" [PATRON POR CONFIRMAR CON CONTADOR]","Por el registro de la factura "&amp;Registro_Compras!$C$483&amp;" de "&amp;Registro_Compras!$E$483)))</f>
        <v/>
      </c>
      <c r="H4317">
        <f>IF($C4317="","",Registro_Compras!$C$483)</f>
        <v/>
      </c>
    </row>
    <row r="4318">
      <c r="A4318" s="25">
        <f>IF($C4318="","",Registro_Compras!$B$483)</f>
        <v/>
      </c>
      <c r="B4318">
        <f>IF($C4318="","","C"&amp;TEXT(INT((ROW()-5)/9)+1,"000")&amp;"-1")</f>
        <v/>
      </c>
      <c r="C4318">
        <f>IF(OR(Registro_Compras!$C$483="",Registro_Compras!$O$483=""),"",IF(Registro_Compras!$F$483="NOTA DE CREDITO",IF(Registro_Compras!$K$483=0,"","40111"),"4212"))</f>
        <v/>
      </c>
      <c r="D4318">
        <f>IF(OR(Registro_Compras!$C$483="",Registro_Compras!$O$483=""),"",IF(Registro_Compras!$F$483="NOTA DE CREDITO","IGV - Cuenta Propia (Credito Fiscal)","Cuentas por Pagar Comerciales - Terceros (Emitidas)"))</f>
        <v/>
      </c>
      <c r="E4318" s="20">
        <f>""</f>
        <v/>
      </c>
      <c r="F4318" s="20">
        <f>IF($C4318="","",IF(Registro_Compras!$F$483="NOTA DE CREDITO",ROUND(ABS(Registro_Compras!$K$483*Registro_Compras!$N$483),2),IF(Registro_Compras!$F$483="RHE",(ROUND(Registro_Compras!$L$483*Registro_Compras!$N$483,2)-ROUND(Registro_Compras!$V$483*Registro_Compras!$N$483,2)),Registro_Compras!$O$483)))</f>
        <v/>
      </c>
      <c r="G4318">
        <f>IF($C4318="","",IF(Registro_Compras!$F$483="NOTA DE CREDITO","Por la nota de credito "&amp;Registro_Compras!$C$483&amp;" de "&amp;Registro_Compras!$E$483&amp;" [PATRON POR CONFIRMAR CON CONTADOR]",IF(Registro_Compras!$F$483="RHE","Por el registro del recibo por honorarios "&amp;Registro_Compras!$C$483&amp;" de "&amp;Registro_Compras!$E$483&amp;" [PATRON POR CONFIRMAR CON CONTADOR]","Por el registro de la factura "&amp;Registro_Compras!$C$483&amp;" de "&amp;Registro_Compras!$E$483)))</f>
        <v/>
      </c>
      <c r="H4318">
        <f>IF($C4318="","",Registro_Compras!$C$483)</f>
        <v/>
      </c>
    </row>
    <row r="4319">
      <c r="A4319" s="25">
        <f>IF($C4319="","",Registro_Compras!$B$483)</f>
        <v/>
      </c>
      <c r="B4319">
        <f>IF($C4319="","","C"&amp;TEXT(INT((ROW()-5)/9)+1,"000")&amp;"-2")</f>
        <v/>
      </c>
      <c r="C4319">
        <f>IF(OR(Registro_Compras!$C$483="",Registro_Compras!$O$483=""),"",IF(Registro_Compras!$AB$483="ADMINISTRATIVO","94","95"))</f>
        <v/>
      </c>
      <c r="D4319">
        <f>IF(OR(Registro_Compras!$C$483="",Registro_Compras!$O$483=""),"",IF(Registro_Compras!$AB$483="ADMINISTRATIVO","Gastos Administrativos","Gastos de Venta y Operacion"))</f>
        <v/>
      </c>
      <c r="E4319" s="20">
        <f>IF($C4319="","",IF(Registro_Compras!$F$483="NOTA DE CREDITO","",IF(Registro_Compras!$F$483="RHE",ROUND(Registro_Compras!$L$483*Registro_Compras!$N$483,2),ROUND(Registro_Compras!$J$483*Registro_Compras!$N$483,2))))</f>
        <v/>
      </c>
      <c r="F4319" s="20">
        <f>IF($C4319="","",IF(Registro_Compras!$F$483="NOTA DE CREDITO",ROUND(ABS(Registro_Compras!$J$483*Registro_Compras!$N$483),2),""))</f>
        <v/>
      </c>
      <c r="G4319">
        <f>IF($C4319="","","Por el destino del gasto")</f>
        <v/>
      </c>
      <c r="H4319">
        <f>IF($C4319="","",Registro_Compras!$C$483)</f>
        <v/>
      </c>
    </row>
    <row r="4320">
      <c r="A4320" s="25">
        <f>IF($C4320="","",Registro_Compras!$B$483)</f>
        <v/>
      </c>
      <c r="B4320">
        <f>IF($C4320="","","C"&amp;TEXT(INT((ROW()-5)/9)+1,"000")&amp;"-2")</f>
        <v/>
      </c>
      <c r="C4320">
        <f>IF(OR(Registro_Compras!$C$483="",Registro_Compras!$O$483=""),"","79/791")</f>
        <v/>
      </c>
      <c r="D4320">
        <f>IF(OR(Registro_Compras!$C$483="",Registro_Compras!$O$483=""),"","Cargas Imputables a Cuentas de Costos y Gastos")</f>
        <v/>
      </c>
      <c r="E4320" s="20">
        <f>IF($C4320="","",IF(Registro_Compras!$F$483="NOTA DE CREDITO",ROUND(ABS(Registro_Compras!$J$483*Registro_Compras!$N$483),2),""))</f>
        <v/>
      </c>
      <c r="F4320" s="20">
        <f>IF($C4320="","",IF(Registro_Compras!$F$483="NOTA DE CREDITO","",IF(Registro_Compras!$F$483="RHE",ROUND(Registro_Compras!$L$483*Registro_Compras!$N$483,2),ROUND(Registro_Compras!$J$483*Registro_Compras!$N$483,2))))</f>
        <v/>
      </c>
      <c r="G4320">
        <f>IF($C4320="","","Por el destino del gasto")</f>
        <v/>
      </c>
      <c r="H4320">
        <f>IF($C4320="","",Registro_Compras!$C$483)</f>
        <v/>
      </c>
    </row>
    <row r="4321">
      <c r="A4321" s="25">
        <f>IF($C4321="","",Registro_Compras!$X$483)</f>
        <v/>
      </c>
      <c r="B4321">
        <f>IF($C4321="","","C"&amp;TEXT(INT((ROW()-5)/9)+1,"000")&amp;"-3")</f>
        <v/>
      </c>
      <c r="C4321">
        <f>IF(OR(Registro_Compras!$C$483="",Registro_Compras!$O$483="",Registro_Compras!$R$483&lt;&gt;"SI",Registro_Compras!$X$483=""),"","4212")</f>
        <v/>
      </c>
      <c r="D4321">
        <f>IF(OR(Registro_Compras!$C$483="",Registro_Compras!$O$483=""),"","Cuentas por Pagar Comerciales - Terceros")</f>
        <v/>
      </c>
      <c r="E4321" s="20">
        <f>IF($C4321="","",Registro_Compras!$S$483)</f>
        <v/>
      </c>
      <c r="F4321" s="20">
        <f>""</f>
        <v/>
      </c>
      <c r="G4321">
        <f>IF($C4321="","","Por el deposito de la detraccion en el Banco de la Nacion")</f>
        <v/>
      </c>
      <c r="H4321">
        <f>IF($C4321="","",Registro_Compras!$C$483)</f>
        <v/>
      </c>
    </row>
    <row r="4322">
      <c r="A4322" s="25">
        <f>IF($C4322="","",Registro_Compras!$X$483)</f>
        <v/>
      </c>
      <c r="B4322">
        <f>IF($C4322="","","C"&amp;TEXT(INT((ROW()-5)/9)+1,"000")&amp;"-3")</f>
        <v/>
      </c>
      <c r="C4322">
        <f>IF(OR(Registro_Compras!$C$483="",Registro_Compras!$O$483="",Registro_Compras!$R$483&lt;&gt;"SI",Registro_Compras!$X$483=""),"","10413")</f>
        <v/>
      </c>
      <c r="D4322">
        <f>IF(OR(Registro_Compras!$C$483="",Registro_Compras!$O$483=""),"","Efectivo y Equivalentes - Cta. Cte. Operativa")</f>
        <v/>
      </c>
      <c r="E4322" s="20">
        <f>""</f>
        <v/>
      </c>
      <c r="F4322" s="20">
        <f>IF($C4322="","",Registro_Compras!$S$483)</f>
        <v/>
      </c>
      <c r="G4322">
        <f>IF($C4322="","","Por el deposito de la detraccion en el Banco de la Nacion")</f>
        <v/>
      </c>
      <c r="H4322">
        <f>IF($C4322="","",Registro_Compras!$C$483)</f>
        <v/>
      </c>
    </row>
    <row r="4323">
      <c r="A4323" s="25">
        <f>IF($C4323="","",Registro_Compras!$Y$483)</f>
        <v/>
      </c>
      <c r="B4323">
        <f>IF($C4323="","","C"&amp;TEXT(INT((ROW()-5)/9)+1,"000")&amp;"-4")</f>
        <v/>
      </c>
      <c r="C4323">
        <f>IF(OR(Registro_Compras!$C$483="",Registro_Compras!$O$483="",Registro_Compras!$Y$483="",Registro_Compras!$F$483="NOTA DE CREDITO"),"","4212")</f>
        <v/>
      </c>
      <c r="D4323">
        <f>IF(OR(Registro_Compras!$C$483="",Registro_Compras!$O$483=""),"","Cuentas por Pagar Comerciales - Terceros")</f>
        <v/>
      </c>
      <c r="E4323" s="20">
        <f>IF($C4323="","",IF(Registro_Compras!$F$483="RHE",(ROUND(Registro_Compras!$L$483*Registro_Compras!$N$483,2)-ROUND(Registro_Compras!$V$483*Registro_Compras!$N$483,2)),ROUND(Registro_Compras!$O$483-Registro_Compras!$S$483,2)))</f>
        <v/>
      </c>
      <c r="F4323" s="20">
        <f>""</f>
        <v/>
      </c>
      <c r="G4323">
        <f>IF($C4323="","","Por la cancelacion del saldo al proveedor")</f>
        <v/>
      </c>
      <c r="H4323">
        <f>IF($C4323="","",Registro_Compras!$C$483)</f>
        <v/>
      </c>
    </row>
    <row r="4324">
      <c r="A4324" s="25">
        <f>IF($C4324="","",Registro_Compras!$Y$483)</f>
        <v/>
      </c>
      <c r="B4324">
        <f>IF($C4324="","","C"&amp;TEXT(INT((ROW()-5)/9)+1,"000")&amp;"-4")</f>
        <v/>
      </c>
      <c r="C4324">
        <f>IF(OR(Registro_Compras!$C$483="",Registro_Compras!$O$483="",Registro_Compras!$Y$483="",Registro_Compras!$F$483="NOTA DE CREDITO"),"","10413")</f>
        <v/>
      </c>
      <c r="D4324">
        <f>IF(OR(Registro_Compras!$C$483="",Registro_Compras!$O$483=""),"","Efectivo y Equivalentes - Cta. Cte. Operativa")</f>
        <v/>
      </c>
      <c r="E4324" s="20">
        <f>""</f>
        <v/>
      </c>
      <c r="F4324" s="20">
        <f>IF($C4324="","",IF(Registro_Compras!$F$483="RHE",(ROUND(Registro_Compras!$L$483*Registro_Compras!$N$483,2)-ROUND(Registro_Compras!$V$483*Registro_Compras!$N$483,2)),ROUND(Registro_Compras!$O$483-Registro_Compras!$S$483,2)))</f>
        <v/>
      </c>
      <c r="G4324">
        <f>IF($C4324="","","Por la cancelacion del saldo al proveedor")</f>
        <v/>
      </c>
      <c r="H4324">
        <f>IF($C4324="","",Registro_Compras!$C$483)</f>
        <v/>
      </c>
    </row>
    <row r="4325">
      <c r="A4325" s="25">
        <f>IF($C4325="","",Registro_Compras!$B$484)</f>
        <v/>
      </c>
      <c r="B4325">
        <f>IF($C4325="","","C"&amp;TEXT(INT((ROW()-5)/9)+1,"000")&amp;"-1")</f>
        <v/>
      </c>
      <c r="C4325">
        <f>IF(OR(Registro_Compras!$C$484="",Registro_Compras!$O$484=""),"",IF(Registro_Compras!$F$484="NOTA DE CREDITO","4212",IF(Registro_Compras!$M$484="","63",Registro_Compras!$M$484)))</f>
        <v/>
      </c>
      <c r="D4325">
        <f>IF(OR(Registro_Compras!$C$484="",Registro_Compras!$O$484=""),"",IF(Registro_Compras!$F$484="NOTA DE CREDITO","Cuentas por Pagar Comerciales - Terceros (Emitidas)",IF(Registro_Compras!$F$484="RHE","Honorarios Profesionales - Servicios de Terceros","Gastos de Servicios Prestados por Terceros")))</f>
        <v/>
      </c>
      <c r="E4325" s="20">
        <f>IF($C4325="","",IF(Registro_Compras!$F$484="NOTA DE CREDITO",ABS(Registro_Compras!$O$484),IF(Registro_Compras!$F$484="RHE",ROUND(Registro_Compras!$L$484*Registro_Compras!$N$484,2),ROUND(Registro_Compras!$J$484*Registro_Compras!$N$484,2))))</f>
        <v/>
      </c>
      <c r="F4325" s="20">
        <f>""</f>
        <v/>
      </c>
      <c r="G4325">
        <f>IF($C4325="","",IF(Registro_Compras!$F$484="NOTA DE CREDITO","Por la nota de credito "&amp;Registro_Compras!$C$484&amp;" de "&amp;Registro_Compras!$E$484&amp;" [PATRON POR CONFIRMAR CON CONTADOR]",IF(Registro_Compras!$F$484="RHE","Por el registro del recibo por honorarios "&amp;Registro_Compras!$C$484&amp;" de "&amp;Registro_Compras!$E$484&amp;" [PATRON POR CONFIRMAR CON CONTADOR]","Por el registro de la factura "&amp;Registro_Compras!$C$484&amp;" de "&amp;Registro_Compras!$E$484)))</f>
        <v/>
      </c>
      <c r="H4325">
        <f>IF($C4325="","",Registro_Compras!$C$484)</f>
        <v/>
      </c>
    </row>
    <row r="4326">
      <c r="A4326" s="25">
        <f>IF($C4326="","",Registro_Compras!$B$484)</f>
        <v/>
      </c>
      <c r="B4326">
        <f>IF($C4326="","","C"&amp;TEXT(INT((ROW()-5)/9)+1,"000")&amp;"-1")</f>
        <v/>
      </c>
      <c r="C4326">
        <f>IF(OR(Registro_Compras!$C$484="",Registro_Compras!$O$484=""),"",IF(Registro_Compras!$F$484="RHE",IF(Registro_Compras!$V$484=0,"","40172"),IF(Registro_Compras!$F$484="NOTA DE CREDITO",IF(Registro_Compras!$M$484="","63",Registro_Compras!$M$484),IF(Registro_Compras!$K$484=0,"","40111"))))</f>
        <v/>
      </c>
      <c r="D4326">
        <f>IF(OR(Registro_Compras!$C$484="",Registro_Compras!$O$484=""),"",IF(Registro_Compras!$F$484="RHE","Retencion Renta 4ta Categoria por Pagar",IF(Registro_Compras!$F$484="NOTA DE CREDITO","Gastos de Servicios Prestados por Terceros","IGV - Cuenta Propia (Credito Fiscal)")))</f>
        <v/>
      </c>
      <c r="E4326" s="20">
        <f>IF($C4326="","",IF(Registro_Compras!$F$484="FACTURA",ROUND(Registro_Compras!$K$484*Registro_Compras!$N$484,2),""))</f>
        <v/>
      </c>
      <c r="F4326" s="20">
        <f>IF($C4326="","",IF(Registro_Compras!$F$484="RHE",ROUND(Registro_Compras!$V$484*Registro_Compras!$N$484,2),IF(Registro_Compras!$F$484="NOTA DE CREDITO",ROUND(ABS(Registro_Compras!$J$484*Registro_Compras!$N$484),2),"")))</f>
        <v/>
      </c>
      <c r="G4326">
        <f>IF($C4326="","",IF(Registro_Compras!$F$484="NOTA DE CREDITO","Por la nota de credito "&amp;Registro_Compras!$C$484&amp;" de "&amp;Registro_Compras!$E$484&amp;" [PATRON POR CONFIRMAR CON CONTADOR]",IF(Registro_Compras!$F$484="RHE","Por el registro del recibo por honorarios "&amp;Registro_Compras!$C$484&amp;" de "&amp;Registro_Compras!$E$484&amp;" [PATRON POR CONFIRMAR CON CONTADOR]","Por el registro de la factura "&amp;Registro_Compras!$C$484&amp;" de "&amp;Registro_Compras!$E$484)))</f>
        <v/>
      </c>
      <c r="H4326">
        <f>IF($C4326="","",Registro_Compras!$C$484)</f>
        <v/>
      </c>
    </row>
    <row r="4327">
      <c r="A4327" s="25">
        <f>IF($C4327="","",Registro_Compras!$B$484)</f>
        <v/>
      </c>
      <c r="B4327">
        <f>IF($C4327="","","C"&amp;TEXT(INT((ROW()-5)/9)+1,"000")&amp;"-1")</f>
        <v/>
      </c>
      <c r="C4327">
        <f>IF(OR(Registro_Compras!$C$484="",Registro_Compras!$O$484=""),"",IF(Registro_Compras!$F$484="NOTA DE CREDITO",IF(Registro_Compras!$K$484=0,"","40111"),"4212"))</f>
        <v/>
      </c>
      <c r="D4327">
        <f>IF(OR(Registro_Compras!$C$484="",Registro_Compras!$O$484=""),"",IF(Registro_Compras!$F$484="NOTA DE CREDITO","IGV - Cuenta Propia (Credito Fiscal)","Cuentas por Pagar Comerciales - Terceros (Emitidas)"))</f>
        <v/>
      </c>
      <c r="E4327" s="20">
        <f>""</f>
        <v/>
      </c>
      <c r="F4327" s="20">
        <f>IF($C4327="","",IF(Registro_Compras!$F$484="NOTA DE CREDITO",ROUND(ABS(Registro_Compras!$K$484*Registro_Compras!$N$484),2),IF(Registro_Compras!$F$484="RHE",(ROUND(Registro_Compras!$L$484*Registro_Compras!$N$484,2)-ROUND(Registro_Compras!$V$484*Registro_Compras!$N$484,2)),Registro_Compras!$O$484)))</f>
        <v/>
      </c>
      <c r="G4327">
        <f>IF($C4327="","",IF(Registro_Compras!$F$484="NOTA DE CREDITO","Por la nota de credito "&amp;Registro_Compras!$C$484&amp;" de "&amp;Registro_Compras!$E$484&amp;" [PATRON POR CONFIRMAR CON CONTADOR]",IF(Registro_Compras!$F$484="RHE","Por el registro del recibo por honorarios "&amp;Registro_Compras!$C$484&amp;" de "&amp;Registro_Compras!$E$484&amp;" [PATRON POR CONFIRMAR CON CONTADOR]","Por el registro de la factura "&amp;Registro_Compras!$C$484&amp;" de "&amp;Registro_Compras!$E$484)))</f>
        <v/>
      </c>
      <c r="H4327">
        <f>IF($C4327="","",Registro_Compras!$C$484)</f>
        <v/>
      </c>
    </row>
    <row r="4328">
      <c r="A4328" s="25">
        <f>IF($C4328="","",Registro_Compras!$B$484)</f>
        <v/>
      </c>
      <c r="B4328">
        <f>IF($C4328="","","C"&amp;TEXT(INT((ROW()-5)/9)+1,"000")&amp;"-2")</f>
        <v/>
      </c>
      <c r="C4328">
        <f>IF(OR(Registro_Compras!$C$484="",Registro_Compras!$O$484=""),"",IF(Registro_Compras!$AB$484="ADMINISTRATIVO","94","95"))</f>
        <v/>
      </c>
      <c r="D4328">
        <f>IF(OR(Registro_Compras!$C$484="",Registro_Compras!$O$484=""),"",IF(Registro_Compras!$AB$484="ADMINISTRATIVO","Gastos Administrativos","Gastos de Venta y Operacion"))</f>
        <v/>
      </c>
      <c r="E4328" s="20">
        <f>IF($C4328="","",IF(Registro_Compras!$F$484="NOTA DE CREDITO","",IF(Registro_Compras!$F$484="RHE",ROUND(Registro_Compras!$L$484*Registro_Compras!$N$484,2),ROUND(Registro_Compras!$J$484*Registro_Compras!$N$484,2))))</f>
        <v/>
      </c>
      <c r="F4328" s="20">
        <f>IF($C4328="","",IF(Registro_Compras!$F$484="NOTA DE CREDITO",ROUND(ABS(Registro_Compras!$J$484*Registro_Compras!$N$484),2),""))</f>
        <v/>
      </c>
      <c r="G4328">
        <f>IF($C4328="","","Por el destino del gasto")</f>
        <v/>
      </c>
      <c r="H4328">
        <f>IF($C4328="","",Registro_Compras!$C$484)</f>
        <v/>
      </c>
    </row>
    <row r="4329">
      <c r="A4329" s="25">
        <f>IF($C4329="","",Registro_Compras!$B$484)</f>
        <v/>
      </c>
      <c r="B4329">
        <f>IF($C4329="","","C"&amp;TEXT(INT((ROW()-5)/9)+1,"000")&amp;"-2")</f>
        <v/>
      </c>
      <c r="C4329">
        <f>IF(OR(Registro_Compras!$C$484="",Registro_Compras!$O$484=""),"","79/791")</f>
        <v/>
      </c>
      <c r="D4329">
        <f>IF(OR(Registro_Compras!$C$484="",Registro_Compras!$O$484=""),"","Cargas Imputables a Cuentas de Costos y Gastos")</f>
        <v/>
      </c>
      <c r="E4329" s="20">
        <f>IF($C4329="","",IF(Registro_Compras!$F$484="NOTA DE CREDITO",ROUND(ABS(Registro_Compras!$J$484*Registro_Compras!$N$484),2),""))</f>
        <v/>
      </c>
      <c r="F4329" s="20">
        <f>IF($C4329="","",IF(Registro_Compras!$F$484="NOTA DE CREDITO","",IF(Registro_Compras!$F$484="RHE",ROUND(Registro_Compras!$L$484*Registro_Compras!$N$484,2),ROUND(Registro_Compras!$J$484*Registro_Compras!$N$484,2))))</f>
        <v/>
      </c>
      <c r="G4329">
        <f>IF($C4329="","","Por el destino del gasto")</f>
        <v/>
      </c>
      <c r="H4329">
        <f>IF($C4329="","",Registro_Compras!$C$484)</f>
        <v/>
      </c>
    </row>
    <row r="4330">
      <c r="A4330" s="25">
        <f>IF($C4330="","",Registro_Compras!$X$484)</f>
        <v/>
      </c>
      <c r="B4330">
        <f>IF($C4330="","","C"&amp;TEXT(INT((ROW()-5)/9)+1,"000")&amp;"-3")</f>
        <v/>
      </c>
      <c r="C4330">
        <f>IF(OR(Registro_Compras!$C$484="",Registro_Compras!$O$484="",Registro_Compras!$R$484&lt;&gt;"SI",Registro_Compras!$X$484=""),"","4212")</f>
        <v/>
      </c>
      <c r="D4330">
        <f>IF(OR(Registro_Compras!$C$484="",Registro_Compras!$O$484=""),"","Cuentas por Pagar Comerciales - Terceros")</f>
        <v/>
      </c>
      <c r="E4330" s="20">
        <f>IF($C4330="","",Registro_Compras!$S$484)</f>
        <v/>
      </c>
      <c r="F4330" s="20">
        <f>""</f>
        <v/>
      </c>
      <c r="G4330">
        <f>IF($C4330="","","Por el deposito de la detraccion en el Banco de la Nacion")</f>
        <v/>
      </c>
      <c r="H4330">
        <f>IF($C4330="","",Registro_Compras!$C$484)</f>
        <v/>
      </c>
    </row>
    <row r="4331">
      <c r="A4331" s="25">
        <f>IF($C4331="","",Registro_Compras!$X$484)</f>
        <v/>
      </c>
      <c r="B4331">
        <f>IF($C4331="","","C"&amp;TEXT(INT((ROW()-5)/9)+1,"000")&amp;"-3")</f>
        <v/>
      </c>
      <c r="C4331">
        <f>IF(OR(Registro_Compras!$C$484="",Registro_Compras!$O$484="",Registro_Compras!$R$484&lt;&gt;"SI",Registro_Compras!$X$484=""),"","10413")</f>
        <v/>
      </c>
      <c r="D4331">
        <f>IF(OR(Registro_Compras!$C$484="",Registro_Compras!$O$484=""),"","Efectivo y Equivalentes - Cta. Cte. Operativa")</f>
        <v/>
      </c>
      <c r="E4331" s="20">
        <f>""</f>
        <v/>
      </c>
      <c r="F4331" s="20">
        <f>IF($C4331="","",Registro_Compras!$S$484)</f>
        <v/>
      </c>
      <c r="G4331">
        <f>IF($C4331="","","Por el deposito de la detraccion en el Banco de la Nacion")</f>
        <v/>
      </c>
      <c r="H4331">
        <f>IF($C4331="","",Registro_Compras!$C$484)</f>
        <v/>
      </c>
    </row>
    <row r="4332">
      <c r="A4332" s="25">
        <f>IF($C4332="","",Registro_Compras!$Y$484)</f>
        <v/>
      </c>
      <c r="B4332">
        <f>IF($C4332="","","C"&amp;TEXT(INT((ROW()-5)/9)+1,"000")&amp;"-4")</f>
        <v/>
      </c>
      <c r="C4332">
        <f>IF(OR(Registro_Compras!$C$484="",Registro_Compras!$O$484="",Registro_Compras!$Y$484="",Registro_Compras!$F$484="NOTA DE CREDITO"),"","4212")</f>
        <v/>
      </c>
      <c r="D4332">
        <f>IF(OR(Registro_Compras!$C$484="",Registro_Compras!$O$484=""),"","Cuentas por Pagar Comerciales - Terceros")</f>
        <v/>
      </c>
      <c r="E4332" s="20">
        <f>IF($C4332="","",IF(Registro_Compras!$F$484="RHE",(ROUND(Registro_Compras!$L$484*Registro_Compras!$N$484,2)-ROUND(Registro_Compras!$V$484*Registro_Compras!$N$484,2)),ROUND(Registro_Compras!$O$484-Registro_Compras!$S$484,2)))</f>
        <v/>
      </c>
      <c r="F4332" s="20">
        <f>""</f>
        <v/>
      </c>
      <c r="G4332">
        <f>IF($C4332="","","Por la cancelacion del saldo al proveedor")</f>
        <v/>
      </c>
      <c r="H4332">
        <f>IF($C4332="","",Registro_Compras!$C$484)</f>
        <v/>
      </c>
    </row>
    <row r="4333">
      <c r="A4333" s="25">
        <f>IF($C4333="","",Registro_Compras!$Y$484)</f>
        <v/>
      </c>
      <c r="B4333">
        <f>IF($C4333="","","C"&amp;TEXT(INT((ROW()-5)/9)+1,"000")&amp;"-4")</f>
        <v/>
      </c>
      <c r="C4333">
        <f>IF(OR(Registro_Compras!$C$484="",Registro_Compras!$O$484="",Registro_Compras!$Y$484="",Registro_Compras!$F$484="NOTA DE CREDITO"),"","10413")</f>
        <v/>
      </c>
      <c r="D4333">
        <f>IF(OR(Registro_Compras!$C$484="",Registro_Compras!$O$484=""),"","Efectivo y Equivalentes - Cta. Cte. Operativa")</f>
        <v/>
      </c>
      <c r="E4333" s="20">
        <f>""</f>
        <v/>
      </c>
      <c r="F4333" s="20">
        <f>IF($C4333="","",IF(Registro_Compras!$F$484="RHE",(ROUND(Registro_Compras!$L$484*Registro_Compras!$N$484,2)-ROUND(Registro_Compras!$V$484*Registro_Compras!$N$484,2)),ROUND(Registro_Compras!$O$484-Registro_Compras!$S$484,2)))</f>
        <v/>
      </c>
      <c r="G4333">
        <f>IF($C4333="","","Por la cancelacion del saldo al proveedor")</f>
        <v/>
      </c>
      <c r="H4333">
        <f>IF($C4333="","",Registro_Compras!$C$484)</f>
        <v/>
      </c>
    </row>
    <row r="4334">
      <c r="A4334" s="25">
        <f>IF($C4334="","",Registro_Compras!$B$485)</f>
        <v/>
      </c>
      <c r="B4334">
        <f>IF($C4334="","","C"&amp;TEXT(INT((ROW()-5)/9)+1,"000")&amp;"-1")</f>
        <v/>
      </c>
      <c r="C4334">
        <f>IF(OR(Registro_Compras!$C$485="",Registro_Compras!$O$485=""),"",IF(Registro_Compras!$F$485="NOTA DE CREDITO","4212",IF(Registro_Compras!$M$485="","63",Registro_Compras!$M$485)))</f>
        <v/>
      </c>
      <c r="D4334">
        <f>IF(OR(Registro_Compras!$C$485="",Registro_Compras!$O$485=""),"",IF(Registro_Compras!$F$485="NOTA DE CREDITO","Cuentas por Pagar Comerciales - Terceros (Emitidas)",IF(Registro_Compras!$F$485="RHE","Honorarios Profesionales - Servicios de Terceros","Gastos de Servicios Prestados por Terceros")))</f>
        <v/>
      </c>
      <c r="E4334" s="20">
        <f>IF($C4334="","",IF(Registro_Compras!$F$485="NOTA DE CREDITO",ABS(Registro_Compras!$O$485),IF(Registro_Compras!$F$485="RHE",ROUND(Registro_Compras!$L$485*Registro_Compras!$N$485,2),ROUND(Registro_Compras!$J$485*Registro_Compras!$N$485,2))))</f>
        <v/>
      </c>
      <c r="F4334" s="20">
        <f>""</f>
        <v/>
      </c>
      <c r="G4334">
        <f>IF($C4334="","",IF(Registro_Compras!$F$485="NOTA DE CREDITO","Por la nota de credito "&amp;Registro_Compras!$C$485&amp;" de "&amp;Registro_Compras!$E$485&amp;" [PATRON POR CONFIRMAR CON CONTADOR]",IF(Registro_Compras!$F$485="RHE","Por el registro del recibo por honorarios "&amp;Registro_Compras!$C$485&amp;" de "&amp;Registro_Compras!$E$485&amp;" [PATRON POR CONFIRMAR CON CONTADOR]","Por el registro de la factura "&amp;Registro_Compras!$C$485&amp;" de "&amp;Registro_Compras!$E$485)))</f>
        <v/>
      </c>
      <c r="H4334">
        <f>IF($C4334="","",Registro_Compras!$C$485)</f>
        <v/>
      </c>
    </row>
    <row r="4335">
      <c r="A4335" s="25">
        <f>IF($C4335="","",Registro_Compras!$B$485)</f>
        <v/>
      </c>
      <c r="B4335">
        <f>IF($C4335="","","C"&amp;TEXT(INT((ROW()-5)/9)+1,"000")&amp;"-1")</f>
        <v/>
      </c>
      <c r="C4335">
        <f>IF(OR(Registro_Compras!$C$485="",Registro_Compras!$O$485=""),"",IF(Registro_Compras!$F$485="RHE",IF(Registro_Compras!$V$485=0,"","40172"),IF(Registro_Compras!$F$485="NOTA DE CREDITO",IF(Registro_Compras!$M$485="","63",Registro_Compras!$M$485),IF(Registro_Compras!$K$485=0,"","40111"))))</f>
        <v/>
      </c>
      <c r="D4335">
        <f>IF(OR(Registro_Compras!$C$485="",Registro_Compras!$O$485=""),"",IF(Registro_Compras!$F$485="RHE","Retencion Renta 4ta Categoria por Pagar",IF(Registro_Compras!$F$485="NOTA DE CREDITO","Gastos de Servicios Prestados por Terceros","IGV - Cuenta Propia (Credito Fiscal)")))</f>
        <v/>
      </c>
      <c r="E4335" s="20">
        <f>IF($C4335="","",IF(Registro_Compras!$F$485="FACTURA",ROUND(Registro_Compras!$K$485*Registro_Compras!$N$485,2),""))</f>
        <v/>
      </c>
      <c r="F4335" s="20">
        <f>IF($C4335="","",IF(Registro_Compras!$F$485="RHE",ROUND(Registro_Compras!$V$485*Registro_Compras!$N$485,2),IF(Registro_Compras!$F$485="NOTA DE CREDITO",ROUND(ABS(Registro_Compras!$J$485*Registro_Compras!$N$485),2),"")))</f>
        <v/>
      </c>
      <c r="G4335">
        <f>IF($C4335="","",IF(Registro_Compras!$F$485="NOTA DE CREDITO","Por la nota de credito "&amp;Registro_Compras!$C$485&amp;" de "&amp;Registro_Compras!$E$485&amp;" [PATRON POR CONFIRMAR CON CONTADOR]",IF(Registro_Compras!$F$485="RHE","Por el registro del recibo por honorarios "&amp;Registro_Compras!$C$485&amp;" de "&amp;Registro_Compras!$E$485&amp;" [PATRON POR CONFIRMAR CON CONTADOR]","Por el registro de la factura "&amp;Registro_Compras!$C$485&amp;" de "&amp;Registro_Compras!$E$485)))</f>
        <v/>
      </c>
      <c r="H4335">
        <f>IF($C4335="","",Registro_Compras!$C$485)</f>
        <v/>
      </c>
    </row>
    <row r="4336">
      <c r="A4336" s="25">
        <f>IF($C4336="","",Registro_Compras!$B$485)</f>
        <v/>
      </c>
      <c r="B4336">
        <f>IF($C4336="","","C"&amp;TEXT(INT((ROW()-5)/9)+1,"000")&amp;"-1")</f>
        <v/>
      </c>
      <c r="C4336">
        <f>IF(OR(Registro_Compras!$C$485="",Registro_Compras!$O$485=""),"",IF(Registro_Compras!$F$485="NOTA DE CREDITO",IF(Registro_Compras!$K$485=0,"","40111"),"4212"))</f>
        <v/>
      </c>
      <c r="D4336">
        <f>IF(OR(Registro_Compras!$C$485="",Registro_Compras!$O$485=""),"",IF(Registro_Compras!$F$485="NOTA DE CREDITO","IGV - Cuenta Propia (Credito Fiscal)","Cuentas por Pagar Comerciales - Terceros (Emitidas)"))</f>
        <v/>
      </c>
      <c r="E4336" s="20">
        <f>""</f>
        <v/>
      </c>
      <c r="F4336" s="20">
        <f>IF($C4336="","",IF(Registro_Compras!$F$485="NOTA DE CREDITO",ROUND(ABS(Registro_Compras!$K$485*Registro_Compras!$N$485),2),IF(Registro_Compras!$F$485="RHE",(ROUND(Registro_Compras!$L$485*Registro_Compras!$N$485,2)-ROUND(Registro_Compras!$V$485*Registro_Compras!$N$485,2)),Registro_Compras!$O$485)))</f>
        <v/>
      </c>
      <c r="G4336">
        <f>IF($C4336="","",IF(Registro_Compras!$F$485="NOTA DE CREDITO","Por la nota de credito "&amp;Registro_Compras!$C$485&amp;" de "&amp;Registro_Compras!$E$485&amp;" [PATRON POR CONFIRMAR CON CONTADOR]",IF(Registro_Compras!$F$485="RHE","Por el registro del recibo por honorarios "&amp;Registro_Compras!$C$485&amp;" de "&amp;Registro_Compras!$E$485&amp;" [PATRON POR CONFIRMAR CON CONTADOR]","Por el registro de la factura "&amp;Registro_Compras!$C$485&amp;" de "&amp;Registro_Compras!$E$485)))</f>
        <v/>
      </c>
      <c r="H4336">
        <f>IF($C4336="","",Registro_Compras!$C$485)</f>
        <v/>
      </c>
    </row>
    <row r="4337">
      <c r="A4337" s="25">
        <f>IF($C4337="","",Registro_Compras!$B$485)</f>
        <v/>
      </c>
      <c r="B4337">
        <f>IF($C4337="","","C"&amp;TEXT(INT((ROW()-5)/9)+1,"000")&amp;"-2")</f>
        <v/>
      </c>
      <c r="C4337">
        <f>IF(OR(Registro_Compras!$C$485="",Registro_Compras!$O$485=""),"",IF(Registro_Compras!$AB$485="ADMINISTRATIVO","94","95"))</f>
        <v/>
      </c>
      <c r="D4337">
        <f>IF(OR(Registro_Compras!$C$485="",Registro_Compras!$O$485=""),"",IF(Registro_Compras!$AB$485="ADMINISTRATIVO","Gastos Administrativos","Gastos de Venta y Operacion"))</f>
        <v/>
      </c>
      <c r="E4337" s="20">
        <f>IF($C4337="","",IF(Registro_Compras!$F$485="NOTA DE CREDITO","",IF(Registro_Compras!$F$485="RHE",ROUND(Registro_Compras!$L$485*Registro_Compras!$N$485,2),ROUND(Registro_Compras!$J$485*Registro_Compras!$N$485,2))))</f>
        <v/>
      </c>
      <c r="F4337" s="20">
        <f>IF($C4337="","",IF(Registro_Compras!$F$485="NOTA DE CREDITO",ROUND(ABS(Registro_Compras!$J$485*Registro_Compras!$N$485),2),""))</f>
        <v/>
      </c>
      <c r="G4337">
        <f>IF($C4337="","","Por el destino del gasto")</f>
        <v/>
      </c>
      <c r="H4337">
        <f>IF($C4337="","",Registro_Compras!$C$485)</f>
        <v/>
      </c>
    </row>
    <row r="4338">
      <c r="A4338" s="25">
        <f>IF($C4338="","",Registro_Compras!$B$485)</f>
        <v/>
      </c>
      <c r="B4338">
        <f>IF($C4338="","","C"&amp;TEXT(INT((ROW()-5)/9)+1,"000")&amp;"-2")</f>
        <v/>
      </c>
      <c r="C4338">
        <f>IF(OR(Registro_Compras!$C$485="",Registro_Compras!$O$485=""),"","79/791")</f>
        <v/>
      </c>
      <c r="D4338">
        <f>IF(OR(Registro_Compras!$C$485="",Registro_Compras!$O$485=""),"","Cargas Imputables a Cuentas de Costos y Gastos")</f>
        <v/>
      </c>
      <c r="E4338" s="20">
        <f>IF($C4338="","",IF(Registro_Compras!$F$485="NOTA DE CREDITO",ROUND(ABS(Registro_Compras!$J$485*Registro_Compras!$N$485),2),""))</f>
        <v/>
      </c>
      <c r="F4338" s="20">
        <f>IF($C4338="","",IF(Registro_Compras!$F$485="NOTA DE CREDITO","",IF(Registro_Compras!$F$485="RHE",ROUND(Registro_Compras!$L$485*Registro_Compras!$N$485,2),ROUND(Registro_Compras!$J$485*Registro_Compras!$N$485,2))))</f>
        <v/>
      </c>
      <c r="G4338">
        <f>IF($C4338="","","Por el destino del gasto")</f>
        <v/>
      </c>
      <c r="H4338">
        <f>IF($C4338="","",Registro_Compras!$C$485)</f>
        <v/>
      </c>
    </row>
    <row r="4339">
      <c r="A4339" s="25">
        <f>IF($C4339="","",Registro_Compras!$X$485)</f>
        <v/>
      </c>
      <c r="B4339">
        <f>IF($C4339="","","C"&amp;TEXT(INT((ROW()-5)/9)+1,"000")&amp;"-3")</f>
        <v/>
      </c>
      <c r="C4339">
        <f>IF(OR(Registro_Compras!$C$485="",Registro_Compras!$O$485="",Registro_Compras!$R$485&lt;&gt;"SI",Registro_Compras!$X$485=""),"","4212")</f>
        <v/>
      </c>
      <c r="D4339">
        <f>IF(OR(Registro_Compras!$C$485="",Registro_Compras!$O$485=""),"","Cuentas por Pagar Comerciales - Terceros")</f>
        <v/>
      </c>
      <c r="E4339" s="20">
        <f>IF($C4339="","",Registro_Compras!$S$485)</f>
        <v/>
      </c>
      <c r="F4339" s="20">
        <f>""</f>
        <v/>
      </c>
      <c r="G4339">
        <f>IF($C4339="","","Por el deposito de la detraccion en el Banco de la Nacion")</f>
        <v/>
      </c>
      <c r="H4339">
        <f>IF($C4339="","",Registro_Compras!$C$485)</f>
        <v/>
      </c>
    </row>
    <row r="4340">
      <c r="A4340" s="25">
        <f>IF($C4340="","",Registro_Compras!$X$485)</f>
        <v/>
      </c>
      <c r="B4340">
        <f>IF($C4340="","","C"&amp;TEXT(INT((ROW()-5)/9)+1,"000")&amp;"-3")</f>
        <v/>
      </c>
      <c r="C4340">
        <f>IF(OR(Registro_Compras!$C$485="",Registro_Compras!$O$485="",Registro_Compras!$R$485&lt;&gt;"SI",Registro_Compras!$X$485=""),"","10413")</f>
        <v/>
      </c>
      <c r="D4340">
        <f>IF(OR(Registro_Compras!$C$485="",Registro_Compras!$O$485=""),"","Efectivo y Equivalentes - Cta. Cte. Operativa")</f>
        <v/>
      </c>
      <c r="E4340" s="20">
        <f>""</f>
        <v/>
      </c>
      <c r="F4340" s="20">
        <f>IF($C4340="","",Registro_Compras!$S$485)</f>
        <v/>
      </c>
      <c r="G4340">
        <f>IF($C4340="","","Por el deposito de la detraccion en el Banco de la Nacion")</f>
        <v/>
      </c>
      <c r="H4340">
        <f>IF($C4340="","",Registro_Compras!$C$485)</f>
        <v/>
      </c>
    </row>
    <row r="4341">
      <c r="A4341" s="25">
        <f>IF($C4341="","",Registro_Compras!$Y$485)</f>
        <v/>
      </c>
      <c r="B4341">
        <f>IF($C4341="","","C"&amp;TEXT(INT((ROW()-5)/9)+1,"000")&amp;"-4")</f>
        <v/>
      </c>
      <c r="C4341">
        <f>IF(OR(Registro_Compras!$C$485="",Registro_Compras!$O$485="",Registro_Compras!$Y$485="",Registro_Compras!$F$485="NOTA DE CREDITO"),"","4212")</f>
        <v/>
      </c>
      <c r="D4341">
        <f>IF(OR(Registro_Compras!$C$485="",Registro_Compras!$O$485=""),"","Cuentas por Pagar Comerciales - Terceros")</f>
        <v/>
      </c>
      <c r="E4341" s="20">
        <f>IF($C4341="","",IF(Registro_Compras!$F$485="RHE",(ROUND(Registro_Compras!$L$485*Registro_Compras!$N$485,2)-ROUND(Registro_Compras!$V$485*Registro_Compras!$N$485,2)),ROUND(Registro_Compras!$O$485-Registro_Compras!$S$485,2)))</f>
        <v/>
      </c>
      <c r="F4341" s="20">
        <f>""</f>
        <v/>
      </c>
      <c r="G4341">
        <f>IF($C4341="","","Por la cancelacion del saldo al proveedor")</f>
        <v/>
      </c>
      <c r="H4341">
        <f>IF($C4341="","",Registro_Compras!$C$485)</f>
        <v/>
      </c>
    </row>
    <row r="4342">
      <c r="A4342" s="25">
        <f>IF($C4342="","",Registro_Compras!$Y$485)</f>
        <v/>
      </c>
      <c r="B4342">
        <f>IF($C4342="","","C"&amp;TEXT(INT((ROW()-5)/9)+1,"000")&amp;"-4")</f>
        <v/>
      </c>
      <c r="C4342">
        <f>IF(OR(Registro_Compras!$C$485="",Registro_Compras!$O$485="",Registro_Compras!$Y$485="",Registro_Compras!$F$485="NOTA DE CREDITO"),"","10413")</f>
        <v/>
      </c>
      <c r="D4342">
        <f>IF(OR(Registro_Compras!$C$485="",Registro_Compras!$O$485=""),"","Efectivo y Equivalentes - Cta. Cte. Operativa")</f>
        <v/>
      </c>
      <c r="E4342" s="20">
        <f>""</f>
        <v/>
      </c>
      <c r="F4342" s="20">
        <f>IF($C4342="","",IF(Registro_Compras!$F$485="RHE",(ROUND(Registro_Compras!$L$485*Registro_Compras!$N$485,2)-ROUND(Registro_Compras!$V$485*Registro_Compras!$N$485,2)),ROUND(Registro_Compras!$O$485-Registro_Compras!$S$485,2)))</f>
        <v/>
      </c>
      <c r="G4342">
        <f>IF($C4342="","","Por la cancelacion del saldo al proveedor")</f>
        <v/>
      </c>
      <c r="H4342">
        <f>IF($C4342="","",Registro_Compras!$C$485)</f>
        <v/>
      </c>
    </row>
    <row r="4343">
      <c r="A4343" s="25">
        <f>IF($C4343="","",Registro_Compras!$B$486)</f>
        <v/>
      </c>
      <c r="B4343">
        <f>IF($C4343="","","C"&amp;TEXT(INT((ROW()-5)/9)+1,"000")&amp;"-1")</f>
        <v/>
      </c>
      <c r="C4343">
        <f>IF(OR(Registro_Compras!$C$486="",Registro_Compras!$O$486=""),"",IF(Registro_Compras!$F$486="NOTA DE CREDITO","4212",IF(Registro_Compras!$M$486="","63",Registro_Compras!$M$486)))</f>
        <v/>
      </c>
      <c r="D4343">
        <f>IF(OR(Registro_Compras!$C$486="",Registro_Compras!$O$486=""),"",IF(Registro_Compras!$F$486="NOTA DE CREDITO","Cuentas por Pagar Comerciales - Terceros (Emitidas)",IF(Registro_Compras!$F$486="RHE","Honorarios Profesionales - Servicios de Terceros","Gastos de Servicios Prestados por Terceros")))</f>
        <v/>
      </c>
      <c r="E4343" s="20">
        <f>IF($C4343="","",IF(Registro_Compras!$F$486="NOTA DE CREDITO",ABS(Registro_Compras!$O$486),IF(Registro_Compras!$F$486="RHE",ROUND(Registro_Compras!$L$486*Registro_Compras!$N$486,2),ROUND(Registro_Compras!$J$486*Registro_Compras!$N$486,2))))</f>
        <v/>
      </c>
      <c r="F4343" s="20">
        <f>""</f>
        <v/>
      </c>
      <c r="G4343">
        <f>IF($C4343="","",IF(Registro_Compras!$F$486="NOTA DE CREDITO","Por la nota de credito "&amp;Registro_Compras!$C$486&amp;" de "&amp;Registro_Compras!$E$486&amp;" [PATRON POR CONFIRMAR CON CONTADOR]",IF(Registro_Compras!$F$486="RHE","Por el registro del recibo por honorarios "&amp;Registro_Compras!$C$486&amp;" de "&amp;Registro_Compras!$E$486&amp;" [PATRON POR CONFIRMAR CON CONTADOR]","Por el registro de la factura "&amp;Registro_Compras!$C$486&amp;" de "&amp;Registro_Compras!$E$486)))</f>
        <v/>
      </c>
      <c r="H4343">
        <f>IF($C4343="","",Registro_Compras!$C$486)</f>
        <v/>
      </c>
    </row>
    <row r="4344">
      <c r="A4344" s="25">
        <f>IF($C4344="","",Registro_Compras!$B$486)</f>
        <v/>
      </c>
      <c r="B4344">
        <f>IF($C4344="","","C"&amp;TEXT(INT((ROW()-5)/9)+1,"000")&amp;"-1")</f>
        <v/>
      </c>
      <c r="C4344">
        <f>IF(OR(Registro_Compras!$C$486="",Registro_Compras!$O$486=""),"",IF(Registro_Compras!$F$486="RHE",IF(Registro_Compras!$V$486=0,"","40172"),IF(Registro_Compras!$F$486="NOTA DE CREDITO",IF(Registro_Compras!$M$486="","63",Registro_Compras!$M$486),IF(Registro_Compras!$K$486=0,"","40111"))))</f>
        <v/>
      </c>
      <c r="D4344">
        <f>IF(OR(Registro_Compras!$C$486="",Registro_Compras!$O$486=""),"",IF(Registro_Compras!$F$486="RHE","Retencion Renta 4ta Categoria por Pagar",IF(Registro_Compras!$F$486="NOTA DE CREDITO","Gastos de Servicios Prestados por Terceros","IGV - Cuenta Propia (Credito Fiscal)")))</f>
        <v/>
      </c>
      <c r="E4344" s="20">
        <f>IF($C4344="","",IF(Registro_Compras!$F$486="FACTURA",ROUND(Registro_Compras!$K$486*Registro_Compras!$N$486,2),""))</f>
        <v/>
      </c>
      <c r="F4344" s="20">
        <f>IF($C4344="","",IF(Registro_Compras!$F$486="RHE",ROUND(Registro_Compras!$V$486*Registro_Compras!$N$486,2),IF(Registro_Compras!$F$486="NOTA DE CREDITO",ROUND(ABS(Registro_Compras!$J$486*Registro_Compras!$N$486),2),"")))</f>
        <v/>
      </c>
      <c r="G4344">
        <f>IF($C4344="","",IF(Registro_Compras!$F$486="NOTA DE CREDITO","Por la nota de credito "&amp;Registro_Compras!$C$486&amp;" de "&amp;Registro_Compras!$E$486&amp;" [PATRON POR CONFIRMAR CON CONTADOR]",IF(Registro_Compras!$F$486="RHE","Por el registro del recibo por honorarios "&amp;Registro_Compras!$C$486&amp;" de "&amp;Registro_Compras!$E$486&amp;" [PATRON POR CONFIRMAR CON CONTADOR]","Por el registro de la factura "&amp;Registro_Compras!$C$486&amp;" de "&amp;Registro_Compras!$E$486)))</f>
        <v/>
      </c>
      <c r="H4344">
        <f>IF($C4344="","",Registro_Compras!$C$486)</f>
        <v/>
      </c>
    </row>
    <row r="4345">
      <c r="A4345" s="25">
        <f>IF($C4345="","",Registro_Compras!$B$486)</f>
        <v/>
      </c>
      <c r="B4345">
        <f>IF($C4345="","","C"&amp;TEXT(INT((ROW()-5)/9)+1,"000")&amp;"-1")</f>
        <v/>
      </c>
      <c r="C4345">
        <f>IF(OR(Registro_Compras!$C$486="",Registro_Compras!$O$486=""),"",IF(Registro_Compras!$F$486="NOTA DE CREDITO",IF(Registro_Compras!$K$486=0,"","40111"),"4212"))</f>
        <v/>
      </c>
      <c r="D4345">
        <f>IF(OR(Registro_Compras!$C$486="",Registro_Compras!$O$486=""),"",IF(Registro_Compras!$F$486="NOTA DE CREDITO","IGV - Cuenta Propia (Credito Fiscal)","Cuentas por Pagar Comerciales - Terceros (Emitidas)"))</f>
        <v/>
      </c>
      <c r="E4345" s="20">
        <f>""</f>
        <v/>
      </c>
      <c r="F4345" s="20">
        <f>IF($C4345="","",IF(Registro_Compras!$F$486="NOTA DE CREDITO",ROUND(ABS(Registro_Compras!$K$486*Registro_Compras!$N$486),2),IF(Registro_Compras!$F$486="RHE",(ROUND(Registro_Compras!$L$486*Registro_Compras!$N$486,2)-ROUND(Registro_Compras!$V$486*Registro_Compras!$N$486,2)),Registro_Compras!$O$486)))</f>
        <v/>
      </c>
      <c r="G4345">
        <f>IF($C4345="","",IF(Registro_Compras!$F$486="NOTA DE CREDITO","Por la nota de credito "&amp;Registro_Compras!$C$486&amp;" de "&amp;Registro_Compras!$E$486&amp;" [PATRON POR CONFIRMAR CON CONTADOR]",IF(Registro_Compras!$F$486="RHE","Por el registro del recibo por honorarios "&amp;Registro_Compras!$C$486&amp;" de "&amp;Registro_Compras!$E$486&amp;" [PATRON POR CONFIRMAR CON CONTADOR]","Por el registro de la factura "&amp;Registro_Compras!$C$486&amp;" de "&amp;Registro_Compras!$E$486)))</f>
        <v/>
      </c>
      <c r="H4345">
        <f>IF($C4345="","",Registro_Compras!$C$486)</f>
        <v/>
      </c>
    </row>
    <row r="4346">
      <c r="A4346" s="25">
        <f>IF($C4346="","",Registro_Compras!$B$486)</f>
        <v/>
      </c>
      <c r="B4346">
        <f>IF($C4346="","","C"&amp;TEXT(INT((ROW()-5)/9)+1,"000")&amp;"-2")</f>
        <v/>
      </c>
      <c r="C4346">
        <f>IF(OR(Registro_Compras!$C$486="",Registro_Compras!$O$486=""),"",IF(Registro_Compras!$AB$486="ADMINISTRATIVO","94","95"))</f>
        <v/>
      </c>
      <c r="D4346">
        <f>IF(OR(Registro_Compras!$C$486="",Registro_Compras!$O$486=""),"",IF(Registro_Compras!$AB$486="ADMINISTRATIVO","Gastos Administrativos","Gastos de Venta y Operacion"))</f>
        <v/>
      </c>
      <c r="E4346" s="20">
        <f>IF($C4346="","",IF(Registro_Compras!$F$486="NOTA DE CREDITO","",IF(Registro_Compras!$F$486="RHE",ROUND(Registro_Compras!$L$486*Registro_Compras!$N$486,2),ROUND(Registro_Compras!$J$486*Registro_Compras!$N$486,2))))</f>
        <v/>
      </c>
      <c r="F4346" s="20">
        <f>IF($C4346="","",IF(Registro_Compras!$F$486="NOTA DE CREDITO",ROUND(ABS(Registro_Compras!$J$486*Registro_Compras!$N$486),2),""))</f>
        <v/>
      </c>
      <c r="G4346">
        <f>IF($C4346="","","Por el destino del gasto")</f>
        <v/>
      </c>
      <c r="H4346">
        <f>IF($C4346="","",Registro_Compras!$C$486)</f>
        <v/>
      </c>
    </row>
    <row r="4347">
      <c r="A4347" s="25">
        <f>IF($C4347="","",Registro_Compras!$B$486)</f>
        <v/>
      </c>
      <c r="B4347">
        <f>IF($C4347="","","C"&amp;TEXT(INT((ROW()-5)/9)+1,"000")&amp;"-2")</f>
        <v/>
      </c>
      <c r="C4347">
        <f>IF(OR(Registro_Compras!$C$486="",Registro_Compras!$O$486=""),"","79/791")</f>
        <v/>
      </c>
      <c r="D4347">
        <f>IF(OR(Registro_Compras!$C$486="",Registro_Compras!$O$486=""),"","Cargas Imputables a Cuentas de Costos y Gastos")</f>
        <v/>
      </c>
      <c r="E4347" s="20">
        <f>IF($C4347="","",IF(Registro_Compras!$F$486="NOTA DE CREDITO",ROUND(ABS(Registro_Compras!$J$486*Registro_Compras!$N$486),2),""))</f>
        <v/>
      </c>
      <c r="F4347" s="20">
        <f>IF($C4347="","",IF(Registro_Compras!$F$486="NOTA DE CREDITO","",IF(Registro_Compras!$F$486="RHE",ROUND(Registro_Compras!$L$486*Registro_Compras!$N$486,2),ROUND(Registro_Compras!$J$486*Registro_Compras!$N$486,2))))</f>
        <v/>
      </c>
      <c r="G4347">
        <f>IF($C4347="","","Por el destino del gasto")</f>
        <v/>
      </c>
      <c r="H4347">
        <f>IF($C4347="","",Registro_Compras!$C$486)</f>
        <v/>
      </c>
    </row>
    <row r="4348">
      <c r="A4348" s="25">
        <f>IF($C4348="","",Registro_Compras!$X$486)</f>
        <v/>
      </c>
      <c r="B4348">
        <f>IF($C4348="","","C"&amp;TEXT(INT((ROW()-5)/9)+1,"000")&amp;"-3")</f>
        <v/>
      </c>
      <c r="C4348">
        <f>IF(OR(Registro_Compras!$C$486="",Registro_Compras!$O$486="",Registro_Compras!$R$486&lt;&gt;"SI",Registro_Compras!$X$486=""),"","4212")</f>
        <v/>
      </c>
      <c r="D4348">
        <f>IF(OR(Registro_Compras!$C$486="",Registro_Compras!$O$486=""),"","Cuentas por Pagar Comerciales - Terceros")</f>
        <v/>
      </c>
      <c r="E4348" s="20">
        <f>IF($C4348="","",Registro_Compras!$S$486)</f>
        <v/>
      </c>
      <c r="F4348" s="20">
        <f>""</f>
        <v/>
      </c>
      <c r="G4348">
        <f>IF($C4348="","","Por el deposito de la detraccion en el Banco de la Nacion")</f>
        <v/>
      </c>
      <c r="H4348">
        <f>IF($C4348="","",Registro_Compras!$C$486)</f>
        <v/>
      </c>
    </row>
    <row r="4349">
      <c r="A4349" s="25">
        <f>IF($C4349="","",Registro_Compras!$X$486)</f>
        <v/>
      </c>
      <c r="B4349">
        <f>IF($C4349="","","C"&amp;TEXT(INT((ROW()-5)/9)+1,"000")&amp;"-3")</f>
        <v/>
      </c>
      <c r="C4349">
        <f>IF(OR(Registro_Compras!$C$486="",Registro_Compras!$O$486="",Registro_Compras!$R$486&lt;&gt;"SI",Registro_Compras!$X$486=""),"","10413")</f>
        <v/>
      </c>
      <c r="D4349">
        <f>IF(OR(Registro_Compras!$C$486="",Registro_Compras!$O$486=""),"","Efectivo y Equivalentes - Cta. Cte. Operativa")</f>
        <v/>
      </c>
      <c r="E4349" s="20">
        <f>""</f>
        <v/>
      </c>
      <c r="F4349" s="20">
        <f>IF($C4349="","",Registro_Compras!$S$486)</f>
        <v/>
      </c>
      <c r="G4349">
        <f>IF($C4349="","","Por el deposito de la detraccion en el Banco de la Nacion")</f>
        <v/>
      </c>
      <c r="H4349">
        <f>IF($C4349="","",Registro_Compras!$C$486)</f>
        <v/>
      </c>
    </row>
    <row r="4350">
      <c r="A4350" s="25">
        <f>IF($C4350="","",Registro_Compras!$Y$486)</f>
        <v/>
      </c>
      <c r="B4350">
        <f>IF($C4350="","","C"&amp;TEXT(INT((ROW()-5)/9)+1,"000")&amp;"-4")</f>
        <v/>
      </c>
      <c r="C4350">
        <f>IF(OR(Registro_Compras!$C$486="",Registro_Compras!$O$486="",Registro_Compras!$Y$486="",Registro_Compras!$F$486="NOTA DE CREDITO"),"","4212")</f>
        <v/>
      </c>
      <c r="D4350">
        <f>IF(OR(Registro_Compras!$C$486="",Registro_Compras!$O$486=""),"","Cuentas por Pagar Comerciales - Terceros")</f>
        <v/>
      </c>
      <c r="E4350" s="20">
        <f>IF($C4350="","",IF(Registro_Compras!$F$486="RHE",(ROUND(Registro_Compras!$L$486*Registro_Compras!$N$486,2)-ROUND(Registro_Compras!$V$486*Registro_Compras!$N$486,2)),ROUND(Registro_Compras!$O$486-Registro_Compras!$S$486,2)))</f>
        <v/>
      </c>
      <c r="F4350" s="20">
        <f>""</f>
        <v/>
      </c>
      <c r="G4350">
        <f>IF($C4350="","","Por la cancelacion del saldo al proveedor")</f>
        <v/>
      </c>
      <c r="H4350">
        <f>IF($C4350="","",Registro_Compras!$C$486)</f>
        <v/>
      </c>
    </row>
    <row r="4351">
      <c r="A4351" s="25">
        <f>IF($C4351="","",Registro_Compras!$Y$486)</f>
        <v/>
      </c>
      <c r="B4351">
        <f>IF($C4351="","","C"&amp;TEXT(INT((ROW()-5)/9)+1,"000")&amp;"-4")</f>
        <v/>
      </c>
      <c r="C4351">
        <f>IF(OR(Registro_Compras!$C$486="",Registro_Compras!$O$486="",Registro_Compras!$Y$486="",Registro_Compras!$F$486="NOTA DE CREDITO"),"","10413")</f>
        <v/>
      </c>
      <c r="D4351">
        <f>IF(OR(Registro_Compras!$C$486="",Registro_Compras!$O$486=""),"","Efectivo y Equivalentes - Cta. Cte. Operativa")</f>
        <v/>
      </c>
      <c r="E4351" s="20">
        <f>""</f>
        <v/>
      </c>
      <c r="F4351" s="20">
        <f>IF($C4351="","",IF(Registro_Compras!$F$486="RHE",(ROUND(Registro_Compras!$L$486*Registro_Compras!$N$486,2)-ROUND(Registro_Compras!$V$486*Registro_Compras!$N$486,2)),ROUND(Registro_Compras!$O$486-Registro_Compras!$S$486,2)))</f>
        <v/>
      </c>
      <c r="G4351">
        <f>IF($C4351="","","Por la cancelacion del saldo al proveedor")</f>
        <v/>
      </c>
      <c r="H4351">
        <f>IF($C4351="","",Registro_Compras!$C$486)</f>
        <v/>
      </c>
    </row>
    <row r="4352">
      <c r="A4352" s="25">
        <f>IF($C4352="","",Registro_Compras!$B$487)</f>
        <v/>
      </c>
      <c r="B4352">
        <f>IF($C4352="","","C"&amp;TEXT(INT((ROW()-5)/9)+1,"000")&amp;"-1")</f>
        <v/>
      </c>
      <c r="C4352">
        <f>IF(OR(Registro_Compras!$C$487="",Registro_Compras!$O$487=""),"",IF(Registro_Compras!$F$487="NOTA DE CREDITO","4212",IF(Registro_Compras!$M$487="","63",Registro_Compras!$M$487)))</f>
        <v/>
      </c>
      <c r="D4352">
        <f>IF(OR(Registro_Compras!$C$487="",Registro_Compras!$O$487=""),"",IF(Registro_Compras!$F$487="NOTA DE CREDITO","Cuentas por Pagar Comerciales - Terceros (Emitidas)",IF(Registro_Compras!$F$487="RHE","Honorarios Profesionales - Servicios de Terceros","Gastos de Servicios Prestados por Terceros")))</f>
        <v/>
      </c>
      <c r="E4352" s="20">
        <f>IF($C4352="","",IF(Registro_Compras!$F$487="NOTA DE CREDITO",ABS(Registro_Compras!$O$487),IF(Registro_Compras!$F$487="RHE",ROUND(Registro_Compras!$L$487*Registro_Compras!$N$487,2),ROUND(Registro_Compras!$J$487*Registro_Compras!$N$487,2))))</f>
        <v/>
      </c>
      <c r="F4352" s="20">
        <f>""</f>
        <v/>
      </c>
      <c r="G4352">
        <f>IF($C4352="","",IF(Registro_Compras!$F$487="NOTA DE CREDITO","Por la nota de credito "&amp;Registro_Compras!$C$487&amp;" de "&amp;Registro_Compras!$E$487&amp;" [PATRON POR CONFIRMAR CON CONTADOR]",IF(Registro_Compras!$F$487="RHE","Por el registro del recibo por honorarios "&amp;Registro_Compras!$C$487&amp;" de "&amp;Registro_Compras!$E$487&amp;" [PATRON POR CONFIRMAR CON CONTADOR]","Por el registro de la factura "&amp;Registro_Compras!$C$487&amp;" de "&amp;Registro_Compras!$E$487)))</f>
        <v/>
      </c>
      <c r="H4352">
        <f>IF($C4352="","",Registro_Compras!$C$487)</f>
        <v/>
      </c>
    </row>
    <row r="4353">
      <c r="A4353" s="25">
        <f>IF($C4353="","",Registro_Compras!$B$487)</f>
        <v/>
      </c>
      <c r="B4353">
        <f>IF($C4353="","","C"&amp;TEXT(INT((ROW()-5)/9)+1,"000")&amp;"-1")</f>
        <v/>
      </c>
      <c r="C4353">
        <f>IF(OR(Registro_Compras!$C$487="",Registro_Compras!$O$487=""),"",IF(Registro_Compras!$F$487="RHE",IF(Registro_Compras!$V$487=0,"","40172"),IF(Registro_Compras!$F$487="NOTA DE CREDITO",IF(Registro_Compras!$M$487="","63",Registro_Compras!$M$487),IF(Registro_Compras!$K$487=0,"","40111"))))</f>
        <v/>
      </c>
      <c r="D4353">
        <f>IF(OR(Registro_Compras!$C$487="",Registro_Compras!$O$487=""),"",IF(Registro_Compras!$F$487="RHE","Retencion Renta 4ta Categoria por Pagar",IF(Registro_Compras!$F$487="NOTA DE CREDITO","Gastos de Servicios Prestados por Terceros","IGV - Cuenta Propia (Credito Fiscal)")))</f>
        <v/>
      </c>
      <c r="E4353" s="20">
        <f>IF($C4353="","",IF(Registro_Compras!$F$487="FACTURA",ROUND(Registro_Compras!$K$487*Registro_Compras!$N$487,2),""))</f>
        <v/>
      </c>
      <c r="F4353" s="20">
        <f>IF($C4353="","",IF(Registro_Compras!$F$487="RHE",ROUND(Registro_Compras!$V$487*Registro_Compras!$N$487,2),IF(Registro_Compras!$F$487="NOTA DE CREDITO",ROUND(ABS(Registro_Compras!$J$487*Registro_Compras!$N$487),2),"")))</f>
        <v/>
      </c>
      <c r="G4353">
        <f>IF($C4353="","",IF(Registro_Compras!$F$487="NOTA DE CREDITO","Por la nota de credito "&amp;Registro_Compras!$C$487&amp;" de "&amp;Registro_Compras!$E$487&amp;" [PATRON POR CONFIRMAR CON CONTADOR]",IF(Registro_Compras!$F$487="RHE","Por el registro del recibo por honorarios "&amp;Registro_Compras!$C$487&amp;" de "&amp;Registro_Compras!$E$487&amp;" [PATRON POR CONFIRMAR CON CONTADOR]","Por el registro de la factura "&amp;Registro_Compras!$C$487&amp;" de "&amp;Registro_Compras!$E$487)))</f>
        <v/>
      </c>
      <c r="H4353">
        <f>IF($C4353="","",Registro_Compras!$C$487)</f>
        <v/>
      </c>
    </row>
    <row r="4354">
      <c r="A4354" s="25">
        <f>IF($C4354="","",Registro_Compras!$B$487)</f>
        <v/>
      </c>
      <c r="B4354">
        <f>IF($C4354="","","C"&amp;TEXT(INT((ROW()-5)/9)+1,"000")&amp;"-1")</f>
        <v/>
      </c>
      <c r="C4354">
        <f>IF(OR(Registro_Compras!$C$487="",Registro_Compras!$O$487=""),"",IF(Registro_Compras!$F$487="NOTA DE CREDITO",IF(Registro_Compras!$K$487=0,"","40111"),"4212"))</f>
        <v/>
      </c>
      <c r="D4354">
        <f>IF(OR(Registro_Compras!$C$487="",Registro_Compras!$O$487=""),"",IF(Registro_Compras!$F$487="NOTA DE CREDITO","IGV - Cuenta Propia (Credito Fiscal)","Cuentas por Pagar Comerciales - Terceros (Emitidas)"))</f>
        <v/>
      </c>
      <c r="E4354" s="20">
        <f>""</f>
        <v/>
      </c>
      <c r="F4354" s="20">
        <f>IF($C4354="","",IF(Registro_Compras!$F$487="NOTA DE CREDITO",ROUND(ABS(Registro_Compras!$K$487*Registro_Compras!$N$487),2),IF(Registro_Compras!$F$487="RHE",(ROUND(Registro_Compras!$L$487*Registro_Compras!$N$487,2)-ROUND(Registro_Compras!$V$487*Registro_Compras!$N$487,2)),Registro_Compras!$O$487)))</f>
        <v/>
      </c>
      <c r="G4354">
        <f>IF($C4354="","",IF(Registro_Compras!$F$487="NOTA DE CREDITO","Por la nota de credito "&amp;Registro_Compras!$C$487&amp;" de "&amp;Registro_Compras!$E$487&amp;" [PATRON POR CONFIRMAR CON CONTADOR]",IF(Registro_Compras!$F$487="RHE","Por el registro del recibo por honorarios "&amp;Registro_Compras!$C$487&amp;" de "&amp;Registro_Compras!$E$487&amp;" [PATRON POR CONFIRMAR CON CONTADOR]","Por el registro de la factura "&amp;Registro_Compras!$C$487&amp;" de "&amp;Registro_Compras!$E$487)))</f>
        <v/>
      </c>
      <c r="H4354">
        <f>IF($C4354="","",Registro_Compras!$C$487)</f>
        <v/>
      </c>
    </row>
    <row r="4355">
      <c r="A4355" s="25">
        <f>IF($C4355="","",Registro_Compras!$B$487)</f>
        <v/>
      </c>
      <c r="B4355">
        <f>IF($C4355="","","C"&amp;TEXT(INT((ROW()-5)/9)+1,"000")&amp;"-2")</f>
        <v/>
      </c>
      <c r="C4355">
        <f>IF(OR(Registro_Compras!$C$487="",Registro_Compras!$O$487=""),"",IF(Registro_Compras!$AB$487="ADMINISTRATIVO","94","95"))</f>
        <v/>
      </c>
      <c r="D4355">
        <f>IF(OR(Registro_Compras!$C$487="",Registro_Compras!$O$487=""),"",IF(Registro_Compras!$AB$487="ADMINISTRATIVO","Gastos Administrativos","Gastos de Venta y Operacion"))</f>
        <v/>
      </c>
      <c r="E4355" s="20">
        <f>IF($C4355="","",IF(Registro_Compras!$F$487="NOTA DE CREDITO","",IF(Registro_Compras!$F$487="RHE",ROUND(Registro_Compras!$L$487*Registro_Compras!$N$487,2),ROUND(Registro_Compras!$J$487*Registro_Compras!$N$487,2))))</f>
        <v/>
      </c>
      <c r="F4355" s="20">
        <f>IF($C4355="","",IF(Registro_Compras!$F$487="NOTA DE CREDITO",ROUND(ABS(Registro_Compras!$J$487*Registro_Compras!$N$487),2),""))</f>
        <v/>
      </c>
      <c r="G4355">
        <f>IF($C4355="","","Por el destino del gasto")</f>
        <v/>
      </c>
      <c r="H4355">
        <f>IF($C4355="","",Registro_Compras!$C$487)</f>
        <v/>
      </c>
    </row>
    <row r="4356">
      <c r="A4356" s="25">
        <f>IF($C4356="","",Registro_Compras!$B$487)</f>
        <v/>
      </c>
      <c r="B4356">
        <f>IF($C4356="","","C"&amp;TEXT(INT((ROW()-5)/9)+1,"000")&amp;"-2")</f>
        <v/>
      </c>
      <c r="C4356">
        <f>IF(OR(Registro_Compras!$C$487="",Registro_Compras!$O$487=""),"","79/791")</f>
        <v/>
      </c>
      <c r="D4356">
        <f>IF(OR(Registro_Compras!$C$487="",Registro_Compras!$O$487=""),"","Cargas Imputables a Cuentas de Costos y Gastos")</f>
        <v/>
      </c>
      <c r="E4356" s="20">
        <f>IF($C4356="","",IF(Registro_Compras!$F$487="NOTA DE CREDITO",ROUND(ABS(Registro_Compras!$J$487*Registro_Compras!$N$487),2),""))</f>
        <v/>
      </c>
      <c r="F4356" s="20">
        <f>IF($C4356="","",IF(Registro_Compras!$F$487="NOTA DE CREDITO","",IF(Registro_Compras!$F$487="RHE",ROUND(Registro_Compras!$L$487*Registro_Compras!$N$487,2),ROUND(Registro_Compras!$J$487*Registro_Compras!$N$487,2))))</f>
        <v/>
      </c>
      <c r="G4356">
        <f>IF($C4356="","","Por el destino del gasto")</f>
        <v/>
      </c>
      <c r="H4356">
        <f>IF($C4356="","",Registro_Compras!$C$487)</f>
        <v/>
      </c>
    </row>
    <row r="4357">
      <c r="A4357" s="25">
        <f>IF($C4357="","",Registro_Compras!$X$487)</f>
        <v/>
      </c>
      <c r="B4357">
        <f>IF($C4357="","","C"&amp;TEXT(INT((ROW()-5)/9)+1,"000")&amp;"-3")</f>
        <v/>
      </c>
      <c r="C4357">
        <f>IF(OR(Registro_Compras!$C$487="",Registro_Compras!$O$487="",Registro_Compras!$R$487&lt;&gt;"SI",Registro_Compras!$X$487=""),"","4212")</f>
        <v/>
      </c>
      <c r="D4357">
        <f>IF(OR(Registro_Compras!$C$487="",Registro_Compras!$O$487=""),"","Cuentas por Pagar Comerciales - Terceros")</f>
        <v/>
      </c>
      <c r="E4357" s="20">
        <f>IF($C4357="","",Registro_Compras!$S$487)</f>
        <v/>
      </c>
      <c r="F4357" s="20">
        <f>""</f>
        <v/>
      </c>
      <c r="G4357">
        <f>IF($C4357="","","Por el deposito de la detraccion en el Banco de la Nacion")</f>
        <v/>
      </c>
      <c r="H4357">
        <f>IF($C4357="","",Registro_Compras!$C$487)</f>
        <v/>
      </c>
    </row>
    <row r="4358">
      <c r="A4358" s="25">
        <f>IF($C4358="","",Registro_Compras!$X$487)</f>
        <v/>
      </c>
      <c r="B4358">
        <f>IF($C4358="","","C"&amp;TEXT(INT((ROW()-5)/9)+1,"000")&amp;"-3")</f>
        <v/>
      </c>
      <c r="C4358">
        <f>IF(OR(Registro_Compras!$C$487="",Registro_Compras!$O$487="",Registro_Compras!$R$487&lt;&gt;"SI",Registro_Compras!$X$487=""),"","10413")</f>
        <v/>
      </c>
      <c r="D4358">
        <f>IF(OR(Registro_Compras!$C$487="",Registro_Compras!$O$487=""),"","Efectivo y Equivalentes - Cta. Cte. Operativa")</f>
        <v/>
      </c>
      <c r="E4358" s="20">
        <f>""</f>
        <v/>
      </c>
      <c r="F4358" s="20">
        <f>IF($C4358="","",Registro_Compras!$S$487)</f>
        <v/>
      </c>
      <c r="G4358">
        <f>IF($C4358="","","Por el deposito de la detraccion en el Banco de la Nacion")</f>
        <v/>
      </c>
      <c r="H4358">
        <f>IF($C4358="","",Registro_Compras!$C$487)</f>
        <v/>
      </c>
    </row>
    <row r="4359">
      <c r="A4359" s="25">
        <f>IF($C4359="","",Registro_Compras!$Y$487)</f>
        <v/>
      </c>
      <c r="B4359">
        <f>IF($C4359="","","C"&amp;TEXT(INT((ROW()-5)/9)+1,"000")&amp;"-4")</f>
        <v/>
      </c>
      <c r="C4359">
        <f>IF(OR(Registro_Compras!$C$487="",Registro_Compras!$O$487="",Registro_Compras!$Y$487="",Registro_Compras!$F$487="NOTA DE CREDITO"),"","4212")</f>
        <v/>
      </c>
      <c r="D4359">
        <f>IF(OR(Registro_Compras!$C$487="",Registro_Compras!$O$487=""),"","Cuentas por Pagar Comerciales - Terceros")</f>
        <v/>
      </c>
      <c r="E4359" s="20">
        <f>IF($C4359="","",IF(Registro_Compras!$F$487="RHE",(ROUND(Registro_Compras!$L$487*Registro_Compras!$N$487,2)-ROUND(Registro_Compras!$V$487*Registro_Compras!$N$487,2)),ROUND(Registro_Compras!$O$487-Registro_Compras!$S$487,2)))</f>
        <v/>
      </c>
      <c r="F4359" s="20">
        <f>""</f>
        <v/>
      </c>
      <c r="G4359">
        <f>IF($C4359="","","Por la cancelacion del saldo al proveedor")</f>
        <v/>
      </c>
      <c r="H4359">
        <f>IF($C4359="","",Registro_Compras!$C$487)</f>
        <v/>
      </c>
    </row>
    <row r="4360">
      <c r="A4360" s="25">
        <f>IF($C4360="","",Registro_Compras!$Y$487)</f>
        <v/>
      </c>
      <c r="B4360">
        <f>IF($C4360="","","C"&amp;TEXT(INT((ROW()-5)/9)+1,"000")&amp;"-4")</f>
        <v/>
      </c>
      <c r="C4360">
        <f>IF(OR(Registro_Compras!$C$487="",Registro_Compras!$O$487="",Registro_Compras!$Y$487="",Registro_Compras!$F$487="NOTA DE CREDITO"),"","10413")</f>
        <v/>
      </c>
      <c r="D4360">
        <f>IF(OR(Registro_Compras!$C$487="",Registro_Compras!$O$487=""),"","Efectivo y Equivalentes - Cta. Cte. Operativa")</f>
        <v/>
      </c>
      <c r="E4360" s="20">
        <f>""</f>
        <v/>
      </c>
      <c r="F4360" s="20">
        <f>IF($C4360="","",IF(Registro_Compras!$F$487="RHE",(ROUND(Registro_Compras!$L$487*Registro_Compras!$N$487,2)-ROUND(Registro_Compras!$V$487*Registro_Compras!$N$487,2)),ROUND(Registro_Compras!$O$487-Registro_Compras!$S$487,2)))</f>
        <v/>
      </c>
      <c r="G4360">
        <f>IF($C4360="","","Por la cancelacion del saldo al proveedor")</f>
        <v/>
      </c>
      <c r="H4360">
        <f>IF($C4360="","",Registro_Compras!$C$487)</f>
        <v/>
      </c>
    </row>
    <row r="4361">
      <c r="A4361" s="25">
        <f>IF($C4361="","",Registro_Compras!$B$488)</f>
        <v/>
      </c>
      <c r="B4361">
        <f>IF($C4361="","","C"&amp;TEXT(INT((ROW()-5)/9)+1,"000")&amp;"-1")</f>
        <v/>
      </c>
      <c r="C4361">
        <f>IF(OR(Registro_Compras!$C$488="",Registro_Compras!$O$488=""),"",IF(Registro_Compras!$F$488="NOTA DE CREDITO","4212",IF(Registro_Compras!$M$488="","63",Registro_Compras!$M$488)))</f>
        <v/>
      </c>
      <c r="D4361">
        <f>IF(OR(Registro_Compras!$C$488="",Registro_Compras!$O$488=""),"",IF(Registro_Compras!$F$488="NOTA DE CREDITO","Cuentas por Pagar Comerciales - Terceros (Emitidas)",IF(Registro_Compras!$F$488="RHE","Honorarios Profesionales - Servicios de Terceros","Gastos de Servicios Prestados por Terceros")))</f>
        <v/>
      </c>
      <c r="E4361" s="20">
        <f>IF($C4361="","",IF(Registro_Compras!$F$488="NOTA DE CREDITO",ABS(Registro_Compras!$O$488),IF(Registro_Compras!$F$488="RHE",ROUND(Registro_Compras!$L$488*Registro_Compras!$N$488,2),ROUND(Registro_Compras!$J$488*Registro_Compras!$N$488,2))))</f>
        <v/>
      </c>
      <c r="F4361" s="20">
        <f>""</f>
        <v/>
      </c>
      <c r="G4361">
        <f>IF($C4361="","",IF(Registro_Compras!$F$488="NOTA DE CREDITO","Por la nota de credito "&amp;Registro_Compras!$C$488&amp;" de "&amp;Registro_Compras!$E$488&amp;" [PATRON POR CONFIRMAR CON CONTADOR]",IF(Registro_Compras!$F$488="RHE","Por el registro del recibo por honorarios "&amp;Registro_Compras!$C$488&amp;" de "&amp;Registro_Compras!$E$488&amp;" [PATRON POR CONFIRMAR CON CONTADOR]","Por el registro de la factura "&amp;Registro_Compras!$C$488&amp;" de "&amp;Registro_Compras!$E$488)))</f>
        <v/>
      </c>
      <c r="H4361">
        <f>IF($C4361="","",Registro_Compras!$C$488)</f>
        <v/>
      </c>
    </row>
    <row r="4362">
      <c r="A4362" s="25">
        <f>IF($C4362="","",Registro_Compras!$B$488)</f>
        <v/>
      </c>
      <c r="B4362">
        <f>IF($C4362="","","C"&amp;TEXT(INT((ROW()-5)/9)+1,"000")&amp;"-1")</f>
        <v/>
      </c>
      <c r="C4362">
        <f>IF(OR(Registro_Compras!$C$488="",Registro_Compras!$O$488=""),"",IF(Registro_Compras!$F$488="RHE",IF(Registro_Compras!$V$488=0,"","40172"),IF(Registro_Compras!$F$488="NOTA DE CREDITO",IF(Registro_Compras!$M$488="","63",Registro_Compras!$M$488),IF(Registro_Compras!$K$488=0,"","40111"))))</f>
        <v/>
      </c>
      <c r="D4362">
        <f>IF(OR(Registro_Compras!$C$488="",Registro_Compras!$O$488=""),"",IF(Registro_Compras!$F$488="RHE","Retencion Renta 4ta Categoria por Pagar",IF(Registro_Compras!$F$488="NOTA DE CREDITO","Gastos de Servicios Prestados por Terceros","IGV - Cuenta Propia (Credito Fiscal)")))</f>
        <v/>
      </c>
      <c r="E4362" s="20">
        <f>IF($C4362="","",IF(Registro_Compras!$F$488="FACTURA",ROUND(Registro_Compras!$K$488*Registro_Compras!$N$488,2),""))</f>
        <v/>
      </c>
      <c r="F4362" s="20">
        <f>IF($C4362="","",IF(Registro_Compras!$F$488="RHE",ROUND(Registro_Compras!$V$488*Registro_Compras!$N$488,2),IF(Registro_Compras!$F$488="NOTA DE CREDITO",ROUND(ABS(Registro_Compras!$J$488*Registro_Compras!$N$488),2),"")))</f>
        <v/>
      </c>
      <c r="G4362">
        <f>IF($C4362="","",IF(Registro_Compras!$F$488="NOTA DE CREDITO","Por la nota de credito "&amp;Registro_Compras!$C$488&amp;" de "&amp;Registro_Compras!$E$488&amp;" [PATRON POR CONFIRMAR CON CONTADOR]",IF(Registro_Compras!$F$488="RHE","Por el registro del recibo por honorarios "&amp;Registro_Compras!$C$488&amp;" de "&amp;Registro_Compras!$E$488&amp;" [PATRON POR CONFIRMAR CON CONTADOR]","Por el registro de la factura "&amp;Registro_Compras!$C$488&amp;" de "&amp;Registro_Compras!$E$488)))</f>
        <v/>
      </c>
      <c r="H4362">
        <f>IF($C4362="","",Registro_Compras!$C$488)</f>
        <v/>
      </c>
    </row>
    <row r="4363">
      <c r="A4363" s="25">
        <f>IF($C4363="","",Registro_Compras!$B$488)</f>
        <v/>
      </c>
      <c r="B4363">
        <f>IF($C4363="","","C"&amp;TEXT(INT((ROW()-5)/9)+1,"000")&amp;"-1")</f>
        <v/>
      </c>
      <c r="C4363">
        <f>IF(OR(Registro_Compras!$C$488="",Registro_Compras!$O$488=""),"",IF(Registro_Compras!$F$488="NOTA DE CREDITO",IF(Registro_Compras!$K$488=0,"","40111"),"4212"))</f>
        <v/>
      </c>
      <c r="D4363">
        <f>IF(OR(Registro_Compras!$C$488="",Registro_Compras!$O$488=""),"",IF(Registro_Compras!$F$488="NOTA DE CREDITO","IGV - Cuenta Propia (Credito Fiscal)","Cuentas por Pagar Comerciales - Terceros (Emitidas)"))</f>
        <v/>
      </c>
      <c r="E4363" s="20">
        <f>""</f>
        <v/>
      </c>
      <c r="F4363" s="20">
        <f>IF($C4363="","",IF(Registro_Compras!$F$488="NOTA DE CREDITO",ROUND(ABS(Registro_Compras!$K$488*Registro_Compras!$N$488),2),IF(Registro_Compras!$F$488="RHE",(ROUND(Registro_Compras!$L$488*Registro_Compras!$N$488,2)-ROUND(Registro_Compras!$V$488*Registro_Compras!$N$488,2)),Registro_Compras!$O$488)))</f>
        <v/>
      </c>
      <c r="G4363">
        <f>IF($C4363="","",IF(Registro_Compras!$F$488="NOTA DE CREDITO","Por la nota de credito "&amp;Registro_Compras!$C$488&amp;" de "&amp;Registro_Compras!$E$488&amp;" [PATRON POR CONFIRMAR CON CONTADOR]",IF(Registro_Compras!$F$488="RHE","Por el registro del recibo por honorarios "&amp;Registro_Compras!$C$488&amp;" de "&amp;Registro_Compras!$E$488&amp;" [PATRON POR CONFIRMAR CON CONTADOR]","Por el registro de la factura "&amp;Registro_Compras!$C$488&amp;" de "&amp;Registro_Compras!$E$488)))</f>
        <v/>
      </c>
      <c r="H4363">
        <f>IF($C4363="","",Registro_Compras!$C$488)</f>
        <v/>
      </c>
    </row>
    <row r="4364">
      <c r="A4364" s="25">
        <f>IF($C4364="","",Registro_Compras!$B$488)</f>
        <v/>
      </c>
      <c r="B4364">
        <f>IF($C4364="","","C"&amp;TEXT(INT((ROW()-5)/9)+1,"000")&amp;"-2")</f>
        <v/>
      </c>
      <c r="C4364">
        <f>IF(OR(Registro_Compras!$C$488="",Registro_Compras!$O$488=""),"",IF(Registro_Compras!$AB$488="ADMINISTRATIVO","94","95"))</f>
        <v/>
      </c>
      <c r="D4364">
        <f>IF(OR(Registro_Compras!$C$488="",Registro_Compras!$O$488=""),"",IF(Registro_Compras!$AB$488="ADMINISTRATIVO","Gastos Administrativos","Gastos de Venta y Operacion"))</f>
        <v/>
      </c>
      <c r="E4364" s="20">
        <f>IF($C4364="","",IF(Registro_Compras!$F$488="NOTA DE CREDITO","",IF(Registro_Compras!$F$488="RHE",ROUND(Registro_Compras!$L$488*Registro_Compras!$N$488,2),ROUND(Registro_Compras!$J$488*Registro_Compras!$N$488,2))))</f>
        <v/>
      </c>
      <c r="F4364" s="20">
        <f>IF($C4364="","",IF(Registro_Compras!$F$488="NOTA DE CREDITO",ROUND(ABS(Registro_Compras!$J$488*Registro_Compras!$N$488),2),""))</f>
        <v/>
      </c>
      <c r="G4364">
        <f>IF($C4364="","","Por el destino del gasto")</f>
        <v/>
      </c>
      <c r="H4364">
        <f>IF($C4364="","",Registro_Compras!$C$488)</f>
        <v/>
      </c>
    </row>
    <row r="4365">
      <c r="A4365" s="25">
        <f>IF($C4365="","",Registro_Compras!$B$488)</f>
        <v/>
      </c>
      <c r="B4365">
        <f>IF($C4365="","","C"&amp;TEXT(INT((ROW()-5)/9)+1,"000")&amp;"-2")</f>
        <v/>
      </c>
      <c r="C4365">
        <f>IF(OR(Registro_Compras!$C$488="",Registro_Compras!$O$488=""),"","79/791")</f>
        <v/>
      </c>
      <c r="D4365">
        <f>IF(OR(Registro_Compras!$C$488="",Registro_Compras!$O$488=""),"","Cargas Imputables a Cuentas de Costos y Gastos")</f>
        <v/>
      </c>
      <c r="E4365" s="20">
        <f>IF($C4365="","",IF(Registro_Compras!$F$488="NOTA DE CREDITO",ROUND(ABS(Registro_Compras!$J$488*Registro_Compras!$N$488),2),""))</f>
        <v/>
      </c>
      <c r="F4365" s="20">
        <f>IF($C4365="","",IF(Registro_Compras!$F$488="NOTA DE CREDITO","",IF(Registro_Compras!$F$488="RHE",ROUND(Registro_Compras!$L$488*Registro_Compras!$N$488,2),ROUND(Registro_Compras!$J$488*Registro_Compras!$N$488,2))))</f>
        <v/>
      </c>
      <c r="G4365">
        <f>IF($C4365="","","Por el destino del gasto")</f>
        <v/>
      </c>
      <c r="H4365">
        <f>IF($C4365="","",Registro_Compras!$C$488)</f>
        <v/>
      </c>
    </row>
    <row r="4366">
      <c r="A4366" s="25">
        <f>IF($C4366="","",Registro_Compras!$X$488)</f>
        <v/>
      </c>
      <c r="B4366">
        <f>IF($C4366="","","C"&amp;TEXT(INT((ROW()-5)/9)+1,"000")&amp;"-3")</f>
        <v/>
      </c>
      <c r="C4366">
        <f>IF(OR(Registro_Compras!$C$488="",Registro_Compras!$O$488="",Registro_Compras!$R$488&lt;&gt;"SI",Registro_Compras!$X$488=""),"","4212")</f>
        <v/>
      </c>
      <c r="D4366">
        <f>IF(OR(Registro_Compras!$C$488="",Registro_Compras!$O$488=""),"","Cuentas por Pagar Comerciales - Terceros")</f>
        <v/>
      </c>
      <c r="E4366" s="20">
        <f>IF($C4366="","",Registro_Compras!$S$488)</f>
        <v/>
      </c>
      <c r="F4366" s="20">
        <f>""</f>
        <v/>
      </c>
      <c r="G4366">
        <f>IF($C4366="","","Por el deposito de la detraccion en el Banco de la Nacion")</f>
        <v/>
      </c>
      <c r="H4366">
        <f>IF($C4366="","",Registro_Compras!$C$488)</f>
        <v/>
      </c>
    </row>
    <row r="4367">
      <c r="A4367" s="25">
        <f>IF($C4367="","",Registro_Compras!$X$488)</f>
        <v/>
      </c>
      <c r="B4367">
        <f>IF($C4367="","","C"&amp;TEXT(INT((ROW()-5)/9)+1,"000")&amp;"-3")</f>
        <v/>
      </c>
      <c r="C4367">
        <f>IF(OR(Registro_Compras!$C$488="",Registro_Compras!$O$488="",Registro_Compras!$R$488&lt;&gt;"SI",Registro_Compras!$X$488=""),"","10413")</f>
        <v/>
      </c>
      <c r="D4367">
        <f>IF(OR(Registro_Compras!$C$488="",Registro_Compras!$O$488=""),"","Efectivo y Equivalentes - Cta. Cte. Operativa")</f>
        <v/>
      </c>
      <c r="E4367" s="20">
        <f>""</f>
        <v/>
      </c>
      <c r="F4367" s="20">
        <f>IF($C4367="","",Registro_Compras!$S$488)</f>
        <v/>
      </c>
      <c r="G4367">
        <f>IF($C4367="","","Por el deposito de la detraccion en el Banco de la Nacion")</f>
        <v/>
      </c>
      <c r="H4367">
        <f>IF($C4367="","",Registro_Compras!$C$488)</f>
        <v/>
      </c>
    </row>
    <row r="4368">
      <c r="A4368" s="25">
        <f>IF($C4368="","",Registro_Compras!$Y$488)</f>
        <v/>
      </c>
      <c r="B4368">
        <f>IF($C4368="","","C"&amp;TEXT(INT((ROW()-5)/9)+1,"000")&amp;"-4")</f>
        <v/>
      </c>
      <c r="C4368">
        <f>IF(OR(Registro_Compras!$C$488="",Registro_Compras!$O$488="",Registro_Compras!$Y$488="",Registro_Compras!$F$488="NOTA DE CREDITO"),"","4212")</f>
        <v/>
      </c>
      <c r="D4368">
        <f>IF(OR(Registro_Compras!$C$488="",Registro_Compras!$O$488=""),"","Cuentas por Pagar Comerciales - Terceros")</f>
        <v/>
      </c>
      <c r="E4368" s="20">
        <f>IF($C4368="","",IF(Registro_Compras!$F$488="RHE",(ROUND(Registro_Compras!$L$488*Registro_Compras!$N$488,2)-ROUND(Registro_Compras!$V$488*Registro_Compras!$N$488,2)),ROUND(Registro_Compras!$O$488-Registro_Compras!$S$488,2)))</f>
        <v/>
      </c>
      <c r="F4368" s="20">
        <f>""</f>
        <v/>
      </c>
      <c r="G4368">
        <f>IF($C4368="","","Por la cancelacion del saldo al proveedor")</f>
        <v/>
      </c>
      <c r="H4368">
        <f>IF($C4368="","",Registro_Compras!$C$488)</f>
        <v/>
      </c>
    </row>
    <row r="4369">
      <c r="A4369" s="25">
        <f>IF($C4369="","",Registro_Compras!$Y$488)</f>
        <v/>
      </c>
      <c r="B4369">
        <f>IF($C4369="","","C"&amp;TEXT(INT((ROW()-5)/9)+1,"000")&amp;"-4")</f>
        <v/>
      </c>
      <c r="C4369">
        <f>IF(OR(Registro_Compras!$C$488="",Registro_Compras!$O$488="",Registro_Compras!$Y$488="",Registro_Compras!$F$488="NOTA DE CREDITO"),"","10413")</f>
        <v/>
      </c>
      <c r="D4369">
        <f>IF(OR(Registro_Compras!$C$488="",Registro_Compras!$O$488=""),"","Efectivo y Equivalentes - Cta. Cte. Operativa")</f>
        <v/>
      </c>
      <c r="E4369" s="20">
        <f>""</f>
        <v/>
      </c>
      <c r="F4369" s="20">
        <f>IF($C4369="","",IF(Registro_Compras!$F$488="RHE",(ROUND(Registro_Compras!$L$488*Registro_Compras!$N$488,2)-ROUND(Registro_Compras!$V$488*Registro_Compras!$N$488,2)),ROUND(Registro_Compras!$O$488-Registro_Compras!$S$488,2)))</f>
        <v/>
      </c>
      <c r="G4369">
        <f>IF($C4369="","","Por la cancelacion del saldo al proveedor")</f>
        <v/>
      </c>
      <c r="H4369">
        <f>IF($C4369="","",Registro_Compras!$C$488)</f>
        <v/>
      </c>
    </row>
    <row r="4370">
      <c r="A4370" s="25">
        <f>IF($C4370="","",Registro_Compras!$B$489)</f>
        <v/>
      </c>
      <c r="B4370">
        <f>IF($C4370="","","C"&amp;TEXT(INT((ROW()-5)/9)+1,"000")&amp;"-1")</f>
        <v/>
      </c>
      <c r="C4370">
        <f>IF(OR(Registro_Compras!$C$489="",Registro_Compras!$O$489=""),"",IF(Registro_Compras!$F$489="NOTA DE CREDITO","4212",IF(Registro_Compras!$M$489="","63",Registro_Compras!$M$489)))</f>
        <v/>
      </c>
      <c r="D4370">
        <f>IF(OR(Registro_Compras!$C$489="",Registro_Compras!$O$489=""),"",IF(Registro_Compras!$F$489="NOTA DE CREDITO","Cuentas por Pagar Comerciales - Terceros (Emitidas)",IF(Registro_Compras!$F$489="RHE","Honorarios Profesionales - Servicios de Terceros","Gastos de Servicios Prestados por Terceros")))</f>
        <v/>
      </c>
      <c r="E4370" s="20">
        <f>IF($C4370="","",IF(Registro_Compras!$F$489="NOTA DE CREDITO",ABS(Registro_Compras!$O$489),IF(Registro_Compras!$F$489="RHE",ROUND(Registro_Compras!$L$489*Registro_Compras!$N$489,2),ROUND(Registro_Compras!$J$489*Registro_Compras!$N$489,2))))</f>
        <v/>
      </c>
      <c r="F4370" s="20">
        <f>""</f>
        <v/>
      </c>
      <c r="G4370">
        <f>IF($C4370="","",IF(Registro_Compras!$F$489="NOTA DE CREDITO","Por la nota de credito "&amp;Registro_Compras!$C$489&amp;" de "&amp;Registro_Compras!$E$489&amp;" [PATRON POR CONFIRMAR CON CONTADOR]",IF(Registro_Compras!$F$489="RHE","Por el registro del recibo por honorarios "&amp;Registro_Compras!$C$489&amp;" de "&amp;Registro_Compras!$E$489&amp;" [PATRON POR CONFIRMAR CON CONTADOR]","Por el registro de la factura "&amp;Registro_Compras!$C$489&amp;" de "&amp;Registro_Compras!$E$489)))</f>
        <v/>
      </c>
      <c r="H4370">
        <f>IF($C4370="","",Registro_Compras!$C$489)</f>
        <v/>
      </c>
    </row>
    <row r="4371">
      <c r="A4371" s="25">
        <f>IF($C4371="","",Registro_Compras!$B$489)</f>
        <v/>
      </c>
      <c r="B4371">
        <f>IF($C4371="","","C"&amp;TEXT(INT((ROW()-5)/9)+1,"000")&amp;"-1")</f>
        <v/>
      </c>
      <c r="C4371">
        <f>IF(OR(Registro_Compras!$C$489="",Registro_Compras!$O$489=""),"",IF(Registro_Compras!$F$489="RHE",IF(Registro_Compras!$V$489=0,"","40172"),IF(Registro_Compras!$F$489="NOTA DE CREDITO",IF(Registro_Compras!$M$489="","63",Registro_Compras!$M$489),IF(Registro_Compras!$K$489=0,"","40111"))))</f>
        <v/>
      </c>
      <c r="D4371">
        <f>IF(OR(Registro_Compras!$C$489="",Registro_Compras!$O$489=""),"",IF(Registro_Compras!$F$489="RHE","Retencion Renta 4ta Categoria por Pagar",IF(Registro_Compras!$F$489="NOTA DE CREDITO","Gastos de Servicios Prestados por Terceros","IGV - Cuenta Propia (Credito Fiscal)")))</f>
        <v/>
      </c>
      <c r="E4371" s="20">
        <f>IF($C4371="","",IF(Registro_Compras!$F$489="FACTURA",ROUND(Registro_Compras!$K$489*Registro_Compras!$N$489,2),""))</f>
        <v/>
      </c>
      <c r="F4371" s="20">
        <f>IF($C4371="","",IF(Registro_Compras!$F$489="RHE",ROUND(Registro_Compras!$V$489*Registro_Compras!$N$489,2),IF(Registro_Compras!$F$489="NOTA DE CREDITO",ROUND(ABS(Registro_Compras!$J$489*Registro_Compras!$N$489),2),"")))</f>
        <v/>
      </c>
      <c r="G4371">
        <f>IF($C4371="","",IF(Registro_Compras!$F$489="NOTA DE CREDITO","Por la nota de credito "&amp;Registro_Compras!$C$489&amp;" de "&amp;Registro_Compras!$E$489&amp;" [PATRON POR CONFIRMAR CON CONTADOR]",IF(Registro_Compras!$F$489="RHE","Por el registro del recibo por honorarios "&amp;Registro_Compras!$C$489&amp;" de "&amp;Registro_Compras!$E$489&amp;" [PATRON POR CONFIRMAR CON CONTADOR]","Por el registro de la factura "&amp;Registro_Compras!$C$489&amp;" de "&amp;Registro_Compras!$E$489)))</f>
        <v/>
      </c>
      <c r="H4371">
        <f>IF($C4371="","",Registro_Compras!$C$489)</f>
        <v/>
      </c>
    </row>
    <row r="4372">
      <c r="A4372" s="25">
        <f>IF($C4372="","",Registro_Compras!$B$489)</f>
        <v/>
      </c>
      <c r="B4372">
        <f>IF($C4372="","","C"&amp;TEXT(INT((ROW()-5)/9)+1,"000")&amp;"-1")</f>
        <v/>
      </c>
      <c r="C4372">
        <f>IF(OR(Registro_Compras!$C$489="",Registro_Compras!$O$489=""),"",IF(Registro_Compras!$F$489="NOTA DE CREDITO",IF(Registro_Compras!$K$489=0,"","40111"),"4212"))</f>
        <v/>
      </c>
      <c r="D4372">
        <f>IF(OR(Registro_Compras!$C$489="",Registro_Compras!$O$489=""),"",IF(Registro_Compras!$F$489="NOTA DE CREDITO","IGV - Cuenta Propia (Credito Fiscal)","Cuentas por Pagar Comerciales - Terceros (Emitidas)"))</f>
        <v/>
      </c>
      <c r="E4372" s="20">
        <f>""</f>
        <v/>
      </c>
      <c r="F4372" s="20">
        <f>IF($C4372="","",IF(Registro_Compras!$F$489="NOTA DE CREDITO",ROUND(ABS(Registro_Compras!$K$489*Registro_Compras!$N$489),2),IF(Registro_Compras!$F$489="RHE",(ROUND(Registro_Compras!$L$489*Registro_Compras!$N$489,2)-ROUND(Registro_Compras!$V$489*Registro_Compras!$N$489,2)),Registro_Compras!$O$489)))</f>
        <v/>
      </c>
      <c r="G4372">
        <f>IF($C4372="","",IF(Registro_Compras!$F$489="NOTA DE CREDITO","Por la nota de credito "&amp;Registro_Compras!$C$489&amp;" de "&amp;Registro_Compras!$E$489&amp;" [PATRON POR CONFIRMAR CON CONTADOR]",IF(Registro_Compras!$F$489="RHE","Por el registro del recibo por honorarios "&amp;Registro_Compras!$C$489&amp;" de "&amp;Registro_Compras!$E$489&amp;" [PATRON POR CONFIRMAR CON CONTADOR]","Por el registro de la factura "&amp;Registro_Compras!$C$489&amp;" de "&amp;Registro_Compras!$E$489)))</f>
        <v/>
      </c>
      <c r="H4372">
        <f>IF($C4372="","",Registro_Compras!$C$489)</f>
        <v/>
      </c>
    </row>
    <row r="4373">
      <c r="A4373" s="25">
        <f>IF($C4373="","",Registro_Compras!$B$489)</f>
        <v/>
      </c>
      <c r="B4373">
        <f>IF($C4373="","","C"&amp;TEXT(INT((ROW()-5)/9)+1,"000")&amp;"-2")</f>
        <v/>
      </c>
      <c r="C4373">
        <f>IF(OR(Registro_Compras!$C$489="",Registro_Compras!$O$489=""),"",IF(Registro_Compras!$AB$489="ADMINISTRATIVO","94","95"))</f>
        <v/>
      </c>
      <c r="D4373">
        <f>IF(OR(Registro_Compras!$C$489="",Registro_Compras!$O$489=""),"",IF(Registro_Compras!$AB$489="ADMINISTRATIVO","Gastos Administrativos","Gastos de Venta y Operacion"))</f>
        <v/>
      </c>
      <c r="E4373" s="20">
        <f>IF($C4373="","",IF(Registro_Compras!$F$489="NOTA DE CREDITO","",IF(Registro_Compras!$F$489="RHE",ROUND(Registro_Compras!$L$489*Registro_Compras!$N$489,2),ROUND(Registro_Compras!$J$489*Registro_Compras!$N$489,2))))</f>
        <v/>
      </c>
      <c r="F4373" s="20">
        <f>IF($C4373="","",IF(Registro_Compras!$F$489="NOTA DE CREDITO",ROUND(ABS(Registro_Compras!$J$489*Registro_Compras!$N$489),2),""))</f>
        <v/>
      </c>
      <c r="G4373">
        <f>IF($C4373="","","Por el destino del gasto")</f>
        <v/>
      </c>
      <c r="H4373">
        <f>IF($C4373="","",Registro_Compras!$C$489)</f>
        <v/>
      </c>
    </row>
    <row r="4374">
      <c r="A4374" s="25">
        <f>IF($C4374="","",Registro_Compras!$B$489)</f>
        <v/>
      </c>
      <c r="B4374">
        <f>IF($C4374="","","C"&amp;TEXT(INT((ROW()-5)/9)+1,"000")&amp;"-2")</f>
        <v/>
      </c>
      <c r="C4374">
        <f>IF(OR(Registro_Compras!$C$489="",Registro_Compras!$O$489=""),"","79/791")</f>
        <v/>
      </c>
      <c r="D4374">
        <f>IF(OR(Registro_Compras!$C$489="",Registro_Compras!$O$489=""),"","Cargas Imputables a Cuentas de Costos y Gastos")</f>
        <v/>
      </c>
      <c r="E4374" s="20">
        <f>IF($C4374="","",IF(Registro_Compras!$F$489="NOTA DE CREDITO",ROUND(ABS(Registro_Compras!$J$489*Registro_Compras!$N$489),2),""))</f>
        <v/>
      </c>
      <c r="F4374" s="20">
        <f>IF($C4374="","",IF(Registro_Compras!$F$489="NOTA DE CREDITO","",IF(Registro_Compras!$F$489="RHE",ROUND(Registro_Compras!$L$489*Registro_Compras!$N$489,2),ROUND(Registro_Compras!$J$489*Registro_Compras!$N$489,2))))</f>
        <v/>
      </c>
      <c r="G4374">
        <f>IF($C4374="","","Por el destino del gasto")</f>
        <v/>
      </c>
      <c r="H4374">
        <f>IF($C4374="","",Registro_Compras!$C$489)</f>
        <v/>
      </c>
    </row>
    <row r="4375">
      <c r="A4375" s="25">
        <f>IF($C4375="","",Registro_Compras!$X$489)</f>
        <v/>
      </c>
      <c r="B4375">
        <f>IF($C4375="","","C"&amp;TEXT(INT((ROW()-5)/9)+1,"000")&amp;"-3")</f>
        <v/>
      </c>
      <c r="C4375">
        <f>IF(OR(Registro_Compras!$C$489="",Registro_Compras!$O$489="",Registro_Compras!$R$489&lt;&gt;"SI",Registro_Compras!$X$489=""),"","4212")</f>
        <v/>
      </c>
      <c r="D4375">
        <f>IF(OR(Registro_Compras!$C$489="",Registro_Compras!$O$489=""),"","Cuentas por Pagar Comerciales - Terceros")</f>
        <v/>
      </c>
      <c r="E4375" s="20">
        <f>IF($C4375="","",Registro_Compras!$S$489)</f>
        <v/>
      </c>
      <c r="F4375" s="20">
        <f>""</f>
        <v/>
      </c>
      <c r="G4375">
        <f>IF($C4375="","","Por el deposito de la detraccion en el Banco de la Nacion")</f>
        <v/>
      </c>
      <c r="H4375">
        <f>IF($C4375="","",Registro_Compras!$C$489)</f>
        <v/>
      </c>
    </row>
    <row r="4376">
      <c r="A4376" s="25">
        <f>IF($C4376="","",Registro_Compras!$X$489)</f>
        <v/>
      </c>
      <c r="B4376">
        <f>IF($C4376="","","C"&amp;TEXT(INT((ROW()-5)/9)+1,"000")&amp;"-3")</f>
        <v/>
      </c>
      <c r="C4376">
        <f>IF(OR(Registro_Compras!$C$489="",Registro_Compras!$O$489="",Registro_Compras!$R$489&lt;&gt;"SI",Registro_Compras!$X$489=""),"","10413")</f>
        <v/>
      </c>
      <c r="D4376">
        <f>IF(OR(Registro_Compras!$C$489="",Registro_Compras!$O$489=""),"","Efectivo y Equivalentes - Cta. Cte. Operativa")</f>
        <v/>
      </c>
      <c r="E4376" s="20">
        <f>""</f>
        <v/>
      </c>
      <c r="F4376" s="20">
        <f>IF($C4376="","",Registro_Compras!$S$489)</f>
        <v/>
      </c>
      <c r="G4376">
        <f>IF($C4376="","","Por el deposito de la detraccion en el Banco de la Nacion")</f>
        <v/>
      </c>
      <c r="H4376">
        <f>IF($C4376="","",Registro_Compras!$C$489)</f>
        <v/>
      </c>
    </row>
    <row r="4377">
      <c r="A4377" s="25">
        <f>IF($C4377="","",Registro_Compras!$Y$489)</f>
        <v/>
      </c>
      <c r="B4377">
        <f>IF($C4377="","","C"&amp;TEXT(INT((ROW()-5)/9)+1,"000")&amp;"-4")</f>
        <v/>
      </c>
      <c r="C4377">
        <f>IF(OR(Registro_Compras!$C$489="",Registro_Compras!$O$489="",Registro_Compras!$Y$489="",Registro_Compras!$F$489="NOTA DE CREDITO"),"","4212")</f>
        <v/>
      </c>
      <c r="D4377">
        <f>IF(OR(Registro_Compras!$C$489="",Registro_Compras!$O$489=""),"","Cuentas por Pagar Comerciales - Terceros")</f>
        <v/>
      </c>
      <c r="E4377" s="20">
        <f>IF($C4377="","",IF(Registro_Compras!$F$489="RHE",(ROUND(Registro_Compras!$L$489*Registro_Compras!$N$489,2)-ROUND(Registro_Compras!$V$489*Registro_Compras!$N$489,2)),ROUND(Registro_Compras!$O$489-Registro_Compras!$S$489,2)))</f>
        <v/>
      </c>
      <c r="F4377" s="20">
        <f>""</f>
        <v/>
      </c>
      <c r="G4377">
        <f>IF($C4377="","","Por la cancelacion del saldo al proveedor")</f>
        <v/>
      </c>
      <c r="H4377">
        <f>IF($C4377="","",Registro_Compras!$C$489)</f>
        <v/>
      </c>
    </row>
    <row r="4378">
      <c r="A4378" s="25">
        <f>IF($C4378="","",Registro_Compras!$Y$489)</f>
        <v/>
      </c>
      <c r="B4378">
        <f>IF($C4378="","","C"&amp;TEXT(INT((ROW()-5)/9)+1,"000")&amp;"-4")</f>
        <v/>
      </c>
      <c r="C4378">
        <f>IF(OR(Registro_Compras!$C$489="",Registro_Compras!$O$489="",Registro_Compras!$Y$489="",Registro_Compras!$F$489="NOTA DE CREDITO"),"","10413")</f>
        <v/>
      </c>
      <c r="D4378">
        <f>IF(OR(Registro_Compras!$C$489="",Registro_Compras!$O$489=""),"","Efectivo y Equivalentes - Cta. Cte. Operativa")</f>
        <v/>
      </c>
      <c r="E4378" s="20">
        <f>""</f>
        <v/>
      </c>
      <c r="F4378" s="20">
        <f>IF($C4378="","",IF(Registro_Compras!$F$489="RHE",(ROUND(Registro_Compras!$L$489*Registro_Compras!$N$489,2)-ROUND(Registro_Compras!$V$489*Registro_Compras!$N$489,2)),ROUND(Registro_Compras!$O$489-Registro_Compras!$S$489,2)))</f>
        <v/>
      </c>
      <c r="G4378">
        <f>IF($C4378="","","Por la cancelacion del saldo al proveedor")</f>
        <v/>
      </c>
      <c r="H4378">
        <f>IF($C4378="","",Registro_Compras!$C$489)</f>
        <v/>
      </c>
    </row>
    <row r="4379">
      <c r="A4379" s="25">
        <f>IF($C4379="","",Registro_Compras!$B$490)</f>
        <v/>
      </c>
      <c r="B4379">
        <f>IF($C4379="","","C"&amp;TEXT(INT((ROW()-5)/9)+1,"000")&amp;"-1")</f>
        <v/>
      </c>
      <c r="C4379">
        <f>IF(OR(Registro_Compras!$C$490="",Registro_Compras!$O$490=""),"",IF(Registro_Compras!$F$490="NOTA DE CREDITO","4212",IF(Registro_Compras!$M$490="","63",Registro_Compras!$M$490)))</f>
        <v/>
      </c>
      <c r="D4379">
        <f>IF(OR(Registro_Compras!$C$490="",Registro_Compras!$O$490=""),"",IF(Registro_Compras!$F$490="NOTA DE CREDITO","Cuentas por Pagar Comerciales - Terceros (Emitidas)",IF(Registro_Compras!$F$490="RHE","Honorarios Profesionales - Servicios de Terceros","Gastos de Servicios Prestados por Terceros")))</f>
        <v/>
      </c>
      <c r="E4379" s="20">
        <f>IF($C4379="","",IF(Registro_Compras!$F$490="NOTA DE CREDITO",ABS(Registro_Compras!$O$490),IF(Registro_Compras!$F$490="RHE",ROUND(Registro_Compras!$L$490*Registro_Compras!$N$490,2),ROUND(Registro_Compras!$J$490*Registro_Compras!$N$490,2))))</f>
        <v/>
      </c>
      <c r="F4379" s="20">
        <f>""</f>
        <v/>
      </c>
      <c r="G4379">
        <f>IF($C4379="","",IF(Registro_Compras!$F$490="NOTA DE CREDITO","Por la nota de credito "&amp;Registro_Compras!$C$490&amp;" de "&amp;Registro_Compras!$E$490&amp;" [PATRON POR CONFIRMAR CON CONTADOR]",IF(Registro_Compras!$F$490="RHE","Por el registro del recibo por honorarios "&amp;Registro_Compras!$C$490&amp;" de "&amp;Registro_Compras!$E$490&amp;" [PATRON POR CONFIRMAR CON CONTADOR]","Por el registro de la factura "&amp;Registro_Compras!$C$490&amp;" de "&amp;Registro_Compras!$E$490)))</f>
        <v/>
      </c>
      <c r="H4379">
        <f>IF($C4379="","",Registro_Compras!$C$490)</f>
        <v/>
      </c>
    </row>
    <row r="4380">
      <c r="A4380" s="25">
        <f>IF($C4380="","",Registro_Compras!$B$490)</f>
        <v/>
      </c>
      <c r="B4380">
        <f>IF($C4380="","","C"&amp;TEXT(INT((ROW()-5)/9)+1,"000")&amp;"-1")</f>
        <v/>
      </c>
      <c r="C4380">
        <f>IF(OR(Registro_Compras!$C$490="",Registro_Compras!$O$490=""),"",IF(Registro_Compras!$F$490="RHE",IF(Registro_Compras!$V$490=0,"","40172"),IF(Registro_Compras!$F$490="NOTA DE CREDITO",IF(Registro_Compras!$M$490="","63",Registro_Compras!$M$490),IF(Registro_Compras!$K$490=0,"","40111"))))</f>
        <v/>
      </c>
      <c r="D4380">
        <f>IF(OR(Registro_Compras!$C$490="",Registro_Compras!$O$490=""),"",IF(Registro_Compras!$F$490="RHE","Retencion Renta 4ta Categoria por Pagar",IF(Registro_Compras!$F$490="NOTA DE CREDITO","Gastos de Servicios Prestados por Terceros","IGV - Cuenta Propia (Credito Fiscal)")))</f>
        <v/>
      </c>
      <c r="E4380" s="20">
        <f>IF($C4380="","",IF(Registro_Compras!$F$490="FACTURA",ROUND(Registro_Compras!$K$490*Registro_Compras!$N$490,2),""))</f>
        <v/>
      </c>
      <c r="F4380" s="20">
        <f>IF($C4380="","",IF(Registro_Compras!$F$490="RHE",ROUND(Registro_Compras!$V$490*Registro_Compras!$N$490,2),IF(Registro_Compras!$F$490="NOTA DE CREDITO",ROUND(ABS(Registro_Compras!$J$490*Registro_Compras!$N$490),2),"")))</f>
        <v/>
      </c>
      <c r="G4380">
        <f>IF($C4380="","",IF(Registro_Compras!$F$490="NOTA DE CREDITO","Por la nota de credito "&amp;Registro_Compras!$C$490&amp;" de "&amp;Registro_Compras!$E$490&amp;" [PATRON POR CONFIRMAR CON CONTADOR]",IF(Registro_Compras!$F$490="RHE","Por el registro del recibo por honorarios "&amp;Registro_Compras!$C$490&amp;" de "&amp;Registro_Compras!$E$490&amp;" [PATRON POR CONFIRMAR CON CONTADOR]","Por el registro de la factura "&amp;Registro_Compras!$C$490&amp;" de "&amp;Registro_Compras!$E$490)))</f>
        <v/>
      </c>
      <c r="H4380">
        <f>IF($C4380="","",Registro_Compras!$C$490)</f>
        <v/>
      </c>
    </row>
    <row r="4381">
      <c r="A4381" s="25">
        <f>IF($C4381="","",Registro_Compras!$B$490)</f>
        <v/>
      </c>
      <c r="B4381">
        <f>IF($C4381="","","C"&amp;TEXT(INT((ROW()-5)/9)+1,"000")&amp;"-1")</f>
        <v/>
      </c>
      <c r="C4381">
        <f>IF(OR(Registro_Compras!$C$490="",Registro_Compras!$O$490=""),"",IF(Registro_Compras!$F$490="NOTA DE CREDITO",IF(Registro_Compras!$K$490=0,"","40111"),"4212"))</f>
        <v/>
      </c>
      <c r="D4381">
        <f>IF(OR(Registro_Compras!$C$490="",Registro_Compras!$O$490=""),"",IF(Registro_Compras!$F$490="NOTA DE CREDITO","IGV - Cuenta Propia (Credito Fiscal)","Cuentas por Pagar Comerciales - Terceros (Emitidas)"))</f>
        <v/>
      </c>
      <c r="E4381" s="20">
        <f>""</f>
        <v/>
      </c>
      <c r="F4381" s="20">
        <f>IF($C4381="","",IF(Registro_Compras!$F$490="NOTA DE CREDITO",ROUND(ABS(Registro_Compras!$K$490*Registro_Compras!$N$490),2),IF(Registro_Compras!$F$490="RHE",(ROUND(Registro_Compras!$L$490*Registro_Compras!$N$490,2)-ROUND(Registro_Compras!$V$490*Registro_Compras!$N$490,2)),Registro_Compras!$O$490)))</f>
        <v/>
      </c>
      <c r="G4381">
        <f>IF($C4381="","",IF(Registro_Compras!$F$490="NOTA DE CREDITO","Por la nota de credito "&amp;Registro_Compras!$C$490&amp;" de "&amp;Registro_Compras!$E$490&amp;" [PATRON POR CONFIRMAR CON CONTADOR]",IF(Registro_Compras!$F$490="RHE","Por el registro del recibo por honorarios "&amp;Registro_Compras!$C$490&amp;" de "&amp;Registro_Compras!$E$490&amp;" [PATRON POR CONFIRMAR CON CONTADOR]","Por el registro de la factura "&amp;Registro_Compras!$C$490&amp;" de "&amp;Registro_Compras!$E$490)))</f>
        <v/>
      </c>
      <c r="H4381">
        <f>IF($C4381="","",Registro_Compras!$C$490)</f>
        <v/>
      </c>
    </row>
    <row r="4382">
      <c r="A4382" s="25">
        <f>IF($C4382="","",Registro_Compras!$B$490)</f>
        <v/>
      </c>
      <c r="B4382">
        <f>IF($C4382="","","C"&amp;TEXT(INT((ROW()-5)/9)+1,"000")&amp;"-2")</f>
        <v/>
      </c>
      <c r="C4382">
        <f>IF(OR(Registro_Compras!$C$490="",Registro_Compras!$O$490=""),"",IF(Registro_Compras!$AB$490="ADMINISTRATIVO","94","95"))</f>
        <v/>
      </c>
      <c r="D4382">
        <f>IF(OR(Registro_Compras!$C$490="",Registro_Compras!$O$490=""),"",IF(Registro_Compras!$AB$490="ADMINISTRATIVO","Gastos Administrativos","Gastos de Venta y Operacion"))</f>
        <v/>
      </c>
      <c r="E4382" s="20">
        <f>IF($C4382="","",IF(Registro_Compras!$F$490="NOTA DE CREDITO","",IF(Registro_Compras!$F$490="RHE",ROUND(Registro_Compras!$L$490*Registro_Compras!$N$490,2),ROUND(Registro_Compras!$J$490*Registro_Compras!$N$490,2))))</f>
        <v/>
      </c>
      <c r="F4382" s="20">
        <f>IF($C4382="","",IF(Registro_Compras!$F$490="NOTA DE CREDITO",ROUND(ABS(Registro_Compras!$J$490*Registro_Compras!$N$490),2),""))</f>
        <v/>
      </c>
      <c r="G4382">
        <f>IF($C4382="","","Por el destino del gasto")</f>
        <v/>
      </c>
      <c r="H4382">
        <f>IF($C4382="","",Registro_Compras!$C$490)</f>
        <v/>
      </c>
    </row>
    <row r="4383">
      <c r="A4383" s="25">
        <f>IF($C4383="","",Registro_Compras!$B$490)</f>
        <v/>
      </c>
      <c r="B4383">
        <f>IF($C4383="","","C"&amp;TEXT(INT((ROW()-5)/9)+1,"000")&amp;"-2")</f>
        <v/>
      </c>
      <c r="C4383">
        <f>IF(OR(Registro_Compras!$C$490="",Registro_Compras!$O$490=""),"","79/791")</f>
        <v/>
      </c>
      <c r="D4383">
        <f>IF(OR(Registro_Compras!$C$490="",Registro_Compras!$O$490=""),"","Cargas Imputables a Cuentas de Costos y Gastos")</f>
        <v/>
      </c>
      <c r="E4383" s="20">
        <f>IF($C4383="","",IF(Registro_Compras!$F$490="NOTA DE CREDITO",ROUND(ABS(Registro_Compras!$J$490*Registro_Compras!$N$490),2),""))</f>
        <v/>
      </c>
      <c r="F4383" s="20">
        <f>IF($C4383="","",IF(Registro_Compras!$F$490="NOTA DE CREDITO","",IF(Registro_Compras!$F$490="RHE",ROUND(Registro_Compras!$L$490*Registro_Compras!$N$490,2),ROUND(Registro_Compras!$J$490*Registro_Compras!$N$490,2))))</f>
        <v/>
      </c>
      <c r="G4383">
        <f>IF($C4383="","","Por el destino del gasto")</f>
        <v/>
      </c>
      <c r="H4383">
        <f>IF($C4383="","",Registro_Compras!$C$490)</f>
        <v/>
      </c>
    </row>
    <row r="4384">
      <c r="A4384" s="25">
        <f>IF($C4384="","",Registro_Compras!$X$490)</f>
        <v/>
      </c>
      <c r="B4384">
        <f>IF($C4384="","","C"&amp;TEXT(INT((ROW()-5)/9)+1,"000")&amp;"-3")</f>
        <v/>
      </c>
      <c r="C4384">
        <f>IF(OR(Registro_Compras!$C$490="",Registro_Compras!$O$490="",Registro_Compras!$R$490&lt;&gt;"SI",Registro_Compras!$X$490=""),"","4212")</f>
        <v/>
      </c>
      <c r="D4384">
        <f>IF(OR(Registro_Compras!$C$490="",Registro_Compras!$O$490=""),"","Cuentas por Pagar Comerciales - Terceros")</f>
        <v/>
      </c>
      <c r="E4384" s="20">
        <f>IF($C4384="","",Registro_Compras!$S$490)</f>
        <v/>
      </c>
      <c r="F4384" s="20">
        <f>""</f>
        <v/>
      </c>
      <c r="G4384">
        <f>IF($C4384="","","Por el deposito de la detraccion en el Banco de la Nacion")</f>
        <v/>
      </c>
      <c r="H4384">
        <f>IF($C4384="","",Registro_Compras!$C$490)</f>
        <v/>
      </c>
    </row>
    <row r="4385">
      <c r="A4385" s="25">
        <f>IF($C4385="","",Registro_Compras!$X$490)</f>
        <v/>
      </c>
      <c r="B4385">
        <f>IF($C4385="","","C"&amp;TEXT(INT((ROW()-5)/9)+1,"000")&amp;"-3")</f>
        <v/>
      </c>
      <c r="C4385">
        <f>IF(OR(Registro_Compras!$C$490="",Registro_Compras!$O$490="",Registro_Compras!$R$490&lt;&gt;"SI",Registro_Compras!$X$490=""),"","10413")</f>
        <v/>
      </c>
      <c r="D4385">
        <f>IF(OR(Registro_Compras!$C$490="",Registro_Compras!$O$490=""),"","Efectivo y Equivalentes - Cta. Cte. Operativa")</f>
        <v/>
      </c>
      <c r="E4385" s="20">
        <f>""</f>
        <v/>
      </c>
      <c r="F4385" s="20">
        <f>IF($C4385="","",Registro_Compras!$S$490)</f>
        <v/>
      </c>
      <c r="G4385">
        <f>IF($C4385="","","Por el deposito de la detraccion en el Banco de la Nacion")</f>
        <v/>
      </c>
      <c r="H4385">
        <f>IF($C4385="","",Registro_Compras!$C$490)</f>
        <v/>
      </c>
    </row>
    <row r="4386">
      <c r="A4386" s="25">
        <f>IF($C4386="","",Registro_Compras!$Y$490)</f>
        <v/>
      </c>
      <c r="B4386">
        <f>IF($C4386="","","C"&amp;TEXT(INT((ROW()-5)/9)+1,"000")&amp;"-4")</f>
        <v/>
      </c>
      <c r="C4386">
        <f>IF(OR(Registro_Compras!$C$490="",Registro_Compras!$O$490="",Registro_Compras!$Y$490="",Registro_Compras!$F$490="NOTA DE CREDITO"),"","4212")</f>
        <v/>
      </c>
      <c r="D4386">
        <f>IF(OR(Registro_Compras!$C$490="",Registro_Compras!$O$490=""),"","Cuentas por Pagar Comerciales - Terceros")</f>
        <v/>
      </c>
      <c r="E4386" s="20">
        <f>IF($C4386="","",IF(Registro_Compras!$F$490="RHE",(ROUND(Registro_Compras!$L$490*Registro_Compras!$N$490,2)-ROUND(Registro_Compras!$V$490*Registro_Compras!$N$490,2)),ROUND(Registro_Compras!$O$490-Registro_Compras!$S$490,2)))</f>
        <v/>
      </c>
      <c r="F4386" s="20">
        <f>""</f>
        <v/>
      </c>
      <c r="G4386">
        <f>IF($C4386="","","Por la cancelacion del saldo al proveedor")</f>
        <v/>
      </c>
      <c r="H4386">
        <f>IF($C4386="","",Registro_Compras!$C$490)</f>
        <v/>
      </c>
    </row>
    <row r="4387">
      <c r="A4387" s="25">
        <f>IF($C4387="","",Registro_Compras!$Y$490)</f>
        <v/>
      </c>
      <c r="B4387">
        <f>IF($C4387="","","C"&amp;TEXT(INT((ROW()-5)/9)+1,"000")&amp;"-4")</f>
        <v/>
      </c>
      <c r="C4387">
        <f>IF(OR(Registro_Compras!$C$490="",Registro_Compras!$O$490="",Registro_Compras!$Y$490="",Registro_Compras!$F$490="NOTA DE CREDITO"),"","10413")</f>
        <v/>
      </c>
      <c r="D4387">
        <f>IF(OR(Registro_Compras!$C$490="",Registro_Compras!$O$490=""),"","Efectivo y Equivalentes - Cta. Cte. Operativa")</f>
        <v/>
      </c>
      <c r="E4387" s="20">
        <f>""</f>
        <v/>
      </c>
      <c r="F4387" s="20">
        <f>IF($C4387="","",IF(Registro_Compras!$F$490="RHE",(ROUND(Registro_Compras!$L$490*Registro_Compras!$N$490,2)-ROUND(Registro_Compras!$V$490*Registro_Compras!$N$490,2)),ROUND(Registro_Compras!$O$490-Registro_Compras!$S$490,2)))</f>
        <v/>
      </c>
      <c r="G4387">
        <f>IF($C4387="","","Por la cancelacion del saldo al proveedor")</f>
        <v/>
      </c>
      <c r="H4387">
        <f>IF($C4387="","",Registro_Compras!$C$490)</f>
        <v/>
      </c>
    </row>
    <row r="4388">
      <c r="A4388" s="25">
        <f>IF($C4388="","",Registro_Compras!$B$491)</f>
        <v/>
      </c>
      <c r="B4388">
        <f>IF($C4388="","","C"&amp;TEXT(INT((ROW()-5)/9)+1,"000")&amp;"-1")</f>
        <v/>
      </c>
      <c r="C4388">
        <f>IF(OR(Registro_Compras!$C$491="",Registro_Compras!$O$491=""),"",IF(Registro_Compras!$F$491="NOTA DE CREDITO","4212",IF(Registro_Compras!$M$491="","63",Registro_Compras!$M$491)))</f>
        <v/>
      </c>
      <c r="D4388">
        <f>IF(OR(Registro_Compras!$C$491="",Registro_Compras!$O$491=""),"",IF(Registro_Compras!$F$491="NOTA DE CREDITO","Cuentas por Pagar Comerciales - Terceros (Emitidas)",IF(Registro_Compras!$F$491="RHE","Honorarios Profesionales - Servicios de Terceros","Gastos de Servicios Prestados por Terceros")))</f>
        <v/>
      </c>
      <c r="E4388" s="20">
        <f>IF($C4388="","",IF(Registro_Compras!$F$491="NOTA DE CREDITO",ABS(Registro_Compras!$O$491),IF(Registro_Compras!$F$491="RHE",ROUND(Registro_Compras!$L$491*Registro_Compras!$N$491,2),ROUND(Registro_Compras!$J$491*Registro_Compras!$N$491,2))))</f>
        <v/>
      </c>
      <c r="F4388" s="20">
        <f>""</f>
        <v/>
      </c>
      <c r="G4388">
        <f>IF($C4388="","",IF(Registro_Compras!$F$491="NOTA DE CREDITO","Por la nota de credito "&amp;Registro_Compras!$C$491&amp;" de "&amp;Registro_Compras!$E$491&amp;" [PATRON POR CONFIRMAR CON CONTADOR]",IF(Registro_Compras!$F$491="RHE","Por el registro del recibo por honorarios "&amp;Registro_Compras!$C$491&amp;" de "&amp;Registro_Compras!$E$491&amp;" [PATRON POR CONFIRMAR CON CONTADOR]","Por el registro de la factura "&amp;Registro_Compras!$C$491&amp;" de "&amp;Registro_Compras!$E$491)))</f>
        <v/>
      </c>
      <c r="H4388">
        <f>IF($C4388="","",Registro_Compras!$C$491)</f>
        <v/>
      </c>
    </row>
    <row r="4389">
      <c r="A4389" s="25">
        <f>IF($C4389="","",Registro_Compras!$B$491)</f>
        <v/>
      </c>
      <c r="B4389">
        <f>IF($C4389="","","C"&amp;TEXT(INT((ROW()-5)/9)+1,"000")&amp;"-1")</f>
        <v/>
      </c>
      <c r="C4389">
        <f>IF(OR(Registro_Compras!$C$491="",Registro_Compras!$O$491=""),"",IF(Registro_Compras!$F$491="RHE",IF(Registro_Compras!$V$491=0,"","40172"),IF(Registro_Compras!$F$491="NOTA DE CREDITO",IF(Registro_Compras!$M$491="","63",Registro_Compras!$M$491),IF(Registro_Compras!$K$491=0,"","40111"))))</f>
        <v/>
      </c>
      <c r="D4389">
        <f>IF(OR(Registro_Compras!$C$491="",Registro_Compras!$O$491=""),"",IF(Registro_Compras!$F$491="RHE","Retencion Renta 4ta Categoria por Pagar",IF(Registro_Compras!$F$491="NOTA DE CREDITO","Gastos de Servicios Prestados por Terceros","IGV - Cuenta Propia (Credito Fiscal)")))</f>
        <v/>
      </c>
      <c r="E4389" s="20">
        <f>IF($C4389="","",IF(Registro_Compras!$F$491="FACTURA",ROUND(Registro_Compras!$K$491*Registro_Compras!$N$491,2),""))</f>
        <v/>
      </c>
      <c r="F4389" s="20">
        <f>IF($C4389="","",IF(Registro_Compras!$F$491="RHE",ROUND(Registro_Compras!$V$491*Registro_Compras!$N$491,2),IF(Registro_Compras!$F$491="NOTA DE CREDITO",ROUND(ABS(Registro_Compras!$J$491*Registro_Compras!$N$491),2),"")))</f>
        <v/>
      </c>
      <c r="G4389">
        <f>IF($C4389="","",IF(Registro_Compras!$F$491="NOTA DE CREDITO","Por la nota de credito "&amp;Registro_Compras!$C$491&amp;" de "&amp;Registro_Compras!$E$491&amp;" [PATRON POR CONFIRMAR CON CONTADOR]",IF(Registro_Compras!$F$491="RHE","Por el registro del recibo por honorarios "&amp;Registro_Compras!$C$491&amp;" de "&amp;Registro_Compras!$E$491&amp;" [PATRON POR CONFIRMAR CON CONTADOR]","Por el registro de la factura "&amp;Registro_Compras!$C$491&amp;" de "&amp;Registro_Compras!$E$491)))</f>
        <v/>
      </c>
      <c r="H4389">
        <f>IF($C4389="","",Registro_Compras!$C$491)</f>
        <v/>
      </c>
    </row>
    <row r="4390">
      <c r="A4390" s="25">
        <f>IF($C4390="","",Registro_Compras!$B$491)</f>
        <v/>
      </c>
      <c r="B4390">
        <f>IF($C4390="","","C"&amp;TEXT(INT((ROW()-5)/9)+1,"000")&amp;"-1")</f>
        <v/>
      </c>
      <c r="C4390">
        <f>IF(OR(Registro_Compras!$C$491="",Registro_Compras!$O$491=""),"",IF(Registro_Compras!$F$491="NOTA DE CREDITO",IF(Registro_Compras!$K$491=0,"","40111"),"4212"))</f>
        <v/>
      </c>
      <c r="D4390">
        <f>IF(OR(Registro_Compras!$C$491="",Registro_Compras!$O$491=""),"",IF(Registro_Compras!$F$491="NOTA DE CREDITO","IGV - Cuenta Propia (Credito Fiscal)","Cuentas por Pagar Comerciales - Terceros (Emitidas)"))</f>
        <v/>
      </c>
      <c r="E4390" s="20">
        <f>""</f>
        <v/>
      </c>
      <c r="F4390" s="20">
        <f>IF($C4390="","",IF(Registro_Compras!$F$491="NOTA DE CREDITO",ROUND(ABS(Registro_Compras!$K$491*Registro_Compras!$N$491),2),IF(Registro_Compras!$F$491="RHE",(ROUND(Registro_Compras!$L$491*Registro_Compras!$N$491,2)-ROUND(Registro_Compras!$V$491*Registro_Compras!$N$491,2)),Registro_Compras!$O$491)))</f>
        <v/>
      </c>
      <c r="G4390">
        <f>IF($C4390="","",IF(Registro_Compras!$F$491="NOTA DE CREDITO","Por la nota de credito "&amp;Registro_Compras!$C$491&amp;" de "&amp;Registro_Compras!$E$491&amp;" [PATRON POR CONFIRMAR CON CONTADOR]",IF(Registro_Compras!$F$491="RHE","Por el registro del recibo por honorarios "&amp;Registro_Compras!$C$491&amp;" de "&amp;Registro_Compras!$E$491&amp;" [PATRON POR CONFIRMAR CON CONTADOR]","Por el registro de la factura "&amp;Registro_Compras!$C$491&amp;" de "&amp;Registro_Compras!$E$491)))</f>
        <v/>
      </c>
      <c r="H4390">
        <f>IF($C4390="","",Registro_Compras!$C$491)</f>
        <v/>
      </c>
    </row>
    <row r="4391">
      <c r="A4391" s="25">
        <f>IF($C4391="","",Registro_Compras!$B$491)</f>
        <v/>
      </c>
      <c r="B4391">
        <f>IF($C4391="","","C"&amp;TEXT(INT((ROW()-5)/9)+1,"000")&amp;"-2")</f>
        <v/>
      </c>
      <c r="C4391">
        <f>IF(OR(Registro_Compras!$C$491="",Registro_Compras!$O$491=""),"",IF(Registro_Compras!$AB$491="ADMINISTRATIVO","94","95"))</f>
        <v/>
      </c>
      <c r="D4391">
        <f>IF(OR(Registro_Compras!$C$491="",Registro_Compras!$O$491=""),"",IF(Registro_Compras!$AB$491="ADMINISTRATIVO","Gastos Administrativos","Gastos de Venta y Operacion"))</f>
        <v/>
      </c>
      <c r="E4391" s="20">
        <f>IF($C4391="","",IF(Registro_Compras!$F$491="NOTA DE CREDITO","",IF(Registro_Compras!$F$491="RHE",ROUND(Registro_Compras!$L$491*Registro_Compras!$N$491,2),ROUND(Registro_Compras!$J$491*Registro_Compras!$N$491,2))))</f>
        <v/>
      </c>
      <c r="F4391" s="20">
        <f>IF($C4391="","",IF(Registro_Compras!$F$491="NOTA DE CREDITO",ROUND(ABS(Registro_Compras!$J$491*Registro_Compras!$N$491),2),""))</f>
        <v/>
      </c>
      <c r="G4391">
        <f>IF($C4391="","","Por el destino del gasto")</f>
        <v/>
      </c>
      <c r="H4391">
        <f>IF($C4391="","",Registro_Compras!$C$491)</f>
        <v/>
      </c>
    </row>
    <row r="4392">
      <c r="A4392" s="25">
        <f>IF($C4392="","",Registro_Compras!$B$491)</f>
        <v/>
      </c>
      <c r="B4392">
        <f>IF($C4392="","","C"&amp;TEXT(INT((ROW()-5)/9)+1,"000")&amp;"-2")</f>
        <v/>
      </c>
      <c r="C4392">
        <f>IF(OR(Registro_Compras!$C$491="",Registro_Compras!$O$491=""),"","79/791")</f>
        <v/>
      </c>
      <c r="D4392">
        <f>IF(OR(Registro_Compras!$C$491="",Registro_Compras!$O$491=""),"","Cargas Imputables a Cuentas de Costos y Gastos")</f>
        <v/>
      </c>
      <c r="E4392" s="20">
        <f>IF($C4392="","",IF(Registro_Compras!$F$491="NOTA DE CREDITO",ROUND(ABS(Registro_Compras!$J$491*Registro_Compras!$N$491),2),""))</f>
        <v/>
      </c>
      <c r="F4392" s="20">
        <f>IF($C4392="","",IF(Registro_Compras!$F$491="NOTA DE CREDITO","",IF(Registro_Compras!$F$491="RHE",ROUND(Registro_Compras!$L$491*Registro_Compras!$N$491,2),ROUND(Registro_Compras!$J$491*Registro_Compras!$N$491,2))))</f>
        <v/>
      </c>
      <c r="G4392">
        <f>IF($C4392="","","Por el destino del gasto")</f>
        <v/>
      </c>
      <c r="H4392">
        <f>IF($C4392="","",Registro_Compras!$C$491)</f>
        <v/>
      </c>
    </row>
    <row r="4393">
      <c r="A4393" s="25">
        <f>IF($C4393="","",Registro_Compras!$X$491)</f>
        <v/>
      </c>
      <c r="B4393">
        <f>IF($C4393="","","C"&amp;TEXT(INT((ROW()-5)/9)+1,"000")&amp;"-3")</f>
        <v/>
      </c>
      <c r="C4393">
        <f>IF(OR(Registro_Compras!$C$491="",Registro_Compras!$O$491="",Registro_Compras!$R$491&lt;&gt;"SI",Registro_Compras!$X$491=""),"","4212")</f>
        <v/>
      </c>
      <c r="D4393">
        <f>IF(OR(Registro_Compras!$C$491="",Registro_Compras!$O$491=""),"","Cuentas por Pagar Comerciales - Terceros")</f>
        <v/>
      </c>
      <c r="E4393" s="20">
        <f>IF($C4393="","",Registro_Compras!$S$491)</f>
        <v/>
      </c>
      <c r="F4393" s="20">
        <f>""</f>
        <v/>
      </c>
      <c r="G4393">
        <f>IF($C4393="","","Por el deposito de la detraccion en el Banco de la Nacion")</f>
        <v/>
      </c>
      <c r="H4393">
        <f>IF($C4393="","",Registro_Compras!$C$491)</f>
        <v/>
      </c>
    </row>
    <row r="4394">
      <c r="A4394" s="25">
        <f>IF($C4394="","",Registro_Compras!$X$491)</f>
        <v/>
      </c>
      <c r="B4394">
        <f>IF($C4394="","","C"&amp;TEXT(INT((ROW()-5)/9)+1,"000")&amp;"-3")</f>
        <v/>
      </c>
      <c r="C4394">
        <f>IF(OR(Registro_Compras!$C$491="",Registro_Compras!$O$491="",Registro_Compras!$R$491&lt;&gt;"SI",Registro_Compras!$X$491=""),"","10413")</f>
        <v/>
      </c>
      <c r="D4394">
        <f>IF(OR(Registro_Compras!$C$491="",Registro_Compras!$O$491=""),"","Efectivo y Equivalentes - Cta. Cte. Operativa")</f>
        <v/>
      </c>
      <c r="E4394" s="20">
        <f>""</f>
        <v/>
      </c>
      <c r="F4394" s="20">
        <f>IF($C4394="","",Registro_Compras!$S$491)</f>
        <v/>
      </c>
      <c r="G4394">
        <f>IF($C4394="","","Por el deposito de la detraccion en el Banco de la Nacion")</f>
        <v/>
      </c>
      <c r="H4394">
        <f>IF($C4394="","",Registro_Compras!$C$491)</f>
        <v/>
      </c>
    </row>
    <row r="4395">
      <c r="A4395" s="25">
        <f>IF($C4395="","",Registro_Compras!$Y$491)</f>
        <v/>
      </c>
      <c r="B4395">
        <f>IF($C4395="","","C"&amp;TEXT(INT((ROW()-5)/9)+1,"000")&amp;"-4")</f>
        <v/>
      </c>
      <c r="C4395">
        <f>IF(OR(Registro_Compras!$C$491="",Registro_Compras!$O$491="",Registro_Compras!$Y$491="",Registro_Compras!$F$491="NOTA DE CREDITO"),"","4212")</f>
        <v/>
      </c>
      <c r="D4395">
        <f>IF(OR(Registro_Compras!$C$491="",Registro_Compras!$O$491=""),"","Cuentas por Pagar Comerciales - Terceros")</f>
        <v/>
      </c>
      <c r="E4395" s="20">
        <f>IF($C4395="","",IF(Registro_Compras!$F$491="RHE",(ROUND(Registro_Compras!$L$491*Registro_Compras!$N$491,2)-ROUND(Registro_Compras!$V$491*Registro_Compras!$N$491,2)),ROUND(Registro_Compras!$O$491-Registro_Compras!$S$491,2)))</f>
        <v/>
      </c>
      <c r="F4395" s="20">
        <f>""</f>
        <v/>
      </c>
      <c r="G4395">
        <f>IF($C4395="","","Por la cancelacion del saldo al proveedor")</f>
        <v/>
      </c>
      <c r="H4395">
        <f>IF($C4395="","",Registro_Compras!$C$491)</f>
        <v/>
      </c>
    </row>
    <row r="4396">
      <c r="A4396" s="25">
        <f>IF($C4396="","",Registro_Compras!$Y$491)</f>
        <v/>
      </c>
      <c r="B4396">
        <f>IF($C4396="","","C"&amp;TEXT(INT((ROW()-5)/9)+1,"000")&amp;"-4")</f>
        <v/>
      </c>
      <c r="C4396">
        <f>IF(OR(Registro_Compras!$C$491="",Registro_Compras!$O$491="",Registro_Compras!$Y$491="",Registro_Compras!$F$491="NOTA DE CREDITO"),"","10413")</f>
        <v/>
      </c>
      <c r="D4396">
        <f>IF(OR(Registro_Compras!$C$491="",Registro_Compras!$O$491=""),"","Efectivo y Equivalentes - Cta. Cte. Operativa")</f>
        <v/>
      </c>
      <c r="E4396" s="20">
        <f>""</f>
        <v/>
      </c>
      <c r="F4396" s="20">
        <f>IF($C4396="","",IF(Registro_Compras!$F$491="RHE",(ROUND(Registro_Compras!$L$491*Registro_Compras!$N$491,2)-ROUND(Registro_Compras!$V$491*Registro_Compras!$N$491,2)),ROUND(Registro_Compras!$O$491-Registro_Compras!$S$491,2)))</f>
        <v/>
      </c>
      <c r="G4396">
        <f>IF($C4396="","","Por la cancelacion del saldo al proveedor")</f>
        <v/>
      </c>
      <c r="H4396">
        <f>IF($C4396="","",Registro_Compras!$C$491)</f>
        <v/>
      </c>
    </row>
    <row r="4397">
      <c r="A4397" s="25">
        <f>IF($C4397="","",Registro_Compras!$B$492)</f>
        <v/>
      </c>
      <c r="B4397">
        <f>IF($C4397="","","C"&amp;TEXT(INT((ROW()-5)/9)+1,"000")&amp;"-1")</f>
        <v/>
      </c>
      <c r="C4397">
        <f>IF(OR(Registro_Compras!$C$492="",Registro_Compras!$O$492=""),"",IF(Registro_Compras!$F$492="NOTA DE CREDITO","4212",IF(Registro_Compras!$M$492="","63",Registro_Compras!$M$492)))</f>
        <v/>
      </c>
      <c r="D4397">
        <f>IF(OR(Registro_Compras!$C$492="",Registro_Compras!$O$492=""),"",IF(Registro_Compras!$F$492="NOTA DE CREDITO","Cuentas por Pagar Comerciales - Terceros (Emitidas)",IF(Registro_Compras!$F$492="RHE","Honorarios Profesionales - Servicios de Terceros","Gastos de Servicios Prestados por Terceros")))</f>
        <v/>
      </c>
      <c r="E4397" s="20">
        <f>IF($C4397="","",IF(Registro_Compras!$F$492="NOTA DE CREDITO",ABS(Registro_Compras!$O$492),IF(Registro_Compras!$F$492="RHE",ROUND(Registro_Compras!$L$492*Registro_Compras!$N$492,2),ROUND(Registro_Compras!$J$492*Registro_Compras!$N$492,2))))</f>
        <v/>
      </c>
      <c r="F4397" s="20">
        <f>""</f>
        <v/>
      </c>
      <c r="G4397">
        <f>IF($C4397="","",IF(Registro_Compras!$F$492="NOTA DE CREDITO","Por la nota de credito "&amp;Registro_Compras!$C$492&amp;" de "&amp;Registro_Compras!$E$492&amp;" [PATRON POR CONFIRMAR CON CONTADOR]",IF(Registro_Compras!$F$492="RHE","Por el registro del recibo por honorarios "&amp;Registro_Compras!$C$492&amp;" de "&amp;Registro_Compras!$E$492&amp;" [PATRON POR CONFIRMAR CON CONTADOR]","Por el registro de la factura "&amp;Registro_Compras!$C$492&amp;" de "&amp;Registro_Compras!$E$492)))</f>
        <v/>
      </c>
      <c r="H4397">
        <f>IF($C4397="","",Registro_Compras!$C$492)</f>
        <v/>
      </c>
    </row>
    <row r="4398">
      <c r="A4398" s="25">
        <f>IF($C4398="","",Registro_Compras!$B$492)</f>
        <v/>
      </c>
      <c r="B4398">
        <f>IF($C4398="","","C"&amp;TEXT(INT((ROW()-5)/9)+1,"000")&amp;"-1")</f>
        <v/>
      </c>
      <c r="C4398">
        <f>IF(OR(Registro_Compras!$C$492="",Registro_Compras!$O$492=""),"",IF(Registro_Compras!$F$492="RHE",IF(Registro_Compras!$V$492=0,"","40172"),IF(Registro_Compras!$F$492="NOTA DE CREDITO",IF(Registro_Compras!$M$492="","63",Registro_Compras!$M$492),IF(Registro_Compras!$K$492=0,"","40111"))))</f>
        <v/>
      </c>
      <c r="D4398">
        <f>IF(OR(Registro_Compras!$C$492="",Registro_Compras!$O$492=""),"",IF(Registro_Compras!$F$492="RHE","Retencion Renta 4ta Categoria por Pagar",IF(Registro_Compras!$F$492="NOTA DE CREDITO","Gastos de Servicios Prestados por Terceros","IGV - Cuenta Propia (Credito Fiscal)")))</f>
        <v/>
      </c>
      <c r="E4398" s="20">
        <f>IF($C4398="","",IF(Registro_Compras!$F$492="FACTURA",ROUND(Registro_Compras!$K$492*Registro_Compras!$N$492,2),""))</f>
        <v/>
      </c>
      <c r="F4398" s="20">
        <f>IF($C4398="","",IF(Registro_Compras!$F$492="RHE",ROUND(Registro_Compras!$V$492*Registro_Compras!$N$492,2),IF(Registro_Compras!$F$492="NOTA DE CREDITO",ROUND(ABS(Registro_Compras!$J$492*Registro_Compras!$N$492),2),"")))</f>
        <v/>
      </c>
      <c r="G4398">
        <f>IF($C4398="","",IF(Registro_Compras!$F$492="NOTA DE CREDITO","Por la nota de credito "&amp;Registro_Compras!$C$492&amp;" de "&amp;Registro_Compras!$E$492&amp;" [PATRON POR CONFIRMAR CON CONTADOR]",IF(Registro_Compras!$F$492="RHE","Por el registro del recibo por honorarios "&amp;Registro_Compras!$C$492&amp;" de "&amp;Registro_Compras!$E$492&amp;" [PATRON POR CONFIRMAR CON CONTADOR]","Por el registro de la factura "&amp;Registro_Compras!$C$492&amp;" de "&amp;Registro_Compras!$E$492)))</f>
        <v/>
      </c>
      <c r="H4398">
        <f>IF($C4398="","",Registro_Compras!$C$492)</f>
        <v/>
      </c>
    </row>
    <row r="4399">
      <c r="A4399" s="25">
        <f>IF($C4399="","",Registro_Compras!$B$492)</f>
        <v/>
      </c>
      <c r="B4399">
        <f>IF($C4399="","","C"&amp;TEXT(INT((ROW()-5)/9)+1,"000")&amp;"-1")</f>
        <v/>
      </c>
      <c r="C4399">
        <f>IF(OR(Registro_Compras!$C$492="",Registro_Compras!$O$492=""),"",IF(Registro_Compras!$F$492="NOTA DE CREDITO",IF(Registro_Compras!$K$492=0,"","40111"),"4212"))</f>
        <v/>
      </c>
      <c r="D4399">
        <f>IF(OR(Registro_Compras!$C$492="",Registro_Compras!$O$492=""),"",IF(Registro_Compras!$F$492="NOTA DE CREDITO","IGV - Cuenta Propia (Credito Fiscal)","Cuentas por Pagar Comerciales - Terceros (Emitidas)"))</f>
        <v/>
      </c>
      <c r="E4399" s="20">
        <f>""</f>
        <v/>
      </c>
      <c r="F4399" s="20">
        <f>IF($C4399="","",IF(Registro_Compras!$F$492="NOTA DE CREDITO",ROUND(ABS(Registro_Compras!$K$492*Registro_Compras!$N$492),2),IF(Registro_Compras!$F$492="RHE",(ROUND(Registro_Compras!$L$492*Registro_Compras!$N$492,2)-ROUND(Registro_Compras!$V$492*Registro_Compras!$N$492,2)),Registro_Compras!$O$492)))</f>
        <v/>
      </c>
      <c r="G4399">
        <f>IF($C4399="","",IF(Registro_Compras!$F$492="NOTA DE CREDITO","Por la nota de credito "&amp;Registro_Compras!$C$492&amp;" de "&amp;Registro_Compras!$E$492&amp;" [PATRON POR CONFIRMAR CON CONTADOR]",IF(Registro_Compras!$F$492="RHE","Por el registro del recibo por honorarios "&amp;Registro_Compras!$C$492&amp;" de "&amp;Registro_Compras!$E$492&amp;" [PATRON POR CONFIRMAR CON CONTADOR]","Por el registro de la factura "&amp;Registro_Compras!$C$492&amp;" de "&amp;Registro_Compras!$E$492)))</f>
        <v/>
      </c>
      <c r="H4399">
        <f>IF($C4399="","",Registro_Compras!$C$492)</f>
        <v/>
      </c>
    </row>
    <row r="4400">
      <c r="A4400" s="25">
        <f>IF($C4400="","",Registro_Compras!$B$492)</f>
        <v/>
      </c>
      <c r="B4400">
        <f>IF($C4400="","","C"&amp;TEXT(INT((ROW()-5)/9)+1,"000")&amp;"-2")</f>
        <v/>
      </c>
      <c r="C4400">
        <f>IF(OR(Registro_Compras!$C$492="",Registro_Compras!$O$492=""),"",IF(Registro_Compras!$AB$492="ADMINISTRATIVO","94","95"))</f>
        <v/>
      </c>
      <c r="D4400">
        <f>IF(OR(Registro_Compras!$C$492="",Registro_Compras!$O$492=""),"",IF(Registro_Compras!$AB$492="ADMINISTRATIVO","Gastos Administrativos","Gastos de Venta y Operacion"))</f>
        <v/>
      </c>
      <c r="E4400" s="20">
        <f>IF($C4400="","",IF(Registro_Compras!$F$492="NOTA DE CREDITO","",IF(Registro_Compras!$F$492="RHE",ROUND(Registro_Compras!$L$492*Registro_Compras!$N$492,2),ROUND(Registro_Compras!$J$492*Registro_Compras!$N$492,2))))</f>
        <v/>
      </c>
      <c r="F4400" s="20">
        <f>IF($C4400="","",IF(Registro_Compras!$F$492="NOTA DE CREDITO",ROUND(ABS(Registro_Compras!$J$492*Registro_Compras!$N$492),2),""))</f>
        <v/>
      </c>
      <c r="G4400">
        <f>IF($C4400="","","Por el destino del gasto")</f>
        <v/>
      </c>
      <c r="H4400">
        <f>IF($C4400="","",Registro_Compras!$C$492)</f>
        <v/>
      </c>
    </row>
    <row r="4401">
      <c r="A4401" s="25">
        <f>IF($C4401="","",Registro_Compras!$B$492)</f>
        <v/>
      </c>
      <c r="B4401">
        <f>IF($C4401="","","C"&amp;TEXT(INT((ROW()-5)/9)+1,"000")&amp;"-2")</f>
        <v/>
      </c>
      <c r="C4401">
        <f>IF(OR(Registro_Compras!$C$492="",Registro_Compras!$O$492=""),"","79/791")</f>
        <v/>
      </c>
      <c r="D4401">
        <f>IF(OR(Registro_Compras!$C$492="",Registro_Compras!$O$492=""),"","Cargas Imputables a Cuentas de Costos y Gastos")</f>
        <v/>
      </c>
      <c r="E4401" s="20">
        <f>IF($C4401="","",IF(Registro_Compras!$F$492="NOTA DE CREDITO",ROUND(ABS(Registro_Compras!$J$492*Registro_Compras!$N$492),2),""))</f>
        <v/>
      </c>
      <c r="F4401" s="20">
        <f>IF($C4401="","",IF(Registro_Compras!$F$492="NOTA DE CREDITO","",IF(Registro_Compras!$F$492="RHE",ROUND(Registro_Compras!$L$492*Registro_Compras!$N$492,2),ROUND(Registro_Compras!$J$492*Registro_Compras!$N$492,2))))</f>
        <v/>
      </c>
      <c r="G4401">
        <f>IF($C4401="","","Por el destino del gasto")</f>
        <v/>
      </c>
      <c r="H4401">
        <f>IF($C4401="","",Registro_Compras!$C$492)</f>
        <v/>
      </c>
    </row>
    <row r="4402">
      <c r="A4402" s="25">
        <f>IF($C4402="","",Registro_Compras!$X$492)</f>
        <v/>
      </c>
      <c r="B4402">
        <f>IF($C4402="","","C"&amp;TEXT(INT((ROW()-5)/9)+1,"000")&amp;"-3")</f>
        <v/>
      </c>
      <c r="C4402">
        <f>IF(OR(Registro_Compras!$C$492="",Registro_Compras!$O$492="",Registro_Compras!$R$492&lt;&gt;"SI",Registro_Compras!$X$492=""),"","4212")</f>
        <v/>
      </c>
      <c r="D4402">
        <f>IF(OR(Registro_Compras!$C$492="",Registro_Compras!$O$492=""),"","Cuentas por Pagar Comerciales - Terceros")</f>
        <v/>
      </c>
      <c r="E4402" s="20">
        <f>IF($C4402="","",Registro_Compras!$S$492)</f>
        <v/>
      </c>
      <c r="F4402" s="20">
        <f>""</f>
        <v/>
      </c>
      <c r="G4402">
        <f>IF($C4402="","","Por el deposito de la detraccion en el Banco de la Nacion")</f>
        <v/>
      </c>
      <c r="H4402">
        <f>IF($C4402="","",Registro_Compras!$C$492)</f>
        <v/>
      </c>
    </row>
    <row r="4403">
      <c r="A4403" s="25">
        <f>IF($C4403="","",Registro_Compras!$X$492)</f>
        <v/>
      </c>
      <c r="B4403">
        <f>IF($C4403="","","C"&amp;TEXT(INT((ROW()-5)/9)+1,"000")&amp;"-3")</f>
        <v/>
      </c>
      <c r="C4403">
        <f>IF(OR(Registro_Compras!$C$492="",Registro_Compras!$O$492="",Registro_Compras!$R$492&lt;&gt;"SI",Registro_Compras!$X$492=""),"","10413")</f>
        <v/>
      </c>
      <c r="D4403">
        <f>IF(OR(Registro_Compras!$C$492="",Registro_Compras!$O$492=""),"","Efectivo y Equivalentes - Cta. Cte. Operativa")</f>
        <v/>
      </c>
      <c r="E4403" s="20">
        <f>""</f>
        <v/>
      </c>
      <c r="F4403" s="20">
        <f>IF($C4403="","",Registro_Compras!$S$492)</f>
        <v/>
      </c>
      <c r="G4403">
        <f>IF($C4403="","","Por el deposito de la detraccion en el Banco de la Nacion")</f>
        <v/>
      </c>
      <c r="H4403">
        <f>IF($C4403="","",Registro_Compras!$C$492)</f>
        <v/>
      </c>
    </row>
    <row r="4404">
      <c r="A4404" s="25">
        <f>IF($C4404="","",Registro_Compras!$Y$492)</f>
        <v/>
      </c>
      <c r="B4404">
        <f>IF($C4404="","","C"&amp;TEXT(INT((ROW()-5)/9)+1,"000")&amp;"-4")</f>
        <v/>
      </c>
      <c r="C4404">
        <f>IF(OR(Registro_Compras!$C$492="",Registro_Compras!$O$492="",Registro_Compras!$Y$492="",Registro_Compras!$F$492="NOTA DE CREDITO"),"","4212")</f>
        <v/>
      </c>
      <c r="D4404">
        <f>IF(OR(Registro_Compras!$C$492="",Registro_Compras!$O$492=""),"","Cuentas por Pagar Comerciales - Terceros")</f>
        <v/>
      </c>
      <c r="E4404" s="20">
        <f>IF($C4404="","",IF(Registro_Compras!$F$492="RHE",(ROUND(Registro_Compras!$L$492*Registro_Compras!$N$492,2)-ROUND(Registro_Compras!$V$492*Registro_Compras!$N$492,2)),ROUND(Registro_Compras!$O$492-Registro_Compras!$S$492,2)))</f>
        <v/>
      </c>
      <c r="F4404" s="20">
        <f>""</f>
        <v/>
      </c>
      <c r="G4404">
        <f>IF($C4404="","","Por la cancelacion del saldo al proveedor")</f>
        <v/>
      </c>
      <c r="H4404">
        <f>IF($C4404="","",Registro_Compras!$C$492)</f>
        <v/>
      </c>
    </row>
    <row r="4405">
      <c r="A4405" s="25">
        <f>IF($C4405="","",Registro_Compras!$Y$492)</f>
        <v/>
      </c>
      <c r="B4405">
        <f>IF($C4405="","","C"&amp;TEXT(INT((ROW()-5)/9)+1,"000")&amp;"-4")</f>
        <v/>
      </c>
      <c r="C4405">
        <f>IF(OR(Registro_Compras!$C$492="",Registro_Compras!$O$492="",Registro_Compras!$Y$492="",Registro_Compras!$F$492="NOTA DE CREDITO"),"","10413")</f>
        <v/>
      </c>
      <c r="D4405">
        <f>IF(OR(Registro_Compras!$C$492="",Registro_Compras!$O$492=""),"","Efectivo y Equivalentes - Cta. Cte. Operativa")</f>
        <v/>
      </c>
      <c r="E4405" s="20">
        <f>""</f>
        <v/>
      </c>
      <c r="F4405" s="20">
        <f>IF($C4405="","",IF(Registro_Compras!$F$492="RHE",(ROUND(Registro_Compras!$L$492*Registro_Compras!$N$492,2)-ROUND(Registro_Compras!$V$492*Registro_Compras!$N$492,2)),ROUND(Registro_Compras!$O$492-Registro_Compras!$S$492,2)))</f>
        <v/>
      </c>
      <c r="G4405">
        <f>IF($C4405="","","Por la cancelacion del saldo al proveedor")</f>
        <v/>
      </c>
      <c r="H4405">
        <f>IF($C4405="","",Registro_Compras!$C$492)</f>
        <v/>
      </c>
    </row>
    <row r="4406">
      <c r="A4406" s="25">
        <f>IF($C4406="","",Registro_Compras!$B$493)</f>
        <v/>
      </c>
      <c r="B4406">
        <f>IF($C4406="","","C"&amp;TEXT(INT((ROW()-5)/9)+1,"000")&amp;"-1")</f>
        <v/>
      </c>
      <c r="C4406">
        <f>IF(OR(Registro_Compras!$C$493="",Registro_Compras!$O$493=""),"",IF(Registro_Compras!$F$493="NOTA DE CREDITO","4212",IF(Registro_Compras!$M$493="","63",Registro_Compras!$M$493)))</f>
        <v/>
      </c>
      <c r="D4406">
        <f>IF(OR(Registro_Compras!$C$493="",Registro_Compras!$O$493=""),"",IF(Registro_Compras!$F$493="NOTA DE CREDITO","Cuentas por Pagar Comerciales - Terceros (Emitidas)",IF(Registro_Compras!$F$493="RHE","Honorarios Profesionales - Servicios de Terceros","Gastos de Servicios Prestados por Terceros")))</f>
        <v/>
      </c>
      <c r="E4406" s="20">
        <f>IF($C4406="","",IF(Registro_Compras!$F$493="NOTA DE CREDITO",ABS(Registro_Compras!$O$493),IF(Registro_Compras!$F$493="RHE",ROUND(Registro_Compras!$L$493*Registro_Compras!$N$493,2),ROUND(Registro_Compras!$J$493*Registro_Compras!$N$493,2))))</f>
        <v/>
      </c>
      <c r="F4406" s="20">
        <f>""</f>
        <v/>
      </c>
      <c r="G4406">
        <f>IF($C4406="","",IF(Registro_Compras!$F$493="NOTA DE CREDITO","Por la nota de credito "&amp;Registro_Compras!$C$493&amp;" de "&amp;Registro_Compras!$E$493&amp;" [PATRON POR CONFIRMAR CON CONTADOR]",IF(Registro_Compras!$F$493="RHE","Por el registro del recibo por honorarios "&amp;Registro_Compras!$C$493&amp;" de "&amp;Registro_Compras!$E$493&amp;" [PATRON POR CONFIRMAR CON CONTADOR]","Por el registro de la factura "&amp;Registro_Compras!$C$493&amp;" de "&amp;Registro_Compras!$E$493)))</f>
        <v/>
      </c>
      <c r="H4406">
        <f>IF($C4406="","",Registro_Compras!$C$493)</f>
        <v/>
      </c>
    </row>
    <row r="4407">
      <c r="A4407" s="25">
        <f>IF($C4407="","",Registro_Compras!$B$493)</f>
        <v/>
      </c>
      <c r="B4407">
        <f>IF($C4407="","","C"&amp;TEXT(INT((ROW()-5)/9)+1,"000")&amp;"-1")</f>
        <v/>
      </c>
      <c r="C4407">
        <f>IF(OR(Registro_Compras!$C$493="",Registro_Compras!$O$493=""),"",IF(Registro_Compras!$F$493="RHE",IF(Registro_Compras!$V$493=0,"","40172"),IF(Registro_Compras!$F$493="NOTA DE CREDITO",IF(Registro_Compras!$M$493="","63",Registro_Compras!$M$493),IF(Registro_Compras!$K$493=0,"","40111"))))</f>
        <v/>
      </c>
      <c r="D4407">
        <f>IF(OR(Registro_Compras!$C$493="",Registro_Compras!$O$493=""),"",IF(Registro_Compras!$F$493="RHE","Retencion Renta 4ta Categoria por Pagar",IF(Registro_Compras!$F$493="NOTA DE CREDITO","Gastos de Servicios Prestados por Terceros","IGV - Cuenta Propia (Credito Fiscal)")))</f>
        <v/>
      </c>
      <c r="E4407" s="20">
        <f>IF($C4407="","",IF(Registro_Compras!$F$493="FACTURA",ROUND(Registro_Compras!$K$493*Registro_Compras!$N$493,2),""))</f>
        <v/>
      </c>
      <c r="F4407" s="20">
        <f>IF($C4407="","",IF(Registro_Compras!$F$493="RHE",ROUND(Registro_Compras!$V$493*Registro_Compras!$N$493,2),IF(Registro_Compras!$F$493="NOTA DE CREDITO",ROUND(ABS(Registro_Compras!$J$493*Registro_Compras!$N$493),2),"")))</f>
        <v/>
      </c>
      <c r="G4407">
        <f>IF($C4407="","",IF(Registro_Compras!$F$493="NOTA DE CREDITO","Por la nota de credito "&amp;Registro_Compras!$C$493&amp;" de "&amp;Registro_Compras!$E$493&amp;" [PATRON POR CONFIRMAR CON CONTADOR]",IF(Registro_Compras!$F$493="RHE","Por el registro del recibo por honorarios "&amp;Registro_Compras!$C$493&amp;" de "&amp;Registro_Compras!$E$493&amp;" [PATRON POR CONFIRMAR CON CONTADOR]","Por el registro de la factura "&amp;Registro_Compras!$C$493&amp;" de "&amp;Registro_Compras!$E$493)))</f>
        <v/>
      </c>
      <c r="H4407">
        <f>IF($C4407="","",Registro_Compras!$C$493)</f>
        <v/>
      </c>
    </row>
    <row r="4408">
      <c r="A4408" s="25">
        <f>IF($C4408="","",Registro_Compras!$B$493)</f>
        <v/>
      </c>
      <c r="B4408">
        <f>IF($C4408="","","C"&amp;TEXT(INT((ROW()-5)/9)+1,"000")&amp;"-1")</f>
        <v/>
      </c>
      <c r="C4408">
        <f>IF(OR(Registro_Compras!$C$493="",Registro_Compras!$O$493=""),"",IF(Registro_Compras!$F$493="NOTA DE CREDITO",IF(Registro_Compras!$K$493=0,"","40111"),"4212"))</f>
        <v/>
      </c>
      <c r="D4408">
        <f>IF(OR(Registro_Compras!$C$493="",Registro_Compras!$O$493=""),"",IF(Registro_Compras!$F$493="NOTA DE CREDITO","IGV - Cuenta Propia (Credito Fiscal)","Cuentas por Pagar Comerciales - Terceros (Emitidas)"))</f>
        <v/>
      </c>
      <c r="E4408" s="20">
        <f>""</f>
        <v/>
      </c>
      <c r="F4408" s="20">
        <f>IF($C4408="","",IF(Registro_Compras!$F$493="NOTA DE CREDITO",ROUND(ABS(Registro_Compras!$K$493*Registro_Compras!$N$493),2),IF(Registro_Compras!$F$493="RHE",(ROUND(Registro_Compras!$L$493*Registro_Compras!$N$493,2)-ROUND(Registro_Compras!$V$493*Registro_Compras!$N$493,2)),Registro_Compras!$O$493)))</f>
        <v/>
      </c>
      <c r="G4408">
        <f>IF($C4408="","",IF(Registro_Compras!$F$493="NOTA DE CREDITO","Por la nota de credito "&amp;Registro_Compras!$C$493&amp;" de "&amp;Registro_Compras!$E$493&amp;" [PATRON POR CONFIRMAR CON CONTADOR]",IF(Registro_Compras!$F$493="RHE","Por el registro del recibo por honorarios "&amp;Registro_Compras!$C$493&amp;" de "&amp;Registro_Compras!$E$493&amp;" [PATRON POR CONFIRMAR CON CONTADOR]","Por el registro de la factura "&amp;Registro_Compras!$C$493&amp;" de "&amp;Registro_Compras!$E$493)))</f>
        <v/>
      </c>
      <c r="H4408">
        <f>IF($C4408="","",Registro_Compras!$C$493)</f>
        <v/>
      </c>
    </row>
    <row r="4409">
      <c r="A4409" s="25">
        <f>IF($C4409="","",Registro_Compras!$B$493)</f>
        <v/>
      </c>
      <c r="B4409">
        <f>IF($C4409="","","C"&amp;TEXT(INT((ROW()-5)/9)+1,"000")&amp;"-2")</f>
        <v/>
      </c>
      <c r="C4409">
        <f>IF(OR(Registro_Compras!$C$493="",Registro_Compras!$O$493=""),"",IF(Registro_Compras!$AB$493="ADMINISTRATIVO","94","95"))</f>
        <v/>
      </c>
      <c r="D4409">
        <f>IF(OR(Registro_Compras!$C$493="",Registro_Compras!$O$493=""),"",IF(Registro_Compras!$AB$493="ADMINISTRATIVO","Gastos Administrativos","Gastos de Venta y Operacion"))</f>
        <v/>
      </c>
      <c r="E4409" s="20">
        <f>IF($C4409="","",IF(Registro_Compras!$F$493="NOTA DE CREDITO","",IF(Registro_Compras!$F$493="RHE",ROUND(Registro_Compras!$L$493*Registro_Compras!$N$493,2),ROUND(Registro_Compras!$J$493*Registro_Compras!$N$493,2))))</f>
        <v/>
      </c>
      <c r="F4409" s="20">
        <f>IF($C4409="","",IF(Registro_Compras!$F$493="NOTA DE CREDITO",ROUND(ABS(Registro_Compras!$J$493*Registro_Compras!$N$493),2),""))</f>
        <v/>
      </c>
      <c r="G4409">
        <f>IF($C4409="","","Por el destino del gasto")</f>
        <v/>
      </c>
      <c r="H4409">
        <f>IF($C4409="","",Registro_Compras!$C$493)</f>
        <v/>
      </c>
    </row>
    <row r="4410">
      <c r="A4410" s="25">
        <f>IF($C4410="","",Registro_Compras!$B$493)</f>
        <v/>
      </c>
      <c r="B4410">
        <f>IF($C4410="","","C"&amp;TEXT(INT((ROW()-5)/9)+1,"000")&amp;"-2")</f>
        <v/>
      </c>
      <c r="C4410">
        <f>IF(OR(Registro_Compras!$C$493="",Registro_Compras!$O$493=""),"","79/791")</f>
        <v/>
      </c>
      <c r="D4410">
        <f>IF(OR(Registro_Compras!$C$493="",Registro_Compras!$O$493=""),"","Cargas Imputables a Cuentas de Costos y Gastos")</f>
        <v/>
      </c>
      <c r="E4410" s="20">
        <f>IF($C4410="","",IF(Registro_Compras!$F$493="NOTA DE CREDITO",ROUND(ABS(Registro_Compras!$J$493*Registro_Compras!$N$493),2),""))</f>
        <v/>
      </c>
      <c r="F4410" s="20">
        <f>IF($C4410="","",IF(Registro_Compras!$F$493="NOTA DE CREDITO","",IF(Registro_Compras!$F$493="RHE",ROUND(Registro_Compras!$L$493*Registro_Compras!$N$493,2),ROUND(Registro_Compras!$J$493*Registro_Compras!$N$493,2))))</f>
        <v/>
      </c>
      <c r="G4410">
        <f>IF($C4410="","","Por el destino del gasto")</f>
        <v/>
      </c>
      <c r="H4410">
        <f>IF($C4410="","",Registro_Compras!$C$493)</f>
        <v/>
      </c>
    </row>
    <row r="4411">
      <c r="A4411" s="25">
        <f>IF($C4411="","",Registro_Compras!$X$493)</f>
        <v/>
      </c>
      <c r="B4411">
        <f>IF($C4411="","","C"&amp;TEXT(INT((ROW()-5)/9)+1,"000")&amp;"-3")</f>
        <v/>
      </c>
      <c r="C4411">
        <f>IF(OR(Registro_Compras!$C$493="",Registro_Compras!$O$493="",Registro_Compras!$R$493&lt;&gt;"SI",Registro_Compras!$X$493=""),"","4212")</f>
        <v/>
      </c>
      <c r="D4411">
        <f>IF(OR(Registro_Compras!$C$493="",Registro_Compras!$O$493=""),"","Cuentas por Pagar Comerciales - Terceros")</f>
        <v/>
      </c>
      <c r="E4411" s="20">
        <f>IF($C4411="","",Registro_Compras!$S$493)</f>
        <v/>
      </c>
      <c r="F4411" s="20">
        <f>""</f>
        <v/>
      </c>
      <c r="G4411">
        <f>IF($C4411="","","Por el deposito de la detraccion en el Banco de la Nacion")</f>
        <v/>
      </c>
      <c r="H4411">
        <f>IF($C4411="","",Registro_Compras!$C$493)</f>
        <v/>
      </c>
    </row>
    <row r="4412">
      <c r="A4412" s="25">
        <f>IF($C4412="","",Registro_Compras!$X$493)</f>
        <v/>
      </c>
      <c r="B4412">
        <f>IF($C4412="","","C"&amp;TEXT(INT((ROW()-5)/9)+1,"000")&amp;"-3")</f>
        <v/>
      </c>
      <c r="C4412">
        <f>IF(OR(Registro_Compras!$C$493="",Registro_Compras!$O$493="",Registro_Compras!$R$493&lt;&gt;"SI",Registro_Compras!$X$493=""),"","10413")</f>
        <v/>
      </c>
      <c r="D4412">
        <f>IF(OR(Registro_Compras!$C$493="",Registro_Compras!$O$493=""),"","Efectivo y Equivalentes - Cta. Cte. Operativa")</f>
        <v/>
      </c>
      <c r="E4412" s="20">
        <f>""</f>
        <v/>
      </c>
      <c r="F4412" s="20">
        <f>IF($C4412="","",Registro_Compras!$S$493)</f>
        <v/>
      </c>
      <c r="G4412">
        <f>IF($C4412="","","Por el deposito de la detraccion en el Banco de la Nacion")</f>
        <v/>
      </c>
      <c r="H4412">
        <f>IF($C4412="","",Registro_Compras!$C$493)</f>
        <v/>
      </c>
    </row>
    <row r="4413">
      <c r="A4413" s="25">
        <f>IF($C4413="","",Registro_Compras!$Y$493)</f>
        <v/>
      </c>
      <c r="B4413">
        <f>IF($C4413="","","C"&amp;TEXT(INT((ROW()-5)/9)+1,"000")&amp;"-4")</f>
        <v/>
      </c>
      <c r="C4413">
        <f>IF(OR(Registro_Compras!$C$493="",Registro_Compras!$O$493="",Registro_Compras!$Y$493="",Registro_Compras!$F$493="NOTA DE CREDITO"),"","4212")</f>
        <v/>
      </c>
      <c r="D4413">
        <f>IF(OR(Registro_Compras!$C$493="",Registro_Compras!$O$493=""),"","Cuentas por Pagar Comerciales - Terceros")</f>
        <v/>
      </c>
      <c r="E4413" s="20">
        <f>IF($C4413="","",IF(Registro_Compras!$F$493="RHE",(ROUND(Registro_Compras!$L$493*Registro_Compras!$N$493,2)-ROUND(Registro_Compras!$V$493*Registro_Compras!$N$493,2)),ROUND(Registro_Compras!$O$493-Registro_Compras!$S$493,2)))</f>
        <v/>
      </c>
      <c r="F4413" s="20">
        <f>""</f>
        <v/>
      </c>
      <c r="G4413">
        <f>IF($C4413="","","Por la cancelacion del saldo al proveedor")</f>
        <v/>
      </c>
      <c r="H4413">
        <f>IF($C4413="","",Registro_Compras!$C$493)</f>
        <v/>
      </c>
    </row>
    <row r="4414">
      <c r="A4414" s="25">
        <f>IF($C4414="","",Registro_Compras!$Y$493)</f>
        <v/>
      </c>
      <c r="B4414">
        <f>IF($C4414="","","C"&amp;TEXT(INT((ROW()-5)/9)+1,"000")&amp;"-4")</f>
        <v/>
      </c>
      <c r="C4414">
        <f>IF(OR(Registro_Compras!$C$493="",Registro_Compras!$O$493="",Registro_Compras!$Y$493="",Registro_Compras!$F$493="NOTA DE CREDITO"),"","10413")</f>
        <v/>
      </c>
      <c r="D4414">
        <f>IF(OR(Registro_Compras!$C$493="",Registro_Compras!$O$493=""),"","Efectivo y Equivalentes - Cta. Cte. Operativa")</f>
        <v/>
      </c>
      <c r="E4414" s="20">
        <f>""</f>
        <v/>
      </c>
      <c r="F4414" s="20">
        <f>IF($C4414="","",IF(Registro_Compras!$F$493="RHE",(ROUND(Registro_Compras!$L$493*Registro_Compras!$N$493,2)-ROUND(Registro_Compras!$V$493*Registro_Compras!$N$493,2)),ROUND(Registro_Compras!$O$493-Registro_Compras!$S$493,2)))</f>
        <v/>
      </c>
      <c r="G4414">
        <f>IF($C4414="","","Por la cancelacion del saldo al proveedor")</f>
        <v/>
      </c>
      <c r="H4414">
        <f>IF($C4414="","",Registro_Compras!$C$493)</f>
        <v/>
      </c>
    </row>
    <row r="4415">
      <c r="A4415" s="25">
        <f>IF($C4415="","",Registro_Compras!$B$494)</f>
        <v/>
      </c>
      <c r="B4415">
        <f>IF($C4415="","","C"&amp;TEXT(INT((ROW()-5)/9)+1,"000")&amp;"-1")</f>
        <v/>
      </c>
      <c r="C4415">
        <f>IF(OR(Registro_Compras!$C$494="",Registro_Compras!$O$494=""),"",IF(Registro_Compras!$F$494="NOTA DE CREDITO","4212",IF(Registro_Compras!$M$494="","63",Registro_Compras!$M$494)))</f>
        <v/>
      </c>
      <c r="D4415">
        <f>IF(OR(Registro_Compras!$C$494="",Registro_Compras!$O$494=""),"",IF(Registro_Compras!$F$494="NOTA DE CREDITO","Cuentas por Pagar Comerciales - Terceros (Emitidas)",IF(Registro_Compras!$F$494="RHE","Honorarios Profesionales - Servicios de Terceros","Gastos de Servicios Prestados por Terceros")))</f>
        <v/>
      </c>
      <c r="E4415" s="20">
        <f>IF($C4415="","",IF(Registro_Compras!$F$494="NOTA DE CREDITO",ABS(Registro_Compras!$O$494),IF(Registro_Compras!$F$494="RHE",ROUND(Registro_Compras!$L$494*Registro_Compras!$N$494,2),ROUND(Registro_Compras!$J$494*Registro_Compras!$N$494,2))))</f>
        <v/>
      </c>
      <c r="F4415" s="20">
        <f>""</f>
        <v/>
      </c>
      <c r="G4415">
        <f>IF($C4415="","",IF(Registro_Compras!$F$494="NOTA DE CREDITO","Por la nota de credito "&amp;Registro_Compras!$C$494&amp;" de "&amp;Registro_Compras!$E$494&amp;" [PATRON POR CONFIRMAR CON CONTADOR]",IF(Registro_Compras!$F$494="RHE","Por el registro del recibo por honorarios "&amp;Registro_Compras!$C$494&amp;" de "&amp;Registro_Compras!$E$494&amp;" [PATRON POR CONFIRMAR CON CONTADOR]","Por el registro de la factura "&amp;Registro_Compras!$C$494&amp;" de "&amp;Registro_Compras!$E$494)))</f>
        <v/>
      </c>
      <c r="H4415">
        <f>IF($C4415="","",Registro_Compras!$C$494)</f>
        <v/>
      </c>
    </row>
    <row r="4416">
      <c r="A4416" s="25">
        <f>IF($C4416="","",Registro_Compras!$B$494)</f>
        <v/>
      </c>
      <c r="B4416">
        <f>IF($C4416="","","C"&amp;TEXT(INT((ROW()-5)/9)+1,"000")&amp;"-1")</f>
        <v/>
      </c>
      <c r="C4416">
        <f>IF(OR(Registro_Compras!$C$494="",Registro_Compras!$O$494=""),"",IF(Registro_Compras!$F$494="RHE",IF(Registro_Compras!$V$494=0,"","40172"),IF(Registro_Compras!$F$494="NOTA DE CREDITO",IF(Registro_Compras!$M$494="","63",Registro_Compras!$M$494),IF(Registro_Compras!$K$494=0,"","40111"))))</f>
        <v/>
      </c>
      <c r="D4416">
        <f>IF(OR(Registro_Compras!$C$494="",Registro_Compras!$O$494=""),"",IF(Registro_Compras!$F$494="RHE","Retencion Renta 4ta Categoria por Pagar",IF(Registro_Compras!$F$494="NOTA DE CREDITO","Gastos de Servicios Prestados por Terceros","IGV - Cuenta Propia (Credito Fiscal)")))</f>
        <v/>
      </c>
      <c r="E4416" s="20">
        <f>IF($C4416="","",IF(Registro_Compras!$F$494="FACTURA",ROUND(Registro_Compras!$K$494*Registro_Compras!$N$494,2),""))</f>
        <v/>
      </c>
      <c r="F4416" s="20">
        <f>IF($C4416="","",IF(Registro_Compras!$F$494="RHE",ROUND(Registro_Compras!$V$494*Registro_Compras!$N$494,2),IF(Registro_Compras!$F$494="NOTA DE CREDITO",ROUND(ABS(Registro_Compras!$J$494*Registro_Compras!$N$494),2),"")))</f>
        <v/>
      </c>
      <c r="G4416">
        <f>IF($C4416="","",IF(Registro_Compras!$F$494="NOTA DE CREDITO","Por la nota de credito "&amp;Registro_Compras!$C$494&amp;" de "&amp;Registro_Compras!$E$494&amp;" [PATRON POR CONFIRMAR CON CONTADOR]",IF(Registro_Compras!$F$494="RHE","Por el registro del recibo por honorarios "&amp;Registro_Compras!$C$494&amp;" de "&amp;Registro_Compras!$E$494&amp;" [PATRON POR CONFIRMAR CON CONTADOR]","Por el registro de la factura "&amp;Registro_Compras!$C$494&amp;" de "&amp;Registro_Compras!$E$494)))</f>
        <v/>
      </c>
      <c r="H4416">
        <f>IF($C4416="","",Registro_Compras!$C$494)</f>
        <v/>
      </c>
    </row>
    <row r="4417">
      <c r="A4417" s="25">
        <f>IF($C4417="","",Registro_Compras!$B$494)</f>
        <v/>
      </c>
      <c r="B4417">
        <f>IF($C4417="","","C"&amp;TEXT(INT((ROW()-5)/9)+1,"000")&amp;"-1")</f>
        <v/>
      </c>
      <c r="C4417">
        <f>IF(OR(Registro_Compras!$C$494="",Registro_Compras!$O$494=""),"",IF(Registro_Compras!$F$494="NOTA DE CREDITO",IF(Registro_Compras!$K$494=0,"","40111"),"4212"))</f>
        <v/>
      </c>
      <c r="D4417">
        <f>IF(OR(Registro_Compras!$C$494="",Registro_Compras!$O$494=""),"",IF(Registro_Compras!$F$494="NOTA DE CREDITO","IGV - Cuenta Propia (Credito Fiscal)","Cuentas por Pagar Comerciales - Terceros (Emitidas)"))</f>
        <v/>
      </c>
      <c r="E4417" s="20">
        <f>""</f>
        <v/>
      </c>
      <c r="F4417" s="20">
        <f>IF($C4417="","",IF(Registro_Compras!$F$494="NOTA DE CREDITO",ROUND(ABS(Registro_Compras!$K$494*Registro_Compras!$N$494),2),IF(Registro_Compras!$F$494="RHE",(ROUND(Registro_Compras!$L$494*Registro_Compras!$N$494,2)-ROUND(Registro_Compras!$V$494*Registro_Compras!$N$494,2)),Registro_Compras!$O$494)))</f>
        <v/>
      </c>
      <c r="G4417">
        <f>IF($C4417="","",IF(Registro_Compras!$F$494="NOTA DE CREDITO","Por la nota de credito "&amp;Registro_Compras!$C$494&amp;" de "&amp;Registro_Compras!$E$494&amp;" [PATRON POR CONFIRMAR CON CONTADOR]",IF(Registro_Compras!$F$494="RHE","Por el registro del recibo por honorarios "&amp;Registro_Compras!$C$494&amp;" de "&amp;Registro_Compras!$E$494&amp;" [PATRON POR CONFIRMAR CON CONTADOR]","Por el registro de la factura "&amp;Registro_Compras!$C$494&amp;" de "&amp;Registro_Compras!$E$494)))</f>
        <v/>
      </c>
      <c r="H4417">
        <f>IF($C4417="","",Registro_Compras!$C$494)</f>
        <v/>
      </c>
    </row>
    <row r="4418">
      <c r="A4418" s="25">
        <f>IF($C4418="","",Registro_Compras!$B$494)</f>
        <v/>
      </c>
      <c r="B4418">
        <f>IF($C4418="","","C"&amp;TEXT(INT((ROW()-5)/9)+1,"000")&amp;"-2")</f>
        <v/>
      </c>
      <c r="C4418">
        <f>IF(OR(Registro_Compras!$C$494="",Registro_Compras!$O$494=""),"",IF(Registro_Compras!$AB$494="ADMINISTRATIVO","94","95"))</f>
        <v/>
      </c>
      <c r="D4418">
        <f>IF(OR(Registro_Compras!$C$494="",Registro_Compras!$O$494=""),"",IF(Registro_Compras!$AB$494="ADMINISTRATIVO","Gastos Administrativos","Gastos de Venta y Operacion"))</f>
        <v/>
      </c>
      <c r="E4418" s="20">
        <f>IF($C4418="","",IF(Registro_Compras!$F$494="NOTA DE CREDITO","",IF(Registro_Compras!$F$494="RHE",ROUND(Registro_Compras!$L$494*Registro_Compras!$N$494,2),ROUND(Registro_Compras!$J$494*Registro_Compras!$N$494,2))))</f>
        <v/>
      </c>
      <c r="F4418" s="20">
        <f>IF($C4418="","",IF(Registro_Compras!$F$494="NOTA DE CREDITO",ROUND(ABS(Registro_Compras!$J$494*Registro_Compras!$N$494),2),""))</f>
        <v/>
      </c>
      <c r="G4418">
        <f>IF($C4418="","","Por el destino del gasto")</f>
        <v/>
      </c>
      <c r="H4418">
        <f>IF($C4418="","",Registro_Compras!$C$494)</f>
        <v/>
      </c>
    </row>
    <row r="4419">
      <c r="A4419" s="25">
        <f>IF($C4419="","",Registro_Compras!$B$494)</f>
        <v/>
      </c>
      <c r="B4419">
        <f>IF($C4419="","","C"&amp;TEXT(INT((ROW()-5)/9)+1,"000")&amp;"-2")</f>
        <v/>
      </c>
      <c r="C4419">
        <f>IF(OR(Registro_Compras!$C$494="",Registro_Compras!$O$494=""),"","79/791")</f>
        <v/>
      </c>
      <c r="D4419">
        <f>IF(OR(Registro_Compras!$C$494="",Registro_Compras!$O$494=""),"","Cargas Imputables a Cuentas de Costos y Gastos")</f>
        <v/>
      </c>
      <c r="E4419" s="20">
        <f>IF($C4419="","",IF(Registro_Compras!$F$494="NOTA DE CREDITO",ROUND(ABS(Registro_Compras!$J$494*Registro_Compras!$N$494),2),""))</f>
        <v/>
      </c>
      <c r="F4419" s="20">
        <f>IF($C4419="","",IF(Registro_Compras!$F$494="NOTA DE CREDITO","",IF(Registro_Compras!$F$494="RHE",ROUND(Registro_Compras!$L$494*Registro_Compras!$N$494,2),ROUND(Registro_Compras!$J$494*Registro_Compras!$N$494,2))))</f>
        <v/>
      </c>
      <c r="G4419">
        <f>IF($C4419="","","Por el destino del gasto")</f>
        <v/>
      </c>
      <c r="H4419">
        <f>IF($C4419="","",Registro_Compras!$C$494)</f>
        <v/>
      </c>
    </row>
    <row r="4420">
      <c r="A4420" s="25">
        <f>IF($C4420="","",Registro_Compras!$X$494)</f>
        <v/>
      </c>
      <c r="B4420">
        <f>IF($C4420="","","C"&amp;TEXT(INT((ROW()-5)/9)+1,"000")&amp;"-3")</f>
        <v/>
      </c>
      <c r="C4420">
        <f>IF(OR(Registro_Compras!$C$494="",Registro_Compras!$O$494="",Registro_Compras!$R$494&lt;&gt;"SI",Registro_Compras!$X$494=""),"","4212")</f>
        <v/>
      </c>
      <c r="D4420">
        <f>IF(OR(Registro_Compras!$C$494="",Registro_Compras!$O$494=""),"","Cuentas por Pagar Comerciales - Terceros")</f>
        <v/>
      </c>
      <c r="E4420" s="20">
        <f>IF($C4420="","",Registro_Compras!$S$494)</f>
        <v/>
      </c>
      <c r="F4420" s="20">
        <f>""</f>
        <v/>
      </c>
      <c r="G4420">
        <f>IF($C4420="","","Por el deposito de la detraccion en el Banco de la Nacion")</f>
        <v/>
      </c>
      <c r="H4420">
        <f>IF($C4420="","",Registro_Compras!$C$494)</f>
        <v/>
      </c>
    </row>
    <row r="4421">
      <c r="A4421" s="25">
        <f>IF($C4421="","",Registro_Compras!$X$494)</f>
        <v/>
      </c>
      <c r="B4421">
        <f>IF($C4421="","","C"&amp;TEXT(INT((ROW()-5)/9)+1,"000")&amp;"-3")</f>
        <v/>
      </c>
      <c r="C4421">
        <f>IF(OR(Registro_Compras!$C$494="",Registro_Compras!$O$494="",Registro_Compras!$R$494&lt;&gt;"SI",Registro_Compras!$X$494=""),"","10413")</f>
        <v/>
      </c>
      <c r="D4421">
        <f>IF(OR(Registro_Compras!$C$494="",Registro_Compras!$O$494=""),"","Efectivo y Equivalentes - Cta. Cte. Operativa")</f>
        <v/>
      </c>
      <c r="E4421" s="20">
        <f>""</f>
        <v/>
      </c>
      <c r="F4421" s="20">
        <f>IF($C4421="","",Registro_Compras!$S$494)</f>
        <v/>
      </c>
      <c r="G4421">
        <f>IF($C4421="","","Por el deposito de la detraccion en el Banco de la Nacion")</f>
        <v/>
      </c>
      <c r="H4421">
        <f>IF($C4421="","",Registro_Compras!$C$494)</f>
        <v/>
      </c>
    </row>
    <row r="4422">
      <c r="A4422" s="25">
        <f>IF($C4422="","",Registro_Compras!$Y$494)</f>
        <v/>
      </c>
      <c r="B4422">
        <f>IF($C4422="","","C"&amp;TEXT(INT((ROW()-5)/9)+1,"000")&amp;"-4")</f>
        <v/>
      </c>
      <c r="C4422">
        <f>IF(OR(Registro_Compras!$C$494="",Registro_Compras!$O$494="",Registro_Compras!$Y$494="",Registro_Compras!$F$494="NOTA DE CREDITO"),"","4212")</f>
        <v/>
      </c>
      <c r="D4422">
        <f>IF(OR(Registro_Compras!$C$494="",Registro_Compras!$O$494=""),"","Cuentas por Pagar Comerciales - Terceros")</f>
        <v/>
      </c>
      <c r="E4422" s="20">
        <f>IF($C4422="","",IF(Registro_Compras!$F$494="RHE",(ROUND(Registro_Compras!$L$494*Registro_Compras!$N$494,2)-ROUND(Registro_Compras!$V$494*Registro_Compras!$N$494,2)),ROUND(Registro_Compras!$O$494-Registro_Compras!$S$494,2)))</f>
        <v/>
      </c>
      <c r="F4422" s="20">
        <f>""</f>
        <v/>
      </c>
      <c r="G4422">
        <f>IF($C4422="","","Por la cancelacion del saldo al proveedor")</f>
        <v/>
      </c>
      <c r="H4422">
        <f>IF($C4422="","",Registro_Compras!$C$494)</f>
        <v/>
      </c>
    </row>
    <row r="4423">
      <c r="A4423" s="25">
        <f>IF($C4423="","",Registro_Compras!$Y$494)</f>
        <v/>
      </c>
      <c r="B4423">
        <f>IF($C4423="","","C"&amp;TEXT(INT((ROW()-5)/9)+1,"000")&amp;"-4")</f>
        <v/>
      </c>
      <c r="C4423">
        <f>IF(OR(Registro_Compras!$C$494="",Registro_Compras!$O$494="",Registro_Compras!$Y$494="",Registro_Compras!$F$494="NOTA DE CREDITO"),"","10413")</f>
        <v/>
      </c>
      <c r="D4423">
        <f>IF(OR(Registro_Compras!$C$494="",Registro_Compras!$O$494=""),"","Efectivo y Equivalentes - Cta. Cte. Operativa")</f>
        <v/>
      </c>
      <c r="E4423" s="20">
        <f>""</f>
        <v/>
      </c>
      <c r="F4423" s="20">
        <f>IF($C4423="","",IF(Registro_Compras!$F$494="RHE",(ROUND(Registro_Compras!$L$494*Registro_Compras!$N$494,2)-ROUND(Registro_Compras!$V$494*Registro_Compras!$N$494,2)),ROUND(Registro_Compras!$O$494-Registro_Compras!$S$494,2)))</f>
        <v/>
      </c>
      <c r="G4423">
        <f>IF($C4423="","","Por la cancelacion del saldo al proveedor")</f>
        <v/>
      </c>
      <c r="H4423">
        <f>IF($C4423="","",Registro_Compras!$C$494)</f>
        <v/>
      </c>
    </row>
    <row r="4424">
      <c r="A4424" s="25">
        <f>IF($C4424="","",Registro_Compras!$B$495)</f>
        <v/>
      </c>
      <c r="B4424">
        <f>IF($C4424="","","C"&amp;TEXT(INT((ROW()-5)/9)+1,"000")&amp;"-1")</f>
        <v/>
      </c>
      <c r="C4424">
        <f>IF(OR(Registro_Compras!$C$495="",Registro_Compras!$O$495=""),"",IF(Registro_Compras!$F$495="NOTA DE CREDITO","4212",IF(Registro_Compras!$M$495="","63",Registro_Compras!$M$495)))</f>
        <v/>
      </c>
      <c r="D4424">
        <f>IF(OR(Registro_Compras!$C$495="",Registro_Compras!$O$495=""),"",IF(Registro_Compras!$F$495="NOTA DE CREDITO","Cuentas por Pagar Comerciales - Terceros (Emitidas)",IF(Registro_Compras!$F$495="RHE","Honorarios Profesionales - Servicios de Terceros","Gastos de Servicios Prestados por Terceros")))</f>
        <v/>
      </c>
      <c r="E4424" s="20">
        <f>IF($C4424="","",IF(Registro_Compras!$F$495="NOTA DE CREDITO",ABS(Registro_Compras!$O$495),IF(Registro_Compras!$F$495="RHE",ROUND(Registro_Compras!$L$495*Registro_Compras!$N$495,2),ROUND(Registro_Compras!$J$495*Registro_Compras!$N$495,2))))</f>
        <v/>
      </c>
      <c r="F4424" s="20">
        <f>""</f>
        <v/>
      </c>
      <c r="G4424">
        <f>IF($C4424="","",IF(Registro_Compras!$F$495="NOTA DE CREDITO","Por la nota de credito "&amp;Registro_Compras!$C$495&amp;" de "&amp;Registro_Compras!$E$495&amp;" [PATRON POR CONFIRMAR CON CONTADOR]",IF(Registro_Compras!$F$495="RHE","Por el registro del recibo por honorarios "&amp;Registro_Compras!$C$495&amp;" de "&amp;Registro_Compras!$E$495&amp;" [PATRON POR CONFIRMAR CON CONTADOR]","Por el registro de la factura "&amp;Registro_Compras!$C$495&amp;" de "&amp;Registro_Compras!$E$495)))</f>
        <v/>
      </c>
      <c r="H4424">
        <f>IF($C4424="","",Registro_Compras!$C$495)</f>
        <v/>
      </c>
    </row>
    <row r="4425">
      <c r="A4425" s="25">
        <f>IF($C4425="","",Registro_Compras!$B$495)</f>
        <v/>
      </c>
      <c r="B4425">
        <f>IF($C4425="","","C"&amp;TEXT(INT((ROW()-5)/9)+1,"000")&amp;"-1")</f>
        <v/>
      </c>
      <c r="C4425">
        <f>IF(OR(Registro_Compras!$C$495="",Registro_Compras!$O$495=""),"",IF(Registro_Compras!$F$495="RHE",IF(Registro_Compras!$V$495=0,"","40172"),IF(Registro_Compras!$F$495="NOTA DE CREDITO",IF(Registro_Compras!$M$495="","63",Registro_Compras!$M$495),IF(Registro_Compras!$K$495=0,"","40111"))))</f>
        <v/>
      </c>
      <c r="D4425">
        <f>IF(OR(Registro_Compras!$C$495="",Registro_Compras!$O$495=""),"",IF(Registro_Compras!$F$495="RHE","Retencion Renta 4ta Categoria por Pagar",IF(Registro_Compras!$F$495="NOTA DE CREDITO","Gastos de Servicios Prestados por Terceros","IGV - Cuenta Propia (Credito Fiscal)")))</f>
        <v/>
      </c>
      <c r="E4425" s="20">
        <f>IF($C4425="","",IF(Registro_Compras!$F$495="FACTURA",ROUND(Registro_Compras!$K$495*Registro_Compras!$N$495,2),""))</f>
        <v/>
      </c>
      <c r="F4425" s="20">
        <f>IF($C4425="","",IF(Registro_Compras!$F$495="RHE",ROUND(Registro_Compras!$V$495*Registro_Compras!$N$495,2),IF(Registro_Compras!$F$495="NOTA DE CREDITO",ROUND(ABS(Registro_Compras!$J$495*Registro_Compras!$N$495),2),"")))</f>
        <v/>
      </c>
      <c r="G4425">
        <f>IF($C4425="","",IF(Registro_Compras!$F$495="NOTA DE CREDITO","Por la nota de credito "&amp;Registro_Compras!$C$495&amp;" de "&amp;Registro_Compras!$E$495&amp;" [PATRON POR CONFIRMAR CON CONTADOR]",IF(Registro_Compras!$F$495="RHE","Por el registro del recibo por honorarios "&amp;Registro_Compras!$C$495&amp;" de "&amp;Registro_Compras!$E$495&amp;" [PATRON POR CONFIRMAR CON CONTADOR]","Por el registro de la factura "&amp;Registro_Compras!$C$495&amp;" de "&amp;Registro_Compras!$E$495)))</f>
        <v/>
      </c>
      <c r="H4425">
        <f>IF($C4425="","",Registro_Compras!$C$495)</f>
        <v/>
      </c>
    </row>
    <row r="4426">
      <c r="A4426" s="25">
        <f>IF($C4426="","",Registro_Compras!$B$495)</f>
        <v/>
      </c>
      <c r="B4426">
        <f>IF($C4426="","","C"&amp;TEXT(INT((ROW()-5)/9)+1,"000")&amp;"-1")</f>
        <v/>
      </c>
      <c r="C4426">
        <f>IF(OR(Registro_Compras!$C$495="",Registro_Compras!$O$495=""),"",IF(Registro_Compras!$F$495="NOTA DE CREDITO",IF(Registro_Compras!$K$495=0,"","40111"),"4212"))</f>
        <v/>
      </c>
      <c r="D4426">
        <f>IF(OR(Registro_Compras!$C$495="",Registro_Compras!$O$495=""),"",IF(Registro_Compras!$F$495="NOTA DE CREDITO","IGV - Cuenta Propia (Credito Fiscal)","Cuentas por Pagar Comerciales - Terceros (Emitidas)"))</f>
        <v/>
      </c>
      <c r="E4426" s="20">
        <f>""</f>
        <v/>
      </c>
      <c r="F4426" s="20">
        <f>IF($C4426="","",IF(Registro_Compras!$F$495="NOTA DE CREDITO",ROUND(ABS(Registro_Compras!$K$495*Registro_Compras!$N$495),2),IF(Registro_Compras!$F$495="RHE",(ROUND(Registro_Compras!$L$495*Registro_Compras!$N$495,2)-ROUND(Registro_Compras!$V$495*Registro_Compras!$N$495,2)),Registro_Compras!$O$495)))</f>
        <v/>
      </c>
      <c r="G4426">
        <f>IF($C4426="","",IF(Registro_Compras!$F$495="NOTA DE CREDITO","Por la nota de credito "&amp;Registro_Compras!$C$495&amp;" de "&amp;Registro_Compras!$E$495&amp;" [PATRON POR CONFIRMAR CON CONTADOR]",IF(Registro_Compras!$F$495="RHE","Por el registro del recibo por honorarios "&amp;Registro_Compras!$C$495&amp;" de "&amp;Registro_Compras!$E$495&amp;" [PATRON POR CONFIRMAR CON CONTADOR]","Por el registro de la factura "&amp;Registro_Compras!$C$495&amp;" de "&amp;Registro_Compras!$E$495)))</f>
        <v/>
      </c>
      <c r="H4426">
        <f>IF($C4426="","",Registro_Compras!$C$495)</f>
        <v/>
      </c>
    </row>
    <row r="4427">
      <c r="A4427" s="25">
        <f>IF($C4427="","",Registro_Compras!$B$495)</f>
        <v/>
      </c>
      <c r="B4427">
        <f>IF($C4427="","","C"&amp;TEXT(INT((ROW()-5)/9)+1,"000")&amp;"-2")</f>
        <v/>
      </c>
      <c r="C4427">
        <f>IF(OR(Registro_Compras!$C$495="",Registro_Compras!$O$495=""),"",IF(Registro_Compras!$AB$495="ADMINISTRATIVO","94","95"))</f>
        <v/>
      </c>
      <c r="D4427">
        <f>IF(OR(Registro_Compras!$C$495="",Registro_Compras!$O$495=""),"",IF(Registro_Compras!$AB$495="ADMINISTRATIVO","Gastos Administrativos","Gastos de Venta y Operacion"))</f>
        <v/>
      </c>
      <c r="E4427" s="20">
        <f>IF($C4427="","",IF(Registro_Compras!$F$495="NOTA DE CREDITO","",IF(Registro_Compras!$F$495="RHE",ROUND(Registro_Compras!$L$495*Registro_Compras!$N$495,2),ROUND(Registro_Compras!$J$495*Registro_Compras!$N$495,2))))</f>
        <v/>
      </c>
      <c r="F4427" s="20">
        <f>IF($C4427="","",IF(Registro_Compras!$F$495="NOTA DE CREDITO",ROUND(ABS(Registro_Compras!$J$495*Registro_Compras!$N$495),2),""))</f>
        <v/>
      </c>
      <c r="G4427">
        <f>IF($C4427="","","Por el destino del gasto")</f>
        <v/>
      </c>
      <c r="H4427">
        <f>IF($C4427="","",Registro_Compras!$C$495)</f>
        <v/>
      </c>
    </row>
    <row r="4428">
      <c r="A4428" s="25">
        <f>IF($C4428="","",Registro_Compras!$B$495)</f>
        <v/>
      </c>
      <c r="B4428">
        <f>IF($C4428="","","C"&amp;TEXT(INT((ROW()-5)/9)+1,"000")&amp;"-2")</f>
        <v/>
      </c>
      <c r="C4428">
        <f>IF(OR(Registro_Compras!$C$495="",Registro_Compras!$O$495=""),"","79/791")</f>
        <v/>
      </c>
      <c r="D4428">
        <f>IF(OR(Registro_Compras!$C$495="",Registro_Compras!$O$495=""),"","Cargas Imputables a Cuentas de Costos y Gastos")</f>
        <v/>
      </c>
      <c r="E4428" s="20">
        <f>IF($C4428="","",IF(Registro_Compras!$F$495="NOTA DE CREDITO",ROUND(ABS(Registro_Compras!$J$495*Registro_Compras!$N$495),2),""))</f>
        <v/>
      </c>
      <c r="F4428" s="20">
        <f>IF($C4428="","",IF(Registro_Compras!$F$495="NOTA DE CREDITO","",IF(Registro_Compras!$F$495="RHE",ROUND(Registro_Compras!$L$495*Registro_Compras!$N$495,2),ROUND(Registro_Compras!$J$495*Registro_Compras!$N$495,2))))</f>
        <v/>
      </c>
      <c r="G4428">
        <f>IF($C4428="","","Por el destino del gasto")</f>
        <v/>
      </c>
      <c r="H4428">
        <f>IF($C4428="","",Registro_Compras!$C$495)</f>
        <v/>
      </c>
    </row>
    <row r="4429">
      <c r="A4429" s="25">
        <f>IF($C4429="","",Registro_Compras!$X$495)</f>
        <v/>
      </c>
      <c r="B4429">
        <f>IF($C4429="","","C"&amp;TEXT(INT((ROW()-5)/9)+1,"000")&amp;"-3")</f>
        <v/>
      </c>
      <c r="C4429">
        <f>IF(OR(Registro_Compras!$C$495="",Registro_Compras!$O$495="",Registro_Compras!$R$495&lt;&gt;"SI",Registro_Compras!$X$495=""),"","4212")</f>
        <v/>
      </c>
      <c r="D4429">
        <f>IF(OR(Registro_Compras!$C$495="",Registro_Compras!$O$495=""),"","Cuentas por Pagar Comerciales - Terceros")</f>
        <v/>
      </c>
      <c r="E4429" s="20">
        <f>IF($C4429="","",Registro_Compras!$S$495)</f>
        <v/>
      </c>
      <c r="F4429" s="20">
        <f>""</f>
        <v/>
      </c>
      <c r="G4429">
        <f>IF($C4429="","","Por el deposito de la detraccion en el Banco de la Nacion")</f>
        <v/>
      </c>
      <c r="H4429">
        <f>IF($C4429="","",Registro_Compras!$C$495)</f>
        <v/>
      </c>
    </row>
    <row r="4430">
      <c r="A4430" s="25">
        <f>IF($C4430="","",Registro_Compras!$X$495)</f>
        <v/>
      </c>
      <c r="B4430">
        <f>IF($C4430="","","C"&amp;TEXT(INT((ROW()-5)/9)+1,"000")&amp;"-3")</f>
        <v/>
      </c>
      <c r="C4430">
        <f>IF(OR(Registro_Compras!$C$495="",Registro_Compras!$O$495="",Registro_Compras!$R$495&lt;&gt;"SI",Registro_Compras!$X$495=""),"","10413")</f>
        <v/>
      </c>
      <c r="D4430">
        <f>IF(OR(Registro_Compras!$C$495="",Registro_Compras!$O$495=""),"","Efectivo y Equivalentes - Cta. Cte. Operativa")</f>
        <v/>
      </c>
      <c r="E4430" s="20">
        <f>""</f>
        <v/>
      </c>
      <c r="F4430" s="20">
        <f>IF($C4430="","",Registro_Compras!$S$495)</f>
        <v/>
      </c>
      <c r="G4430">
        <f>IF($C4430="","","Por el deposito de la detraccion en el Banco de la Nacion")</f>
        <v/>
      </c>
      <c r="H4430">
        <f>IF($C4430="","",Registro_Compras!$C$495)</f>
        <v/>
      </c>
    </row>
    <row r="4431">
      <c r="A4431" s="25">
        <f>IF($C4431="","",Registro_Compras!$Y$495)</f>
        <v/>
      </c>
      <c r="B4431">
        <f>IF($C4431="","","C"&amp;TEXT(INT((ROW()-5)/9)+1,"000")&amp;"-4")</f>
        <v/>
      </c>
      <c r="C4431">
        <f>IF(OR(Registro_Compras!$C$495="",Registro_Compras!$O$495="",Registro_Compras!$Y$495="",Registro_Compras!$F$495="NOTA DE CREDITO"),"","4212")</f>
        <v/>
      </c>
      <c r="D4431">
        <f>IF(OR(Registro_Compras!$C$495="",Registro_Compras!$O$495=""),"","Cuentas por Pagar Comerciales - Terceros")</f>
        <v/>
      </c>
      <c r="E4431" s="20">
        <f>IF($C4431="","",IF(Registro_Compras!$F$495="RHE",(ROUND(Registro_Compras!$L$495*Registro_Compras!$N$495,2)-ROUND(Registro_Compras!$V$495*Registro_Compras!$N$495,2)),ROUND(Registro_Compras!$O$495-Registro_Compras!$S$495,2)))</f>
        <v/>
      </c>
      <c r="F4431" s="20">
        <f>""</f>
        <v/>
      </c>
      <c r="G4431">
        <f>IF($C4431="","","Por la cancelacion del saldo al proveedor")</f>
        <v/>
      </c>
      <c r="H4431">
        <f>IF($C4431="","",Registro_Compras!$C$495)</f>
        <v/>
      </c>
    </row>
    <row r="4432">
      <c r="A4432" s="25">
        <f>IF($C4432="","",Registro_Compras!$Y$495)</f>
        <v/>
      </c>
      <c r="B4432">
        <f>IF($C4432="","","C"&amp;TEXT(INT((ROW()-5)/9)+1,"000")&amp;"-4")</f>
        <v/>
      </c>
      <c r="C4432">
        <f>IF(OR(Registro_Compras!$C$495="",Registro_Compras!$O$495="",Registro_Compras!$Y$495="",Registro_Compras!$F$495="NOTA DE CREDITO"),"","10413")</f>
        <v/>
      </c>
      <c r="D4432">
        <f>IF(OR(Registro_Compras!$C$495="",Registro_Compras!$O$495=""),"","Efectivo y Equivalentes - Cta. Cte. Operativa")</f>
        <v/>
      </c>
      <c r="E4432" s="20">
        <f>""</f>
        <v/>
      </c>
      <c r="F4432" s="20">
        <f>IF($C4432="","",IF(Registro_Compras!$F$495="RHE",(ROUND(Registro_Compras!$L$495*Registro_Compras!$N$495,2)-ROUND(Registro_Compras!$V$495*Registro_Compras!$N$495,2)),ROUND(Registro_Compras!$O$495-Registro_Compras!$S$495,2)))</f>
        <v/>
      </c>
      <c r="G4432">
        <f>IF($C4432="","","Por la cancelacion del saldo al proveedor")</f>
        <v/>
      </c>
      <c r="H4432">
        <f>IF($C4432="","",Registro_Compras!$C$495)</f>
        <v/>
      </c>
    </row>
    <row r="4433">
      <c r="A4433" s="25">
        <f>IF($C4433="","",Registro_Compras!$B$496)</f>
        <v/>
      </c>
      <c r="B4433">
        <f>IF($C4433="","","C"&amp;TEXT(INT((ROW()-5)/9)+1,"000")&amp;"-1")</f>
        <v/>
      </c>
      <c r="C4433">
        <f>IF(OR(Registro_Compras!$C$496="",Registro_Compras!$O$496=""),"",IF(Registro_Compras!$F$496="NOTA DE CREDITO","4212",IF(Registro_Compras!$M$496="","63",Registro_Compras!$M$496)))</f>
        <v/>
      </c>
      <c r="D4433">
        <f>IF(OR(Registro_Compras!$C$496="",Registro_Compras!$O$496=""),"",IF(Registro_Compras!$F$496="NOTA DE CREDITO","Cuentas por Pagar Comerciales - Terceros (Emitidas)",IF(Registro_Compras!$F$496="RHE","Honorarios Profesionales - Servicios de Terceros","Gastos de Servicios Prestados por Terceros")))</f>
        <v/>
      </c>
      <c r="E4433" s="20">
        <f>IF($C4433="","",IF(Registro_Compras!$F$496="NOTA DE CREDITO",ABS(Registro_Compras!$O$496),IF(Registro_Compras!$F$496="RHE",ROUND(Registro_Compras!$L$496*Registro_Compras!$N$496,2),ROUND(Registro_Compras!$J$496*Registro_Compras!$N$496,2))))</f>
        <v/>
      </c>
      <c r="F4433" s="20">
        <f>""</f>
        <v/>
      </c>
      <c r="G4433">
        <f>IF($C4433="","",IF(Registro_Compras!$F$496="NOTA DE CREDITO","Por la nota de credito "&amp;Registro_Compras!$C$496&amp;" de "&amp;Registro_Compras!$E$496&amp;" [PATRON POR CONFIRMAR CON CONTADOR]",IF(Registro_Compras!$F$496="RHE","Por el registro del recibo por honorarios "&amp;Registro_Compras!$C$496&amp;" de "&amp;Registro_Compras!$E$496&amp;" [PATRON POR CONFIRMAR CON CONTADOR]","Por el registro de la factura "&amp;Registro_Compras!$C$496&amp;" de "&amp;Registro_Compras!$E$496)))</f>
        <v/>
      </c>
      <c r="H4433">
        <f>IF($C4433="","",Registro_Compras!$C$496)</f>
        <v/>
      </c>
    </row>
    <row r="4434">
      <c r="A4434" s="25">
        <f>IF($C4434="","",Registro_Compras!$B$496)</f>
        <v/>
      </c>
      <c r="B4434">
        <f>IF($C4434="","","C"&amp;TEXT(INT((ROW()-5)/9)+1,"000")&amp;"-1")</f>
        <v/>
      </c>
      <c r="C4434">
        <f>IF(OR(Registro_Compras!$C$496="",Registro_Compras!$O$496=""),"",IF(Registro_Compras!$F$496="RHE",IF(Registro_Compras!$V$496=0,"","40172"),IF(Registro_Compras!$F$496="NOTA DE CREDITO",IF(Registro_Compras!$M$496="","63",Registro_Compras!$M$496),IF(Registro_Compras!$K$496=0,"","40111"))))</f>
        <v/>
      </c>
      <c r="D4434">
        <f>IF(OR(Registro_Compras!$C$496="",Registro_Compras!$O$496=""),"",IF(Registro_Compras!$F$496="RHE","Retencion Renta 4ta Categoria por Pagar",IF(Registro_Compras!$F$496="NOTA DE CREDITO","Gastos de Servicios Prestados por Terceros","IGV - Cuenta Propia (Credito Fiscal)")))</f>
        <v/>
      </c>
      <c r="E4434" s="20">
        <f>IF($C4434="","",IF(Registro_Compras!$F$496="FACTURA",ROUND(Registro_Compras!$K$496*Registro_Compras!$N$496,2),""))</f>
        <v/>
      </c>
      <c r="F4434" s="20">
        <f>IF($C4434="","",IF(Registro_Compras!$F$496="RHE",ROUND(Registro_Compras!$V$496*Registro_Compras!$N$496,2),IF(Registro_Compras!$F$496="NOTA DE CREDITO",ROUND(ABS(Registro_Compras!$J$496*Registro_Compras!$N$496),2),"")))</f>
        <v/>
      </c>
      <c r="G4434">
        <f>IF($C4434="","",IF(Registro_Compras!$F$496="NOTA DE CREDITO","Por la nota de credito "&amp;Registro_Compras!$C$496&amp;" de "&amp;Registro_Compras!$E$496&amp;" [PATRON POR CONFIRMAR CON CONTADOR]",IF(Registro_Compras!$F$496="RHE","Por el registro del recibo por honorarios "&amp;Registro_Compras!$C$496&amp;" de "&amp;Registro_Compras!$E$496&amp;" [PATRON POR CONFIRMAR CON CONTADOR]","Por el registro de la factura "&amp;Registro_Compras!$C$496&amp;" de "&amp;Registro_Compras!$E$496)))</f>
        <v/>
      </c>
      <c r="H4434">
        <f>IF($C4434="","",Registro_Compras!$C$496)</f>
        <v/>
      </c>
    </row>
    <row r="4435">
      <c r="A4435" s="25">
        <f>IF($C4435="","",Registro_Compras!$B$496)</f>
        <v/>
      </c>
      <c r="B4435">
        <f>IF($C4435="","","C"&amp;TEXT(INT((ROW()-5)/9)+1,"000")&amp;"-1")</f>
        <v/>
      </c>
      <c r="C4435">
        <f>IF(OR(Registro_Compras!$C$496="",Registro_Compras!$O$496=""),"",IF(Registro_Compras!$F$496="NOTA DE CREDITO",IF(Registro_Compras!$K$496=0,"","40111"),"4212"))</f>
        <v/>
      </c>
      <c r="D4435">
        <f>IF(OR(Registro_Compras!$C$496="",Registro_Compras!$O$496=""),"",IF(Registro_Compras!$F$496="NOTA DE CREDITO","IGV - Cuenta Propia (Credito Fiscal)","Cuentas por Pagar Comerciales - Terceros (Emitidas)"))</f>
        <v/>
      </c>
      <c r="E4435" s="20">
        <f>""</f>
        <v/>
      </c>
      <c r="F4435" s="20">
        <f>IF($C4435="","",IF(Registro_Compras!$F$496="NOTA DE CREDITO",ROUND(ABS(Registro_Compras!$K$496*Registro_Compras!$N$496),2),IF(Registro_Compras!$F$496="RHE",(ROUND(Registro_Compras!$L$496*Registro_Compras!$N$496,2)-ROUND(Registro_Compras!$V$496*Registro_Compras!$N$496,2)),Registro_Compras!$O$496)))</f>
        <v/>
      </c>
      <c r="G4435">
        <f>IF($C4435="","",IF(Registro_Compras!$F$496="NOTA DE CREDITO","Por la nota de credito "&amp;Registro_Compras!$C$496&amp;" de "&amp;Registro_Compras!$E$496&amp;" [PATRON POR CONFIRMAR CON CONTADOR]",IF(Registro_Compras!$F$496="RHE","Por el registro del recibo por honorarios "&amp;Registro_Compras!$C$496&amp;" de "&amp;Registro_Compras!$E$496&amp;" [PATRON POR CONFIRMAR CON CONTADOR]","Por el registro de la factura "&amp;Registro_Compras!$C$496&amp;" de "&amp;Registro_Compras!$E$496)))</f>
        <v/>
      </c>
      <c r="H4435">
        <f>IF($C4435="","",Registro_Compras!$C$496)</f>
        <v/>
      </c>
    </row>
    <row r="4436">
      <c r="A4436" s="25">
        <f>IF($C4436="","",Registro_Compras!$B$496)</f>
        <v/>
      </c>
      <c r="B4436">
        <f>IF($C4436="","","C"&amp;TEXT(INT((ROW()-5)/9)+1,"000")&amp;"-2")</f>
        <v/>
      </c>
      <c r="C4436">
        <f>IF(OR(Registro_Compras!$C$496="",Registro_Compras!$O$496=""),"",IF(Registro_Compras!$AB$496="ADMINISTRATIVO","94","95"))</f>
        <v/>
      </c>
      <c r="D4436">
        <f>IF(OR(Registro_Compras!$C$496="",Registro_Compras!$O$496=""),"",IF(Registro_Compras!$AB$496="ADMINISTRATIVO","Gastos Administrativos","Gastos de Venta y Operacion"))</f>
        <v/>
      </c>
      <c r="E4436" s="20">
        <f>IF($C4436="","",IF(Registro_Compras!$F$496="NOTA DE CREDITO","",IF(Registro_Compras!$F$496="RHE",ROUND(Registro_Compras!$L$496*Registro_Compras!$N$496,2),ROUND(Registro_Compras!$J$496*Registro_Compras!$N$496,2))))</f>
        <v/>
      </c>
      <c r="F4436" s="20">
        <f>IF($C4436="","",IF(Registro_Compras!$F$496="NOTA DE CREDITO",ROUND(ABS(Registro_Compras!$J$496*Registro_Compras!$N$496),2),""))</f>
        <v/>
      </c>
      <c r="G4436">
        <f>IF($C4436="","","Por el destino del gasto")</f>
        <v/>
      </c>
      <c r="H4436">
        <f>IF($C4436="","",Registro_Compras!$C$496)</f>
        <v/>
      </c>
    </row>
    <row r="4437">
      <c r="A4437" s="25">
        <f>IF($C4437="","",Registro_Compras!$B$496)</f>
        <v/>
      </c>
      <c r="B4437">
        <f>IF($C4437="","","C"&amp;TEXT(INT((ROW()-5)/9)+1,"000")&amp;"-2")</f>
        <v/>
      </c>
      <c r="C4437">
        <f>IF(OR(Registro_Compras!$C$496="",Registro_Compras!$O$496=""),"","79/791")</f>
        <v/>
      </c>
      <c r="D4437">
        <f>IF(OR(Registro_Compras!$C$496="",Registro_Compras!$O$496=""),"","Cargas Imputables a Cuentas de Costos y Gastos")</f>
        <v/>
      </c>
      <c r="E4437" s="20">
        <f>IF($C4437="","",IF(Registro_Compras!$F$496="NOTA DE CREDITO",ROUND(ABS(Registro_Compras!$J$496*Registro_Compras!$N$496),2),""))</f>
        <v/>
      </c>
      <c r="F4437" s="20">
        <f>IF($C4437="","",IF(Registro_Compras!$F$496="NOTA DE CREDITO","",IF(Registro_Compras!$F$496="RHE",ROUND(Registro_Compras!$L$496*Registro_Compras!$N$496,2),ROUND(Registro_Compras!$J$496*Registro_Compras!$N$496,2))))</f>
        <v/>
      </c>
      <c r="G4437">
        <f>IF($C4437="","","Por el destino del gasto")</f>
        <v/>
      </c>
      <c r="H4437">
        <f>IF($C4437="","",Registro_Compras!$C$496)</f>
        <v/>
      </c>
    </row>
    <row r="4438">
      <c r="A4438" s="25">
        <f>IF($C4438="","",Registro_Compras!$X$496)</f>
        <v/>
      </c>
      <c r="B4438">
        <f>IF($C4438="","","C"&amp;TEXT(INT((ROW()-5)/9)+1,"000")&amp;"-3")</f>
        <v/>
      </c>
      <c r="C4438">
        <f>IF(OR(Registro_Compras!$C$496="",Registro_Compras!$O$496="",Registro_Compras!$R$496&lt;&gt;"SI",Registro_Compras!$X$496=""),"","4212")</f>
        <v/>
      </c>
      <c r="D4438">
        <f>IF(OR(Registro_Compras!$C$496="",Registro_Compras!$O$496=""),"","Cuentas por Pagar Comerciales - Terceros")</f>
        <v/>
      </c>
      <c r="E4438" s="20">
        <f>IF($C4438="","",Registro_Compras!$S$496)</f>
        <v/>
      </c>
      <c r="F4438" s="20">
        <f>""</f>
        <v/>
      </c>
      <c r="G4438">
        <f>IF($C4438="","","Por el deposito de la detraccion en el Banco de la Nacion")</f>
        <v/>
      </c>
      <c r="H4438">
        <f>IF($C4438="","",Registro_Compras!$C$496)</f>
        <v/>
      </c>
    </row>
    <row r="4439">
      <c r="A4439" s="25">
        <f>IF($C4439="","",Registro_Compras!$X$496)</f>
        <v/>
      </c>
      <c r="B4439">
        <f>IF($C4439="","","C"&amp;TEXT(INT((ROW()-5)/9)+1,"000")&amp;"-3")</f>
        <v/>
      </c>
      <c r="C4439">
        <f>IF(OR(Registro_Compras!$C$496="",Registro_Compras!$O$496="",Registro_Compras!$R$496&lt;&gt;"SI",Registro_Compras!$X$496=""),"","10413")</f>
        <v/>
      </c>
      <c r="D4439">
        <f>IF(OR(Registro_Compras!$C$496="",Registro_Compras!$O$496=""),"","Efectivo y Equivalentes - Cta. Cte. Operativa")</f>
        <v/>
      </c>
      <c r="E4439" s="20">
        <f>""</f>
        <v/>
      </c>
      <c r="F4439" s="20">
        <f>IF($C4439="","",Registro_Compras!$S$496)</f>
        <v/>
      </c>
      <c r="G4439">
        <f>IF($C4439="","","Por el deposito de la detraccion en el Banco de la Nacion")</f>
        <v/>
      </c>
      <c r="H4439">
        <f>IF($C4439="","",Registro_Compras!$C$496)</f>
        <v/>
      </c>
    </row>
    <row r="4440">
      <c r="A4440" s="25">
        <f>IF($C4440="","",Registro_Compras!$Y$496)</f>
        <v/>
      </c>
      <c r="B4440">
        <f>IF($C4440="","","C"&amp;TEXT(INT((ROW()-5)/9)+1,"000")&amp;"-4")</f>
        <v/>
      </c>
      <c r="C4440">
        <f>IF(OR(Registro_Compras!$C$496="",Registro_Compras!$O$496="",Registro_Compras!$Y$496="",Registro_Compras!$F$496="NOTA DE CREDITO"),"","4212")</f>
        <v/>
      </c>
      <c r="D4440">
        <f>IF(OR(Registro_Compras!$C$496="",Registro_Compras!$O$496=""),"","Cuentas por Pagar Comerciales - Terceros")</f>
        <v/>
      </c>
      <c r="E4440" s="20">
        <f>IF($C4440="","",IF(Registro_Compras!$F$496="RHE",(ROUND(Registro_Compras!$L$496*Registro_Compras!$N$496,2)-ROUND(Registro_Compras!$V$496*Registro_Compras!$N$496,2)),ROUND(Registro_Compras!$O$496-Registro_Compras!$S$496,2)))</f>
        <v/>
      </c>
      <c r="F4440" s="20">
        <f>""</f>
        <v/>
      </c>
      <c r="G4440">
        <f>IF($C4440="","","Por la cancelacion del saldo al proveedor")</f>
        <v/>
      </c>
      <c r="H4440">
        <f>IF($C4440="","",Registro_Compras!$C$496)</f>
        <v/>
      </c>
    </row>
    <row r="4441">
      <c r="A4441" s="25">
        <f>IF($C4441="","",Registro_Compras!$Y$496)</f>
        <v/>
      </c>
      <c r="B4441">
        <f>IF($C4441="","","C"&amp;TEXT(INT((ROW()-5)/9)+1,"000")&amp;"-4")</f>
        <v/>
      </c>
      <c r="C4441">
        <f>IF(OR(Registro_Compras!$C$496="",Registro_Compras!$O$496="",Registro_Compras!$Y$496="",Registro_Compras!$F$496="NOTA DE CREDITO"),"","10413")</f>
        <v/>
      </c>
      <c r="D4441">
        <f>IF(OR(Registro_Compras!$C$496="",Registro_Compras!$O$496=""),"","Efectivo y Equivalentes - Cta. Cte. Operativa")</f>
        <v/>
      </c>
      <c r="E4441" s="20">
        <f>""</f>
        <v/>
      </c>
      <c r="F4441" s="20">
        <f>IF($C4441="","",IF(Registro_Compras!$F$496="RHE",(ROUND(Registro_Compras!$L$496*Registro_Compras!$N$496,2)-ROUND(Registro_Compras!$V$496*Registro_Compras!$N$496,2)),ROUND(Registro_Compras!$O$496-Registro_Compras!$S$496,2)))</f>
        <v/>
      </c>
      <c r="G4441">
        <f>IF($C4441="","","Por la cancelacion del saldo al proveedor")</f>
        <v/>
      </c>
      <c r="H4441">
        <f>IF($C4441="","",Registro_Compras!$C$496)</f>
        <v/>
      </c>
    </row>
    <row r="4442">
      <c r="A4442" s="25">
        <f>IF($C4442="","",Registro_Compras!$B$497)</f>
        <v/>
      </c>
      <c r="B4442">
        <f>IF($C4442="","","C"&amp;TEXT(INT((ROW()-5)/9)+1,"000")&amp;"-1")</f>
        <v/>
      </c>
      <c r="C4442">
        <f>IF(OR(Registro_Compras!$C$497="",Registro_Compras!$O$497=""),"",IF(Registro_Compras!$F$497="NOTA DE CREDITO","4212",IF(Registro_Compras!$M$497="","63",Registro_Compras!$M$497)))</f>
        <v/>
      </c>
      <c r="D4442">
        <f>IF(OR(Registro_Compras!$C$497="",Registro_Compras!$O$497=""),"",IF(Registro_Compras!$F$497="NOTA DE CREDITO","Cuentas por Pagar Comerciales - Terceros (Emitidas)",IF(Registro_Compras!$F$497="RHE","Honorarios Profesionales - Servicios de Terceros","Gastos de Servicios Prestados por Terceros")))</f>
        <v/>
      </c>
      <c r="E4442" s="20">
        <f>IF($C4442="","",IF(Registro_Compras!$F$497="NOTA DE CREDITO",ABS(Registro_Compras!$O$497),IF(Registro_Compras!$F$497="RHE",ROUND(Registro_Compras!$L$497*Registro_Compras!$N$497,2),ROUND(Registro_Compras!$J$497*Registro_Compras!$N$497,2))))</f>
        <v/>
      </c>
      <c r="F4442" s="20">
        <f>""</f>
        <v/>
      </c>
      <c r="G4442">
        <f>IF($C4442="","",IF(Registro_Compras!$F$497="NOTA DE CREDITO","Por la nota de credito "&amp;Registro_Compras!$C$497&amp;" de "&amp;Registro_Compras!$E$497&amp;" [PATRON POR CONFIRMAR CON CONTADOR]",IF(Registro_Compras!$F$497="RHE","Por el registro del recibo por honorarios "&amp;Registro_Compras!$C$497&amp;" de "&amp;Registro_Compras!$E$497&amp;" [PATRON POR CONFIRMAR CON CONTADOR]","Por el registro de la factura "&amp;Registro_Compras!$C$497&amp;" de "&amp;Registro_Compras!$E$497)))</f>
        <v/>
      </c>
      <c r="H4442">
        <f>IF($C4442="","",Registro_Compras!$C$497)</f>
        <v/>
      </c>
    </row>
    <row r="4443">
      <c r="A4443" s="25">
        <f>IF($C4443="","",Registro_Compras!$B$497)</f>
        <v/>
      </c>
      <c r="B4443">
        <f>IF($C4443="","","C"&amp;TEXT(INT((ROW()-5)/9)+1,"000")&amp;"-1")</f>
        <v/>
      </c>
      <c r="C4443">
        <f>IF(OR(Registro_Compras!$C$497="",Registro_Compras!$O$497=""),"",IF(Registro_Compras!$F$497="RHE",IF(Registro_Compras!$V$497=0,"","40172"),IF(Registro_Compras!$F$497="NOTA DE CREDITO",IF(Registro_Compras!$M$497="","63",Registro_Compras!$M$497),IF(Registro_Compras!$K$497=0,"","40111"))))</f>
        <v/>
      </c>
      <c r="D4443">
        <f>IF(OR(Registro_Compras!$C$497="",Registro_Compras!$O$497=""),"",IF(Registro_Compras!$F$497="RHE","Retencion Renta 4ta Categoria por Pagar",IF(Registro_Compras!$F$497="NOTA DE CREDITO","Gastos de Servicios Prestados por Terceros","IGV - Cuenta Propia (Credito Fiscal)")))</f>
        <v/>
      </c>
      <c r="E4443" s="20">
        <f>IF($C4443="","",IF(Registro_Compras!$F$497="FACTURA",ROUND(Registro_Compras!$K$497*Registro_Compras!$N$497,2),""))</f>
        <v/>
      </c>
      <c r="F4443" s="20">
        <f>IF($C4443="","",IF(Registro_Compras!$F$497="RHE",ROUND(Registro_Compras!$V$497*Registro_Compras!$N$497,2),IF(Registro_Compras!$F$497="NOTA DE CREDITO",ROUND(ABS(Registro_Compras!$J$497*Registro_Compras!$N$497),2),"")))</f>
        <v/>
      </c>
      <c r="G4443">
        <f>IF($C4443="","",IF(Registro_Compras!$F$497="NOTA DE CREDITO","Por la nota de credito "&amp;Registro_Compras!$C$497&amp;" de "&amp;Registro_Compras!$E$497&amp;" [PATRON POR CONFIRMAR CON CONTADOR]",IF(Registro_Compras!$F$497="RHE","Por el registro del recibo por honorarios "&amp;Registro_Compras!$C$497&amp;" de "&amp;Registro_Compras!$E$497&amp;" [PATRON POR CONFIRMAR CON CONTADOR]","Por el registro de la factura "&amp;Registro_Compras!$C$497&amp;" de "&amp;Registro_Compras!$E$497)))</f>
        <v/>
      </c>
      <c r="H4443">
        <f>IF($C4443="","",Registro_Compras!$C$497)</f>
        <v/>
      </c>
    </row>
    <row r="4444">
      <c r="A4444" s="25">
        <f>IF($C4444="","",Registro_Compras!$B$497)</f>
        <v/>
      </c>
      <c r="B4444">
        <f>IF($C4444="","","C"&amp;TEXT(INT((ROW()-5)/9)+1,"000")&amp;"-1")</f>
        <v/>
      </c>
      <c r="C4444">
        <f>IF(OR(Registro_Compras!$C$497="",Registro_Compras!$O$497=""),"",IF(Registro_Compras!$F$497="NOTA DE CREDITO",IF(Registro_Compras!$K$497=0,"","40111"),"4212"))</f>
        <v/>
      </c>
      <c r="D4444">
        <f>IF(OR(Registro_Compras!$C$497="",Registro_Compras!$O$497=""),"",IF(Registro_Compras!$F$497="NOTA DE CREDITO","IGV - Cuenta Propia (Credito Fiscal)","Cuentas por Pagar Comerciales - Terceros (Emitidas)"))</f>
        <v/>
      </c>
      <c r="E4444" s="20">
        <f>""</f>
        <v/>
      </c>
      <c r="F4444" s="20">
        <f>IF($C4444="","",IF(Registro_Compras!$F$497="NOTA DE CREDITO",ROUND(ABS(Registro_Compras!$K$497*Registro_Compras!$N$497),2),IF(Registro_Compras!$F$497="RHE",(ROUND(Registro_Compras!$L$497*Registro_Compras!$N$497,2)-ROUND(Registro_Compras!$V$497*Registro_Compras!$N$497,2)),Registro_Compras!$O$497)))</f>
        <v/>
      </c>
      <c r="G4444">
        <f>IF($C4444="","",IF(Registro_Compras!$F$497="NOTA DE CREDITO","Por la nota de credito "&amp;Registro_Compras!$C$497&amp;" de "&amp;Registro_Compras!$E$497&amp;" [PATRON POR CONFIRMAR CON CONTADOR]",IF(Registro_Compras!$F$497="RHE","Por el registro del recibo por honorarios "&amp;Registro_Compras!$C$497&amp;" de "&amp;Registro_Compras!$E$497&amp;" [PATRON POR CONFIRMAR CON CONTADOR]","Por el registro de la factura "&amp;Registro_Compras!$C$497&amp;" de "&amp;Registro_Compras!$E$497)))</f>
        <v/>
      </c>
      <c r="H4444">
        <f>IF($C4444="","",Registro_Compras!$C$497)</f>
        <v/>
      </c>
    </row>
    <row r="4445">
      <c r="A4445" s="25">
        <f>IF($C4445="","",Registro_Compras!$B$497)</f>
        <v/>
      </c>
      <c r="B4445">
        <f>IF($C4445="","","C"&amp;TEXT(INT((ROW()-5)/9)+1,"000")&amp;"-2")</f>
        <v/>
      </c>
      <c r="C4445">
        <f>IF(OR(Registro_Compras!$C$497="",Registro_Compras!$O$497=""),"",IF(Registro_Compras!$AB$497="ADMINISTRATIVO","94","95"))</f>
        <v/>
      </c>
      <c r="D4445">
        <f>IF(OR(Registro_Compras!$C$497="",Registro_Compras!$O$497=""),"",IF(Registro_Compras!$AB$497="ADMINISTRATIVO","Gastos Administrativos","Gastos de Venta y Operacion"))</f>
        <v/>
      </c>
      <c r="E4445" s="20">
        <f>IF($C4445="","",IF(Registro_Compras!$F$497="NOTA DE CREDITO","",IF(Registro_Compras!$F$497="RHE",ROUND(Registro_Compras!$L$497*Registro_Compras!$N$497,2),ROUND(Registro_Compras!$J$497*Registro_Compras!$N$497,2))))</f>
        <v/>
      </c>
      <c r="F4445" s="20">
        <f>IF($C4445="","",IF(Registro_Compras!$F$497="NOTA DE CREDITO",ROUND(ABS(Registro_Compras!$J$497*Registro_Compras!$N$497),2),""))</f>
        <v/>
      </c>
      <c r="G4445">
        <f>IF($C4445="","","Por el destino del gasto")</f>
        <v/>
      </c>
      <c r="H4445">
        <f>IF($C4445="","",Registro_Compras!$C$497)</f>
        <v/>
      </c>
    </row>
    <row r="4446">
      <c r="A4446" s="25">
        <f>IF($C4446="","",Registro_Compras!$B$497)</f>
        <v/>
      </c>
      <c r="B4446">
        <f>IF($C4446="","","C"&amp;TEXT(INT((ROW()-5)/9)+1,"000")&amp;"-2")</f>
        <v/>
      </c>
      <c r="C4446">
        <f>IF(OR(Registro_Compras!$C$497="",Registro_Compras!$O$497=""),"","79/791")</f>
        <v/>
      </c>
      <c r="D4446">
        <f>IF(OR(Registro_Compras!$C$497="",Registro_Compras!$O$497=""),"","Cargas Imputables a Cuentas de Costos y Gastos")</f>
        <v/>
      </c>
      <c r="E4446" s="20">
        <f>IF($C4446="","",IF(Registro_Compras!$F$497="NOTA DE CREDITO",ROUND(ABS(Registro_Compras!$J$497*Registro_Compras!$N$497),2),""))</f>
        <v/>
      </c>
      <c r="F4446" s="20">
        <f>IF($C4446="","",IF(Registro_Compras!$F$497="NOTA DE CREDITO","",IF(Registro_Compras!$F$497="RHE",ROUND(Registro_Compras!$L$497*Registro_Compras!$N$497,2),ROUND(Registro_Compras!$J$497*Registro_Compras!$N$497,2))))</f>
        <v/>
      </c>
      <c r="G4446">
        <f>IF($C4446="","","Por el destino del gasto")</f>
        <v/>
      </c>
      <c r="H4446">
        <f>IF($C4446="","",Registro_Compras!$C$497)</f>
        <v/>
      </c>
    </row>
    <row r="4447">
      <c r="A4447" s="25">
        <f>IF($C4447="","",Registro_Compras!$X$497)</f>
        <v/>
      </c>
      <c r="B4447">
        <f>IF($C4447="","","C"&amp;TEXT(INT((ROW()-5)/9)+1,"000")&amp;"-3")</f>
        <v/>
      </c>
      <c r="C4447">
        <f>IF(OR(Registro_Compras!$C$497="",Registro_Compras!$O$497="",Registro_Compras!$R$497&lt;&gt;"SI",Registro_Compras!$X$497=""),"","4212")</f>
        <v/>
      </c>
      <c r="D4447">
        <f>IF(OR(Registro_Compras!$C$497="",Registro_Compras!$O$497=""),"","Cuentas por Pagar Comerciales - Terceros")</f>
        <v/>
      </c>
      <c r="E4447" s="20">
        <f>IF($C4447="","",Registro_Compras!$S$497)</f>
        <v/>
      </c>
      <c r="F4447" s="20">
        <f>""</f>
        <v/>
      </c>
      <c r="G4447">
        <f>IF($C4447="","","Por el deposito de la detraccion en el Banco de la Nacion")</f>
        <v/>
      </c>
      <c r="H4447">
        <f>IF($C4447="","",Registro_Compras!$C$497)</f>
        <v/>
      </c>
    </row>
    <row r="4448">
      <c r="A4448" s="25">
        <f>IF($C4448="","",Registro_Compras!$X$497)</f>
        <v/>
      </c>
      <c r="B4448">
        <f>IF($C4448="","","C"&amp;TEXT(INT((ROW()-5)/9)+1,"000")&amp;"-3")</f>
        <v/>
      </c>
      <c r="C4448">
        <f>IF(OR(Registro_Compras!$C$497="",Registro_Compras!$O$497="",Registro_Compras!$R$497&lt;&gt;"SI",Registro_Compras!$X$497=""),"","10413")</f>
        <v/>
      </c>
      <c r="D4448">
        <f>IF(OR(Registro_Compras!$C$497="",Registro_Compras!$O$497=""),"","Efectivo y Equivalentes - Cta. Cte. Operativa")</f>
        <v/>
      </c>
      <c r="E4448" s="20">
        <f>""</f>
        <v/>
      </c>
      <c r="F4448" s="20">
        <f>IF($C4448="","",Registro_Compras!$S$497)</f>
        <v/>
      </c>
      <c r="G4448">
        <f>IF($C4448="","","Por el deposito de la detraccion en el Banco de la Nacion")</f>
        <v/>
      </c>
      <c r="H4448">
        <f>IF($C4448="","",Registro_Compras!$C$497)</f>
        <v/>
      </c>
    </row>
    <row r="4449">
      <c r="A4449" s="25">
        <f>IF($C4449="","",Registro_Compras!$Y$497)</f>
        <v/>
      </c>
      <c r="B4449">
        <f>IF($C4449="","","C"&amp;TEXT(INT((ROW()-5)/9)+1,"000")&amp;"-4")</f>
        <v/>
      </c>
      <c r="C4449">
        <f>IF(OR(Registro_Compras!$C$497="",Registro_Compras!$O$497="",Registro_Compras!$Y$497="",Registro_Compras!$F$497="NOTA DE CREDITO"),"","4212")</f>
        <v/>
      </c>
      <c r="D4449">
        <f>IF(OR(Registro_Compras!$C$497="",Registro_Compras!$O$497=""),"","Cuentas por Pagar Comerciales - Terceros")</f>
        <v/>
      </c>
      <c r="E4449" s="20">
        <f>IF($C4449="","",IF(Registro_Compras!$F$497="RHE",(ROUND(Registro_Compras!$L$497*Registro_Compras!$N$497,2)-ROUND(Registro_Compras!$V$497*Registro_Compras!$N$497,2)),ROUND(Registro_Compras!$O$497-Registro_Compras!$S$497,2)))</f>
        <v/>
      </c>
      <c r="F4449" s="20">
        <f>""</f>
        <v/>
      </c>
      <c r="G4449">
        <f>IF($C4449="","","Por la cancelacion del saldo al proveedor")</f>
        <v/>
      </c>
      <c r="H4449">
        <f>IF($C4449="","",Registro_Compras!$C$497)</f>
        <v/>
      </c>
    </row>
    <row r="4450">
      <c r="A4450" s="25">
        <f>IF($C4450="","",Registro_Compras!$Y$497)</f>
        <v/>
      </c>
      <c r="B4450">
        <f>IF($C4450="","","C"&amp;TEXT(INT((ROW()-5)/9)+1,"000")&amp;"-4")</f>
        <v/>
      </c>
      <c r="C4450">
        <f>IF(OR(Registro_Compras!$C$497="",Registro_Compras!$O$497="",Registro_Compras!$Y$497="",Registro_Compras!$F$497="NOTA DE CREDITO"),"","10413")</f>
        <v/>
      </c>
      <c r="D4450">
        <f>IF(OR(Registro_Compras!$C$497="",Registro_Compras!$O$497=""),"","Efectivo y Equivalentes - Cta. Cte. Operativa")</f>
        <v/>
      </c>
      <c r="E4450" s="20">
        <f>""</f>
        <v/>
      </c>
      <c r="F4450" s="20">
        <f>IF($C4450="","",IF(Registro_Compras!$F$497="RHE",(ROUND(Registro_Compras!$L$497*Registro_Compras!$N$497,2)-ROUND(Registro_Compras!$V$497*Registro_Compras!$N$497,2)),ROUND(Registro_Compras!$O$497-Registro_Compras!$S$497,2)))</f>
        <v/>
      </c>
      <c r="G4450">
        <f>IF($C4450="","","Por la cancelacion del saldo al proveedor")</f>
        <v/>
      </c>
      <c r="H4450">
        <f>IF($C4450="","",Registro_Compras!$C$497)</f>
        <v/>
      </c>
    </row>
    <row r="4451">
      <c r="A4451" s="25">
        <f>IF($C4451="","",Registro_Compras!$B$498)</f>
        <v/>
      </c>
      <c r="B4451">
        <f>IF($C4451="","","C"&amp;TEXT(INT((ROW()-5)/9)+1,"000")&amp;"-1")</f>
        <v/>
      </c>
      <c r="C4451">
        <f>IF(OR(Registro_Compras!$C$498="",Registro_Compras!$O$498=""),"",IF(Registro_Compras!$F$498="NOTA DE CREDITO","4212",IF(Registro_Compras!$M$498="","63",Registro_Compras!$M$498)))</f>
        <v/>
      </c>
      <c r="D4451">
        <f>IF(OR(Registro_Compras!$C$498="",Registro_Compras!$O$498=""),"",IF(Registro_Compras!$F$498="NOTA DE CREDITO","Cuentas por Pagar Comerciales - Terceros (Emitidas)",IF(Registro_Compras!$F$498="RHE","Honorarios Profesionales - Servicios de Terceros","Gastos de Servicios Prestados por Terceros")))</f>
        <v/>
      </c>
      <c r="E4451" s="20">
        <f>IF($C4451="","",IF(Registro_Compras!$F$498="NOTA DE CREDITO",ABS(Registro_Compras!$O$498),IF(Registro_Compras!$F$498="RHE",ROUND(Registro_Compras!$L$498*Registro_Compras!$N$498,2),ROUND(Registro_Compras!$J$498*Registro_Compras!$N$498,2))))</f>
        <v/>
      </c>
      <c r="F4451" s="20">
        <f>""</f>
        <v/>
      </c>
      <c r="G4451">
        <f>IF($C4451="","",IF(Registro_Compras!$F$498="NOTA DE CREDITO","Por la nota de credito "&amp;Registro_Compras!$C$498&amp;" de "&amp;Registro_Compras!$E$498&amp;" [PATRON POR CONFIRMAR CON CONTADOR]",IF(Registro_Compras!$F$498="RHE","Por el registro del recibo por honorarios "&amp;Registro_Compras!$C$498&amp;" de "&amp;Registro_Compras!$E$498&amp;" [PATRON POR CONFIRMAR CON CONTADOR]","Por el registro de la factura "&amp;Registro_Compras!$C$498&amp;" de "&amp;Registro_Compras!$E$498)))</f>
        <v/>
      </c>
      <c r="H4451">
        <f>IF($C4451="","",Registro_Compras!$C$498)</f>
        <v/>
      </c>
    </row>
    <row r="4452">
      <c r="A4452" s="25">
        <f>IF($C4452="","",Registro_Compras!$B$498)</f>
        <v/>
      </c>
      <c r="B4452">
        <f>IF($C4452="","","C"&amp;TEXT(INT((ROW()-5)/9)+1,"000")&amp;"-1")</f>
        <v/>
      </c>
      <c r="C4452">
        <f>IF(OR(Registro_Compras!$C$498="",Registro_Compras!$O$498=""),"",IF(Registro_Compras!$F$498="RHE",IF(Registro_Compras!$V$498=0,"","40172"),IF(Registro_Compras!$F$498="NOTA DE CREDITO",IF(Registro_Compras!$M$498="","63",Registro_Compras!$M$498),IF(Registro_Compras!$K$498=0,"","40111"))))</f>
        <v/>
      </c>
      <c r="D4452">
        <f>IF(OR(Registro_Compras!$C$498="",Registro_Compras!$O$498=""),"",IF(Registro_Compras!$F$498="RHE","Retencion Renta 4ta Categoria por Pagar",IF(Registro_Compras!$F$498="NOTA DE CREDITO","Gastos de Servicios Prestados por Terceros","IGV - Cuenta Propia (Credito Fiscal)")))</f>
        <v/>
      </c>
      <c r="E4452" s="20">
        <f>IF($C4452="","",IF(Registro_Compras!$F$498="FACTURA",ROUND(Registro_Compras!$K$498*Registro_Compras!$N$498,2),""))</f>
        <v/>
      </c>
      <c r="F4452" s="20">
        <f>IF($C4452="","",IF(Registro_Compras!$F$498="RHE",ROUND(Registro_Compras!$V$498*Registro_Compras!$N$498,2),IF(Registro_Compras!$F$498="NOTA DE CREDITO",ROUND(ABS(Registro_Compras!$J$498*Registro_Compras!$N$498),2),"")))</f>
        <v/>
      </c>
      <c r="G4452">
        <f>IF($C4452="","",IF(Registro_Compras!$F$498="NOTA DE CREDITO","Por la nota de credito "&amp;Registro_Compras!$C$498&amp;" de "&amp;Registro_Compras!$E$498&amp;" [PATRON POR CONFIRMAR CON CONTADOR]",IF(Registro_Compras!$F$498="RHE","Por el registro del recibo por honorarios "&amp;Registro_Compras!$C$498&amp;" de "&amp;Registro_Compras!$E$498&amp;" [PATRON POR CONFIRMAR CON CONTADOR]","Por el registro de la factura "&amp;Registro_Compras!$C$498&amp;" de "&amp;Registro_Compras!$E$498)))</f>
        <v/>
      </c>
      <c r="H4452">
        <f>IF($C4452="","",Registro_Compras!$C$498)</f>
        <v/>
      </c>
    </row>
    <row r="4453">
      <c r="A4453" s="25">
        <f>IF($C4453="","",Registro_Compras!$B$498)</f>
        <v/>
      </c>
      <c r="B4453">
        <f>IF($C4453="","","C"&amp;TEXT(INT((ROW()-5)/9)+1,"000")&amp;"-1")</f>
        <v/>
      </c>
      <c r="C4453">
        <f>IF(OR(Registro_Compras!$C$498="",Registro_Compras!$O$498=""),"",IF(Registro_Compras!$F$498="NOTA DE CREDITO",IF(Registro_Compras!$K$498=0,"","40111"),"4212"))</f>
        <v/>
      </c>
      <c r="D4453">
        <f>IF(OR(Registro_Compras!$C$498="",Registro_Compras!$O$498=""),"",IF(Registro_Compras!$F$498="NOTA DE CREDITO","IGV - Cuenta Propia (Credito Fiscal)","Cuentas por Pagar Comerciales - Terceros (Emitidas)"))</f>
        <v/>
      </c>
      <c r="E4453" s="20">
        <f>""</f>
        <v/>
      </c>
      <c r="F4453" s="20">
        <f>IF($C4453="","",IF(Registro_Compras!$F$498="NOTA DE CREDITO",ROUND(ABS(Registro_Compras!$K$498*Registro_Compras!$N$498),2),IF(Registro_Compras!$F$498="RHE",(ROUND(Registro_Compras!$L$498*Registro_Compras!$N$498,2)-ROUND(Registro_Compras!$V$498*Registro_Compras!$N$498,2)),Registro_Compras!$O$498)))</f>
        <v/>
      </c>
      <c r="G4453">
        <f>IF($C4453="","",IF(Registro_Compras!$F$498="NOTA DE CREDITO","Por la nota de credito "&amp;Registro_Compras!$C$498&amp;" de "&amp;Registro_Compras!$E$498&amp;" [PATRON POR CONFIRMAR CON CONTADOR]",IF(Registro_Compras!$F$498="RHE","Por el registro del recibo por honorarios "&amp;Registro_Compras!$C$498&amp;" de "&amp;Registro_Compras!$E$498&amp;" [PATRON POR CONFIRMAR CON CONTADOR]","Por el registro de la factura "&amp;Registro_Compras!$C$498&amp;" de "&amp;Registro_Compras!$E$498)))</f>
        <v/>
      </c>
      <c r="H4453">
        <f>IF($C4453="","",Registro_Compras!$C$498)</f>
        <v/>
      </c>
    </row>
    <row r="4454">
      <c r="A4454" s="25">
        <f>IF($C4454="","",Registro_Compras!$B$498)</f>
        <v/>
      </c>
      <c r="B4454">
        <f>IF($C4454="","","C"&amp;TEXT(INT((ROW()-5)/9)+1,"000")&amp;"-2")</f>
        <v/>
      </c>
      <c r="C4454">
        <f>IF(OR(Registro_Compras!$C$498="",Registro_Compras!$O$498=""),"",IF(Registro_Compras!$AB$498="ADMINISTRATIVO","94","95"))</f>
        <v/>
      </c>
      <c r="D4454">
        <f>IF(OR(Registro_Compras!$C$498="",Registro_Compras!$O$498=""),"",IF(Registro_Compras!$AB$498="ADMINISTRATIVO","Gastos Administrativos","Gastos de Venta y Operacion"))</f>
        <v/>
      </c>
      <c r="E4454" s="20">
        <f>IF($C4454="","",IF(Registro_Compras!$F$498="NOTA DE CREDITO","",IF(Registro_Compras!$F$498="RHE",ROUND(Registro_Compras!$L$498*Registro_Compras!$N$498,2),ROUND(Registro_Compras!$J$498*Registro_Compras!$N$498,2))))</f>
        <v/>
      </c>
      <c r="F4454" s="20">
        <f>IF($C4454="","",IF(Registro_Compras!$F$498="NOTA DE CREDITO",ROUND(ABS(Registro_Compras!$J$498*Registro_Compras!$N$498),2),""))</f>
        <v/>
      </c>
      <c r="G4454">
        <f>IF($C4454="","","Por el destino del gasto")</f>
        <v/>
      </c>
      <c r="H4454">
        <f>IF($C4454="","",Registro_Compras!$C$498)</f>
        <v/>
      </c>
    </row>
    <row r="4455">
      <c r="A4455" s="25">
        <f>IF($C4455="","",Registro_Compras!$B$498)</f>
        <v/>
      </c>
      <c r="B4455">
        <f>IF($C4455="","","C"&amp;TEXT(INT((ROW()-5)/9)+1,"000")&amp;"-2")</f>
        <v/>
      </c>
      <c r="C4455">
        <f>IF(OR(Registro_Compras!$C$498="",Registro_Compras!$O$498=""),"","79/791")</f>
        <v/>
      </c>
      <c r="D4455">
        <f>IF(OR(Registro_Compras!$C$498="",Registro_Compras!$O$498=""),"","Cargas Imputables a Cuentas de Costos y Gastos")</f>
        <v/>
      </c>
      <c r="E4455" s="20">
        <f>IF($C4455="","",IF(Registro_Compras!$F$498="NOTA DE CREDITO",ROUND(ABS(Registro_Compras!$J$498*Registro_Compras!$N$498),2),""))</f>
        <v/>
      </c>
      <c r="F4455" s="20">
        <f>IF($C4455="","",IF(Registro_Compras!$F$498="NOTA DE CREDITO","",IF(Registro_Compras!$F$498="RHE",ROUND(Registro_Compras!$L$498*Registro_Compras!$N$498,2),ROUND(Registro_Compras!$J$498*Registro_Compras!$N$498,2))))</f>
        <v/>
      </c>
      <c r="G4455">
        <f>IF($C4455="","","Por el destino del gasto")</f>
        <v/>
      </c>
      <c r="H4455">
        <f>IF($C4455="","",Registro_Compras!$C$498)</f>
        <v/>
      </c>
    </row>
    <row r="4456">
      <c r="A4456" s="25">
        <f>IF($C4456="","",Registro_Compras!$X$498)</f>
        <v/>
      </c>
      <c r="B4456">
        <f>IF($C4456="","","C"&amp;TEXT(INT((ROW()-5)/9)+1,"000")&amp;"-3")</f>
        <v/>
      </c>
      <c r="C4456">
        <f>IF(OR(Registro_Compras!$C$498="",Registro_Compras!$O$498="",Registro_Compras!$R$498&lt;&gt;"SI",Registro_Compras!$X$498=""),"","4212")</f>
        <v/>
      </c>
      <c r="D4456">
        <f>IF(OR(Registro_Compras!$C$498="",Registro_Compras!$O$498=""),"","Cuentas por Pagar Comerciales - Terceros")</f>
        <v/>
      </c>
      <c r="E4456" s="20">
        <f>IF($C4456="","",Registro_Compras!$S$498)</f>
        <v/>
      </c>
      <c r="F4456" s="20">
        <f>""</f>
        <v/>
      </c>
      <c r="G4456">
        <f>IF($C4456="","","Por el deposito de la detraccion en el Banco de la Nacion")</f>
        <v/>
      </c>
      <c r="H4456">
        <f>IF($C4456="","",Registro_Compras!$C$498)</f>
        <v/>
      </c>
    </row>
    <row r="4457">
      <c r="A4457" s="25">
        <f>IF($C4457="","",Registro_Compras!$X$498)</f>
        <v/>
      </c>
      <c r="B4457">
        <f>IF($C4457="","","C"&amp;TEXT(INT((ROW()-5)/9)+1,"000")&amp;"-3")</f>
        <v/>
      </c>
      <c r="C4457">
        <f>IF(OR(Registro_Compras!$C$498="",Registro_Compras!$O$498="",Registro_Compras!$R$498&lt;&gt;"SI",Registro_Compras!$X$498=""),"","10413")</f>
        <v/>
      </c>
      <c r="D4457">
        <f>IF(OR(Registro_Compras!$C$498="",Registro_Compras!$O$498=""),"","Efectivo y Equivalentes - Cta. Cte. Operativa")</f>
        <v/>
      </c>
      <c r="E4457" s="20">
        <f>""</f>
        <v/>
      </c>
      <c r="F4457" s="20">
        <f>IF($C4457="","",Registro_Compras!$S$498)</f>
        <v/>
      </c>
      <c r="G4457">
        <f>IF($C4457="","","Por el deposito de la detraccion en el Banco de la Nacion")</f>
        <v/>
      </c>
      <c r="H4457">
        <f>IF($C4457="","",Registro_Compras!$C$498)</f>
        <v/>
      </c>
    </row>
    <row r="4458">
      <c r="A4458" s="25">
        <f>IF($C4458="","",Registro_Compras!$Y$498)</f>
        <v/>
      </c>
      <c r="B4458">
        <f>IF($C4458="","","C"&amp;TEXT(INT((ROW()-5)/9)+1,"000")&amp;"-4")</f>
        <v/>
      </c>
      <c r="C4458">
        <f>IF(OR(Registro_Compras!$C$498="",Registro_Compras!$O$498="",Registro_Compras!$Y$498="",Registro_Compras!$F$498="NOTA DE CREDITO"),"","4212")</f>
        <v/>
      </c>
      <c r="D4458">
        <f>IF(OR(Registro_Compras!$C$498="",Registro_Compras!$O$498=""),"","Cuentas por Pagar Comerciales - Terceros")</f>
        <v/>
      </c>
      <c r="E4458" s="20">
        <f>IF($C4458="","",IF(Registro_Compras!$F$498="RHE",(ROUND(Registro_Compras!$L$498*Registro_Compras!$N$498,2)-ROUND(Registro_Compras!$V$498*Registro_Compras!$N$498,2)),ROUND(Registro_Compras!$O$498-Registro_Compras!$S$498,2)))</f>
        <v/>
      </c>
      <c r="F4458" s="20">
        <f>""</f>
        <v/>
      </c>
      <c r="G4458">
        <f>IF($C4458="","","Por la cancelacion del saldo al proveedor")</f>
        <v/>
      </c>
      <c r="H4458">
        <f>IF($C4458="","",Registro_Compras!$C$498)</f>
        <v/>
      </c>
    </row>
    <row r="4459">
      <c r="A4459" s="25">
        <f>IF($C4459="","",Registro_Compras!$Y$498)</f>
        <v/>
      </c>
      <c r="B4459">
        <f>IF($C4459="","","C"&amp;TEXT(INT((ROW()-5)/9)+1,"000")&amp;"-4")</f>
        <v/>
      </c>
      <c r="C4459">
        <f>IF(OR(Registro_Compras!$C$498="",Registro_Compras!$O$498="",Registro_Compras!$Y$498="",Registro_Compras!$F$498="NOTA DE CREDITO"),"","10413")</f>
        <v/>
      </c>
      <c r="D4459">
        <f>IF(OR(Registro_Compras!$C$498="",Registro_Compras!$O$498=""),"","Efectivo y Equivalentes - Cta. Cte. Operativa")</f>
        <v/>
      </c>
      <c r="E4459" s="20">
        <f>""</f>
        <v/>
      </c>
      <c r="F4459" s="20">
        <f>IF($C4459="","",IF(Registro_Compras!$F$498="RHE",(ROUND(Registro_Compras!$L$498*Registro_Compras!$N$498,2)-ROUND(Registro_Compras!$V$498*Registro_Compras!$N$498,2)),ROUND(Registro_Compras!$O$498-Registro_Compras!$S$498,2)))</f>
        <v/>
      </c>
      <c r="G4459">
        <f>IF($C4459="","","Por la cancelacion del saldo al proveedor")</f>
        <v/>
      </c>
      <c r="H4459">
        <f>IF($C4459="","",Registro_Compras!$C$498)</f>
        <v/>
      </c>
    </row>
    <row r="4460">
      <c r="A4460" s="25">
        <f>IF($C4460="","",Registro_Compras!$B$499)</f>
        <v/>
      </c>
      <c r="B4460">
        <f>IF($C4460="","","C"&amp;TEXT(INT((ROW()-5)/9)+1,"000")&amp;"-1")</f>
        <v/>
      </c>
      <c r="C4460">
        <f>IF(OR(Registro_Compras!$C$499="",Registro_Compras!$O$499=""),"",IF(Registro_Compras!$F$499="NOTA DE CREDITO","4212",IF(Registro_Compras!$M$499="","63",Registro_Compras!$M$499)))</f>
        <v/>
      </c>
      <c r="D4460">
        <f>IF(OR(Registro_Compras!$C$499="",Registro_Compras!$O$499=""),"",IF(Registro_Compras!$F$499="NOTA DE CREDITO","Cuentas por Pagar Comerciales - Terceros (Emitidas)",IF(Registro_Compras!$F$499="RHE","Honorarios Profesionales - Servicios de Terceros","Gastos de Servicios Prestados por Terceros")))</f>
        <v/>
      </c>
      <c r="E4460" s="20">
        <f>IF($C4460="","",IF(Registro_Compras!$F$499="NOTA DE CREDITO",ABS(Registro_Compras!$O$499),IF(Registro_Compras!$F$499="RHE",ROUND(Registro_Compras!$L$499*Registro_Compras!$N$499,2),ROUND(Registro_Compras!$J$499*Registro_Compras!$N$499,2))))</f>
        <v/>
      </c>
      <c r="F4460" s="20">
        <f>""</f>
        <v/>
      </c>
      <c r="G4460">
        <f>IF($C4460="","",IF(Registro_Compras!$F$499="NOTA DE CREDITO","Por la nota de credito "&amp;Registro_Compras!$C$499&amp;" de "&amp;Registro_Compras!$E$499&amp;" [PATRON POR CONFIRMAR CON CONTADOR]",IF(Registro_Compras!$F$499="RHE","Por el registro del recibo por honorarios "&amp;Registro_Compras!$C$499&amp;" de "&amp;Registro_Compras!$E$499&amp;" [PATRON POR CONFIRMAR CON CONTADOR]","Por el registro de la factura "&amp;Registro_Compras!$C$499&amp;" de "&amp;Registro_Compras!$E$499)))</f>
        <v/>
      </c>
      <c r="H4460">
        <f>IF($C4460="","",Registro_Compras!$C$499)</f>
        <v/>
      </c>
    </row>
    <row r="4461">
      <c r="A4461" s="25">
        <f>IF($C4461="","",Registro_Compras!$B$499)</f>
        <v/>
      </c>
      <c r="B4461">
        <f>IF($C4461="","","C"&amp;TEXT(INT((ROW()-5)/9)+1,"000")&amp;"-1")</f>
        <v/>
      </c>
      <c r="C4461">
        <f>IF(OR(Registro_Compras!$C$499="",Registro_Compras!$O$499=""),"",IF(Registro_Compras!$F$499="RHE",IF(Registro_Compras!$V$499=0,"","40172"),IF(Registro_Compras!$F$499="NOTA DE CREDITO",IF(Registro_Compras!$M$499="","63",Registro_Compras!$M$499),IF(Registro_Compras!$K$499=0,"","40111"))))</f>
        <v/>
      </c>
      <c r="D4461">
        <f>IF(OR(Registro_Compras!$C$499="",Registro_Compras!$O$499=""),"",IF(Registro_Compras!$F$499="RHE","Retencion Renta 4ta Categoria por Pagar",IF(Registro_Compras!$F$499="NOTA DE CREDITO","Gastos de Servicios Prestados por Terceros","IGV - Cuenta Propia (Credito Fiscal)")))</f>
        <v/>
      </c>
      <c r="E4461" s="20">
        <f>IF($C4461="","",IF(Registro_Compras!$F$499="FACTURA",ROUND(Registro_Compras!$K$499*Registro_Compras!$N$499,2),""))</f>
        <v/>
      </c>
      <c r="F4461" s="20">
        <f>IF($C4461="","",IF(Registro_Compras!$F$499="RHE",ROUND(Registro_Compras!$V$499*Registro_Compras!$N$499,2),IF(Registro_Compras!$F$499="NOTA DE CREDITO",ROUND(ABS(Registro_Compras!$J$499*Registro_Compras!$N$499),2),"")))</f>
        <v/>
      </c>
      <c r="G4461">
        <f>IF($C4461="","",IF(Registro_Compras!$F$499="NOTA DE CREDITO","Por la nota de credito "&amp;Registro_Compras!$C$499&amp;" de "&amp;Registro_Compras!$E$499&amp;" [PATRON POR CONFIRMAR CON CONTADOR]",IF(Registro_Compras!$F$499="RHE","Por el registro del recibo por honorarios "&amp;Registro_Compras!$C$499&amp;" de "&amp;Registro_Compras!$E$499&amp;" [PATRON POR CONFIRMAR CON CONTADOR]","Por el registro de la factura "&amp;Registro_Compras!$C$499&amp;" de "&amp;Registro_Compras!$E$499)))</f>
        <v/>
      </c>
      <c r="H4461">
        <f>IF($C4461="","",Registro_Compras!$C$499)</f>
        <v/>
      </c>
    </row>
    <row r="4462">
      <c r="A4462" s="25">
        <f>IF($C4462="","",Registro_Compras!$B$499)</f>
        <v/>
      </c>
      <c r="B4462">
        <f>IF($C4462="","","C"&amp;TEXT(INT((ROW()-5)/9)+1,"000")&amp;"-1")</f>
        <v/>
      </c>
      <c r="C4462">
        <f>IF(OR(Registro_Compras!$C$499="",Registro_Compras!$O$499=""),"",IF(Registro_Compras!$F$499="NOTA DE CREDITO",IF(Registro_Compras!$K$499=0,"","40111"),"4212"))</f>
        <v/>
      </c>
      <c r="D4462">
        <f>IF(OR(Registro_Compras!$C$499="",Registro_Compras!$O$499=""),"",IF(Registro_Compras!$F$499="NOTA DE CREDITO","IGV - Cuenta Propia (Credito Fiscal)","Cuentas por Pagar Comerciales - Terceros (Emitidas)"))</f>
        <v/>
      </c>
      <c r="E4462" s="20">
        <f>""</f>
        <v/>
      </c>
      <c r="F4462" s="20">
        <f>IF($C4462="","",IF(Registro_Compras!$F$499="NOTA DE CREDITO",ROUND(ABS(Registro_Compras!$K$499*Registro_Compras!$N$499),2),IF(Registro_Compras!$F$499="RHE",(ROUND(Registro_Compras!$L$499*Registro_Compras!$N$499,2)-ROUND(Registro_Compras!$V$499*Registro_Compras!$N$499,2)),Registro_Compras!$O$499)))</f>
        <v/>
      </c>
      <c r="G4462">
        <f>IF($C4462="","",IF(Registro_Compras!$F$499="NOTA DE CREDITO","Por la nota de credito "&amp;Registro_Compras!$C$499&amp;" de "&amp;Registro_Compras!$E$499&amp;" [PATRON POR CONFIRMAR CON CONTADOR]",IF(Registro_Compras!$F$499="RHE","Por el registro del recibo por honorarios "&amp;Registro_Compras!$C$499&amp;" de "&amp;Registro_Compras!$E$499&amp;" [PATRON POR CONFIRMAR CON CONTADOR]","Por el registro de la factura "&amp;Registro_Compras!$C$499&amp;" de "&amp;Registro_Compras!$E$499)))</f>
        <v/>
      </c>
      <c r="H4462">
        <f>IF($C4462="","",Registro_Compras!$C$499)</f>
        <v/>
      </c>
    </row>
    <row r="4463">
      <c r="A4463" s="25">
        <f>IF($C4463="","",Registro_Compras!$B$499)</f>
        <v/>
      </c>
      <c r="B4463">
        <f>IF($C4463="","","C"&amp;TEXT(INT((ROW()-5)/9)+1,"000")&amp;"-2")</f>
        <v/>
      </c>
      <c r="C4463">
        <f>IF(OR(Registro_Compras!$C$499="",Registro_Compras!$O$499=""),"",IF(Registro_Compras!$AB$499="ADMINISTRATIVO","94","95"))</f>
        <v/>
      </c>
      <c r="D4463">
        <f>IF(OR(Registro_Compras!$C$499="",Registro_Compras!$O$499=""),"",IF(Registro_Compras!$AB$499="ADMINISTRATIVO","Gastos Administrativos","Gastos de Venta y Operacion"))</f>
        <v/>
      </c>
      <c r="E4463" s="20">
        <f>IF($C4463="","",IF(Registro_Compras!$F$499="NOTA DE CREDITO","",IF(Registro_Compras!$F$499="RHE",ROUND(Registro_Compras!$L$499*Registro_Compras!$N$499,2),ROUND(Registro_Compras!$J$499*Registro_Compras!$N$499,2))))</f>
        <v/>
      </c>
      <c r="F4463" s="20">
        <f>IF($C4463="","",IF(Registro_Compras!$F$499="NOTA DE CREDITO",ROUND(ABS(Registro_Compras!$J$499*Registro_Compras!$N$499),2),""))</f>
        <v/>
      </c>
      <c r="G4463">
        <f>IF($C4463="","","Por el destino del gasto")</f>
        <v/>
      </c>
      <c r="H4463">
        <f>IF($C4463="","",Registro_Compras!$C$499)</f>
        <v/>
      </c>
    </row>
    <row r="4464">
      <c r="A4464" s="25">
        <f>IF($C4464="","",Registro_Compras!$B$499)</f>
        <v/>
      </c>
      <c r="B4464">
        <f>IF($C4464="","","C"&amp;TEXT(INT((ROW()-5)/9)+1,"000")&amp;"-2")</f>
        <v/>
      </c>
      <c r="C4464">
        <f>IF(OR(Registro_Compras!$C$499="",Registro_Compras!$O$499=""),"","79/791")</f>
        <v/>
      </c>
      <c r="D4464">
        <f>IF(OR(Registro_Compras!$C$499="",Registro_Compras!$O$499=""),"","Cargas Imputables a Cuentas de Costos y Gastos")</f>
        <v/>
      </c>
      <c r="E4464" s="20">
        <f>IF($C4464="","",IF(Registro_Compras!$F$499="NOTA DE CREDITO",ROUND(ABS(Registro_Compras!$J$499*Registro_Compras!$N$499),2),""))</f>
        <v/>
      </c>
      <c r="F4464" s="20">
        <f>IF($C4464="","",IF(Registro_Compras!$F$499="NOTA DE CREDITO","",IF(Registro_Compras!$F$499="RHE",ROUND(Registro_Compras!$L$499*Registro_Compras!$N$499,2),ROUND(Registro_Compras!$J$499*Registro_Compras!$N$499,2))))</f>
        <v/>
      </c>
      <c r="G4464">
        <f>IF($C4464="","","Por el destino del gasto")</f>
        <v/>
      </c>
      <c r="H4464">
        <f>IF($C4464="","",Registro_Compras!$C$499)</f>
        <v/>
      </c>
    </row>
    <row r="4465">
      <c r="A4465" s="25">
        <f>IF($C4465="","",Registro_Compras!$X$499)</f>
        <v/>
      </c>
      <c r="B4465">
        <f>IF($C4465="","","C"&amp;TEXT(INT((ROW()-5)/9)+1,"000")&amp;"-3")</f>
        <v/>
      </c>
      <c r="C4465">
        <f>IF(OR(Registro_Compras!$C$499="",Registro_Compras!$O$499="",Registro_Compras!$R$499&lt;&gt;"SI",Registro_Compras!$X$499=""),"","4212")</f>
        <v/>
      </c>
      <c r="D4465">
        <f>IF(OR(Registro_Compras!$C$499="",Registro_Compras!$O$499=""),"","Cuentas por Pagar Comerciales - Terceros")</f>
        <v/>
      </c>
      <c r="E4465" s="20">
        <f>IF($C4465="","",Registro_Compras!$S$499)</f>
        <v/>
      </c>
      <c r="F4465" s="20">
        <f>""</f>
        <v/>
      </c>
      <c r="G4465">
        <f>IF($C4465="","","Por el deposito de la detraccion en el Banco de la Nacion")</f>
        <v/>
      </c>
      <c r="H4465">
        <f>IF($C4465="","",Registro_Compras!$C$499)</f>
        <v/>
      </c>
    </row>
    <row r="4466">
      <c r="A4466" s="25">
        <f>IF($C4466="","",Registro_Compras!$X$499)</f>
        <v/>
      </c>
      <c r="B4466">
        <f>IF($C4466="","","C"&amp;TEXT(INT((ROW()-5)/9)+1,"000")&amp;"-3")</f>
        <v/>
      </c>
      <c r="C4466">
        <f>IF(OR(Registro_Compras!$C$499="",Registro_Compras!$O$499="",Registro_Compras!$R$499&lt;&gt;"SI",Registro_Compras!$X$499=""),"","10413")</f>
        <v/>
      </c>
      <c r="D4466">
        <f>IF(OR(Registro_Compras!$C$499="",Registro_Compras!$O$499=""),"","Efectivo y Equivalentes - Cta. Cte. Operativa")</f>
        <v/>
      </c>
      <c r="E4466" s="20">
        <f>""</f>
        <v/>
      </c>
      <c r="F4466" s="20">
        <f>IF($C4466="","",Registro_Compras!$S$499)</f>
        <v/>
      </c>
      <c r="G4466">
        <f>IF($C4466="","","Por el deposito de la detraccion en el Banco de la Nacion")</f>
        <v/>
      </c>
      <c r="H4466">
        <f>IF($C4466="","",Registro_Compras!$C$499)</f>
        <v/>
      </c>
    </row>
    <row r="4467">
      <c r="A4467" s="25">
        <f>IF($C4467="","",Registro_Compras!$Y$499)</f>
        <v/>
      </c>
      <c r="B4467">
        <f>IF($C4467="","","C"&amp;TEXT(INT((ROW()-5)/9)+1,"000")&amp;"-4")</f>
        <v/>
      </c>
      <c r="C4467">
        <f>IF(OR(Registro_Compras!$C$499="",Registro_Compras!$O$499="",Registro_Compras!$Y$499="",Registro_Compras!$F$499="NOTA DE CREDITO"),"","4212")</f>
        <v/>
      </c>
      <c r="D4467">
        <f>IF(OR(Registro_Compras!$C$499="",Registro_Compras!$O$499=""),"","Cuentas por Pagar Comerciales - Terceros")</f>
        <v/>
      </c>
      <c r="E4467" s="20">
        <f>IF($C4467="","",IF(Registro_Compras!$F$499="RHE",(ROUND(Registro_Compras!$L$499*Registro_Compras!$N$499,2)-ROUND(Registro_Compras!$V$499*Registro_Compras!$N$499,2)),ROUND(Registro_Compras!$O$499-Registro_Compras!$S$499,2)))</f>
        <v/>
      </c>
      <c r="F4467" s="20">
        <f>""</f>
        <v/>
      </c>
      <c r="G4467">
        <f>IF($C4467="","","Por la cancelacion del saldo al proveedor")</f>
        <v/>
      </c>
      <c r="H4467">
        <f>IF($C4467="","",Registro_Compras!$C$499)</f>
        <v/>
      </c>
    </row>
    <row r="4468">
      <c r="A4468" s="25">
        <f>IF($C4468="","",Registro_Compras!$Y$499)</f>
        <v/>
      </c>
      <c r="B4468">
        <f>IF($C4468="","","C"&amp;TEXT(INT((ROW()-5)/9)+1,"000")&amp;"-4")</f>
        <v/>
      </c>
      <c r="C4468">
        <f>IF(OR(Registro_Compras!$C$499="",Registro_Compras!$O$499="",Registro_Compras!$Y$499="",Registro_Compras!$F$499="NOTA DE CREDITO"),"","10413")</f>
        <v/>
      </c>
      <c r="D4468">
        <f>IF(OR(Registro_Compras!$C$499="",Registro_Compras!$O$499=""),"","Efectivo y Equivalentes - Cta. Cte. Operativa")</f>
        <v/>
      </c>
      <c r="E4468" s="20">
        <f>""</f>
        <v/>
      </c>
      <c r="F4468" s="20">
        <f>IF($C4468="","",IF(Registro_Compras!$F$499="RHE",(ROUND(Registro_Compras!$L$499*Registro_Compras!$N$499,2)-ROUND(Registro_Compras!$V$499*Registro_Compras!$N$499,2)),ROUND(Registro_Compras!$O$499-Registro_Compras!$S$499,2)))</f>
        <v/>
      </c>
      <c r="G4468">
        <f>IF($C4468="","","Por la cancelacion del saldo al proveedor")</f>
        <v/>
      </c>
      <c r="H4468">
        <f>IF($C4468="","",Registro_Compras!$C$499)</f>
        <v/>
      </c>
    </row>
    <row r="4469">
      <c r="A4469" s="25">
        <f>IF($C4469="","",Registro_Compras!$B$500)</f>
        <v/>
      </c>
      <c r="B4469">
        <f>IF($C4469="","","C"&amp;TEXT(INT((ROW()-5)/9)+1,"000")&amp;"-1")</f>
        <v/>
      </c>
      <c r="C4469">
        <f>IF(OR(Registro_Compras!$C$500="",Registro_Compras!$O$500=""),"",IF(Registro_Compras!$F$500="NOTA DE CREDITO","4212",IF(Registro_Compras!$M$500="","63",Registro_Compras!$M$500)))</f>
        <v/>
      </c>
      <c r="D4469">
        <f>IF(OR(Registro_Compras!$C$500="",Registro_Compras!$O$500=""),"",IF(Registro_Compras!$F$500="NOTA DE CREDITO","Cuentas por Pagar Comerciales - Terceros (Emitidas)",IF(Registro_Compras!$F$500="RHE","Honorarios Profesionales - Servicios de Terceros","Gastos de Servicios Prestados por Terceros")))</f>
        <v/>
      </c>
      <c r="E4469" s="20">
        <f>IF($C4469="","",IF(Registro_Compras!$F$500="NOTA DE CREDITO",ABS(Registro_Compras!$O$500),IF(Registro_Compras!$F$500="RHE",ROUND(Registro_Compras!$L$500*Registro_Compras!$N$500,2),ROUND(Registro_Compras!$J$500*Registro_Compras!$N$500,2))))</f>
        <v/>
      </c>
      <c r="F4469" s="20">
        <f>""</f>
        <v/>
      </c>
      <c r="G4469">
        <f>IF($C4469="","",IF(Registro_Compras!$F$500="NOTA DE CREDITO","Por la nota de credito "&amp;Registro_Compras!$C$500&amp;" de "&amp;Registro_Compras!$E$500&amp;" [PATRON POR CONFIRMAR CON CONTADOR]",IF(Registro_Compras!$F$500="RHE","Por el registro del recibo por honorarios "&amp;Registro_Compras!$C$500&amp;" de "&amp;Registro_Compras!$E$500&amp;" [PATRON POR CONFIRMAR CON CONTADOR]","Por el registro de la factura "&amp;Registro_Compras!$C$500&amp;" de "&amp;Registro_Compras!$E$500)))</f>
        <v/>
      </c>
      <c r="H4469">
        <f>IF($C4469="","",Registro_Compras!$C$500)</f>
        <v/>
      </c>
    </row>
    <row r="4470">
      <c r="A4470" s="25">
        <f>IF($C4470="","",Registro_Compras!$B$500)</f>
        <v/>
      </c>
      <c r="B4470">
        <f>IF($C4470="","","C"&amp;TEXT(INT((ROW()-5)/9)+1,"000")&amp;"-1")</f>
        <v/>
      </c>
      <c r="C4470">
        <f>IF(OR(Registro_Compras!$C$500="",Registro_Compras!$O$500=""),"",IF(Registro_Compras!$F$500="RHE",IF(Registro_Compras!$V$500=0,"","40172"),IF(Registro_Compras!$F$500="NOTA DE CREDITO",IF(Registro_Compras!$M$500="","63",Registro_Compras!$M$500),IF(Registro_Compras!$K$500=0,"","40111"))))</f>
        <v/>
      </c>
      <c r="D4470">
        <f>IF(OR(Registro_Compras!$C$500="",Registro_Compras!$O$500=""),"",IF(Registro_Compras!$F$500="RHE","Retencion Renta 4ta Categoria por Pagar",IF(Registro_Compras!$F$500="NOTA DE CREDITO","Gastos de Servicios Prestados por Terceros","IGV - Cuenta Propia (Credito Fiscal)")))</f>
        <v/>
      </c>
      <c r="E4470" s="20">
        <f>IF($C4470="","",IF(Registro_Compras!$F$500="FACTURA",ROUND(Registro_Compras!$K$500*Registro_Compras!$N$500,2),""))</f>
        <v/>
      </c>
      <c r="F4470" s="20">
        <f>IF($C4470="","",IF(Registro_Compras!$F$500="RHE",ROUND(Registro_Compras!$V$500*Registro_Compras!$N$500,2),IF(Registro_Compras!$F$500="NOTA DE CREDITO",ROUND(ABS(Registro_Compras!$J$500*Registro_Compras!$N$500),2),"")))</f>
        <v/>
      </c>
      <c r="G4470">
        <f>IF($C4470="","",IF(Registro_Compras!$F$500="NOTA DE CREDITO","Por la nota de credito "&amp;Registro_Compras!$C$500&amp;" de "&amp;Registro_Compras!$E$500&amp;" [PATRON POR CONFIRMAR CON CONTADOR]",IF(Registro_Compras!$F$500="RHE","Por el registro del recibo por honorarios "&amp;Registro_Compras!$C$500&amp;" de "&amp;Registro_Compras!$E$500&amp;" [PATRON POR CONFIRMAR CON CONTADOR]","Por el registro de la factura "&amp;Registro_Compras!$C$500&amp;" de "&amp;Registro_Compras!$E$500)))</f>
        <v/>
      </c>
      <c r="H4470">
        <f>IF($C4470="","",Registro_Compras!$C$500)</f>
        <v/>
      </c>
    </row>
    <row r="4471">
      <c r="A4471" s="25">
        <f>IF($C4471="","",Registro_Compras!$B$500)</f>
        <v/>
      </c>
      <c r="B4471">
        <f>IF($C4471="","","C"&amp;TEXT(INT((ROW()-5)/9)+1,"000")&amp;"-1")</f>
        <v/>
      </c>
      <c r="C4471">
        <f>IF(OR(Registro_Compras!$C$500="",Registro_Compras!$O$500=""),"",IF(Registro_Compras!$F$500="NOTA DE CREDITO",IF(Registro_Compras!$K$500=0,"","40111"),"4212"))</f>
        <v/>
      </c>
      <c r="D4471">
        <f>IF(OR(Registro_Compras!$C$500="",Registro_Compras!$O$500=""),"",IF(Registro_Compras!$F$500="NOTA DE CREDITO","IGV - Cuenta Propia (Credito Fiscal)","Cuentas por Pagar Comerciales - Terceros (Emitidas)"))</f>
        <v/>
      </c>
      <c r="E4471" s="20">
        <f>""</f>
        <v/>
      </c>
      <c r="F4471" s="20">
        <f>IF($C4471="","",IF(Registro_Compras!$F$500="NOTA DE CREDITO",ROUND(ABS(Registro_Compras!$K$500*Registro_Compras!$N$500),2),IF(Registro_Compras!$F$500="RHE",(ROUND(Registro_Compras!$L$500*Registro_Compras!$N$500,2)-ROUND(Registro_Compras!$V$500*Registro_Compras!$N$500,2)),Registro_Compras!$O$500)))</f>
        <v/>
      </c>
      <c r="G4471">
        <f>IF($C4471="","",IF(Registro_Compras!$F$500="NOTA DE CREDITO","Por la nota de credito "&amp;Registro_Compras!$C$500&amp;" de "&amp;Registro_Compras!$E$500&amp;" [PATRON POR CONFIRMAR CON CONTADOR]",IF(Registro_Compras!$F$500="RHE","Por el registro del recibo por honorarios "&amp;Registro_Compras!$C$500&amp;" de "&amp;Registro_Compras!$E$500&amp;" [PATRON POR CONFIRMAR CON CONTADOR]","Por el registro de la factura "&amp;Registro_Compras!$C$500&amp;" de "&amp;Registro_Compras!$E$500)))</f>
        <v/>
      </c>
      <c r="H4471">
        <f>IF($C4471="","",Registro_Compras!$C$500)</f>
        <v/>
      </c>
    </row>
    <row r="4472">
      <c r="A4472" s="25">
        <f>IF($C4472="","",Registro_Compras!$B$500)</f>
        <v/>
      </c>
      <c r="B4472">
        <f>IF($C4472="","","C"&amp;TEXT(INT((ROW()-5)/9)+1,"000")&amp;"-2")</f>
        <v/>
      </c>
      <c r="C4472">
        <f>IF(OR(Registro_Compras!$C$500="",Registro_Compras!$O$500=""),"",IF(Registro_Compras!$AB$500="ADMINISTRATIVO","94","95"))</f>
        <v/>
      </c>
      <c r="D4472">
        <f>IF(OR(Registro_Compras!$C$500="",Registro_Compras!$O$500=""),"",IF(Registro_Compras!$AB$500="ADMINISTRATIVO","Gastos Administrativos","Gastos de Venta y Operacion"))</f>
        <v/>
      </c>
      <c r="E4472" s="20">
        <f>IF($C4472="","",IF(Registro_Compras!$F$500="NOTA DE CREDITO","",IF(Registro_Compras!$F$500="RHE",ROUND(Registro_Compras!$L$500*Registro_Compras!$N$500,2),ROUND(Registro_Compras!$J$500*Registro_Compras!$N$500,2))))</f>
        <v/>
      </c>
      <c r="F4472" s="20">
        <f>IF($C4472="","",IF(Registro_Compras!$F$500="NOTA DE CREDITO",ROUND(ABS(Registro_Compras!$J$500*Registro_Compras!$N$500),2),""))</f>
        <v/>
      </c>
      <c r="G4472">
        <f>IF($C4472="","","Por el destino del gasto")</f>
        <v/>
      </c>
      <c r="H4472">
        <f>IF($C4472="","",Registro_Compras!$C$500)</f>
        <v/>
      </c>
    </row>
    <row r="4473">
      <c r="A4473" s="25">
        <f>IF($C4473="","",Registro_Compras!$B$500)</f>
        <v/>
      </c>
      <c r="B4473">
        <f>IF($C4473="","","C"&amp;TEXT(INT((ROW()-5)/9)+1,"000")&amp;"-2")</f>
        <v/>
      </c>
      <c r="C4473">
        <f>IF(OR(Registro_Compras!$C$500="",Registro_Compras!$O$500=""),"","79/791")</f>
        <v/>
      </c>
      <c r="D4473">
        <f>IF(OR(Registro_Compras!$C$500="",Registro_Compras!$O$500=""),"","Cargas Imputables a Cuentas de Costos y Gastos")</f>
        <v/>
      </c>
      <c r="E4473" s="20">
        <f>IF($C4473="","",IF(Registro_Compras!$F$500="NOTA DE CREDITO",ROUND(ABS(Registro_Compras!$J$500*Registro_Compras!$N$500),2),""))</f>
        <v/>
      </c>
      <c r="F4473" s="20">
        <f>IF($C4473="","",IF(Registro_Compras!$F$500="NOTA DE CREDITO","",IF(Registro_Compras!$F$500="RHE",ROUND(Registro_Compras!$L$500*Registro_Compras!$N$500,2),ROUND(Registro_Compras!$J$500*Registro_Compras!$N$500,2))))</f>
        <v/>
      </c>
      <c r="G4473">
        <f>IF($C4473="","","Por el destino del gasto")</f>
        <v/>
      </c>
      <c r="H4473">
        <f>IF($C4473="","",Registro_Compras!$C$500)</f>
        <v/>
      </c>
    </row>
    <row r="4474">
      <c r="A4474" s="25">
        <f>IF($C4474="","",Registro_Compras!$X$500)</f>
        <v/>
      </c>
      <c r="B4474">
        <f>IF($C4474="","","C"&amp;TEXT(INT((ROW()-5)/9)+1,"000")&amp;"-3")</f>
        <v/>
      </c>
      <c r="C4474">
        <f>IF(OR(Registro_Compras!$C$500="",Registro_Compras!$O$500="",Registro_Compras!$R$500&lt;&gt;"SI",Registro_Compras!$X$500=""),"","4212")</f>
        <v/>
      </c>
      <c r="D4474">
        <f>IF(OR(Registro_Compras!$C$500="",Registro_Compras!$O$500=""),"","Cuentas por Pagar Comerciales - Terceros")</f>
        <v/>
      </c>
      <c r="E4474" s="20">
        <f>IF($C4474="","",Registro_Compras!$S$500)</f>
        <v/>
      </c>
      <c r="F4474" s="20">
        <f>""</f>
        <v/>
      </c>
      <c r="G4474">
        <f>IF($C4474="","","Por el deposito de la detraccion en el Banco de la Nacion")</f>
        <v/>
      </c>
      <c r="H4474">
        <f>IF($C4474="","",Registro_Compras!$C$500)</f>
        <v/>
      </c>
    </row>
    <row r="4475">
      <c r="A4475" s="25">
        <f>IF($C4475="","",Registro_Compras!$X$500)</f>
        <v/>
      </c>
      <c r="B4475">
        <f>IF($C4475="","","C"&amp;TEXT(INT((ROW()-5)/9)+1,"000")&amp;"-3")</f>
        <v/>
      </c>
      <c r="C4475">
        <f>IF(OR(Registro_Compras!$C$500="",Registro_Compras!$O$500="",Registro_Compras!$R$500&lt;&gt;"SI",Registro_Compras!$X$500=""),"","10413")</f>
        <v/>
      </c>
      <c r="D4475">
        <f>IF(OR(Registro_Compras!$C$500="",Registro_Compras!$O$500=""),"","Efectivo y Equivalentes - Cta. Cte. Operativa")</f>
        <v/>
      </c>
      <c r="E4475" s="20">
        <f>""</f>
        <v/>
      </c>
      <c r="F4475" s="20">
        <f>IF($C4475="","",Registro_Compras!$S$500)</f>
        <v/>
      </c>
      <c r="G4475">
        <f>IF($C4475="","","Por el deposito de la detraccion en el Banco de la Nacion")</f>
        <v/>
      </c>
      <c r="H4475">
        <f>IF($C4475="","",Registro_Compras!$C$500)</f>
        <v/>
      </c>
    </row>
    <row r="4476">
      <c r="A4476" s="25">
        <f>IF($C4476="","",Registro_Compras!$Y$500)</f>
        <v/>
      </c>
      <c r="B4476">
        <f>IF($C4476="","","C"&amp;TEXT(INT((ROW()-5)/9)+1,"000")&amp;"-4")</f>
        <v/>
      </c>
      <c r="C4476">
        <f>IF(OR(Registro_Compras!$C$500="",Registro_Compras!$O$500="",Registro_Compras!$Y$500="",Registro_Compras!$F$500="NOTA DE CREDITO"),"","4212")</f>
        <v/>
      </c>
      <c r="D4476">
        <f>IF(OR(Registro_Compras!$C$500="",Registro_Compras!$O$500=""),"","Cuentas por Pagar Comerciales - Terceros")</f>
        <v/>
      </c>
      <c r="E4476" s="20">
        <f>IF($C4476="","",IF(Registro_Compras!$F$500="RHE",(ROUND(Registro_Compras!$L$500*Registro_Compras!$N$500,2)-ROUND(Registro_Compras!$V$500*Registro_Compras!$N$500,2)),ROUND(Registro_Compras!$O$500-Registro_Compras!$S$500,2)))</f>
        <v/>
      </c>
      <c r="F4476" s="20">
        <f>""</f>
        <v/>
      </c>
      <c r="G4476">
        <f>IF($C4476="","","Por la cancelacion del saldo al proveedor")</f>
        <v/>
      </c>
      <c r="H4476">
        <f>IF($C4476="","",Registro_Compras!$C$500)</f>
        <v/>
      </c>
    </row>
    <row r="4477">
      <c r="A4477" s="25">
        <f>IF($C4477="","",Registro_Compras!$Y$500)</f>
        <v/>
      </c>
      <c r="B4477">
        <f>IF($C4477="","","C"&amp;TEXT(INT((ROW()-5)/9)+1,"000")&amp;"-4")</f>
        <v/>
      </c>
      <c r="C4477">
        <f>IF(OR(Registro_Compras!$C$500="",Registro_Compras!$O$500="",Registro_Compras!$Y$500="",Registro_Compras!$F$500="NOTA DE CREDITO"),"","10413")</f>
        <v/>
      </c>
      <c r="D4477">
        <f>IF(OR(Registro_Compras!$C$500="",Registro_Compras!$O$500=""),"","Efectivo y Equivalentes - Cta. Cte. Operativa")</f>
        <v/>
      </c>
      <c r="E4477" s="20">
        <f>""</f>
        <v/>
      </c>
      <c r="F4477" s="20">
        <f>IF($C4477="","",IF(Registro_Compras!$F$500="RHE",(ROUND(Registro_Compras!$L$500*Registro_Compras!$N$500,2)-ROUND(Registro_Compras!$V$500*Registro_Compras!$N$500,2)),ROUND(Registro_Compras!$O$500-Registro_Compras!$S$500,2)))</f>
        <v/>
      </c>
      <c r="G4477">
        <f>IF($C4477="","","Por la cancelacion del saldo al proveedor")</f>
        <v/>
      </c>
      <c r="H4477">
        <f>IF($C4477="","",Registro_Compras!$C$500)</f>
        <v/>
      </c>
    </row>
    <row r="4478">
      <c r="A4478" s="25">
        <f>IF($C4478="","",Registro_Compras!$B$501)</f>
        <v/>
      </c>
      <c r="B4478">
        <f>IF($C4478="","","C"&amp;TEXT(INT((ROW()-5)/9)+1,"000")&amp;"-1")</f>
        <v/>
      </c>
      <c r="C4478">
        <f>IF(OR(Registro_Compras!$C$501="",Registro_Compras!$O$501=""),"",IF(Registro_Compras!$F$501="NOTA DE CREDITO","4212",IF(Registro_Compras!$M$501="","63",Registro_Compras!$M$501)))</f>
        <v/>
      </c>
      <c r="D4478">
        <f>IF(OR(Registro_Compras!$C$501="",Registro_Compras!$O$501=""),"",IF(Registro_Compras!$F$501="NOTA DE CREDITO","Cuentas por Pagar Comerciales - Terceros (Emitidas)",IF(Registro_Compras!$F$501="RHE","Honorarios Profesionales - Servicios de Terceros","Gastos de Servicios Prestados por Terceros")))</f>
        <v/>
      </c>
      <c r="E4478" s="20">
        <f>IF($C4478="","",IF(Registro_Compras!$F$501="NOTA DE CREDITO",ABS(Registro_Compras!$O$501),IF(Registro_Compras!$F$501="RHE",ROUND(Registro_Compras!$L$501*Registro_Compras!$N$501,2),ROUND(Registro_Compras!$J$501*Registro_Compras!$N$501,2))))</f>
        <v/>
      </c>
      <c r="F4478" s="20">
        <f>""</f>
        <v/>
      </c>
      <c r="G4478">
        <f>IF($C4478="","",IF(Registro_Compras!$F$501="NOTA DE CREDITO","Por la nota de credito "&amp;Registro_Compras!$C$501&amp;" de "&amp;Registro_Compras!$E$501&amp;" [PATRON POR CONFIRMAR CON CONTADOR]",IF(Registro_Compras!$F$501="RHE","Por el registro del recibo por honorarios "&amp;Registro_Compras!$C$501&amp;" de "&amp;Registro_Compras!$E$501&amp;" [PATRON POR CONFIRMAR CON CONTADOR]","Por el registro de la factura "&amp;Registro_Compras!$C$501&amp;" de "&amp;Registro_Compras!$E$501)))</f>
        <v/>
      </c>
      <c r="H4478">
        <f>IF($C4478="","",Registro_Compras!$C$501)</f>
        <v/>
      </c>
    </row>
    <row r="4479">
      <c r="A4479" s="25">
        <f>IF($C4479="","",Registro_Compras!$B$501)</f>
        <v/>
      </c>
      <c r="B4479">
        <f>IF($C4479="","","C"&amp;TEXT(INT((ROW()-5)/9)+1,"000")&amp;"-1")</f>
        <v/>
      </c>
      <c r="C4479">
        <f>IF(OR(Registro_Compras!$C$501="",Registro_Compras!$O$501=""),"",IF(Registro_Compras!$F$501="RHE",IF(Registro_Compras!$V$501=0,"","40172"),IF(Registro_Compras!$F$501="NOTA DE CREDITO",IF(Registro_Compras!$M$501="","63",Registro_Compras!$M$501),IF(Registro_Compras!$K$501=0,"","40111"))))</f>
        <v/>
      </c>
      <c r="D4479">
        <f>IF(OR(Registro_Compras!$C$501="",Registro_Compras!$O$501=""),"",IF(Registro_Compras!$F$501="RHE","Retencion Renta 4ta Categoria por Pagar",IF(Registro_Compras!$F$501="NOTA DE CREDITO","Gastos de Servicios Prestados por Terceros","IGV - Cuenta Propia (Credito Fiscal)")))</f>
        <v/>
      </c>
      <c r="E4479" s="20">
        <f>IF($C4479="","",IF(Registro_Compras!$F$501="FACTURA",ROUND(Registro_Compras!$K$501*Registro_Compras!$N$501,2),""))</f>
        <v/>
      </c>
      <c r="F4479" s="20">
        <f>IF($C4479="","",IF(Registro_Compras!$F$501="RHE",ROUND(Registro_Compras!$V$501*Registro_Compras!$N$501,2),IF(Registro_Compras!$F$501="NOTA DE CREDITO",ROUND(ABS(Registro_Compras!$J$501*Registro_Compras!$N$501),2),"")))</f>
        <v/>
      </c>
      <c r="G4479">
        <f>IF($C4479="","",IF(Registro_Compras!$F$501="NOTA DE CREDITO","Por la nota de credito "&amp;Registro_Compras!$C$501&amp;" de "&amp;Registro_Compras!$E$501&amp;" [PATRON POR CONFIRMAR CON CONTADOR]",IF(Registro_Compras!$F$501="RHE","Por el registro del recibo por honorarios "&amp;Registro_Compras!$C$501&amp;" de "&amp;Registro_Compras!$E$501&amp;" [PATRON POR CONFIRMAR CON CONTADOR]","Por el registro de la factura "&amp;Registro_Compras!$C$501&amp;" de "&amp;Registro_Compras!$E$501)))</f>
        <v/>
      </c>
      <c r="H4479">
        <f>IF($C4479="","",Registro_Compras!$C$501)</f>
        <v/>
      </c>
    </row>
    <row r="4480">
      <c r="A4480" s="25">
        <f>IF($C4480="","",Registro_Compras!$B$501)</f>
        <v/>
      </c>
      <c r="B4480">
        <f>IF($C4480="","","C"&amp;TEXT(INT((ROW()-5)/9)+1,"000")&amp;"-1")</f>
        <v/>
      </c>
      <c r="C4480">
        <f>IF(OR(Registro_Compras!$C$501="",Registro_Compras!$O$501=""),"",IF(Registro_Compras!$F$501="NOTA DE CREDITO",IF(Registro_Compras!$K$501=0,"","40111"),"4212"))</f>
        <v/>
      </c>
      <c r="D4480">
        <f>IF(OR(Registro_Compras!$C$501="",Registro_Compras!$O$501=""),"",IF(Registro_Compras!$F$501="NOTA DE CREDITO","IGV - Cuenta Propia (Credito Fiscal)","Cuentas por Pagar Comerciales - Terceros (Emitidas)"))</f>
        <v/>
      </c>
      <c r="E4480" s="20">
        <f>""</f>
        <v/>
      </c>
      <c r="F4480" s="20">
        <f>IF($C4480="","",IF(Registro_Compras!$F$501="NOTA DE CREDITO",ROUND(ABS(Registro_Compras!$K$501*Registro_Compras!$N$501),2),IF(Registro_Compras!$F$501="RHE",(ROUND(Registro_Compras!$L$501*Registro_Compras!$N$501,2)-ROUND(Registro_Compras!$V$501*Registro_Compras!$N$501,2)),Registro_Compras!$O$501)))</f>
        <v/>
      </c>
      <c r="G4480">
        <f>IF($C4480="","",IF(Registro_Compras!$F$501="NOTA DE CREDITO","Por la nota de credito "&amp;Registro_Compras!$C$501&amp;" de "&amp;Registro_Compras!$E$501&amp;" [PATRON POR CONFIRMAR CON CONTADOR]",IF(Registro_Compras!$F$501="RHE","Por el registro del recibo por honorarios "&amp;Registro_Compras!$C$501&amp;" de "&amp;Registro_Compras!$E$501&amp;" [PATRON POR CONFIRMAR CON CONTADOR]","Por el registro de la factura "&amp;Registro_Compras!$C$501&amp;" de "&amp;Registro_Compras!$E$501)))</f>
        <v/>
      </c>
      <c r="H4480">
        <f>IF($C4480="","",Registro_Compras!$C$501)</f>
        <v/>
      </c>
    </row>
    <row r="4481">
      <c r="A4481" s="25">
        <f>IF($C4481="","",Registro_Compras!$B$501)</f>
        <v/>
      </c>
      <c r="B4481">
        <f>IF($C4481="","","C"&amp;TEXT(INT((ROW()-5)/9)+1,"000")&amp;"-2")</f>
        <v/>
      </c>
      <c r="C4481">
        <f>IF(OR(Registro_Compras!$C$501="",Registro_Compras!$O$501=""),"",IF(Registro_Compras!$AB$501="ADMINISTRATIVO","94","95"))</f>
        <v/>
      </c>
      <c r="D4481">
        <f>IF(OR(Registro_Compras!$C$501="",Registro_Compras!$O$501=""),"",IF(Registro_Compras!$AB$501="ADMINISTRATIVO","Gastos Administrativos","Gastos de Venta y Operacion"))</f>
        <v/>
      </c>
      <c r="E4481" s="20">
        <f>IF($C4481="","",IF(Registro_Compras!$F$501="NOTA DE CREDITO","",IF(Registro_Compras!$F$501="RHE",ROUND(Registro_Compras!$L$501*Registro_Compras!$N$501,2),ROUND(Registro_Compras!$J$501*Registro_Compras!$N$501,2))))</f>
        <v/>
      </c>
      <c r="F4481" s="20">
        <f>IF($C4481="","",IF(Registro_Compras!$F$501="NOTA DE CREDITO",ROUND(ABS(Registro_Compras!$J$501*Registro_Compras!$N$501),2),""))</f>
        <v/>
      </c>
      <c r="G4481">
        <f>IF($C4481="","","Por el destino del gasto")</f>
        <v/>
      </c>
      <c r="H4481">
        <f>IF($C4481="","",Registro_Compras!$C$501)</f>
        <v/>
      </c>
    </row>
    <row r="4482">
      <c r="A4482" s="25">
        <f>IF($C4482="","",Registro_Compras!$B$501)</f>
        <v/>
      </c>
      <c r="B4482">
        <f>IF($C4482="","","C"&amp;TEXT(INT((ROW()-5)/9)+1,"000")&amp;"-2")</f>
        <v/>
      </c>
      <c r="C4482">
        <f>IF(OR(Registro_Compras!$C$501="",Registro_Compras!$O$501=""),"","79/791")</f>
        <v/>
      </c>
      <c r="D4482">
        <f>IF(OR(Registro_Compras!$C$501="",Registro_Compras!$O$501=""),"","Cargas Imputables a Cuentas de Costos y Gastos")</f>
        <v/>
      </c>
      <c r="E4482" s="20">
        <f>IF($C4482="","",IF(Registro_Compras!$F$501="NOTA DE CREDITO",ROUND(ABS(Registro_Compras!$J$501*Registro_Compras!$N$501),2),""))</f>
        <v/>
      </c>
      <c r="F4482" s="20">
        <f>IF($C4482="","",IF(Registro_Compras!$F$501="NOTA DE CREDITO","",IF(Registro_Compras!$F$501="RHE",ROUND(Registro_Compras!$L$501*Registro_Compras!$N$501,2),ROUND(Registro_Compras!$J$501*Registro_Compras!$N$501,2))))</f>
        <v/>
      </c>
      <c r="G4482">
        <f>IF($C4482="","","Por el destino del gasto")</f>
        <v/>
      </c>
      <c r="H4482">
        <f>IF($C4482="","",Registro_Compras!$C$501)</f>
        <v/>
      </c>
    </row>
    <row r="4483">
      <c r="A4483" s="25">
        <f>IF($C4483="","",Registro_Compras!$X$501)</f>
        <v/>
      </c>
      <c r="B4483">
        <f>IF($C4483="","","C"&amp;TEXT(INT((ROW()-5)/9)+1,"000")&amp;"-3")</f>
        <v/>
      </c>
      <c r="C4483">
        <f>IF(OR(Registro_Compras!$C$501="",Registro_Compras!$O$501="",Registro_Compras!$R$501&lt;&gt;"SI",Registro_Compras!$X$501=""),"","4212")</f>
        <v/>
      </c>
      <c r="D4483">
        <f>IF(OR(Registro_Compras!$C$501="",Registro_Compras!$O$501=""),"","Cuentas por Pagar Comerciales - Terceros")</f>
        <v/>
      </c>
      <c r="E4483" s="20">
        <f>IF($C4483="","",Registro_Compras!$S$501)</f>
        <v/>
      </c>
      <c r="F4483" s="20">
        <f>""</f>
        <v/>
      </c>
      <c r="G4483">
        <f>IF($C4483="","","Por el deposito de la detraccion en el Banco de la Nacion")</f>
        <v/>
      </c>
      <c r="H4483">
        <f>IF($C4483="","",Registro_Compras!$C$501)</f>
        <v/>
      </c>
    </row>
    <row r="4484">
      <c r="A4484" s="25">
        <f>IF($C4484="","",Registro_Compras!$X$501)</f>
        <v/>
      </c>
      <c r="B4484">
        <f>IF($C4484="","","C"&amp;TEXT(INT((ROW()-5)/9)+1,"000")&amp;"-3")</f>
        <v/>
      </c>
      <c r="C4484">
        <f>IF(OR(Registro_Compras!$C$501="",Registro_Compras!$O$501="",Registro_Compras!$R$501&lt;&gt;"SI",Registro_Compras!$X$501=""),"","10413")</f>
        <v/>
      </c>
      <c r="D4484">
        <f>IF(OR(Registro_Compras!$C$501="",Registro_Compras!$O$501=""),"","Efectivo y Equivalentes - Cta. Cte. Operativa")</f>
        <v/>
      </c>
      <c r="E4484" s="20">
        <f>""</f>
        <v/>
      </c>
      <c r="F4484" s="20">
        <f>IF($C4484="","",Registro_Compras!$S$501)</f>
        <v/>
      </c>
      <c r="G4484">
        <f>IF($C4484="","","Por el deposito de la detraccion en el Banco de la Nacion")</f>
        <v/>
      </c>
      <c r="H4484">
        <f>IF($C4484="","",Registro_Compras!$C$501)</f>
        <v/>
      </c>
    </row>
    <row r="4485">
      <c r="A4485" s="25">
        <f>IF($C4485="","",Registro_Compras!$Y$501)</f>
        <v/>
      </c>
      <c r="B4485">
        <f>IF($C4485="","","C"&amp;TEXT(INT((ROW()-5)/9)+1,"000")&amp;"-4")</f>
        <v/>
      </c>
      <c r="C4485">
        <f>IF(OR(Registro_Compras!$C$501="",Registro_Compras!$O$501="",Registro_Compras!$Y$501="",Registro_Compras!$F$501="NOTA DE CREDITO"),"","4212")</f>
        <v/>
      </c>
      <c r="D4485">
        <f>IF(OR(Registro_Compras!$C$501="",Registro_Compras!$O$501=""),"","Cuentas por Pagar Comerciales - Terceros")</f>
        <v/>
      </c>
      <c r="E4485" s="20">
        <f>IF($C4485="","",IF(Registro_Compras!$F$501="RHE",(ROUND(Registro_Compras!$L$501*Registro_Compras!$N$501,2)-ROUND(Registro_Compras!$V$501*Registro_Compras!$N$501,2)),ROUND(Registro_Compras!$O$501-Registro_Compras!$S$501,2)))</f>
        <v/>
      </c>
      <c r="F4485" s="20">
        <f>""</f>
        <v/>
      </c>
      <c r="G4485">
        <f>IF($C4485="","","Por la cancelacion del saldo al proveedor")</f>
        <v/>
      </c>
      <c r="H4485">
        <f>IF($C4485="","",Registro_Compras!$C$501)</f>
        <v/>
      </c>
    </row>
    <row r="4486">
      <c r="A4486" s="25">
        <f>IF($C4486="","",Registro_Compras!$Y$501)</f>
        <v/>
      </c>
      <c r="B4486">
        <f>IF($C4486="","","C"&amp;TEXT(INT((ROW()-5)/9)+1,"000")&amp;"-4")</f>
        <v/>
      </c>
      <c r="C4486">
        <f>IF(OR(Registro_Compras!$C$501="",Registro_Compras!$O$501="",Registro_Compras!$Y$501="",Registro_Compras!$F$501="NOTA DE CREDITO"),"","10413")</f>
        <v/>
      </c>
      <c r="D4486">
        <f>IF(OR(Registro_Compras!$C$501="",Registro_Compras!$O$501=""),"","Efectivo y Equivalentes - Cta. Cte. Operativa")</f>
        <v/>
      </c>
      <c r="E4486" s="20">
        <f>""</f>
        <v/>
      </c>
      <c r="F4486" s="20">
        <f>IF($C4486="","",IF(Registro_Compras!$F$501="RHE",(ROUND(Registro_Compras!$L$501*Registro_Compras!$N$501,2)-ROUND(Registro_Compras!$V$501*Registro_Compras!$N$501,2)),ROUND(Registro_Compras!$O$501-Registro_Compras!$S$501,2)))</f>
        <v/>
      </c>
      <c r="G4486">
        <f>IF($C4486="","","Por la cancelacion del saldo al proveedor")</f>
        <v/>
      </c>
      <c r="H4486">
        <f>IF($C4486="","",Registro_Compras!$C$501)</f>
        <v/>
      </c>
    </row>
    <row r="4487">
      <c r="A4487" s="25">
        <f>IF($C4487="","",Registro_Compras!$B$502)</f>
        <v/>
      </c>
      <c r="B4487">
        <f>IF($C4487="","","C"&amp;TEXT(INT((ROW()-5)/9)+1,"000")&amp;"-1")</f>
        <v/>
      </c>
      <c r="C4487">
        <f>IF(OR(Registro_Compras!$C$502="",Registro_Compras!$O$502=""),"",IF(Registro_Compras!$F$502="NOTA DE CREDITO","4212",IF(Registro_Compras!$M$502="","63",Registro_Compras!$M$502)))</f>
        <v/>
      </c>
      <c r="D4487">
        <f>IF(OR(Registro_Compras!$C$502="",Registro_Compras!$O$502=""),"",IF(Registro_Compras!$F$502="NOTA DE CREDITO","Cuentas por Pagar Comerciales - Terceros (Emitidas)",IF(Registro_Compras!$F$502="RHE","Honorarios Profesionales - Servicios de Terceros","Gastos de Servicios Prestados por Terceros")))</f>
        <v/>
      </c>
      <c r="E4487" s="20">
        <f>IF($C4487="","",IF(Registro_Compras!$F$502="NOTA DE CREDITO",ABS(Registro_Compras!$O$502),IF(Registro_Compras!$F$502="RHE",ROUND(Registro_Compras!$L$502*Registro_Compras!$N$502,2),ROUND(Registro_Compras!$J$502*Registro_Compras!$N$502,2))))</f>
        <v/>
      </c>
      <c r="F4487" s="20">
        <f>""</f>
        <v/>
      </c>
      <c r="G4487">
        <f>IF($C4487="","",IF(Registro_Compras!$F$502="NOTA DE CREDITO","Por la nota de credito "&amp;Registro_Compras!$C$502&amp;" de "&amp;Registro_Compras!$E$502&amp;" [PATRON POR CONFIRMAR CON CONTADOR]",IF(Registro_Compras!$F$502="RHE","Por el registro del recibo por honorarios "&amp;Registro_Compras!$C$502&amp;" de "&amp;Registro_Compras!$E$502&amp;" [PATRON POR CONFIRMAR CON CONTADOR]","Por el registro de la factura "&amp;Registro_Compras!$C$502&amp;" de "&amp;Registro_Compras!$E$502)))</f>
        <v/>
      </c>
      <c r="H4487">
        <f>IF($C4487="","",Registro_Compras!$C$502)</f>
        <v/>
      </c>
    </row>
    <row r="4488">
      <c r="A4488" s="25">
        <f>IF($C4488="","",Registro_Compras!$B$502)</f>
        <v/>
      </c>
      <c r="B4488">
        <f>IF($C4488="","","C"&amp;TEXT(INT((ROW()-5)/9)+1,"000")&amp;"-1")</f>
        <v/>
      </c>
      <c r="C4488">
        <f>IF(OR(Registro_Compras!$C$502="",Registro_Compras!$O$502=""),"",IF(Registro_Compras!$F$502="RHE",IF(Registro_Compras!$V$502=0,"","40172"),IF(Registro_Compras!$F$502="NOTA DE CREDITO",IF(Registro_Compras!$M$502="","63",Registro_Compras!$M$502),IF(Registro_Compras!$K$502=0,"","40111"))))</f>
        <v/>
      </c>
      <c r="D4488">
        <f>IF(OR(Registro_Compras!$C$502="",Registro_Compras!$O$502=""),"",IF(Registro_Compras!$F$502="RHE","Retencion Renta 4ta Categoria por Pagar",IF(Registro_Compras!$F$502="NOTA DE CREDITO","Gastos de Servicios Prestados por Terceros","IGV - Cuenta Propia (Credito Fiscal)")))</f>
        <v/>
      </c>
      <c r="E4488" s="20">
        <f>IF($C4488="","",IF(Registro_Compras!$F$502="FACTURA",ROUND(Registro_Compras!$K$502*Registro_Compras!$N$502,2),""))</f>
        <v/>
      </c>
      <c r="F4488" s="20">
        <f>IF($C4488="","",IF(Registro_Compras!$F$502="RHE",ROUND(Registro_Compras!$V$502*Registro_Compras!$N$502,2),IF(Registro_Compras!$F$502="NOTA DE CREDITO",ROUND(ABS(Registro_Compras!$J$502*Registro_Compras!$N$502),2),"")))</f>
        <v/>
      </c>
      <c r="G4488">
        <f>IF($C4488="","",IF(Registro_Compras!$F$502="NOTA DE CREDITO","Por la nota de credito "&amp;Registro_Compras!$C$502&amp;" de "&amp;Registro_Compras!$E$502&amp;" [PATRON POR CONFIRMAR CON CONTADOR]",IF(Registro_Compras!$F$502="RHE","Por el registro del recibo por honorarios "&amp;Registro_Compras!$C$502&amp;" de "&amp;Registro_Compras!$E$502&amp;" [PATRON POR CONFIRMAR CON CONTADOR]","Por el registro de la factura "&amp;Registro_Compras!$C$502&amp;" de "&amp;Registro_Compras!$E$502)))</f>
        <v/>
      </c>
      <c r="H4488">
        <f>IF($C4488="","",Registro_Compras!$C$502)</f>
        <v/>
      </c>
    </row>
    <row r="4489">
      <c r="A4489" s="25">
        <f>IF($C4489="","",Registro_Compras!$B$502)</f>
        <v/>
      </c>
      <c r="B4489">
        <f>IF($C4489="","","C"&amp;TEXT(INT((ROW()-5)/9)+1,"000")&amp;"-1")</f>
        <v/>
      </c>
      <c r="C4489">
        <f>IF(OR(Registro_Compras!$C$502="",Registro_Compras!$O$502=""),"",IF(Registro_Compras!$F$502="NOTA DE CREDITO",IF(Registro_Compras!$K$502=0,"","40111"),"4212"))</f>
        <v/>
      </c>
      <c r="D4489">
        <f>IF(OR(Registro_Compras!$C$502="",Registro_Compras!$O$502=""),"",IF(Registro_Compras!$F$502="NOTA DE CREDITO","IGV - Cuenta Propia (Credito Fiscal)","Cuentas por Pagar Comerciales - Terceros (Emitidas)"))</f>
        <v/>
      </c>
      <c r="E4489" s="20">
        <f>""</f>
        <v/>
      </c>
      <c r="F4489" s="20">
        <f>IF($C4489="","",IF(Registro_Compras!$F$502="NOTA DE CREDITO",ROUND(ABS(Registro_Compras!$K$502*Registro_Compras!$N$502),2),IF(Registro_Compras!$F$502="RHE",(ROUND(Registro_Compras!$L$502*Registro_Compras!$N$502,2)-ROUND(Registro_Compras!$V$502*Registro_Compras!$N$502,2)),Registro_Compras!$O$502)))</f>
        <v/>
      </c>
      <c r="G4489">
        <f>IF($C4489="","",IF(Registro_Compras!$F$502="NOTA DE CREDITO","Por la nota de credito "&amp;Registro_Compras!$C$502&amp;" de "&amp;Registro_Compras!$E$502&amp;" [PATRON POR CONFIRMAR CON CONTADOR]",IF(Registro_Compras!$F$502="RHE","Por el registro del recibo por honorarios "&amp;Registro_Compras!$C$502&amp;" de "&amp;Registro_Compras!$E$502&amp;" [PATRON POR CONFIRMAR CON CONTADOR]","Por el registro de la factura "&amp;Registro_Compras!$C$502&amp;" de "&amp;Registro_Compras!$E$502)))</f>
        <v/>
      </c>
      <c r="H4489">
        <f>IF($C4489="","",Registro_Compras!$C$502)</f>
        <v/>
      </c>
    </row>
    <row r="4490">
      <c r="A4490" s="25">
        <f>IF($C4490="","",Registro_Compras!$B$502)</f>
        <v/>
      </c>
      <c r="B4490">
        <f>IF($C4490="","","C"&amp;TEXT(INT((ROW()-5)/9)+1,"000")&amp;"-2")</f>
        <v/>
      </c>
      <c r="C4490">
        <f>IF(OR(Registro_Compras!$C$502="",Registro_Compras!$O$502=""),"",IF(Registro_Compras!$AB$502="ADMINISTRATIVO","94","95"))</f>
        <v/>
      </c>
      <c r="D4490">
        <f>IF(OR(Registro_Compras!$C$502="",Registro_Compras!$O$502=""),"",IF(Registro_Compras!$AB$502="ADMINISTRATIVO","Gastos Administrativos","Gastos de Venta y Operacion"))</f>
        <v/>
      </c>
      <c r="E4490" s="20">
        <f>IF($C4490="","",IF(Registro_Compras!$F$502="NOTA DE CREDITO","",IF(Registro_Compras!$F$502="RHE",ROUND(Registro_Compras!$L$502*Registro_Compras!$N$502,2),ROUND(Registro_Compras!$J$502*Registro_Compras!$N$502,2))))</f>
        <v/>
      </c>
      <c r="F4490" s="20">
        <f>IF($C4490="","",IF(Registro_Compras!$F$502="NOTA DE CREDITO",ROUND(ABS(Registro_Compras!$J$502*Registro_Compras!$N$502),2),""))</f>
        <v/>
      </c>
      <c r="G4490">
        <f>IF($C4490="","","Por el destino del gasto")</f>
        <v/>
      </c>
      <c r="H4490">
        <f>IF($C4490="","",Registro_Compras!$C$502)</f>
        <v/>
      </c>
    </row>
    <row r="4491">
      <c r="A4491" s="25">
        <f>IF($C4491="","",Registro_Compras!$B$502)</f>
        <v/>
      </c>
      <c r="B4491">
        <f>IF($C4491="","","C"&amp;TEXT(INT((ROW()-5)/9)+1,"000")&amp;"-2")</f>
        <v/>
      </c>
      <c r="C4491">
        <f>IF(OR(Registro_Compras!$C$502="",Registro_Compras!$O$502=""),"","79/791")</f>
        <v/>
      </c>
      <c r="D4491">
        <f>IF(OR(Registro_Compras!$C$502="",Registro_Compras!$O$502=""),"","Cargas Imputables a Cuentas de Costos y Gastos")</f>
        <v/>
      </c>
      <c r="E4491" s="20">
        <f>IF($C4491="","",IF(Registro_Compras!$F$502="NOTA DE CREDITO",ROUND(ABS(Registro_Compras!$J$502*Registro_Compras!$N$502),2),""))</f>
        <v/>
      </c>
      <c r="F4491" s="20">
        <f>IF($C4491="","",IF(Registro_Compras!$F$502="NOTA DE CREDITO","",IF(Registro_Compras!$F$502="RHE",ROUND(Registro_Compras!$L$502*Registro_Compras!$N$502,2),ROUND(Registro_Compras!$J$502*Registro_Compras!$N$502,2))))</f>
        <v/>
      </c>
      <c r="G4491">
        <f>IF($C4491="","","Por el destino del gasto")</f>
        <v/>
      </c>
      <c r="H4491">
        <f>IF($C4491="","",Registro_Compras!$C$502)</f>
        <v/>
      </c>
    </row>
    <row r="4492">
      <c r="A4492" s="25">
        <f>IF($C4492="","",Registro_Compras!$X$502)</f>
        <v/>
      </c>
      <c r="B4492">
        <f>IF($C4492="","","C"&amp;TEXT(INT((ROW()-5)/9)+1,"000")&amp;"-3")</f>
        <v/>
      </c>
      <c r="C4492">
        <f>IF(OR(Registro_Compras!$C$502="",Registro_Compras!$O$502="",Registro_Compras!$R$502&lt;&gt;"SI",Registro_Compras!$X$502=""),"","4212")</f>
        <v/>
      </c>
      <c r="D4492">
        <f>IF(OR(Registro_Compras!$C$502="",Registro_Compras!$O$502=""),"","Cuentas por Pagar Comerciales - Terceros")</f>
        <v/>
      </c>
      <c r="E4492" s="20">
        <f>IF($C4492="","",Registro_Compras!$S$502)</f>
        <v/>
      </c>
      <c r="F4492" s="20">
        <f>""</f>
        <v/>
      </c>
      <c r="G4492">
        <f>IF($C4492="","","Por el deposito de la detraccion en el Banco de la Nacion")</f>
        <v/>
      </c>
      <c r="H4492">
        <f>IF($C4492="","",Registro_Compras!$C$502)</f>
        <v/>
      </c>
    </row>
    <row r="4493">
      <c r="A4493" s="25">
        <f>IF($C4493="","",Registro_Compras!$X$502)</f>
        <v/>
      </c>
      <c r="B4493">
        <f>IF($C4493="","","C"&amp;TEXT(INT((ROW()-5)/9)+1,"000")&amp;"-3")</f>
        <v/>
      </c>
      <c r="C4493">
        <f>IF(OR(Registro_Compras!$C$502="",Registro_Compras!$O$502="",Registro_Compras!$R$502&lt;&gt;"SI",Registro_Compras!$X$502=""),"","10413")</f>
        <v/>
      </c>
      <c r="D4493">
        <f>IF(OR(Registro_Compras!$C$502="",Registro_Compras!$O$502=""),"","Efectivo y Equivalentes - Cta. Cte. Operativa")</f>
        <v/>
      </c>
      <c r="E4493" s="20">
        <f>""</f>
        <v/>
      </c>
      <c r="F4493" s="20">
        <f>IF($C4493="","",Registro_Compras!$S$502)</f>
        <v/>
      </c>
      <c r="G4493">
        <f>IF($C4493="","","Por el deposito de la detraccion en el Banco de la Nacion")</f>
        <v/>
      </c>
      <c r="H4493">
        <f>IF($C4493="","",Registro_Compras!$C$502)</f>
        <v/>
      </c>
    </row>
    <row r="4494">
      <c r="A4494" s="25">
        <f>IF($C4494="","",Registro_Compras!$Y$502)</f>
        <v/>
      </c>
      <c r="B4494">
        <f>IF($C4494="","","C"&amp;TEXT(INT((ROW()-5)/9)+1,"000")&amp;"-4")</f>
        <v/>
      </c>
      <c r="C4494">
        <f>IF(OR(Registro_Compras!$C$502="",Registro_Compras!$O$502="",Registro_Compras!$Y$502="",Registro_Compras!$F$502="NOTA DE CREDITO"),"","4212")</f>
        <v/>
      </c>
      <c r="D4494">
        <f>IF(OR(Registro_Compras!$C$502="",Registro_Compras!$O$502=""),"","Cuentas por Pagar Comerciales - Terceros")</f>
        <v/>
      </c>
      <c r="E4494" s="20">
        <f>IF($C4494="","",IF(Registro_Compras!$F$502="RHE",(ROUND(Registro_Compras!$L$502*Registro_Compras!$N$502,2)-ROUND(Registro_Compras!$V$502*Registro_Compras!$N$502,2)),ROUND(Registro_Compras!$O$502-Registro_Compras!$S$502,2)))</f>
        <v/>
      </c>
      <c r="F4494" s="20">
        <f>""</f>
        <v/>
      </c>
      <c r="G4494">
        <f>IF($C4494="","","Por la cancelacion del saldo al proveedor")</f>
        <v/>
      </c>
      <c r="H4494">
        <f>IF($C4494="","",Registro_Compras!$C$502)</f>
        <v/>
      </c>
    </row>
    <row r="4495">
      <c r="A4495" s="25">
        <f>IF($C4495="","",Registro_Compras!$Y$502)</f>
        <v/>
      </c>
      <c r="B4495">
        <f>IF($C4495="","","C"&amp;TEXT(INT((ROW()-5)/9)+1,"000")&amp;"-4")</f>
        <v/>
      </c>
      <c r="C4495">
        <f>IF(OR(Registro_Compras!$C$502="",Registro_Compras!$O$502="",Registro_Compras!$Y$502="",Registro_Compras!$F$502="NOTA DE CREDITO"),"","10413")</f>
        <v/>
      </c>
      <c r="D4495">
        <f>IF(OR(Registro_Compras!$C$502="",Registro_Compras!$O$502=""),"","Efectivo y Equivalentes - Cta. Cte. Operativa")</f>
        <v/>
      </c>
      <c r="E4495" s="20">
        <f>""</f>
        <v/>
      </c>
      <c r="F4495" s="20">
        <f>IF($C4495="","",IF(Registro_Compras!$F$502="RHE",(ROUND(Registro_Compras!$L$502*Registro_Compras!$N$502,2)-ROUND(Registro_Compras!$V$502*Registro_Compras!$N$502,2)),ROUND(Registro_Compras!$O$502-Registro_Compras!$S$502,2)))</f>
        <v/>
      </c>
      <c r="G4495">
        <f>IF($C4495="","","Por la cancelacion del saldo al proveedor")</f>
        <v/>
      </c>
      <c r="H4495">
        <f>IF($C4495="","",Registro_Compras!$C$502)</f>
        <v/>
      </c>
    </row>
    <row r="4496">
      <c r="A4496" s="25">
        <f>IF($C4496="","",Registro_Compras!$B$503)</f>
        <v/>
      </c>
      <c r="B4496">
        <f>IF($C4496="","","C"&amp;TEXT(INT((ROW()-5)/9)+1,"000")&amp;"-1")</f>
        <v/>
      </c>
      <c r="C4496">
        <f>IF(OR(Registro_Compras!$C$503="",Registro_Compras!$O$503=""),"",IF(Registro_Compras!$F$503="NOTA DE CREDITO","4212",IF(Registro_Compras!$M$503="","63",Registro_Compras!$M$503)))</f>
        <v/>
      </c>
      <c r="D4496">
        <f>IF(OR(Registro_Compras!$C$503="",Registro_Compras!$O$503=""),"",IF(Registro_Compras!$F$503="NOTA DE CREDITO","Cuentas por Pagar Comerciales - Terceros (Emitidas)",IF(Registro_Compras!$F$503="RHE","Honorarios Profesionales - Servicios de Terceros","Gastos de Servicios Prestados por Terceros")))</f>
        <v/>
      </c>
      <c r="E4496" s="20">
        <f>IF($C4496="","",IF(Registro_Compras!$F$503="NOTA DE CREDITO",ABS(Registro_Compras!$O$503),IF(Registro_Compras!$F$503="RHE",ROUND(Registro_Compras!$L$503*Registro_Compras!$N$503,2),ROUND(Registro_Compras!$J$503*Registro_Compras!$N$503,2))))</f>
        <v/>
      </c>
      <c r="F4496" s="20">
        <f>""</f>
        <v/>
      </c>
      <c r="G4496">
        <f>IF($C4496="","",IF(Registro_Compras!$F$503="NOTA DE CREDITO","Por la nota de credito "&amp;Registro_Compras!$C$503&amp;" de "&amp;Registro_Compras!$E$503&amp;" [PATRON POR CONFIRMAR CON CONTADOR]",IF(Registro_Compras!$F$503="RHE","Por el registro del recibo por honorarios "&amp;Registro_Compras!$C$503&amp;" de "&amp;Registro_Compras!$E$503&amp;" [PATRON POR CONFIRMAR CON CONTADOR]","Por el registro de la factura "&amp;Registro_Compras!$C$503&amp;" de "&amp;Registro_Compras!$E$503)))</f>
        <v/>
      </c>
      <c r="H4496">
        <f>IF($C4496="","",Registro_Compras!$C$503)</f>
        <v/>
      </c>
    </row>
    <row r="4497">
      <c r="A4497" s="25">
        <f>IF($C4497="","",Registro_Compras!$B$503)</f>
        <v/>
      </c>
      <c r="B4497">
        <f>IF($C4497="","","C"&amp;TEXT(INT((ROW()-5)/9)+1,"000")&amp;"-1")</f>
        <v/>
      </c>
      <c r="C4497">
        <f>IF(OR(Registro_Compras!$C$503="",Registro_Compras!$O$503=""),"",IF(Registro_Compras!$F$503="RHE",IF(Registro_Compras!$V$503=0,"","40172"),IF(Registro_Compras!$F$503="NOTA DE CREDITO",IF(Registro_Compras!$M$503="","63",Registro_Compras!$M$503),IF(Registro_Compras!$K$503=0,"","40111"))))</f>
        <v/>
      </c>
      <c r="D4497">
        <f>IF(OR(Registro_Compras!$C$503="",Registro_Compras!$O$503=""),"",IF(Registro_Compras!$F$503="RHE","Retencion Renta 4ta Categoria por Pagar",IF(Registro_Compras!$F$503="NOTA DE CREDITO","Gastos de Servicios Prestados por Terceros","IGV - Cuenta Propia (Credito Fiscal)")))</f>
        <v/>
      </c>
      <c r="E4497" s="20">
        <f>IF($C4497="","",IF(Registro_Compras!$F$503="FACTURA",ROUND(Registro_Compras!$K$503*Registro_Compras!$N$503,2),""))</f>
        <v/>
      </c>
      <c r="F4497" s="20">
        <f>IF($C4497="","",IF(Registro_Compras!$F$503="RHE",ROUND(Registro_Compras!$V$503*Registro_Compras!$N$503,2),IF(Registro_Compras!$F$503="NOTA DE CREDITO",ROUND(ABS(Registro_Compras!$J$503*Registro_Compras!$N$503),2),"")))</f>
        <v/>
      </c>
      <c r="G4497">
        <f>IF($C4497="","",IF(Registro_Compras!$F$503="NOTA DE CREDITO","Por la nota de credito "&amp;Registro_Compras!$C$503&amp;" de "&amp;Registro_Compras!$E$503&amp;" [PATRON POR CONFIRMAR CON CONTADOR]",IF(Registro_Compras!$F$503="RHE","Por el registro del recibo por honorarios "&amp;Registro_Compras!$C$503&amp;" de "&amp;Registro_Compras!$E$503&amp;" [PATRON POR CONFIRMAR CON CONTADOR]","Por el registro de la factura "&amp;Registro_Compras!$C$503&amp;" de "&amp;Registro_Compras!$E$503)))</f>
        <v/>
      </c>
      <c r="H4497">
        <f>IF($C4497="","",Registro_Compras!$C$503)</f>
        <v/>
      </c>
    </row>
    <row r="4498">
      <c r="A4498" s="25">
        <f>IF($C4498="","",Registro_Compras!$B$503)</f>
        <v/>
      </c>
      <c r="B4498">
        <f>IF($C4498="","","C"&amp;TEXT(INT((ROW()-5)/9)+1,"000")&amp;"-1")</f>
        <v/>
      </c>
      <c r="C4498">
        <f>IF(OR(Registro_Compras!$C$503="",Registro_Compras!$O$503=""),"",IF(Registro_Compras!$F$503="NOTA DE CREDITO",IF(Registro_Compras!$K$503=0,"","40111"),"4212"))</f>
        <v/>
      </c>
      <c r="D4498">
        <f>IF(OR(Registro_Compras!$C$503="",Registro_Compras!$O$503=""),"",IF(Registro_Compras!$F$503="NOTA DE CREDITO","IGV - Cuenta Propia (Credito Fiscal)","Cuentas por Pagar Comerciales - Terceros (Emitidas)"))</f>
        <v/>
      </c>
      <c r="E4498" s="20">
        <f>""</f>
        <v/>
      </c>
      <c r="F4498" s="20">
        <f>IF($C4498="","",IF(Registro_Compras!$F$503="NOTA DE CREDITO",ROUND(ABS(Registro_Compras!$K$503*Registro_Compras!$N$503),2),IF(Registro_Compras!$F$503="RHE",(ROUND(Registro_Compras!$L$503*Registro_Compras!$N$503,2)-ROUND(Registro_Compras!$V$503*Registro_Compras!$N$503,2)),Registro_Compras!$O$503)))</f>
        <v/>
      </c>
      <c r="G4498">
        <f>IF($C4498="","",IF(Registro_Compras!$F$503="NOTA DE CREDITO","Por la nota de credito "&amp;Registro_Compras!$C$503&amp;" de "&amp;Registro_Compras!$E$503&amp;" [PATRON POR CONFIRMAR CON CONTADOR]",IF(Registro_Compras!$F$503="RHE","Por el registro del recibo por honorarios "&amp;Registro_Compras!$C$503&amp;" de "&amp;Registro_Compras!$E$503&amp;" [PATRON POR CONFIRMAR CON CONTADOR]","Por el registro de la factura "&amp;Registro_Compras!$C$503&amp;" de "&amp;Registro_Compras!$E$503)))</f>
        <v/>
      </c>
      <c r="H4498">
        <f>IF($C4498="","",Registro_Compras!$C$503)</f>
        <v/>
      </c>
    </row>
    <row r="4499">
      <c r="A4499" s="25">
        <f>IF($C4499="","",Registro_Compras!$B$503)</f>
        <v/>
      </c>
      <c r="B4499">
        <f>IF($C4499="","","C"&amp;TEXT(INT((ROW()-5)/9)+1,"000")&amp;"-2")</f>
        <v/>
      </c>
      <c r="C4499">
        <f>IF(OR(Registro_Compras!$C$503="",Registro_Compras!$O$503=""),"",IF(Registro_Compras!$AB$503="ADMINISTRATIVO","94","95"))</f>
        <v/>
      </c>
      <c r="D4499">
        <f>IF(OR(Registro_Compras!$C$503="",Registro_Compras!$O$503=""),"",IF(Registro_Compras!$AB$503="ADMINISTRATIVO","Gastos Administrativos","Gastos de Venta y Operacion"))</f>
        <v/>
      </c>
      <c r="E4499" s="20">
        <f>IF($C4499="","",IF(Registro_Compras!$F$503="NOTA DE CREDITO","",IF(Registro_Compras!$F$503="RHE",ROUND(Registro_Compras!$L$503*Registro_Compras!$N$503,2),ROUND(Registro_Compras!$J$503*Registro_Compras!$N$503,2))))</f>
        <v/>
      </c>
      <c r="F4499" s="20">
        <f>IF($C4499="","",IF(Registro_Compras!$F$503="NOTA DE CREDITO",ROUND(ABS(Registro_Compras!$J$503*Registro_Compras!$N$503),2),""))</f>
        <v/>
      </c>
      <c r="G4499">
        <f>IF($C4499="","","Por el destino del gasto")</f>
        <v/>
      </c>
      <c r="H4499">
        <f>IF($C4499="","",Registro_Compras!$C$503)</f>
        <v/>
      </c>
    </row>
    <row r="4500">
      <c r="A4500" s="25">
        <f>IF($C4500="","",Registro_Compras!$B$503)</f>
        <v/>
      </c>
      <c r="B4500">
        <f>IF($C4500="","","C"&amp;TEXT(INT((ROW()-5)/9)+1,"000")&amp;"-2")</f>
        <v/>
      </c>
      <c r="C4500">
        <f>IF(OR(Registro_Compras!$C$503="",Registro_Compras!$O$503=""),"","79/791")</f>
        <v/>
      </c>
      <c r="D4500">
        <f>IF(OR(Registro_Compras!$C$503="",Registro_Compras!$O$503=""),"","Cargas Imputables a Cuentas de Costos y Gastos")</f>
        <v/>
      </c>
      <c r="E4500" s="20">
        <f>IF($C4500="","",IF(Registro_Compras!$F$503="NOTA DE CREDITO",ROUND(ABS(Registro_Compras!$J$503*Registro_Compras!$N$503),2),""))</f>
        <v/>
      </c>
      <c r="F4500" s="20">
        <f>IF($C4500="","",IF(Registro_Compras!$F$503="NOTA DE CREDITO","",IF(Registro_Compras!$F$503="RHE",ROUND(Registro_Compras!$L$503*Registro_Compras!$N$503,2),ROUND(Registro_Compras!$J$503*Registro_Compras!$N$503,2))))</f>
        <v/>
      </c>
      <c r="G4500">
        <f>IF($C4500="","","Por el destino del gasto")</f>
        <v/>
      </c>
      <c r="H4500">
        <f>IF($C4500="","",Registro_Compras!$C$503)</f>
        <v/>
      </c>
    </row>
    <row r="4501">
      <c r="A4501" s="25">
        <f>IF($C4501="","",Registro_Compras!$X$503)</f>
        <v/>
      </c>
      <c r="B4501">
        <f>IF($C4501="","","C"&amp;TEXT(INT((ROW()-5)/9)+1,"000")&amp;"-3")</f>
        <v/>
      </c>
      <c r="C4501">
        <f>IF(OR(Registro_Compras!$C$503="",Registro_Compras!$O$503="",Registro_Compras!$R$503&lt;&gt;"SI",Registro_Compras!$X$503=""),"","4212")</f>
        <v/>
      </c>
      <c r="D4501">
        <f>IF(OR(Registro_Compras!$C$503="",Registro_Compras!$O$503=""),"","Cuentas por Pagar Comerciales - Terceros")</f>
        <v/>
      </c>
      <c r="E4501" s="20">
        <f>IF($C4501="","",Registro_Compras!$S$503)</f>
        <v/>
      </c>
      <c r="F4501" s="20">
        <f>""</f>
        <v/>
      </c>
      <c r="G4501">
        <f>IF($C4501="","","Por el deposito de la detraccion en el Banco de la Nacion")</f>
        <v/>
      </c>
      <c r="H4501">
        <f>IF($C4501="","",Registro_Compras!$C$503)</f>
        <v/>
      </c>
    </row>
    <row r="4502">
      <c r="A4502" s="25">
        <f>IF($C4502="","",Registro_Compras!$X$503)</f>
        <v/>
      </c>
      <c r="B4502">
        <f>IF($C4502="","","C"&amp;TEXT(INT((ROW()-5)/9)+1,"000")&amp;"-3")</f>
        <v/>
      </c>
      <c r="C4502">
        <f>IF(OR(Registro_Compras!$C$503="",Registro_Compras!$O$503="",Registro_Compras!$R$503&lt;&gt;"SI",Registro_Compras!$X$503=""),"","10413")</f>
        <v/>
      </c>
      <c r="D4502">
        <f>IF(OR(Registro_Compras!$C$503="",Registro_Compras!$O$503=""),"","Efectivo y Equivalentes - Cta. Cte. Operativa")</f>
        <v/>
      </c>
      <c r="E4502" s="20">
        <f>""</f>
        <v/>
      </c>
      <c r="F4502" s="20">
        <f>IF($C4502="","",Registro_Compras!$S$503)</f>
        <v/>
      </c>
      <c r="G4502">
        <f>IF($C4502="","","Por el deposito de la detraccion en el Banco de la Nacion")</f>
        <v/>
      </c>
      <c r="H4502">
        <f>IF($C4502="","",Registro_Compras!$C$503)</f>
        <v/>
      </c>
    </row>
    <row r="4503">
      <c r="A4503" s="25">
        <f>IF($C4503="","",Registro_Compras!$Y$503)</f>
        <v/>
      </c>
      <c r="B4503">
        <f>IF($C4503="","","C"&amp;TEXT(INT((ROW()-5)/9)+1,"000")&amp;"-4")</f>
        <v/>
      </c>
      <c r="C4503">
        <f>IF(OR(Registro_Compras!$C$503="",Registro_Compras!$O$503="",Registro_Compras!$Y$503="",Registro_Compras!$F$503="NOTA DE CREDITO"),"","4212")</f>
        <v/>
      </c>
      <c r="D4503">
        <f>IF(OR(Registro_Compras!$C$503="",Registro_Compras!$O$503=""),"","Cuentas por Pagar Comerciales - Terceros")</f>
        <v/>
      </c>
      <c r="E4503" s="20">
        <f>IF($C4503="","",IF(Registro_Compras!$F$503="RHE",(ROUND(Registro_Compras!$L$503*Registro_Compras!$N$503,2)-ROUND(Registro_Compras!$V$503*Registro_Compras!$N$503,2)),ROUND(Registro_Compras!$O$503-Registro_Compras!$S$503,2)))</f>
        <v/>
      </c>
      <c r="F4503" s="20">
        <f>""</f>
        <v/>
      </c>
      <c r="G4503">
        <f>IF($C4503="","","Por la cancelacion del saldo al proveedor")</f>
        <v/>
      </c>
      <c r="H4503">
        <f>IF($C4503="","",Registro_Compras!$C$503)</f>
        <v/>
      </c>
    </row>
    <row r="4504">
      <c r="A4504" s="25">
        <f>IF($C4504="","",Registro_Compras!$Y$503)</f>
        <v/>
      </c>
      <c r="B4504">
        <f>IF($C4504="","","C"&amp;TEXT(INT((ROW()-5)/9)+1,"000")&amp;"-4")</f>
        <v/>
      </c>
      <c r="C4504">
        <f>IF(OR(Registro_Compras!$C$503="",Registro_Compras!$O$503="",Registro_Compras!$Y$503="",Registro_Compras!$F$503="NOTA DE CREDITO"),"","10413")</f>
        <v/>
      </c>
      <c r="D4504">
        <f>IF(OR(Registro_Compras!$C$503="",Registro_Compras!$O$503=""),"","Efectivo y Equivalentes - Cta. Cte. Operativa")</f>
        <v/>
      </c>
      <c r="E4504" s="20">
        <f>""</f>
        <v/>
      </c>
      <c r="F4504" s="20">
        <f>IF($C4504="","",IF(Registro_Compras!$F$503="RHE",(ROUND(Registro_Compras!$L$503*Registro_Compras!$N$503,2)-ROUND(Registro_Compras!$V$503*Registro_Compras!$N$503,2)),ROUND(Registro_Compras!$O$503-Registro_Compras!$S$503,2)))</f>
        <v/>
      </c>
      <c r="G4504">
        <f>IF($C4504="","","Por la cancelacion del saldo al proveedor")</f>
        <v/>
      </c>
      <c r="H4504">
        <f>IF($C4504="","",Registro_Compras!$C$503)</f>
        <v/>
      </c>
    </row>
    <row r="4505">
      <c r="A4505" s="25" t="n"/>
      <c r="E4505" s="20" t="n"/>
      <c r="F4505" s="20" t="n"/>
    </row>
    <row r="4506">
      <c r="A4506" s="34" t="inlineStr">
        <is>
          <t>VENTAS - Comprobantes Emitidos a Clientes</t>
        </is>
      </c>
      <c r="E4506" s="20" t="n"/>
      <c r="F4506" s="20" t="n"/>
    </row>
    <row r="4507">
      <c r="A4507" s="25">
        <f>IF($C4507="","",Registro_Ventas!$B$4)</f>
        <v/>
      </c>
      <c r="B4507">
        <f>IF($C4507="","","V"&amp;TEXT(INT((ROW()-4507)/6)+1,"000")&amp;"-1")</f>
        <v/>
      </c>
      <c r="C4507">
        <f>IF(Registro_Ventas!$C$4="","","12")</f>
        <v/>
      </c>
      <c r="D4507">
        <f>IF($C4507="","","Cuentas por Cobrar Comerciales - Terceros")</f>
        <v/>
      </c>
      <c r="E4507" s="20">
        <f>IF($C4507="","",Registro_Ventas!$I$4)</f>
        <v/>
      </c>
      <c r="F4507" s="20">
        <f>""</f>
        <v/>
      </c>
      <c r="G4507">
        <f>IF($C4507="","","Por la venta segun comprobante a "&amp;Registro_Ventas!$E$4)</f>
        <v/>
      </c>
      <c r="H4507">
        <f>IF($C4507="","",Registro_Ventas!$C$4)</f>
        <v/>
      </c>
    </row>
    <row r="4508">
      <c r="A4508" s="25">
        <f>IF($C4508="","",Registro_Ventas!$B$4)</f>
        <v/>
      </c>
      <c r="B4508">
        <f>IF($C4508="","","V"&amp;TEXT(INT((ROW()-4507)/6)+1,"000")&amp;"-1")</f>
        <v/>
      </c>
      <c r="C4508">
        <f>IF(Registro_Ventas!$C$4="","","70")</f>
        <v/>
      </c>
      <c r="D4508">
        <f>IF($C4508="","","Ventas")</f>
        <v/>
      </c>
      <c r="E4508" s="20">
        <f>""</f>
        <v/>
      </c>
      <c r="F4508" s="20">
        <f>IF($C4508="","",Registro_Ventas!$G$4)</f>
        <v/>
      </c>
      <c r="G4508">
        <f>IF($C4508="","","Por la venta segun comprobante a "&amp;Registro_Ventas!$E$4)</f>
        <v/>
      </c>
      <c r="H4508">
        <f>IF($C4508="","",Registro_Ventas!$C$4)</f>
        <v/>
      </c>
    </row>
    <row r="4509">
      <c r="A4509" s="25">
        <f>IF($C4509="","",Registro_Ventas!$B$4)</f>
        <v/>
      </c>
      <c r="B4509">
        <f>IF($C4509="","","V"&amp;TEXT(INT((ROW()-4507)/6)+1,"000")&amp;"-1")</f>
        <v/>
      </c>
      <c r="C4509">
        <f>IF(OR(Registro_Ventas!$C$4="",Registro_Ventas!$R$4="SI"),"","40111")</f>
        <v/>
      </c>
      <c r="D4509">
        <f>IF($C4509="","","IGV - Cuenta Propia (Debito Fiscal)")</f>
        <v/>
      </c>
      <c r="E4509" s="20">
        <f>""</f>
        <v/>
      </c>
      <c r="F4509" s="20">
        <f>IF($C4509="","",Registro_Ventas!$H$4)</f>
        <v/>
      </c>
      <c r="G4509">
        <f>IF($C4509="","","Por la venta segun comprobante a "&amp;Registro_Ventas!$E$4)</f>
        <v/>
      </c>
      <c r="H4509">
        <f>IF($C4509="","",Registro_Ventas!$C$4)</f>
        <v/>
      </c>
    </row>
    <row r="4510">
      <c r="A4510" s="25">
        <f>IF($C4510="","",Registro_Ventas!$P$4)</f>
        <v/>
      </c>
      <c r="B4510">
        <f>IF($C4510="","","V"&amp;TEXT(INT((ROW()-4507)/6)+1,"000")&amp;"-2")</f>
        <v/>
      </c>
      <c r="C4510">
        <f>IF(OR(Registro_Ventas!$C$4="",Registro_Ventas!$O$4&lt;&gt;"SI"),"","10413")</f>
        <v/>
      </c>
      <c r="D4510">
        <f>IF($C4510="","","Efectivo y Equivalentes - Cta. Cte. Operativa")</f>
        <v/>
      </c>
      <c r="E4510" s="20">
        <f>IF($C4510="","",Registro_Ventas!$N$4)</f>
        <v/>
      </c>
      <c r="F4510" s="20">
        <f>""</f>
        <v/>
      </c>
      <c r="G4510">
        <f>IF($C4510="","","Por la cobranza de la factura")</f>
        <v/>
      </c>
      <c r="H4510">
        <f>IF($C4510="","",Registro_Ventas!$C$4)</f>
        <v/>
      </c>
    </row>
    <row r="4511">
      <c r="A4511" s="25">
        <f>IF($C4511="","",Registro_Ventas!$P$4)</f>
        <v/>
      </c>
      <c r="B4511">
        <f>IF($C4511="","","V"&amp;TEXT(INT((ROW()-4507)/6)+1,"000")&amp;"-2")</f>
        <v/>
      </c>
      <c r="C4511">
        <f>IF(OR(OR(Registro_Ventas!$C$4="",Registro_Ventas!$O$4&lt;&gt;"SI"),Registro_Ventas!$J$4&lt;&gt;"SI"),"","10421")</f>
        <v/>
      </c>
      <c r="D4511">
        <f>IF($C4511="","","Efectivo - Cuenta de Detracciones (Banco de la Nacion)")</f>
        <v/>
      </c>
      <c r="E4511" s="20">
        <f>IF($C4511="","",Registro_Ventas!$M$4)</f>
        <v/>
      </c>
      <c r="F4511" s="20">
        <f>""</f>
        <v/>
      </c>
      <c r="G4511">
        <f>IF($C4511="","","Detraccion retenida por el cliente")</f>
        <v/>
      </c>
      <c r="H4511">
        <f>IF($C4511="","",Registro_Ventas!$C$4)</f>
        <v/>
      </c>
    </row>
    <row r="4512">
      <c r="A4512" s="25">
        <f>IF($C4512="","",Registro_Ventas!$P$4)</f>
        <v/>
      </c>
      <c r="B4512">
        <f>IF($C4512="","","V"&amp;TEXT(INT((ROW()-4507)/6)+1,"000")&amp;"-2")</f>
        <v/>
      </c>
      <c r="C4512">
        <f>IF(OR(Registro_Ventas!$C$4="",Registro_Ventas!$O$4&lt;&gt;"SI"),"","12")</f>
        <v/>
      </c>
      <c r="D4512">
        <f>IF($C4512="","","Cuentas por Cobrar Comerciales - Terceros")</f>
        <v/>
      </c>
      <c r="E4512" s="20">
        <f>""</f>
        <v/>
      </c>
      <c r="F4512" s="20">
        <f>IF($C4512="","",Registro_Ventas!$I$4)</f>
        <v/>
      </c>
      <c r="G4512">
        <f>IF($C4512="","","Por la cobranza de la factura")</f>
        <v/>
      </c>
      <c r="H4512">
        <f>IF($C4512="","",Registro_Ventas!$C$4)</f>
        <v/>
      </c>
    </row>
    <row r="4513">
      <c r="A4513" s="25">
        <f>IF($C4513="","",Registro_Ventas!$B$5)</f>
        <v/>
      </c>
      <c r="B4513">
        <f>IF($C4513="","","V"&amp;TEXT(INT((ROW()-4507)/6)+1,"000")&amp;"-1")</f>
        <v/>
      </c>
      <c r="C4513">
        <f>IF(Registro_Ventas!$C$5="","","12")</f>
        <v/>
      </c>
      <c r="D4513">
        <f>IF($C4513="","","Cuentas por Cobrar Comerciales - Terceros")</f>
        <v/>
      </c>
      <c r="E4513" s="20">
        <f>IF($C4513="","",Registro_Ventas!$I$5)</f>
        <v/>
      </c>
      <c r="F4513" s="20">
        <f>""</f>
        <v/>
      </c>
      <c r="G4513">
        <f>IF($C4513="","","Por la venta segun comprobante a "&amp;Registro_Ventas!$E$5)</f>
        <v/>
      </c>
      <c r="H4513">
        <f>IF($C4513="","",Registro_Ventas!$C$5)</f>
        <v/>
      </c>
    </row>
    <row r="4514">
      <c r="A4514" s="25">
        <f>IF($C4514="","",Registro_Ventas!$B$5)</f>
        <v/>
      </c>
      <c r="B4514">
        <f>IF($C4514="","","V"&amp;TEXT(INT((ROW()-4507)/6)+1,"000")&amp;"-1")</f>
        <v/>
      </c>
      <c r="C4514">
        <f>IF(Registro_Ventas!$C$5="","","70")</f>
        <v/>
      </c>
      <c r="D4514">
        <f>IF($C4514="","","Ventas")</f>
        <v/>
      </c>
      <c r="E4514" s="20">
        <f>""</f>
        <v/>
      </c>
      <c r="F4514" s="20">
        <f>IF($C4514="","",Registro_Ventas!$G$5)</f>
        <v/>
      </c>
      <c r="G4514">
        <f>IF($C4514="","","Por la venta segun comprobante a "&amp;Registro_Ventas!$E$5)</f>
        <v/>
      </c>
      <c r="H4514">
        <f>IF($C4514="","",Registro_Ventas!$C$5)</f>
        <v/>
      </c>
    </row>
    <row r="4515">
      <c r="A4515" s="25">
        <f>IF($C4515="","",Registro_Ventas!$B$5)</f>
        <v/>
      </c>
      <c r="B4515">
        <f>IF($C4515="","","V"&amp;TEXT(INT((ROW()-4507)/6)+1,"000")&amp;"-1")</f>
        <v/>
      </c>
      <c r="C4515">
        <f>IF(OR(Registro_Ventas!$C$5="",Registro_Ventas!$R$5="SI"),"","40111")</f>
        <v/>
      </c>
      <c r="D4515">
        <f>IF($C4515="","","IGV - Cuenta Propia (Debito Fiscal)")</f>
        <v/>
      </c>
      <c r="E4515" s="20">
        <f>""</f>
        <v/>
      </c>
      <c r="F4515" s="20">
        <f>IF($C4515="","",Registro_Ventas!$H$5)</f>
        <v/>
      </c>
      <c r="G4515">
        <f>IF($C4515="","","Por la venta segun comprobante a "&amp;Registro_Ventas!$E$5)</f>
        <v/>
      </c>
      <c r="H4515">
        <f>IF($C4515="","",Registro_Ventas!$C$5)</f>
        <v/>
      </c>
    </row>
    <row r="4516">
      <c r="A4516" s="25">
        <f>IF($C4516="","",Registro_Ventas!$P$5)</f>
        <v/>
      </c>
      <c r="B4516">
        <f>IF($C4516="","","V"&amp;TEXT(INT((ROW()-4507)/6)+1,"000")&amp;"-2")</f>
        <v/>
      </c>
      <c r="C4516">
        <f>IF(OR(Registro_Ventas!$C$5="",Registro_Ventas!$O$5&lt;&gt;"SI"),"","10413")</f>
        <v/>
      </c>
      <c r="D4516">
        <f>IF($C4516="","","Efectivo y Equivalentes - Cta. Cte. Operativa")</f>
        <v/>
      </c>
      <c r="E4516" s="20">
        <f>IF($C4516="","",Registro_Ventas!$N$5)</f>
        <v/>
      </c>
      <c r="F4516" s="20">
        <f>""</f>
        <v/>
      </c>
      <c r="G4516">
        <f>IF($C4516="","","Por la cobranza de la factura")</f>
        <v/>
      </c>
      <c r="H4516">
        <f>IF($C4516="","",Registro_Ventas!$C$5)</f>
        <v/>
      </c>
    </row>
    <row r="4517">
      <c r="A4517" s="25">
        <f>IF($C4517="","",Registro_Ventas!$P$5)</f>
        <v/>
      </c>
      <c r="B4517">
        <f>IF($C4517="","","V"&amp;TEXT(INT((ROW()-4507)/6)+1,"000")&amp;"-2")</f>
        <v/>
      </c>
      <c r="C4517">
        <f>IF(OR(OR(Registro_Ventas!$C$5="",Registro_Ventas!$O$5&lt;&gt;"SI"),Registro_Ventas!$J$5&lt;&gt;"SI"),"","10421")</f>
        <v/>
      </c>
      <c r="D4517">
        <f>IF($C4517="","","Efectivo - Cuenta de Detracciones (Banco de la Nacion)")</f>
        <v/>
      </c>
      <c r="E4517" s="20">
        <f>IF($C4517="","",Registro_Ventas!$M$5)</f>
        <v/>
      </c>
      <c r="F4517" s="20">
        <f>""</f>
        <v/>
      </c>
      <c r="G4517">
        <f>IF($C4517="","","Detraccion retenida por el cliente")</f>
        <v/>
      </c>
      <c r="H4517">
        <f>IF($C4517="","",Registro_Ventas!$C$5)</f>
        <v/>
      </c>
    </row>
    <row r="4518">
      <c r="A4518" s="25">
        <f>IF($C4518="","",Registro_Ventas!$P$5)</f>
        <v/>
      </c>
      <c r="B4518">
        <f>IF($C4518="","","V"&amp;TEXT(INT((ROW()-4507)/6)+1,"000")&amp;"-2")</f>
        <v/>
      </c>
      <c r="C4518">
        <f>IF(OR(Registro_Ventas!$C$5="",Registro_Ventas!$O$5&lt;&gt;"SI"),"","12")</f>
        <v/>
      </c>
      <c r="D4518">
        <f>IF($C4518="","","Cuentas por Cobrar Comerciales - Terceros")</f>
        <v/>
      </c>
      <c r="E4518" s="20">
        <f>""</f>
        <v/>
      </c>
      <c r="F4518" s="20">
        <f>IF($C4518="","",Registro_Ventas!$I$5)</f>
        <v/>
      </c>
      <c r="G4518">
        <f>IF($C4518="","","Por la cobranza de la factura")</f>
        <v/>
      </c>
      <c r="H4518">
        <f>IF($C4518="","",Registro_Ventas!$C$5)</f>
        <v/>
      </c>
    </row>
    <row r="4519">
      <c r="A4519" s="25">
        <f>IF($C4519="","",Registro_Ventas!$B$6)</f>
        <v/>
      </c>
      <c r="B4519">
        <f>IF($C4519="","","V"&amp;TEXT(INT((ROW()-4507)/6)+1,"000")&amp;"-1")</f>
        <v/>
      </c>
      <c r="C4519">
        <f>IF(Registro_Ventas!$C$6="","","12")</f>
        <v/>
      </c>
      <c r="D4519">
        <f>IF($C4519="","","Cuentas por Cobrar Comerciales - Terceros")</f>
        <v/>
      </c>
      <c r="E4519" s="20">
        <f>IF($C4519="","",Registro_Ventas!$I$6)</f>
        <v/>
      </c>
      <c r="F4519" s="20">
        <f>""</f>
        <v/>
      </c>
      <c r="G4519">
        <f>IF($C4519="","","Por la venta segun comprobante a "&amp;Registro_Ventas!$E$6)</f>
        <v/>
      </c>
      <c r="H4519">
        <f>IF($C4519="","",Registro_Ventas!$C$6)</f>
        <v/>
      </c>
    </row>
    <row r="4520">
      <c r="A4520" s="25">
        <f>IF($C4520="","",Registro_Ventas!$B$6)</f>
        <v/>
      </c>
      <c r="B4520">
        <f>IF($C4520="","","V"&amp;TEXT(INT((ROW()-4507)/6)+1,"000")&amp;"-1")</f>
        <v/>
      </c>
      <c r="C4520">
        <f>IF(Registro_Ventas!$C$6="","","70")</f>
        <v/>
      </c>
      <c r="D4520">
        <f>IF($C4520="","","Ventas")</f>
        <v/>
      </c>
      <c r="E4520" s="20">
        <f>""</f>
        <v/>
      </c>
      <c r="F4520" s="20">
        <f>IF($C4520="","",Registro_Ventas!$G$6)</f>
        <v/>
      </c>
      <c r="G4520">
        <f>IF($C4520="","","Por la venta segun comprobante a "&amp;Registro_Ventas!$E$6)</f>
        <v/>
      </c>
      <c r="H4520">
        <f>IF($C4520="","",Registro_Ventas!$C$6)</f>
        <v/>
      </c>
    </row>
    <row r="4521">
      <c r="A4521" s="25">
        <f>IF($C4521="","",Registro_Ventas!$B$6)</f>
        <v/>
      </c>
      <c r="B4521">
        <f>IF($C4521="","","V"&amp;TEXT(INT((ROW()-4507)/6)+1,"000")&amp;"-1")</f>
        <v/>
      </c>
      <c r="C4521">
        <f>IF(OR(Registro_Ventas!$C$6="",Registro_Ventas!$R$6="SI"),"","40111")</f>
        <v/>
      </c>
      <c r="D4521">
        <f>IF($C4521="","","IGV - Cuenta Propia (Debito Fiscal)")</f>
        <v/>
      </c>
      <c r="E4521" s="20">
        <f>""</f>
        <v/>
      </c>
      <c r="F4521" s="20">
        <f>IF($C4521="","",Registro_Ventas!$H$6)</f>
        <v/>
      </c>
      <c r="G4521">
        <f>IF($C4521="","","Por la venta segun comprobante a "&amp;Registro_Ventas!$E$6)</f>
        <v/>
      </c>
      <c r="H4521">
        <f>IF($C4521="","",Registro_Ventas!$C$6)</f>
        <v/>
      </c>
    </row>
    <row r="4522">
      <c r="A4522" s="25">
        <f>IF($C4522="","",Registro_Ventas!$P$6)</f>
        <v/>
      </c>
      <c r="B4522">
        <f>IF($C4522="","","V"&amp;TEXT(INT((ROW()-4507)/6)+1,"000")&amp;"-2")</f>
        <v/>
      </c>
      <c r="C4522">
        <f>IF(OR(Registro_Ventas!$C$6="",Registro_Ventas!$O$6&lt;&gt;"SI"),"","10413")</f>
        <v/>
      </c>
      <c r="D4522">
        <f>IF($C4522="","","Efectivo y Equivalentes - Cta. Cte. Operativa")</f>
        <v/>
      </c>
      <c r="E4522" s="20">
        <f>IF($C4522="","",Registro_Ventas!$N$6)</f>
        <v/>
      </c>
      <c r="F4522" s="20">
        <f>""</f>
        <v/>
      </c>
      <c r="G4522">
        <f>IF($C4522="","","Por la cobranza de la factura")</f>
        <v/>
      </c>
      <c r="H4522">
        <f>IF($C4522="","",Registro_Ventas!$C$6)</f>
        <v/>
      </c>
    </row>
    <row r="4523">
      <c r="A4523" s="25">
        <f>IF($C4523="","",Registro_Ventas!$P$6)</f>
        <v/>
      </c>
      <c r="B4523">
        <f>IF($C4523="","","V"&amp;TEXT(INT((ROW()-4507)/6)+1,"000")&amp;"-2")</f>
        <v/>
      </c>
      <c r="C4523">
        <f>IF(OR(OR(Registro_Ventas!$C$6="",Registro_Ventas!$O$6&lt;&gt;"SI"),Registro_Ventas!$J$6&lt;&gt;"SI"),"","10421")</f>
        <v/>
      </c>
      <c r="D4523">
        <f>IF($C4523="","","Efectivo - Cuenta de Detracciones (Banco de la Nacion)")</f>
        <v/>
      </c>
      <c r="E4523" s="20">
        <f>IF($C4523="","",Registro_Ventas!$M$6)</f>
        <v/>
      </c>
      <c r="F4523" s="20">
        <f>""</f>
        <v/>
      </c>
      <c r="G4523">
        <f>IF($C4523="","","Detraccion retenida por el cliente")</f>
        <v/>
      </c>
      <c r="H4523">
        <f>IF($C4523="","",Registro_Ventas!$C$6)</f>
        <v/>
      </c>
    </row>
    <row r="4524">
      <c r="A4524" s="25">
        <f>IF($C4524="","",Registro_Ventas!$P$6)</f>
        <v/>
      </c>
      <c r="B4524">
        <f>IF($C4524="","","V"&amp;TEXT(INT((ROW()-4507)/6)+1,"000")&amp;"-2")</f>
        <v/>
      </c>
      <c r="C4524">
        <f>IF(OR(Registro_Ventas!$C$6="",Registro_Ventas!$O$6&lt;&gt;"SI"),"","12")</f>
        <v/>
      </c>
      <c r="D4524">
        <f>IF($C4524="","","Cuentas por Cobrar Comerciales - Terceros")</f>
        <v/>
      </c>
      <c r="E4524" s="20">
        <f>""</f>
        <v/>
      </c>
      <c r="F4524" s="20">
        <f>IF($C4524="","",Registro_Ventas!$I$6)</f>
        <v/>
      </c>
      <c r="G4524">
        <f>IF($C4524="","","Por la cobranza de la factura")</f>
        <v/>
      </c>
      <c r="H4524">
        <f>IF($C4524="","",Registro_Ventas!$C$6)</f>
        <v/>
      </c>
    </row>
    <row r="4525">
      <c r="A4525" s="25">
        <f>IF($C4525="","",Registro_Ventas!$B$7)</f>
        <v/>
      </c>
      <c r="B4525">
        <f>IF($C4525="","","V"&amp;TEXT(INT((ROW()-4507)/6)+1,"000")&amp;"-1")</f>
        <v/>
      </c>
      <c r="C4525">
        <f>IF(Registro_Ventas!$C$7="","","12")</f>
        <v/>
      </c>
      <c r="D4525">
        <f>IF($C4525="","","Cuentas por Cobrar Comerciales - Terceros")</f>
        <v/>
      </c>
      <c r="E4525" s="20">
        <f>IF($C4525="","",Registro_Ventas!$I$7)</f>
        <v/>
      </c>
      <c r="F4525" s="20">
        <f>""</f>
        <v/>
      </c>
      <c r="G4525">
        <f>IF($C4525="","","Por la venta segun comprobante a "&amp;Registro_Ventas!$E$7)</f>
        <v/>
      </c>
      <c r="H4525">
        <f>IF($C4525="","",Registro_Ventas!$C$7)</f>
        <v/>
      </c>
    </row>
    <row r="4526">
      <c r="A4526" s="25">
        <f>IF($C4526="","",Registro_Ventas!$B$7)</f>
        <v/>
      </c>
      <c r="B4526">
        <f>IF($C4526="","","V"&amp;TEXT(INT((ROW()-4507)/6)+1,"000")&amp;"-1")</f>
        <v/>
      </c>
      <c r="C4526">
        <f>IF(Registro_Ventas!$C$7="","","70")</f>
        <v/>
      </c>
      <c r="D4526">
        <f>IF($C4526="","","Ventas")</f>
        <v/>
      </c>
      <c r="E4526" s="20">
        <f>""</f>
        <v/>
      </c>
      <c r="F4526" s="20">
        <f>IF($C4526="","",Registro_Ventas!$G$7)</f>
        <v/>
      </c>
      <c r="G4526">
        <f>IF($C4526="","","Por la venta segun comprobante a "&amp;Registro_Ventas!$E$7)</f>
        <v/>
      </c>
      <c r="H4526">
        <f>IF($C4526="","",Registro_Ventas!$C$7)</f>
        <v/>
      </c>
    </row>
    <row r="4527">
      <c r="A4527" s="25">
        <f>IF($C4527="","",Registro_Ventas!$B$7)</f>
        <v/>
      </c>
      <c r="B4527">
        <f>IF($C4527="","","V"&amp;TEXT(INT((ROW()-4507)/6)+1,"000")&amp;"-1")</f>
        <v/>
      </c>
      <c r="C4527">
        <f>IF(OR(Registro_Ventas!$C$7="",Registro_Ventas!$R$7="SI"),"","40111")</f>
        <v/>
      </c>
      <c r="D4527">
        <f>IF($C4527="","","IGV - Cuenta Propia (Debito Fiscal)")</f>
        <v/>
      </c>
      <c r="E4527" s="20">
        <f>""</f>
        <v/>
      </c>
      <c r="F4527" s="20">
        <f>IF($C4527="","",Registro_Ventas!$H$7)</f>
        <v/>
      </c>
      <c r="G4527">
        <f>IF($C4527="","","Por la venta segun comprobante a "&amp;Registro_Ventas!$E$7)</f>
        <v/>
      </c>
      <c r="H4527">
        <f>IF($C4527="","",Registro_Ventas!$C$7)</f>
        <v/>
      </c>
    </row>
    <row r="4528">
      <c r="A4528" s="25">
        <f>IF($C4528="","",Registro_Ventas!$P$7)</f>
        <v/>
      </c>
      <c r="B4528">
        <f>IF($C4528="","","V"&amp;TEXT(INT((ROW()-4507)/6)+1,"000")&amp;"-2")</f>
        <v/>
      </c>
      <c r="C4528">
        <f>IF(OR(Registro_Ventas!$C$7="",Registro_Ventas!$O$7&lt;&gt;"SI"),"","10413")</f>
        <v/>
      </c>
      <c r="D4528">
        <f>IF($C4528="","","Efectivo y Equivalentes - Cta. Cte. Operativa")</f>
        <v/>
      </c>
      <c r="E4528" s="20">
        <f>IF($C4528="","",Registro_Ventas!$N$7)</f>
        <v/>
      </c>
      <c r="F4528" s="20">
        <f>""</f>
        <v/>
      </c>
      <c r="G4528">
        <f>IF($C4528="","","Por la cobranza de la factura")</f>
        <v/>
      </c>
      <c r="H4528">
        <f>IF($C4528="","",Registro_Ventas!$C$7)</f>
        <v/>
      </c>
    </row>
    <row r="4529">
      <c r="A4529" s="25">
        <f>IF($C4529="","",Registro_Ventas!$P$7)</f>
        <v/>
      </c>
      <c r="B4529">
        <f>IF($C4529="","","V"&amp;TEXT(INT((ROW()-4507)/6)+1,"000")&amp;"-2")</f>
        <v/>
      </c>
      <c r="C4529">
        <f>IF(OR(OR(Registro_Ventas!$C$7="",Registro_Ventas!$O$7&lt;&gt;"SI"),Registro_Ventas!$J$7&lt;&gt;"SI"),"","10421")</f>
        <v/>
      </c>
      <c r="D4529">
        <f>IF($C4529="","","Efectivo - Cuenta de Detracciones (Banco de la Nacion)")</f>
        <v/>
      </c>
      <c r="E4529" s="20">
        <f>IF($C4529="","",Registro_Ventas!$M$7)</f>
        <v/>
      </c>
      <c r="F4529" s="20">
        <f>""</f>
        <v/>
      </c>
      <c r="G4529">
        <f>IF($C4529="","","Detraccion retenida por el cliente")</f>
        <v/>
      </c>
      <c r="H4529">
        <f>IF($C4529="","",Registro_Ventas!$C$7)</f>
        <v/>
      </c>
    </row>
    <row r="4530">
      <c r="A4530" s="25">
        <f>IF($C4530="","",Registro_Ventas!$P$7)</f>
        <v/>
      </c>
      <c r="B4530">
        <f>IF($C4530="","","V"&amp;TEXT(INT((ROW()-4507)/6)+1,"000")&amp;"-2")</f>
        <v/>
      </c>
      <c r="C4530">
        <f>IF(OR(Registro_Ventas!$C$7="",Registro_Ventas!$O$7&lt;&gt;"SI"),"","12")</f>
        <v/>
      </c>
      <c r="D4530">
        <f>IF($C4530="","","Cuentas por Cobrar Comerciales - Terceros")</f>
        <v/>
      </c>
      <c r="E4530" s="20">
        <f>""</f>
        <v/>
      </c>
      <c r="F4530" s="20">
        <f>IF($C4530="","",Registro_Ventas!$I$7)</f>
        <v/>
      </c>
      <c r="G4530">
        <f>IF($C4530="","","Por la cobranza de la factura")</f>
        <v/>
      </c>
      <c r="H4530">
        <f>IF($C4530="","",Registro_Ventas!$C$7)</f>
        <v/>
      </c>
    </row>
    <row r="4531">
      <c r="A4531" s="25">
        <f>IF($C4531="","",Registro_Ventas!$B$8)</f>
        <v/>
      </c>
      <c r="B4531">
        <f>IF($C4531="","","V"&amp;TEXT(INT((ROW()-4507)/6)+1,"000")&amp;"-1")</f>
        <v/>
      </c>
      <c r="C4531">
        <f>IF(Registro_Ventas!$C$8="","","12")</f>
        <v/>
      </c>
      <c r="D4531">
        <f>IF($C4531="","","Cuentas por Cobrar Comerciales - Terceros")</f>
        <v/>
      </c>
      <c r="E4531" s="20">
        <f>IF($C4531="","",Registro_Ventas!$I$8)</f>
        <v/>
      </c>
      <c r="F4531" s="20">
        <f>""</f>
        <v/>
      </c>
      <c r="G4531">
        <f>IF($C4531="","","Por la venta segun comprobante a "&amp;Registro_Ventas!$E$8)</f>
        <v/>
      </c>
      <c r="H4531">
        <f>IF($C4531="","",Registro_Ventas!$C$8)</f>
        <v/>
      </c>
    </row>
    <row r="4532">
      <c r="A4532" s="25">
        <f>IF($C4532="","",Registro_Ventas!$B$8)</f>
        <v/>
      </c>
      <c r="B4532">
        <f>IF($C4532="","","V"&amp;TEXT(INT((ROW()-4507)/6)+1,"000")&amp;"-1")</f>
        <v/>
      </c>
      <c r="C4532">
        <f>IF(Registro_Ventas!$C$8="","","70")</f>
        <v/>
      </c>
      <c r="D4532">
        <f>IF($C4532="","","Ventas")</f>
        <v/>
      </c>
      <c r="E4532" s="20">
        <f>""</f>
        <v/>
      </c>
      <c r="F4532" s="20">
        <f>IF($C4532="","",Registro_Ventas!$G$8)</f>
        <v/>
      </c>
      <c r="G4532">
        <f>IF($C4532="","","Por la venta segun comprobante a "&amp;Registro_Ventas!$E$8)</f>
        <v/>
      </c>
      <c r="H4532">
        <f>IF($C4532="","",Registro_Ventas!$C$8)</f>
        <v/>
      </c>
    </row>
    <row r="4533">
      <c r="A4533" s="25">
        <f>IF($C4533="","",Registro_Ventas!$B$8)</f>
        <v/>
      </c>
      <c r="B4533">
        <f>IF($C4533="","","V"&amp;TEXT(INT((ROW()-4507)/6)+1,"000")&amp;"-1")</f>
        <v/>
      </c>
      <c r="C4533">
        <f>IF(OR(Registro_Ventas!$C$8="",Registro_Ventas!$R$8="SI"),"","40111")</f>
        <v/>
      </c>
      <c r="D4533">
        <f>IF($C4533="","","IGV - Cuenta Propia (Debito Fiscal)")</f>
        <v/>
      </c>
      <c r="E4533" s="20">
        <f>""</f>
        <v/>
      </c>
      <c r="F4533" s="20">
        <f>IF($C4533="","",Registro_Ventas!$H$8)</f>
        <v/>
      </c>
      <c r="G4533">
        <f>IF($C4533="","","Por la venta segun comprobante a "&amp;Registro_Ventas!$E$8)</f>
        <v/>
      </c>
      <c r="H4533">
        <f>IF($C4533="","",Registro_Ventas!$C$8)</f>
        <v/>
      </c>
    </row>
    <row r="4534">
      <c r="A4534" s="25">
        <f>IF($C4534="","",Registro_Ventas!$P$8)</f>
        <v/>
      </c>
      <c r="B4534">
        <f>IF($C4534="","","V"&amp;TEXT(INT((ROW()-4507)/6)+1,"000")&amp;"-2")</f>
        <v/>
      </c>
      <c r="C4534">
        <f>IF(OR(Registro_Ventas!$C$8="",Registro_Ventas!$O$8&lt;&gt;"SI"),"","10413")</f>
        <v/>
      </c>
      <c r="D4534">
        <f>IF($C4534="","","Efectivo y Equivalentes - Cta. Cte. Operativa")</f>
        <v/>
      </c>
      <c r="E4534" s="20">
        <f>IF($C4534="","",Registro_Ventas!$N$8)</f>
        <v/>
      </c>
      <c r="F4534" s="20">
        <f>""</f>
        <v/>
      </c>
      <c r="G4534">
        <f>IF($C4534="","","Por la cobranza de la factura")</f>
        <v/>
      </c>
      <c r="H4534">
        <f>IF($C4534="","",Registro_Ventas!$C$8)</f>
        <v/>
      </c>
    </row>
    <row r="4535">
      <c r="A4535" s="25">
        <f>IF($C4535="","",Registro_Ventas!$P$8)</f>
        <v/>
      </c>
      <c r="B4535">
        <f>IF($C4535="","","V"&amp;TEXT(INT((ROW()-4507)/6)+1,"000")&amp;"-2")</f>
        <v/>
      </c>
      <c r="C4535">
        <f>IF(OR(OR(Registro_Ventas!$C$8="",Registro_Ventas!$O$8&lt;&gt;"SI"),Registro_Ventas!$J$8&lt;&gt;"SI"),"","10421")</f>
        <v/>
      </c>
      <c r="D4535">
        <f>IF($C4535="","","Efectivo - Cuenta de Detracciones (Banco de la Nacion)")</f>
        <v/>
      </c>
      <c r="E4535" s="20">
        <f>IF($C4535="","",Registro_Ventas!$M$8)</f>
        <v/>
      </c>
      <c r="F4535" s="20">
        <f>""</f>
        <v/>
      </c>
      <c r="G4535">
        <f>IF($C4535="","","Detraccion retenida por el cliente")</f>
        <v/>
      </c>
      <c r="H4535">
        <f>IF($C4535="","",Registro_Ventas!$C$8)</f>
        <v/>
      </c>
    </row>
    <row r="4536">
      <c r="A4536" s="25">
        <f>IF($C4536="","",Registro_Ventas!$P$8)</f>
        <v/>
      </c>
      <c r="B4536">
        <f>IF($C4536="","","V"&amp;TEXT(INT((ROW()-4507)/6)+1,"000")&amp;"-2")</f>
        <v/>
      </c>
      <c r="C4536">
        <f>IF(OR(Registro_Ventas!$C$8="",Registro_Ventas!$O$8&lt;&gt;"SI"),"","12")</f>
        <v/>
      </c>
      <c r="D4536">
        <f>IF($C4536="","","Cuentas por Cobrar Comerciales - Terceros")</f>
        <v/>
      </c>
      <c r="E4536" s="20">
        <f>""</f>
        <v/>
      </c>
      <c r="F4536" s="20">
        <f>IF($C4536="","",Registro_Ventas!$I$8)</f>
        <v/>
      </c>
      <c r="G4536">
        <f>IF($C4536="","","Por la cobranza de la factura")</f>
        <v/>
      </c>
      <c r="H4536">
        <f>IF($C4536="","",Registro_Ventas!$C$8)</f>
        <v/>
      </c>
    </row>
    <row r="4537">
      <c r="A4537" s="25">
        <f>IF($C4537="","",Registro_Ventas!$B$9)</f>
        <v/>
      </c>
      <c r="B4537">
        <f>IF($C4537="","","V"&amp;TEXT(INT((ROW()-4507)/6)+1,"000")&amp;"-1")</f>
        <v/>
      </c>
      <c r="C4537">
        <f>IF(Registro_Ventas!$C$9="","","12")</f>
        <v/>
      </c>
      <c r="D4537">
        <f>IF($C4537="","","Cuentas por Cobrar Comerciales - Terceros")</f>
        <v/>
      </c>
      <c r="E4537" s="20">
        <f>IF($C4537="","",Registro_Ventas!$I$9)</f>
        <v/>
      </c>
      <c r="F4537" s="20">
        <f>""</f>
        <v/>
      </c>
      <c r="G4537">
        <f>IF($C4537="","","Por la venta segun comprobante a "&amp;Registro_Ventas!$E$9)</f>
        <v/>
      </c>
      <c r="H4537">
        <f>IF($C4537="","",Registro_Ventas!$C$9)</f>
        <v/>
      </c>
    </row>
    <row r="4538">
      <c r="A4538" s="25">
        <f>IF($C4538="","",Registro_Ventas!$B$9)</f>
        <v/>
      </c>
      <c r="B4538">
        <f>IF($C4538="","","V"&amp;TEXT(INT((ROW()-4507)/6)+1,"000")&amp;"-1")</f>
        <v/>
      </c>
      <c r="C4538">
        <f>IF(Registro_Ventas!$C$9="","","70")</f>
        <v/>
      </c>
      <c r="D4538">
        <f>IF($C4538="","","Ventas")</f>
        <v/>
      </c>
      <c r="E4538" s="20">
        <f>""</f>
        <v/>
      </c>
      <c r="F4538" s="20">
        <f>IF($C4538="","",Registro_Ventas!$G$9)</f>
        <v/>
      </c>
      <c r="G4538">
        <f>IF($C4538="","","Por la venta segun comprobante a "&amp;Registro_Ventas!$E$9)</f>
        <v/>
      </c>
      <c r="H4538">
        <f>IF($C4538="","",Registro_Ventas!$C$9)</f>
        <v/>
      </c>
    </row>
    <row r="4539">
      <c r="A4539" s="25">
        <f>IF($C4539="","",Registro_Ventas!$B$9)</f>
        <v/>
      </c>
      <c r="B4539">
        <f>IF($C4539="","","V"&amp;TEXT(INT((ROW()-4507)/6)+1,"000")&amp;"-1")</f>
        <v/>
      </c>
      <c r="C4539">
        <f>IF(OR(Registro_Ventas!$C$9="",Registro_Ventas!$R$9="SI"),"","40111")</f>
        <v/>
      </c>
      <c r="D4539">
        <f>IF($C4539="","","IGV - Cuenta Propia (Debito Fiscal)")</f>
        <v/>
      </c>
      <c r="E4539" s="20">
        <f>""</f>
        <v/>
      </c>
      <c r="F4539" s="20">
        <f>IF($C4539="","",Registro_Ventas!$H$9)</f>
        <v/>
      </c>
      <c r="G4539">
        <f>IF($C4539="","","Por la venta segun comprobante a "&amp;Registro_Ventas!$E$9)</f>
        <v/>
      </c>
      <c r="H4539">
        <f>IF($C4539="","",Registro_Ventas!$C$9)</f>
        <v/>
      </c>
    </row>
    <row r="4540">
      <c r="A4540" s="25">
        <f>IF($C4540="","",Registro_Ventas!$P$9)</f>
        <v/>
      </c>
      <c r="B4540">
        <f>IF($C4540="","","V"&amp;TEXT(INT((ROW()-4507)/6)+1,"000")&amp;"-2")</f>
        <v/>
      </c>
      <c r="C4540">
        <f>IF(OR(Registro_Ventas!$C$9="",Registro_Ventas!$O$9&lt;&gt;"SI"),"","10413")</f>
        <v/>
      </c>
      <c r="D4540">
        <f>IF($C4540="","","Efectivo y Equivalentes - Cta. Cte. Operativa")</f>
        <v/>
      </c>
      <c r="E4540" s="20">
        <f>IF($C4540="","",Registro_Ventas!$N$9)</f>
        <v/>
      </c>
      <c r="F4540" s="20">
        <f>""</f>
        <v/>
      </c>
      <c r="G4540">
        <f>IF($C4540="","","Por la cobranza de la factura")</f>
        <v/>
      </c>
      <c r="H4540">
        <f>IF($C4540="","",Registro_Ventas!$C$9)</f>
        <v/>
      </c>
    </row>
    <row r="4541">
      <c r="A4541" s="25">
        <f>IF($C4541="","",Registro_Ventas!$P$9)</f>
        <v/>
      </c>
      <c r="B4541">
        <f>IF($C4541="","","V"&amp;TEXT(INT((ROW()-4507)/6)+1,"000")&amp;"-2")</f>
        <v/>
      </c>
      <c r="C4541">
        <f>IF(OR(OR(Registro_Ventas!$C$9="",Registro_Ventas!$O$9&lt;&gt;"SI"),Registro_Ventas!$J$9&lt;&gt;"SI"),"","10421")</f>
        <v/>
      </c>
      <c r="D4541">
        <f>IF($C4541="","","Efectivo - Cuenta de Detracciones (Banco de la Nacion)")</f>
        <v/>
      </c>
      <c r="E4541" s="20">
        <f>IF($C4541="","",Registro_Ventas!$M$9)</f>
        <v/>
      </c>
      <c r="F4541" s="20">
        <f>""</f>
        <v/>
      </c>
      <c r="G4541">
        <f>IF($C4541="","","Detraccion retenida por el cliente")</f>
        <v/>
      </c>
      <c r="H4541">
        <f>IF($C4541="","",Registro_Ventas!$C$9)</f>
        <v/>
      </c>
    </row>
    <row r="4542">
      <c r="A4542" s="25">
        <f>IF($C4542="","",Registro_Ventas!$P$9)</f>
        <v/>
      </c>
      <c r="B4542">
        <f>IF($C4542="","","V"&amp;TEXT(INT((ROW()-4507)/6)+1,"000")&amp;"-2")</f>
        <v/>
      </c>
      <c r="C4542">
        <f>IF(OR(Registro_Ventas!$C$9="",Registro_Ventas!$O$9&lt;&gt;"SI"),"","12")</f>
        <v/>
      </c>
      <c r="D4542">
        <f>IF($C4542="","","Cuentas por Cobrar Comerciales - Terceros")</f>
        <v/>
      </c>
      <c r="E4542" s="20">
        <f>""</f>
        <v/>
      </c>
      <c r="F4542" s="20">
        <f>IF($C4542="","",Registro_Ventas!$I$9)</f>
        <v/>
      </c>
      <c r="G4542">
        <f>IF($C4542="","","Por la cobranza de la factura")</f>
        <v/>
      </c>
      <c r="H4542">
        <f>IF($C4542="","",Registro_Ventas!$C$9)</f>
        <v/>
      </c>
    </row>
    <row r="4543">
      <c r="A4543" s="25">
        <f>IF($C4543="","",Registro_Ventas!$B$10)</f>
        <v/>
      </c>
      <c r="B4543">
        <f>IF($C4543="","","V"&amp;TEXT(INT((ROW()-4507)/6)+1,"000")&amp;"-1")</f>
        <v/>
      </c>
      <c r="C4543">
        <f>IF(Registro_Ventas!$C$10="","","12")</f>
        <v/>
      </c>
      <c r="D4543">
        <f>IF($C4543="","","Cuentas por Cobrar Comerciales - Terceros")</f>
        <v/>
      </c>
      <c r="E4543" s="20">
        <f>IF($C4543="","",Registro_Ventas!$I$10)</f>
        <v/>
      </c>
      <c r="F4543" s="20">
        <f>""</f>
        <v/>
      </c>
      <c r="G4543">
        <f>IF($C4543="","","Por la venta segun comprobante a "&amp;Registro_Ventas!$E$10)</f>
        <v/>
      </c>
      <c r="H4543">
        <f>IF($C4543="","",Registro_Ventas!$C$10)</f>
        <v/>
      </c>
    </row>
    <row r="4544">
      <c r="A4544" s="25">
        <f>IF($C4544="","",Registro_Ventas!$B$10)</f>
        <v/>
      </c>
      <c r="B4544">
        <f>IF($C4544="","","V"&amp;TEXT(INT((ROW()-4507)/6)+1,"000")&amp;"-1")</f>
        <v/>
      </c>
      <c r="C4544">
        <f>IF(Registro_Ventas!$C$10="","","70")</f>
        <v/>
      </c>
      <c r="D4544">
        <f>IF($C4544="","","Ventas")</f>
        <v/>
      </c>
      <c r="E4544" s="20">
        <f>""</f>
        <v/>
      </c>
      <c r="F4544" s="20">
        <f>IF($C4544="","",Registro_Ventas!$G$10)</f>
        <v/>
      </c>
      <c r="G4544">
        <f>IF($C4544="","","Por la venta segun comprobante a "&amp;Registro_Ventas!$E$10)</f>
        <v/>
      </c>
      <c r="H4544">
        <f>IF($C4544="","",Registro_Ventas!$C$10)</f>
        <v/>
      </c>
    </row>
    <row r="4545">
      <c r="A4545" s="25">
        <f>IF($C4545="","",Registro_Ventas!$B$10)</f>
        <v/>
      </c>
      <c r="B4545">
        <f>IF($C4545="","","V"&amp;TEXT(INT((ROW()-4507)/6)+1,"000")&amp;"-1")</f>
        <v/>
      </c>
      <c r="C4545">
        <f>IF(OR(Registro_Ventas!$C$10="",Registro_Ventas!$R$10="SI"),"","40111")</f>
        <v/>
      </c>
      <c r="D4545">
        <f>IF($C4545="","","IGV - Cuenta Propia (Debito Fiscal)")</f>
        <v/>
      </c>
      <c r="E4545" s="20">
        <f>""</f>
        <v/>
      </c>
      <c r="F4545" s="20">
        <f>IF($C4545="","",Registro_Ventas!$H$10)</f>
        <v/>
      </c>
      <c r="G4545">
        <f>IF($C4545="","","Por la venta segun comprobante a "&amp;Registro_Ventas!$E$10)</f>
        <v/>
      </c>
      <c r="H4545">
        <f>IF($C4545="","",Registro_Ventas!$C$10)</f>
        <v/>
      </c>
    </row>
    <row r="4546">
      <c r="A4546" s="25">
        <f>IF($C4546="","",Registro_Ventas!$P$10)</f>
        <v/>
      </c>
      <c r="B4546">
        <f>IF($C4546="","","V"&amp;TEXT(INT((ROW()-4507)/6)+1,"000")&amp;"-2")</f>
        <v/>
      </c>
      <c r="C4546">
        <f>IF(OR(Registro_Ventas!$C$10="",Registro_Ventas!$O$10&lt;&gt;"SI"),"","10413")</f>
        <v/>
      </c>
      <c r="D4546">
        <f>IF($C4546="","","Efectivo y Equivalentes - Cta. Cte. Operativa")</f>
        <v/>
      </c>
      <c r="E4546" s="20">
        <f>IF($C4546="","",Registro_Ventas!$N$10)</f>
        <v/>
      </c>
      <c r="F4546" s="20">
        <f>""</f>
        <v/>
      </c>
      <c r="G4546">
        <f>IF($C4546="","","Por la cobranza de la factura")</f>
        <v/>
      </c>
      <c r="H4546">
        <f>IF($C4546="","",Registro_Ventas!$C$10)</f>
        <v/>
      </c>
    </row>
    <row r="4547">
      <c r="A4547" s="25">
        <f>IF($C4547="","",Registro_Ventas!$P$10)</f>
        <v/>
      </c>
      <c r="B4547">
        <f>IF($C4547="","","V"&amp;TEXT(INT((ROW()-4507)/6)+1,"000")&amp;"-2")</f>
        <v/>
      </c>
      <c r="C4547">
        <f>IF(OR(OR(Registro_Ventas!$C$10="",Registro_Ventas!$O$10&lt;&gt;"SI"),Registro_Ventas!$J$10&lt;&gt;"SI"),"","10421")</f>
        <v/>
      </c>
      <c r="D4547">
        <f>IF($C4547="","","Efectivo - Cuenta de Detracciones (Banco de la Nacion)")</f>
        <v/>
      </c>
      <c r="E4547" s="20">
        <f>IF($C4547="","",Registro_Ventas!$M$10)</f>
        <v/>
      </c>
      <c r="F4547" s="20">
        <f>""</f>
        <v/>
      </c>
      <c r="G4547">
        <f>IF($C4547="","","Detraccion retenida por el cliente")</f>
        <v/>
      </c>
      <c r="H4547">
        <f>IF($C4547="","",Registro_Ventas!$C$10)</f>
        <v/>
      </c>
    </row>
    <row r="4548">
      <c r="A4548" s="25">
        <f>IF($C4548="","",Registro_Ventas!$P$10)</f>
        <v/>
      </c>
      <c r="B4548">
        <f>IF($C4548="","","V"&amp;TEXT(INT((ROW()-4507)/6)+1,"000")&amp;"-2")</f>
        <v/>
      </c>
      <c r="C4548">
        <f>IF(OR(Registro_Ventas!$C$10="",Registro_Ventas!$O$10&lt;&gt;"SI"),"","12")</f>
        <v/>
      </c>
      <c r="D4548">
        <f>IF($C4548="","","Cuentas por Cobrar Comerciales - Terceros")</f>
        <v/>
      </c>
      <c r="E4548" s="20">
        <f>""</f>
        <v/>
      </c>
      <c r="F4548" s="20">
        <f>IF($C4548="","",Registro_Ventas!$I$10)</f>
        <v/>
      </c>
      <c r="G4548">
        <f>IF($C4548="","","Por la cobranza de la factura")</f>
        <v/>
      </c>
      <c r="H4548">
        <f>IF($C4548="","",Registro_Ventas!$C$10)</f>
        <v/>
      </c>
    </row>
    <row r="4549">
      <c r="A4549" s="25">
        <f>IF($C4549="","",Registro_Ventas!$B$11)</f>
        <v/>
      </c>
      <c r="B4549">
        <f>IF($C4549="","","V"&amp;TEXT(INT((ROW()-4507)/6)+1,"000")&amp;"-1")</f>
        <v/>
      </c>
      <c r="C4549">
        <f>IF(Registro_Ventas!$C$11="","","12")</f>
        <v/>
      </c>
      <c r="D4549">
        <f>IF($C4549="","","Cuentas por Cobrar Comerciales - Terceros")</f>
        <v/>
      </c>
      <c r="E4549" s="20">
        <f>IF($C4549="","",Registro_Ventas!$I$11)</f>
        <v/>
      </c>
      <c r="F4549" s="20">
        <f>""</f>
        <v/>
      </c>
      <c r="G4549">
        <f>IF($C4549="","","Por la venta segun comprobante a "&amp;Registro_Ventas!$E$11)</f>
        <v/>
      </c>
      <c r="H4549">
        <f>IF($C4549="","",Registro_Ventas!$C$11)</f>
        <v/>
      </c>
    </row>
    <row r="4550">
      <c r="A4550" s="25">
        <f>IF($C4550="","",Registro_Ventas!$B$11)</f>
        <v/>
      </c>
      <c r="B4550">
        <f>IF($C4550="","","V"&amp;TEXT(INT((ROW()-4507)/6)+1,"000")&amp;"-1")</f>
        <v/>
      </c>
      <c r="C4550">
        <f>IF(Registro_Ventas!$C$11="","","70")</f>
        <v/>
      </c>
      <c r="D4550">
        <f>IF($C4550="","","Ventas")</f>
        <v/>
      </c>
      <c r="E4550" s="20">
        <f>""</f>
        <v/>
      </c>
      <c r="F4550" s="20">
        <f>IF($C4550="","",Registro_Ventas!$G$11)</f>
        <v/>
      </c>
      <c r="G4550">
        <f>IF($C4550="","","Por la venta segun comprobante a "&amp;Registro_Ventas!$E$11)</f>
        <v/>
      </c>
      <c r="H4550">
        <f>IF($C4550="","",Registro_Ventas!$C$11)</f>
        <v/>
      </c>
    </row>
    <row r="4551">
      <c r="A4551" s="25">
        <f>IF($C4551="","",Registro_Ventas!$B$11)</f>
        <v/>
      </c>
      <c r="B4551">
        <f>IF($C4551="","","V"&amp;TEXT(INT((ROW()-4507)/6)+1,"000")&amp;"-1")</f>
        <v/>
      </c>
      <c r="C4551">
        <f>IF(OR(Registro_Ventas!$C$11="",Registro_Ventas!$R$11="SI"),"","40111")</f>
        <v/>
      </c>
      <c r="D4551">
        <f>IF($C4551="","","IGV - Cuenta Propia (Debito Fiscal)")</f>
        <v/>
      </c>
      <c r="E4551" s="20">
        <f>""</f>
        <v/>
      </c>
      <c r="F4551" s="20">
        <f>IF($C4551="","",Registro_Ventas!$H$11)</f>
        <v/>
      </c>
      <c r="G4551">
        <f>IF($C4551="","","Por la venta segun comprobante a "&amp;Registro_Ventas!$E$11)</f>
        <v/>
      </c>
      <c r="H4551">
        <f>IF($C4551="","",Registro_Ventas!$C$11)</f>
        <v/>
      </c>
    </row>
    <row r="4552">
      <c r="A4552" s="25">
        <f>IF($C4552="","",Registro_Ventas!$P$11)</f>
        <v/>
      </c>
      <c r="B4552">
        <f>IF($C4552="","","V"&amp;TEXT(INT((ROW()-4507)/6)+1,"000")&amp;"-2")</f>
        <v/>
      </c>
      <c r="C4552">
        <f>IF(OR(Registro_Ventas!$C$11="",Registro_Ventas!$O$11&lt;&gt;"SI"),"","10413")</f>
        <v/>
      </c>
      <c r="D4552">
        <f>IF($C4552="","","Efectivo y Equivalentes - Cta. Cte. Operativa")</f>
        <v/>
      </c>
      <c r="E4552" s="20">
        <f>IF($C4552="","",Registro_Ventas!$N$11)</f>
        <v/>
      </c>
      <c r="F4552" s="20">
        <f>""</f>
        <v/>
      </c>
      <c r="G4552">
        <f>IF($C4552="","","Por la cobranza de la factura")</f>
        <v/>
      </c>
      <c r="H4552">
        <f>IF($C4552="","",Registro_Ventas!$C$11)</f>
        <v/>
      </c>
    </row>
    <row r="4553">
      <c r="A4553" s="25">
        <f>IF($C4553="","",Registro_Ventas!$P$11)</f>
        <v/>
      </c>
      <c r="B4553">
        <f>IF($C4553="","","V"&amp;TEXT(INT((ROW()-4507)/6)+1,"000")&amp;"-2")</f>
        <v/>
      </c>
      <c r="C4553">
        <f>IF(OR(OR(Registro_Ventas!$C$11="",Registro_Ventas!$O$11&lt;&gt;"SI"),Registro_Ventas!$J$11&lt;&gt;"SI"),"","10421")</f>
        <v/>
      </c>
      <c r="D4553">
        <f>IF($C4553="","","Efectivo - Cuenta de Detracciones (Banco de la Nacion)")</f>
        <v/>
      </c>
      <c r="E4553" s="20">
        <f>IF($C4553="","",Registro_Ventas!$M$11)</f>
        <v/>
      </c>
      <c r="F4553" s="20">
        <f>""</f>
        <v/>
      </c>
      <c r="G4553">
        <f>IF($C4553="","","Detraccion retenida por el cliente")</f>
        <v/>
      </c>
      <c r="H4553">
        <f>IF($C4553="","",Registro_Ventas!$C$11)</f>
        <v/>
      </c>
    </row>
    <row r="4554">
      <c r="A4554" s="25">
        <f>IF($C4554="","",Registro_Ventas!$P$11)</f>
        <v/>
      </c>
      <c r="B4554">
        <f>IF($C4554="","","V"&amp;TEXT(INT((ROW()-4507)/6)+1,"000")&amp;"-2")</f>
        <v/>
      </c>
      <c r="C4554">
        <f>IF(OR(Registro_Ventas!$C$11="",Registro_Ventas!$O$11&lt;&gt;"SI"),"","12")</f>
        <v/>
      </c>
      <c r="D4554">
        <f>IF($C4554="","","Cuentas por Cobrar Comerciales - Terceros")</f>
        <v/>
      </c>
      <c r="E4554" s="20">
        <f>""</f>
        <v/>
      </c>
      <c r="F4554" s="20">
        <f>IF($C4554="","",Registro_Ventas!$I$11)</f>
        <v/>
      </c>
      <c r="G4554">
        <f>IF($C4554="","","Por la cobranza de la factura")</f>
        <v/>
      </c>
      <c r="H4554">
        <f>IF($C4554="","",Registro_Ventas!$C$11)</f>
        <v/>
      </c>
    </row>
    <row r="4555">
      <c r="A4555" s="25">
        <f>IF($C4555="","",Registro_Ventas!$B$12)</f>
        <v/>
      </c>
      <c r="B4555">
        <f>IF($C4555="","","V"&amp;TEXT(INT((ROW()-4507)/6)+1,"000")&amp;"-1")</f>
        <v/>
      </c>
      <c r="C4555">
        <f>IF(Registro_Ventas!$C$12="","","12")</f>
        <v/>
      </c>
      <c r="D4555">
        <f>IF($C4555="","","Cuentas por Cobrar Comerciales - Terceros")</f>
        <v/>
      </c>
      <c r="E4555" s="20">
        <f>IF($C4555="","",Registro_Ventas!$I$12)</f>
        <v/>
      </c>
      <c r="F4555" s="20">
        <f>""</f>
        <v/>
      </c>
      <c r="G4555">
        <f>IF($C4555="","","Por la venta segun comprobante a "&amp;Registro_Ventas!$E$12)</f>
        <v/>
      </c>
      <c r="H4555">
        <f>IF($C4555="","",Registro_Ventas!$C$12)</f>
        <v/>
      </c>
    </row>
    <row r="4556">
      <c r="A4556" s="25">
        <f>IF($C4556="","",Registro_Ventas!$B$12)</f>
        <v/>
      </c>
      <c r="B4556">
        <f>IF($C4556="","","V"&amp;TEXT(INT((ROW()-4507)/6)+1,"000")&amp;"-1")</f>
        <v/>
      </c>
      <c r="C4556">
        <f>IF(Registro_Ventas!$C$12="","","70")</f>
        <v/>
      </c>
      <c r="D4556">
        <f>IF($C4556="","","Ventas")</f>
        <v/>
      </c>
      <c r="E4556" s="20">
        <f>""</f>
        <v/>
      </c>
      <c r="F4556" s="20">
        <f>IF($C4556="","",Registro_Ventas!$G$12)</f>
        <v/>
      </c>
      <c r="G4556">
        <f>IF($C4556="","","Por la venta segun comprobante a "&amp;Registro_Ventas!$E$12)</f>
        <v/>
      </c>
      <c r="H4556">
        <f>IF($C4556="","",Registro_Ventas!$C$12)</f>
        <v/>
      </c>
    </row>
    <row r="4557">
      <c r="A4557" s="25">
        <f>IF($C4557="","",Registro_Ventas!$B$12)</f>
        <v/>
      </c>
      <c r="B4557">
        <f>IF($C4557="","","V"&amp;TEXT(INT((ROW()-4507)/6)+1,"000")&amp;"-1")</f>
        <v/>
      </c>
      <c r="C4557">
        <f>IF(OR(Registro_Ventas!$C$12="",Registro_Ventas!$R$12="SI"),"","40111")</f>
        <v/>
      </c>
      <c r="D4557">
        <f>IF($C4557="","","IGV - Cuenta Propia (Debito Fiscal)")</f>
        <v/>
      </c>
      <c r="E4557" s="20">
        <f>""</f>
        <v/>
      </c>
      <c r="F4557" s="20">
        <f>IF($C4557="","",Registro_Ventas!$H$12)</f>
        <v/>
      </c>
      <c r="G4557">
        <f>IF($C4557="","","Por la venta segun comprobante a "&amp;Registro_Ventas!$E$12)</f>
        <v/>
      </c>
      <c r="H4557">
        <f>IF($C4557="","",Registro_Ventas!$C$12)</f>
        <v/>
      </c>
    </row>
    <row r="4558">
      <c r="A4558" s="25">
        <f>IF($C4558="","",Registro_Ventas!$P$12)</f>
        <v/>
      </c>
      <c r="B4558">
        <f>IF($C4558="","","V"&amp;TEXT(INT((ROW()-4507)/6)+1,"000")&amp;"-2")</f>
        <v/>
      </c>
      <c r="C4558">
        <f>IF(OR(Registro_Ventas!$C$12="",Registro_Ventas!$O$12&lt;&gt;"SI"),"","10413")</f>
        <v/>
      </c>
      <c r="D4558">
        <f>IF($C4558="","","Efectivo y Equivalentes - Cta. Cte. Operativa")</f>
        <v/>
      </c>
      <c r="E4558" s="20">
        <f>IF($C4558="","",Registro_Ventas!$N$12)</f>
        <v/>
      </c>
      <c r="F4558" s="20">
        <f>""</f>
        <v/>
      </c>
      <c r="G4558">
        <f>IF($C4558="","","Por la cobranza de la factura")</f>
        <v/>
      </c>
      <c r="H4558">
        <f>IF($C4558="","",Registro_Ventas!$C$12)</f>
        <v/>
      </c>
    </row>
    <row r="4559">
      <c r="A4559" s="25">
        <f>IF($C4559="","",Registro_Ventas!$P$12)</f>
        <v/>
      </c>
      <c r="B4559">
        <f>IF($C4559="","","V"&amp;TEXT(INT((ROW()-4507)/6)+1,"000")&amp;"-2")</f>
        <v/>
      </c>
      <c r="C4559">
        <f>IF(OR(OR(Registro_Ventas!$C$12="",Registro_Ventas!$O$12&lt;&gt;"SI"),Registro_Ventas!$J$12&lt;&gt;"SI"),"","10421")</f>
        <v/>
      </c>
      <c r="D4559">
        <f>IF($C4559="","","Efectivo - Cuenta de Detracciones (Banco de la Nacion)")</f>
        <v/>
      </c>
      <c r="E4559" s="20">
        <f>IF($C4559="","",Registro_Ventas!$M$12)</f>
        <v/>
      </c>
      <c r="F4559" s="20">
        <f>""</f>
        <v/>
      </c>
      <c r="G4559">
        <f>IF($C4559="","","Detraccion retenida por el cliente")</f>
        <v/>
      </c>
      <c r="H4559">
        <f>IF($C4559="","",Registro_Ventas!$C$12)</f>
        <v/>
      </c>
    </row>
    <row r="4560">
      <c r="A4560" s="25">
        <f>IF($C4560="","",Registro_Ventas!$P$12)</f>
        <v/>
      </c>
      <c r="B4560">
        <f>IF($C4560="","","V"&amp;TEXT(INT((ROW()-4507)/6)+1,"000")&amp;"-2")</f>
        <v/>
      </c>
      <c r="C4560">
        <f>IF(OR(Registro_Ventas!$C$12="",Registro_Ventas!$O$12&lt;&gt;"SI"),"","12")</f>
        <v/>
      </c>
      <c r="D4560">
        <f>IF($C4560="","","Cuentas por Cobrar Comerciales - Terceros")</f>
        <v/>
      </c>
      <c r="E4560" s="20">
        <f>""</f>
        <v/>
      </c>
      <c r="F4560" s="20">
        <f>IF($C4560="","",Registro_Ventas!$I$12)</f>
        <v/>
      </c>
      <c r="G4560">
        <f>IF($C4560="","","Por la cobranza de la factura")</f>
        <v/>
      </c>
      <c r="H4560">
        <f>IF($C4560="","",Registro_Ventas!$C$12)</f>
        <v/>
      </c>
    </row>
    <row r="4561">
      <c r="A4561" s="25">
        <f>IF($C4561="","",Registro_Ventas!$B$13)</f>
        <v/>
      </c>
      <c r="B4561">
        <f>IF($C4561="","","V"&amp;TEXT(INT((ROW()-4507)/6)+1,"000")&amp;"-1")</f>
        <v/>
      </c>
      <c r="C4561">
        <f>IF(Registro_Ventas!$C$13="","","12")</f>
        <v/>
      </c>
      <c r="D4561">
        <f>IF($C4561="","","Cuentas por Cobrar Comerciales - Terceros")</f>
        <v/>
      </c>
      <c r="E4561" s="20">
        <f>IF($C4561="","",Registro_Ventas!$I$13)</f>
        <v/>
      </c>
      <c r="F4561" s="20">
        <f>""</f>
        <v/>
      </c>
      <c r="G4561">
        <f>IF($C4561="","","Por la venta segun comprobante a "&amp;Registro_Ventas!$E$13)</f>
        <v/>
      </c>
      <c r="H4561">
        <f>IF($C4561="","",Registro_Ventas!$C$13)</f>
        <v/>
      </c>
    </row>
    <row r="4562">
      <c r="A4562" s="25">
        <f>IF($C4562="","",Registro_Ventas!$B$13)</f>
        <v/>
      </c>
      <c r="B4562">
        <f>IF($C4562="","","V"&amp;TEXT(INT((ROW()-4507)/6)+1,"000")&amp;"-1")</f>
        <v/>
      </c>
      <c r="C4562">
        <f>IF(Registro_Ventas!$C$13="","","70")</f>
        <v/>
      </c>
      <c r="D4562">
        <f>IF($C4562="","","Ventas")</f>
        <v/>
      </c>
      <c r="E4562" s="20">
        <f>""</f>
        <v/>
      </c>
      <c r="F4562" s="20">
        <f>IF($C4562="","",Registro_Ventas!$G$13)</f>
        <v/>
      </c>
      <c r="G4562">
        <f>IF($C4562="","","Por la venta segun comprobante a "&amp;Registro_Ventas!$E$13)</f>
        <v/>
      </c>
      <c r="H4562">
        <f>IF($C4562="","",Registro_Ventas!$C$13)</f>
        <v/>
      </c>
    </row>
    <row r="4563">
      <c r="A4563" s="25">
        <f>IF($C4563="","",Registro_Ventas!$B$13)</f>
        <v/>
      </c>
      <c r="B4563">
        <f>IF($C4563="","","V"&amp;TEXT(INT((ROW()-4507)/6)+1,"000")&amp;"-1")</f>
        <v/>
      </c>
      <c r="C4563">
        <f>IF(OR(Registro_Ventas!$C$13="",Registro_Ventas!$R$13="SI"),"","40111")</f>
        <v/>
      </c>
      <c r="D4563">
        <f>IF($C4563="","","IGV - Cuenta Propia (Debito Fiscal)")</f>
        <v/>
      </c>
      <c r="E4563" s="20">
        <f>""</f>
        <v/>
      </c>
      <c r="F4563" s="20">
        <f>IF($C4563="","",Registro_Ventas!$H$13)</f>
        <v/>
      </c>
      <c r="G4563">
        <f>IF($C4563="","","Por la venta segun comprobante a "&amp;Registro_Ventas!$E$13)</f>
        <v/>
      </c>
      <c r="H4563">
        <f>IF($C4563="","",Registro_Ventas!$C$13)</f>
        <v/>
      </c>
    </row>
    <row r="4564">
      <c r="A4564" s="25">
        <f>IF($C4564="","",Registro_Ventas!$P$13)</f>
        <v/>
      </c>
      <c r="B4564">
        <f>IF($C4564="","","V"&amp;TEXT(INT((ROW()-4507)/6)+1,"000")&amp;"-2")</f>
        <v/>
      </c>
      <c r="C4564">
        <f>IF(OR(Registro_Ventas!$C$13="",Registro_Ventas!$O$13&lt;&gt;"SI"),"","10413")</f>
        <v/>
      </c>
      <c r="D4564">
        <f>IF($C4564="","","Efectivo y Equivalentes - Cta. Cte. Operativa")</f>
        <v/>
      </c>
      <c r="E4564" s="20">
        <f>IF($C4564="","",Registro_Ventas!$N$13)</f>
        <v/>
      </c>
      <c r="F4564" s="20">
        <f>""</f>
        <v/>
      </c>
      <c r="G4564">
        <f>IF($C4564="","","Por la cobranza de la factura")</f>
        <v/>
      </c>
      <c r="H4564">
        <f>IF($C4564="","",Registro_Ventas!$C$13)</f>
        <v/>
      </c>
    </row>
    <row r="4565">
      <c r="A4565" s="25">
        <f>IF($C4565="","",Registro_Ventas!$P$13)</f>
        <v/>
      </c>
      <c r="B4565">
        <f>IF($C4565="","","V"&amp;TEXT(INT((ROW()-4507)/6)+1,"000")&amp;"-2")</f>
        <v/>
      </c>
      <c r="C4565">
        <f>IF(OR(OR(Registro_Ventas!$C$13="",Registro_Ventas!$O$13&lt;&gt;"SI"),Registro_Ventas!$J$13&lt;&gt;"SI"),"","10421")</f>
        <v/>
      </c>
      <c r="D4565">
        <f>IF($C4565="","","Efectivo - Cuenta de Detracciones (Banco de la Nacion)")</f>
        <v/>
      </c>
      <c r="E4565" s="20">
        <f>IF($C4565="","",Registro_Ventas!$M$13)</f>
        <v/>
      </c>
      <c r="F4565" s="20">
        <f>""</f>
        <v/>
      </c>
      <c r="G4565">
        <f>IF($C4565="","","Detraccion retenida por el cliente")</f>
        <v/>
      </c>
      <c r="H4565">
        <f>IF($C4565="","",Registro_Ventas!$C$13)</f>
        <v/>
      </c>
    </row>
    <row r="4566">
      <c r="A4566" s="25">
        <f>IF($C4566="","",Registro_Ventas!$P$13)</f>
        <v/>
      </c>
      <c r="B4566">
        <f>IF($C4566="","","V"&amp;TEXT(INT((ROW()-4507)/6)+1,"000")&amp;"-2")</f>
        <v/>
      </c>
      <c r="C4566">
        <f>IF(OR(Registro_Ventas!$C$13="",Registro_Ventas!$O$13&lt;&gt;"SI"),"","12")</f>
        <v/>
      </c>
      <c r="D4566">
        <f>IF($C4566="","","Cuentas por Cobrar Comerciales - Terceros")</f>
        <v/>
      </c>
      <c r="E4566" s="20">
        <f>""</f>
        <v/>
      </c>
      <c r="F4566" s="20">
        <f>IF($C4566="","",Registro_Ventas!$I$13)</f>
        <v/>
      </c>
      <c r="G4566">
        <f>IF($C4566="","","Por la cobranza de la factura")</f>
        <v/>
      </c>
      <c r="H4566">
        <f>IF($C4566="","",Registro_Ventas!$C$13)</f>
        <v/>
      </c>
    </row>
    <row r="4567">
      <c r="A4567" s="25">
        <f>IF($C4567="","",Registro_Ventas!$B$14)</f>
        <v/>
      </c>
      <c r="B4567">
        <f>IF($C4567="","","V"&amp;TEXT(INT((ROW()-4507)/6)+1,"000")&amp;"-1")</f>
        <v/>
      </c>
      <c r="C4567">
        <f>IF(Registro_Ventas!$C$14="","","12")</f>
        <v/>
      </c>
      <c r="D4567">
        <f>IF($C4567="","","Cuentas por Cobrar Comerciales - Terceros")</f>
        <v/>
      </c>
      <c r="E4567" s="20">
        <f>IF($C4567="","",Registro_Ventas!$I$14)</f>
        <v/>
      </c>
      <c r="F4567" s="20">
        <f>""</f>
        <v/>
      </c>
      <c r="G4567">
        <f>IF($C4567="","","Por la venta segun comprobante a "&amp;Registro_Ventas!$E$14)</f>
        <v/>
      </c>
      <c r="H4567">
        <f>IF($C4567="","",Registro_Ventas!$C$14)</f>
        <v/>
      </c>
    </row>
    <row r="4568">
      <c r="A4568" s="25">
        <f>IF($C4568="","",Registro_Ventas!$B$14)</f>
        <v/>
      </c>
      <c r="B4568">
        <f>IF($C4568="","","V"&amp;TEXT(INT((ROW()-4507)/6)+1,"000")&amp;"-1")</f>
        <v/>
      </c>
      <c r="C4568">
        <f>IF(Registro_Ventas!$C$14="","","70")</f>
        <v/>
      </c>
      <c r="D4568">
        <f>IF($C4568="","","Ventas")</f>
        <v/>
      </c>
      <c r="E4568" s="20">
        <f>""</f>
        <v/>
      </c>
      <c r="F4568" s="20">
        <f>IF($C4568="","",Registro_Ventas!$G$14)</f>
        <v/>
      </c>
      <c r="G4568">
        <f>IF($C4568="","","Por la venta segun comprobante a "&amp;Registro_Ventas!$E$14)</f>
        <v/>
      </c>
      <c r="H4568">
        <f>IF($C4568="","",Registro_Ventas!$C$14)</f>
        <v/>
      </c>
    </row>
    <row r="4569">
      <c r="A4569" s="25">
        <f>IF($C4569="","",Registro_Ventas!$B$14)</f>
        <v/>
      </c>
      <c r="B4569">
        <f>IF($C4569="","","V"&amp;TEXT(INT((ROW()-4507)/6)+1,"000")&amp;"-1")</f>
        <v/>
      </c>
      <c r="C4569">
        <f>IF(OR(Registro_Ventas!$C$14="",Registro_Ventas!$R$14="SI"),"","40111")</f>
        <v/>
      </c>
      <c r="D4569">
        <f>IF($C4569="","","IGV - Cuenta Propia (Debito Fiscal)")</f>
        <v/>
      </c>
      <c r="E4569" s="20">
        <f>""</f>
        <v/>
      </c>
      <c r="F4569" s="20">
        <f>IF($C4569="","",Registro_Ventas!$H$14)</f>
        <v/>
      </c>
      <c r="G4569">
        <f>IF($C4569="","","Por la venta segun comprobante a "&amp;Registro_Ventas!$E$14)</f>
        <v/>
      </c>
      <c r="H4569">
        <f>IF($C4569="","",Registro_Ventas!$C$14)</f>
        <v/>
      </c>
    </row>
    <row r="4570">
      <c r="A4570" s="25">
        <f>IF($C4570="","",Registro_Ventas!$P$14)</f>
        <v/>
      </c>
      <c r="B4570">
        <f>IF($C4570="","","V"&amp;TEXT(INT((ROW()-4507)/6)+1,"000")&amp;"-2")</f>
        <v/>
      </c>
      <c r="C4570">
        <f>IF(OR(Registro_Ventas!$C$14="",Registro_Ventas!$O$14&lt;&gt;"SI"),"","10413")</f>
        <v/>
      </c>
      <c r="D4570">
        <f>IF($C4570="","","Efectivo y Equivalentes - Cta. Cte. Operativa")</f>
        <v/>
      </c>
      <c r="E4570" s="20">
        <f>IF($C4570="","",Registro_Ventas!$N$14)</f>
        <v/>
      </c>
      <c r="F4570" s="20">
        <f>""</f>
        <v/>
      </c>
      <c r="G4570">
        <f>IF($C4570="","","Por la cobranza de la factura")</f>
        <v/>
      </c>
      <c r="H4570">
        <f>IF($C4570="","",Registro_Ventas!$C$14)</f>
        <v/>
      </c>
    </row>
    <row r="4571">
      <c r="A4571" s="25">
        <f>IF($C4571="","",Registro_Ventas!$P$14)</f>
        <v/>
      </c>
      <c r="B4571">
        <f>IF($C4571="","","V"&amp;TEXT(INT((ROW()-4507)/6)+1,"000")&amp;"-2")</f>
        <v/>
      </c>
      <c r="C4571">
        <f>IF(OR(OR(Registro_Ventas!$C$14="",Registro_Ventas!$O$14&lt;&gt;"SI"),Registro_Ventas!$J$14&lt;&gt;"SI"),"","10421")</f>
        <v/>
      </c>
      <c r="D4571">
        <f>IF($C4571="","","Efectivo - Cuenta de Detracciones (Banco de la Nacion)")</f>
        <v/>
      </c>
      <c r="E4571" s="20">
        <f>IF($C4571="","",Registro_Ventas!$M$14)</f>
        <v/>
      </c>
      <c r="F4571" s="20">
        <f>""</f>
        <v/>
      </c>
      <c r="G4571">
        <f>IF($C4571="","","Detraccion retenida por el cliente")</f>
        <v/>
      </c>
      <c r="H4571">
        <f>IF($C4571="","",Registro_Ventas!$C$14)</f>
        <v/>
      </c>
    </row>
    <row r="4572">
      <c r="A4572" s="25">
        <f>IF($C4572="","",Registro_Ventas!$P$14)</f>
        <v/>
      </c>
      <c r="B4572">
        <f>IF($C4572="","","V"&amp;TEXT(INT((ROW()-4507)/6)+1,"000")&amp;"-2")</f>
        <v/>
      </c>
      <c r="C4572">
        <f>IF(OR(Registro_Ventas!$C$14="",Registro_Ventas!$O$14&lt;&gt;"SI"),"","12")</f>
        <v/>
      </c>
      <c r="D4572">
        <f>IF($C4572="","","Cuentas por Cobrar Comerciales - Terceros")</f>
        <v/>
      </c>
      <c r="E4572" s="20">
        <f>""</f>
        <v/>
      </c>
      <c r="F4572" s="20">
        <f>IF($C4572="","",Registro_Ventas!$I$14)</f>
        <v/>
      </c>
      <c r="G4572">
        <f>IF($C4572="","","Por la cobranza de la factura")</f>
        <v/>
      </c>
      <c r="H4572">
        <f>IF($C4572="","",Registro_Ventas!$C$14)</f>
        <v/>
      </c>
    </row>
    <row r="4573">
      <c r="A4573" s="25">
        <f>IF($C4573="","",Registro_Ventas!$B$15)</f>
        <v/>
      </c>
      <c r="B4573">
        <f>IF($C4573="","","V"&amp;TEXT(INT((ROW()-4507)/6)+1,"000")&amp;"-1")</f>
        <v/>
      </c>
      <c r="C4573">
        <f>IF(Registro_Ventas!$C$15="","","12")</f>
        <v/>
      </c>
      <c r="D4573">
        <f>IF($C4573="","","Cuentas por Cobrar Comerciales - Terceros")</f>
        <v/>
      </c>
      <c r="E4573" s="20">
        <f>IF($C4573="","",Registro_Ventas!$I$15)</f>
        <v/>
      </c>
      <c r="F4573" s="20">
        <f>""</f>
        <v/>
      </c>
      <c r="G4573">
        <f>IF($C4573="","","Por la venta segun comprobante a "&amp;Registro_Ventas!$E$15)</f>
        <v/>
      </c>
      <c r="H4573">
        <f>IF($C4573="","",Registro_Ventas!$C$15)</f>
        <v/>
      </c>
    </row>
    <row r="4574">
      <c r="A4574" s="25">
        <f>IF($C4574="","",Registro_Ventas!$B$15)</f>
        <v/>
      </c>
      <c r="B4574">
        <f>IF($C4574="","","V"&amp;TEXT(INT((ROW()-4507)/6)+1,"000")&amp;"-1")</f>
        <v/>
      </c>
      <c r="C4574">
        <f>IF(Registro_Ventas!$C$15="","","70")</f>
        <v/>
      </c>
      <c r="D4574">
        <f>IF($C4574="","","Ventas")</f>
        <v/>
      </c>
      <c r="E4574" s="20">
        <f>""</f>
        <v/>
      </c>
      <c r="F4574" s="20">
        <f>IF($C4574="","",Registro_Ventas!$G$15)</f>
        <v/>
      </c>
      <c r="G4574">
        <f>IF($C4574="","","Por la venta segun comprobante a "&amp;Registro_Ventas!$E$15)</f>
        <v/>
      </c>
      <c r="H4574">
        <f>IF($C4574="","",Registro_Ventas!$C$15)</f>
        <v/>
      </c>
    </row>
    <row r="4575">
      <c r="A4575" s="25">
        <f>IF($C4575="","",Registro_Ventas!$B$15)</f>
        <v/>
      </c>
      <c r="B4575">
        <f>IF($C4575="","","V"&amp;TEXT(INT((ROW()-4507)/6)+1,"000")&amp;"-1")</f>
        <v/>
      </c>
      <c r="C4575">
        <f>IF(OR(Registro_Ventas!$C$15="",Registro_Ventas!$R$15="SI"),"","40111")</f>
        <v/>
      </c>
      <c r="D4575">
        <f>IF($C4575="","","IGV - Cuenta Propia (Debito Fiscal)")</f>
        <v/>
      </c>
      <c r="E4575" s="20">
        <f>""</f>
        <v/>
      </c>
      <c r="F4575" s="20">
        <f>IF($C4575="","",Registro_Ventas!$H$15)</f>
        <v/>
      </c>
      <c r="G4575">
        <f>IF($C4575="","","Por la venta segun comprobante a "&amp;Registro_Ventas!$E$15)</f>
        <v/>
      </c>
      <c r="H4575">
        <f>IF($C4575="","",Registro_Ventas!$C$15)</f>
        <v/>
      </c>
    </row>
    <row r="4576">
      <c r="A4576" s="25">
        <f>IF($C4576="","",Registro_Ventas!$P$15)</f>
        <v/>
      </c>
      <c r="B4576">
        <f>IF($C4576="","","V"&amp;TEXT(INT((ROW()-4507)/6)+1,"000")&amp;"-2")</f>
        <v/>
      </c>
      <c r="C4576">
        <f>IF(OR(Registro_Ventas!$C$15="",Registro_Ventas!$O$15&lt;&gt;"SI"),"","10413")</f>
        <v/>
      </c>
      <c r="D4576">
        <f>IF($C4576="","","Efectivo y Equivalentes - Cta. Cte. Operativa")</f>
        <v/>
      </c>
      <c r="E4576" s="20">
        <f>IF($C4576="","",Registro_Ventas!$N$15)</f>
        <v/>
      </c>
      <c r="F4576" s="20">
        <f>""</f>
        <v/>
      </c>
      <c r="G4576">
        <f>IF($C4576="","","Por la cobranza de la factura")</f>
        <v/>
      </c>
      <c r="H4576">
        <f>IF($C4576="","",Registro_Ventas!$C$15)</f>
        <v/>
      </c>
    </row>
    <row r="4577">
      <c r="A4577" s="25">
        <f>IF($C4577="","",Registro_Ventas!$P$15)</f>
        <v/>
      </c>
      <c r="B4577">
        <f>IF($C4577="","","V"&amp;TEXT(INT((ROW()-4507)/6)+1,"000")&amp;"-2")</f>
        <v/>
      </c>
      <c r="C4577">
        <f>IF(OR(OR(Registro_Ventas!$C$15="",Registro_Ventas!$O$15&lt;&gt;"SI"),Registro_Ventas!$J$15&lt;&gt;"SI"),"","10421")</f>
        <v/>
      </c>
      <c r="D4577">
        <f>IF($C4577="","","Efectivo - Cuenta de Detracciones (Banco de la Nacion)")</f>
        <v/>
      </c>
      <c r="E4577" s="20">
        <f>IF($C4577="","",Registro_Ventas!$M$15)</f>
        <v/>
      </c>
      <c r="F4577" s="20">
        <f>""</f>
        <v/>
      </c>
      <c r="G4577">
        <f>IF($C4577="","","Detraccion retenida por el cliente")</f>
        <v/>
      </c>
      <c r="H4577">
        <f>IF($C4577="","",Registro_Ventas!$C$15)</f>
        <v/>
      </c>
    </row>
    <row r="4578">
      <c r="A4578" s="25">
        <f>IF($C4578="","",Registro_Ventas!$P$15)</f>
        <v/>
      </c>
      <c r="B4578">
        <f>IF($C4578="","","V"&amp;TEXT(INT((ROW()-4507)/6)+1,"000")&amp;"-2")</f>
        <v/>
      </c>
      <c r="C4578">
        <f>IF(OR(Registro_Ventas!$C$15="",Registro_Ventas!$O$15&lt;&gt;"SI"),"","12")</f>
        <v/>
      </c>
      <c r="D4578">
        <f>IF($C4578="","","Cuentas por Cobrar Comerciales - Terceros")</f>
        <v/>
      </c>
      <c r="E4578" s="20">
        <f>""</f>
        <v/>
      </c>
      <c r="F4578" s="20">
        <f>IF($C4578="","",Registro_Ventas!$I$15)</f>
        <v/>
      </c>
      <c r="G4578">
        <f>IF($C4578="","","Por la cobranza de la factura")</f>
        <v/>
      </c>
      <c r="H4578">
        <f>IF($C4578="","",Registro_Ventas!$C$15)</f>
        <v/>
      </c>
    </row>
    <row r="4579">
      <c r="A4579" s="25">
        <f>IF($C4579="","",Registro_Ventas!$B$16)</f>
        <v/>
      </c>
      <c r="B4579">
        <f>IF($C4579="","","V"&amp;TEXT(INT((ROW()-4507)/6)+1,"000")&amp;"-1")</f>
        <v/>
      </c>
      <c r="C4579">
        <f>IF(Registro_Ventas!$C$16="","","12")</f>
        <v/>
      </c>
      <c r="D4579">
        <f>IF($C4579="","","Cuentas por Cobrar Comerciales - Terceros")</f>
        <v/>
      </c>
      <c r="E4579" s="20">
        <f>IF($C4579="","",Registro_Ventas!$I$16)</f>
        <v/>
      </c>
      <c r="F4579" s="20">
        <f>""</f>
        <v/>
      </c>
      <c r="G4579">
        <f>IF($C4579="","","Por la venta segun comprobante a "&amp;Registro_Ventas!$E$16)</f>
        <v/>
      </c>
      <c r="H4579">
        <f>IF($C4579="","",Registro_Ventas!$C$16)</f>
        <v/>
      </c>
    </row>
    <row r="4580">
      <c r="A4580" s="25">
        <f>IF($C4580="","",Registro_Ventas!$B$16)</f>
        <v/>
      </c>
      <c r="B4580">
        <f>IF($C4580="","","V"&amp;TEXT(INT((ROW()-4507)/6)+1,"000")&amp;"-1")</f>
        <v/>
      </c>
      <c r="C4580">
        <f>IF(Registro_Ventas!$C$16="","","70")</f>
        <v/>
      </c>
      <c r="D4580">
        <f>IF($C4580="","","Ventas")</f>
        <v/>
      </c>
      <c r="E4580" s="20">
        <f>""</f>
        <v/>
      </c>
      <c r="F4580" s="20">
        <f>IF($C4580="","",Registro_Ventas!$G$16)</f>
        <v/>
      </c>
      <c r="G4580">
        <f>IF($C4580="","","Por la venta segun comprobante a "&amp;Registro_Ventas!$E$16)</f>
        <v/>
      </c>
      <c r="H4580">
        <f>IF($C4580="","",Registro_Ventas!$C$16)</f>
        <v/>
      </c>
    </row>
    <row r="4581">
      <c r="A4581" s="25">
        <f>IF($C4581="","",Registro_Ventas!$B$16)</f>
        <v/>
      </c>
      <c r="B4581">
        <f>IF($C4581="","","V"&amp;TEXT(INT((ROW()-4507)/6)+1,"000")&amp;"-1")</f>
        <v/>
      </c>
      <c r="C4581">
        <f>IF(OR(Registro_Ventas!$C$16="",Registro_Ventas!$R$16="SI"),"","40111")</f>
        <v/>
      </c>
      <c r="D4581">
        <f>IF($C4581="","","IGV - Cuenta Propia (Debito Fiscal)")</f>
        <v/>
      </c>
      <c r="E4581" s="20">
        <f>""</f>
        <v/>
      </c>
      <c r="F4581" s="20">
        <f>IF($C4581="","",Registro_Ventas!$H$16)</f>
        <v/>
      </c>
      <c r="G4581">
        <f>IF($C4581="","","Por la venta segun comprobante a "&amp;Registro_Ventas!$E$16)</f>
        <v/>
      </c>
      <c r="H4581">
        <f>IF($C4581="","",Registro_Ventas!$C$16)</f>
        <v/>
      </c>
    </row>
    <row r="4582">
      <c r="A4582" s="25">
        <f>IF($C4582="","",Registro_Ventas!$P$16)</f>
        <v/>
      </c>
      <c r="B4582">
        <f>IF($C4582="","","V"&amp;TEXT(INT((ROW()-4507)/6)+1,"000")&amp;"-2")</f>
        <v/>
      </c>
      <c r="C4582">
        <f>IF(OR(Registro_Ventas!$C$16="",Registro_Ventas!$O$16&lt;&gt;"SI"),"","10413")</f>
        <v/>
      </c>
      <c r="D4582">
        <f>IF($C4582="","","Efectivo y Equivalentes - Cta. Cte. Operativa")</f>
        <v/>
      </c>
      <c r="E4582" s="20">
        <f>IF($C4582="","",Registro_Ventas!$N$16)</f>
        <v/>
      </c>
      <c r="F4582" s="20">
        <f>""</f>
        <v/>
      </c>
      <c r="G4582">
        <f>IF($C4582="","","Por la cobranza de la factura")</f>
        <v/>
      </c>
      <c r="H4582">
        <f>IF($C4582="","",Registro_Ventas!$C$16)</f>
        <v/>
      </c>
    </row>
    <row r="4583">
      <c r="A4583" s="25">
        <f>IF($C4583="","",Registro_Ventas!$P$16)</f>
        <v/>
      </c>
      <c r="B4583">
        <f>IF($C4583="","","V"&amp;TEXT(INT((ROW()-4507)/6)+1,"000")&amp;"-2")</f>
        <v/>
      </c>
      <c r="C4583">
        <f>IF(OR(OR(Registro_Ventas!$C$16="",Registro_Ventas!$O$16&lt;&gt;"SI"),Registro_Ventas!$J$16&lt;&gt;"SI"),"","10421")</f>
        <v/>
      </c>
      <c r="D4583">
        <f>IF($C4583="","","Efectivo - Cuenta de Detracciones (Banco de la Nacion)")</f>
        <v/>
      </c>
      <c r="E4583" s="20">
        <f>IF($C4583="","",Registro_Ventas!$M$16)</f>
        <v/>
      </c>
      <c r="F4583" s="20">
        <f>""</f>
        <v/>
      </c>
      <c r="G4583">
        <f>IF($C4583="","","Detraccion retenida por el cliente")</f>
        <v/>
      </c>
      <c r="H4583">
        <f>IF($C4583="","",Registro_Ventas!$C$16)</f>
        <v/>
      </c>
    </row>
    <row r="4584">
      <c r="A4584" s="25">
        <f>IF($C4584="","",Registro_Ventas!$P$16)</f>
        <v/>
      </c>
      <c r="B4584">
        <f>IF($C4584="","","V"&amp;TEXT(INT((ROW()-4507)/6)+1,"000")&amp;"-2")</f>
        <v/>
      </c>
      <c r="C4584">
        <f>IF(OR(Registro_Ventas!$C$16="",Registro_Ventas!$O$16&lt;&gt;"SI"),"","12")</f>
        <v/>
      </c>
      <c r="D4584">
        <f>IF($C4584="","","Cuentas por Cobrar Comerciales - Terceros")</f>
        <v/>
      </c>
      <c r="E4584" s="20">
        <f>""</f>
        <v/>
      </c>
      <c r="F4584" s="20">
        <f>IF($C4584="","",Registro_Ventas!$I$16)</f>
        <v/>
      </c>
      <c r="G4584">
        <f>IF($C4584="","","Por la cobranza de la factura")</f>
        <v/>
      </c>
      <c r="H4584">
        <f>IF($C4584="","",Registro_Ventas!$C$16)</f>
        <v/>
      </c>
    </row>
    <row r="4585">
      <c r="A4585" s="25">
        <f>IF($C4585="","",Registro_Ventas!$B$17)</f>
        <v/>
      </c>
      <c r="B4585">
        <f>IF($C4585="","","V"&amp;TEXT(INT((ROW()-4507)/6)+1,"000")&amp;"-1")</f>
        <v/>
      </c>
      <c r="C4585">
        <f>IF(Registro_Ventas!$C$17="","","12")</f>
        <v/>
      </c>
      <c r="D4585">
        <f>IF($C4585="","","Cuentas por Cobrar Comerciales - Terceros")</f>
        <v/>
      </c>
      <c r="E4585" s="20">
        <f>IF($C4585="","",Registro_Ventas!$I$17)</f>
        <v/>
      </c>
      <c r="F4585" s="20">
        <f>""</f>
        <v/>
      </c>
      <c r="G4585">
        <f>IF($C4585="","","Por la venta segun comprobante a "&amp;Registro_Ventas!$E$17)</f>
        <v/>
      </c>
      <c r="H4585">
        <f>IF($C4585="","",Registro_Ventas!$C$17)</f>
        <v/>
      </c>
    </row>
    <row r="4586">
      <c r="A4586" s="25">
        <f>IF($C4586="","",Registro_Ventas!$B$17)</f>
        <v/>
      </c>
      <c r="B4586">
        <f>IF($C4586="","","V"&amp;TEXT(INT((ROW()-4507)/6)+1,"000")&amp;"-1")</f>
        <v/>
      </c>
      <c r="C4586">
        <f>IF(Registro_Ventas!$C$17="","","70")</f>
        <v/>
      </c>
      <c r="D4586">
        <f>IF($C4586="","","Ventas")</f>
        <v/>
      </c>
      <c r="E4586" s="20">
        <f>""</f>
        <v/>
      </c>
      <c r="F4586" s="20">
        <f>IF($C4586="","",Registro_Ventas!$G$17)</f>
        <v/>
      </c>
      <c r="G4586">
        <f>IF($C4586="","","Por la venta segun comprobante a "&amp;Registro_Ventas!$E$17)</f>
        <v/>
      </c>
      <c r="H4586">
        <f>IF($C4586="","",Registro_Ventas!$C$17)</f>
        <v/>
      </c>
    </row>
    <row r="4587">
      <c r="A4587" s="25">
        <f>IF($C4587="","",Registro_Ventas!$B$17)</f>
        <v/>
      </c>
      <c r="B4587">
        <f>IF($C4587="","","V"&amp;TEXT(INT((ROW()-4507)/6)+1,"000")&amp;"-1")</f>
        <v/>
      </c>
      <c r="C4587">
        <f>IF(OR(Registro_Ventas!$C$17="",Registro_Ventas!$R$17="SI"),"","40111")</f>
        <v/>
      </c>
      <c r="D4587">
        <f>IF($C4587="","","IGV - Cuenta Propia (Debito Fiscal)")</f>
        <v/>
      </c>
      <c r="E4587" s="20">
        <f>""</f>
        <v/>
      </c>
      <c r="F4587" s="20">
        <f>IF($C4587="","",Registro_Ventas!$H$17)</f>
        <v/>
      </c>
      <c r="G4587">
        <f>IF($C4587="","","Por la venta segun comprobante a "&amp;Registro_Ventas!$E$17)</f>
        <v/>
      </c>
      <c r="H4587">
        <f>IF($C4587="","",Registro_Ventas!$C$17)</f>
        <v/>
      </c>
    </row>
    <row r="4588">
      <c r="A4588" s="25">
        <f>IF($C4588="","",Registro_Ventas!$P$17)</f>
        <v/>
      </c>
      <c r="B4588">
        <f>IF($C4588="","","V"&amp;TEXT(INT((ROW()-4507)/6)+1,"000")&amp;"-2")</f>
        <v/>
      </c>
      <c r="C4588">
        <f>IF(OR(Registro_Ventas!$C$17="",Registro_Ventas!$O$17&lt;&gt;"SI"),"","10413")</f>
        <v/>
      </c>
      <c r="D4588">
        <f>IF($C4588="","","Efectivo y Equivalentes - Cta. Cte. Operativa")</f>
        <v/>
      </c>
      <c r="E4588" s="20">
        <f>IF($C4588="","",Registro_Ventas!$N$17)</f>
        <v/>
      </c>
      <c r="F4588" s="20">
        <f>""</f>
        <v/>
      </c>
      <c r="G4588">
        <f>IF($C4588="","","Por la cobranza de la factura")</f>
        <v/>
      </c>
      <c r="H4588">
        <f>IF($C4588="","",Registro_Ventas!$C$17)</f>
        <v/>
      </c>
    </row>
    <row r="4589">
      <c r="A4589" s="25">
        <f>IF($C4589="","",Registro_Ventas!$P$17)</f>
        <v/>
      </c>
      <c r="B4589">
        <f>IF($C4589="","","V"&amp;TEXT(INT((ROW()-4507)/6)+1,"000")&amp;"-2")</f>
        <v/>
      </c>
      <c r="C4589">
        <f>IF(OR(OR(Registro_Ventas!$C$17="",Registro_Ventas!$O$17&lt;&gt;"SI"),Registro_Ventas!$J$17&lt;&gt;"SI"),"","10421")</f>
        <v/>
      </c>
      <c r="D4589">
        <f>IF($C4589="","","Efectivo - Cuenta de Detracciones (Banco de la Nacion)")</f>
        <v/>
      </c>
      <c r="E4589" s="20">
        <f>IF($C4589="","",Registro_Ventas!$M$17)</f>
        <v/>
      </c>
      <c r="F4589" s="20">
        <f>""</f>
        <v/>
      </c>
      <c r="G4589">
        <f>IF($C4589="","","Detraccion retenida por el cliente")</f>
        <v/>
      </c>
      <c r="H4589">
        <f>IF($C4589="","",Registro_Ventas!$C$17)</f>
        <v/>
      </c>
    </row>
    <row r="4590">
      <c r="A4590" s="25">
        <f>IF($C4590="","",Registro_Ventas!$P$17)</f>
        <v/>
      </c>
      <c r="B4590">
        <f>IF($C4590="","","V"&amp;TEXT(INT((ROW()-4507)/6)+1,"000")&amp;"-2")</f>
        <v/>
      </c>
      <c r="C4590">
        <f>IF(OR(Registro_Ventas!$C$17="",Registro_Ventas!$O$17&lt;&gt;"SI"),"","12")</f>
        <v/>
      </c>
      <c r="D4590">
        <f>IF($C4590="","","Cuentas por Cobrar Comerciales - Terceros")</f>
        <v/>
      </c>
      <c r="E4590" s="20">
        <f>""</f>
        <v/>
      </c>
      <c r="F4590" s="20">
        <f>IF($C4590="","",Registro_Ventas!$I$17)</f>
        <v/>
      </c>
      <c r="G4590">
        <f>IF($C4590="","","Por la cobranza de la factura")</f>
        <v/>
      </c>
      <c r="H4590">
        <f>IF($C4590="","",Registro_Ventas!$C$17)</f>
        <v/>
      </c>
    </row>
    <row r="4591">
      <c r="A4591" s="25">
        <f>IF($C4591="","",Registro_Ventas!$B$18)</f>
        <v/>
      </c>
      <c r="B4591">
        <f>IF($C4591="","","V"&amp;TEXT(INT((ROW()-4507)/6)+1,"000")&amp;"-1")</f>
        <v/>
      </c>
      <c r="C4591">
        <f>IF(Registro_Ventas!$C$18="","","12")</f>
        <v/>
      </c>
      <c r="D4591">
        <f>IF($C4591="","","Cuentas por Cobrar Comerciales - Terceros")</f>
        <v/>
      </c>
      <c r="E4591" s="20">
        <f>IF($C4591="","",Registro_Ventas!$I$18)</f>
        <v/>
      </c>
      <c r="F4591" s="20">
        <f>""</f>
        <v/>
      </c>
      <c r="G4591">
        <f>IF($C4591="","","Por la venta segun comprobante a "&amp;Registro_Ventas!$E$18)</f>
        <v/>
      </c>
      <c r="H4591">
        <f>IF($C4591="","",Registro_Ventas!$C$18)</f>
        <v/>
      </c>
    </row>
    <row r="4592">
      <c r="A4592" s="25">
        <f>IF($C4592="","",Registro_Ventas!$B$18)</f>
        <v/>
      </c>
      <c r="B4592">
        <f>IF($C4592="","","V"&amp;TEXT(INT((ROW()-4507)/6)+1,"000")&amp;"-1")</f>
        <v/>
      </c>
      <c r="C4592">
        <f>IF(Registro_Ventas!$C$18="","","70")</f>
        <v/>
      </c>
      <c r="D4592">
        <f>IF($C4592="","","Ventas")</f>
        <v/>
      </c>
      <c r="E4592" s="20">
        <f>""</f>
        <v/>
      </c>
      <c r="F4592" s="20">
        <f>IF($C4592="","",Registro_Ventas!$G$18)</f>
        <v/>
      </c>
      <c r="G4592">
        <f>IF($C4592="","","Por la venta segun comprobante a "&amp;Registro_Ventas!$E$18)</f>
        <v/>
      </c>
      <c r="H4592">
        <f>IF($C4592="","",Registro_Ventas!$C$18)</f>
        <v/>
      </c>
    </row>
    <row r="4593">
      <c r="A4593" s="25">
        <f>IF($C4593="","",Registro_Ventas!$B$18)</f>
        <v/>
      </c>
      <c r="B4593">
        <f>IF($C4593="","","V"&amp;TEXT(INT((ROW()-4507)/6)+1,"000")&amp;"-1")</f>
        <v/>
      </c>
      <c r="C4593">
        <f>IF(OR(Registro_Ventas!$C$18="",Registro_Ventas!$R$18="SI"),"","40111")</f>
        <v/>
      </c>
      <c r="D4593">
        <f>IF($C4593="","","IGV - Cuenta Propia (Debito Fiscal)")</f>
        <v/>
      </c>
      <c r="E4593" s="20">
        <f>""</f>
        <v/>
      </c>
      <c r="F4593" s="20">
        <f>IF($C4593="","",Registro_Ventas!$H$18)</f>
        <v/>
      </c>
      <c r="G4593">
        <f>IF($C4593="","","Por la venta segun comprobante a "&amp;Registro_Ventas!$E$18)</f>
        <v/>
      </c>
      <c r="H4593">
        <f>IF($C4593="","",Registro_Ventas!$C$18)</f>
        <v/>
      </c>
    </row>
    <row r="4594">
      <c r="A4594" s="25">
        <f>IF($C4594="","",Registro_Ventas!$P$18)</f>
        <v/>
      </c>
      <c r="B4594">
        <f>IF($C4594="","","V"&amp;TEXT(INT((ROW()-4507)/6)+1,"000")&amp;"-2")</f>
        <v/>
      </c>
      <c r="C4594">
        <f>IF(OR(Registro_Ventas!$C$18="",Registro_Ventas!$O$18&lt;&gt;"SI"),"","10413")</f>
        <v/>
      </c>
      <c r="D4594">
        <f>IF($C4594="","","Efectivo y Equivalentes - Cta. Cte. Operativa")</f>
        <v/>
      </c>
      <c r="E4594" s="20">
        <f>IF($C4594="","",Registro_Ventas!$N$18)</f>
        <v/>
      </c>
      <c r="F4594" s="20">
        <f>""</f>
        <v/>
      </c>
      <c r="G4594">
        <f>IF($C4594="","","Por la cobranza de la factura")</f>
        <v/>
      </c>
      <c r="H4594">
        <f>IF($C4594="","",Registro_Ventas!$C$18)</f>
        <v/>
      </c>
    </row>
    <row r="4595">
      <c r="A4595" s="25">
        <f>IF($C4595="","",Registro_Ventas!$P$18)</f>
        <v/>
      </c>
      <c r="B4595">
        <f>IF($C4595="","","V"&amp;TEXT(INT((ROW()-4507)/6)+1,"000")&amp;"-2")</f>
        <v/>
      </c>
      <c r="C4595">
        <f>IF(OR(OR(Registro_Ventas!$C$18="",Registro_Ventas!$O$18&lt;&gt;"SI"),Registro_Ventas!$J$18&lt;&gt;"SI"),"","10421")</f>
        <v/>
      </c>
      <c r="D4595">
        <f>IF($C4595="","","Efectivo - Cuenta de Detracciones (Banco de la Nacion)")</f>
        <v/>
      </c>
      <c r="E4595" s="20">
        <f>IF($C4595="","",Registro_Ventas!$M$18)</f>
        <v/>
      </c>
      <c r="F4595" s="20">
        <f>""</f>
        <v/>
      </c>
      <c r="G4595">
        <f>IF($C4595="","","Detraccion retenida por el cliente")</f>
        <v/>
      </c>
      <c r="H4595">
        <f>IF($C4595="","",Registro_Ventas!$C$18)</f>
        <v/>
      </c>
    </row>
    <row r="4596">
      <c r="A4596" s="25">
        <f>IF($C4596="","",Registro_Ventas!$P$18)</f>
        <v/>
      </c>
      <c r="B4596">
        <f>IF($C4596="","","V"&amp;TEXT(INT((ROW()-4507)/6)+1,"000")&amp;"-2")</f>
        <v/>
      </c>
      <c r="C4596">
        <f>IF(OR(Registro_Ventas!$C$18="",Registro_Ventas!$O$18&lt;&gt;"SI"),"","12")</f>
        <v/>
      </c>
      <c r="D4596">
        <f>IF($C4596="","","Cuentas por Cobrar Comerciales - Terceros")</f>
        <v/>
      </c>
      <c r="E4596" s="20">
        <f>""</f>
        <v/>
      </c>
      <c r="F4596" s="20">
        <f>IF($C4596="","",Registro_Ventas!$I$18)</f>
        <v/>
      </c>
      <c r="G4596">
        <f>IF($C4596="","","Por la cobranza de la factura")</f>
        <v/>
      </c>
      <c r="H4596">
        <f>IF($C4596="","",Registro_Ventas!$C$18)</f>
        <v/>
      </c>
    </row>
    <row r="4597">
      <c r="A4597" s="25">
        <f>IF($C4597="","",Registro_Ventas!$B$19)</f>
        <v/>
      </c>
      <c r="B4597">
        <f>IF($C4597="","","V"&amp;TEXT(INT((ROW()-4507)/6)+1,"000")&amp;"-1")</f>
        <v/>
      </c>
      <c r="C4597">
        <f>IF(Registro_Ventas!$C$19="","","12")</f>
        <v/>
      </c>
      <c r="D4597">
        <f>IF($C4597="","","Cuentas por Cobrar Comerciales - Terceros")</f>
        <v/>
      </c>
      <c r="E4597" s="20">
        <f>IF($C4597="","",Registro_Ventas!$I$19)</f>
        <v/>
      </c>
      <c r="F4597" s="20">
        <f>""</f>
        <v/>
      </c>
      <c r="G4597">
        <f>IF($C4597="","","Por la venta segun comprobante a "&amp;Registro_Ventas!$E$19)</f>
        <v/>
      </c>
      <c r="H4597">
        <f>IF($C4597="","",Registro_Ventas!$C$19)</f>
        <v/>
      </c>
    </row>
    <row r="4598">
      <c r="A4598" s="25">
        <f>IF($C4598="","",Registro_Ventas!$B$19)</f>
        <v/>
      </c>
      <c r="B4598">
        <f>IF($C4598="","","V"&amp;TEXT(INT((ROW()-4507)/6)+1,"000")&amp;"-1")</f>
        <v/>
      </c>
      <c r="C4598">
        <f>IF(Registro_Ventas!$C$19="","","70")</f>
        <v/>
      </c>
      <c r="D4598">
        <f>IF($C4598="","","Ventas")</f>
        <v/>
      </c>
      <c r="E4598" s="20">
        <f>""</f>
        <v/>
      </c>
      <c r="F4598" s="20">
        <f>IF($C4598="","",Registro_Ventas!$G$19)</f>
        <v/>
      </c>
      <c r="G4598">
        <f>IF($C4598="","","Por la venta segun comprobante a "&amp;Registro_Ventas!$E$19)</f>
        <v/>
      </c>
      <c r="H4598">
        <f>IF($C4598="","",Registro_Ventas!$C$19)</f>
        <v/>
      </c>
    </row>
    <row r="4599">
      <c r="A4599" s="25">
        <f>IF($C4599="","",Registro_Ventas!$B$19)</f>
        <v/>
      </c>
      <c r="B4599">
        <f>IF($C4599="","","V"&amp;TEXT(INT((ROW()-4507)/6)+1,"000")&amp;"-1")</f>
        <v/>
      </c>
      <c r="C4599">
        <f>IF(OR(Registro_Ventas!$C$19="",Registro_Ventas!$R$19="SI"),"","40111")</f>
        <v/>
      </c>
      <c r="D4599">
        <f>IF($C4599="","","IGV - Cuenta Propia (Debito Fiscal)")</f>
        <v/>
      </c>
      <c r="E4599" s="20">
        <f>""</f>
        <v/>
      </c>
      <c r="F4599" s="20">
        <f>IF($C4599="","",Registro_Ventas!$H$19)</f>
        <v/>
      </c>
      <c r="G4599">
        <f>IF($C4599="","","Por la venta segun comprobante a "&amp;Registro_Ventas!$E$19)</f>
        <v/>
      </c>
      <c r="H4599">
        <f>IF($C4599="","",Registro_Ventas!$C$19)</f>
        <v/>
      </c>
    </row>
    <row r="4600">
      <c r="A4600" s="25">
        <f>IF($C4600="","",Registro_Ventas!$P$19)</f>
        <v/>
      </c>
      <c r="B4600">
        <f>IF($C4600="","","V"&amp;TEXT(INT((ROW()-4507)/6)+1,"000")&amp;"-2")</f>
        <v/>
      </c>
      <c r="C4600">
        <f>IF(OR(Registro_Ventas!$C$19="",Registro_Ventas!$O$19&lt;&gt;"SI"),"","10413")</f>
        <v/>
      </c>
      <c r="D4600">
        <f>IF($C4600="","","Efectivo y Equivalentes - Cta. Cte. Operativa")</f>
        <v/>
      </c>
      <c r="E4600" s="20">
        <f>IF($C4600="","",Registro_Ventas!$N$19)</f>
        <v/>
      </c>
      <c r="F4600" s="20">
        <f>""</f>
        <v/>
      </c>
      <c r="G4600">
        <f>IF($C4600="","","Por la cobranza de la factura")</f>
        <v/>
      </c>
      <c r="H4600">
        <f>IF($C4600="","",Registro_Ventas!$C$19)</f>
        <v/>
      </c>
    </row>
    <row r="4601">
      <c r="A4601" s="25">
        <f>IF($C4601="","",Registro_Ventas!$P$19)</f>
        <v/>
      </c>
      <c r="B4601">
        <f>IF($C4601="","","V"&amp;TEXT(INT((ROW()-4507)/6)+1,"000")&amp;"-2")</f>
        <v/>
      </c>
      <c r="C4601">
        <f>IF(OR(OR(Registro_Ventas!$C$19="",Registro_Ventas!$O$19&lt;&gt;"SI"),Registro_Ventas!$J$19&lt;&gt;"SI"),"","10421")</f>
        <v/>
      </c>
      <c r="D4601">
        <f>IF($C4601="","","Efectivo - Cuenta de Detracciones (Banco de la Nacion)")</f>
        <v/>
      </c>
      <c r="E4601" s="20">
        <f>IF($C4601="","",Registro_Ventas!$M$19)</f>
        <v/>
      </c>
      <c r="F4601" s="20">
        <f>""</f>
        <v/>
      </c>
      <c r="G4601">
        <f>IF($C4601="","","Detraccion retenida por el cliente")</f>
        <v/>
      </c>
      <c r="H4601">
        <f>IF($C4601="","",Registro_Ventas!$C$19)</f>
        <v/>
      </c>
    </row>
    <row r="4602">
      <c r="A4602" s="25">
        <f>IF($C4602="","",Registro_Ventas!$P$19)</f>
        <v/>
      </c>
      <c r="B4602">
        <f>IF($C4602="","","V"&amp;TEXT(INT((ROW()-4507)/6)+1,"000")&amp;"-2")</f>
        <v/>
      </c>
      <c r="C4602">
        <f>IF(OR(Registro_Ventas!$C$19="",Registro_Ventas!$O$19&lt;&gt;"SI"),"","12")</f>
        <v/>
      </c>
      <c r="D4602">
        <f>IF($C4602="","","Cuentas por Cobrar Comerciales - Terceros")</f>
        <v/>
      </c>
      <c r="E4602" s="20">
        <f>""</f>
        <v/>
      </c>
      <c r="F4602" s="20">
        <f>IF($C4602="","",Registro_Ventas!$I$19)</f>
        <v/>
      </c>
      <c r="G4602">
        <f>IF($C4602="","","Por la cobranza de la factura")</f>
        <v/>
      </c>
      <c r="H4602">
        <f>IF($C4602="","",Registro_Ventas!$C$19)</f>
        <v/>
      </c>
    </row>
    <row r="4603">
      <c r="A4603" s="25">
        <f>IF($C4603="","",Registro_Ventas!$B$20)</f>
        <v/>
      </c>
      <c r="B4603">
        <f>IF($C4603="","","V"&amp;TEXT(INT((ROW()-4507)/6)+1,"000")&amp;"-1")</f>
        <v/>
      </c>
      <c r="C4603">
        <f>IF(Registro_Ventas!$C$20="","","12")</f>
        <v/>
      </c>
      <c r="D4603">
        <f>IF($C4603="","","Cuentas por Cobrar Comerciales - Terceros")</f>
        <v/>
      </c>
      <c r="E4603" s="20">
        <f>IF($C4603="","",Registro_Ventas!$I$20)</f>
        <v/>
      </c>
      <c r="F4603" s="20">
        <f>""</f>
        <v/>
      </c>
      <c r="G4603">
        <f>IF($C4603="","","Por la venta segun comprobante a "&amp;Registro_Ventas!$E$20)</f>
        <v/>
      </c>
      <c r="H4603">
        <f>IF($C4603="","",Registro_Ventas!$C$20)</f>
        <v/>
      </c>
    </row>
    <row r="4604">
      <c r="A4604" s="25">
        <f>IF($C4604="","",Registro_Ventas!$B$20)</f>
        <v/>
      </c>
      <c r="B4604">
        <f>IF($C4604="","","V"&amp;TEXT(INT((ROW()-4507)/6)+1,"000")&amp;"-1")</f>
        <v/>
      </c>
      <c r="C4604">
        <f>IF(Registro_Ventas!$C$20="","","70")</f>
        <v/>
      </c>
      <c r="D4604">
        <f>IF($C4604="","","Ventas")</f>
        <v/>
      </c>
      <c r="E4604" s="20">
        <f>""</f>
        <v/>
      </c>
      <c r="F4604" s="20">
        <f>IF($C4604="","",Registro_Ventas!$G$20)</f>
        <v/>
      </c>
      <c r="G4604">
        <f>IF($C4604="","","Por la venta segun comprobante a "&amp;Registro_Ventas!$E$20)</f>
        <v/>
      </c>
      <c r="H4604">
        <f>IF($C4604="","",Registro_Ventas!$C$20)</f>
        <v/>
      </c>
    </row>
    <row r="4605">
      <c r="A4605" s="25">
        <f>IF($C4605="","",Registro_Ventas!$B$20)</f>
        <v/>
      </c>
      <c r="B4605">
        <f>IF($C4605="","","V"&amp;TEXT(INT((ROW()-4507)/6)+1,"000")&amp;"-1")</f>
        <v/>
      </c>
      <c r="C4605">
        <f>IF(OR(Registro_Ventas!$C$20="",Registro_Ventas!$R$20="SI"),"","40111")</f>
        <v/>
      </c>
      <c r="D4605">
        <f>IF($C4605="","","IGV - Cuenta Propia (Debito Fiscal)")</f>
        <v/>
      </c>
      <c r="E4605" s="20">
        <f>""</f>
        <v/>
      </c>
      <c r="F4605" s="20">
        <f>IF($C4605="","",Registro_Ventas!$H$20)</f>
        <v/>
      </c>
      <c r="G4605">
        <f>IF($C4605="","","Por la venta segun comprobante a "&amp;Registro_Ventas!$E$20)</f>
        <v/>
      </c>
      <c r="H4605">
        <f>IF($C4605="","",Registro_Ventas!$C$20)</f>
        <v/>
      </c>
    </row>
    <row r="4606">
      <c r="A4606" s="25">
        <f>IF($C4606="","",Registro_Ventas!$P$20)</f>
        <v/>
      </c>
      <c r="B4606">
        <f>IF($C4606="","","V"&amp;TEXT(INT((ROW()-4507)/6)+1,"000")&amp;"-2")</f>
        <v/>
      </c>
      <c r="C4606">
        <f>IF(OR(Registro_Ventas!$C$20="",Registro_Ventas!$O$20&lt;&gt;"SI"),"","10413")</f>
        <v/>
      </c>
      <c r="D4606">
        <f>IF($C4606="","","Efectivo y Equivalentes - Cta. Cte. Operativa")</f>
        <v/>
      </c>
      <c r="E4606" s="20">
        <f>IF($C4606="","",Registro_Ventas!$N$20)</f>
        <v/>
      </c>
      <c r="F4606" s="20">
        <f>""</f>
        <v/>
      </c>
      <c r="G4606">
        <f>IF($C4606="","","Por la cobranza de la factura")</f>
        <v/>
      </c>
      <c r="H4606">
        <f>IF($C4606="","",Registro_Ventas!$C$20)</f>
        <v/>
      </c>
    </row>
    <row r="4607">
      <c r="A4607" s="25">
        <f>IF($C4607="","",Registro_Ventas!$P$20)</f>
        <v/>
      </c>
      <c r="B4607">
        <f>IF($C4607="","","V"&amp;TEXT(INT((ROW()-4507)/6)+1,"000")&amp;"-2")</f>
        <v/>
      </c>
      <c r="C4607">
        <f>IF(OR(OR(Registro_Ventas!$C$20="",Registro_Ventas!$O$20&lt;&gt;"SI"),Registro_Ventas!$J$20&lt;&gt;"SI"),"","10421")</f>
        <v/>
      </c>
      <c r="D4607">
        <f>IF($C4607="","","Efectivo - Cuenta de Detracciones (Banco de la Nacion)")</f>
        <v/>
      </c>
      <c r="E4607" s="20">
        <f>IF($C4607="","",Registro_Ventas!$M$20)</f>
        <v/>
      </c>
      <c r="F4607" s="20">
        <f>""</f>
        <v/>
      </c>
      <c r="G4607">
        <f>IF($C4607="","","Detraccion retenida por el cliente")</f>
        <v/>
      </c>
      <c r="H4607">
        <f>IF($C4607="","",Registro_Ventas!$C$20)</f>
        <v/>
      </c>
    </row>
    <row r="4608">
      <c r="A4608" s="25">
        <f>IF($C4608="","",Registro_Ventas!$P$20)</f>
        <v/>
      </c>
      <c r="B4608">
        <f>IF($C4608="","","V"&amp;TEXT(INT((ROW()-4507)/6)+1,"000")&amp;"-2")</f>
        <v/>
      </c>
      <c r="C4608">
        <f>IF(OR(Registro_Ventas!$C$20="",Registro_Ventas!$O$20&lt;&gt;"SI"),"","12")</f>
        <v/>
      </c>
      <c r="D4608">
        <f>IF($C4608="","","Cuentas por Cobrar Comerciales - Terceros")</f>
        <v/>
      </c>
      <c r="E4608" s="20">
        <f>""</f>
        <v/>
      </c>
      <c r="F4608" s="20">
        <f>IF($C4608="","",Registro_Ventas!$I$20)</f>
        <v/>
      </c>
      <c r="G4608">
        <f>IF($C4608="","","Por la cobranza de la factura")</f>
        <v/>
      </c>
      <c r="H4608">
        <f>IF($C4608="","",Registro_Ventas!$C$20)</f>
        <v/>
      </c>
    </row>
    <row r="4609">
      <c r="A4609" s="25">
        <f>IF($C4609="","",Registro_Ventas!$B$21)</f>
        <v/>
      </c>
      <c r="B4609">
        <f>IF($C4609="","","V"&amp;TEXT(INT((ROW()-4507)/6)+1,"000")&amp;"-1")</f>
        <v/>
      </c>
      <c r="C4609">
        <f>IF(Registro_Ventas!$C$21="","","12")</f>
        <v/>
      </c>
      <c r="D4609">
        <f>IF($C4609="","","Cuentas por Cobrar Comerciales - Terceros")</f>
        <v/>
      </c>
      <c r="E4609" s="20">
        <f>IF($C4609="","",Registro_Ventas!$I$21)</f>
        <v/>
      </c>
      <c r="F4609" s="20">
        <f>""</f>
        <v/>
      </c>
      <c r="G4609">
        <f>IF($C4609="","","Por la venta segun comprobante a "&amp;Registro_Ventas!$E$21)</f>
        <v/>
      </c>
      <c r="H4609">
        <f>IF($C4609="","",Registro_Ventas!$C$21)</f>
        <v/>
      </c>
    </row>
    <row r="4610">
      <c r="A4610" s="25">
        <f>IF($C4610="","",Registro_Ventas!$B$21)</f>
        <v/>
      </c>
      <c r="B4610">
        <f>IF($C4610="","","V"&amp;TEXT(INT((ROW()-4507)/6)+1,"000")&amp;"-1")</f>
        <v/>
      </c>
      <c r="C4610">
        <f>IF(Registro_Ventas!$C$21="","","70")</f>
        <v/>
      </c>
      <c r="D4610">
        <f>IF($C4610="","","Ventas")</f>
        <v/>
      </c>
      <c r="E4610" s="20">
        <f>""</f>
        <v/>
      </c>
      <c r="F4610" s="20">
        <f>IF($C4610="","",Registro_Ventas!$G$21)</f>
        <v/>
      </c>
      <c r="G4610">
        <f>IF($C4610="","","Por la venta segun comprobante a "&amp;Registro_Ventas!$E$21)</f>
        <v/>
      </c>
      <c r="H4610">
        <f>IF($C4610="","",Registro_Ventas!$C$21)</f>
        <v/>
      </c>
    </row>
    <row r="4611">
      <c r="A4611" s="25">
        <f>IF($C4611="","",Registro_Ventas!$B$21)</f>
        <v/>
      </c>
      <c r="B4611">
        <f>IF($C4611="","","V"&amp;TEXT(INT((ROW()-4507)/6)+1,"000")&amp;"-1")</f>
        <v/>
      </c>
      <c r="C4611">
        <f>IF(OR(Registro_Ventas!$C$21="",Registro_Ventas!$R$21="SI"),"","40111")</f>
        <v/>
      </c>
      <c r="D4611">
        <f>IF($C4611="","","IGV - Cuenta Propia (Debito Fiscal)")</f>
        <v/>
      </c>
      <c r="E4611" s="20">
        <f>""</f>
        <v/>
      </c>
      <c r="F4611" s="20">
        <f>IF($C4611="","",Registro_Ventas!$H$21)</f>
        <v/>
      </c>
      <c r="G4611">
        <f>IF($C4611="","","Por la venta segun comprobante a "&amp;Registro_Ventas!$E$21)</f>
        <v/>
      </c>
      <c r="H4611">
        <f>IF($C4611="","",Registro_Ventas!$C$21)</f>
        <v/>
      </c>
    </row>
    <row r="4612">
      <c r="A4612" s="25">
        <f>IF($C4612="","",Registro_Ventas!$P$21)</f>
        <v/>
      </c>
      <c r="B4612">
        <f>IF($C4612="","","V"&amp;TEXT(INT((ROW()-4507)/6)+1,"000")&amp;"-2")</f>
        <v/>
      </c>
      <c r="C4612">
        <f>IF(OR(Registro_Ventas!$C$21="",Registro_Ventas!$O$21&lt;&gt;"SI"),"","10413")</f>
        <v/>
      </c>
      <c r="D4612">
        <f>IF($C4612="","","Efectivo y Equivalentes - Cta. Cte. Operativa")</f>
        <v/>
      </c>
      <c r="E4612" s="20">
        <f>IF($C4612="","",Registro_Ventas!$N$21)</f>
        <v/>
      </c>
      <c r="F4612" s="20">
        <f>""</f>
        <v/>
      </c>
      <c r="G4612">
        <f>IF($C4612="","","Por la cobranza de la factura")</f>
        <v/>
      </c>
      <c r="H4612">
        <f>IF($C4612="","",Registro_Ventas!$C$21)</f>
        <v/>
      </c>
    </row>
    <row r="4613">
      <c r="A4613" s="25">
        <f>IF($C4613="","",Registro_Ventas!$P$21)</f>
        <v/>
      </c>
      <c r="B4613">
        <f>IF($C4613="","","V"&amp;TEXT(INT((ROW()-4507)/6)+1,"000")&amp;"-2")</f>
        <v/>
      </c>
      <c r="C4613">
        <f>IF(OR(OR(Registro_Ventas!$C$21="",Registro_Ventas!$O$21&lt;&gt;"SI"),Registro_Ventas!$J$21&lt;&gt;"SI"),"","10421")</f>
        <v/>
      </c>
      <c r="D4613">
        <f>IF($C4613="","","Efectivo - Cuenta de Detracciones (Banco de la Nacion)")</f>
        <v/>
      </c>
      <c r="E4613" s="20">
        <f>IF($C4613="","",Registro_Ventas!$M$21)</f>
        <v/>
      </c>
      <c r="F4613" s="20">
        <f>""</f>
        <v/>
      </c>
      <c r="G4613">
        <f>IF($C4613="","","Detraccion retenida por el cliente")</f>
        <v/>
      </c>
      <c r="H4613">
        <f>IF($C4613="","",Registro_Ventas!$C$21)</f>
        <v/>
      </c>
    </row>
    <row r="4614">
      <c r="A4614" s="25">
        <f>IF($C4614="","",Registro_Ventas!$P$21)</f>
        <v/>
      </c>
      <c r="B4614">
        <f>IF($C4614="","","V"&amp;TEXT(INT((ROW()-4507)/6)+1,"000")&amp;"-2")</f>
        <v/>
      </c>
      <c r="C4614">
        <f>IF(OR(Registro_Ventas!$C$21="",Registro_Ventas!$O$21&lt;&gt;"SI"),"","12")</f>
        <v/>
      </c>
      <c r="D4614">
        <f>IF($C4614="","","Cuentas por Cobrar Comerciales - Terceros")</f>
        <v/>
      </c>
      <c r="E4614" s="20">
        <f>""</f>
        <v/>
      </c>
      <c r="F4614" s="20">
        <f>IF($C4614="","",Registro_Ventas!$I$21)</f>
        <v/>
      </c>
      <c r="G4614">
        <f>IF($C4614="","","Por la cobranza de la factura")</f>
        <v/>
      </c>
      <c r="H4614">
        <f>IF($C4614="","",Registro_Ventas!$C$21)</f>
        <v/>
      </c>
    </row>
    <row r="4615">
      <c r="A4615" s="25">
        <f>IF($C4615="","",Registro_Ventas!$B$22)</f>
        <v/>
      </c>
      <c r="B4615">
        <f>IF($C4615="","","V"&amp;TEXT(INT((ROW()-4507)/6)+1,"000")&amp;"-1")</f>
        <v/>
      </c>
      <c r="C4615">
        <f>IF(Registro_Ventas!$C$22="","","12")</f>
        <v/>
      </c>
      <c r="D4615">
        <f>IF($C4615="","","Cuentas por Cobrar Comerciales - Terceros")</f>
        <v/>
      </c>
      <c r="E4615" s="20">
        <f>IF($C4615="","",Registro_Ventas!$I$22)</f>
        <v/>
      </c>
      <c r="F4615" s="20">
        <f>""</f>
        <v/>
      </c>
      <c r="G4615">
        <f>IF($C4615="","","Por la venta segun comprobante a "&amp;Registro_Ventas!$E$22)</f>
        <v/>
      </c>
      <c r="H4615">
        <f>IF($C4615="","",Registro_Ventas!$C$22)</f>
        <v/>
      </c>
    </row>
    <row r="4616">
      <c r="A4616" s="25">
        <f>IF($C4616="","",Registro_Ventas!$B$22)</f>
        <v/>
      </c>
      <c r="B4616">
        <f>IF($C4616="","","V"&amp;TEXT(INT((ROW()-4507)/6)+1,"000")&amp;"-1")</f>
        <v/>
      </c>
      <c r="C4616">
        <f>IF(Registro_Ventas!$C$22="","","70")</f>
        <v/>
      </c>
      <c r="D4616">
        <f>IF($C4616="","","Ventas")</f>
        <v/>
      </c>
      <c r="E4616" s="20">
        <f>""</f>
        <v/>
      </c>
      <c r="F4616" s="20">
        <f>IF($C4616="","",Registro_Ventas!$G$22)</f>
        <v/>
      </c>
      <c r="G4616">
        <f>IF($C4616="","","Por la venta segun comprobante a "&amp;Registro_Ventas!$E$22)</f>
        <v/>
      </c>
      <c r="H4616">
        <f>IF($C4616="","",Registro_Ventas!$C$22)</f>
        <v/>
      </c>
    </row>
    <row r="4617">
      <c r="A4617" s="25">
        <f>IF($C4617="","",Registro_Ventas!$B$22)</f>
        <v/>
      </c>
      <c r="B4617">
        <f>IF($C4617="","","V"&amp;TEXT(INT((ROW()-4507)/6)+1,"000")&amp;"-1")</f>
        <v/>
      </c>
      <c r="C4617">
        <f>IF(OR(Registro_Ventas!$C$22="",Registro_Ventas!$R$22="SI"),"","40111")</f>
        <v/>
      </c>
      <c r="D4617">
        <f>IF($C4617="","","IGV - Cuenta Propia (Debito Fiscal)")</f>
        <v/>
      </c>
      <c r="E4617" s="20">
        <f>""</f>
        <v/>
      </c>
      <c r="F4617" s="20">
        <f>IF($C4617="","",Registro_Ventas!$H$22)</f>
        <v/>
      </c>
      <c r="G4617">
        <f>IF($C4617="","","Por la venta segun comprobante a "&amp;Registro_Ventas!$E$22)</f>
        <v/>
      </c>
      <c r="H4617">
        <f>IF($C4617="","",Registro_Ventas!$C$22)</f>
        <v/>
      </c>
    </row>
    <row r="4618">
      <c r="A4618" s="25">
        <f>IF($C4618="","",Registro_Ventas!$P$22)</f>
        <v/>
      </c>
      <c r="B4618">
        <f>IF($C4618="","","V"&amp;TEXT(INT((ROW()-4507)/6)+1,"000")&amp;"-2")</f>
        <v/>
      </c>
      <c r="C4618">
        <f>IF(OR(Registro_Ventas!$C$22="",Registro_Ventas!$O$22&lt;&gt;"SI"),"","10413")</f>
        <v/>
      </c>
      <c r="D4618">
        <f>IF($C4618="","","Efectivo y Equivalentes - Cta. Cte. Operativa")</f>
        <v/>
      </c>
      <c r="E4618" s="20">
        <f>IF($C4618="","",Registro_Ventas!$N$22)</f>
        <v/>
      </c>
      <c r="F4618" s="20">
        <f>""</f>
        <v/>
      </c>
      <c r="G4618">
        <f>IF($C4618="","","Por la cobranza de la factura")</f>
        <v/>
      </c>
      <c r="H4618">
        <f>IF($C4618="","",Registro_Ventas!$C$22)</f>
        <v/>
      </c>
    </row>
    <row r="4619">
      <c r="A4619" s="25">
        <f>IF($C4619="","",Registro_Ventas!$P$22)</f>
        <v/>
      </c>
      <c r="B4619">
        <f>IF($C4619="","","V"&amp;TEXT(INT((ROW()-4507)/6)+1,"000")&amp;"-2")</f>
        <v/>
      </c>
      <c r="C4619">
        <f>IF(OR(OR(Registro_Ventas!$C$22="",Registro_Ventas!$O$22&lt;&gt;"SI"),Registro_Ventas!$J$22&lt;&gt;"SI"),"","10421")</f>
        <v/>
      </c>
      <c r="D4619">
        <f>IF($C4619="","","Efectivo - Cuenta de Detracciones (Banco de la Nacion)")</f>
        <v/>
      </c>
      <c r="E4619" s="20">
        <f>IF($C4619="","",Registro_Ventas!$M$22)</f>
        <v/>
      </c>
      <c r="F4619" s="20">
        <f>""</f>
        <v/>
      </c>
      <c r="G4619">
        <f>IF($C4619="","","Detraccion retenida por el cliente")</f>
        <v/>
      </c>
      <c r="H4619">
        <f>IF($C4619="","",Registro_Ventas!$C$22)</f>
        <v/>
      </c>
    </row>
    <row r="4620">
      <c r="A4620" s="25">
        <f>IF($C4620="","",Registro_Ventas!$P$22)</f>
        <v/>
      </c>
      <c r="B4620">
        <f>IF($C4620="","","V"&amp;TEXT(INT((ROW()-4507)/6)+1,"000")&amp;"-2")</f>
        <v/>
      </c>
      <c r="C4620">
        <f>IF(OR(Registro_Ventas!$C$22="",Registro_Ventas!$O$22&lt;&gt;"SI"),"","12")</f>
        <v/>
      </c>
      <c r="D4620">
        <f>IF($C4620="","","Cuentas por Cobrar Comerciales - Terceros")</f>
        <v/>
      </c>
      <c r="E4620" s="20">
        <f>""</f>
        <v/>
      </c>
      <c r="F4620" s="20">
        <f>IF($C4620="","",Registro_Ventas!$I$22)</f>
        <v/>
      </c>
      <c r="G4620">
        <f>IF($C4620="","","Por la cobranza de la factura")</f>
        <v/>
      </c>
      <c r="H4620">
        <f>IF($C4620="","",Registro_Ventas!$C$22)</f>
        <v/>
      </c>
    </row>
    <row r="4621">
      <c r="A4621" s="25">
        <f>IF($C4621="","",Registro_Ventas!$B$23)</f>
        <v/>
      </c>
      <c r="B4621">
        <f>IF($C4621="","","V"&amp;TEXT(INT((ROW()-4507)/6)+1,"000")&amp;"-1")</f>
        <v/>
      </c>
      <c r="C4621">
        <f>IF(Registro_Ventas!$C$23="","","12")</f>
        <v/>
      </c>
      <c r="D4621">
        <f>IF($C4621="","","Cuentas por Cobrar Comerciales - Terceros")</f>
        <v/>
      </c>
      <c r="E4621" s="20">
        <f>IF($C4621="","",Registro_Ventas!$I$23)</f>
        <v/>
      </c>
      <c r="F4621" s="20">
        <f>""</f>
        <v/>
      </c>
      <c r="G4621">
        <f>IF($C4621="","","Por la venta segun comprobante a "&amp;Registro_Ventas!$E$23)</f>
        <v/>
      </c>
      <c r="H4621">
        <f>IF($C4621="","",Registro_Ventas!$C$23)</f>
        <v/>
      </c>
    </row>
    <row r="4622">
      <c r="A4622" s="25">
        <f>IF($C4622="","",Registro_Ventas!$B$23)</f>
        <v/>
      </c>
      <c r="B4622">
        <f>IF($C4622="","","V"&amp;TEXT(INT((ROW()-4507)/6)+1,"000")&amp;"-1")</f>
        <v/>
      </c>
      <c r="C4622">
        <f>IF(Registro_Ventas!$C$23="","","70")</f>
        <v/>
      </c>
      <c r="D4622">
        <f>IF($C4622="","","Ventas")</f>
        <v/>
      </c>
      <c r="E4622" s="20">
        <f>""</f>
        <v/>
      </c>
      <c r="F4622" s="20">
        <f>IF($C4622="","",Registro_Ventas!$G$23)</f>
        <v/>
      </c>
      <c r="G4622">
        <f>IF($C4622="","","Por la venta segun comprobante a "&amp;Registro_Ventas!$E$23)</f>
        <v/>
      </c>
      <c r="H4622">
        <f>IF($C4622="","",Registro_Ventas!$C$23)</f>
        <v/>
      </c>
    </row>
    <row r="4623">
      <c r="A4623" s="25">
        <f>IF($C4623="","",Registro_Ventas!$B$23)</f>
        <v/>
      </c>
      <c r="B4623">
        <f>IF($C4623="","","V"&amp;TEXT(INT((ROW()-4507)/6)+1,"000")&amp;"-1")</f>
        <v/>
      </c>
      <c r="C4623">
        <f>IF(OR(Registro_Ventas!$C$23="",Registro_Ventas!$R$23="SI"),"","40111")</f>
        <v/>
      </c>
      <c r="D4623">
        <f>IF($C4623="","","IGV - Cuenta Propia (Debito Fiscal)")</f>
        <v/>
      </c>
      <c r="E4623" s="20">
        <f>""</f>
        <v/>
      </c>
      <c r="F4623" s="20">
        <f>IF($C4623="","",Registro_Ventas!$H$23)</f>
        <v/>
      </c>
      <c r="G4623">
        <f>IF($C4623="","","Por la venta segun comprobante a "&amp;Registro_Ventas!$E$23)</f>
        <v/>
      </c>
      <c r="H4623">
        <f>IF($C4623="","",Registro_Ventas!$C$23)</f>
        <v/>
      </c>
    </row>
    <row r="4624">
      <c r="A4624" s="25">
        <f>IF($C4624="","",Registro_Ventas!$P$23)</f>
        <v/>
      </c>
      <c r="B4624">
        <f>IF($C4624="","","V"&amp;TEXT(INT((ROW()-4507)/6)+1,"000")&amp;"-2")</f>
        <v/>
      </c>
      <c r="C4624">
        <f>IF(OR(Registro_Ventas!$C$23="",Registro_Ventas!$O$23&lt;&gt;"SI"),"","10413")</f>
        <v/>
      </c>
      <c r="D4624">
        <f>IF($C4624="","","Efectivo y Equivalentes - Cta. Cte. Operativa")</f>
        <v/>
      </c>
      <c r="E4624" s="20">
        <f>IF($C4624="","",Registro_Ventas!$N$23)</f>
        <v/>
      </c>
      <c r="F4624" s="20">
        <f>""</f>
        <v/>
      </c>
      <c r="G4624">
        <f>IF($C4624="","","Por la cobranza de la factura")</f>
        <v/>
      </c>
      <c r="H4624">
        <f>IF($C4624="","",Registro_Ventas!$C$23)</f>
        <v/>
      </c>
    </row>
    <row r="4625">
      <c r="A4625" s="25">
        <f>IF($C4625="","",Registro_Ventas!$P$23)</f>
        <v/>
      </c>
      <c r="B4625">
        <f>IF($C4625="","","V"&amp;TEXT(INT((ROW()-4507)/6)+1,"000")&amp;"-2")</f>
        <v/>
      </c>
      <c r="C4625">
        <f>IF(OR(OR(Registro_Ventas!$C$23="",Registro_Ventas!$O$23&lt;&gt;"SI"),Registro_Ventas!$J$23&lt;&gt;"SI"),"","10421")</f>
        <v/>
      </c>
      <c r="D4625">
        <f>IF($C4625="","","Efectivo - Cuenta de Detracciones (Banco de la Nacion)")</f>
        <v/>
      </c>
      <c r="E4625" s="20">
        <f>IF($C4625="","",Registro_Ventas!$M$23)</f>
        <v/>
      </c>
      <c r="F4625" s="20">
        <f>""</f>
        <v/>
      </c>
      <c r="G4625">
        <f>IF($C4625="","","Detraccion retenida por el cliente")</f>
        <v/>
      </c>
      <c r="H4625">
        <f>IF($C4625="","",Registro_Ventas!$C$23)</f>
        <v/>
      </c>
    </row>
    <row r="4626">
      <c r="A4626" s="25">
        <f>IF($C4626="","",Registro_Ventas!$P$23)</f>
        <v/>
      </c>
      <c r="B4626">
        <f>IF($C4626="","","V"&amp;TEXT(INT((ROW()-4507)/6)+1,"000")&amp;"-2")</f>
        <v/>
      </c>
      <c r="C4626">
        <f>IF(OR(Registro_Ventas!$C$23="",Registro_Ventas!$O$23&lt;&gt;"SI"),"","12")</f>
        <v/>
      </c>
      <c r="D4626">
        <f>IF($C4626="","","Cuentas por Cobrar Comerciales - Terceros")</f>
        <v/>
      </c>
      <c r="E4626" s="20">
        <f>""</f>
        <v/>
      </c>
      <c r="F4626" s="20">
        <f>IF($C4626="","",Registro_Ventas!$I$23)</f>
        <v/>
      </c>
      <c r="G4626">
        <f>IF($C4626="","","Por la cobranza de la factura")</f>
        <v/>
      </c>
      <c r="H4626">
        <f>IF($C4626="","",Registro_Ventas!$C$23)</f>
        <v/>
      </c>
    </row>
    <row r="4627">
      <c r="A4627" s="25">
        <f>IF($C4627="","",Registro_Ventas!$B$24)</f>
        <v/>
      </c>
      <c r="B4627">
        <f>IF($C4627="","","V"&amp;TEXT(INT((ROW()-4507)/6)+1,"000")&amp;"-1")</f>
        <v/>
      </c>
      <c r="C4627">
        <f>IF(Registro_Ventas!$C$24="","","12")</f>
        <v/>
      </c>
      <c r="D4627">
        <f>IF($C4627="","","Cuentas por Cobrar Comerciales - Terceros")</f>
        <v/>
      </c>
      <c r="E4627" s="20">
        <f>IF($C4627="","",Registro_Ventas!$I$24)</f>
        <v/>
      </c>
      <c r="F4627" s="20">
        <f>""</f>
        <v/>
      </c>
      <c r="G4627">
        <f>IF($C4627="","","Por la venta segun comprobante a "&amp;Registro_Ventas!$E$24)</f>
        <v/>
      </c>
      <c r="H4627">
        <f>IF($C4627="","",Registro_Ventas!$C$24)</f>
        <v/>
      </c>
    </row>
    <row r="4628">
      <c r="A4628" s="25">
        <f>IF($C4628="","",Registro_Ventas!$B$24)</f>
        <v/>
      </c>
      <c r="B4628">
        <f>IF($C4628="","","V"&amp;TEXT(INT((ROW()-4507)/6)+1,"000")&amp;"-1")</f>
        <v/>
      </c>
      <c r="C4628">
        <f>IF(Registro_Ventas!$C$24="","","70")</f>
        <v/>
      </c>
      <c r="D4628">
        <f>IF($C4628="","","Ventas")</f>
        <v/>
      </c>
      <c r="E4628" s="20">
        <f>""</f>
        <v/>
      </c>
      <c r="F4628" s="20">
        <f>IF($C4628="","",Registro_Ventas!$G$24)</f>
        <v/>
      </c>
      <c r="G4628">
        <f>IF($C4628="","","Por la venta segun comprobante a "&amp;Registro_Ventas!$E$24)</f>
        <v/>
      </c>
      <c r="H4628">
        <f>IF($C4628="","",Registro_Ventas!$C$24)</f>
        <v/>
      </c>
    </row>
    <row r="4629">
      <c r="A4629" s="25">
        <f>IF($C4629="","",Registro_Ventas!$B$24)</f>
        <v/>
      </c>
      <c r="B4629">
        <f>IF($C4629="","","V"&amp;TEXT(INT((ROW()-4507)/6)+1,"000")&amp;"-1")</f>
        <v/>
      </c>
      <c r="C4629">
        <f>IF(OR(Registro_Ventas!$C$24="",Registro_Ventas!$R$24="SI"),"","40111")</f>
        <v/>
      </c>
      <c r="D4629">
        <f>IF($C4629="","","IGV - Cuenta Propia (Debito Fiscal)")</f>
        <v/>
      </c>
      <c r="E4629" s="20">
        <f>""</f>
        <v/>
      </c>
      <c r="F4629" s="20">
        <f>IF($C4629="","",Registro_Ventas!$H$24)</f>
        <v/>
      </c>
      <c r="G4629">
        <f>IF($C4629="","","Por la venta segun comprobante a "&amp;Registro_Ventas!$E$24)</f>
        <v/>
      </c>
      <c r="H4629">
        <f>IF($C4629="","",Registro_Ventas!$C$24)</f>
        <v/>
      </c>
    </row>
    <row r="4630">
      <c r="A4630" s="25">
        <f>IF($C4630="","",Registro_Ventas!$P$24)</f>
        <v/>
      </c>
      <c r="B4630">
        <f>IF($C4630="","","V"&amp;TEXT(INT((ROW()-4507)/6)+1,"000")&amp;"-2")</f>
        <v/>
      </c>
      <c r="C4630">
        <f>IF(OR(Registro_Ventas!$C$24="",Registro_Ventas!$O$24&lt;&gt;"SI"),"","10413")</f>
        <v/>
      </c>
      <c r="D4630">
        <f>IF($C4630="","","Efectivo y Equivalentes - Cta. Cte. Operativa")</f>
        <v/>
      </c>
      <c r="E4630" s="20">
        <f>IF($C4630="","",Registro_Ventas!$N$24)</f>
        <v/>
      </c>
      <c r="F4630" s="20">
        <f>""</f>
        <v/>
      </c>
      <c r="G4630">
        <f>IF($C4630="","","Por la cobranza de la factura")</f>
        <v/>
      </c>
      <c r="H4630">
        <f>IF($C4630="","",Registro_Ventas!$C$24)</f>
        <v/>
      </c>
    </row>
    <row r="4631">
      <c r="A4631" s="25">
        <f>IF($C4631="","",Registro_Ventas!$P$24)</f>
        <v/>
      </c>
      <c r="B4631">
        <f>IF($C4631="","","V"&amp;TEXT(INT((ROW()-4507)/6)+1,"000")&amp;"-2")</f>
        <v/>
      </c>
      <c r="C4631">
        <f>IF(OR(OR(Registro_Ventas!$C$24="",Registro_Ventas!$O$24&lt;&gt;"SI"),Registro_Ventas!$J$24&lt;&gt;"SI"),"","10421")</f>
        <v/>
      </c>
      <c r="D4631">
        <f>IF($C4631="","","Efectivo - Cuenta de Detracciones (Banco de la Nacion)")</f>
        <v/>
      </c>
      <c r="E4631" s="20">
        <f>IF($C4631="","",Registro_Ventas!$M$24)</f>
        <v/>
      </c>
      <c r="F4631" s="20">
        <f>""</f>
        <v/>
      </c>
      <c r="G4631">
        <f>IF($C4631="","","Detraccion retenida por el cliente")</f>
        <v/>
      </c>
      <c r="H4631">
        <f>IF($C4631="","",Registro_Ventas!$C$24)</f>
        <v/>
      </c>
    </row>
    <row r="4632">
      <c r="A4632" s="25">
        <f>IF($C4632="","",Registro_Ventas!$P$24)</f>
        <v/>
      </c>
      <c r="B4632">
        <f>IF($C4632="","","V"&amp;TEXT(INT((ROW()-4507)/6)+1,"000")&amp;"-2")</f>
        <v/>
      </c>
      <c r="C4632">
        <f>IF(OR(Registro_Ventas!$C$24="",Registro_Ventas!$O$24&lt;&gt;"SI"),"","12")</f>
        <v/>
      </c>
      <c r="D4632">
        <f>IF($C4632="","","Cuentas por Cobrar Comerciales - Terceros")</f>
        <v/>
      </c>
      <c r="E4632" s="20">
        <f>""</f>
        <v/>
      </c>
      <c r="F4632" s="20">
        <f>IF($C4632="","",Registro_Ventas!$I$24)</f>
        <v/>
      </c>
      <c r="G4632">
        <f>IF($C4632="","","Por la cobranza de la factura")</f>
        <v/>
      </c>
      <c r="H4632">
        <f>IF($C4632="","",Registro_Ventas!$C$24)</f>
        <v/>
      </c>
    </row>
    <row r="4633">
      <c r="A4633" s="25">
        <f>IF($C4633="","",Registro_Ventas!$B$25)</f>
        <v/>
      </c>
      <c r="B4633">
        <f>IF($C4633="","","V"&amp;TEXT(INT((ROW()-4507)/6)+1,"000")&amp;"-1")</f>
        <v/>
      </c>
      <c r="C4633">
        <f>IF(Registro_Ventas!$C$25="","","12")</f>
        <v/>
      </c>
      <c r="D4633">
        <f>IF($C4633="","","Cuentas por Cobrar Comerciales - Terceros")</f>
        <v/>
      </c>
      <c r="E4633" s="20">
        <f>IF($C4633="","",Registro_Ventas!$I$25)</f>
        <v/>
      </c>
      <c r="F4633" s="20">
        <f>""</f>
        <v/>
      </c>
      <c r="G4633">
        <f>IF($C4633="","","Por la venta segun comprobante a "&amp;Registro_Ventas!$E$25)</f>
        <v/>
      </c>
      <c r="H4633">
        <f>IF($C4633="","",Registro_Ventas!$C$25)</f>
        <v/>
      </c>
    </row>
    <row r="4634">
      <c r="A4634" s="25">
        <f>IF($C4634="","",Registro_Ventas!$B$25)</f>
        <v/>
      </c>
      <c r="B4634">
        <f>IF($C4634="","","V"&amp;TEXT(INT((ROW()-4507)/6)+1,"000")&amp;"-1")</f>
        <v/>
      </c>
      <c r="C4634">
        <f>IF(Registro_Ventas!$C$25="","","70")</f>
        <v/>
      </c>
      <c r="D4634">
        <f>IF($C4634="","","Ventas")</f>
        <v/>
      </c>
      <c r="E4634" s="20">
        <f>""</f>
        <v/>
      </c>
      <c r="F4634" s="20">
        <f>IF($C4634="","",Registro_Ventas!$G$25)</f>
        <v/>
      </c>
      <c r="G4634">
        <f>IF($C4634="","","Por la venta segun comprobante a "&amp;Registro_Ventas!$E$25)</f>
        <v/>
      </c>
      <c r="H4634">
        <f>IF($C4634="","",Registro_Ventas!$C$25)</f>
        <v/>
      </c>
    </row>
    <row r="4635">
      <c r="A4635" s="25">
        <f>IF($C4635="","",Registro_Ventas!$B$25)</f>
        <v/>
      </c>
      <c r="B4635">
        <f>IF($C4635="","","V"&amp;TEXT(INT((ROW()-4507)/6)+1,"000")&amp;"-1")</f>
        <v/>
      </c>
      <c r="C4635">
        <f>IF(OR(Registro_Ventas!$C$25="",Registro_Ventas!$R$25="SI"),"","40111")</f>
        <v/>
      </c>
      <c r="D4635">
        <f>IF($C4635="","","IGV - Cuenta Propia (Debito Fiscal)")</f>
        <v/>
      </c>
      <c r="E4635" s="20">
        <f>""</f>
        <v/>
      </c>
      <c r="F4635" s="20">
        <f>IF($C4635="","",Registro_Ventas!$H$25)</f>
        <v/>
      </c>
      <c r="G4635">
        <f>IF($C4635="","","Por la venta segun comprobante a "&amp;Registro_Ventas!$E$25)</f>
        <v/>
      </c>
      <c r="H4635">
        <f>IF($C4635="","",Registro_Ventas!$C$25)</f>
        <v/>
      </c>
    </row>
    <row r="4636">
      <c r="A4636" s="25">
        <f>IF($C4636="","",Registro_Ventas!$P$25)</f>
        <v/>
      </c>
      <c r="B4636">
        <f>IF($C4636="","","V"&amp;TEXT(INT((ROW()-4507)/6)+1,"000")&amp;"-2")</f>
        <v/>
      </c>
      <c r="C4636">
        <f>IF(OR(Registro_Ventas!$C$25="",Registro_Ventas!$O$25&lt;&gt;"SI"),"","10413")</f>
        <v/>
      </c>
      <c r="D4636">
        <f>IF($C4636="","","Efectivo y Equivalentes - Cta. Cte. Operativa")</f>
        <v/>
      </c>
      <c r="E4636" s="20">
        <f>IF($C4636="","",Registro_Ventas!$N$25)</f>
        <v/>
      </c>
      <c r="F4636" s="20">
        <f>""</f>
        <v/>
      </c>
      <c r="G4636">
        <f>IF($C4636="","","Por la cobranza de la factura")</f>
        <v/>
      </c>
      <c r="H4636">
        <f>IF($C4636="","",Registro_Ventas!$C$25)</f>
        <v/>
      </c>
    </row>
    <row r="4637">
      <c r="A4637" s="25">
        <f>IF($C4637="","",Registro_Ventas!$P$25)</f>
        <v/>
      </c>
      <c r="B4637">
        <f>IF($C4637="","","V"&amp;TEXT(INT((ROW()-4507)/6)+1,"000")&amp;"-2")</f>
        <v/>
      </c>
      <c r="C4637">
        <f>IF(OR(OR(Registro_Ventas!$C$25="",Registro_Ventas!$O$25&lt;&gt;"SI"),Registro_Ventas!$J$25&lt;&gt;"SI"),"","10421")</f>
        <v/>
      </c>
      <c r="D4637">
        <f>IF($C4637="","","Efectivo - Cuenta de Detracciones (Banco de la Nacion)")</f>
        <v/>
      </c>
      <c r="E4637" s="20">
        <f>IF($C4637="","",Registro_Ventas!$M$25)</f>
        <v/>
      </c>
      <c r="F4637" s="20">
        <f>""</f>
        <v/>
      </c>
      <c r="G4637">
        <f>IF($C4637="","","Detraccion retenida por el cliente")</f>
        <v/>
      </c>
      <c r="H4637">
        <f>IF($C4637="","",Registro_Ventas!$C$25)</f>
        <v/>
      </c>
    </row>
    <row r="4638">
      <c r="A4638" s="25">
        <f>IF($C4638="","",Registro_Ventas!$P$25)</f>
        <v/>
      </c>
      <c r="B4638">
        <f>IF($C4638="","","V"&amp;TEXT(INT((ROW()-4507)/6)+1,"000")&amp;"-2")</f>
        <v/>
      </c>
      <c r="C4638">
        <f>IF(OR(Registro_Ventas!$C$25="",Registro_Ventas!$O$25&lt;&gt;"SI"),"","12")</f>
        <v/>
      </c>
      <c r="D4638">
        <f>IF($C4638="","","Cuentas por Cobrar Comerciales - Terceros")</f>
        <v/>
      </c>
      <c r="E4638" s="20">
        <f>""</f>
        <v/>
      </c>
      <c r="F4638" s="20">
        <f>IF($C4638="","",Registro_Ventas!$I$25)</f>
        <v/>
      </c>
      <c r="G4638">
        <f>IF($C4638="","","Por la cobranza de la factura")</f>
        <v/>
      </c>
      <c r="H4638">
        <f>IF($C4638="","",Registro_Ventas!$C$25)</f>
        <v/>
      </c>
    </row>
    <row r="4639">
      <c r="A4639" s="25">
        <f>IF($C4639="","",Registro_Ventas!$B$26)</f>
        <v/>
      </c>
      <c r="B4639">
        <f>IF($C4639="","","V"&amp;TEXT(INT((ROW()-4507)/6)+1,"000")&amp;"-1")</f>
        <v/>
      </c>
      <c r="C4639">
        <f>IF(Registro_Ventas!$C$26="","","12")</f>
        <v/>
      </c>
      <c r="D4639">
        <f>IF($C4639="","","Cuentas por Cobrar Comerciales - Terceros")</f>
        <v/>
      </c>
      <c r="E4639" s="20">
        <f>IF($C4639="","",Registro_Ventas!$I$26)</f>
        <v/>
      </c>
      <c r="F4639" s="20">
        <f>""</f>
        <v/>
      </c>
      <c r="G4639">
        <f>IF($C4639="","","Por la venta segun comprobante a "&amp;Registro_Ventas!$E$26)</f>
        <v/>
      </c>
      <c r="H4639">
        <f>IF($C4639="","",Registro_Ventas!$C$26)</f>
        <v/>
      </c>
    </row>
    <row r="4640">
      <c r="A4640" s="25">
        <f>IF($C4640="","",Registro_Ventas!$B$26)</f>
        <v/>
      </c>
      <c r="B4640">
        <f>IF($C4640="","","V"&amp;TEXT(INT((ROW()-4507)/6)+1,"000")&amp;"-1")</f>
        <v/>
      </c>
      <c r="C4640">
        <f>IF(Registro_Ventas!$C$26="","","70")</f>
        <v/>
      </c>
      <c r="D4640">
        <f>IF($C4640="","","Ventas")</f>
        <v/>
      </c>
      <c r="E4640" s="20">
        <f>""</f>
        <v/>
      </c>
      <c r="F4640" s="20">
        <f>IF($C4640="","",Registro_Ventas!$G$26)</f>
        <v/>
      </c>
      <c r="G4640">
        <f>IF($C4640="","","Por la venta segun comprobante a "&amp;Registro_Ventas!$E$26)</f>
        <v/>
      </c>
      <c r="H4640">
        <f>IF($C4640="","",Registro_Ventas!$C$26)</f>
        <v/>
      </c>
    </row>
    <row r="4641">
      <c r="A4641" s="25">
        <f>IF($C4641="","",Registro_Ventas!$B$26)</f>
        <v/>
      </c>
      <c r="B4641">
        <f>IF($C4641="","","V"&amp;TEXT(INT((ROW()-4507)/6)+1,"000")&amp;"-1")</f>
        <v/>
      </c>
      <c r="C4641">
        <f>IF(OR(Registro_Ventas!$C$26="",Registro_Ventas!$R$26="SI"),"","40111")</f>
        <v/>
      </c>
      <c r="D4641">
        <f>IF($C4641="","","IGV - Cuenta Propia (Debito Fiscal)")</f>
        <v/>
      </c>
      <c r="E4641" s="20">
        <f>""</f>
        <v/>
      </c>
      <c r="F4641" s="20">
        <f>IF($C4641="","",Registro_Ventas!$H$26)</f>
        <v/>
      </c>
      <c r="G4641">
        <f>IF($C4641="","","Por la venta segun comprobante a "&amp;Registro_Ventas!$E$26)</f>
        <v/>
      </c>
      <c r="H4641">
        <f>IF($C4641="","",Registro_Ventas!$C$26)</f>
        <v/>
      </c>
    </row>
    <row r="4642">
      <c r="A4642" s="25">
        <f>IF($C4642="","",Registro_Ventas!$P$26)</f>
        <v/>
      </c>
      <c r="B4642">
        <f>IF($C4642="","","V"&amp;TEXT(INT((ROW()-4507)/6)+1,"000")&amp;"-2")</f>
        <v/>
      </c>
      <c r="C4642">
        <f>IF(OR(Registro_Ventas!$C$26="",Registro_Ventas!$O$26&lt;&gt;"SI"),"","10413")</f>
        <v/>
      </c>
      <c r="D4642">
        <f>IF($C4642="","","Efectivo y Equivalentes - Cta. Cte. Operativa")</f>
        <v/>
      </c>
      <c r="E4642" s="20">
        <f>IF($C4642="","",Registro_Ventas!$N$26)</f>
        <v/>
      </c>
      <c r="F4642" s="20">
        <f>""</f>
        <v/>
      </c>
      <c r="G4642">
        <f>IF($C4642="","","Por la cobranza de la factura")</f>
        <v/>
      </c>
      <c r="H4642">
        <f>IF($C4642="","",Registro_Ventas!$C$26)</f>
        <v/>
      </c>
    </row>
    <row r="4643">
      <c r="A4643" s="25">
        <f>IF($C4643="","",Registro_Ventas!$P$26)</f>
        <v/>
      </c>
      <c r="B4643">
        <f>IF($C4643="","","V"&amp;TEXT(INT((ROW()-4507)/6)+1,"000")&amp;"-2")</f>
        <v/>
      </c>
      <c r="C4643">
        <f>IF(OR(OR(Registro_Ventas!$C$26="",Registro_Ventas!$O$26&lt;&gt;"SI"),Registro_Ventas!$J$26&lt;&gt;"SI"),"","10421")</f>
        <v/>
      </c>
      <c r="D4643">
        <f>IF($C4643="","","Efectivo - Cuenta de Detracciones (Banco de la Nacion)")</f>
        <v/>
      </c>
      <c r="E4643" s="20">
        <f>IF($C4643="","",Registro_Ventas!$M$26)</f>
        <v/>
      </c>
      <c r="F4643" s="20">
        <f>""</f>
        <v/>
      </c>
      <c r="G4643">
        <f>IF($C4643="","","Detraccion retenida por el cliente")</f>
        <v/>
      </c>
      <c r="H4643">
        <f>IF($C4643="","",Registro_Ventas!$C$26)</f>
        <v/>
      </c>
    </row>
    <row r="4644">
      <c r="A4644" s="25">
        <f>IF($C4644="","",Registro_Ventas!$P$26)</f>
        <v/>
      </c>
      <c r="B4644">
        <f>IF($C4644="","","V"&amp;TEXT(INT((ROW()-4507)/6)+1,"000")&amp;"-2")</f>
        <v/>
      </c>
      <c r="C4644">
        <f>IF(OR(Registro_Ventas!$C$26="",Registro_Ventas!$O$26&lt;&gt;"SI"),"","12")</f>
        <v/>
      </c>
      <c r="D4644">
        <f>IF($C4644="","","Cuentas por Cobrar Comerciales - Terceros")</f>
        <v/>
      </c>
      <c r="E4644" s="20">
        <f>""</f>
        <v/>
      </c>
      <c r="F4644" s="20">
        <f>IF($C4644="","",Registro_Ventas!$I$26)</f>
        <v/>
      </c>
      <c r="G4644">
        <f>IF($C4644="","","Por la cobranza de la factura")</f>
        <v/>
      </c>
      <c r="H4644">
        <f>IF($C4644="","",Registro_Ventas!$C$26)</f>
        <v/>
      </c>
    </row>
    <row r="4645">
      <c r="A4645" s="25">
        <f>IF($C4645="","",Registro_Ventas!$B$27)</f>
        <v/>
      </c>
      <c r="B4645">
        <f>IF($C4645="","","V"&amp;TEXT(INT((ROW()-4507)/6)+1,"000")&amp;"-1")</f>
        <v/>
      </c>
      <c r="C4645">
        <f>IF(Registro_Ventas!$C$27="","","12")</f>
        <v/>
      </c>
      <c r="D4645">
        <f>IF($C4645="","","Cuentas por Cobrar Comerciales - Terceros")</f>
        <v/>
      </c>
      <c r="E4645" s="20">
        <f>IF($C4645="","",Registro_Ventas!$I$27)</f>
        <v/>
      </c>
      <c r="F4645" s="20">
        <f>""</f>
        <v/>
      </c>
      <c r="G4645">
        <f>IF($C4645="","","Por la venta segun comprobante a "&amp;Registro_Ventas!$E$27)</f>
        <v/>
      </c>
      <c r="H4645">
        <f>IF($C4645="","",Registro_Ventas!$C$27)</f>
        <v/>
      </c>
    </row>
    <row r="4646">
      <c r="A4646" s="25">
        <f>IF($C4646="","",Registro_Ventas!$B$27)</f>
        <v/>
      </c>
      <c r="B4646">
        <f>IF($C4646="","","V"&amp;TEXT(INT((ROW()-4507)/6)+1,"000")&amp;"-1")</f>
        <v/>
      </c>
      <c r="C4646">
        <f>IF(Registro_Ventas!$C$27="","","70")</f>
        <v/>
      </c>
      <c r="D4646">
        <f>IF($C4646="","","Ventas")</f>
        <v/>
      </c>
      <c r="E4646" s="20">
        <f>""</f>
        <v/>
      </c>
      <c r="F4646" s="20">
        <f>IF($C4646="","",Registro_Ventas!$G$27)</f>
        <v/>
      </c>
      <c r="G4646">
        <f>IF($C4646="","","Por la venta segun comprobante a "&amp;Registro_Ventas!$E$27)</f>
        <v/>
      </c>
      <c r="H4646">
        <f>IF($C4646="","",Registro_Ventas!$C$27)</f>
        <v/>
      </c>
    </row>
    <row r="4647">
      <c r="A4647" s="25">
        <f>IF($C4647="","",Registro_Ventas!$B$27)</f>
        <v/>
      </c>
      <c r="B4647">
        <f>IF($C4647="","","V"&amp;TEXT(INT((ROW()-4507)/6)+1,"000")&amp;"-1")</f>
        <v/>
      </c>
      <c r="C4647">
        <f>IF(OR(Registro_Ventas!$C$27="",Registro_Ventas!$R$27="SI"),"","40111")</f>
        <v/>
      </c>
      <c r="D4647">
        <f>IF($C4647="","","IGV - Cuenta Propia (Debito Fiscal)")</f>
        <v/>
      </c>
      <c r="E4647" s="20">
        <f>""</f>
        <v/>
      </c>
      <c r="F4647" s="20">
        <f>IF($C4647="","",Registro_Ventas!$H$27)</f>
        <v/>
      </c>
      <c r="G4647">
        <f>IF($C4647="","","Por la venta segun comprobante a "&amp;Registro_Ventas!$E$27)</f>
        <v/>
      </c>
      <c r="H4647">
        <f>IF($C4647="","",Registro_Ventas!$C$27)</f>
        <v/>
      </c>
    </row>
    <row r="4648">
      <c r="A4648" s="25">
        <f>IF($C4648="","",Registro_Ventas!$P$27)</f>
        <v/>
      </c>
      <c r="B4648">
        <f>IF($C4648="","","V"&amp;TEXT(INT((ROW()-4507)/6)+1,"000")&amp;"-2")</f>
        <v/>
      </c>
      <c r="C4648">
        <f>IF(OR(Registro_Ventas!$C$27="",Registro_Ventas!$O$27&lt;&gt;"SI"),"","10413")</f>
        <v/>
      </c>
      <c r="D4648">
        <f>IF($C4648="","","Efectivo y Equivalentes - Cta. Cte. Operativa")</f>
        <v/>
      </c>
      <c r="E4648" s="20">
        <f>IF($C4648="","",Registro_Ventas!$N$27)</f>
        <v/>
      </c>
      <c r="F4648" s="20">
        <f>""</f>
        <v/>
      </c>
      <c r="G4648">
        <f>IF($C4648="","","Por la cobranza de la factura")</f>
        <v/>
      </c>
      <c r="H4648">
        <f>IF($C4648="","",Registro_Ventas!$C$27)</f>
        <v/>
      </c>
    </row>
    <row r="4649">
      <c r="A4649" s="25">
        <f>IF($C4649="","",Registro_Ventas!$P$27)</f>
        <v/>
      </c>
      <c r="B4649">
        <f>IF($C4649="","","V"&amp;TEXT(INT((ROW()-4507)/6)+1,"000")&amp;"-2")</f>
        <v/>
      </c>
      <c r="C4649">
        <f>IF(OR(OR(Registro_Ventas!$C$27="",Registro_Ventas!$O$27&lt;&gt;"SI"),Registro_Ventas!$J$27&lt;&gt;"SI"),"","10421")</f>
        <v/>
      </c>
      <c r="D4649">
        <f>IF($C4649="","","Efectivo - Cuenta de Detracciones (Banco de la Nacion)")</f>
        <v/>
      </c>
      <c r="E4649" s="20">
        <f>IF($C4649="","",Registro_Ventas!$M$27)</f>
        <v/>
      </c>
      <c r="F4649" s="20">
        <f>""</f>
        <v/>
      </c>
      <c r="G4649">
        <f>IF($C4649="","","Detraccion retenida por el cliente")</f>
        <v/>
      </c>
      <c r="H4649">
        <f>IF($C4649="","",Registro_Ventas!$C$27)</f>
        <v/>
      </c>
    </row>
    <row r="4650">
      <c r="A4650" s="25">
        <f>IF($C4650="","",Registro_Ventas!$P$27)</f>
        <v/>
      </c>
      <c r="B4650">
        <f>IF($C4650="","","V"&amp;TEXT(INT((ROW()-4507)/6)+1,"000")&amp;"-2")</f>
        <v/>
      </c>
      <c r="C4650">
        <f>IF(OR(Registro_Ventas!$C$27="",Registro_Ventas!$O$27&lt;&gt;"SI"),"","12")</f>
        <v/>
      </c>
      <c r="D4650">
        <f>IF($C4650="","","Cuentas por Cobrar Comerciales - Terceros")</f>
        <v/>
      </c>
      <c r="E4650" s="20">
        <f>""</f>
        <v/>
      </c>
      <c r="F4650" s="20">
        <f>IF($C4650="","",Registro_Ventas!$I$27)</f>
        <v/>
      </c>
      <c r="G4650">
        <f>IF($C4650="","","Por la cobranza de la factura")</f>
        <v/>
      </c>
      <c r="H4650">
        <f>IF($C4650="","",Registro_Ventas!$C$27)</f>
        <v/>
      </c>
    </row>
    <row r="4651">
      <c r="A4651" s="25">
        <f>IF($C4651="","",Registro_Ventas!$B$28)</f>
        <v/>
      </c>
      <c r="B4651">
        <f>IF($C4651="","","V"&amp;TEXT(INT((ROW()-4507)/6)+1,"000")&amp;"-1")</f>
        <v/>
      </c>
      <c r="C4651">
        <f>IF(Registro_Ventas!$C$28="","","12")</f>
        <v/>
      </c>
      <c r="D4651">
        <f>IF($C4651="","","Cuentas por Cobrar Comerciales - Terceros")</f>
        <v/>
      </c>
      <c r="E4651" s="20">
        <f>IF($C4651="","",Registro_Ventas!$I$28)</f>
        <v/>
      </c>
      <c r="F4651" s="20">
        <f>""</f>
        <v/>
      </c>
      <c r="G4651">
        <f>IF($C4651="","","Por la venta segun comprobante a "&amp;Registro_Ventas!$E$28)</f>
        <v/>
      </c>
      <c r="H4651">
        <f>IF($C4651="","",Registro_Ventas!$C$28)</f>
        <v/>
      </c>
    </row>
    <row r="4652">
      <c r="A4652" s="25">
        <f>IF($C4652="","",Registro_Ventas!$B$28)</f>
        <v/>
      </c>
      <c r="B4652">
        <f>IF($C4652="","","V"&amp;TEXT(INT((ROW()-4507)/6)+1,"000")&amp;"-1")</f>
        <v/>
      </c>
      <c r="C4652">
        <f>IF(Registro_Ventas!$C$28="","","70")</f>
        <v/>
      </c>
      <c r="D4652">
        <f>IF($C4652="","","Ventas")</f>
        <v/>
      </c>
      <c r="E4652" s="20">
        <f>""</f>
        <v/>
      </c>
      <c r="F4652" s="20">
        <f>IF($C4652="","",Registro_Ventas!$G$28)</f>
        <v/>
      </c>
      <c r="G4652">
        <f>IF($C4652="","","Por la venta segun comprobante a "&amp;Registro_Ventas!$E$28)</f>
        <v/>
      </c>
      <c r="H4652">
        <f>IF($C4652="","",Registro_Ventas!$C$28)</f>
        <v/>
      </c>
    </row>
    <row r="4653">
      <c r="A4653" s="25">
        <f>IF($C4653="","",Registro_Ventas!$B$28)</f>
        <v/>
      </c>
      <c r="B4653">
        <f>IF($C4653="","","V"&amp;TEXT(INT((ROW()-4507)/6)+1,"000")&amp;"-1")</f>
        <v/>
      </c>
      <c r="C4653">
        <f>IF(OR(Registro_Ventas!$C$28="",Registro_Ventas!$R$28="SI"),"","40111")</f>
        <v/>
      </c>
      <c r="D4653">
        <f>IF($C4653="","","IGV - Cuenta Propia (Debito Fiscal)")</f>
        <v/>
      </c>
      <c r="E4653" s="20">
        <f>""</f>
        <v/>
      </c>
      <c r="F4653" s="20">
        <f>IF($C4653="","",Registro_Ventas!$H$28)</f>
        <v/>
      </c>
      <c r="G4653">
        <f>IF($C4653="","","Por la venta segun comprobante a "&amp;Registro_Ventas!$E$28)</f>
        <v/>
      </c>
      <c r="H4653">
        <f>IF($C4653="","",Registro_Ventas!$C$28)</f>
        <v/>
      </c>
    </row>
    <row r="4654">
      <c r="A4654" s="25">
        <f>IF($C4654="","",Registro_Ventas!$P$28)</f>
        <v/>
      </c>
      <c r="B4654">
        <f>IF($C4654="","","V"&amp;TEXT(INT((ROW()-4507)/6)+1,"000")&amp;"-2")</f>
        <v/>
      </c>
      <c r="C4654">
        <f>IF(OR(Registro_Ventas!$C$28="",Registro_Ventas!$O$28&lt;&gt;"SI"),"","10413")</f>
        <v/>
      </c>
      <c r="D4654">
        <f>IF($C4654="","","Efectivo y Equivalentes - Cta. Cte. Operativa")</f>
        <v/>
      </c>
      <c r="E4654" s="20">
        <f>IF($C4654="","",Registro_Ventas!$N$28)</f>
        <v/>
      </c>
      <c r="F4654" s="20">
        <f>""</f>
        <v/>
      </c>
      <c r="G4654">
        <f>IF($C4654="","","Por la cobranza de la factura")</f>
        <v/>
      </c>
      <c r="H4654">
        <f>IF($C4654="","",Registro_Ventas!$C$28)</f>
        <v/>
      </c>
    </row>
    <row r="4655">
      <c r="A4655" s="25">
        <f>IF($C4655="","",Registro_Ventas!$P$28)</f>
        <v/>
      </c>
      <c r="B4655">
        <f>IF($C4655="","","V"&amp;TEXT(INT((ROW()-4507)/6)+1,"000")&amp;"-2")</f>
        <v/>
      </c>
      <c r="C4655">
        <f>IF(OR(OR(Registro_Ventas!$C$28="",Registro_Ventas!$O$28&lt;&gt;"SI"),Registro_Ventas!$J$28&lt;&gt;"SI"),"","10421")</f>
        <v/>
      </c>
      <c r="D4655">
        <f>IF($C4655="","","Efectivo - Cuenta de Detracciones (Banco de la Nacion)")</f>
        <v/>
      </c>
      <c r="E4655" s="20">
        <f>IF($C4655="","",Registro_Ventas!$M$28)</f>
        <v/>
      </c>
      <c r="F4655" s="20">
        <f>""</f>
        <v/>
      </c>
      <c r="G4655">
        <f>IF($C4655="","","Detraccion retenida por el cliente")</f>
        <v/>
      </c>
      <c r="H4655">
        <f>IF($C4655="","",Registro_Ventas!$C$28)</f>
        <v/>
      </c>
    </row>
    <row r="4656">
      <c r="A4656" s="25">
        <f>IF($C4656="","",Registro_Ventas!$P$28)</f>
        <v/>
      </c>
      <c r="B4656">
        <f>IF($C4656="","","V"&amp;TEXT(INT((ROW()-4507)/6)+1,"000")&amp;"-2")</f>
        <v/>
      </c>
      <c r="C4656">
        <f>IF(OR(Registro_Ventas!$C$28="",Registro_Ventas!$O$28&lt;&gt;"SI"),"","12")</f>
        <v/>
      </c>
      <c r="D4656">
        <f>IF($C4656="","","Cuentas por Cobrar Comerciales - Terceros")</f>
        <v/>
      </c>
      <c r="E4656" s="20">
        <f>""</f>
        <v/>
      </c>
      <c r="F4656" s="20">
        <f>IF($C4656="","",Registro_Ventas!$I$28)</f>
        <v/>
      </c>
      <c r="G4656">
        <f>IF($C4656="","","Por la cobranza de la factura")</f>
        <v/>
      </c>
      <c r="H4656">
        <f>IF($C4656="","",Registro_Ventas!$C$28)</f>
        <v/>
      </c>
    </row>
    <row r="4657">
      <c r="A4657" s="25">
        <f>IF($C4657="","",Registro_Ventas!$B$29)</f>
        <v/>
      </c>
      <c r="B4657">
        <f>IF($C4657="","","V"&amp;TEXT(INT((ROW()-4507)/6)+1,"000")&amp;"-1")</f>
        <v/>
      </c>
      <c r="C4657">
        <f>IF(Registro_Ventas!$C$29="","","12")</f>
        <v/>
      </c>
      <c r="D4657">
        <f>IF($C4657="","","Cuentas por Cobrar Comerciales - Terceros")</f>
        <v/>
      </c>
      <c r="E4657" s="20">
        <f>IF($C4657="","",Registro_Ventas!$I$29)</f>
        <v/>
      </c>
      <c r="F4657" s="20">
        <f>""</f>
        <v/>
      </c>
      <c r="G4657">
        <f>IF($C4657="","","Por la venta segun comprobante a "&amp;Registro_Ventas!$E$29)</f>
        <v/>
      </c>
      <c r="H4657">
        <f>IF($C4657="","",Registro_Ventas!$C$29)</f>
        <v/>
      </c>
    </row>
    <row r="4658">
      <c r="A4658" s="25">
        <f>IF($C4658="","",Registro_Ventas!$B$29)</f>
        <v/>
      </c>
      <c r="B4658">
        <f>IF($C4658="","","V"&amp;TEXT(INT((ROW()-4507)/6)+1,"000")&amp;"-1")</f>
        <v/>
      </c>
      <c r="C4658">
        <f>IF(Registro_Ventas!$C$29="","","70")</f>
        <v/>
      </c>
      <c r="D4658">
        <f>IF($C4658="","","Ventas")</f>
        <v/>
      </c>
      <c r="E4658" s="20">
        <f>""</f>
        <v/>
      </c>
      <c r="F4658" s="20">
        <f>IF($C4658="","",Registro_Ventas!$G$29)</f>
        <v/>
      </c>
      <c r="G4658">
        <f>IF($C4658="","","Por la venta segun comprobante a "&amp;Registro_Ventas!$E$29)</f>
        <v/>
      </c>
      <c r="H4658">
        <f>IF($C4658="","",Registro_Ventas!$C$29)</f>
        <v/>
      </c>
    </row>
    <row r="4659">
      <c r="A4659" s="25">
        <f>IF($C4659="","",Registro_Ventas!$B$29)</f>
        <v/>
      </c>
      <c r="B4659">
        <f>IF($C4659="","","V"&amp;TEXT(INT((ROW()-4507)/6)+1,"000")&amp;"-1")</f>
        <v/>
      </c>
      <c r="C4659">
        <f>IF(OR(Registro_Ventas!$C$29="",Registro_Ventas!$R$29="SI"),"","40111")</f>
        <v/>
      </c>
      <c r="D4659">
        <f>IF($C4659="","","IGV - Cuenta Propia (Debito Fiscal)")</f>
        <v/>
      </c>
      <c r="E4659" s="20">
        <f>""</f>
        <v/>
      </c>
      <c r="F4659" s="20">
        <f>IF($C4659="","",Registro_Ventas!$H$29)</f>
        <v/>
      </c>
      <c r="G4659">
        <f>IF($C4659="","","Por la venta segun comprobante a "&amp;Registro_Ventas!$E$29)</f>
        <v/>
      </c>
      <c r="H4659">
        <f>IF($C4659="","",Registro_Ventas!$C$29)</f>
        <v/>
      </c>
    </row>
    <row r="4660">
      <c r="A4660" s="25">
        <f>IF($C4660="","",Registro_Ventas!$P$29)</f>
        <v/>
      </c>
      <c r="B4660">
        <f>IF($C4660="","","V"&amp;TEXT(INT((ROW()-4507)/6)+1,"000")&amp;"-2")</f>
        <v/>
      </c>
      <c r="C4660">
        <f>IF(OR(Registro_Ventas!$C$29="",Registro_Ventas!$O$29&lt;&gt;"SI"),"","10413")</f>
        <v/>
      </c>
      <c r="D4660">
        <f>IF($C4660="","","Efectivo y Equivalentes - Cta. Cte. Operativa")</f>
        <v/>
      </c>
      <c r="E4660" s="20">
        <f>IF($C4660="","",Registro_Ventas!$N$29)</f>
        <v/>
      </c>
      <c r="F4660" s="20">
        <f>""</f>
        <v/>
      </c>
      <c r="G4660">
        <f>IF($C4660="","","Por la cobranza de la factura")</f>
        <v/>
      </c>
      <c r="H4660">
        <f>IF($C4660="","",Registro_Ventas!$C$29)</f>
        <v/>
      </c>
    </row>
    <row r="4661">
      <c r="A4661" s="25">
        <f>IF($C4661="","",Registro_Ventas!$P$29)</f>
        <v/>
      </c>
      <c r="B4661">
        <f>IF($C4661="","","V"&amp;TEXT(INT((ROW()-4507)/6)+1,"000")&amp;"-2")</f>
        <v/>
      </c>
      <c r="C4661">
        <f>IF(OR(OR(Registro_Ventas!$C$29="",Registro_Ventas!$O$29&lt;&gt;"SI"),Registro_Ventas!$J$29&lt;&gt;"SI"),"","10421")</f>
        <v/>
      </c>
      <c r="D4661">
        <f>IF($C4661="","","Efectivo - Cuenta de Detracciones (Banco de la Nacion)")</f>
        <v/>
      </c>
      <c r="E4661" s="20">
        <f>IF($C4661="","",Registro_Ventas!$M$29)</f>
        <v/>
      </c>
      <c r="F4661" s="20">
        <f>""</f>
        <v/>
      </c>
      <c r="G4661">
        <f>IF($C4661="","","Detraccion retenida por el cliente")</f>
        <v/>
      </c>
      <c r="H4661">
        <f>IF($C4661="","",Registro_Ventas!$C$29)</f>
        <v/>
      </c>
    </row>
    <row r="4662">
      <c r="A4662" s="25">
        <f>IF($C4662="","",Registro_Ventas!$P$29)</f>
        <v/>
      </c>
      <c r="B4662">
        <f>IF($C4662="","","V"&amp;TEXT(INT((ROW()-4507)/6)+1,"000")&amp;"-2")</f>
        <v/>
      </c>
      <c r="C4662">
        <f>IF(OR(Registro_Ventas!$C$29="",Registro_Ventas!$O$29&lt;&gt;"SI"),"","12")</f>
        <v/>
      </c>
      <c r="D4662">
        <f>IF($C4662="","","Cuentas por Cobrar Comerciales - Terceros")</f>
        <v/>
      </c>
      <c r="E4662" s="20">
        <f>""</f>
        <v/>
      </c>
      <c r="F4662" s="20">
        <f>IF($C4662="","",Registro_Ventas!$I$29)</f>
        <v/>
      </c>
      <c r="G4662">
        <f>IF($C4662="","","Por la cobranza de la factura")</f>
        <v/>
      </c>
      <c r="H4662">
        <f>IF($C4662="","",Registro_Ventas!$C$29)</f>
        <v/>
      </c>
    </row>
    <row r="4663">
      <c r="A4663" s="25">
        <f>IF($C4663="","",Registro_Ventas!$B$30)</f>
        <v/>
      </c>
      <c r="B4663">
        <f>IF($C4663="","","V"&amp;TEXT(INT((ROW()-4507)/6)+1,"000")&amp;"-1")</f>
        <v/>
      </c>
      <c r="C4663">
        <f>IF(Registro_Ventas!$C$30="","","12")</f>
        <v/>
      </c>
      <c r="D4663">
        <f>IF($C4663="","","Cuentas por Cobrar Comerciales - Terceros")</f>
        <v/>
      </c>
      <c r="E4663" s="20">
        <f>IF($C4663="","",Registro_Ventas!$I$30)</f>
        <v/>
      </c>
      <c r="F4663" s="20">
        <f>""</f>
        <v/>
      </c>
      <c r="G4663">
        <f>IF($C4663="","","Por la venta segun comprobante a "&amp;Registro_Ventas!$E$30)</f>
        <v/>
      </c>
      <c r="H4663">
        <f>IF($C4663="","",Registro_Ventas!$C$30)</f>
        <v/>
      </c>
    </row>
    <row r="4664">
      <c r="A4664" s="25">
        <f>IF($C4664="","",Registro_Ventas!$B$30)</f>
        <v/>
      </c>
      <c r="B4664">
        <f>IF($C4664="","","V"&amp;TEXT(INT((ROW()-4507)/6)+1,"000")&amp;"-1")</f>
        <v/>
      </c>
      <c r="C4664">
        <f>IF(Registro_Ventas!$C$30="","","70")</f>
        <v/>
      </c>
      <c r="D4664">
        <f>IF($C4664="","","Ventas")</f>
        <v/>
      </c>
      <c r="E4664" s="20">
        <f>""</f>
        <v/>
      </c>
      <c r="F4664" s="20">
        <f>IF($C4664="","",Registro_Ventas!$G$30)</f>
        <v/>
      </c>
      <c r="G4664">
        <f>IF($C4664="","","Por la venta segun comprobante a "&amp;Registro_Ventas!$E$30)</f>
        <v/>
      </c>
      <c r="H4664">
        <f>IF($C4664="","",Registro_Ventas!$C$30)</f>
        <v/>
      </c>
    </row>
    <row r="4665">
      <c r="A4665" s="25">
        <f>IF($C4665="","",Registro_Ventas!$B$30)</f>
        <v/>
      </c>
      <c r="B4665">
        <f>IF($C4665="","","V"&amp;TEXT(INT((ROW()-4507)/6)+1,"000")&amp;"-1")</f>
        <v/>
      </c>
      <c r="C4665">
        <f>IF(OR(Registro_Ventas!$C$30="",Registro_Ventas!$R$30="SI"),"","40111")</f>
        <v/>
      </c>
      <c r="D4665">
        <f>IF($C4665="","","IGV - Cuenta Propia (Debito Fiscal)")</f>
        <v/>
      </c>
      <c r="E4665" s="20">
        <f>""</f>
        <v/>
      </c>
      <c r="F4665" s="20">
        <f>IF($C4665="","",Registro_Ventas!$H$30)</f>
        <v/>
      </c>
      <c r="G4665">
        <f>IF($C4665="","","Por la venta segun comprobante a "&amp;Registro_Ventas!$E$30)</f>
        <v/>
      </c>
      <c r="H4665">
        <f>IF($C4665="","",Registro_Ventas!$C$30)</f>
        <v/>
      </c>
    </row>
    <row r="4666">
      <c r="A4666" s="25">
        <f>IF($C4666="","",Registro_Ventas!$P$30)</f>
        <v/>
      </c>
      <c r="B4666">
        <f>IF($C4666="","","V"&amp;TEXT(INT((ROW()-4507)/6)+1,"000")&amp;"-2")</f>
        <v/>
      </c>
      <c r="C4666">
        <f>IF(OR(Registro_Ventas!$C$30="",Registro_Ventas!$O$30&lt;&gt;"SI"),"","10413")</f>
        <v/>
      </c>
      <c r="D4666">
        <f>IF($C4666="","","Efectivo y Equivalentes - Cta. Cte. Operativa")</f>
        <v/>
      </c>
      <c r="E4666" s="20">
        <f>IF($C4666="","",Registro_Ventas!$N$30)</f>
        <v/>
      </c>
      <c r="F4666" s="20">
        <f>""</f>
        <v/>
      </c>
      <c r="G4666">
        <f>IF($C4666="","","Por la cobranza de la factura")</f>
        <v/>
      </c>
      <c r="H4666">
        <f>IF($C4666="","",Registro_Ventas!$C$30)</f>
        <v/>
      </c>
    </row>
    <row r="4667">
      <c r="A4667" s="25">
        <f>IF($C4667="","",Registro_Ventas!$P$30)</f>
        <v/>
      </c>
      <c r="B4667">
        <f>IF($C4667="","","V"&amp;TEXT(INT((ROW()-4507)/6)+1,"000")&amp;"-2")</f>
        <v/>
      </c>
      <c r="C4667">
        <f>IF(OR(OR(Registro_Ventas!$C$30="",Registro_Ventas!$O$30&lt;&gt;"SI"),Registro_Ventas!$J$30&lt;&gt;"SI"),"","10421")</f>
        <v/>
      </c>
      <c r="D4667">
        <f>IF($C4667="","","Efectivo - Cuenta de Detracciones (Banco de la Nacion)")</f>
        <v/>
      </c>
      <c r="E4667" s="20">
        <f>IF($C4667="","",Registro_Ventas!$M$30)</f>
        <v/>
      </c>
      <c r="F4667" s="20">
        <f>""</f>
        <v/>
      </c>
      <c r="G4667">
        <f>IF($C4667="","","Detraccion retenida por el cliente")</f>
        <v/>
      </c>
      <c r="H4667">
        <f>IF($C4667="","",Registro_Ventas!$C$30)</f>
        <v/>
      </c>
    </row>
    <row r="4668">
      <c r="A4668" s="25">
        <f>IF($C4668="","",Registro_Ventas!$P$30)</f>
        <v/>
      </c>
      <c r="B4668">
        <f>IF($C4668="","","V"&amp;TEXT(INT((ROW()-4507)/6)+1,"000")&amp;"-2")</f>
        <v/>
      </c>
      <c r="C4668">
        <f>IF(OR(Registro_Ventas!$C$30="",Registro_Ventas!$O$30&lt;&gt;"SI"),"","12")</f>
        <v/>
      </c>
      <c r="D4668">
        <f>IF($C4668="","","Cuentas por Cobrar Comerciales - Terceros")</f>
        <v/>
      </c>
      <c r="E4668" s="20">
        <f>""</f>
        <v/>
      </c>
      <c r="F4668" s="20">
        <f>IF($C4668="","",Registro_Ventas!$I$30)</f>
        <v/>
      </c>
      <c r="G4668">
        <f>IF($C4668="","","Por la cobranza de la factura")</f>
        <v/>
      </c>
      <c r="H4668">
        <f>IF($C4668="","",Registro_Ventas!$C$30)</f>
        <v/>
      </c>
    </row>
    <row r="4669">
      <c r="A4669" s="25">
        <f>IF($C4669="","",Registro_Ventas!$B$31)</f>
        <v/>
      </c>
      <c r="B4669">
        <f>IF($C4669="","","V"&amp;TEXT(INT((ROW()-4507)/6)+1,"000")&amp;"-1")</f>
        <v/>
      </c>
      <c r="C4669">
        <f>IF(Registro_Ventas!$C$31="","","12")</f>
        <v/>
      </c>
      <c r="D4669">
        <f>IF($C4669="","","Cuentas por Cobrar Comerciales - Terceros")</f>
        <v/>
      </c>
      <c r="E4669" s="20">
        <f>IF($C4669="","",Registro_Ventas!$I$31)</f>
        <v/>
      </c>
      <c r="F4669" s="20">
        <f>""</f>
        <v/>
      </c>
      <c r="G4669">
        <f>IF($C4669="","","Por la venta segun comprobante a "&amp;Registro_Ventas!$E$31)</f>
        <v/>
      </c>
      <c r="H4669">
        <f>IF($C4669="","",Registro_Ventas!$C$31)</f>
        <v/>
      </c>
    </row>
    <row r="4670">
      <c r="A4670" s="25">
        <f>IF($C4670="","",Registro_Ventas!$B$31)</f>
        <v/>
      </c>
      <c r="B4670">
        <f>IF($C4670="","","V"&amp;TEXT(INT((ROW()-4507)/6)+1,"000")&amp;"-1")</f>
        <v/>
      </c>
      <c r="C4670">
        <f>IF(Registro_Ventas!$C$31="","","70")</f>
        <v/>
      </c>
      <c r="D4670">
        <f>IF($C4670="","","Ventas")</f>
        <v/>
      </c>
      <c r="E4670" s="20">
        <f>""</f>
        <v/>
      </c>
      <c r="F4670" s="20">
        <f>IF($C4670="","",Registro_Ventas!$G$31)</f>
        <v/>
      </c>
      <c r="G4670">
        <f>IF($C4670="","","Por la venta segun comprobante a "&amp;Registro_Ventas!$E$31)</f>
        <v/>
      </c>
      <c r="H4670">
        <f>IF($C4670="","",Registro_Ventas!$C$31)</f>
        <v/>
      </c>
    </row>
    <row r="4671">
      <c r="A4671" s="25">
        <f>IF($C4671="","",Registro_Ventas!$B$31)</f>
        <v/>
      </c>
      <c r="B4671">
        <f>IF($C4671="","","V"&amp;TEXT(INT((ROW()-4507)/6)+1,"000")&amp;"-1")</f>
        <v/>
      </c>
      <c r="C4671">
        <f>IF(OR(Registro_Ventas!$C$31="",Registro_Ventas!$R$31="SI"),"","40111")</f>
        <v/>
      </c>
      <c r="D4671">
        <f>IF($C4671="","","IGV - Cuenta Propia (Debito Fiscal)")</f>
        <v/>
      </c>
      <c r="E4671" s="20">
        <f>""</f>
        <v/>
      </c>
      <c r="F4671" s="20">
        <f>IF($C4671="","",Registro_Ventas!$H$31)</f>
        <v/>
      </c>
      <c r="G4671">
        <f>IF($C4671="","","Por la venta segun comprobante a "&amp;Registro_Ventas!$E$31)</f>
        <v/>
      </c>
      <c r="H4671">
        <f>IF($C4671="","",Registro_Ventas!$C$31)</f>
        <v/>
      </c>
    </row>
    <row r="4672">
      <c r="A4672" s="25">
        <f>IF($C4672="","",Registro_Ventas!$P$31)</f>
        <v/>
      </c>
      <c r="B4672">
        <f>IF($C4672="","","V"&amp;TEXT(INT((ROW()-4507)/6)+1,"000")&amp;"-2")</f>
        <v/>
      </c>
      <c r="C4672">
        <f>IF(OR(Registro_Ventas!$C$31="",Registro_Ventas!$O$31&lt;&gt;"SI"),"","10413")</f>
        <v/>
      </c>
      <c r="D4672">
        <f>IF($C4672="","","Efectivo y Equivalentes - Cta. Cte. Operativa")</f>
        <v/>
      </c>
      <c r="E4672" s="20">
        <f>IF($C4672="","",Registro_Ventas!$N$31)</f>
        <v/>
      </c>
      <c r="F4672" s="20">
        <f>""</f>
        <v/>
      </c>
      <c r="G4672">
        <f>IF($C4672="","","Por la cobranza de la factura")</f>
        <v/>
      </c>
      <c r="H4672">
        <f>IF($C4672="","",Registro_Ventas!$C$31)</f>
        <v/>
      </c>
    </row>
    <row r="4673">
      <c r="A4673" s="25">
        <f>IF($C4673="","",Registro_Ventas!$P$31)</f>
        <v/>
      </c>
      <c r="B4673">
        <f>IF($C4673="","","V"&amp;TEXT(INT((ROW()-4507)/6)+1,"000")&amp;"-2")</f>
        <v/>
      </c>
      <c r="C4673">
        <f>IF(OR(OR(Registro_Ventas!$C$31="",Registro_Ventas!$O$31&lt;&gt;"SI"),Registro_Ventas!$J$31&lt;&gt;"SI"),"","10421")</f>
        <v/>
      </c>
      <c r="D4673">
        <f>IF($C4673="","","Efectivo - Cuenta de Detracciones (Banco de la Nacion)")</f>
        <v/>
      </c>
      <c r="E4673" s="20">
        <f>IF($C4673="","",Registro_Ventas!$M$31)</f>
        <v/>
      </c>
      <c r="F4673" s="20">
        <f>""</f>
        <v/>
      </c>
      <c r="G4673">
        <f>IF($C4673="","","Detraccion retenida por el cliente")</f>
        <v/>
      </c>
      <c r="H4673">
        <f>IF($C4673="","",Registro_Ventas!$C$31)</f>
        <v/>
      </c>
    </row>
    <row r="4674">
      <c r="A4674" s="25">
        <f>IF($C4674="","",Registro_Ventas!$P$31)</f>
        <v/>
      </c>
      <c r="B4674">
        <f>IF($C4674="","","V"&amp;TEXT(INT((ROW()-4507)/6)+1,"000")&amp;"-2")</f>
        <v/>
      </c>
      <c r="C4674">
        <f>IF(OR(Registro_Ventas!$C$31="",Registro_Ventas!$O$31&lt;&gt;"SI"),"","12")</f>
        <v/>
      </c>
      <c r="D4674">
        <f>IF($C4674="","","Cuentas por Cobrar Comerciales - Terceros")</f>
        <v/>
      </c>
      <c r="E4674" s="20">
        <f>""</f>
        <v/>
      </c>
      <c r="F4674" s="20">
        <f>IF($C4674="","",Registro_Ventas!$I$31)</f>
        <v/>
      </c>
      <c r="G4674">
        <f>IF($C4674="","","Por la cobranza de la factura")</f>
        <v/>
      </c>
      <c r="H4674">
        <f>IF($C4674="","",Registro_Ventas!$C$31)</f>
        <v/>
      </c>
    </row>
    <row r="4675">
      <c r="A4675" s="25">
        <f>IF($C4675="","",Registro_Ventas!$B$32)</f>
        <v/>
      </c>
      <c r="B4675">
        <f>IF($C4675="","","V"&amp;TEXT(INT((ROW()-4507)/6)+1,"000")&amp;"-1")</f>
        <v/>
      </c>
      <c r="C4675">
        <f>IF(Registro_Ventas!$C$32="","","12")</f>
        <v/>
      </c>
      <c r="D4675">
        <f>IF($C4675="","","Cuentas por Cobrar Comerciales - Terceros")</f>
        <v/>
      </c>
      <c r="E4675" s="20">
        <f>IF($C4675="","",Registro_Ventas!$I$32)</f>
        <v/>
      </c>
      <c r="F4675" s="20">
        <f>""</f>
        <v/>
      </c>
      <c r="G4675">
        <f>IF($C4675="","","Por la venta segun comprobante a "&amp;Registro_Ventas!$E$32)</f>
        <v/>
      </c>
      <c r="H4675">
        <f>IF($C4675="","",Registro_Ventas!$C$32)</f>
        <v/>
      </c>
    </row>
    <row r="4676">
      <c r="A4676" s="25">
        <f>IF($C4676="","",Registro_Ventas!$B$32)</f>
        <v/>
      </c>
      <c r="B4676">
        <f>IF($C4676="","","V"&amp;TEXT(INT((ROW()-4507)/6)+1,"000")&amp;"-1")</f>
        <v/>
      </c>
      <c r="C4676">
        <f>IF(Registro_Ventas!$C$32="","","70")</f>
        <v/>
      </c>
      <c r="D4676">
        <f>IF($C4676="","","Ventas")</f>
        <v/>
      </c>
      <c r="E4676" s="20">
        <f>""</f>
        <v/>
      </c>
      <c r="F4676" s="20">
        <f>IF($C4676="","",Registro_Ventas!$G$32)</f>
        <v/>
      </c>
      <c r="G4676">
        <f>IF($C4676="","","Por la venta segun comprobante a "&amp;Registro_Ventas!$E$32)</f>
        <v/>
      </c>
      <c r="H4676">
        <f>IF($C4676="","",Registro_Ventas!$C$32)</f>
        <v/>
      </c>
    </row>
    <row r="4677">
      <c r="A4677" s="25">
        <f>IF($C4677="","",Registro_Ventas!$B$32)</f>
        <v/>
      </c>
      <c r="B4677">
        <f>IF($C4677="","","V"&amp;TEXT(INT((ROW()-4507)/6)+1,"000")&amp;"-1")</f>
        <v/>
      </c>
      <c r="C4677">
        <f>IF(OR(Registro_Ventas!$C$32="",Registro_Ventas!$R$32="SI"),"","40111")</f>
        <v/>
      </c>
      <c r="D4677">
        <f>IF($C4677="","","IGV - Cuenta Propia (Debito Fiscal)")</f>
        <v/>
      </c>
      <c r="E4677" s="20">
        <f>""</f>
        <v/>
      </c>
      <c r="F4677" s="20">
        <f>IF($C4677="","",Registro_Ventas!$H$32)</f>
        <v/>
      </c>
      <c r="G4677">
        <f>IF($C4677="","","Por la venta segun comprobante a "&amp;Registro_Ventas!$E$32)</f>
        <v/>
      </c>
      <c r="H4677">
        <f>IF($C4677="","",Registro_Ventas!$C$32)</f>
        <v/>
      </c>
    </row>
    <row r="4678">
      <c r="A4678" s="25">
        <f>IF($C4678="","",Registro_Ventas!$P$32)</f>
        <v/>
      </c>
      <c r="B4678">
        <f>IF($C4678="","","V"&amp;TEXT(INT((ROW()-4507)/6)+1,"000")&amp;"-2")</f>
        <v/>
      </c>
      <c r="C4678">
        <f>IF(OR(Registro_Ventas!$C$32="",Registro_Ventas!$O$32&lt;&gt;"SI"),"","10413")</f>
        <v/>
      </c>
      <c r="D4678">
        <f>IF($C4678="","","Efectivo y Equivalentes - Cta. Cte. Operativa")</f>
        <v/>
      </c>
      <c r="E4678" s="20">
        <f>IF($C4678="","",Registro_Ventas!$N$32)</f>
        <v/>
      </c>
      <c r="F4678" s="20">
        <f>""</f>
        <v/>
      </c>
      <c r="G4678">
        <f>IF($C4678="","","Por la cobranza de la factura")</f>
        <v/>
      </c>
      <c r="H4678">
        <f>IF($C4678="","",Registro_Ventas!$C$32)</f>
        <v/>
      </c>
    </row>
    <row r="4679">
      <c r="A4679" s="25">
        <f>IF($C4679="","",Registro_Ventas!$P$32)</f>
        <v/>
      </c>
      <c r="B4679">
        <f>IF($C4679="","","V"&amp;TEXT(INT((ROW()-4507)/6)+1,"000")&amp;"-2")</f>
        <v/>
      </c>
      <c r="C4679">
        <f>IF(OR(OR(Registro_Ventas!$C$32="",Registro_Ventas!$O$32&lt;&gt;"SI"),Registro_Ventas!$J$32&lt;&gt;"SI"),"","10421")</f>
        <v/>
      </c>
      <c r="D4679">
        <f>IF($C4679="","","Efectivo - Cuenta de Detracciones (Banco de la Nacion)")</f>
        <v/>
      </c>
      <c r="E4679" s="20">
        <f>IF($C4679="","",Registro_Ventas!$M$32)</f>
        <v/>
      </c>
      <c r="F4679" s="20">
        <f>""</f>
        <v/>
      </c>
      <c r="G4679">
        <f>IF($C4679="","","Detraccion retenida por el cliente")</f>
        <v/>
      </c>
      <c r="H4679">
        <f>IF($C4679="","",Registro_Ventas!$C$32)</f>
        <v/>
      </c>
    </row>
    <row r="4680">
      <c r="A4680" s="25">
        <f>IF($C4680="","",Registro_Ventas!$P$32)</f>
        <v/>
      </c>
      <c r="B4680">
        <f>IF($C4680="","","V"&amp;TEXT(INT((ROW()-4507)/6)+1,"000")&amp;"-2")</f>
        <v/>
      </c>
      <c r="C4680">
        <f>IF(OR(Registro_Ventas!$C$32="",Registro_Ventas!$O$32&lt;&gt;"SI"),"","12")</f>
        <v/>
      </c>
      <c r="D4680">
        <f>IF($C4680="","","Cuentas por Cobrar Comerciales - Terceros")</f>
        <v/>
      </c>
      <c r="E4680" s="20">
        <f>""</f>
        <v/>
      </c>
      <c r="F4680" s="20">
        <f>IF($C4680="","",Registro_Ventas!$I$32)</f>
        <v/>
      </c>
      <c r="G4680">
        <f>IF($C4680="","","Por la cobranza de la factura")</f>
        <v/>
      </c>
      <c r="H4680">
        <f>IF($C4680="","",Registro_Ventas!$C$32)</f>
        <v/>
      </c>
    </row>
    <row r="4681">
      <c r="A4681" s="25">
        <f>IF($C4681="","",Registro_Ventas!$B$33)</f>
        <v/>
      </c>
      <c r="B4681">
        <f>IF($C4681="","","V"&amp;TEXT(INT((ROW()-4507)/6)+1,"000")&amp;"-1")</f>
        <v/>
      </c>
      <c r="C4681">
        <f>IF(Registro_Ventas!$C$33="","","12")</f>
        <v/>
      </c>
      <c r="D4681">
        <f>IF($C4681="","","Cuentas por Cobrar Comerciales - Terceros")</f>
        <v/>
      </c>
      <c r="E4681" s="20">
        <f>IF($C4681="","",Registro_Ventas!$I$33)</f>
        <v/>
      </c>
      <c r="F4681" s="20">
        <f>""</f>
        <v/>
      </c>
      <c r="G4681">
        <f>IF($C4681="","","Por la venta segun comprobante a "&amp;Registro_Ventas!$E$33)</f>
        <v/>
      </c>
      <c r="H4681">
        <f>IF($C4681="","",Registro_Ventas!$C$33)</f>
        <v/>
      </c>
    </row>
    <row r="4682">
      <c r="A4682" s="25">
        <f>IF($C4682="","",Registro_Ventas!$B$33)</f>
        <v/>
      </c>
      <c r="B4682">
        <f>IF($C4682="","","V"&amp;TEXT(INT((ROW()-4507)/6)+1,"000")&amp;"-1")</f>
        <v/>
      </c>
      <c r="C4682">
        <f>IF(Registro_Ventas!$C$33="","","70")</f>
        <v/>
      </c>
      <c r="D4682">
        <f>IF($C4682="","","Ventas")</f>
        <v/>
      </c>
      <c r="E4682" s="20">
        <f>""</f>
        <v/>
      </c>
      <c r="F4682" s="20">
        <f>IF($C4682="","",Registro_Ventas!$G$33)</f>
        <v/>
      </c>
      <c r="G4682">
        <f>IF($C4682="","","Por la venta segun comprobante a "&amp;Registro_Ventas!$E$33)</f>
        <v/>
      </c>
      <c r="H4682">
        <f>IF($C4682="","",Registro_Ventas!$C$33)</f>
        <v/>
      </c>
    </row>
    <row r="4683">
      <c r="A4683" s="25">
        <f>IF($C4683="","",Registro_Ventas!$B$33)</f>
        <v/>
      </c>
      <c r="B4683">
        <f>IF($C4683="","","V"&amp;TEXT(INT((ROW()-4507)/6)+1,"000")&amp;"-1")</f>
        <v/>
      </c>
      <c r="C4683">
        <f>IF(OR(Registro_Ventas!$C$33="",Registro_Ventas!$R$33="SI"),"","40111")</f>
        <v/>
      </c>
      <c r="D4683">
        <f>IF($C4683="","","IGV - Cuenta Propia (Debito Fiscal)")</f>
        <v/>
      </c>
      <c r="E4683" s="20">
        <f>""</f>
        <v/>
      </c>
      <c r="F4683" s="20">
        <f>IF($C4683="","",Registro_Ventas!$H$33)</f>
        <v/>
      </c>
      <c r="G4683">
        <f>IF($C4683="","","Por la venta segun comprobante a "&amp;Registro_Ventas!$E$33)</f>
        <v/>
      </c>
      <c r="H4683">
        <f>IF($C4683="","",Registro_Ventas!$C$33)</f>
        <v/>
      </c>
    </row>
    <row r="4684">
      <c r="A4684" s="25">
        <f>IF($C4684="","",Registro_Ventas!$P$33)</f>
        <v/>
      </c>
      <c r="B4684">
        <f>IF($C4684="","","V"&amp;TEXT(INT((ROW()-4507)/6)+1,"000")&amp;"-2")</f>
        <v/>
      </c>
      <c r="C4684">
        <f>IF(OR(Registro_Ventas!$C$33="",Registro_Ventas!$O$33&lt;&gt;"SI"),"","10413")</f>
        <v/>
      </c>
      <c r="D4684">
        <f>IF($C4684="","","Efectivo y Equivalentes - Cta. Cte. Operativa")</f>
        <v/>
      </c>
      <c r="E4684" s="20">
        <f>IF($C4684="","",Registro_Ventas!$N$33)</f>
        <v/>
      </c>
      <c r="F4684" s="20">
        <f>""</f>
        <v/>
      </c>
      <c r="G4684">
        <f>IF($C4684="","","Por la cobranza de la factura")</f>
        <v/>
      </c>
      <c r="H4684">
        <f>IF($C4684="","",Registro_Ventas!$C$33)</f>
        <v/>
      </c>
    </row>
    <row r="4685">
      <c r="A4685" s="25">
        <f>IF($C4685="","",Registro_Ventas!$P$33)</f>
        <v/>
      </c>
      <c r="B4685">
        <f>IF($C4685="","","V"&amp;TEXT(INT((ROW()-4507)/6)+1,"000")&amp;"-2")</f>
        <v/>
      </c>
      <c r="C4685">
        <f>IF(OR(OR(Registro_Ventas!$C$33="",Registro_Ventas!$O$33&lt;&gt;"SI"),Registro_Ventas!$J$33&lt;&gt;"SI"),"","10421")</f>
        <v/>
      </c>
      <c r="D4685">
        <f>IF($C4685="","","Efectivo - Cuenta de Detracciones (Banco de la Nacion)")</f>
        <v/>
      </c>
      <c r="E4685" s="20">
        <f>IF($C4685="","",Registro_Ventas!$M$33)</f>
        <v/>
      </c>
      <c r="F4685" s="20">
        <f>""</f>
        <v/>
      </c>
      <c r="G4685">
        <f>IF($C4685="","","Detraccion retenida por el cliente")</f>
        <v/>
      </c>
      <c r="H4685">
        <f>IF($C4685="","",Registro_Ventas!$C$33)</f>
        <v/>
      </c>
    </row>
    <row r="4686">
      <c r="A4686" s="25">
        <f>IF($C4686="","",Registro_Ventas!$P$33)</f>
        <v/>
      </c>
      <c r="B4686">
        <f>IF($C4686="","","V"&amp;TEXT(INT((ROW()-4507)/6)+1,"000")&amp;"-2")</f>
        <v/>
      </c>
      <c r="C4686">
        <f>IF(OR(Registro_Ventas!$C$33="",Registro_Ventas!$O$33&lt;&gt;"SI"),"","12")</f>
        <v/>
      </c>
      <c r="D4686">
        <f>IF($C4686="","","Cuentas por Cobrar Comerciales - Terceros")</f>
        <v/>
      </c>
      <c r="E4686" s="20">
        <f>""</f>
        <v/>
      </c>
      <c r="F4686" s="20">
        <f>IF($C4686="","",Registro_Ventas!$I$33)</f>
        <v/>
      </c>
      <c r="G4686">
        <f>IF($C4686="","","Por la cobranza de la factura")</f>
        <v/>
      </c>
      <c r="H4686">
        <f>IF($C4686="","",Registro_Ventas!$C$33)</f>
        <v/>
      </c>
    </row>
    <row r="4687">
      <c r="A4687" s="25">
        <f>IF($C4687="","",Registro_Ventas!$B$34)</f>
        <v/>
      </c>
      <c r="B4687">
        <f>IF($C4687="","","V"&amp;TEXT(INT((ROW()-4507)/6)+1,"000")&amp;"-1")</f>
        <v/>
      </c>
      <c r="C4687">
        <f>IF(Registro_Ventas!$C$34="","","12")</f>
        <v/>
      </c>
      <c r="D4687">
        <f>IF($C4687="","","Cuentas por Cobrar Comerciales - Terceros")</f>
        <v/>
      </c>
      <c r="E4687" s="20">
        <f>IF($C4687="","",Registro_Ventas!$I$34)</f>
        <v/>
      </c>
      <c r="F4687" s="20">
        <f>""</f>
        <v/>
      </c>
      <c r="G4687">
        <f>IF($C4687="","","Por la venta segun comprobante a "&amp;Registro_Ventas!$E$34)</f>
        <v/>
      </c>
      <c r="H4687">
        <f>IF($C4687="","",Registro_Ventas!$C$34)</f>
        <v/>
      </c>
    </row>
    <row r="4688">
      <c r="A4688" s="25">
        <f>IF($C4688="","",Registro_Ventas!$B$34)</f>
        <v/>
      </c>
      <c r="B4688">
        <f>IF($C4688="","","V"&amp;TEXT(INT((ROW()-4507)/6)+1,"000")&amp;"-1")</f>
        <v/>
      </c>
      <c r="C4688">
        <f>IF(Registro_Ventas!$C$34="","","70")</f>
        <v/>
      </c>
      <c r="D4688">
        <f>IF($C4688="","","Ventas")</f>
        <v/>
      </c>
      <c r="E4688" s="20">
        <f>""</f>
        <v/>
      </c>
      <c r="F4688" s="20">
        <f>IF($C4688="","",Registro_Ventas!$G$34)</f>
        <v/>
      </c>
      <c r="G4688">
        <f>IF($C4688="","","Por la venta segun comprobante a "&amp;Registro_Ventas!$E$34)</f>
        <v/>
      </c>
      <c r="H4688">
        <f>IF($C4688="","",Registro_Ventas!$C$34)</f>
        <v/>
      </c>
    </row>
    <row r="4689">
      <c r="A4689" s="25">
        <f>IF($C4689="","",Registro_Ventas!$B$34)</f>
        <v/>
      </c>
      <c r="B4689">
        <f>IF($C4689="","","V"&amp;TEXT(INT((ROW()-4507)/6)+1,"000")&amp;"-1")</f>
        <v/>
      </c>
      <c r="C4689">
        <f>IF(OR(Registro_Ventas!$C$34="",Registro_Ventas!$R$34="SI"),"","40111")</f>
        <v/>
      </c>
      <c r="D4689">
        <f>IF($C4689="","","IGV - Cuenta Propia (Debito Fiscal)")</f>
        <v/>
      </c>
      <c r="E4689" s="20">
        <f>""</f>
        <v/>
      </c>
      <c r="F4689" s="20">
        <f>IF($C4689="","",Registro_Ventas!$H$34)</f>
        <v/>
      </c>
      <c r="G4689">
        <f>IF($C4689="","","Por la venta segun comprobante a "&amp;Registro_Ventas!$E$34)</f>
        <v/>
      </c>
      <c r="H4689">
        <f>IF($C4689="","",Registro_Ventas!$C$34)</f>
        <v/>
      </c>
    </row>
    <row r="4690">
      <c r="A4690" s="25">
        <f>IF($C4690="","",Registro_Ventas!$P$34)</f>
        <v/>
      </c>
      <c r="B4690">
        <f>IF($C4690="","","V"&amp;TEXT(INT((ROW()-4507)/6)+1,"000")&amp;"-2")</f>
        <v/>
      </c>
      <c r="C4690">
        <f>IF(OR(Registro_Ventas!$C$34="",Registro_Ventas!$O$34&lt;&gt;"SI"),"","10413")</f>
        <v/>
      </c>
      <c r="D4690">
        <f>IF($C4690="","","Efectivo y Equivalentes - Cta. Cte. Operativa")</f>
        <v/>
      </c>
      <c r="E4690" s="20">
        <f>IF($C4690="","",Registro_Ventas!$N$34)</f>
        <v/>
      </c>
      <c r="F4690" s="20">
        <f>""</f>
        <v/>
      </c>
      <c r="G4690">
        <f>IF($C4690="","","Por la cobranza de la factura")</f>
        <v/>
      </c>
      <c r="H4690">
        <f>IF($C4690="","",Registro_Ventas!$C$34)</f>
        <v/>
      </c>
    </row>
    <row r="4691">
      <c r="A4691" s="25">
        <f>IF($C4691="","",Registro_Ventas!$P$34)</f>
        <v/>
      </c>
      <c r="B4691">
        <f>IF($C4691="","","V"&amp;TEXT(INT((ROW()-4507)/6)+1,"000")&amp;"-2")</f>
        <v/>
      </c>
      <c r="C4691">
        <f>IF(OR(OR(Registro_Ventas!$C$34="",Registro_Ventas!$O$34&lt;&gt;"SI"),Registro_Ventas!$J$34&lt;&gt;"SI"),"","10421")</f>
        <v/>
      </c>
      <c r="D4691">
        <f>IF($C4691="","","Efectivo - Cuenta de Detracciones (Banco de la Nacion)")</f>
        <v/>
      </c>
      <c r="E4691" s="20">
        <f>IF($C4691="","",Registro_Ventas!$M$34)</f>
        <v/>
      </c>
      <c r="F4691" s="20">
        <f>""</f>
        <v/>
      </c>
      <c r="G4691">
        <f>IF($C4691="","","Detraccion retenida por el cliente")</f>
        <v/>
      </c>
      <c r="H4691">
        <f>IF($C4691="","",Registro_Ventas!$C$34)</f>
        <v/>
      </c>
    </row>
    <row r="4692">
      <c r="A4692" s="25">
        <f>IF($C4692="","",Registro_Ventas!$P$34)</f>
        <v/>
      </c>
      <c r="B4692">
        <f>IF($C4692="","","V"&amp;TEXT(INT((ROW()-4507)/6)+1,"000")&amp;"-2")</f>
        <v/>
      </c>
      <c r="C4692">
        <f>IF(OR(Registro_Ventas!$C$34="",Registro_Ventas!$O$34&lt;&gt;"SI"),"","12")</f>
        <v/>
      </c>
      <c r="D4692">
        <f>IF($C4692="","","Cuentas por Cobrar Comerciales - Terceros")</f>
        <v/>
      </c>
      <c r="E4692" s="20">
        <f>""</f>
        <v/>
      </c>
      <c r="F4692" s="20">
        <f>IF($C4692="","",Registro_Ventas!$I$34)</f>
        <v/>
      </c>
      <c r="G4692">
        <f>IF($C4692="","","Por la cobranza de la factura")</f>
        <v/>
      </c>
      <c r="H4692">
        <f>IF($C4692="","",Registro_Ventas!$C$34)</f>
        <v/>
      </c>
    </row>
    <row r="4693">
      <c r="A4693" s="25">
        <f>IF($C4693="","",Registro_Ventas!$B$35)</f>
        <v/>
      </c>
      <c r="B4693">
        <f>IF($C4693="","","V"&amp;TEXT(INT((ROW()-4507)/6)+1,"000")&amp;"-1")</f>
        <v/>
      </c>
      <c r="C4693">
        <f>IF(Registro_Ventas!$C$35="","","12")</f>
        <v/>
      </c>
      <c r="D4693">
        <f>IF($C4693="","","Cuentas por Cobrar Comerciales - Terceros")</f>
        <v/>
      </c>
      <c r="E4693" s="20">
        <f>IF($C4693="","",Registro_Ventas!$I$35)</f>
        <v/>
      </c>
      <c r="F4693" s="20">
        <f>""</f>
        <v/>
      </c>
      <c r="G4693">
        <f>IF($C4693="","","Por la venta segun comprobante a "&amp;Registro_Ventas!$E$35)</f>
        <v/>
      </c>
      <c r="H4693">
        <f>IF($C4693="","",Registro_Ventas!$C$35)</f>
        <v/>
      </c>
    </row>
    <row r="4694">
      <c r="A4694" s="25">
        <f>IF($C4694="","",Registro_Ventas!$B$35)</f>
        <v/>
      </c>
      <c r="B4694">
        <f>IF($C4694="","","V"&amp;TEXT(INT((ROW()-4507)/6)+1,"000")&amp;"-1")</f>
        <v/>
      </c>
      <c r="C4694">
        <f>IF(Registro_Ventas!$C$35="","","70")</f>
        <v/>
      </c>
      <c r="D4694">
        <f>IF($C4694="","","Ventas")</f>
        <v/>
      </c>
      <c r="E4694" s="20">
        <f>""</f>
        <v/>
      </c>
      <c r="F4694" s="20">
        <f>IF($C4694="","",Registro_Ventas!$G$35)</f>
        <v/>
      </c>
      <c r="G4694">
        <f>IF($C4694="","","Por la venta segun comprobante a "&amp;Registro_Ventas!$E$35)</f>
        <v/>
      </c>
      <c r="H4694">
        <f>IF($C4694="","",Registro_Ventas!$C$35)</f>
        <v/>
      </c>
    </row>
    <row r="4695">
      <c r="A4695" s="25">
        <f>IF($C4695="","",Registro_Ventas!$B$35)</f>
        <v/>
      </c>
      <c r="B4695">
        <f>IF($C4695="","","V"&amp;TEXT(INT((ROW()-4507)/6)+1,"000")&amp;"-1")</f>
        <v/>
      </c>
      <c r="C4695">
        <f>IF(OR(Registro_Ventas!$C$35="",Registro_Ventas!$R$35="SI"),"","40111")</f>
        <v/>
      </c>
      <c r="D4695">
        <f>IF($C4695="","","IGV - Cuenta Propia (Debito Fiscal)")</f>
        <v/>
      </c>
      <c r="E4695" s="20">
        <f>""</f>
        <v/>
      </c>
      <c r="F4695" s="20">
        <f>IF($C4695="","",Registro_Ventas!$H$35)</f>
        <v/>
      </c>
      <c r="G4695">
        <f>IF($C4695="","","Por la venta segun comprobante a "&amp;Registro_Ventas!$E$35)</f>
        <v/>
      </c>
      <c r="H4695">
        <f>IF($C4695="","",Registro_Ventas!$C$35)</f>
        <v/>
      </c>
    </row>
    <row r="4696">
      <c r="A4696" s="25">
        <f>IF($C4696="","",Registro_Ventas!$P$35)</f>
        <v/>
      </c>
      <c r="B4696">
        <f>IF($C4696="","","V"&amp;TEXT(INT((ROW()-4507)/6)+1,"000")&amp;"-2")</f>
        <v/>
      </c>
      <c r="C4696">
        <f>IF(OR(Registro_Ventas!$C$35="",Registro_Ventas!$O$35&lt;&gt;"SI"),"","10413")</f>
        <v/>
      </c>
      <c r="D4696">
        <f>IF($C4696="","","Efectivo y Equivalentes - Cta. Cte. Operativa")</f>
        <v/>
      </c>
      <c r="E4696" s="20">
        <f>IF($C4696="","",Registro_Ventas!$N$35)</f>
        <v/>
      </c>
      <c r="F4696" s="20">
        <f>""</f>
        <v/>
      </c>
      <c r="G4696">
        <f>IF($C4696="","","Por la cobranza de la factura")</f>
        <v/>
      </c>
      <c r="H4696">
        <f>IF($C4696="","",Registro_Ventas!$C$35)</f>
        <v/>
      </c>
    </row>
    <row r="4697">
      <c r="A4697" s="25">
        <f>IF($C4697="","",Registro_Ventas!$P$35)</f>
        <v/>
      </c>
      <c r="B4697">
        <f>IF($C4697="","","V"&amp;TEXT(INT((ROW()-4507)/6)+1,"000")&amp;"-2")</f>
        <v/>
      </c>
      <c r="C4697">
        <f>IF(OR(OR(Registro_Ventas!$C$35="",Registro_Ventas!$O$35&lt;&gt;"SI"),Registro_Ventas!$J$35&lt;&gt;"SI"),"","10421")</f>
        <v/>
      </c>
      <c r="D4697">
        <f>IF($C4697="","","Efectivo - Cuenta de Detracciones (Banco de la Nacion)")</f>
        <v/>
      </c>
      <c r="E4697" s="20">
        <f>IF($C4697="","",Registro_Ventas!$M$35)</f>
        <v/>
      </c>
      <c r="F4697" s="20">
        <f>""</f>
        <v/>
      </c>
      <c r="G4697">
        <f>IF($C4697="","","Detraccion retenida por el cliente")</f>
        <v/>
      </c>
      <c r="H4697">
        <f>IF($C4697="","",Registro_Ventas!$C$35)</f>
        <v/>
      </c>
    </row>
    <row r="4698">
      <c r="A4698" s="25">
        <f>IF($C4698="","",Registro_Ventas!$P$35)</f>
        <v/>
      </c>
      <c r="B4698">
        <f>IF($C4698="","","V"&amp;TEXT(INT((ROW()-4507)/6)+1,"000")&amp;"-2")</f>
        <v/>
      </c>
      <c r="C4698">
        <f>IF(OR(Registro_Ventas!$C$35="",Registro_Ventas!$O$35&lt;&gt;"SI"),"","12")</f>
        <v/>
      </c>
      <c r="D4698">
        <f>IF($C4698="","","Cuentas por Cobrar Comerciales - Terceros")</f>
        <v/>
      </c>
      <c r="E4698" s="20">
        <f>""</f>
        <v/>
      </c>
      <c r="F4698" s="20">
        <f>IF($C4698="","",Registro_Ventas!$I$35)</f>
        <v/>
      </c>
      <c r="G4698">
        <f>IF($C4698="","","Por la cobranza de la factura")</f>
        <v/>
      </c>
      <c r="H4698">
        <f>IF($C4698="","",Registro_Ventas!$C$35)</f>
        <v/>
      </c>
    </row>
    <row r="4699">
      <c r="A4699" s="25">
        <f>IF($C4699="","",Registro_Ventas!$B$36)</f>
        <v/>
      </c>
      <c r="B4699">
        <f>IF($C4699="","","V"&amp;TEXT(INT((ROW()-4507)/6)+1,"000")&amp;"-1")</f>
        <v/>
      </c>
      <c r="C4699">
        <f>IF(Registro_Ventas!$C$36="","","12")</f>
        <v/>
      </c>
      <c r="D4699">
        <f>IF($C4699="","","Cuentas por Cobrar Comerciales - Terceros")</f>
        <v/>
      </c>
      <c r="E4699" s="20">
        <f>IF($C4699="","",Registro_Ventas!$I$36)</f>
        <v/>
      </c>
      <c r="F4699" s="20">
        <f>""</f>
        <v/>
      </c>
      <c r="G4699">
        <f>IF($C4699="","","Por la venta segun comprobante a "&amp;Registro_Ventas!$E$36)</f>
        <v/>
      </c>
      <c r="H4699">
        <f>IF($C4699="","",Registro_Ventas!$C$36)</f>
        <v/>
      </c>
    </row>
    <row r="4700">
      <c r="A4700" s="25">
        <f>IF($C4700="","",Registro_Ventas!$B$36)</f>
        <v/>
      </c>
      <c r="B4700">
        <f>IF($C4700="","","V"&amp;TEXT(INT((ROW()-4507)/6)+1,"000")&amp;"-1")</f>
        <v/>
      </c>
      <c r="C4700">
        <f>IF(Registro_Ventas!$C$36="","","70")</f>
        <v/>
      </c>
      <c r="D4700">
        <f>IF($C4700="","","Ventas")</f>
        <v/>
      </c>
      <c r="E4700" s="20">
        <f>""</f>
        <v/>
      </c>
      <c r="F4700" s="20">
        <f>IF($C4700="","",Registro_Ventas!$G$36)</f>
        <v/>
      </c>
      <c r="G4700">
        <f>IF($C4700="","","Por la venta segun comprobante a "&amp;Registro_Ventas!$E$36)</f>
        <v/>
      </c>
      <c r="H4700">
        <f>IF($C4700="","",Registro_Ventas!$C$36)</f>
        <v/>
      </c>
    </row>
    <row r="4701">
      <c r="A4701" s="25">
        <f>IF($C4701="","",Registro_Ventas!$B$36)</f>
        <v/>
      </c>
      <c r="B4701">
        <f>IF($C4701="","","V"&amp;TEXT(INT((ROW()-4507)/6)+1,"000")&amp;"-1")</f>
        <v/>
      </c>
      <c r="C4701">
        <f>IF(OR(Registro_Ventas!$C$36="",Registro_Ventas!$R$36="SI"),"","40111")</f>
        <v/>
      </c>
      <c r="D4701">
        <f>IF($C4701="","","IGV - Cuenta Propia (Debito Fiscal)")</f>
        <v/>
      </c>
      <c r="E4701" s="20">
        <f>""</f>
        <v/>
      </c>
      <c r="F4701" s="20">
        <f>IF($C4701="","",Registro_Ventas!$H$36)</f>
        <v/>
      </c>
      <c r="G4701">
        <f>IF($C4701="","","Por la venta segun comprobante a "&amp;Registro_Ventas!$E$36)</f>
        <v/>
      </c>
      <c r="H4701">
        <f>IF($C4701="","",Registro_Ventas!$C$36)</f>
        <v/>
      </c>
    </row>
    <row r="4702">
      <c r="A4702" s="25">
        <f>IF($C4702="","",Registro_Ventas!$P$36)</f>
        <v/>
      </c>
      <c r="B4702">
        <f>IF($C4702="","","V"&amp;TEXT(INT((ROW()-4507)/6)+1,"000")&amp;"-2")</f>
        <v/>
      </c>
      <c r="C4702">
        <f>IF(OR(Registro_Ventas!$C$36="",Registro_Ventas!$O$36&lt;&gt;"SI"),"","10413")</f>
        <v/>
      </c>
      <c r="D4702">
        <f>IF($C4702="","","Efectivo y Equivalentes - Cta. Cte. Operativa")</f>
        <v/>
      </c>
      <c r="E4702" s="20">
        <f>IF($C4702="","",Registro_Ventas!$N$36)</f>
        <v/>
      </c>
      <c r="F4702" s="20">
        <f>""</f>
        <v/>
      </c>
      <c r="G4702">
        <f>IF($C4702="","","Por la cobranza de la factura")</f>
        <v/>
      </c>
      <c r="H4702">
        <f>IF($C4702="","",Registro_Ventas!$C$36)</f>
        <v/>
      </c>
    </row>
    <row r="4703">
      <c r="A4703" s="25">
        <f>IF($C4703="","",Registro_Ventas!$P$36)</f>
        <v/>
      </c>
      <c r="B4703">
        <f>IF($C4703="","","V"&amp;TEXT(INT((ROW()-4507)/6)+1,"000")&amp;"-2")</f>
        <v/>
      </c>
      <c r="C4703">
        <f>IF(OR(OR(Registro_Ventas!$C$36="",Registro_Ventas!$O$36&lt;&gt;"SI"),Registro_Ventas!$J$36&lt;&gt;"SI"),"","10421")</f>
        <v/>
      </c>
      <c r="D4703">
        <f>IF($C4703="","","Efectivo - Cuenta de Detracciones (Banco de la Nacion)")</f>
        <v/>
      </c>
      <c r="E4703" s="20">
        <f>IF($C4703="","",Registro_Ventas!$M$36)</f>
        <v/>
      </c>
      <c r="F4703" s="20">
        <f>""</f>
        <v/>
      </c>
      <c r="G4703">
        <f>IF($C4703="","","Detraccion retenida por el cliente")</f>
        <v/>
      </c>
      <c r="H4703">
        <f>IF($C4703="","",Registro_Ventas!$C$36)</f>
        <v/>
      </c>
    </row>
    <row r="4704">
      <c r="A4704" s="25">
        <f>IF($C4704="","",Registro_Ventas!$P$36)</f>
        <v/>
      </c>
      <c r="B4704">
        <f>IF($C4704="","","V"&amp;TEXT(INT((ROW()-4507)/6)+1,"000")&amp;"-2")</f>
        <v/>
      </c>
      <c r="C4704">
        <f>IF(OR(Registro_Ventas!$C$36="",Registro_Ventas!$O$36&lt;&gt;"SI"),"","12")</f>
        <v/>
      </c>
      <c r="D4704">
        <f>IF($C4704="","","Cuentas por Cobrar Comerciales - Terceros")</f>
        <v/>
      </c>
      <c r="E4704" s="20">
        <f>""</f>
        <v/>
      </c>
      <c r="F4704" s="20">
        <f>IF($C4704="","",Registro_Ventas!$I$36)</f>
        <v/>
      </c>
      <c r="G4704">
        <f>IF($C4704="","","Por la cobranza de la factura")</f>
        <v/>
      </c>
      <c r="H4704">
        <f>IF($C4704="","",Registro_Ventas!$C$36)</f>
        <v/>
      </c>
    </row>
    <row r="4705">
      <c r="A4705" s="25">
        <f>IF($C4705="","",Registro_Ventas!$B$37)</f>
        <v/>
      </c>
      <c r="B4705">
        <f>IF($C4705="","","V"&amp;TEXT(INT((ROW()-4507)/6)+1,"000")&amp;"-1")</f>
        <v/>
      </c>
      <c r="C4705">
        <f>IF(Registro_Ventas!$C$37="","","12")</f>
        <v/>
      </c>
      <c r="D4705">
        <f>IF($C4705="","","Cuentas por Cobrar Comerciales - Terceros")</f>
        <v/>
      </c>
      <c r="E4705" s="20">
        <f>IF($C4705="","",Registro_Ventas!$I$37)</f>
        <v/>
      </c>
      <c r="F4705" s="20">
        <f>""</f>
        <v/>
      </c>
      <c r="G4705">
        <f>IF($C4705="","","Por la venta segun comprobante a "&amp;Registro_Ventas!$E$37)</f>
        <v/>
      </c>
      <c r="H4705">
        <f>IF($C4705="","",Registro_Ventas!$C$37)</f>
        <v/>
      </c>
    </row>
    <row r="4706">
      <c r="A4706" s="25">
        <f>IF($C4706="","",Registro_Ventas!$B$37)</f>
        <v/>
      </c>
      <c r="B4706">
        <f>IF($C4706="","","V"&amp;TEXT(INT((ROW()-4507)/6)+1,"000")&amp;"-1")</f>
        <v/>
      </c>
      <c r="C4706">
        <f>IF(Registro_Ventas!$C$37="","","70")</f>
        <v/>
      </c>
      <c r="D4706">
        <f>IF($C4706="","","Ventas")</f>
        <v/>
      </c>
      <c r="E4706" s="20">
        <f>""</f>
        <v/>
      </c>
      <c r="F4706" s="20">
        <f>IF($C4706="","",Registro_Ventas!$G$37)</f>
        <v/>
      </c>
      <c r="G4706">
        <f>IF($C4706="","","Por la venta segun comprobante a "&amp;Registro_Ventas!$E$37)</f>
        <v/>
      </c>
      <c r="H4706">
        <f>IF($C4706="","",Registro_Ventas!$C$37)</f>
        <v/>
      </c>
    </row>
    <row r="4707">
      <c r="A4707" s="25">
        <f>IF($C4707="","",Registro_Ventas!$B$37)</f>
        <v/>
      </c>
      <c r="B4707">
        <f>IF($C4707="","","V"&amp;TEXT(INT((ROW()-4507)/6)+1,"000")&amp;"-1")</f>
        <v/>
      </c>
      <c r="C4707">
        <f>IF(OR(Registro_Ventas!$C$37="",Registro_Ventas!$R$37="SI"),"","40111")</f>
        <v/>
      </c>
      <c r="D4707">
        <f>IF($C4707="","","IGV - Cuenta Propia (Debito Fiscal)")</f>
        <v/>
      </c>
      <c r="E4707" s="20">
        <f>""</f>
        <v/>
      </c>
      <c r="F4707" s="20">
        <f>IF($C4707="","",Registro_Ventas!$H$37)</f>
        <v/>
      </c>
      <c r="G4707">
        <f>IF($C4707="","","Por la venta segun comprobante a "&amp;Registro_Ventas!$E$37)</f>
        <v/>
      </c>
      <c r="H4707">
        <f>IF($C4707="","",Registro_Ventas!$C$37)</f>
        <v/>
      </c>
    </row>
    <row r="4708">
      <c r="A4708" s="25">
        <f>IF($C4708="","",Registro_Ventas!$P$37)</f>
        <v/>
      </c>
      <c r="B4708">
        <f>IF($C4708="","","V"&amp;TEXT(INT((ROW()-4507)/6)+1,"000")&amp;"-2")</f>
        <v/>
      </c>
      <c r="C4708">
        <f>IF(OR(Registro_Ventas!$C$37="",Registro_Ventas!$O$37&lt;&gt;"SI"),"","10413")</f>
        <v/>
      </c>
      <c r="D4708">
        <f>IF($C4708="","","Efectivo y Equivalentes - Cta. Cte. Operativa")</f>
        <v/>
      </c>
      <c r="E4708" s="20">
        <f>IF($C4708="","",Registro_Ventas!$N$37)</f>
        <v/>
      </c>
      <c r="F4708" s="20">
        <f>""</f>
        <v/>
      </c>
      <c r="G4708">
        <f>IF($C4708="","","Por la cobranza de la factura")</f>
        <v/>
      </c>
      <c r="H4708">
        <f>IF($C4708="","",Registro_Ventas!$C$37)</f>
        <v/>
      </c>
    </row>
    <row r="4709">
      <c r="A4709" s="25">
        <f>IF($C4709="","",Registro_Ventas!$P$37)</f>
        <v/>
      </c>
      <c r="B4709">
        <f>IF($C4709="","","V"&amp;TEXT(INT((ROW()-4507)/6)+1,"000")&amp;"-2")</f>
        <v/>
      </c>
      <c r="C4709">
        <f>IF(OR(OR(Registro_Ventas!$C$37="",Registro_Ventas!$O$37&lt;&gt;"SI"),Registro_Ventas!$J$37&lt;&gt;"SI"),"","10421")</f>
        <v/>
      </c>
      <c r="D4709">
        <f>IF($C4709="","","Efectivo - Cuenta de Detracciones (Banco de la Nacion)")</f>
        <v/>
      </c>
      <c r="E4709" s="20">
        <f>IF($C4709="","",Registro_Ventas!$M$37)</f>
        <v/>
      </c>
      <c r="F4709" s="20">
        <f>""</f>
        <v/>
      </c>
      <c r="G4709">
        <f>IF($C4709="","","Detraccion retenida por el cliente")</f>
        <v/>
      </c>
      <c r="H4709">
        <f>IF($C4709="","",Registro_Ventas!$C$37)</f>
        <v/>
      </c>
    </row>
    <row r="4710">
      <c r="A4710" s="25">
        <f>IF($C4710="","",Registro_Ventas!$P$37)</f>
        <v/>
      </c>
      <c r="B4710">
        <f>IF($C4710="","","V"&amp;TEXT(INT((ROW()-4507)/6)+1,"000")&amp;"-2")</f>
        <v/>
      </c>
      <c r="C4710">
        <f>IF(OR(Registro_Ventas!$C$37="",Registro_Ventas!$O$37&lt;&gt;"SI"),"","12")</f>
        <v/>
      </c>
      <c r="D4710">
        <f>IF($C4710="","","Cuentas por Cobrar Comerciales - Terceros")</f>
        <v/>
      </c>
      <c r="E4710" s="20">
        <f>""</f>
        <v/>
      </c>
      <c r="F4710" s="20">
        <f>IF($C4710="","",Registro_Ventas!$I$37)</f>
        <v/>
      </c>
      <c r="G4710">
        <f>IF($C4710="","","Por la cobranza de la factura")</f>
        <v/>
      </c>
      <c r="H4710">
        <f>IF($C4710="","",Registro_Ventas!$C$37)</f>
        <v/>
      </c>
    </row>
    <row r="4711">
      <c r="A4711" s="25">
        <f>IF($C4711="","",Registro_Ventas!$B$38)</f>
        <v/>
      </c>
      <c r="B4711">
        <f>IF($C4711="","","V"&amp;TEXT(INT((ROW()-4507)/6)+1,"000")&amp;"-1")</f>
        <v/>
      </c>
      <c r="C4711">
        <f>IF(Registro_Ventas!$C$38="","","12")</f>
        <v/>
      </c>
      <c r="D4711">
        <f>IF($C4711="","","Cuentas por Cobrar Comerciales - Terceros")</f>
        <v/>
      </c>
      <c r="E4711" s="20">
        <f>IF($C4711="","",Registro_Ventas!$I$38)</f>
        <v/>
      </c>
      <c r="F4711" s="20">
        <f>""</f>
        <v/>
      </c>
      <c r="G4711">
        <f>IF($C4711="","","Por la venta segun comprobante a "&amp;Registro_Ventas!$E$38)</f>
        <v/>
      </c>
      <c r="H4711">
        <f>IF($C4711="","",Registro_Ventas!$C$38)</f>
        <v/>
      </c>
    </row>
    <row r="4712">
      <c r="A4712" s="25">
        <f>IF($C4712="","",Registro_Ventas!$B$38)</f>
        <v/>
      </c>
      <c r="B4712">
        <f>IF($C4712="","","V"&amp;TEXT(INT((ROW()-4507)/6)+1,"000")&amp;"-1")</f>
        <v/>
      </c>
      <c r="C4712">
        <f>IF(Registro_Ventas!$C$38="","","70")</f>
        <v/>
      </c>
      <c r="D4712">
        <f>IF($C4712="","","Ventas")</f>
        <v/>
      </c>
      <c r="E4712" s="20">
        <f>""</f>
        <v/>
      </c>
      <c r="F4712" s="20">
        <f>IF($C4712="","",Registro_Ventas!$G$38)</f>
        <v/>
      </c>
      <c r="G4712">
        <f>IF($C4712="","","Por la venta segun comprobante a "&amp;Registro_Ventas!$E$38)</f>
        <v/>
      </c>
      <c r="H4712">
        <f>IF($C4712="","",Registro_Ventas!$C$38)</f>
        <v/>
      </c>
    </row>
    <row r="4713">
      <c r="A4713" s="25">
        <f>IF($C4713="","",Registro_Ventas!$B$38)</f>
        <v/>
      </c>
      <c r="B4713">
        <f>IF($C4713="","","V"&amp;TEXT(INT((ROW()-4507)/6)+1,"000")&amp;"-1")</f>
        <v/>
      </c>
      <c r="C4713">
        <f>IF(OR(Registro_Ventas!$C$38="",Registro_Ventas!$R$38="SI"),"","40111")</f>
        <v/>
      </c>
      <c r="D4713">
        <f>IF($C4713="","","IGV - Cuenta Propia (Debito Fiscal)")</f>
        <v/>
      </c>
      <c r="E4713" s="20">
        <f>""</f>
        <v/>
      </c>
      <c r="F4713" s="20">
        <f>IF($C4713="","",Registro_Ventas!$H$38)</f>
        <v/>
      </c>
      <c r="G4713">
        <f>IF($C4713="","","Por la venta segun comprobante a "&amp;Registro_Ventas!$E$38)</f>
        <v/>
      </c>
      <c r="H4713">
        <f>IF($C4713="","",Registro_Ventas!$C$38)</f>
        <v/>
      </c>
    </row>
    <row r="4714">
      <c r="A4714" s="25">
        <f>IF($C4714="","",Registro_Ventas!$P$38)</f>
        <v/>
      </c>
      <c r="B4714">
        <f>IF($C4714="","","V"&amp;TEXT(INT((ROW()-4507)/6)+1,"000")&amp;"-2")</f>
        <v/>
      </c>
      <c r="C4714">
        <f>IF(OR(Registro_Ventas!$C$38="",Registro_Ventas!$O$38&lt;&gt;"SI"),"","10413")</f>
        <v/>
      </c>
      <c r="D4714">
        <f>IF($C4714="","","Efectivo y Equivalentes - Cta. Cte. Operativa")</f>
        <v/>
      </c>
      <c r="E4714" s="20">
        <f>IF($C4714="","",Registro_Ventas!$N$38)</f>
        <v/>
      </c>
      <c r="F4714" s="20">
        <f>""</f>
        <v/>
      </c>
      <c r="G4714">
        <f>IF($C4714="","","Por la cobranza de la factura")</f>
        <v/>
      </c>
      <c r="H4714">
        <f>IF($C4714="","",Registro_Ventas!$C$38)</f>
        <v/>
      </c>
    </row>
    <row r="4715">
      <c r="A4715" s="25">
        <f>IF($C4715="","",Registro_Ventas!$P$38)</f>
        <v/>
      </c>
      <c r="B4715">
        <f>IF($C4715="","","V"&amp;TEXT(INT((ROW()-4507)/6)+1,"000")&amp;"-2")</f>
        <v/>
      </c>
      <c r="C4715">
        <f>IF(OR(OR(Registro_Ventas!$C$38="",Registro_Ventas!$O$38&lt;&gt;"SI"),Registro_Ventas!$J$38&lt;&gt;"SI"),"","10421")</f>
        <v/>
      </c>
      <c r="D4715">
        <f>IF($C4715="","","Efectivo - Cuenta de Detracciones (Banco de la Nacion)")</f>
        <v/>
      </c>
      <c r="E4715" s="20">
        <f>IF($C4715="","",Registro_Ventas!$M$38)</f>
        <v/>
      </c>
      <c r="F4715" s="20">
        <f>""</f>
        <v/>
      </c>
      <c r="G4715">
        <f>IF($C4715="","","Detraccion retenida por el cliente")</f>
        <v/>
      </c>
      <c r="H4715">
        <f>IF($C4715="","",Registro_Ventas!$C$38)</f>
        <v/>
      </c>
    </row>
    <row r="4716">
      <c r="A4716" s="25">
        <f>IF($C4716="","",Registro_Ventas!$P$38)</f>
        <v/>
      </c>
      <c r="B4716">
        <f>IF($C4716="","","V"&amp;TEXT(INT((ROW()-4507)/6)+1,"000")&amp;"-2")</f>
        <v/>
      </c>
      <c r="C4716">
        <f>IF(OR(Registro_Ventas!$C$38="",Registro_Ventas!$O$38&lt;&gt;"SI"),"","12")</f>
        <v/>
      </c>
      <c r="D4716">
        <f>IF($C4716="","","Cuentas por Cobrar Comerciales - Terceros")</f>
        <v/>
      </c>
      <c r="E4716" s="20">
        <f>""</f>
        <v/>
      </c>
      <c r="F4716" s="20">
        <f>IF($C4716="","",Registro_Ventas!$I$38)</f>
        <v/>
      </c>
      <c r="G4716">
        <f>IF($C4716="","","Por la cobranza de la factura")</f>
        <v/>
      </c>
      <c r="H4716">
        <f>IF($C4716="","",Registro_Ventas!$C$38)</f>
        <v/>
      </c>
    </row>
    <row r="4717">
      <c r="A4717" s="25">
        <f>IF($C4717="","",Registro_Ventas!$B$39)</f>
        <v/>
      </c>
      <c r="B4717">
        <f>IF($C4717="","","V"&amp;TEXT(INT((ROW()-4507)/6)+1,"000")&amp;"-1")</f>
        <v/>
      </c>
      <c r="C4717">
        <f>IF(Registro_Ventas!$C$39="","","12")</f>
        <v/>
      </c>
      <c r="D4717">
        <f>IF($C4717="","","Cuentas por Cobrar Comerciales - Terceros")</f>
        <v/>
      </c>
      <c r="E4717" s="20">
        <f>IF($C4717="","",Registro_Ventas!$I$39)</f>
        <v/>
      </c>
      <c r="F4717" s="20">
        <f>""</f>
        <v/>
      </c>
      <c r="G4717">
        <f>IF($C4717="","","Por la venta segun comprobante a "&amp;Registro_Ventas!$E$39)</f>
        <v/>
      </c>
      <c r="H4717">
        <f>IF($C4717="","",Registro_Ventas!$C$39)</f>
        <v/>
      </c>
    </row>
    <row r="4718">
      <c r="A4718" s="25">
        <f>IF($C4718="","",Registro_Ventas!$B$39)</f>
        <v/>
      </c>
      <c r="B4718">
        <f>IF($C4718="","","V"&amp;TEXT(INT((ROW()-4507)/6)+1,"000")&amp;"-1")</f>
        <v/>
      </c>
      <c r="C4718">
        <f>IF(Registro_Ventas!$C$39="","","70")</f>
        <v/>
      </c>
      <c r="D4718">
        <f>IF($C4718="","","Ventas")</f>
        <v/>
      </c>
      <c r="E4718" s="20">
        <f>""</f>
        <v/>
      </c>
      <c r="F4718" s="20">
        <f>IF($C4718="","",Registro_Ventas!$G$39)</f>
        <v/>
      </c>
      <c r="G4718">
        <f>IF($C4718="","","Por la venta segun comprobante a "&amp;Registro_Ventas!$E$39)</f>
        <v/>
      </c>
      <c r="H4718">
        <f>IF($C4718="","",Registro_Ventas!$C$39)</f>
        <v/>
      </c>
    </row>
    <row r="4719">
      <c r="A4719" s="25">
        <f>IF($C4719="","",Registro_Ventas!$B$39)</f>
        <v/>
      </c>
      <c r="B4719">
        <f>IF($C4719="","","V"&amp;TEXT(INT((ROW()-4507)/6)+1,"000")&amp;"-1")</f>
        <v/>
      </c>
      <c r="C4719">
        <f>IF(OR(Registro_Ventas!$C$39="",Registro_Ventas!$R$39="SI"),"","40111")</f>
        <v/>
      </c>
      <c r="D4719">
        <f>IF($C4719="","","IGV - Cuenta Propia (Debito Fiscal)")</f>
        <v/>
      </c>
      <c r="E4719" s="20">
        <f>""</f>
        <v/>
      </c>
      <c r="F4719" s="20">
        <f>IF($C4719="","",Registro_Ventas!$H$39)</f>
        <v/>
      </c>
      <c r="G4719">
        <f>IF($C4719="","","Por la venta segun comprobante a "&amp;Registro_Ventas!$E$39)</f>
        <v/>
      </c>
      <c r="H4719">
        <f>IF($C4719="","",Registro_Ventas!$C$39)</f>
        <v/>
      </c>
    </row>
    <row r="4720">
      <c r="A4720" s="25">
        <f>IF($C4720="","",Registro_Ventas!$P$39)</f>
        <v/>
      </c>
      <c r="B4720">
        <f>IF($C4720="","","V"&amp;TEXT(INT((ROW()-4507)/6)+1,"000")&amp;"-2")</f>
        <v/>
      </c>
      <c r="C4720">
        <f>IF(OR(Registro_Ventas!$C$39="",Registro_Ventas!$O$39&lt;&gt;"SI"),"","10413")</f>
        <v/>
      </c>
      <c r="D4720">
        <f>IF($C4720="","","Efectivo y Equivalentes - Cta. Cte. Operativa")</f>
        <v/>
      </c>
      <c r="E4720" s="20">
        <f>IF($C4720="","",Registro_Ventas!$N$39)</f>
        <v/>
      </c>
      <c r="F4720" s="20">
        <f>""</f>
        <v/>
      </c>
      <c r="G4720">
        <f>IF($C4720="","","Por la cobranza de la factura")</f>
        <v/>
      </c>
      <c r="H4720">
        <f>IF($C4720="","",Registro_Ventas!$C$39)</f>
        <v/>
      </c>
    </row>
    <row r="4721">
      <c r="A4721" s="25">
        <f>IF($C4721="","",Registro_Ventas!$P$39)</f>
        <v/>
      </c>
      <c r="B4721">
        <f>IF($C4721="","","V"&amp;TEXT(INT((ROW()-4507)/6)+1,"000")&amp;"-2")</f>
        <v/>
      </c>
      <c r="C4721">
        <f>IF(OR(OR(Registro_Ventas!$C$39="",Registro_Ventas!$O$39&lt;&gt;"SI"),Registro_Ventas!$J$39&lt;&gt;"SI"),"","10421")</f>
        <v/>
      </c>
      <c r="D4721">
        <f>IF($C4721="","","Efectivo - Cuenta de Detracciones (Banco de la Nacion)")</f>
        <v/>
      </c>
      <c r="E4721" s="20">
        <f>IF($C4721="","",Registro_Ventas!$M$39)</f>
        <v/>
      </c>
      <c r="F4721" s="20">
        <f>""</f>
        <v/>
      </c>
      <c r="G4721">
        <f>IF($C4721="","","Detraccion retenida por el cliente")</f>
        <v/>
      </c>
      <c r="H4721">
        <f>IF($C4721="","",Registro_Ventas!$C$39)</f>
        <v/>
      </c>
    </row>
    <row r="4722">
      <c r="A4722" s="25">
        <f>IF($C4722="","",Registro_Ventas!$P$39)</f>
        <v/>
      </c>
      <c r="B4722">
        <f>IF($C4722="","","V"&amp;TEXT(INT((ROW()-4507)/6)+1,"000")&amp;"-2")</f>
        <v/>
      </c>
      <c r="C4722">
        <f>IF(OR(Registro_Ventas!$C$39="",Registro_Ventas!$O$39&lt;&gt;"SI"),"","12")</f>
        <v/>
      </c>
      <c r="D4722">
        <f>IF($C4722="","","Cuentas por Cobrar Comerciales - Terceros")</f>
        <v/>
      </c>
      <c r="E4722" s="20">
        <f>""</f>
        <v/>
      </c>
      <c r="F4722" s="20">
        <f>IF($C4722="","",Registro_Ventas!$I$39)</f>
        <v/>
      </c>
      <c r="G4722">
        <f>IF($C4722="","","Por la cobranza de la factura")</f>
        <v/>
      </c>
      <c r="H4722">
        <f>IF($C4722="","",Registro_Ventas!$C$39)</f>
        <v/>
      </c>
    </row>
    <row r="4723">
      <c r="A4723" s="25">
        <f>IF($C4723="","",Registro_Ventas!$B$40)</f>
        <v/>
      </c>
      <c r="B4723">
        <f>IF($C4723="","","V"&amp;TEXT(INT((ROW()-4507)/6)+1,"000")&amp;"-1")</f>
        <v/>
      </c>
      <c r="C4723">
        <f>IF(Registro_Ventas!$C$40="","","12")</f>
        <v/>
      </c>
      <c r="D4723">
        <f>IF($C4723="","","Cuentas por Cobrar Comerciales - Terceros")</f>
        <v/>
      </c>
      <c r="E4723" s="20">
        <f>IF($C4723="","",Registro_Ventas!$I$40)</f>
        <v/>
      </c>
      <c r="F4723" s="20">
        <f>""</f>
        <v/>
      </c>
      <c r="G4723">
        <f>IF($C4723="","","Por la venta segun comprobante a "&amp;Registro_Ventas!$E$40)</f>
        <v/>
      </c>
      <c r="H4723">
        <f>IF($C4723="","",Registro_Ventas!$C$40)</f>
        <v/>
      </c>
    </row>
    <row r="4724">
      <c r="A4724" s="25">
        <f>IF($C4724="","",Registro_Ventas!$B$40)</f>
        <v/>
      </c>
      <c r="B4724">
        <f>IF($C4724="","","V"&amp;TEXT(INT((ROW()-4507)/6)+1,"000")&amp;"-1")</f>
        <v/>
      </c>
      <c r="C4724">
        <f>IF(Registro_Ventas!$C$40="","","70")</f>
        <v/>
      </c>
      <c r="D4724">
        <f>IF($C4724="","","Ventas")</f>
        <v/>
      </c>
      <c r="E4724" s="20">
        <f>""</f>
        <v/>
      </c>
      <c r="F4724" s="20">
        <f>IF($C4724="","",Registro_Ventas!$G$40)</f>
        <v/>
      </c>
      <c r="G4724">
        <f>IF($C4724="","","Por la venta segun comprobante a "&amp;Registro_Ventas!$E$40)</f>
        <v/>
      </c>
      <c r="H4724">
        <f>IF($C4724="","",Registro_Ventas!$C$40)</f>
        <v/>
      </c>
    </row>
    <row r="4725">
      <c r="A4725" s="25">
        <f>IF($C4725="","",Registro_Ventas!$B$40)</f>
        <v/>
      </c>
      <c r="B4725">
        <f>IF($C4725="","","V"&amp;TEXT(INT((ROW()-4507)/6)+1,"000")&amp;"-1")</f>
        <v/>
      </c>
      <c r="C4725">
        <f>IF(OR(Registro_Ventas!$C$40="",Registro_Ventas!$R$40="SI"),"","40111")</f>
        <v/>
      </c>
      <c r="D4725">
        <f>IF($C4725="","","IGV - Cuenta Propia (Debito Fiscal)")</f>
        <v/>
      </c>
      <c r="E4725" s="20">
        <f>""</f>
        <v/>
      </c>
      <c r="F4725" s="20">
        <f>IF($C4725="","",Registro_Ventas!$H$40)</f>
        <v/>
      </c>
      <c r="G4725">
        <f>IF($C4725="","","Por la venta segun comprobante a "&amp;Registro_Ventas!$E$40)</f>
        <v/>
      </c>
      <c r="H4725">
        <f>IF($C4725="","",Registro_Ventas!$C$40)</f>
        <v/>
      </c>
    </row>
    <row r="4726">
      <c r="A4726" s="25">
        <f>IF($C4726="","",Registro_Ventas!$P$40)</f>
        <v/>
      </c>
      <c r="B4726">
        <f>IF($C4726="","","V"&amp;TEXT(INT((ROW()-4507)/6)+1,"000")&amp;"-2")</f>
        <v/>
      </c>
      <c r="C4726">
        <f>IF(OR(Registro_Ventas!$C$40="",Registro_Ventas!$O$40&lt;&gt;"SI"),"","10413")</f>
        <v/>
      </c>
      <c r="D4726">
        <f>IF($C4726="","","Efectivo y Equivalentes - Cta. Cte. Operativa")</f>
        <v/>
      </c>
      <c r="E4726" s="20">
        <f>IF($C4726="","",Registro_Ventas!$N$40)</f>
        <v/>
      </c>
      <c r="F4726" s="20">
        <f>""</f>
        <v/>
      </c>
      <c r="G4726">
        <f>IF($C4726="","","Por la cobranza de la factura")</f>
        <v/>
      </c>
      <c r="H4726">
        <f>IF($C4726="","",Registro_Ventas!$C$40)</f>
        <v/>
      </c>
    </row>
    <row r="4727">
      <c r="A4727" s="25">
        <f>IF($C4727="","",Registro_Ventas!$P$40)</f>
        <v/>
      </c>
      <c r="B4727">
        <f>IF($C4727="","","V"&amp;TEXT(INT((ROW()-4507)/6)+1,"000")&amp;"-2")</f>
        <v/>
      </c>
      <c r="C4727">
        <f>IF(OR(OR(Registro_Ventas!$C$40="",Registro_Ventas!$O$40&lt;&gt;"SI"),Registro_Ventas!$J$40&lt;&gt;"SI"),"","10421")</f>
        <v/>
      </c>
      <c r="D4727">
        <f>IF($C4727="","","Efectivo - Cuenta de Detracciones (Banco de la Nacion)")</f>
        <v/>
      </c>
      <c r="E4727" s="20">
        <f>IF($C4727="","",Registro_Ventas!$M$40)</f>
        <v/>
      </c>
      <c r="F4727" s="20">
        <f>""</f>
        <v/>
      </c>
      <c r="G4727">
        <f>IF($C4727="","","Detraccion retenida por el cliente")</f>
        <v/>
      </c>
      <c r="H4727">
        <f>IF($C4727="","",Registro_Ventas!$C$40)</f>
        <v/>
      </c>
    </row>
    <row r="4728">
      <c r="A4728" s="25">
        <f>IF($C4728="","",Registro_Ventas!$P$40)</f>
        <v/>
      </c>
      <c r="B4728">
        <f>IF($C4728="","","V"&amp;TEXT(INT((ROW()-4507)/6)+1,"000")&amp;"-2")</f>
        <v/>
      </c>
      <c r="C4728">
        <f>IF(OR(Registro_Ventas!$C$40="",Registro_Ventas!$O$40&lt;&gt;"SI"),"","12")</f>
        <v/>
      </c>
      <c r="D4728">
        <f>IF($C4728="","","Cuentas por Cobrar Comerciales - Terceros")</f>
        <v/>
      </c>
      <c r="E4728" s="20">
        <f>""</f>
        <v/>
      </c>
      <c r="F4728" s="20">
        <f>IF($C4728="","",Registro_Ventas!$I$40)</f>
        <v/>
      </c>
      <c r="G4728">
        <f>IF($C4728="","","Por la cobranza de la factura")</f>
        <v/>
      </c>
      <c r="H4728">
        <f>IF($C4728="","",Registro_Ventas!$C$40)</f>
        <v/>
      </c>
    </row>
    <row r="4729">
      <c r="A4729" s="25">
        <f>IF($C4729="","",Registro_Ventas!$B$41)</f>
        <v/>
      </c>
      <c r="B4729">
        <f>IF($C4729="","","V"&amp;TEXT(INT((ROW()-4507)/6)+1,"000")&amp;"-1")</f>
        <v/>
      </c>
      <c r="C4729">
        <f>IF(Registro_Ventas!$C$41="","","12")</f>
        <v/>
      </c>
      <c r="D4729">
        <f>IF($C4729="","","Cuentas por Cobrar Comerciales - Terceros")</f>
        <v/>
      </c>
      <c r="E4729" s="20">
        <f>IF($C4729="","",Registro_Ventas!$I$41)</f>
        <v/>
      </c>
      <c r="F4729" s="20">
        <f>""</f>
        <v/>
      </c>
      <c r="G4729">
        <f>IF($C4729="","","Por la venta segun comprobante a "&amp;Registro_Ventas!$E$41)</f>
        <v/>
      </c>
      <c r="H4729">
        <f>IF($C4729="","",Registro_Ventas!$C$41)</f>
        <v/>
      </c>
    </row>
    <row r="4730">
      <c r="A4730" s="25">
        <f>IF($C4730="","",Registro_Ventas!$B$41)</f>
        <v/>
      </c>
      <c r="B4730">
        <f>IF($C4730="","","V"&amp;TEXT(INT((ROW()-4507)/6)+1,"000")&amp;"-1")</f>
        <v/>
      </c>
      <c r="C4730">
        <f>IF(Registro_Ventas!$C$41="","","70")</f>
        <v/>
      </c>
      <c r="D4730">
        <f>IF($C4730="","","Ventas")</f>
        <v/>
      </c>
      <c r="E4730" s="20">
        <f>""</f>
        <v/>
      </c>
      <c r="F4730" s="20">
        <f>IF($C4730="","",Registro_Ventas!$G$41)</f>
        <v/>
      </c>
      <c r="G4730">
        <f>IF($C4730="","","Por la venta segun comprobante a "&amp;Registro_Ventas!$E$41)</f>
        <v/>
      </c>
      <c r="H4730">
        <f>IF($C4730="","",Registro_Ventas!$C$41)</f>
        <v/>
      </c>
    </row>
    <row r="4731">
      <c r="A4731" s="25">
        <f>IF($C4731="","",Registro_Ventas!$B$41)</f>
        <v/>
      </c>
      <c r="B4731">
        <f>IF($C4731="","","V"&amp;TEXT(INT((ROW()-4507)/6)+1,"000")&amp;"-1")</f>
        <v/>
      </c>
      <c r="C4731">
        <f>IF(OR(Registro_Ventas!$C$41="",Registro_Ventas!$R$41="SI"),"","40111")</f>
        <v/>
      </c>
      <c r="D4731">
        <f>IF($C4731="","","IGV - Cuenta Propia (Debito Fiscal)")</f>
        <v/>
      </c>
      <c r="E4731" s="20">
        <f>""</f>
        <v/>
      </c>
      <c r="F4731" s="20">
        <f>IF($C4731="","",Registro_Ventas!$H$41)</f>
        <v/>
      </c>
      <c r="G4731">
        <f>IF($C4731="","","Por la venta segun comprobante a "&amp;Registro_Ventas!$E$41)</f>
        <v/>
      </c>
      <c r="H4731">
        <f>IF($C4731="","",Registro_Ventas!$C$41)</f>
        <v/>
      </c>
    </row>
    <row r="4732">
      <c r="A4732" s="25">
        <f>IF($C4732="","",Registro_Ventas!$P$41)</f>
        <v/>
      </c>
      <c r="B4732">
        <f>IF($C4732="","","V"&amp;TEXT(INT((ROW()-4507)/6)+1,"000")&amp;"-2")</f>
        <v/>
      </c>
      <c r="C4732">
        <f>IF(OR(Registro_Ventas!$C$41="",Registro_Ventas!$O$41&lt;&gt;"SI"),"","10413")</f>
        <v/>
      </c>
      <c r="D4732">
        <f>IF($C4732="","","Efectivo y Equivalentes - Cta. Cte. Operativa")</f>
        <v/>
      </c>
      <c r="E4732" s="20">
        <f>IF($C4732="","",Registro_Ventas!$N$41)</f>
        <v/>
      </c>
      <c r="F4732" s="20">
        <f>""</f>
        <v/>
      </c>
      <c r="G4732">
        <f>IF($C4732="","","Por la cobranza de la factura")</f>
        <v/>
      </c>
      <c r="H4732">
        <f>IF($C4732="","",Registro_Ventas!$C$41)</f>
        <v/>
      </c>
    </row>
    <row r="4733">
      <c r="A4733" s="25">
        <f>IF($C4733="","",Registro_Ventas!$P$41)</f>
        <v/>
      </c>
      <c r="B4733">
        <f>IF($C4733="","","V"&amp;TEXT(INT((ROW()-4507)/6)+1,"000")&amp;"-2")</f>
        <v/>
      </c>
      <c r="C4733">
        <f>IF(OR(OR(Registro_Ventas!$C$41="",Registro_Ventas!$O$41&lt;&gt;"SI"),Registro_Ventas!$J$41&lt;&gt;"SI"),"","10421")</f>
        <v/>
      </c>
      <c r="D4733">
        <f>IF($C4733="","","Efectivo - Cuenta de Detracciones (Banco de la Nacion)")</f>
        <v/>
      </c>
      <c r="E4733" s="20">
        <f>IF($C4733="","",Registro_Ventas!$M$41)</f>
        <v/>
      </c>
      <c r="F4733" s="20">
        <f>""</f>
        <v/>
      </c>
      <c r="G4733">
        <f>IF($C4733="","","Detraccion retenida por el cliente")</f>
        <v/>
      </c>
      <c r="H4733">
        <f>IF($C4733="","",Registro_Ventas!$C$41)</f>
        <v/>
      </c>
    </row>
    <row r="4734">
      <c r="A4734" s="25">
        <f>IF($C4734="","",Registro_Ventas!$P$41)</f>
        <v/>
      </c>
      <c r="B4734">
        <f>IF($C4734="","","V"&amp;TEXT(INT((ROW()-4507)/6)+1,"000")&amp;"-2")</f>
        <v/>
      </c>
      <c r="C4734">
        <f>IF(OR(Registro_Ventas!$C$41="",Registro_Ventas!$O$41&lt;&gt;"SI"),"","12")</f>
        <v/>
      </c>
      <c r="D4734">
        <f>IF($C4734="","","Cuentas por Cobrar Comerciales - Terceros")</f>
        <v/>
      </c>
      <c r="E4734" s="20">
        <f>""</f>
        <v/>
      </c>
      <c r="F4734" s="20">
        <f>IF($C4734="","",Registro_Ventas!$I$41)</f>
        <v/>
      </c>
      <c r="G4734">
        <f>IF($C4734="","","Por la cobranza de la factura")</f>
        <v/>
      </c>
      <c r="H4734">
        <f>IF($C4734="","",Registro_Ventas!$C$41)</f>
        <v/>
      </c>
    </row>
    <row r="4735">
      <c r="A4735" s="25">
        <f>IF($C4735="","",Registro_Ventas!$B$42)</f>
        <v/>
      </c>
      <c r="B4735">
        <f>IF($C4735="","","V"&amp;TEXT(INT((ROW()-4507)/6)+1,"000")&amp;"-1")</f>
        <v/>
      </c>
      <c r="C4735">
        <f>IF(Registro_Ventas!$C$42="","","12")</f>
        <v/>
      </c>
      <c r="D4735">
        <f>IF($C4735="","","Cuentas por Cobrar Comerciales - Terceros")</f>
        <v/>
      </c>
      <c r="E4735" s="20">
        <f>IF($C4735="","",Registro_Ventas!$I$42)</f>
        <v/>
      </c>
      <c r="F4735" s="20">
        <f>""</f>
        <v/>
      </c>
      <c r="G4735">
        <f>IF($C4735="","","Por la venta segun comprobante a "&amp;Registro_Ventas!$E$42)</f>
        <v/>
      </c>
      <c r="H4735">
        <f>IF($C4735="","",Registro_Ventas!$C$42)</f>
        <v/>
      </c>
    </row>
    <row r="4736">
      <c r="A4736" s="25">
        <f>IF($C4736="","",Registro_Ventas!$B$42)</f>
        <v/>
      </c>
      <c r="B4736">
        <f>IF($C4736="","","V"&amp;TEXT(INT((ROW()-4507)/6)+1,"000")&amp;"-1")</f>
        <v/>
      </c>
      <c r="C4736">
        <f>IF(Registro_Ventas!$C$42="","","70")</f>
        <v/>
      </c>
      <c r="D4736">
        <f>IF($C4736="","","Ventas")</f>
        <v/>
      </c>
      <c r="E4736" s="20">
        <f>""</f>
        <v/>
      </c>
      <c r="F4736" s="20">
        <f>IF($C4736="","",Registro_Ventas!$G$42)</f>
        <v/>
      </c>
      <c r="G4736">
        <f>IF($C4736="","","Por la venta segun comprobante a "&amp;Registro_Ventas!$E$42)</f>
        <v/>
      </c>
      <c r="H4736">
        <f>IF($C4736="","",Registro_Ventas!$C$42)</f>
        <v/>
      </c>
    </row>
    <row r="4737">
      <c r="A4737" s="25">
        <f>IF($C4737="","",Registro_Ventas!$B$42)</f>
        <v/>
      </c>
      <c r="B4737">
        <f>IF($C4737="","","V"&amp;TEXT(INT((ROW()-4507)/6)+1,"000")&amp;"-1")</f>
        <v/>
      </c>
      <c r="C4737">
        <f>IF(OR(Registro_Ventas!$C$42="",Registro_Ventas!$R$42="SI"),"","40111")</f>
        <v/>
      </c>
      <c r="D4737">
        <f>IF($C4737="","","IGV - Cuenta Propia (Debito Fiscal)")</f>
        <v/>
      </c>
      <c r="E4737" s="20">
        <f>""</f>
        <v/>
      </c>
      <c r="F4737" s="20">
        <f>IF($C4737="","",Registro_Ventas!$H$42)</f>
        <v/>
      </c>
      <c r="G4737">
        <f>IF($C4737="","","Por la venta segun comprobante a "&amp;Registro_Ventas!$E$42)</f>
        <v/>
      </c>
      <c r="H4737">
        <f>IF($C4737="","",Registro_Ventas!$C$42)</f>
        <v/>
      </c>
    </row>
    <row r="4738">
      <c r="A4738" s="25">
        <f>IF($C4738="","",Registro_Ventas!$P$42)</f>
        <v/>
      </c>
      <c r="B4738">
        <f>IF($C4738="","","V"&amp;TEXT(INT((ROW()-4507)/6)+1,"000")&amp;"-2")</f>
        <v/>
      </c>
      <c r="C4738">
        <f>IF(OR(Registro_Ventas!$C$42="",Registro_Ventas!$O$42&lt;&gt;"SI"),"","10413")</f>
        <v/>
      </c>
      <c r="D4738">
        <f>IF($C4738="","","Efectivo y Equivalentes - Cta. Cte. Operativa")</f>
        <v/>
      </c>
      <c r="E4738" s="20">
        <f>IF($C4738="","",Registro_Ventas!$N$42)</f>
        <v/>
      </c>
      <c r="F4738" s="20">
        <f>""</f>
        <v/>
      </c>
      <c r="G4738">
        <f>IF($C4738="","","Por la cobranza de la factura")</f>
        <v/>
      </c>
      <c r="H4738">
        <f>IF($C4738="","",Registro_Ventas!$C$42)</f>
        <v/>
      </c>
    </row>
    <row r="4739">
      <c r="A4739" s="25">
        <f>IF($C4739="","",Registro_Ventas!$P$42)</f>
        <v/>
      </c>
      <c r="B4739">
        <f>IF($C4739="","","V"&amp;TEXT(INT((ROW()-4507)/6)+1,"000")&amp;"-2")</f>
        <v/>
      </c>
      <c r="C4739">
        <f>IF(OR(OR(Registro_Ventas!$C$42="",Registro_Ventas!$O$42&lt;&gt;"SI"),Registro_Ventas!$J$42&lt;&gt;"SI"),"","10421")</f>
        <v/>
      </c>
      <c r="D4739">
        <f>IF($C4739="","","Efectivo - Cuenta de Detracciones (Banco de la Nacion)")</f>
        <v/>
      </c>
      <c r="E4739" s="20">
        <f>IF($C4739="","",Registro_Ventas!$M$42)</f>
        <v/>
      </c>
      <c r="F4739" s="20">
        <f>""</f>
        <v/>
      </c>
      <c r="G4739">
        <f>IF($C4739="","","Detraccion retenida por el cliente")</f>
        <v/>
      </c>
      <c r="H4739">
        <f>IF($C4739="","",Registro_Ventas!$C$42)</f>
        <v/>
      </c>
    </row>
    <row r="4740">
      <c r="A4740" s="25">
        <f>IF($C4740="","",Registro_Ventas!$P$42)</f>
        <v/>
      </c>
      <c r="B4740">
        <f>IF($C4740="","","V"&amp;TEXT(INT((ROW()-4507)/6)+1,"000")&amp;"-2")</f>
        <v/>
      </c>
      <c r="C4740">
        <f>IF(OR(Registro_Ventas!$C$42="",Registro_Ventas!$O$42&lt;&gt;"SI"),"","12")</f>
        <v/>
      </c>
      <c r="D4740">
        <f>IF($C4740="","","Cuentas por Cobrar Comerciales - Terceros")</f>
        <v/>
      </c>
      <c r="E4740" s="20">
        <f>""</f>
        <v/>
      </c>
      <c r="F4740" s="20">
        <f>IF($C4740="","",Registro_Ventas!$I$42)</f>
        <v/>
      </c>
      <c r="G4740">
        <f>IF($C4740="","","Por la cobranza de la factura")</f>
        <v/>
      </c>
      <c r="H4740">
        <f>IF($C4740="","",Registro_Ventas!$C$42)</f>
        <v/>
      </c>
    </row>
    <row r="4741">
      <c r="A4741" s="25">
        <f>IF($C4741="","",Registro_Ventas!$B$43)</f>
        <v/>
      </c>
      <c r="B4741">
        <f>IF($C4741="","","V"&amp;TEXT(INT((ROW()-4507)/6)+1,"000")&amp;"-1")</f>
        <v/>
      </c>
      <c r="C4741">
        <f>IF(Registro_Ventas!$C$43="","","12")</f>
        <v/>
      </c>
      <c r="D4741">
        <f>IF($C4741="","","Cuentas por Cobrar Comerciales - Terceros")</f>
        <v/>
      </c>
      <c r="E4741" s="20">
        <f>IF($C4741="","",Registro_Ventas!$I$43)</f>
        <v/>
      </c>
      <c r="F4741" s="20">
        <f>""</f>
        <v/>
      </c>
      <c r="G4741">
        <f>IF($C4741="","","Por la venta segun comprobante a "&amp;Registro_Ventas!$E$43)</f>
        <v/>
      </c>
      <c r="H4741">
        <f>IF($C4741="","",Registro_Ventas!$C$43)</f>
        <v/>
      </c>
    </row>
    <row r="4742">
      <c r="A4742" s="25">
        <f>IF($C4742="","",Registro_Ventas!$B$43)</f>
        <v/>
      </c>
      <c r="B4742">
        <f>IF($C4742="","","V"&amp;TEXT(INT((ROW()-4507)/6)+1,"000")&amp;"-1")</f>
        <v/>
      </c>
      <c r="C4742">
        <f>IF(Registro_Ventas!$C$43="","","70")</f>
        <v/>
      </c>
      <c r="D4742">
        <f>IF($C4742="","","Ventas")</f>
        <v/>
      </c>
      <c r="E4742" s="20">
        <f>""</f>
        <v/>
      </c>
      <c r="F4742" s="20">
        <f>IF($C4742="","",Registro_Ventas!$G$43)</f>
        <v/>
      </c>
      <c r="G4742">
        <f>IF($C4742="","","Por la venta segun comprobante a "&amp;Registro_Ventas!$E$43)</f>
        <v/>
      </c>
      <c r="H4742">
        <f>IF($C4742="","",Registro_Ventas!$C$43)</f>
        <v/>
      </c>
    </row>
    <row r="4743">
      <c r="A4743" s="25">
        <f>IF($C4743="","",Registro_Ventas!$B$43)</f>
        <v/>
      </c>
      <c r="B4743">
        <f>IF($C4743="","","V"&amp;TEXT(INT((ROW()-4507)/6)+1,"000")&amp;"-1")</f>
        <v/>
      </c>
      <c r="C4743">
        <f>IF(OR(Registro_Ventas!$C$43="",Registro_Ventas!$R$43="SI"),"","40111")</f>
        <v/>
      </c>
      <c r="D4743">
        <f>IF($C4743="","","IGV - Cuenta Propia (Debito Fiscal)")</f>
        <v/>
      </c>
      <c r="E4743" s="20">
        <f>""</f>
        <v/>
      </c>
      <c r="F4743" s="20">
        <f>IF($C4743="","",Registro_Ventas!$H$43)</f>
        <v/>
      </c>
      <c r="G4743">
        <f>IF($C4743="","","Por la venta segun comprobante a "&amp;Registro_Ventas!$E$43)</f>
        <v/>
      </c>
      <c r="H4743">
        <f>IF($C4743="","",Registro_Ventas!$C$43)</f>
        <v/>
      </c>
    </row>
    <row r="4744">
      <c r="A4744" s="25">
        <f>IF($C4744="","",Registro_Ventas!$P$43)</f>
        <v/>
      </c>
      <c r="B4744">
        <f>IF($C4744="","","V"&amp;TEXT(INT((ROW()-4507)/6)+1,"000")&amp;"-2")</f>
        <v/>
      </c>
      <c r="C4744">
        <f>IF(OR(Registro_Ventas!$C$43="",Registro_Ventas!$O$43&lt;&gt;"SI"),"","10413")</f>
        <v/>
      </c>
      <c r="D4744">
        <f>IF($C4744="","","Efectivo y Equivalentes - Cta. Cte. Operativa")</f>
        <v/>
      </c>
      <c r="E4744" s="20">
        <f>IF($C4744="","",Registro_Ventas!$N$43)</f>
        <v/>
      </c>
      <c r="F4744" s="20">
        <f>""</f>
        <v/>
      </c>
      <c r="G4744">
        <f>IF($C4744="","","Por la cobranza de la factura")</f>
        <v/>
      </c>
      <c r="H4744">
        <f>IF($C4744="","",Registro_Ventas!$C$43)</f>
        <v/>
      </c>
    </row>
    <row r="4745">
      <c r="A4745" s="25">
        <f>IF($C4745="","",Registro_Ventas!$P$43)</f>
        <v/>
      </c>
      <c r="B4745">
        <f>IF($C4745="","","V"&amp;TEXT(INT((ROW()-4507)/6)+1,"000")&amp;"-2")</f>
        <v/>
      </c>
      <c r="C4745">
        <f>IF(OR(OR(Registro_Ventas!$C$43="",Registro_Ventas!$O$43&lt;&gt;"SI"),Registro_Ventas!$J$43&lt;&gt;"SI"),"","10421")</f>
        <v/>
      </c>
      <c r="D4745">
        <f>IF($C4745="","","Efectivo - Cuenta de Detracciones (Banco de la Nacion)")</f>
        <v/>
      </c>
      <c r="E4745" s="20">
        <f>IF($C4745="","",Registro_Ventas!$M$43)</f>
        <v/>
      </c>
      <c r="F4745" s="20">
        <f>""</f>
        <v/>
      </c>
      <c r="G4745">
        <f>IF($C4745="","","Detraccion retenida por el cliente")</f>
        <v/>
      </c>
      <c r="H4745">
        <f>IF($C4745="","",Registro_Ventas!$C$43)</f>
        <v/>
      </c>
    </row>
    <row r="4746">
      <c r="A4746" s="25">
        <f>IF($C4746="","",Registro_Ventas!$P$43)</f>
        <v/>
      </c>
      <c r="B4746">
        <f>IF($C4746="","","V"&amp;TEXT(INT((ROW()-4507)/6)+1,"000")&amp;"-2")</f>
        <v/>
      </c>
      <c r="C4746">
        <f>IF(OR(Registro_Ventas!$C$43="",Registro_Ventas!$O$43&lt;&gt;"SI"),"","12")</f>
        <v/>
      </c>
      <c r="D4746">
        <f>IF($C4746="","","Cuentas por Cobrar Comerciales - Terceros")</f>
        <v/>
      </c>
      <c r="E4746" s="20">
        <f>""</f>
        <v/>
      </c>
      <c r="F4746" s="20">
        <f>IF($C4746="","",Registro_Ventas!$I$43)</f>
        <v/>
      </c>
      <c r="G4746">
        <f>IF($C4746="","","Por la cobranza de la factura")</f>
        <v/>
      </c>
      <c r="H4746">
        <f>IF($C4746="","",Registro_Ventas!$C$43)</f>
        <v/>
      </c>
    </row>
    <row r="4747">
      <c r="A4747" s="25">
        <f>IF($C4747="","",Registro_Ventas!$B$44)</f>
        <v/>
      </c>
      <c r="B4747">
        <f>IF($C4747="","","V"&amp;TEXT(INT((ROW()-4507)/6)+1,"000")&amp;"-1")</f>
        <v/>
      </c>
      <c r="C4747">
        <f>IF(Registro_Ventas!$C$44="","","12")</f>
        <v/>
      </c>
      <c r="D4747">
        <f>IF($C4747="","","Cuentas por Cobrar Comerciales - Terceros")</f>
        <v/>
      </c>
      <c r="E4747" s="20">
        <f>IF($C4747="","",Registro_Ventas!$I$44)</f>
        <v/>
      </c>
      <c r="F4747" s="20">
        <f>""</f>
        <v/>
      </c>
      <c r="G4747">
        <f>IF($C4747="","","Por la venta segun comprobante a "&amp;Registro_Ventas!$E$44)</f>
        <v/>
      </c>
      <c r="H4747">
        <f>IF($C4747="","",Registro_Ventas!$C$44)</f>
        <v/>
      </c>
    </row>
    <row r="4748">
      <c r="A4748" s="25">
        <f>IF($C4748="","",Registro_Ventas!$B$44)</f>
        <v/>
      </c>
      <c r="B4748">
        <f>IF($C4748="","","V"&amp;TEXT(INT((ROW()-4507)/6)+1,"000")&amp;"-1")</f>
        <v/>
      </c>
      <c r="C4748">
        <f>IF(Registro_Ventas!$C$44="","","70")</f>
        <v/>
      </c>
      <c r="D4748">
        <f>IF($C4748="","","Ventas")</f>
        <v/>
      </c>
      <c r="E4748" s="20">
        <f>""</f>
        <v/>
      </c>
      <c r="F4748" s="20">
        <f>IF($C4748="","",Registro_Ventas!$G$44)</f>
        <v/>
      </c>
      <c r="G4748">
        <f>IF($C4748="","","Por la venta segun comprobante a "&amp;Registro_Ventas!$E$44)</f>
        <v/>
      </c>
      <c r="H4748">
        <f>IF($C4748="","",Registro_Ventas!$C$44)</f>
        <v/>
      </c>
    </row>
    <row r="4749">
      <c r="A4749" s="25">
        <f>IF($C4749="","",Registro_Ventas!$B$44)</f>
        <v/>
      </c>
      <c r="B4749">
        <f>IF($C4749="","","V"&amp;TEXT(INT((ROW()-4507)/6)+1,"000")&amp;"-1")</f>
        <v/>
      </c>
      <c r="C4749">
        <f>IF(OR(Registro_Ventas!$C$44="",Registro_Ventas!$R$44="SI"),"","40111")</f>
        <v/>
      </c>
      <c r="D4749">
        <f>IF($C4749="","","IGV - Cuenta Propia (Debito Fiscal)")</f>
        <v/>
      </c>
      <c r="E4749" s="20">
        <f>""</f>
        <v/>
      </c>
      <c r="F4749" s="20">
        <f>IF($C4749="","",Registro_Ventas!$H$44)</f>
        <v/>
      </c>
      <c r="G4749">
        <f>IF($C4749="","","Por la venta segun comprobante a "&amp;Registro_Ventas!$E$44)</f>
        <v/>
      </c>
      <c r="H4749">
        <f>IF($C4749="","",Registro_Ventas!$C$44)</f>
        <v/>
      </c>
    </row>
    <row r="4750">
      <c r="A4750" s="25">
        <f>IF($C4750="","",Registro_Ventas!$P$44)</f>
        <v/>
      </c>
      <c r="B4750">
        <f>IF($C4750="","","V"&amp;TEXT(INT((ROW()-4507)/6)+1,"000")&amp;"-2")</f>
        <v/>
      </c>
      <c r="C4750">
        <f>IF(OR(Registro_Ventas!$C$44="",Registro_Ventas!$O$44&lt;&gt;"SI"),"","10413")</f>
        <v/>
      </c>
      <c r="D4750">
        <f>IF($C4750="","","Efectivo y Equivalentes - Cta. Cte. Operativa")</f>
        <v/>
      </c>
      <c r="E4750" s="20">
        <f>IF($C4750="","",Registro_Ventas!$N$44)</f>
        <v/>
      </c>
      <c r="F4750" s="20">
        <f>""</f>
        <v/>
      </c>
      <c r="G4750">
        <f>IF($C4750="","","Por la cobranza de la factura")</f>
        <v/>
      </c>
      <c r="H4750">
        <f>IF($C4750="","",Registro_Ventas!$C$44)</f>
        <v/>
      </c>
    </row>
    <row r="4751">
      <c r="A4751" s="25">
        <f>IF($C4751="","",Registro_Ventas!$P$44)</f>
        <v/>
      </c>
      <c r="B4751">
        <f>IF($C4751="","","V"&amp;TEXT(INT((ROW()-4507)/6)+1,"000")&amp;"-2")</f>
        <v/>
      </c>
      <c r="C4751">
        <f>IF(OR(OR(Registro_Ventas!$C$44="",Registro_Ventas!$O$44&lt;&gt;"SI"),Registro_Ventas!$J$44&lt;&gt;"SI"),"","10421")</f>
        <v/>
      </c>
      <c r="D4751">
        <f>IF($C4751="","","Efectivo - Cuenta de Detracciones (Banco de la Nacion)")</f>
        <v/>
      </c>
      <c r="E4751" s="20">
        <f>IF($C4751="","",Registro_Ventas!$M$44)</f>
        <v/>
      </c>
      <c r="F4751" s="20">
        <f>""</f>
        <v/>
      </c>
      <c r="G4751">
        <f>IF($C4751="","","Detraccion retenida por el cliente")</f>
        <v/>
      </c>
      <c r="H4751">
        <f>IF($C4751="","",Registro_Ventas!$C$44)</f>
        <v/>
      </c>
    </row>
    <row r="4752">
      <c r="A4752" s="25">
        <f>IF($C4752="","",Registro_Ventas!$P$44)</f>
        <v/>
      </c>
      <c r="B4752">
        <f>IF($C4752="","","V"&amp;TEXT(INT((ROW()-4507)/6)+1,"000")&amp;"-2")</f>
        <v/>
      </c>
      <c r="C4752">
        <f>IF(OR(Registro_Ventas!$C$44="",Registro_Ventas!$O$44&lt;&gt;"SI"),"","12")</f>
        <v/>
      </c>
      <c r="D4752">
        <f>IF($C4752="","","Cuentas por Cobrar Comerciales - Terceros")</f>
        <v/>
      </c>
      <c r="E4752" s="20">
        <f>""</f>
        <v/>
      </c>
      <c r="F4752" s="20">
        <f>IF($C4752="","",Registro_Ventas!$I$44)</f>
        <v/>
      </c>
      <c r="G4752">
        <f>IF($C4752="","","Por la cobranza de la factura")</f>
        <v/>
      </c>
      <c r="H4752">
        <f>IF($C4752="","",Registro_Ventas!$C$44)</f>
        <v/>
      </c>
    </row>
    <row r="4753">
      <c r="A4753" s="25">
        <f>IF($C4753="","",Registro_Ventas!$B$45)</f>
        <v/>
      </c>
      <c r="B4753">
        <f>IF($C4753="","","V"&amp;TEXT(INT((ROW()-4507)/6)+1,"000")&amp;"-1")</f>
        <v/>
      </c>
      <c r="C4753">
        <f>IF(Registro_Ventas!$C$45="","","12")</f>
        <v/>
      </c>
      <c r="D4753">
        <f>IF($C4753="","","Cuentas por Cobrar Comerciales - Terceros")</f>
        <v/>
      </c>
      <c r="E4753" s="20">
        <f>IF($C4753="","",Registro_Ventas!$I$45)</f>
        <v/>
      </c>
      <c r="F4753" s="20">
        <f>""</f>
        <v/>
      </c>
      <c r="G4753">
        <f>IF($C4753="","","Por la venta segun comprobante a "&amp;Registro_Ventas!$E$45)</f>
        <v/>
      </c>
      <c r="H4753">
        <f>IF($C4753="","",Registro_Ventas!$C$45)</f>
        <v/>
      </c>
    </row>
    <row r="4754">
      <c r="A4754" s="25">
        <f>IF($C4754="","",Registro_Ventas!$B$45)</f>
        <v/>
      </c>
      <c r="B4754">
        <f>IF($C4754="","","V"&amp;TEXT(INT((ROW()-4507)/6)+1,"000")&amp;"-1")</f>
        <v/>
      </c>
      <c r="C4754">
        <f>IF(Registro_Ventas!$C$45="","","70")</f>
        <v/>
      </c>
      <c r="D4754">
        <f>IF($C4754="","","Ventas")</f>
        <v/>
      </c>
      <c r="E4754" s="20">
        <f>""</f>
        <v/>
      </c>
      <c r="F4754" s="20">
        <f>IF($C4754="","",Registro_Ventas!$G$45)</f>
        <v/>
      </c>
      <c r="G4754">
        <f>IF($C4754="","","Por la venta segun comprobante a "&amp;Registro_Ventas!$E$45)</f>
        <v/>
      </c>
      <c r="H4754">
        <f>IF($C4754="","",Registro_Ventas!$C$45)</f>
        <v/>
      </c>
    </row>
    <row r="4755">
      <c r="A4755" s="25">
        <f>IF($C4755="","",Registro_Ventas!$B$45)</f>
        <v/>
      </c>
      <c r="B4755">
        <f>IF($C4755="","","V"&amp;TEXT(INT((ROW()-4507)/6)+1,"000")&amp;"-1")</f>
        <v/>
      </c>
      <c r="C4755">
        <f>IF(OR(Registro_Ventas!$C$45="",Registro_Ventas!$R$45="SI"),"","40111")</f>
        <v/>
      </c>
      <c r="D4755">
        <f>IF($C4755="","","IGV - Cuenta Propia (Debito Fiscal)")</f>
        <v/>
      </c>
      <c r="E4755" s="20">
        <f>""</f>
        <v/>
      </c>
      <c r="F4755" s="20">
        <f>IF($C4755="","",Registro_Ventas!$H$45)</f>
        <v/>
      </c>
      <c r="G4755">
        <f>IF($C4755="","","Por la venta segun comprobante a "&amp;Registro_Ventas!$E$45)</f>
        <v/>
      </c>
      <c r="H4755">
        <f>IF($C4755="","",Registro_Ventas!$C$45)</f>
        <v/>
      </c>
    </row>
    <row r="4756">
      <c r="A4756" s="25">
        <f>IF($C4756="","",Registro_Ventas!$P$45)</f>
        <v/>
      </c>
      <c r="B4756">
        <f>IF($C4756="","","V"&amp;TEXT(INT((ROW()-4507)/6)+1,"000")&amp;"-2")</f>
        <v/>
      </c>
      <c r="C4756">
        <f>IF(OR(Registro_Ventas!$C$45="",Registro_Ventas!$O$45&lt;&gt;"SI"),"","10413")</f>
        <v/>
      </c>
      <c r="D4756">
        <f>IF($C4756="","","Efectivo y Equivalentes - Cta. Cte. Operativa")</f>
        <v/>
      </c>
      <c r="E4756" s="20">
        <f>IF($C4756="","",Registro_Ventas!$N$45)</f>
        <v/>
      </c>
      <c r="F4756" s="20">
        <f>""</f>
        <v/>
      </c>
      <c r="G4756">
        <f>IF($C4756="","","Por la cobranza de la factura")</f>
        <v/>
      </c>
      <c r="H4756">
        <f>IF($C4756="","",Registro_Ventas!$C$45)</f>
        <v/>
      </c>
    </row>
    <row r="4757">
      <c r="A4757" s="25">
        <f>IF($C4757="","",Registro_Ventas!$P$45)</f>
        <v/>
      </c>
      <c r="B4757">
        <f>IF($C4757="","","V"&amp;TEXT(INT((ROW()-4507)/6)+1,"000")&amp;"-2")</f>
        <v/>
      </c>
      <c r="C4757">
        <f>IF(OR(OR(Registro_Ventas!$C$45="",Registro_Ventas!$O$45&lt;&gt;"SI"),Registro_Ventas!$J$45&lt;&gt;"SI"),"","10421")</f>
        <v/>
      </c>
      <c r="D4757">
        <f>IF($C4757="","","Efectivo - Cuenta de Detracciones (Banco de la Nacion)")</f>
        <v/>
      </c>
      <c r="E4757" s="20">
        <f>IF($C4757="","",Registro_Ventas!$M$45)</f>
        <v/>
      </c>
      <c r="F4757" s="20">
        <f>""</f>
        <v/>
      </c>
      <c r="G4757">
        <f>IF($C4757="","","Detraccion retenida por el cliente")</f>
        <v/>
      </c>
      <c r="H4757">
        <f>IF($C4757="","",Registro_Ventas!$C$45)</f>
        <v/>
      </c>
    </row>
    <row r="4758">
      <c r="A4758" s="25">
        <f>IF($C4758="","",Registro_Ventas!$P$45)</f>
        <v/>
      </c>
      <c r="B4758">
        <f>IF($C4758="","","V"&amp;TEXT(INT((ROW()-4507)/6)+1,"000")&amp;"-2")</f>
        <v/>
      </c>
      <c r="C4758">
        <f>IF(OR(Registro_Ventas!$C$45="",Registro_Ventas!$O$45&lt;&gt;"SI"),"","12")</f>
        <v/>
      </c>
      <c r="D4758">
        <f>IF($C4758="","","Cuentas por Cobrar Comerciales - Terceros")</f>
        <v/>
      </c>
      <c r="E4758" s="20">
        <f>""</f>
        <v/>
      </c>
      <c r="F4758" s="20">
        <f>IF($C4758="","",Registro_Ventas!$I$45)</f>
        <v/>
      </c>
      <c r="G4758">
        <f>IF($C4758="","","Por la cobranza de la factura")</f>
        <v/>
      </c>
      <c r="H4758">
        <f>IF($C4758="","",Registro_Ventas!$C$45)</f>
        <v/>
      </c>
    </row>
    <row r="4759">
      <c r="A4759" s="25">
        <f>IF($C4759="","",Registro_Ventas!$B$46)</f>
        <v/>
      </c>
      <c r="B4759">
        <f>IF($C4759="","","V"&amp;TEXT(INT((ROW()-4507)/6)+1,"000")&amp;"-1")</f>
        <v/>
      </c>
      <c r="C4759">
        <f>IF(Registro_Ventas!$C$46="","","12")</f>
        <v/>
      </c>
      <c r="D4759">
        <f>IF($C4759="","","Cuentas por Cobrar Comerciales - Terceros")</f>
        <v/>
      </c>
      <c r="E4759" s="20">
        <f>IF($C4759="","",Registro_Ventas!$I$46)</f>
        <v/>
      </c>
      <c r="F4759" s="20">
        <f>""</f>
        <v/>
      </c>
      <c r="G4759">
        <f>IF($C4759="","","Por la venta segun comprobante a "&amp;Registro_Ventas!$E$46)</f>
        <v/>
      </c>
      <c r="H4759">
        <f>IF($C4759="","",Registro_Ventas!$C$46)</f>
        <v/>
      </c>
    </row>
    <row r="4760">
      <c r="A4760" s="25">
        <f>IF($C4760="","",Registro_Ventas!$B$46)</f>
        <v/>
      </c>
      <c r="B4760">
        <f>IF($C4760="","","V"&amp;TEXT(INT((ROW()-4507)/6)+1,"000")&amp;"-1")</f>
        <v/>
      </c>
      <c r="C4760">
        <f>IF(Registro_Ventas!$C$46="","","70")</f>
        <v/>
      </c>
      <c r="D4760">
        <f>IF($C4760="","","Ventas")</f>
        <v/>
      </c>
      <c r="E4760" s="20">
        <f>""</f>
        <v/>
      </c>
      <c r="F4760" s="20">
        <f>IF($C4760="","",Registro_Ventas!$G$46)</f>
        <v/>
      </c>
      <c r="G4760">
        <f>IF($C4760="","","Por la venta segun comprobante a "&amp;Registro_Ventas!$E$46)</f>
        <v/>
      </c>
      <c r="H4760">
        <f>IF($C4760="","",Registro_Ventas!$C$46)</f>
        <v/>
      </c>
    </row>
    <row r="4761">
      <c r="A4761" s="25">
        <f>IF($C4761="","",Registro_Ventas!$B$46)</f>
        <v/>
      </c>
      <c r="B4761">
        <f>IF($C4761="","","V"&amp;TEXT(INT((ROW()-4507)/6)+1,"000")&amp;"-1")</f>
        <v/>
      </c>
      <c r="C4761">
        <f>IF(OR(Registro_Ventas!$C$46="",Registro_Ventas!$R$46="SI"),"","40111")</f>
        <v/>
      </c>
      <c r="D4761">
        <f>IF($C4761="","","IGV - Cuenta Propia (Debito Fiscal)")</f>
        <v/>
      </c>
      <c r="E4761" s="20">
        <f>""</f>
        <v/>
      </c>
      <c r="F4761" s="20">
        <f>IF($C4761="","",Registro_Ventas!$H$46)</f>
        <v/>
      </c>
      <c r="G4761">
        <f>IF($C4761="","","Por la venta segun comprobante a "&amp;Registro_Ventas!$E$46)</f>
        <v/>
      </c>
      <c r="H4761">
        <f>IF($C4761="","",Registro_Ventas!$C$46)</f>
        <v/>
      </c>
    </row>
    <row r="4762">
      <c r="A4762" s="25">
        <f>IF($C4762="","",Registro_Ventas!$P$46)</f>
        <v/>
      </c>
      <c r="B4762">
        <f>IF($C4762="","","V"&amp;TEXT(INT((ROW()-4507)/6)+1,"000")&amp;"-2")</f>
        <v/>
      </c>
      <c r="C4762">
        <f>IF(OR(Registro_Ventas!$C$46="",Registro_Ventas!$O$46&lt;&gt;"SI"),"","10413")</f>
        <v/>
      </c>
      <c r="D4762">
        <f>IF($C4762="","","Efectivo y Equivalentes - Cta. Cte. Operativa")</f>
        <v/>
      </c>
      <c r="E4762" s="20">
        <f>IF($C4762="","",Registro_Ventas!$N$46)</f>
        <v/>
      </c>
      <c r="F4762" s="20">
        <f>""</f>
        <v/>
      </c>
      <c r="G4762">
        <f>IF($C4762="","","Por la cobranza de la factura")</f>
        <v/>
      </c>
      <c r="H4762">
        <f>IF($C4762="","",Registro_Ventas!$C$46)</f>
        <v/>
      </c>
    </row>
    <row r="4763">
      <c r="A4763" s="25">
        <f>IF($C4763="","",Registro_Ventas!$P$46)</f>
        <v/>
      </c>
      <c r="B4763">
        <f>IF($C4763="","","V"&amp;TEXT(INT((ROW()-4507)/6)+1,"000")&amp;"-2")</f>
        <v/>
      </c>
      <c r="C4763">
        <f>IF(OR(OR(Registro_Ventas!$C$46="",Registro_Ventas!$O$46&lt;&gt;"SI"),Registro_Ventas!$J$46&lt;&gt;"SI"),"","10421")</f>
        <v/>
      </c>
      <c r="D4763">
        <f>IF($C4763="","","Efectivo - Cuenta de Detracciones (Banco de la Nacion)")</f>
        <v/>
      </c>
      <c r="E4763" s="20">
        <f>IF($C4763="","",Registro_Ventas!$M$46)</f>
        <v/>
      </c>
      <c r="F4763" s="20">
        <f>""</f>
        <v/>
      </c>
      <c r="G4763">
        <f>IF($C4763="","","Detraccion retenida por el cliente")</f>
        <v/>
      </c>
      <c r="H4763">
        <f>IF($C4763="","",Registro_Ventas!$C$46)</f>
        <v/>
      </c>
    </row>
    <row r="4764">
      <c r="A4764" s="25">
        <f>IF($C4764="","",Registro_Ventas!$P$46)</f>
        <v/>
      </c>
      <c r="B4764">
        <f>IF($C4764="","","V"&amp;TEXT(INT((ROW()-4507)/6)+1,"000")&amp;"-2")</f>
        <v/>
      </c>
      <c r="C4764">
        <f>IF(OR(Registro_Ventas!$C$46="",Registro_Ventas!$O$46&lt;&gt;"SI"),"","12")</f>
        <v/>
      </c>
      <c r="D4764">
        <f>IF($C4764="","","Cuentas por Cobrar Comerciales - Terceros")</f>
        <v/>
      </c>
      <c r="E4764" s="20">
        <f>""</f>
        <v/>
      </c>
      <c r="F4764" s="20">
        <f>IF($C4764="","",Registro_Ventas!$I$46)</f>
        <v/>
      </c>
      <c r="G4764">
        <f>IF($C4764="","","Por la cobranza de la factura")</f>
        <v/>
      </c>
      <c r="H4764">
        <f>IF($C4764="","",Registro_Ventas!$C$46)</f>
        <v/>
      </c>
    </row>
    <row r="4765">
      <c r="A4765" s="25">
        <f>IF($C4765="","",Registro_Ventas!$B$47)</f>
        <v/>
      </c>
      <c r="B4765">
        <f>IF($C4765="","","V"&amp;TEXT(INT((ROW()-4507)/6)+1,"000")&amp;"-1")</f>
        <v/>
      </c>
      <c r="C4765">
        <f>IF(Registro_Ventas!$C$47="","","12")</f>
        <v/>
      </c>
      <c r="D4765">
        <f>IF($C4765="","","Cuentas por Cobrar Comerciales - Terceros")</f>
        <v/>
      </c>
      <c r="E4765" s="20">
        <f>IF($C4765="","",Registro_Ventas!$I$47)</f>
        <v/>
      </c>
      <c r="F4765" s="20">
        <f>""</f>
        <v/>
      </c>
      <c r="G4765">
        <f>IF($C4765="","","Por la venta segun comprobante a "&amp;Registro_Ventas!$E$47)</f>
        <v/>
      </c>
      <c r="H4765">
        <f>IF($C4765="","",Registro_Ventas!$C$47)</f>
        <v/>
      </c>
    </row>
    <row r="4766">
      <c r="A4766" s="25">
        <f>IF($C4766="","",Registro_Ventas!$B$47)</f>
        <v/>
      </c>
      <c r="B4766">
        <f>IF($C4766="","","V"&amp;TEXT(INT((ROW()-4507)/6)+1,"000")&amp;"-1")</f>
        <v/>
      </c>
      <c r="C4766">
        <f>IF(Registro_Ventas!$C$47="","","70")</f>
        <v/>
      </c>
      <c r="D4766">
        <f>IF($C4766="","","Ventas")</f>
        <v/>
      </c>
      <c r="E4766" s="20">
        <f>""</f>
        <v/>
      </c>
      <c r="F4766" s="20">
        <f>IF($C4766="","",Registro_Ventas!$G$47)</f>
        <v/>
      </c>
      <c r="G4766">
        <f>IF($C4766="","","Por la venta segun comprobante a "&amp;Registro_Ventas!$E$47)</f>
        <v/>
      </c>
      <c r="H4766">
        <f>IF($C4766="","",Registro_Ventas!$C$47)</f>
        <v/>
      </c>
    </row>
    <row r="4767">
      <c r="A4767" s="25">
        <f>IF($C4767="","",Registro_Ventas!$B$47)</f>
        <v/>
      </c>
      <c r="B4767">
        <f>IF($C4767="","","V"&amp;TEXT(INT((ROW()-4507)/6)+1,"000")&amp;"-1")</f>
        <v/>
      </c>
      <c r="C4767">
        <f>IF(OR(Registro_Ventas!$C$47="",Registro_Ventas!$R$47="SI"),"","40111")</f>
        <v/>
      </c>
      <c r="D4767">
        <f>IF($C4767="","","IGV - Cuenta Propia (Debito Fiscal)")</f>
        <v/>
      </c>
      <c r="E4767" s="20">
        <f>""</f>
        <v/>
      </c>
      <c r="F4767" s="20">
        <f>IF($C4767="","",Registro_Ventas!$H$47)</f>
        <v/>
      </c>
      <c r="G4767">
        <f>IF($C4767="","","Por la venta segun comprobante a "&amp;Registro_Ventas!$E$47)</f>
        <v/>
      </c>
      <c r="H4767">
        <f>IF($C4767="","",Registro_Ventas!$C$47)</f>
        <v/>
      </c>
    </row>
    <row r="4768">
      <c r="A4768" s="25">
        <f>IF($C4768="","",Registro_Ventas!$P$47)</f>
        <v/>
      </c>
      <c r="B4768">
        <f>IF($C4768="","","V"&amp;TEXT(INT((ROW()-4507)/6)+1,"000")&amp;"-2")</f>
        <v/>
      </c>
      <c r="C4768">
        <f>IF(OR(Registro_Ventas!$C$47="",Registro_Ventas!$O$47&lt;&gt;"SI"),"","10413")</f>
        <v/>
      </c>
      <c r="D4768">
        <f>IF($C4768="","","Efectivo y Equivalentes - Cta. Cte. Operativa")</f>
        <v/>
      </c>
      <c r="E4768" s="20">
        <f>IF($C4768="","",Registro_Ventas!$N$47)</f>
        <v/>
      </c>
      <c r="F4768" s="20">
        <f>""</f>
        <v/>
      </c>
      <c r="G4768">
        <f>IF($C4768="","","Por la cobranza de la factura")</f>
        <v/>
      </c>
      <c r="H4768">
        <f>IF($C4768="","",Registro_Ventas!$C$47)</f>
        <v/>
      </c>
    </row>
    <row r="4769">
      <c r="A4769" s="25">
        <f>IF($C4769="","",Registro_Ventas!$P$47)</f>
        <v/>
      </c>
      <c r="B4769">
        <f>IF($C4769="","","V"&amp;TEXT(INT((ROW()-4507)/6)+1,"000")&amp;"-2")</f>
        <v/>
      </c>
      <c r="C4769">
        <f>IF(OR(OR(Registro_Ventas!$C$47="",Registro_Ventas!$O$47&lt;&gt;"SI"),Registro_Ventas!$J$47&lt;&gt;"SI"),"","10421")</f>
        <v/>
      </c>
      <c r="D4769">
        <f>IF($C4769="","","Efectivo - Cuenta de Detracciones (Banco de la Nacion)")</f>
        <v/>
      </c>
      <c r="E4769" s="20">
        <f>IF($C4769="","",Registro_Ventas!$M$47)</f>
        <v/>
      </c>
      <c r="F4769" s="20">
        <f>""</f>
        <v/>
      </c>
      <c r="G4769">
        <f>IF($C4769="","","Detraccion retenida por el cliente")</f>
        <v/>
      </c>
      <c r="H4769">
        <f>IF($C4769="","",Registro_Ventas!$C$47)</f>
        <v/>
      </c>
    </row>
    <row r="4770">
      <c r="A4770" s="25">
        <f>IF($C4770="","",Registro_Ventas!$P$47)</f>
        <v/>
      </c>
      <c r="B4770">
        <f>IF($C4770="","","V"&amp;TEXT(INT((ROW()-4507)/6)+1,"000")&amp;"-2")</f>
        <v/>
      </c>
      <c r="C4770">
        <f>IF(OR(Registro_Ventas!$C$47="",Registro_Ventas!$O$47&lt;&gt;"SI"),"","12")</f>
        <v/>
      </c>
      <c r="D4770">
        <f>IF($C4770="","","Cuentas por Cobrar Comerciales - Terceros")</f>
        <v/>
      </c>
      <c r="E4770" s="20">
        <f>""</f>
        <v/>
      </c>
      <c r="F4770" s="20">
        <f>IF($C4770="","",Registro_Ventas!$I$47)</f>
        <v/>
      </c>
      <c r="G4770">
        <f>IF($C4770="","","Por la cobranza de la factura")</f>
        <v/>
      </c>
      <c r="H4770">
        <f>IF($C4770="","",Registro_Ventas!$C$47)</f>
        <v/>
      </c>
    </row>
    <row r="4771">
      <c r="A4771" s="25">
        <f>IF($C4771="","",Registro_Ventas!$B$48)</f>
        <v/>
      </c>
      <c r="B4771">
        <f>IF($C4771="","","V"&amp;TEXT(INT((ROW()-4507)/6)+1,"000")&amp;"-1")</f>
        <v/>
      </c>
      <c r="C4771">
        <f>IF(Registro_Ventas!$C$48="","","12")</f>
        <v/>
      </c>
      <c r="D4771">
        <f>IF($C4771="","","Cuentas por Cobrar Comerciales - Terceros")</f>
        <v/>
      </c>
      <c r="E4771" s="20">
        <f>IF($C4771="","",Registro_Ventas!$I$48)</f>
        <v/>
      </c>
      <c r="F4771" s="20">
        <f>""</f>
        <v/>
      </c>
      <c r="G4771">
        <f>IF($C4771="","","Por la venta segun comprobante a "&amp;Registro_Ventas!$E$48)</f>
        <v/>
      </c>
      <c r="H4771">
        <f>IF($C4771="","",Registro_Ventas!$C$48)</f>
        <v/>
      </c>
    </row>
    <row r="4772">
      <c r="A4772" s="25">
        <f>IF($C4772="","",Registro_Ventas!$B$48)</f>
        <v/>
      </c>
      <c r="B4772">
        <f>IF($C4772="","","V"&amp;TEXT(INT((ROW()-4507)/6)+1,"000")&amp;"-1")</f>
        <v/>
      </c>
      <c r="C4772">
        <f>IF(Registro_Ventas!$C$48="","","70")</f>
        <v/>
      </c>
      <c r="D4772">
        <f>IF($C4772="","","Ventas")</f>
        <v/>
      </c>
      <c r="E4772" s="20">
        <f>""</f>
        <v/>
      </c>
      <c r="F4772" s="20">
        <f>IF($C4772="","",Registro_Ventas!$G$48)</f>
        <v/>
      </c>
      <c r="G4772">
        <f>IF($C4772="","","Por la venta segun comprobante a "&amp;Registro_Ventas!$E$48)</f>
        <v/>
      </c>
      <c r="H4772">
        <f>IF($C4772="","",Registro_Ventas!$C$48)</f>
        <v/>
      </c>
    </row>
    <row r="4773">
      <c r="A4773" s="25">
        <f>IF($C4773="","",Registro_Ventas!$B$48)</f>
        <v/>
      </c>
      <c r="B4773">
        <f>IF($C4773="","","V"&amp;TEXT(INT((ROW()-4507)/6)+1,"000")&amp;"-1")</f>
        <v/>
      </c>
      <c r="C4773">
        <f>IF(OR(Registro_Ventas!$C$48="",Registro_Ventas!$R$48="SI"),"","40111")</f>
        <v/>
      </c>
      <c r="D4773">
        <f>IF($C4773="","","IGV - Cuenta Propia (Debito Fiscal)")</f>
        <v/>
      </c>
      <c r="E4773" s="20">
        <f>""</f>
        <v/>
      </c>
      <c r="F4773" s="20">
        <f>IF($C4773="","",Registro_Ventas!$H$48)</f>
        <v/>
      </c>
      <c r="G4773">
        <f>IF($C4773="","","Por la venta segun comprobante a "&amp;Registro_Ventas!$E$48)</f>
        <v/>
      </c>
      <c r="H4773">
        <f>IF($C4773="","",Registro_Ventas!$C$48)</f>
        <v/>
      </c>
    </row>
    <row r="4774">
      <c r="A4774" s="25">
        <f>IF($C4774="","",Registro_Ventas!$P$48)</f>
        <v/>
      </c>
      <c r="B4774">
        <f>IF($C4774="","","V"&amp;TEXT(INT((ROW()-4507)/6)+1,"000")&amp;"-2")</f>
        <v/>
      </c>
      <c r="C4774">
        <f>IF(OR(Registro_Ventas!$C$48="",Registro_Ventas!$O$48&lt;&gt;"SI"),"","10413")</f>
        <v/>
      </c>
      <c r="D4774">
        <f>IF($C4774="","","Efectivo y Equivalentes - Cta. Cte. Operativa")</f>
        <v/>
      </c>
      <c r="E4774" s="20">
        <f>IF($C4774="","",Registro_Ventas!$N$48)</f>
        <v/>
      </c>
      <c r="F4774" s="20">
        <f>""</f>
        <v/>
      </c>
      <c r="G4774">
        <f>IF($C4774="","","Por la cobranza de la factura")</f>
        <v/>
      </c>
      <c r="H4774">
        <f>IF($C4774="","",Registro_Ventas!$C$48)</f>
        <v/>
      </c>
    </row>
    <row r="4775">
      <c r="A4775" s="25">
        <f>IF($C4775="","",Registro_Ventas!$P$48)</f>
        <v/>
      </c>
      <c r="B4775">
        <f>IF($C4775="","","V"&amp;TEXT(INT((ROW()-4507)/6)+1,"000")&amp;"-2")</f>
        <v/>
      </c>
      <c r="C4775">
        <f>IF(OR(OR(Registro_Ventas!$C$48="",Registro_Ventas!$O$48&lt;&gt;"SI"),Registro_Ventas!$J$48&lt;&gt;"SI"),"","10421")</f>
        <v/>
      </c>
      <c r="D4775">
        <f>IF($C4775="","","Efectivo - Cuenta de Detracciones (Banco de la Nacion)")</f>
        <v/>
      </c>
      <c r="E4775" s="20">
        <f>IF($C4775="","",Registro_Ventas!$M$48)</f>
        <v/>
      </c>
      <c r="F4775" s="20">
        <f>""</f>
        <v/>
      </c>
      <c r="G4775">
        <f>IF($C4775="","","Detraccion retenida por el cliente")</f>
        <v/>
      </c>
      <c r="H4775">
        <f>IF($C4775="","",Registro_Ventas!$C$48)</f>
        <v/>
      </c>
    </row>
    <row r="4776">
      <c r="A4776" s="25">
        <f>IF($C4776="","",Registro_Ventas!$P$48)</f>
        <v/>
      </c>
      <c r="B4776">
        <f>IF($C4776="","","V"&amp;TEXT(INT((ROW()-4507)/6)+1,"000")&amp;"-2")</f>
        <v/>
      </c>
      <c r="C4776">
        <f>IF(OR(Registro_Ventas!$C$48="",Registro_Ventas!$O$48&lt;&gt;"SI"),"","12")</f>
        <v/>
      </c>
      <c r="D4776">
        <f>IF($C4776="","","Cuentas por Cobrar Comerciales - Terceros")</f>
        <v/>
      </c>
      <c r="E4776" s="20">
        <f>""</f>
        <v/>
      </c>
      <c r="F4776" s="20">
        <f>IF($C4776="","",Registro_Ventas!$I$48)</f>
        <v/>
      </c>
      <c r="G4776">
        <f>IF($C4776="","","Por la cobranza de la factura")</f>
        <v/>
      </c>
      <c r="H4776">
        <f>IF($C4776="","",Registro_Ventas!$C$48)</f>
        <v/>
      </c>
    </row>
    <row r="4777">
      <c r="A4777" s="25">
        <f>IF($C4777="","",Registro_Ventas!$B$49)</f>
        <v/>
      </c>
      <c r="B4777">
        <f>IF($C4777="","","V"&amp;TEXT(INT((ROW()-4507)/6)+1,"000")&amp;"-1")</f>
        <v/>
      </c>
      <c r="C4777">
        <f>IF(Registro_Ventas!$C$49="","","12")</f>
        <v/>
      </c>
      <c r="D4777">
        <f>IF($C4777="","","Cuentas por Cobrar Comerciales - Terceros")</f>
        <v/>
      </c>
      <c r="E4777" s="20">
        <f>IF($C4777="","",Registro_Ventas!$I$49)</f>
        <v/>
      </c>
      <c r="F4777" s="20">
        <f>""</f>
        <v/>
      </c>
      <c r="G4777">
        <f>IF($C4777="","","Por la venta segun comprobante a "&amp;Registro_Ventas!$E$49)</f>
        <v/>
      </c>
      <c r="H4777">
        <f>IF($C4777="","",Registro_Ventas!$C$49)</f>
        <v/>
      </c>
    </row>
    <row r="4778">
      <c r="A4778" s="25">
        <f>IF($C4778="","",Registro_Ventas!$B$49)</f>
        <v/>
      </c>
      <c r="B4778">
        <f>IF($C4778="","","V"&amp;TEXT(INT((ROW()-4507)/6)+1,"000")&amp;"-1")</f>
        <v/>
      </c>
      <c r="C4778">
        <f>IF(Registro_Ventas!$C$49="","","70")</f>
        <v/>
      </c>
      <c r="D4778">
        <f>IF($C4778="","","Ventas")</f>
        <v/>
      </c>
      <c r="E4778" s="20">
        <f>""</f>
        <v/>
      </c>
      <c r="F4778" s="20">
        <f>IF($C4778="","",Registro_Ventas!$G$49)</f>
        <v/>
      </c>
      <c r="G4778">
        <f>IF($C4778="","","Por la venta segun comprobante a "&amp;Registro_Ventas!$E$49)</f>
        <v/>
      </c>
      <c r="H4778">
        <f>IF($C4778="","",Registro_Ventas!$C$49)</f>
        <v/>
      </c>
    </row>
    <row r="4779">
      <c r="A4779" s="25">
        <f>IF($C4779="","",Registro_Ventas!$B$49)</f>
        <v/>
      </c>
      <c r="B4779">
        <f>IF($C4779="","","V"&amp;TEXT(INT((ROW()-4507)/6)+1,"000")&amp;"-1")</f>
        <v/>
      </c>
      <c r="C4779">
        <f>IF(OR(Registro_Ventas!$C$49="",Registro_Ventas!$R$49="SI"),"","40111")</f>
        <v/>
      </c>
      <c r="D4779">
        <f>IF($C4779="","","IGV - Cuenta Propia (Debito Fiscal)")</f>
        <v/>
      </c>
      <c r="E4779" s="20">
        <f>""</f>
        <v/>
      </c>
      <c r="F4779" s="20">
        <f>IF($C4779="","",Registro_Ventas!$H$49)</f>
        <v/>
      </c>
      <c r="G4779">
        <f>IF($C4779="","","Por la venta segun comprobante a "&amp;Registro_Ventas!$E$49)</f>
        <v/>
      </c>
      <c r="H4779">
        <f>IF($C4779="","",Registro_Ventas!$C$49)</f>
        <v/>
      </c>
    </row>
    <row r="4780">
      <c r="A4780" s="25">
        <f>IF($C4780="","",Registro_Ventas!$P$49)</f>
        <v/>
      </c>
      <c r="B4780">
        <f>IF($C4780="","","V"&amp;TEXT(INT((ROW()-4507)/6)+1,"000")&amp;"-2")</f>
        <v/>
      </c>
      <c r="C4780">
        <f>IF(OR(Registro_Ventas!$C$49="",Registro_Ventas!$O$49&lt;&gt;"SI"),"","10413")</f>
        <v/>
      </c>
      <c r="D4780">
        <f>IF($C4780="","","Efectivo y Equivalentes - Cta. Cte. Operativa")</f>
        <v/>
      </c>
      <c r="E4780" s="20">
        <f>IF($C4780="","",Registro_Ventas!$N$49)</f>
        <v/>
      </c>
      <c r="F4780" s="20">
        <f>""</f>
        <v/>
      </c>
      <c r="G4780">
        <f>IF($C4780="","","Por la cobranza de la factura")</f>
        <v/>
      </c>
      <c r="H4780">
        <f>IF($C4780="","",Registro_Ventas!$C$49)</f>
        <v/>
      </c>
    </row>
    <row r="4781">
      <c r="A4781" s="25">
        <f>IF($C4781="","",Registro_Ventas!$P$49)</f>
        <v/>
      </c>
      <c r="B4781">
        <f>IF($C4781="","","V"&amp;TEXT(INT((ROW()-4507)/6)+1,"000")&amp;"-2")</f>
        <v/>
      </c>
      <c r="C4781">
        <f>IF(OR(OR(Registro_Ventas!$C$49="",Registro_Ventas!$O$49&lt;&gt;"SI"),Registro_Ventas!$J$49&lt;&gt;"SI"),"","10421")</f>
        <v/>
      </c>
      <c r="D4781">
        <f>IF($C4781="","","Efectivo - Cuenta de Detracciones (Banco de la Nacion)")</f>
        <v/>
      </c>
      <c r="E4781" s="20">
        <f>IF($C4781="","",Registro_Ventas!$M$49)</f>
        <v/>
      </c>
      <c r="F4781" s="20">
        <f>""</f>
        <v/>
      </c>
      <c r="G4781">
        <f>IF($C4781="","","Detraccion retenida por el cliente")</f>
        <v/>
      </c>
      <c r="H4781">
        <f>IF($C4781="","",Registro_Ventas!$C$49)</f>
        <v/>
      </c>
    </row>
    <row r="4782">
      <c r="A4782" s="25">
        <f>IF($C4782="","",Registro_Ventas!$P$49)</f>
        <v/>
      </c>
      <c r="B4782">
        <f>IF($C4782="","","V"&amp;TEXT(INT((ROW()-4507)/6)+1,"000")&amp;"-2")</f>
        <v/>
      </c>
      <c r="C4782">
        <f>IF(OR(Registro_Ventas!$C$49="",Registro_Ventas!$O$49&lt;&gt;"SI"),"","12")</f>
        <v/>
      </c>
      <c r="D4782">
        <f>IF($C4782="","","Cuentas por Cobrar Comerciales - Terceros")</f>
        <v/>
      </c>
      <c r="E4782" s="20">
        <f>""</f>
        <v/>
      </c>
      <c r="F4782" s="20">
        <f>IF($C4782="","",Registro_Ventas!$I$49)</f>
        <v/>
      </c>
      <c r="G4782">
        <f>IF($C4782="","","Por la cobranza de la factura")</f>
        <v/>
      </c>
      <c r="H4782">
        <f>IF($C4782="","",Registro_Ventas!$C$49)</f>
        <v/>
      </c>
    </row>
    <row r="4783">
      <c r="A4783" s="25">
        <f>IF($C4783="","",Registro_Ventas!$B$50)</f>
        <v/>
      </c>
      <c r="B4783">
        <f>IF($C4783="","","V"&amp;TEXT(INT((ROW()-4507)/6)+1,"000")&amp;"-1")</f>
        <v/>
      </c>
      <c r="C4783">
        <f>IF(Registro_Ventas!$C$50="","","12")</f>
        <v/>
      </c>
      <c r="D4783">
        <f>IF($C4783="","","Cuentas por Cobrar Comerciales - Terceros")</f>
        <v/>
      </c>
      <c r="E4783" s="20">
        <f>IF($C4783="","",Registro_Ventas!$I$50)</f>
        <v/>
      </c>
      <c r="F4783" s="20">
        <f>""</f>
        <v/>
      </c>
      <c r="G4783">
        <f>IF($C4783="","","Por la venta segun comprobante a "&amp;Registro_Ventas!$E$50)</f>
        <v/>
      </c>
      <c r="H4783">
        <f>IF($C4783="","",Registro_Ventas!$C$50)</f>
        <v/>
      </c>
    </row>
    <row r="4784">
      <c r="A4784" s="25">
        <f>IF($C4784="","",Registro_Ventas!$B$50)</f>
        <v/>
      </c>
      <c r="B4784">
        <f>IF($C4784="","","V"&amp;TEXT(INT((ROW()-4507)/6)+1,"000")&amp;"-1")</f>
        <v/>
      </c>
      <c r="C4784">
        <f>IF(Registro_Ventas!$C$50="","","70")</f>
        <v/>
      </c>
      <c r="D4784">
        <f>IF($C4784="","","Ventas")</f>
        <v/>
      </c>
      <c r="E4784" s="20">
        <f>""</f>
        <v/>
      </c>
      <c r="F4784" s="20">
        <f>IF($C4784="","",Registro_Ventas!$G$50)</f>
        <v/>
      </c>
      <c r="G4784">
        <f>IF($C4784="","","Por la venta segun comprobante a "&amp;Registro_Ventas!$E$50)</f>
        <v/>
      </c>
      <c r="H4784">
        <f>IF($C4784="","",Registro_Ventas!$C$50)</f>
        <v/>
      </c>
    </row>
    <row r="4785">
      <c r="A4785" s="25">
        <f>IF($C4785="","",Registro_Ventas!$B$50)</f>
        <v/>
      </c>
      <c r="B4785">
        <f>IF($C4785="","","V"&amp;TEXT(INT((ROW()-4507)/6)+1,"000")&amp;"-1")</f>
        <v/>
      </c>
      <c r="C4785">
        <f>IF(OR(Registro_Ventas!$C$50="",Registro_Ventas!$R$50="SI"),"","40111")</f>
        <v/>
      </c>
      <c r="D4785">
        <f>IF($C4785="","","IGV - Cuenta Propia (Debito Fiscal)")</f>
        <v/>
      </c>
      <c r="E4785" s="20">
        <f>""</f>
        <v/>
      </c>
      <c r="F4785" s="20">
        <f>IF($C4785="","",Registro_Ventas!$H$50)</f>
        <v/>
      </c>
      <c r="G4785">
        <f>IF($C4785="","","Por la venta segun comprobante a "&amp;Registro_Ventas!$E$50)</f>
        <v/>
      </c>
      <c r="H4785">
        <f>IF($C4785="","",Registro_Ventas!$C$50)</f>
        <v/>
      </c>
    </row>
    <row r="4786">
      <c r="A4786" s="25">
        <f>IF($C4786="","",Registro_Ventas!$P$50)</f>
        <v/>
      </c>
      <c r="B4786">
        <f>IF($C4786="","","V"&amp;TEXT(INT((ROW()-4507)/6)+1,"000")&amp;"-2")</f>
        <v/>
      </c>
      <c r="C4786">
        <f>IF(OR(Registro_Ventas!$C$50="",Registro_Ventas!$O$50&lt;&gt;"SI"),"","10413")</f>
        <v/>
      </c>
      <c r="D4786">
        <f>IF($C4786="","","Efectivo y Equivalentes - Cta. Cte. Operativa")</f>
        <v/>
      </c>
      <c r="E4786" s="20">
        <f>IF($C4786="","",Registro_Ventas!$N$50)</f>
        <v/>
      </c>
      <c r="F4786" s="20">
        <f>""</f>
        <v/>
      </c>
      <c r="G4786">
        <f>IF($C4786="","","Por la cobranza de la factura")</f>
        <v/>
      </c>
      <c r="H4786">
        <f>IF($C4786="","",Registro_Ventas!$C$50)</f>
        <v/>
      </c>
    </row>
    <row r="4787">
      <c r="A4787" s="25">
        <f>IF($C4787="","",Registro_Ventas!$P$50)</f>
        <v/>
      </c>
      <c r="B4787">
        <f>IF($C4787="","","V"&amp;TEXT(INT((ROW()-4507)/6)+1,"000")&amp;"-2")</f>
        <v/>
      </c>
      <c r="C4787">
        <f>IF(OR(OR(Registro_Ventas!$C$50="",Registro_Ventas!$O$50&lt;&gt;"SI"),Registro_Ventas!$J$50&lt;&gt;"SI"),"","10421")</f>
        <v/>
      </c>
      <c r="D4787">
        <f>IF($C4787="","","Efectivo - Cuenta de Detracciones (Banco de la Nacion)")</f>
        <v/>
      </c>
      <c r="E4787" s="20">
        <f>IF($C4787="","",Registro_Ventas!$M$50)</f>
        <v/>
      </c>
      <c r="F4787" s="20">
        <f>""</f>
        <v/>
      </c>
      <c r="G4787">
        <f>IF($C4787="","","Detraccion retenida por el cliente")</f>
        <v/>
      </c>
      <c r="H4787">
        <f>IF($C4787="","",Registro_Ventas!$C$50)</f>
        <v/>
      </c>
    </row>
    <row r="4788">
      <c r="A4788" s="25">
        <f>IF($C4788="","",Registro_Ventas!$P$50)</f>
        <v/>
      </c>
      <c r="B4788">
        <f>IF($C4788="","","V"&amp;TEXT(INT((ROW()-4507)/6)+1,"000")&amp;"-2")</f>
        <v/>
      </c>
      <c r="C4788">
        <f>IF(OR(Registro_Ventas!$C$50="",Registro_Ventas!$O$50&lt;&gt;"SI"),"","12")</f>
        <v/>
      </c>
      <c r="D4788">
        <f>IF($C4788="","","Cuentas por Cobrar Comerciales - Terceros")</f>
        <v/>
      </c>
      <c r="E4788" s="20">
        <f>""</f>
        <v/>
      </c>
      <c r="F4788" s="20">
        <f>IF($C4788="","",Registro_Ventas!$I$50)</f>
        <v/>
      </c>
      <c r="G4788">
        <f>IF($C4788="","","Por la cobranza de la factura")</f>
        <v/>
      </c>
      <c r="H4788">
        <f>IF($C4788="","",Registro_Ventas!$C$50)</f>
        <v/>
      </c>
    </row>
    <row r="4789">
      <c r="A4789" s="25">
        <f>IF($C4789="","",Registro_Ventas!$B$51)</f>
        <v/>
      </c>
      <c r="B4789">
        <f>IF($C4789="","","V"&amp;TEXT(INT((ROW()-4507)/6)+1,"000")&amp;"-1")</f>
        <v/>
      </c>
      <c r="C4789">
        <f>IF(Registro_Ventas!$C$51="","","12")</f>
        <v/>
      </c>
      <c r="D4789">
        <f>IF($C4789="","","Cuentas por Cobrar Comerciales - Terceros")</f>
        <v/>
      </c>
      <c r="E4789" s="20">
        <f>IF($C4789="","",Registro_Ventas!$I$51)</f>
        <v/>
      </c>
      <c r="F4789" s="20">
        <f>""</f>
        <v/>
      </c>
      <c r="G4789">
        <f>IF($C4789="","","Por la venta segun comprobante a "&amp;Registro_Ventas!$E$51)</f>
        <v/>
      </c>
      <c r="H4789">
        <f>IF($C4789="","",Registro_Ventas!$C$51)</f>
        <v/>
      </c>
    </row>
    <row r="4790">
      <c r="A4790" s="25">
        <f>IF($C4790="","",Registro_Ventas!$B$51)</f>
        <v/>
      </c>
      <c r="B4790">
        <f>IF($C4790="","","V"&amp;TEXT(INT((ROW()-4507)/6)+1,"000")&amp;"-1")</f>
        <v/>
      </c>
      <c r="C4790">
        <f>IF(Registro_Ventas!$C$51="","","70")</f>
        <v/>
      </c>
      <c r="D4790">
        <f>IF($C4790="","","Ventas")</f>
        <v/>
      </c>
      <c r="E4790" s="20">
        <f>""</f>
        <v/>
      </c>
      <c r="F4790" s="20">
        <f>IF($C4790="","",Registro_Ventas!$G$51)</f>
        <v/>
      </c>
      <c r="G4790">
        <f>IF($C4790="","","Por la venta segun comprobante a "&amp;Registro_Ventas!$E$51)</f>
        <v/>
      </c>
      <c r="H4790">
        <f>IF($C4790="","",Registro_Ventas!$C$51)</f>
        <v/>
      </c>
    </row>
    <row r="4791">
      <c r="A4791" s="25">
        <f>IF($C4791="","",Registro_Ventas!$B$51)</f>
        <v/>
      </c>
      <c r="B4791">
        <f>IF($C4791="","","V"&amp;TEXT(INT((ROW()-4507)/6)+1,"000")&amp;"-1")</f>
        <v/>
      </c>
      <c r="C4791">
        <f>IF(OR(Registro_Ventas!$C$51="",Registro_Ventas!$R$51="SI"),"","40111")</f>
        <v/>
      </c>
      <c r="D4791">
        <f>IF($C4791="","","IGV - Cuenta Propia (Debito Fiscal)")</f>
        <v/>
      </c>
      <c r="E4791" s="20">
        <f>""</f>
        <v/>
      </c>
      <c r="F4791" s="20">
        <f>IF($C4791="","",Registro_Ventas!$H$51)</f>
        <v/>
      </c>
      <c r="G4791">
        <f>IF($C4791="","","Por la venta segun comprobante a "&amp;Registro_Ventas!$E$51)</f>
        <v/>
      </c>
      <c r="H4791">
        <f>IF($C4791="","",Registro_Ventas!$C$51)</f>
        <v/>
      </c>
    </row>
    <row r="4792">
      <c r="A4792" s="25">
        <f>IF($C4792="","",Registro_Ventas!$P$51)</f>
        <v/>
      </c>
      <c r="B4792">
        <f>IF($C4792="","","V"&amp;TEXT(INT((ROW()-4507)/6)+1,"000")&amp;"-2")</f>
        <v/>
      </c>
      <c r="C4792">
        <f>IF(OR(Registro_Ventas!$C$51="",Registro_Ventas!$O$51&lt;&gt;"SI"),"","10413")</f>
        <v/>
      </c>
      <c r="D4792">
        <f>IF($C4792="","","Efectivo y Equivalentes - Cta. Cte. Operativa")</f>
        <v/>
      </c>
      <c r="E4792" s="20">
        <f>IF($C4792="","",Registro_Ventas!$N$51)</f>
        <v/>
      </c>
      <c r="F4792" s="20">
        <f>""</f>
        <v/>
      </c>
      <c r="G4792">
        <f>IF($C4792="","","Por la cobranza de la factura")</f>
        <v/>
      </c>
      <c r="H4792">
        <f>IF($C4792="","",Registro_Ventas!$C$51)</f>
        <v/>
      </c>
    </row>
    <row r="4793">
      <c r="A4793" s="25">
        <f>IF($C4793="","",Registro_Ventas!$P$51)</f>
        <v/>
      </c>
      <c r="B4793">
        <f>IF($C4793="","","V"&amp;TEXT(INT((ROW()-4507)/6)+1,"000")&amp;"-2")</f>
        <v/>
      </c>
      <c r="C4793">
        <f>IF(OR(OR(Registro_Ventas!$C$51="",Registro_Ventas!$O$51&lt;&gt;"SI"),Registro_Ventas!$J$51&lt;&gt;"SI"),"","10421")</f>
        <v/>
      </c>
      <c r="D4793">
        <f>IF($C4793="","","Efectivo - Cuenta de Detracciones (Banco de la Nacion)")</f>
        <v/>
      </c>
      <c r="E4793" s="20">
        <f>IF($C4793="","",Registro_Ventas!$M$51)</f>
        <v/>
      </c>
      <c r="F4793" s="20">
        <f>""</f>
        <v/>
      </c>
      <c r="G4793">
        <f>IF($C4793="","","Detraccion retenida por el cliente")</f>
        <v/>
      </c>
      <c r="H4793">
        <f>IF($C4793="","",Registro_Ventas!$C$51)</f>
        <v/>
      </c>
    </row>
    <row r="4794">
      <c r="A4794" s="25">
        <f>IF($C4794="","",Registro_Ventas!$P$51)</f>
        <v/>
      </c>
      <c r="B4794">
        <f>IF($C4794="","","V"&amp;TEXT(INT((ROW()-4507)/6)+1,"000")&amp;"-2")</f>
        <v/>
      </c>
      <c r="C4794">
        <f>IF(OR(Registro_Ventas!$C$51="",Registro_Ventas!$O$51&lt;&gt;"SI"),"","12")</f>
        <v/>
      </c>
      <c r="D4794">
        <f>IF($C4794="","","Cuentas por Cobrar Comerciales - Terceros")</f>
        <v/>
      </c>
      <c r="E4794" s="20">
        <f>""</f>
        <v/>
      </c>
      <c r="F4794" s="20">
        <f>IF($C4794="","",Registro_Ventas!$I$51)</f>
        <v/>
      </c>
      <c r="G4794">
        <f>IF($C4794="","","Por la cobranza de la factura")</f>
        <v/>
      </c>
      <c r="H4794">
        <f>IF($C4794="","",Registro_Ventas!$C$51)</f>
        <v/>
      </c>
    </row>
    <row r="4795">
      <c r="A4795" s="25">
        <f>IF($C4795="","",Registro_Ventas!$B$52)</f>
        <v/>
      </c>
      <c r="B4795">
        <f>IF($C4795="","","V"&amp;TEXT(INT((ROW()-4507)/6)+1,"000")&amp;"-1")</f>
        <v/>
      </c>
      <c r="C4795">
        <f>IF(Registro_Ventas!$C$52="","","12")</f>
        <v/>
      </c>
      <c r="D4795">
        <f>IF($C4795="","","Cuentas por Cobrar Comerciales - Terceros")</f>
        <v/>
      </c>
      <c r="E4795" s="20">
        <f>IF($C4795="","",Registro_Ventas!$I$52)</f>
        <v/>
      </c>
      <c r="F4795" s="20">
        <f>""</f>
        <v/>
      </c>
      <c r="G4795">
        <f>IF($C4795="","","Por la venta segun comprobante a "&amp;Registro_Ventas!$E$52)</f>
        <v/>
      </c>
      <c r="H4795">
        <f>IF($C4795="","",Registro_Ventas!$C$52)</f>
        <v/>
      </c>
    </row>
    <row r="4796">
      <c r="A4796" s="25">
        <f>IF($C4796="","",Registro_Ventas!$B$52)</f>
        <v/>
      </c>
      <c r="B4796">
        <f>IF($C4796="","","V"&amp;TEXT(INT((ROW()-4507)/6)+1,"000")&amp;"-1")</f>
        <v/>
      </c>
      <c r="C4796">
        <f>IF(Registro_Ventas!$C$52="","","70")</f>
        <v/>
      </c>
      <c r="D4796">
        <f>IF($C4796="","","Ventas")</f>
        <v/>
      </c>
      <c r="E4796" s="20">
        <f>""</f>
        <v/>
      </c>
      <c r="F4796" s="20">
        <f>IF($C4796="","",Registro_Ventas!$G$52)</f>
        <v/>
      </c>
      <c r="G4796">
        <f>IF($C4796="","","Por la venta segun comprobante a "&amp;Registro_Ventas!$E$52)</f>
        <v/>
      </c>
      <c r="H4796">
        <f>IF($C4796="","",Registro_Ventas!$C$52)</f>
        <v/>
      </c>
    </row>
    <row r="4797">
      <c r="A4797" s="25">
        <f>IF($C4797="","",Registro_Ventas!$B$52)</f>
        <v/>
      </c>
      <c r="B4797">
        <f>IF($C4797="","","V"&amp;TEXT(INT((ROW()-4507)/6)+1,"000")&amp;"-1")</f>
        <v/>
      </c>
      <c r="C4797">
        <f>IF(OR(Registro_Ventas!$C$52="",Registro_Ventas!$R$52="SI"),"","40111")</f>
        <v/>
      </c>
      <c r="D4797">
        <f>IF($C4797="","","IGV - Cuenta Propia (Debito Fiscal)")</f>
        <v/>
      </c>
      <c r="E4797" s="20">
        <f>""</f>
        <v/>
      </c>
      <c r="F4797" s="20">
        <f>IF($C4797="","",Registro_Ventas!$H$52)</f>
        <v/>
      </c>
      <c r="G4797">
        <f>IF($C4797="","","Por la venta segun comprobante a "&amp;Registro_Ventas!$E$52)</f>
        <v/>
      </c>
      <c r="H4797">
        <f>IF($C4797="","",Registro_Ventas!$C$52)</f>
        <v/>
      </c>
    </row>
    <row r="4798">
      <c r="A4798" s="25">
        <f>IF($C4798="","",Registro_Ventas!$P$52)</f>
        <v/>
      </c>
      <c r="B4798">
        <f>IF($C4798="","","V"&amp;TEXT(INT((ROW()-4507)/6)+1,"000")&amp;"-2")</f>
        <v/>
      </c>
      <c r="C4798">
        <f>IF(OR(Registro_Ventas!$C$52="",Registro_Ventas!$O$52&lt;&gt;"SI"),"","10413")</f>
        <v/>
      </c>
      <c r="D4798">
        <f>IF($C4798="","","Efectivo y Equivalentes - Cta. Cte. Operativa")</f>
        <v/>
      </c>
      <c r="E4798" s="20">
        <f>IF($C4798="","",Registro_Ventas!$N$52)</f>
        <v/>
      </c>
      <c r="F4798" s="20">
        <f>""</f>
        <v/>
      </c>
      <c r="G4798">
        <f>IF($C4798="","","Por la cobranza de la factura")</f>
        <v/>
      </c>
      <c r="H4798">
        <f>IF($C4798="","",Registro_Ventas!$C$52)</f>
        <v/>
      </c>
    </row>
    <row r="4799">
      <c r="A4799" s="25">
        <f>IF($C4799="","",Registro_Ventas!$P$52)</f>
        <v/>
      </c>
      <c r="B4799">
        <f>IF($C4799="","","V"&amp;TEXT(INT((ROW()-4507)/6)+1,"000")&amp;"-2")</f>
        <v/>
      </c>
      <c r="C4799">
        <f>IF(OR(OR(Registro_Ventas!$C$52="",Registro_Ventas!$O$52&lt;&gt;"SI"),Registro_Ventas!$J$52&lt;&gt;"SI"),"","10421")</f>
        <v/>
      </c>
      <c r="D4799">
        <f>IF($C4799="","","Efectivo - Cuenta de Detracciones (Banco de la Nacion)")</f>
        <v/>
      </c>
      <c r="E4799" s="20">
        <f>IF($C4799="","",Registro_Ventas!$M$52)</f>
        <v/>
      </c>
      <c r="F4799" s="20">
        <f>""</f>
        <v/>
      </c>
      <c r="G4799">
        <f>IF($C4799="","","Detraccion retenida por el cliente")</f>
        <v/>
      </c>
      <c r="H4799">
        <f>IF($C4799="","",Registro_Ventas!$C$52)</f>
        <v/>
      </c>
    </row>
    <row r="4800">
      <c r="A4800" s="25">
        <f>IF($C4800="","",Registro_Ventas!$P$52)</f>
        <v/>
      </c>
      <c r="B4800">
        <f>IF($C4800="","","V"&amp;TEXT(INT((ROW()-4507)/6)+1,"000")&amp;"-2")</f>
        <v/>
      </c>
      <c r="C4800">
        <f>IF(OR(Registro_Ventas!$C$52="",Registro_Ventas!$O$52&lt;&gt;"SI"),"","12")</f>
        <v/>
      </c>
      <c r="D4800">
        <f>IF($C4800="","","Cuentas por Cobrar Comerciales - Terceros")</f>
        <v/>
      </c>
      <c r="E4800" s="20">
        <f>""</f>
        <v/>
      </c>
      <c r="F4800" s="20">
        <f>IF($C4800="","",Registro_Ventas!$I$52)</f>
        <v/>
      </c>
      <c r="G4800">
        <f>IF($C4800="","","Por la cobranza de la factura")</f>
        <v/>
      </c>
      <c r="H4800">
        <f>IF($C4800="","",Registro_Ventas!$C$52)</f>
        <v/>
      </c>
    </row>
    <row r="4801">
      <c r="A4801" s="25">
        <f>IF($C4801="","",Registro_Ventas!$B$53)</f>
        <v/>
      </c>
      <c r="B4801">
        <f>IF($C4801="","","V"&amp;TEXT(INT((ROW()-4507)/6)+1,"000")&amp;"-1")</f>
        <v/>
      </c>
      <c r="C4801">
        <f>IF(Registro_Ventas!$C$53="","","12")</f>
        <v/>
      </c>
      <c r="D4801">
        <f>IF($C4801="","","Cuentas por Cobrar Comerciales - Terceros")</f>
        <v/>
      </c>
      <c r="E4801" s="20">
        <f>IF($C4801="","",Registro_Ventas!$I$53)</f>
        <v/>
      </c>
      <c r="F4801" s="20">
        <f>""</f>
        <v/>
      </c>
      <c r="G4801">
        <f>IF($C4801="","","Por la venta segun comprobante a "&amp;Registro_Ventas!$E$53)</f>
        <v/>
      </c>
      <c r="H4801">
        <f>IF($C4801="","",Registro_Ventas!$C$53)</f>
        <v/>
      </c>
    </row>
    <row r="4802">
      <c r="A4802" s="25">
        <f>IF($C4802="","",Registro_Ventas!$B$53)</f>
        <v/>
      </c>
      <c r="B4802">
        <f>IF($C4802="","","V"&amp;TEXT(INT((ROW()-4507)/6)+1,"000")&amp;"-1")</f>
        <v/>
      </c>
      <c r="C4802">
        <f>IF(Registro_Ventas!$C$53="","","70")</f>
        <v/>
      </c>
      <c r="D4802">
        <f>IF($C4802="","","Ventas")</f>
        <v/>
      </c>
      <c r="E4802" s="20">
        <f>""</f>
        <v/>
      </c>
      <c r="F4802" s="20">
        <f>IF($C4802="","",Registro_Ventas!$G$53)</f>
        <v/>
      </c>
      <c r="G4802">
        <f>IF($C4802="","","Por la venta segun comprobante a "&amp;Registro_Ventas!$E$53)</f>
        <v/>
      </c>
      <c r="H4802">
        <f>IF($C4802="","",Registro_Ventas!$C$53)</f>
        <v/>
      </c>
    </row>
    <row r="4803">
      <c r="A4803" s="25">
        <f>IF($C4803="","",Registro_Ventas!$B$53)</f>
        <v/>
      </c>
      <c r="B4803">
        <f>IF($C4803="","","V"&amp;TEXT(INT((ROW()-4507)/6)+1,"000")&amp;"-1")</f>
        <v/>
      </c>
      <c r="C4803">
        <f>IF(OR(Registro_Ventas!$C$53="",Registro_Ventas!$R$53="SI"),"","40111")</f>
        <v/>
      </c>
      <c r="D4803">
        <f>IF($C4803="","","IGV - Cuenta Propia (Debito Fiscal)")</f>
        <v/>
      </c>
      <c r="E4803" s="20">
        <f>""</f>
        <v/>
      </c>
      <c r="F4803" s="20">
        <f>IF($C4803="","",Registro_Ventas!$H$53)</f>
        <v/>
      </c>
      <c r="G4803">
        <f>IF($C4803="","","Por la venta segun comprobante a "&amp;Registro_Ventas!$E$53)</f>
        <v/>
      </c>
      <c r="H4803">
        <f>IF($C4803="","",Registro_Ventas!$C$53)</f>
        <v/>
      </c>
    </row>
    <row r="4804">
      <c r="A4804" s="25">
        <f>IF($C4804="","",Registro_Ventas!$P$53)</f>
        <v/>
      </c>
      <c r="B4804">
        <f>IF($C4804="","","V"&amp;TEXT(INT((ROW()-4507)/6)+1,"000")&amp;"-2")</f>
        <v/>
      </c>
      <c r="C4804">
        <f>IF(OR(Registro_Ventas!$C$53="",Registro_Ventas!$O$53&lt;&gt;"SI"),"","10413")</f>
        <v/>
      </c>
      <c r="D4804">
        <f>IF($C4804="","","Efectivo y Equivalentes - Cta. Cte. Operativa")</f>
        <v/>
      </c>
      <c r="E4804" s="20">
        <f>IF($C4804="","",Registro_Ventas!$N$53)</f>
        <v/>
      </c>
      <c r="F4804" s="20">
        <f>""</f>
        <v/>
      </c>
      <c r="G4804">
        <f>IF($C4804="","","Por la cobranza de la factura")</f>
        <v/>
      </c>
      <c r="H4804">
        <f>IF($C4804="","",Registro_Ventas!$C$53)</f>
        <v/>
      </c>
    </row>
    <row r="4805">
      <c r="A4805" s="25">
        <f>IF($C4805="","",Registro_Ventas!$P$53)</f>
        <v/>
      </c>
      <c r="B4805">
        <f>IF($C4805="","","V"&amp;TEXT(INT((ROW()-4507)/6)+1,"000")&amp;"-2")</f>
        <v/>
      </c>
      <c r="C4805">
        <f>IF(OR(OR(Registro_Ventas!$C$53="",Registro_Ventas!$O$53&lt;&gt;"SI"),Registro_Ventas!$J$53&lt;&gt;"SI"),"","10421")</f>
        <v/>
      </c>
      <c r="D4805">
        <f>IF($C4805="","","Efectivo - Cuenta de Detracciones (Banco de la Nacion)")</f>
        <v/>
      </c>
      <c r="E4805" s="20">
        <f>IF($C4805="","",Registro_Ventas!$M$53)</f>
        <v/>
      </c>
      <c r="F4805" s="20">
        <f>""</f>
        <v/>
      </c>
      <c r="G4805">
        <f>IF($C4805="","","Detraccion retenida por el cliente")</f>
        <v/>
      </c>
      <c r="H4805">
        <f>IF($C4805="","",Registro_Ventas!$C$53)</f>
        <v/>
      </c>
    </row>
    <row r="4806">
      <c r="A4806" s="25">
        <f>IF($C4806="","",Registro_Ventas!$P$53)</f>
        <v/>
      </c>
      <c r="B4806">
        <f>IF($C4806="","","V"&amp;TEXT(INT((ROW()-4507)/6)+1,"000")&amp;"-2")</f>
        <v/>
      </c>
      <c r="C4806">
        <f>IF(OR(Registro_Ventas!$C$53="",Registro_Ventas!$O$53&lt;&gt;"SI"),"","12")</f>
        <v/>
      </c>
      <c r="D4806">
        <f>IF($C4806="","","Cuentas por Cobrar Comerciales - Terceros")</f>
        <v/>
      </c>
      <c r="E4806" s="20">
        <f>""</f>
        <v/>
      </c>
      <c r="F4806" s="20">
        <f>IF($C4806="","",Registro_Ventas!$I$53)</f>
        <v/>
      </c>
      <c r="G4806">
        <f>IF($C4806="","","Por la cobranza de la factura")</f>
        <v/>
      </c>
      <c r="H4806">
        <f>IF($C4806="","",Registro_Ventas!$C$53)</f>
        <v/>
      </c>
    </row>
    <row r="4807">
      <c r="E4807" s="20" t="n"/>
      <c r="F4807" s="20" t="n"/>
    </row>
    <row r="4808">
      <c r="D4808" s="24" t="inlineStr">
        <is>
          <t>TOTAL</t>
        </is>
      </c>
      <c r="E4808" s="35">
        <f>SUM(E5:E4806)</f>
        <v/>
      </c>
      <c r="F4808" s="35">
        <f>SUM(F5:F4806)</f>
        <v/>
      </c>
    </row>
    <row r="4809">
      <c r="D4809" s="24" t="inlineStr">
        <is>
          <t>Diferencia Debe - Haber (debe dar 0)</t>
        </is>
      </c>
      <c r="E4809" s="35">
        <f>E4808-F4808</f>
        <v/>
      </c>
      <c r="F4809" s="35"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P503"/>
  <sheetViews>
    <sheetView workbookViewId="0">
      <selection activeCell="L4" sqref="L4"/>
    </sheetView>
  </sheetViews>
  <sheetFormatPr baseColWidth="10" defaultRowHeight="15"/>
  <cols>
    <col width="34.7109375" customWidth="1" min="4" max="4"/>
    <col width="24.7109375" customWidth="1" min="14" max="14"/>
    <col width="30.7109375" customWidth="1" min="16" max="16"/>
  </cols>
  <sheetData>
    <row r="1">
      <c r="A1" s="24" t="inlineStr">
        <is>
          <t>Control de Detracciones por Pagar</t>
        </is>
      </c>
    </row>
    <row r="2">
      <c r="A2" t="inlineStr">
        <is>
          <t>Vista de solo lectura: se alimenta sola desde Registro_Compras (solo filas con Sujeto a Detraccion = SI). Para marcar una detraccion como depositada carga la fecha y el numero de constancia EN Registro_Compras, no aqui. Usa el filtro de la fila 3 para ocultar filas vacias.</t>
        </is>
      </c>
    </row>
    <row r="3" ht="45" customFormat="1" customHeight="1" s="29">
      <c r="A3" s="28" t="inlineStr">
        <is>
          <t>Fecha Emisión</t>
        </is>
      </c>
      <c r="B3" s="28" t="inlineStr">
        <is>
          <t>N° Comprobante</t>
        </is>
      </c>
      <c r="C3" s="28" t="inlineStr">
        <is>
          <t>RUC</t>
        </is>
      </c>
      <c r="D3" s="28" t="inlineStr">
        <is>
          <t>Proveedor</t>
        </is>
      </c>
      <c r="E3" s="28" t="inlineStr">
        <is>
          <t>Código SPOT</t>
        </is>
      </c>
      <c r="F3" s="28" t="inlineStr">
        <is>
          <t>% Detr.</t>
        </is>
      </c>
      <c r="G3" s="28" t="inlineStr">
        <is>
          <t>Base PEN</t>
        </is>
      </c>
      <c r="H3" s="28" t="inlineStr">
        <is>
          <t>Detracción S/</t>
        </is>
      </c>
      <c r="I3" s="28" t="inlineStr">
        <is>
          <t>Fecha límite depósito</t>
        </is>
      </c>
      <c r="J3" s="28" t="inlineStr">
        <is>
          <t>Fecha depósito real</t>
        </is>
      </c>
      <c r="K3" s="28" t="inlineStr">
        <is>
          <t>Estado</t>
        </is>
      </c>
      <c r="L3" s="28" t="inlineStr">
        <is>
          <t>N° Constancia SUNAT</t>
        </is>
      </c>
      <c r="M3" s="28" t="inlineStr">
        <is>
          <t>Días de atraso</t>
        </is>
      </c>
      <c r="N3" s="28" t="inlineStr">
        <is>
          <t>Alerta</t>
        </is>
      </c>
      <c r="P3" s="36" t="inlineStr">
        <is>
          <t>Feriados (llenar para que la fecha limite los considere)</t>
        </is>
      </c>
    </row>
    <row r="4">
      <c r="A4" s="25">
        <f>IF(Registro_Compras!$R4&lt;&gt;"SI","",Registro_Compras!$B4)</f>
        <v/>
      </c>
      <c r="B4">
        <f>IF(Registro_Compras!$R4&lt;&gt;"SI","",Registro_Compras!$C4)</f>
        <v/>
      </c>
      <c r="C4">
        <f>IF(Registro_Compras!$R4&lt;&gt;"SI","",Registro_Compras!$D4)</f>
        <v/>
      </c>
      <c r="D4">
        <f>IF(Registro_Compras!$R4&lt;&gt;"SI","",Registro_Compras!$E4)</f>
        <v/>
      </c>
      <c r="E4">
        <f>IF(Registro_Compras!$R4&lt;&gt;"SI","",Registro_Compras!$G4)</f>
        <v/>
      </c>
      <c r="F4" s="31">
        <f>IF(Registro_Compras!$R4&lt;&gt;"SI","",Registro_Compras!$P4)</f>
        <v/>
      </c>
      <c r="G4" s="20">
        <f>IF(Registro_Compras!$R4&lt;&gt;"SI","",Registro_Compras!$O4)</f>
        <v/>
      </c>
      <c r="H4" s="20">
        <f>IF(Registro_Compras!$R4&lt;&gt;"SI","",Registro_Compras!$S4)</f>
        <v/>
      </c>
      <c r="I4" s="25">
        <f>IF(Registro_Compras!$R4&lt;&gt;"SI","",IF(Registro_Compras!$Y4="",WORKDAY(EOMONTH(Registro_Compras!$B4,0),5,Feriados),MIN(Registro_Compras!$Y4,WORKDAY(EOMONTH(Registro_Compras!$B4,0),5,Feriados))))</f>
        <v/>
      </c>
      <c r="J4" s="25">
        <f>IF(Registro_Compras!$R4&lt;&gt;"SI","",Registro_Compras!$X4)</f>
        <v/>
      </c>
      <c r="K4">
        <f>IF(Registro_Compras!$R4&lt;&gt;"SI","",IF(Registro_Compras!$X4="","PENDIENTE","DEPOSITADA"))</f>
        <v/>
      </c>
      <c r="L4">
        <f>IF(Registro_Compras!$R4&lt;&gt;"SI","",Registro_Compras!$Z4)</f>
        <v/>
      </c>
      <c r="M4">
        <f>IF($K4&lt;&gt;"PENDIENTE","",IF(TODAY()&gt;$I4,TODAY()-$I4,0))</f>
        <v/>
      </c>
      <c r="N4">
        <f>IF($K4&lt;&gt;"PENDIENTE","",IF($M4&gt;0,"VENCIDA - DEPOSITAR YA",IF($I4-TODAY()&lt;=3,"POR VENCER","EN PLAZO")))</f>
        <v/>
      </c>
      <c r="P4" s="25" t="n"/>
    </row>
    <row r="5">
      <c r="A5" s="25">
        <f>IF(Registro_Compras!$R5&lt;&gt;"SI","",Registro_Compras!$B5)</f>
        <v/>
      </c>
      <c r="B5">
        <f>IF(Registro_Compras!$R5&lt;&gt;"SI","",Registro_Compras!$C5)</f>
        <v/>
      </c>
      <c r="C5">
        <f>IF(Registro_Compras!$R5&lt;&gt;"SI","",Registro_Compras!$D5)</f>
        <v/>
      </c>
      <c r="D5">
        <f>IF(Registro_Compras!$R5&lt;&gt;"SI","",Registro_Compras!$E5)</f>
        <v/>
      </c>
      <c r="E5">
        <f>IF(Registro_Compras!$R5&lt;&gt;"SI","",Registro_Compras!$G5)</f>
        <v/>
      </c>
      <c r="F5" s="31">
        <f>IF(Registro_Compras!$R5&lt;&gt;"SI","",Registro_Compras!$P5)</f>
        <v/>
      </c>
      <c r="G5" s="20">
        <f>IF(Registro_Compras!$R5&lt;&gt;"SI","",Registro_Compras!$O5)</f>
        <v/>
      </c>
      <c r="H5" s="20">
        <f>IF(Registro_Compras!$R5&lt;&gt;"SI","",Registro_Compras!$S5)</f>
        <v/>
      </c>
      <c r="I5" s="25">
        <f>IF(Registro_Compras!$R5&lt;&gt;"SI","",IF(Registro_Compras!$Y5="",WORKDAY(EOMONTH(Registro_Compras!$B5,0),5,Feriados),MIN(Registro_Compras!$Y5,WORKDAY(EOMONTH(Registro_Compras!$B5,0),5,Feriados))))</f>
        <v/>
      </c>
      <c r="J5" s="25">
        <f>IF(Registro_Compras!$R5&lt;&gt;"SI","",Registro_Compras!$X5)</f>
        <v/>
      </c>
      <c r="K5">
        <f>IF(Registro_Compras!$R5&lt;&gt;"SI","",IF(Registro_Compras!$X5="","PENDIENTE","DEPOSITADA"))</f>
        <v/>
      </c>
      <c r="L5">
        <f>IF(Registro_Compras!$R5&lt;&gt;"SI","",Registro_Compras!$Z5)</f>
        <v/>
      </c>
      <c r="M5">
        <f>IF($K5&lt;&gt;"PENDIENTE","",IF(TODAY()&gt;$I5,TODAY()-$I5,0))</f>
        <v/>
      </c>
      <c r="N5">
        <f>IF($K5&lt;&gt;"PENDIENTE","",IF($M5&gt;0,"VENCIDA - DEPOSITAR YA",IF($I5-TODAY()&lt;=3,"POR VENCER","EN PLAZO")))</f>
        <v/>
      </c>
      <c r="P5" s="25" t="n"/>
    </row>
    <row r="6">
      <c r="A6" s="25">
        <f>IF(Registro_Compras!$R6&lt;&gt;"SI","",Registro_Compras!$B6)</f>
        <v/>
      </c>
      <c r="B6">
        <f>IF(Registro_Compras!$R6&lt;&gt;"SI","",Registro_Compras!$C6)</f>
        <v/>
      </c>
      <c r="C6">
        <f>IF(Registro_Compras!$R6&lt;&gt;"SI","",Registro_Compras!$D6)</f>
        <v/>
      </c>
      <c r="D6">
        <f>IF(Registro_Compras!$R6&lt;&gt;"SI","",Registro_Compras!$E6)</f>
        <v/>
      </c>
      <c r="E6">
        <f>IF(Registro_Compras!$R6&lt;&gt;"SI","",Registro_Compras!$G6)</f>
        <v/>
      </c>
      <c r="F6" s="31">
        <f>IF(Registro_Compras!$R6&lt;&gt;"SI","",Registro_Compras!$P6)</f>
        <v/>
      </c>
      <c r="G6" s="20">
        <f>IF(Registro_Compras!$R6&lt;&gt;"SI","",Registro_Compras!$O6)</f>
        <v/>
      </c>
      <c r="H6" s="20">
        <f>IF(Registro_Compras!$R6&lt;&gt;"SI","",Registro_Compras!$S6)</f>
        <v/>
      </c>
      <c r="I6" s="25">
        <f>IF(Registro_Compras!$R6&lt;&gt;"SI","",IF(Registro_Compras!$Y6="",WORKDAY(EOMONTH(Registro_Compras!$B6,0),5,Feriados),MIN(Registro_Compras!$Y6,WORKDAY(EOMONTH(Registro_Compras!$B6,0),5,Feriados))))</f>
        <v/>
      </c>
      <c r="J6" s="25">
        <f>IF(Registro_Compras!$R6&lt;&gt;"SI","",Registro_Compras!$X6)</f>
        <v/>
      </c>
      <c r="K6">
        <f>IF(Registro_Compras!$R6&lt;&gt;"SI","",IF(Registro_Compras!$X6="","PENDIENTE","DEPOSITADA"))</f>
        <v/>
      </c>
      <c r="L6">
        <f>IF(Registro_Compras!$R6&lt;&gt;"SI","",Registro_Compras!$Z6)</f>
        <v/>
      </c>
      <c r="M6">
        <f>IF($K6&lt;&gt;"PENDIENTE","",IF(TODAY()&gt;$I6,TODAY()-$I6,0))</f>
        <v/>
      </c>
      <c r="N6">
        <f>IF($K6&lt;&gt;"PENDIENTE","",IF($M6&gt;0,"VENCIDA - DEPOSITAR YA",IF($I6-TODAY()&lt;=3,"POR VENCER","EN PLAZO")))</f>
        <v/>
      </c>
      <c r="P6" s="25" t="n"/>
    </row>
    <row r="7">
      <c r="A7" s="25">
        <f>IF(Registro_Compras!$R7&lt;&gt;"SI","",Registro_Compras!$B7)</f>
        <v/>
      </c>
      <c r="B7">
        <f>IF(Registro_Compras!$R7&lt;&gt;"SI","",Registro_Compras!$C7)</f>
        <v/>
      </c>
      <c r="C7">
        <f>IF(Registro_Compras!$R7&lt;&gt;"SI","",Registro_Compras!$D7)</f>
        <v/>
      </c>
      <c r="D7">
        <f>IF(Registro_Compras!$R7&lt;&gt;"SI","",Registro_Compras!$E7)</f>
        <v/>
      </c>
      <c r="E7">
        <f>IF(Registro_Compras!$R7&lt;&gt;"SI","",Registro_Compras!$G7)</f>
        <v/>
      </c>
      <c r="F7" s="31">
        <f>IF(Registro_Compras!$R7&lt;&gt;"SI","",Registro_Compras!$P7)</f>
        <v/>
      </c>
      <c r="G7" s="20">
        <f>IF(Registro_Compras!$R7&lt;&gt;"SI","",Registro_Compras!$O7)</f>
        <v/>
      </c>
      <c r="H7" s="20">
        <f>IF(Registro_Compras!$R7&lt;&gt;"SI","",Registro_Compras!$S7)</f>
        <v/>
      </c>
      <c r="I7" s="25">
        <f>IF(Registro_Compras!$R7&lt;&gt;"SI","",IF(Registro_Compras!$Y7="",WORKDAY(EOMONTH(Registro_Compras!$B7,0),5,Feriados),MIN(Registro_Compras!$Y7,WORKDAY(EOMONTH(Registro_Compras!$B7,0),5,Feriados))))</f>
        <v/>
      </c>
      <c r="J7" s="25">
        <f>IF(Registro_Compras!$R7&lt;&gt;"SI","",Registro_Compras!$X7)</f>
        <v/>
      </c>
      <c r="K7">
        <f>IF(Registro_Compras!$R7&lt;&gt;"SI","",IF(Registro_Compras!$X7="","PENDIENTE","DEPOSITADA"))</f>
        <v/>
      </c>
      <c r="L7">
        <f>IF(Registro_Compras!$R7&lt;&gt;"SI","",Registro_Compras!$Z7)</f>
        <v/>
      </c>
      <c r="M7">
        <f>IF($K7&lt;&gt;"PENDIENTE","",IF(TODAY()&gt;$I7,TODAY()-$I7,0))</f>
        <v/>
      </c>
      <c r="N7">
        <f>IF($K7&lt;&gt;"PENDIENTE","",IF($M7&gt;0,"VENCIDA - DEPOSITAR YA",IF($I7-TODAY()&lt;=3,"POR VENCER","EN PLAZO")))</f>
        <v/>
      </c>
      <c r="P7" s="25" t="n"/>
    </row>
    <row r="8">
      <c r="A8" s="25">
        <f>IF(Registro_Compras!$R8&lt;&gt;"SI","",Registro_Compras!$B8)</f>
        <v/>
      </c>
      <c r="B8">
        <f>IF(Registro_Compras!$R8&lt;&gt;"SI","",Registro_Compras!$C8)</f>
        <v/>
      </c>
      <c r="C8">
        <f>IF(Registro_Compras!$R8&lt;&gt;"SI","",Registro_Compras!$D8)</f>
        <v/>
      </c>
      <c r="D8">
        <f>IF(Registro_Compras!$R8&lt;&gt;"SI","",Registro_Compras!$E8)</f>
        <v/>
      </c>
      <c r="E8">
        <f>IF(Registro_Compras!$R8&lt;&gt;"SI","",Registro_Compras!$G8)</f>
        <v/>
      </c>
      <c r="F8" s="31">
        <f>IF(Registro_Compras!$R8&lt;&gt;"SI","",Registro_Compras!$P8)</f>
        <v/>
      </c>
      <c r="G8" s="20">
        <f>IF(Registro_Compras!$R8&lt;&gt;"SI","",Registro_Compras!$O8)</f>
        <v/>
      </c>
      <c r="H8" s="20">
        <f>IF(Registro_Compras!$R8&lt;&gt;"SI","",Registro_Compras!$S8)</f>
        <v/>
      </c>
      <c r="I8" s="25">
        <f>IF(Registro_Compras!$R8&lt;&gt;"SI","",IF(Registro_Compras!$Y8="",WORKDAY(EOMONTH(Registro_Compras!$B8,0),5,Feriados),MIN(Registro_Compras!$Y8,WORKDAY(EOMONTH(Registro_Compras!$B8,0),5,Feriados))))</f>
        <v/>
      </c>
      <c r="J8" s="25">
        <f>IF(Registro_Compras!$R8&lt;&gt;"SI","",Registro_Compras!$X8)</f>
        <v/>
      </c>
      <c r="K8">
        <f>IF(Registro_Compras!$R8&lt;&gt;"SI","",IF(Registro_Compras!$X8="","PENDIENTE","DEPOSITADA"))</f>
        <v/>
      </c>
      <c r="L8">
        <f>IF(Registro_Compras!$R8&lt;&gt;"SI","",Registro_Compras!$Z8)</f>
        <v/>
      </c>
      <c r="M8">
        <f>IF($K8&lt;&gt;"PENDIENTE","",IF(TODAY()&gt;$I8,TODAY()-$I8,0))</f>
        <v/>
      </c>
      <c r="N8">
        <f>IF($K8&lt;&gt;"PENDIENTE","",IF($M8&gt;0,"VENCIDA - DEPOSITAR YA",IF($I8-TODAY()&lt;=3,"POR VENCER","EN PLAZO")))</f>
        <v/>
      </c>
      <c r="P8" s="25" t="n"/>
    </row>
    <row r="9">
      <c r="A9" s="25">
        <f>IF(Registro_Compras!$R9&lt;&gt;"SI","",Registro_Compras!$B9)</f>
        <v/>
      </c>
      <c r="B9">
        <f>IF(Registro_Compras!$R9&lt;&gt;"SI","",Registro_Compras!$C9)</f>
        <v/>
      </c>
      <c r="C9">
        <f>IF(Registro_Compras!$R9&lt;&gt;"SI","",Registro_Compras!$D9)</f>
        <v/>
      </c>
      <c r="D9">
        <f>IF(Registro_Compras!$R9&lt;&gt;"SI","",Registro_Compras!$E9)</f>
        <v/>
      </c>
      <c r="E9">
        <f>IF(Registro_Compras!$R9&lt;&gt;"SI","",Registro_Compras!$G9)</f>
        <v/>
      </c>
      <c r="F9" s="31">
        <f>IF(Registro_Compras!$R9&lt;&gt;"SI","",Registro_Compras!$P9)</f>
        <v/>
      </c>
      <c r="G9" s="20">
        <f>IF(Registro_Compras!$R9&lt;&gt;"SI","",Registro_Compras!$O9)</f>
        <v/>
      </c>
      <c r="H9" s="20">
        <f>IF(Registro_Compras!$R9&lt;&gt;"SI","",Registro_Compras!$S9)</f>
        <v/>
      </c>
      <c r="I9" s="25">
        <f>IF(Registro_Compras!$R9&lt;&gt;"SI","",IF(Registro_Compras!$Y9="",WORKDAY(EOMONTH(Registro_Compras!$B9,0),5,Feriados),MIN(Registro_Compras!$Y9,WORKDAY(EOMONTH(Registro_Compras!$B9,0),5,Feriados))))</f>
        <v/>
      </c>
      <c r="J9" s="25">
        <f>IF(Registro_Compras!$R9&lt;&gt;"SI","",Registro_Compras!$X9)</f>
        <v/>
      </c>
      <c r="K9">
        <f>IF(Registro_Compras!$R9&lt;&gt;"SI","",IF(Registro_Compras!$X9="","PENDIENTE","DEPOSITADA"))</f>
        <v/>
      </c>
      <c r="L9">
        <f>IF(Registro_Compras!$R9&lt;&gt;"SI","",Registro_Compras!$Z9)</f>
        <v/>
      </c>
      <c r="M9">
        <f>IF($K9&lt;&gt;"PENDIENTE","",IF(TODAY()&gt;$I9,TODAY()-$I9,0))</f>
        <v/>
      </c>
      <c r="N9">
        <f>IF($K9&lt;&gt;"PENDIENTE","",IF($M9&gt;0,"VENCIDA - DEPOSITAR YA",IF($I9-TODAY()&lt;=3,"POR VENCER","EN PLAZO")))</f>
        <v/>
      </c>
      <c r="P9" s="25" t="n"/>
    </row>
    <row r="10">
      <c r="A10" s="25">
        <f>IF(Registro_Compras!$R10&lt;&gt;"SI","",Registro_Compras!$B10)</f>
        <v/>
      </c>
      <c r="B10">
        <f>IF(Registro_Compras!$R10&lt;&gt;"SI","",Registro_Compras!$C10)</f>
        <v/>
      </c>
      <c r="C10">
        <f>IF(Registro_Compras!$R10&lt;&gt;"SI","",Registro_Compras!$D10)</f>
        <v/>
      </c>
      <c r="D10">
        <f>IF(Registro_Compras!$R10&lt;&gt;"SI","",Registro_Compras!$E10)</f>
        <v/>
      </c>
      <c r="E10">
        <f>IF(Registro_Compras!$R10&lt;&gt;"SI","",Registro_Compras!$G10)</f>
        <v/>
      </c>
      <c r="F10" s="31">
        <f>IF(Registro_Compras!$R10&lt;&gt;"SI","",Registro_Compras!$P10)</f>
        <v/>
      </c>
      <c r="G10" s="20">
        <f>IF(Registro_Compras!$R10&lt;&gt;"SI","",Registro_Compras!$O10)</f>
        <v/>
      </c>
      <c r="H10" s="20">
        <f>IF(Registro_Compras!$R10&lt;&gt;"SI","",Registro_Compras!$S10)</f>
        <v/>
      </c>
      <c r="I10" s="25">
        <f>IF(Registro_Compras!$R10&lt;&gt;"SI","",IF(Registro_Compras!$Y10="",WORKDAY(EOMONTH(Registro_Compras!$B10,0),5,Feriados),MIN(Registro_Compras!$Y10,WORKDAY(EOMONTH(Registro_Compras!$B10,0),5,Feriados))))</f>
        <v/>
      </c>
      <c r="J10" s="25">
        <f>IF(Registro_Compras!$R10&lt;&gt;"SI","",Registro_Compras!$X10)</f>
        <v/>
      </c>
      <c r="K10">
        <f>IF(Registro_Compras!$R10&lt;&gt;"SI","",IF(Registro_Compras!$X10="","PENDIENTE","DEPOSITADA"))</f>
        <v/>
      </c>
      <c r="L10">
        <f>IF(Registro_Compras!$R10&lt;&gt;"SI","",Registro_Compras!$Z10)</f>
        <v/>
      </c>
      <c r="M10">
        <f>IF($K10&lt;&gt;"PENDIENTE","",IF(TODAY()&gt;$I10,TODAY()-$I10,0))</f>
        <v/>
      </c>
      <c r="N10">
        <f>IF($K10&lt;&gt;"PENDIENTE","",IF($M10&gt;0,"VENCIDA - DEPOSITAR YA",IF($I10-TODAY()&lt;=3,"POR VENCER","EN PLAZO")))</f>
        <v/>
      </c>
      <c r="P10" s="25" t="n"/>
    </row>
    <row r="11">
      <c r="A11" s="25">
        <f>IF(Registro_Compras!$R11&lt;&gt;"SI","",Registro_Compras!$B11)</f>
        <v/>
      </c>
      <c r="B11">
        <f>IF(Registro_Compras!$R11&lt;&gt;"SI","",Registro_Compras!$C11)</f>
        <v/>
      </c>
      <c r="C11">
        <f>IF(Registro_Compras!$R11&lt;&gt;"SI","",Registro_Compras!$D11)</f>
        <v/>
      </c>
      <c r="D11">
        <f>IF(Registro_Compras!$R11&lt;&gt;"SI","",Registro_Compras!$E11)</f>
        <v/>
      </c>
      <c r="E11">
        <f>IF(Registro_Compras!$R11&lt;&gt;"SI","",Registro_Compras!$G11)</f>
        <v/>
      </c>
      <c r="F11" s="31">
        <f>IF(Registro_Compras!$R11&lt;&gt;"SI","",Registro_Compras!$P11)</f>
        <v/>
      </c>
      <c r="G11" s="20">
        <f>IF(Registro_Compras!$R11&lt;&gt;"SI","",Registro_Compras!$O11)</f>
        <v/>
      </c>
      <c r="H11" s="20">
        <f>IF(Registro_Compras!$R11&lt;&gt;"SI","",Registro_Compras!$S11)</f>
        <v/>
      </c>
      <c r="I11" s="25">
        <f>IF(Registro_Compras!$R11&lt;&gt;"SI","",IF(Registro_Compras!$Y11="",WORKDAY(EOMONTH(Registro_Compras!$B11,0),5,Feriados),MIN(Registro_Compras!$Y11,WORKDAY(EOMONTH(Registro_Compras!$B11,0),5,Feriados))))</f>
        <v/>
      </c>
      <c r="J11" s="25">
        <f>IF(Registro_Compras!$R11&lt;&gt;"SI","",Registro_Compras!$X11)</f>
        <v/>
      </c>
      <c r="K11">
        <f>IF(Registro_Compras!$R11&lt;&gt;"SI","",IF(Registro_Compras!$X11="","PENDIENTE","DEPOSITADA"))</f>
        <v/>
      </c>
      <c r="L11">
        <f>IF(Registro_Compras!$R11&lt;&gt;"SI","",Registro_Compras!$Z11)</f>
        <v/>
      </c>
      <c r="M11">
        <f>IF($K11&lt;&gt;"PENDIENTE","",IF(TODAY()&gt;$I11,TODAY()-$I11,0))</f>
        <v/>
      </c>
      <c r="N11">
        <f>IF($K11&lt;&gt;"PENDIENTE","",IF($M11&gt;0,"VENCIDA - DEPOSITAR YA",IF($I11-TODAY()&lt;=3,"POR VENCER","EN PLAZO")))</f>
        <v/>
      </c>
      <c r="P11" s="25" t="n"/>
    </row>
    <row r="12">
      <c r="A12" s="25">
        <f>IF(Registro_Compras!$R12&lt;&gt;"SI","",Registro_Compras!$B12)</f>
        <v/>
      </c>
      <c r="B12">
        <f>IF(Registro_Compras!$R12&lt;&gt;"SI","",Registro_Compras!$C12)</f>
        <v/>
      </c>
      <c r="C12">
        <f>IF(Registro_Compras!$R12&lt;&gt;"SI","",Registro_Compras!$D12)</f>
        <v/>
      </c>
      <c r="D12">
        <f>IF(Registro_Compras!$R12&lt;&gt;"SI","",Registro_Compras!$E12)</f>
        <v/>
      </c>
      <c r="E12">
        <f>IF(Registro_Compras!$R12&lt;&gt;"SI","",Registro_Compras!$G12)</f>
        <v/>
      </c>
      <c r="F12" s="31">
        <f>IF(Registro_Compras!$R12&lt;&gt;"SI","",Registro_Compras!$P12)</f>
        <v/>
      </c>
      <c r="G12" s="20">
        <f>IF(Registro_Compras!$R12&lt;&gt;"SI","",Registro_Compras!$O12)</f>
        <v/>
      </c>
      <c r="H12" s="20">
        <f>IF(Registro_Compras!$R12&lt;&gt;"SI","",Registro_Compras!$S12)</f>
        <v/>
      </c>
      <c r="I12" s="25">
        <f>IF(Registro_Compras!$R12&lt;&gt;"SI","",IF(Registro_Compras!$Y12="",WORKDAY(EOMONTH(Registro_Compras!$B12,0),5,Feriados),MIN(Registro_Compras!$Y12,WORKDAY(EOMONTH(Registro_Compras!$B12,0),5,Feriados))))</f>
        <v/>
      </c>
      <c r="J12" s="25">
        <f>IF(Registro_Compras!$R12&lt;&gt;"SI","",Registro_Compras!$X12)</f>
        <v/>
      </c>
      <c r="K12">
        <f>IF(Registro_Compras!$R12&lt;&gt;"SI","",IF(Registro_Compras!$X12="","PENDIENTE","DEPOSITADA"))</f>
        <v/>
      </c>
      <c r="L12">
        <f>IF(Registro_Compras!$R12&lt;&gt;"SI","",Registro_Compras!$Z12)</f>
        <v/>
      </c>
      <c r="M12">
        <f>IF($K12&lt;&gt;"PENDIENTE","",IF(TODAY()&gt;$I12,TODAY()-$I12,0))</f>
        <v/>
      </c>
      <c r="N12">
        <f>IF($K12&lt;&gt;"PENDIENTE","",IF($M12&gt;0,"VENCIDA - DEPOSITAR YA",IF($I12-TODAY()&lt;=3,"POR VENCER","EN PLAZO")))</f>
        <v/>
      </c>
      <c r="P12" s="25" t="n"/>
    </row>
    <row r="13">
      <c r="A13" s="25">
        <f>IF(Registro_Compras!$R13&lt;&gt;"SI","",Registro_Compras!$B13)</f>
        <v/>
      </c>
      <c r="B13">
        <f>IF(Registro_Compras!$R13&lt;&gt;"SI","",Registro_Compras!$C13)</f>
        <v/>
      </c>
      <c r="C13">
        <f>IF(Registro_Compras!$R13&lt;&gt;"SI","",Registro_Compras!$D13)</f>
        <v/>
      </c>
      <c r="D13">
        <f>IF(Registro_Compras!$R13&lt;&gt;"SI","",Registro_Compras!$E13)</f>
        <v/>
      </c>
      <c r="E13">
        <f>IF(Registro_Compras!$R13&lt;&gt;"SI","",Registro_Compras!$G13)</f>
        <v/>
      </c>
      <c r="F13" s="31">
        <f>IF(Registro_Compras!$R13&lt;&gt;"SI","",Registro_Compras!$P13)</f>
        <v/>
      </c>
      <c r="G13" s="20">
        <f>IF(Registro_Compras!$R13&lt;&gt;"SI","",Registro_Compras!$O13)</f>
        <v/>
      </c>
      <c r="H13" s="20">
        <f>IF(Registro_Compras!$R13&lt;&gt;"SI","",Registro_Compras!$S13)</f>
        <v/>
      </c>
      <c r="I13" s="25">
        <f>IF(Registro_Compras!$R13&lt;&gt;"SI","",IF(Registro_Compras!$Y13="",WORKDAY(EOMONTH(Registro_Compras!$B13,0),5,Feriados),MIN(Registro_Compras!$Y13,WORKDAY(EOMONTH(Registro_Compras!$B13,0),5,Feriados))))</f>
        <v/>
      </c>
      <c r="J13" s="25">
        <f>IF(Registro_Compras!$R13&lt;&gt;"SI","",Registro_Compras!$X13)</f>
        <v/>
      </c>
      <c r="K13">
        <f>IF(Registro_Compras!$R13&lt;&gt;"SI","",IF(Registro_Compras!$X13="","PENDIENTE","DEPOSITADA"))</f>
        <v/>
      </c>
      <c r="L13">
        <f>IF(Registro_Compras!$R13&lt;&gt;"SI","",Registro_Compras!$Z13)</f>
        <v/>
      </c>
      <c r="M13">
        <f>IF($K13&lt;&gt;"PENDIENTE","",IF(TODAY()&gt;$I13,TODAY()-$I13,0))</f>
        <v/>
      </c>
      <c r="N13">
        <f>IF($K13&lt;&gt;"PENDIENTE","",IF($M13&gt;0,"VENCIDA - DEPOSITAR YA",IF($I13-TODAY()&lt;=3,"POR VENCER","EN PLAZO")))</f>
        <v/>
      </c>
      <c r="P13" s="25" t="n"/>
    </row>
    <row r="14">
      <c r="A14" s="25">
        <f>IF(Registro_Compras!$R14&lt;&gt;"SI","",Registro_Compras!$B14)</f>
        <v/>
      </c>
      <c r="B14">
        <f>IF(Registro_Compras!$R14&lt;&gt;"SI","",Registro_Compras!$C14)</f>
        <v/>
      </c>
      <c r="C14">
        <f>IF(Registro_Compras!$R14&lt;&gt;"SI","",Registro_Compras!$D14)</f>
        <v/>
      </c>
      <c r="D14">
        <f>IF(Registro_Compras!$R14&lt;&gt;"SI","",Registro_Compras!$E14)</f>
        <v/>
      </c>
      <c r="E14">
        <f>IF(Registro_Compras!$R14&lt;&gt;"SI","",Registro_Compras!$G14)</f>
        <v/>
      </c>
      <c r="F14" s="31">
        <f>IF(Registro_Compras!$R14&lt;&gt;"SI","",Registro_Compras!$P14)</f>
        <v/>
      </c>
      <c r="G14" s="20">
        <f>IF(Registro_Compras!$R14&lt;&gt;"SI","",Registro_Compras!$O14)</f>
        <v/>
      </c>
      <c r="H14" s="20">
        <f>IF(Registro_Compras!$R14&lt;&gt;"SI","",Registro_Compras!$S14)</f>
        <v/>
      </c>
      <c r="I14" s="25">
        <f>IF(Registro_Compras!$R14&lt;&gt;"SI","",IF(Registro_Compras!$Y14="",WORKDAY(EOMONTH(Registro_Compras!$B14,0),5,Feriados),MIN(Registro_Compras!$Y14,WORKDAY(EOMONTH(Registro_Compras!$B14,0),5,Feriados))))</f>
        <v/>
      </c>
      <c r="J14" s="25">
        <f>IF(Registro_Compras!$R14&lt;&gt;"SI","",Registro_Compras!$X14)</f>
        <v/>
      </c>
      <c r="K14">
        <f>IF(Registro_Compras!$R14&lt;&gt;"SI","",IF(Registro_Compras!$X14="","PENDIENTE","DEPOSITADA"))</f>
        <v/>
      </c>
      <c r="L14">
        <f>IF(Registro_Compras!$R14&lt;&gt;"SI","",Registro_Compras!$Z14)</f>
        <v/>
      </c>
      <c r="M14">
        <f>IF($K14&lt;&gt;"PENDIENTE","",IF(TODAY()&gt;$I14,TODAY()-$I14,0))</f>
        <v/>
      </c>
      <c r="N14">
        <f>IF($K14&lt;&gt;"PENDIENTE","",IF($M14&gt;0,"VENCIDA - DEPOSITAR YA",IF($I14-TODAY()&lt;=3,"POR VENCER","EN PLAZO")))</f>
        <v/>
      </c>
      <c r="P14" s="25" t="n"/>
    </row>
    <row r="15">
      <c r="A15" s="25">
        <f>IF(Registro_Compras!$R15&lt;&gt;"SI","",Registro_Compras!$B15)</f>
        <v/>
      </c>
      <c r="B15">
        <f>IF(Registro_Compras!$R15&lt;&gt;"SI","",Registro_Compras!$C15)</f>
        <v/>
      </c>
      <c r="C15">
        <f>IF(Registro_Compras!$R15&lt;&gt;"SI","",Registro_Compras!$D15)</f>
        <v/>
      </c>
      <c r="D15">
        <f>IF(Registro_Compras!$R15&lt;&gt;"SI","",Registro_Compras!$E15)</f>
        <v/>
      </c>
      <c r="E15">
        <f>IF(Registro_Compras!$R15&lt;&gt;"SI","",Registro_Compras!$G15)</f>
        <v/>
      </c>
      <c r="F15" s="31">
        <f>IF(Registro_Compras!$R15&lt;&gt;"SI","",Registro_Compras!$P15)</f>
        <v/>
      </c>
      <c r="G15" s="20">
        <f>IF(Registro_Compras!$R15&lt;&gt;"SI","",Registro_Compras!$O15)</f>
        <v/>
      </c>
      <c r="H15" s="20">
        <f>IF(Registro_Compras!$R15&lt;&gt;"SI","",Registro_Compras!$S15)</f>
        <v/>
      </c>
      <c r="I15" s="25">
        <f>IF(Registro_Compras!$R15&lt;&gt;"SI","",IF(Registro_Compras!$Y15="",WORKDAY(EOMONTH(Registro_Compras!$B15,0),5,Feriados),MIN(Registro_Compras!$Y15,WORKDAY(EOMONTH(Registro_Compras!$B15,0),5,Feriados))))</f>
        <v/>
      </c>
      <c r="J15" s="25">
        <f>IF(Registro_Compras!$R15&lt;&gt;"SI","",Registro_Compras!$X15)</f>
        <v/>
      </c>
      <c r="K15">
        <f>IF(Registro_Compras!$R15&lt;&gt;"SI","",IF(Registro_Compras!$X15="","PENDIENTE","DEPOSITADA"))</f>
        <v/>
      </c>
      <c r="L15">
        <f>IF(Registro_Compras!$R15&lt;&gt;"SI","",Registro_Compras!$Z15)</f>
        <v/>
      </c>
      <c r="M15">
        <f>IF($K15&lt;&gt;"PENDIENTE","",IF(TODAY()&gt;$I15,TODAY()-$I15,0))</f>
        <v/>
      </c>
      <c r="N15">
        <f>IF($K15&lt;&gt;"PENDIENTE","",IF($M15&gt;0,"VENCIDA - DEPOSITAR YA",IF($I15-TODAY()&lt;=3,"POR VENCER","EN PLAZO")))</f>
        <v/>
      </c>
      <c r="P15" s="25" t="n"/>
    </row>
    <row r="16">
      <c r="A16" s="25">
        <f>IF(Registro_Compras!$R16&lt;&gt;"SI","",Registro_Compras!$B16)</f>
        <v/>
      </c>
      <c r="B16">
        <f>IF(Registro_Compras!$R16&lt;&gt;"SI","",Registro_Compras!$C16)</f>
        <v/>
      </c>
      <c r="C16">
        <f>IF(Registro_Compras!$R16&lt;&gt;"SI","",Registro_Compras!$D16)</f>
        <v/>
      </c>
      <c r="D16">
        <f>IF(Registro_Compras!$R16&lt;&gt;"SI","",Registro_Compras!$E16)</f>
        <v/>
      </c>
      <c r="E16">
        <f>IF(Registro_Compras!$R16&lt;&gt;"SI","",Registro_Compras!$G16)</f>
        <v/>
      </c>
      <c r="F16" s="31">
        <f>IF(Registro_Compras!$R16&lt;&gt;"SI","",Registro_Compras!$P16)</f>
        <v/>
      </c>
      <c r="G16" s="20">
        <f>IF(Registro_Compras!$R16&lt;&gt;"SI","",Registro_Compras!$O16)</f>
        <v/>
      </c>
      <c r="H16" s="20">
        <f>IF(Registro_Compras!$R16&lt;&gt;"SI","",Registro_Compras!$S16)</f>
        <v/>
      </c>
      <c r="I16" s="25">
        <f>IF(Registro_Compras!$R16&lt;&gt;"SI","",IF(Registro_Compras!$Y16="",WORKDAY(EOMONTH(Registro_Compras!$B16,0),5,Feriados),MIN(Registro_Compras!$Y16,WORKDAY(EOMONTH(Registro_Compras!$B16,0),5,Feriados))))</f>
        <v/>
      </c>
      <c r="J16" s="25">
        <f>IF(Registro_Compras!$R16&lt;&gt;"SI","",Registro_Compras!$X16)</f>
        <v/>
      </c>
      <c r="K16">
        <f>IF(Registro_Compras!$R16&lt;&gt;"SI","",IF(Registro_Compras!$X16="","PENDIENTE","DEPOSITADA"))</f>
        <v/>
      </c>
      <c r="L16">
        <f>IF(Registro_Compras!$R16&lt;&gt;"SI","",Registro_Compras!$Z16)</f>
        <v/>
      </c>
      <c r="M16">
        <f>IF($K16&lt;&gt;"PENDIENTE","",IF(TODAY()&gt;$I16,TODAY()-$I16,0))</f>
        <v/>
      </c>
      <c r="N16">
        <f>IF($K16&lt;&gt;"PENDIENTE","",IF($M16&gt;0,"VENCIDA - DEPOSITAR YA",IF($I16-TODAY()&lt;=3,"POR VENCER","EN PLAZO")))</f>
        <v/>
      </c>
      <c r="P16" s="25" t="n"/>
    </row>
    <row r="17">
      <c r="A17" s="25">
        <f>IF(Registro_Compras!$R17&lt;&gt;"SI","",Registro_Compras!$B17)</f>
        <v/>
      </c>
      <c r="B17">
        <f>IF(Registro_Compras!$R17&lt;&gt;"SI","",Registro_Compras!$C17)</f>
        <v/>
      </c>
      <c r="C17">
        <f>IF(Registro_Compras!$R17&lt;&gt;"SI","",Registro_Compras!$D17)</f>
        <v/>
      </c>
      <c r="D17">
        <f>IF(Registro_Compras!$R17&lt;&gt;"SI","",Registro_Compras!$E17)</f>
        <v/>
      </c>
      <c r="E17">
        <f>IF(Registro_Compras!$R17&lt;&gt;"SI","",Registro_Compras!$G17)</f>
        <v/>
      </c>
      <c r="F17" s="31">
        <f>IF(Registro_Compras!$R17&lt;&gt;"SI","",Registro_Compras!$P17)</f>
        <v/>
      </c>
      <c r="G17" s="20">
        <f>IF(Registro_Compras!$R17&lt;&gt;"SI","",Registro_Compras!$O17)</f>
        <v/>
      </c>
      <c r="H17" s="20">
        <f>IF(Registro_Compras!$R17&lt;&gt;"SI","",Registro_Compras!$S17)</f>
        <v/>
      </c>
      <c r="I17" s="25">
        <f>IF(Registro_Compras!$R17&lt;&gt;"SI","",IF(Registro_Compras!$Y17="",WORKDAY(EOMONTH(Registro_Compras!$B17,0),5,Feriados),MIN(Registro_Compras!$Y17,WORKDAY(EOMONTH(Registro_Compras!$B17,0),5,Feriados))))</f>
        <v/>
      </c>
      <c r="J17" s="25">
        <f>IF(Registro_Compras!$R17&lt;&gt;"SI","",Registro_Compras!$X17)</f>
        <v/>
      </c>
      <c r="K17">
        <f>IF(Registro_Compras!$R17&lt;&gt;"SI","",IF(Registro_Compras!$X17="","PENDIENTE","DEPOSITADA"))</f>
        <v/>
      </c>
      <c r="L17">
        <f>IF(Registro_Compras!$R17&lt;&gt;"SI","",Registro_Compras!$Z17)</f>
        <v/>
      </c>
      <c r="M17">
        <f>IF($K17&lt;&gt;"PENDIENTE","",IF(TODAY()&gt;$I17,TODAY()-$I17,0))</f>
        <v/>
      </c>
      <c r="N17">
        <f>IF($K17&lt;&gt;"PENDIENTE","",IF($M17&gt;0,"VENCIDA - DEPOSITAR YA",IF($I17-TODAY()&lt;=3,"POR VENCER","EN PLAZO")))</f>
        <v/>
      </c>
      <c r="P17" s="25" t="n"/>
    </row>
    <row r="18">
      <c r="A18" s="25">
        <f>IF(Registro_Compras!$R18&lt;&gt;"SI","",Registro_Compras!$B18)</f>
        <v/>
      </c>
      <c r="B18">
        <f>IF(Registro_Compras!$R18&lt;&gt;"SI","",Registro_Compras!$C18)</f>
        <v/>
      </c>
      <c r="C18">
        <f>IF(Registro_Compras!$R18&lt;&gt;"SI","",Registro_Compras!$D18)</f>
        <v/>
      </c>
      <c r="D18">
        <f>IF(Registro_Compras!$R18&lt;&gt;"SI","",Registro_Compras!$E18)</f>
        <v/>
      </c>
      <c r="E18">
        <f>IF(Registro_Compras!$R18&lt;&gt;"SI","",Registro_Compras!$G18)</f>
        <v/>
      </c>
      <c r="F18" s="31">
        <f>IF(Registro_Compras!$R18&lt;&gt;"SI","",Registro_Compras!$P18)</f>
        <v/>
      </c>
      <c r="G18" s="20">
        <f>IF(Registro_Compras!$R18&lt;&gt;"SI","",Registro_Compras!$O18)</f>
        <v/>
      </c>
      <c r="H18" s="20">
        <f>IF(Registro_Compras!$R18&lt;&gt;"SI","",Registro_Compras!$S18)</f>
        <v/>
      </c>
      <c r="I18" s="25">
        <f>IF(Registro_Compras!$R18&lt;&gt;"SI","",IF(Registro_Compras!$Y18="",WORKDAY(EOMONTH(Registro_Compras!$B18,0),5,Feriados),MIN(Registro_Compras!$Y18,WORKDAY(EOMONTH(Registro_Compras!$B18,0),5,Feriados))))</f>
        <v/>
      </c>
      <c r="J18" s="25">
        <f>IF(Registro_Compras!$R18&lt;&gt;"SI","",Registro_Compras!$X18)</f>
        <v/>
      </c>
      <c r="K18">
        <f>IF(Registro_Compras!$R18&lt;&gt;"SI","",IF(Registro_Compras!$X18="","PENDIENTE","DEPOSITADA"))</f>
        <v/>
      </c>
      <c r="L18">
        <f>IF(Registro_Compras!$R18&lt;&gt;"SI","",Registro_Compras!$Z18)</f>
        <v/>
      </c>
      <c r="M18">
        <f>IF($K18&lt;&gt;"PENDIENTE","",IF(TODAY()&gt;$I18,TODAY()-$I18,0))</f>
        <v/>
      </c>
      <c r="N18">
        <f>IF($K18&lt;&gt;"PENDIENTE","",IF($M18&gt;0,"VENCIDA - DEPOSITAR YA",IF($I18-TODAY()&lt;=3,"POR VENCER","EN PLAZO")))</f>
        <v/>
      </c>
      <c r="P18" s="25" t="n"/>
    </row>
    <row r="19">
      <c r="A19" s="25">
        <f>IF(Registro_Compras!$R19&lt;&gt;"SI","",Registro_Compras!$B19)</f>
        <v/>
      </c>
      <c r="B19">
        <f>IF(Registro_Compras!$R19&lt;&gt;"SI","",Registro_Compras!$C19)</f>
        <v/>
      </c>
      <c r="C19">
        <f>IF(Registro_Compras!$R19&lt;&gt;"SI","",Registro_Compras!$D19)</f>
        <v/>
      </c>
      <c r="D19">
        <f>IF(Registro_Compras!$R19&lt;&gt;"SI","",Registro_Compras!$E19)</f>
        <v/>
      </c>
      <c r="E19">
        <f>IF(Registro_Compras!$R19&lt;&gt;"SI","",Registro_Compras!$G19)</f>
        <v/>
      </c>
      <c r="F19" s="31">
        <f>IF(Registro_Compras!$R19&lt;&gt;"SI","",Registro_Compras!$P19)</f>
        <v/>
      </c>
      <c r="G19" s="20">
        <f>IF(Registro_Compras!$R19&lt;&gt;"SI","",Registro_Compras!$O19)</f>
        <v/>
      </c>
      <c r="H19" s="20">
        <f>IF(Registro_Compras!$R19&lt;&gt;"SI","",Registro_Compras!$S19)</f>
        <v/>
      </c>
      <c r="I19" s="25">
        <f>IF(Registro_Compras!$R19&lt;&gt;"SI","",IF(Registro_Compras!$Y19="",WORKDAY(EOMONTH(Registro_Compras!$B19,0),5,Feriados),MIN(Registro_Compras!$Y19,WORKDAY(EOMONTH(Registro_Compras!$B19,0),5,Feriados))))</f>
        <v/>
      </c>
      <c r="J19" s="25">
        <f>IF(Registro_Compras!$R19&lt;&gt;"SI","",Registro_Compras!$X19)</f>
        <v/>
      </c>
      <c r="K19">
        <f>IF(Registro_Compras!$R19&lt;&gt;"SI","",IF(Registro_Compras!$X19="","PENDIENTE","DEPOSITADA"))</f>
        <v/>
      </c>
      <c r="L19">
        <f>IF(Registro_Compras!$R19&lt;&gt;"SI","",Registro_Compras!$Z19)</f>
        <v/>
      </c>
      <c r="M19">
        <f>IF($K19&lt;&gt;"PENDIENTE","",IF(TODAY()&gt;$I19,TODAY()-$I19,0))</f>
        <v/>
      </c>
      <c r="N19">
        <f>IF($K19&lt;&gt;"PENDIENTE","",IF($M19&gt;0,"VENCIDA - DEPOSITAR YA",IF($I19-TODAY()&lt;=3,"POR VENCER","EN PLAZO")))</f>
        <v/>
      </c>
      <c r="P19" s="25" t="n"/>
    </row>
    <row r="20">
      <c r="A20" s="25">
        <f>IF(Registro_Compras!$R20&lt;&gt;"SI","",Registro_Compras!$B20)</f>
        <v/>
      </c>
      <c r="B20">
        <f>IF(Registro_Compras!$R20&lt;&gt;"SI","",Registro_Compras!$C20)</f>
        <v/>
      </c>
      <c r="C20">
        <f>IF(Registro_Compras!$R20&lt;&gt;"SI","",Registro_Compras!$D20)</f>
        <v/>
      </c>
      <c r="D20">
        <f>IF(Registro_Compras!$R20&lt;&gt;"SI","",Registro_Compras!$E20)</f>
        <v/>
      </c>
      <c r="E20">
        <f>IF(Registro_Compras!$R20&lt;&gt;"SI","",Registro_Compras!$G20)</f>
        <v/>
      </c>
      <c r="F20" s="31">
        <f>IF(Registro_Compras!$R20&lt;&gt;"SI","",Registro_Compras!$P20)</f>
        <v/>
      </c>
      <c r="G20" s="20">
        <f>IF(Registro_Compras!$R20&lt;&gt;"SI","",Registro_Compras!$O20)</f>
        <v/>
      </c>
      <c r="H20" s="20">
        <f>IF(Registro_Compras!$R20&lt;&gt;"SI","",Registro_Compras!$S20)</f>
        <v/>
      </c>
      <c r="I20" s="25">
        <f>IF(Registro_Compras!$R20&lt;&gt;"SI","",IF(Registro_Compras!$Y20="",WORKDAY(EOMONTH(Registro_Compras!$B20,0),5,Feriados),MIN(Registro_Compras!$Y20,WORKDAY(EOMONTH(Registro_Compras!$B20,0),5,Feriados))))</f>
        <v/>
      </c>
      <c r="J20" s="25">
        <f>IF(Registro_Compras!$R20&lt;&gt;"SI","",Registro_Compras!$X20)</f>
        <v/>
      </c>
      <c r="K20">
        <f>IF(Registro_Compras!$R20&lt;&gt;"SI","",IF(Registro_Compras!$X20="","PENDIENTE","DEPOSITADA"))</f>
        <v/>
      </c>
      <c r="L20">
        <f>IF(Registro_Compras!$R20&lt;&gt;"SI","",Registro_Compras!$Z20)</f>
        <v/>
      </c>
      <c r="M20">
        <f>IF($K20&lt;&gt;"PENDIENTE","",IF(TODAY()&gt;$I20,TODAY()-$I20,0))</f>
        <v/>
      </c>
      <c r="N20">
        <f>IF($K20&lt;&gt;"PENDIENTE","",IF($M20&gt;0,"VENCIDA - DEPOSITAR YA",IF($I20-TODAY()&lt;=3,"POR VENCER","EN PLAZO")))</f>
        <v/>
      </c>
      <c r="P20" s="25" t="n"/>
    </row>
    <row r="21">
      <c r="A21" s="25">
        <f>IF(Registro_Compras!$R21&lt;&gt;"SI","",Registro_Compras!$B21)</f>
        <v/>
      </c>
      <c r="B21">
        <f>IF(Registro_Compras!$R21&lt;&gt;"SI","",Registro_Compras!$C21)</f>
        <v/>
      </c>
      <c r="C21">
        <f>IF(Registro_Compras!$R21&lt;&gt;"SI","",Registro_Compras!$D21)</f>
        <v/>
      </c>
      <c r="D21">
        <f>IF(Registro_Compras!$R21&lt;&gt;"SI","",Registro_Compras!$E21)</f>
        <v/>
      </c>
      <c r="E21">
        <f>IF(Registro_Compras!$R21&lt;&gt;"SI","",Registro_Compras!$G21)</f>
        <v/>
      </c>
      <c r="F21" s="31">
        <f>IF(Registro_Compras!$R21&lt;&gt;"SI","",Registro_Compras!$P21)</f>
        <v/>
      </c>
      <c r="G21" s="20">
        <f>IF(Registro_Compras!$R21&lt;&gt;"SI","",Registro_Compras!$O21)</f>
        <v/>
      </c>
      <c r="H21" s="20">
        <f>IF(Registro_Compras!$R21&lt;&gt;"SI","",Registro_Compras!$S21)</f>
        <v/>
      </c>
      <c r="I21" s="25">
        <f>IF(Registro_Compras!$R21&lt;&gt;"SI","",IF(Registro_Compras!$Y21="",WORKDAY(EOMONTH(Registro_Compras!$B21,0),5,Feriados),MIN(Registro_Compras!$Y21,WORKDAY(EOMONTH(Registro_Compras!$B21,0),5,Feriados))))</f>
        <v/>
      </c>
      <c r="J21" s="25">
        <f>IF(Registro_Compras!$R21&lt;&gt;"SI","",Registro_Compras!$X21)</f>
        <v/>
      </c>
      <c r="K21">
        <f>IF(Registro_Compras!$R21&lt;&gt;"SI","",IF(Registro_Compras!$X21="","PENDIENTE","DEPOSITADA"))</f>
        <v/>
      </c>
      <c r="L21">
        <f>IF(Registro_Compras!$R21&lt;&gt;"SI","",Registro_Compras!$Z21)</f>
        <v/>
      </c>
      <c r="M21">
        <f>IF($K21&lt;&gt;"PENDIENTE","",IF(TODAY()&gt;$I21,TODAY()-$I21,0))</f>
        <v/>
      </c>
      <c r="N21">
        <f>IF($K21&lt;&gt;"PENDIENTE","",IF($M21&gt;0,"VENCIDA - DEPOSITAR YA",IF($I21-TODAY()&lt;=3,"POR VENCER","EN PLAZO")))</f>
        <v/>
      </c>
      <c r="P21" s="25" t="n"/>
    </row>
    <row r="22">
      <c r="A22" s="25">
        <f>IF(Registro_Compras!$R22&lt;&gt;"SI","",Registro_Compras!$B22)</f>
        <v/>
      </c>
      <c r="B22">
        <f>IF(Registro_Compras!$R22&lt;&gt;"SI","",Registro_Compras!$C22)</f>
        <v/>
      </c>
      <c r="C22">
        <f>IF(Registro_Compras!$R22&lt;&gt;"SI","",Registro_Compras!$D22)</f>
        <v/>
      </c>
      <c r="D22">
        <f>IF(Registro_Compras!$R22&lt;&gt;"SI","",Registro_Compras!$E22)</f>
        <v/>
      </c>
      <c r="E22">
        <f>IF(Registro_Compras!$R22&lt;&gt;"SI","",Registro_Compras!$G22)</f>
        <v/>
      </c>
      <c r="F22" s="31">
        <f>IF(Registro_Compras!$R22&lt;&gt;"SI","",Registro_Compras!$P22)</f>
        <v/>
      </c>
      <c r="G22" s="20">
        <f>IF(Registro_Compras!$R22&lt;&gt;"SI","",Registro_Compras!$O22)</f>
        <v/>
      </c>
      <c r="H22" s="20">
        <f>IF(Registro_Compras!$R22&lt;&gt;"SI","",Registro_Compras!$S22)</f>
        <v/>
      </c>
      <c r="I22" s="25">
        <f>IF(Registro_Compras!$R22&lt;&gt;"SI","",IF(Registro_Compras!$Y22="",WORKDAY(EOMONTH(Registro_Compras!$B22,0),5,Feriados),MIN(Registro_Compras!$Y22,WORKDAY(EOMONTH(Registro_Compras!$B22,0),5,Feriados))))</f>
        <v/>
      </c>
      <c r="J22" s="25">
        <f>IF(Registro_Compras!$R22&lt;&gt;"SI","",Registro_Compras!$X22)</f>
        <v/>
      </c>
      <c r="K22">
        <f>IF(Registro_Compras!$R22&lt;&gt;"SI","",IF(Registro_Compras!$X22="","PENDIENTE","DEPOSITADA"))</f>
        <v/>
      </c>
      <c r="L22">
        <f>IF(Registro_Compras!$R22&lt;&gt;"SI","",Registro_Compras!$Z22)</f>
        <v/>
      </c>
      <c r="M22">
        <f>IF($K22&lt;&gt;"PENDIENTE","",IF(TODAY()&gt;$I22,TODAY()-$I22,0))</f>
        <v/>
      </c>
      <c r="N22">
        <f>IF($K22&lt;&gt;"PENDIENTE","",IF($M22&gt;0,"VENCIDA - DEPOSITAR YA",IF($I22-TODAY()&lt;=3,"POR VENCER","EN PLAZO")))</f>
        <v/>
      </c>
      <c r="P22" s="25" t="n"/>
    </row>
    <row r="23">
      <c r="A23" s="25">
        <f>IF(Registro_Compras!$R23&lt;&gt;"SI","",Registro_Compras!$B23)</f>
        <v/>
      </c>
      <c r="B23">
        <f>IF(Registro_Compras!$R23&lt;&gt;"SI","",Registro_Compras!$C23)</f>
        <v/>
      </c>
      <c r="C23">
        <f>IF(Registro_Compras!$R23&lt;&gt;"SI","",Registro_Compras!$D23)</f>
        <v/>
      </c>
      <c r="D23">
        <f>IF(Registro_Compras!$R23&lt;&gt;"SI","",Registro_Compras!$E23)</f>
        <v/>
      </c>
      <c r="E23">
        <f>IF(Registro_Compras!$R23&lt;&gt;"SI","",Registro_Compras!$G23)</f>
        <v/>
      </c>
      <c r="F23" s="31">
        <f>IF(Registro_Compras!$R23&lt;&gt;"SI","",Registro_Compras!$P23)</f>
        <v/>
      </c>
      <c r="G23" s="20">
        <f>IF(Registro_Compras!$R23&lt;&gt;"SI","",Registro_Compras!$O23)</f>
        <v/>
      </c>
      <c r="H23" s="20">
        <f>IF(Registro_Compras!$R23&lt;&gt;"SI","",Registro_Compras!$S23)</f>
        <v/>
      </c>
      <c r="I23" s="25">
        <f>IF(Registro_Compras!$R23&lt;&gt;"SI","",IF(Registro_Compras!$Y23="",WORKDAY(EOMONTH(Registro_Compras!$B23,0),5,Feriados),MIN(Registro_Compras!$Y23,WORKDAY(EOMONTH(Registro_Compras!$B23,0),5,Feriados))))</f>
        <v/>
      </c>
      <c r="J23" s="25">
        <f>IF(Registro_Compras!$R23&lt;&gt;"SI","",Registro_Compras!$X23)</f>
        <v/>
      </c>
      <c r="K23">
        <f>IF(Registro_Compras!$R23&lt;&gt;"SI","",IF(Registro_Compras!$X23="","PENDIENTE","DEPOSITADA"))</f>
        <v/>
      </c>
      <c r="L23">
        <f>IF(Registro_Compras!$R23&lt;&gt;"SI","",Registro_Compras!$Z23)</f>
        <v/>
      </c>
      <c r="M23">
        <f>IF($K23&lt;&gt;"PENDIENTE","",IF(TODAY()&gt;$I23,TODAY()-$I23,0))</f>
        <v/>
      </c>
      <c r="N23">
        <f>IF($K23&lt;&gt;"PENDIENTE","",IF($M23&gt;0,"VENCIDA - DEPOSITAR YA",IF($I23-TODAY()&lt;=3,"POR VENCER","EN PLAZO")))</f>
        <v/>
      </c>
      <c r="P23" s="25" t="n"/>
    </row>
    <row r="24">
      <c r="A24" s="25">
        <f>IF(Registro_Compras!$R24&lt;&gt;"SI","",Registro_Compras!$B24)</f>
        <v/>
      </c>
      <c r="B24">
        <f>IF(Registro_Compras!$R24&lt;&gt;"SI","",Registro_Compras!$C24)</f>
        <v/>
      </c>
      <c r="C24">
        <f>IF(Registro_Compras!$R24&lt;&gt;"SI","",Registro_Compras!$D24)</f>
        <v/>
      </c>
      <c r="D24">
        <f>IF(Registro_Compras!$R24&lt;&gt;"SI","",Registro_Compras!$E24)</f>
        <v/>
      </c>
      <c r="E24">
        <f>IF(Registro_Compras!$R24&lt;&gt;"SI","",Registro_Compras!$G24)</f>
        <v/>
      </c>
      <c r="F24" s="31">
        <f>IF(Registro_Compras!$R24&lt;&gt;"SI","",Registro_Compras!$P24)</f>
        <v/>
      </c>
      <c r="G24" s="20">
        <f>IF(Registro_Compras!$R24&lt;&gt;"SI","",Registro_Compras!$O24)</f>
        <v/>
      </c>
      <c r="H24" s="20">
        <f>IF(Registro_Compras!$R24&lt;&gt;"SI","",Registro_Compras!$S24)</f>
        <v/>
      </c>
      <c r="I24" s="25">
        <f>IF(Registro_Compras!$R24&lt;&gt;"SI","",IF(Registro_Compras!$Y24="",WORKDAY(EOMONTH(Registro_Compras!$B24,0),5,Feriados),MIN(Registro_Compras!$Y24,WORKDAY(EOMONTH(Registro_Compras!$B24,0),5,Feriados))))</f>
        <v/>
      </c>
      <c r="J24" s="25">
        <f>IF(Registro_Compras!$R24&lt;&gt;"SI","",Registro_Compras!$X24)</f>
        <v/>
      </c>
      <c r="K24">
        <f>IF(Registro_Compras!$R24&lt;&gt;"SI","",IF(Registro_Compras!$X24="","PENDIENTE","DEPOSITADA"))</f>
        <v/>
      </c>
      <c r="L24">
        <f>IF(Registro_Compras!$R24&lt;&gt;"SI","",Registro_Compras!$Z24)</f>
        <v/>
      </c>
      <c r="M24">
        <f>IF($K24&lt;&gt;"PENDIENTE","",IF(TODAY()&gt;$I24,TODAY()-$I24,0))</f>
        <v/>
      </c>
      <c r="N24">
        <f>IF($K24&lt;&gt;"PENDIENTE","",IF($M24&gt;0,"VENCIDA - DEPOSITAR YA",IF($I24-TODAY()&lt;=3,"POR VENCER","EN PLAZO")))</f>
        <v/>
      </c>
      <c r="P24" s="25" t="n"/>
    </row>
    <row r="25">
      <c r="A25" s="25">
        <f>IF(Registro_Compras!$R25&lt;&gt;"SI","",Registro_Compras!$B25)</f>
        <v/>
      </c>
      <c r="B25">
        <f>IF(Registro_Compras!$R25&lt;&gt;"SI","",Registro_Compras!$C25)</f>
        <v/>
      </c>
      <c r="C25">
        <f>IF(Registro_Compras!$R25&lt;&gt;"SI","",Registro_Compras!$D25)</f>
        <v/>
      </c>
      <c r="D25">
        <f>IF(Registro_Compras!$R25&lt;&gt;"SI","",Registro_Compras!$E25)</f>
        <v/>
      </c>
      <c r="E25">
        <f>IF(Registro_Compras!$R25&lt;&gt;"SI","",Registro_Compras!$G25)</f>
        <v/>
      </c>
      <c r="F25" s="31">
        <f>IF(Registro_Compras!$R25&lt;&gt;"SI","",Registro_Compras!$P25)</f>
        <v/>
      </c>
      <c r="G25" s="20">
        <f>IF(Registro_Compras!$R25&lt;&gt;"SI","",Registro_Compras!$O25)</f>
        <v/>
      </c>
      <c r="H25" s="20">
        <f>IF(Registro_Compras!$R25&lt;&gt;"SI","",Registro_Compras!$S25)</f>
        <v/>
      </c>
      <c r="I25" s="25">
        <f>IF(Registro_Compras!$R25&lt;&gt;"SI","",IF(Registro_Compras!$Y25="",WORKDAY(EOMONTH(Registro_Compras!$B25,0),5,Feriados),MIN(Registro_Compras!$Y25,WORKDAY(EOMONTH(Registro_Compras!$B25,0),5,Feriados))))</f>
        <v/>
      </c>
      <c r="J25" s="25">
        <f>IF(Registro_Compras!$R25&lt;&gt;"SI","",Registro_Compras!$X25)</f>
        <v/>
      </c>
      <c r="K25">
        <f>IF(Registro_Compras!$R25&lt;&gt;"SI","",IF(Registro_Compras!$X25="","PENDIENTE","DEPOSITADA"))</f>
        <v/>
      </c>
      <c r="L25">
        <f>IF(Registro_Compras!$R25&lt;&gt;"SI","",Registro_Compras!$Z25)</f>
        <v/>
      </c>
      <c r="M25">
        <f>IF($K25&lt;&gt;"PENDIENTE","",IF(TODAY()&gt;$I25,TODAY()-$I25,0))</f>
        <v/>
      </c>
      <c r="N25">
        <f>IF($K25&lt;&gt;"PENDIENTE","",IF($M25&gt;0,"VENCIDA - DEPOSITAR YA",IF($I25-TODAY()&lt;=3,"POR VENCER","EN PLAZO")))</f>
        <v/>
      </c>
      <c r="P25" s="25" t="n"/>
    </row>
    <row r="26">
      <c r="A26" s="25">
        <f>IF(Registro_Compras!$R26&lt;&gt;"SI","",Registro_Compras!$B26)</f>
        <v/>
      </c>
      <c r="B26">
        <f>IF(Registro_Compras!$R26&lt;&gt;"SI","",Registro_Compras!$C26)</f>
        <v/>
      </c>
      <c r="C26">
        <f>IF(Registro_Compras!$R26&lt;&gt;"SI","",Registro_Compras!$D26)</f>
        <v/>
      </c>
      <c r="D26">
        <f>IF(Registro_Compras!$R26&lt;&gt;"SI","",Registro_Compras!$E26)</f>
        <v/>
      </c>
      <c r="E26">
        <f>IF(Registro_Compras!$R26&lt;&gt;"SI","",Registro_Compras!$G26)</f>
        <v/>
      </c>
      <c r="F26" s="31">
        <f>IF(Registro_Compras!$R26&lt;&gt;"SI","",Registro_Compras!$P26)</f>
        <v/>
      </c>
      <c r="G26" s="20">
        <f>IF(Registro_Compras!$R26&lt;&gt;"SI","",Registro_Compras!$O26)</f>
        <v/>
      </c>
      <c r="H26" s="20">
        <f>IF(Registro_Compras!$R26&lt;&gt;"SI","",Registro_Compras!$S26)</f>
        <v/>
      </c>
      <c r="I26" s="25">
        <f>IF(Registro_Compras!$R26&lt;&gt;"SI","",IF(Registro_Compras!$Y26="",WORKDAY(EOMONTH(Registro_Compras!$B26,0),5,Feriados),MIN(Registro_Compras!$Y26,WORKDAY(EOMONTH(Registro_Compras!$B26,0),5,Feriados))))</f>
        <v/>
      </c>
      <c r="J26" s="25">
        <f>IF(Registro_Compras!$R26&lt;&gt;"SI","",Registro_Compras!$X26)</f>
        <v/>
      </c>
      <c r="K26">
        <f>IF(Registro_Compras!$R26&lt;&gt;"SI","",IF(Registro_Compras!$X26="","PENDIENTE","DEPOSITADA"))</f>
        <v/>
      </c>
      <c r="L26">
        <f>IF(Registro_Compras!$R26&lt;&gt;"SI","",Registro_Compras!$Z26)</f>
        <v/>
      </c>
      <c r="M26">
        <f>IF($K26&lt;&gt;"PENDIENTE","",IF(TODAY()&gt;$I26,TODAY()-$I26,0))</f>
        <v/>
      </c>
      <c r="N26">
        <f>IF($K26&lt;&gt;"PENDIENTE","",IF($M26&gt;0,"VENCIDA - DEPOSITAR YA",IF($I26-TODAY()&lt;=3,"POR VENCER","EN PLAZO")))</f>
        <v/>
      </c>
      <c r="P26" s="25" t="n"/>
    </row>
    <row r="27">
      <c r="A27" s="25">
        <f>IF(Registro_Compras!$R27&lt;&gt;"SI","",Registro_Compras!$B27)</f>
        <v/>
      </c>
      <c r="B27">
        <f>IF(Registro_Compras!$R27&lt;&gt;"SI","",Registro_Compras!$C27)</f>
        <v/>
      </c>
      <c r="C27">
        <f>IF(Registro_Compras!$R27&lt;&gt;"SI","",Registro_Compras!$D27)</f>
        <v/>
      </c>
      <c r="D27">
        <f>IF(Registro_Compras!$R27&lt;&gt;"SI","",Registro_Compras!$E27)</f>
        <v/>
      </c>
      <c r="E27">
        <f>IF(Registro_Compras!$R27&lt;&gt;"SI","",Registro_Compras!$G27)</f>
        <v/>
      </c>
      <c r="F27" s="31">
        <f>IF(Registro_Compras!$R27&lt;&gt;"SI","",Registro_Compras!$P27)</f>
        <v/>
      </c>
      <c r="G27" s="20">
        <f>IF(Registro_Compras!$R27&lt;&gt;"SI","",Registro_Compras!$O27)</f>
        <v/>
      </c>
      <c r="H27" s="20">
        <f>IF(Registro_Compras!$R27&lt;&gt;"SI","",Registro_Compras!$S27)</f>
        <v/>
      </c>
      <c r="I27" s="25">
        <f>IF(Registro_Compras!$R27&lt;&gt;"SI","",IF(Registro_Compras!$Y27="",WORKDAY(EOMONTH(Registro_Compras!$B27,0),5,Feriados),MIN(Registro_Compras!$Y27,WORKDAY(EOMONTH(Registro_Compras!$B27,0),5,Feriados))))</f>
        <v/>
      </c>
      <c r="J27" s="25">
        <f>IF(Registro_Compras!$R27&lt;&gt;"SI","",Registro_Compras!$X27)</f>
        <v/>
      </c>
      <c r="K27">
        <f>IF(Registro_Compras!$R27&lt;&gt;"SI","",IF(Registro_Compras!$X27="","PENDIENTE","DEPOSITADA"))</f>
        <v/>
      </c>
      <c r="L27">
        <f>IF(Registro_Compras!$R27&lt;&gt;"SI","",Registro_Compras!$Z27)</f>
        <v/>
      </c>
      <c r="M27">
        <f>IF($K27&lt;&gt;"PENDIENTE","",IF(TODAY()&gt;$I27,TODAY()-$I27,0))</f>
        <v/>
      </c>
      <c r="N27">
        <f>IF($K27&lt;&gt;"PENDIENTE","",IF($M27&gt;0,"VENCIDA - DEPOSITAR YA",IF($I27-TODAY()&lt;=3,"POR VENCER","EN PLAZO")))</f>
        <v/>
      </c>
      <c r="P27" s="25" t="n"/>
    </row>
    <row r="28">
      <c r="A28" s="25">
        <f>IF(Registro_Compras!$R28&lt;&gt;"SI","",Registro_Compras!$B28)</f>
        <v/>
      </c>
      <c r="B28">
        <f>IF(Registro_Compras!$R28&lt;&gt;"SI","",Registro_Compras!$C28)</f>
        <v/>
      </c>
      <c r="C28">
        <f>IF(Registro_Compras!$R28&lt;&gt;"SI","",Registro_Compras!$D28)</f>
        <v/>
      </c>
      <c r="D28">
        <f>IF(Registro_Compras!$R28&lt;&gt;"SI","",Registro_Compras!$E28)</f>
        <v/>
      </c>
      <c r="E28">
        <f>IF(Registro_Compras!$R28&lt;&gt;"SI","",Registro_Compras!$G28)</f>
        <v/>
      </c>
      <c r="F28" s="31">
        <f>IF(Registro_Compras!$R28&lt;&gt;"SI","",Registro_Compras!$P28)</f>
        <v/>
      </c>
      <c r="G28" s="20">
        <f>IF(Registro_Compras!$R28&lt;&gt;"SI","",Registro_Compras!$O28)</f>
        <v/>
      </c>
      <c r="H28" s="20">
        <f>IF(Registro_Compras!$R28&lt;&gt;"SI","",Registro_Compras!$S28)</f>
        <v/>
      </c>
      <c r="I28" s="25">
        <f>IF(Registro_Compras!$R28&lt;&gt;"SI","",IF(Registro_Compras!$Y28="",WORKDAY(EOMONTH(Registro_Compras!$B28,0),5,Feriados),MIN(Registro_Compras!$Y28,WORKDAY(EOMONTH(Registro_Compras!$B28,0),5,Feriados))))</f>
        <v/>
      </c>
      <c r="J28" s="25">
        <f>IF(Registro_Compras!$R28&lt;&gt;"SI","",Registro_Compras!$X28)</f>
        <v/>
      </c>
      <c r="K28">
        <f>IF(Registro_Compras!$R28&lt;&gt;"SI","",IF(Registro_Compras!$X28="","PENDIENTE","DEPOSITADA"))</f>
        <v/>
      </c>
      <c r="L28">
        <f>IF(Registro_Compras!$R28&lt;&gt;"SI","",Registro_Compras!$Z28)</f>
        <v/>
      </c>
      <c r="M28">
        <f>IF($K28&lt;&gt;"PENDIENTE","",IF(TODAY()&gt;$I28,TODAY()-$I28,0))</f>
        <v/>
      </c>
      <c r="N28">
        <f>IF($K28&lt;&gt;"PENDIENTE","",IF($M28&gt;0,"VENCIDA - DEPOSITAR YA",IF($I28-TODAY()&lt;=3,"POR VENCER","EN PLAZO")))</f>
        <v/>
      </c>
      <c r="P28" s="25" t="n"/>
    </row>
    <row r="29">
      <c r="A29" s="25">
        <f>IF(Registro_Compras!$R29&lt;&gt;"SI","",Registro_Compras!$B29)</f>
        <v/>
      </c>
      <c r="B29">
        <f>IF(Registro_Compras!$R29&lt;&gt;"SI","",Registro_Compras!$C29)</f>
        <v/>
      </c>
      <c r="C29">
        <f>IF(Registro_Compras!$R29&lt;&gt;"SI","",Registro_Compras!$D29)</f>
        <v/>
      </c>
      <c r="D29">
        <f>IF(Registro_Compras!$R29&lt;&gt;"SI","",Registro_Compras!$E29)</f>
        <v/>
      </c>
      <c r="E29">
        <f>IF(Registro_Compras!$R29&lt;&gt;"SI","",Registro_Compras!$G29)</f>
        <v/>
      </c>
      <c r="F29" s="31">
        <f>IF(Registro_Compras!$R29&lt;&gt;"SI","",Registro_Compras!$P29)</f>
        <v/>
      </c>
      <c r="G29" s="20">
        <f>IF(Registro_Compras!$R29&lt;&gt;"SI","",Registro_Compras!$O29)</f>
        <v/>
      </c>
      <c r="H29" s="20">
        <f>IF(Registro_Compras!$R29&lt;&gt;"SI","",Registro_Compras!$S29)</f>
        <v/>
      </c>
      <c r="I29" s="25">
        <f>IF(Registro_Compras!$R29&lt;&gt;"SI","",IF(Registro_Compras!$Y29="",WORKDAY(EOMONTH(Registro_Compras!$B29,0),5,Feriados),MIN(Registro_Compras!$Y29,WORKDAY(EOMONTH(Registro_Compras!$B29,0),5,Feriados))))</f>
        <v/>
      </c>
      <c r="J29" s="25">
        <f>IF(Registro_Compras!$R29&lt;&gt;"SI","",Registro_Compras!$X29)</f>
        <v/>
      </c>
      <c r="K29">
        <f>IF(Registro_Compras!$R29&lt;&gt;"SI","",IF(Registro_Compras!$X29="","PENDIENTE","DEPOSITADA"))</f>
        <v/>
      </c>
      <c r="L29">
        <f>IF(Registro_Compras!$R29&lt;&gt;"SI","",Registro_Compras!$Z29)</f>
        <v/>
      </c>
      <c r="M29">
        <f>IF($K29&lt;&gt;"PENDIENTE","",IF(TODAY()&gt;$I29,TODAY()-$I29,0))</f>
        <v/>
      </c>
      <c r="N29">
        <f>IF($K29&lt;&gt;"PENDIENTE","",IF($M29&gt;0,"VENCIDA - DEPOSITAR YA",IF($I29-TODAY()&lt;=3,"POR VENCER","EN PLAZO")))</f>
        <v/>
      </c>
      <c r="P29" s="25" t="n"/>
    </row>
    <row r="30">
      <c r="A30" s="25">
        <f>IF(Registro_Compras!$R30&lt;&gt;"SI","",Registro_Compras!$B30)</f>
        <v/>
      </c>
      <c r="B30">
        <f>IF(Registro_Compras!$R30&lt;&gt;"SI","",Registro_Compras!$C30)</f>
        <v/>
      </c>
      <c r="C30">
        <f>IF(Registro_Compras!$R30&lt;&gt;"SI","",Registro_Compras!$D30)</f>
        <v/>
      </c>
      <c r="D30">
        <f>IF(Registro_Compras!$R30&lt;&gt;"SI","",Registro_Compras!$E30)</f>
        <v/>
      </c>
      <c r="E30">
        <f>IF(Registro_Compras!$R30&lt;&gt;"SI","",Registro_Compras!$G30)</f>
        <v/>
      </c>
      <c r="F30" s="31">
        <f>IF(Registro_Compras!$R30&lt;&gt;"SI","",Registro_Compras!$P30)</f>
        <v/>
      </c>
      <c r="G30" s="20">
        <f>IF(Registro_Compras!$R30&lt;&gt;"SI","",Registro_Compras!$O30)</f>
        <v/>
      </c>
      <c r="H30" s="20">
        <f>IF(Registro_Compras!$R30&lt;&gt;"SI","",Registro_Compras!$S30)</f>
        <v/>
      </c>
      <c r="I30" s="25">
        <f>IF(Registro_Compras!$R30&lt;&gt;"SI","",IF(Registro_Compras!$Y30="",WORKDAY(EOMONTH(Registro_Compras!$B30,0),5,Feriados),MIN(Registro_Compras!$Y30,WORKDAY(EOMONTH(Registro_Compras!$B30,0),5,Feriados))))</f>
        <v/>
      </c>
      <c r="J30" s="25">
        <f>IF(Registro_Compras!$R30&lt;&gt;"SI","",Registro_Compras!$X30)</f>
        <v/>
      </c>
      <c r="K30">
        <f>IF(Registro_Compras!$R30&lt;&gt;"SI","",IF(Registro_Compras!$X30="","PENDIENTE","DEPOSITADA"))</f>
        <v/>
      </c>
      <c r="L30">
        <f>IF(Registro_Compras!$R30&lt;&gt;"SI","",Registro_Compras!$Z30)</f>
        <v/>
      </c>
      <c r="M30">
        <f>IF($K30&lt;&gt;"PENDIENTE","",IF(TODAY()&gt;$I30,TODAY()-$I30,0))</f>
        <v/>
      </c>
      <c r="N30">
        <f>IF($K30&lt;&gt;"PENDIENTE","",IF($M30&gt;0,"VENCIDA - DEPOSITAR YA",IF($I30-TODAY()&lt;=3,"POR VENCER","EN PLAZO")))</f>
        <v/>
      </c>
      <c r="P30" s="25" t="n"/>
    </row>
    <row r="31">
      <c r="A31" s="25">
        <f>IF(Registro_Compras!$R31&lt;&gt;"SI","",Registro_Compras!$B31)</f>
        <v/>
      </c>
      <c r="B31">
        <f>IF(Registro_Compras!$R31&lt;&gt;"SI","",Registro_Compras!$C31)</f>
        <v/>
      </c>
      <c r="C31">
        <f>IF(Registro_Compras!$R31&lt;&gt;"SI","",Registro_Compras!$D31)</f>
        <v/>
      </c>
      <c r="D31">
        <f>IF(Registro_Compras!$R31&lt;&gt;"SI","",Registro_Compras!$E31)</f>
        <v/>
      </c>
      <c r="E31">
        <f>IF(Registro_Compras!$R31&lt;&gt;"SI","",Registro_Compras!$G31)</f>
        <v/>
      </c>
      <c r="F31" s="31">
        <f>IF(Registro_Compras!$R31&lt;&gt;"SI","",Registro_Compras!$P31)</f>
        <v/>
      </c>
      <c r="G31" s="20">
        <f>IF(Registro_Compras!$R31&lt;&gt;"SI","",Registro_Compras!$O31)</f>
        <v/>
      </c>
      <c r="H31" s="20">
        <f>IF(Registro_Compras!$R31&lt;&gt;"SI","",Registro_Compras!$S31)</f>
        <v/>
      </c>
      <c r="I31" s="25">
        <f>IF(Registro_Compras!$R31&lt;&gt;"SI","",IF(Registro_Compras!$Y31="",WORKDAY(EOMONTH(Registro_Compras!$B31,0),5,Feriados),MIN(Registro_Compras!$Y31,WORKDAY(EOMONTH(Registro_Compras!$B31,0),5,Feriados))))</f>
        <v/>
      </c>
      <c r="J31" s="25">
        <f>IF(Registro_Compras!$R31&lt;&gt;"SI","",Registro_Compras!$X31)</f>
        <v/>
      </c>
      <c r="K31">
        <f>IF(Registro_Compras!$R31&lt;&gt;"SI","",IF(Registro_Compras!$X31="","PENDIENTE","DEPOSITADA"))</f>
        <v/>
      </c>
      <c r="L31">
        <f>IF(Registro_Compras!$R31&lt;&gt;"SI","",Registro_Compras!$Z31)</f>
        <v/>
      </c>
      <c r="M31">
        <f>IF($K31&lt;&gt;"PENDIENTE","",IF(TODAY()&gt;$I31,TODAY()-$I31,0))</f>
        <v/>
      </c>
      <c r="N31">
        <f>IF($K31&lt;&gt;"PENDIENTE","",IF($M31&gt;0,"VENCIDA - DEPOSITAR YA",IF($I31-TODAY()&lt;=3,"POR VENCER","EN PLAZO")))</f>
        <v/>
      </c>
      <c r="P31" s="25" t="n"/>
    </row>
    <row r="32">
      <c r="A32" s="25">
        <f>IF(Registro_Compras!$R32&lt;&gt;"SI","",Registro_Compras!$B32)</f>
        <v/>
      </c>
      <c r="B32">
        <f>IF(Registro_Compras!$R32&lt;&gt;"SI","",Registro_Compras!$C32)</f>
        <v/>
      </c>
      <c r="C32">
        <f>IF(Registro_Compras!$R32&lt;&gt;"SI","",Registro_Compras!$D32)</f>
        <v/>
      </c>
      <c r="D32">
        <f>IF(Registro_Compras!$R32&lt;&gt;"SI","",Registro_Compras!$E32)</f>
        <v/>
      </c>
      <c r="E32">
        <f>IF(Registro_Compras!$R32&lt;&gt;"SI","",Registro_Compras!$G32)</f>
        <v/>
      </c>
      <c r="F32" s="31">
        <f>IF(Registro_Compras!$R32&lt;&gt;"SI","",Registro_Compras!$P32)</f>
        <v/>
      </c>
      <c r="G32" s="20">
        <f>IF(Registro_Compras!$R32&lt;&gt;"SI","",Registro_Compras!$O32)</f>
        <v/>
      </c>
      <c r="H32" s="20">
        <f>IF(Registro_Compras!$R32&lt;&gt;"SI","",Registro_Compras!$S32)</f>
        <v/>
      </c>
      <c r="I32" s="25">
        <f>IF(Registro_Compras!$R32&lt;&gt;"SI","",IF(Registro_Compras!$Y32="",WORKDAY(EOMONTH(Registro_Compras!$B32,0),5,Feriados),MIN(Registro_Compras!$Y32,WORKDAY(EOMONTH(Registro_Compras!$B32,0),5,Feriados))))</f>
        <v/>
      </c>
      <c r="J32" s="25">
        <f>IF(Registro_Compras!$R32&lt;&gt;"SI","",Registro_Compras!$X32)</f>
        <v/>
      </c>
      <c r="K32">
        <f>IF(Registro_Compras!$R32&lt;&gt;"SI","",IF(Registro_Compras!$X32="","PENDIENTE","DEPOSITADA"))</f>
        <v/>
      </c>
      <c r="L32">
        <f>IF(Registro_Compras!$R32&lt;&gt;"SI","",Registro_Compras!$Z32)</f>
        <v/>
      </c>
      <c r="M32">
        <f>IF($K32&lt;&gt;"PENDIENTE","",IF(TODAY()&gt;$I32,TODAY()-$I32,0))</f>
        <v/>
      </c>
      <c r="N32">
        <f>IF($K32&lt;&gt;"PENDIENTE","",IF($M32&gt;0,"VENCIDA - DEPOSITAR YA",IF($I32-TODAY()&lt;=3,"POR VENCER","EN PLAZO")))</f>
        <v/>
      </c>
      <c r="P32" s="25" t="n"/>
    </row>
    <row r="33">
      <c r="A33" s="25">
        <f>IF(Registro_Compras!$R33&lt;&gt;"SI","",Registro_Compras!$B33)</f>
        <v/>
      </c>
      <c r="B33">
        <f>IF(Registro_Compras!$R33&lt;&gt;"SI","",Registro_Compras!$C33)</f>
        <v/>
      </c>
      <c r="C33">
        <f>IF(Registro_Compras!$R33&lt;&gt;"SI","",Registro_Compras!$D33)</f>
        <v/>
      </c>
      <c r="D33">
        <f>IF(Registro_Compras!$R33&lt;&gt;"SI","",Registro_Compras!$E33)</f>
        <v/>
      </c>
      <c r="E33">
        <f>IF(Registro_Compras!$R33&lt;&gt;"SI","",Registro_Compras!$G33)</f>
        <v/>
      </c>
      <c r="F33" s="31">
        <f>IF(Registro_Compras!$R33&lt;&gt;"SI","",Registro_Compras!$P33)</f>
        <v/>
      </c>
      <c r="G33" s="20">
        <f>IF(Registro_Compras!$R33&lt;&gt;"SI","",Registro_Compras!$O33)</f>
        <v/>
      </c>
      <c r="H33" s="20">
        <f>IF(Registro_Compras!$R33&lt;&gt;"SI","",Registro_Compras!$S33)</f>
        <v/>
      </c>
      <c r="I33" s="25">
        <f>IF(Registro_Compras!$R33&lt;&gt;"SI","",IF(Registro_Compras!$Y33="",WORKDAY(EOMONTH(Registro_Compras!$B33,0),5,Feriados),MIN(Registro_Compras!$Y33,WORKDAY(EOMONTH(Registro_Compras!$B33,0),5,Feriados))))</f>
        <v/>
      </c>
      <c r="J33" s="25">
        <f>IF(Registro_Compras!$R33&lt;&gt;"SI","",Registro_Compras!$X33)</f>
        <v/>
      </c>
      <c r="K33">
        <f>IF(Registro_Compras!$R33&lt;&gt;"SI","",IF(Registro_Compras!$X33="","PENDIENTE","DEPOSITADA"))</f>
        <v/>
      </c>
      <c r="L33">
        <f>IF(Registro_Compras!$R33&lt;&gt;"SI","",Registro_Compras!$Z33)</f>
        <v/>
      </c>
      <c r="M33">
        <f>IF($K33&lt;&gt;"PENDIENTE","",IF(TODAY()&gt;$I33,TODAY()-$I33,0))</f>
        <v/>
      </c>
      <c r="N33">
        <f>IF($K33&lt;&gt;"PENDIENTE","",IF($M33&gt;0,"VENCIDA - DEPOSITAR YA",IF($I33-TODAY()&lt;=3,"POR VENCER","EN PLAZO")))</f>
        <v/>
      </c>
      <c r="P33" s="25" t="n"/>
    </row>
    <row r="34">
      <c r="A34" s="25">
        <f>IF(Registro_Compras!$R34&lt;&gt;"SI","",Registro_Compras!$B34)</f>
        <v/>
      </c>
      <c r="B34">
        <f>IF(Registro_Compras!$R34&lt;&gt;"SI","",Registro_Compras!$C34)</f>
        <v/>
      </c>
      <c r="C34">
        <f>IF(Registro_Compras!$R34&lt;&gt;"SI","",Registro_Compras!$D34)</f>
        <v/>
      </c>
      <c r="D34">
        <f>IF(Registro_Compras!$R34&lt;&gt;"SI","",Registro_Compras!$E34)</f>
        <v/>
      </c>
      <c r="E34">
        <f>IF(Registro_Compras!$R34&lt;&gt;"SI","",Registro_Compras!$G34)</f>
        <v/>
      </c>
      <c r="F34" s="31">
        <f>IF(Registro_Compras!$R34&lt;&gt;"SI","",Registro_Compras!$P34)</f>
        <v/>
      </c>
      <c r="G34" s="20">
        <f>IF(Registro_Compras!$R34&lt;&gt;"SI","",Registro_Compras!$O34)</f>
        <v/>
      </c>
      <c r="H34" s="20">
        <f>IF(Registro_Compras!$R34&lt;&gt;"SI","",Registro_Compras!$S34)</f>
        <v/>
      </c>
      <c r="I34" s="25">
        <f>IF(Registro_Compras!$R34&lt;&gt;"SI","",IF(Registro_Compras!$Y34="",WORKDAY(EOMONTH(Registro_Compras!$B34,0),5,Feriados),MIN(Registro_Compras!$Y34,WORKDAY(EOMONTH(Registro_Compras!$B34,0),5,Feriados))))</f>
        <v/>
      </c>
      <c r="J34" s="25">
        <f>IF(Registro_Compras!$R34&lt;&gt;"SI","",Registro_Compras!$X34)</f>
        <v/>
      </c>
      <c r="K34">
        <f>IF(Registro_Compras!$R34&lt;&gt;"SI","",IF(Registro_Compras!$X34="","PENDIENTE","DEPOSITADA"))</f>
        <v/>
      </c>
      <c r="L34">
        <f>IF(Registro_Compras!$R34&lt;&gt;"SI","",Registro_Compras!$Z34)</f>
        <v/>
      </c>
      <c r="M34">
        <f>IF($K34&lt;&gt;"PENDIENTE","",IF(TODAY()&gt;$I34,TODAY()-$I34,0))</f>
        <v/>
      </c>
      <c r="N34">
        <f>IF($K34&lt;&gt;"PENDIENTE","",IF($M34&gt;0,"VENCIDA - DEPOSITAR YA",IF($I34-TODAY()&lt;=3,"POR VENCER","EN PLAZO")))</f>
        <v/>
      </c>
      <c r="P34" s="25" t="n"/>
    </row>
    <row r="35">
      <c r="A35" s="25">
        <f>IF(Registro_Compras!$R35&lt;&gt;"SI","",Registro_Compras!$B35)</f>
        <v/>
      </c>
      <c r="B35">
        <f>IF(Registro_Compras!$R35&lt;&gt;"SI","",Registro_Compras!$C35)</f>
        <v/>
      </c>
      <c r="C35">
        <f>IF(Registro_Compras!$R35&lt;&gt;"SI","",Registro_Compras!$D35)</f>
        <v/>
      </c>
      <c r="D35">
        <f>IF(Registro_Compras!$R35&lt;&gt;"SI","",Registro_Compras!$E35)</f>
        <v/>
      </c>
      <c r="E35">
        <f>IF(Registro_Compras!$R35&lt;&gt;"SI","",Registro_Compras!$G35)</f>
        <v/>
      </c>
      <c r="F35" s="31">
        <f>IF(Registro_Compras!$R35&lt;&gt;"SI","",Registro_Compras!$P35)</f>
        <v/>
      </c>
      <c r="G35" s="20">
        <f>IF(Registro_Compras!$R35&lt;&gt;"SI","",Registro_Compras!$O35)</f>
        <v/>
      </c>
      <c r="H35" s="20">
        <f>IF(Registro_Compras!$R35&lt;&gt;"SI","",Registro_Compras!$S35)</f>
        <v/>
      </c>
      <c r="I35" s="25">
        <f>IF(Registro_Compras!$R35&lt;&gt;"SI","",IF(Registro_Compras!$Y35="",WORKDAY(EOMONTH(Registro_Compras!$B35,0),5,Feriados),MIN(Registro_Compras!$Y35,WORKDAY(EOMONTH(Registro_Compras!$B35,0),5,Feriados))))</f>
        <v/>
      </c>
      <c r="J35" s="25">
        <f>IF(Registro_Compras!$R35&lt;&gt;"SI","",Registro_Compras!$X35)</f>
        <v/>
      </c>
      <c r="K35">
        <f>IF(Registro_Compras!$R35&lt;&gt;"SI","",IF(Registro_Compras!$X35="","PENDIENTE","DEPOSITADA"))</f>
        <v/>
      </c>
      <c r="L35">
        <f>IF(Registro_Compras!$R35&lt;&gt;"SI","",Registro_Compras!$Z35)</f>
        <v/>
      </c>
      <c r="M35">
        <f>IF($K35&lt;&gt;"PENDIENTE","",IF(TODAY()&gt;$I35,TODAY()-$I35,0))</f>
        <v/>
      </c>
      <c r="N35">
        <f>IF($K35&lt;&gt;"PENDIENTE","",IF($M35&gt;0,"VENCIDA - DEPOSITAR YA",IF($I35-TODAY()&lt;=3,"POR VENCER","EN PLAZO")))</f>
        <v/>
      </c>
      <c r="P35" s="25" t="n"/>
    </row>
    <row r="36">
      <c r="A36" s="25">
        <f>IF(Registro_Compras!$R36&lt;&gt;"SI","",Registro_Compras!$B36)</f>
        <v/>
      </c>
      <c r="B36">
        <f>IF(Registro_Compras!$R36&lt;&gt;"SI","",Registro_Compras!$C36)</f>
        <v/>
      </c>
      <c r="C36">
        <f>IF(Registro_Compras!$R36&lt;&gt;"SI","",Registro_Compras!$D36)</f>
        <v/>
      </c>
      <c r="D36">
        <f>IF(Registro_Compras!$R36&lt;&gt;"SI","",Registro_Compras!$E36)</f>
        <v/>
      </c>
      <c r="E36">
        <f>IF(Registro_Compras!$R36&lt;&gt;"SI","",Registro_Compras!$G36)</f>
        <v/>
      </c>
      <c r="F36" s="31">
        <f>IF(Registro_Compras!$R36&lt;&gt;"SI","",Registro_Compras!$P36)</f>
        <v/>
      </c>
      <c r="G36" s="20">
        <f>IF(Registro_Compras!$R36&lt;&gt;"SI","",Registro_Compras!$O36)</f>
        <v/>
      </c>
      <c r="H36" s="20">
        <f>IF(Registro_Compras!$R36&lt;&gt;"SI","",Registro_Compras!$S36)</f>
        <v/>
      </c>
      <c r="I36" s="25">
        <f>IF(Registro_Compras!$R36&lt;&gt;"SI","",IF(Registro_Compras!$Y36="",WORKDAY(EOMONTH(Registro_Compras!$B36,0),5,Feriados),MIN(Registro_Compras!$Y36,WORKDAY(EOMONTH(Registro_Compras!$B36,0),5,Feriados))))</f>
        <v/>
      </c>
      <c r="J36" s="25">
        <f>IF(Registro_Compras!$R36&lt;&gt;"SI","",Registro_Compras!$X36)</f>
        <v/>
      </c>
      <c r="K36">
        <f>IF(Registro_Compras!$R36&lt;&gt;"SI","",IF(Registro_Compras!$X36="","PENDIENTE","DEPOSITADA"))</f>
        <v/>
      </c>
      <c r="L36">
        <f>IF(Registro_Compras!$R36&lt;&gt;"SI","",Registro_Compras!$Z36)</f>
        <v/>
      </c>
      <c r="M36">
        <f>IF($K36&lt;&gt;"PENDIENTE","",IF(TODAY()&gt;$I36,TODAY()-$I36,0))</f>
        <v/>
      </c>
      <c r="N36">
        <f>IF($K36&lt;&gt;"PENDIENTE","",IF($M36&gt;0,"VENCIDA - DEPOSITAR YA",IF($I36-TODAY()&lt;=3,"POR VENCER","EN PLAZO")))</f>
        <v/>
      </c>
      <c r="P36" s="25" t="n"/>
    </row>
    <row r="37">
      <c r="A37" s="25">
        <f>IF(Registro_Compras!$R37&lt;&gt;"SI","",Registro_Compras!$B37)</f>
        <v/>
      </c>
      <c r="B37">
        <f>IF(Registro_Compras!$R37&lt;&gt;"SI","",Registro_Compras!$C37)</f>
        <v/>
      </c>
      <c r="C37">
        <f>IF(Registro_Compras!$R37&lt;&gt;"SI","",Registro_Compras!$D37)</f>
        <v/>
      </c>
      <c r="D37">
        <f>IF(Registro_Compras!$R37&lt;&gt;"SI","",Registro_Compras!$E37)</f>
        <v/>
      </c>
      <c r="E37">
        <f>IF(Registro_Compras!$R37&lt;&gt;"SI","",Registro_Compras!$G37)</f>
        <v/>
      </c>
      <c r="F37" s="31">
        <f>IF(Registro_Compras!$R37&lt;&gt;"SI","",Registro_Compras!$P37)</f>
        <v/>
      </c>
      <c r="G37" s="20">
        <f>IF(Registro_Compras!$R37&lt;&gt;"SI","",Registro_Compras!$O37)</f>
        <v/>
      </c>
      <c r="H37" s="20">
        <f>IF(Registro_Compras!$R37&lt;&gt;"SI","",Registro_Compras!$S37)</f>
        <v/>
      </c>
      <c r="I37" s="25">
        <f>IF(Registro_Compras!$R37&lt;&gt;"SI","",IF(Registro_Compras!$Y37="",WORKDAY(EOMONTH(Registro_Compras!$B37,0),5,Feriados),MIN(Registro_Compras!$Y37,WORKDAY(EOMONTH(Registro_Compras!$B37,0),5,Feriados))))</f>
        <v/>
      </c>
      <c r="J37" s="25">
        <f>IF(Registro_Compras!$R37&lt;&gt;"SI","",Registro_Compras!$X37)</f>
        <v/>
      </c>
      <c r="K37">
        <f>IF(Registro_Compras!$R37&lt;&gt;"SI","",IF(Registro_Compras!$X37="","PENDIENTE","DEPOSITADA"))</f>
        <v/>
      </c>
      <c r="L37">
        <f>IF(Registro_Compras!$R37&lt;&gt;"SI","",Registro_Compras!$Z37)</f>
        <v/>
      </c>
      <c r="M37">
        <f>IF($K37&lt;&gt;"PENDIENTE","",IF(TODAY()&gt;$I37,TODAY()-$I37,0))</f>
        <v/>
      </c>
      <c r="N37">
        <f>IF($K37&lt;&gt;"PENDIENTE","",IF($M37&gt;0,"VENCIDA - DEPOSITAR YA",IF($I37-TODAY()&lt;=3,"POR VENCER","EN PLAZO")))</f>
        <v/>
      </c>
      <c r="P37" s="25" t="n"/>
    </row>
    <row r="38">
      <c r="A38" s="25">
        <f>IF(Registro_Compras!$R38&lt;&gt;"SI","",Registro_Compras!$B38)</f>
        <v/>
      </c>
      <c r="B38">
        <f>IF(Registro_Compras!$R38&lt;&gt;"SI","",Registro_Compras!$C38)</f>
        <v/>
      </c>
      <c r="C38">
        <f>IF(Registro_Compras!$R38&lt;&gt;"SI","",Registro_Compras!$D38)</f>
        <v/>
      </c>
      <c r="D38">
        <f>IF(Registro_Compras!$R38&lt;&gt;"SI","",Registro_Compras!$E38)</f>
        <v/>
      </c>
      <c r="E38">
        <f>IF(Registro_Compras!$R38&lt;&gt;"SI","",Registro_Compras!$G38)</f>
        <v/>
      </c>
      <c r="F38" s="31">
        <f>IF(Registro_Compras!$R38&lt;&gt;"SI","",Registro_Compras!$P38)</f>
        <v/>
      </c>
      <c r="G38" s="20">
        <f>IF(Registro_Compras!$R38&lt;&gt;"SI","",Registro_Compras!$O38)</f>
        <v/>
      </c>
      <c r="H38" s="20">
        <f>IF(Registro_Compras!$R38&lt;&gt;"SI","",Registro_Compras!$S38)</f>
        <v/>
      </c>
      <c r="I38" s="25">
        <f>IF(Registro_Compras!$R38&lt;&gt;"SI","",IF(Registro_Compras!$Y38="",WORKDAY(EOMONTH(Registro_Compras!$B38,0),5,Feriados),MIN(Registro_Compras!$Y38,WORKDAY(EOMONTH(Registro_Compras!$B38,0),5,Feriados))))</f>
        <v/>
      </c>
      <c r="J38" s="25">
        <f>IF(Registro_Compras!$R38&lt;&gt;"SI","",Registro_Compras!$X38)</f>
        <v/>
      </c>
      <c r="K38">
        <f>IF(Registro_Compras!$R38&lt;&gt;"SI","",IF(Registro_Compras!$X38="","PENDIENTE","DEPOSITADA"))</f>
        <v/>
      </c>
      <c r="L38">
        <f>IF(Registro_Compras!$R38&lt;&gt;"SI","",Registro_Compras!$Z38)</f>
        <v/>
      </c>
      <c r="M38">
        <f>IF($K38&lt;&gt;"PENDIENTE","",IF(TODAY()&gt;$I38,TODAY()-$I38,0))</f>
        <v/>
      </c>
      <c r="N38">
        <f>IF($K38&lt;&gt;"PENDIENTE","",IF($M38&gt;0,"VENCIDA - DEPOSITAR YA",IF($I38-TODAY()&lt;=3,"POR VENCER","EN PLAZO")))</f>
        <v/>
      </c>
      <c r="P38" s="25" t="n"/>
    </row>
    <row r="39">
      <c r="A39" s="25">
        <f>IF(Registro_Compras!$R39&lt;&gt;"SI","",Registro_Compras!$B39)</f>
        <v/>
      </c>
      <c r="B39">
        <f>IF(Registro_Compras!$R39&lt;&gt;"SI","",Registro_Compras!$C39)</f>
        <v/>
      </c>
      <c r="C39">
        <f>IF(Registro_Compras!$R39&lt;&gt;"SI","",Registro_Compras!$D39)</f>
        <v/>
      </c>
      <c r="D39">
        <f>IF(Registro_Compras!$R39&lt;&gt;"SI","",Registro_Compras!$E39)</f>
        <v/>
      </c>
      <c r="E39">
        <f>IF(Registro_Compras!$R39&lt;&gt;"SI","",Registro_Compras!$G39)</f>
        <v/>
      </c>
      <c r="F39" s="31">
        <f>IF(Registro_Compras!$R39&lt;&gt;"SI","",Registro_Compras!$P39)</f>
        <v/>
      </c>
      <c r="G39" s="20">
        <f>IF(Registro_Compras!$R39&lt;&gt;"SI","",Registro_Compras!$O39)</f>
        <v/>
      </c>
      <c r="H39" s="20">
        <f>IF(Registro_Compras!$R39&lt;&gt;"SI","",Registro_Compras!$S39)</f>
        <v/>
      </c>
      <c r="I39" s="25">
        <f>IF(Registro_Compras!$R39&lt;&gt;"SI","",IF(Registro_Compras!$Y39="",WORKDAY(EOMONTH(Registro_Compras!$B39,0),5,Feriados),MIN(Registro_Compras!$Y39,WORKDAY(EOMONTH(Registro_Compras!$B39,0),5,Feriados))))</f>
        <v/>
      </c>
      <c r="J39" s="25">
        <f>IF(Registro_Compras!$R39&lt;&gt;"SI","",Registro_Compras!$X39)</f>
        <v/>
      </c>
      <c r="K39">
        <f>IF(Registro_Compras!$R39&lt;&gt;"SI","",IF(Registro_Compras!$X39="","PENDIENTE","DEPOSITADA"))</f>
        <v/>
      </c>
      <c r="L39">
        <f>IF(Registro_Compras!$R39&lt;&gt;"SI","",Registro_Compras!$Z39)</f>
        <v/>
      </c>
      <c r="M39">
        <f>IF($K39&lt;&gt;"PENDIENTE","",IF(TODAY()&gt;$I39,TODAY()-$I39,0))</f>
        <v/>
      </c>
      <c r="N39">
        <f>IF($K39&lt;&gt;"PENDIENTE","",IF($M39&gt;0,"VENCIDA - DEPOSITAR YA",IF($I39-TODAY()&lt;=3,"POR VENCER","EN PLAZO")))</f>
        <v/>
      </c>
      <c r="P39" s="25" t="n"/>
    </row>
    <row r="40">
      <c r="A40" s="25">
        <f>IF(Registro_Compras!$R40&lt;&gt;"SI","",Registro_Compras!$B40)</f>
        <v/>
      </c>
      <c r="B40">
        <f>IF(Registro_Compras!$R40&lt;&gt;"SI","",Registro_Compras!$C40)</f>
        <v/>
      </c>
      <c r="C40">
        <f>IF(Registro_Compras!$R40&lt;&gt;"SI","",Registro_Compras!$D40)</f>
        <v/>
      </c>
      <c r="D40">
        <f>IF(Registro_Compras!$R40&lt;&gt;"SI","",Registro_Compras!$E40)</f>
        <v/>
      </c>
      <c r="E40">
        <f>IF(Registro_Compras!$R40&lt;&gt;"SI","",Registro_Compras!$G40)</f>
        <v/>
      </c>
      <c r="F40" s="31">
        <f>IF(Registro_Compras!$R40&lt;&gt;"SI","",Registro_Compras!$P40)</f>
        <v/>
      </c>
      <c r="G40" s="20">
        <f>IF(Registro_Compras!$R40&lt;&gt;"SI","",Registro_Compras!$O40)</f>
        <v/>
      </c>
      <c r="H40" s="20">
        <f>IF(Registro_Compras!$R40&lt;&gt;"SI","",Registro_Compras!$S40)</f>
        <v/>
      </c>
      <c r="I40" s="25">
        <f>IF(Registro_Compras!$R40&lt;&gt;"SI","",IF(Registro_Compras!$Y40="",WORKDAY(EOMONTH(Registro_Compras!$B40,0),5,Feriados),MIN(Registro_Compras!$Y40,WORKDAY(EOMONTH(Registro_Compras!$B40,0),5,Feriados))))</f>
        <v/>
      </c>
      <c r="J40" s="25">
        <f>IF(Registro_Compras!$R40&lt;&gt;"SI","",Registro_Compras!$X40)</f>
        <v/>
      </c>
      <c r="K40">
        <f>IF(Registro_Compras!$R40&lt;&gt;"SI","",IF(Registro_Compras!$X40="","PENDIENTE","DEPOSITADA"))</f>
        <v/>
      </c>
      <c r="L40">
        <f>IF(Registro_Compras!$R40&lt;&gt;"SI","",Registro_Compras!$Z40)</f>
        <v/>
      </c>
      <c r="M40">
        <f>IF($K40&lt;&gt;"PENDIENTE","",IF(TODAY()&gt;$I40,TODAY()-$I40,0))</f>
        <v/>
      </c>
      <c r="N40">
        <f>IF($K40&lt;&gt;"PENDIENTE","",IF($M40&gt;0,"VENCIDA - DEPOSITAR YA",IF($I40-TODAY()&lt;=3,"POR VENCER","EN PLAZO")))</f>
        <v/>
      </c>
      <c r="P40" s="25" t="n"/>
    </row>
    <row r="41">
      <c r="A41" s="25">
        <f>IF(Registro_Compras!$R41&lt;&gt;"SI","",Registro_Compras!$B41)</f>
        <v/>
      </c>
      <c r="B41">
        <f>IF(Registro_Compras!$R41&lt;&gt;"SI","",Registro_Compras!$C41)</f>
        <v/>
      </c>
      <c r="C41">
        <f>IF(Registro_Compras!$R41&lt;&gt;"SI","",Registro_Compras!$D41)</f>
        <v/>
      </c>
      <c r="D41">
        <f>IF(Registro_Compras!$R41&lt;&gt;"SI","",Registro_Compras!$E41)</f>
        <v/>
      </c>
      <c r="E41">
        <f>IF(Registro_Compras!$R41&lt;&gt;"SI","",Registro_Compras!$G41)</f>
        <v/>
      </c>
      <c r="F41" s="31">
        <f>IF(Registro_Compras!$R41&lt;&gt;"SI","",Registro_Compras!$P41)</f>
        <v/>
      </c>
      <c r="G41" s="20">
        <f>IF(Registro_Compras!$R41&lt;&gt;"SI","",Registro_Compras!$O41)</f>
        <v/>
      </c>
      <c r="H41" s="20">
        <f>IF(Registro_Compras!$R41&lt;&gt;"SI","",Registro_Compras!$S41)</f>
        <v/>
      </c>
      <c r="I41" s="25">
        <f>IF(Registro_Compras!$R41&lt;&gt;"SI","",IF(Registro_Compras!$Y41="",WORKDAY(EOMONTH(Registro_Compras!$B41,0),5,Feriados),MIN(Registro_Compras!$Y41,WORKDAY(EOMONTH(Registro_Compras!$B41,0),5,Feriados))))</f>
        <v/>
      </c>
      <c r="J41" s="25">
        <f>IF(Registro_Compras!$R41&lt;&gt;"SI","",Registro_Compras!$X41)</f>
        <v/>
      </c>
      <c r="K41">
        <f>IF(Registro_Compras!$R41&lt;&gt;"SI","",IF(Registro_Compras!$X41="","PENDIENTE","DEPOSITADA"))</f>
        <v/>
      </c>
      <c r="L41">
        <f>IF(Registro_Compras!$R41&lt;&gt;"SI","",Registro_Compras!$Z41)</f>
        <v/>
      </c>
      <c r="M41">
        <f>IF($K41&lt;&gt;"PENDIENTE","",IF(TODAY()&gt;$I41,TODAY()-$I41,0))</f>
        <v/>
      </c>
      <c r="N41">
        <f>IF($K41&lt;&gt;"PENDIENTE","",IF($M41&gt;0,"VENCIDA - DEPOSITAR YA",IF($I41-TODAY()&lt;=3,"POR VENCER","EN PLAZO")))</f>
        <v/>
      </c>
      <c r="P41" s="25" t="n"/>
    </row>
    <row r="42">
      <c r="A42" s="25">
        <f>IF(Registro_Compras!$R42&lt;&gt;"SI","",Registro_Compras!$B42)</f>
        <v/>
      </c>
      <c r="B42">
        <f>IF(Registro_Compras!$R42&lt;&gt;"SI","",Registro_Compras!$C42)</f>
        <v/>
      </c>
      <c r="C42">
        <f>IF(Registro_Compras!$R42&lt;&gt;"SI","",Registro_Compras!$D42)</f>
        <v/>
      </c>
      <c r="D42">
        <f>IF(Registro_Compras!$R42&lt;&gt;"SI","",Registro_Compras!$E42)</f>
        <v/>
      </c>
      <c r="E42">
        <f>IF(Registro_Compras!$R42&lt;&gt;"SI","",Registro_Compras!$G42)</f>
        <v/>
      </c>
      <c r="F42" s="31">
        <f>IF(Registro_Compras!$R42&lt;&gt;"SI","",Registro_Compras!$P42)</f>
        <v/>
      </c>
      <c r="G42" s="20">
        <f>IF(Registro_Compras!$R42&lt;&gt;"SI","",Registro_Compras!$O42)</f>
        <v/>
      </c>
      <c r="H42" s="20">
        <f>IF(Registro_Compras!$R42&lt;&gt;"SI","",Registro_Compras!$S42)</f>
        <v/>
      </c>
      <c r="I42" s="25">
        <f>IF(Registro_Compras!$R42&lt;&gt;"SI","",IF(Registro_Compras!$Y42="",WORKDAY(EOMONTH(Registro_Compras!$B42,0),5,Feriados),MIN(Registro_Compras!$Y42,WORKDAY(EOMONTH(Registro_Compras!$B42,0),5,Feriados))))</f>
        <v/>
      </c>
      <c r="J42" s="25">
        <f>IF(Registro_Compras!$R42&lt;&gt;"SI","",Registro_Compras!$X42)</f>
        <v/>
      </c>
      <c r="K42">
        <f>IF(Registro_Compras!$R42&lt;&gt;"SI","",IF(Registro_Compras!$X42="","PENDIENTE","DEPOSITADA"))</f>
        <v/>
      </c>
      <c r="L42">
        <f>IF(Registro_Compras!$R42&lt;&gt;"SI","",Registro_Compras!$Z42)</f>
        <v/>
      </c>
      <c r="M42">
        <f>IF($K42&lt;&gt;"PENDIENTE","",IF(TODAY()&gt;$I42,TODAY()-$I42,0))</f>
        <v/>
      </c>
      <c r="N42">
        <f>IF($K42&lt;&gt;"PENDIENTE","",IF($M42&gt;0,"VENCIDA - DEPOSITAR YA",IF($I42-TODAY()&lt;=3,"POR VENCER","EN PLAZO")))</f>
        <v/>
      </c>
      <c r="P42" s="25" t="n"/>
    </row>
    <row r="43">
      <c r="A43" s="25">
        <f>IF(Registro_Compras!$R43&lt;&gt;"SI","",Registro_Compras!$B43)</f>
        <v/>
      </c>
      <c r="B43">
        <f>IF(Registro_Compras!$R43&lt;&gt;"SI","",Registro_Compras!$C43)</f>
        <v/>
      </c>
      <c r="C43">
        <f>IF(Registro_Compras!$R43&lt;&gt;"SI","",Registro_Compras!$D43)</f>
        <v/>
      </c>
      <c r="D43">
        <f>IF(Registro_Compras!$R43&lt;&gt;"SI","",Registro_Compras!$E43)</f>
        <v/>
      </c>
      <c r="E43">
        <f>IF(Registro_Compras!$R43&lt;&gt;"SI","",Registro_Compras!$G43)</f>
        <v/>
      </c>
      <c r="F43" s="31">
        <f>IF(Registro_Compras!$R43&lt;&gt;"SI","",Registro_Compras!$P43)</f>
        <v/>
      </c>
      <c r="G43" s="20">
        <f>IF(Registro_Compras!$R43&lt;&gt;"SI","",Registro_Compras!$O43)</f>
        <v/>
      </c>
      <c r="H43" s="20">
        <f>IF(Registro_Compras!$R43&lt;&gt;"SI","",Registro_Compras!$S43)</f>
        <v/>
      </c>
      <c r="I43" s="25">
        <f>IF(Registro_Compras!$R43&lt;&gt;"SI","",IF(Registro_Compras!$Y43="",WORKDAY(EOMONTH(Registro_Compras!$B43,0),5,Feriados),MIN(Registro_Compras!$Y43,WORKDAY(EOMONTH(Registro_Compras!$B43,0),5,Feriados))))</f>
        <v/>
      </c>
      <c r="J43" s="25">
        <f>IF(Registro_Compras!$R43&lt;&gt;"SI","",Registro_Compras!$X43)</f>
        <v/>
      </c>
      <c r="K43">
        <f>IF(Registro_Compras!$R43&lt;&gt;"SI","",IF(Registro_Compras!$X43="","PENDIENTE","DEPOSITADA"))</f>
        <v/>
      </c>
      <c r="L43">
        <f>IF(Registro_Compras!$R43&lt;&gt;"SI","",Registro_Compras!$Z43)</f>
        <v/>
      </c>
      <c r="M43">
        <f>IF($K43&lt;&gt;"PENDIENTE","",IF(TODAY()&gt;$I43,TODAY()-$I43,0))</f>
        <v/>
      </c>
      <c r="N43">
        <f>IF($K43&lt;&gt;"PENDIENTE","",IF($M43&gt;0,"VENCIDA - DEPOSITAR YA",IF($I43-TODAY()&lt;=3,"POR VENCER","EN PLAZO")))</f>
        <v/>
      </c>
      <c r="P43" s="25" t="n"/>
    </row>
    <row r="44">
      <c r="A44" s="25">
        <f>IF(Registro_Compras!$R44&lt;&gt;"SI","",Registro_Compras!$B44)</f>
        <v/>
      </c>
      <c r="B44">
        <f>IF(Registro_Compras!$R44&lt;&gt;"SI","",Registro_Compras!$C44)</f>
        <v/>
      </c>
      <c r="C44">
        <f>IF(Registro_Compras!$R44&lt;&gt;"SI","",Registro_Compras!$D44)</f>
        <v/>
      </c>
      <c r="D44">
        <f>IF(Registro_Compras!$R44&lt;&gt;"SI","",Registro_Compras!$E44)</f>
        <v/>
      </c>
      <c r="E44">
        <f>IF(Registro_Compras!$R44&lt;&gt;"SI","",Registro_Compras!$G44)</f>
        <v/>
      </c>
      <c r="F44" s="31">
        <f>IF(Registro_Compras!$R44&lt;&gt;"SI","",Registro_Compras!$P44)</f>
        <v/>
      </c>
      <c r="G44" s="20">
        <f>IF(Registro_Compras!$R44&lt;&gt;"SI","",Registro_Compras!$O44)</f>
        <v/>
      </c>
      <c r="H44" s="20">
        <f>IF(Registro_Compras!$R44&lt;&gt;"SI","",Registro_Compras!$S44)</f>
        <v/>
      </c>
      <c r="I44" s="25">
        <f>IF(Registro_Compras!$R44&lt;&gt;"SI","",IF(Registro_Compras!$Y44="",WORKDAY(EOMONTH(Registro_Compras!$B44,0),5,Feriados),MIN(Registro_Compras!$Y44,WORKDAY(EOMONTH(Registro_Compras!$B44,0),5,Feriados))))</f>
        <v/>
      </c>
      <c r="J44" s="25">
        <f>IF(Registro_Compras!$R44&lt;&gt;"SI","",Registro_Compras!$X44)</f>
        <v/>
      </c>
      <c r="K44">
        <f>IF(Registro_Compras!$R44&lt;&gt;"SI","",IF(Registro_Compras!$X44="","PENDIENTE","DEPOSITADA"))</f>
        <v/>
      </c>
      <c r="L44">
        <f>IF(Registro_Compras!$R44&lt;&gt;"SI","",Registro_Compras!$Z44)</f>
        <v/>
      </c>
      <c r="M44">
        <f>IF($K44&lt;&gt;"PENDIENTE","",IF(TODAY()&gt;$I44,TODAY()-$I44,0))</f>
        <v/>
      </c>
      <c r="N44">
        <f>IF($K44&lt;&gt;"PENDIENTE","",IF($M44&gt;0,"VENCIDA - DEPOSITAR YA",IF($I44-TODAY()&lt;=3,"POR VENCER","EN PLAZO")))</f>
        <v/>
      </c>
      <c r="P44" s="25" t="n"/>
    </row>
    <row r="45">
      <c r="A45" s="25">
        <f>IF(Registro_Compras!$R45&lt;&gt;"SI","",Registro_Compras!$B45)</f>
        <v/>
      </c>
      <c r="B45">
        <f>IF(Registro_Compras!$R45&lt;&gt;"SI","",Registro_Compras!$C45)</f>
        <v/>
      </c>
      <c r="C45">
        <f>IF(Registro_Compras!$R45&lt;&gt;"SI","",Registro_Compras!$D45)</f>
        <v/>
      </c>
      <c r="D45">
        <f>IF(Registro_Compras!$R45&lt;&gt;"SI","",Registro_Compras!$E45)</f>
        <v/>
      </c>
      <c r="E45">
        <f>IF(Registro_Compras!$R45&lt;&gt;"SI","",Registro_Compras!$G45)</f>
        <v/>
      </c>
      <c r="F45" s="31">
        <f>IF(Registro_Compras!$R45&lt;&gt;"SI","",Registro_Compras!$P45)</f>
        <v/>
      </c>
      <c r="G45" s="20">
        <f>IF(Registro_Compras!$R45&lt;&gt;"SI","",Registro_Compras!$O45)</f>
        <v/>
      </c>
      <c r="H45" s="20">
        <f>IF(Registro_Compras!$R45&lt;&gt;"SI","",Registro_Compras!$S45)</f>
        <v/>
      </c>
      <c r="I45" s="25">
        <f>IF(Registro_Compras!$R45&lt;&gt;"SI","",IF(Registro_Compras!$Y45="",WORKDAY(EOMONTH(Registro_Compras!$B45,0),5,Feriados),MIN(Registro_Compras!$Y45,WORKDAY(EOMONTH(Registro_Compras!$B45,0),5,Feriados))))</f>
        <v/>
      </c>
      <c r="J45" s="25">
        <f>IF(Registro_Compras!$R45&lt;&gt;"SI","",Registro_Compras!$X45)</f>
        <v/>
      </c>
      <c r="K45">
        <f>IF(Registro_Compras!$R45&lt;&gt;"SI","",IF(Registro_Compras!$X45="","PENDIENTE","DEPOSITADA"))</f>
        <v/>
      </c>
      <c r="L45">
        <f>IF(Registro_Compras!$R45&lt;&gt;"SI","",Registro_Compras!$Z45)</f>
        <v/>
      </c>
      <c r="M45">
        <f>IF($K45&lt;&gt;"PENDIENTE","",IF(TODAY()&gt;$I45,TODAY()-$I45,0))</f>
        <v/>
      </c>
      <c r="N45">
        <f>IF($K45&lt;&gt;"PENDIENTE","",IF($M45&gt;0,"VENCIDA - DEPOSITAR YA",IF($I45-TODAY()&lt;=3,"POR VENCER","EN PLAZO")))</f>
        <v/>
      </c>
      <c r="P45" s="25" t="n"/>
    </row>
    <row r="46">
      <c r="A46" s="25">
        <f>IF(Registro_Compras!$R46&lt;&gt;"SI","",Registro_Compras!$B46)</f>
        <v/>
      </c>
      <c r="B46">
        <f>IF(Registro_Compras!$R46&lt;&gt;"SI","",Registro_Compras!$C46)</f>
        <v/>
      </c>
      <c r="C46">
        <f>IF(Registro_Compras!$R46&lt;&gt;"SI","",Registro_Compras!$D46)</f>
        <v/>
      </c>
      <c r="D46">
        <f>IF(Registro_Compras!$R46&lt;&gt;"SI","",Registro_Compras!$E46)</f>
        <v/>
      </c>
      <c r="E46">
        <f>IF(Registro_Compras!$R46&lt;&gt;"SI","",Registro_Compras!$G46)</f>
        <v/>
      </c>
      <c r="F46" s="31">
        <f>IF(Registro_Compras!$R46&lt;&gt;"SI","",Registro_Compras!$P46)</f>
        <v/>
      </c>
      <c r="G46" s="20">
        <f>IF(Registro_Compras!$R46&lt;&gt;"SI","",Registro_Compras!$O46)</f>
        <v/>
      </c>
      <c r="H46" s="20">
        <f>IF(Registro_Compras!$R46&lt;&gt;"SI","",Registro_Compras!$S46)</f>
        <v/>
      </c>
      <c r="I46" s="25">
        <f>IF(Registro_Compras!$R46&lt;&gt;"SI","",IF(Registro_Compras!$Y46="",WORKDAY(EOMONTH(Registro_Compras!$B46,0),5,Feriados),MIN(Registro_Compras!$Y46,WORKDAY(EOMONTH(Registro_Compras!$B46,0),5,Feriados))))</f>
        <v/>
      </c>
      <c r="J46" s="25">
        <f>IF(Registro_Compras!$R46&lt;&gt;"SI","",Registro_Compras!$X46)</f>
        <v/>
      </c>
      <c r="K46">
        <f>IF(Registro_Compras!$R46&lt;&gt;"SI","",IF(Registro_Compras!$X46="","PENDIENTE","DEPOSITADA"))</f>
        <v/>
      </c>
      <c r="L46">
        <f>IF(Registro_Compras!$R46&lt;&gt;"SI","",Registro_Compras!$Z46)</f>
        <v/>
      </c>
      <c r="M46">
        <f>IF($K46&lt;&gt;"PENDIENTE","",IF(TODAY()&gt;$I46,TODAY()-$I46,0))</f>
        <v/>
      </c>
      <c r="N46">
        <f>IF($K46&lt;&gt;"PENDIENTE","",IF($M46&gt;0,"VENCIDA - DEPOSITAR YA",IF($I46-TODAY()&lt;=3,"POR VENCER","EN PLAZO")))</f>
        <v/>
      </c>
      <c r="P46" s="25" t="n"/>
    </row>
    <row r="47">
      <c r="A47" s="25">
        <f>IF(Registro_Compras!$R47&lt;&gt;"SI","",Registro_Compras!$B47)</f>
        <v/>
      </c>
      <c r="B47">
        <f>IF(Registro_Compras!$R47&lt;&gt;"SI","",Registro_Compras!$C47)</f>
        <v/>
      </c>
      <c r="C47">
        <f>IF(Registro_Compras!$R47&lt;&gt;"SI","",Registro_Compras!$D47)</f>
        <v/>
      </c>
      <c r="D47">
        <f>IF(Registro_Compras!$R47&lt;&gt;"SI","",Registro_Compras!$E47)</f>
        <v/>
      </c>
      <c r="E47">
        <f>IF(Registro_Compras!$R47&lt;&gt;"SI","",Registro_Compras!$G47)</f>
        <v/>
      </c>
      <c r="F47" s="31">
        <f>IF(Registro_Compras!$R47&lt;&gt;"SI","",Registro_Compras!$P47)</f>
        <v/>
      </c>
      <c r="G47" s="20">
        <f>IF(Registro_Compras!$R47&lt;&gt;"SI","",Registro_Compras!$O47)</f>
        <v/>
      </c>
      <c r="H47" s="20">
        <f>IF(Registro_Compras!$R47&lt;&gt;"SI","",Registro_Compras!$S47)</f>
        <v/>
      </c>
      <c r="I47" s="25">
        <f>IF(Registro_Compras!$R47&lt;&gt;"SI","",IF(Registro_Compras!$Y47="",WORKDAY(EOMONTH(Registro_Compras!$B47,0),5,Feriados),MIN(Registro_Compras!$Y47,WORKDAY(EOMONTH(Registro_Compras!$B47,0),5,Feriados))))</f>
        <v/>
      </c>
      <c r="J47" s="25">
        <f>IF(Registro_Compras!$R47&lt;&gt;"SI","",Registro_Compras!$X47)</f>
        <v/>
      </c>
      <c r="K47">
        <f>IF(Registro_Compras!$R47&lt;&gt;"SI","",IF(Registro_Compras!$X47="","PENDIENTE","DEPOSITADA"))</f>
        <v/>
      </c>
      <c r="L47">
        <f>IF(Registro_Compras!$R47&lt;&gt;"SI","",Registro_Compras!$Z47)</f>
        <v/>
      </c>
      <c r="M47">
        <f>IF($K47&lt;&gt;"PENDIENTE","",IF(TODAY()&gt;$I47,TODAY()-$I47,0))</f>
        <v/>
      </c>
      <c r="N47">
        <f>IF($K47&lt;&gt;"PENDIENTE","",IF($M47&gt;0,"VENCIDA - DEPOSITAR YA",IF($I47-TODAY()&lt;=3,"POR VENCER","EN PLAZO")))</f>
        <v/>
      </c>
      <c r="P47" s="25" t="n"/>
    </row>
    <row r="48">
      <c r="A48" s="25">
        <f>IF(Registro_Compras!$R48&lt;&gt;"SI","",Registro_Compras!$B48)</f>
        <v/>
      </c>
      <c r="B48">
        <f>IF(Registro_Compras!$R48&lt;&gt;"SI","",Registro_Compras!$C48)</f>
        <v/>
      </c>
      <c r="C48">
        <f>IF(Registro_Compras!$R48&lt;&gt;"SI","",Registro_Compras!$D48)</f>
        <v/>
      </c>
      <c r="D48">
        <f>IF(Registro_Compras!$R48&lt;&gt;"SI","",Registro_Compras!$E48)</f>
        <v/>
      </c>
      <c r="E48">
        <f>IF(Registro_Compras!$R48&lt;&gt;"SI","",Registro_Compras!$G48)</f>
        <v/>
      </c>
      <c r="F48" s="31">
        <f>IF(Registro_Compras!$R48&lt;&gt;"SI","",Registro_Compras!$P48)</f>
        <v/>
      </c>
      <c r="G48" s="20">
        <f>IF(Registro_Compras!$R48&lt;&gt;"SI","",Registro_Compras!$O48)</f>
        <v/>
      </c>
      <c r="H48" s="20">
        <f>IF(Registro_Compras!$R48&lt;&gt;"SI","",Registro_Compras!$S48)</f>
        <v/>
      </c>
      <c r="I48" s="25">
        <f>IF(Registro_Compras!$R48&lt;&gt;"SI","",IF(Registro_Compras!$Y48="",WORKDAY(EOMONTH(Registro_Compras!$B48,0),5,Feriados),MIN(Registro_Compras!$Y48,WORKDAY(EOMONTH(Registro_Compras!$B48,0),5,Feriados))))</f>
        <v/>
      </c>
      <c r="J48" s="25">
        <f>IF(Registro_Compras!$R48&lt;&gt;"SI","",Registro_Compras!$X48)</f>
        <v/>
      </c>
      <c r="K48">
        <f>IF(Registro_Compras!$R48&lt;&gt;"SI","",IF(Registro_Compras!$X48="","PENDIENTE","DEPOSITADA"))</f>
        <v/>
      </c>
      <c r="L48">
        <f>IF(Registro_Compras!$R48&lt;&gt;"SI","",Registro_Compras!$Z48)</f>
        <v/>
      </c>
      <c r="M48">
        <f>IF($K48&lt;&gt;"PENDIENTE","",IF(TODAY()&gt;$I48,TODAY()-$I48,0))</f>
        <v/>
      </c>
      <c r="N48">
        <f>IF($K48&lt;&gt;"PENDIENTE","",IF($M48&gt;0,"VENCIDA - DEPOSITAR YA",IF($I48-TODAY()&lt;=3,"POR VENCER","EN PLAZO")))</f>
        <v/>
      </c>
      <c r="P48" s="25" t="n"/>
    </row>
    <row r="49">
      <c r="A49" s="25">
        <f>IF(Registro_Compras!$R49&lt;&gt;"SI","",Registro_Compras!$B49)</f>
        <v/>
      </c>
      <c r="B49">
        <f>IF(Registro_Compras!$R49&lt;&gt;"SI","",Registro_Compras!$C49)</f>
        <v/>
      </c>
      <c r="C49">
        <f>IF(Registro_Compras!$R49&lt;&gt;"SI","",Registro_Compras!$D49)</f>
        <v/>
      </c>
      <c r="D49">
        <f>IF(Registro_Compras!$R49&lt;&gt;"SI","",Registro_Compras!$E49)</f>
        <v/>
      </c>
      <c r="E49">
        <f>IF(Registro_Compras!$R49&lt;&gt;"SI","",Registro_Compras!$G49)</f>
        <v/>
      </c>
      <c r="F49" s="31">
        <f>IF(Registro_Compras!$R49&lt;&gt;"SI","",Registro_Compras!$P49)</f>
        <v/>
      </c>
      <c r="G49" s="20">
        <f>IF(Registro_Compras!$R49&lt;&gt;"SI","",Registro_Compras!$O49)</f>
        <v/>
      </c>
      <c r="H49" s="20">
        <f>IF(Registro_Compras!$R49&lt;&gt;"SI","",Registro_Compras!$S49)</f>
        <v/>
      </c>
      <c r="I49" s="25">
        <f>IF(Registro_Compras!$R49&lt;&gt;"SI","",IF(Registro_Compras!$Y49="",WORKDAY(EOMONTH(Registro_Compras!$B49,0),5,Feriados),MIN(Registro_Compras!$Y49,WORKDAY(EOMONTH(Registro_Compras!$B49,0),5,Feriados))))</f>
        <v/>
      </c>
      <c r="J49" s="25">
        <f>IF(Registro_Compras!$R49&lt;&gt;"SI","",Registro_Compras!$X49)</f>
        <v/>
      </c>
      <c r="K49">
        <f>IF(Registro_Compras!$R49&lt;&gt;"SI","",IF(Registro_Compras!$X49="","PENDIENTE","DEPOSITADA"))</f>
        <v/>
      </c>
      <c r="L49">
        <f>IF(Registro_Compras!$R49&lt;&gt;"SI","",Registro_Compras!$Z49)</f>
        <v/>
      </c>
      <c r="M49">
        <f>IF($K49&lt;&gt;"PENDIENTE","",IF(TODAY()&gt;$I49,TODAY()-$I49,0))</f>
        <v/>
      </c>
      <c r="N49">
        <f>IF($K49&lt;&gt;"PENDIENTE","",IF($M49&gt;0,"VENCIDA - DEPOSITAR YA",IF($I49-TODAY()&lt;=3,"POR VENCER","EN PLAZO")))</f>
        <v/>
      </c>
      <c r="P49" s="25" t="n"/>
    </row>
    <row r="50">
      <c r="A50" s="25">
        <f>IF(Registro_Compras!$R50&lt;&gt;"SI","",Registro_Compras!$B50)</f>
        <v/>
      </c>
      <c r="B50">
        <f>IF(Registro_Compras!$R50&lt;&gt;"SI","",Registro_Compras!$C50)</f>
        <v/>
      </c>
      <c r="C50">
        <f>IF(Registro_Compras!$R50&lt;&gt;"SI","",Registro_Compras!$D50)</f>
        <v/>
      </c>
      <c r="D50">
        <f>IF(Registro_Compras!$R50&lt;&gt;"SI","",Registro_Compras!$E50)</f>
        <v/>
      </c>
      <c r="E50">
        <f>IF(Registro_Compras!$R50&lt;&gt;"SI","",Registro_Compras!$G50)</f>
        <v/>
      </c>
      <c r="F50" s="31">
        <f>IF(Registro_Compras!$R50&lt;&gt;"SI","",Registro_Compras!$P50)</f>
        <v/>
      </c>
      <c r="G50" s="20">
        <f>IF(Registro_Compras!$R50&lt;&gt;"SI","",Registro_Compras!$O50)</f>
        <v/>
      </c>
      <c r="H50" s="20">
        <f>IF(Registro_Compras!$R50&lt;&gt;"SI","",Registro_Compras!$S50)</f>
        <v/>
      </c>
      <c r="I50" s="25">
        <f>IF(Registro_Compras!$R50&lt;&gt;"SI","",IF(Registro_Compras!$Y50="",WORKDAY(EOMONTH(Registro_Compras!$B50,0),5,Feriados),MIN(Registro_Compras!$Y50,WORKDAY(EOMONTH(Registro_Compras!$B50,0),5,Feriados))))</f>
        <v/>
      </c>
      <c r="J50" s="25">
        <f>IF(Registro_Compras!$R50&lt;&gt;"SI","",Registro_Compras!$X50)</f>
        <v/>
      </c>
      <c r="K50">
        <f>IF(Registro_Compras!$R50&lt;&gt;"SI","",IF(Registro_Compras!$X50="","PENDIENTE","DEPOSITADA"))</f>
        <v/>
      </c>
      <c r="L50">
        <f>IF(Registro_Compras!$R50&lt;&gt;"SI","",Registro_Compras!$Z50)</f>
        <v/>
      </c>
      <c r="M50">
        <f>IF($K50&lt;&gt;"PENDIENTE","",IF(TODAY()&gt;$I50,TODAY()-$I50,0))</f>
        <v/>
      </c>
      <c r="N50">
        <f>IF($K50&lt;&gt;"PENDIENTE","",IF($M50&gt;0,"VENCIDA - DEPOSITAR YA",IF($I50-TODAY()&lt;=3,"POR VENCER","EN PLAZO")))</f>
        <v/>
      </c>
      <c r="P50" s="25" t="n"/>
    </row>
    <row r="51">
      <c r="A51" s="25">
        <f>IF(Registro_Compras!$R51&lt;&gt;"SI","",Registro_Compras!$B51)</f>
        <v/>
      </c>
      <c r="B51">
        <f>IF(Registro_Compras!$R51&lt;&gt;"SI","",Registro_Compras!$C51)</f>
        <v/>
      </c>
      <c r="C51">
        <f>IF(Registro_Compras!$R51&lt;&gt;"SI","",Registro_Compras!$D51)</f>
        <v/>
      </c>
      <c r="D51">
        <f>IF(Registro_Compras!$R51&lt;&gt;"SI","",Registro_Compras!$E51)</f>
        <v/>
      </c>
      <c r="E51">
        <f>IF(Registro_Compras!$R51&lt;&gt;"SI","",Registro_Compras!$G51)</f>
        <v/>
      </c>
      <c r="F51" s="31">
        <f>IF(Registro_Compras!$R51&lt;&gt;"SI","",Registro_Compras!$P51)</f>
        <v/>
      </c>
      <c r="G51" s="20">
        <f>IF(Registro_Compras!$R51&lt;&gt;"SI","",Registro_Compras!$O51)</f>
        <v/>
      </c>
      <c r="H51" s="20">
        <f>IF(Registro_Compras!$R51&lt;&gt;"SI","",Registro_Compras!$S51)</f>
        <v/>
      </c>
      <c r="I51" s="25">
        <f>IF(Registro_Compras!$R51&lt;&gt;"SI","",IF(Registro_Compras!$Y51="",WORKDAY(EOMONTH(Registro_Compras!$B51,0),5,Feriados),MIN(Registro_Compras!$Y51,WORKDAY(EOMONTH(Registro_Compras!$B51,0),5,Feriados))))</f>
        <v/>
      </c>
      <c r="J51" s="25">
        <f>IF(Registro_Compras!$R51&lt;&gt;"SI","",Registro_Compras!$X51)</f>
        <v/>
      </c>
      <c r="K51">
        <f>IF(Registro_Compras!$R51&lt;&gt;"SI","",IF(Registro_Compras!$X51="","PENDIENTE","DEPOSITADA"))</f>
        <v/>
      </c>
      <c r="L51">
        <f>IF(Registro_Compras!$R51&lt;&gt;"SI","",Registro_Compras!$Z51)</f>
        <v/>
      </c>
      <c r="M51">
        <f>IF($K51&lt;&gt;"PENDIENTE","",IF(TODAY()&gt;$I51,TODAY()-$I51,0))</f>
        <v/>
      </c>
      <c r="N51">
        <f>IF($K51&lt;&gt;"PENDIENTE","",IF($M51&gt;0,"VENCIDA - DEPOSITAR YA",IF($I51-TODAY()&lt;=3,"POR VENCER","EN PLAZO")))</f>
        <v/>
      </c>
      <c r="P51" s="25" t="n"/>
    </row>
    <row r="52">
      <c r="A52" s="25">
        <f>IF(Registro_Compras!$R52&lt;&gt;"SI","",Registro_Compras!$B52)</f>
        <v/>
      </c>
      <c r="B52">
        <f>IF(Registro_Compras!$R52&lt;&gt;"SI","",Registro_Compras!$C52)</f>
        <v/>
      </c>
      <c r="C52">
        <f>IF(Registro_Compras!$R52&lt;&gt;"SI","",Registro_Compras!$D52)</f>
        <v/>
      </c>
      <c r="D52">
        <f>IF(Registro_Compras!$R52&lt;&gt;"SI","",Registro_Compras!$E52)</f>
        <v/>
      </c>
      <c r="E52">
        <f>IF(Registro_Compras!$R52&lt;&gt;"SI","",Registro_Compras!$G52)</f>
        <v/>
      </c>
      <c r="F52" s="31">
        <f>IF(Registro_Compras!$R52&lt;&gt;"SI","",Registro_Compras!$P52)</f>
        <v/>
      </c>
      <c r="G52" s="20">
        <f>IF(Registro_Compras!$R52&lt;&gt;"SI","",Registro_Compras!$O52)</f>
        <v/>
      </c>
      <c r="H52" s="20">
        <f>IF(Registro_Compras!$R52&lt;&gt;"SI","",Registro_Compras!$S52)</f>
        <v/>
      </c>
      <c r="I52" s="25">
        <f>IF(Registro_Compras!$R52&lt;&gt;"SI","",IF(Registro_Compras!$Y52="",WORKDAY(EOMONTH(Registro_Compras!$B52,0),5,Feriados),MIN(Registro_Compras!$Y52,WORKDAY(EOMONTH(Registro_Compras!$B52,0),5,Feriados))))</f>
        <v/>
      </c>
      <c r="J52" s="25">
        <f>IF(Registro_Compras!$R52&lt;&gt;"SI","",Registro_Compras!$X52)</f>
        <v/>
      </c>
      <c r="K52">
        <f>IF(Registro_Compras!$R52&lt;&gt;"SI","",IF(Registro_Compras!$X52="","PENDIENTE","DEPOSITADA"))</f>
        <v/>
      </c>
      <c r="L52">
        <f>IF(Registro_Compras!$R52&lt;&gt;"SI","",Registro_Compras!$Z52)</f>
        <v/>
      </c>
      <c r="M52">
        <f>IF($K52&lt;&gt;"PENDIENTE","",IF(TODAY()&gt;$I52,TODAY()-$I52,0))</f>
        <v/>
      </c>
      <c r="N52">
        <f>IF($K52&lt;&gt;"PENDIENTE","",IF($M52&gt;0,"VENCIDA - DEPOSITAR YA",IF($I52-TODAY()&lt;=3,"POR VENCER","EN PLAZO")))</f>
        <v/>
      </c>
      <c r="P52" s="25" t="n"/>
    </row>
    <row r="53">
      <c r="A53" s="25">
        <f>IF(Registro_Compras!$R53&lt;&gt;"SI","",Registro_Compras!$B53)</f>
        <v/>
      </c>
      <c r="B53">
        <f>IF(Registro_Compras!$R53&lt;&gt;"SI","",Registro_Compras!$C53)</f>
        <v/>
      </c>
      <c r="C53">
        <f>IF(Registro_Compras!$R53&lt;&gt;"SI","",Registro_Compras!$D53)</f>
        <v/>
      </c>
      <c r="D53">
        <f>IF(Registro_Compras!$R53&lt;&gt;"SI","",Registro_Compras!$E53)</f>
        <v/>
      </c>
      <c r="E53">
        <f>IF(Registro_Compras!$R53&lt;&gt;"SI","",Registro_Compras!$G53)</f>
        <v/>
      </c>
      <c r="F53" s="31">
        <f>IF(Registro_Compras!$R53&lt;&gt;"SI","",Registro_Compras!$P53)</f>
        <v/>
      </c>
      <c r="G53" s="20">
        <f>IF(Registro_Compras!$R53&lt;&gt;"SI","",Registro_Compras!$O53)</f>
        <v/>
      </c>
      <c r="H53" s="20">
        <f>IF(Registro_Compras!$R53&lt;&gt;"SI","",Registro_Compras!$S53)</f>
        <v/>
      </c>
      <c r="I53" s="25">
        <f>IF(Registro_Compras!$R53&lt;&gt;"SI","",IF(Registro_Compras!$Y53="",WORKDAY(EOMONTH(Registro_Compras!$B53,0),5,Feriados),MIN(Registro_Compras!$Y53,WORKDAY(EOMONTH(Registro_Compras!$B53,0),5,Feriados))))</f>
        <v/>
      </c>
      <c r="J53" s="25">
        <f>IF(Registro_Compras!$R53&lt;&gt;"SI","",Registro_Compras!$X53)</f>
        <v/>
      </c>
      <c r="K53">
        <f>IF(Registro_Compras!$R53&lt;&gt;"SI","",IF(Registro_Compras!$X53="","PENDIENTE","DEPOSITADA"))</f>
        <v/>
      </c>
      <c r="L53">
        <f>IF(Registro_Compras!$R53&lt;&gt;"SI","",Registro_Compras!$Z53)</f>
        <v/>
      </c>
      <c r="M53">
        <f>IF($K53&lt;&gt;"PENDIENTE","",IF(TODAY()&gt;$I53,TODAY()-$I53,0))</f>
        <v/>
      </c>
      <c r="N53">
        <f>IF($K53&lt;&gt;"PENDIENTE","",IF($M53&gt;0,"VENCIDA - DEPOSITAR YA",IF($I53-TODAY()&lt;=3,"POR VENCER","EN PLAZO")))</f>
        <v/>
      </c>
      <c r="P53" s="25" t="n"/>
    </row>
    <row r="54">
      <c r="A54" s="25">
        <f>IF(Registro_Compras!$R54&lt;&gt;"SI","",Registro_Compras!$B54)</f>
        <v/>
      </c>
      <c r="B54">
        <f>IF(Registro_Compras!$R54&lt;&gt;"SI","",Registro_Compras!$C54)</f>
        <v/>
      </c>
      <c r="C54">
        <f>IF(Registro_Compras!$R54&lt;&gt;"SI","",Registro_Compras!$D54)</f>
        <v/>
      </c>
      <c r="D54">
        <f>IF(Registro_Compras!$R54&lt;&gt;"SI","",Registro_Compras!$E54)</f>
        <v/>
      </c>
      <c r="E54">
        <f>IF(Registro_Compras!$R54&lt;&gt;"SI","",Registro_Compras!$G54)</f>
        <v/>
      </c>
      <c r="F54" s="31">
        <f>IF(Registro_Compras!$R54&lt;&gt;"SI","",Registro_Compras!$P54)</f>
        <v/>
      </c>
      <c r="G54" s="20">
        <f>IF(Registro_Compras!$R54&lt;&gt;"SI","",Registro_Compras!$O54)</f>
        <v/>
      </c>
      <c r="H54" s="20">
        <f>IF(Registro_Compras!$R54&lt;&gt;"SI","",Registro_Compras!$S54)</f>
        <v/>
      </c>
      <c r="I54" s="25">
        <f>IF(Registro_Compras!$R54&lt;&gt;"SI","",IF(Registro_Compras!$Y54="",WORKDAY(EOMONTH(Registro_Compras!$B54,0),5,Feriados),MIN(Registro_Compras!$Y54,WORKDAY(EOMONTH(Registro_Compras!$B54,0),5,Feriados))))</f>
        <v/>
      </c>
      <c r="J54" s="25">
        <f>IF(Registro_Compras!$R54&lt;&gt;"SI","",Registro_Compras!$X54)</f>
        <v/>
      </c>
      <c r="K54">
        <f>IF(Registro_Compras!$R54&lt;&gt;"SI","",IF(Registro_Compras!$X54="","PENDIENTE","DEPOSITADA"))</f>
        <v/>
      </c>
      <c r="L54">
        <f>IF(Registro_Compras!$R54&lt;&gt;"SI","",Registro_Compras!$Z54)</f>
        <v/>
      </c>
      <c r="M54">
        <f>IF($K54&lt;&gt;"PENDIENTE","",IF(TODAY()&gt;$I54,TODAY()-$I54,0))</f>
        <v/>
      </c>
      <c r="N54">
        <f>IF($K54&lt;&gt;"PENDIENTE","",IF($M54&gt;0,"VENCIDA - DEPOSITAR YA",IF($I54-TODAY()&lt;=3,"POR VENCER","EN PLAZO")))</f>
        <v/>
      </c>
      <c r="P54" s="25" t="n"/>
    </row>
    <row r="55">
      <c r="A55" s="25">
        <f>IF(Registro_Compras!$R55&lt;&gt;"SI","",Registro_Compras!$B55)</f>
        <v/>
      </c>
      <c r="B55">
        <f>IF(Registro_Compras!$R55&lt;&gt;"SI","",Registro_Compras!$C55)</f>
        <v/>
      </c>
      <c r="C55">
        <f>IF(Registro_Compras!$R55&lt;&gt;"SI","",Registro_Compras!$D55)</f>
        <v/>
      </c>
      <c r="D55">
        <f>IF(Registro_Compras!$R55&lt;&gt;"SI","",Registro_Compras!$E55)</f>
        <v/>
      </c>
      <c r="E55">
        <f>IF(Registro_Compras!$R55&lt;&gt;"SI","",Registro_Compras!$G55)</f>
        <v/>
      </c>
      <c r="F55" s="31">
        <f>IF(Registro_Compras!$R55&lt;&gt;"SI","",Registro_Compras!$P55)</f>
        <v/>
      </c>
      <c r="G55" s="20">
        <f>IF(Registro_Compras!$R55&lt;&gt;"SI","",Registro_Compras!$O55)</f>
        <v/>
      </c>
      <c r="H55" s="20">
        <f>IF(Registro_Compras!$R55&lt;&gt;"SI","",Registro_Compras!$S55)</f>
        <v/>
      </c>
      <c r="I55" s="25">
        <f>IF(Registro_Compras!$R55&lt;&gt;"SI","",IF(Registro_Compras!$Y55="",WORKDAY(EOMONTH(Registro_Compras!$B55,0),5,Feriados),MIN(Registro_Compras!$Y55,WORKDAY(EOMONTH(Registro_Compras!$B55,0),5,Feriados))))</f>
        <v/>
      </c>
      <c r="J55" s="25">
        <f>IF(Registro_Compras!$R55&lt;&gt;"SI","",Registro_Compras!$X55)</f>
        <v/>
      </c>
      <c r="K55">
        <f>IF(Registro_Compras!$R55&lt;&gt;"SI","",IF(Registro_Compras!$X55="","PENDIENTE","DEPOSITADA"))</f>
        <v/>
      </c>
      <c r="L55">
        <f>IF(Registro_Compras!$R55&lt;&gt;"SI","",Registro_Compras!$Z55)</f>
        <v/>
      </c>
      <c r="M55">
        <f>IF($K55&lt;&gt;"PENDIENTE","",IF(TODAY()&gt;$I55,TODAY()-$I55,0))</f>
        <v/>
      </c>
      <c r="N55">
        <f>IF($K55&lt;&gt;"PENDIENTE","",IF($M55&gt;0,"VENCIDA - DEPOSITAR YA",IF($I55-TODAY()&lt;=3,"POR VENCER","EN PLAZO")))</f>
        <v/>
      </c>
      <c r="P55" s="25" t="n"/>
    </row>
    <row r="56">
      <c r="A56" s="25">
        <f>IF(Registro_Compras!$R56&lt;&gt;"SI","",Registro_Compras!$B56)</f>
        <v/>
      </c>
      <c r="B56">
        <f>IF(Registro_Compras!$R56&lt;&gt;"SI","",Registro_Compras!$C56)</f>
        <v/>
      </c>
      <c r="C56">
        <f>IF(Registro_Compras!$R56&lt;&gt;"SI","",Registro_Compras!$D56)</f>
        <v/>
      </c>
      <c r="D56">
        <f>IF(Registro_Compras!$R56&lt;&gt;"SI","",Registro_Compras!$E56)</f>
        <v/>
      </c>
      <c r="E56">
        <f>IF(Registro_Compras!$R56&lt;&gt;"SI","",Registro_Compras!$G56)</f>
        <v/>
      </c>
      <c r="F56" s="31">
        <f>IF(Registro_Compras!$R56&lt;&gt;"SI","",Registro_Compras!$P56)</f>
        <v/>
      </c>
      <c r="G56" s="20">
        <f>IF(Registro_Compras!$R56&lt;&gt;"SI","",Registro_Compras!$O56)</f>
        <v/>
      </c>
      <c r="H56" s="20">
        <f>IF(Registro_Compras!$R56&lt;&gt;"SI","",Registro_Compras!$S56)</f>
        <v/>
      </c>
      <c r="I56" s="25">
        <f>IF(Registro_Compras!$R56&lt;&gt;"SI","",IF(Registro_Compras!$Y56="",WORKDAY(EOMONTH(Registro_Compras!$B56,0),5,Feriados),MIN(Registro_Compras!$Y56,WORKDAY(EOMONTH(Registro_Compras!$B56,0),5,Feriados))))</f>
        <v/>
      </c>
      <c r="J56" s="25">
        <f>IF(Registro_Compras!$R56&lt;&gt;"SI","",Registro_Compras!$X56)</f>
        <v/>
      </c>
      <c r="K56">
        <f>IF(Registro_Compras!$R56&lt;&gt;"SI","",IF(Registro_Compras!$X56="","PENDIENTE","DEPOSITADA"))</f>
        <v/>
      </c>
      <c r="L56">
        <f>IF(Registro_Compras!$R56&lt;&gt;"SI","",Registro_Compras!$Z56)</f>
        <v/>
      </c>
      <c r="M56">
        <f>IF($K56&lt;&gt;"PENDIENTE","",IF(TODAY()&gt;$I56,TODAY()-$I56,0))</f>
        <v/>
      </c>
      <c r="N56">
        <f>IF($K56&lt;&gt;"PENDIENTE","",IF($M56&gt;0,"VENCIDA - DEPOSITAR YA",IF($I56-TODAY()&lt;=3,"POR VENCER","EN PLAZO")))</f>
        <v/>
      </c>
      <c r="P56" s="25" t="n"/>
    </row>
    <row r="57">
      <c r="A57" s="25">
        <f>IF(Registro_Compras!$R57&lt;&gt;"SI","",Registro_Compras!$B57)</f>
        <v/>
      </c>
      <c r="B57">
        <f>IF(Registro_Compras!$R57&lt;&gt;"SI","",Registro_Compras!$C57)</f>
        <v/>
      </c>
      <c r="C57">
        <f>IF(Registro_Compras!$R57&lt;&gt;"SI","",Registro_Compras!$D57)</f>
        <v/>
      </c>
      <c r="D57">
        <f>IF(Registro_Compras!$R57&lt;&gt;"SI","",Registro_Compras!$E57)</f>
        <v/>
      </c>
      <c r="E57">
        <f>IF(Registro_Compras!$R57&lt;&gt;"SI","",Registro_Compras!$G57)</f>
        <v/>
      </c>
      <c r="F57" s="31">
        <f>IF(Registro_Compras!$R57&lt;&gt;"SI","",Registro_Compras!$P57)</f>
        <v/>
      </c>
      <c r="G57" s="20">
        <f>IF(Registro_Compras!$R57&lt;&gt;"SI","",Registro_Compras!$O57)</f>
        <v/>
      </c>
      <c r="H57" s="20">
        <f>IF(Registro_Compras!$R57&lt;&gt;"SI","",Registro_Compras!$S57)</f>
        <v/>
      </c>
      <c r="I57" s="25">
        <f>IF(Registro_Compras!$R57&lt;&gt;"SI","",IF(Registro_Compras!$Y57="",WORKDAY(EOMONTH(Registro_Compras!$B57,0),5,Feriados),MIN(Registro_Compras!$Y57,WORKDAY(EOMONTH(Registro_Compras!$B57,0),5,Feriados))))</f>
        <v/>
      </c>
      <c r="J57" s="25">
        <f>IF(Registro_Compras!$R57&lt;&gt;"SI","",Registro_Compras!$X57)</f>
        <v/>
      </c>
      <c r="K57">
        <f>IF(Registro_Compras!$R57&lt;&gt;"SI","",IF(Registro_Compras!$X57="","PENDIENTE","DEPOSITADA"))</f>
        <v/>
      </c>
      <c r="L57">
        <f>IF(Registro_Compras!$R57&lt;&gt;"SI","",Registro_Compras!$Z57)</f>
        <v/>
      </c>
      <c r="M57">
        <f>IF($K57&lt;&gt;"PENDIENTE","",IF(TODAY()&gt;$I57,TODAY()-$I57,0))</f>
        <v/>
      </c>
      <c r="N57">
        <f>IF($K57&lt;&gt;"PENDIENTE","",IF($M57&gt;0,"VENCIDA - DEPOSITAR YA",IF($I57-TODAY()&lt;=3,"POR VENCER","EN PLAZO")))</f>
        <v/>
      </c>
      <c r="P57" s="25" t="n"/>
    </row>
    <row r="58">
      <c r="A58" s="25">
        <f>IF(Registro_Compras!$R58&lt;&gt;"SI","",Registro_Compras!$B58)</f>
        <v/>
      </c>
      <c r="B58">
        <f>IF(Registro_Compras!$R58&lt;&gt;"SI","",Registro_Compras!$C58)</f>
        <v/>
      </c>
      <c r="C58">
        <f>IF(Registro_Compras!$R58&lt;&gt;"SI","",Registro_Compras!$D58)</f>
        <v/>
      </c>
      <c r="D58">
        <f>IF(Registro_Compras!$R58&lt;&gt;"SI","",Registro_Compras!$E58)</f>
        <v/>
      </c>
      <c r="E58">
        <f>IF(Registro_Compras!$R58&lt;&gt;"SI","",Registro_Compras!$G58)</f>
        <v/>
      </c>
      <c r="F58" s="31">
        <f>IF(Registro_Compras!$R58&lt;&gt;"SI","",Registro_Compras!$P58)</f>
        <v/>
      </c>
      <c r="G58" s="20">
        <f>IF(Registro_Compras!$R58&lt;&gt;"SI","",Registro_Compras!$O58)</f>
        <v/>
      </c>
      <c r="H58" s="20">
        <f>IF(Registro_Compras!$R58&lt;&gt;"SI","",Registro_Compras!$S58)</f>
        <v/>
      </c>
      <c r="I58" s="25">
        <f>IF(Registro_Compras!$R58&lt;&gt;"SI","",IF(Registro_Compras!$Y58="",WORKDAY(EOMONTH(Registro_Compras!$B58,0),5,Feriados),MIN(Registro_Compras!$Y58,WORKDAY(EOMONTH(Registro_Compras!$B58,0),5,Feriados))))</f>
        <v/>
      </c>
      <c r="J58" s="25">
        <f>IF(Registro_Compras!$R58&lt;&gt;"SI","",Registro_Compras!$X58)</f>
        <v/>
      </c>
      <c r="K58">
        <f>IF(Registro_Compras!$R58&lt;&gt;"SI","",IF(Registro_Compras!$X58="","PENDIENTE","DEPOSITADA"))</f>
        <v/>
      </c>
      <c r="L58">
        <f>IF(Registro_Compras!$R58&lt;&gt;"SI","",Registro_Compras!$Z58)</f>
        <v/>
      </c>
      <c r="M58">
        <f>IF($K58&lt;&gt;"PENDIENTE","",IF(TODAY()&gt;$I58,TODAY()-$I58,0))</f>
        <v/>
      </c>
      <c r="N58">
        <f>IF($K58&lt;&gt;"PENDIENTE","",IF($M58&gt;0,"VENCIDA - DEPOSITAR YA",IF($I58-TODAY()&lt;=3,"POR VENCER","EN PLAZO")))</f>
        <v/>
      </c>
      <c r="P58" s="25" t="n"/>
    </row>
    <row r="59">
      <c r="A59" s="25">
        <f>IF(Registro_Compras!$R59&lt;&gt;"SI","",Registro_Compras!$B59)</f>
        <v/>
      </c>
      <c r="B59">
        <f>IF(Registro_Compras!$R59&lt;&gt;"SI","",Registro_Compras!$C59)</f>
        <v/>
      </c>
      <c r="C59">
        <f>IF(Registro_Compras!$R59&lt;&gt;"SI","",Registro_Compras!$D59)</f>
        <v/>
      </c>
      <c r="D59">
        <f>IF(Registro_Compras!$R59&lt;&gt;"SI","",Registro_Compras!$E59)</f>
        <v/>
      </c>
      <c r="E59">
        <f>IF(Registro_Compras!$R59&lt;&gt;"SI","",Registro_Compras!$G59)</f>
        <v/>
      </c>
      <c r="F59" s="31">
        <f>IF(Registro_Compras!$R59&lt;&gt;"SI","",Registro_Compras!$P59)</f>
        <v/>
      </c>
      <c r="G59" s="20">
        <f>IF(Registro_Compras!$R59&lt;&gt;"SI","",Registro_Compras!$O59)</f>
        <v/>
      </c>
      <c r="H59" s="20">
        <f>IF(Registro_Compras!$R59&lt;&gt;"SI","",Registro_Compras!$S59)</f>
        <v/>
      </c>
      <c r="I59" s="25">
        <f>IF(Registro_Compras!$R59&lt;&gt;"SI","",IF(Registro_Compras!$Y59="",WORKDAY(EOMONTH(Registro_Compras!$B59,0),5,Feriados),MIN(Registro_Compras!$Y59,WORKDAY(EOMONTH(Registro_Compras!$B59,0),5,Feriados))))</f>
        <v/>
      </c>
      <c r="J59" s="25">
        <f>IF(Registro_Compras!$R59&lt;&gt;"SI","",Registro_Compras!$X59)</f>
        <v/>
      </c>
      <c r="K59">
        <f>IF(Registro_Compras!$R59&lt;&gt;"SI","",IF(Registro_Compras!$X59="","PENDIENTE","DEPOSITADA"))</f>
        <v/>
      </c>
      <c r="L59">
        <f>IF(Registro_Compras!$R59&lt;&gt;"SI","",Registro_Compras!$Z59)</f>
        <v/>
      </c>
      <c r="M59">
        <f>IF($K59&lt;&gt;"PENDIENTE","",IF(TODAY()&gt;$I59,TODAY()-$I59,0))</f>
        <v/>
      </c>
      <c r="N59">
        <f>IF($K59&lt;&gt;"PENDIENTE","",IF($M59&gt;0,"VENCIDA - DEPOSITAR YA",IF($I59-TODAY()&lt;=3,"POR VENCER","EN PLAZO")))</f>
        <v/>
      </c>
      <c r="P59" s="25" t="n"/>
    </row>
    <row r="60">
      <c r="A60" s="25">
        <f>IF(Registro_Compras!$R60&lt;&gt;"SI","",Registro_Compras!$B60)</f>
        <v/>
      </c>
      <c r="B60">
        <f>IF(Registro_Compras!$R60&lt;&gt;"SI","",Registro_Compras!$C60)</f>
        <v/>
      </c>
      <c r="C60">
        <f>IF(Registro_Compras!$R60&lt;&gt;"SI","",Registro_Compras!$D60)</f>
        <v/>
      </c>
      <c r="D60">
        <f>IF(Registro_Compras!$R60&lt;&gt;"SI","",Registro_Compras!$E60)</f>
        <v/>
      </c>
      <c r="E60">
        <f>IF(Registro_Compras!$R60&lt;&gt;"SI","",Registro_Compras!$G60)</f>
        <v/>
      </c>
      <c r="F60" s="31">
        <f>IF(Registro_Compras!$R60&lt;&gt;"SI","",Registro_Compras!$P60)</f>
        <v/>
      </c>
      <c r="G60" s="20">
        <f>IF(Registro_Compras!$R60&lt;&gt;"SI","",Registro_Compras!$O60)</f>
        <v/>
      </c>
      <c r="H60" s="20">
        <f>IF(Registro_Compras!$R60&lt;&gt;"SI","",Registro_Compras!$S60)</f>
        <v/>
      </c>
      <c r="I60" s="25">
        <f>IF(Registro_Compras!$R60&lt;&gt;"SI","",IF(Registro_Compras!$Y60="",WORKDAY(EOMONTH(Registro_Compras!$B60,0),5,Feriados),MIN(Registro_Compras!$Y60,WORKDAY(EOMONTH(Registro_Compras!$B60,0),5,Feriados))))</f>
        <v/>
      </c>
      <c r="J60" s="25">
        <f>IF(Registro_Compras!$R60&lt;&gt;"SI","",Registro_Compras!$X60)</f>
        <v/>
      </c>
      <c r="K60">
        <f>IF(Registro_Compras!$R60&lt;&gt;"SI","",IF(Registro_Compras!$X60="","PENDIENTE","DEPOSITADA"))</f>
        <v/>
      </c>
      <c r="L60">
        <f>IF(Registro_Compras!$R60&lt;&gt;"SI","",Registro_Compras!$Z60)</f>
        <v/>
      </c>
      <c r="M60">
        <f>IF($K60&lt;&gt;"PENDIENTE","",IF(TODAY()&gt;$I60,TODAY()-$I60,0))</f>
        <v/>
      </c>
      <c r="N60">
        <f>IF($K60&lt;&gt;"PENDIENTE","",IF($M60&gt;0,"VENCIDA - DEPOSITAR YA",IF($I60-TODAY()&lt;=3,"POR VENCER","EN PLAZO")))</f>
        <v/>
      </c>
      <c r="P60" s="25" t="n"/>
    </row>
    <row r="61">
      <c r="A61" s="25">
        <f>IF(Registro_Compras!$R61&lt;&gt;"SI","",Registro_Compras!$B61)</f>
        <v/>
      </c>
      <c r="B61">
        <f>IF(Registro_Compras!$R61&lt;&gt;"SI","",Registro_Compras!$C61)</f>
        <v/>
      </c>
      <c r="C61">
        <f>IF(Registro_Compras!$R61&lt;&gt;"SI","",Registro_Compras!$D61)</f>
        <v/>
      </c>
      <c r="D61">
        <f>IF(Registro_Compras!$R61&lt;&gt;"SI","",Registro_Compras!$E61)</f>
        <v/>
      </c>
      <c r="E61">
        <f>IF(Registro_Compras!$R61&lt;&gt;"SI","",Registro_Compras!$G61)</f>
        <v/>
      </c>
      <c r="F61" s="31">
        <f>IF(Registro_Compras!$R61&lt;&gt;"SI","",Registro_Compras!$P61)</f>
        <v/>
      </c>
      <c r="G61" s="20">
        <f>IF(Registro_Compras!$R61&lt;&gt;"SI","",Registro_Compras!$O61)</f>
        <v/>
      </c>
      <c r="H61" s="20">
        <f>IF(Registro_Compras!$R61&lt;&gt;"SI","",Registro_Compras!$S61)</f>
        <v/>
      </c>
      <c r="I61" s="25">
        <f>IF(Registro_Compras!$R61&lt;&gt;"SI","",IF(Registro_Compras!$Y61="",WORKDAY(EOMONTH(Registro_Compras!$B61,0),5,Feriados),MIN(Registro_Compras!$Y61,WORKDAY(EOMONTH(Registro_Compras!$B61,0),5,Feriados))))</f>
        <v/>
      </c>
      <c r="J61" s="25">
        <f>IF(Registro_Compras!$R61&lt;&gt;"SI","",Registro_Compras!$X61)</f>
        <v/>
      </c>
      <c r="K61">
        <f>IF(Registro_Compras!$R61&lt;&gt;"SI","",IF(Registro_Compras!$X61="","PENDIENTE","DEPOSITADA"))</f>
        <v/>
      </c>
      <c r="L61">
        <f>IF(Registro_Compras!$R61&lt;&gt;"SI","",Registro_Compras!$Z61)</f>
        <v/>
      </c>
      <c r="M61">
        <f>IF($K61&lt;&gt;"PENDIENTE","",IF(TODAY()&gt;$I61,TODAY()-$I61,0))</f>
        <v/>
      </c>
      <c r="N61">
        <f>IF($K61&lt;&gt;"PENDIENTE","",IF($M61&gt;0,"VENCIDA - DEPOSITAR YA",IF($I61-TODAY()&lt;=3,"POR VENCER","EN PLAZO")))</f>
        <v/>
      </c>
    </row>
    <row r="62">
      <c r="A62" s="25">
        <f>IF(Registro_Compras!$R62&lt;&gt;"SI","",Registro_Compras!$B62)</f>
        <v/>
      </c>
      <c r="B62">
        <f>IF(Registro_Compras!$R62&lt;&gt;"SI","",Registro_Compras!$C62)</f>
        <v/>
      </c>
      <c r="C62">
        <f>IF(Registro_Compras!$R62&lt;&gt;"SI","",Registro_Compras!$D62)</f>
        <v/>
      </c>
      <c r="D62">
        <f>IF(Registro_Compras!$R62&lt;&gt;"SI","",Registro_Compras!$E62)</f>
        <v/>
      </c>
      <c r="E62">
        <f>IF(Registro_Compras!$R62&lt;&gt;"SI","",Registro_Compras!$G62)</f>
        <v/>
      </c>
      <c r="F62" s="31">
        <f>IF(Registro_Compras!$R62&lt;&gt;"SI","",Registro_Compras!$P62)</f>
        <v/>
      </c>
      <c r="G62" s="20">
        <f>IF(Registro_Compras!$R62&lt;&gt;"SI","",Registro_Compras!$O62)</f>
        <v/>
      </c>
      <c r="H62" s="20">
        <f>IF(Registro_Compras!$R62&lt;&gt;"SI","",Registro_Compras!$S62)</f>
        <v/>
      </c>
      <c r="I62" s="25">
        <f>IF(Registro_Compras!$R62&lt;&gt;"SI","",IF(Registro_Compras!$Y62="",WORKDAY(EOMONTH(Registro_Compras!$B62,0),5,Feriados),MIN(Registro_Compras!$Y62,WORKDAY(EOMONTH(Registro_Compras!$B62,0),5,Feriados))))</f>
        <v/>
      </c>
      <c r="J62" s="25">
        <f>IF(Registro_Compras!$R62&lt;&gt;"SI","",Registro_Compras!$X62)</f>
        <v/>
      </c>
      <c r="K62">
        <f>IF(Registro_Compras!$R62&lt;&gt;"SI","",IF(Registro_Compras!$X62="","PENDIENTE","DEPOSITADA"))</f>
        <v/>
      </c>
      <c r="L62">
        <f>IF(Registro_Compras!$R62&lt;&gt;"SI","",Registro_Compras!$Z62)</f>
        <v/>
      </c>
      <c r="M62">
        <f>IF($K62&lt;&gt;"PENDIENTE","",IF(TODAY()&gt;$I62,TODAY()-$I62,0))</f>
        <v/>
      </c>
      <c r="N62">
        <f>IF($K62&lt;&gt;"PENDIENTE","",IF($M62&gt;0,"VENCIDA - DEPOSITAR YA",IF($I62-TODAY()&lt;=3,"POR VENCER","EN PLAZO")))</f>
        <v/>
      </c>
    </row>
    <row r="63">
      <c r="A63" s="25">
        <f>IF(Registro_Compras!$R63&lt;&gt;"SI","",Registro_Compras!$B63)</f>
        <v/>
      </c>
      <c r="B63">
        <f>IF(Registro_Compras!$R63&lt;&gt;"SI","",Registro_Compras!$C63)</f>
        <v/>
      </c>
      <c r="C63">
        <f>IF(Registro_Compras!$R63&lt;&gt;"SI","",Registro_Compras!$D63)</f>
        <v/>
      </c>
      <c r="D63">
        <f>IF(Registro_Compras!$R63&lt;&gt;"SI","",Registro_Compras!$E63)</f>
        <v/>
      </c>
      <c r="E63">
        <f>IF(Registro_Compras!$R63&lt;&gt;"SI","",Registro_Compras!$G63)</f>
        <v/>
      </c>
      <c r="F63" s="31">
        <f>IF(Registro_Compras!$R63&lt;&gt;"SI","",Registro_Compras!$P63)</f>
        <v/>
      </c>
      <c r="G63" s="20">
        <f>IF(Registro_Compras!$R63&lt;&gt;"SI","",Registro_Compras!$O63)</f>
        <v/>
      </c>
      <c r="H63" s="20">
        <f>IF(Registro_Compras!$R63&lt;&gt;"SI","",Registro_Compras!$S63)</f>
        <v/>
      </c>
      <c r="I63" s="25">
        <f>IF(Registro_Compras!$R63&lt;&gt;"SI","",IF(Registro_Compras!$Y63="",WORKDAY(EOMONTH(Registro_Compras!$B63,0),5,Feriados),MIN(Registro_Compras!$Y63,WORKDAY(EOMONTH(Registro_Compras!$B63,0),5,Feriados))))</f>
        <v/>
      </c>
      <c r="J63" s="25">
        <f>IF(Registro_Compras!$R63&lt;&gt;"SI","",Registro_Compras!$X63)</f>
        <v/>
      </c>
      <c r="K63">
        <f>IF(Registro_Compras!$R63&lt;&gt;"SI","",IF(Registro_Compras!$X63="","PENDIENTE","DEPOSITADA"))</f>
        <v/>
      </c>
      <c r="L63">
        <f>IF(Registro_Compras!$R63&lt;&gt;"SI","",Registro_Compras!$Z63)</f>
        <v/>
      </c>
      <c r="M63">
        <f>IF($K63&lt;&gt;"PENDIENTE","",IF(TODAY()&gt;$I63,TODAY()-$I63,0))</f>
        <v/>
      </c>
      <c r="N63">
        <f>IF($K63&lt;&gt;"PENDIENTE","",IF($M63&gt;0,"VENCIDA - DEPOSITAR YA",IF($I63-TODAY()&lt;=3,"POR VENCER","EN PLAZO")))</f>
        <v/>
      </c>
    </row>
    <row r="64">
      <c r="A64" s="25">
        <f>IF(Registro_Compras!$R64&lt;&gt;"SI","",Registro_Compras!$B64)</f>
        <v/>
      </c>
      <c r="B64">
        <f>IF(Registro_Compras!$R64&lt;&gt;"SI","",Registro_Compras!$C64)</f>
        <v/>
      </c>
      <c r="C64">
        <f>IF(Registro_Compras!$R64&lt;&gt;"SI","",Registro_Compras!$D64)</f>
        <v/>
      </c>
      <c r="D64">
        <f>IF(Registro_Compras!$R64&lt;&gt;"SI","",Registro_Compras!$E64)</f>
        <v/>
      </c>
      <c r="E64">
        <f>IF(Registro_Compras!$R64&lt;&gt;"SI","",Registro_Compras!$G64)</f>
        <v/>
      </c>
      <c r="F64" s="31">
        <f>IF(Registro_Compras!$R64&lt;&gt;"SI","",Registro_Compras!$P64)</f>
        <v/>
      </c>
      <c r="G64" s="20">
        <f>IF(Registro_Compras!$R64&lt;&gt;"SI","",Registro_Compras!$O64)</f>
        <v/>
      </c>
      <c r="H64" s="20">
        <f>IF(Registro_Compras!$R64&lt;&gt;"SI","",Registro_Compras!$S64)</f>
        <v/>
      </c>
      <c r="I64" s="25">
        <f>IF(Registro_Compras!$R64&lt;&gt;"SI","",IF(Registro_Compras!$Y64="",WORKDAY(EOMONTH(Registro_Compras!$B64,0),5,Feriados),MIN(Registro_Compras!$Y64,WORKDAY(EOMONTH(Registro_Compras!$B64,0),5,Feriados))))</f>
        <v/>
      </c>
      <c r="J64" s="25">
        <f>IF(Registro_Compras!$R64&lt;&gt;"SI","",Registro_Compras!$X64)</f>
        <v/>
      </c>
      <c r="K64">
        <f>IF(Registro_Compras!$R64&lt;&gt;"SI","",IF(Registro_Compras!$X64="","PENDIENTE","DEPOSITADA"))</f>
        <v/>
      </c>
      <c r="L64">
        <f>IF(Registro_Compras!$R64&lt;&gt;"SI","",Registro_Compras!$Z64)</f>
        <v/>
      </c>
      <c r="M64">
        <f>IF($K64&lt;&gt;"PENDIENTE","",IF(TODAY()&gt;$I64,TODAY()-$I64,0))</f>
        <v/>
      </c>
      <c r="N64">
        <f>IF($K64&lt;&gt;"PENDIENTE","",IF($M64&gt;0,"VENCIDA - DEPOSITAR YA",IF($I64-TODAY()&lt;=3,"POR VENCER","EN PLAZO")))</f>
        <v/>
      </c>
    </row>
    <row r="65">
      <c r="A65" s="25">
        <f>IF(Registro_Compras!$R65&lt;&gt;"SI","",Registro_Compras!$B65)</f>
        <v/>
      </c>
      <c r="B65">
        <f>IF(Registro_Compras!$R65&lt;&gt;"SI","",Registro_Compras!$C65)</f>
        <v/>
      </c>
      <c r="C65">
        <f>IF(Registro_Compras!$R65&lt;&gt;"SI","",Registro_Compras!$D65)</f>
        <v/>
      </c>
      <c r="D65">
        <f>IF(Registro_Compras!$R65&lt;&gt;"SI","",Registro_Compras!$E65)</f>
        <v/>
      </c>
      <c r="E65">
        <f>IF(Registro_Compras!$R65&lt;&gt;"SI","",Registro_Compras!$G65)</f>
        <v/>
      </c>
      <c r="F65" s="31">
        <f>IF(Registro_Compras!$R65&lt;&gt;"SI","",Registro_Compras!$P65)</f>
        <v/>
      </c>
      <c r="G65" s="20">
        <f>IF(Registro_Compras!$R65&lt;&gt;"SI","",Registro_Compras!$O65)</f>
        <v/>
      </c>
      <c r="H65" s="20">
        <f>IF(Registro_Compras!$R65&lt;&gt;"SI","",Registro_Compras!$S65)</f>
        <v/>
      </c>
      <c r="I65" s="25">
        <f>IF(Registro_Compras!$R65&lt;&gt;"SI","",IF(Registro_Compras!$Y65="",WORKDAY(EOMONTH(Registro_Compras!$B65,0),5,Feriados),MIN(Registro_Compras!$Y65,WORKDAY(EOMONTH(Registro_Compras!$B65,0),5,Feriados))))</f>
        <v/>
      </c>
      <c r="J65" s="25">
        <f>IF(Registro_Compras!$R65&lt;&gt;"SI","",Registro_Compras!$X65)</f>
        <v/>
      </c>
      <c r="K65">
        <f>IF(Registro_Compras!$R65&lt;&gt;"SI","",IF(Registro_Compras!$X65="","PENDIENTE","DEPOSITADA"))</f>
        <v/>
      </c>
      <c r="L65">
        <f>IF(Registro_Compras!$R65&lt;&gt;"SI","",Registro_Compras!$Z65)</f>
        <v/>
      </c>
      <c r="M65">
        <f>IF($K65&lt;&gt;"PENDIENTE","",IF(TODAY()&gt;$I65,TODAY()-$I65,0))</f>
        <v/>
      </c>
      <c r="N65">
        <f>IF($K65&lt;&gt;"PENDIENTE","",IF($M65&gt;0,"VENCIDA - DEPOSITAR YA",IF($I65-TODAY()&lt;=3,"POR VENCER","EN PLAZO")))</f>
        <v/>
      </c>
    </row>
    <row r="66">
      <c r="A66" s="25">
        <f>IF(Registro_Compras!$R66&lt;&gt;"SI","",Registro_Compras!$B66)</f>
        <v/>
      </c>
      <c r="B66">
        <f>IF(Registro_Compras!$R66&lt;&gt;"SI","",Registro_Compras!$C66)</f>
        <v/>
      </c>
      <c r="C66">
        <f>IF(Registro_Compras!$R66&lt;&gt;"SI","",Registro_Compras!$D66)</f>
        <v/>
      </c>
      <c r="D66">
        <f>IF(Registro_Compras!$R66&lt;&gt;"SI","",Registro_Compras!$E66)</f>
        <v/>
      </c>
      <c r="E66">
        <f>IF(Registro_Compras!$R66&lt;&gt;"SI","",Registro_Compras!$G66)</f>
        <v/>
      </c>
      <c r="F66" s="31">
        <f>IF(Registro_Compras!$R66&lt;&gt;"SI","",Registro_Compras!$P66)</f>
        <v/>
      </c>
      <c r="G66" s="20">
        <f>IF(Registro_Compras!$R66&lt;&gt;"SI","",Registro_Compras!$O66)</f>
        <v/>
      </c>
      <c r="H66" s="20">
        <f>IF(Registro_Compras!$R66&lt;&gt;"SI","",Registro_Compras!$S66)</f>
        <v/>
      </c>
      <c r="I66" s="25">
        <f>IF(Registro_Compras!$R66&lt;&gt;"SI","",IF(Registro_Compras!$Y66="",WORKDAY(EOMONTH(Registro_Compras!$B66,0),5,Feriados),MIN(Registro_Compras!$Y66,WORKDAY(EOMONTH(Registro_Compras!$B66,0),5,Feriados))))</f>
        <v/>
      </c>
      <c r="J66" s="25">
        <f>IF(Registro_Compras!$R66&lt;&gt;"SI","",Registro_Compras!$X66)</f>
        <v/>
      </c>
      <c r="K66">
        <f>IF(Registro_Compras!$R66&lt;&gt;"SI","",IF(Registro_Compras!$X66="","PENDIENTE","DEPOSITADA"))</f>
        <v/>
      </c>
      <c r="L66">
        <f>IF(Registro_Compras!$R66&lt;&gt;"SI","",Registro_Compras!$Z66)</f>
        <v/>
      </c>
      <c r="M66">
        <f>IF($K66&lt;&gt;"PENDIENTE","",IF(TODAY()&gt;$I66,TODAY()-$I66,0))</f>
        <v/>
      </c>
      <c r="N66">
        <f>IF($K66&lt;&gt;"PENDIENTE","",IF($M66&gt;0,"VENCIDA - DEPOSITAR YA",IF($I66-TODAY()&lt;=3,"POR VENCER","EN PLAZO")))</f>
        <v/>
      </c>
    </row>
    <row r="67">
      <c r="A67" s="25">
        <f>IF(Registro_Compras!$R67&lt;&gt;"SI","",Registro_Compras!$B67)</f>
        <v/>
      </c>
      <c r="B67">
        <f>IF(Registro_Compras!$R67&lt;&gt;"SI","",Registro_Compras!$C67)</f>
        <v/>
      </c>
      <c r="C67">
        <f>IF(Registro_Compras!$R67&lt;&gt;"SI","",Registro_Compras!$D67)</f>
        <v/>
      </c>
      <c r="D67">
        <f>IF(Registro_Compras!$R67&lt;&gt;"SI","",Registro_Compras!$E67)</f>
        <v/>
      </c>
      <c r="E67">
        <f>IF(Registro_Compras!$R67&lt;&gt;"SI","",Registro_Compras!$G67)</f>
        <v/>
      </c>
      <c r="F67" s="31">
        <f>IF(Registro_Compras!$R67&lt;&gt;"SI","",Registro_Compras!$P67)</f>
        <v/>
      </c>
      <c r="G67" s="20">
        <f>IF(Registro_Compras!$R67&lt;&gt;"SI","",Registro_Compras!$O67)</f>
        <v/>
      </c>
      <c r="H67" s="20">
        <f>IF(Registro_Compras!$R67&lt;&gt;"SI","",Registro_Compras!$S67)</f>
        <v/>
      </c>
      <c r="I67" s="25">
        <f>IF(Registro_Compras!$R67&lt;&gt;"SI","",IF(Registro_Compras!$Y67="",WORKDAY(EOMONTH(Registro_Compras!$B67,0),5,Feriados),MIN(Registro_Compras!$Y67,WORKDAY(EOMONTH(Registro_Compras!$B67,0),5,Feriados))))</f>
        <v/>
      </c>
      <c r="J67" s="25">
        <f>IF(Registro_Compras!$R67&lt;&gt;"SI","",Registro_Compras!$X67)</f>
        <v/>
      </c>
      <c r="K67">
        <f>IF(Registro_Compras!$R67&lt;&gt;"SI","",IF(Registro_Compras!$X67="","PENDIENTE","DEPOSITADA"))</f>
        <v/>
      </c>
      <c r="L67">
        <f>IF(Registro_Compras!$R67&lt;&gt;"SI","",Registro_Compras!$Z67)</f>
        <v/>
      </c>
      <c r="M67">
        <f>IF($K67&lt;&gt;"PENDIENTE","",IF(TODAY()&gt;$I67,TODAY()-$I67,0))</f>
        <v/>
      </c>
      <c r="N67">
        <f>IF($K67&lt;&gt;"PENDIENTE","",IF($M67&gt;0,"VENCIDA - DEPOSITAR YA",IF($I67-TODAY()&lt;=3,"POR VENCER","EN PLAZO")))</f>
        <v/>
      </c>
    </row>
    <row r="68">
      <c r="A68" s="25">
        <f>IF(Registro_Compras!$R68&lt;&gt;"SI","",Registro_Compras!$B68)</f>
        <v/>
      </c>
      <c r="B68">
        <f>IF(Registro_Compras!$R68&lt;&gt;"SI","",Registro_Compras!$C68)</f>
        <v/>
      </c>
      <c r="C68">
        <f>IF(Registro_Compras!$R68&lt;&gt;"SI","",Registro_Compras!$D68)</f>
        <v/>
      </c>
      <c r="D68">
        <f>IF(Registro_Compras!$R68&lt;&gt;"SI","",Registro_Compras!$E68)</f>
        <v/>
      </c>
      <c r="E68">
        <f>IF(Registro_Compras!$R68&lt;&gt;"SI","",Registro_Compras!$G68)</f>
        <v/>
      </c>
      <c r="F68" s="31">
        <f>IF(Registro_Compras!$R68&lt;&gt;"SI","",Registro_Compras!$P68)</f>
        <v/>
      </c>
      <c r="G68" s="20">
        <f>IF(Registro_Compras!$R68&lt;&gt;"SI","",Registro_Compras!$O68)</f>
        <v/>
      </c>
      <c r="H68" s="20">
        <f>IF(Registro_Compras!$R68&lt;&gt;"SI","",Registro_Compras!$S68)</f>
        <v/>
      </c>
      <c r="I68" s="25">
        <f>IF(Registro_Compras!$R68&lt;&gt;"SI","",IF(Registro_Compras!$Y68="",WORKDAY(EOMONTH(Registro_Compras!$B68,0),5,Feriados),MIN(Registro_Compras!$Y68,WORKDAY(EOMONTH(Registro_Compras!$B68,0),5,Feriados))))</f>
        <v/>
      </c>
      <c r="J68" s="25">
        <f>IF(Registro_Compras!$R68&lt;&gt;"SI","",Registro_Compras!$X68)</f>
        <v/>
      </c>
      <c r="K68">
        <f>IF(Registro_Compras!$R68&lt;&gt;"SI","",IF(Registro_Compras!$X68="","PENDIENTE","DEPOSITADA"))</f>
        <v/>
      </c>
      <c r="L68">
        <f>IF(Registro_Compras!$R68&lt;&gt;"SI","",Registro_Compras!$Z68)</f>
        <v/>
      </c>
      <c r="M68">
        <f>IF($K68&lt;&gt;"PENDIENTE","",IF(TODAY()&gt;$I68,TODAY()-$I68,0))</f>
        <v/>
      </c>
      <c r="N68">
        <f>IF($K68&lt;&gt;"PENDIENTE","",IF($M68&gt;0,"VENCIDA - DEPOSITAR YA",IF($I68-TODAY()&lt;=3,"POR VENCER","EN PLAZO")))</f>
        <v/>
      </c>
    </row>
    <row r="69">
      <c r="A69" s="25">
        <f>IF(Registro_Compras!$R69&lt;&gt;"SI","",Registro_Compras!$B69)</f>
        <v/>
      </c>
      <c r="B69">
        <f>IF(Registro_Compras!$R69&lt;&gt;"SI","",Registro_Compras!$C69)</f>
        <v/>
      </c>
      <c r="C69">
        <f>IF(Registro_Compras!$R69&lt;&gt;"SI","",Registro_Compras!$D69)</f>
        <v/>
      </c>
      <c r="D69">
        <f>IF(Registro_Compras!$R69&lt;&gt;"SI","",Registro_Compras!$E69)</f>
        <v/>
      </c>
      <c r="E69">
        <f>IF(Registro_Compras!$R69&lt;&gt;"SI","",Registro_Compras!$G69)</f>
        <v/>
      </c>
      <c r="F69" s="31">
        <f>IF(Registro_Compras!$R69&lt;&gt;"SI","",Registro_Compras!$P69)</f>
        <v/>
      </c>
      <c r="G69" s="20">
        <f>IF(Registro_Compras!$R69&lt;&gt;"SI","",Registro_Compras!$O69)</f>
        <v/>
      </c>
      <c r="H69" s="20">
        <f>IF(Registro_Compras!$R69&lt;&gt;"SI","",Registro_Compras!$S69)</f>
        <v/>
      </c>
      <c r="I69" s="25">
        <f>IF(Registro_Compras!$R69&lt;&gt;"SI","",IF(Registro_Compras!$Y69="",WORKDAY(EOMONTH(Registro_Compras!$B69,0),5,Feriados),MIN(Registro_Compras!$Y69,WORKDAY(EOMONTH(Registro_Compras!$B69,0),5,Feriados))))</f>
        <v/>
      </c>
      <c r="J69" s="25">
        <f>IF(Registro_Compras!$R69&lt;&gt;"SI","",Registro_Compras!$X69)</f>
        <v/>
      </c>
      <c r="K69">
        <f>IF(Registro_Compras!$R69&lt;&gt;"SI","",IF(Registro_Compras!$X69="","PENDIENTE","DEPOSITADA"))</f>
        <v/>
      </c>
      <c r="L69">
        <f>IF(Registro_Compras!$R69&lt;&gt;"SI","",Registro_Compras!$Z69)</f>
        <v/>
      </c>
      <c r="M69">
        <f>IF($K69&lt;&gt;"PENDIENTE","",IF(TODAY()&gt;$I69,TODAY()-$I69,0))</f>
        <v/>
      </c>
      <c r="N69">
        <f>IF($K69&lt;&gt;"PENDIENTE","",IF($M69&gt;0,"VENCIDA - DEPOSITAR YA",IF($I69-TODAY()&lt;=3,"POR VENCER","EN PLAZO")))</f>
        <v/>
      </c>
    </row>
    <row r="70">
      <c r="A70" s="25">
        <f>IF(Registro_Compras!$R70&lt;&gt;"SI","",Registro_Compras!$B70)</f>
        <v/>
      </c>
      <c r="B70">
        <f>IF(Registro_Compras!$R70&lt;&gt;"SI","",Registro_Compras!$C70)</f>
        <v/>
      </c>
      <c r="C70">
        <f>IF(Registro_Compras!$R70&lt;&gt;"SI","",Registro_Compras!$D70)</f>
        <v/>
      </c>
      <c r="D70">
        <f>IF(Registro_Compras!$R70&lt;&gt;"SI","",Registro_Compras!$E70)</f>
        <v/>
      </c>
      <c r="E70">
        <f>IF(Registro_Compras!$R70&lt;&gt;"SI","",Registro_Compras!$G70)</f>
        <v/>
      </c>
      <c r="F70" s="31">
        <f>IF(Registro_Compras!$R70&lt;&gt;"SI","",Registro_Compras!$P70)</f>
        <v/>
      </c>
      <c r="G70" s="20">
        <f>IF(Registro_Compras!$R70&lt;&gt;"SI","",Registro_Compras!$O70)</f>
        <v/>
      </c>
      <c r="H70" s="20">
        <f>IF(Registro_Compras!$R70&lt;&gt;"SI","",Registro_Compras!$S70)</f>
        <v/>
      </c>
      <c r="I70" s="25">
        <f>IF(Registro_Compras!$R70&lt;&gt;"SI","",IF(Registro_Compras!$Y70="",WORKDAY(EOMONTH(Registro_Compras!$B70,0),5,Feriados),MIN(Registro_Compras!$Y70,WORKDAY(EOMONTH(Registro_Compras!$B70,0),5,Feriados))))</f>
        <v/>
      </c>
      <c r="J70" s="25">
        <f>IF(Registro_Compras!$R70&lt;&gt;"SI","",Registro_Compras!$X70)</f>
        <v/>
      </c>
      <c r="K70">
        <f>IF(Registro_Compras!$R70&lt;&gt;"SI","",IF(Registro_Compras!$X70="","PENDIENTE","DEPOSITADA"))</f>
        <v/>
      </c>
      <c r="L70">
        <f>IF(Registro_Compras!$R70&lt;&gt;"SI","",Registro_Compras!$Z70)</f>
        <v/>
      </c>
      <c r="M70">
        <f>IF($K70&lt;&gt;"PENDIENTE","",IF(TODAY()&gt;$I70,TODAY()-$I70,0))</f>
        <v/>
      </c>
      <c r="N70">
        <f>IF($K70&lt;&gt;"PENDIENTE","",IF($M70&gt;0,"VENCIDA - DEPOSITAR YA",IF($I70-TODAY()&lt;=3,"POR VENCER","EN PLAZO")))</f>
        <v/>
      </c>
    </row>
    <row r="71">
      <c r="A71" s="25">
        <f>IF(Registro_Compras!$R71&lt;&gt;"SI","",Registro_Compras!$B71)</f>
        <v/>
      </c>
      <c r="B71">
        <f>IF(Registro_Compras!$R71&lt;&gt;"SI","",Registro_Compras!$C71)</f>
        <v/>
      </c>
      <c r="C71">
        <f>IF(Registro_Compras!$R71&lt;&gt;"SI","",Registro_Compras!$D71)</f>
        <v/>
      </c>
      <c r="D71">
        <f>IF(Registro_Compras!$R71&lt;&gt;"SI","",Registro_Compras!$E71)</f>
        <v/>
      </c>
      <c r="E71">
        <f>IF(Registro_Compras!$R71&lt;&gt;"SI","",Registro_Compras!$G71)</f>
        <v/>
      </c>
      <c r="F71" s="31">
        <f>IF(Registro_Compras!$R71&lt;&gt;"SI","",Registro_Compras!$P71)</f>
        <v/>
      </c>
      <c r="G71" s="20">
        <f>IF(Registro_Compras!$R71&lt;&gt;"SI","",Registro_Compras!$O71)</f>
        <v/>
      </c>
      <c r="H71" s="20">
        <f>IF(Registro_Compras!$R71&lt;&gt;"SI","",Registro_Compras!$S71)</f>
        <v/>
      </c>
      <c r="I71" s="25">
        <f>IF(Registro_Compras!$R71&lt;&gt;"SI","",IF(Registro_Compras!$Y71="",WORKDAY(EOMONTH(Registro_Compras!$B71,0),5,Feriados),MIN(Registro_Compras!$Y71,WORKDAY(EOMONTH(Registro_Compras!$B71,0),5,Feriados))))</f>
        <v/>
      </c>
      <c r="J71" s="25">
        <f>IF(Registro_Compras!$R71&lt;&gt;"SI","",Registro_Compras!$X71)</f>
        <v/>
      </c>
      <c r="K71">
        <f>IF(Registro_Compras!$R71&lt;&gt;"SI","",IF(Registro_Compras!$X71="","PENDIENTE","DEPOSITADA"))</f>
        <v/>
      </c>
      <c r="L71">
        <f>IF(Registro_Compras!$R71&lt;&gt;"SI","",Registro_Compras!$Z71)</f>
        <v/>
      </c>
      <c r="M71">
        <f>IF($K71&lt;&gt;"PENDIENTE","",IF(TODAY()&gt;$I71,TODAY()-$I71,0))</f>
        <v/>
      </c>
      <c r="N71">
        <f>IF($K71&lt;&gt;"PENDIENTE","",IF($M71&gt;0,"VENCIDA - DEPOSITAR YA",IF($I71-TODAY()&lt;=3,"POR VENCER","EN PLAZO")))</f>
        <v/>
      </c>
    </row>
    <row r="72">
      <c r="A72" s="25">
        <f>IF(Registro_Compras!$R72&lt;&gt;"SI","",Registro_Compras!$B72)</f>
        <v/>
      </c>
      <c r="B72">
        <f>IF(Registro_Compras!$R72&lt;&gt;"SI","",Registro_Compras!$C72)</f>
        <v/>
      </c>
      <c r="C72">
        <f>IF(Registro_Compras!$R72&lt;&gt;"SI","",Registro_Compras!$D72)</f>
        <v/>
      </c>
      <c r="D72">
        <f>IF(Registro_Compras!$R72&lt;&gt;"SI","",Registro_Compras!$E72)</f>
        <v/>
      </c>
      <c r="E72">
        <f>IF(Registro_Compras!$R72&lt;&gt;"SI","",Registro_Compras!$G72)</f>
        <v/>
      </c>
      <c r="F72" s="31">
        <f>IF(Registro_Compras!$R72&lt;&gt;"SI","",Registro_Compras!$P72)</f>
        <v/>
      </c>
      <c r="G72" s="20">
        <f>IF(Registro_Compras!$R72&lt;&gt;"SI","",Registro_Compras!$O72)</f>
        <v/>
      </c>
      <c r="H72" s="20">
        <f>IF(Registro_Compras!$R72&lt;&gt;"SI","",Registro_Compras!$S72)</f>
        <v/>
      </c>
      <c r="I72" s="25">
        <f>IF(Registro_Compras!$R72&lt;&gt;"SI","",IF(Registro_Compras!$Y72="",WORKDAY(EOMONTH(Registro_Compras!$B72,0),5,Feriados),MIN(Registro_Compras!$Y72,WORKDAY(EOMONTH(Registro_Compras!$B72,0),5,Feriados))))</f>
        <v/>
      </c>
      <c r="J72" s="25">
        <f>IF(Registro_Compras!$R72&lt;&gt;"SI","",Registro_Compras!$X72)</f>
        <v/>
      </c>
      <c r="K72">
        <f>IF(Registro_Compras!$R72&lt;&gt;"SI","",IF(Registro_Compras!$X72="","PENDIENTE","DEPOSITADA"))</f>
        <v/>
      </c>
      <c r="L72">
        <f>IF(Registro_Compras!$R72&lt;&gt;"SI","",Registro_Compras!$Z72)</f>
        <v/>
      </c>
      <c r="M72">
        <f>IF($K72&lt;&gt;"PENDIENTE","",IF(TODAY()&gt;$I72,TODAY()-$I72,0))</f>
        <v/>
      </c>
      <c r="N72">
        <f>IF($K72&lt;&gt;"PENDIENTE","",IF($M72&gt;0,"VENCIDA - DEPOSITAR YA",IF($I72-TODAY()&lt;=3,"POR VENCER","EN PLAZO")))</f>
        <v/>
      </c>
    </row>
    <row r="73">
      <c r="A73" s="25">
        <f>IF(Registro_Compras!$R73&lt;&gt;"SI","",Registro_Compras!$B73)</f>
        <v/>
      </c>
      <c r="B73">
        <f>IF(Registro_Compras!$R73&lt;&gt;"SI","",Registro_Compras!$C73)</f>
        <v/>
      </c>
      <c r="C73">
        <f>IF(Registro_Compras!$R73&lt;&gt;"SI","",Registro_Compras!$D73)</f>
        <v/>
      </c>
      <c r="D73">
        <f>IF(Registro_Compras!$R73&lt;&gt;"SI","",Registro_Compras!$E73)</f>
        <v/>
      </c>
      <c r="E73">
        <f>IF(Registro_Compras!$R73&lt;&gt;"SI","",Registro_Compras!$G73)</f>
        <v/>
      </c>
      <c r="F73" s="31">
        <f>IF(Registro_Compras!$R73&lt;&gt;"SI","",Registro_Compras!$P73)</f>
        <v/>
      </c>
      <c r="G73" s="20">
        <f>IF(Registro_Compras!$R73&lt;&gt;"SI","",Registro_Compras!$O73)</f>
        <v/>
      </c>
      <c r="H73" s="20">
        <f>IF(Registro_Compras!$R73&lt;&gt;"SI","",Registro_Compras!$S73)</f>
        <v/>
      </c>
      <c r="I73" s="25">
        <f>IF(Registro_Compras!$R73&lt;&gt;"SI","",IF(Registro_Compras!$Y73="",WORKDAY(EOMONTH(Registro_Compras!$B73,0),5,Feriados),MIN(Registro_Compras!$Y73,WORKDAY(EOMONTH(Registro_Compras!$B73,0),5,Feriados))))</f>
        <v/>
      </c>
      <c r="J73" s="25">
        <f>IF(Registro_Compras!$R73&lt;&gt;"SI","",Registro_Compras!$X73)</f>
        <v/>
      </c>
      <c r="K73">
        <f>IF(Registro_Compras!$R73&lt;&gt;"SI","",IF(Registro_Compras!$X73="","PENDIENTE","DEPOSITADA"))</f>
        <v/>
      </c>
      <c r="L73">
        <f>IF(Registro_Compras!$R73&lt;&gt;"SI","",Registro_Compras!$Z73)</f>
        <v/>
      </c>
      <c r="M73">
        <f>IF($K73&lt;&gt;"PENDIENTE","",IF(TODAY()&gt;$I73,TODAY()-$I73,0))</f>
        <v/>
      </c>
      <c r="N73">
        <f>IF($K73&lt;&gt;"PENDIENTE","",IF($M73&gt;0,"VENCIDA - DEPOSITAR YA",IF($I73-TODAY()&lt;=3,"POR VENCER","EN PLAZO")))</f>
        <v/>
      </c>
    </row>
    <row r="74">
      <c r="A74" s="25">
        <f>IF(Registro_Compras!$R74&lt;&gt;"SI","",Registro_Compras!$B74)</f>
        <v/>
      </c>
      <c r="B74">
        <f>IF(Registro_Compras!$R74&lt;&gt;"SI","",Registro_Compras!$C74)</f>
        <v/>
      </c>
      <c r="C74">
        <f>IF(Registro_Compras!$R74&lt;&gt;"SI","",Registro_Compras!$D74)</f>
        <v/>
      </c>
      <c r="D74">
        <f>IF(Registro_Compras!$R74&lt;&gt;"SI","",Registro_Compras!$E74)</f>
        <v/>
      </c>
      <c r="E74">
        <f>IF(Registro_Compras!$R74&lt;&gt;"SI","",Registro_Compras!$G74)</f>
        <v/>
      </c>
      <c r="F74" s="31">
        <f>IF(Registro_Compras!$R74&lt;&gt;"SI","",Registro_Compras!$P74)</f>
        <v/>
      </c>
      <c r="G74" s="20">
        <f>IF(Registro_Compras!$R74&lt;&gt;"SI","",Registro_Compras!$O74)</f>
        <v/>
      </c>
      <c r="H74" s="20">
        <f>IF(Registro_Compras!$R74&lt;&gt;"SI","",Registro_Compras!$S74)</f>
        <v/>
      </c>
      <c r="I74" s="25">
        <f>IF(Registro_Compras!$R74&lt;&gt;"SI","",IF(Registro_Compras!$Y74="",WORKDAY(EOMONTH(Registro_Compras!$B74,0),5,Feriados),MIN(Registro_Compras!$Y74,WORKDAY(EOMONTH(Registro_Compras!$B74,0),5,Feriados))))</f>
        <v/>
      </c>
      <c r="J74" s="25">
        <f>IF(Registro_Compras!$R74&lt;&gt;"SI","",Registro_Compras!$X74)</f>
        <v/>
      </c>
      <c r="K74">
        <f>IF(Registro_Compras!$R74&lt;&gt;"SI","",IF(Registro_Compras!$X74="","PENDIENTE","DEPOSITADA"))</f>
        <v/>
      </c>
      <c r="L74">
        <f>IF(Registro_Compras!$R74&lt;&gt;"SI","",Registro_Compras!$Z74)</f>
        <v/>
      </c>
      <c r="M74">
        <f>IF($K74&lt;&gt;"PENDIENTE","",IF(TODAY()&gt;$I74,TODAY()-$I74,0))</f>
        <v/>
      </c>
      <c r="N74">
        <f>IF($K74&lt;&gt;"PENDIENTE","",IF($M74&gt;0,"VENCIDA - DEPOSITAR YA",IF($I74-TODAY()&lt;=3,"POR VENCER","EN PLAZO")))</f>
        <v/>
      </c>
    </row>
    <row r="75">
      <c r="A75" s="25">
        <f>IF(Registro_Compras!$R75&lt;&gt;"SI","",Registro_Compras!$B75)</f>
        <v/>
      </c>
      <c r="B75">
        <f>IF(Registro_Compras!$R75&lt;&gt;"SI","",Registro_Compras!$C75)</f>
        <v/>
      </c>
      <c r="C75">
        <f>IF(Registro_Compras!$R75&lt;&gt;"SI","",Registro_Compras!$D75)</f>
        <v/>
      </c>
      <c r="D75">
        <f>IF(Registro_Compras!$R75&lt;&gt;"SI","",Registro_Compras!$E75)</f>
        <v/>
      </c>
      <c r="E75">
        <f>IF(Registro_Compras!$R75&lt;&gt;"SI","",Registro_Compras!$G75)</f>
        <v/>
      </c>
      <c r="F75" s="31">
        <f>IF(Registro_Compras!$R75&lt;&gt;"SI","",Registro_Compras!$P75)</f>
        <v/>
      </c>
      <c r="G75" s="20">
        <f>IF(Registro_Compras!$R75&lt;&gt;"SI","",Registro_Compras!$O75)</f>
        <v/>
      </c>
      <c r="H75" s="20">
        <f>IF(Registro_Compras!$R75&lt;&gt;"SI","",Registro_Compras!$S75)</f>
        <v/>
      </c>
      <c r="I75" s="25">
        <f>IF(Registro_Compras!$R75&lt;&gt;"SI","",IF(Registro_Compras!$Y75="",WORKDAY(EOMONTH(Registro_Compras!$B75,0),5,Feriados),MIN(Registro_Compras!$Y75,WORKDAY(EOMONTH(Registro_Compras!$B75,0),5,Feriados))))</f>
        <v/>
      </c>
      <c r="J75" s="25">
        <f>IF(Registro_Compras!$R75&lt;&gt;"SI","",Registro_Compras!$X75)</f>
        <v/>
      </c>
      <c r="K75">
        <f>IF(Registro_Compras!$R75&lt;&gt;"SI","",IF(Registro_Compras!$X75="","PENDIENTE","DEPOSITADA"))</f>
        <v/>
      </c>
      <c r="L75">
        <f>IF(Registro_Compras!$R75&lt;&gt;"SI","",Registro_Compras!$Z75)</f>
        <v/>
      </c>
      <c r="M75">
        <f>IF($K75&lt;&gt;"PENDIENTE","",IF(TODAY()&gt;$I75,TODAY()-$I75,0))</f>
        <v/>
      </c>
      <c r="N75">
        <f>IF($K75&lt;&gt;"PENDIENTE","",IF($M75&gt;0,"VENCIDA - DEPOSITAR YA",IF($I75-TODAY()&lt;=3,"POR VENCER","EN PLAZO")))</f>
        <v/>
      </c>
    </row>
    <row r="76">
      <c r="A76" s="25">
        <f>IF(Registro_Compras!$R76&lt;&gt;"SI","",Registro_Compras!$B76)</f>
        <v/>
      </c>
      <c r="B76">
        <f>IF(Registro_Compras!$R76&lt;&gt;"SI","",Registro_Compras!$C76)</f>
        <v/>
      </c>
      <c r="C76">
        <f>IF(Registro_Compras!$R76&lt;&gt;"SI","",Registro_Compras!$D76)</f>
        <v/>
      </c>
      <c r="D76">
        <f>IF(Registro_Compras!$R76&lt;&gt;"SI","",Registro_Compras!$E76)</f>
        <v/>
      </c>
      <c r="E76">
        <f>IF(Registro_Compras!$R76&lt;&gt;"SI","",Registro_Compras!$G76)</f>
        <v/>
      </c>
      <c r="F76" s="31">
        <f>IF(Registro_Compras!$R76&lt;&gt;"SI","",Registro_Compras!$P76)</f>
        <v/>
      </c>
      <c r="G76" s="20">
        <f>IF(Registro_Compras!$R76&lt;&gt;"SI","",Registro_Compras!$O76)</f>
        <v/>
      </c>
      <c r="H76" s="20">
        <f>IF(Registro_Compras!$R76&lt;&gt;"SI","",Registro_Compras!$S76)</f>
        <v/>
      </c>
      <c r="I76" s="25">
        <f>IF(Registro_Compras!$R76&lt;&gt;"SI","",IF(Registro_Compras!$Y76="",WORKDAY(EOMONTH(Registro_Compras!$B76,0),5,Feriados),MIN(Registro_Compras!$Y76,WORKDAY(EOMONTH(Registro_Compras!$B76,0),5,Feriados))))</f>
        <v/>
      </c>
      <c r="J76" s="25">
        <f>IF(Registro_Compras!$R76&lt;&gt;"SI","",Registro_Compras!$X76)</f>
        <v/>
      </c>
      <c r="K76">
        <f>IF(Registro_Compras!$R76&lt;&gt;"SI","",IF(Registro_Compras!$X76="","PENDIENTE","DEPOSITADA"))</f>
        <v/>
      </c>
      <c r="L76">
        <f>IF(Registro_Compras!$R76&lt;&gt;"SI","",Registro_Compras!$Z76)</f>
        <v/>
      </c>
      <c r="M76">
        <f>IF($K76&lt;&gt;"PENDIENTE","",IF(TODAY()&gt;$I76,TODAY()-$I76,0))</f>
        <v/>
      </c>
      <c r="N76">
        <f>IF($K76&lt;&gt;"PENDIENTE","",IF($M76&gt;0,"VENCIDA - DEPOSITAR YA",IF($I76-TODAY()&lt;=3,"POR VENCER","EN PLAZO")))</f>
        <v/>
      </c>
    </row>
    <row r="77">
      <c r="A77" s="25">
        <f>IF(Registro_Compras!$R77&lt;&gt;"SI","",Registro_Compras!$B77)</f>
        <v/>
      </c>
      <c r="B77">
        <f>IF(Registro_Compras!$R77&lt;&gt;"SI","",Registro_Compras!$C77)</f>
        <v/>
      </c>
      <c r="C77">
        <f>IF(Registro_Compras!$R77&lt;&gt;"SI","",Registro_Compras!$D77)</f>
        <v/>
      </c>
      <c r="D77">
        <f>IF(Registro_Compras!$R77&lt;&gt;"SI","",Registro_Compras!$E77)</f>
        <v/>
      </c>
      <c r="E77">
        <f>IF(Registro_Compras!$R77&lt;&gt;"SI","",Registro_Compras!$G77)</f>
        <v/>
      </c>
      <c r="F77" s="31">
        <f>IF(Registro_Compras!$R77&lt;&gt;"SI","",Registro_Compras!$P77)</f>
        <v/>
      </c>
      <c r="G77" s="20">
        <f>IF(Registro_Compras!$R77&lt;&gt;"SI","",Registro_Compras!$O77)</f>
        <v/>
      </c>
      <c r="H77" s="20">
        <f>IF(Registro_Compras!$R77&lt;&gt;"SI","",Registro_Compras!$S77)</f>
        <v/>
      </c>
      <c r="I77" s="25">
        <f>IF(Registro_Compras!$R77&lt;&gt;"SI","",IF(Registro_Compras!$Y77="",WORKDAY(EOMONTH(Registro_Compras!$B77,0),5,Feriados),MIN(Registro_Compras!$Y77,WORKDAY(EOMONTH(Registro_Compras!$B77,0),5,Feriados))))</f>
        <v/>
      </c>
      <c r="J77" s="25">
        <f>IF(Registro_Compras!$R77&lt;&gt;"SI","",Registro_Compras!$X77)</f>
        <v/>
      </c>
      <c r="K77">
        <f>IF(Registro_Compras!$R77&lt;&gt;"SI","",IF(Registro_Compras!$X77="","PENDIENTE","DEPOSITADA"))</f>
        <v/>
      </c>
      <c r="L77">
        <f>IF(Registro_Compras!$R77&lt;&gt;"SI","",Registro_Compras!$Z77)</f>
        <v/>
      </c>
      <c r="M77">
        <f>IF($K77&lt;&gt;"PENDIENTE","",IF(TODAY()&gt;$I77,TODAY()-$I77,0))</f>
        <v/>
      </c>
      <c r="N77">
        <f>IF($K77&lt;&gt;"PENDIENTE","",IF($M77&gt;0,"VENCIDA - DEPOSITAR YA",IF($I77-TODAY()&lt;=3,"POR VENCER","EN PLAZO")))</f>
        <v/>
      </c>
    </row>
    <row r="78">
      <c r="A78" s="25">
        <f>IF(Registro_Compras!$R78&lt;&gt;"SI","",Registro_Compras!$B78)</f>
        <v/>
      </c>
      <c r="B78">
        <f>IF(Registro_Compras!$R78&lt;&gt;"SI","",Registro_Compras!$C78)</f>
        <v/>
      </c>
      <c r="C78">
        <f>IF(Registro_Compras!$R78&lt;&gt;"SI","",Registro_Compras!$D78)</f>
        <v/>
      </c>
      <c r="D78">
        <f>IF(Registro_Compras!$R78&lt;&gt;"SI","",Registro_Compras!$E78)</f>
        <v/>
      </c>
      <c r="E78">
        <f>IF(Registro_Compras!$R78&lt;&gt;"SI","",Registro_Compras!$G78)</f>
        <v/>
      </c>
      <c r="F78" s="31">
        <f>IF(Registro_Compras!$R78&lt;&gt;"SI","",Registro_Compras!$P78)</f>
        <v/>
      </c>
      <c r="G78" s="20">
        <f>IF(Registro_Compras!$R78&lt;&gt;"SI","",Registro_Compras!$O78)</f>
        <v/>
      </c>
      <c r="H78" s="20">
        <f>IF(Registro_Compras!$R78&lt;&gt;"SI","",Registro_Compras!$S78)</f>
        <v/>
      </c>
      <c r="I78" s="25">
        <f>IF(Registro_Compras!$R78&lt;&gt;"SI","",IF(Registro_Compras!$Y78="",WORKDAY(EOMONTH(Registro_Compras!$B78,0),5,Feriados),MIN(Registro_Compras!$Y78,WORKDAY(EOMONTH(Registro_Compras!$B78,0),5,Feriados))))</f>
        <v/>
      </c>
      <c r="J78" s="25">
        <f>IF(Registro_Compras!$R78&lt;&gt;"SI","",Registro_Compras!$X78)</f>
        <v/>
      </c>
      <c r="K78">
        <f>IF(Registro_Compras!$R78&lt;&gt;"SI","",IF(Registro_Compras!$X78="","PENDIENTE","DEPOSITADA"))</f>
        <v/>
      </c>
      <c r="L78">
        <f>IF(Registro_Compras!$R78&lt;&gt;"SI","",Registro_Compras!$Z78)</f>
        <v/>
      </c>
      <c r="M78">
        <f>IF($K78&lt;&gt;"PENDIENTE","",IF(TODAY()&gt;$I78,TODAY()-$I78,0))</f>
        <v/>
      </c>
      <c r="N78">
        <f>IF($K78&lt;&gt;"PENDIENTE","",IF($M78&gt;0,"VENCIDA - DEPOSITAR YA",IF($I78-TODAY()&lt;=3,"POR VENCER","EN PLAZO")))</f>
        <v/>
      </c>
    </row>
    <row r="79">
      <c r="A79" s="25">
        <f>IF(Registro_Compras!$R79&lt;&gt;"SI","",Registro_Compras!$B79)</f>
        <v/>
      </c>
      <c r="B79">
        <f>IF(Registro_Compras!$R79&lt;&gt;"SI","",Registro_Compras!$C79)</f>
        <v/>
      </c>
      <c r="C79">
        <f>IF(Registro_Compras!$R79&lt;&gt;"SI","",Registro_Compras!$D79)</f>
        <v/>
      </c>
      <c r="D79">
        <f>IF(Registro_Compras!$R79&lt;&gt;"SI","",Registro_Compras!$E79)</f>
        <v/>
      </c>
      <c r="E79">
        <f>IF(Registro_Compras!$R79&lt;&gt;"SI","",Registro_Compras!$G79)</f>
        <v/>
      </c>
      <c r="F79" s="31">
        <f>IF(Registro_Compras!$R79&lt;&gt;"SI","",Registro_Compras!$P79)</f>
        <v/>
      </c>
      <c r="G79" s="20">
        <f>IF(Registro_Compras!$R79&lt;&gt;"SI","",Registro_Compras!$O79)</f>
        <v/>
      </c>
      <c r="H79" s="20">
        <f>IF(Registro_Compras!$R79&lt;&gt;"SI","",Registro_Compras!$S79)</f>
        <v/>
      </c>
      <c r="I79" s="25">
        <f>IF(Registro_Compras!$R79&lt;&gt;"SI","",IF(Registro_Compras!$Y79="",WORKDAY(EOMONTH(Registro_Compras!$B79,0),5,Feriados),MIN(Registro_Compras!$Y79,WORKDAY(EOMONTH(Registro_Compras!$B79,0),5,Feriados))))</f>
        <v/>
      </c>
      <c r="J79" s="25">
        <f>IF(Registro_Compras!$R79&lt;&gt;"SI","",Registro_Compras!$X79)</f>
        <v/>
      </c>
      <c r="K79">
        <f>IF(Registro_Compras!$R79&lt;&gt;"SI","",IF(Registro_Compras!$X79="","PENDIENTE","DEPOSITADA"))</f>
        <v/>
      </c>
      <c r="L79">
        <f>IF(Registro_Compras!$R79&lt;&gt;"SI","",Registro_Compras!$Z79)</f>
        <v/>
      </c>
      <c r="M79">
        <f>IF($K79&lt;&gt;"PENDIENTE","",IF(TODAY()&gt;$I79,TODAY()-$I79,0))</f>
        <v/>
      </c>
      <c r="N79">
        <f>IF($K79&lt;&gt;"PENDIENTE","",IF($M79&gt;0,"VENCIDA - DEPOSITAR YA",IF($I79-TODAY()&lt;=3,"POR VENCER","EN PLAZO")))</f>
        <v/>
      </c>
    </row>
    <row r="80">
      <c r="A80" s="25">
        <f>IF(Registro_Compras!$R80&lt;&gt;"SI","",Registro_Compras!$B80)</f>
        <v/>
      </c>
      <c r="B80">
        <f>IF(Registro_Compras!$R80&lt;&gt;"SI","",Registro_Compras!$C80)</f>
        <v/>
      </c>
      <c r="C80">
        <f>IF(Registro_Compras!$R80&lt;&gt;"SI","",Registro_Compras!$D80)</f>
        <v/>
      </c>
      <c r="D80">
        <f>IF(Registro_Compras!$R80&lt;&gt;"SI","",Registro_Compras!$E80)</f>
        <v/>
      </c>
      <c r="E80">
        <f>IF(Registro_Compras!$R80&lt;&gt;"SI","",Registro_Compras!$G80)</f>
        <v/>
      </c>
      <c r="F80" s="31">
        <f>IF(Registro_Compras!$R80&lt;&gt;"SI","",Registro_Compras!$P80)</f>
        <v/>
      </c>
      <c r="G80" s="20">
        <f>IF(Registro_Compras!$R80&lt;&gt;"SI","",Registro_Compras!$O80)</f>
        <v/>
      </c>
      <c r="H80" s="20">
        <f>IF(Registro_Compras!$R80&lt;&gt;"SI","",Registro_Compras!$S80)</f>
        <v/>
      </c>
      <c r="I80" s="25">
        <f>IF(Registro_Compras!$R80&lt;&gt;"SI","",IF(Registro_Compras!$Y80="",WORKDAY(EOMONTH(Registro_Compras!$B80,0),5,Feriados),MIN(Registro_Compras!$Y80,WORKDAY(EOMONTH(Registro_Compras!$B80,0),5,Feriados))))</f>
        <v/>
      </c>
      <c r="J80" s="25">
        <f>IF(Registro_Compras!$R80&lt;&gt;"SI","",Registro_Compras!$X80)</f>
        <v/>
      </c>
      <c r="K80">
        <f>IF(Registro_Compras!$R80&lt;&gt;"SI","",IF(Registro_Compras!$X80="","PENDIENTE","DEPOSITADA"))</f>
        <v/>
      </c>
      <c r="L80">
        <f>IF(Registro_Compras!$R80&lt;&gt;"SI","",Registro_Compras!$Z80)</f>
        <v/>
      </c>
      <c r="M80">
        <f>IF($K80&lt;&gt;"PENDIENTE","",IF(TODAY()&gt;$I80,TODAY()-$I80,0))</f>
        <v/>
      </c>
      <c r="N80">
        <f>IF($K80&lt;&gt;"PENDIENTE","",IF($M80&gt;0,"VENCIDA - DEPOSITAR YA",IF($I80-TODAY()&lt;=3,"POR VENCER","EN PLAZO")))</f>
        <v/>
      </c>
    </row>
    <row r="81">
      <c r="A81" s="25">
        <f>IF(Registro_Compras!$R81&lt;&gt;"SI","",Registro_Compras!$B81)</f>
        <v/>
      </c>
      <c r="B81">
        <f>IF(Registro_Compras!$R81&lt;&gt;"SI","",Registro_Compras!$C81)</f>
        <v/>
      </c>
      <c r="C81">
        <f>IF(Registro_Compras!$R81&lt;&gt;"SI","",Registro_Compras!$D81)</f>
        <v/>
      </c>
      <c r="D81">
        <f>IF(Registro_Compras!$R81&lt;&gt;"SI","",Registro_Compras!$E81)</f>
        <v/>
      </c>
      <c r="E81">
        <f>IF(Registro_Compras!$R81&lt;&gt;"SI","",Registro_Compras!$G81)</f>
        <v/>
      </c>
      <c r="F81" s="31">
        <f>IF(Registro_Compras!$R81&lt;&gt;"SI","",Registro_Compras!$P81)</f>
        <v/>
      </c>
      <c r="G81" s="20">
        <f>IF(Registro_Compras!$R81&lt;&gt;"SI","",Registro_Compras!$O81)</f>
        <v/>
      </c>
      <c r="H81" s="20">
        <f>IF(Registro_Compras!$R81&lt;&gt;"SI","",Registro_Compras!$S81)</f>
        <v/>
      </c>
      <c r="I81" s="25">
        <f>IF(Registro_Compras!$R81&lt;&gt;"SI","",IF(Registro_Compras!$Y81="",WORKDAY(EOMONTH(Registro_Compras!$B81,0),5,Feriados),MIN(Registro_Compras!$Y81,WORKDAY(EOMONTH(Registro_Compras!$B81,0),5,Feriados))))</f>
        <v/>
      </c>
      <c r="J81" s="25">
        <f>IF(Registro_Compras!$R81&lt;&gt;"SI","",Registro_Compras!$X81)</f>
        <v/>
      </c>
      <c r="K81">
        <f>IF(Registro_Compras!$R81&lt;&gt;"SI","",IF(Registro_Compras!$X81="","PENDIENTE","DEPOSITADA"))</f>
        <v/>
      </c>
      <c r="L81">
        <f>IF(Registro_Compras!$R81&lt;&gt;"SI","",Registro_Compras!$Z81)</f>
        <v/>
      </c>
      <c r="M81">
        <f>IF($K81&lt;&gt;"PENDIENTE","",IF(TODAY()&gt;$I81,TODAY()-$I81,0))</f>
        <v/>
      </c>
      <c r="N81">
        <f>IF($K81&lt;&gt;"PENDIENTE","",IF($M81&gt;0,"VENCIDA - DEPOSITAR YA",IF($I81-TODAY()&lt;=3,"POR VENCER","EN PLAZO")))</f>
        <v/>
      </c>
    </row>
    <row r="82">
      <c r="A82" s="25">
        <f>IF(Registro_Compras!$R82&lt;&gt;"SI","",Registro_Compras!$B82)</f>
        <v/>
      </c>
      <c r="B82">
        <f>IF(Registro_Compras!$R82&lt;&gt;"SI","",Registro_Compras!$C82)</f>
        <v/>
      </c>
      <c r="C82">
        <f>IF(Registro_Compras!$R82&lt;&gt;"SI","",Registro_Compras!$D82)</f>
        <v/>
      </c>
      <c r="D82">
        <f>IF(Registro_Compras!$R82&lt;&gt;"SI","",Registro_Compras!$E82)</f>
        <v/>
      </c>
      <c r="E82">
        <f>IF(Registro_Compras!$R82&lt;&gt;"SI","",Registro_Compras!$G82)</f>
        <v/>
      </c>
      <c r="F82" s="31">
        <f>IF(Registro_Compras!$R82&lt;&gt;"SI","",Registro_Compras!$P82)</f>
        <v/>
      </c>
      <c r="G82" s="20">
        <f>IF(Registro_Compras!$R82&lt;&gt;"SI","",Registro_Compras!$O82)</f>
        <v/>
      </c>
      <c r="H82" s="20">
        <f>IF(Registro_Compras!$R82&lt;&gt;"SI","",Registro_Compras!$S82)</f>
        <v/>
      </c>
      <c r="I82" s="25">
        <f>IF(Registro_Compras!$R82&lt;&gt;"SI","",IF(Registro_Compras!$Y82="",WORKDAY(EOMONTH(Registro_Compras!$B82,0),5,Feriados),MIN(Registro_Compras!$Y82,WORKDAY(EOMONTH(Registro_Compras!$B82,0),5,Feriados))))</f>
        <v/>
      </c>
      <c r="J82" s="25">
        <f>IF(Registro_Compras!$R82&lt;&gt;"SI","",Registro_Compras!$X82)</f>
        <v/>
      </c>
      <c r="K82">
        <f>IF(Registro_Compras!$R82&lt;&gt;"SI","",IF(Registro_Compras!$X82="","PENDIENTE","DEPOSITADA"))</f>
        <v/>
      </c>
      <c r="L82">
        <f>IF(Registro_Compras!$R82&lt;&gt;"SI","",Registro_Compras!$Z82)</f>
        <v/>
      </c>
      <c r="M82">
        <f>IF($K82&lt;&gt;"PENDIENTE","",IF(TODAY()&gt;$I82,TODAY()-$I82,0))</f>
        <v/>
      </c>
      <c r="N82">
        <f>IF($K82&lt;&gt;"PENDIENTE","",IF($M82&gt;0,"VENCIDA - DEPOSITAR YA",IF($I82-TODAY()&lt;=3,"POR VENCER","EN PLAZO")))</f>
        <v/>
      </c>
    </row>
    <row r="83">
      <c r="A83" s="25">
        <f>IF(Registro_Compras!$R83&lt;&gt;"SI","",Registro_Compras!$B83)</f>
        <v/>
      </c>
      <c r="B83">
        <f>IF(Registro_Compras!$R83&lt;&gt;"SI","",Registro_Compras!$C83)</f>
        <v/>
      </c>
      <c r="C83">
        <f>IF(Registro_Compras!$R83&lt;&gt;"SI","",Registro_Compras!$D83)</f>
        <v/>
      </c>
      <c r="D83">
        <f>IF(Registro_Compras!$R83&lt;&gt;"SI","",Registro_Compras!$E83)</f>
        <v/>
      </c>
      <c r="E83">
        <f>IF(Registro_Compras!$R83&lt;&gt;"SI","",Registro_Compras!$G83)</f>
        <v/>
      </c>
      <c r="F83" s="31">
        <f>IF(Registro_Compras!$R83&lt;&gt;"SI","",Registro_Compras!$P83)</f>
        <v/>
      </c>
      <c r="G83" s="20">
        <f>IF(Registro_Compras!$R83&lt;&gt;"SI","",Registro_Compras!$O83)</f>
        <v/>
      </c>
      <c r="H83" s="20">
        <f>IF(Registro_Compras!$R83&lt;&gt;"SI","",Registro_Compras!$S83)</f>
        <v/>
      </c>
      <c r="I83" s="25">
        <f>IF(Registro_Compras!$R83&lt;&gt;"SI","",IF(Registro_Compras!$Y83="",WORKDAY(EOMONTH(Registro_Compras!$B83,0),5,Feriados),MIN(Registro_Compras!$Y83,WORKDAY(EOMONTH(Registro_Compras!$B83,0),5,Feriados))))</f>
        <v/>
      </c>
      <c r="J83" s="25">
        <f>IF(Registro_Compras!$R83&lt;&gt;"SI","",Registro_Compras!$X83)</f>
        <v/>
      </c>
      <c r="K83">
        <f>IF(Registro_Compras!$R83&lt;&gt;"SI","",IF(Registro_Compras!$X83="","PENDIENTE","DEPOSITADA"))</f>
        <v/>
      </c>
      <c r="L83">
        <f>IF(Registro_Compras!$R83&lt;&gt;"SI","",Registro_Compras!$Z83)</f>
        <v/>
      </c>
      <c r="M83">
        <f>IF($K83&lt;&gt;"PENDIENTE","",IF(TODAY()&gt;$I83,TODAY()-$I83,0))</f>
        <v/>
      </c>
      <c r="N83">
        <f>IF($K83&lt;&gt;"PENDIENTE","",IF($M83&gt;0,"VENCIDA - DEPOSITAR YA",IF($I83-TODAY()&lt;=3,"POR VENCER","EN PLAZO")))</f>
        <v/>
      </c>
    </row>
    <row r="84">
      <c r="A84" s="25">
        <f>IF(Registro_Compras!$R84&lt;&gt;"SI","",Registro_Compras!$B84)</f>
        <v/>
      </c>
      <c r="B84">
        <f>IF(Registro_Compras!$R84&lt;&gt;"SI","",Registro_Compras!$C84)</f>
        <v/>
      </c>
      <c r="C84">
        <f>IF(Registro_Compras!$R84&lt;&gt;"SI","",Registro_Compras!$D84)</f>
        <v/>
      </c>
      <c r="D84">
        <f>IF(Registro_Compras!$R84&lt;&gt;"SI","",Registro_Compras!$E84)</f>
        <v/>
      </c>
      <c r="E84">
        <f>IF(Registro_Compras!$R84&lt;&gt;"SI","",Registro_Compras!$G84)</f>
        <v/>
      </c>
      <c r="F84" s="31">
        <f>IF(Registro_Compras!$R84&lt;&gt;"SI","",Registro_Compras!$P84)</f>
        <v/>
      </c>
      <c r="G84" s="20">
        <f>IF(Registro_Compras!$R84&lt;&gt;"SI","",Registro_Compras!$O84)</f>
        <v/>
      </c>
      <c r="H84" s="20">
        <f>IF(Registro_Compras!$R84&lt;&gt;"SI","",Registro_Compras!$S84)</f>
        <v/>
      </c>
      <c r="I84" s="25">
        <f>IF(Registro_Compras!$R84&lt;&gt;"SI","",IF(Registro_Compras!$Y84="",WORKDAY(EOMONTH(Registro_Compras!$B84,0),5,Feriados),MIN(Registro_Compras!$Y84,WORKDAY(EOMONTH(Registro_Compras!$B84,0),5,Feriados))))</f>
        <v/>
      </c>
      <c r="J84" s="25">
        <f>IF(Registro_Compras!$R84&lt;&gt;"SI","",Registro_Compras!$X84)</f>
        <v/>
      </c>
      <c r="K84">
        <f>IF(Registro_Compras!$R84&lt;&gt;"SI","",IF(Registro_Compras!$X84="","PENDIENTE","DEPOSITADA"))</f>
        <v/>
      </c>
      <c r="L84">
        <f>IF(Registro_Compras!$R84&lt;&gt;"SI","",Registro_Compras!$Z84)</f>
        <v/>
      </c>
      <c r="M84">
        <f>IF($K84&lt;&gt;"PENDIENTE","",IF(TODAY()&gt;$I84,TODAY()-$I84,0))</f>
        <v/>
      </c>
      <c r="N84">
        <f>IF($K84&lt;&gt;"PENDIENTE","",IF($M84&gt;0,"VENCIDA - DEPOSITAR YA",IF($I84-TODAY()&lt;=3,"POR VENCER","EN PLAZO")))</f>
        <v/>
      </c>
    </row>
    <row r="85">
      <c r="A85" s="25">
        <f>IF(Registro_Compras!$R85&lt;&gt;"SI","",Registro_Compras!$B85)</f>
        <v/>
      </c>
      <c r="B85">
        <f>IF(Registro_Compras!$R85&lt;&gt;"SI","",Registro_Compras!$C85)</f>
        <v/>
      </c>
      <c r="C85">
        <f>IF(Registro_Compras!$R85&lt;&gt;"SI","",Registro_Compras!$D85)</f>
        <v/>
      </c>
      <c r="D85">
        <f>IF(Registro_Compras!$R85&lt;&gt;"SI","",Registro_Compras!$E85)</f>
        <v/>
      </c>
      <c r="E85">
        <f>IF(Registro_Compras!$R85&lt;&gt;"SI","",Registro_Compras!$G85)</f>
        <v/>
      </c>
      <c r="F85" s="31">
        <f>IF(Registro_Compras!$R85&lt;&gt;"SI","",Registro_Compras!$P85)</f>
        <v/>
      </c>
      <c r="G85" s="20">
        <f>IF(Registro_Compras!$R85&lt;&gt;"SI","",Registro_Compras!$O85)</f>
        <v/>
      </c>
      <c r="H85" s="20">
        <f>IF(Registro_Compras!$R85&lt;&gt;"SI","",Registro_Compras!$S85)</f>
        <v/>
      </c>
      <c r="I85" s="25">
        <f>IF(Registro_Compras!$R85&lt;&gt;"SI","",IF(Registro_Compras!$Y85="",WORKDAY(EOMONTH(Registro_Compras!$B85,0),5,Feriados),MIN(Registro_Compras!$Y85,WORKDAY(EOMONTH(Registro_Compras!$B85,0),5,Feriados))))</f>
        <v/>
      </c>
      <c r="J85" s="25">
        <f>IF(Registro_Compras!$R85&lt;&gt;"SI","",Registro_Compras!$X85)</f>
        <v/>
      </c>
      <c r="K85">
        <f>IF(Registro_Compras!$R85&lt;&gt;"SI","",IF(Registro_Compras!$X85="","PENDIENTE","DEPOSITADA"))</f>
        <v/>
      </c>
      <c r="L85">
        <f>IF(Registro_Compras!$R85&lt;&gt;"SI","",Registro_Compras!$Z85)</f>
        <v/>
      </c>
      <c r="M85">
        <f>IF($K85&lt;&gt;"PENDIENTE","",IF(TODAY()&gt;$I85,TODAY()-$I85,0))</f>
        <v/>
      </c>
      <c r="N85">
        <f>IF($K85&lt;&gt;"PENDIENTE","",IF($M85&gt;0,"VENCIDA - DEPOSITAR YA",IF($I85-TODAY()&lt;=3,"POR VENCER","EN PLAZO")))</f>
        <v/>
      </c>
    </row>
    <row r="86">
      <c r="A86" s="25">
        <f>IF(Registro_Compras!$R86&lt;&gt;"SI","",Registro_Compras!$B86)</f>
        <v/>
      </c>
      <c r="B86">
        <f>IF(Registro_Compras!$R86&lt;&gt;"SI","",Registro_Compras!$C86)</f>
        <v/>
      </c>
      <c r="C86">
        <f>IF(Registro_Compras!$R86&lt;&gt;"SI","",Registro_Compras!$D86)</f>
        <v/>
      </c>
      <c r="D86">
        <f>IF(Registro_Compras!$R86&lt;&gt;"SI","",Registro_Compras!$E86)</f>
        <v/>
      </c>
      <c r="E86">
        <f>IF(Registro_Compras!$R86&lt;&gt;"SI","",Registro_Compras!$G86)</f>
        <v/>
      </c>
      <c r="F86" s="31">
        <f>IF(Registro_Compras!$R86&lt;&gt;"SI","",Registro_Compras!$P86)</f>
        <v/>
      </c>
      <c r="G86" s="20">
        <f>IF(Registro_Compras!$R86&lt;&gt;"SI","",Registro_Compras!$O86)</f>
        <v/>
      </c>
      <c r="H86" s="20">
        <f>IF(Registro_Compras!$R86&lt;&gt;"SI","",Registro_Compras!$S86)</f>
        <v/>
      </c>
      <c r="I86" s="25">
        <f>IF(Registro_Compras!$R86&lt;&gt;"SI","",IF(Registro_Compras!$Y86="",WORKDAY(EOMONTH(Registro_Compras!$B86,0),5,Feriados),MIN(Registro_Compras!$Y86,WORKDAY(EOMONTH(Registro_Compras!$B86,0),5,Feriados))))</f>
        <v/>
      </c>
      <c r="J86" s="25">
        <f>IF(Registro_Compras!$R86&lt;&gt;"SI","",Registro_Compras!$X86)</f>
        <v/>
      </c>
      <c r="K86">
        <f>IF(Registro_Compras!$R86&lt;&gt;"SI","",IF(Registro_Compras!$X86="","PENDIENTE","DEPOSITADA"))</f>
        <v/>
      </c>
      <c r="L86">
        <f>IF(Registro_Compras!$R86&lt;&gt;"SI","",Registro_Compras!$Z86)</f>
        <v/>
      </c>
      <c r="M86">
        <f>IF($K86&lt;&gt;"PENDIENTE","",IF(TODAY()&gt;$I86,TODAY()-$I86,0))</f>
        <v/>
      </c>
      <c r="N86">
        <f>IF($K86&lt;&gt;"PENDIENTE","",IF($M86&gt;0,"VENCIDA - DEPOSITAR YA",IF($I86-TODAY()&lt;=3,"POR VENCER","EN PLAZO")))</f>
        <v/>
      </c>
    </row>
    <row r="87">
      <c r="A87" s="25">
        <f>IF(Registro_Compras!$R87&lt;&gt;"SI","",Registro_Compras!$B87)</f>
        <v/>
      </c>
      <c r="B87">
        <f>IF(Registro_Compras!$R87&lt;&gt;"SI","",Registro_Compras!$C87)</f>
        <v/>
      </c>
      <c r="C87">
        <f>IF(Registro_Compras!$R87&lt;&gt;"SI","",Registro_Compras!$D87)</f>
        <v/>
      </c>
      <c r="D87">
        <f>IF(Registro_Compras!$R87&lt;&gt;"SI","",Registro_Compras!$E87)</f>
        <v/>
      </c>
      <c r="E87">
        <f>IF(Registro_Compras!$R87&lt;&gt;"SI","",Registro_Compras!$G87)</f>
        <v/>
      </c>
      <c r="F87" s="31">
        <f>IF(Registro_Compras!$R87&lt;&gt;"SI","",Registro_Compras!$P87)</f>
        <v/>
      </c>
      <c r="G87" s="20">
        <f>IF(Registro_Compras!$R87&lt;&gt;"SI","",Registro_Compras!$O87)</f>
        <v/>
      </c>
      <c r="H87" s="20">
        <f>IF(Registro_Compras!$R87&lt;&gt;"SI","",Registro_Compras!$S87)</f>
        <v/>
      </c>
      <c r="I87" s="25">
        <f>IF(Registro_Compras!$R87&lt;&gt;"SI","",IF(Registro_Compras!$Y87="",WORKDAY(EOMONTH(Registro_Compras!$B87,0),5,Feriados),MIN(Registro_Compras!$Y87,WORKDAY(EOMONTH(Registro_Compras!$B87,0),5,Feriados))))</f>
        <v/>
      </c>
      <c r="J87" s="25">
        <f>IF(Registro_Compras!$R87&lt;&gt;"SI","",Registro_Compras!$X87)</f>
        <v/>
      </c>
      <c r="K87">
        <f>IF(Registro_Compras!$R87&lt;&gt;"SI","",IF(Registro_Compras!$X87="","PENDIENTE","DEPOSITADA"))</f>
        <v/>
      </c>
      <c r="L87">
        <f>IF(Registro_Compras!$R87&lt;&gt;"SI","",Registro_Compras!$Z87)</f>
        <v/>
      </c>
      <c r="M87">
        <f>IF($K87&lt;&gt;"PENDIENTE","",IF(TODAY()&gt;$I87,TODAY()-$I87,0))</f>
        <v/>
      </c>
      <c r="N87">
        <f>IF($K87&lt;&gt;"PENDIENTE","",IF($M87&gt;0,"VENCIDA - DEPOSITAR YA",IF($I87-TODAY()&lt;=3,"POR VENCER","EN PLAZO")))</f>
        <v/>
      </c>
    </row>
    <row r="88">
      <c r="A88" s="25">
        <f>IF(Registro_Compras!$R88&lt;&gt;"SI","",Registro_Compras!$B88)</f>
        <v/>
      </c>
      <c r="B88">
        <f>IF(Registro_Compras!$R88&lt;&gt;"SI","",Registro_Compras!$C88)</f>
        <v/>
      </c>
      <c r="C88">
        <f>IF(Registro_Compras!$R88&lt;&gt;"SI","",Registro_Compras!$D88)</f>
        <v/>
      </c>
      <c r="D88">
        <f>IF(Registro_Compras!$R88&lt;&gt;"SI","",Registro_Compras!$E88)</f>
        <v/>
      </c>
      <c r="E88">
        <f>IF(Registro_Compras!$R88&lt;&gt;"SI","",Registro_Compras!$G88)</f>
        <v/>
      </c>
      <c r="F88" s="31">
        <f>IF(Registro_Compras!$R88&lt;&gt;"SI","",Registro_Compras!$P88)</f>
        <v/>
      </c>
      <c r="G88" s="20">
        <f>IF(Registro_Compras!$R88&lt;&gt;"SI","",Registro_Compras!$O88)</f>
        <v/>
      </c>
      <c r="H88" s="20">
        <f>IF(Registro_Compras!$R88&lt;&gt;"SI","",Registro_Compras!$S88)</f>
        <v/>
      </c>
      <c r="I88" s="25">
        <f>IF(Registro_Compras!$R88&lt;&gt;"SI","",IF(Registro_Compras!$Y88="",WORKDAY(EOMONTH(Registro_Compras!$B88,0),5,Feriados),MIN(Registro_Compras!$Y88,WORKDAY(EOMONTH(Registro_Compras!$B88,0),5,Feriados))))</f>
        <v/>
      </c>
      <c r="J88" s="25">
        <f>IF(Registro_Compras!$R88&lt;&gt;"SI","",Registro_Compras!$X88)</f>
        <v/>
      </c>
      <c r="K88">
        <f>IF(Registro_Compras!$R88&lt;&gt;"SI","",IF(Registro_Compras!$X88="","PENDIENTE","DEPOSITADA"))</f>
        <v/>
      </c>
      <c r="L88">
        <f>IF(Registro_Compras!$R88&lt;&gt;"SI","",Registro_Compras!$Z88)</f>
        <v/>
      </c>
      <c r="M88">
        <f>IF($K88&lt;&gt;"PENDIENTE","",IF(TODAY()&gt;$I88,TODAY()-$I88,0))</f>
        <v/>
      </c>
      <c r="N88">
        <f>IF($K88&lt;&gt;"PENDIENTE","",IF($M88&gt;0,"VENCIDA - DEPOSITAR YA",IF($I88-TODAY()&lt;=3,"POR VENCER","EN PLAZO")))</f>
        <v/>
      </c>
    </row>
    <row r="89">
      <c r="A89" s="25">
        <f>IF(Registro_Compras!$R89&lt;&gt;"SI","",Registro_Compras!$B89)</f>
        <v/>
      </c>
      <c r="B89">
        <f>IF(Registro_Compras!$R89&lt;&gt;"SI","",Registro_Compras!$C89)</f>
        <v/>
      </c>
      <c r="C89">
        <f>IF(Registro_Compras!$R89&lt;&gt;"SI","",Registro_Compras!$D89)</f>
        <v/>
      </c>
      <c r="D89">
        <f>IF(Registro_Compras!$R89&lt;&gt;"SI","",Registro_Compras!$E89)</f>
        <v/>
      </c>
      <c r="E89">
        <f>IF(Registro_Compras!$R89&lt;&gt;"SI","",Registro_Compras!$G89)</f>
        <v/>
      </c>
      <c r="F89" s="31">
        <f>IF(Registro_Compras!$R89&lt;&gt;"SI","",Registro_Compras!$P89)</f>
        <v/>
      </c>
      <c r="G89" s="20">
        <f>IF(Registro_Compras!$R89&lt;&gt;"SI","",Registro_Compras!$O89)</f>
        <v/>
      </c>
      <c r="H89" s="20">
        <f>IF(Registro_Compras!$R89&lt;&gt;"SI","",Registro_Compras!$S89)</f>
        <v/>
      </c>
      <c r="I89" s="25">
        <f>IF(Registro_Compras!$R89&lt;&gt;"SI","",IF(Registro_Compras!$Y89="",WORKDAY(EOMONTH(Registro_Compras!$B89,0),5,Feriados),MIN(Registro_Compras!$Y89,WORKDAY(EOMONTH(Registro_Compras!$B89,0),5,Feriados))))</f>
        <v/>
      </c>
      <c r="J89" s="25">
        <f>IF(Registro_Compras!$R89&lt;&gt;"SI","",Registro_Compras!$X89)</f>
        <v/>
      </c>
      <c r="K89">
        <f>IF(Registro_Compras!$R89&lt;&gt;"SI","",IF(Registro_Compras!$X89="","PENDIENTE","DEPOSITADA"))</f>
        <v/>
      </c>
      <c r="L89">
        <f>IF(Registro_Compras!$R89&lt;&gt;"SI","",Registro_Compras!$Z89)</f>
        <v/>
      </c>
      <c r="M89">
        <f>IF($K89&lt;&gt;"PENDIENTE","",IF(TODAY()&gt;$I89,TODAY()-$I89,0))</f>
        <v/>
      </c>
      <c r="N89">
        <f>IF($K89&lt;&gt;"PENDIENTE","",IF($M89&gt;0,"VENCIDA - DEPOSITAR YA",IF($I89-TODAY()&lt;=3,"POR VENCER","EN PLAZO")))</f>
        <v/>
      </c>
    </row>
    <row r="90">
      <c r="A90" s="25">
        <f>IF(Registro_Compras!$R90&lt;&gt;"SI","",Registro_Compras!$B90)</f>
        <v/>
      </c>
      <c r="B90">
        <f>IF(Registro_Compras!$R90&lt;&gt;"SI","",Registro_Compras!$C90)</f>
        <v/>
      </c>
      <c r="C90">
        <f>IF(Registro_Compras!$R90&lt;&gt;"SI","",Registro_Compras!$D90)</f>
        <v/>
      </c>
      <c r="D90">
        <f>IF(Registro_Compras!$R90&lt;&gt;"SI","",Registro_Compras!$E90)</f>
        <v/>
      </c>
      <c r="E90">
        <f>IF(Registro_Compras!$R90&lt;&gt;"SI","",Registro_Compras!$G90)</f>
        <v/>
      </c>
      <c r="F90" s="31">
        <f>IF(Registro_Compras!$R90&lt;&gt;"SI","",Registro_Compras!$P90)</f>
        <v/>
      </c>
      <c r="G90" s="20">
        <f>IF(Registro_Compras!$R90&lt;&gt;"SI","",Registro_Compras!$O90)</f>
        <v/>
      </c>
      <c r="H90" s="20">
        <f>IF(Registro_Compras!$R90&lt;&gt;"SI","",Registro_Compras!$S90)</f>
        <v/>
      </c>
      <c r="I90" s="25">
        <f>IF(Registro_Compras!$R90&lt;&gt;"SI","",IF(Registro_Compras!$Y90="",WORKDAY(EOMONTH(Registro_Compras!$B90,0),5,Feriados),MIN(Registro_Compras!$Y90,WORKDAY(EOMONTH(Registro_Compras!$B90,0),5,Feriados))))</f>
        <v/>
      </c>
      <c r="J90" s="25">
        <f>IF(Registro_Compras!$R90&lt;&gt;"SI","",Registro_Compras!$X90)</f>
        <v/>
      </c>
      <c r="K90">
        <f>IF(Registro_Compras!$R90&lt;&gt;"SI","",IF(Registro_Compras!$X90="","PENDIENTE","DEPOSITADA"))</f>
        <v/>
      </c>
      <c r="L90">
        <f>IF(Registro_Compras!$R90&lt;&gt;"SI","",Registro_Compras!$Z90)</f>
        <v/>
      </c>
      <c r="M90">
        <f>IF($K90&lt;&gt;"PENDIENTE","",IF(TODAY()&gt;$I90,TODAY()-$I90,0))</f>
        <v/>
      </c>
      <c r="N90">
        <f>IF($K90&lt;&gt;"PENDIENTE","",IF($M90&gt;0,"VENCIDA - DEPOSITAR YA",IF($I90-TODAY()&lt;=3,"POR VENCER","EN PLAZO")))</f>
        <v/>
      </c>
    </row>
    <row r="91">
      <c r="A91" s="25">
        <f>IF(Registro_Compras!$R91&lt;&gt;"SI","",Registro_Compras!$B91)</f>
        <v/>
      </c>
      <c r="B91">
        <f>IF(Registro_Compras!$R91&lt;&gt;"SI","",Registro_Compras!$C91)</f>
        <v/>
      </c>
      <c r="C91">
        <f>IF(Registro_Compras!$R91&lt;&gt;"SI","",Registro_Compras!$D91)</f>
        <v/>
      </c>
      <c r="D91">
        <f>IF(Registro_Compras!$R91&lt;&gt;"SI","",Registro_Compras!$E91)</f>
        <v/>
      </c>
      <c r="E91">
        <f>IF(Registro_Compras!$R91&lt;&gt;"SI","",Registro_Compras!$G91)</f>
        <v/>
      </c>
      <c r="F91" s="31">
        <f>IF(Registro_Compras!$R91&lt;&gt;"SI","",Registro_Compras!$P91)</f>
        <v/>
      </c>
      <c r="G91" s="20">
        <f>IF(Registro_Compras!$R91&lt;&gt;"SI","",Registro_Compras!$O91)</f>
        <v/>
      </c>
      <c r="H91" s="20">
        <f>IF(Registro_Compras!$R91&lt;&gt;"SI","",Registro_Compras!$S91)</f>
        <v/>
      </c>
      <c r="I91" s="25">
        <f>IF(Registro_Compras!$R91&lt;&gt;"SI","",IF(Registro_Compras!$Y91="",WORKDAY(EOMONTH(Registro_Compras!$B91,0),5,Feriados),MIN(Registro_Compras!$Y91,WORKDAY(EOMONTH(Registro_Compras!$B91,0),5,Feriados))))</f>
        <v/>
      </c>
      <c r="J91" s="25">
        <f>IF(Registro_Compras!$R91&lt;&gt;"SI","",Registro_Compras!$X91)</f>
        <v/>
      </c>
      <c r="K91">
        <f>IF(Registro_Compras!$R91&lt;&gt;"SI","",IF(Registro_Compras!$X91="","PENDIENTE","DEPOSITADA"))</f>
        <v/>
      </c>
      <c r="L91">
        <f>IF(Registro_Compras!$R91&lt;&gt;"SI","",Registro_Compras!$Z91)</f>
        <v/>
      </c>
      <c r="M91">
        <f>IF($K91&lt;&gt;"PENDIENTE","",IF(TODAY()&gt;$I91,TODAY()-$I91,0))</f>
        <v/>
      </c>
      <c r="N91">
        <f>IF($K91&lt;&gt;"PENDIENTE","",IF($M91&gt;0,"VENCIDA - DEPOSITAR YA",IF($I91-TODAY()&lt;=3,"POR VENCER","EN PLAZO")))</f>
        <v/>
      </c>
    </row>
    <row r="92">
      <c r="A92" s="25">
        <f>IF(Registro_Compras!$R92&lt;&gt;"SI","",Registro_Compras!$B92)</f>
        <v/>
      </c>
      <c r="B92">
        <f>IF(Registro_Compras!$R92&lt;&gt;"SI","",Registro_Compras!$C92)</f>
        <v/>
      </c>
      <c r="C92">
        <f>IF(Registro_Compras!$R92&lt;&gt;"SI","",Registro_Compras!$D92)</f>
        <v/>
      </c>
      <c r="D92">
        <f>IF(Registro_Compras!$R92&lt;&gt;"SI","",Registro_Compras!$E92)</f>
        <v/>
      </c>
      <c r="E92">
        <f>IF(Registro_Compras!$R92&lt;&gt;"SI","",Registro_Compras!$G92)</f>
        <v/>
      </c>
      <c r="F92" s="31">
        <f>IF(Registro_Compras!$R92&lt;&gt;"SI","",Registro_Compras!$P92)</f>
        <v/>
      </c>
      <c r="G92" s="20">
        <f>IF(Registro_Compras!$R92&lt;&gt;"SI","",Registro_Compras!$O92)</f>
        <v/>
      </c>
      <c r="H92" s="20">
        <f>IF(Registro_Compras!$R92&lt;&gt;"SI","",Registro_Compras!$S92)</f>
        <v/>
      </c>
      <c r="I92" s="25">
        <f>IF(Registro_Compras!$R92&lt;&gt;"SI","",IF(Registro_Compras!$Y92="",WORKDAY(EOMONTH(Registro_Compras!$B92,0),5,Feriados),MIN(Registro_Compras!$Y92,WORKDAY(EOMONTH(Registro_Compras!$B92,0),5,Feriados))))</f>
        <v/>
      </c>
      <c r="J92" s="25">
        <f>IF(Registro_Compras!$R92&lt;&gt;"SI","",Registro_Compras!$X92)</f>
        <v/>
      </c>
      <c r="K92">
        <f>IF(Registro_Compras!$R92&lt;&gt;"SI","",IF(Registro_Compras!$X92="","PENDIENTE","DEPOSITADA"))</f>
        <v/>
      </c>
      <c r="L92">
        <f>IF(Registro_Compras!$R92&lt;&gt;"SI","",Registro_Compras!$Z92)</f>
        <v/>
      </c>
      <c r="M92">
        <f>IF($K92&lt;&gt;"PENDIENTE","",IF(TODAY()&gt;$I92,TODAY()-$I92,0))</f>
        <v/>
      </c>
      <c r="N92">
        <f>IF($K92&lt;&gt;"PENDIENTE","",IF($M92&gt;0,"VENCIDA - DEPOSITAR YA",IF($I92-TODAY()&lt;=3,"POR VENCER","EN PLAZO")))</f>
        <v/>
      </c>
    </row>
    <row r="93">
      <c r="A93" s="25">
        <f>IF(Registro_Compras!$R93&lt;&gt;"SI","",Registro_Compras!$B93)</f>
        <v/>
      </c>
      <c r="B93">
        <f>IF(Registro_Compras!$R93&lt;&gt;"SI","",Registro_Compras!$C93)</f>
        <v/>
      </c>
      <c r="C93">
        <f>IF(Registro_Compras!$R93&lt;&gt;"SI","",Registro_Compras!$D93)</f>
        <v/>
      </c>
      <c r="D93">
        <f>IF(Registro_Compras!$R93&lt;&gt;"SI","",Registro_Compras!$E93)</f>
        <v/>
      </c>
      <c r="E93">
        <f>IF(Registro_Compras!$R93&lt;&gt;"SI","",Registro_Compras!$G93)</f>
        <v/>
      </c>
      <c r="F93" s="31">
        <f>IF(Registro_Compras!$R93&lt;&gt;"SI","",Registro_Compras!$P93)</f>
        <v/>
      </c>
      <c r="G93" s="20">
        <f>IF(Registro_Compras!$R93&lt;&gt;"SI","",Registro_Compras!$O93)</f>
        <v/>
      </c>
      <c r="H93" s="20">
        <f>IF(Registro_Compras!$R93&lt;&gt;"SI","",Registro_Compras!$S93)</f>
        <v/>
      </c>
      <c r="I93" s="25">
        <f>IF(Registro_Compras!$R93&lt;&gt;"SI","",IF(Registro_Compras!$Y93="",WORKDAY(EOMONTH(Registro_Compras!$B93,0),5,Feriados),MIN(Registro_Compras!$Y93,WORKDAY(EOMONTH(Registro_Compras!$B93,0),5,Feriados))))</f>
        <v/>
      </c>
      <c r="J93" s="25">
        <f>IF(Registro_Compras!$R93&lt;&gt;"SI","",Registro_Compras!$X93)</f>
        <v/>
      </c>
      <c r="K93">
        <f>IF(Registro_Compras!$R93&lt;&gt;"SI","",IF(Registro_Compras!$X93="","PENDIENTE","DEPOSITADA"))</f>
        <v/>
      </c>
      <c r="L93">
        <f>IF(Registro_Compras!$R93&lt;&gt;"SI","",Registro_Compras!$Z93)</f>
        <v/>
      </c>
      <c r="M93">
        <f>IF($K93&lt;&gt;"PENDIENTE","",IF(TODAY()&gt;$I93,TODAY()-$I93,0))</f>
        <v/>
      </c>
      <c r="N93">
        <f>IF($K93&lt;&gt;"PENDIENTE","",IF($M93&gt;0,"VENCIDA - DEPOSITAR YA",IF($I93-TODAY()&lt;=3,"POR VENCER","EN PLAZO")))</f>
        <v/>
      </c>
    </row>
    <row r="94">
      <c r="A94" s="25">
        <f>IF(Registro_Compras!$R94&lt;&gt;"SI","",Registro_Compras!$B94)</f>
        <v/>
      </c>
      <c r="B94">
        <f>IF(Registro_Compras!$R94&lt;&gt;"SI","",Registro_Compras!$C94)</f>
        <v/>
      </c>
      <c r="C94">
        <f>IF(Registro_Compras!$R94&lt;&gt;"SI","",Registro_Compras!$D94)</f>
        <v/>
      </c>
      <c r="D94">
        <f>IF(Registro_Compras!$R94&lt;&gt;"SI","",Registro_Compras!$E94)</f>
        <v/>
      </c>
      <c r="E94">
        <f>IF(Registro_Compras!$R94&lt;&gt;"SI","",Registro_Compras!$G94)</f>
        <v/>
      </c>
      <c r="F94" s="31">
        <f>IF(Registro_Compras!$R94&lt;&gt;"SI","",Registro_Compras!$P94)</f>
        <v/>
      </c>
      <c r="G94" s="20">
        <f>IF(Registro_Compras!$R94&lt;&gt;"SI","",Registro_Compras!$O94)</f>
        <v/>
      </c>
      <c r="H94" s="20">
        <f>IF(Registro_Compras!$R94&lt;&gt;"SI","",Registro_Compras!$S94)</f>
        <v/>
      </c>
      <c r="I94" s="25">
        <f>IF(Registro_Compras!$R94&lt;&gt;"SI","",IF(Registro_Compras!$Y94="",WORKDAY(EOMONTH(Registro_Compras!$B94,0),5,Feriados),MIN(Registro_Compras!$Y94,WORKDAY(EOMONTH(Registro_Compras!$B94,0),5,Feriados))))</f>
        <v/>
      </c>
      <c r="J94" s="25">
        <f>IF(Registro_Compras!$R94&lt;&gt;"SI","",Registro_Compras!$X94)</f>
        <v/>
      </c>
      <c r="K94">
        <f>IF(Registro_Compras!$R94&lt;&gt;"SI","",IF(Registro_Compras!$X94="","PENDIENTE","DEPOSITADA"))</f>
        <v/>
      </c>
      <c r="L94">
        <f>IF(Registro_Compras!$R94&lt;&gt;"SI","",Registro_Compras!$Z94)</f>
        <v/>
      </c>
      <c r="M94">
        <f>IF($K94&lt;&gt;"PENDIENTE","",IF(TODAY()&gt;$I94,TODAY()-$I94,0))</f>
        <v/>
      </c>
      <c r="N94">
        <f>IF($K94&lt;&gt;"PENDIENTE","",IF($M94&gt;0,"VENCIDA - DEPOSITAR YA",IF($I94-TODAY()&lt;=3,"POR VENCER","EN PLAZO")))</f>
        <v/>
      </c>
    </row>
    <row r="95">
      <c r="A95" s="25">
        <f>IF(Registro_Compras!$R95&lt;&gt;"SI","",Registro_Compras!$B95)</f>
        <v/>
      </c>
      <c r="B95">
        <f>IF(Registro_Compras!$R95&lt;&gt;"SI","",Registro_Compras!$C95)</f>
        <v/>
      </c>
      <c r="C95">
        <f>IF(Registro_Compras!$R95&lt;&gt;"SI","",Registro_Compras!$D95)</f>
        <v/>
      </c>
      <c r="D95">
        <f>IF(Registro_Compras!$R95&lt;&gt;"SI","",Registro_Compras!$E95)</f>
        <v/>
      </c>
      <c r="E95">
        <f>IF(Registro_Compras!$R95&lt;&gt;"SI","",Registro_Compras!$G95)</f>
        <v/>
      </c>
      <c r="F95" s="31">
        <f>IF(Registro_Compras!$R95&lt;&gt;"SI","",Registro_Compras!$P95)</f>
        <v/>
      </c>
      <c r="G95" s="20">
        <f>IF(Registro_Compras!$R95&lt;&gt;"SI","",Registro_Compras!$O95)</f>
        <v/>
      </c>
      <c r="H95" s="20">
        <f>IF(Registro_Compras!$R95&lt;&gt;"SI","",Registro_Compras!$S95)</f>
        <v/>
      </c>
      <c r="I95" s="25">
        <f>IF(Registro_Compras!$R95&lt;&gt;"SI","",IF(Registro_Compras!$Y95="",WORKDAY(EOMONTH(Registro_Compras!$B95,0),5,Feriados),MIN(Registro_Compras!$Y95,WORKDAY(EOMONTH(Registro_Compras!$B95,0),5,Feriados))))</f>
        <v/>
      </c>
      <c r="J95" s="25">
        <f>IF(Registro_Compras!$R95&lt;&gt;"SI","",Registro_Compras!$X95)</f>
        <v/>
      </c>
      <c r="K95">
        <f>IF(Registro_Compras!$R95&lt;&gt;"SI","",IF(Registro_Compras!$X95="","PENDIENTE","DEPOSITADA"))</f>
        <v/>
      </c>
      <c r="L95">
        <f>IF(Registro_Compras!$R95&lt;&gt;"SI","",Registro_Compras!$Z95)</f>
        <v/>
      </c>
      <c r="M95">
        <f>IF($K95&lt;&gt;"PENDIENTE","",IF(TODAY()&gt;$I95,TODAY()-$I95,0))</f>
        <v/>
      </c>
      <c r="N95">
        <f>IF($K95&lt;&gt;"PENDIENTE","",IF($M95&gt;0,"VENCIDA - DEPOSITAR YA",IF($I95-TODAY()&lt;=3,"POR VENCER","EN PLAZO")))</f>
        <v/>
      </c>
    </row>
    <row r="96">
      <c r="A96" s="25">
        <f>IF(Registro_Compras!$R96&lt;&gt;"SI","",Registro_Compras!$B96)</f>
        <v/>
      </c>
      <c r="B96">
        <f>IF(Registro_Compras!$R96&lt;&gt;"SI","",Registro_Compras!$C96)</f>
        <v/>
      </c>
      <c r="C96">
        <f>IF(Registro_Compras!$R96&lt;&gt;"SI","",Registro_Compras!$D96)</f>
        <v/>
      </c>
      <c r="D96">
        <f>IF(Registro_Compras!$R96&lt;&gt;"SI","",Registro_Compras!$E96)</f>
        <v/>
      </c>
      <c r="E96">
        <f>IF(Registro_Compras!$R96&lt;&gt;"SI","",Registro_Compras!$G96)</f>
        <v/>
      </c>
      <c r="F96" s="31">
        <f>IF(Registro_Compras!$R96&lt;&gt;"SI","",Registro_Compras!$P96)</f>
        <v/>
      </c>
      <c r="G96" s="20">
        <f>IF(Registro_Compras!$R96&lt;&gt;"SI","",Registro_Compras!$O96)</f>
        <v/>
      </c>
      <c r="H96" s="20">
        <f>IF(Registro_Compras!$R96&lt;&gt;"SI","",Registro_Compras!$S96)</f>
        <v/>
      </c>
      <c r="I96" s="25">
        <f>IF(Registro_Compras!$R96&lt;&gt;"SI","",IF(Registro_Compras!$Y96="",WORKDAY(EOMONTH(Registro_Compras!$B96,0),5,Feriados),MIN(Registro_Compras!$Y96,WORKDAY(EOMONTH(Registro_Compras!$B96,0),5,Feriados))))</f>
        <v/>
      </c>
      <c r="J96" s="25">
        <f>IF(Registro_Compras!$R96&lt;&gt;"SI","",Registro_Compras!$X96)</f>
        <v/>
      </c>
      <c r="K96">
        <f>IF(Registro_Compras!$R96&lt;&gt;"SI","",IF(Registro_Compras!$X96="","PENDIENTE","DEPOSITADA"))</f>
        <v/>
      </c>
      <c r="L96">
        <f>IF(Registro_Compras!$R96&lt;&gt;"SI","",Registro_Compras!$Z96)</f>
        <v/>
      </c>
      <c r="M96">
        <f>IF($K96&lt;&gt;"PENDIENTE","",IF(TODAY()&gt;$I96,TODAY()-$I96,0))</f>
        <v/>
      </c>
      <c r="N96">
        <f>IF($K96&lt;&gt;"PENDIENTE","",IF($M96&gt;0,"VENCIDA - DEPOSITAR YA",IF($I96-TODAY()&lt;=3,"POR VENCER","EN PLAZO")))</f>
        <v/>
      </c>
    </row>
    <row r="97">
      <c r="A97" s="25">
        <f>IF(Registro_Compras!$R97&lt;&gt;"SI","",Registro_Compras!$B97)</f>
        <v/>
      </c>
      <c r="B97">
        <f>IF(Registro_Compras!$R97&lt;&gt;"SI","",Registro_Compras!$C97)</f>
        <v/>
      </c>
      <c r="C97">
        <f>IF(Registro_Compras!$R97&lt;&gt;"SI","",Registro_Compras!$D97)</f>
        <v/>
      </c>
      <c r="D97">
        <f>IF(Registro_Compras!$R97&lt;&gt;"SI","",Registro_Compras!$E97)</f>
        <v/>
      </c>
      <c r="E97">
        <f>IF(Registro_Compras!$R97&lt;&gt;"SI","",Registro_Compras!$G97)</f>
        <v/>
      </c>
      <c r="F97" s="31">
        <f>IF(Registro_Compras!$R97&lt;&gt;"SI","",Registro_Compras!$P97)</f>
        <v/>
      </c>
      <c r="G97" s="20">
        <f>IF(Registro_Compras!$R97&lt;&gt;"SI","",Registro_Compras!$O97)</f>
        <v/>
      </c>
      <c r="H97" s="20">
        <f>IF(Registro_Compras!$R97&lt;&gt;"SI","",Registro_Compras!$S97)</f>
        <v/>
      </c>
      <c r="I97" s="25">
        <f>IF(Registro_Compras!$R97&lt;&gt;"SI","",IF(Registro_Compras!$Y97="",WORKDAY(EOMONTH(Registro_Compras!$B97,0),5,Feriados),MIN(Registro_Compras!$Y97,WORKDAY(EOMONTH(Registro_Compras!$B97,0),5,Feriados))))</f>
        <v/>
      </c>
      <c r="J97" s="25">
        <f>IF(Registro_Compras!$R97&lt;&gt;"SI","",Registro_Compras!$X97)</f>
        <v/>
      </c>
      <c r="K97">
        <f>IF(Registro_Compras!$R97&lt;&gt;"SI","",IF(Registro_Compras!$X97="","PENDIENTE","DEPOSITADA"))</f>
        <v/>
      </c>
      <c r="L97">
        <f>IF(Registro_Compras!$R97&lt;&gt;"SI","",Registro_Compras!$Z97)</f>
        <v/>
      </c>
      <c r="M97">
        <f>IF($K97&lt;&gt;"PENDIENTE","",IF(TODAY()&gt;$I97,TODAY()-$I97,0))</f>
        <v/>
      </c>
      <c r="N97">
        <f>IF($K97&lt;&gt;"PENDIENTE","",IF($M97&gt;0,"VENCIDA - DEPOSITAR YA",IF($I97-TODAY()&lt;=3,"POR VENCER","EN PLAZO")))</f>
        <v/>
      </c>
    </row>
    <row r="98">
      <c r="A98" s="25">
        <f>IF(Registro_Compras!$R98&lt;&gt;"SI","",Registro_Compras!$B98)</f>
        <v/>
      </c>
      <c r="B98">
        <f>IF(Registro_Compras!$R98&lt;&gt;"SI","",Registro_Compras!$C98)</f>
        <v/>
      </c>
      <c r="C98">
        <f>IF(Registro_Compras!$R98&lt;&gt;"SI","",Registro_Compras!$D98)</f>
        <v/>
      </c>
      <c r="D98">
        <f>IF(Registro_Compras!$R98&lt;&gt;"SI","",Registro_Compras!$E98)</f>
        <v/>
      </c>
      <c r="E98">
        <f>IF(Registro_Compras!$R98&lt;&gt;"SI","",Registro_Compras!$G98)</f>
        <v/>
      </c>
      <c r="F98" s="31">
        <f>IF(Registro_Compras!$R98&lt;&gt;"SI","",Registro_Compras!$P98)</f>
        <v/>
      </c>
      <c r="G98" s="20">
        <f>IF(Registro_Compras!$R98&lt;&gt;"SI","",Registro_Compras!$O98)</f>
        <v/>
      </c>
      <c r="H98" s="20">
        <f>IF(Registro_Compras!$R98&lt;&gt;"SI","",Registro_Compras!$S98)</f>
        <v/>
      </c>
      <c r="I98" s="25">
        <f>IF(Registro_Compras!$R98&lt;&gt;"SI","",IF(Registro_Compras!$Y98="",WORKDAY(EOMONTH(Registro_Compras!$B98,0),5,Feriados),MIN(Registro_Compras!$Y98,WORKDAY(EOMONTH(Registro_Compras!$B98,0),5,Feriados))))</f>
        <v/>
      </c>
      <c r="J98" s="25">
        <f>IF(Registro_Compras!$R98&lt;&gt;"SI","",Registro_Compras!$X98)</f>
        <v/>
      </c>
      <c r="K98">
        <f>IF(Registro_Compras!$R98&lt;&gt;"SI","",IF(Registro_Compras!$X98="","PENDIENTE","DEPOSITADA"))</f>
        <v/>
      </c>
      <c r="L98">
        <f>IF(Registro_Compras!$R98&lt;&gt;"SI","",Registro_Compras!$Z98)</f>
        <v/>
      </c>
      <c r="M98">
        <f>IF($K98&lt;&gt;"PENDIENTE","",IF(TODAY()&gt;$I98,TODAY()-$I98,0))</f>
        <v/>
      </c>
      <c r="N98">
        <f>IF($K98&lt;&gt;"PENDIENTE","",IF($M98&gt;0,"VENCIDA - DEPOSITAR YA",IF($I98-TODAY()&lt;=3,"POR VENCER","EN PLAZO")))</f>
        <v/>
      </c>
    </row>
    <row r="99">
      <c r="A99" s="25">
        <f>IF(Registro_Compras!$R99&lt;&gt;"SI","",Registro_Compras!$B99)</f>
        <v/>
      </c>
      <c r="B99">
        <f>IF(Registro_Compras!$R99&lt;&gt;"SI","",Registro_Compras!$C99)</f>
        <v/>
      </c>
      <c r="C99">
        <f>IF(Registro_Compras!$R99&lt;&gt;"SI","",Registro_Compras!$D99)</f>
        <v/>
      </c>
      <c r="D99">
        <f>IF(Registro_Compras!$R99&lt;&gt;"SI","",Registro_Compras!$E99)</f>
        <v/>
      </c>
      <c r="E99">
        <f>IF(Registro_Compras!$R99&lt;&gt;"SI","",Registro_Compras!$G99)</f>
        <v/>
      </c>
      <c r="F99" s="31">
        <f>IF(Registro_Compras!$R99&lt;&gt;"SI","",Registro_Compras!$P99)</f>
        <v/>
      </c>
      <c r="G99" s="20">
        <f>IF(Registro_Compras!$R99&lt;&gt;"SI","",Registro_Compras!$O99)</f>
        <v/>
      </c>
      <c r="H99" s="20">
        <f>IF(Registro_Compras!$R99&lt;&gt;"SI","",Registro_Compras!$S99)</f>
        <v/>
      </c>
      <c r="I99" s="25">
        <f>IF(Registro_Compras!$R99&lt;&gt;"SI","",IF(Registro_Compras!$Y99="",WORKDAY(EOMONTH(Registro_Compras!$B99,0),5,Feriados),MIN(Registro_Compras!$Y99,WORKDAY(EOMONTH(Registro_Compras!$B99,0),5,Feriados))))</f>
        <v/>
      </c>
      <c r="J99" s="25">
        <f>IF(Registro_Compras!$R99&lt;&gt;"SI","",Registro_Compras!$X99)</f>
        <v/>
      </c>
      <c r="K99">
        <f>IF(Registro_Compras!$R99&lt;&gt;"SI","",IF(Registro_Compras!$X99="","PENDIENTE","DEPOSITADA"))</f>
        <v/>
      </c>
      <c r="L99">
        <f>IF(Registro_Compras!$R99&lt;&gt;"SI","",Registro_Compras!$Z99)</f>
        <v/>
      </c>
      <c r="M99">
        <f>IF($K99&lt;&gt;"PENDIENTE","",IF(TODAY()&gt;$I99,TODAY()-$I99,0))</f>
        <v/>
      </c>
      <c r="N99">
        <f>IF($K99&lt;&gt;"PENDIENTE","",IF($M99&gt;0,"VENCIDA - DEPOSITAR YA",IF($I99-TODAY()&lt;=3,"POR VENCER","EN PLAZO")))</f>
        <v/>
      </c>
    </row>
    <row r="100">
      <c r="A100" s="25">
        <f>IF(Registro_Compras!$R100&lt;&gt;"SI","",Registro_Compras!$B100)</f>
        <v/>
      </c>
      <c r="B100">
        <f>IF(Registro_Compras!$R100&lt;&gt;"SI","",Registro_Compras!$C100)</f>
        <v/>
      </c>
      <c r="C100">
        <f>IF(Registro_Compras!$R100&lt;&gt;"SI","",Registro_Compras!$D100)</f>
        <v/>
      </c>
      <c r="D100">
        <f>IF(Registro_Compras!$R100&lt;&gt;"SI","",Registro_Compras!$E100)</f>
        <v/>
      </c>
      <c r="E100">
        <f>IF(Registro_Compras!$R100&lt;&gt;"SI","",Registro_Compras!$G100)</f>
        <v/>
      </c>
      <c r="F100" s="31">
        <f>IF(Registro_Compras!$R100&lt;&gt;"SI","",Registro_Compras!$P100)</f>
        <v/>
      </c>
      <c r="G100" s="20">
        <f>IF(Registro_Compras!$R100&lt;&gt;"SI","",Registro_Compras!$O100)</f>
        <v/>
      </c>
      <c r="H100" s="20">
        <f>IF(Registro_Compras!$R100&lt;&gt;"SI","",Registro_Compras!$S100)</f>
        <v/>
      </c>
      <c r="I100" s="25">
        <f>IF(Registro_Compras!$R100&lt;&gt;"SI","",IF(Registro_Compras!$Y100="",WORKDAY(EOMONTH(Registro_Compras!$B100,0),5,Feriados),MIN(Registro_Compras!$Y100,WORKDAY(EOMONTH(Registro_Compras!$B100,0),5,Feriados))))</f>
        <v/>
      </c>
      <c r="J100" s="25">
        <f>IF(Registro_Compras!$R100&lt;&gt;"SI","",Registro_Compras!$X100)</f>
        <v/>
      </c>
      <c r="K100">
        <f>IF(Registro_Compras!$R100&lt;&gt;"SI","",IF(Registro_Compras!$X100="","PENDIENTE","DEPOSITADA"))</f>
        <v/>
      </c>
      <c r="L100">
        <f>IF(Registro_Compras!$R100&lt;&gt;"SI","",Registro_Compras!$Z100)</f>
        <v/>
      </c>
      <c r="M100">
        <f>IF($K100&lt;&gt;"PENDIENTE","",IF(TODAY()&gt;$I100,TODAY()-$I100,0))</f>
        <v/>
      </c>
      <c r="N100">
        <f>IF($K100&lt;&gt;"PENDIENTE","",IF($M100&gt;0,"VENCIDA - DEPOSITAR YA",IF($I100-TODAY()&lt;=3,"POR VENCER","EN PLAZO")))</f>
        <v/>
      </c>
    </row>
    <row r="101">
      <c r="A101" s="25">
        <f>IF(Registro_Compras!$R101&lt;&gt;"SI","",Registro_Compras!$B101)</f>
        <v/>
      </c>
      <c r="B101">
        <f>IF(Registro_Compras!$R101&lt;&gt;"SI","",Registro_Compras!$C101)</f>
        <v/>
      </c>
      <c r="C101">
        <f>IF(Registro_Compras!$R101&lt;&gt;"SI","",Registro_Compras!$D101)</f>
        <v/>
      </c>
      <c r="D101">
        <f>IF(Registro_Compras!$R101&lt;&gt;"SI","",Registro_Compras!$E101)</f>
        <v/>
      </c>
      <c r="E101">
        <f>IF(Registro_Compras!$R101&lt;&gt;"SI","",Registro_Compras!$G101)</f>
        <v/>
      </c>
      <c r="F101" s="31">
        <f>IF(Registro_Compras!$R101&lt;&gt;"SI","",Registro_Compras!$P101)</f>
        <v/>
      </c>
      <c r="G101" s="20">
        <f>IF(Registro_Compras!$R101&lt;&gt;"SI","",Registro_Compras!$O101)</f>
        <v/>
      </c>
      <c r="H101" s="20">
        <f>IF(Registro_Compras!$R101&lt;&gt;"SI","",Registro_Compras!$S101)</f>
        <v/>
      </c>
      <c r="I101" s="25">
        <f>IF(Registro_Compras!$R101&lt;&gt;"SI","",IF(Registro_Compras!$Y101="",WORKDAY(EOMONTH(Registro_Compras!$B101,0),5,Feriados),MIN(Registro_Compras!$Y101,WORKDAY(EOMONTH(Registro_Compras!$B101,0),5,Feriados))))</f>
        <v/>
      </c>
      <c r="J101" s="25">
        <f>IF(Registro_Compras!$R101&lt;&gt;"SI","",Registro_Compras!$X101)</f>
        <v/>
      </c>
      <c r="K101">
        <f>IF(Registro_Compras!$R101&lt;&gt;"SI","",IF(Registro_Compras!$X101="","PENDIENTE","DEPOSITADA"))</f>
        <v/>
      </c>
      <c r="L101">
        <f>IF(Registro_Compras!$R101&lt;&gt;"SI","",Registro_Compras!$Z101)</f>
        <v/>
      </c>
      <c r="M101">
        <f>IF($K101&lt;&gt;"PENDIENTE","",IF(TODAY()&gt;$I101,TODAY()-$I101,0))</f>
        <v/>
      </c>
      <c r="N101">
        <f>IF($K101&lt;&gt;"PENDIENTE","",IF($M101&gt;0,"VENCIDA - DEPOSITAR YA",IF($I101-TODAY()&lt;=3,"POR VENCER","EN PLAZO")))</f>
        <v/>
      </c>
    </row>
    <row r="102">
      <c r="A102" s="25">
        <f>IF(Registro_Compras!$R102&lt;&gt;"SI","",Registro_Compras!$B102)</f>
        <v/>
      </c>
      <c r="B102">
        <f>IF(Registro_Compras!$R102&lt;&gt;"SI","",Registro_Compras!$C102)</f>
        <v/>
      </c>
      <c r="C102">
        <f>IF(Registro_Compras!$R102&lt;&gt;"SI","",Registro_Compras!$D102)</f>
        <v/>
      </c>
      <c r="D102">
        <f>IF(Registro_Compras!$R102&lt;&gt;"SI","",Registro_Compras!$E102)</f>
        <v/>
      </c>
      <c r="E102">
        <f>IF(Registro_Compras!$R102&lt;&gt;"SI","",Registro_Compras!$G102)</f>
        <v/>
      </c>
      <c r="F102" s="31">
        <f>IF(Registro_Compras!$R102&lt;&gt;"SI","",Registro_Compras!$P102)</f>
        <v/>
      </c>
      <c r="G102" s="20">
        <f>IF(Registro_Compras!$R102&lt;&gt;"SI","",Registro_Compras!$O102)</f>
        <v/>
      </c>
      <c r="H102" s="20">
        <f>IF(Registro_Compras!$R102&lt;&gt;"SI","",Registro_Compras!$S102)</f>
        <v/>
      </c>
      <c r="I102" s="25">
        <f>IF(Registro_Compras!$R102&lt;&gt;"SI","",IF(Registro_Compras!$Y102="",WORKDAY(EOMONTH(Registro_Compras!$B102,0),5,Feriados),MIN(Registro_Compras!$Y102,WORKDAY(EOMONTH(Registro_Compras!$B102,0),5,Feriados))))</f>
        <v/>
      </c>
      <c r="J102" s="25">
        <f>IF(Registro_Compras!$R102&lt;&gt;"SI","",Registro_Compras!$X102)</f>
        <v/>
      </c>
      <c r="K102">
        <f>IF(Registro_Compras!$R102&lt;&gt;"SI","",IF(Registro_Compras!$X102="","PENDIENTE","DEPOSITADA"))</f>
        <v/>
      </c>
      <c r="L102">
        <f>IF(Registro_Compras!$R102&lt;&gt;"SI","",Registro_Compras!$Z102)</f>
        <v/>
      </c>
      <c r="M102">
        <f>IF($K102&lt;&gt;"PENDIENTE","",IF(TODAY()&gt;$I102,TODAY()-$I102,0))</f>
        <v/>
      </c>
      <c r="N102">
        <f>IF($K102&lt;&gt;"PENDIENTE","",IF($M102&gt;0,"VENCIDA - DEPOSITAR YA",IF($I102-TODAY()&lt;=3,"POR VENCER","EN PLAZO")))</f>
        <v/>
      </c>
    </row>
    <row r="103">
      <c r="A103" s="25">
        <f>IF(Registro_Compras!$R103&lt;&gt;"SI","",Registro_Compras!$B103)</f>
        <v/>
      </c>
      <c r="B103">
        <f>IF(Registro_Compras!$R103&lt;&gt;"SI","",Registro_Compras!$C103)</f>
        <v/>
      </c>
      <c r="C103">
        <f>IF(Registro_Compras!$R103&lt;&gt;"SI","",Registro_Compras!$D103)</f>
        <v/>
      </c>
      <c r="D103">
        <f>IF(Registro_Compras!$R103&lt;&gt;"SI","",Registro_Compras!$E103)</f>
        <v/>
      </c>
      <c r="E103">
        <f>IF(Registro_Compras!$R103&lt;&gt;"SI","",Registro_Compras!$G103)</f>
        <v/>
      </c>
      <c r="F103" s="31">
        <f>IF(Registro_Compras!$R103&lt;&gt;"SI","",Registro_Compras!$P103)</f>
        <v/>
      </c>
      <c r="G103" s="20">
        <f>IF(Registro_Compras!$R103&lt;&gt;"SI","",Registro_Compras!$O103)</f>
        <v/>
      </c>
      <c r="H103" s="20">
        <f>IF(Registro_Compras!$R103&lt;&gt;"SI","",Registro_Compras!$S103)</f>
        <v/>
      </c>
      <c r="I103" s="25">
        <f>IF(Registro_Compras!$R103&lt;&gt;"SI","",IF(Registro_Compras!$Y103="",WORKDAY(EOMONTH(Registro_Compras!$B103,0),5,Feriados),MIN(Registro_Compras!$Y103,WORKDAY(EOMONTH(Registro_Compras!$B103,0),5,Feriados))))</f>
        <v/>
      </c>
      <c r="J103" s="25">
        <f>IF(Registro_Compras!$R103&lt;&gt;"SI","",Registro_Compras!$X103)</f>
        <v/>
      </c>
      <c r="K103">
        <f>IF(Registro_Compras!$R103&lt;&gt;"SI","",IF(Registro_Compras!$X103="","PENDIENTE","DEPOSITADA"))</f>
        <v/>
      </c>
      <c r="L103">
        <f>IF(Registro_Compras!$R103&lt;&gt;"SI","",Registro_Compras!$Z103)</f>
        <v/>
      </c>
      <c r="M103">
        <f>IF($K103&lt;&gt;"PENDIENTE","",IF(TODAY()&gt;$I103,TODAY()-$I103,0))</f>
        <v/>
      </c>
      <c r="N103">
        <f>IF($K103&lt;&gt;"PENDIENTE","",IF($M103&gt;0,"VENCIDA - DEPOSITAR YA",IF($I103-TODAY()&lt;=3,"POR VENCER","EN PLAZO")))</f>
        <v/>
      </c>
    </row>
    <row r="104">
      <c r="A104" s="25">
        <f>IF(Registro_Compras!$R104&lt;&gt;"SI","",Registro_Compras!$B104)</f>
        <v/>
      </c>
      <c r="B104">
        <f>IF(Registro_Compras!$R104&lt;&gt;"SI","",Registro_Compras!$C104)</f>
        <v/>
      </c>
      <c r="C104">
        <f>IF(Registro_Compras!$R104&lt;&gt;"SI","",Registro_Compras!$D104)</f>
        <v/>
      </c>
      <c r="D104">
        <f>IF(Registro_Compras!$R104&lt;&gt;"SI","",Registro_Compras!$E104)</f>
        <v/>
      </c>
      <c r="E104">
        <f>IF(Registro_Compras!$R104&lt;&gt;"SI","",Registro_Compras!$G104)</f>
        <v/>
      </c>
      <c r="F104" s="31">
        <f>IF(Registro_Compras!$R104&lt;&gt;"SI","",Registro_Compras!$P104)</f>
        <v/>
      </c>
      <c r="G104" s="20">
        <f>IF(Registro_Compras!$R104&lt;&gt;"SI","",Registro_Compras!$O104)</f>
        <v/>
      </c>
      <c r="H104" s="20">
        <f>IF(Registro_Compras!$R104&lt;&gt;"SI","",Registro_Compras!$S104)</f>
        <v/>
      </c>
      <c r="I104" s="25">
        <f>IF(Registro_Compras!$R104&lt;&gt;"SI","",IF(Registro_Compras!$Y104="",WORKDAY(EOMONTH(Registro_Compras!$B104,0),5,Feriados),MIN(Registro_Compras!$Y104,WORKDAY(EOMONTH(Registro_Compras!$B104,0),5,Feriados))))</f>
        <v/>
      </c>
      <c r="J104" s="25">
        <f>IF(Registro_Compras!$R104&lt;&gt;"SI","",Registro_Compras!$X104)</f>
        <v/>
      </c>
      <c r="K104">
        <f>IF(Registro_Compras!$R104&lt;&gt;"SI","",IF(Registro_Compras!$X104="","PENDIENTE","DEPOSITADA"))</f>
        <v/>
      </c>
      <c r="L104">
        <f>IF(Registro_Compras!$R104&lt;&gt;"SI","",Registro_Compras!$Z104)</f>
        <v/>
      </c>
      <c r="M104">
        <f>IF($K104&lt;&gt;"PENDIENTE","",IF(TODAY()&gt;$I104,TODAY()-$I104,0))</f>
        <v/>
      </c>
      <c r="N104">
        <f>IF($K104&lt;&gt;"PENDIENTE","",IF($M104&gt;0,"VENCIDA - DEPOSITAR YA",IF($I104-TODAY()&lt;=3,"POR VENCER","EN PLAZO")))</f>
        <v/>
      </c>
    </row>
    <row r="105">
      <c r="A105" s="25">
        <f>IF(Registro_Compras!$R105&lt;&gt;"SI","",Registro_Compras!$B105)</f>
        <v/>
      </c>
      <c r="B105">
        <f>IF(Registro_Compras!$R105&lt;&gt;"SI","",Registro_Compras!$C105)</f>
        <v/>
      </c>
      <c r="C105">
        <f>IF(Registro_Compras!$R105&lt;&gt;"SI","",Registro_Compras!$D105)</f>
        <v/>
      </c>
      <c r="D105">
        <f>IF(Registro_Compras!$R105&lt;&gt;"SI","",Registro_Compras!$E105)</f>
        <v/>
      </c>
      <c r="E105">
        <f>IF(Registro_Compras!$R105&lt;&gt;"SI","",Registro_Compras!$G105)</f>
        <v/>
      </c>
      <c r="F105" s="31">
        <f>IF(Registro_Compras!$R105&lt;&gt;"SI","",Registro_Compras!$P105)</f>
        <v/>
      </c>
      <c r="G105" s="20">
        <f>IF(Registro_Compras!$R105&lt;&gt;"SI","",Registro_Compras!$O105)</f>
        <v/>
      </c>
      <c r="H105" s="20">
        <f>IF(Registro_Compras!$R105&lt;&gt;"SI","",Registro_Compras!$S105)</f>
        <v/>
      </c>
      <c r="I105" s="25">
        <f>IF(Registro_Compras!$R105&lt;&gt;"SI","",IF(Registro_Compras!$Y105="",WORKDAY(EOMONTH(Registro_Compras!$B105,0),5,Feriados),MIN(Registro_Compras!$Y105,WORKDAY(EOMONTH(Registro_Compras!$B105,0),5,Feriados))))</f>
        <v/>
      </c>
      <c r="J105" s="25">
        <f>IF(Registro_Compras!$R105&lt;&gt;"SI","",Registro_Compras!$X105)</f>
        <v/>
      </c>
      <c r="K105">
        <f>IF(Registro_Compras!$R105&lt;&gt;"SI","",IF(Registro_Compras!$X105="","PENDIENTE","DEPOSITADA"))</f>
        <v/>
      </c>
      <c r="L105">
        <f>IF(Registro_Compras!$R105&lt;&gt;"SI","",Registro_Compras!$Z105)</f>
        <v/>
      </c>
      <c r="M105">
        <f>IF($K105&lt;&gt;"PENDIENTE","",IF(TODAY()&gt;$I105,TODAY()-$I105,0))</f>
        <v/>
      </c>
      <c r="N105">
        <f>IF($K105&lt;&gt;"PENDIENTE","",IF($M105&gt;0,"VENCIDA - DEPOSITAR YA",IF($I105-TODAY()&lt;=3,"POR VENCER","EN PLAZO")))</f>
        <v/>
      </c>
    </row>
    <row r="106">
      <c r="A106" s="25">
        <f>IF(Registro_Compras!$R106&lt;&gt;"SI","",Registro_Compras!$B106)</f>
        <v/>
      </c>
      <c r="B106">
        <f>IF(Registro_Compras!$R106&lt;&gt;"SI","",Registro_Compras!$C106)</f>
        <v/>
      </c>
      <c r="C106">
        <f>IF(Registro_Compras!$R106&lt;&gt;"SI","",Registro_Compras!$D106)</f>
        <v/>
      </c>
      <c r="D106">
        <f>IF(Registro_Compras!$R106&lt;&gt;"SI","",Registro_Compras!$E106)</f>
        <v/>
      </c>
      <c r="E106">
        <f>IF(Registro_Compras!$R106&lt;&gt;"SI","",Registro_Compras!$G106)</f>
        <v/>
      </c>
      <c r="F106" s="31">
        <f>IF(Registro_Compras!$R106&lt;&gt;"SI","",Registro_Compras!$P106)</f>
        <v/>
      </c>
      <c r="G106" s="20">
        <f>IF(Registro_Compras!$R106&lt;&gt;"SI","",Registro_Compras!$O106)</f>
        <v/>
      </c>
      <c r="H106" s="20">
        <f>IF(Registro_Compras!$R106&lt;&gt;"SI","",Registro_Compras!$S106)</f>
        <v/>
      </c>
      <c r="I106" s="25">
        <f>IF(Registro_Compras!$R106&lt;&gt;"SI","",IF(Registro_Compras!$Y106="",WORKDAY(EOMONTH(Registro_Compras!$B106,0),5,Feriados),MIN(Registro_Compras!$Y106,WORKDAY(EOMONTH(Registro_Compras!$B106,0),5,Feriados))))</f>
        <v/>
      </c>
      <c r="J106" s="25">
        <f>IF(Registro_Compras!$R106&lt;&gt;"SI","",Registro_Compras!$X106)</f>
        <v/>
      </c>
      <c r="K106">
        <f>IF(Registro_Compras!$R106&lt;&gt;"SI","",IF(Registro_Compras!$X106="","PENDIENTE","DEPOSITADA"))</f>
        <v/>
      </c>
      <c r="L106">
        <f>IF(Registro_Compras!$R106&lt;&gt;"SI","",Registro_Compras!$Z106)</f>
        <v/>
      </c>
      <c r="M106">
        <f>IF($K106&lt;&gt;"PENDIENTE","",IF(TODAY()&gt;$I106,TODAY()-$I106,0))</f>
        <v/>
      </c>
      <c r="N106">
        <f>IF($K106&lt;&gt;"PENDIENTE","",IF($M106&gt;0,"VENCIDA - DEPOSITAR YA",IF($I106-TODAY()&lt;=3,"POR VENCER","EN PLAZO")))</f>
        <v/>
      </c>
    </row>
    <row r="107">
      <c r="A107" s="25">
        <f>IF(Registro_Compras!$R107&lt;&gt;"SI","",Registro_Compras!$B107)</f>
        <v/>
      </c>
      <c r="B107">
        <f>IF(Registro_Compras!$R107&lt;&gt;"SI","",Registro_Compras!$C107)</f>
        <v/>
      </c>
      <c r="C107">
        <f>IF(Registro_Compras!$R107&lt;&gt;"SI","",Registro_Compras!$D107)</f>
        <v/>
      </c>
      <c r="D107">
        <f>IF(Registro_Compras!$R107&lt;&gt;"SI","",Registro_Compras!$E107)</f>
        <v/>
      </c>
      <c r="E107">
        <f>IF(Registro_Compras!$R107&lt;&gt;"SI","",Registro_Compras!$G107)</f>
        <v/>
      </c>
      <c r="F107" s="31">
        <f>IF(Registro_Compras!$R107&lt;&gt;"SI","",Registro_Compras!$P107)</f>
        <v/>
      </c>
      <c r="G107" s="20">
        <f>IF(Registro_Compras!$R107&lt;&gt;"SI","",Registro_Compras!$O107)</f>
        <v/>
      </c>
      <c r="H107" s="20">
        <f>IF(Registro_Compras!$R107&lt;&gt;"SI","",Registro_Compras!$S107)</f>
        <v/>
      </c>
      <c r="I107" s="25">
        <f>IF(Registro_Compras!$R107&lt;&gt;"SI","",IF(Registro_Compras!$Y107="",WORKDAY(EOMONTH(Registro_Compras!$B107,0),5,Feriados),MIN(Registro_Compras!$Y107,WORKDAY(EOMONTH(Registro_Compras!$B107,0),5,Feriados))))</f>
        <v/>
      </c>
      <c r="J107" s="25">
        <f>IF(Registro_Compras!$R107&lt;&gt;"SI","",Registro_Compras!$X107)</f>
        <v/>
      </c>
      <c r="K107">
        <f>IF(Registro_Compras!$R107&lt;&gt;"SI","",IF(Registro_Compras!$X107="","PENDIENTE","DEPOSITADA"))</f>
        <v/>
      </c>
      <c r="L107">
        <f>IF(Registro_Compras!$R107&lt;&gt;"SI","",Registro_Compras!$Z107)</f>
        <v/>
      </c>
      <c r="M107">
        <f>IF($K107&lt;&gt;"PENDIENTE","",IF(TODAY()&gt;$I107,TODAY()-$I107,0))</f>
        <v/>
      </c>
      <c r="N107">
        <f>IF($K107&lt;&gt;"PENDIENTE","",IF($M107&gt;0,"VENCIDA - DEPOSITAR YA",IF($I107-TODAY()&lt;=3,"POR VENCER","EN PLAZO")))</f>
        <v/>
      </c>
    </row>
    <row r="108">
      <c r="A108" s="25">
        <f>IF(Registro_Compras!$R108&lt;&gt;"SI","",Registro_Compras!$B108)</f>
        <v/>
      </c>
      <c r="B108">
        <f>IF(Registro_Compras!$R108&lt;&gt;"SI","",Registro_Compras!$C108)</f>
        <v/>
      </c>
      <c r="C108">
        <f>IF(Registro_Compras!$R108&lt;&gt;"SI","",Registro_Compras!$D108)</f>
        <v/>
      </c>
      <c r="D108">
        <f>IF(Registro_Compras!$R108&lt;&gt;"SI","",Registro_Compras!$E108)</f>
        <v/>
      </c>
      <c r="E108">
        <f>IF(Registro_Compras!$R108&lt;&gt;"SI","",Registro_Compras!$G108)</f>
        <v/>
      </c>
      <c r="F108" s="31">
        <f>IF(Registro_Compras!$R108&lt;&gt;"SI","",Registro_Compras!$P108)</f>
        <v/>
      </c>
      <c r="G108" s="20">
        <f>IF(Registro_Compras!$R108&lt;&gt;"SI","",Registro_Compras!$O108)</f>
        <v/>
      </c>
      <c r="H108" s="20">
        <f>IF(Registro_Compras!$R108&lt;&gt;"SI","",Registro_Compras!$S108)</f>
        <v/>
      </c>
      <c r="I108" s="25">
        <f>IF(Registro_Compras!$R108&lt;&gt;"SI","",IF(Registro_Compras!$Y108="",WORKDAY(EOMONTH(Registro_Compras!$B108,0),5,Feriados),MIN(Registro_Compras!$Y108,WORKDAY(EOMONTH(Registro_Compras!$B108,0),5,Feriados))))</f>
        <v/>
      </c>
      <c r="J108" s="25">
        <f>IF(Registro_Compras!$R108&lt;&gt;"SI","",Registro_Compras!$X108)</f>
        <v/>
      </c>
      <c r="K108">
        <f>IF(Registro_Compras!$R108&lt;&gt;"SI","",IF(Registro_Compras!$X108="","PENDIENTE","DEPOSITADA"))</f>
        <v/>
      </c>
      <c r="L108">
        <f>IF(Registro_Compras!$R108&lt;&gt;"SI","",Registro_Compras!$Z108)</f>
        <v/>
      </c>
      <c r="M108">
        <f>IF($K108&lt;&gt;"PENDIENTE","",IF(TODAY()&gt;$I108,TODAY()-$I108,0))</f>
        <v/>
      </c>
      <c r="N108">
        <f>IF($K108&lt;&gt;"PENDIENTE","",IF($M108&gt;0,"VENCIDA - DEPOSITAR YA",IF($I108-TODAY()&lt;=3,"POR VENCER","EN PLAZO")))</f>
        <v/>
      </c>
    </row>
    <row r="109">
      <c r="A109" s="25">
        <f>IF(Registro_Compras!$R109&lt;&gt;"SI","",Registro_Compras!$B109)</f>
        <v/>
      </c>
      <c r="B109">
        <f>IF(Registro_Compras!$R109&lt;&gt;"SI","",Registro_Compras!$C109)</f>
        <v/>
      </c>
      <c r="C109">
        <f>IF(Registro_Compras!$R109&lt;&gt;"SI","",Registro_Compras!$D109)</f>
        <v/>
      </c>
      <c r="D109">
        <f>IF(Registro_Compras!$R109&lt;&gt;"SI","",Registro_Compras!$E109)</f>
        <v/>
      </c>
      <c r="E109">
        <f>IF(Registro_Compras!$R109&lt;&gt;"SI","",Registro_Compras!$G109)</f>
        <v/>
      </c>
      <c r="F109" s="31">
        <f>IF(Registro_Compras!$R109&lt;&gt;"SI","",Registro_Compras!$P109)</f>
        <v/>
      </c>
      <c r="G109" s="20">
        <f>IF(Registro_Compras!$R109&lt;&gt;"SI","",Registro_Compras!$O109)</f>
        <v/>
      </c>
      <c r="H109" s="20">
        <f>IF(Registro_Compras!$R109&lt;&gt;"SI","",Registro_Compras!$S109)</f>
        <v/>
      </c>
      <c r="I109" s="25">
        <f>IF(Registro_Compras!$R109&lt;&gt;"SI","",IF(Registro_Compras!$Y109="",WORKDAY(EOMONTH(Registro_Compras!$B109,0),5,Feriados),MIN(Registro_Compras!$Y109,WORKDAY(EOMONTH(Registro_Compras!$B109,0),5,Feriados))))</f>
        <v/>
      </c>
      <c r="J109" s="25">
        <f>IF(Registro_Compras!$R109&lt;&gt;"SI","",Registro_Compras!$X109)</f>
        <v/>
      </c>
      <c r="K109">
        <f>IF(Registro_Compras!$R109&lt;&gt;"SI","",IF(Registro_Compras!$X109="","PENDIENTE","DEPOSITADA"))</f>
        <v/>
      </c>
      <c r="L109">
        <f>IF(Registro_Compras!$R109&lt;&gt;"SI","",Registro_Compras!$Z109)</f>
        <v/>
      </c>
      <c r="M109">
        <f>IF($K109&lt;&gt;"PENDIENTE","",IF(TODAY()&gt;$I109,TODAY()-$I109,0))</f>
        <v/>
      </c>
      <c r="N109">
        <f>IF($K109&lt;&gt;"PENDIENTE","",IF($M109&gt;0,"VENCIDA - DEPOSITAR YA",IF($I109-TODAY()&lt;=3,"POR VENCER","EN PLAZO")))</f>
        <v/>
      </c>
    </row>
    <row r="110">
      <c r="A110" s="25">
        <f>IF(Registro_Compras!$R110&lt;&gt;"SI","",Registro_Compras!$B110)</f>
        <v/>
      </c>
      <c r="B110">
        <f>IF(Registro_Compras!$R110&lt;&gt;"SI","",Registro_Compras!$C110)</f>
        <v/>
      </c>
      <c r="C110">
        <f>IF(Registro_Compras!$R110&lt;&gt;"SI","",Registro_Compras!$D110)</f>
        <v/>
      </c>
      <c r="D110">
        <f>IF(Registro_Compras!$R110&lt;&gt;"SI","",Registro_Compras!$E110)</f>
        <v/>
      </c>
      <c r="E110">
        <f>IF(Registro_Compras!$R110&lt;&gt;"SI","",Registro_Compras!$G110)</f>
        <v/>
      </c>
      <c r="F110" s="31">
        <f>IF(Registro_Compras!$R110&lt;&gt;"SI","",Registro_Compras!$P110)</f>
        <v/>
      </c>
      <c r="G110" s="20">
        <f>IF(Registro_Compras!$R110&lt;&gt;"SI","",Registro_Compras!$O110)</f>
        <v/>
      </c>
      <c r="H110" s="20">
        <f>IF(Registro_Compras!$R110&lt;&gt;"SI","",Registro_Compras!$S110)</f>
        <v/>
      </c>
      <c r="I110" s="25">
        <f>IF(Registro_Compras!$R110&lt;&gt;"SI","",IF(Registro_Compras!$Y110="",WORKDAY(EOMONTH(Registro_Compras!$B110,0),5,Feriados),MIN(Registro_Compras!$Y110,WORKDAY(EOMONTH(Registro_Compras!$B110,0),5,Feriados))))</f>
        <v/>
      </c>
      <c r="J110" s="25">
        <f>IF(Registro_Compras!$R110&lt;&gt;"SI","",Registro_Compras!$X110)</f>
        <v/>
      </c>
      <c r="K110">
        <f>IF(Registro_Compras!$R110&lt;&gt;"SI","",IF(Registro_Compras!$X110="","PENDIENTE","DEPOSITADA"))</f>
        <v/>
      </c>
      <c r="L110">
        <f>IF(Registro_Compras!$R110&lt;&gt;"SI","",Registro_Compras!$Z110)</f>
        <v/>
      </c>
      <c r="M110">
        <f>IF($K110&lt;&gt;"PENDIENTE","",IF(TODAY()&gt;$I110,TODAY()-$I110,0))</f>
        <v/>
      </c>
      <c r="N110">
        <f>IF($K110&lt;&gt;"PENDIENTE","",IF($M110&gt;0,"VENCIDA - DEPOSITAR YA",IF($I110-TODAY()&lt;=3,"POR VENCER","EN PLAZO")))</f>
        <v/>
      </c>
    </row>
    <row r="111">
      <c r="A111" s="25">
        <f>IF(Registro_Compras!$R111&lt;&gt;"SI","",Registro_Compras!$B111)</f>
        <v/>
      </c>
      <c r="B111">
        <f>IF(Registro_Compras!$R111&lt;&gt;"SI","",Registro_Compras!$C111)</f>
        <v/>
      </c>
      <c r="C111">
        <f>IF(Registro_Compras!$R111&lt;&gt;"SI","",Registro_Compras!$D111)</f>
        <v/>
      </c>
      <c r="D111">
        <f>IF(Registro_Compras!$R111&lt;&gt;"SI","",Registro_Compras!$E111)</f>
        <v/>
      </c>
      <c r="E111">
        <f>IF(Registro_Compras!$R111&lt;&gt;"SI","",Registro_Compras!$G111)</f>
        <v/>
      </c>
      <c r="F111" s="31">
        <f>IF(Registro_Compras!$R111&lt;&gt;"SI","",Registro_Compras!$P111)</f>
        <v/>
      </c>
      <c r="G111" s="20">
        <f>IF(Registro_Compras!$R111&lt;&gt;"SI","",Registro_Compras!$O111)</f>
        <v/>
      </c>
      <c r="H111" s="20">
        <f>IF(Registro_Compras!$R111&lt;&gt;"SI","",Registro_Compras!$S111)</f>
        <v/>
      </c>
      <c r="I111" s="25">
        <f>IF(Registro_Compras!$R111&lt;&gt;"SI","",IF(Registro_Compras!$Y111="",WORKDAY(EOMONTH(Registro_Compras!$B111,0),5,Feriados),MIN(Registro_Compras!$Y111,WORKDAY(EOMONTH(Registro_Compras!$B111,0),5,Feriados))))</f>
        <v/>
      </c>
      <c r="J111" s="25">
        <f>IF(Registro_Compras!$R111&lt;&gt;"SI","",Registro_Compras!$X111)</f>
        <v/>
      </c>
      <c r="K111">
        <f>IF(Registro_Compras!$R111&lt;&gt;"SI","",IF(Registro_Compras!$X111="","PENDIENTE","DEPOSITADA"))</f>
        <v/>
      </c>
      <c r="L111">
        <f>IF(Registro_Compras!$R111&lt;&gt;"SI","",Registro_Compras!$Z111)</f>
        <v/>
      </c>
      <c r="M111">
        <f>IF($K111&lt;&gt;"PENDIENTE","",IF(TODAY()&gt;$I111,TODAY()-$I111,0))</f>
        <v/>
      </c>
      <c r="N111">
        <f>IF($K111&lt;&gt;"PENDIENTE","",IF($M111&gt;0,"VENCIDA - DEPOSITAR YA",IF($I111-TODAY()&lt;=3,"POR VENCER","EN PLAZO")))</f>
        <v/>
      </c>
    </row>
    <row r="112">
      <c r="A112" s="25">
        <f>IF(Registro_Compras!$R112&lt;&gt;"SI","",Registro_Compras!$B112)</f>
        <v/>
      </c>
      <c r="B112">
        <f>IF(Registro_Compras!$R112&lt;&gt;"SI","",Registro_Compras!$C112)</f>
        <v/>
      </c>
      <c r="C112">
        <f>IF(Registro_Compras!$R112&lt;&gt;"SI","",Registro_Compras!$D112)</f>
        <v/>
      </c>
      <c r="D112">
        <f>IF(Registro_Compras!$R112&lt;&gt;"SI","",Registro_Compras!$E112)</f>
        <v/>
      </c>
      <c r="E112">
        <f>IF(Registro_Compras!$R112&lt;&gt;"SI","",Registro_Compras!$G112)</f>
        <v/>
      </c>
      <c r="F112" s="31">
        <f>IF(Registro_Compras!$R112&lt;&gt;"SI","",Registro_Compras!$P112)</f>
        <v/>
      </c>
      <c r="G112" s="20">
        <f>IF(Registro_Compras!$R112&lt;&gt;"SI","",Registro_Compras!$O112)</f>
        <v/>
      </c>
      <c r="H112" s="20">
        <f>IF(Registro_Compras!$R112&lt;&gt;"SI","",Registro_Compras!$S112)</f>
        <v/>
      </c>
      <c r="I112" s="25">
        <f>IF(Registro_Compras!$R112&lt;&gt;"SI","",IF(Registro_Compras!$Y112="",WORKDAY(EOMONTH(Registro_Compras!$B112,0),5,Feriados),MIN(Registro_Compras!$Y112,WORKDAY(EOMONTH(Registro_Compras!$B112,0),5,Feriados))))</f>
        <v/>
      </c>
      <c r="J112" s="25">
        <f>IF(Registro_Compras!$R112&lt;&gt;"SI","",Registro_Compras!$X112)</f>
        <v/>
      </c>
      <c r="K112">
        <f>IF(Registro_Compras!$R112&lt;&gt;"SI","",IF(Registro_Compras!$X112="","PENDIENTE","DEPOSITADA"))</f>
        <v/>
      </c>
      <c r="L112">
        <f>IF(Registro_Compras!$R112&lt;&gt;"SI","",Registro_Compras!$Z112)</f>
        <v/>
      </c>
      <c r="M112">
        <f>IF($K112&lt;&gt;"PENDIENTE","",IF(TODAY()&gt;$I112,TODAY()-$I112,0))</f>
        <v/>
      </c>
      <c r="N112">
        <f>IF($K112&lt;&gt;"PENDIENTE","",IF($M112&gt;0,"VENCIDA - DEPOSITAR YA",IF($I112-TODAY()&lt;=3,"POR VENCER","EN PLAZO")))</f>
        <v/>
      </c>
    </row>
    <row r="113">
      <c r="A113" s="25">
        <f>IF(Registro_Compras!$R113&lt;&gt;"SI","",Registro_Compras!$B113)</f>
        <v/>
      </c>
      <c r="B113">
        <f>IF(Registro_Compras!$R113&lt;&gt;"SI","",Registro_Compras!$C113)</f>
        <v/>
      </c>
      <c r="C113">
        <f>IF(Registro_Compras!$R113&lt;&gt;"SI","",Registro_Compras!$D113)</f>
        <v/>
      </c>
      <c r="D113">
        <f>IF(Registro_Compras!$R113&lt;&gt;"SI","",Registro_Compras!$E113)</f>
        <v/>
      </c>
      <c r="E113">
        <f>IF(Registro_Compras!$R113&lt;&gt;"SI","",Registro_Compras!$G113)</f>
        <v/>
      </c>
      <c r="F113" s="31">
        <f>IF(Registro_Compras!$R113&lt;&gt;"SI","",Registro_Compras!$P113)</f>
        <v/>
      </c>
      <c r="G113" s="20">
        <f>IF(Registro_Compras!$R113&lt;&gt;"SI","",Registro_Compras!$O113)</f>
        <v/>
      </c>
      <c r="H113" s="20">
        <f>IF(Registro_Compras!$R113&lt;&gt;"SI","",Registro_Compras!$S113)</f>
        <v/>
      </c>
      <c r="I113" s="25">
        <f>IF(Registro_Compras!$R113&lt;&gt;"SI","",IF(Registro_Compras!$Y113="",WORKDAY(EOMONTH(Registro_Compras!$B113,0),5,Feriados),MIN(Registro_Compras!$Y113,WORKDAY(EOMONTH(Registro_Compras!$B113,0),5,Feriados))))</f>
        <v/>
      </c>
      <c r="J113" s="25">
        <f>IF(Registro_Compras!$R113&lt;&gt;"SI","",Registro_Compras!$X113)</f>
        <v/>
      </c>
      <c r="K113">
        <f>IF(Registro_Compras!$R113&lt;&gt;"SI","",IF(Registro_Compras!$X113="","PENDIENTE","DEPOSITADA"))</f>
        <v/>
      </c>
      <c r="L113">
        <f>IF(Registro_Compras!$R113&lt;&gt;"SI","",Registro_Compras!$Z113)</f>
        <v/>
      </c>
      <c r="M113">
        <f>IF($K113&lt;&gt;"PENDIENTE","",IF(TODAY()&gt;$I113,TODAY()-$I113,0))</f>
        <v/>
      </c>
      <c r="N113">
        <f>IF($K113&lt;&gt;"PENDIENTE","",IF($M113&gt;0,"VENCIDA - DEPOSITAR YA",IF($I113-TODAY()&lt;=3,"POR VENCER","EN PLAZO")))</f>
        <v/>
      </c>
    </row>
    <row r="114">
      <c r="A114" s="25">
        <f>IF(Registro_Compras!$R114&lt;&gt;"SI","",Registro_Compras!$B114)</f>
        <v/>
      </c>
      <c r="B114">
        <f>IF(Registro_Compras!$R114&lt;&gt;"SI","",Registro_Compras!$C114)</f>
        <v/>
      </c>
      <c r="C114">
        <f>IF(Registro_Compras!$R114&lt;&gt;"SI","",Registro_Compras!$D114)</f>
        <v/>
      </c>
      <c r="D114">
        <f>IF(Registro_Compras!$R114&lt;&gt;"SI","",Registro_Compras!$E114)</f>
        <v/>
      </c>
      <c r="E114">
        <f>IF(Registro_Compras!$R114&lt;&gt;"SI","",Registro_Compras!$G114)</f>
        <v/>
      </c>
      <c r="F114" s="31">
        <f>IF(Registro_Compras!$R114&lt;&gt;"SI","",Registro_Compras!$P114)</f>
        <v/>
      </c>
      <c r="G114" s="20">
        <f>IF(Registro_Compras!$R114&lt;&gt;"SI","",Registro_Compras!$O114)</f>
        <v/>
      </c>
      <c r="H114" s="20">
        <f>IF(Registro_Compras!$R114&lt;&gt;"SI","",Registro_Compras!$S114)</f>
        <v/>
      </c>
      <c r="I114" s="25">
        <f>IF(Registro_Compras!$R114&lt;&gt;"SI","",IF(Registro_Compras!$Y114="",WORKDAY(EOMONTH(Registro_Compras!$B114,0),5,Feriados),MIN(Registro_Compras!$Y114,WORKDAY(EOMONTH(Registro_Compras!$B114,0),5,Feriados))))</f>
        <v/>
      </c>
      <c r="J114" s="25">
        <f>IF(Registro_Compras!$R114&lt;&gt;"SI","",Registro_Compras!$X114)</f>
        <v/>
      </c>
      <c r="K114">
        <f>IF(Registro_Compras!$R114&lt;&gt;"SI","",IF(Registro_Compras!$X114="","PENDIENTE","DEPOSITADA"))</f>
        <v/>
      </c>
      <c r="L114">
        <f>IF(Registro_Compras!$R114&lt;&gt;"SI","",Registro_Compras!$Z114)</f>
        <v/>
      </c>
      <c r="M114">
        <f>IF($K114&lt;&gt;"PENDIENTE","",IF(TODAY()&gt;$I114,TODAY()-$I114,0))</f>
        <v/>
      </c>
      <c r="N114">
        <f>IF($K114&lt;&gt;"PENDIENTE","",IF($M114&gt;0,"VENCIDA - DEPOSITAR YA",IF($I114-TODAY()&lt;=3,"POR VENCER","EN PLAZO")))</f>
        <v/>
      </c>
    </row>
    <row r="115">
      <c r="A115" s="25">
        <f>IF(Registro_Compras!$R115&lt;&gt;"SI","",Registro_Compras!$B115)</f>
        <v/>
      </c>
      <c r="B115">
        <f>IF(Registro_Compras!$R115&lt;&gt;"SI","",Registro_Compras!$C115)</f>
        <v/>
      </c>
      <c r="C115">
        <f>IF(Registro_Compras!$R115&lt;&gt;"SI","",Registro_Compras!$D115)</f>
        <v/>
      </c>
      <c r="D115">
        <f>IF(Registro_Compras!$R115&lt;&gt;"SI","",Registro_Compras!$E115)</f>
        <v/>
      </c>
      <c r="E115">
        <f>IF(Registro_Compras!$R115&lt;&gt;"SI","",Registro_Compras!$G115)</f>
        <v/>
      </c>
      <c r="F115" s="31">
        <f>IF(Registro_Compras!$R115&lt;&gt;"SI","",Registro_Compras!$P115)</f>
        <v/>
      </c>
      <c r="G115" s="20">
        <f>IF(Registro_Compras!$R115&lt;&gt;"SI","",Registro_Compras!$O115)</f>
        <v/>
      </c>
      <c r="H115" s="20">
        <f>IF(Registro_Compras!$R115&lt;&gt;"SI","",Registro_Compras!$S115)</f>
        <v/>
      </c>
      <c r="I115" s="25">
        <f>IF(Registro_Compras!$R115&lt;&gt;"SI","",IF(Registro_Compras!$Y115="",WORKDAY(EOMONTH(Registro_Compras!$B115,0),5,Feriados),MIN(Registro_Compras!$Y115,WORKDAY(EOMONTH(Registro_Compras!$B115,0),5,Feriados))))</f>
        <v/>
      </c>
      <c r="J115" s="25">
        <f>IF(Registro_Compras!$R115&lt;&gt;"SI","",Registro_Compras!$X115)</f>
        <v/>
      </c>
      <c r="K115">
        <f>IF(Registro_Compras!$R115&lt;&gt;"SI","",IF(Registro_Compras!$X115="","PENDIENTE","DEPOSITADA"))</f>
        <v/>
      </c>
      <c r="L115">
        <f>IF(Registro_Compras!$R115&lt;&gt;"SI","",Registro_Compras!$Z115)</f>
        <v/>
      </c>
      <c r="M115">
        <f>IF($K115&lt;&gt;"PENDIENTE","",IF(TODAY()&gt;$I115,TODAY()-$I115,0))</f>
        <v/>
      </c>
      <c r="N115">
        <f>IF($K115&lt;&gt;"PENDIENTE","",IF($M115&gt;0,"VENCIDA - DEPOSITAR YA",IF($I115-TODAY()&lt;=3,"POR VENCER","EN PLAZO")))</f>
        <v/>
      </c>
    </row>
    <row r="116">
      <c r="A116" s="25">
        <f>IF(Registro_Compras!$R116&lt;&gt;"SI","",Registro_Compras!$B116)</f>
        <v/>
      </c>
      <c r="B116">
        <f>IF(Registro_Compras!$R116&lt;&gt;"SI","",Registro_Compras!$C116)</f>
        <v/>
      </c>
      <c r="C116">
        <f>IF(Registro_Compras!$R116&lt;&gt;"SI","",Registro_Compras!$D116)</f>
        <v/>
      </c>
      <c r="D116">
        <f>IF(Registro_Compras!$R116&lt;&gt;"SI","",Registro_Compras!$E116)</f>
        <v/>
      </c>
      <c r="E116">
        <f>IF(Registro_Compras!$R116&lt;&gt;"SI","",Registro_Compras!$G116)</f>
        <v/>
      </c>
      <c r="F116" s="31">
        <f>IF(Registro_Compras!$R116&lt;&gt;"SI","",Registro_Compras!$P116)</f>
        <v/>
      </c>
      <c r="G116" s="20">
        <f>IF(Registro_Compras!$R116&lt;&gt;"SI","",Registro_Compras!$O116)</f>
        <v/>
      </c>
      <c r="H116" s="20">
        <f>IF(Registro_Compras!$R116&lt;&gt;"SI","",Registro_Compras!$S116)</f>
        <v/>
      </c>
      <c r="I116" s="25">
        <f>IF(Registro_Compras!$R116&lt;&gt;"SI","",IF(Registro_Compras!$Y116="",WORKDAY(EOMONTH(Registro_Compras!$B116,0),5,Feriados),MIN(Registro_Compras!$Y116,WORKDAY(EOMONTH(Registro_Compras!$B116,0),5,Feriados))))</f>
        <v/>
      </c>
      <c r="J116" s="25">
        <f>IF(Registro_Compras!$R116&lt;&gt;"SI","",Registro_Compras!$X116)</f>
        <v/>
      </c>
      <c r="K116">
        <f>IF(Registro_Compras!$R116&lt;&gt;"SI","",IF(Registro_Compras!$X116="","PENDIENTE","DEPOSITADA"))</f>
        <v/>
      </c>
      <c r="L116">
        <f>IF(Registro_Compras!$R116&lt;&gt;"SI","",Registro_Compras!$Z116)</f>
        <v/>
      </c>
      <c r="M116">
        <f>IF($K116&lt;&gt;"PENDIENTE","",IF(TODAY()&gt;$I116,TODAY()-$I116,0))</f>
        <v/>
      </c>
      <c r="N116">
        <f>IF($K116&lt;&gt;"PENDIENTE","",IF($M116&gt;0,"VENCIDA - DEPOSITAR YA",IF($I116-TODAY()&lt;=3,"POR VENCER","EN PLAZO")))</f>
        <v/>
      </c>
    </row>
    <row r="117">
      <c r="A117" s="25">
        <f>IF(Registro_Compras!$R117&lt;&gt;"SI","",Registro_Compras!$B117)</f>
        <v/>
      </c>
      <c r="B117">
        <f>IF(Registro_Compras!$R117&lt;&gt;"SI","",Registro_Compras!$C117)</f>
        <v/>
      </c>
      <c r="C117">
        <f>IF(Registro_Compras!$R117&lt;&gt;"SI","",Registro_Compras!$D117)</f>
        <v/>
      </c>
      <c r="D117">
        <f>IF(Registro_Compras!$R117&lt;&gt;"SI","",Registro_Compras!$E117)</f>
        <v/>
      </c>
      <c r="E117">
        <f>IF(Registro_Compras!$R117&lt;&gt;"SI","",Registro_Compras!$G117)</f>
        <v/>
      </c>
      <c r="F117" s="31">
        <f>IF(Registro_Compras!$R117&lt;&gt;"SI","",Registro_Compras!$P117)</f>
        <v/>
      </c>
      <c r="G117" s="20">
        <f>IF(Registro_Compras!$R117&lt;&gt;"SI","",Registro_Compras!$O117)</f>
        <v/>
      </c>
      <c r="H117" s="20">
        <f>IF(Registro_Compras!$R117&lt;&gt;"SI","",Registro_Compras!$S117)</f>
        <v/>
      </c>
      <c r="I117" s="25">
        <f>IF(Registro_Compras!$R117&lt;&gt;"SI","",IF(Registro_Compras!$Y117="",WORKDAY(EOMONTH(Registro_Compras!$B117,0),5,Feriados),MIN(Registro_Compras!$Y117,WORKDAY(EOMONTH(Registro_Compras!$B117,0),5,Feriados))))</f>
        <v/>
      </c>
      <c r="J117" s="25">
        <f>IF(Registro_Compras!$R117&lt;&gt;"SI","",Registro_Compras!$X117)</f>
        <v/>
      </c>
      <c r="K117">
        <f>IF(Registro_Compras!$R117&lt;&gt;"SI","",IF(Registro_Compras!$X117="","PENDIENTE","DEPOSITADA"))</f>
        <v/>
      </c>
      <c r="L117">
        <f>IF(Registro_Compras!$R117&lt;&gt;"SI","",Registro_Compras!$Z117)</f>
        <v/>
      </c>
      <c r="M117">
        <f>IF($K117&lt;&gt;"PENDIENTE","",IF(TODAY()&gt;$I117,TODAY()-$I117,0))</f>
        <v/>
      </c>
      <c r="N117">
        <f>IF($K117&lt;&gt;"PENDIENTE","",IF($M117&gt;0,"VENCIDA - DEPOSITAR YA",IF($I117-TODAY()&lt;=3,"POR VENCER","EN PLAZO")))</f>
        <v/>
      </c>
    </row>
    <row r="118">
      <c r="A118" s="25">
        <f>IF(Registro_Compras!$R118&lt;&gt;"SI","",Registro_Compras!$B118)</f>
        <v/>
      </c>
      <c r="B118">
        <f>IF(Registro_Compras!$R118&lt;&gt;"SI","",Registro_Compras!$C118)</f>
        <v/>
      </c>
      <c r="C118">
        <f>IF(Registro_Compras!$R118&lt;&gt;"SI","",Registro_Compras!$D118)</f>
        <v/>
      </c>
      <c r="D118">
        <f>IF(Registro_Compras!$R118&lt;&gt;"SI","",Registro_Compras!$E118)</f>
        <v/>
      </c>
      <c r="E118">
        <f>IF(Registro_Compras!$R118&lt;&gt;"SI","",Registro_Compras!$G118)</f>
        <v/>
      </c>
      <c r="F118" s="31">
        <f>IF(Registro_Compras!$R118&lt;&gt;"SI","",Registro_Compras!$P118)</f>
        <v/>
      </c>
      <c r="G118" s="20">
        <f>IF(Registro_Compras!$R118&lt;&gt;"SI","",Registro_Compras!$O118)</f>
        <v/>
      </c>
      <c r="H118" s="20">
        <f>IF(Registro_Compras!$R118&lt;&gt;"SI","",Registro_Compras!$S118)</f>
        <v/>
      </c>
      <c r="I118" s="25">
        <f>IF(Registro_Compras!$R118&lt;&gt;"SI","",IF(Registro_Compras!$Y118="",WORKDAY(EOMONTH(Registro_Compras!$B118,0),5,Feriados),MIN(Registro_Compras!$Y118,WORKDAY(EOMONTH(Registro_Compras!$B118,0),5,Feriados))))</f>
        <v/>
      </c>
      <c r="J118" s="25">
        <f>IF(Registro_Compras!$R118&lt;&gt;"SI","",Registro_Compras!$X118)</f>
        <v/>
      </c>
      <c r="K118">
        <f>IF(Registro_Compras!$R118&lt;&gt;"SI","",IF(Registro_Compras!$X118="","PENDIENTE","DEPOSITADA"))</f>
        <v/>
      </c>
      <c r="L118">
        <f>IF(Registro_Compras!$R118&lt;&gt;"SI","",Registro_Compras!$Z118)</f>
        <v/>
      </c>
      <c r="M118">
        <f>IF($K118&lt;&gt;"PENDIENTE","",IF(TODAY()&gt;$I118,TODAY()-$I118,0))</f>
        <v/>
      </c>
      <c r="N118">
        <f>IF($K118&lt;&gt;"PENDIENTE","",IF($M118&gt;0,"VENCIDA - DEPOSITAR YA",IF($I118-TODAY()&lt;=3,"POR VENCER","EN PLAZO")))</f>
        <v/>
      </c>
    </row>
    <row r="119">
      <c r="A119" s="25">
        <f>IF(Registro_Compras!$R119&lt;&gt;"SI","",Registro_Compras!$B119)</f>
        <v/>
      </c>
      <c r="B119">
        <f>IF(Registro_Compras!$R119&lt;&gt;"SI","",Registro_Compras!$C119)</f>
        <v/>
      </c>
      <c r="C119">
        <f>IF(Registro_Compras!$R119&lt;&gt;"SI","",Registro_Compras!$D119)</f>
        <v/>
      </c>
      <c r="D119">
        <f>IF(Registro_Compras!$R119&lt;&gt;"SI","",Registro_Compras!$E119)</f>
        <v/>
      </c>
      <c r="E119">
        <f>IF(Registro_Compras!$R119&lt;&gt;"SI","",Registro_Compras!$G119)</f>
        <v/>
      </c>
      <c r="F119" s="31">
        <f>IF(Registro_Compras!$R119&lt;&gt;"SI","",Registro_Compras!$P119)</f>
        <v/>
      </c>
      <c r="G119" s="20">
        <f>IF(Registro_Compras!$R119&lt;&gt;"SI","",Registro_Compras!$O119)</f>
        <v/>
      </c>
      <c r="H119" s="20">
        <f>IF(Registro_Compras!$R119&lt;&gt;"SI","",Registro_Compras!$S119)</f>
        <v/>
      </c>
      <c r="I119" s="25">
        <f>IF(Registro_Compras!$R119&lt;&gt;"SI","",IF(Registro_Compras!$Y119="",WORKDAY(EOMONTH(Registro_Compras!$B119,0),5,Feriados),MIN(Registro_Compras!$Y119,WORKDAY(EOMONTH(Registro_Compras!$B119,0),5,Feriados))))</f>
        <v/>
      </c>
      <c r="J119" s="25">
        <f>IF(Registro_Compras!$R119&lt;&gt;"SI","",Registro_Compras!$X119)</f>
        <v/>
      </c>
      <c r="K119">
        <f>IF(Registro_Compras!$R119&lt;&gt;"SI","",IF(Registro_Compras!$X119="","PENDIENTE","DEPOSITADA"))</f>
        <v/>
      </c>
      <c r="L119">
        <f>IF(Registro_Compras!$R119&lt;&gt;"SI","",Registro_Compras!$Z119)</f>
        <v/>
      </c>
      <c r="M119">
        <f>IF($K119&lt;&gt;"PENDIENTE","",IF(TODAY()&gt;$I119,TODAY()-$I119,0))</f>
        <v/>
      </c>
      <c r="N119">
        <f>IF($K119&lt;&gt;"PENDIENTE","",IF($M119&gt;0,"VENCIDA - DEPOSITAR YA",IF($I119-TODAY()&lt;=3,"POR VENCER","EN PLAZO")))</f>
        <v/>
      </c>
    </row>
    <row r="120">
      <c r="A120" s="25">
        <f>IF(Registro_Compras!$R120&lt;&gt;"SI","",Registro_Compras!$B120)</f>
        <v/>
      </c>
      <c r="B120">
        <f>IF(Registro_Compras!$R120&lt;&gt;"SI","",Registro_Compras!$C120)</f>
        <v/>
      </c>
      <c r="C120">
        <f>IF(Registro_Compras!$R120&lt;&gt;"SI","",Registro_Compras!$D120)</f>
        <v/>
      </c>
      <c r="D120">
        <f>IF(Registro_Compras!$R120&lt;&gt;"SI","",Registro_Compras!$E120)</f>
        <v/>
      </c>
      <c r="E120">
        <f>IF(Registro_Compras!$R120&lt;&gt;"SI","",Registro_Compras!$G120)</f>
        <v/>
      </c>
      <c r="F120" s="31">
        <f>IF(Registro_Compras!$R120&lt;&gt;"SI","",Registro_Compras!$P120)</f>
        <v/>
      </c>
      <c r="G120" s="20">
        <f>IF(Registro_Compras!$R120&lt;&gt;"SI","",Registro_Compras!$O120)</f>
        <v/>
      </c>
      <c r="H120" s="20">
        <f>IF(Registro_Compras!$R120&lt;&gt;"SI","",Registro_Compras!$S120)</f>
        <v/>
      </c>
      <c r="I120" s="25">
        <f>IF(Registro_Compras!$R120&lt;&gt;"SI","",IF(Registro_Compras!$Y120="",WORKDAY(EOMONTH(Registro_Compras!$B120,0),5,Feriados),MIN(Registro_Compras!$Y120,WORKDAY(EOMONTH(Registro_Compras!$B120,0),5,Feriados))))</f>
        <v/>
      </c>
      <c r="J120" s="25">
        <f>IF(Registro_Compras!$R120&lt;&gt;"SI","",Registro_Compras!$X120)</f>
        <v/>
      </c>
      <c r="K120">
        <f>IF(Registro_Compras!$R120&lt;&gt;"SI","",IF(Registro_Compras!$X120="","PENDIENTE","DEPOSITADA"))</f>
        <v/>
      </c>
      <c r="L120">
        <f>IF(Registro_Compras!$R120&lt;&gt;"SI","",Registro_Compras!$Z120)</f>
        <v/>
      </c>
      <c r="M120">
        <f>IF($K120&lt;&gt;"PENDIENTE","",IF(TODAY()&gt;$I120,TODAY()-$I120,0))</f>
        <v/>
      </c>
      <c r="N120">
        <f>IF($K120&lt;&gt;"PENDIENTE","",IF($M120&gt;0,"VENCIDA - DEPOSITAR YA",IF($I120-TODAY()&lt;=3,"POR VENCER","EN PLAZO")))</f>
        <v/>
      </c>
    </row>
    <row r="121">
      <c r="A121" s="25">
        <f>IF(Registro_Compras!$R121&lt;&gt;"SI","",Registro_Compras!$B121)</f>
        <v/>
      </c>
      <c r="B121">
        <f>IF(Registro_Compras!$R121&lt;&gt;"SI","",Registro_Compras!$C121)</f>
        <v/>
      </c>
      <c r="C121">
        <f>IF(Registro_Compras!$R121&lt;&gt;"SI","",Registro_Compras!$D121)</f>
        <v/>
      </c>
      <c r="D121">
        <f>IF(Registro_Compras!$R121&lt;&gt;"SI","",Registro_Compras!$E121)</f>
        <v/>
      </c>
      <c r="E121">
        <f>IF(Registro_Compras!$R121&lt;&gt;"SI","",Registro_Compras!$G121)</f>
        <v/>
      </c>
      <c r="F121" s="31">
        <f>IF(Registro_Compras!$R121&lt;&gt;"SI","",Registro_Compras!$P121)</f>
        <v/>
      </c>
      <c r="G121" s="20">
        <f>IF(Registro_Compras!$R121&lt;&gt;"SI","",Registro_Compras!$O121)</f>
        <v/>
      </c>
      <c r="H121" s="20">
        <f>IF(Registro_Compras!$R121&lt;&gt;"SI","",Registro_Compras!$S121)</f>
        <v/>
      </c>
      <c r="I121" s="25">
        <f>IF(Registro_Compras!$R121&lt;&gt;"SI","",IF(Registro_Compras!$Y121="",WORKDAY(EOMONTH(Registro_Compras!$B121,0),5,Feriados),MIN(Registro_Compras!$Y121,WORKDAY(EOMONTH(Registro_Compras!$B121,0),5,Feriados))))</f>
        <v/>
      </c>
      <c r="J121" s="25">
        <f>IF(Registro_Compras!$R121&lt;&gt;"SI","",Registro_Compras!$X121)</f>
        <v/>
      </c>
      <c r="K121">
        <f>IF(Registro_Compras!$R121&lt;&gt;"SI","",IF(Registro_Compras!$X121="","PENDIENTE","DEPOSITADA"))</f>
        <v/>
      </c>
      <c r="L121">
        <f>IF(Registro_Compras!$R121&lt;&gt;"SI","",Registro_Compras!$Z121)</f>
        <v/>
      </c>
      <c r="M121">
        <f>IF($K121&lt;&gt;"PENDIENTE","",IF(TODAY()&gt;$I121,TODAY()-$I121,0))</f>
        <v/>
      </c>
      <c r="N121">
        <f>IF($K121&lt;&gt;"PENDIENTE","",IF($M121&gt;0,"VENCIDA - DEPOSITAR YA",IF($I121-TODAY()&lt;=3,"POR VENCER","EN PLAZO")))</f>
        <v/>
      </c>
    </row>
    <row r="122">
      <c r="A122" s="25">
        <f>IF(Registro_Compras!$R122&lt;&gt;"SI","",Registro_Compras!$B122)</f>
        <v/>
      </c>
      <c r="B122">
        <f>IF(Registro_Compras!$R122&lt;&gt;"SI","",Registro_Compras!$C122)</f>
        <v/>
      </c>
      <c r="C122">
        <f>IF(Registro_Compras!$R122&lt;&gt;"SI","",Registro_Compras!$D122)</f>
        <v/>
      </c>
      <c r="D122">
        <f>IF(Registro_Compras!$R122&lt;&gt;"SI","",Registro_Compras!$E122)</f>
        <v/>
      </c>
      <c r="E122">
        <f>IF(Registro_Compras!$R122&lt;&gt;"SI","",Registro_Compras!$G122)</f>
        <v/>
      </c>
      <c r="F122" s="31">
        <f>IF(Registro_Compras!$R122&lt;&gt;"SI","",Registro_Compras!$P122)</f>
        <v/>
      </c>
      <c r="G122" s="20">
        <f>IF(Registro_Compras!$R122&lt;&gt;"SI","",Registro_Compras!$O122)</f>
        <v/>
      </c>
      <c r="H122" s="20">
        <f>IF(Registro_Compras!$R122&lt;&gt;"SI","",Registro_Compras!$S122)</f>
        <v/>
      </c>
      <c r="I122" s="25">
        <f>IF(Registro_Compras!$R122&lt;&gt;"SI","",IF(Registro_Compras!$Y122="",WORKDAY(EOMONTH(Registro_Compras!$B122,0),5,Feriados),MIN(Registro_Compras!$Y122,WORKDAY(EOMONTH(Registro_Compras!$B122,0),5,Feriados))))</f>
        <v/>
      </c>
      <c r="J122" s="25">
        <f>IF(Registro_Compras!$R122&lt;&gt;"SI","",Registro_Compras!$X122)</f>
        <v/>
      </c>
      <c r="K122">
        <f>IF(Registro_Compras!$R122&lt;&gt;"SI","",IF(Registro_Compras!$X122="","PENDIENTE","DEPOSITADA"))</f>
        <v/>
      </c>
      <c r="L122">
        <f>IF(Registro_Compras!$R122&lt;&gt;"SI","",Registro_Compras!$Z122)</f>
        <v/>
      </c>
      <c r="M122">
        <f>IF($K122&lt;&gt;"PENDIENTE","",IF(TODAY()&gt;$I122,TODAY()-$I122,0))</f>
        <v/>
      </c>
      <c r="N122">
        <f>IF($K122&lt;&gt;"PENDIENTE","",IF($M122&gt;0,"VENCIDA - DEPOSITAR YA",IF($I122-TODAY()&lt;=3,"POR VENCER","EN PLAZO")))</f>
        <v/>
      </c>
    </row>
    <row r="123">
      <c r="A123" s="25">
        <f>IF(Registro_Compras!$R123&lt;&gt;"SI","",Registro_Compras!$B123)</f>
        <v/>
      </c>
      <c r="B123">
        <f>IF(Registro_Compras!$R123&lt;&gt;"SI","",Registro_Compras!$C123)</f>
        <v/>
      </c>
      <c r="C123">
        <f>IF(Registro_Compras!$R123&lt;&gt;"SI","",Registro_Compras!$D123)</f>
        <v/>
      </c>
      <c r="D123">
        <f>IF(Registro_Compras!$R123&lt;&gt;"SI","",Registro_Compras!$E123)</f>
        <v/>
      </c>
      <c r="E123">
        <f>IF(Registro_Compras!$R123&lt;&gt;"SI","",Registro_Compras!$G123)</f>
        <v/>
      </c>
      <c r="F123" s="31">
        <f>IF(Registro_Compras!$R123&lt;&gt;"SI","",Registro_Compras!$P123)</f>
        <v/>
      </c>
      <c r="G123" s="20">
        <f>IF(Registro_Compras!$R123&lt;&gt;"SI","",Registro_Compras!$O123)</f>
        <v/>
      </c>
      <c r="H123" s="20">
        <f>IF(Registro_Compras!$R123&lt;&gt;"SI","",Registro_Compras!$S123)</f>
        <v/>
      </c>
      <c r="I123" s="25">
        <f>IF(Registro_Compras!$R123&lt;&gt;"SI","",IF(Registro_Compras!$Y123="",WORKDAY(EOMONTH(Registro_Compras!$B123,0),5,Feriados),MIN(Registro_Compras!$Y123,WORKDAY(EOMONTH(Registro_Compras!$B123,0),5,Feriados))))</f>
        <v/>
      </c>
      <c r="J123" s="25">
        <f>IF(Registro_Compras!$R123&lt;&gt;"SI","",Registro_Compras!$X123)</f>
        <v/>
      </c>
      <c r="K123">
        <f>IF(Registro_Compras!$R123&lt;&gt;"SI","",IF(Registro_Compras!$X123="","PENDIENTE","DEPOSITADA"))</f>
        <v/>
      </c>
      <c r="L123">
        <f>IF(Registro_Compras!$R123&lt;&gt;"SI","",Registro_Compras!$Z123)</f>
        <v/>
      </c>
      <c r="M123">
        <f>IF($K123&lt;&gt;"PENDIENTE","",IF(TODAY()&gt;$I123,TODAY()-$I123,0))</f>
        <v/>
      </c>
      <c r="N123">
        <f>IF($K123&lt;&gt;"PENDIENTE","",IF($M123&gt;0,"VENCIDA - DEPOSITAR YA",IF($I123-TODAY()&lt;=3,"POR VENCER","EN PLAZO")))</f>
        <v/>
      </c>
    </row>
    <row r="124">
      <c r="A124" s="25">
        <f>IF(Registro_Compras!$R124&lt;&gt;"SI","",Registro_Compras!$B124)</f>
        <v/>
      </c>
      <c r="B124">
        <f>IF(Registro_Compras!$R124&lt;&gt;"SI","",Registro_Compras!$C124)</f>
        <v/>
      </c>
      <c r="C124">
        <f>IF(Registro_Compras!$R124&lt;&gt;"SI","",Registro_Compras!$D124)</f>
        <v/>
      </c>
      <c r="D124">
        <f>IF(Registro_Compras!$R124&lt;&gt;"SI","",Registro_Compras!$E124)</f>
        <v/>
      </c>
      <c r="E124">
        <f>IF(Registro_Compras!$R124&lt;&gt;"SI","",Registro_Compras!$G124)</f>
        <v/>
      </c>
      <c r="F124" s="31">
        <f>IF(Registro_Compras!$R124&lt;&gt;"SI","",Registro_Compras!$P124)</f>
        <v/>
      </c>
      <c r="G124" s="20">
        <f>IF(Registro_Compras!$R124&lt;&gt;"SI","",Registro_Compras!$O124)</f>
        <v/>
      </c>
      <c r="H124" s="20">
        <f>IF(Registro_Compras!$R124&lt;&gt;"SI","",Registro_Compras!$S124)</f>
        <v/>
      </c>
      <c r="I124" s="25">
        <f>IF(Registro_Compras!$R124&lt;&gt;"SI","",IF(Registro_Compras!$Y124="",WORKDAY(EOMONTH(Registro_Compras!$B124,0),5,Feriados),MIN(Registro_Compras!$Y124,WORKDAY(EOMONTH(Registro_Compras!$B124,0),5,Feriados))))</f>
        <v/>
      </c>
      <c r="J124" s="25">
        <f>IF(Registro_Compras!$R124&lt;&gt;"SI","",Registro_Compras!$X124)</f>
        <v/>
      </c>
      <c r="K124">
        <f>IF(Registro_Compras!$R124&lt;&gt;"SI","",IF(Registro_Compras!$X124="","PENDIENTE","DEPOSITADA"))</f>
        <v/>
      </c>
      <c r="L124">
        <f>IF(Registro_Compras!$R124&lt;&gt;"SI","",Registro_Compras!$Z124)</f>
        <v/>
      </c>
      <c r="M124">
        <f>IF($K124&lt;&gt;"PENDIENTE","",IF(TODAY()&gt;$I124,TODAY()-$I124,0))</f>
        <v/>
      </c>
      <c r="N124">
        <f>IF($K124&lt;&gt;"PENDIENTE","",IF($M124&gt;0,"VENCIDA - DEPOSITAR YA",IF($I124-TODAY()&lt;=3,"POR VENCER","EN PLAZO")))</f>
        <v/>
      </c>
    </row>
    <row r="125">
      <c r="A125" s="25">
        <f>IF(Registro_Compras!$R125&lt;&gt;"SI","",Registro_Compras!$B125)</f>
        <v/>
      </c>
      <c r="B125">
        <f>IF(Registro_Compras!$R125&lt;&gt;"SI","",Registro_Compras!$C125)</f>
        <v/>
      </c>
      <c r="C125">
        <f>IF(Registro_Compras!$R125&lt;&gt;"SI","",Registro_Compras!$D125)</f>
        <v/>
      </c>
      <c r="D125">
        <f>IF(Registro_Compras!$R125&lt;&gt;"SI","",Registro_Compras!$E125)</f>
        <v/>
      </c>
      <c r="E125">
        <f>IF(Registro_Compras!$R125&lt;&gt;"SI","",Registro_Compras!$G125)</f>
        <v/>
      </c>
      <c r="F125" s="31">
        <f>IF(Registro_Compras!$R125&lt;&gt;"SI","",Registro_Compras!$P125)</f>
        <v/>
      </c>
      <c r="G125" s="20">
        <f>IF(Registro_Compras!$R125&lt;&gt;"SI","",Registro_Compras!$O125)</f>
        <v/>
      </c>
      <c r="H125" s="20">
        <f>IF(Registro_Compras!$R125&lt;&gt;"SI","",Registro_Compras!$S125)</f>
        <v/>
      </c>
      <c r="I125" s="25">
        <f>IF(Registro_Compras!$R125&lt;&gt;"SI","",IF(Registro_Compras!$Y125="",WORKDAY(EOMONTH(Registro_Compras!$B125,0),5,Feriados),MIN(Registro_Compras!$Y125,WORKDAY(EOMONTH(Registro_Compras!$B125,0),5,Feriados))))</f>
        <v/>
      </c>
      <c r="J125" s="25">
        <f>IF(Registro_Compras!$R125&lt;&gt;"SI","",Registro_Compras!$X125)</f>
        <v/>
      </c>
      <c r="K125">
        <f>IF(Registro_Compras!$R125&lt;&gt;"SI","",IF(Registro_Compras!$X125="","PENDIENTE","DEPOSITADA"))</f>
        <v/>
      </c>
      <c r="L125">
        <f>IF(Registro_Compras!$R125&lt;&gt;"SI","",Registro_Compras!$Z125)</f>
        <v/>
      </c>
      <c r="M125">
        <f>IF($K125&lt;&gt;"PENDIENTE","",IF(TODAY()&gt;$I125,TODAY()-$I125,0))</f>
        <v/>
      </c>
      <c r="N125">
        <f>IF($K125&lt;&gt;"PENDIENTE","",IF($M125&gt;0,"VENCIDA - DEPOSITAR YA",IF($I125-TODAY()&lt;=3,"POR VENCER","EN PLAZO")))</f>
        <v/>
      </c>
    </row>
    <row r="126">
      <c r="A126" s="25">
        <f>IF(Registro_Compras!$R126&lt;&gt;"SI","",Registro_Compras!$B126)</f>
        <v/>
      </c>
      <c r="B126">
        <f>IF(Registro_Compras!$R126&lt;&gt;"SI","",Registro_Compras!$C126)</f>
        <v/>
      </c>
      <c r="C126">
        <f>IF(Registro_Compras!$R126&lt;&gt;"SI","",Registro_Compras!$D126)</f>
        <v/>
      </c>
      <c r="D126">
        <f>IF(Registro_Compras!$R126&lt;&gt;"SI","",Registro_Compras!$E126)</f>
        <v/>
      </c>
      <c r="E126">
        <f>IF(Registro_Compras!$R126&lt;&gt;"SI","",Registro_Compras!$G126)</f>
        <v/>
      </c>
      <c r="F126" s="31">
        <f>IF(Registro_Compras!$R126&lt;&gt;"SI","",Registro_Compras!$P126)</f>
        <v/>
      </c>
      <c r="G126" s="20">
        <f>IF(Registro_Compras!$R126&lt;&gt;"SI","",Registro_Compras!$O126)</f>
        <v/>
      </c>
      <c r="H126" s="20">
        <f>IF(Registro_Compras!$R126&lt;&gt;"SI","",Registro_Compras!$S126)</f>
        <v/>
      </c>
      <c r="I126" s="25">
        <f>IF(Registro_Compras!$R126&lt;&gt;"SI","",IF(Registro_Compras!$Y126="",WORKDAY(EOMONTH(Registro_Compras!$B126,0),5,Feriados),MIN(Registro_Compras!$Y126,WORKDAY(EOMONTH(Registro_Compras!$B126,0),5,Feriados))))</f>
        <v/>
      </c>
      <c r="J126" s="25">
        <f>IF(Registro_Compras!$R126&lt;&gt;"SI","",Registro_Compras!$X126)</f>
        <v/>
      </c>
      <c r="K126">
        <f>IF(Registro_Compras!$R126&lt;&gt;"SI","",IF(Registro_Compras!$X126="","PENDIENTE","DEPOSITADA"))</f>
        <v/>
      </c>
      <c r="L126">
        <f>IF(Registro_Compras!$R126&lt;&gt;"SI","",Registro_Compras!$Z126)</f>
        <v/>
      </c>
      <c r="M126">
        <f>IF($K126&lt;&gt;"PENDIENTE","",IF(TODAY()&gt;$I126,TODAY()-$I126,0))</f>
        <v/>
      </c>
      <c r="N126">
        <f>IF($K126&lt;&gt;"PENDIENTE","",IF($M126&gt;0,"VENCIDA - DEPOSITAR YA",IF($I126-TODAY()&lt;=3,"POR VENCER","EN PLAZO")))</f>
        <v/>
      </c>
    </row>
    <row r="127">
      <c r="A127" s="25">
        <f>IF(Registro_Compras!$R127&lt;&gt;"SI","",Registro_Compras!$B127)</f>
        <v/>
      </c>
      <c r="B127">
        <f>IF(Registro_Compras!$R127&lt;&gt;"SI","",Registro_Compras!$C127)</f>
        <v/>
      </c>
      <c r="C127">
        <f>IF(Registro_Compras!$R127&lt;&gt;"SI","",Registro_Compras!$D127)</f>
        <v/>
      </c>
      <c r="D127">
        <f>IF(Registro_Compras!$R127&lt;&gt;"SI","",Registro_Compras!$E127)</f>
        <v/>
      </c>
      <c r="E127">
        <f>IF(Registro_Compras!$R127&lt;&gt;"SI","",Registro_Compras!$G127)</f>
        <v/>
      </c>
      <c r="F127" s="31">
        <f>IF(Registro_Compras!$R127&lt;&gt;"SI","",Registro_Compras!$P127)</f>
        <v/>
      </c>
      <c r="G127" s="20">
        <f>IF(Registro_Compras!$R127&lt;&gt;"SI","",Registro_Compras!$O127)</f>
        <v/>
      </c>
      <c r="H127" s="20">
        <f>IF(Registro_Compras!$R127&lt;&gt;"SI","",Registro_Compras!$S127)</f>
        <v/>
      </c>
      <c r="I127" s="25">
        <f>IF(Registro_Compras!$R127&lt;&gt;"SI","",IF(Registro_Compras!$Y127="",WORKDAY(EOMONTH(Registro_Compras!$B127,0),5,Feriados),MIN(Registro_Compras!$Y127,WORKDAY(EOMONTH(Registro_Compras!$B127,0),5,Feriados))))</f>
        <v/>
      </c>
      <c r="J127" s="25">
        <f>IF(Registro_Compras!$R127&lt;&gt;"SI","",Registro_Compras!$X127)</f>
        <v/>
      </c>
      <c r="K127">
        <f>IF(Registro_Compras!$R127&lt;&gt;"SI","",IF(Registro_Compras!$X127="","PENDIENTE","DEPOSITADA"))</f>
        <v/>
      </c>
      <c r="L127">
        <f>IF(Registro_Compras!$R127&lt;&gt;"SI","",Registro_Compras!$Z127)</f>
        <v/>
      </c>
      <c r="M127">
        <f>IF($K127&lt;&gt;"PENDIENTE","",IF(TODAY()&gt;$I127,TODAY()-$I127,0))</f>
        <v/>
      </c>
      <c r="N127">
        <f>IF($K127&lt;&gt;"PENDIENTE","",IF($M127&gt;0,"VENCIDA - DEPOSITAR YA",IF($I127-TODAY()&lt;=3,"POR VENCER","EN PLAZO")))</f>
        <v/>
      </c>
    </row>
    <row r="128">
      <c r="A128" s="25">
        <f>IF(Registro_Compras!$R128&lt;&gt;"SI","",Registro_Compras!$B128)</f>
        <v/>
      </c>
      <c r="B128">
        <f>IF(Registro_Compras!$R128&lt;&gt;"SI","",Registro_Compras!$C128)</f>
        <v/>
      </c>
      <c r="C128">
        <f>IF(Registro_Compras!$R128&lt;&gt;"SI","",Registro_Compras!$D128)</f>
        <v/>
      </c>
      <c r="D128">
        <f>IF(Registro_Compras!$R128&lt;&gt;"SI","",Registro_Compras!$E128)</f>
        <v/>
      </c>
      <c r="E128">
        <f>IF(Registro_Compras!$R128&lt;&gt;"SI","",Registro_Compras!$G128)</f>
        <v/>
      </c>
      <c r="F128" s="31">
        <f>IF(Registro_Compras!$R128&lt;&gt;"SI","",Registro_Compras!$P128)</f>
        <v/>
      </c>
      <c r="G128" s="20">
        <f>IF(Registro_Compras!$R128&lt;&gt;"SI","",Registro_Compras!$O128)</f>
        <v/>
      </c>
      <c r="H128" s="20">
        <f>IF(Registro_Compras!$R128&lt;&gt;"SI","",Registro_Compras!$S128)</f>
        <v/>
      </c>
      <c r="I128" s="25">
        <f>IF(Registro_Compras!$R128&lt;&gt;"SI","",IF(Registro_Compras!$Y128="",WORKDAY(EOMONTH(Registro_Compras!$B128,0),5,Feriados),MIN(Registro_Compras!$Y128,WORKDAY(EOMONTH(Registro_Compras!$B128,0),5,Feriados))))</f>
        <v/>
      </c>
      <c r="J128" s="25">
        <f>IF(Registro_Compras!$R128&lt;&gt;"SI","",Registro_Compras!$X128)</f>
        <v/>
      </c>
      <c r="K128">
        <f>IF(Registro_Compras!$R128&lt;&gt;"SI","",IF(Registro_Compras!$X128="","PENDIENTE","DEPOSITADA"))</f>
        <v/>
      </c>
      <c r="L128">
        <f>IF(Registro_Compras!$R128&lt;&gt;"SI","",Registro_Compras!$Z128)</f>
        <v/>
      </c>
      <c r="M128">
        <f>IF($K128&lt;&gt;"PENDIENTE","",IF(TODAY()&gt;$I128,TODAY()-$I128,0))</f>
        <v/>
      </c>
      <c r="N128">
        <f>IF($K128&lt;&gt;"PENDIENTE","",IF($M128&gt;0,"VENCIDA - DEPOSITAR YA",IF($I128-TODAY()&lt;=3,"POR VENCER","EN PLAZO")))</f>
        <v/>
      </c>
    </row>
    <row r="129">
      <c r="A129" s="25">
        <f>IF(Registro_Compras!$R129&lt;&gt;"SI","",Registro_Compras!$B129)</f>
        <v/>
      </c>
      <c r="B129">
        <f>IF(Registro_Compras!$R129&lt;&gt;"SI","",Registro_Compras!$C129)</f>
        <v/>
      </c>
      <c r="C129">
        <f>IF(Registro_Compras!$R129&lt;&gt;"SI","",Registro_Compras!$D129)</f>
        <v/>
      </c>
      <c r="D129">
        <f>IF(Registro_Compras!$R129&lt;&gt;"SI","",Registro_Compras!$E129)</f>
        <v/>
      </c>
      <c r="E129">
        <f>IF(Registro_Compras!$R129&lt;&gt;"SI","",Registro_Compras!$G129)</f>
        <v/>
      </c>
      <c r="F129" s="31">
        <f>IF(Registro_Compras!$R129&lt;&gt;"SI","",Registro_Compras!$P129)</f>
        <v/>
      </c>
      <c r="G129" s="20">
        <f>IF(Registro_Compras!$R129&lt;&gt;"SI","",Registro_Compras!$O129)</f>
        <v/>
      </c>
      <c r="H129" s="20">
        <f>IF(Registro_Compras!$R129&lt;&gt;"SI","",Registro_Compras!$S129)</f>
        <v/>
      </c>
      <c r="I129" s="25">
        <f>IF(Registro_Compras!$R129&lt;&gt;"SI","",IF(Registro_Compras!$Y129="",WORKDAY(EOMONTH(Registro_Compras!$B129,0),5,Feriados),MIN(Registro_Compras!$Y129,WORKDAY(EOMONTH(Registro_Compras!$B129,0),5,Feriados))))</f>
        <v/>
      </c>
      <c r="J129" s="25">
        <f>IF(Registro_Compras!$R129&lt;&gt;"SI","",Registro_Compras!$X129)</f>
        <v/>
      </c>
      <c r="K129">
        <f>IF(Registro_Compras!$R129&lt;&gt;"SI","",IF(Registro_Compras!$X129="","PENDIENTE","DEPOSITADA"))</f>
        <v/>
      </c>
      <c r="L129">
        <f>IF(Registro_Compras!$R129&lt;&gt;"SI","",Registro_Compras!$Z129)</f>
        <v/>
      </c>
      <c r="M129">
        <f>IF($K129&lt;&gt;"PENDIENTE","",IF(TODAY()&gt;$I129,TODAY()-$I129,0))</f>
        <v/>
      </c>
      <c r="N129">
        <f>IF($K129&lt;&gt;"PENDIENTE","",IF($M129&gt;0,"VENCIDA - DEPOSITAR YA",IF($I129-TODAY()&lt;=3,"POR VENCER","EN PLAZO")))</f>
        <v/>
      </c>
    </row>
    <row r="130">
      <c r="A130" s="25">
        <f>IF(Registro_Compras!$R130&lt;&gt;"SI","",Registro_Compras!$B130)</f>
        <v/>
      </c>
      <c r="B130">
        <f>IF(Registro_Compras!$R130&lt;&gt;"SI","",Registro_Compras!$C130)</f>
        <v/>
      </c>
      <c r="C130">
        <f>IF(Registro_Compras!$R130&lt;&gt;"SI","",Registro_Compras!$D130)</f>
        <v/>
      </c>
      <c r="D130">
        <f>IF(Registro_Compras!$R130&lt;&gt;"SI","",Registro_Compras!$E130)</f>
        <v/>
      </c>
      <c r="E130">
        <f>IF(Registro_Compras!$R130&lt;&gt;"SI","",Registro_Compras!$G130)</f>
        <v/>
      </c>
      <c r="F130" s="31">
        <f>IF(Registro_Compras!$R130&lt;&gt;"SI","",Registro_Compras!$P130)</f>
        <v/>
      </c>
      <c r="G130" s="20">
        <f>IF(Registro_Compras!$R130&lt;&gt;"SI","",Registro_Compras!$O130)</f>
        <v/>
      </c>
      <c r="H130" s="20">
        <f>IF(Registro_Compras!$R130&lt;&gt;"SI","",Registro_Compras!$S130)</f>
        <v/>
      </c>
      <c r="I130" s="25">
        <f>IF(Registro_Compras!$R130&lt;&gt;"SI","",IF(Registro_Compras!$Y130="",WORKDAY(EOMONTH(Registro_Compras!$B130,0),5,Feriados),MIN(Registro_Compras!$Y130,WORKDAY(EOMONTH(Registro_Compras!$B130,0),5,Feriados))))</f>
        <v/>
      </c>
      <c r="J130" s="25">
        <f>IF(Registro_Compras!$R130&lt;&gt;"SI","",Registro_Compras!$X130)</f>
        <v/>
      </c>
      <c r="K130">
        <f>IF(Registro_Compras!$R130&lt;&gt;"SI","",IF(Registro_Compras!$X130="","PENDIENTE","DEPOSITADA"))</f>
        <v/>
      </c>
      <c r="L130">
        <f>IF(Registro_Compras!$R130&lt;&gt;"SI","",Registro_Compras!$Z130)</f>
        <v/>
      </c>
      <c r="M130">
        <f>IF($K130&lt;&gt;"PENDIENTE","",IF(TODAY()&gt;$I130,TODAY()-$I130,0))</f>
        <v/>
      </c>
      <c r="N130">
        <f>IF($K130&lt;&gt;"PENDIENTE","",IF($M130&gt;0,"VENCIDA - DEPOSITAR YA",IF($I130-TODAY()&lt;=3,"POR VENCER","EN PLAZO")))</f>
        <v/>
      </c>
    </row>
    <row r="131">
      <c r="A131" s="25">
        <f>IF(Registro_Compras!$R131&lt;&gt;"SI","",Registro_Compras!$B131)</f>
        <v/>
      </c>
      <c r="B131">
        <f>IF(Registro_Compras!$R131&lt;&gt;"SI","",Registro_Compras!$C131)</f>
        <v/>
      </c>
      <c r="C131">
        <f>IF(Registro_Compras!$R131&lt;&gt;"SI","",Registro_Compras!$D131)</f>
        <v/>
      </c>
      <c r="D131">
        <f>IF(Registro_Compras!$R131&lt;&gt;"SI","",Registro_Compras!$E131)</f>
        <v/>
      </c>
      <c r="E131">
        <f>IF(Registro_Compras!$R131&lt;&gt;"SI","",Registro_Compras!$G131)</f>
        <v/>
      </c>
      <c r="F131" s="31">
        <f>IF(Registro_Compras!$R131&lt;&gt;"SI","",Registro_Compras!$P131)</f>
        <v/>
      </c>
      <c r="G131" s="20">
        <f>IF(Registro_Compras!$R131&lt;&gt;"SI","",Registro_Compras!$O131)</f>
        <v/>
      </c>
      <c r="H131" s="20">
        <f>IF(Registro_Compras!$R131&lt;&gt;"SI","",Registro_Compras!$S131)</f>
        <v/>
      </c>
      <c r="I131" s="25">
        <f>IF(Registro_Compras!$R131&lt;&gt;"SI","",IF(Registro_Compras!$Y131="",WORKDAY(EOMONTH(Registro_Compras!$B131,0),5,Feriados),MIN(Registro_Compras!$Y131,WORKDAY(EOMONTH(Registro_Compras!$B131,0),5,Feriados))))</f>
        <v/>
      </c>
      <c r="J131" s="25">
        <f>IF(Registro_Compras!$R131&lt;&gt;"SI","",Registro_Compras!$X131)</f>
        <v/>
      </c>
      <c r="K131">
        <f>IF(Registro_Compras!$R131&lt;&gt;"SI","",IF(Registro_Compras!$X131="","PENDIENTE","DEPOSITADA"))</f>
        <v/>
      </c>
      <c r="L131">
        <f>IF(Registro_Compras!$R131&lt;&gt;"SI","",Registro_Compras!$Z131)</f>
        <v/>
      </c>
      <c r="M131">
        <f>IF($K131&lt;&gt;"PENDIENTE","",IF(TODAY()&gt;$I131,TODAY()-$I131,0))</f>
        <v/>
      </c>
      <c r="N131">
        <f>IF($K131&lt;&gt;"PENDIENTE","",IF($M131&gt;0,"VENCIDA - DEPOSITAR YA",IF($I131-TODAY()&lt;=3,"POR VENCER","EN PLAZO")))</f>
        <v/>
      </c>
    </row>
    <row r="132">
      <c r="A132" s="25">
        <f>IF(Registro_Compras!$R132&lt;&gt;"SI","",Registro_Compras!$B132)</f>
        <v/>
      </c>
      <c r="B132">
        <f>IF(Registro_Compras!$R132&lt;&gt;"SI","",Registro_Compras!$C132)</f>
        <v/>
      </c>
      <c r="C132">
        <f>IF(Registro_Compras!$R132&lt;&gt;"SI","",Registro_Compras!$D132)</f>
        <v/>
      </c>
      <c r="D132">
        <f>IF(Registro_Compras!$R132&lt;&gt;"SI","",Registro_Compras!$E132)</f>
        <v/>
      </c>
      <c r="E132">
        <f>IF(Registro_Compras!$R132&lt;&gt;"SI","",Registro_Compras!$G132)</f>
        <v/>
      </c>
      <c r="F132" s="31">
        <f>IF(Registro_Compras!$R132&lt;&gt;"SI","",Registro_Compras!$P132)</f>
        <v/>
      </c>
      <c r="G132" s="20">
        <f>IF(Registro_Compras!$R132&lt;&gt;"SI","",Registro_Compras!$O132)</f>
        <v/>
      </c>
      <c r="H132" s="20">
        <f>IF(Registro_Compras!$R132&lt;&gt;"SI","",Registro_Compras!$S132)</f>
        <v/>
      </c>
      <c r="I132" s="25">
        <f>IF(Registro_Compras!$R132&lt;&gt;"SI","",IF(Registro_Compras!$Y132="",WORKDAY(EOMONTH(Registro_Compras!$B132,0),5,Feriados),MIN(Registro_Compras!$Y132,WORKDAY(EOMONTH(Registro_Compras!$B132,0),5,Feriados))))</f>
        <v/>
      </c>
      <c r="J132" s="25">
        <f>IF(Registro_Compras!$R132&lt;&gt;"SI","",Registro_Compras!$X132)</f>
        <v/>
      </c>
      <c r="K132">
        <f>IF(Registro_Compras!$R132&lt;&gt;"SI","",IF(Registro_Compras!$X132="","PENDIENTE","DEPOSITADA"))</f>
        <v/>
      </c>
      <c r="L132">
        <f>IF(Registro_Compras!$R132&lt;&gt;"SI","",Registro_Compras!$Z132)</f>
        <v/>
      </c>
      <c r="M132">
        <f>IF($K132&lt;&gt;"PENDIENTE","",IF(TODAY()&gt;$I132,TODAY()-$I132,0))</f>
        <v/>
      </c>
      <c r="N132">
        <f>IF($K132&lt;&gt;"PENDIENTE","",IF($M132&gt;0,"VENCIDA - DEPOSITAR YA",IF($I132-TODAY()&lt;=3,"POR VENCER","EN PLAZO")))</f>
        <v/>
      </c>
    </row>
    <row r="133">
      <c r="A133" s="25">
        <f>IF(Registro_Compras!$R133&lt;&gt;"SI","",Registro_Compras!$B133)</f>
        <v/>
      </c>
      <c r="B133">
        <f>IF(Registro_Compras!$R133&lt;&gt;"SI","",Registro_Compras!$C133)</f>
        <v/>
      </c>
      <c r="C133">
        <f>IF(Registro_Compras!$R133&lt;&gt;"SI","",Registro_Compras!$D133)</f>
        <v/>
      </c>
      <c r="D133">
        <f>IF(Registro_Compras!$R133&lt;&gt;"SI","",Registro_Compras!$E133)</f>
        <v/>
      </c>
      <c r="E133">
        <f>IF(Registro_Compras!$R133&lt;&gt;"SI","",Registro_Compras!$G133)</f>
        <v/>
      </c>
      <c r="F133" s="31">
        <f>IF(Registro_Compras!$R133&lt;&gt;"SI","",Registro_Compras!$P133)</f>
        <v/>
      </c>
      <c r="G133" s="20">
        <f>IF(Registro_Compras!$R133&lt;&gt;"SI","",Registro_Compras!$O133)</f>
        <v/>
      </c>
      <c r="H133" s="20">
        <f>IF(Registro_Compras!$R133&lt;&gt;"SI","",Registro_Compras!$S133)</f>
        <v/>
      </c>
      <c r="I133" s="25">
        <f>IF(Registro_Compras!$R133&lt;&gt;"SI","",IF(Registro_Compras!$Y133="",WORKDAY(EOMONTH(Registro_Compras!$B133,0),5,Feriados),MIN(Registro_Compras!$Y133,WORKDAY(EOMONTH(Registro_Compras!$B133,0),5,Feriados))))</f>
        <v/>
      </c>
      <c r="J133" s="25">
        <f>IF(Registro_Compras!$R133&lt;&gt;"SI","",Registro_Compras!$X133)</f>
        <v/>
      </c>
      <c r="K133">
        <f>IF(Registro_Compras!$R133&lt;&gt;"SI","",IF(Registro_Compras!$X133="","PENDIENTE","DEPOSITADA"))</f>
        <v/>
      </c>
      <c r="L133">
        <f>IF(Registro_Compras!$R133&lt;&gt;"SI","",Registro_Compras!$Z133)</f>
        <v/>
      </c>
      <c r="M133">
        <f>IF($K133&lt;&gt;"PENDIENTE","",IF(TODAY()&gt;$I133,TODAY()-$I133,0))</f>
        <v/>
      </c>
      <c r="N133">
        <f>IF($K133&lt;&gt;"PENDIENTE","",IF($M133&gt;0,"VENCIDA - DEPOSITAR YA",IF($I133-TODAY()&lt;=3,"POR VENCER","EN PLAZO")))</f>
        <v/>
      </c>
    </row>
    <row r="134">
      <c r="A134" s="25">
        <f>IF(Registro_Compras!$R134&lt;&gt;"SI","",Registro_Compras!$B134)</f>
        <v/>
      </c>
      <c r="B134">
        <f>IF(Registro_Compras!$R134&lt;&gt;"SI","",Registro_Compras!$C134)</f>
        <v/>
      </c>
      <c r="C134">
        <f>IF(Registro_Compras!$R134&lt;&gt;"SI","",Registro_Compras!$D134)</f>
        <v/>
      </c>
      <c r="D134">
        <f>IF(Registro_Compras!$R134&lt;&gt;"SI","",Registro_Compras!$E134)</f>
        <v/>
      </c>
      <c r="E134">
        <f>IF(Registro_Compras!$R134&lt;&gt;"SI","",Registro_Compras!$G134)</f>
        <v/>
      </c>
      <c r="F134" s="31">
        <f>IF(Registro_Compras!$R134&lt;&gt;"SI","",Registro_Compras!$P134)</f>
        <v/>
      </c>
      <c r="G134" s="20">
        <f>IF(Registro_Compras!$R134&lt;&gt;"SI","",Registro_Compras!$O134)</f>
        <v/>
      </c>
      <c r="H134" s="20">
        <f>IF(Registro_Compras!$R134&lt;&gt;"SI","",Registro_Compras!$S134)</f>
        <v/>
      </c>
      <c r="I134" s="25">
        <f>IF(Registro_Compras!$R134&lt;&gt;"SI","",IF(Registro_Compras!$Y134="",WORKDAY(EOMONTH(Registro_Compras!$B134,0),5,Feriados),MIN(Registro_Compras!$Y134,WORKDAY(EOMONTH(Registro_Compras!$B134,0),5,Feriados))))</f>
        <v/>
      </c>
      <c r="J134" s="25">
        <f>IF(Registro_Compras!$R134&lt;&gt;"SI","",Registro_Compras!$X134)</f>
        <v/>
      </c>
      <c r="K134">
        <f>IF(Registro_Compras!$R134&lt;&gt;"SI","",IF(Registro_Compras!$X134="","PENDIENTE","DEPOSITADA"))</f>
        <v/>
      </c>
      <c r="L134">
        <f>IF(Registro_Compras!$R134&lt;&gt;"SI","",Registro_Compras!$Z134)</f>
        <v/>
      </c>
      <c r="M134">
        <f>IF($K134&lt;&gt;"PENDIENTE","",IF(TODAY()&gt;$I134,TODAY()-$I134,0))</f>
        <v/>
      </c>
      <c r="N134">
        <f>IF($K134&lt;&gt;"PENDIENTE","",IF($M134&gt;0,"VENCIDA - DEPOSITAR YA",IF($I134-TODAY()&lt;=3,"POR VENCER","EN PLAZO")))</f>
        <v/>
      </c>
    </row>
    <row r="135">
      <c r="A135" s="25">
        <f>IF(Registro_Compras!$R135&lt;&gt;"SI","",Registro_Compras!$B135)</f>
        <v/>
      </c>
      <c r="B135">
        <f>IF(Registro_Compras!$R135&lt;&gt;"SI","",Registro_Compras!$C135)</f>
        <v/>
      </c>
      <c r="C135">
        <f>IF(Registro_Compras!$R135&lt;&gt;"SI","",Registro_Compras!$D135)</f>
        <v/>
      </c>
      <c r="D135">
        <f>IF(Registro_Compras!$R135&lt;&gt;"SI","",Registro_Compras!$E135)</f>
        <v/>
      </c>
      <c r="E135">
        <f>IF(Registro_Compras!$R135&lt;&gt;"SI","",Registro_Compras!$G135)</f>
        <v/>
      </c>
      <c r="F135" s="31">
        <f>IF(Registro_Compras!$R135&lt;&gt;"SI","",Registro_Compras!$P135)</f>
        <v/>
      </c>
      <c r="G135" s="20">
        <f>IF(Registro_Compras!$R135&lt;&gt;"SI","",Registro_Compras!$O135)</f>
        <v/>
      </c>
      <c r="H135" s="20">
        <f>IF(Registro_Compras!$R135&lt;&gt;"SI","",Registro_Compras!$S135)</f>
        <v/>
      </c>
      <c r="I135" s="25">
        <f>IF(Registro_Compras!$R135&lt;&gt;"SI","",IF(Registro_Compras!$Y135="",WORKDAY(EOMONTH(Registro_Compras!$B135,0),5,Feriados),MIN(Registro_Compras!$Y135,WORKDAY(EOMONTH(Registro_Compras!$B135,0),5,Feriados))))</f>
        <v/>
      </c>
      <c r="J135" s="25">
        <f>IF(Registro_Compras!$R135&lt;&gt;"SI","",Registro_Compras!$X135)</f>
        <v/>
      </c>
      <c r="K135">
        <f>IF(Registro_Compras!$R135&lt;&gt;"SI","",IF(Registro_Compras!$X135="","PENDIENTE","DEPOSITADA"))</f>
        <v/>
      </c>
      <c r="L135">
        <f>IF(Registro_Compras!$R135&lt;&gt;"SI","",Registro_Compras!$Z135)</f>
        <v/>
      </c>
      <c r="M135">
        <f>IF($K135&lt;&gt;"PENDIENTE","",IF(TODAY()&gt;$I135,TODAY()-$I135,0))</f>
        <v/>
      </c>
      <c r="N135">
        <f>IF($K135&lt;&gt;"PENDIENTE","",IF($M135&gt;0,"VENCIDA - DEPOSITAR YA",IF($I135-TODAY()&lt;=3,"POR VENCER","EN PLAZO")))</f>
        <v/>
      </c>
    </row>
    <row r="136">
      <c r="A136" s="25">
        <f>IF(Registro_Compras!$R136&lt;&gt;"SI","",Registro_Compras!$B136)</f>
        <v/>
      </c>
      <c r="B136">
        <f>IF(Registro_Compras!$R136&lt;&gt;"SI","",Registro_Compras!$C136)</f>
        <v/>
      </c>
      <c r="C136">
        <f>IF(Registro_Compras!$R136&lt;&gt;"SI","",Registro_Compras!$D136)</f>
        <v/>
      </c>
      <c r="D136">
        <f>IF(Registro_Compras!$R136&lt;&gt;"SI","",Registro_Compras!$E136)</f>
        <v/>
      </c>
      <c r="E136">
        <f>IF(Registro_Compras!$R136&lt;&gt;"SI","",Registro_Compras!$G136)</f>
        <v/>
      </c>
      <c r="F136" s="31">
        <f>IF(Registro_Compras!$R136&lt;&gt;"SI","",Registro_Compras!$P136)</f>
        <v/>
      </c>
      <c r="G136" s="20">
        <f>IF(Registro_Compras!$R136&lt;&gt;"SI","",Registro_Compras!$O136)</f>
        <v/>
      </c>
      <c r="H136" s="20">
        <f>IF(Registro_Compras!$R136&lt;&gt;"SI","",Registro_Compras!$S136)</f>
        <v/>
      </c>
      <c r="I136" s="25">
        <f>IF(Registro_Compras!$R136&lt;&gt;"SI","",IF(Registro_Compras!$Y136="",WORKDAY(EOMONTH(Registro_Compras!$B136,0),5,Feriados),MIN(Registro_Compras!$Y136,WORKDAY(EOMONTH(Registro_Compras!$B136,0),5,Feriados))))</f>
        <v/>
      </c>
      <c r="J136" s="25">
        <f>IF(Registro_Compras!$R136&lt;&gt;"SI","",Registro_Compras!$X136)</f>
        <v/>
      </c>
      <c r="K136">
        <f>IF(Registro_Compras!$R136&lt;&gt;"SI","",IF(Registro_Compras!$X136="","PENDIENTE","DEPOSITADA"))</f>
        <v/>
      </c>
      <c r="L136">
        <f>IF(Registro_Compras!$R136&lt;&gt;"SI","",Registro_Compras!$Z136)</f>
        <v/>
      </c>
      <c r="M136">
        <f>IF($K136&lt;&gt;"PENDIENTE","",IF(TODAY()&gt;$I136,TODAY()-$I136,0))</f>
        <v/>
      </c>
      <c r="N136">
        <f>IF($K136&lt;&gt;"PENDIENTE","",IF($M136&gt;0,"VENCIDA - DEPOSITAR YA",IF($I136-TODAY()&lt;=3,"POR VENCER","EN PLAZO")))</f>
        <v/>
      </c>
    </row>
    <row r="137">
      <c r="A137" s="25">
        <f>IF(Registro_Compras!$R137&lt;&gt;"SI","",Registro_Compras!$B137)</f>
        <v/>
      </c>
      <c r="B137">
        <f>IF(Registro_Compras!$R137&lt;&gt;"SI","",Registro_Compras!$C137)</f>
        <v/>
      </c>
      <c r="C137">
        <f>IF(Registro_Compras!$R137&lt;&gt;"SI","",Registro_Compras!$D137)</f>
        <v/>
      </c>
      <c r="D137">
        <f>IF(Registro_Compras!$R137&lt;&gt;"SI","",Registro_Compras!$E137)</f>
        <v/>
      </c>
      <c r="E137">
        <f>IF(Registro_Compras!$R137&lt;&gt;"SI","",Registro_Compras!$G137)</f>
        <v/>
      </c>
      <c r="F137" s="31">
        <f>IF(Registro_Compras!$R137&lt;&gt;"SI","",Registro_Compras!$P137)</f>
        <v/>
      </c>
      <c r="G137" s="20">
        <f>IF(Registro_Compras!$R137&lt;&gt;"SI","",Registro_Compras!$O137)</f>
        <v/>
      </c>
      <c r="H137" s="20">
        <f>IF(Registro_Compras!$R137&lt;&gt;"SI","",Registro_Compras!$S137)</f>
        <v/>
      </c>
      <c r="I137" s="25">
        <f>IF(Registro_Compras!$R137&lt;&gt;"SI","",IF(Registro_Compras!$Y137="",WORKDAY(EOMONTH(Registro_Compras!$B137,0),5,Feriados),MIN(Registro_Compras!$Y137,WORKDAY(EOMONTH(Registro_Compras!$B137,0),5,Feriados))))</f>
        <v/>
      </c>
      <c r="J137" s="25">
        <f>IF(Registro_Compras!$R137&lt;&gt;"SI","",Registro_Compras!$X137)</f>
        <v/>
      </c>
      <c r="K137">
        <f>IF(Registro_Compras!$R137&lt;&gt;"SI","",IF(Registro_Compras!$X137="","PENDIENTE","DEPOSITADA"))</f>
        <v/>
      </c>
      <c r="L137">
        <f>IF(Registro_Compras!$R137&lt;&gt;"SI","",Registro_Compras!$Z137)</f>
        <v/>
      </c>
      <c r="M137">
        <f>IF($K137&lt;&gt;"PENDIENTE","",IF(TODAY()&gt;$I137,TODAY()-$I137,0))</f>
        <v/>
      </c>
      <c r="N137">
        <f>IF($K137&lt;&gt;"PENDIENTE","",IF($M137&gt;0,"VENCIDA - DEPOSITAR YA",IF($I137-TODAY()&lt;=3,"POR VENCER","EN PLAZO")))</f>
        <v/>
      </c>
    </row>
    <row r="138">
      <c r="A138" s="25">
        <f>IF(Registro_Compras!$R138&lt;&gt;"SI","",Registro_Compras!$B138)</f>
        <v/>
      </c>
      <c r="B138">
        <f>IF(Registro_Compras!$R138&lt;&gt;"SI","",Registro_Compras!$C138)</f>
        <v/>
      </c>
      <c r="C138">
        <f>IF(Registro_Compras!$R138&lt;&gt;"SI","",Registro_Compras!$D138)</f>
        <v/>
      </c>
      <c r="D138">
        <f>IF(Registro_Compras!$R138&lt;&gt;"SI","",Registro_Compras!$E138)</f>
        <v/>
      </c>
      <c r="E138">
        <f>IF(Registro_Compras!$R138&lt;&gt;"SI","",Registro_Compras!$G138)</f>
        <v/>
      </c>
      <c r="F138" s="31">
        <f>IF(Registro_Compras!$R138&lt;&gt;"SI","",Registro_Compras!$P138)</f>
        <v/>
      </c>
      <c r="G138" s="20">
        <f>IF(Registro_Compras!$R138&lt;&gt;"SI","",Registro_Compras!$O138)</f>
        <v/>
      </c>
      <c r="H138" s="20">
        <f>IF(Registro_Compras!$R138&lt;&gt;"SI","",Registro_Compras!$S138)</f>
        <v/>
      </c>
      <c r="I138" s="25">
        <f>IF(Registro_Compras!$R138&lt;&gt;"SI","",IF(Registro_Compras!$Y138="",WORKDAY(EOMONTH(Registro_Compras!$B138,0),5,Feriados),MIN(Registro_Compras!$Y138,WORKDAY(EOMONTH(Registro_Compras!$B138,0),5,Feriados))))</f>
        <v/>
      </c>
      <c r="J138" s="25">
        <f>IF(Registro_Compras!$R138&lt;&gt;"SI","",Registro_Compras!$X138)</f>
        <v/>
      </c>
      <c r="K138">
        <f>IF(Registro_Compras!$R138&lt;&gt;"SI","",IF(Registro_Compras!$X138="","PENDIENTE","DEPOSITADA"))</f>
        <v/>
      </c>
      <c r="L138">
        <f>IF(Registro_Compras!$R138&lt;&gt;"SI","",Registro_Compras!$Z138)</f>
        <v/>
      </c>
      <c r="M138">
        <f>IF($K138&lt;&gt;"PENDIENTE","",IF(TODAY()&gt;$I138,TODAY()-$I138,0))</f>
        <v/>
      </c>
      <c r="N138">
        <f>IF($K138&lt;&gt;"PENDIENTE","",IF($M138&gt;0,"VENCIDA - DEPOSITAR YA",IF($I138-TODAY()&lt;=3,"POR VENCER","EN PLAZO")))</f>
        <v/>
      </c>
    </row>
    <row r="139">
      <c r="A139" s="25">
        <f>IF(Registro_Compras!$R139&lt;&gt;"SI","",Registro_Compras!$B139)</f>
        <v/>
      </c>
      <c r="B139">
        <f>IF(Registro_Compras!$R139&lt;&gt;"SI","",Registro_Compras!$C139)</f>
        <v/>
      </c>
      <c r="C139">
        <f>IF(Registro_Compras!$R139&lt;&gt;"SI","",Registro_Compras!$D139)</f>
        <v/>
      </c>
      <c r="D139">
        <f>IF(Registro_Compras!$R139&lt;&gt;"SI","",Registro_Compras!$E139)</f>
        <v/>
      </c>
      <c r="E139">
        <f>IF(Registro_Compras!$R139&lt;&gt;"SI","",Registro_Compras!$G139)</f>
        <v/>
      </c>
      <c r="F139" s="31">
        <f>IF(Registro_Compras!$R139&lt;&gt;"SI","",Registro_Compras!$P139)</f>
        <v/>
      </c>
      <c r="G139" s="20">
        <f>IF(Registro_Compras!$R139&lt;&gt;"SI","",Registro_Compras!$O139)</f>
        <v/>
      </c>
      <c r="H139" s="20">
        <f>IF(Registro_Compras!$R139&lt;&gt;"SI","",Registro_Compras!$S139)</f>
        <v/>
      </c>
      <c r="I139" s="25">
        <f>IF(Registro_Compras!$R139&lt;&gt;"SI","",IF(Registro_Compras!$Y139="",WORKDAY(EOMONTH(Registro_Compras!$B139,0),5,Feriados),MIN(Registro_Compras!$Y139,WORKDAY(EOMONTH(Registro_Compras!$B139,0),5,Feriados))))</f>
        <v/>
      </c>
      <c r="J139" s="25">
        <f>IF(Registro_Compras!$R139&lt;&gt;"SI","",Registro_Compras!$X139)</f>
        <v/>
      </c>
      <c r="K139">
        <f>IF(Registro_Compras!$R139&lt;&gt;"SI","",IF(Registro_Compras!$X139="","PENDIENTE","DEPOSITADA"))</f>
        <v/>
      </c>
      <c r="L139">
        <f>IF(Registro_Compras!$R139&lt;&gt;"SI","",Registro_Compras!$Z139)</f>
        <v/>
      </c>
      <c r="M139">
        <f>IF($K139&lt;&gt;"PENDIENTE","",IF(TODAY()&gt;$I139,TODAY()-$I139,0))</f>
        <v/>
      </c>
      <c r="N139">
        <f>IF($K139&lt;&gt;"PENDIENTE","",IF($M139&gt;0,"VENCIDA - DEPOSITAR YA",IF($I139-TODAY()&lt;=3,"POR VENCER","EN PLAZO")))</f>
        <v/>
      </c>
    </row>
    <row r="140">
      <c r="A140" s="25">
        <f>IF(Registro_Compras!$R140&lt;&gt;"SI","",Registro_Compras!$B140)</f>
        <v/>
      </c>
      <c r="B140">
        <f>IF(Registro_Compras!$R140&lt;&gt;"SI","",Registro_Compras!$C140)</f>
        <v/>
      </c>
      <c r="C140">
        <f>IF(Registro_Compras!$R140&lt;&gt;"SI","",Registro_Compras!$D140)</f>
        <v/>
      </c>
      <c r="D140">
        <f>IF(Registro_Compras!$R140&lt;&gt;"SI","",Registro_Compras!$E140)</f>
        <v/>
      </c>
      <c r="E140">
        <f>IF(Registro_Compras!$R140&lt;&gt;"SI","",Registro_Compras!$G140)</f>
        <v/>
      </c>
      <c r="F140" s="31">
        <f>IF(Registro_Compras!$R140&lt;&gt;"SI","",Registro_Compras!$P140)</f>
        <v/>
      </c>
      <c r="G140" s="20">
        <f>IF(Registro_Compras!$R140&lt;&gt;"SI","",Registro_Compras!$O140)</f>
        <v/>
      </c>
      <c r="H140" s="20">
        <f>IF(Registro_Compras!$R140&lt;&gt;"SI","",Registro_Compras!$S140)</f>
        <v/>
      </c>
      <c r="I140" s="25">
        <f>IF(Registro_Compras!$R140&lt;&gt;"SI","",IF(Registro_Compras!$Y140="",WORKDAY(EOMONTH(Registro_Compras!$B140,0),5,Feriados),MIN(Registro_Compras!$Y140,WORKDAY(EOMONTH(Registro_Compras!$B140,0),5,Feriados))))</f>
        <v/>
      </c>
      <c r="J140" s="25">
        <f>IF(Registro_Compras!$R140&lt;&gt;"SI","",Registro_Compras!$X140)</f>
        <v/>
      </c>
      <c r="K140">
        <f>IF(Registro_Compras!$R140&lt;&gt;"SI","",IF(Registro_Compras!$X140="","PENDIENTE","DEPOSITADA"))</f>
        <v/>
      </c>
      <c r="L140">
        <f>IF(Registro_Compras!$R140&lt;&gt;"SI","",Registro_Compras!$Z140)</f>
        <v/>
      </c>
      <c r="M140">
        <f>IF($K140&lt;&gt;"PENDIENTE","",IF(TODAY()&gt;$I140,TODAY()-$I140,0))</f>
        <v/>
      </c>
      <c r="N140">
        <f>IF($K140&lt;&gt;"PENDIENTE","",IF($M140&gt;0,"VENCIDA - DEPOSITAR YA",IF($I140-TODAY()&lt;=3,"POR VENCER","EN PLAZO")))</f>
        <v/>
      </c>
    </row>
    <row r="141">
      <c r="A141" s="25">
        <f>IF(Registro_Compras!$R141&lt;&gt;"SI","",Registro_Compras!$B141)</f>
        <v/>
      </c>
      <c r="B141">
        <f>IF(Registro_Compras!$R141&lt;&gt;"SI","",Registro_Compras!$C141)</f>
        <v/>
      </c>
      <c r="C141">
        <f>IF(Registro_Compras!$R141&lt;&gt;"SI","",Registro_Compras!$D141)</f>
        <v/>
      </c>
      <c r="D141">
        <f>IF(Registro_Compras!$R141&lt;&gt;"SI","",Registro_Compras!$E141)</f>
        <v/>
      </c>
      <c r="E141">
        <f>IF(Registro_Compras!$R141&lt;&gt;"SI","",Registro_Compras!$G141)</f>
        <v/>
      </c>
      <c r="F141" s="31">
        <f>IF(Registro_Compras!$R141&lt;&gt;"SI","",Registro_Compras!$P141)</f>
        <v/>
      </c>
      <c r="G141" s="20">
        <f>IF(Registro_Compras!$R141&lt;&gt;"SI","",Registro_Compras!$O141)</f>
        <v/>
      </c>
      <c r="H141" s="20">
        <f>IF(Registro_Compras!$R141&lt;&gt;"SI","",Registro_Compras!$S141)</f>
        <v/>
      </c>
      <c r="I141" s="25">
        <f>IF(Registro_Compras!$R141&lt;&gt;"SI","",IF(Registro_Compras!$Y141="",WORKDAY(EOMONTH(Registro_Compras!$B141,0),5,Feriados),MIN(Registro_Compras!$Y141,WORKDAY(EOMONTH(Registro_Compras!$B141,0),5,Feriados))))</f>
        <v/>
      </c>
      <c r="J141" s="25">
        <f>IF(Registro_Compras!$R141&lt;&gt;"SI","",Registro_Compras!$X141)</f>
        <v/>
      </c>
      <c r="K141">
        <f>IF(Registro_Compras!$R141&lt;&gt;"SI","",IF(Registro_Compras!$X141="","PENDIENTE","DEPOSITADA"))</f>
        <v/>
      </c>
      <c r="L141">
        <f>IF(Registro_Compras!$R141&lt;&gt;"SI","",Registro_Compras!$Z141)</f>
        <v/>
      </c>
      <c r="M141">
        <f>IF($K141&lt;&gt;"PENDIENTE","",IF(TODAY()&gt;$I141,TODAY()-$I141,0))</f>
        <v/>
      </c>
      <c r="N141">
        <f>IF($K141&lt;&gt;"PENDIENTE","",IF($M141&gt;0,"VENCIDA - DEPOSITAR YA",IF($I141-TODAY()&lt;=3,"POR VENCER","EN PLAZO")))</f>
        <v/>
      </c>
    </row>
    <row r="142">
      <c r="A142" s="25">
        <f>IF(Registro_Compras!$R142&lt;&gt;"SI","",Registro_Compras!$B142)</f>
        <v/>
      </c>
      <c r="B142">
        <f>IF(Registro_Compras!$R142&lt;&gt;"SI","",Registro_Compras!$C142)</f>
        <v/>
      </c>
      <c r="C142">
        <f>IF(Registro_Compras!$R142&lt;&gt;"SI","",Registro_Compras!$D142)</f>
        <v/>
      </c>
      <c r="D142">
        <f>IF(Registro_Compras!$R142&lt;&gt;"SI","",Registro_Compras!$E142)</f>
        <v/>
      </c>
      <c r="E142">
        <f>IF(Registro_Compras!$R142&lt;&gt;"SI","",Registro_Compras!$G142)</f>
        <v/>
      </c>
      <c r="F142" s="31">
        <f>IF(Registro_Compras!$R142&lt;&gt;"SI","",Registro_Compras!$P142)</f>
        <v/>
      </c>
      <c r="G142" s="20">
        <f>IF(Registro_Compras!$R142&lt;&gt;"SI","",Registro_Compras!$O142)</f>
        <v/>
      </c>
      <c r="H142" s="20">
        <f>IF(Registro_Compras!$R142&lt;&gt;"SI","",Registro_Compras!$S142)</f>
        <v/>
      </c>
      <c r="I142" s="25">
        <f>IF(Registro_Compras!$R142&lt;&gt;"SI","",IF(Registro_Compras!$Y142="",WORKDAY(EOMONTH(Registro_Compras!$B142,0),5,Feriados),MIN(Registro_Compras!$Y142,WORKDAY(EOMONTH(Registro_Compras!$B142,0),5,Feriados))))</f>
        <v/>
      </c>
      <c r="J142" s="25">
        <f>IF(Registro_Compras!$R142&lt;&gt;"SI","",Registro_Compras!$X142)</f>
        <v/>
      </c>
      <c r="K142">
        <f>IF(Registro_Compras!$R142&lt;&gt;"SI","",IF(Registro_Compras!$X142="","PENDIENTE","DEPOSITADA"))</f>
        <v/>
      </c>
      <c r="L142">
        <f>IF(Registro_Compras!$R142&lt;&gt;"SI","",Registro_Compras!$Z142)</f>
        <v/>
      </c>
      <c r="M142">
        <f>IF($K142&lt;&gt;"PENDIENTE","",IF(TODAY()&gt;$I142,TODAY()-$I142,0))</f>
        <v/>
      </c>
      <c r="N142">
        <f>IF($K142&lt;&gt;"PENDIENTE","",IF($M142&gt;0,"VENCIDA - DEPOSITAR YA",IF($I142-TODAY()&lt;=3,"POR VENCER","EN PLAZO")))</f>
        <v/>
      </c>
    </row>
    <row r="143">
      <c r="A143" s="25">
        <f>IF(Registro_Compras!$R143&lt;&gt;"SI","",Registro_Compras!$B143)</f>
        <v/>
      </c>
      <c r="B143">
        <f>IF(Registro_Compras!$R143&lt;&gt;"SI","",Registro_Compras!$C143)</f>
        <v/>
      </c>
      <c r="C143">
        <f>IF(Registro_Compras!$R143&lt;&gt;"SI","",Registro_Compras!$D143)</f>
        <v/>
      </c>
      <c r="D143">
        <f>IF(Registro_Compras!$R143&lt;&gt;"SI","",Registro_Compras!$E143)</f>
        <v/>
      </c>
      <c r="E143">
        <f>IF(Registro_Compras!$R143&lt;&gt;"SI","",Registro_Compras!$G143)</f>
        <v/>
      </c>
      <c r="F143" s="31">
        <f>IF(Registro_Compras!$R143&lt;&gt;"SI","",Registro_Compras!$P143)</f>
        <v/>
      </c>
      <c r="G143" s="20">
        <f>IF(Registro_Compras!$R143&lt;&gt;"SI","",Registro_Compras!$O143)</f>
        <v/>
      </c>
      <c r="H143" s="20">
        <f>IF(Registro_Compras!$R143&lt;&gt;"SI","",Registro_Compras!$S143)</f>
        <v/>
      </c>
      <c r="I143" s="25">
        <f>IF(Registro_Compras!$R143&lt;&gt;"SI","",IF(Registro_Compras!$Y143="",WORKDAY(EOMONTH(Registro_Compras!$B143,0),5,Feriados),MIN(Registro_Compras!$Y143,WORKDAY(EOMONTH(Registro_Compras!$B143,0),5,Feriados))))</f>
        <v/>
      </c>
      <c r="J143" s="25">
        <f>IF(Registro_Compras!$R143&lt;&gt;"SI","",Registro_Compras!$X143)</f>
        <v/>
      </c>
      <c r="K143">
        <f>IF(Registro_Compras!$R143&lt;&gt;"SI","",IF(Registro_Compras!$X143="","PENDIENTE","DEPOSITADA"))</f>
        <v/>
      </c>
      <c r="L143">
        <f>IF(Registro_Compras!$R143&lt;&gt;"SI","",Registro_Compras!$Z143)</f>
        <v/>
      </c>
      <c r="M143">
        <f>IF($K143&lt;&gt;"PENDIENTE","",IF(TODAY()&gt;$I143,TODAY()-$I143,0))</f>
        <v/>
      </c>
      <c r="N143">
        <f>IF($K143&lt;&gt;"PENDIENTE","",IF($M143&gt;0,"VENCIDA - DEPOSITAR YA",IF($I143-TODAY()&lt;=3,"POR VENCER","EN PLAZO")))</f>
        <v/>
      </c>
    </row>
    <row r="144">
      <c r="A144" s="25">
        <f>IF(Registro_Compras!$R144&lt;&gt;"SI","",Registro_Compras!$B144)</f>
        <v/>
      </c>
      <c r="B144">
        <f>IF(Registro_Compras!$R144&lt;&gt;"SI","",Registro_Compras!$C144)</f>
        <v/>
      </c>
      <c r="C144">
        <f>IF(Registro_Compras!$R144&lt;&gt;"SI","",Registro_Compras!$D144)</f>
        <v/>
      </c>
      <c r="D144">
        <f>IF(Registro_Compras!$R144&lt;&gt;"SI","",Registro_Compras!$E144)</f>
        <v/>
      </c>
      <c r="E144">
        <f>IF(Registro_Compras!$R144&lt;&gt;"SI","",Registro_Compras!$G144)</f>
        <v/>
      </c>
      <c r="F144" s="31">
        <f>IF(Registro_Compras!$R144&lt;&gt;"SI","",Registro_Compras!$P144)</f>
        <v/>
      </c>
      <c r="G144" s="20">
        <f>IF(Registro_Compras!$R144&lt;&gt;"SI","",Registro_Compras!$O144)</f>
        <v/>
      </c>
      <c r="H144" s="20">
        <f>IF(Registro_Compras!$R144&lt;&gt;"SI","",Registro_Compras!$S144)</f>
        <v/>
      </c>
      <c r="I144" s="25">
        <f>IF(Registro_Compras!$R144&lt;&gt;"SI","",IF(Registro_Compras!$Y144="",WORKDAY(EOMONTH(Registro_Compras!$B144,0),5,Feriados),MIN(Registro_Compras!$Y144,WORKDAY(EOMONTH(Registro_Compras!$B144,0),5,Feriados))))</f>
        <v/>
      </c>
      <c r="J144" s="25">
        <f>IF(Registro_Compras!$R144&lt;&gt;"SI","",Registro_Compras!$X144)</f>
        <v/>
      </c>
      <c r="K144">
        <f>IF(Registro_Compras!$R144&lt;&gt;"SI","",IF(Registro_Compras!$X144="","PENDIENTE","DEPOSITADA"))</f>
        <v/>
      </c>
      <c r="L144">
        <f>IF(Registro_Compras!$R144&lt;&gt;"SI","",Registro_Compras!$Z144)</f>
        <v/>
      </c>
      <c r="M144">
        <f>IF($K144&lt;&gt;"PENDIENTE","",IF(TODAY()&gt;$I144,TODAY()-$I144,0))</f>
        <v/>
      </c>
      <c r="N144">
        <f>IF($K144&lt;&gt;"PENDIENTE","",IF($M144&gt;0,"VENCIDA - DEPOSITAR YA",IF($I144-TODAY()&lt;=3,"POR VENCER","EN PLAZO")))</f>
        <v/>
      </c>
    </row>
    <row r="145">
      <c r="A145" s="25">
        <f>IF(Registro_Compras!$R145&lt;&gt;"SI","",Registro_Compras!$B145)</f>
        <v/>
      </c>
      <c r="B145">
        <f>IF(Registro_Compras!$R145&lt;&gt;"SI","",Registro_Compras!$C145)</f>
        <v/>
      </c>
      <c r="C145">
        <f>IF(Registro_Compras!$R145&lt;&gt;"SI","",Registro_Compras!$D145)</f>
        <v/>
      </c>
      <c r="D145">
        <f>IF(Registro_Compras!$R145&lt;&gt;"SI","",Registro_Compras!$E145)</f>
        <v/>
      </c>
      <c r="E145">
        <f>IF(Registro_Compras!$R145&lt;&gt;"SI","",Registro_Compras!$G145)</f>
        <v/>
      </c>
      <c r="F145" s="31">
        <f>IF(Registro_Compras!$R145&lt;&gt;"SI","",Registro_Compras!$P145)</f>
        <v/>
      </c>
      <c r="G145" s="20">
        <f>IF(Registro_Compras!$R145&lt;&gt;"SI","",Registro_Compras!$O145)</f>
        <v/>
      </c>
      <c r="H145" s="20">
        <f>IF(Registro_Compras!$R145&lt;&gt;"SI","",Registro_Compras!$S145)</f>
        <v/>
      </c>
      <c r="I145" s="25">
        <f>IF(Registro_Compras!$R145&lt;&gt;"SI","",IF(Registro_Compras!$Y145="",WORKDAY(EOMONTH(Registro_Compras!$B145,0),5,Feriados),MIN(Registro_Compras!$Y145,WORKDAY(EOMONTH(Registro_Compras!$B145,0),5,Feriados))))</f>
        <v/>
      </c>
      <c r="J145" s="25">
        <f>IF(Registro_Compras!$R145&lt;&gt;"SI","",Registro_Compras!$X145)</f>
        <v/>
      </c>
      <c r="K145">
        <f>IF(Registro_Compras!$R145&lt;&gt;"SI","",IF(Registro_Compras!$X145="","PENDIENTE","DEPOSITADA"))</f>
        <v/>
      </c>
      <c r="L145">
        <f>IF(Registro_Compras!$R145&lt;&gt;"SI","",Registro_Compras!$Z145)</f>
        <v/>
      </c>
      <c r="M145">
        <f>IF($K145&lt;&gt;"PENDIENTE","",IF(TODAY()&gt;$I145,TODAY()-$I145,0))</f>
        <v/>
      </c>
      <c r="N145">
        <f>IF($K145&lt;&gt;"PENDIENTE","",IF($M145&gt;0,"VENCIDA - DEPOSITAR YA",IF($I145-TODAY()&lt;=3,"POR VENCER","EN PLAZO")))</f>
        <v/>
      </c>
    </row>
    <row r="146">
      <c r="A146" s="25">
        <f>IF(Registro_Compras!$R146&lt;&gt;"SI","",Registro_Compras!$B146)</f>
        <v/>
      </c>
      <c r="B146">
        <f>IF(Registro_Compras!$R146&lt;&gt;"SI","",Registro_Compras!$C146)</f>
        <v/>
      </c>
      <c r="C146">
        <f>IF(Registro_Compras!$R146&lt;&gt;"SI","",Registro_Compras!$D146)</f>
        <v/>
      </c>
      <c r="D146">
        <f>IF(Registro_Compras!$R146&lt;&gt;"SI","",Registro_Compras!$E146)</f>
        <v/>
      </c>
      <c r="E146">
        <f>IF(Registro_Compras!$R146&lt;&gt;"SI","",Registro_Compras!$G146)</f>
        <v/>
      </c>
      <c r="F146" s="31">
        <f>IF(Registro_Compras!$R146&lt;&gt;"SI","",Registro_Compras!$P146)</f>
        <v/>
      </c>
      <c r="G146" s="20">
        <f>IF(Registro_Compras!$R146&lt;&gt;"SI","",Registro_Compras!$O146)</f>
        <v/>
      </c>
      <c r="H146" s="20">
        <f>IF(Registro_Compras!$R146&lt;&gt;"SI","",Registro_Compras!$S146)</f>
        <v/>
      </c>
      <c r="I146" s="25">
        <f>IF(Registro_Compras!$R146&lt;&gt;"SI","",IF(Registro_Compras!$Y146="",WORKDAY(EOMONTH(Registro_Compras!$B146,0),5,Feriados),MIN(Registro_Compras!$Y146,WORKDAY(EOMONTH(Registro_Compras!$B146,0),5,Feriados))))</f>
        <v/>
      </c>
      <c r="J146" s="25">
        <f>IF(Registro_Compras!$R146&lt;&gt;"SI","",Registro_Compras!$X146)</f>
        <v/>
      </c>
      <c r="K146">
        <f>IF(Registro_Compras!$R146&lt;&gt;"SI","",IF(Registro_Compras!$X146="","PENDIENTE","DEPOSITADA"))</f>
        <v/>
      </c>
      <c r="L146">
        <f>IF(Registro_Compras!$R146&lt;&gt;"SI","",Registro_Compras!$Z146)</f>
        <v/>
      </c>
      <c r="M146">
        <f>IF($K146&lt;&gt;"PENDIENTE","",IF(TODAY()&gt;$I146,TODAY()-$I146,0))</f>
        <v/>
      </c>
      <c r="N146">
        <f>IF($K146&lt;&gt;"PENDIENTE","",IF($M146&gt;0,"VENCIDA - DEPOSITAR YA",IF($I146-TODAY()&lt;=3,"POR VENCER","EN PLAZO")))</f>
        <v/>
      </c>
    </row>
    <row r="147">
      <c r="A147" s="25">
        <f>IF(Registro_Compras!$R147&lt;&gt;"SI","",Registro_Compras!$B147)</f>
        <v/>
      </c>
      <c r="B147">
        <f>IF(Registro_Compras!$R147&lt;&gt;"SI","",Registro_Compras!$C147)</f>
        <v/>
      </c>
      <c r="C147">
        <f>IF(Registro_Compras!$R147&lt;&gt;"SI","",Registro_Compras!$D147)</f>
        <v/>
      </c>
      <c r="D147">
        <f>IF(Registro_Compras!$R147&lt;&gt;"SI","",Registro_Compras!$E147)</f>
        <v/>
      </c>
      <c r="E147">
        <f>IF(Registro_Compras!$R147&lt;&gt;"SI","",Registro_Compras!$G147)</f>
        <v/>
      </c>
      <c r="F147" s="31">
        <f>IF(Registro_Compras!$R147&lt;&gt;"SI","",Registro_Compras!$P147)</f>
        <v/>
      </c>
      <c r="G147" s="20">
        <f>IF(Registro_Compras!$R147&lt;&gt;"SI","",Registro_Compras!$O147)</f>
        <v/>
      </c>
      <c r="H147" s="20">
        <f>IF(Registro_Compras!$R147&lt;&gt;"SI","",Registro_Compras!$S147)</f>
        <v/>
      </c>
      <c r="I147" s="25">
        <f>IF(Registro_Compras!$R147&lt;&gt;"SI","",IF(Registro_Compras!$Y147="",WORKDAY(EOMONTH(Registro_Compras!$B147,0),5,Feriados),MIN(Registro_Compras!$Y147,WORKDAY(EOMONTH(Registro_Compras!$B147,0),5,Feriados))))</f>
        <v/>
      </c>
      <c r="J147" s="25">
        <f>IF(Registro_Compras!$R147&lt;&gt;"SI","",Registro_Compras!$X147)</f>
        <v/>
      </c>
      <c r="K147">
        <f>IF(Registro_Compras!$R147&lt;&gt;"SI","",IF(Registro_Compras!$X147="","PENDIENTE","DEPOSITADA"))</f>
        <v/>
      </c>
      <c r="L147">
        <f>IF(Registro_Compras!$R147&lt;&gt;"SI","",Registro_Compras!$Z147)</f>
        <v/>
      </c>
      <c r="M147">
        <f>IF($K147&lt;&gt;"PENDIENTE","",IF(TODAY()&gt;$I147,TODAY()-$I147,0))</f>
        <v/>
      </c>
      <c r="N147">
        <f>IF($K147&lt;&gt;"PENDIENTE","",IF($M147&gt;0,"VENCIDA - DEPOSITAR YA",IF($I147-TODAY()&lt;=3,"POR VENCER","EN PLAZO")))</f>
        <v/>
      </c>
    </row>
    <row r="148">
      <c r="A148" s="25">
        <f>IF(Registro_Compras!$R148&lt;&gt;"SI","",Registro_Compras!$B148)</f>
        <v/>
      </c>
      <c r="B148">
        <f>IF(Registro_Compras!$R148&lt;&gt;"SI","",Registro_Compras!$C148)</f>
        <v/>
      </c>
      <c r="C148">
        <f>IF(Registro_Compras!$R148&lt;&gt;"SI","",Registro_Compras!$D148)</f>
        <v/>
      </c>
      <c r="D148">
        <f>IF(Registro_Compras!$R148&lt;&gt;"SI","",Registro_Compras!$E148)</f>
        <v/>
      </c>
      <c r="E148">
        <f>IF(Registro_Compras!$R148&lt;&gt;"SI","",Registro_Compras!$G148)</f>
        <v/>
      </c>
      <c r="F148" s="31">
        <f>IF(Registro_Compras!$R148&lt;&gt;"SI","",Registro_Compras!$P148)</f>
        <v/>
      </c>
      <c r="G148" s="20">
        <f>IF(Registro_Compras!$R148&lt;&gt;"SI","",Registro_Compras!$O148)</f>
        <v/>
      </c>
      <c r="H148" s="20">
        <f>IF(Registro_Compras!$R148&lt;&gt;"SI","",Registro_Compras!$S148)</f>
        <v/>
      </c>
      <c r="I148" s="25">
        <f>IF(Registro_Compras!$R148&lt;&gt;"SI","",IF(Registro_Compras!$Y148="",WORKDAY(EOMONTH(Registro_Compras!$B148,0),5,Feriados),MIN(Registro_Compras!$Y148,WORKDAY(EOMONTH(Registro_Compras!$B148,0),5,Feriados))))</f>
        <v/>
      </c>
      <c r="J148" s="25">
        <f>IF(Registro_Compras!$R148&lt;&gt;"SI","",Registro_Compras!$X148)</f>
        <v/>
      </c>
      <c r="K148">
        <f>IF(Registro_Compras!$R148&lt;&gt;"SI","",IF(Registro_Compras!$X148="","PENDIENTE","DEPOSITADA"))</f>
        <v/>
      </c>
      <c r="L148">
        <f>IF(Registro_Compras!$R148&lt;&gt;"SI","",Registro_Compras!$Z148)</f>
        <v/>
      </c>
      <c r="M148">
        <f>IF($K148&lt;&gt;"PENDIENTE","",IF(TODAY()&gt;$I148,TODAY()-$I148,0))</f>
        <v/>
      </c>
      <c r="N148">
        <f>IF($K148&lt;&gt;"PENDIENTE","",IF($M148&gt;0,"VENCIDA - DEPOSITAR YA",IF($I148-TODAY()&lt;=3,"POR VENCER","EN PLAZO")))</f>
        <v/>
      </c>
    </row>
    <row r="149">
      <c r="A149" s="25">
        <f>IF(Registro_Compras!$R149&lt;&gt;"SI","",Registro_Compras!$B149)</f>
        <v/>
      </c>
      <c r="B149">
        <f>IF(Registro_Compras!$R149&lt;&gt;"SI","",Registro_Compras!$C149)</f>
        <v/>
      </c>
      <c r="C149">
        <f>IF(Registro_Compras!$R149&lt;&gt;"SI","",Registro_Compras!$D149)</f>
        <v/>
      </c>
      <c r="D149">
        <f>IF(Registro_Compras!$R149&lt;&gt;"SI","",Registro_Compras!$E149)</f>
        <v/>
      </c>
      <c r="E149">
        <f>IF(Registro_Compras!$R149&lt;&gt;"SI","",Registro_Compras!$G149)</f>
        <v/>
      </c>
      <c r="F149" s="31">
        <f>IF(Registro_Compras!$R149&lt;&gt;"SI","",Registro_Compras!$P149)</f>
        <v/>
      </c>
      <c r="G149" s="20">
        <f>IF(Registro_Compras!$R149&lt;&gt;"SI","",Registro_Compras!$O149)</f>
        <v/>
      </c>
      <c r="H149" s="20">
        <f>IF(Registro_Compras!$R149&lt;&gt;"SI","",Registro_Compras!$S149)</f>
        <v/>
      </c>
      <c r="I149" s="25">
        <f>IF(Registro_Compras!$R149&lt;&gt;"SI","",IF(Registro_Compras!$Y149="",WORKDAY(EOMONTH(Registro_Compras!$B149,0),5,Feriados),MIN(Registro_Compras!$Y149,WORKDAY(EOMONTH(Registro_Compras!$B149,0),5,Feriados))))</f>
        <v/>
      </c>
      <c r="J149" s="25">
        <f>IF(Registro_Compras!$R149&lt;&gt;"SI","",Registro_Compras!$X149)</f>
        <v/>
      </c>
      <c r="K149">
        <f>IF(Registro_Compras!$R149&lt;&gt;"SI","",IF(Registro_Compras!$X149="","PENDIENTE","DEPOSITADA"))</f>
        <v/>
      </c>
      <c r="L149">
        <f>IF(Registro_Compras!$R149&lt;&gt;"SI","",Registro_Compras!$Z149)</f>
        <v/>
      </c>
      <c r="M149">
        <f>IF($K149&lt;&gt;"PENDIENTE","",IF(TODAY()&gt;$I149,TODAY()-$I149,0))</f>
        <v/>
      </c>
      <c r="N149">
        <f>IF($K149&lt;&gt;"PENDIENTE","",IF($M149&gt;0,"VENCIDA - DEPOSITAR YA",IF($I149-TODAY()&lt;=3,"POR VENCER","EN PLAZO")))</f>
        <v/>
      </c>
    </row>
    <row r="150">
      <c r="A150" s="25">
        <f>IF(Registro_Compras!$R150&lt;&gt;"SI","",Registro_Compras!$B150)</f>
        <v/>
      </c>
      <c r="B150">
        <f>IF(Registro_Compras!$R150&lt;&gt;"SI","",Registro_Compras!$C150)</f>
        <v/>
      </c>
      <c r="C150">
        <f>IF(Registro_Compras!$R150&lt;&gt;"SI","",Registro_Compras!$D150)</f>
        <v/>
      </c>
      <c r="D150">
        <f>IF(Registro_Compras!$R150&lt;&gt;"SI","",Registro_Compras!$E150)</f>
        <v/>
      </c>
      <c r="E150">
        <f>IF(Registro_Compras!$R150&lt;&gt;"SI","",Registro_Compras!$G150)</f>
        <v/>
      </c>
      <c r="F150" s="31">
        <f>IF(Registro_Compras!$R150&lt;&gt;"SI","",Registro_Compras!$P150)</f>
        <v/>
      </c>
      <c r="G150" s="20">
        <f>IF(Registro_Compras!$R150&lt;&gt;"SI","",Registro_Compras!$O150)</f>
        <v/>
      </c>
      <c r="H150" s="20">
        <f>IF(Registro_Compras!$R150&lt;&gt;"SI","",Registro_Compras!$S150)</f>
        <v/>
      </c>
      <c r="I150" s="25">
        <f>IF(Registro_Compras!$R150&lt;&gt;"SI","",IF(Registro_Compras!$Y150="",WORKDAY(EOMONTH(Registro_Compras!$B150,0),5,Feriados),MIN(Registro_Compras!$Y150,WORKDAY(EOMONTH(Registro_Compras!$B150,0),5,Feriados))))</f>
        <v/>
      </c>
      <c r="J150" s="25">
        <f>IF(Registro_Compras!$R150&lt;&gt;"SI","",Registro_Compras!$X150)</f>
        <v/>
      </c>
      <c r="K150">
        <f>IF(Registro_Compras!$R150&lt;&gt;"SI","",IF(Registro_Compras!$X150="","PENDIENTE","DEPOSITADA"))</f>
        <v/>
      </c>
      <c r="L150">
        <f>IF(Registro_Compras!$R150&lt;&gt;"SI","",Registro_Compras!$Z150)</f>
        <v/>
      </c>
      <c r="M150">
        <f>IF($K150&lt;&gt;"PENDIENTE","",IF(TODAY()&gt;$I150,TODAY()-$I150,0))</f>
        <v/>
      </c>
      <c r="N150">
        <f>IF($K150&lt;&gt;"PENDIENTE","",IF($M150&gt;0,"VENCIDA - DEPOSITAR YA",IF($I150-TODAY()&lt;=3,"POR VENCER","EN PLAZO")))</f>
        <v/>
      </c>
    </row>
    <row r="151">
      <c r="A151" s="25">
        <f>IF(Registro_Compras!$R151&lt;&gt;"SI","",Registro_Compras!$B151)</f>
        <v/>
      </c>
      <c r="B151">
        <f>IF(Registro_Compras!$R151&lt;&gt;"SI","",Registro_Compras!$C151)</f>
        <v/>
      </c>
      <c r="C151">
        <f>IF(Registro_Compras!$R151&lt;&gt;"SI","",Registro_Compras!$D151)</f>
        <v/>
      </c>
      <c r="D151">
        <f>IF(Registro_Compras!$R151&lt;&gt;"SI","",Registro_Compras!$E151)</f>
        <v/>
      </c>
      <c r="E151">
        <f>IF(Registro_Compras!$R151&lt;&gt;"SI","",Registro_Compras!$G151)</f>
        <v/>
      </c>
      <c r="F151" s="31">
        <f>IF(Registro_Compras!$R151&lt;&gt;"SI","",Registro_Compras!$P151)</f>
        <v/>
      </c>
      <c r="G151" s="20">
        <f>IF(Registro_Compras!$R151&lt;&gt;"SI","",Registro_Compras!$O151)</f>
        <v/>
      </c>
      <c r="H151" s="20">
        <f>IF(Registro_Compras!$R151&lt;&gt;"SI","",Registro_Compras!$S151)</f>
        <v/>
      </c>
      <c r="I151" s="25">
        <f>IF(Registro_Compras!$R151&lt;&gt;"SI","",IF(Registro_Compras!$Y151="",WORKDAY(EOMONTH(Registro_Compras!$B151,0),5,Feriados),MIN(Registro_Compras!$Y151,WORKDAY(EOMONTH(Registro_Compras!$B151,0),5,Feriados))))</f>
        <v/>
      </c>
      <c r="J151" s="25">
        <f>IF(Registro_Compras!$R151&lt;&gt;"SI","",Registro_Compras!$X151)</f>
        <v/>
      </c>
      <c r="K151">
        <f>IF(Registro_Compras!$R151&lt;&gt;"SI","",IF(Registro_Compras!$X151="","PENDIENTE","DEPOSITADA"))</f>
        <v/>
      </c>
      <c r="L151">
        <f>IF(Registro_Compras!$R151&lt;&gt;"SI","",Registro_Compras!$Z151)</f>
        <v/>
      </c>
      <c r="M151">
        <f>IF($K151&lt;&gt;"PENDIENTE","",IF(TODAY()&gt;$I151,TODAY()-$I151,0))</f>
        <v/>
      </c>
      <c r="N151">
        <f>IF($K151&lt;&gt;"PENDIENTE","",IF($M151&gt;0,"VENCIDA - DEPOSITAR YA",IF($I151-TODAY()&lt;=3,"POR VENCER","EN PLAZO")))</f>
        <v/>
      </c>
    </row>
    <row r="152">
      <c r="A152" s="25">
        <f>IF(Registro_Compras!$R152&lt;&gt;"SI","",Registro_Compras!$B152)</f>
        <v/>
      </c>
      <c r="B152">
        <f>IF(Registro_Compras!$R152&lt;&gt;"SI","",Registro_Compras!$C152)</f>
        <v/>
      </c>
      <c r="C152">
        <f>IF(Registro_Compras!$R152&lt;&gt;"SI","",Registro_Compras!$D152)</f>
        <v/>
      </c>
      <c r="D152">
        <f>IF(Registro_Compras!$R152&lt;&gt;"SI","",Registro_Compras!$E152)</f>
        <v/>
      </c>
      <c r="E152">
        <f>IF(Registro_Compras!$R152&lt;&gt;"SI","",Registro_Compras!$G152)</f>
        <v/>
      </c>
      <c r="F152" s="31">
        <f>IF(Registro_Compras!$R152&lt;&gt;"SI","",Registro_Compras!$P152)</f>
        <v/>
      </c>
      <c r="G152" s="20">
        <f>IF(Registro_Compras!$R152&lt;&gt;"SI","",Registro_Compras!$O152)</f>
        <v/>
      </c>
      <c r="H152" s="20">
        <f>IF(Registro_Compras!$R152&lt;&gt;"SI","",Registro_Compras!$S152)</f>
        <v/>
      </c>
      <c r="I152" s="25">
        <f>IF(Registro_Compras!$R152&lt;&gt;"SI","",IF(Registro_Compras!$Y152="",WORKDAY(EOMONTH(Registro_Compras!$B152,0),5,Feriados),MIN(Registro_Compras!$Y152,WORKDAY(EOMONTH(Registro_Compras!$B152,0),5,Feriados))))</f>
        <v/>
      </c>
      <c r="J152" s="25">
        <f>IF(Registro_Compras!$R152&lt;&gt;"SI","",Registro_Compras!$X152)</f>
        <v/>
      </c>
      <c r="K152">
        <f>IF(Registro_Compras!$R152&lt;&gt;"SI","",IF(Registro_Compras!$X152="","PENDIENTE","DEPOSITADA"))</f>
        <v/>
      </c>
      <c r="L152">
        <f>IF(Registro_Compras!$R152&lt;&gt;"SI","",Registro_Compras!$Z152)</f>
        <v/>
      </c>
      <c r="M152">
        <f>IF($K152&lt;&gt;"PENDIENTE","",IF(TODAY()&gt;$I152,TODAY()-$I152,0))</f>
        <v/>
      </c>
      <c r="N152">
        <f>IF($K152&lt;&gt;"PENDIENTE","",IF($M152&gt;0,"VENCIDA - DEPOSITAR YA",IF($I152-TODAY()&lt;=3,"POR VENCER","EN PLAZO")))</f>
        <v/>
      </c>
    </row>
    <row r="153">
      <c r="A153" s="25">
        <f>IF(Registro_Compras!$R153&lt;&gt;"SI","",Registro_Compras!$B153)</f>
        <v/>
      </c>
      <c r="B153">
        <f>IF(Registro_Compras!$R153&lt;&gt;"SI","",Registro_Compras!$C153)</f>
        <v/>
      </c>
      <c r="C153">
        <f>IF(Registro_Compras!$R153&lt;&gt;"SI","",Registro_Compras!$D153)</f>
        <v/>
      </c>
      <c r="D153">
        <f>IF(Registro_Compras!$R153&lt;&gt;"SI","",Registro_Compras!$E153)</f>
        <v/>
      </c>
      <c r="E153">
        <f>IF(Registro_Compras!$R153&lt;&gt;"SI","",Registro_Compras!$G153)</f>
        <v/>
      </c>
      <c r="F153" s="31">
        <f>IF(Registro_Compras!$R153&lt;&gt;"SI","",Registro_Compras!$P153)</f>
        <v/>
      </c>
      <c r="G153" s="20">
        <f>IF(Registro_Compras!$R153&lt;&gt;"SI","",Registro_Compras!$O153)</f>
        <v/>
      </c>
      <c r="H153" s="20">
        <f>IF(Registro_Compras!$R153&lt;&gt;"SI","",Registro_Compras!$S153)</f>
        <v/>
      </c>
      <c r="I153" s="25">
        <f>IF(Registro_Compras!$R153&lt;&gt;"SI","",IF(Registro_Compras!$Y153="",WORKDAY(EOMONTH(Registro_Compras!$B153,0),5,Feriados),MIN(Registro_Compras!$Y153,WORKDAY(EOMONTH(Registro_Compras!$B153,0),5,Feriados))))</f>
        <v/>
      </c>
      <c r="J153" s="25">
        <f>IF(Registro_Compras!$R153&lt;&gt;"SI","",Registro_Compras!$X153)</f>
        <v/>
      </c>
      <c r="K153">
        <f>IF(Registro_Compras!$R153&lt;&gt;"SI","",IF(Registro_Compras!$X153="","PENDIENTE","DEPOSITADA"))</f>
        <v/>
      </c>
      <c r="L153">
        <f>IF(Registro_Compras!$R153&lt;&gt;"SI","",Registro_Compras!$Z153)</f>
        <v/>
      </c>
      <c r="M153">
        <f>IF($K153&lt;&gt;"PENDIENTE","",IF(TODAY()&gt;$I153,TODAY()-$I153,0))</f>
        <v/>
      </c>
      <c r="N153">
        <f>IF($K153&lt;&gt;"PENDIENTE","",IF($M153&gt;0,"VENCIDA - DEPOSITAR YA",IF($I153-TODAY()&lt;=3,"POR VENCER","EN PLAZO")))</f>
        <v/>
      </c>
    </row>
    <row r="154">
      <c r="A154" s="25">
        <f>IF(Registro_Compras!$R154&lt;&gt;"SI","",Registro_Compras!$B154)</f>
        <v/>
      </c>
      <c r="B154">
        <f>IF(Registro_Compras!$R154&lt;&gt;"SI","",Registro_Compras!$C154)</f>
        <v/>
      </c>
      <c r="C154">
        <f>IF(Registro_Compras!$R154&lt;&gt;"SI","",Registro_Compras!$D154)</f>
        <v/>
      </c>
      <c r="D154">
        <f>IF(Registro_Compras!$R154&lt;&gt;"SI","",Registro_Compras!$E154)</f>
        <v/>
      </c>
      <c r="E154">
        <f>IF(Registro_Compras!$R154&lt;&gt;"SI","",Registro_Compras!$G154)</f>
        <v/>
      </c>
      <c r="F154" s="31">
        <f>IF(Registro_Compras!$R154&lt;&gt;"SI","",Registro_Compras!$P154)</f>
        <v/>
      </c>
      <c r="G154" s="20">
        <f>IF(Registro_Compras!$R154&lt;&gt;"SI","",Registro_Compras!$O154)</f>
        <v/>
      </c>
      <c r="H154" s="20">
        <f>IF(Registro_Compras!$R154&lt;&gt;"SI","",Registro_Compras!$S154)</f>
        <v/>
      </c>
      <c r="I154" s="25">
        <f>IF(Registro_Compras!$R154&lt;&gt;"SI","",IF(Registro_Compras!$Y154="",WORKDAY(EOMONTH(Registro_Compras!$B154,0),5,Feriados),MIN(Registro_Compras!$Y154,WORKDAY(EOMONTH(Registro_Compras!$B154,0),5,Feriados))))</f>
        <v/>
      </c>
      <c r="J154" s="25">
        <f>IF(Registro_Compras!$R154&lt;&gt;"SI","",Registro_Compras!$X154)</f>
        <v/>
      </c>
      <c r="K154">
        <f>IF(Registro_Compras!$R154&lt;&gt;"SI","",IF(Registro_Compras!$X154="","PENDIENTE","DEPOSITADA"))</f>
        <v/>
      </c>
      <c r="L154">
        <f>IF(Registro_Compras!$R154&lt;&gt;"SI","",Registro_Compras!$Z154)</f>
        <v/>
      </c>
      <c r="M154">
        <f>IF($K154&lt;&gt;"PENDIENTE","",IF(TODAY()&gt;$I154,TODAY()-$I154,0))</f>
        <v/>
      </c>
      <c r="N154">
        <f>IF($K154&lt;&gt;"PENDIENTE","",IF($M154&gt;0,"VENCIDA - DEPOSITAR YA",IF($I154-TODAY()&lt;=3,"POR VENCER","EN PLAZO")))</f>
        <v/>
      </c>
    </row>
    <row r="155">
      <c r="A155" s="25">
        <f>IF(Registro_Compras!$R155&lt;&gt;"SI","",Registro_Compras!$B155)</f>
        <v/>
      </c>
      <c r="B155">
        <f>IF(Registro_Compras!$R155&lt;&gt;"SI","",Registro_Compras!$C155)</f>
        <v/>
      </c>
      <c r="C155">
        <f>IF(Registro_Compras!$R155&lt;&gt;"SI","",Registro_Compras!$D155)</f>
        <v/>
      </c>
      <c r="D155">
        <f>IF(Registro_Compras!$R155&lt;&gt;"SI","",Registro_Compras!$E155)</f>
        <v/>
      </c>
      <c r="E155">
        <f>IF(Registro_Compras!$R155&lt;&gt;"SI","",Registro_Compras!$G155)</f>
        <v/>
      </c>
      <c r="F155" s="31">
        <f>IF(Registro_Compras!$R155&lt;&gt;"SI","",Registro_Compras!$P155)</f>
        <v/>
      </c>
      <c r="G155" s="20">
        <f>IF(Registro_Compras!$R155&lt;&gt;"SI","",Registro_Compras!$O155)</f>
        <v/>
      </c>
      <c r="H155" s="20">
        <f>IF(Registro_Compras!$R155&lt;&gt;"SI","",Registro_Compras!$S155)</f>
        <v/>
      </c>
      <c r="I155" s="25">
        <f>IF(Registro_Compras!$R155&lt;&gt;"SI","",IF(Registro_Compras!$Y155="",WORKDAY(EOMONTH(Registro_Compras!$B155,0),5,Feriados),MIN(Registro_Compras!$Y155,WORKDAY(EOMONTH(Registro_Compras!$B155,0),5,Feriados))))</f>
        <v/>
      </c>
      <c r="J155" s="25">
        <f>IF(Registro_Compras!$R155&lt;&gt;"SI","",Registro_Compras!$X155)</f>
        <v/>
      </c>
      <c r="K155">
        <f>IF(Registro_Compras!$R155&lt;&gt;"SI","",IF(Registro_Compras!$X155="","PENDIENTE","DEPOSITADA"))</f>
        <v/>
      </c>
      <c r="L155">
        <f>IF(Registro_Compras!$R155&lt;&gt;"SI","",Registro_Compras!$Z155)</f>
        <v/>
      </c>
      <c r="M155">
        <f>IF($K155&lt;&gt;"PENDIENTE","",IF(TODAY()&gt;$I155,TODAY()-$I155,0))</f>
        <v/>
      </c>
      <c r="N155">
        <f>IF($K155&lt;&gt;"PENDIENTE","",IF($M155&gt;0,"VENCIDA - DEPOSITAR YA",IF($I155-TODAY()&lt;=3,"POR VENCER","EN PLAZO")))</f>
        <v/>
      </c>
    </row>
    <row r="156">
      <c r="A156" s="25">
        <f>IF(Registro_Compras!$R156&lt;&gt;"SI","",Registro_Compras!$B156)</f>
        <v/>
      </c>
      <c r="B156">
        <f>IF(Registro_Compras!$R156&lt;&gt;"SI","",Registro_Compras!$C156)</f>
        <v/>
      </c>
      <c r="C156">
        <f>IF(Registro_Compras!$R156&lt;&gt;"SI","",Registro_Compras!$D156)</f>
        <v/>
      </c>
      <c r="D156">
        <f>IF(Registro_Compras!$R156&lt;&gt;"SI","",Registro_Compras!$E156)</f>
        <v/>
      </c>
      <c r="E156">
        <f>IF(Registro_Compras!$R156&lt;&gt;"SI","",Registro_Compras!$G156)</f>
        <v/>
      </c>
      <c r="F156" s="31">
        <f>IF(Registro_Compras!$R156&lt;&gt;"SI","",Registro_Compras!$P156)</f>
        <v/>
      </c>
      <c r="G156" s="20">
        <f>IF(Registro_Compras!$R156&lt;&gt;"SI","",Registro_Compras!$O156)</f>
        <v/>
      </c>
      <c r="H156" s="20">
        <f>IF(Registro_Compras!$R156&lt;&gt;"SI","",Registro_Compras!$S156)</f>
        <v/>
      </c>
      <c r="I156" s="25">
        <f>IF(Registro_Compras!$R156&lt;&gt;"SI","",IF(Registro_Compras!$Y156="",WORKDAY(EOMONTH(Registro_Compras!$B156,0),5,Feriados),MIN(Registro_Compras!$Y156,WORKDAY(EOMONTH(Registro_Compras!$B156,0),5,Feriados))))</f>
        <v/>
      </c>
      <c r="J156" s="25">
        <f>IF(Registro_Compras!$R156&lt;&gt;"SI","",Registro_Compras!$X156)</f>
        <v/>
      </c>
      <c r="K156">
        <f>IF(Registro_Compras!$R156&lt;&gt;"SI","",IF(Registro_Compras!$X156="","PENDIENTE","DEPOSITADA"))</f>
        <v/>
      </c>
      <c r="L156">
        <f>IF(Registro_Compras!$R156&lt;&gt;"SI","",Registro_Compras!$Z156)</f>
        <v/>
      </c>
      <c r="M156">
        <f>IF($K156&lt;&gt;"PENDIENTE","",IF(TODAY()&gt;$I156,TODAY()-$I156,0))</f>
        <v/>
      </c>
      <c r="N156">
        <f>IF($K156&lt;&gt;"PENDIENTE","",IF($M156&gt;0,"VENCIDA - DEPOSITAR YA",IF($I156-TODAY()&lt;=3,"POR VENCER","EN PLAZO")))</f>
        <v/>
      </c>
    </row>
    <row r="157">
      <c r="A157" s="25">
        <f>IF(Registro_Compras!$R157&lt;&gt;"SI","",Registro_Compras!$B157)</f>
        <v/>
      </c>
      <c r="B157">
        <f>IF(Registro_Compras!$R157&lt;&gt;"SI","",Registro_Compras!$C157)</f>
        <v/>
      </c>
      <c r="C157">
        <f>IF(Registro_Compras!$R157&lt;&gt;"SI","",Registro_Compras!$D157)</f>
        <v/>
      </c>
      <c r="D157">
        <f>IF(Registro_Compras!$R157&lt;&gt;"SI","",Registro_Compras!$E157)</f>
        <v/>
      </c>
      <c r="E157">
        <f>IF(Registro_Compras!$R157&lt;&gt;"SI","",Registro_Compras!$G157)</f>
        <v/>
      </c>
      <c r="F157" s="31">
        <f>IF(Registro_Compras!$R157&lt;&gt;"SI","",Registro_Compras!$P157)</f>
        <v/>
      </c>
      <c r="G157" s="20">
        <f>IF(Registro_Compras!$R157&lt;&gt;"SI","",Registro_Compras!$O157)</f>
        <v/>
      </c>
      <c r="H157" s="20">
        <f>IF(Registro_Compras!$R157&lt;&gt;"SI","",Registro_Compras!$S157)</f>
        <v/>
      </c>
      <c r="I157" s="25">
        <f>IF(Registro_Compras!$R157&lt;&gt;"SI","",IF(Registro_Compras!$Y157="",WORKDAY(EOMONTH(Registro_Compras!$B157,0),5,Feriados),MIN(Registro_Compras!$Y157,WORKDAY(EOMONTH(Registro_Compras!$B157,0),5,Feriados))))</f>
        <v/>
      </c>
      <c r="J157" s="25">
        <f>IF(Registro_Compras!$R157&lt;&gt;"SI","",Registro_Compras!$X157)</f>
        <v/>
      </c>
      <c r="K157">
        <f>IF(Registro_Compras!$R157&lt;&gt;"SI","",IF(Registro_Compras!$X157="","PENDIENTE","DEPOSITADA"))</f>
        <v/>
      </c>
      <c r="L157">
        <f>IF(Registro_Compras!$R157&lt;&gt;"SI","",Registro_Compras!$Z157)</f>
        <v/>
      </c>
      <c r="M157">
        <f>IF($K157&lt;&gt;"PENDIENTE","",IF(TODAY()&gt;$I157,TODAY()-$I157,0))</f>
        <v/>
      </c>
      <c r="N157">
        <f>IF($K157&lt;&gt;"PENDIENTE","",IF($M157&gt;0,"VENCIDA - DEPOSITAR YA",IF($I157-TODAY()&lt;=3,"POR VENCER","EN PLAZO")))</f>
        <v/>
      </c>
    </row>
    <row r="158">
      <c r="A158" s="25">
        <f>IF(Registro_Compras!$R158&lt;&gt;"SI","",Registro_Compras!$B158)</f>
        <v/>
      </c>
      <c r="B158">
        <f>IF(Registro_Compras!$R158&lt;&gt;"SI","",Registro_Compras!$C158)</f>
        <v/>
      </c>
      <c r="C158">
        <f>IF(Registro_Compras!$R158&lt;&gt;"SI","",Registro_Compras!$D158)</f>
        <v/>
      </c>
      <c r="D158">
        <f>IF(Registro_Compras!$R158&lt;&gt;"SI","",Registro_Compras!$E158)</f>
        <v/>
      </c>
      <c r="E158">
        <f>IF(Registro_Compras!$R158&lt;&gt;"SI","",Registro_Compras!$G158)</f>
        <v/>
      </c>
      <c r="F158" s="31">
        <f>IF(Registro_Compras!$R158&lt;&gt;"SI","",Registro_Compras!$P158)</f>
        <v/>
      </c>
      <c r="G158" s="20">
        <f>IF(Registro_Compras!$R158&lt;&gt;"SI","",Registro_Compras!$O158)</f>
        <v/>
      </c>
      <c r="H158" s="20">
        <f>IF(Registro_Compras!$R158&lt;&gt;"SI","",Registro_Compras!$S158)</f>
        <v/>
      </c>
      <c r="I158" s="25">
        <f>IF(Registro_Compras!$R158&lt;&gt;"SI","",IF(Registro_Compras!$Y158="",WORKDAY(EOMONTH(Registro_Compras!$B158,0),5,Feriados),MIN(Registro_Compras!$Y158,WORKDAY(EOMONTH(Registro_Compras!$B158,0),5,Feriados))))</f>
        <v/>
      </c>
      <c r="J158" s="25">
        <f>IF(Registro_Compras!$R158&lt;&gt;"SI","",Registro_Compras!$X158)</f>
        <v/>
      </c>
      <c r="K158">
        <f>IF(Registro_Compras!$R158&lt;&gt;"SI","",IF(Registro_Compras!$X158="","PENDIENTE","DEPOSITADA"))</f>
        <v/>
      </c>
      <c r="L158">
        <f>IF(Registro_Compras!$R158&lt;&gt;"SI","",Registro_Compras!$Z158)</f>
        <v/>
      </c>
      <c r="M158">
        <f>IF($K158&lt;&gt;"PENDIENTE","",IF(TODAY()&gt;$I158,TODAY()-$I158,0))</f>
        <v/>
      </c>
      <c r="N158">
        <f>IF($K158&lt;&gt;"PENDIENTE","",IF($M158&gt;0,"VENCIDA - DEPOSITAR YA",IF($I158-TODAY()&lt;=3,"POR VENCER","EN PLAZO")))</f>
        <v/>
      </c>
    </row>
    <row r="159">
      <c r="A159" s="25">
        <f>IF(Registro_Compras!$R159&lt;&gt;"SI","",Registro_Compras!$B159)</f>
        <v/>
      </c>
      <c r="B159">
        <f>IF(Registro_Compras!$R159&lt;&gt;"SI","",Registro_Compras!$C159)</f>
        <v/>
      </c>
      <c r="C159">
        <f>IF(Registro_Compras!$R159&lt;&gt;"SI","",Registro_Compras!$D159)</f>
        <v/>
      </c>
      <c r="D159">
        <f>IF(Registro_Compras!$R159&lt;&gt;"SI","",Registro_Compras!$E159)</f>
        <v/>
      </c>
      <c r="E159">
        <f>IF(Registro_Compras!$R159&lt;&gt;"SI","",Registro_Compras!$G159)</f>
        <v/>
      </c>
      <c r="F159" s="31">
        <f>IF(Registro_Compras!$R159&lt;&gt;"SI","",Registro_Compras!$P159)</f>
        <v/>
      </c>
      <c r="G159" s="20">
        <f>IF(Registro_Compras!$R159&lt;&gt;"SI","",Registro_Compras!$O159)</f>
        <v/>
      </c>
      <c r="H159" s="20">
        <f>IF(Registro_Compras!$R159&lt;&gt;"SI","",Registro_Compras!$S159)</f>
        <v/>
      </c>
      <c r="I159" s="25">
        <f>IF(Registro_Compras!$R159&lt;&gt;"SI","",IF(Registro_Compras!$Y159="",WORKDAY(EOMONTH(Registro_Compras!$B159,0),5,Feriados),MIN(Registro_Compras!$Y159,WORKDAY(EOMONTH(Registro_Compras!$B159,0),5,Feriados))))</f>
        <v/>
      </c>
      <c r="J159" s="25">
        <f>IF(Registro_Compras!$R159&lt;&gt;"SI","",Registro_Compras!$X159)</f>
        <v/>
      </c>
      <c r="K159">
        <f>IF(Registro_Compras!$R159&lt;&gt;"SI","",IF(Registro_Compras!$X159="","PENDIENTE","DEPOSITADA"))</f>
        <v/>
      </c>
      <c r="L159">
        <f>IF(Registro_Compras!$R159&lt;&gt;"SI","",Registro_Compras!$Z159)</f>
        <v/>
      </c>
      <c r="M159">
        <f>IF($K159&lt;&gt;"PENDIENTE","",IF(TODAY()&gt;$I159,TODAY()-$I159,0))</f>
        <v/>
      </c>
      <c r="N159">
        <f>IF($K159&lt;&gt;"PENDIENTE","",IF($M159&gt;0,"VENCIDA - DEPOSITAR YA",IF($I159-TODAY()&lt;=3,"POR VENCER","EN PLAZO")))</f>
        <v/>
      </c>
    </row>
    <row r="160">
      <c r="A160" s="25">
        <f>IF(Registro_Compras!$R160&lt;&gt;"SI","",Registro_Compras!$B160)</f>
        <v/>
      </c>
      <c r="B160">
        <f>IF(Registro_Compras!$R160&lt;&gt;"SI","",Registro_Compras!$C160)</f>
        <v/>
      </c>
      <c r="C160">
        <f>IF(Registro_Compras!$R160&lt;&gt;"SI","",Registro_Compras!$D160)</f>
        <v/>
      </c>
      <c r="D160">
        <f>IF(Registro_Compras!$R160&lt;&gt;"SI","",Registro_Compras!$E160)</f>
        <v/>
      </c>
      <c r="E160">
        <f>IF(Registro_Compras!$R160&lt;&gt;"SI","",Registro_Compras!$G160)</f>
        <v/>
      </c>
      <c r="F160" s="31">
        <f>IF(Registro_Compras!$R160&lt;&gt;"SI","",Registro_Compras!$P160)</f>
        <v/>
      </c>
      <c r="G160" s="20">
        <f>IF(Registro_Compras!$R160&lt;&gt;"SI","",Registro_Compras!$O160)</f>
        <v/>
      </c>
      <c r="H160" s="20">
        <f>IF(Registro_Compras!$R160&lt;&gt;"SI","",Registro_Compras!$S160)</f>
        <v/>
      </c>
      <c r="I160" s="25">
        <f>IF(Registro_Compras!$R160&lt;&gt;"SI","",IF(Registro_Compras!$Y160="",WORKDAY(EOMONTH(Registro_Compras!$B160,0),5,Feriados),MIN(Registro_Compras!$Y160,WORKDAY(EOMONTH(Registro_Compras!$B160,0),5,Feriados))))</f>
        <v/>
      </c>
      <c r="J160" s="25">
        <f>IF(Registro_Compras!$R160&lt;&gt;"SI","",Registro_Compras!$X160)</f>
        <v/>
      </c>
      <c r="K160">
        <f>IF(Registro_Compras!$R160&lt;&gt;"SI","",IF(Registro_Compras!$X160="","PENDIENTE","DEPOSITADA"))</f>
        <v/>
      </c>
      <c r="L160">
        <f>IF(Registro_Compras!$R160&lt;&gt;"SI","",Registro_Compras!$Z160)</f>
        <v/>
      </c>
      <c r="M160">
        <f>IF($K160&lt;&gt;"PENDIENTE","",IF(TODAY()&gt;$I160,TODAY()-$I160,0))</f>
        <v/>
      </c>
      <c r="N160">
        <f>IF($K160&lt;&gt;"PENDIENTE","",IF($M160&gt;0,"VENCIDA - DEPOSITAR YA",IF($I160-TODAY()&lt;=3,"POR VENCER","EN PLAZO")))</f>
        <v/>
      </c>
    </row>
    <row r="161">
      <c r="A161" s="25">
        <f>IF(Registro_Compras!$R161&lt;&gt;"SI","",Registro_Compras!$B161)</f>
        <v/>
      </c>
      <c r="B161">
        <f>IF(Registro_Compras!$R161&lt;&gt;"SI","",Registro_Compras!$C161)</f>
        <v/>
      </c>
      <c r="C161">
        <f>IF(Registro_Compras!$R161&lt;&gt;"SI","",Registro_Compras!$D161)</f>
        <v/>
      </c>
      <c r="D161">
        <f>IF(Registro_Compras!$R161&lt;&gt;"SI","",Registro_Compras!$E161)</f>
        <v/>
      </c>
      <c r="E161">
        <f>IF(Registro_Compras!$R161&lt;&gt;"SI","",Registro_Compras!$G161)</f>
        <v/>
      </c>
      <c r="F161" s="31">
        <f>IF(Registro_Compras!$R161&lt;&gt;"SI","",Registro_Compras!$P161)</f>
        <v/>
      </c>
      <c r="G161" s="20">
        <f>IF(Registro_Compras!$R161&lt;&gt;"SI","",Registro_Compras!$O161)</f>
        <v/>
      </c>
      <c r="H161" s="20">
        <f>IF(Registro_Compras!$R161&lt;&gt;"SI","",Registro_Compras!$S161)</f>
        <v/>
      </c>
      <c r="I161" s="25">
        <f>IF(Registro_Compras!$R161&lt;&gt;"SI","",IF(Registro_Compras!$Y161="",WORKDAY(EOMONTH(Registro_Compras!$B161,0),5,Feriados),MIN(Registro_Compras!$Y161,WORKDAY(EOMONTH(Registro_Compras!$B161,0),5,Feriados))))</f>
        <v/>
      </c>
      <c r="J161" s="25">
        <f>IF(Registro_Compras!$R161&lt;&gt;"SI","",Registro_Compras!$X161)</f>
        <v/>
      </c>
      <c r="K161">
        <f>IF(Registro_Compras!$R161&lt;&gt;"SI","",IF(Registro_Compras!$X161="","PENDIENTE","DEPOSITADA"))</f>
        <v/>
      </c>
      <c r="L161">
        <f>IF(Registro_Compras!$R161&lt;&gt;"SI","",Registro_Compras!$Z161)</f>
        <v/>
      </c>
      <c r="M161">
        <f>IF($K161&lt;&gt;"PENDIENTE","",IF(TODAY()&gt;$I161,TODAY()-$I161,0))</f>
        <v/>
      </c>
      <c r="N161">
        <f>IF($K161&lt;&gt;"PENDIENTE","",IF($M161&gt;0,"VENCIDA - DEPOSITAR YA",IF($I161-TODAY()&lt;=3,"POR VENCER","EN PLAZO")))</f>
        <v/>
      </c>
    </row>
    <row r="162">
      <c r="A162" s="25">
        <f>IF(Registro_Compras!$R162&lt;&gt;"SI","",Registro_Compras!$B162)</f>
        <v/>
      </c>
      <c r="B162">
        <f>IF(Registro_Compras!$R162&lt;&gt;"SI","",Registro_Compras!$C162)</f>
        <v/>
      </c>
      <c r="C162">
        <f>IF(Registro_Compras!$R162&lt;&gt;"SI","",Registro_Compras!$D162)</f>
        <v/>
      </c>
      <c r="D162">
        <f>IF(Registro_Compras!$R162&lt;&gt;"SI","",Registro_Compras!$E162)</f>
        <v/>
      </c>
      <c r="E162">
        <f>IF(Registro_Compras!$R162&lt;&gt;"SI","",Registro_Compras!$G162)</f>
        <v/>
      </c>
      <c r="F162" s="31">
        <f>IF(Registro_Compras!$R162&lt;&gt;"SI","",Registro_Compras!$P162)</f>
        <v/>
      </c>
      <c r="G162" s="20">
        <f>IF(Registro_Compras!$R162&lt;&gt;"SI","",Registro_Compras!$O162)</f>
        <v/>
      </c>
      <c r="H162" s="20">
        <f>IF(Registro_Compras!$R162&lt;&gt;"SI","",Registro_Compras!$S162)</f>
        <v/>
      </c>
      <c r="I162" s="25">
        <f>IF(Registro_Compras!$R162&lt;&gt;"SI","",IF(Registro_Compras!$Y162="",WORKDAY(EOMONTH(Registro_Compras!$B162,0),5,Feriados),MIN(Registro_Compras!$Y162,WORKDAY(EOMONTH(Registro_Compras!$B162,0),5,Feriados))))</f>
        <v/>
      </c>
      <c r="J162" s="25">
        <f>IF(Registro_Compras!$R162&lt;&gt;"SI","",Registro_Compras!$X162)</f>
        <v/>
      </c>
      <c r="K162">
        <f>IF(Registro_Compras!$R162&lt;&gt;"SI","",IF(Registro_Compras!$X162="","PENDIENTE","DEPOSITADA"))</f>
        <v/>
      </c>
      <c r="L162">
        <f>IF(Registro_Compras!$R162&lt;&gt;"SI","",Registro_Compras!$Z162)</f>
        <v/>
      </c>
      <c r="M162">
        <f>IF($K162&lt;&gt;"PENDIENTE","",IF(TODAY()&gt;$I162,TODAY()-$I162,0))</f>
        <v/>
      </c>
      <c r="N162">
        <f>IF($K162&lt;&gt;"PENDIENTE","",IF($M162&gt;0,"VENCIDA - DEPOSITAR YA",IF($I162-TODAY()&lt;=3,"POR VENCER","EN PLAZO")))</f>
        <v/>
      </c>
    </row>
    <row r="163">
      <c r="A163" s="25">
        <f>IF(Registro_Compras!$R163&lt;&gt;"SI","",Registro_Compras!$B163)</f>
        <v/>
      </c>
      <c r="B163">
        <f>IF(Registro_Compras!$R163&lt;&gt;"SI","",Registro_Compras!$C163)</f>
        <v/>
      </c>
      <c r="C163">
        <f>IF(Registro_Compras!$R163&lt;&gt;"SI","",Registro_Compras!$D163)</f>
        <v/>
      </c>
      <c r="D163">
        <f>IF(Registro_Compras!$R163&lt;&gt;"SI","",Registro_Compras!$E163)</f>
        <v/>
      </c>
      <c r="E163">
        <f>IF(Registro_Compras!$R163&lt;&gt;"SI","",Registro_Compras!$G163)</f>
        <v/>
      </c>
      <c r="F163" s="31">
        <f>IF(Registro_Compras!$R163&lt;&gt;"SI","",Registro_Compras!$P163)</f>
        <v/>
      </c>
      <c r="G163" s="20">
        <f>IF(Registro_Compras!$R163&lt;&gt;"SI","",Registro_Compras!$O163)</f>
        <v/>
      </c>
      <c r="H163" s="20">
        <f>IF(Registro_Compras!$R163&lt;&gt;"SI","",Registro_Compras!$S163)</f>
        <v/>
      </c>
      <c r="I163" s="25">
        <f>IF(Registro_Compras!$R163&lt;&gt;"SI","",IF(Registro_Compras!$Y163="",WORKDAY(EOMONTH(Registro_Compras!$B163,0),5,Feriados),MIN(Registro_Compras!$Y163,WORKDAY(EOMONTH(Registro_Compras!$B163,0),5,Feriados))))</f>
        <v/>
      </c>
      <c r="J163" s="25">
        <f>IF(Registro_Compras!$R163&lt;&gt;"SI","",Registro_Compras!$X163)</f>
        <v/>
      </c>
      <c r="K163">
        <f>IF(Registro_Compras!$R163&lt;&gt;"SI","",IF(Registro_Compras!$X163="","PENDIENTE","DEPOSITADA"))</f>
        <v/>
      </c>
      <c r="L163">
        <f>IF(Registro_Compras!$R163&lt;&gt;"SI","",Registro_Compras!$Z163)</f>
        <v/>
      </c>
      <c r="M163">
        <f>IF($K163&lt;&gt;"PENDIENTE","",IF(TODAY()&gt;$I163,TODAY()-$I163,0))</f>
        <v/>
      </c>
      <c r="N163">
        <f>IF($K163&lt;&gt;"PENDIENTE","",IF($M163&gt;0,"VENCIDA - DEPOSITAR YA",IF($I163-TODAY()&lt;=3,"POR VENCER","EN PLAZO")))</f>
        <v/>
      </c>
    </row>
    <row r="164">
      <c r="A164" s="25">
        <f>IF(Registro_Compras!$R164&lt;&gt;"SI","",Registro_Compras!$B164)</f>
        <v/>
      </c>
      <c r="B164">
        <f>IF(Registro_Compras!$R164&lt;&gt;"SI","",Registro_Compras!$C164)</f>
        <v/>
      </c>
      <c r="C164">
        <f>IF(Registro_Compras!$R164&lt;&gt;"SI","",Registro_Compras!$D164)</f>
        <v/>
      </c>
      <c r="D164">
        <f>IF(Registro_Compras!$R164&lt;&gt;"SI","",Registro_Compras!$E164)</f>
        <v/>
      </c>
      <c r="E164">
        <f>IF(Registro_Compras!$R164&lt;&gt;"SI","",Registro_Compras!$G164)</f>
        <v/>
      </c>
      <c r="F164" s="31">
        <f>IF(Registro_Compras!$R164&lt;&gt;"SI","",Registro_Compras!$P164)</f>
        <v/>
      </c>
      <c r="G164" s="20">
        <f>IF(Registro_Compras!$R164&lt;&gt;"SI","",Registro_Compras!$O164)</f>
        <v/>
      </c>
      <c r="H164" s="20">
        <f>IF(Registro_Compras!$R164&lt;&gt;"SI","",Registro_Compras!$S164)</f>
        <v/>
      </c>
      <c r="I164" s="25">
        <f>IF(Registro_Compras!$R164&lt;&gt;"SI","",IF(Registro_Compras!$Y164="",WORKDAY(EOMONTH(Registro_Compras!$B164,0),5,Feriados),MIN(Registro_Compras!$Y164,WORKDAY(EOMONTH(Registro_Compras!$B164,0),5,Feriados))))</f>
        <v/>
      </c>
      <c r="J164" s="25">
        <f>IF(Registro_Compras!$R164&lt;&gt;"SI","",Registro_Compras!$X164)</f>
        <v/>
      </c>
      <c r="K164">
        <f>IF(Registro_Compras!$R164&lt;&gt;"SI","",IF(Registro_Compras!$X164="","PENDIENTE","DEPOSITADA"))</f>
        <v/>
      </c>
      <c r="L164">
        <f>IF(Registro_Compras!$R164&lt;&gt;"SI","",Registro_Compras!$Z164)</f>
        <v/>
      </c>
      <c r="M164">
        <f>IF($K164&lt;&gt;"PENDIENTE","",IF(TODAY()&gt;$I164,TODAY()-$I164,0))</f>
        <v/>
      </c>
      <c r="N164">
        <f>IF($K164&lt;&gt;"PENDIENTE","",IF($M164&gt;0,"VENCIDA - DEPOSITAR YA",IF($I164-TODAY()&lt;=3,"POR VENCER","EN PLAZO")))</f>
        <v/>
      </c>
    </row>
    <row r="165">
      <c r="A165" s="25">
        <f>IF(Registro_Compras!$R165&lt;&gt;"SI","",Registro_Compras!$B165)</f>
        <v/>
      </c>
      <c r="B165">
        <f>IF(Registro_Compras!$R165&lt;&gt;"SI","",Registro_Compras!$C165)</f>
        <v/>
      </c>
      <c r="C165">
        <f>IF(Registro_Compras!$R165&lt;&gt;"SI","",Registro_Compras!$D165)</f>
        <v/>
      </c>
      <c r="D165">
        <f>IF(Registro_Compras!$R165&lt;&gt;"SI","",Registro_Compras!$E165)</f>
        <v/>
      </c>
      <c r="E165">
        <f>IF(Registro_Compras!$R165&lt;&gt;"SI","",Registro_Compras!$G165)</f>
        <v/>
      </c>
      <c r="F165" s="31">
        <f>IF(Registro_Compras!$R165&lt;&gt;"SI","",Registro_Compras!$P165)</f>
        <v/>
      </c>
      <c r="G165" s="20">
        <f>IF(Registro_Compras!$R165&lt;&gt;"SI","",Registro_Compras!$O165)</f>
        <v/>
      </c>
      <c r="H165" s="20">
        <f>IF(Registro_Compras!$R165&lt;&gt;"SI","",Registro_Compras!$S165)</f>
        <v/>
      </c>
      <c r="I165" s="25">
        <f>IF(Registro_Compras!$R165&lt;&gt;"SI","",IF(Registro_Compras!$Y165="",WORKDAY(EOMONTH(Registro_Compras!$B165,0),5,Feriados),MIN(Registro_Compras!$Y165,WORKDAY(EOMONTH(Registro_Compras!$B165,0),5,Feriados))))</f>
        <v/>
      </c>
      <c r="J165" s="25">
        <f>IF(Registro_Compras!$R165&lt;&gt;"SI","",Registro_Compras!$X165)</f>
        <v/>
      </c>
      <c r="K165">
        <f>IF(Registro_Compras!$R165&lt;&gt;"SI","",IF(Registro_Compras!$X165="","PENDIENTE","DEPOSITADA"))</f>
        <v/>
      </c>
      <c r="L165">
        <f>IF(Registro_Compras!$R165&lt;&gt;"SI","",Registro_Compras!$Z165)</f>
        <v/>
      </c>
      <c r="M165">
        <f>IF($K165&lt;&gt;"PENDIENTE","",IF(TODAY()&gt;$I165,TODAY()-$I165,0))</f>
        <v/>
      </c>
      <c r="N165">
        <f>IF($K165&lt;&gt;"PENDIENTE","",IF($M165&gt;0,"VENCIDA - DEPOSITAR YA",IF($I165-TODAY()&lt;=3,"POR VENCER","EN PLAZO")))</f>
        <v/>
      </c>
    </row>
    <row r="166">
      <c r="A166" s="25">
        <f>IF(Registro_Compras!$R166&lt;&gt;"SI","",Registro_Compras!$B166)</f>
        <v/>
      </c>
      <c r="B166">
        <f>IF(Registro_Compras!$R166&lt;&gt;"SI","",Registro_Compras!$C166)</f>
        <v/>
      </c>
      <c r="C166">
        <f>IF(Registro_Compras!$R166&lt;&gt;"SI","",Registro_Compras!$D166)</f>
        <v/>
      </c>
      <c r="D166">
        <f>IF(Registro_Compras!$R166&lt;&gt;"SI","",Registro_Compras!$E166)</f>
        <v/>
      </c>
      <c r="E166">
        <f>IF(Registro_Compras!$R166&lt;&gt;"SI","",Registro_Compras!$G166)</f>
        <v/>
      </c>
      <c r="F166" s="31">
        <f>IF(Registro_Compras!$R166&lt;&gt;"SI","",Registro_Compras!$P166)</f>
        <v/>
      </c>
      <c r="G166" s="20">
        <f>IF(Registro_Compras!$R166&lt;&gt;"SI","",Registro_Compras!$O166)</f>
        <v/>
      </c>
      <c r="H166" s="20">
        <f>IF(Registro_Compras!$R166&lt;&gt;"SI","",Registro_Compras!$S166)</f>
        <v/>
      </c>
      <c r="I166" s="25">
        <f>IF(Registro_Compras!$R166&lt;&gt;"SI","",IF(Registro_Compras!$Y166="",WORKDAY(EOMONTH(Registro_Compras!$B166,0),5,Feriados),MIN(Registro_Compras!$Y166,WORKDAY(EOMONTH(Registro_Compras!$B166,0),5,Feriados))))</f>
        <v/>
      </c>
      <c r="J166" s="25">
        <f>IF(Registro_Compras!$R166&lt;&gt;"SI","",Registro_Compras!$X166)</f>
        <v/>
      </c>
      <c r="K166">
        <f>IF(Registro_Compras!$R166&lt;&gt;"SI","",IF(Registro_Compras!$X166="","PENDIENTE","DEPOSITADA"))</f>
        <v/>
      </c>
      <c r="L166">
        <f>IF(Registro_Compras!$R166&lt;&gt;"SI","",Registro_Compras!$Z166)</f>
        <v/>
      </c>
      <c r="M166">
        <f>IF($K166&lt;&gt;"PENDIENTE","",IF(TODAY()&gt;$I166,TODAY()-$I166,0))</f>
        <v/>
      </c>
      <c r="N166">
        <f>IF($K166&lt;&gt;"PENDIENTE","",IF($M166&gt;0,"VENCIDA - DEPOSITAR YA",IF($I166-TODAY()&lt;=3,"POR VENCER","EN PLAZO")))</f>
        <v/>
      </c>
    </row>
    <row r="167">
      <c r="A167" s="25">
        <f>IF(Registro_Compras!$R167&lt;&gt;"SI","",Registro_Compras!$B167)</f>
        <v/>
      </c>
      <c r="B167">
        <f>IF(Registro_Compras!$R167&lt;&gt;"SI","",Registro_Compras!$C167)</f>
        <v/>
      </c>
      <c r="C167">
        <f>IF(Registro_Compras!$R167&lt;&gt;"SI","",Registro_Compras!$D167)</f>
        <v/>
      </c>
      <c r="D167">
        <f>IF(Registro_Compras!$R167&lt;&gt;"SI","",Registro_Compras!$E167)</f>
        <v/>
      </c>
      <c r="E167">
        <f>IF(Registro_Compras!$R167&lt;&gt;"SI","",Registro_Compras!$G167)</f>
        <v/>
      </c>
      <c r="F167" s="31">
        <f>IF(Registro_Compras!$R167&lt;&gt;"SI","",Registro_Compras!$P167)</f>
        <v/>
      </c>
      <c r="G167" s="20">
        <f>IF(Registro_Compras!$R167&lt;&gt;"SI","",Registro_Compras!$O167)</f>
        <v/>
      </c>
      <c r="H167" s="20">
        <f>IF(Registro_Compras!$R167&lt;&gt;"SI","",Registro_Compras!$S167)</f>
        <v/>
      </c>
      <c r="I167" s="25">
        <f>IF(Registro_Compras!$R167&lt;&gt;"SI","",IF(Registro_Compras!$Y167="",WORKDAY(EOMONTH(Registro_Compras!$B167,0),5,Feriados),MIN(Registro_Compras!$Y167,WORKDAY(EOMONTH(Registro_Compras!$B167,0),5,Feriados))))</f>
        <v/>
      </c>
      <c r="J167" s="25">
        <f>IF(Registro_Compras!$R167&lt;&gt;"SI","",Registro_Compras!$X167)</f>
        <v/>
      </c>
      <c r="K167">
        <f>IF(Registro_Compras!$R167&lt;&gt;"SI","",IF(Registro_Compras!$X167="","PENDIENTE","DEPOSITADA"))</f>
        <v/>
      </c>
      <c r="L167">
        <f>IF(Registro_Compras!$R167&lt;&gt;"SI","",Registro_Compras!$Z167)</f>
        <v/>
      </c>
      <c r="M167">
        <f>IF($K167&lt;&gt;"PENDIENTE","",IF(TODAY()&gt;$I167,TODAY()-$I167,0))</f>
        <v/>
      </c>
      <c r="N167">
        <f>IF($K167&lt;&gt;"PENDIENTE","",IF($M167&gt;0,"VENCIDA - DEPOSITAR YA",IF($I167-TODAY()&lt;=3,"POR VENCER","EN PLAZO")))</f>
        <v/>
      </c>
    </row>
    <row r="168">
      <c r="A168" s="25">
        <f>IF(Registro_Compras!$R168&lt;&gt;"SI","",Registro_Compras!$B168)</f>
        <v/>
      </c>
      <c r="B168">
        <f>IF(Registro_Compras!$R168&lt;&gt;"SI","",Registro_Compras!$C168)</f>
        <v/>
      </c>
      <c r="C168">
        <f>IF(Registro_Compras!$R168&lt;&gt;"SI","",Registro_Compras!$D168)</f>
        <v/>
      </c>
      <c r="D168">
        <f>IF(Registro_Compras!$R168&lt;&gt;"SI","",Registro_Compras!$E168)</f>
        <v/>
      </c>
      <c r="E168">
        <f>IF(Registro_Compras!$R168&lt;&gt;"SI","",Registro_Compras!$G168)</f>
        <v/>
      </c>
      <c r="F168" s="31">
        <f>IF(Registro_Compras!$R168&lt;&gt;"SI","",Registro_Compras!$P168)</f>
        <v/>
      </c>
      <c r="G168" s="20">
        <f>IF(Registro_Compras!$R168&lt;&gt;"SI","",Registro_Compras!$O168)</f>
        <v/>
      </c>
      <c r="H168" s="20">
        <f>IF(Registro_Compras!$R168&lt;&gt;"SI","",Registro_Compras!$S168)</f>
        <v/>
      </c>
      <c r="I168" s="25">
        <f>IF(Registro_Compras!$R168&lt;&gt;"SI","",IF(Registro_Compras!$Y168="",WORKDAY(EOMONTH(Registro_Compras!$B168,0),5,Feriados),MIN(Registro_Compras!$Y168,WORKDAY(EOMONTH(Registro_Compras!$B168,0),5,Feriados))))</f>
        <v/>
      </c>
      <c r="J168" s="25">
        <f>IF(Registro_Compras!$R168&lt;&gt;"SI","",Registro_Compras!$X168)</f>
        <v/>
      </c>
      <c r="K168">
        <f>IF(Registro_Compras!$R168&lt;&gt;"SI","",IF(Registro_Compras!$X168="","PENDIENTE","DEPOSITADA"))</f>
        <v/>
      </c>
      <c r="L168">
        <f>IF(Registro_Compras!$R168&lt;&gt;"SI","",Registro_Compras!$Z168)</f>
        <v/>
      </c>
      <c r="M168">
        <f>IF($K168&lt;&gt;"PENDIENTE","",IF(TODAY()&gt;$I168,TODAY()-$I168,0))</f>
        <v/>
      </c>
      <c r="N168">
        <f>IF($K168&lt;&gt;"PENDIENTE","",IF($M168&gt;0,"VENCIDA - DEPOSITAR YA",IF($I168-TODAY()&lt;=3,"POR VENCER","EN PLAZO")))</f>
        <v/>
      </c>
    </row>
    <row r="169">
      <c r="A169" s="25">
        <f>IF(Registro_Compras!$R169&lt;&gt;"SI","",Registro_Compras!$B169)</f>
        <v/>
      </c>
      <c r="B169">
        <f>IF(Registro_Compras!$R169&lt;&gt;"SI","",Registro_Compras!$C169)</f>
        <v/>
      </c>
      <c r="C169">
        <f>IF(Registro_Compras!$R169&lt;&gt;"SI","",Registro_Compras!$D169)</f>
        <v/>
      </c>
      <c r="D169">
        <f>IF(Registro_Compras!$R169&lt;&gt;"SI","",Registro_Compras!$E169)</f>
        <v/>
      </c>
      <c r="E169">
        <f>IF(Registro_Compras!$R169&lt;&gt;"SI","",Registro_Compras!$G169)</f>
        <v/>
      </c>
      <c r="F169" s="31">
        <f>IF(Registro_Compras!$R169&lt;&gt;"SI","",Registro_Compras!$P169)</f>
        <v/>
      </c>
      <c r="G169" s="20">
        <f>IF(Registro_Compras!$R169&lt;&gt;"SI","",Registro_Compras!$O169)</f>
        <v/>
      </c>
      <c r="H169" s="20">
        <f>IF(Registro_Compras!$R169&lt;&gt;"SI","",Registro_Compras!$S169)</f>
        <v/>
      </c>
      <c r="I169" s="25">
        <f>IF(Registro_Compras!$R169&lt;&gt;"SI","",IF(Registro_Compras!$Y169="",WORKDAY(EOMONTH(Registro_Compras!$B169,0),5,Feriados),MIN(Registro_Compras!$Y169,WORKDAY(EOMONTH(Registro_Compras!$B169,0),5,Feriados))))</f>
        <v/>
      </c>
      <c r="J169" s="25">
        <f>IF(Registro_Compras!$R169&lt;&gt;"SI","",Registro_Compras!$X169)</f>
        <v/>
      </c>
      <c r="K169">
        <f>IF(Registro_Compras!$R169&lt;&gt;"SI","",IF(Registro_Compras!$X169="","PENDIENTE","DEPOSITADA"))</f>
        <v/>
      </c>
      <c r="L169">
        <f>IF(Registro_Compras!$R169&lt;&gt;"SI","",Registro_Compras!$Z169)</f>
        <v/>
      </c>
      <c r="M169">
        <f>IF($K169&lt;&gt;"PENDIENTE","",IF(TODAY()&gt;$I169,TODAY()-$I169,0))</f>
        <v/>
      </c>
      <c r="N169">
        <f>IF($K169&lt;&gt;"PENDIENTE","",IF($M169&gt;0,"VENCIDA - DEPOSITAR YA",IF($I169-TODAY()&lt;=3,"POR VENCER","EN PLAZO")))</f>
        <v/>
      </c>
    </row>
    <row r="170">
      <c r="A170" s="25">
        <f>IF(Registro_Compras!$R170&lt;&gt;"SI","",Registro_Compras!$B170)</f>
        <v/>
      </c>
      <c r="B170">
        <f>IF(Registro_Compras!$R170&lt;&gt;"SI","",Registro_Compras!$C170)</f>
        <v/>
      </c>
      <c r="C170">
        <f>IF(Registro_Compras!$R170&lt;&gt;"SI","",Registro_Compras!$D170)</f>
        <v/>
      </c>
      <c r="D170">
        <f>IF(Registro_Compras!$R170&lt;&gt;"SI","",Registro_Compras!$E170)</f>
        <v/>
      </c>
      <c r="E170">
        <f>IF(Registro_Compras!$R170&lt;&gt;"SI","",Registro_Compras!$G170)</f>
        <v/>
      </c>
      <c r="F170" s="31">
        <f>IF(Registro_Compras!$R170&lt;&gt;"SI","",Registro_Compras!$P170)</f>
        <v/>
      </c>
      <c r="G170" s="20">
        <f>IF(Registro_Compras!$R170&lt;&gt;"SI","",Registro_Compras!$O170)</f>
        <v/>
      </c>
      <c r="H170" s="20">
        <f>IF(Registro_Compras!$R170&lt;&gt;"SI","",Registro_Compras!$S170)</f>
        <v/>
      </c>
      <c r="I170" s="25">
        <f>IF(Registro_Compras!$R170&lt;&gt;"SI","",IF(Registro_Compras!$Y170="",WORKDAY(EOMONTH(Registro_Compras!$B170,0),5,Feriados),MIN(Registro_Compras!$Y170,WORKDAY(EOMONTH(Registro_Compras!$B170,0),5,Feriados))))</f>
        <v/>
      </c>
      <c r="J170" s="25">
        <f>IF(Registro_Compras!$R170&lt;&gt;"SI","",Registro_Compras!$X170)</f>
        <v/>
      </c>
      <c r="K170">
        <f>IF(Registro_Compras!$R170&lt;&gt;"SI","",IF(Registro_Compras!$X170="","PENDIENTE","DEPOSITADA"))</f>
        <v/>
      </c>
      <c r="L170">
        <f>IF(Registro_Compras!$R170&lt;&gt;"SI","",Registro_Compras!$Z170)</f>
        <v/>
      </c>
      <c r="M170">
        <f>IF($K170&lt;&gt;"PENDIENTE","",IF(TODAY()&gt;$I170,TODAY()-$I170,0))</f>
        <v/>
      </c>
      <c r="N170">
        <f>IF($K170&lt;&gt;"PENDIENTE","",IF($M170&gt;0,"VENCIDA - DEPOSITAR YA",IF($I170-TODAY()&lt;=3,"POR VENCER","EN PLAZO")))</f>
        <v/>
      </c>
    </row>
    <row r="171">
      <c r="A171" s="25">
        <f>IF(Registro_Compras!$R171&lt;&gt;"SI","",Registro_Compras!$B171)</f>
        <v/>
      </c>
      <c r="B171">
        <f>IF(Registro_Compras!$R171&lt;&gt;"SI","",Registro_Compras!$C171)</f>
        <v/>
      </c>
      <c r="C171">
        <f>IF(Registro_Compras!$R171&lt;&gt;"SI","",Registro_Compras!$D171)</f>
        <v/>
      </c>
      <c r="D171">
        <f>IF(Registro_Compras!$R171&lt;&gt;"SI","",Registro_Compras!$E171)</f>
        <v/>
      </c>
      <c r="E171">
        <f>IF(Registro_Compras!$R171&lt;&gt;"SI","",Registro_Compras!$G171)</f>
        <v/>
      </c>
      <c r="F171" s="31">
        <f>IF(Registro_Compras!$R171&lt;&gt;"SI","",Registro_Compras!$P171)</f>
        <v/>
      </c>
      <c r="G171" s="20">
        <f>IF(Registro_Compras!$R171&lt;&gt;"SI","",Registro_Compras!$O171)</f>
        <v/>
      </c>
      <c r="H171" s="20">
        <f>IF(Registro_Compras!$R171&lt;&gt;"SI","",Registro_Compras!$S171)</f>
        <v/>
      </c>
      <c r="I171" s="25">
        <f>IF(Registro_Compras!$R171&lt;&gt;"SI","",IF(Registro_Compras!$Y171="",WORKDAY(EOMONTH(Registro_Compras!$B171,0),5,Feriados),MIN(Registro_Compras!$Y171,WORKDAY(EOMONTH(Registro_Compras!$B171,0),5,Feriados))))</f>
        <v/>
      </c>
      <c r="J171" s="25">
        <f>IF(Registro_Compras!$R171&lt;&gt;"SI","",Registro_Compras!$X171)</f>
        <v/>
      </c>
      <c r="K171">
        <f>IF(Registro_Compras!$R171&lt;&gt;"SI","",IF(Registro_Compras!$X171="","PENDIENTE","DEPOSITADA"))</f>
        <v/>
      </c>
      <c r="L171">
        <f>IF(Registro_Compras!$R171&lt;&gt;"SI","",Registro_Compras!$Z171)</f>
        <v/>
      </c>
      <c r="M171">
        <f>IF($K171&lt;&gt;"PENDIENTE","",IF(TODAY()&gt;$I171,TODAY()-$I171,0))</f>
        <v/>
      </c>
      <c r="N171">
        <f>IF($K171&lt;&gt;"PENDIENTE","",IF($M171&gt;0,"VENCIDA - DEPOSITAR YA",IF($I171-TODAY()&lt;=3,"POR VENCER","EN PLAZO")))</f>
        <v/>
      </c>
    </row>
    <row r="172">
      <c r="A172" s="25">
        <f>IF(Registro_Compras!$R172&lt;&gt;"SI","",Registro_Compras!$B172)</f>
        <v/>
      </c>
      <c r="B172">
        <f>IF(Registro_Compras!$R172&lt;&gt;"SI","",Registro_Compras!$C172)</f>
        <v/>
      </c>
      <c r="C172">
        <f>IF(Registro_Compras!$R172&lt;&gt;"SI","",Registro_Compras!$D172)</f>
        <v/>
      </c>
      <c r="D172">
        <f>IF(Registro_Compras!$R172&lt;&gt;"SI","",Registro_Compras!$E172)</f>
        <v/>
      </c>
      <c r="E172">
        <f>IF(Registro_Compras!$R172&lt;&gt;"SI","",Registro_Compras!$G172)</f>
        <v/>
      </c>
      <c r="F172" s="31">
        <f>IF(Registro_Compras!$R172&lt;&gt;"SI","",Registro_Compras!$P172)</f>
        <v/>
      </c>
      <c r="G172" s="20">
        <f>IF(Registro_Compras!$R172&lt;&gt;"SI","",Registro_Compras!$O172)</f>
        <v/>
      </c>
      <c r="H172" s="20">
        <f>IF(Registro_Compras!$R172&lt;&gt;"SI","",Registro_Compras!$S172)</f>
        <v/>
      </c>
      <c r="I172" s="25">
        <f>IF(Registro_Compras!$R172&lt;&gt;"SI","",IF(Registro_Compras!$Y172="",WORKDAY(EOMONTH(Registro_Compras!$B172,0),5,Feriados),MIN(Registro_Compras!$Y172,WORKDAY(EOMONTH(Registro_Compras!$B172,0),5,Feriados))))</f>
        <v/>
      </c>
      <c r="J172" s="25">
        <f>IF(Registro_Compras!$R172&lt;&gt;"SI","",Registro_Compras!$X172)</f>
        <v/>
      </c>
      <c r="K172">
        <f>IF(Registro_Compras!$R172&lt;&gt;"SI","",IF(Registro_Compras!$X172="","PENDIENTE","DEPOSITADA"))</f>
        <v/>
      </c>
      <c r="L172">
        <f>IF(Registro_Compras!$R172&lt;&gt;"SI","",Registro_Compras!$Z172)</f>
        <v/>
      </c>
      <c r="M172">
        <f>IF($K172&lt;&gt;"PENDIENTE","",IF(TODAY()&gt;$I172,TODAY()-$I172,0))</f>
        <v/>
      </c>
      <c r="N172">
        <f>IF($K172&lt;&gt;"PENDIENTE","",IF($M172&gt;0,"VENCIDA - DEPOSITAR YA",IF($I172-TODAY()&lt;=3,"POR VENCER","EN PLAZO")))</f>
        <v/>
      </c>
    </row>
    <row r="173">
      <c r="A173" s="25">
        <f>IF(Registro_Compras!$R173&lt;&gt;"SI","",Registro_Compras!$B173)</f>
        <v/>
      </c>
      <c r="B173">
        <f>IF(Registro_Compras!$R173&lt;&gt;"SI","",Registro_Compras!$C173)</f>
        <v/>
      </c>
      <c r="C173">
        <f>IF(Registro_Compras!$R173&lt;&gt;"SI","",Registro_Compras!$D173)</f>
        <v/>
      </c>
      <c r="D173">
        <f>IF(Registro_Compras!$R173&lt;&gt;"SI","",Registro_Compras!$E173)</f>
        <v/>
      </c>
      <c r="E173">
        <f>IF(Registro_Compras!$R173&lt;&gt;"SI","",Registro_Compras!$G173)</f>
        <v/>
      </c>
      <c r="F173" s="31">
        <f>IF(Registro_Compras!$R173&lt;&gt;"SI","",Registro_Compras!$P173)</f>
        <v/>
      </c>
      <c r="G173" s="20">
        <f>IF(Registro_Compras!$R173&lt;&gt;"SI","",Registro_Compras!$O173)</f>
        <v/>
      </c>
      <c r="H173" s="20">
        <f>IF(Registro_Compras!$R173&lt;&gt;"SI","",Registro_Compras!$S173)</f>
        <v/>
      </c>
      <c r="I173" s="25">
        <f>IF(Registro_Compras!$R173&lt;&gt;"SI","",IF(Registro_Compras!$Y173="",WORKDAY(EOMONTH(Registro_Compras!$B173,0),5,Feriados),MIN(Registro_Compras!$Y173,WORKDAY(EOMONTH(Registro_Compras!$B173,0),5,Feriados))))</f>
        <v/>
      </c>
      <c r="J173" s="25">
        <f>IF(Registro_Compras!$R173&lt;&gt;"SI","",Registro_Compras!$X173)</f>
        <v/>
      </c>
      <c r="K173">
        <f>IF(Registro_Compras!$R173&lt;&gt;"SI","",IF(Registro_Compras!$X173="","PENDIENTE","DEPOSITADA"))</f>
        <v/>
      </c>
      <c r="L173">
        <f>IF(Registro_Compras!$R173&lt;&gt;"SI","",Registro_Compras!$Z173)</f>
        <v/>
      </c>
      <c r="M173">
        <f>IF($K173&lt;&gt;"PENDIENTE","",IF(TODAY()&gt;$I173,TODAY()-$I173,0))</f>
        <v/>
      </c>
      <c r="N173">
        <f>IF($K173&lt;&gt;"PENDIENTE","",IF($M173&gt;0,"VENCIDA - DEPOSITAR YA",IF($I173-TODAY()&lt;=3,"POR VENCER","EN PLAZO")))</f>
        <v/>
      </c>
    </row>
    <row r="174">
      <c r="A174" s="25">
        <f>IF(Registro_Compras!$R174&lt;&gt;"SI","",Registro_Compras!$B174)</f>
        <v/>
      </c>
      <c r="B174">
        <f>IF(Registro_Compras!$R174&lt;&gt;"SI","",Registro_Compras!$C174)</f>
        <v/>
      </c>
      <c r="C174">
        <f>IF(Registro_Compras!$R174&lt;&gt;"SI","",Registro_Compras!$D174)</f>
        <v/>
      </c>
      <c r="D174">
        <f>IF(Registro_Compras!$R174&lt;&gt;"SI","",Registro_Compras!$E174)</f>
        <v/>
      </c>
      <c r="E174">
        <f>IF(Registro_Compras!$R174&lt;&gt;"SI","",Registro_Compras!$G174)</f>
        <v/>
      </c>
      <c r="F174" s="31">
        <f>IF(Registro_Compras!$R174&lt;&gt;"SI","",Registro_Compras!$P174)</f>
        <v/>
      </c>
      <c r="G174" s="20">
        <f>IF(Registro_Compras!$R174&lt;&gt;"SI","",Registro_Compras!$O174)</f>
        <v/>
      </c>
      <c r="H174" s="20">
        <f>IF(Registro_Compras!$R174&lt;&gt;"SI","",Registro_Compras!$S174)</f>
        <v/>
      </c>
      <c r="I174" s="25">
        <f>IF(Registro_Compras!$R174&lt;&gt;"SI","",IF(Registro_Compras!$Y174="",WORKDAY(EOMONTH(Registro_Compras!$B174,0),5,Feriados),MIN(Registro_Compras!$Y174,WORKDAY(EOMONTH(Registro_Compras!$B174,0),5,Feriados))))</f>
        <v/>
      </c>
      <c r="J174" s="25">
        <f>IF(Registro_Compras!$R174&lt;&gt;"SI","",Registro_Compras!$X174)</f>
        <v/>
      </c>
      <c r="K174">
        <f>IF(Registro_Compras!$R174&lt;&gt;"SI","",IF(Registro_Compras!$X174="","PENDIENTE","DEPOSITADA"))</f>
        <v/>
      </c>
      <c r="L174">
        <f>IF(Registro_Compras!$R174&lt;&gt;"SI","",Registro_Compras!$Z174)</f>
        <v/>
      </c>
      <c r="M174">
        <f>IF($K174&lt;&gt;"PENDIENTE","",IF(TODAY()&gt;$I174,TODAY()-$I174,0))</f>
        <v/>
      </c>
      <c r="N174">
        <f>IF($K174&lt;&gt;"PENDIENTE","",IF($M174&gt;0,"VENCIDA - DEPOSITAR YA",IF($I174-TODAY()&lt;=3,"POR VENCER","EN PLAZO")))</f>
        <v/>
      </c>
    </row>
    <row r="175">
      <c r="A175" s="25">
        <f>IF(Registro_Compras!$R175&lt;&gt;"SI","",Registro_Compras!$B175)</f>
        <v/>
      </c>
      <c r="B175">
        <f>IF(Registro_Compras!$R175&lt;&gt;"SI","",Registro_Compras!$C175)</f>
        <v/>
      </c>
      <c r="C175">
        <f>IF(Registro_Compras!$R175&lt;&gt;"SI","",Registro_Compras!$D175)</f>
        <v/>
      </c>
      <c r="D175">
        <f>IF(Registro_Compras!$R175&lt;&gt;"SI","",Registro_Compras!$E175)</f>
        <v/>
      </c>
      <c r="E175">
        <f>IF(Registro_Compras!$R175&lt;&gt;"SI","",Registro_Compras!$G175)</f>
        <v/>
      </c>
      <c r="F175" s="31">
        <f>IF(Registro_Compras!$R175&lt;&gt;"SI","",Registro_Compras!$P175)</f>
        <v/>
      </c>
      <c r="G175" s="20">
        <f>IF(Registro_Compras!$R175&lt;&gt;"SI","",Registro_Compras!$O175)</f>
        <v/>
      </c>
      <c r="H175" s="20">
        <f>IF(Registro_Compras!$R175&lt;&gt;"SI","",Registro_Compras!$S175)</f>
        <v/>
      </c>
      <c r="I175" s="25">
        <f>IF(Registro_Compras!$R175&lt;&gt;"SI","",IF(Registro_Compras!$Y175="",WORKDAY(EOMONTH(Registro_Compras!$B175,0),5,Feriados),MIN(Registro_Compras!$Y175,WORKDAY(EOMONTH(Registro_Compras!$B175,0),5,Feriados))))</f>
        <v/>
      </c>
      <c r="J175" s="25">
        <f>IF(Registro_Compras!$R175&lt;&gt;"SI","",Registro_Compras!$X175)</f>
        <v/>
      </c>
      <c r="K175">
        <f>IF(Registro_Compras!$R175&lt;&gt;"SI","",IF(Registro_Compras!$X175="","PENDIENTE","DEPOSITADA"))</f>
        <v/>
      </c>
      <c r="L175">
        <f>IF(Registro_Compras!$R175&lt;&gt;"SI","",Registro_Compras!$Z175)</f>
        <v/>
      </c>
      <c r="M175">
        <f>IF($K175&lt;&gt;"PENDIENTE","",IF(TODAY()&gt;$I175,TODAY()-$I175,0))</f>
        <v/>
      </c>
      <c r="N175">
        <f>IF($K175&lt;&gt;"PENDIENTE","",IF($M175&gt;0,"VENCIDA - DEPOSITAR YA",IF($I175-TODAY()&lt;=3,"POR VENCER","EN PLAZO")))</f>
        <v/>
      </c>
    </row>
    <row r="176">
      <c r="A176" s="25">
        <f>IF(Registro_Compras!$R176&lt;&gt;"SI","",Registro_Compras!$B176)</f>
        <v/>
      </c>
      <c r="B176">
        <f>IF(Registro_Compras!$R176&lt;&gt;"SI","",Registro_Compras!$C176)</f>
        <v/>
      </c>
      <c r="C176">
        <f>IF(Registro_Compras!$R176&lt;&gt;"SI","",Registro_Compras!$D176)</f>
        <v/>
      </c>
      <c r="D176">
        <f>IF(Registro_Compras!$R176&lt;&gt;"SI","",Registro_Compras!$E176)</f>
        <v/>
      </c>
      <c r="E176">
        <f>IF(Registro_Compras!$R176&lt;&gt;"SI","",Registro_Compras!$G176)</f>
        <v/>
      </c>
      <c r="F176" s="31">
        <f>IF(Registro_Compras!$R176&lt;&gt;"SI","",Registro_Compras!$P176)</f>
        <v/>
      </c>
      <c r="G176" s="20">
        <f>IF(Registro_Compras!$R176&lt;&gt;"SI","",Registro_Compras!$O176)</f>
        <v/>
      </c>
      <c r="H176" s="20">
        <f>IF(Registro_Compras!$R176&lt;&gt;"SI","",Registro_Compras!$S176)</f>
        <v/>
      </c>
      <c r="I176" s="25">
        <f>IF(Registro_Compras!$R176&lt;&gt;"SI","",IF(Registro_Compras!$Y176="",WORKDAY(EOMONTH(Registro_Compras!$B176,0),5,Feriados),MIN(Registro_Compras!$Y176,WORKDAY(EOMONTH(Registro_Compras!$B176,0),5,Feriados))))</f>
        <v/>
      </c>
      <c r="J176" s="25">
        <f>IF(Registro_Compras!$R176&lt;&gt;"SI","",Registro_Compras!$X176)</f>
        <v/>
      </c>
      <c r="K176">
        <f>IF(Registro_Compras!$R176&lt;&gt;"SI","",IF(Registro_Compras!$X176="","PENDIENTE","DEPOSITADA"))</f>
        <v/>
      </c>
      <c r="L176">
        <f>IF(Registro_Compras!$R176&lt;&gt;"SI","",Registro_Compras!$Z176)</f>
        <v/>
      </c>
      <c r="M176">
        <f>IF($K176&lt;&gt;"PENDIENTE","",IF(TODAY()&gt;$I176,TODAY()-$I176,0))</f>
        <v/>
      </c>
      <c r="N176">
        <f>IF($K176&lt;&gt;"PENDIENTE","",IF($M176&gt;0,"VENCIDA - DEPOSITAR YA",IF($I176-TODAY()&lt;=3,"POR VENCER","EN PLAZO")))</f>
        <v/>
      </c>
    </row>
    <row r="177">
      <c r="A177" s="25">
        <f>IF(Registro_Compras!$R177&lt;&gt;"SI","",Registro_Compras!$B177)</f>
        <v/>
      </c>
      <c r="B177">
        <f>IF(Registro_Compras!$R177&lt;&gt;"SI","",Registro_Compras!$C177)</f>
        <v/>
      </c>
      <c r="C177">
        <f>IF(Registro_Compras!$R177&lt;&gt;"SI","",Registro_Compras!$D177)</f>
        <v/>
      </c>
      <c r="D177">
        <f>IF(Registro_Compras!$R177&lt;&gt;"SI","",Registro_Compras!$E177)</f>
        <v/>
      </c>
      <c r="E177">
        <f>IF(Registro_Compras!$R177&lt;&gt;"SI","",Registro_Compras!$G177)</f>
        <v/>
      </c>
      <c r="F177" s="31">
        <f>IF(Registro_Compras!$R177&lt;&gt;"SI","",Registro_Compras!$P177)</f>
        <v/>
      </c>
      <c r="G177" s="20">
        <f>IF(Registro_Compras!$R177&lt;&gt;"SI","",Registro_Compras!$O177)</f>
        <v/>
      </c>
      <c r="H177" s="20">
        <f>IF(Registro_Compras!$R177&lt;&gt;"SI","",Registro_Compras!$S177)</f>
        <v/>
      </c>
      <c r="I177" s="25">
        <f>IF(Registro_Compras!$R177&lt;&gt;"SI","",IF(Registro_Compras!$Y177="",WORKDAY(EOMONTH(Registro_Compras!$B177,0),5,Feriados),MIN(Registro_Compras!$Y177,WORKDAY(EOMONTH(Registro_Compras!$B177,0),5,Feriados))))</f>
        <v/>
      </c>
      <c r="J177" s="25">
        <f>IF(Registro_Compras!$R177&lt;&gt;"SI","",Registro_Compras!$X177)</f>
        <v/>
      </c>
      <c r="K177">
        <f>IF(Registro_Compras!$R177&lt;&gt;"SI","",IF(Registro_Compras!$X177="","PENDIENTE","DEPOSITADA"))</f>
        <v/>
      </c>
      <c r="L177">
        <f>IF(Registro_Compras!$R177&lt;&gt;"SI","",Registro_Compras!$Z177)</f>
        <v/>
      </c>
      <c r="M177">
        <f>IF($K177&lt;&gt;"PENDIENTE","",IF(TODAY()&gt;$I177,TODAY()-$I177,0))</f>
        <v/>
      </c>
      <c r="N177">
        <f>IF($K177&lt;&gt;"PENDIENTE","",IF($M177&gt;0,"VENCIDA - DEPOSITAR YA",IF($I177-TODAY()&lt;=3,"POR VENCER","EN PLAZO")))</f>
        <v/>
      </c>
    </row>
    <row r="178">
      <c r="A178" s="25">
        <f>IF(Registro_Compras!$R178&lt;&gt;"SI","",Registro_Compras!$B178)</f>
        <v/>
      </c>
      <c r="B178">
        <f>IF(Registro_Compras!$R178&lt;&gt;"SI","",Registro_Compras!$C178)</f>
        <v/>
      </c>
      <c r="C178">
        <f>IF(Registro_Compras!$R178&lt;&gt;"SI","",Registro_Compras!$D178)</f>
        <v/>
      </c>
      <c r="D178">
        <f>IF(Registro_Compras!$R178&lt;&gt;"SI","",Registro_Compras!$E178)</f>
        <v/>
      </c>
      <c r="E178">
        <f>IF(Registro_Compras!$R178&lt;&gt;"SI","",Registro_Compras!$G178)</f>
        <v/>
      </c>
      <c r="F178" s="31">
        <f>IF(Registro_Compras!$R178&lt;&gt;"SI","",Registro_Compras!$P178)</f>
        <v/>
      </c>
      <c r="G178" s="20">
        <f>IF(Registro_Compras!$R178&lt;&gt;"SI","",Registro_Compras!$O178)</f>
        <v/>
      </c>
      <c r="H178" s="20">
        <f>IF(Registro_Compras!$R178&lt;&gt;"SI","",Registro_Compras!$S178)</f>
        <v/>
      </c>
      <c r="I178" s="25">
        <f>IF(Registro_Compras!$R178&lt;&gt;"SI","",IF(Registro_Compras!$Y178="",WORKDAY(EOMONTH(Registro_Compras!$B178,0),5,Feriados),MIN(Registro_Compras!$Y178,WORKDAY(EOMONTH(Registro_Compras!$B178,0),5,Feriados))))</f>
        <v/>
      </c>
      <c r="J178" s="25">
        <f>IF(Registro_Compras!$R178&lt;&gt;"SI","",Registro_Compras!$X178)</f>
        <v/>
      </c>
      <c r="K178">
        <f>IF(Registro_Compras!$R178&lt;&gt;"SI","",IF(Registro_Compras!$X178="","PENDIENTE","DEPOSITADA"))</f>
        <v/>
      </c>
      <c r="L178">
        <f>IF(Registro_Compras!$R178&lt;&gt;"SI","",Registro_Compras!$Z178)</f>
        <v/>
      </c>
      <c r="M178">
        <f>IF($K178&lt;&gt;"PENDIENTE","",IF(TODAY()&gt;$I178,TODAY()-$I178,0))</f>
        <v/>
      </c>
      <c r="N178">
        <f>IF($K178&lt;&gt;"PENDIENTE","",IF($M178&gt;0,"VENCIDA - DEPOSITAR YA",IF($I178-TODAY()&lt;=3,"POR VENCER","EN PLAZO")))</f>
        <v/>
      </c>
    </row>
    <row r="179">
      <c r="A179" s="25">
        <f>IF(Registro_Compras!$R179&lt;&gt;"SI","",Registro_Compras!$B179)</f>
        <v/>
      </c>
      <c r="B179">
        <f>IF(Registro_Compras!$R179&lt;&gt;"SI","",Registro_Compras!$C179)</f>
        <v/>
      </c>
      <c r="C179">
        <f>IF(Registro_Compras!$R179&lt;&gt;"SI","",Registro_Compras!$D179)</f>
        <v/>
      </c>
      <c r="D179">
        <f>IF(Registro_Compras!$R179&lt;&gt;"SI","",Registro_Compras!$E179)</f>
        <v/>
      </c>
      <c r="E179">
        <f>IF(Registro_Compras!$R179&lt;&gt;"SI","",Registro_Compras!$G179)</f>
        <v/>
      </c>
      <c r="F179" s="31">
        <f>IF(Registro_Compras!$R179&lt;&gt;"SI","",Registro_Compras!$P179)</f>
        <v/>
      </c>
      <c r="G179" s="20">
        <f>IF(Registro_Compras!$R179&lt;&gt;"SI","",Registro_Compras!$O179)</f>
        <v/>
      </c>
      <c r="H179" s="20">
        <f>IF(Registro_Compras!$R179&lt;&gt;"SI","",Registro_Compras!$S179)</f>
        <v/>
      </c>
      <c r="I179" s="25">
        <f>IF(Registro_Compras!$R179&lt;&gt;"SI","",IF(Registro_Compras!$Y179="",WORKDAY(EOMONTH(Registro_Compras!$B179,0),5,Feriados),MIN(Registro_Compras!$Y179,WORKDAY(EOMONTH(Registro_Compras!$B179,0),5,Feriados))))</f>
        <v/>
      </c>
      <c r="J179" s="25">
        <f>IF(Registro_Compras!$R179&lt;&gt;"SI","",Registro_Compras!$X179)</f>
        <v/>
      </c>
      <c r="K179">
        <f>IF(Registro_Compras!$R179&lt;&gt;"SI","",IF(Registro_Compras!$X179="","PENDIENTE","DEPOSITADA"))</f>
        <v/>
      </c>
      <c r="L179">
        <f>IF(Registro_Compras!$R179&lt;&gt;"SI","",Registro_Compras!$Z179)</f>
        <v/>
      </c>
      <c r="M179">
        <f>IF($K179&lt;&gt;"PENDIENTE","",IF(TODAY()&gt;$I179,TODAY()-$I179,0))</f>
        <v/>
      </c>
      <c r="N179">
        <f>IF($K179&lt;&gt;"PENDIENTE","",IF($M179&gt;0,"VENCIDA - DEPOSITAR YA",IF($I179-TODAY()&lt;=3,"POR VENCER","EN PLAZO")))</f>
        <v/>
      </c>
    </row>
    <row r="180">
      <c r="A180" s="25">
        <f>IF(Registro_Compras!$R180&lt;&gt;"SI","",Registro_Compras!$B180)</f>
        <v/>
      </c>
      <c r="B180">
        <f>IF(Registro_Compras!$R180&lt;&gt;"SI","",Registro_Compras!$C180)</f>
        <v/>
      </c>
      <c r="C180">
        <f>IF(Registro_Compras!$R180&lt;&gt;"SI","",Registro_Compras!$D180)</f>
        <v/>
      </c>
      <c r="D180">
        <f>IF(Registro_Compras!$R180&lt;&gt;"SI","",Registro_Compras!$E180)</f>
        <v/>
      </c>
      <c r="E180">
        <f>IF(Registro_Compras!$R180&lt;&gt;"SI","",Registro_Compras!$G180)</f>
        <v/>
      </c>
      <c r="F180" s="31">
        <f>IF(Registro_Compras!$R180&lt;&gt;"SI","",Registro_Compras!$P180)</f>
        <v/>
      </c>
      <c r="G180" s="20">
        <f>IF(Registro_Compras!$R180&lt;&gt;"SI","",Registro_Compras!$O180)</f>
        <v/>
      </c>
      <c r="H180" s="20">
        <f>IF(Registro_Compras!$R180&lt;&gt;"SI","",Registro_Compras!$S180)</f>
        <v/>
      </c>
      <c r="I180" s="25">
        <f>IF(Registro_Compras!$R180&lt;&gt;"SI","",IF(Registro_Compras!$Y180="",WORKDAY(EOMONTH(Registro_Compras!$B180,0),5,Feriados),MIN(Registro_Compras!$Y180,WORKDAY(EOMONTH(Registro_Compras!$B180,0),5,Feriados))))</f>
        <v/>
      </c>
      <c r="J180" s="25">
        <f>IF(Registro_Compras!$R180&lt;&gt;"SI","",Registro_Compras!$X180)</f>
        <v/>
      </c>
      <c r="K180">
        <f>IF(Registro_Compras!$R180&lt;&gt;"SI","",IF(Registro_Compras!$X180="","PENDIENTE","DEPOSITADA"))</f>
        <v/>
      </c>
      <c r="L180">
        <f>IF(Registro_Compras!$R180&lt;&gt;"SI","",Registro_Compras!$Z180)</f>
        <v/>
      </c>
      <c r="M180">
        <f>IF($K180&lt;&gt;"PENDIENTE","",IF(TODAY()&gt;$I180,TODAY()-$I180,0))</f>
        <v/>
      </c>
      <c r="N180">
        <f>IF($K180&lt;&gt;"PENDIENTE","",IF($M180&gt;0,"VENCIDA - DEPOSITAR YA",IF($I180-TODAY()&lt;=3,"POR VENCER","EN PLAZO")))</f>
        <v/>
      </c>
    </row>
    <row r="181">
      <c r="A181" s="25">
        <f>IF(Registro_Compras!$R181&lt;&gt;"SI","",Registro_Compras!$B181)</f>
        <v/>
      </c>
      <c r="B181">
        <f>IF(Registro_Compras!$R181&lt;&gt;"SI","",Registro_Compras!$C181)</f>
        <v/>
      </c>
      <c r="C181">
        <f>IF(Registro_Compras!$R181&lt;&gt;"SI","",Registro_Compras!$D181)</f>
        <v/>
      </c>
      <c r="D181">
        <f>IF(Registro_Compras!$R181&lt;&gt;"SI","",Registro_Compras!$E181)</f>
        <v/>
      </c>
      <c r="E181">
        <f>IF(Registro_Compras!$R181&lt;&gt;"SI","",Registro_Compras!$G181)</f>
        <v/>
      </c>
      <c r="F181" s="31">
        <f>IF(Registro_Compras!$R181&lt;&gt;"SI","",Registro_Compras!$P181)</f>
        <v/>
      </c>
      <c r="G181" s="20">
        <f>IF(Registro_Compras!$R181&lt;&gt;"SI","",Registro_Compras!$O181)</f>
        <v/>
      </c>
      <c r="H181" s="20">
        <f>IF(Registro_Compras!$R181&lt;&gt;"SI","",Registro_Compras!$S181)</f>
        <v/>
      </c>
      <c r="I181" s="25">
        <f>IF(Registro_Compras!$R181&lt;&gt;"SI","",IF(Registro_Compras!$Y181="",WORKDAY(EOMONTH(Registro_Compras!$B181,0),5,Feriados),MIN(Registro_Compras!$Y181,WORKDAY(EOMONTH(Registro_Compras!$B181,0),5,Feriados))))</f>
        <v/>
      </c>
      <c r="J181" s="25">
        <f>IF(Registro_Compras!$R181&lt;&gt;"SI","",Registro_Compras!$X181)</f>
        <v/>
      </c>
      <c r="K181">
        <f>IF(Registro_Compras!$R181&lt;&gt;"SI","",IF(Registro_Compras!$X181="","PENDIENTE","DEPOSITADA"))</f>
        <v/>
      </c>
      <c r="L181">
        <f>IF(Registro_Compras!$R181&lt;&gt;"SI","",Registro_Compras!$Z181)</f>
        <v/>
      </c>
      <c r="M181">
        <f>IF($K181&lt;&gt;"PENDIENTE","",IF(TODAY()&gt;$I181,TODAY()-$I181,0))</f>
        <v/>
      </c>
      <c r="N181">
        <f>IF($K181&lt;&gt;"PENDIENTE","",IF($M181&gt;0,"VENCIDA - DEPOSITAR YA",IF($I181-TODAY()&lt;=3,"POR VENCER","EN PLAZO")))</f>
        <v/>
      </c>
    </row>
    <row r="182">
      <c r="A182" s="25">
        <f>IF(Registro_Compras!$R182&lt;&gt;"SI","",Registro_Compras!$B182)</f>
        <v/>
      </c>
      <c r="B182">
        <f>IF(Registro_Compras!$R182&lt;&gt;"SI","",Registro_Compras!$C182)</f>
        <v/>
      </c>
      <c r="C182">
        <f>IF(Registro_Compras!$R182&lt;&gt;"SI","",Registro_Compras!$D182)</f>
        <v/>
      </c>
      <c r="D182">
        <f>IF(Registro_Compras!$R182&lt;&gt;"SI","",Registro_Compras!$E182)</f>
        <v/>
      </c>
      <c r="E182">
        <f>IF(Registro_Compras!$R182&lt;&gt;"SI","",Registro_Compras!$G182)</f>
        <v/>
      </c>
      <c r="F182" s="31">
        <f>IF(Registro_Compras!$R182&lt;&gt;"SI","",Registro_Compras!$P182)</f>
        <v/>
      </c>
      <c r="G182" s="20">
        <f>IF(Registro_Compras!$R182&lt;&gt;"SI","",Registro_Compras!$O182)</f>
        <v/>
      </c>
      <c r="H182" s="20">
        <f>IF(Registro_Compras!$R182&lt;&gt;"SI","",Registro_Compras!$S182)</f>
        <v/>
      </c>
      <c r="I182" s="25">
        <f>IF(Registro_Compras!$R182&lt;&gt;"SI","",IF(Registro_Compras!$Y182="",WORKDAY(EOMONTH(Registro_Compras!$B182,0),5,Feriados),MIN(Registro_Compras!$Y182,WORKDAY(EOMONTH(Registro_Compras!$B182,0),5,Feriados))))</f>
        <v/>
      </c>
      <c r="J182" s="25">
        <f>IF(Registro_Compras!$R182&lt;&gt;"SI","",Registro_Compras!$X182)</f>
        <v/>
      </c>
      <c r="K182">
        <f>IF(Registro_Compras!$R182&lt;&gt;"SI","",IF(Registro_Compras!$X182="","PENDIENTE","DEPOSITADA"))</f>
        <v/>
      </c>
      <c r="L182">
        <f>IF(Registro_Compras!$R182&lt;&gt;"SI","",Registro_Compras!$Z182)</f>
        <v/>
      </c>
      <c r="M182">
        <f>IF($K182&lt;&gt;"PENDIENTE","",IF(TODAY()&gt;$I182,TODAY()-$I182,0))</f>
        <v/>
      </c>
      <c r="N182">
        <f>IF($K182&lt;&gt;"PENDIENTE","",IF($M182&gt;0,"VENCIDA - DEPOSITAR YA",IF($I182-TODAY()&lt;=3,"POR VENCER","EN PLAZO")))</f>
        <v/>
      </c>
    </row>
    <row r="183">
      <c r="A183" s="25">
        <f>IF(Registro_Compras!$R183&lt;&gt;"SI","",Registro_Compras!$B183)</f>
        <v/>
      </c>
      <c r="B183">
        <f>IF(Registro_Compras!$R183&lt;&gt;"SI","",Registro_Compras!$C183)</f>
        <v/>
      </c>
      <c r="C183">
        <f>IF(Registro_Compras!$R183&lt;&gt;"SI","",Registro_Compras!$D183)</f>
        <v/>
      </c>
      <c r="D183">
        <f>IF(Registro_Compras!$R183&lt;&gt;"SI","",Registro_Compras!$E183)</f>
        <v/>
      </c>
      <c r="E183">
        <f>IF(Registro_Compras!$R183&lt;&gt;"SI","",Registro_Compras!$G183)</f>
        <v/>
      </c>
      <c r="F183" s="31">
        <f>IF(Registro_Compras!$R183&lt;&gt;"SI","",Registro_Compras!$P183)</f>
        <v/>
      </c>
      <c r="G183" s="20">
        <f>IF(Registro_Compras!$R183&lt;&gt;"SI","",Registro_Compras!$O183)</f>
        <v/>
      </c>
      <c r="H183" s="20">
        <f>IF(Registro_Compras!$R183&lt;&gt;"SI","",Registro_Compras!$S183)</f>
        <v/>
      </c>
      <c r="I183" s="25">
        <f>IF(Registro_Compras!$R183&lt;&gt;"SI","",IF(Registro_Compras!$Y183="",WORKDAY(EOMONTH(Registro_Compras!$B183,0),5,Feriados),MIN(Registro_Compras!$Y183,WORKDAY(EOMONTH(Registro_Compras!$B183,0),5,Feriados))))</f>
        <v/>
      </c>
      <c r="J183" s="25">
        <f>IF(Registro_Compras!$R183&lt;&gt;"SI","",Registro_Compras!$X183)</f>
        <v/>
      </c>
      <c r="K183">
        <f>IF(Registro_Compras!$R183&lt;&gt;"SI","",IF(Registro_Compras!$X183="","PENDIENTE","DEPOSITADA"))</f>
        <v/>
      </c>
      <c r="L183">
        <f>IF(Registro_Compras!$R183&lt;&gt;"SI","",Registro_Compras!$Z183)</f>
        <v/>
      </c>
      <c r="M183">
        <f>IF($K183&lt;&gt;"PENDIENTE","",IF(TODAY()&gt;$I183,TODAY()-$I183,0))</f>
        <v/>
      </c>
      <c r="N183">
        <f>IF($K183&lt;&gt;"PENDIENTE","",IF($M183&gt;0,"VENCIDA - DEPOSITAR YA",IF($I183-TODAY()&lt;=3,"POR VENCER","EN PLAZO")))</f>
        <v/>
      </c>
    </row>
    <row r="184">
      <c r="A184" s="25">
        <f>IF(Registro_Compras!$R184&lt;&gt;"SI","",Registro_Compras!$B184)</f>
        <v/>
      </c>
      <c r="B184">
        <f>IF(Registro_Compras!$R184&lt;&gt;"SI","",Registro_Compras!$C184)</f>
        <v/>
      </c>
      <c r="C184">
        <f>IF(Registro_Compras!$R184&lt;&gt;"SI","",Registro_Compras!$D184)</f>
        <v/>
      </c>
      <c r="D184">
        <f>IF(Registro_Compras!$R184&lt;&gt;"SI","",Registro_Compras!$E184)</f>
        <v/>
      </c>
      <c r="E184">
        <f>IF(Registro_Compras!$R184&lt;&gt;"SI","",Registro_Compras!$G184)</f>
        <v/>
      </c>
      <c r="F184" s="31">
        <f>IF(Registro_Compras!$R184&lt;&gt;"SI","",Registro_Compras!$P184)</f>
        <v/>
      </c>
      <c r="G184" s="20">
        <f>IF(Registro_Compras!$R184&lt;&gt;"SI","",Registro_Compras!$O184)</f>
        <v/>
      </c>
      <c r="H184" s="20">
        <f>IF(Registro_Compras!$R184&lt;&gt;"SI","",Registro_Compras!$S184)</f>
        <v/>
      </c>
      <c r="I184" s="25">
        <f>IF(Registro_Compras!$R184&lt;&gt;"SI","",IF(Registro_Compras!$Y184="",WORKDAY(EOMONTH(Registro_Compras!$B184,0),5,Feriados),MIN(Registro_Compras!$Y184,WORKDAY(EOMONTH(Registro_Compras!$B184,0),5,Feriados))))</f>
        <v/>
      </c>
      <c r="J184" s="25">
        <f>IF(Registro_Compras!$R184&lt;&gt;"SI","",Registro_Compras!$X184)</f>
        <v/>
      </c>
      <c r="K184">
        <f>IF(Registro_Compras!$R184&lt;&gt;"SI","",IF(Registro_Compras!$X184="","PENDIENTE","DEPOSITADA"))</f>
        <v/>
      </c>
      <c r="L184">
        <f>IF(Registro_Compras!$R184&lt;&gt;"SI","",Registro_Compras!$Z184)</f>
        <v/>
      </c>
      <c r="M184">
        <f>IF($K184&lt;&gt;"PENDIENTE","",IF(TODAY()&gt;$I184,TODAY()-$I184,0))</f>
        <v/>
      </c>
      <c r="N184">
        <f>IF($K184&lt;&gt;"PENDIENTE","",IF($M184&gt;0,"VENCIDA - DEPOSITAR YA",IF($I184-TODAY()&lt;=3,"POR VENCER","EN PLAZO")))</f>
        <v/>
      </c>
    </row>
    <row r="185">
      <c r="A185" s="25">
        <f>IF(Registro_Compras!$R185&lt;&gt;"SI","",Registro_Compras!$B185)</f>
        <v/>
      </c>
      <c r="B185">
        <f>IF(Registro_Compras!$R185&lt;&gt;"SI","",Registro_Compras!$C185)</f>
        <v/>
      </c>
      <c r="C185">
        <f>IF(Registro_Compras!$R185&lt;&gt;"SI","",Registro_Compras!$D185)</f>
        <v/>
      </c>
      <c r="D185">
        <f>IF(Registro_Compras!$R185&lt;&gt;"SI","",Registro_Compras!$E185)</f>
        <v/>
      </c>
      <c r="E185">
        <f>IF(Registro_Compras!$R185&lt;&gt;"SI","",Registro_Compras!$G185)</f>
        <v/>
      </c>
      <c r="F185" s="31">
        <f>IF(Registro_Compras!$R185&lt;&gt;"SI","",Registro_Compras!$P185)</f>
        <v/>
      </c>
      <c r="G185" s="20">
        <f>IF(Registro_Compras!$R185&lt;&gt;"SI","",Registro_Compras!$O185)</f>
        <v/>
      </c>
      <c r="H185" s="20">
        <f>IF(Registro_Compras!$R185&lt;&gt;"SI","",Registro_Compras!$S185)</f>
        <v/>
      </c>
      <c r="I185" s="25">
        <f>IF(Registro_Compras!$R185&lt;&gt;"SI","",IF(Registro_Compras!$Y185="",WORKDAY(EOMONTH(Registro_Compras!$B185,0),5,Feriados),MIN(Registro_Compras!$Y185,WORKDAY(EOMONTH(Registro_Compras!$B185,0),5,Feriados))))</f>
        <v/>
      </c>
      <c r="J185" s="25">
        <f>IF(Registro_Compras!$R185&lt;&gt;"SI","",Registro_Compras!$X185)</f>
        <v/>
      </c>
      <c r="K185">
        <f>IF(Registro_Compras!$R185&lt;&gt;"SI","",IF(Registro_Compras!$X185="","PENDIENTE","DEPOSITADA"))</f>
        <v/>
      </c>
      <c r="L185">
        <f>IF(Registro_Compras!$R185&lt;&gt;"SI","",Registro_Compras!$Z185)</f>
        <v/>
      </c>
      <c r="M185">
        <f>IF($K185&lt;&gt;"PENDIENTE","",IF(TODAY()&gt;$I185,TODAY()-$I185,0))</f>
        <v/>
      </c>
      <c r="N185">
        <f>IF($K185&lt;&gt;"PENDIENTE","",IF($M185&gt;0,"VENCIDA - DEPOSITAR YA",IF($I185-TODAY()&lt;=3,"POR VENCER","EN PLAZO")))</f>
        <v/>
      </c>
    </row>
    <row r="186">
      <c r="A186" s="25">
        <f>IF(Registro_Compras!$R186&lt;&gt;"SI","",Registro_Compras!$B186)</f>
        <v/>
      </c>
      <c r="B186">
        <f>IF(Registro_Compras!$R186&lt;&gt;"SI","",Registro_Compras!$C186)</f>
        <v/>
      </c>
      <c r="C186">
        <f>IF(Registro_Compras!$R186&lt;&gt;"SI","",Registro_Compras!$D186)</f>
        <v/>
      </c>
      <c r="D186">
        <f>IF(Registro_Compras!$R186&lt;&gt;"SI","",Registro_Compras!$E186)</f>
        <v/>
      </c>
      <c r="E186">
        <f>IF(Registro_Compras!$R186&lt;&gt;"SI","",Registro_Compras!$G186)</f>
        <v/>
      </c>
      <c r="F186" s="31">
        <f>IF(Registro_Compras!$R186&lt;&gt;"SI","",Registro_Compras!$P186)</f>
        <v/>
      </c>
      <c r="G186" s="20">
        <f>IF(Registro_Compras!$R186&lt;&gt;"SI","",Registro_Compras!$O186)</f>
        <v/>
      </c>
      <c r="H186" s="20">
        <f>IF(Registro_Compras!$R186&lt;&gt;"SI","",Registro_Compras!$S186)</f>
        <v/>
      </c>
      <c r="I186" s="25">
        <f>IF(Registro_Compras!$R186&lt;&gt;"SI","",IF(Registro_Compras!$Y186="",WORKDAY(EOMONTH(Registro_Compras!$B186,0),5,Feriados),MIN(Registro_Compras!$Y186,WORKDAY(EOMONTH(Registro_Compras!$B186,0),5,Feriados))))</f>
        <v/>
      </c>
      <c r="J186" s="25">
        <f>IF(Registro_Compras!$R186&lt;&gt;"SI","",Registro_Compras!$X186)</f>
        <v/>
      </c>
      <c r="K186">
        <f>IF(Registro_Compras!$R186&lt;&gt;"SI","",IF(Registro_Compras!$X186="","PENDIENTE","DEPOSITADA"))</f>
        <v/>
      </c>
      <c r="L186">
        <f>IF(Registro_Compras!$R186&lt;&gt;"SI","",Registro_Compras!$Z186)</f>
        <v/>
      </c>
      <c r="M186">
        <f>IF($K186&lt;&gt;"PENDIENTE","",IF(TODAY()&gt;$I186,TODAY()-$I186,0))</f>
        <v/>
      </c>
      <c r="N186">
        <f>IF($K186&lt;&gt;"PENDIENTE","",IF($M186&gt;0,"VENCIDA - DEPOSITAR YA",IF($I186-TODAY()&lt;=3,"POR VENCER","EN PLAZO")))</f>
        <v/>
      </c>
    </row>
    <row r="187">
      <c r="A187" s="25">
        <f>IF(Registro_Compras!$R187&lt;&gt;"SI","",Registro_Compras!$B187)</f>
        <v/>
      </c>
      <c r="B187">
        <f>IF(Registro_Compras!$R187&lt;&gt;"SI","",Registro_Compras!$C187)</f>
        <v/>
      </c>
      <c r="C187">
        <f>IF(Registro_Compras!$R187&lt;&gt;"SI","",Registro_Compras!$D187)</f>
        <v/>
      </c>
      <c r="D187">
        <f>IF(Registro_Compras!$R187&lt;&gt;"SI","",Registro_Compras!$E187)</f>
        <v/>
      </c>
      <c r="E187">
        <f>IF(Registro_Compras!$R187&lt;&gt;"SI","",Registro_Compras!$G187)</f>
        <v/>
      </c>
      <c r="F187" s="31">
        <f>IF(Registro_Compras!$R187&lt;&gt;"SI","",Registro_Compras!$P187)</f>
        <v/>
      </c>
      <c r="G187" s="20">
        <f>IF(Registro_Compras!$R187&lt;&gt;"SI","",Registro_Compras!$O187)</f>
        <v/>
      </c>
      <c r="H187" s="20">
        <f>IF(Registro_Compras!$R187&lt;&gt;"SI","",Registro_Compras!$S187)</f>
        <v/>
      </c>
      <c r="I187" s="25">
        <f>IF(Registro_Compras!$R187&lt;&gt;"SI","",IF(Registro_Compras!$Y187="",WORKDAY(EOMONTH(Registro_Compras!$B187,0),5,Feriados),MIN(Registro_Compras!$Y187,WORKDAY(EOMONTH(Registro_Compras!$B187,0),5,Feriados))))</f>
        <v/>
      </c>
      <c r="J187" s="25">
        <f>IF(Registro_Compras!$R187&lt;&gt;"SI","",Registro_Compras!$X187)</f>
        <v/>
      </c>
      <c r="K187">
        <f>IF(Registro_Compras!$R187&lt;&gt;"SI","",IF(Registro_Compras!$X187="","PENDIENTE","DEPOSITADA"))</f>
        <v/>
      </c>
      <c r="L187">
        <f>IF(Registro_Compras!$R187&lt;&gt;"SI","",Registro_Compras!$Z187)</f>
        <v/>
      </c>
      <c r="M187">
        <f>IF($K187&lt;&gt;"PENDIENTE","",IF(TODAY()&gt;$I187,TODAY()-$I187,0))</f>
        <v/>
      </c>
      <c r="N187">
        <f>IF($K187&lt;&gt;"PENDIENTE","",IF($M187&gt;0,"VENCIDA - DEPOSITAR YA",IF($I187-TODAY()&lt;=3,"POR VENCER","EN PLAZO")))</f>
        <v/>
      </c>
    </row>
    <row r="188">
      <c r="A188" s="25">
        <f>IF(Registro_Compras!$R188&lt;&gt;"SI","",Registro_Compras!$B188)</f>
        <v/>
      </c>
      <c r="B188">
        <f>IF(Registro_Compras!$R188&lt;&gt;"SI","",Registro_Compras!$C188)</f>
        <v/>
      </c>
      <c r="C188">
        <f>IF(Registro_Compras!$R188&lt;&gt;"SI","",Registro_Compras!$D188)</f>
        <v/>
      </c>
      <c r="D188">
        <f>IF(Registro_Compras!$R188&lt;&gt;"SI","",Registro_Compras!$E188)</f>
        <v/>
      </c>
      <c r="E188">
        <f>IF(Registro_Compras!$R188&lt;&gt;"SI","",Registro_Compras!$G188)</f>
        <v/>
      </c>
      <c r="F188" s="31">
        <f>IF(Registro_Compras!$R188&lt;&gt;"SI","",Registro_Compras!$P188)</f>
        <v/>
      </c>
      <c r="G188" s="20">
        <f>IF(Registro_Compras!$R188&lt;&gt;"SI","",Registro_Compras!$O188)</f>
        <v/>
      </c>
      <c r="H188" s="20">
        <f>IF(Registro_Compras!$R188&lt;&gt;"SI","",Registro_Compras!$S188)</f>
        <v/>
      </c>
      <c r="I188" s="25">
        <f>IF(Registro_Compras!$R188&lt;&gt;"SI","",IF(Registro_Compras!$Y188="",WORKDAY(EOMONTH(Registro_Compras!$B188,0),5,Feriados),MIN(Registro_Compras!$Y188,WORKDAY(EOMONTH(Registro_Compras!$B188,0),5,Feriados))))</f>
        <v/>
      </c>
      <c r="J188" s="25">
        <f>IF(Registro_Compras!$R188&lt;&gt;"SI","",Registro_Compras!$X188)</f>
        <v/>
      </c>
      <c r="K188">
        <f>IF(Registro_Compras!$R188&lt;&gt;"SI","",IF(Registro_Compras!$X188="","PENDIENTE","DEPOSITADA"))</f>
        <v/>
      </c>
      <c r="L188">
        <f>IF(Registro_Compras!$R188&lt;&gt;"SI","",Registro_Compras!$Z188)</f>
        <v/>
      </c>
      <c r="M188">
        <f>IF($K188&lt;&gt;"PENDIENTE","",IF(TODAY()&gt;$I188,TODAY()-$I188,0))</f>
        <v/>
      </c>
      <c r="N188">
        <f>IF($K188&lt;&gt;"PENDIENTE","",IF($M188&gt;0,"VENCIDA - DEPOSITAR YA",IF($I188-TODAY()&lt;=3,"POR VENCER","EN PLAZO")))</f>
        <v/>
      </c>
    </row>
    <row r="189">
      <c r="A189" s="25">
        <f>IF(Registro_Compras!$R189&lt;&gt;"SI","",Registro_Compras!$B189)</f>
        <v/>
      </c>
      <c r="B189">
        <f>IF(Registro_Compras!$R189&lt;&gt;"SI","",Registro_Compras!$C189)</f>
        <v/>
      </c>
      <c r="C189">
        <f>IF(Registro_Compras!$R189&lt;&gt;"SI","",Registro_Compras!$D189)</f>
        <v/>
      </c>
      <c r="D189">
        <f>IF(Registro_Compras!$R189&lt;&gt;"SI","",Registro_Compras!$E189)</f>
        <v/>
      </c>
      <c r="E189">
        <f>IF(Registro_Compras!$R189&lt;&gt;"SI","",Registro_Compras!$G189)</f>
        <v/>
      </c>
      <c r="F189" s="31">
        <f>IF(Registro_Compras!$R189&lt;&gt;"SI","",Registro_Compras!$P189)</f>
        <v/>
      </c>
      <c r="G189" s="20">
        <f>IF(Registro_Compras!$R189&lt;&gt;"SI","",Registro_Compras!$O189)</f>
        <v/>
      </c>
      <c r="H189" s="20">
        <f>IF(Registro_Compras!$R189&lt;&gt;"SI","",Registro_Compras!$S189)</f>
        <v/>
      </c>
      <c r="I189" s="25">
        <f>IF(Registro_Compras!$R189&lt;&gt;"SI","",IF(Registro_Compras!$Y189="",WORKDAY(EOMONTH(Registro_Compras!$B189,0),5,Feriados),MIN(Registro_Compras!$Y189,WORKDAY(EOMONTH(Registro_Compras!$B189,0),5,Feriados))))</f>
        <v/>
      </c>
      <c r="J189" s="25">
        <f>IF(Registro_Compras!$R189&lt;&gt;"SI","",Registro_Compras!$X189)</f>
        <v/>
      </c>
      <c r="K189">
        <f>IF(Registro_Compras!$R189&lt;&gt;"SI","",IF(Registro_Compras!$X189="","PENDIENTE","DEPOSITADA"))</f>
        <v/>
      </c>
      <c r="L189">
        <f>IF(Registro_Compras!$R189&lt;&gt;"SI","",Registro_Compras!$Z189)</f>
        <v/>
      </c>
      <c r="M189">
        <f>IF($K189&lt;&gt;"PENDIENTE","",IF(TODAY()&gt;$I189,TODAY()-$I189,0))</f>
        <v/>
      </c>
      <c r="N189">
        <f>IF($K189&lt;&gt;"PENDIENTE","",IF($M189&gt;0,"VENCIDA - DEPOSITAR YA",IF($I189-TODAY()&lt;=3,"POR VENCER","EN PLAZO")))</f>
        <v/>
      </c>
    </row>
    <row r="190">
      <c r="A190" s="25">
        <f>IF(Registro_Compras!$R190&lt;&gt;"SI","",Registro_Compras!$B190)</f>
        <v/>
      </c>
      <c r="B190">
        <f>IF(Registro_Compras!$R190&lt;&gt;"SI","",Registro_Compras!$C190)</f>
        <v/>
      </c>
      <c r="C190">
        <f>IF(Registro_Compras!$R190&lt;&gt;"SI","",Registro_Compras!$D190)</f>
        <v/>
      </c>
      <c r="D190">
        <f>IF(Registro_Compras!$R190&lt;&gt;"SI","",Registro_Compras!$E190)</f>
        <v/>
      </c>
      <c r="E190">
        <f>IF(Registro_Compras!$R190&lt;&gt;"SI","",Registro_Compras!$G190)</f>
        <v/>
      </c>
      <c r="F190" s="31">
        <f>IF(Registro_Compras!$R190&lt;&gt;"SI","",Registro_Compras!$P190)</f>
        <v/>
      </c>
      <c r="G190" s="20">
        <f>IF(Registro_Compras!$R190&lt;&gt;"SI","",Registro_Compras!$O190)</f>
        <v/>
      </c>
      <c r="H190" s="20">
        <f>IF(Registro_Compras!$R190&lt;&gt;"SI","",Registro_Compras!$S190)</f>
        <v/>
      </c>
      <c r="I190" s="25">
        <f>IF(Registro_Compras!$R190&lt;&gt;"SI","",IF(Registro_Compras!$Y190="",WORKDAY(EOMONTH(Registro_Compras!$B190,0),5,Feriados),MIN(Registro_Compras!$Y190,WORKDAY(EOMONTH(Registro_Compras!$B190,0),5,Feriados))))</f>
        <v/>
      </c>
      <c r="J190" s="25">
        <f>IF(Registro_Compras!$R190&lt;&gt;"SI","",Registro_Compras!$X190)</f>
        <v/>
      </c>
      <c r="K190">
        <f>IF(Registro_Compras!$R190&lt;&gt;"SI","",IF(Registro_Compras!$X190="","PENDIENTE","DEPOSITADA"))</f>
        <v/>
      </c>
      <c r="L190">
        <f>IF(Registro_Compras!$R190&lt;&gt;"SI","",Registro_Compras!$Z190)</f>
        <v/>
      </c>
      <c r="M190">
        <f>IF($K190&lt;&gt;"PENDIENTE","",IF(TODAY()&gt;$I190,TODAY()-$I190,0))</f>
        <v/>
      </c>
      <c r="N190">
        <f>IF($K190&lt;&gt;"PENDIENTE","",IF($M190&gt;0,"VENCIDA - DEPOSITAR YA",IF($I190-TODAY()&lt;=3,"POR VENCER","EN PLAZO")))</f>
        <v/>
      </c>
    </row>
    <row r="191">
      <c r="A191" s="25">
        <f>IF(Registro_Compras!$R191&lt;&gt;"SI","",Registro_Compras!$B191)</f>
        <v/>
      </c>
      <c r="B191">
        <f>IF(Registro_Compras!$R191&lt;&gt;"SI","",Registro_Compras!$C191)</f>
        <v/>
      </c>
      <c r="C191">
        <f>IF(Registro_Compras!$R191&lt;&gt;"SI","",Registro_Compras!$D191)</f>
        <v/>
      </c>
      <c r="D191">
        <f>IF(Registro_Compras!$R191&lt;&gt;"SI","",Registro_Compras!$E191)</f>
        <v/>
      </c>
      <c r="E191">
        <f>IF(Registro_Compras!$R191&lt;&gt;"SI","",Registro_Compras!$G191)</f>
        <v/>
      </c>
      <c r="F191" s="31">
        <f>IF(Registro_Compras!$R191&lt;&gt;"SI","",Registro_Compras!$P191)</f>
        <v/>
      </c>
      <c r="G191" s="20">
        <f>IF(Registro_Compras!$R191&lt;&gt;"SI","",Registro_Compras!$O191)</f>
        <v/>
      </c>
      <c r="H191" s="20">
        <f>IF(Registro_Compras!$R191&lt;&gt;"SI","",Registro_Compras!$S191)</f>
        <v/>
      </c>
      <c r="I191" s="25">
        <f>IF(Registro_Compras!$R191&lt;&gt;"SI","",IF(Registro_Compras!$Y191="",WORKDAY(EOMONTH(Registro_Compras!$B191,0),5,Feriados),MIN(Registro_Compras!$Y191,WORKDAY(EOMONTH(Registro_Compras!$B191,0),5,Feriados))))</f>
        <v/>
      </c>
      <c r="J191" s="25">
        <f>IF(Registro_Compras!$R191&lt;&gt;"SI","",Registro_Compras!$X191)</f>
        <v/>
      </c>
      <c r="K191">
        <f>IF(Registro_Compras!$R191&lt;&gt;"SI","",IF(Registro_Compras!$X191="","PENDIENTE","DEPOSITADA"))</f>
        <v/>
      </c>
      <c r="L191">
        <f>IF(Registro_Compras!$R191&lt;&gt;"SI","",Registro_Compras!$Z191)</f>
        <v/>
      </c>
      <c r="M191">
        <f>IF($K191&lt;&gt;"PENDIENTE","",IF(TODAY()&gt;$I191,TODAY()-$I191,0))</f>
        <v/>
      </c>
      <c r="N191">
        <f>IF($K191&lt;&gt;"PENDIENTE","",IF($M191&gt;0,"VENCIDA - DEPOSITAR YA",IF($I191-TODAY()&lt;=3,"POR VENCER","EN PLAZO")))</f>
        <v/>
      </c>
    </row>
    <row r="192">
      <c r="A192" s="25">
        <f>IF(Registro_Compras!$R192&lt;&gt;"SI","",Registro_Compras!$B192)</f>
        <v/>
      </c>
      <c r="B192">
        <f>IF(Registro_Compras!$R192&lt;&gt;"SI","",Registro_Compras!$C192)</f>
        <v/>
      </c>
      <c r="C192">
        <f>IF(Registro_Compras!$R192&lt;&gt;"SI","",Registro_Compras!$D192)</f>
        <v/>
      </c>
      <c r="D192">
        <f>IF(Registro_Compras!$R192&lt;&gt;"SI","",Registro_Compras!$E192)</f>
        <v/>
      </c>
      <c r="E192">
        <f>IF(Registro_Compras!$R192&lt;&gt;"SI","",Registro_Compras!$G192)</f>
        <v/>
      </c>
      <c r="F192" s="31">
        <f>IF(Registro_Compras!$R192&lt;&gt;"SI","",Registro_Compras!$P192)</f>
        <v/>
      </c>
      <c r="G192" s="20">
        <f>IF(Registro_Compras!$R192&lt;&gt;"SI","",Registro_Compras!$O192)</f>
        <v/>
      </c>
      <c r="H192" s="20">
        <f>IF(Registro_Compras!$R192&lt;&gt;"SI","",Registro_Compras!$S192)</f>
        <v/>
      </c>
      <c r="I192" s="25">
        <f>IF(Registro_Compras!$R192&lt;&gt;"SI","",IF(Registro_Compras!$Y192="",WORKDAY(EOMONTH(Registro_Compras!$B192,0),5,Feriados),MIN(Registro_Compras!$Y192,WORKDAY(EOMONTH(Registro_Compras!$B192,0),5,Feriados))))</f>
        <v/>
      </c>
      <c r="J192" s="25">
        <f>IF(Registro_Compras!$R192&lt;&gt;"SI","",Registro_Compras!$X192)</f>
        <v/>
      </c>
      <c r="K192">
        <f>IF(Registro_Compras!$R192&lt;&gt;"SI","",IF(Registro_Compras!$X192="","PENDIENTE","DEPOSITADA"))</f>
        <v/>
      </c>
      <c r="L192">
        <f>IF(Registro_Compras!$R192&lt;&gt;"SI","",Registro_Compras!$Z192)</f>
        <v/>
      </c>
      <c r="M192">
        <f>IF($K192&lt;&gt;"PENDIENTE","",IF(TODAY()&gt;$I192,TODAY()-$I192,0))</f>
        <v/>
      </c>
      <c r="N192">
        <f>IF($K192&lt;&gt;"PENDIENTE","",IF($M192&gt;0,"VENCIDA - DEPOSITAR YA",IF($I192-TODAY()&lt;=3,"POR VENCER","EN PLAZO")))</f>
        <v/>
      </c>
    </row>
    <row r="193">
      <c r="A193" s="25">
        <f>IF(Registro_Compras!$R193&lt;&gt;"SI","",Registro_Compras!$B193)</f>
        <v/>
      </c>
      <c r="B193">
        <f>IF(Registro_Compras!$R193&lt;&gt;"SI","",Registro_Compras!$C193)</f>
        <v/>
      </c>
      <c r="C193">
        <f>IF(Registro_Compras!$R193&lt;&gt;"SI","",Registro_Compras!$D193)</f>
        <v/>
      </c>
      <c r="D193">
        <f>IF(Registro_Compras!$R193&lt;&gt;"SI","",Registro_Compras!$E193)</f>
        <v/>
      </c>
      <c r="E193">
        <f>IF(Registro_Compras!$R193&lt;&gt;"SI","",Registro_Compras!$G193)</f>
        <v/>
      </c>
      <c r="F193" s="31">
        <f>IF(Registro_Compras!$R193&lt;&gt;"SI","",Registro_Compras!$P193)</f>
        <v/>
      </c>
      <c r="G193" s="20">
        <f>IF(Registro_Compras!$R193&lt;&gt;"SI","",Registro_Compras!$O193)</f>
        <v/>
      </c>
      <c r="H193" s="20">
        <f>IF(Registro_Compras!$R193&lt;&gt;"SI","",Registro_Compras!$S193)</f>
        <v/>
      </c>
      <c r="I193" s="25">
        <f>IF(Registro_Compras!$R193&lt;&gt;"SI","",IF(Registro_Compras!$Y193="",WORKDAY(EOMONTH(Registro_Compras!$B193,0),5,Feriados),MIN(Registro_Compras!$Y193,WORKDAY(EOMONTH(Registro_Compras!$B193,0),5,Feriados))))</f>
        <v/>
      </c>
      <c r="J193" s="25">
        <f>IF(Registro_Compras!$R193&lt;&gt;"SI","",Registro_Compras!$X193)</f>
        <v/>
      </c>
      <c r="K193">
        <f>IF(Registro_Compras!$R193&lt;&gt;"SI","",IF(Registro_Compras!$X193="","PENDIENTE","DEPOSITADA"))</f>
        <v/>
      </c>
      <c r="L193">
        <f>IF(Registro_Compras!$R193&lt;&gt;"SI","",Registro_Compras!$Z193)</f>
        <v/>
      </c>
      <c r="M193">
        <f>IF($K193&lt;&gt;"PENDIENTE","",IF(TODAY()&gt;$I193,TODAY()-$I193,0))</f>
        <v/>
      </c>
      <c r="N193">
        <f>IF($K193&lt;&gt;"PENDIENTE","",IF($M193&gt;0,"VENCIDA - DEPOSITAR YA",IF($I193-TODAY()&lt;=3,"POR VENCER","EN PLAZO")))</f>
        <v/>
      </c>
    </row>
    <row r="194">
      <c r="A194" s="25">
        <f>IF(Registro_Compras!$R194&lt;&gt;"SI","",Registro_Compras!$B194)</f>
        <v/>
      </c>
      <c r="B194">
        <f>IF(Registro_Compras!$R194&lt;&gt;"SI","",Registro_Compras!$C194)</f>
        <v/>
      </c>
      <c r="C194">
        <f>IF(Registro_Compras!$R194&lt;&gt;"SI","",Registro_Compras!$D194)</f>
        <v/>
      </c>
      <c r="D194">
        <f>IF(Registro_Compras!$R194&lt;&gt;"SI","",Registro_Compras!$E194)</f>
        <v/>
      </c>
      <c r="E194">
        <f>IF(Registro_Compras!$R194&lt;&gt;"SI","",Registro_Compras!$G194)</f>
        <v/>
      </c>
      <c r="F194" s="31">
        <f>IF(Registro_Compras!$R194&lt;&gt;"SI","",Registro_Compras!$P194)</f>
        <v/>
      </c>
      <c r="G194" s="20">
        <f>IF(Registro_Compras!$R194&lt;&gt;"SI","",Registro_Compras!$O194)</f>
        <v/>
      </c>
      <c r="H194" s="20">
        <f>IF(Registro_Compras!$R194&lt;&gt;"SI","",Registro_Compras!$S194)</f>
        <v/>
      </c>
      <c r="I194" s="25">
        <f>IF(Registro_Compras!$R194&lt;&gt;"SI","",IF(Registro_Compras!$Y194="",WORKDAY(EOMONTH(Registro_Compras!$B194,0),5,Feriados),MIN(Registro_Compras!$Y194,WORKDAY(EOMONTH(Registro_Compras!$B194,0),5,Feriados))))</f>
        <v/>
      </c>
      <c r="J194" s="25">
        <f>IF(Registro_Compras!$R194&lt;&gt;"SI","",Registro_Compras!$X194)</f>
        <v/>
      </c>
      <c r="K194">
        <f>IF(Registro_Compras!$R194&lt;&gt;"SI","",IF(Registro_Compras!$X194="","PENDIENTE","DEPOSITADA"))</f>
        <v/>
      </c>
      <c r="L194">
        <f>IF(Registro_Compras!$R194&lt;&gt;"SI","",Registro_Compras!$Z194)</f>
        <v/>
      </c>
      <c r="M194">
        <f>IF($K194&lt;&gt;"PENDIENTE","",IF(TODAY()&gt;$I194,TODAY()-$I194,0))</f>
        <v/>
      </c>
      <c r="N194">
        <f>IF($K194&lt;&gt;"PENDIENTE","",IF($M194&gt;0,"VENCIDA - DEPOSITAR YA",IF($I194-TODAY()&lt;=3,"POR VENCER","EN PLAZO")))</f>
        <v/>
      </c>
    </row>
    <row r="195">
      <c r="A195" s="25">
        <f>IF(Registro_Compras!$R195&lt;&gt;"SI","",Registro_Compras!$B195)</f>
        <v/>
      </c>
      <c r="B195">
        <f>IF(Registro_Compras!$R195&lt;&gt;"SI","",Registro_Compras!$C195)</f>
        <v/>
      </c>
      <c r="C195">
        <f>IF(Registro_Compras!$R195&lt;&gt;"SI","",Registro_Compras!$D195)</f>
        <v/>
      </c>
      <c r="D195">
        <f>IF(Registro_Compras!$R195&lt;&gt;"SI","",Registro_Compras!$E195)</f>
        <v/>
      </c>
      <c r="E195">
        <f>IF(Registro_Compras!$R195&lt;&gt;"SI","",Registro_Compras!$G195)</f>
        <v/>
      </c>
      <c r="F195" s="31">
        <f>IF(Registro_Compras!$R195&lt;&gt;"SI","",Registro_Compras!$P195)</f>
        <v/>
      </c>
      <c r="G195" s="20">
        <f>IF(Registro_Compras!$R195&lt;&gt;"SI","",Registro_Compras!$O195)</f>
        <v/>
      </c>
      <c r="H195" s="20">
        <f>IF(Registro_Compras!$R195&lt;&gt;"SI","",Registro_Compras!$S195)</f>
        <v/>
      </c>
      <c r="I195" s="25">
        <f>IF(Registro_Compras!$R195&lt;&gt;"SI","",IF(Registro_Compras!$Y195="",WORKDAY(EOMONTH(Registro_Compras!$B195,0),5,Feriados),MIN(Registro_Compras!$Y195,WORKDAY(EOMONTH(Registro_Compras!$B195,0),5,Feriados))))</f>
        <v/>
      </c>
      <c r="J195" s="25">
        <f>IF(Registro_Compras!$R195&lt;&gt;"SI","",Registro_Compras!$X195)</f>
        <v/>
      </c>
      <c r="K195">
        <f>IF(Registro_Compras!$R195&lt;&gt;"SI","",IF(Registro_Compras!$X195="","PENDIENTE","DEPOSITADA"))</f>
        <v/>
      </c>
      <c r="L195">
        <f>IF(Registro_Compras!$R195&lt;&gt;"SI","",Registro_Compras!$Z195)</f>
        <v/>
      </c>
      <c r="M195">
        <f>IF($K195&lt;&gt;"PENDIENTE","",IF(TODAY()&gt;$I195,TODAY()-$I195,0))</f>
        <v/>
      </c>
      <c r="N195">
        <f>IF($K195&lt;&gt;"PENDIENTE","",IF($M195&gt;0,"VENCIDA - DEPOSITAR YA",IF($I195-TODAY()&lt;=3,"POR VENCER","EN PLAZO")))</f>
        <v/>
      </c>
    </row>
    <row r="196">
      <c r="A196" s="25">
        <f>IF(Registro_Compras!$R196&lt;&gt;"SI","",Registro_Compras!$B196)</f>
        <v/>
      </c>
      <c r="B196">
        <f>IF(Registro_Compras!$R196&lt;&gt;"SI","",Registro_Compras!$C196)</f>
        <v/>
      </c>
      <c r="C196">
        <f>IF(Registro_Compras!$R196&lt;&gt;"SI","",Registro_Compras!$D196)</f>
        <v/>
      </c>
      <c r="D196">
        <f>IF(Registro_Compras!$R196&lt;&gt;"SI","",Registro_Compras!$E196)</f>
        <v/>
      </c>
      <c r="E196">
        <f>IF(Registro_Compras!$R196&lt;&gt;"SI","",Registro_Compras!$G196)</f>
        <v/>
      </c>
      <c r="F196" s="31">
        <f>IF(Registro_Compras!$R196&lt;&gt;"SI","",Registro_Compras!$P196)</f>
        <v/>
      </c>
      <c r="G196" s="20">
        <f>IF(Registro_Compras!$R196&lt;&gt;"SI","",Registro_Compras!$O196)</f>
        <v/>
      </c>
      <c r="H196" s="20">
        <f>IF(Registro_Compras!$R196&lt;&gt;"SI","",Registro_Compras!$S196)</f>
        <v/>
      </c>
      <c r="I196" s="25">
        <f>IF(Registro_Compras!$R196&lt;&gt;"SI","",IF(Registro_Compras!$Y196="",WORKDAY(EOMONTH(Registro_Compras!$B196,0),5,Feriados),MIN(Registro_Compras!$Y196,WORKDAY(EOMONTH(Registro_Compras!$B196,0),5,Feriados))))</f>
        <v/>
      </c>
      <c r="J196" s="25">
        <f>IF(Registro_Compras!$R196&lt;&gt;"SI","",Registro_Compras!$X196)</f>
        <v/>
      </c>
      <c r="K196">
        <f>IF(Registro_Compras!$R196&lt;&gt;"SI","",IF(Registro_Compras!$X196="","PENDIENTE","DEPOSITADA"))</f>
        <v/>
      </c>
      <c r="L196">
        <f>IF(Registro_Compras!$R196&lt;&gt;"SI","",Registro_Compras!$Z196)</f>
        <v/>
      </c>
      <c r="M196">
        <f>IF($K196&lt;&gt;"PENDIENTE","",IF(TODAY()&gt;$I196,TODAY()-$I196,0))</f>
        <v/>
      </c>
      <c r="N196">
        <f>IF($K196&lt;&gt;"PENDIENTE","",IF($M196&gt;0,"VENCIDA - DEPOSITAR YA",IF($I196-TODAY()&lt;=3,"POR VENCER","EN PLAZO")))</f>
        <v/>
      </c>
    </row>
    <row r="197">
      <c r="A197" s="25">
        <f>IF(Registro_Compras!$R197&lt;&gt;"SI","",Registro_Compras!$B197)</f>
        <v/>
      </c>
      <c r="B197">
        <f>IF(Registro_Compras!$R197&lt;&gt;"SI","",Registro_Compras!$C197)</f>
        <v/>
      </c>
      <c r="C197">
        <f>IF(Registro_Compras!$R197&lt;&gt;"SI","",Registro_Compras!$D197)</f>
        <v/>
      </c>
      <c r="D197">
        <f>IF(Registro_Compras!$R197&lt;&gt;"SI","",Registro_Compras!$E197)</f>
        <v/>
      </c>
      <c r="E197">
        <f>IF(Registro_Compras!$R197&lt;&gt;"SI","",Registro_Compras!$G197)</f>
        <v/>
      </c>
      <c r="F197" s="31">
        <f>IF(Registro_Compras!$R197&lt;&gt;"SI","",Registro_Compras!$P197)</f>
        <v/>
      </c>
      <c r="G197" s="20">
        <f>IF(Registro_Compras!$R197&lt;&gt;"SI","",Registro_Compras!$O197)</f>
        <v/>
      </c>
      <c r="H197" s="20">
        <f>IF(Registro_Compras!$R197&lt;&gt;"SI","",Registro_Compras!$S197)</f>
        <v/>
      </c>
      <c r="I197" s="25">
        <f>IF(Registro_Compras!$R197&lt;&gt;"SI","",IF(Registro_Compras!$Y197="",WORKDAY(EOMONTH(Registro_Compras!$B197,0),5,Feriados),MIN(Registro_Compras!$Y197,WORKDAY(EOMONTH(Registro_Compras!$B197,0),5,Feriados))))</f>
        <v/>
      </c>
      <c r="J197" s="25">
        <f>IF(Registro_Compras!$R197&lt;&gt;"SI","",Registro_Compras!$X197)</f>
        <v/>
      </c>
      <c r="K197">
        <f>IF(Registro_Compras!$R197&lt;&gt;"SI","",IF(Registro_Compras!$X197="","PENDIENTE","DEPOSITADA"))</f>
        <v/>
      </c>
      <c r="L197">
        <f>IF(Registro_Compras!$R197&lt;&gt;"SI","",Registro_Compras!$Z197)</f>
        <v/>
      </c>
      <c r="M197">
        <f>IF($K197&lt;&gt;"PENDIENTE","",IF(TODAY()&gt;$I197,TODAY()-$I197,0))</f>
        <v/>
      </c>
      <c r="N197">
        <f>IF($K197&lt;&gt;"PENDIENTE","",IF($M197&gt;0,"VENCIDA - DEPOSITAR YA",IF($I197-TODAY()&lt;=3,"POR VENCER","EN PLAZO")))</f>
        <v/>
      </c>
    </row>
    <row r="198">
      <c r="A198" s="25">
        <f>IF(Registro_Compras!$R198&lt;&gt;"SI","",Registro_Compras!$B198)</f>
        <v/>
      </c>
      <c r="B198">
        <f>IF(Registro_Compras!$R198&lt;&gt;"SI","",Registro_Compras!$C198)</f>
        <v/>
      </c>
      <c r="C198">
        <f>IF(Registro_Compras!$R198&lt;&gt;"SI","",Registro_Compras!$D198)</f>
        <v/>
      </c>
      <c r="D198">
        <f>IF(Registro_Compras!$R198&lt;&gt;"SI","",Registro_Compras!$E198)</f>
        <v/>
      </c>
      <c r="E198">
        <f>IF(Registro_Compras!$R198&lt;&gt;"SI","",Registro_Compras!$G198)</f>
        <v/>
      </c>
      <c r="F198" s="31">
        <f>IF(Registro_Compras!$R198&lt;&gt;"SI","",Registro_Compras!$P198)</f>
        <v/>
      </c>
      <c r="G198" s="20">
        <f>IF(Registro_Compras!$R198&lt;&gt;"SI","",Registro_Compras!$O198)</f>
        <v/>
      </c>
      <c r="H198" s="20">
        <f>IF(Registro_Compras!$R198&lt;&gt;"SI","",Registro_Compras!$S198)</f>
        <v/>
      </c>
      <c r="I198" s="25">
        <f>IF(Registro_Compras!$R198&lt;&gt;"SI","",IF(Registro_Compras!$Y198="",WORKDAY(EOMONTH(Registro_Compras!$B198,0),5,Feriados),MIN(Registro_Compras!$Y198,WORKDAY(EOMONTH(Registro_Compras!$B198,0),5,Feriados))))</f>
        <v/>
      </c>
      <c r="J198" s="25">
        <f>IF(Registro_Compras!$R198&lt;&gt;"SI","",Registro_Compras!$X198)</f>
        <v/>
      </c>
      <c r="K198">
        <f>IF(Registro_Compras!$R198&lt;&gt;"SI","",IF(Registro_Compras!$X198="","PENDIENTE","DEPOSITADA"))</f>
        <v/>
      </c>
      <c r="L198">
        <f>IF(Registro_Compras!$R198&lt;&gt;"SI","",Registro_Compras!$Z198)</f>
        <v/>
      </c>
      <c r="M198">
        <f>IF($K198&lt;&gt;"PENDIENTE","",IF(TODAY()&gt;$I198,TODAY()-$I198,0))</f>
        <v/>
      </c>
      <c r="N198">
        <f>IF($K198&lt;&gt;"PENDIENTE","",IF($M198&gt;0,"VENCIDA - DEPOSITAR YA",IF($I198-TODAY()&lt;=3,"POR VENCER","EN PLAZO")))</f>
        <v/>
      </c>
    </row>
    <row r="199">
      <c r="A199" s="25">
        <f>IF(Registro_Compras!$R199&lt;&gt;"SI","",Registro_Compras!$B199)</f>
        <v/>
      </c>
      <c r="B199">
        <f>IF(Registro_Compras!$R199&lt;&gt;"SI","",Registro_Compras!$C199)</f>
        <v/>
      </c>
      <c r="C199">
        <f>IF(Registro_Compras!$R199&lt;&gt;"SI","",Registro_Compras!$D199)</f>
        <v/>
      </c>
      <c r="D199">
        <f>IF(Registro_Compras!$R199&lt;&gt;"SI","",Registro_Compras!$E199)</f>
        <v/>
      </c>
      <c r="E199">
        <f>IF(Registro_Compras!$R199&lt;&gt;"SI","",Registro_Compras!$G199)</f>
        <v/>
      </c>
      <c r="F199" s="31">
        <f>IF(Registro_Compras!$R199&lt;&gt;"SI","",Registro_Compras!$P199)</f>
        <v/>
      </c>
      <c r="G199" s="20">
        <f>IF(Registro_Compras!$R199&lt;&gt;"SI","",Registro_Compras!$O199)</f>
        <v/>
      </c>
      <c r="H199" s="20">
        <f>IF(Registro_Compras!$R199&lt;&gt;"SI","",Registro_Compras!$S199)</f>
        <v/>
      </c>
      <c r="I199" s="25">
        <f>IF(Registro_Compras!$R199&lt;&gt;"SI","",IF(Registro_Compras!$Y199="",WORKDAY(EOMONTH(Registro_Compras!$B199,0),5,Feriados),MIN(Registro_Compras!$Y199,WORKDAY(EOMONTH(Registro_Compras!$B199,0),5,Feriados))))</f>
        <v/>
      </c>
      <c r="J199" s="25">
        <f>IF(Registro_Compras!$R199&lt;&gt;"SI","",Registro_Compras!$X199)</f>
        <v/>
      </c>
      <c r="K199">
        <f>IF(Registro_Compras!$R199&lt;&gt;"SI","",IF(Registro_Compras!$X199="","PENDIENTE","DEPOSITADA"))</f>
        <v/>
      </c>
      <c r="L199">
        <f>IF(Registro_Compras!$R199&lt;&gt;"SI","",Registro_Compras!$Z199)</f>
        <v/>
      </c>
      <c r="M199">
        <f>IF($K199&lt;&gt;"PENDIENTE","",IF(TODAY()&gt;$I199,TODAY()-$I199,0))</f>
        <v/>
      </c>
      <c r="N199">
        <f>IF($K199&lt;&gt;"PENDIENTE","",IF($M199&gt;0,"VENCIDA - DEPOSITAR YA",IF($I199-TODAY()&lt;=3,"POR VENCER","EN PLAZO")))</f>
        <v/>
      </c>
    </row>
    <row r="200">
      <c r="A200" s="25">
        <f>IF(Registro_Compras!$R200&lt;&gt;"SI","",Registro_Compras!$B200)</f>
        <v/>
      </c>
      <c r="B200">
        <f>IF(Registro_Compras!$R200&lt;&gt;"SI","",Registro_Compras!$C200)</f>
        <v/>
      </c>
      <c r="C200">
        <f>IF(Registro_Compras!$R200&lt;&gt;"SI","",Registro_Compras!$D200)</f>
        <v/>
      </c>
      <c r="D200">
        <f>IF(Registro_Compras!$R200&lt;&gt;"SI","",Registro_Compras!$E200)</f>
        <v/>
      </c>
      <c r="E200">
        <f>IF(Registro_Compras!$R200&lt;&gt;"SI","",Registro_Compras!$G200)</f>
        <v/>
      </c>
      <c r="F200" s="31">
        <f>IF(Registro_Compras!$R200&lt;&gt;"SI","",Registro_Compras!$P200)</f>
        <v/>
      </c>
      <c r="G200" s="20">
        <f>IF(Registro_Compras!$R200&lt;&gt;"SI","",Registro_Compras!$O200)</f>
        <v/>
      </c>
      <c r="H200" s="20">
        <f>IF(Registro_Compras!$R200&lt;&gt;"SI","",Registro_Compras!$S200)</f>
        <v/>
      </c>
      <c r="I200" s="25">
        <f>IF(Registro_Compras!$R200&lt;&gt;"SI","",IF(Registro_Compras!$Y200="",WORKDAY(EOMONTH(Registro_Compras!$B200,0),5,Feriados),MIN(Registro_Compras!$Y200,WORKDAY(EOMONTH(Registro_Compras!$B200,0),5,Feriados))))</f>
        <v/>
      </c>
      <c r="J200" s="25">
        <f>IF(Registro_Compras!$R200&lt;&gt;"SI","",Registro_Compras!$X200)</f>
        <v/>
      </c>
      <c r="K200">
        <f>IF(Registro_Compras!$R200&lt;&gt;"SI","",IF(Registro_Compras!$X200="","PENDIENTE","DEPOSITADA"))</f>
        <v/>
      </c>
      <c r="L200">
        <f>IF(Registro_Compras!$R200&lt;&gt;"SI","",Registro_Compras!$Z200)</f>
        <v/>
      </c>
      <c r="M200">
        <f>IF($K200&lt;&gt;"PENDIENTE","",IF(TODAY()&gt;$I200,TODAY()-$I200,0))</f>
        <v/>
      </c>
      <c r="N200">
        <f>IF($K200&lt;&gt;"PENDIENTE","",IF($M200&gt;0,"VENCIDA - DEPOSITAR YA",IF($I200-TODAY()&lt;=3,"POR VENCER","EN PLAZO")))</f>
        <v/>
      </c>
    </row>
    <row r="201">
      <c r="A201" s="25">
        <f>IF(Registro_Compras!$R201&lt;&gt;"SI","",Registro_Compras!$B201)</f>
        <v/>
      </c>
      <c r="B201">
        <f>IF(Registro_Compras!$R201&lt;&gt;"SI","",Registro_Compras!$C201)</f>
        <v/>
      </c>
      <c r="C201">
        <f>IF(Registro_Compras!$R201&lt;&gt;"SI","",Registro_Compras!$D201)</f>
        <v/>
      </c>
      <c r="D201">
        <f>IF(Registro_Compras!$R201&lt;&gt;"SI","",Registro_Compras!$E201)</f>
        <v/>
      </c>
      <c r="E201">
        <f>IF(Registro_Compras!$R201&lt;&gt;"SI","",Registro_Compras!$G201)</f>
        <v/>
      </c>
      <c r="F201" s="31">
        <f>IF(Registro_Compras!$R201&lt;&gt;"SI","",Registro_Compras!$P201)</f>
        <v/>
      </c>
      <c r="G201" s="20">
        <f>IF(Registro_Compras!$R201&lt;&gt;"SI","",Registro_Compras!$O201)</f>
        <v/>
      </c>
      <c r="H201" s="20">
        <f>IF(Registro_Compras!$R201&lt;&gt;"SI","",Registro_Compras!$S201)</f>
        <v/>
      </c>
      <c r="I201" s="25">
        <f>IF(Registro_Compras!$R201&lt;&gt;"SI","",IF(Registro_Compras!$Y201="",WORKDAY(EOMONTH(Registro_Compras!$B201,0),5,Feriados),MIN(Registro_Compras!$Y201,WORKDAY(EOMONTH(Registro_Compras!$B201,0),5,Feriados))))</f>
        <v/>
      </c>
      <c r="J201" s="25">
        <f>IF(Registro_Compras!$R201&lt;&gt;"SI","",Registro_Compras!$X201)</f>
        <v/>
      </c>
      <c r="K201">
        <f>IF(Registro_Compras!$R201&lt;&gt;"SI","",IF(Registro_Compras!$X201="","PENDIENTE","DEPOSITADA"))</f>
        <v/>
      </c>
      <c r="L201">
        <f>IF(Registro_Compras!$R201&lt;&gt;"SI","",Registro_Compras!$Z201)</f>
        <v/>
      </c>
      <c r="M201">
        <f>IF($K201&lt;&gt;"PENDIENTE","",IF(TODAY()&gt;$I201,TODAY()-$I201,0))</f>
        <v/>
      </c>
      <c r="N201">
        <f>IF($K201&lt;&gt;"PENDIENTE","",IF($M201&gt;0,"VENCIDA - DEPOSITAR YA",IF($I201-TODAY()&lt;=3,"POR VENCER","EN PLAZO")))</f>
        <v/>
      </c>
    </row>
    <row r="202">
      <c r="A202" s="25">
        <f>IF(Registro_Compras!$R202&lt;&gt;"SI","",Registro_Compras!$B202)</f>
        <v/>
      </c>
      <c r="B202">
        <f>IF(Registro_Compras!$R202&lt;&gt;"SI","",Registro_Compras!$C202)</f>
        <v/>
      </c>
      <c r="C202">
        <f>IF(Registro_Compras!$R202&lt;&gt;"SI","",Registro_Compras!$D202)</f>
        <v/>
      </c>
      <c r="D202">
        <f>IF(Registro_Compras!$R202&lt;&gt;"SI","",Registro_Compras!$E202)</f>
        <v/>
      </c>
      <c r="E202">
        <f>IF(Registro_Compras!$R202&lt;&gt;"SI","",Registro_Compras!$G202)</f>
        <v/>
      </c>
      <c r="F202" s="31">
        <f>IF(Registro_Compras!$R202&lt;&gt;"SI","",Registro_Compras!$P202)</f>
        <v/>
      </c>
      <c r="G202" s="20">
        <f>IF(Registro_Compras!$R202&lt;&gt;"SI","",Registro_Compras!$O202)</f>
        <v/>
      </c>
      <c r="H202" s="20">
        <f>IF(Registro_Compras!$R202&lt;&gt;"SI","",Registro_Compras!$S202)</f>
        <v/>
      </c>
      <c r="I202" s="25">
        <f>IF(Registro_Compras!$R202&lt;&gt;"SI","",IF(Registro_Compras!$Y202="",WORKDAY(EOMONTH(Registro_Compras!$B202,0),5,Feriados),MIN(Registro_Compras!$Y202,WORKDAY(EOMONTH(Registro_Compras!$B202,0),5,Feriados))))</f>
        <v/>
      </c>
      <c r="J202" s="25">
        <f>IF(Registro_Compras!$R202&lt;&gt;"SI","",Registro_Compras!$X202)</f>
        <v/>
      </c>
      <c r="K202">
        <f>IF(Registro_Compras!$R202&lt;&gt;"SI","",IF(Registro_Compras!$X202="","PENDIENTE","DEPOSITADA"))</f>
        <v/>
      </c>
      <c r="L202">
        <f>IF(Registro_Compras!$R202&lt;&gt;"SI","",Registro_Compras!$Z202)</f>
        <v/>
      </c>
      <c r="M202">
        <f>IF($K202&lt;&gt;"PENDIENTE","",IF(TODAY()&gt;$I202,TODAY()-$I202,0))</f>
        <v/>
      </c>
      <c r="N202">
        <f>IF($K202&lt;&gt;"PENDIENTE","",IF($M202&gt;0,"VENCIDA - DEPOSITAR YA",IF($I202-TODAY()&lt;=3,"POR VENCER","EN PLAZO")))</f>
        <v/>
      </c>
    </row>
    <row r="203">
      <c r="A203" s="25">
        <f>IF(Registro_Compras!$R203&lt;&gt;"SI","",Registro_Compras!$B203)</f>
        <v/>
      </c>
      <c r="B203">
        <f>IF(Registro_Compras!$R203&lt;&gt;"SI","",Registro_Compras!$C203)</f>
        <v/>
      </c>
      <c r="C203">
        <f>IF(Registro_Compras!$R203&lt;&gt;"SI","",Registro_Compras!$D203)</f>
        <v/>
      </c>
      <c r="D203">
        <f>IF(Registro_Compras!$R203&lt;&gt;"SI","",Registro_Compras!$E203)</f>
        <v/>
      </c>
      <c r="E203">
        <f>IF(Registro_Compras!$R203&lt;&gt;"SI","",Registro_Compras!$G203)</f>
        <v/>
      </c>
      <c r="F203" s="31">
        <f>IF(Registro_Compras!$R203&lt;&gt;"SI","",Registro_Compras!$P203)</f>
        <v/>
      </c>
      <c r="G203" s="20">
        <f>IF(Registro_Compras!$R203&lt;&gt;"SI","",Registro_Compras!$O203)</f>
        <v/>
      </c>
      <c r="H203" s="20">
        <f>IF(Registro_Compras!$R203&lt;&gt;"SI","",Registro_Compras!$S203)</f>
        <v/>
      </c>
      <c r="I203" s="25">
        <f>IF(Registro_Compras!$R203&lt;&gt;"SI","",IF(Registro_Compras!$Y203="",WORKDAY(EOMONTH(Registro_Compras!$B203,0),5,Feriados),MIN(Registro_Compras!$Y203,WORKDAY(EOMONTH(Registro_Compras!$B203,0),5,Feriados))))</f>
        <v/>
      </c>
      <c r="J203" s="25">
        <f>IF(Registro_Compras!$R203&lt;&gt;"SI","",Registro_Compras!$X203)</f>
        <v/>
      </c>
      <c r="K203">
        <f>IF(Registro_Compras!$R203&lt;&gt;"SI","",IF(Registro_Compras!$X203="","PENDIENTE","DEPOSITADA"))</f>
        <v/>
      </c>
      <c r="L203">
        <f>IF(Registro_Compras!$R203&lt;&gt;"SI","",Registro_Compras!$Z203)</f>
        <v/>
      </c>
      <c r="M203">
        <f>IF($K203&lt;&gt;"PENDIENTE","",IF(TODAY()&gt;$I203,TODAY()-$I203,0))</f>
        <v/>
      </c>
      <c r="N203">
        <f>IF($K203&lt;&gt;"PENDIENTE","",IF($M203&gt;0,"VENCIDA - DEPOSITAR YA",IF($I203-TODAY()&lt;=3,"POR VENCER","EN PLAZO")))</f>
        <v/>
      </c>
    </row>
    <row r="204">
      <c r="A204" s="25">
        <f>IF(Registro_Compras!$R204&lt;&gt;"SI","",Registro_Compras!$B204)</f>
        <v/>
      </c>
      <c r="B204">
        <f>IF(Registro_Compras!$R204&lt;&gt;"SI","",Registro_Compras!$C204)</f>
        <v/>
      </c>
      <c r="C204">
        <f>IF(Registro_Compras!$R204&lt;&gt;"SI","",Registro_Compras!$D204)</f>
        <v/>
      </c>
      <c r="D204">
        <f>IF(Registro_Compras!$R204&lt;&gt;"SI","",Registro_Compras!$E204)</f>
        <v/>
      </c>
      <c r="E204">
        <f>IF(Registro_Compras!$R204&lt;&gt;"SI","",Registro_Compras!$G204)</f>
        <v/>
      </c>
      <c r="F204" s="31">
        <f>IF(Registro_Compras!$R204&lt;&gt;"SI","",Registro_Compras!$P204)</f>
        <v/>
      </c>
      <c r="G204" s="20">
        <f>IF(Registro_Compras!$R204&lt;&gt;"SI","",Registro_Compras!$O204)</f>
        <v/>
      </c>
      <c r="H204" s="20">
        <f>IF(Registro_Compras!$R204&lt;&gt;"SI","",Registro_Compras!$S204)</f>
        <v/>
      </c>
      <c r="I204" s="25">
        <f>IF(Registro_Compras!$R204&lt;&gt;"SI","",IF(Registro_Compras!$Y204="",WORKDAY(EOMONTH(Registro_Compras!$B204,0),5,Feriados),MIN(Registro_Compras!$Y204,WORKDAY(EOMONTH(Registro_Compras!$B204,0),5,Feriados))))</f>
        <v/>
      </c>
      <c r="J204" s="25">
        <f>IF(Registro_Compras!$R204&lt;&gt;"SI","",Registro_Compras!$X204)</f>
        <v/>
      </c>
      <c r="K204">
        <f>IF(Registro_Compras!$R204&lt;&gt;"SI","",IF(Registro_Compras!$X204="","PENDIENTE","DEPOSITADA"))</f>
        <v/>
      </c>
      <c r="L204">
        <f>IF(Registro_Compras!$R204&lt;&gt;"SI","",Registro_Compras!$Z204)</f>
        <v/>
      </c>
      <c r="M204">
        <f>IF($K204&lt;&gt;"PENDIENTE","",IF(TODAY()&gt;$I204,TODAY()-$I204,0))</f>
        <v/>
      </c>
      <c r="N204">
        <f>IF($K204&lt;&gt;"PENDIENTE","",IF($M204&gt;0,"VENCIDA - DEPOSITAR YA",IF($I204-TODAY()&lt;=3,"POR VENCER","EN PLAZO")))</f>
        <v/>
      </c>
    </row>
    <row r="205">
      <c r="A205" s="25">
        <f>IF(Registro_Compras!$R205&lt;&gt;"SI","",Registro_Compras!$B205)</f>
        <v/>
      </c>
      <c r="B205">
        <f>IF(Registro_Compras!$R205&lt;&gt;"SI","",Registro_Compras!$C205)</f>
        <v/>
      </c>
      <c r="C205">
        <f>IF(Registro_Compras!$R205&lt;&gt;"SI","",Registro_Compras!$D205)</f>
        <v/>
      </c>
      <c r="D205">
        <f>IF(Registro_Compras!$R205&lt;&gt;"SI","",Registro_Compras!$E205)</f>
        <v/>
      </c>
      <c r="E205">
        <f>IF(Registro_Compras!$R205&lt;&gt;"SI","",Registro_Compras!$G205)</f>
        <v/>
      </c>
      <c r="F205" s="31">
        <f>IF(Registro_Compras!$R205&lt;&gt;"SI","",Registro_Compras!$P205)</f>
        <v/>
      </c>
      <c r="G205" s="20">
        <f>IF(Registro_Compras!$R205&lt;&gt;"SI","",Registro_Compras!$O205)</f>
        <v/>
      </c>
      <c r="H205" s="20">
        <f>IF(Registro_Compras!$R205&lt;&gt;"SI","",Registro_Compras!$S205)</f>
        <v/>
      </c>
      <c r="I205" s="25">
        <f>IF(Registro_Compras!$R205&lt;&gt;"SI","",IF(Registro_Compras!$Y205="",WORKDAY(EOMONTH(Registro_Compras!$B205,0),5,Feriados),MIN(Registro_Compras!$Y205,WORKDAY(EOMONTH(Registro_Compras!$B205,0),5,Feriados))))</f>
        <v/>
      </c>
      <c r="J205" s="25">
        <f>IF(Registro_Compras!$R205&lt;&gt;"SI","",Registro_Compras!$X205)</f>
        <v/>
      </c>
      <c r="K205">
        <f>IF(Registro_Compras!$R205&lt;&gt;"SI","",IF(Registro_Compras!$X205="","PENDIENTE","DEPOSITADA"))</f>
        <v/>
      </c>
      <c r="L205">
        <f>IF(Registro_Compras!$R205&lt;&gt;"SI","",Registro_Compras!$Z205)</f>
        <v/>
      </c>
      <c r="M205">
        <f>IF($K205&lt;&gt;"PENDIENTE","",IF(TODAY()&gt;$I205,TODAY()-$I205,0))</f>
        <v/>
      </c>
      <c r="N205">
        <f>IF($K205&lt;&gt;"PENDIENTE","",IF($M205&gt;0,"VENCIDA - DEPOSITAR YA",IF($I205-TODAY()&lt;=3,"POR VENCER","EN PLAZO")))</f>
        <v/>
      </c>
    </row>
    <row r="206">
      <c r="A206" s="25">
        <f>IF(Registro_Compras!$R206&lt;&gt;"SI","",Registro_Compras!$B206)</f>
        <v/>
      </c>
      <c r="B206">
        <f>IF(Registro_Compras!$R206&lt;&gt;"SI","",Registro_Compras!$C206)</f>
        <v/>
      </c>
      <c r="C206">
        <f>IF(Registro_Compras!$R206&lt;&gt;"SI","",Registro_Compras!$D206)</f>
        <v/>
      </c>
      <c r="D206">
        <f>IF(Registro_Compras!$R206&lt;&gt;"SI","",Registro_Compras!$E206)</f>
        <v/>
      </c>
      <c r="E206">
        <f>IF(Registro_Compras!$R206&lt;&gt;"SI","",Registro_Compras!$G206)</f>
        <v/>
      </c>
      <c r="F206" s="31">
        <f>IF(Registro_Compras!$R206&lt;&gt;"SI","",Registro_Compras!$P206)</f>
        <v/>
      </c>
      <c r="G206" s="20">
        <f>IF(Registro_Compras!$R206&lt;&gt;"SI","",Registro_Compras!$O206)</f>
        <v/>
      </c>
      <c r="H206" s="20">
        <f>IF(Registro_Compras!$R206&lt;&gt;"SI","",Registro_Compras!$S206)</f>
        <v/>
      </c>
      <c r="I206" s="25">
        <f>IF(Registro_Compras!$R206&lt;&gt;"SI","",IF(Registro_Compras!$Y206="",WORKDAY(EOMONTH(Registro_Compras!$B206,0),5,Feriados),MIN(Registro_Compras!$Y206,WORKDAY(EOMONTH(Registro_Compras!$B206,0),5,Feriados))))</f>
        <v/>
      </c>
      <c r="J206" s="25">
        <f>IF(Registro_Compras!$R206&lt;&gt;"SI","",Registro_Compras!$X206)</f>
        <v/>
      </c>
      <c r="K206">
        <f>IF(Registro_Compras!$R206&lt;&gt;"SI","",IF(Registro_Compras!$X206="","PENDIENTE","DEPOSITADA"))</f>
        <v/>
      </c>
      <c r="L206">
        <f>IF(Registro_Compras!$R206&lt;&gt;"SI","",Registro_Compras!$Z206)</f>
        <v/>
      </c>
      <c r="M206">
        <f>IF($K206&lt;&gt;"PENDIENTE","",IF(TODAY()&gt;$I206,TODAY()-$I206,0))</f>
        <v/>
      </c>
      <c r="N206">
        <f>IF($K206&lt;&gt;"PENDIENTE","",IF($M206&gt;0,"VENCIDA - DEPOSITAR YA",IF($I206-TODAY()&lt;=3,"POR VENCER","EN PLAZO")))</f>
        <v/>
      </c>
    </row>
    <row r="207">
      <c r="A207" s="25">
        <f>IF(Registro_Compras!$R207&lt;&gt;"SI","",Registro_Compras!$B207)</f>
        <v/>
      </c>
      <c r="B207">
        <f>IF(Registro_Compras!$R207&lt;&gt;"SI","",Registro_Compras!$C207)</f>
        <v/>
      </c>
      <c r="C207">
        <f>IF(Registro_Compras!$R207&lt;&gt;"SI","",Registro_Compras!$D207)</f>
        <v/>
      </c>
      <c r="D207">
        <f>IF(Registro_Compras!$R207&lt;&gt;"SI","",Registro_Compras!$E207)</f>
        <v/>
      </c>
      <c r="E207">
        <f>IF(Registro_Compras!$R207&lt;&gt;"SI","",Registro_Compras!$G207)</f>
        <v/>
      </c>
      <c r="F207" s="31">
        <f>IF(Registro_Compras!$R207&lt;&gt;"SI","",Registro_Compras!$P207)</f>
        <v/>
      </c>
      <c r="G207" s="20">
        <f>IF(Registro_Compras!$R207&lt;&gt;"SI","",Registro_Compras!$O207)</f>
        <v/>
      </c>
      <c r="H207" s="20">
        <f>IF(Registro_Compras!$R207&lt;&gt;"SI","",Registro_Compras!$S207)</f>
        <v/>
      </c>
      <c r="I207" s="25">
        <f>IF(Registro_Compras!$R207&lt;&gt;"SI","",IF(Registro_Compras!$Y207="",WORKDAY(EOMONTH(Registro_Compras!$B207,0),5,Feriados),MIN(Registro_Compras!$Y207,WORKDAY(EOMONTH(Registro_Compras!$B207,0),5,Feriados))))</f>
        <v/>
      </c>
      <c r="J207" s="25">
        <f>IF(Registro_Compras!$R207&lt;&gt;"SI","",Registro_Compras!$X207)</f>
        <v/>
      </c>
      <c r="K207">
        <f>IF(Registro_Compras!$R207&lt;&gt;"SI","",IF(Registro_Compras!$X207="","PENDIENTE","DEPOSITADA"))</f>
        <v/>
      </c>
      <c r="L207">
        <f>IF(Registro_Compras!$R207&lt;&gt;"SI","",Registro_Compras!$Z207)</f>
        <v/>
      </c>
      <c r="M207">
        <f>IF($K207&lt;&gt;"PENDIENTE","",IF(TODAY()&gt;$I207,TODAY()-$I207,0))</f>
        <v/>
      </c>
      <c r="N207">
        <f>IF($K207&lt;&gt;"PENDIENTE","",IF($M207&gt;0,"VENCIDA - DEPOSITAR YA",IF($I207-TODAY()&lt;=3,"POR VENCER","EN PLAZO")))</f>
        <v/>
      </c>
    </row>
    <row r="208">
      <c r="A208" s="25">
        <f>IF(Registro_Compras!$R208&lt;&gt;"SI","",Registro_Compras!$B208)</f>
        <v/>
      </c>
      <c r="B208">
        <f>IF(Registro_Compras!$R208&lt;&gt;"SI","",Registro_Compras!$C208)</f>
        <v/>
      </c>
      <c r="C208">
        <f>IF(Registro_Compras!$R208&lt;&gt;"SI","",Registro_Compras!$D208)</f>
        <v/>
      </c>
      <c r="D208">
        <f>IF(Registro_Compras!$R208&lt;&gt;"SI","",Registro_Compras!$E208)</f>
        <v/>
      </c>
      <c r="E208">
        <f>IF(Registro_Compras!$R208&lt;&gt;"SI","",Registro_Compras!$G208)</f>
        <v/>
      </c>
      <c r="F208" s="31">
        <f>IF(Registro_Compras!$R208&lt;&gt;"SI","",Registro_Compras!$P208)</f>
        <v/>
      </c>
      <c r="G208" s="20">
        <f>IF(Registro_Compras!$R208&lt;&gt;"SI","",Registro_Compras!$O208)</f>
        <v/>
      </c>
      <c r="H208" s="20">
        <f>IF(Registro_Compras!$R208&lt;&gt;"SI","",Registro_Compras!$S208)</f>
        <v/>
      </c>
      <c r="I208" s="25">
        <f>IF(Registro_Compras!$R208&lt;&gt;"SI","",IF(Registro_Compras!$Y208="",WORKDAY(EOMONTH(Registro_Compras!$B208,0),5,Feriados),MIN(Registro_Compras!$Y208,WORKDAY(EOMONTH(Registro_Compras!$B208,0),5,Feriados))))</f>
        <v/>
      </c>
      <c r="J208" s="25">
        <f>IF(Registro_Compras!$R208&lt;&gt;"SI","",Registro_Compras!$X208)</f>
        <v/>
      </c>
      <c r="K208">
        <f>IF(Registro_Compras!$R208&lt;&gt;"SI","",IF(Registro_Compras!$X208="","PENDIENTE","DEPOSITADA"))</f>
        <v/>
      </c>
      <c r="L208">
        <f>IF(Registro_Compras!$R208&lt;&gt;"SI","",Registro_Compras!$Z208)</f>
        <v/>
      </c>
      <c r="M208">
        <f>IF($K208&lt;&gt;"PENDIENTE","",IF(TODAY()&gt;$I208,TODAY()-$I208,0))</f>
        <v/>
      </c>
      <c r="N208">
        <f>IF($K208&lt;&gt;"PENDIENTE","",IF($M208&gt;0,"VENCIDA - DEPOSITAR YA",IF($I208-TODAY()&lt;=3,"POR VENCER","EN PLAZO")))</f>
        <v/>
      </c>
    </row>
    <row r="209">
      <c r="A209" s="25">
        <f>IF(Registro_Compras!$R209&lt;&gt;"SI","",Registro_Compras!$B209)</f>
        <v/>
      </c>
      <c r="B209">
        <f>IF(Registro_Compras!$R209&lt;&gt;"SI","",Registro_Compras!$C209)</f>
        <v/>
      </c>
      <c r="C209">
        <f>IF(Registro_Compras!$R209&lt;&gt;"SI","",Registro_Compras!$D209)</f>
        <v/>
      </c>
      <c r="D209">
        <f>IF(Registro_Compras!$R209&lt;&gt;"SI","",Registro_Compras!$E209)</f>
        <v/>
      </c>
      <c r="E209">
        <f>IF(Registro_Compras!$R209&lt;&gt;"SI","",Registro_Compras!$G209)</f>
        <v/>
      </c>
      <c r="F209" s="31">
        <f>IF(Registro_Compras!$R209&lt;&gt;"SI","",Registro_Compras!$P209)</f>
        <v/>
      </c>
      <c r="G209" s="20">
        <f>IF(Registro_Compras!$R209&lt;&gt;"SI","",Registro_Compras!$O209)</f>
        <v/>
      </c>
      <c r="H209" s="20">
        <f>IF(Registro_Compras!$R209&lt;&gt;"SI","",Registro_Compras!$S209)</f>
        <v/>
      </c>
      <c r="I209" s="25">
        <f>IF(Registro_Compras!$R209&lt;&gt;"SI","",IF(Registro_Compras!$Y209="",WORKDAY(EOMONTH(Registro_Compras!$B209,0),5,Feriados),MIN(Registro_Compras!$Y209,WORKDAY(EOMONTH(Registro_Compras!$B209,0),5,Feriados))))</f>
        <v/>
      </c>
      <c r="J209" s="25">
        <f>IF(Registro_Compras!$R209&lt;&gt;"SI","",Registro_Compras!$X209)</f>
        <v/>
      </c>
      <c r="K209">
        <f>IF(Registro_Compras!$R209&lt;&gt;"SI","",IF(Registro_Compras!$X209="","PENDIENTE","DEPOSITADA"))</f>
        <v/>
      </c>
      <c r="L209">
        <f>IF(Registro_Compras!$R209&lt;&gt;"SI","",Registro_Compras!$Z209)</f>
        <v/>
      </c>
      <c r="M209">
        <f>IF($K209&lt;&gt;"PENDIENTE","",IF(TODAY()&gt;$I209,TODAY()-$I209,0))</f>
        <v/>
      </c>
      <c r="N209">
        <f>IF($K209&lt;&gt;"PENDIENTE","",IF($M209&gt;0,"VENCIDA - DEPOSITAR YA",IF($I209-TODAY()&lt;=3,"POR VENCER","EN PLAZO")))</f>
        <v/>
      </c>
    </row>
    <row r="210">
      <c r="A210" s="25">
        <f>IF(Registro_Compras!$R210&lt;&gt;"SI","",Registro_Compras!$B210)</f>
        <v/>
      </c>
      <c r="B210">
        <f>IF(Registro_Compras!$R210&lt;&gt;"SI","",Registro_Compras!$C210)</f>
        <v/>
      </c>
      <c r="C210">
        <f>IF(Registro_Compras!$R210&lt;&gt;"SI","",Registro_Compras!$D210)</f>
        <v/>
      </c>
      <c r="D210">
        <f>IF(Registro_Compras!$R210&lt;&gt;"SI","",Registro_Compras!$E210)</f>
        <v/>
      </c>
      <c r="E210">
        <f>IF(Registro_Compras!$R210&lt;&gt;"SI","",Registro_Compras!$G210)</f>
        <v/>
      </c>
      <c r="F210" s="31">
        <f>IF(Registro_Compras!$R210&lt;&gt;"SI","",Registro_Compras!$P210)</f>
        <v/>
      </c>
      <c r="G210" s="20">
        <f>IF(Registro_Compras!$R210&lt;&gt;"SI","",Registro_Compras!$O210)</f>
        <v/>
      </c>
      <c r="H210" s="20">
        <f>IF(Registro_Compras!$R210&lt;&gt;"SI","",Registro_Compras!$S210)</f>
        <v/>
      </c>
      <c r="I210" s="25">
        <f>IF(Registro_Compras!$R210&lt;&gt;"SI","",IF(Registro_Compras!$Y210="",WORKDAY(EOMONTH(Registro_Compras!$B210,0),5,Feriados),MIN(Registro_Compras!$Y210,WORKDAY(EOMONTH(Registro_Compras!$B210,0),5,Feriados))))</f>
        <v/>
      </c>
      <c r="J210" s="25">
        <f>IF(Registro_Compras!$R210&lt;&gt;"SI","",Registro_Compras!$X210)</f>
        <v/>
      </c>
      <c r="K210">
        <f>IF(Registro_Compras!$R210&lt;&gt;"SI","",IF(Registro_Compras!$X210="","PENDIENTE","DEPOSITADA"))</f>
        <v/>
      </c>
      <c r="L210">
        <f>IF(Registro_Compras!$R210&lt;&gt;"SI","",Registro_Compras!$Z210)</f>
        <v/>
      </c>
      <c r="M210">
        <f>IF($K210&lt;&gt;"PENDIENTE","",IF(TODAY()&gt;$I210,TODAY()-$I210,0))</f>
        <v/>
      </c>
      <c r="N210">
        <f>IF($K210&lt;&gt;"PENDIENTE","",IF($M210&gt;0,"VENCIDA - DEPOSITAR YA",IF($I210-TODAY()&lt;=3,"POR VENCER","EN PLAZO")))</f>
        <v/>
      </c>
    </row>
    <row r="211">
      <c r="A211" s="25">
        <f>IF(Registro_Compras!$R211&lt;&gt;"SI","",Registro_Compras!$B211)</f>
        <v/>
      </c>
      <c r="B211">
        <f>IF(Registro_Compras!$R211&lt;&gt;"SI","",Registro_Compras!$C211)</f>
        <v/>
      </c>
      <c r="C211">
        <f>IF(Registro_Compras!$R211&lt;&gt;"SI","",Registro_Compras!$D211)</f>
        <v/>
      </c>
      <c r="D211">
        <f>IF(Registro_Compras!$R211&lt;&gt;"SI","",Registro_Compras!$E211)</f>
        <v/>
      </c>
      <c r="E211">
        <f>IF(Registro_Compras!$R211&lt;&gt;"SI","",Registro_Compras!$G211)</f>
        <v/>
      </c>
      <c r="F211" s="31">
        <f>IF(Registro_Compras!$R211&lt;&gt;"SI","",Registro_Compras!$P211)</f>
        <v/>
      </c>
      <c r="G211" s="20">
        <f>IF(Registro_Compras!$R211&lt;&gt;"SI","",Registro_Compras!$O211)</f>
        <v/>
      </c>
      <c r="H211" s="20">
        <f>IF(Registro_Compras!$R211&lt;&gt;"SI","",Registro_Compras!$S211)</f>
        <v/>
      </c>
      <c r="I211" s="25">
        <f>IF(Registro_Compras!$R211&lt;&gt;"SI","",IF(Registro_Compras!$Y211="",WORKDAY(EOMONTH(Registro_Compras!$B211,0),5,Feriados),MIN(Registro_Compras!$Y211,WORKDAY(EOMONTH(Registro_Compras!$B211,0),5,Feriados))))</f>
        <v/>
      </c>
      <c r="J211" s="25">
        <f>IF(Registro_Compras!$R211&lt;&gt;"SI","",Registro_Compras!$X211)</f>
        <v/>
      </c>
      <c r="K211">
        <f>IF(Registro_Compras!$R211&lt;&gt;"SI","",IF(Registro_Compras!$X211="","PENDIENTE","DEPOSITADA"))</f>
        <v/>
      </c>
      <c r="L211">
        <f>IF(Registro_Compras!$R211&lt;&gt;"SI","",Registro_Compras!$Z211)</f>
        <v/>
      </c>
      <c r="M211">
        <f>IF($K211&lt;&gt;"PENDIENTE","",IF(TODAY()&gt;$I211,TODAY()-$I211,0))</f>
        <v/>
      </c>
      <c r="N211">
        <f>IF($K211&lt;&gt;"PENDIENTE","",IF($M211&gt;0,"VENCIDA - DEPOSITAR YA",IF($I211-TODAY()&lt;=3,"POR VENCER","EN PLAZO")))</f>
        <v/>
      </c>
    </row>
    <row r="212">
      <c r="A212" s="25">
        <f>IF(Registro_Compras!$R212&lt;&gt;"SI","",Registro_Compras!$B212)</f>
        <v/>
      </c>
      <c r="B212">
        <f>IF(Registro_Compras!$R212&lt;&gt;"SI","",Registro_Compras!$C212)</f>
        <v/>
      </c>
      <c r="C212">
        <f>IF(Registro_Compras!$R212&lt;&gt;"SI","",Registro_Compras!$D212)</f>
        <v/>
      </c>
      <c r="D212">
        <f>IF(Registro_Compras!$R212&lt;&gt;"SI","",Registro_Compras!$E212)</f>
        <v/>
      </c>
      <c r="E212">
        <f>IF(Registro_Compras!$R212&lt;&gt;"SI","",Registro_Compras!$G212)</f>
        <v/>
      </c>
      <c r="F212" s="31">
        <f>IF(Registro_Compras!$R212&lt;&gt;"SI","",Registro_Compras!$P212)</f>
        <v/>
      </c>
      <c r="G212" s="20">
        <f>IF(Registro_Compras!$R212&lt;&gt;"SI","",Registro_Compras!$O212)</f>
        <v/>
      </c>
      <c r="H212" s="20">
        <f>IF(Registro_Compras!$R212&lt;&gt;"SI","",Registro_Compras!$S212)</f>
        <v/>
      </c>
      <c r="I212" s="25">
        <f>IF(Registro_Compras!$R212&lt;&gt;"SI","",IF(Registro_Compras!$Y212="",WORKDAY(EOMONTH(Registro_Compras!$B212,0),5,Feriados),MIN(Registro_Compras!$Y212,WORKDAY(EOMONTH(Registro_Compras!$B212,0),5,Feriados))))</f>
        <v/>
      </c>
      <c r="J212" s="25">
        <f>IF(Registro_Compras!$R212&lt;&gt;"SI","",Registro_Compras!$X212)</f>
        <v/>
      </c>
      <c r="K212">
        <f>IF(Registro_Compras!$R212&lt;&gt;"SI","",IF(Registro_Compras!$X212="","PENDIENTE","DEPOSITADA"))</f>
        <v/>
      </c>
      <c r="L212">
        <f>IF(Registro_Compras!$R212&lt;&gt;"SI","",Registro_Compras!$Z212)</f>
        <v/>
      </c>
      <c r="M212">
        <f>IF($K212&lt;&gt;"PENDIENTE","",IF(TODAY()&gt;$I212,TODAY()-$I212,0))</f>
        <v/>
      </c>
      <c r="N212">
        <f>IF($K212&lt;&gt;"PENDIENTE","",IF($M212&gt;0,"VENCIDA - DEPOSITAR YA",IF($I212-TODAY()&lt;=3,"POR VENCER","EN PLAZO")))</f>
        <v/>
      </c>
    </row>
    <row r="213">
      <c r="A213" s="25">
        <f>IF(Registro_Compras!$R213&lt;&gt;"SI","",Registro_Compras!$B213)</f>
        <v/>
      </c>
      <c r="B213">
        <f>IF(Registro_Compras!$R213&lt;&gt;"SI","",Registro_Compras!$C213)</f>
        <v/>
      </c>
      <c r="C213">
        <f>IF(Registro_Compras!$R213&lt;&gt;"SI","",Registro_Compras!$D213)</f>
        <v/>
      </c>
      <c r="D213">
        <f>IF(Registro_Compras!$R213&lt;&gt;"SI","",Registro_Compras!$E213)</f>
        <v/>
      </c>
      <c r="E213">
        <f>IF(Registro_Compras!$R213&lt;&gt;"SI","",Registro_Compras!$G213)</f>
        <v/>
      </c>
      <c r="F213" s="31">
        <f>IF(Registro_Compras!$R213&lt;&gt;"SI","",Registro_Compras!$P213)</f>
        <v/>
      </c>
      <c r="G213" s="20">
        <f>IF(Registro_Compras!$R213&lt;&gt;"SI","",Registro_Compras!$O213)</f>
        <v/>
      </c>
      <c r="H213" s="20">
        <f>IF(Registro_Compras!$R213&lt;&gt;"SI","",Registro_Compras!$S213)</f>
        <v/>
      </c>
      <c r="I213" s="25">
        <f>IF(Registro_Compras!$R213&lt;&gt;"SI","",IF(Registro_Compras!$Y213="",WORKDAY(EOMONTH(Registro_Compras!$B213,0),5,Feriados),MIN(Registro_Compras!$Y213,WORKDAY(EOMONTH(Registro_Compras!$B213,0),5,Feriados))))</f>
        <v/>
      </c>
      <c r="J213" s="25">
        <f>IF(Registro_Compras!$R213&lt;&gt;"SI","",Registro_Compras!$X213)</f>
        <v/>
      </c>
      <c r="K213">
        <f>IF(Registro_Compras!$R213&lt;&gt;"SI","",IF(Registro_Compras!$X213="","PENDIENTE","DEPOSITADA"))</f>
        <v/>
      </c>
      <c r="L213">
        <f>IF(Registro_Compras!$R213&lt;&gt;"SI","",Registro_Compras!$Z213)</f>
        <v/>
      </c>
      <c r="M213">
        <f>IF($K213&lt;&gt;"PENDIENTE","",IF(TODAY()&gt;$I213,TODAY()-$I213,0))</f>
        <v/>
      </c>
      <c r="N213">
        <f>IF($K213&lt;&gt;"PENDIENTE","",IF($M213&gt;0,"VENCIDA - DEPOSITAR YA",IF($I213-TODAY()&lt;=3,"POR VENCER","EN PLAZO")))</f>
        <v/>
      </c>
    </row>
    <row r="214">
      <c r="A214" s="25">
        <f>IF(Registro_Compras!$R214&lt;&gt;"SI","",Registro_Compras!$B214)</f>
        <v/>
      </c>
      <c r="B214">
        <f>IF(Registro_Compras!$R214&lt;&gt;"SI","",Registro_Compras!$C214)</f>
        <v/>
      </c>
      <c r="C214">
        <f>IF(Registro_Compras!$R214&lt;&gt;"SI","",Registro_Compras!$D214)</f>
        <v/>
      </c>
      <c r="D214">
        <f>IF(Registro_Compras!$R214&lt;&gt;"SI","",Registro_Compras!$E214)</f>
        <v/>
      </c>
      <c r="E214">
        <f>IF(Registro_Compras!$R214&lt;&gt;"SI","",Registro_Compras!$G214)</f>
        <v/>
      </c>
      <c r="F214" s="31">
        <f>IF(Registro_Compras!$R214&lt;&gt;"SI","",Registro_Compras!$P214)</f>
        <v/>
      </c>
      <c r="G214" s="20">
        <f>IF(Registro_Compras!$R214&lt;&gt;"SI","",Registro_Compras!$O214)</f>
        <v/>
      </c>
      <c r="H214" s="20">
        <f>IF(Registro_Compras!$R214&lt;&gt;"SI","",Registro_Compras!$S214)</f>
        <v/>
      </c>
      <c r="I214" s="25">
        <f>IF(Registro_Compras!$R214&lt;&gt;"SI","",IF(Registro_Compras!$Y214="",WORKDAY(EOMONTH(Registro_Compras!$B214,0),5,Feriados),MIN(Registro_Compras!$Y214,WORKDAY(EOMONTH(Registro_Compras!$B214,0),5,Feriados))))</f>
        <v/>
      </c>
      <c r="J214" s="25">
        <f>IF(Registro_Compras!$R214&lt;&gt;"SI","",Registro_Compras!$X214)</f>
        <v/>
      </c>
      <c r="K214">
        <f>IF(Registro_Compras!$R214&lt;&gt;"SI","",IF(Registro_Compras!$X214="","PENDIENTE","DEPOSITADA"))</f>
        <v/>
      </c>
      <c r="L214">
        <f>IF(Registro_Compras!$R214&lt;&gt;"SI","",Registro_Compras!$Z214)</f>
        <v/>
      </c>
      <c r="M214">
        <f>IF($K214&lt;&gt;"PENDIENTE","",IF(TODAY()&gt;$I214,TODAY()-$I214,0))</f>
        <v/>
      </c>
      <c r="N214">
        <f>IF($K214&lt;&gt;"PENDIENTE","",IF($M214&gt;0,"VENCIDA - DEPOSITAR YA",IF($I214-TODAY()&lt;=3,"POR VENCER","EN PLAZO")))</f>
        <v/>
      </c>
    </row>
    <row r="215">
      <c r="A215" s="25">
        <f>IF(Registro_Compras!$R215&lt;&gt;"SI","",Registro_Compras!$B215)</f>
        <v/>
      </c>
      <c r="B215">
        <f>IF(Registro_Compras!$R215&lt;&gt;"SI","",Registro_Compras!$C215)</f>
        <v/>
      </c>
      <c r="C215">
        <f>IF(Registro_Compras!$R215&lt;&gt;"SI","",Registro_Compras!$D215)</f>
        <v/>
      </c>
      <c r="D215">
        <f>IF(Registro_Compras!$R215&lt;&gt;"SI","",Registro_Compras!$E215)</f>
        <v/>
      </c>
      <c r="E215">
        <f>IF(Registro_Compras!$R215&lt;&gt;"SI","",Registro_Compras!$G215)</f>
        <v/>
      </c>
      <c r="F215" s="31">
        <f>IF(Registro_Compras!$R215&lt;&gt;"SI","",Registro_Compras!$P215)</f>
        <v/>
      </c>
      <c r="G215" s="20">
        <f>IF(Registro_Compras!$R215&lt;&gt;"SI","",Registro_Compras!$O215)</f>
        <v/>
      </c>
      <c r="H215" s="20">
        <f>IF(Registro_Compras!$R215&lt;&gt;"SI","",Registro_Compras!$S215)</f>
        <v/>
      </c>
      <c r="I215" s="25">
        <f>IF(Registro_Compras!$R215&lt;&gt;"SI","",IF(Registro_Compras!$Y215="",WORKDAY(EOMONTH(Registro_Compras!$B215,0),5,Feriados),MIN(Registro_Compras!$Y215,WORKDAY(EOMONTH(Registro_Compras!$B215,0),5,Feriados))))</f>
        <v/>
      </c>
      <c r="J215" s="25">
        <f>IF(Registro_Compras!$R215&lt;&gt;"SI","",Registro_Compras!$X215)</f>
        <v/>
      </c>
      <c r="K215">
        <f>IF(Registro_Compras!$R215&lt;&gt;"SI","",IF(Registro_Compras!$X215="","PENDIENTE","DEPOSITADA"))</f>
        <v/>
      </c>
      <c r="L215">
        <f>IF(Registro_Compras!$R215&lt;&gt;"SI","",Registro_Compras!$Z215)</f>
        <v/>
      </c>
      <c r="M215">
        <f>IF($K215&lt;&gt;"PENDIENTE","",IF(TODAY()&gt;$I215,TODAY()-$I215,0))</f>
        <v/>
      </c>
      <c r="N215">
        <f>IF($K215&lt;&gt;"PENDIENTE","",IF($M215&gt;0,"VENCIDA - DEPOSITAR YA",IF($I215-TODAY()&lt;=3,"POR VENCER","EN PLAZO")))</f>
        <v/>
      </c>
    </row>
    <row r="216">
      <c r="A216" s="25">
        <f>IF(Registro_Compras!$R216&lt;&gt;"SI","",Registro_Compras!$B216)</f>
        <v/>
      </c>
      <c r="B216">
        <f>IF(Registro_Compras!$R216&lt;&gt;"SI","",Registro_Compras!$C216)</f>
        <v/>
      </c>
      <c r="C216">
        <f>IF(Registro_Compras!$R216&lt;&gt;"SI","",Registro_Compras!$D216)</f>
        <v/>
      </c>
      <c r="D216">
        <f>IF(Registro_Compras!$R216&lt;&gt;"SI","",Registro_Compras!$E216)</f>
        <v/>
      </c>
      <c r="E216">
        <f>IF(Registro_Compras!$R216&lt;&gt;"SI","",Registro_Compras!$G216)</f>
        <v/>
      </c>
      <c r="F216" s="31">
        <f>IF(Registro_Compras!$R216&lt;&gt;"SI","",Registro_Compras!$P216)</f>
        <v/>
      </c>
      <c r="G216" s="20">
        <f>IF(Registro_Compras!$R216&lt;&gt;"SI","",Registro_Compras!$O216)</f>
        <v/>
      </c>
      <c r="H216" s="20">
        <f>IF(Registro_Compras!$R216&lt;&gt;"SI","",Registro_Compras!$S216)</f>
        <v/>
      </c>
      <c r="I216" s="25">
        <f>IF(Registro_Compras!$R216&lt;&gt;"SI","",IF(Registro_Compras!$Y216="",WORKDAY(EOMONTH(Registro_Compras!$B216,0),5,Feriados),MIN(Registro_Compras!$Y216,WORKDAY(EOMONTH(Registro_Compras!$B216,0),5,Feriados))))</f>
        <v/>
      </c>
      <c r="J216" s="25">
        <f>IF(Registro_Compras!$R216&lt;&gt;"SI","",Registro_Compras!$X216)</f>
        <v/>
      </c>
      <c r="K216">
        <f>IF(Registro_Compras!$R216&lt;&gt;"SI","",IF(Registro_Compras!$X216="","PENDIENTE","DEPOSITADA"))</f>
        <v/>
      </c>
      <c r="L216">
        <f>IF(Registro_Compras!$R216&lt;&gt;"SI","",Registro_Compras!$Z216)</f>
        <v/>
      </c>
      <c r="M216">
        <f>IF($K216&lt;&gt;"PENDIENTE","",IF(TODAY()&gt;$I216,TODAY()-$I216,0))</f>
        <v/>
      </c>
      <c r="N216">
        <f>IF($K216&lt;&gt;"PENDIENTE","",IF($M216&gt;0,"VENCIDA - DEPOSITAR YA",IF($I216-TODAY()&lt;=3,"POR VENCER","EN PLAZO")))</f>
        <v/>
      </c>
    </row>
    <row r="217">
      <c r="A217" s="25">
        <f>IF(Registro_Compras!$R217&lt;&gt;"SI","",Registro_Compras!$B217)</f>
        <v/>
      </c>
      <c r="B217">
        <f>IF(Registro_Compras!$R217&lt;&gt;"SI","",Registro_Compras!$C217)</f>
        <v/>
      </c>
      <c r="C217">
        <f>IF(Registro_Compras!$R217&lt;&gt;"SI","",Registro_Compras!$D217)</f>
        <v/>
      </c>
      <c r="D217">
        <f>IF(Registro_Compras!$R217&lt;&gt;"SI","",Registro_Compras!$E217)</f>
        <v/>
      </c>
      <c r="E217">
        <f>IF(Registro_Compras!$R217&lt;&gt;"SI","",Registro_Compras!$G217)</f>
        <v/>
      </c>
      <c r="F217" s="31">
        <f>IF(Registro_Compras!$R217&lt;&gt;"SI","",Registro_Compras!$P217)</f>
        <v/>
      </c>
      <c r="G217" s="20">
        <f>IF(Registro_Compras!$R217&lt;&gt;"SI","",Registro_Compras!$O217)</f>
        <v/>
      </c>
      <c r="H217" s="20">
        <f>IF(Registro_Compras!$R217&lt;&gt;"SI","",Registro_Compras!$S217)</f>
        <v/>
      </c>
      <c r="I217" s="25">
        <f>IF(Registro_Compras!$R217&lt;&gt;"SI","",IF(Registro_Compras!$Y217="",WORKDAY(EOMONTH(Registro_Compras!$B217,0),5,Feriados),MIN(Registro_Compras!$Y217,WORKDAY(EOMONTH(Registro_Compras!$B217,0),5,Feriados))))</f>
        <v/>
      </c>
      <c r="J217" s="25">
        <f>IF(Registro_Compras!$R217&lt;&gt;"SI","",Registro_Compras!$X217)</f>
        <v/>
      </c>
      <c r="K217">
        <f>IF(Registro_Compras!$R217&lt;&gt;"SI","",IF(Registro_Compras!$X217="","PENDIENTE","DEPOSITADA"))</f>
        <v/>
      </c>
      <c r="L217">
        <f>IF(Registro_Compras!$R217&lt;&gt;"SI","",Registro_Compras!$Z217)</f>
        <v/>
      </c>
      <c r="M217">
        <f>IF($K217&lt;&gt;"PENDIENTE","",IF(TODAY()&gt;$I217,TODAY()-$I217,0))</f>
        <v/>
      </c>
      <c r="N217">
        <f>IF($K217&lt;&gt;"PENDIENTE","",IF($M217&gt;0,"VENCIDA - DEPOSITAR YA",IF($I217-TODAY()&lt;=3,"POR VENCER","EN PLAZO")))</f>
        <v/>
      </c>
    </row>
    <row r="218">
      <c r="A218" s="25">
        <f>IF(Registro_Compras!$R218&lt;&gt;"SI","",Registro_Compras!$B218)</f>
        <v/>
      </c>
      <c r="B218">
        <f>IF(Registro_Compras!$R218&lt;&gt;"SI","",Registro_Compras!$C218)</f>
        <v/>
      </c>
      <c r="C218">
        <f>IF(Registro_Compras!$R218&lt;&gt;"SI","",Registro_Compras!$D218)</f>
        <v/>
      </c>
      <c r="D218">
        <f>IF(Registro_Compras!$R218&lt;&gt;"SI","",Registro_Compras!$E218)</f>
        <v/>
      </c>
      <c r="E218">
        <f>IF(Registro_Compras!$R218&lt;&gt;"SI","",Registro_Compras!$G218)</f>
        <v/>
      </c>
      <c r="F218" s="31">
        <f>IF(Registro_Compras!$R218&lt;&gt;"SI","",Registro_Compras!$P218)</f>
        <v/>
      </c>
      <c r="G218" s="20">
        <f>IF(Registro_Compras!$R218&lt;&gt;"SI","",Registro_Compras!$O218)</f>
        <v/>
      </c>
      <c r="H218" s="20">
        <f>IF(Registro_Compras!$R218&lt;&gt;"SI","",Registro_Compras!$S218)</f>
        <v/>
      </c>
      <c r="I218" s="25">
        <f>IF(Registro_Compras!$R218&lt;&gt;"SI","",IF(Registro_Compras!$Y218="",WORKDAY(EOMONTH(Registro_Compras!$B218,0),5,Feriados),MIN(Registro_Compras!$Y218,WORKDAY(EOMONTH(Registro_Compras!$B218,0),5,Feriados))))</f>
        <v/>
      </c>
      <c r="J218" s="25">
        <f>IF(Registro_Compras!$R218&lt;&gt;"SI","",Registro_Compras!$X218)</f>
        <v/>
      </c>
      <c r="K218">
        <f>IF(Registro_Compras!$R218&lt;&gt;"SI","",IF(Registro_Compras!$X218="","PENDIENTE","DEPOSITADA"))</f>
        <v/>
      </c>
      <c r="L218">
        <f>IF(Registro_Compras!$R218&lt;&gt;"SI","",Registro_Compras!$Z218)</f>
        <v/>
      </c>
      <c r="M218">
        <f>IF($K218&lt;&gt;"PENDIENTE","",IF(TODAY()&gt;$I218,TODAY()-$I218,0))</f>
        <v/>
      </c>
      <c r="N218">
        <f>IF($K218&lt;&gt;"PENDIENTE","",IF($M218&gt;0,"VENCIDA - DEPOSITAR YA",IF($I218-TODAY()&lt;=3,"POR VENCER","EN PLAZO")))</f>
        <v/>
      </c>
    </row>
    <row r="219">
      <c r="A219" s="25">
        <f>IF(Registro_Compras!$R219&lt;&gt;"SI","",Registro_Compras!$B219)</f>
        <v/>
      </c>
      <c r="B219">
        <f>IF(Registro_Compras!$R219&lt;&gt;"SI","",Registro_Compras!$C219)</f>
        <v/>
      </c>
      <c r="C219">
        <f>IF(Registro_Compras!$R219&lt;&gt;"SI","",Registro_Compras!$D219)</f>
        <v/>
      </c>
      <c r="D219">
        <f>IF(Registro_Compras!$R219&lt;&gt;"SI","",Registro_Compras!$E219)</f>
        <v/>
      </c>
      <c r="E219">
        <f>IF(Registro_Compras!$R219&lt;&gt;"SI","",Registro_Compras!$G219)</f>
        <v/>
      </c>
      <c r="F219" s="31">
        <f>IF(Registro_Compras!$R219&lt;&gt;"SI","",Registro_Compras!$P219)</f>
        <v/>
      </c>
      <c r="G219" s="20">
        <f>IF(Registro_Compras!$R219&lt;&gt;"SI","",Registro_Compras!$O219)</f>
        <v/>
      </c>
      <c r="H219" s="20">
        <f>IF(Registro_Compras!$R219&lt;&gt;"SI","",Registro_Compras!$S219)</f>
        <v/>
      </c>
      <c r="I219" s="25">
        <f>IF(Registro_Compras!$R219&lt;&gt;"SI","",IF(Registro_Compras!$Y219="",WORKDAY(EOMONTH(Registro_Compras!$B219,0),5,Feriados),MIN(Registro_Compras!$Y219,WORKDAY(EOMONTH(Registro_Compras!$B219,0),5,Feriados))))</f>
        <v/>
      </c>
      <c r="J219" s="25">
        <f>IF(Registro_Compras!$R219&lt;&gt;"SI","",Registro_Compras!$X219)</f>
        <v/>
      </c>
      <c r="K219">
        <f>IF(Registro_Compras!$R219&lt;&gt;"SI","",IF(Registro_Compras!$X219="","PENDIENTE","DEPOSITADA"))</f>
        <v/>
      </c>
      <c r="L219">
        <f>IF(Registro_Compras!$R219&lt;&gt;"SI","",Registro_Compras!$Z219)</f>
        <v/>
      </c>
      <c r="M219">
        <f>IF($K219&lt;&gt;"PENDIENTE","",IF(TODAY()&gt;$I219,TODAY()-$I219,0))</f>
        <v/>
      </c>
      <c r="N219">
        <f>IF($K219&lt;&gt;"PENDIENTE","",IF($M219&gt;0,"VENCIDA - DEPOSITAR YA",IF($I219-TODAY()&lt;=3,"POR VENCER","EN PLAZO")))</f>
        <v/>
      </c>
    </row>
    <row r="220">
      <c r="A220" s="25">
        <f>IF(Registro_Compras!$R220&lt;&gt;"SI","",Registro_Compras!$B220)</f>
        <v/>
      </c>
      <c r="B220">
        <f>IF(Registro_Compras!$R220&lt;&gt;"SI","",Registro_Compras!$C220)</f>
        <v/>
      </c>
      <c r="C220">
        <f>IF(Registro_Compras!$R220&lt;&gt;"SI","",Registro_Compras!$D220)</f>
        <v/>
      </c>
      <c r="D220">
        <f>IF(Registro_Compras!$R220&lt;&gt;"SI","",Registro_Compras!$E220)</f>
        <v/>
      </c>
      <c r="E220">
        <f>IF(Registro_Compras!$R220&lt;&gt;"SI","",Registro_Compras!$G220)</f>
        <v/>
      </c>
      <c r="F220" s="31">
        <f>IF(Registro_Compras!$R220&lt;&gt;"SI","",Registro_Compras!$P220)</f>
        <v/>
      </c>
      <c r="G220" s="20">
        <f>IF(Registro_Compras!$R220&lt;&gt;"SI","",Registro_Compras!$O220)</f>
        <v/>
      </c>
      <c r="H220" s="20">
        <f>IF(Registro_Compras!$R220&lt;&gt;"SI","",Registro_Compras!$S220)</f>
        <v/>
      </c>
      <c r="I220" s="25">
        <f>IF(Registro_Compras!$R220&lt;&gt;"SI","",IF(Registro_Compras!$Y220="",WORKDAY(EOMONTH(Registro_Compras!$B220,0),5,Feriados),MIN(Registro_Compras!$Y220,WORKDAY(EOMONTH(Registro_Compras!$B220,0),5,Feriados))))</f>
        <v/>
      </c>
      <c r="J220" s="25">
        <f>IF(Registro_Compras!$R220&lt;&gt;"SI","",Registro_Compras!$X220)</f>
        <v/>
      </c>
      <c r="K220">
        <f>IF(Registro_Compras!$R220&lt;&gt;"SI","",IF(Registro_Compras!$X220="","PENDIENTE","DEPOSITADA"))</f>
        <v/>
      </c>
      <c r="L220">
        <f>IF(Registro_Compras!$R220&lt;&gt;"SI","",Registro_Compras!$Z220)</f>
        <v/>
      </c>
      <c r="M220">
        <f>IF($K220&lt;&gt;"PENDIENTE","",IF(TODAY()&gt;$I220,TODAY()-$I220,0))</f>
        <v/>
      </c>
      <c r="N220">
        <f>IF($K220&lt;&gt;"PENDIENTE","",IF($M220&gt;0,"VENCIDA - DEPOSITAR YA",IF($I220-TODAY()&lt;=3,"POR VENCER","EN PLAZO")))</f>
        <v/>
      </c>
    </row>
    <row r="221">
      <c r="A221" s="25">
        <f>IF(Registro_Compras!$R221&lt;&gt;"SI","",Registro_Compras!$B221)</f>
        <v/>
      </c>
      <c r="B221">
        <f>IF(Registro_Compras!$R221&lt;&gt;"SI","",Registro_Compras!$C221)</f>
        <v/>
      </c>
      <c r="C221">
        <f>IF(Registro_Compras!$R221&lt;&gt;"SI","",Registro_Compras!$D221)</f>
        <v/>
      </c>
      <c r="D221">
        <f>IF(Registro_Compras!$R221&lt;&gt;"SI","",Registro_Compras!$E221)</f>
        <v/>
      </c>
      <c r="E221">
        <f>IF(Registro_Compras!$R221&lt;&gt;"SI","",Registro_Compras!$G221)</f>
        <v/>
      </c>
      <c r="F221" s="31">
        <f>IF(Registro_Compras!$R221&lt;&gt;"SI","",Registro_Compras!$P221)</f>
        <v/>
      </c>
      <c r="G221" s="20">
        <f>IF(Registro_Compras!$R221&lt;&gt;"SI","",Registro_Compras!$O221)</f>
        <v/>
      </c>
      <c r="H221" s="20">
        <f>IF(Registro_Compras!$R221&lt;&gt;"SI","",Registro_Compras!$S221)</f>
        <v/>
      </c>
      <c r="I221" s="25">
        <f>IF(Registro_Compras!$R221&lt;&gt;"SI","",IF(Registro_Compras!$Y221="",WORKDAY(EOMONTH(Registro_Compras!$B221,0),5,Feriados),MIN(Registro_Compras!$Y221,WORKDAY(EOMONTH(Registro_Compras!$B221,0),5,Feriados))))</f>
        <v/>
      </c>
      <c r="J221" s="25">
        <f>IF(Registro_Compras!$R221&lt;&gt;"SI","",Registro_Compras!$X221)</f>
        <v/>
      </c>
      <c r="K221">
        <f>IF(Registro_Compras!$R221&lt;&gt;"SI","",IF(Registro_Compras!$X221="","PENDIENTE","DEPOSITADA"))</f>
        <v/>
      </c>
      <c r="L221">
        <f>IF(Registro_Compras!$R221&lt;&gt;"SI","",Registro_Compras!$Z221)</f>
        <v/>
      </c>
      <c r="M221">
        <f>IF($K221&lt;&gt;"PENDIENTE","",IF(TODAY()&gt;$I221,TODAY()-$I221,0))</f>
        <v/>
      </c>
      <c r="N221">
        <f>IF($K221&lt;&gt;"PENDIENTE","",IF($M221&gt;0,"VENCIDA - DEPOSITAR YA",IF($I221-TODAY()&lt;=3,"POR VENCER","EN PLAZO")))</f>
        <v/>
      </c>
    </row>
    <row r="222">
      <c r="A222" s="25">
        <f>IF(Registro_Compras!$R222&lt;&gt;"SI","",Registro_Compras!$B222)</f>
        <v/>
      </c>
      <c r="B222">
        <f>IF(Registro_Compras!$R222&lt;&gt;"SI","",Registro_Compras!$C222)</f>
        <v/>
      </c>
      <c r="C222">
        <f>IF(Registro_Compras!$R222&lt;&gt;"SI","",Registro_Compras!$D222)</f>
        <v/>
      </c>
      <c r="D222">
        <f>IF(Registro_Compras!$R222&lt;&gt;"SI","",Registro_Compras!$E222)</f>
        <v/>
      </c>
      <c r="E222">
        <f>IF(Registro_Compras!$R222&lt;&gt;"SI","",Registro_Compras!$G222)</f>
        <v/>
      </c>
      <c r="F222" s="31">
        <f>IF(Registro_Compras!$R222&lt;&gt;"SI","",Registro_Compras!$P222)</f>
        <v/>
      </c>
      <c r="G222" s="20">
        <f>IF(Registro_Compras!$R222&lt;&gt;"SI","",Registro_Compras!$O222)</f>
        <v/>
      </c>
      <c r="H222" s="20">
        <f>IF(Registro_Compras!$R222&lt;&gt;"SI","",Registro_Compras!$S222)</f>
        <v/>
      </c>
      <c r="I222" s="25">
        <f>IF(Registro_Compras!$R222&lt;&gt;"SI","",IF(Registro_Compras!$Y222="",WORKDAY(EOMONTH(Registro_Compras!$B222,0),5,Feriados),MIN(Registro_Compras!$Y222,WORKDAY(EOMONTH(Registro_Compras!$B222,0),5,Feriados))))</f>
        <v/>
      </c>
      <c r="J222" s="25">
        <f>IF(Registro_Compras!$R222&lt;&gt;"SI","",Registro_Compras!$X222)</f>
        <v/>
      </c>
      <c r="K222">
        <f>IF(Registro_Compras!$R222&lt;&gt;"SI","",IF(Registro_Compras!$X222="","PENDIENTE","DEPOSITADA"))</f>
        <v/>
      </c>
      <c r="L222">
        <f>IF(Registro_Compras!$R222&lt;&gt;"SI","",Registro_Compras!$Z222)</f>
        <v/>
      </c>
      <c r="M222">
        <f>IF($K222&lt;&gt;"PENDIENTE","",IF(TODAY()&gt;$I222,TODAY()-$I222,0))</f>
        <v/>
      </c>
      <c r="N222">
        <f>IF($K222&lt;&gt;"PENDIENTE","",IF($M222&gt;0,"VENCIDA - DEPOSITAR YA",IF($I222-TODAY()&lt;=3,"POR VENCER","EN PLAZO")))</f>
        <v/>
      </c>
    </row>
    <row r="223">
      <c r="A223" s="25">
        <f>IF(Registro_Compras!$R223&lt;&gt;"SI","",Registro_Compras!$B223)</f>
        <v/>
      </c>
      <c r="B223">
        <f>IF(Registro_Compras!$R223&lt;&gt;"SI","",Registro_Compras!$C223)</f>
        <v/>
      </c>
      <c r="C223">
        <f>IF(Registro_Compras!$R223&lt;&gt;"SI","",Registro_Compras!$D223)</f>
        <v/>
      </c>
      <c r="D223">
        <f>IF(Registro_Compras!$R223&lt;&gt;"SI","",Registro_Compras!$E223)</f>
        <v/>
      </c>
      <c r="E223">
        <f>IF(Registro_Compras!$R223&lt;&gt;"SI","",Registro_Compras!$G223)</f>
        <v/>
      </c>
      <c r="F223" s="31">
        <f>IF(Registro_Compras!$R223&lt;&gt;"SI","",Registro_Compras!$P223)</f>
        <v/>
      </c>
      <c r="G223" s="20">
        <f>IF(Registro_Compras!$R223&lt;&gt;"SI","",Registro_Compras!$O223)</f>
        <v/>
      </c>
      <c r="H223" s="20">
        <f>IF(Registro_Compras!$R223&lt;&gt;"SI","",Registro_Compras!$S223)</f>
        <v/>
      </c>
      <c r="I223" s="25">
        <f>IF(Registro_Compras!$R223&lt;&gt;"SI","",IF(Registro_Compras!$Y223="",WORKDAY(EOMONTH(Registro_Compras!$B223,0),5,Feriados),MIN(Registro_Compras!$Y223,WORKDAY(EOMONTH(Registro_Compras!$B223,0),5,Feriados))))</f>
        <v/>
      </c>
      <c r="J223" s="25">
        <f>IF(Registro_Compras!$R223&lt;&gt;"SI","",Registro_Compras!$X223)</f>
        <v/>
      </c>
      <c r="K223">
        <f>IF(Registro_Compras!$R223&lt;&gt;"SI","",IF(Registro_Compras!$X223="","PENDIENTE","DEPOSITADA"))</f>
        <v/>
      </c>
      <c r="L223">
        <f>IF(Registro_Compras!$R223&lt;&gt;"SI","",Registro_Compras!$Z223)</f>
        <v/>
      </c>
      <c r="M223">
        <f>IF($K223&lt;&gt;"PENDIENTE","",IF(TODAY()&gt;$I223,TODAY()-$I223,0))</f>
        <v/>
      </c>
      <c r="N223">
        <f>IF($K223&lt;&gt;"PENDIENTE","",IF($M223&gt;0,"VENCIDA - DEPOSITAR YA",IF($I223-TODAY()&lt;=3,"POR VENCER","EN PLAZO")))</f>
        <v/>
      </c>
    </row>
    <row r="224">
      <c r="A224" s="25">
        <f>IF(Registro_Compras!$R224&lt;&gt;"SI","",Registro_Compras!$B224)</f>
        <v/>
      </c>
      <c r="B224">
        <f>IF(Registro_Compras!$R224&lt;&gt;"SI","",Registro_Compras!$C224)</f>
        <v/>
      </c>
      <c r="C224">
        <f>IF(Registro_Compras!$R224&lt;&gt;"SI","",Registro_Compras!$D224)</f>
        <v/>
      </c>
      <c r="D224">
        <f>IF(Registro_Compras!$R224&lt;&gt;"SI","",Registro_Compras!$E224)</f>
        <v/>
      </c>
      <c r="E224">
        <f>IF(Registro_Compras!$R224&lt;&gt;"SI","",Registro_Compras!$G224)</f>
        <v/>
      </c>
      <c r="F224" s="31">
        <f>IF(Registro_Compras!$R224&lt;&gt;"SI","",Registro_Compras!$P224)</f>
        <v/>
      </c>
      <c r="G224" s="20">
        <f>IF(Registro_Compras!$R224&lt;&gt;"SI","",Registro_Compras!$O224)</f>
        <v/>
      </c>
      <c r="H224" s="20">
        <f>IF(Registro_Compras!$R224&lt;&gt;"SI","",Registro_Compras!$S224)</f>
        <v/>
      </c>
      <c r="I224" s="25">
        <f>IF(Registro_Compras!$R224&lt;&gt;"SI","",IF(Registro_Compras!$Y224="",WORKDAY(EOMONTH(Registro_Compras!$B224,0),5,Feriados),MIN(Registro_Compras!$Y224,WORKDAY(EOMONTH(Registro_Compras!$B224,0),5,Feriados))))</f>
        <v/>
      </c>
      <c r="J224" s="25">
        <f>IF(Registro_Compras!$R224&lt;&gt;"SI","",Registro_Compras!$X224)</f>
        <v/>
      </c>
      <c r="K224">
        <f>IF(Registro_Compras!$R224&lt;&gt;"SI","",IF(Registro_Compras!$X224="","PENDIENTE","DEPOSITADA"))</f>
        <v/>
      </c>
      <c r="L224">
        <f>IF(Registro_Compras!$R224&lt;&gt;"SI","",Registro_Compras!$Z224)</f>
        <v/>
      </c>
      <c r="M224">
        <f>IF($K224&lt;&gt;"PENDIENTE","",IF(TODAY()&gt;$I224,TODAY()-$I224,0))</f>
        <v/>
      </c>
      <c r="N224">
        <f>IF($K224&lt;&gt;"PENDIENTE","",IF($M224&gt;0,"VENCIDA - DEPOSITAR YA",IF($I224-TODAY()&lt;=3,"POR VENCER","EN PLAZO")))</f>
        <v/>
      </c>
    </row>
    <row r="225">
      <c r="A225" s="25">
        <f>IF(Registro_Compras!$R225&lt;&gt;"SI","",Registro_Compras!$B225)</f>
        <v/>
      </c>
      <c r="B225">
        <f>IF(Registro_Compras!$R225&lt;&gt;"SI","",Registro_Compras!$C225)</f>
        <v/>
      </c>
      <c r="C225">
        <f>IF(Registro_Compras!$R225&lt;&gt;"SI","",Registro_Compras!$D225)</f>
        <v/>
      </c>
      <c r="D225">
        <f>IF(Registro_Compras!$R225&lt;&gt;"SI","",Registro_Compras!$E225)</f>
        <v/>
      </c>
      <c r="E225">
        <f>IF(Registro_Compras!$R225&lt;&gt;"SI","",Registro_Compras!$G225)</f>
        <v/>
      </c>
      <c r="F225" s="31">
        <f>IF(Registro_Compras!$R225&lt;&gt;"SI","",Registro_Compras!$P225)</f>
        <v/>
      </c>
      <c r="G225" s="20">
        <f>IF(Registro_Compras!$R225&lt;&gt;"SI","",Registro_Compras!$O225)</f>
        <v/>
      </c>
      <c r="H225" s="20">
        <f>IF(Registro_Compras!$R225&lt;&gt;"SI","",Registro_Compras!$S225)</f>
        <v/>
      </c>
      <c r="I225" s="25">
        <f>IF(Registro_Compras!$R225&lt;&gt;"SI","",IF(Registro_Compras!$Y225="",WORKDAY(EOMONTH(Registro_Compras!$B225,0),5,Feriados),MIN(Registro_Compras!$Y225,WORKDAY(EOMONTH(Registro_Compras!$B225,0),5,Feriados))))</f>
        <v/>
      </c>
      <c r="J225" s="25">
        <f>IF(Registro_Compras!$R225&lt;&gt;"SI","",Registro_Compras!$X225)</f>
        <v/>
      </c>
      <c r="K225">
        <f>IF(Registro_Compras!$R225&lt;&gt;"SI","",IF(Registro_Compras!$X225="","PENDIENTE","DEPOSITADA"))</f>
        <v/>
      </c>
      <c r="L225">
        <f>IF(Registro_Compras!$R225&lt;&gt;"SI","",Registro_Compras!$Z225)</f>
        <v/>
      </c>
      <c r="M225">
        <f>IF($K225&lt;&gt;"PENDIENTE","",IF(TODAY()&gt;$I225,TODAY()-$I225,0))</f>
        <v/>
      </c>
      <c r="N225">
        <f>IF($K225&lt;&gt;"PENDIENTE","",IF($M225&gt;0,"VENCIDA - DEPOSITAR YA",IF($I225-TODAY()&lt;=3,"POR VENCER","EN PLAZO")))</f>
        <v/>
      </c>
    </row>
    <row r="226">
      <c r="A226" s="25">
        <f>IF(Registro_Compras!$R226&lt;&gt;"SI","",Registro_Compras!$B226)</f>
        <v/>
      </c>
      <c r="B226">
        <f>IF(Registro_Compras!$R226&lt;&gt;"SI","",Registro_Compras!$C226)</f>
        <v/>
      </c>
      <c r="C226">
        <f>IF(Registro_Compras!$R226&lt;&gt;"SI","",Registro_Compras!$D226)</f>
        <v/>
      </c>
      <c r="D226">
        <f>IF(Registro_Compras!$R226&lt;&gt;"SI","",Registro_Compras!$E226)</f>
        <v/>
      </c>
      <c r="E226">
        <f>IF(Registro_Compras!$R226&lt;&gt;"SI","",Registro_Compras!$G226)</f>
        <v/>
      </c>
      <c r="F226" s="31">
        <f>IF(Registro_Compras!$R226&lt;&gt;"SI","",Registro_Compras!$P226)</f>
        <v/>
      </c>
      <c r="G226" s="20">
        <f>IF(Registro_Compras!$R226&lt;&gt;"SI","",Registro_Compras!$O226)</f>
        <v/>
      </c>
      <c r="H226" s="20">
        <f>IF(Registro_Compras!$R226&lt;&gt;"SI","",Registro_Compras!$S226)</f>
        <v/>
      </c>
      <c r="I226" s="25">
        <f>IF(Registro_Compras!$R226&lt;&gt;"SI","",IF(Registro_Compras!$Y226="",WORKDAY(EOMONTH(Registro_Compras!$B226,0),5,Feriados),MIN(Registro_Compras!$Y226,WORKDAY(EOMONTH(Registro_Compras!$B226,0),5,Feriados))))</f>
        <v/>
      </c>
      <c r="J226" s="25">
        <f>IF(Registro_Compras!$R226&lt;&gt;"SI","",Registro_Compras!$X226)</f>
        <v/>
      </c>
      <c r="K226">
        <f>IF(Registro_Compras!$R226&lt;&gt;"SI","",IF(Registro_Compras!$X226="","PENDIENTE","DEPOSITADA"))</f>
        <v/>
      </c>
      <c r="L226">
        <f>IF(Registro_Compras!$R226&lt;&gt;"SI","",Registro_Compras!$Z226)</f>
        <v/>
      </c>
      <c r="M226">
        <f>IF($K226&lt;&gt;"PENDIENTE","",IF(TODAY()&gt;$I226,TODAY()-$I226,0))</f>
        <v/>
      </c>
      <c r="N226">
        <f>IF($K226&lt;&gt;"PENDIENTE","",IF($M226&gt;0,"VENCIDA - DEPOSITAR YA",IF($I226-TODAY()&lt;=3,"POR VENCER","EN PLAZO")))</f>
        <v/>
      </c>
    </row>
    <row r="227">
      <c r="A227" s="25">
        <f>IF(Registro_Compras!$R227&lt;&gt;"SI","",Registro_Compras!$B227)</f>
        <v/>
      </c>
      <c r="B227">
        <f>IF(Registro_Compras!$R227&lt;&gt;"SI","",Registro_Compras!$C227)</f>
        <v/>
      </c>
      <c r="C227">
        <f>IF(Registro_Compras!$R227&lt;&gt;"SI","",Registro_Compras!$D227)</f>
        <v/>
      </c>
      <c r="D227">
        <f>IF(Registro_Compras!$R227&lt;&gt;"SI","",Registro_Compras!$E227)</f>
        <v/>
      </c>
      <c r="E227">
        <f>IF(Registro_Compras!$R227&lt;&gt;"SI","",Registro_Compras!$G227)</f>
        <v/>
      </c>
      <c r="F227" s="31">
        <f>IF(Registro_Compras!$R227&lt;&gt;"SI","",Registro_Compras!$P227)</f>
        <v/>
      </c>
      <c r="G227" s="20">
        <f>IF(Registro_Compras!$R227&lt;&gt;"SI","",Registro_Compras!$O227)</f>
        <v/>
      </c>
      <c r="H227" s="20">
        <f>IF(Registro_Compras!$R227&lt;&gt;"SI","",Registro_Compras!$S227)</f>
        <v/>
      </c>
      <c r="I227" s="25">
        <f>IF(Registro_Compras!$R227&lt;&gt;"SI","",IF(Registro_Compras!$Y227="",WORKDAY(EOMONTH(Registro_Compras!$B227,0),5,Feriados),MIN(Registro_Compras!$Y227,WORKDAY(EOMONTH(Registro_Compras!$B227,0),5,Feriados))))</f>
        <v/>
      </c>
      <c r="J227" s="25">
        <f>IF(Registro_Compras!$R227&lt;&gt;"SI","",Registro_Compras!$X227)</f>
        <v/>
      </c>
      <c r="K227">
        <f>IF(Registro_Compras!$R227&lt;&gt;"SI","",IF(Registro_Compras!$X227="","PENDIENTE","DEPOSITADA"))</f>
        <v/>
      </c>
      <c r="L227">
        <f>IF(Registro_Compras!$R227&lt;&gt;"SI","",Registro_Compras!$Z227)</f>
        <v/>
      </c>
      <c r="M227">
        <f>IF($K227&lt;&gt;"PENDIENTE","",IF(TODAY()&gt;$I227,TODAY()-$I227,0))</f>
        <v/>
      </c>
      <c r="N227">
        <f>IF($K227&lt;&gt;"PENDIENTE","",IF($M227&gt;0,"VENCIDA - DEPOSITAR YA",IF($I227-TODAY()&lt;=3,"POR VENCER","EN PLAZO")))</f>
        <v/>
      </c>
    </row>
    <row r="228">
      <c r="A228" s="25">
        <f>IF(Registro_Compras!$R228&lt;&gt;"SI","",Registro_Compras!$B228)</f>
        <v/>
      </c>
      <c r="B228">
        <f>IF(Registro_Compras!$R228&lt;&gt;"SI","",Registro_Compras!$C228)</f>
        <v/>
      </c>
      <c r="C228">
        <f>IF(Registro_Compras!$R228&lt;&gt;"SI","",Registro_Compras!$D228)</f>
        <v/>
      </c>
      <c r="D228">
        <f>IF(Registro_Compras!$R228&lt;&gt;"SI","",Registro_Compras!$E228)</f>
        <v/>
      </c>
      <c r="E228">
        <f>IF(Registro_Compras!$R228&lt;&gt;"SI","",Registro_Compras!$G228)</f>
        <v/>
      </c>
      <c r="F228" s="31">
        <f>IF(Registro_Compras!$R228&lt;&gt;"SI","",Registro_Compras!$P228)</f>
        <v/>
      </c>
      <c r="G228" s="20">
        <f>IF(Registro_Compras!$R228&lt;&gt;"SI","",Registro_Compras!$O228)</f>
        <v/>
      </c>
      <c r="H228" s="20">
        <f>IF(Registro_Compras!$R228&lt;&gt;"SI","",Registro_Compras!$S228)</f>
        <v/>
      </c>
      <c r="I228" s="25">
        <f>IF(Registro_Compras!$R228&lt;&gt;"SI","",IF(Registro_Compras!$Y228="",WORKDAY(EOMONTH(Registro_Compras!$B228,0),5,Feriados),MIN(Registro_Compras!$Y228,WORKDAY(EOMONTH(Registro_Compras!$B228,0),5,Feriados))))</f>
        <v/>
      </c>
      <c r="J228" s="25">
        <f>IF(Registro_Compras!$R228&lt;&gt;"SI","",Registro_Compras!$X228)</f>
        <v/>
      </c>
      <c r="K228">
        <f>IF(Registro_Compras!$R228&lt;&gt;"SI","",IF(Registro_Compras!$X228="","PENDIENTE","DEPOSITADA"))</f>
        <v/>
      </c>
      <c r="L228">
        <f>IF(Registro_Compras!$R228&lt;&gt;"SI","",Registro_Compras!$Z228)</f>
        <v/>
      </c>
      <c r="M228">
        <f>IF($K228&lt;&gt;"PENDIENTE","",IF(TODAY()&gt;$I228,TODAY()-$I228,0))</f>
        <v/>
      </c>
      <c r="N228">
        <f>IF($K228&lt;&gt;"PENDIENTE","",IF($M228&gt;0,"VENCIDA - DEPOSITAR YA",IF($I228-TODAY()&lt;=3,"POR VENCER","EN PLAZO")))</f>
        <v/>
      </c>
    </row>
    <row r="229">
      <c r="A229" s="25">
        <f>IF(Registro_Compras!$R229&lt;&gt;"SI","",Registro_Compras!$B229)</f>
        <v/>
      </c>
      <c r="B229">
        <f>IF(Registro_Compras!$R229&lt;&gt;"SI","",Registro_Compras!$C229)</f>
        <v/>
      </c>
      <c r="C229">
        <f>IF(Registro_Compras!$R229&lt;&gt;"SI","",Registro_Compras!$D229)</f>
        <v/>
      </c>
      <c r="D229">
        <f>IF(Registro_Compras!$R229&lt;&gt;"SI","",Registro_Compras!$E229)</f>
        <v/>
      </c>
      <c r="E229">
        <f>IF(Registro_Compras!$R229&lt;&gt;"SI","",Registro_Compras!$G229)</f>
        <v/>
      </c>
      <c r="F229" s="31">
        <f>IF(Registro_Compras!$R229&lt;&gt;"SI","",Registro_Compras!$P229)</f>
        <v/>
      </c>
      <c r="G229" s="20">
        <f>IF(Registro_Compras!$R229&lt;&gt;"SI","",Registro_Compras!$O229)</f>
        <v/>
      </c>
      <c r="H229" s="20">
        <f>IF(Registro_Compras!$R229&lt;&gt;"SI","",Registro_Compras!$S229)</f>
        <v/>
      </c>
      <c r="I229" s="25">
        <f>IF(Registro_Compras!$R229&lt;&gt;"SI","",IF(Registro_Compras!$Y229="",WORKDAY(EOMONTH(Registro_Compras!$B229,0),5,Feriados),MIN(Registro_Compras!$Y229,WORKDAY(EOMONTH(Registro_Compras!$B229,0),5,Feriados))))</f>
        <v/>
      </c>
      <c r="J229" s="25">
        <f>IF(Registro_Compras!$R229&lt;&gt;"SI","",Registro_Compras!$X229)</f>
        <v/>
      </c>
      <c r="K229">
        <f>IF(Registro_Compras!$R229&lt;&gt;"SI","",IF(Registro_Compras!$X229="","PENDIENTE","DEPOSITADA"))</f>
        <v/>
      </c>
      <c r="L229">
        <f>IF(Registro_Compras!$R229&lt;&gt;"SI","",Registro_Compras!$Z229)</f>
        <v/>
      </c>
      <c r="M229">
        <f>IF($K229&lt;&gt;"PENDIENTE","",IF(TODAY()&gt;$I229,TODAY()-$I229,0))</f>
        <v/>
      </c>
      <c r="N229">
        <f>IF($K229&lt;&gt;"PENDIENTE","",IF($M229&gt;0,"VENCIDA - DEPOSITAR YA",IF($I229-TODAY()&lt;=3,"POR VENCER","EN PLAZO")))</f>
        <v/>
      </c>
    </row>
    <row r="230">
      <c r="A230" s="25">
        <f>IF(Registro_Compras!$R230&lt;&gt;"SI","",Registro_Compras!$B230)</f>
        <v/>
      </c>
      <c r="B230">
        <f>IF(Registro_Compras!$R230&lt;&gt;"SI","",Registro_Compras!$C230)</f>
        <v/>
      </c>
      <c r="C230">
        <f>IF(Registro_Compras!$R230&lt;&gt;"SI","",Registro_Compras!$D230)</f>
        <v/>
      </c>
      <c r="D230">
        <f>IF(Registro_Compras!$R230&lt;&gt;"SI","",Registro_Compras!$E230)</f>
        <v/>
      </c>
      <c r="E230">
        <f>IF(Registro_Compras!$R230&lt;&gt;"SI","",Registro_Compras!$G230)</f>
        <v/>
      </c>
      <c r="F230" s="31">
        <f>IF(Registro_Compras!$R230&lt;&gt;"SI","",Registro_Compras!$P230)</f>
        <v/>
      </c>
      <c r="G230" s="20">
        <f>IF(Registro_Compras!$R230&lt;&gt;"SI","",Registro_Compras!$O230)</f>
        <v/>
      </c>
      <c r="H230" s="20">
        <f>IF(Registro_Compras!$R230&lt;&gt;"SI","",Registro_Compras!$S230)</f>
        <v/>
      </c>
      <c r="I230" s="25">
        <f>IF(Registro_Compras!$R230&lt;&gt;"SI","",IF(Registro_Compras!$Y230="",WORKDAY(EOMONTH(Registro_Compras!$B230,0),5,Feriados),MIN(Registro_Compras!$Y230,WORKDAY(EOMONTH(Registro_Compras!$B230,0),5,Feriados))))</f>
        <v/>
      </c>
      <c r="J230" s="25">
        <f>IF(Registro_Compras!$R230&lt;&gt;"SI","",Registro_Compras!$X230)</f>
        <v/>
      </c>
      <c r="K230">
        <f>IF(Registro_Compras!$R230&lt;&gt;"SI","",IF(Registro_Compras!$X230="","PENDIENTE","DEPOSITADA"))</f>
        <v/>
      </c>
      <c r="L230">
        <f>IF(Registro_Compras!$R230&lt;&gt;"SI","",Registro_Compras!$Z230)</f>
        <v/>
      </c>
      <c r="M230">
        <f>IF($K230&lt;&gt;"PENDIENTE","",IF(TODAY()&gt;$I230,TODAY()-$I230,0))</f>
        <v/>
      </c>
      <c r="N230">
        <f>IF($K230&lt;&gt;"PENDIENTE","",IF($M230&gt;0,"VENCIDA - DEPOSITAR YA",IF($I230-TODAY()&lt;=3,"POR VENCER","EN PLAZO")))</f>
        <v/>
      </c>
    </row>
    <row r="231">
      <c r="A231" s="25">
        <f>IF(Registro_Compras!$R231&lt;&gt;"SI","",Registro_Compras!$B231)</f>
        <v/>
      </c>
      <c r="B231">
        <f>IF(Registro_Compras!$R231&lt;&gt;"SI","",Registro_Compras!$C231)</f>
        <v/>
      </c>
      <c r="C231">
        <f>IF(Registro_Compras!$R231&lt;&gt;"SI","",Registro_Compras!$D231)</f>
        <v/>
      </c>
      <c r="D231">
        <f>IF(Registro_Compras!$R231&lt;&gt;"SI","",Registro_Compras!$E231)</f>
        <v/>
      </c>
      <c r="E231">
        <f>IF(Registro_Compras!$R231&lt;&gt;"SI","",Registro_Compras!$G231)</f>
        <v/>
      </c>
      <c r="F231" s="31">
        <f>IF(Registro_Compras!$R231&lt;&gt;"SI","",Registro_Compras!$P231)</f>
        <v/>
      </c>
      <c r="G231" s="20">
        <f>IF(Registro_Compras!$R231&lt;&gt;"SI","",Registro_Compras!$O231)</f>
        <v/>
      </c>
      <c r="H231" s="20">
        <f>IF(Registro_Compras!$R231&lt;&gt;"SI","",Registro_Compras!$S231)</f>
        <v/>
      </c>
      <c r="I231" s="25">
        <f>IF(Registro_Compras!$R231&lt;&gt;"SI","",IF(Registro_Compras!$Y231="",WORKDAY(EOMONTH(Registro_Compras!$B231,0),5,Feriados),MIN(Registro_Compras!$Y231,WORKDAY(EOMONTH(Registro_Compras!$B231,0),5,Feriados))))</f>
        <v/>
      </c>
      <c r="J231" s="25">
        <f>IF(Registro_Compras!$R231&lt;&gt;"SI","",Registro_Compras!$X231)</f>
        <v/>
      </c>
      <c r="K231">
        <f>IF(Registro_Compras!$R231&lt;&gt;"SI","",IF(Registro_Compras!$X231="","PENDIENTE","DEPOSITADA"))</f>
        <v/>
      </c>
      <c r="L231">
        <f>IF(Registro_Compras!$R231&lt;&gt;"SI","",Registro_Compras!$Z231)</f>
        <v/>
      </c>
      <c r="M231">
        <f>IF($K231&lt;&gt;"PENDIENTE","",IF(TODAY()&gt;$I231,TODAY()-$I231,0))</f>
        <v/>
      </c>
      <c r="N231">
        <f>IF($K231&lt;&gt;"PENDIENTE","",IF($M231&gt;0,"VENCIDA - DEPOSITAR YA",IF($I231-TODAY()&lt;=3,"POR VENCER","EN PLAZO")))</f>
        <v/>
      </c>
    </row>
    <row r="232">
      <c r="A232" s="25">
        <f>IF(Registro_Compras!$R232&lt;&gt;"SI","",Registro_Compras!$B232)</f>
        <v/>
      </c>
      <c r="B232">
        <f>IF(Registro_Compras!$R232&lt;&gt;"SI","",Registro_Compras!$C232)</f>
        <v/>
      </c>
      <c r="C232">
        <f>IF(Registro_Compras!$R232&lt;&gt;"SI","",Registro_Compras!$D232)</f>
        <v/>
      </c>
      <c r="D232">
        <f>IF(Registro_Compras!$R232&lt;&gt;"SI","",Registro_Compras!$E232)</f>
        <v/>
      </c>
      <c r="E232">
        <f>IF(Registro_Compras!$R232&lt;&gt;"SI","",Registro_Compras!$G232)</f>
        <v/>
      </c>
      <c r="F232" s="31">
        <f>IF(Registro_Compras!$R232&lt;&gt;"SI","",Registro_Compras!$P232)</f>
        <v/>
      </c>
      <c r="G232" s="20">
        <f>IF(Registro_Compras!$R232&lt;&gt;"SI","",Registro_Compras!$O232)</f>
        <v/>
      </c>
      <c r="H232" s="20">
        <f>IF(Registro_Compras!$R232&lt;&gt;"SI","",Registro_Compras!$S232)</f>
        <v/>
      </c>
      <c r="I232" s="25">
        <f>IF(Registro_Compras!$R232&lt;&gt;"SI","",IF(Registro_Compras!$Y232="",WORKDAY(EOMONTH(Registro_Compras!$B232,0),5,Feriados),MIN(Registro_Compras!$Y232,WORKDAY(EOMONTH(Registro_Compras!$B232,0),5,Feriados))))</f>
        <v/>
      </c>
      <c r="J232" s="25">
        <f>IF(Registro_Compras!$R232&lt;&gt;"SI","",Registro_Compras!$X232)</f>
        <v/>
      </c>
      <c r="K232">
        <f>IF(Registro_Compras!$R232&lt;&gt;"SI","",IF(Registro_Compras!$X232="","PENDIENTE","DEPOSITADA"))</f>
        <v/>
      </c>
      <c r="L232">
        <f>IF(Registro_Compras!$R232&lt;&gt;"SI","",Registro_Compras!$Z232)</f>
        <v/>
      </c>
      <c r="M232">
        <f>IF($K232&lt;&gt;"PENDIENTE","",IF(TODAY()&gt;$I232,TODAY()-$I232,0))</f>
        <v/>
      </c>
      <c r="N232">
        <f>IF($K232&lt;&gt;"PENDIENTE","",IF($M232&gt;0,"VENCIDA - DEPOSITAR YA",IF($I232-TODAY()&lt;=3,"POR VENCER","EN PLAZO")))</f>
        <v/>
      </c>
    </row>
    <row r="233">
      <c r="A233" s="25">
        <f>IF(Registro_Compras!$R233&lt;&gt;"SI","",Registro_Compras!$B233)</f>
        <v/>
      </c>
      <c r="B233">
        <f>IF(Registro_Compras!$R233&lt;&gt;"SI","",Registro_Compras!$C233)</f>
        <v/>
      </c>
      <c r="C233">
        <f>IF(Registro_Compras!$R233&lt;&gt;"SI","",Registro_Compras!$D233)</f>
        <v/>
      </c>
      <c r="D233">
        <f>IF(Registro_Compras!$R233&lt;&gt;"SI","",Registro_Compras!$E233)</f>
        <v/>
      </c>
      <c r="E233">
        <f>IF(Registro_Compras!$R233&lt;&gt;"SI","",Registro_Compras!$G233)</f>
        <v/>
      </c>
      <c r="F233" s="31">
        <f>IF(Registro_Compras!$R233&lt;&gt;"SI","",Registro_Compras!$P233)</f>
        <v/>
      </c>
      <c r="G233" s="20">
        <f>IF(Registro_Compras!$R233&lt;&gt;"SI","",Registro_Compras!$O233)</f>
        <v/>
      </c>
      <c r="H233" s="20">
        <f>IF(Registro_Compras!$R233&lt;&gt;"SI","",Registro_Compras!$S233)</f>
        <v/>
      </c>
      <c r="I233" s="25">
        <f>IF(Registro_Compras!$R233&lt;&gt;"SI","",IF(Registro_Compras!$Y233="",WORKDAY(EOMONTH(Registro_Compras!$B233,0),5,Feriados),MIN(Registro_Compras!$Y233,WORKDAY(EOMONTH(Registro_Compras!$B233,0),5,Feriados))))</f>
        <v/>
      </c>
      <c r="J233" s="25">
        <f>IF(Registro_Compras!$R233&lt;&gt;"SI","",Registro_Compras!$X233)</f>
        <v/>
      </c>
      <c r="K233">
        <f>IF(Registro_Compras!$R233&lt;&gt;"SI","",IF(Registro_Compras!$X233="","PENDIENTE","DEPOSITADA"))</f>
        <v/>
      </c>
      <c r="L233">
        <f>IF(Registro_Compras!$R233&lt;&gt;"SI","",Registro_Compras!$Z233)</f>
        <v/>
      </c>
      <c r="M233">
        <f>IF($K233&lt;&gt;"PENDIENTE","",IF(TODAY()&gt;$I233,TODAY()-$I233,0))</f>
        <v/>
      </c>
      <c r="N233">
        <f>IF($K233&lt;&gt;"PENDIENTE","",IF($M233&gt;0,"VENCIDA - DEPOSITAR YA",IF($I233-TODAY()&lt;=3,"POR VENCER","EN PLAZO")))</f>
        <v/>
      </c>
    </row>
    <row r="234">
      <c r="A234" s="25">
        <f>IF(Registro_Compras!$R234&lt;&gt;"SI","",Registro_Compras!$B234)</f>
        <v/>
      </c>
      <c r="B234">
        <f>IF(Registro_Compras!$R234&lt;&gt;"SI","",Registro_Compras!$C234)</f>
        <v/>
      </c>
      <c r="C234">
        <f>IF(Registro_Compras!$R234&lt;&gt;"SI","",Registro_Compras!$D234)</f>
        <v/>
      </c>
      <c r="D234">
        <f>IF(Registro_Compras!$R234&lt;&gt;"SI","",Registro_Compras!$E234)</f>
        <v/>
      </c>
      <c r="E234">
        <f>IF(Registro_Compras!$R234&lt;&gt;"SI","",Registro_Compras!$G234)</f>
        <v/>
      </c>
      <c r="F234" s="31">
        <f>IF(Registro_Compras!$R234&lt;&gt;"SI","",Registro_Compras!$P234)</f>
        <v/>
      </c>
      <c r="G234" s="20">
        <f>IF(Registro_Compras!$R234&lt;&gt;"SI","",Registro_Compras!$O234)</f>
        <v/>
      </c>
      <c r="H234" s="20">
        <f>IF(Registro_Compras!$R234&lt;&gt;"SI","",Registro_Compras!$S234)</f>
        <v/>
      </c>
      <c r="I234" s="25">
        <f>IF(Registro_Compras!$R234&lt;&gt;"SI","",IF(Registro_Compras!$Y234="",WORKDAY(EOMONTH(Registro_Compras!$B234,0),5,Feriados),MIN(Registro_Compras!$Y234,WORKDAY(EOMONTH(Registro_Compras!$B234,0),5,Feriados))))</f>
        <v/>
      </c>
      <c r="J234" s="25">
        <f>IF(Registro_Compras!$R234&lt;&gt;"SI","",Registro_Compras!$X234)</f>
        <v/>
      </c>
      <c r="K234">
        <f>IF(Registro_Compras!$R234&lt;&gt;"SI","",IF(Registro_Compras!$X234="","PENDIENTE","DEPOSITADA"))</f>
        <v/>
      </c>
      <c r="L234">
        <f>IF(Registro_Compras!$R234&lt;&gt;"SI","",Registro_Compras!$Z234)</f>
        <v/>
      </c>
      <c r="M234">
        <f>IF($K234&lt;&gt;"PENDIENTE","",IF(TODAY()&gt;$I234,TODAY()-$I234,0))</f>
        <v/>
      </c>
      <c r="N234">
        <f>IF($K234&lt;&gt;"PENDIENTE","",IF($M234&gt;0,"VENCIDA - DEPOSITAR YA",IF($I234-TODAY()&lt;=3,"POR VENCER","EN PLAZO")))</f>
        <v/>
      </c>
    </row>
    <row r="235">
      <c r="A235" s="25">
        <f>IF(Registro_Compras!$R235&lt;&gt;"SI","",Registro_Compras!$B235)</f>
        <v/>
      </c>
      <c r="B235">
        <f>IF(Registro_Compras!$R235&lt;&gt;"SI","",Registro_Compras!$C235)</f>
        <v/>
      </c>
      <c r="C235">
        <f>IF(Registro_Compras!$R235&lt;&gt;"SI","",Registro_Compras!$D235)</f>
        <v/>
      </c>
      <c r="D235">
        <f>IF(Registro_Compras!$R235&lt;&gt;"SI","",Registro_Compras!$E235)</f>
        <v/>
      </c>
      <c r="E235">
        <f>IF(Registro_Compras!$R235&lt;&gt;"SI","",Registro_Compras!$G235)</f>
        <v/>
      </c>
      <c r="F235" s="31">
        <f>IF(Registro_Compras!$R235&lt;&gt;"SI","",Registro_Compras!$P235)</f>
        <v/>
      </c>
      <c r="G235" s="20">
        <f>IF(Registro_Compras!$R235&lt;&gt;"SI","",Registro_Compras!$O235)</f>
        <v/>
      </c>
      <c r="H235" s="20">
        <f>IF(Registro_Compras!$R235&lt;&gt;"SI","",Registro_Compras!$S235)</f>
        <v/>
      </c>
      <c r="I235" s="25">
        <f>IF(Registro_Compras!$R235&lt;&gt;"SI","",IF(Registro_Compras!$Y235="",WORKDAY(EOMONTH(Registro_Compras!$B235,0),5,Feriados),MIN(Registro_Compras!$Y235,WORKDAY(EOMONTH(Registro_Compras!$B235,0),5,Feriados))))</f>
        <v/>
      </c>
      <c r="J235" s="25">
        <f>IF(Registro_Compras!$R235&lt;&gt;"SI","",Registro_Compras!$X235)</f>
        <v/>
      </c>
      <c r="K235">
        <f>IF(Registro_Compras!$R235&lt;&gt;"SI","",IF(Registro_Compras!$X235="","PENDIENTE","DEPOSITADA"))</f>
        <v/>
      </c>
      <c r="L235">
        <f>IF(Registro_Compras!$R235&lt;&gt;"SI","",Registro_Compras!$Z235)</f>
        <v/>
      </c>
      <c r="M235">
        <f>IF($K235&lt;&gt;"PENDIENTE","",IF(TODAY()&gt;$I235,TODAY()-$I235,0))</f>
        <v/>
      </c>
      <c r="N235">
        <f>IF($K235&lt;&gt;"PENDIENTE","",IF($M235&gt;0,"VENCIDA - DEPOSITAR YA",IF($I235-TODAY()&lt;=3,"POR VENCER","EN PLAZO")))</f>
        <v/>
      </c>
    </row>
    <row r="236">
      <c r="A236" s="25">
        <f>IF(Registro_Compras!$R236&lt;&gt;"SI","",Registro_Compras!$B236)</f>
        <v/>
      </c>
      <c r="B236">
        <f>IF(Registro_Compras!$R236&lt;&gt;"SI","",Registro_Compras!$C236)</f>
        <v/>
      </c>
      <c r="C236">
        <f>IF(Registro_Compras!$R236&lt;&gt;"SI","",Registro_Compras!$D236)</f>
        <v/>
      </c>
      <c r="D236">
        <f>IF(Registro_Compras!$R236&lt;&gt;"SI","",Registro_Compras!$E236)</f>
        <v/>
      </c>
      <c r="E236">
        <f>IF(Registro_Compras!$R236&lt;&gt;"SI","",Registro_Compras!$G236)</f>
        <v/>
      </c>
      <c r="F236" s="31">
        <f>IF(Registro_Compras!$R236&lt;&gt;"SI","",Registro_Compras!$P236)</f>
        <v/>
      </c>
      <c r="G236" s="20">
        <f>IF(Registro_Compras!$R236&lt;&gt;"SI","",Registro_Compras!$O236)</f>
        <v/>
      </c>
      <c r="H236" s="20">
        <f>IF(Registro_Compras!$R236&lt;&gt;"SI","",Registro_Compras!$S236)</f>
        <v/>
      </c>
      <c r="I236" s="25">
        <f>IF(Registro_Compras!$R236&lt;&gt;"SI","",IF(Registro_Compras!$Y236="",WORKDAY(EOMONTH(Registro_Compras!$B236,0),5,Feriados),MIN(Registro_Compras!$Y236,WORKDAY(EOMONTH(Registro_Compras!$B236,0),5,Feriados))))</f>
        <v/>
      </c>
      <c r="J236" s="25">
        <f>IF(Registro_Compras!$R236&lt;&gt;"SI","",Registro_Compras!$X236)</f>
        <v/>
      </c>
      <c r="K236">
        <f>IF(Registro_Compras!$R236&lt;&gt;"SI","",IF(Registro_Compras!$X236="","PENDIENTE","DEPOSITADA"))</f>
        <v/>
      </c>
      <c r="L236">
        <f>IF(Registro_Compras!$R236&lt;&gt;"SI","",Registro_Compras!$Z236)</f>
        <v/>
      </c>
      <c r="M236">
        <f>IF($K236&lt;&gt;"PENDIENTE","",IF(TODAY()&gt;$I236,TODAY()-$I236,0))</f>
        <v/>
      </c>
      <c r="N236">
        <f>IF($K236&lt;&gt;"PENDIENTE","",IF($M236&gt;0,"VENCIDA - DEPOSITAR YA",IF($I236-TODAY()&lt;=3,"POR VENCER","EN PLAZO")))</f>
        <v/>
      </c>
    </row>
    <row r="237">
      <c r="A237" s="25">
        <f>IF(Registro_Compras!$R237&lt;&gt;"SI","",Registro_Compras!$B237)</f>
        <v/>
      </c>
      <c r="B237">
        <f>IF(Registro_Compras!$R237&lt;&gt;"SI","",Registro_Compras!$C237)</f>
        <v/>
      </c>
      <c r="C237">
        <f>IF(Registro_Compras!$R237&lt;&gt;"SI","",Registro_Compras!$D237)</f>
        <v/>
      </c>
      <c r="D237">
        <f>IF(Registro_Compras!$R237&lt;&gt;"SI","",Registro_Compras!$E237)</f>
        <v/>
      </c>
      <c r="E237">
        <f>IF(Registro_Compras!$R237&lt;&gt;"SI","",Registro_Compras!$G237)</f>
        <v/>
      </c>
      <c r="F237" s="31">
        <f>IF(Registro_Compras!$R237&lt;&gt;"SI","",Registro_Compras!$P237)</f>
        <v/>
      </c>
      <c r="G237" s="20">
        <f>IF(Registro_Compras!$R237&lt;&gt;"SI","",Registro_Compras!$O237)</f>
        <v/>
      </c>
      <c r="H237" s="20">
        <f>IF(Registro_Compras!$R237&lt;&gt;"SI","",Registro_Compras!$S237)</f>
        <v/>
      </c>
      <c r="I237" s="25">
        <f>IF(Registro_Compras!$R237&lt;&gt;"SI","",IF(Registro_Compras!$Y237="",WORKDAY(EOMONTH(Registro_Compras!$B237,0),5,Feriados),MIN(Registro_Compras!$Y237,WORKDAY(EOMONTH(Registro_Compras!$B237,0),5,Feriados))))</f>
        <v/>
      </c>
      <c r="J237" s="25">
        <f>IF(Registro_Compras!$R237&lt;&gt;"SI","",Registro_Compras!$X237)</f>
        <v/>
      </c>
      <c r="K237">
        <f>IF(Registro_Compras!$R237&lt;&gt;"SI","",IF(Registro_Compras!$X237="","PENDIENTE","DEPOSITADA"))</f>
        <v/>
      </c>
      <c r="L237">
        <f>IF(Registro_Compras!$R237&lt;&gt;"SI","",Registro_Compras!$Z237)</f>
        <v/>
      </c>
      <c r="M237">
        <f>IF($K237&lt;&gt;"PENDIENTE","",IF(TODAY()&gt;$I237,TODAY()-$I237,0))</f>
        <v/>
      </c>
      <c r="N237">
        <f>IF($K237&lt;&gt;"PENDIENTE","",IF($M237&gt;0,"VENCIDA - DEPOSITAR YA",IF($I237-TODAY()&lt;=3,"POR VENCER","EN PLAZO")))</f>
        <v/>
      </c>
    </row>
    <row r="238">
      <c r="A238" s="25">
        <f>IF(Registro_Compras!$R238&lt;&gt;"SI","",Registro_Compras!$B238)</f>
        <v/>
      </c>
      <c r="B238">
        <f>IF(Registro_Compras!$R238&lt;&gt;"SI","",Registro_Compras!$C238)</f>
        <v/>
      </c>
      <c r="C238">
        <f>IF(Registro_Compras!$R238&lt;&gt;"SI","",Registro_Compras!$D238)</f>
        <v/>
      </c>
      <c r="D238">
        <f>IF(Registro_Compras!$R238&lt;&gt;"SI","",Registro_Compras!$E238)</f>
        <v/>
      </c>
      <c r="E238">
        <f>IF(Registro_Compras!$R238&lt;&gt;"SI","",Registro_Compras!$G238)</f>
        <v/>
      </c>
      <c r="F238" s="31">
        <f>IF(Registro_Compras!$R238&lt;&gt;"SI","",Registro_Compras!$P238)</f>
        <v/>
      </c>
      <c r="G238" s="20">
        <f>IF(Registro_Compras!$R238&lt;&gt;"SI","",Registro_Compras!$O238)</f>
        <v/>
      </c>
      <c r="H238" s="20">
        <f>IF(Registro_Compras!$R238&lt;&gt;"SI","",Registro_Compras!$S238)</f>
        <v/>
      </c>
      <c r="I238" s="25">
        <f>IF(Registro_Compras!$R238&lt;&gt;"SI","",IF(Registro_Compras!$Y238="",WORKDAY(EOMONTH(Registro_Compras!$B238,0),5,Feriados),MIN(Registro_Compras!$Y238,WORKDAY(EOMONTH(Registro_Compras!$B238,0),5,Feriados))))</f>
        <v/>
      </c>
      <c r="J238" s="25">
        <f>IF(Registro_Compras!$R238&lt;&gt;"SI","",Registro_Compras!$X238)</f>
        <v/>
      </c>
      <c r="K238">
        <f>IF(Registro_Compras!$R238&lt;&gt;"SI","",IF(Registro_Compras!$X238="","PENDIENTE","DEPOSITADA"))</f>
        <v/>
      </c>
      <c r="L238">
        <f>IF(Registro_Compras!$R238&lt;&gt;"SI","",Registro_Compras!$Z238)</f>
        <v/>
      </c>
      <c r="M238">
        <f>IF($K238&lt;&gt;"PENDIENTE","",IF(TODAY()&gt;$I238,TODAY()-$I238,0))</f>
        <v/>
      </c>
      <c r="N238">
        <f>IF($K238&lt;&gt;"PENDIENTE","",IF($M238&gt;0,"VENCIDA - DEPOSITAR YA",IF($I238-TODAY()&lt;=3,"POR VENCER","EN PLAZO")))</f>
        <v/>
      </c>
    </row>
    <row r="239">
      <c r="A239" s="25">
        <f>IF(Registro_Compras!$R239&lt;&gt;"SI","",Registro_Compras!$B239)</f>
        <v/>
      </c>
      <c r="B239">
        <f>IF(Registro_Compras!$R239&lt;&gt;"SI","",Registro_Compras!$C239)</f>
        <v/>
      </c>
      <c r="C239">
        <f>IF(Registro_Compras!$R239&lt;&gt;"SI","",Registro_Compras!$D239)</f>
        <v/>
      </c>
      <c r="D239">
        <f>IF(Registro_Compras!$R239&lt;&gt;"SI","",Registro_Compras!$E239)</f>
        <v/>
      </c>
      <c r="E239">
        <f>IF(Registro_Compras!$R239&lt;&gt;"SI","",Registro_Compras!$G239)</f>
        <v/>
      </c>
      <c r="F239" s="31">
        <f>IF(Registro_Compras!$R239&lt;&gt;"SI","",Registro_Compras!$P239)</f>
        <v/>
      </c>
      <c r="G239" s="20">
        <f>IF(Registro_Compras!$R239&lt;&gt;"SI","",Registro_Compras!$O239)</f>
        <v/>
      </c>
      <c r="H239" s="20">
        <f>IF(Registro_Compras!$R239&lt;&gt;"SI","",Registro_Compras!$S239)</f>
        <v/>
      </c>
      <c r="I239" s="25">
        <f>IF(Registro_Compras!$R239&lt;&gt;"SI","",IF(Registro_Compras!$Y239="",WORKDAY(EOMONTH(Registro_Compras!$B239,0),5,Feriados),MIN(Registro_Compras!$Y239,WORKDAY(EOMONTH(Registro_Compras!$B239,0),5,Feriados))))</f>
        <v/>
      </c>
      <c r="J239" s="25">
        <f>IF(Registro_Compras!$R239&lt;&gt;"SI","",Registro_Compras!$X239)</f>
        <v/>
      </c>
      <c r="K239">
        <f>IF(Registro_Compras!$R239&lt;&gt;"SI","",IF(Registro_Compras!$X239="","PENDIENTE","DEPOSITADA"))</f>
        <v/>
      </c>
      <c r="L239">
        <f>IF(Registro_Compras!$R239&lt;&gt;"SI","",Registro_Compras!$Z239)</f>
        <v/>
      </c>
      <c r="M239">
        <f>IF($K239&lt;&gt;"PENDIENTE","",IF(TODAY()&gt;$I239,TODAY()-$I239,0))</f>
        <v/>
      </c>
      <c r="N239">
        <f>IF($K239&lt;&gt;"PENDIENTE","",IF($M239&gt;0,"VENCIDA - DEPOSITAR YA",IF($I239-TODAY()&lt;=3,"POR VENCER","EN PLAZO")))</f>
        <v/>
      </c>
    </row>
    <row r="240">
      <c r="A240" s="25">
        <f>IF(Registro_Compras!$R240&lt;&gt;"SI","",Registro_Compras!$B240)</f>
        <v/>
      </c>
      <c r="B240">
        <f>IF(Registro_Compras!$R240&lt;&gt;"SI","",Registro_Compras!$C240)</f>
        <v/>
      </c>
      <c r="C240">
        <f>IF(Registro_Compras!$R240&lt;&gt;"SI","",Registro_Compras!$D240)</f>
        <v/>
      </c>
      <c r="D240">
        <f>IF(Registro_Compras!$R240&lt;&gt;"SI","",Registro_Compras!$E240)</f>
        <v/>
      </c>
      <c r="E240">
        <f>IF(Registro_Compras!$R240&lt;&gt;"SI","",Registro_Compras!$G240)</f>
        <v/>
      </c>
      <c r="F240" s="31">
        <f>IF(Registro_Compras!$R240&lt;&gt;"SI","",Registro_Compras!$P240)</f>
        <v/>
      </c>
      <c r="G240" s="20">
        <f>IF(Registro_Compras!$R240&lt;&gt;"SI","",Registro_Compras!$O240)</f>
        <v/>
      </c>
      <c r="H240" s="20">
        <f>IF(Registro_Compras!$R240&lt;&gt;"SI","",Registro_Compras!$S240)</f>
        <v/>
      </c>
      <c r="I240" s="25">
        <f>IF(Registro_Compras!$R240&lt;&gt;"SI","",IF(Registro_Compras!$Y240="",WORKDAY(EOMONTH(Registro_Compras!$B240,0),5,Feriados),MIN(Registro_Compras!$Y240,WORKDAY(EOMONTH(Registro_Compras!$B240,0),5,Feriados))))</f>
        <v/>
      </c>
      <c r="J240" s="25">
        <f>IF(Registro_Compras!$R240&lt;&gt;"SI","",Registro_Compras!$X240)</f>
        <v/>
      </c>
      <c r="K240">
        <f>IF(Registro_Compras!$R240&lt;&gt;"SI","",IF(Registro_Compras!$X240="","PENDIENTE","DEPOSITADA"))</f>
        <v/>
      </c>
      <c r="L240">
        <f>IF(Registro_Compras!$R240&lt;&gt;"SI","",Registro_Compras!$Z240)</f>
        <v/>
      </c>
      <c r="M240">
        <f>IF($K240&lt;&gt;"PENDIENTE","",IF(TODAY()&gt;$I240,TODAY()-$I240,0))</f>
        <v/>
      </c>
      <c r="N240">
        <f>IF($K240&lt;&gt;"PENDIENTE","",IF($M240&gt;0,"VENCIDA - DEPOSITAR YA",IF($I240-TODAY()&lt;=3,"POR VENCER","EN PLAZO")))</f>
        <v/>
      </c>
    </row>
    <row r="241">
      <c r="A241" s="25">
        <f>IF(Registro_Compras!$R241&lt;&gt;"SI","",Registro_Compras!$B241)</f>
        <v/>
      </c>
      <c r="B241">
        <f>IF(Registro_Compras!$R241&lt;&gt;"SI","",Registro_Compras!$C241)</f>
        <v/>
      </c>
      <c r="C241">
        <f>IF(Registro_Compras!$R241&lt;&gt;"SI","",Registro_Compras!$D241)</f>
        <v/>
      </c>
      <c r="D241">
        <f>IF(Registro_Compras!$R241&lt;&gt;"SI","",Registro_Compras!$E241)</f>
        <v/>
      </c>
      <c r="E241">
        <f>IF(Registro_Compras!$R241&lt;&gt;"SI","",Registro_Compras!$G241)</f>
        <v/>
      </c>
      <c r="F241" s="31">
        <f>IF(Registro_Compras!$R241&lt;&gt;"SI","",Registro_Compras!$P241)</f>
        <v/>
      </c>
      <c r="G241" s="20">
        <f>IF(Registro_Compras!$R241&lt;&gt;"SI","",Registro_Compras!$O241)</f>
        <v/>
      </c>
      <c r="H241" s="20">
        <f>IF(Registro_Compras!$R241&lt;&gt;"SI","",Registro_Compras!$S241)</f>
        <v/>
      </c>
      <c r="I241" s="25">
        <f>IF(Registro_Compras!$R241&lt;&gt;"SI","",IF(Registro_Compras!$Y241="",WORKDAY(EOMONTH(Registro_Compras!$B241,0),5,Feriados),MIN(Registro_Compras!$Y241,WORKDAY(EOMONTH(Registro_Compras!$B241,0),5,Feriados))))</f>
        <v/>
      </c>
      <c r="J241" s="25">
        <f>IF(Registro_Compras!$R241&lt;&gt;"SI","",Registro_Compras!$X241)</f>
        <v/>
      </c>
      <c r="K241">
        <f>IF(Registro_Compras!$R241&lt;&gt;"SI","",IF(Registro_Compras!$X241="","PENDIENTE","DEPOSITADA"))</f>
        <v/>
      </c>
      <c r="L241">
        <f>IF(Registro_Compras!$R241&lt;&gt;"SI","",Registro_Compras!$Z241)</f>
        <v/>
      </c>
      <c r="M241">
        <f>IF($K241&lt;&gt;"PENDIENTE","",IF(TODAY()&gt;$I241,TODAY()-$I241,0))</f>
        <v/>
      </c>
      <c r="N241">
        <f>IF($K241&lt;&gt;"PENDIENTE","",IF($M241&gt;0,"VENCIDA - DEPOSITAR YA",IF($I241-TODAY()&lt;=3,"POR VENCER","EN PLAZO")))</f>
        <v/>
      </c>
    </row>
    <row r="242">
      <c r="A242" s="25">
        <f>IF(Registro_Compras!$R242&lt;&gt;"SI","",Registro_Compras!$B242)</f>
        <v/>
      </c>
      <c r="B242">
        <f>IF(Registro_Compras!$R242&lt;&gt;"SI","",Registro_Compras!$C242)</f>
        <v/>
      </c>
      <c r="C242">
        <f>IF(Registro_Compras!$R242&lt;&gt;"SI","",Registro_Compras!$D242)</f>
        <v/>
      </c>
      <c r="D242">
        <f>IF(Registro_Compras!$R242&lt;&gt;"SI","",Registro_Compras!$E242)</f>
        <v/>
      </c>
      <c r="E242">
        <f>IF(Registro_Compras!$R242&lt;&gt;"SI","",Registro_Compras!$G242)</f>
        <v/>
      </c>
      <c r="F242" s="31">
        <f>IF(Registro_Compras!$R242&lt;&gt;"SI","",Registro_Compras!$P242)</f>
        <v/>
      </c>
      <c r="G242" s="20">
        <f>IF(Registro_Compras!$R242&lt;&gt;"SI","",Registro_Compras!$O242)</f>
        <v/>
      </c>
      <c r="H242" s="20">
        <f>IF(Registro_Compras!$R242&lt;&gt;"SI","",Registro_Compras!$S242)</f>
        <v/>
      </c>
      <c r="I242" s="25">
        <f>IF(Registro_Compras!$R242&lt;&gt;"SI","",IF(Registro_Compras!$Y242="",WORKDAY(EOMONTH(Registro_Compras!$B242,0),5,Feriados),MIN(Registro_Compras!$Y242,WORKDAY(EOMONTH(Registro_Compras!$B242,0),5,Feriados))))</f>
        <v/>
      </c>
      <c r="J242" s="25">
        <f>IF(Registro_Compras!$R242&lt;&gt;"SI","",Registro_Compras!$X242)</f>
        <v/>
      </c>
      <c r="K242">
        <f>IF(Registro_Compras!$R242&lt;&gt;"SI","",IF(Registro_Compras!$X242="","PENDIENTE","DEPOSITADA"))</f>
        <v/>
      </c>
      <c r="L242">
        <f>IF(Registro_Compras!$R242&lt;&gt;"SI","",Registro_Compras!$Z242)</f>
        <v/>
      </c>
      <c r="M242">
        <f>IF($K242&lt;&gt;"PENDIENTE","",IF(TODAY()&gt;$I242,TODAY()-$I242,0))</f>
        <v/>
      </c>
      <c r="N242">
        <f>IF($K242&lt;&gt;"PENDIENTE","",IF($M242&gt;0,"VENCIDA - DEPOSITAR YA",IF($I242-TODAY()&lt;=3,"POR VENCER","EN PLAZO")))</f>
        <v/>
      </c>
    </row>
    <row r="243">
      <c r="A243" s="25">
        <f>IF(Registro_Compras!$R243&lt;&gt;"SI","",Registro_Compras!$B243)</f>
        <v/>
      </c>
      <c r="B243">
        <f>IF(Registro_Compras!$R243&lt;&gt;"SI","",Registro_Compras!$C243)</f>
        <v/>
      </c>
      <c r="C243">
        <f>IF(Registro_Compras!$R243&lt;&gt;"SI","",Registro_Compras!$D243)</f>
        <v/>
      </c>
      <c r="D243">
        <f>IF(Registro_Compras!$R243&lt;&gt;"SI","",Registro_Compras!$E243)</f>
        <v/>
      </c>
      <c r="E243">
        <f>IF(Registro_Compras!$R243&lt;&gt;"SI","",Registro_Compras!$G243)</f>
        <v/>
      </c>
      <c r="F243" s="31">
        <f>IF(Registro_Compras!$R243&lt;&gt;"SI","",Registro_Compras!$P243)</f>
        <v/>
      </c>
      <c r="G243" s="20">
        <f>IF(Registro_Compras!$R243&lt;&gt;"SI","",Registro_Compras!$O243)</f>
        <v/>
      </c>
      <c r="H243" s="20">
        <f>IF(Registro_Compras!$R243&lt;&gt;"SI","",Registro_Compras!$S243)</f>
        <v/>
      </c>
      <c r="I243" s="25">
        <f>IF(Registro_Compras!$R243&lt;&gt;"SI","",IF(Registro_Compras!$Y243="",WORKDAY(EOMONTH(Registro_Compras!$B243,0),5,Feriados),MIN(Registro_Compras!$Y243,WORKDAY(EOMONTH(Registro_Compras!$B243,0),5,Feriados))))</f>
        <v/>
      </c>
      <c r="J243" s="25">
        <f>IF(Registro_Compras!$R243&lt;&gt;"SI","",Registro_Compras!$X243)</f>
        <v/>
      </c>
      <c r="K243">
        <f>IF(Registro_Compras!$R243&lt;&gt;"SI","",IF(Registro_Compras!$X243="","PENDIENTE","DEPOSITADA"))</f>
        <v/>
      </c>
      <c r="L243">
        <f>IF(Registro_Compras!$R243&lt;&gt;"SI","",Registro_Compras!$Z243)</f>
        <v/>
      </c>
      <c r="M243">
        <f>IF($K243&lt;&gt;"PENDIENTE","",IF(TODAY()&gt;$I243,TODAY()-$I243,0))</f>
        <v/>
      </c>
      <c r="N243">
        <f>IF($K243&lt;&gt;"PENDIENTE","",IF($M243&gt;0,"VENCIDA - DEPOSITAR YA",IF($I243-TODAY()&lt;=3,"POR VENCER","EN PLAZO")))</f>
        <v/>
      </c>
    </row>
    <row r="244">
      <c r="A244" s="25">
        <f>IF(Registro_Compras!$R244&lt;&gt;"SI","",Registro_Compras!$B244)</f>
        <v/>
      </c>
      <c r="B244">
        <f>IF(Registro_Compras!$R244&lt;&gt;"SI","",Registro_Compras!$C244)</f>
        <v/>
      </c>
      <c r="C244">
        <f>IF(Registro_Compras!$R244&lt;&gt;"SI","",Registro_Compras!$D244)</f>
        <v/>
      </c>
      <c r="D244">
        <f>IF(Registro_Compras!$R244&lt;&gt;"SI","",Registro_Compras!$E244)</f>
        <v/>
      </c>
      <c r="E244">
        <f>IF(Registro_Compras!$R244&lt;&gt;"SI","",Registro_Compras!$G244)</f>
        <v/>
      </c>
      <c r="F244" s="31">
        <f>IF(Registro_Compras!$R244&lt;&gt;"SI","",Registro_Compras!$P244)</f>
        <v/>
      </c>
      <c r="G244" s="20">
        <f>IF(Registro_Compras!$R244&lt;&gt;"SI","",Registro_Compras!$O244)</f>
        <v/>
      </c>
      <c r="H244" s="20">
        <f>IF(Registro_Compras!$R244&lt;&gt;"SI","",Registro_Compras!$S244)</f>
        <v/>
      </c>
      <c r="I244" s="25">
        <f>IF(Registro_Compras!$R244&lt;&gt;"SI","",IF(Registro_Compras!$Y244="",WORKDAY(EOMONTH(Registro_Compras!$B244,0),5,Feriados),MIN(Registro_Compras!$Y244,WORKDAY(EOMONTH(Registro_Compras!$B244,0),5,Feriados))))</f>
        <v/>
      </c>
      <c r="J244" s="25">
        <f>IF(Registro_Compras!$R244&lt;&gt;"SI","",Registro_Compras!$X244)</f>
        <v/>
      </c>
      <c r="K244">
        <f>IF(Registro_Compras!$R244&lt;&gt;"SI","",IF(Registro_Compras!$X244="","PENDIENTE","DEPOSITADA"))</f>
        <v/>
      </c>
      <c r="L244">
        <f>IF(Registro_Compras!$R244&lt;&gt;"SI","",Registro_Compras!$Z244)</f>
        <v/>
      </c>
      <c r="M244">
        <f>IF($K244&lt;&gt;"PENDIENTE","",IF(TODAY()&gt;$I244,TODAY()-$I244,0))</f>
        <v/>
      </c>
      <c r="N244">
        <f>IF($K244&lt;&gt;"PENDIENTE","",IF($M244&gt;0,"VENCIDA - DEPOSITAR YA",IF($I244-TODAY()&lt;=3,"POR VENCER","EN PLAZO")))</f>
        <v/>
      </c>
    </row>
    <row r="245">
      <c r="A245" s="25">
        <f>IF(Registro_Compras!$R245&lt;&gt;"SI","",Registro_Compras!$B245)</f>
        <v/>
      </c>
      <c r="B245">
        <f>IF(Registro_Compras!$R245&lt;&gt;"SI","",Registro_Compras!$C245)</f>
        <v/>
      </c>
      <c r="C245">
        <f>IF(Registro_Compras!$R245&lt;&gt;"SI","",Registro_Compras!$D245)</f>
        <v/>
      </c>
      <c r="D245">
        <f>IF(Registro_Compras!$R245&lt;&gt;"SI","",Registro_Compras!$E245)</f>
        <v/>
      </c>
      <c r="E245">
        <f>IF(Registro_Compras!$R245&lt;&gt;"SI","",Registro_Compras!$G245)</f>
        <v/>
      </c>
      <c r="F245" s="31">
        <f>IF(Registro_Compras!$R245&lt;&gt;"SI","",Registro_Compras!$P245)</f>
        <v/>
      </c>
      <c r="G245" s="20">
        <f>IF(Registro_Compras!$R245&lt;&gt;"SI","",Registro_Compras!$O245)</f>
        <v/>
      </c>
      <c r="H245" s="20">
        <f>IF(Registro_Compras!$R245&lt;&gt;"SI","",Registro_Compras!$S245)</f>
        <v/>
      </c>
      <c r="I245" s="25">
        <f>IF(Registro_Compras!$R245&lt;&gt;"SI","",IF(Registro_Compras!$Y245="",WORKDAY(EOMONTH(Registro_Compras!$B245,0),5,Feriados),MIN(Registro_Compras!$Y245,WORKDAY(EOMONTH(Registro_Compras!$B245,0),5,Feriados))))</f>
        <v/>
      </c>
      <c r="J245" s="25">
        <f>IF(Registro_Compras!$R245&lt;&gt;"SI","",Registro_Compras!$X245)</f>
        <v/>
      </c>
      <c r="K245">
        <f>IF(Registro_Compras!$R245&lt;&gt;"SI","",IF(Registro_Compras!$X245="","PENDIENTE","DEPOSITADA"))</f>
        <v/>
      </c>
      <c r="L245">
        <f>IF(Registro_Compras!$R245&lt;&gt;"SI","",Registro_Compras!$Z245)</f>
        <v/>
      </c>
      <c r="M245">
        <f>IF($K245&lt;&gt;"PENDIENTE","",IF(TODAY()&gt;$I245,TODAY()-$I245,0))</f>
        <v/>
      </c>
      <c r="N245">
        <f>IF($K245&lt;&gt;"PENDIENTE","",IF($M245&gt;0,"VENCIDA - DEPOSITAR YA",IF($I245-TODAY()&lt;=3,"POR VENCER","EN PLAZO")))</f>
        <v/>
      </c>
    </row>
    <row r="246">
      <c r="A246" s="25">
        <f>IF(Registro_Compras!$R246&lt;&gt;"SI","",Registro_Compras!$B246)</f>
        <v/>
      </c>
      <c r="B246">
        <f>IF(Registro_Compras!$R246&lt;&gt;"SI","",Registro_Compras!$C246)</f>
        <v/>
      </c>
      <c r="C246">
        <f>IF(Registro_Compras!$R246&lt;&gt;"SI","",Registro_Compras!$D246)</f>
        <v/>
      </c>
      <c r="D246">
        <f>IF(Registro_Compras!$R246&lt;&gt;"SI","",Registro_Compras!$E246)</f>
        <v/>
      </c>
      <c r="E246">
        <f>IF(Registro_Compras!$R246&lt;&gt;"SI","",Registro_Compras!$G246)</f>
        <v/>
      </c>
      <c r="F246" s="31">
        <f>IF(Registro_Compras!$R246&lt;&gt;"SI","",Registro_Compras!$P246)</f>
        <v/>
      </c>
      <c r="G246" s="20">
        <f>IF(Registro_Compras!$R246&lt;&gt;"SI","",Registro_Compras!$O246)</f>
        <v/>
      </c>
      <c r="H246" s="20">
        <f>IF(Registro_Compras!$R246&lt;&gt;"SI","",Registro_Compras!$S246)</f>
        <v/>
      </c>
      <c r="I246" s="25">
        <f>IF(Registro_Compras!$R246&lt;&gt;"SI","",IF(Registro_Compras!$Y246="",WORKDAY(EOMONTH(Registro_Compras!$B246,0),5,Feriados),MIN(Registro_Compras!$Y246,WORKDAY(EOMONTH(Registro_Compras!$B246,0),5,Feriados))))</f>
        <v/>
      </c>
      <c r="J246" s="25">
        <f>IF(Registro_Compras!$R246&lt;&gt;"SI","",Registro_Compras!$X246)</f>
        <v/>
      </c>
      <c r="K246">
        <f>IF(Registro_Compras!$R246&lt;&gt;"SI","",IF(Registro_Compras!$X246="","PENDIENTE","DEPOSITADA"))</f>
        <v/>
      </c>
      <c r="L246">
        <f>IF(Registro_Compras!$R246&lt;&gt;"SI","",Registro_Compras!$Z246)</f>
        <v/>
      </c>
      <c r="M246">
        <f>IF($K246&lt;&gt;"PENDIENTE","",IF(TODAY()&gt;$I246,TODAY()-$I246,0))</f>
        <v/>
      </c>
      <c r="N246">
        <f>IF($K246&lt;&gt;"PENDIENTE","",IF($M246&gt;0,"VENCIDA - DEPOSITAR YA",IF($I246-TODAY()&lt;=3,"POR VENCER","EN PLAZO")))</f>
        <v/>
      </c>
    </row>
    <row r="247">
      <c r="A247" s="25">
        <f>IF(Registro_Compras!$R247&lt;&gt;"SI","",Registro_Compras!$B247)</f>
        <v/>
      </c>
      <c r="B247">
        <f>IF(Registro_Compras!$R247&lt;&gt;"SI","",Registro_Compras!$C247)</f>
        <v/>
      </c>
      <c r="C247">
        <f>IF(Registro_Compras!$R247&lt;&gt;"SI","",Registro_Compras!$D247)</f>
        <v/>
      </c>
      <c r="D247">
        <f>IF(Registro_Compras!$R247&lt;&gt;"SI","",Registro_Compras!$E247)</f>
        <v/>
      </c>
      <c r="E247">
        <f>IF(Registro_Compras!$R247&lt;&gt;"SI","",Registro_Compras!$G247)</f>
        <v/>
      </c>
      <c r="F247" s="31">
        <f>IF(Registro_Compras!$R247&lt;&gt;"SI","",Registro_Compras!$P247)</f>
        <v/>
      </c>
      <c r="G247" s="20">
        <f>IF(Registro_Compras!$R247&lt;&gt;"SI","",Registro_Compras!$O247)</f>
        <v/>
      </c>
      <c r="H247" s="20">
        <f>IF(Registro_Compras!$R247&lt;&gt;"SI","",Registro_Compras!$S247)</f>
        <v/>
      </c>
      <c r="I247" s="25">
        <f>IF(Registro_Compras!$R247&lt;&gt;"SI","",IF(Registro_Compras!$Y247="",WORKDAY(EOMONTH(Registro_Compras!$B247,0),5,Feriados),MIN(Registro_Compras!$Y247,WORKDAY(EOMONTH(Registro_Compras!$B247,0),5,Feriados))))</f>
        <v/>
      </c>
      <c r="J247" s="25">
        <f>IF(Registro_Compras!$R247&lt;&gt;"SI","",Registro_Compras!$X247)</f>
        <v/>
      </c>
      <c r="K247">
        <f>IF(Registro_Compras!$R247&lt;&gt;"SI","",IF(Registro_Compras!$X247="","PENDIENTE","DEPOSITADA"))</f>
        <v/>
      </c>
      <c r="L247">
        <f>IF(Registro_Compras!$R247&lt;&gt;"SI","",Registro_Compras!$Z247)</f>
        <v/>
      </c>
      <c r="M247">
        <f>IF($K247&lt;&gt;"PENDIENTE","",IF(TODAY()&gt;$I247,TODAY()-$I247,0))</f>
        <v/>
      </c>
      <c r="N247">
        <f>IF($K247&lt;&gt;"PENDIENTE","",IF($M247&gt;0,"VENCIDA - DEPOSITAR YA",IF($I247-TODAY()&lt;=3,"POR VENCER","EN PLAZO")))</f>
        <v/>
      </c>
    </row>
    <row r="248">
      <c r="A248" s="25">
        <f>IF(Registro_Compras!$R248&lt;&gt;"SI","",Registro_Compras!$B248)</f>
        <v/>
      </c>
      <c r="B248">
        <f>IF(Registro_Compras!$R248&lt;&gt;"SI","",Registro_Compras!$C248)</f>
        <v/>
      </c>
      <c r="C248">
        <f>IF(Registro_Compras!$R248&lt;&gt;"SI","",Registro_Compras!$D248)</f>
        <v/>
      </c>
      <c r="D248">
        <f>IF(Registro_Compras!$R248&lt;&gt;"SI","",Registro_Compras!$E248)</f>
        <v/>
      </c>
      <c r="E248">
        <f>IF(Registro_Compras!$R248&lt;&gt;"SI","",Registro_Compras!$G248)</f>
        <v/>
      </c>
      <c r="F248" s="31">
        <f>IF(Registro_Compras!$R248&lt;&gt;"SI","",Registro_Compras!$P248)</f>
        <v/>
      </c>
      <c r="G248" s="20">
        <f>IF(Registro_Compras!$R248&lt;&gt;"SI","",Registro_Compras!$O248)</f>
        <v/>
      </c>
      <c r="H248" s="20">
        <f>IF(Registro_Compras!$R248&lt;&gt;"SI","",Registro_Compras!$S248)</f>
        <v/>
      </c>
      <c r="I248" s="25">
        <f>IF(Registro_Compras!$R248&lt;&gt;"SI","",IF(Registro_Compras!$Y248="",WORKDAY(EOMONTH(Registro_Compras!$B248,0),5,Feriados),MIN(Registro_Compras!$Y248,WORKDAY(EOMONTH(Registro_Compras!$B248,0),5,Feriados))))</f>
        <v/>
      </c>
      <c r="J248" s="25">
        <f>IF(Registro_Compras!$R248&lt;&gt;"SI","",Registro_Compras!$X248)</f>
        <v/>
      </c>
      <c r="K248">
        <f>IF(Registro_Compras!$R248&lt;&gt;"SI","",IF(Registro_Compras!$X248="","PENDIENTE","DEPOSITADA"))</f>
        <v/>
      </c>
      <c r="L248">
        <f>IF(Registro_Compras!$R248&lt;&gt;"SI","",Registro_Compras!$Z248)</f>
        <v/>
      </c>
      <c r="M248">
        <f>IF($K248&lt;&gt;"PENDIENTE","",IF(TODAY()&gt;$I248,TODAY()-$I248,0))</f>
        <v/>
      </c>
      <c r="N248">
        <f>IF($K248&lt;&gt;"PENDIENTE","",IF($M248&gt;0,"VENCIDA - DEPOSITAR YA",IF($I248-TODAY()&lt;=3,"POR VENCER","EN PLAZO")))</f>
        <v/>
      </c>
    </row>
    <row r="249">
      <c r="A249" s="25">
        <f>IF(Registro_Compras!$R249&lt;&gt;"SI","",Registro_Compras!$B249)</f>
        <v/>
      </c>
      <c r="B249">
        <f>IF(Registro_Compras!$R249&lt;&gt;"SI","",Registro_Compras!$C249)</f>
        <v/>
      </c>
      <c r="C249">
        <f>IF(Registro_Compras!$R249&lt;&gt;"SI","",Registro_Compras!$D249)</f>
        <v/>
      </c>
      <c r="D249">
        <f>IF(Registro_Compras!$R249&lt;&gt;"SI","",Registro_Compras!$E249)</f>
        <v/>
      </c>
      <c r="E249">
        <f>IF(Registro_Compras!$R249&lt;&gt;"SI","",Registro_Compras!$G249)</f>
        <v/>
      </c>
      <c r="F249" s="31">
        <f>IF(Registro_Compras!$R249&lt;&gt;"SI","",Registro_Compras!$P249)</f>
        <v/>
      </c>
      <c r="G249" s="20">
        <f>IF(Registro_Compras!$R249&lt;&gt;"SI","",Registro_Compras!$O249)</f>
        <v/>
      </c>
      <c r="H249" s="20">
        <f>IF(Registro_Compras!$R249&lt;&gt;"SI","",Registro_Compras!$S249)</f>
        <v/>
      </c>
      <c r="I249" s="25">
        <f>IF(Registro_Compras!$R249&lt;&gt;"SI","",IF(Registro_Compras!$Y249="",WORKDAY(EOMONTH(Registro_Compras!$B249,0),5,Feriados),MIN(Registro_Compras!$Y249,WORKDAY(EOMONTH(Registro_Compras!$B249,0),5,Feriados))))</f>
        <v/>
      </c>
      <c r="J249" s="25">
        <f>IF(Registro_Compras!$R249&lt;&gt;"SI","",Registro_Compras!$X249)</f>
        <v/>
      </c>
      <c r="K249">
        <f>IF(Registro_Compras!$R249&lt;&gt;"SI","",IF(Registro_Compras!$X249="","PENDIENTE","DEPOSITADA"))</f>
        <v/>
      </c>
      <c r="L249">
        <f>IF(Registro_Compras!$R249&lt;&gt;"SI","",Registro_Compras!$Z249)</f>
        <v/>
      </c>
      <c r="M249">
        <f>IF($K249&lt;&gt;"PENDIENTE","",IF(TODAY()&gt;$I249,TODAY()-$I249,0))</f>
        <v/>
      </c>
      <c r="N249">
        <f>IF($K249&lt;&gt;"PENDIENTE","",IF($M249&gt;0,"VENCIDA - DEPOSITAR YA",IF($I249-TODAY()&lt;=3,"POR VENCER","EN PLAZO")))</f>
        <v/>
      </c>
    </row>
    <row r="250">
      <c r="A250" s="25">
        <f>IF(Registro_Compras!$R250&lt;&gt;"SI","",Registro_Compras!$B250)</f>
        <v/>
      </c>
      <c r="B250">
        <f>IF(Registro_Compras!$R250&lt;&gt;"SI","",Registro_Compras!$C250)</f>
        <v/>
      </c>
      <c r="C250">
        <f>IF(Registro_Compras!$R250&lt;&gt;"SI","",Registro_Compras!$D250)</f>
        <v/>
      </c>
      <c r="D250">
        <f>IF(Registro_Compras!$R250&lt;&gt;"SI","",Registro_Compras!$E250)</f>
        <v/>
      </c>
      <c r="E250">
        <f>IF(Registro_Compras!$R250&lt;&gt;"SI","",Registro_Compras!$G250)</f>
        <v/>
      </c>
      <c r="F250" s="31">
        <f>IF(Registro_Compras!$R250&lt;&gt;"SI","",Registro_Compras!$P250)</f>
        <v/>
      </c>
      <c r="G250" s="20">
        <f>IF(Registro_Compras!$R250&lt;&gt;"SI","",Registro_Compras!$O250)</f>
        <v/>
      </c>
      <c r="H250" s="20">
        <f>IF(Registro_Compras!$R250&lt;&gt;"SI","",Registro_Compras!$S250)</f>
        <v/>
      </c>
      <c r="I250" s="25">
        <f>IF(Registro_Compras!$R250&lt;&gt;"SI","",IF(Registro_Compras!$Y250="",WORKDAY(EOMONTH(Registro_Compras!$B250,0),5,Feriados),MIN(Registro_Compras!$Y250,WORKDAY(EOMONTH(Registro_Compras!$B250,0),5,Feriados))))</f>
        <v/>
      </c>
      <c r="J250" s="25">
        <f>IF(Registro_Compras!$R250&lt;&gt;"SI","",Registro_Compras!$X250)</f>
        <v/>
      </c>
      <c r="K250">
        <f>IF(Registro_Compras!$R250&lt;&gt;"SI","",IF(Registro_Compras!$X250="","PENDIENTE","DEPOSITADA"))</f>
        <v/>
      </c>
      <c r="L250">
        <f>IF(Registro_Compras!$R250&lt;&gt;"SI","",Registro_Compras!$Z250)</f>
        <v/>
      </c>
      <c r="M250">
        <f>IF($K250&lt;&gt;"PENDIENTE","",IF(TODAY()&gt;$I250,TODAY()-$I250,0))</f>
        <v/>
      </c>
      <c r="N250">
        <f>IF($K250&lt;&gt;"PENDIENTE","",IF($M250&gt;0,"VENCIDA - DEPOSITAR YA",IF($I250-TODAY()&lt;=3,"POR VENCER","EN PLAZO")))</f>
        <v/>
      </c>
    </row>
    <row r="251">
      <c r="A251" s="25">
        <f>IF(Registro_Compras!$R251&lt;&gt;"SI","",Registro_Compras!$B251)</f>
        <v/>
      </c>
      <c r="B251">
        <f>IF(Registro_Compras!$R251&lt;&gt;"SI","",Registro_Compras!$C251)</f>
        <v/>
      </c>
      <c r="C251">
        <f>IF(Registro_Compras!$R251&lt;&gt;"SI","",Registro_Compras!$D251)</f>
        <v/>
      </c>
      <c r="D251">
        <f>IF(Registro_Compras!$R251&lt;&gt;"SI","",Registro_Compras!$E251)</f>
        <v/>
      </c>
      <c r="E251">
        <f>IF(Registro_Compras!$R251&lt;&gt;"SI","",Registro_Compras!$G251)</f>
        <v/>
      </c>
      <c r="F251" s="31">
        <f>IF(Registro_Compras!$R251&lt;&gt;"SI","",Registro_Compras!$P251)</f>
        <v/>
      </c>
      <c r="G251" s="20">
        <f>IF(Registro_Compras!$R251&lt;&gt;"SI","",Registro_Compras!$O251)</f>
        <v/>
      </c>
      <c r="H251" s="20">
        <f>IF(Registro_Compras!$R251&lt;&gt;"SI","",Registro_Compras!$S251)</f>
        <v/>
      </c>
      <c r="I251" s="25">
        <f>IF(Registro_Compras!$R251&lt;&gt;"SI","",IF(Registro_Compras!$Y251="",WORKDAY(EOMONTH(Registro_Compras!$B251,0),5,Feriados),MIN(Registro_Compras!$Y251,WORKDAY(EOMONTH(Registro_Compras!$B251,0),5,Feriados))))</f>
        <v/>
      </c>
      <c r="J251" s="25">
        <f>IF(Registro_Compras!$R251&lt;&gt;"SI","",Registro_Compras!$X251)</f>
        <v/>
      </c>
      <c r="K251">
        <f>IF(Registro_Compras!$R251&lt;&gt;"SI","",IF(Registro_Compras!$X251="","PENDIENTE","DEPOSITADA"))</f>
        <v/>
      </c>
      <c r="L251">
        <f>IF(Registro_Compras!$R251&lt;&gt;"SI","",Registro_Compras!$Z251)</f>
        <v/>
      </c>
      <c r="M251">
        <f>IF($K251&lt;&gt;"PENDIENTE","",IF(TODAY()&gt;$I251,TODAY()-$I251,0))</f>
        <v/>
      </c>
      <c r="N251">
        <f>IF($K251&lt;&gt;"PENDIENTE","",IF($M251&gt;0,"VENCIDA - DEPOSITAR YA",IF($I251-TODAY()&lt;=3,"POR VENCER","EN PLAZO")))</f>
        <v/>
      </c>
    </row>
    <row r="252">
      <c r="A252" s="25">
        <f>IF(Registro_Compras!$R252&lt;&gt;"SI","",Registro_Compras!$B252)</f>
        <v/>
      </c>
      <c r="B252">
        <f>IF(Registro_Compras!$R252&lt;&gt;"SI","",Registro_Compras!$C252)</f>
        <v/>
      </c>
      <c r="C252">
        <f>IF(Registro_Compras!$R252&lt;&gt;"SI","",Registro_Compras!$D252)</f>
        <v/>
      </c>
      <c r="D252">
        <f>IF(Registro_Compras!$R252&lt;&gt;"SI","",Registro_Compras!$E252)</f>
        <v/>
      </c>
      <c r="E252">
        <f>IF(Registro_Compras!$R252&lt;&gt;"SI","",Registro_Compras!$G252)</f>
        <v/>
      </c>
      <c r="F252" s="31">
        <f>IF(Registro_Compras!$R252&lt;&gt;"SI","",Registro_Compras!$P252)</f>
        <v/>
      </c>
      <c r="G252" s="20">
        <f>IF(Registro_Compras!$R252&lt;&gt;"SI","",Registro_Compras!$O252)</f>
        <v/>
      </c>
      <c r="H252" s="20">
        <f>IF(Registro_Compras!$R252&lt;&gt;"SI","",Registro_Compras!$S252)</f>
        <v/>
      </c>
      <c r="I252" s="25">
        <f>IF(Registro_Compras!$R252&lt;&gt;"SI","",IF(Registro_Compras!$Y252="",WORKDAY(EOMONTH(Registro_Compras!$B252,0),5,Feriados),MIN(Registro_Compras!$Y252,WORKDAY(EOMONTH(Registro_Compras!$B252,0),5,Feriados))))</f>
        <v/>
      </c>
      <c r="J252" s="25">
        <f>IF(Registro_Compras!$R252&lt;&gt;"SI","",Registro_Compras!$X252)</f>
        <v/>
      </c>
      <c r="K252">
        <f>IF(Registro_Compras!$R252&lt;&gt;"SI","",IF(Registro_Compras!$X252="","PENDIENTE","DEPOSITADA"))</f>
        <v/>
      </c>
      <c r="L252">
        <f>IF(Registro_Compras!$R252&lt;&gt;"SI","",Registro_Compras!$Z252)</f>
        <v/>
      </c>
      <c r="M252">
        <f>IF($K252&lt;&gt;"PENDIENTE","",IF(TODAY()&gt;$I252,TODAY()-$I252,0))</f>
        <v/>
      </c>
      <c r="N252">
        <f>IF($K252&lt;&gt;"PENDIENTE","",IF($M252&gt;0,"VENCIDA - DEPOSITAR YA",IF($I252-TODAY()&lt;=3,"POR VENCER","EN PLAZO")))</f>
        <v/>
      </c>
    </row>
    <row r="253">
      <c r="A253" s="25">
        <f>IF(Registro_Compras!$R253&lt;&gt;"SI","",Registro_Compras!$B253)</f>
        <v/>
      </c>
      <c r="B253">
        <f>IF(Registro_Compras!$R253&lt;&gt;"SI","",Registro_Compras!$C253)</f>
        <v/>
      </c>
      <c r="C253">
        <f>IF(Registro_Compras!$R253&lt;&gt;"SI","",Registro_Compras!$D253)</f>
        <v/>
      </c>
      <c r="D253">
        <f>IF(Registro_Compras!$R253&lt;&gt;"SI","",Registro_Compras!$E253)</f>
        <v/>
      </c>
      <c r="E253">
        <f>IF(Registro_Compras!$R253&lt;&gt;"SI","",Registro_Compras!$G253)</f>
        <v/>
      </c>
      <c r="F253" s="31">
        <f>IF(Registro_Compras!$R253&lt;&gt;"SI","",Registro_Compras!$P253)</f>
        <v/>
      </c>
      <c r="G253" s="20">
        <f>IF(Registro_Compras!$R253&lt;&gt;"SI","",Registro_Compras!$O253)</f>
        <v/>
      </c>
      <c r="H253" s="20">
        <f>IF(Registro_Compras!$R253&lt;&gt;"SI","",Registro_Compras!$S253)</f>
        <v/>
      </c>
      <c r="I253" s="25">
        <f>IF(Registro_Compras!$R253&lt;&gt;"SI","",IF(Registro_Compras!$Y253="",WORKDAY(EOMONTH(Registro_Compras!$B253,0),5,Feriados),MIN(Registro_Compras!$Y253,WORKDAY(EOMONTH(Registro_Compras!$B253,0),5,Feriados))))</f>
        <v/>
      </c>
      <c r="J253" s="25">
        <f>IF(Registro_Compras!$R253&lt;&gt;"SI","",Registro_Compras!$X253)</f>
        <v/>
      </c>
      <c r="K253">
        <f>IF(Registro_Compras!$R253&lt;&gt;"SI","",IF(Registro_Compras!$X253="","PENDIENTE","DEPOSITADA"))</f>
        <v/>
      </c>
      <c r="L253">
        <f>IF(Registro_Compras!$R253&lt;&gt;"SI","",Registro_Compras!$Z253)</f>
        <v/>
      </c>
      <c r="M253">
        <f>IF($K253&lt;&gt;"PENDIENTE","",IF(TODAY()&gt;$I253,TODAY()-$I253,0))</f>
        <v/>
      </c>
      <c r="N253">
        <f>IF($K253&lt;&gt;"PENDIENTE","",IF($M253&gt;0,"VENCIDA - DEPOSITAR YA",IF($I253-TODAY()&lt;=3,"POR VENCER","EN PLAZO")))</f>
        <v/>
      </c>
    </row>
    <row r="254">
      <c r="A254" s="25">
        <f>IF(Registro_Compras!$R254&lt;&gt;"SI","",Registro_Compras!$B254)</f>
        <v/>
      </c>
      <c r="B254">
        <f>IF(Registro_Compras!$R254&lt;&gt;"SI","",Registro_Compras!$C254)</f>
        <v/>
      </c>
      <c r="C254">
        <f>IF(Registro_Compras!$R254&lt;&gt;"SI","",Registro_Compras!$D254)</f>
        <v/>
      </c>
      <c r="D254">
        <f>IF(Registro_Compras!$R254&lt;&gt;"SI","",Registro_Compras!$E254)</f>
        <v/>
      </c>
      <c r="E254">
        <f>IF(Registro_Compras!$R254&lt;&gt;"SI","",Registro_Compras!$G254)</f>
        <v/>
      </c>
      <c r="F254" s="31">
        <f>IF(Registro_Compras!$R254&lt;&gt;"SI","",Registro_Compras!$P254)</f>
        <v/>
      </c>
      <c r="G254" s="20">
        <f>IF(Registro_Compras!$R254&lt;&gt;"SI","",Registro_Compras!$O254)</f>
        <v/>
      </c>
      <c r="H254" s="20">
        <f>IF(Registro_Compras!$R254&lt;&gt;"SI","",Registro_Compras!$S254)</f>
        <v/>
      </c>
      <c r="I254" s="25">
        <f>IF(Registro_Compras!$R254&lt;&gt;"SI","",IF(Registro_Compras!$Y254="",WORKDAY(EOMONTH(Registro_Compras!$B254,0),5,Feriados),MIN(Registro_Compras!$Y254,WORKDAY(EOMONTH(Registro_Compras!$B254,0),5,Feriados))))</f>
        <v/>
      </c>
      <c r="J254" s="25">
        <f>IF(Registro_Compras!$R254&lt;&gt;"SI","",Registro_Compras!$X254)</f>
        <v/>
      </c>
      <c r="K254">
        <f>IF(Registro_Compras!$R254&lt;&gt;"SI","",IF(Registro_Compras!$X254="","PENDIENTE","DEPOSITADA"))</f>
        <v/>
      </c>
      <c r="L254">
        <f>IF(Registro_Compras!$R254&lt;&gt;"SI","",Registro_Compras!$Z254)</f>
        <v/>
      </c>
      <c r="M254">
        <f>IF($K254&lt;&gt;"PENDIENTE","",IF(TODAY()&gt;$I254,TODAY()-$I254,0))</f>
        <v/>
      </c>
      <c r="N254">
        <f>IF($K254&lt;&gt;"PENDIENTE","",IF($M254&gt;0,"VENCIDA - DEPOSITAR YA",IF($I254-TODAY()&lt;=3,"POR VENCER","EN PLAZO")))</f>
        <v/>
      </c>
    </row>
    <row r="255">
      <c r="A255" s="25">
        <f>IF(Registro_Compras!$R255&lt;&gt;"SI","",Registro_Compras!$B255)</f>
        <v/>
      </c>
      <c r="B255">
        <f>IF(Registro_Compras!$R255&lt;&gt;"SI","",Registro_Compras!$C255)</f>
        <v/>
      </c>
      <c r="C255">
        <f>IF(Registro_Compras!$R255&lt;&gt;"SI","",Registro_Compras!$D255)</f>
        <v/>
      </c>
      <c r="D255">
        <f>IF(Registro_Compras!$R255&lt;&gt;"SI","",Registro_Compras!$E255)</f>
        <v/>
      </c>
      <c r="E255">
        <f>IF(Registro_Compras!$R255&lt;&gt;"SI","",Registro_Compras!$G255)</f>
        <v/>
      </c>
      <c r="F255" s="31">
        <f>IF(Registro_Compras!$R255&lt;&gt;"SI","",Registro_Compras!$P255)</f>
        <v/>
      </c>
      <c r="G255" s="20">
        <f>IF(Registro_Compras!$R255&lt;&gt;"SI","",Registro_Compras!$O255)</f>
        <v/>
      </c>
      <c r="H255" s="20">
        <f>IF(Registro_Compras!$R255&lt;&gt;"SI","",Registro_Compras!$S255)</f>
        <v/>
      </c>
      <c r="I255" s="25">
        <f>IF(Registro_Compras!$R255&lt;&gt;"SI","",IF(Registro_Compras!$Y255="",WORKDAY(EOMONTH(Registro_Compras!$B255,0),5,Feriados),MIN(Registro_Compras!$Y255,WORKDAY(EOMONTH(Registro_Compras!$B255,0),5,Feriados))))</f>
        <v/>
      </c>
      <c r="J255" s="25">
        <f>IF(Registro_Compras!$R255&lt;&gt;"SI","",Registro_Compras!$X255)</f>
        <v/>
      </c>
      <c r="K255">
        <f>IF(Registro_Compras!$R255&lt;&gt;"SI","",IF(Registro_Compras!$X255="","PENDIENTE","DEPOSITADA"))</f>
        <v/>
      </c>
      <c r="L255">
        <f>IF(Registro_Compras!$R255&lt;&gt;"SI","",Registro_Compras!$Z255)</f>
        <v/>
      </c>
      <c r="M255">
        <f>IF($K255&lt;&gt;"PENDIENTE","",IF(TODAY()&gt;$I255,TODAY()-$I255,0))</f>
        <v/>
      </c>
      <c r="N255">
        <f>IF($K255&lt;&gt;"PENDIENTE","",IF($M255&gt;0,"VENCIDA - DEPOSITAR YA",IF($I255-TODAY()&lt;=3,"POR VENCER","EN PLAZO")))</f>
        <v/>
      </c>
    </row>
    <row r="256">
      <c r="A256" s="25">
        <f>IF(Registro_Compras!$R256&lt;&gt;"SI","",Registro_Compras!$B256)</f>
        <v/>
      </c>
      <c r="B256">
        <f>IF(Registro_Compras!$R256&lt;&gt;"SI","",Registro_Compras!$C256)</f>
        <v/>
      </c>
      <c r="C256">
        <f>IF(Registro_Compras!$R256&lt;&gt;"SI","",Registro_Compras!$D256)</f>
        <v/>
      </c>
      <c r="D256">
        <f>IF(Registro_Compras!$R256&lt;&gt;"SI","",Registro_Compras!$E256)</f>
        <v/>
      </c>
      <c r="E256">
        <f>IF(Registro_Compras!$R256&lt;&gt;"SI","",Registro_Compras!$G256)</f>
        <v/>
      </c>
      <c r="F256" s="31">
        <f>IF(Registro_Compras!$R256&lt;&gt;"SI","",Registro_Compras!$P256)</f>
        <v/>
      </c>
      <c r="G256" s="20">
        <f>IF(Registro_Compras!$R256&lt;&gt;"SI","",Registro_Compras!$O256)</f>
        <v/>
      </c>
      <c r="H256" s="20">
        <f>IF(Registro_Compras!$R256&lt;&gt;"SI","",Registro_Compras!$S256)</f>
        <v/>
      </c>
      <c r="I256" s="25">
        <f>IF(Registro_Compras!$R256&lt;&gt;"SI","",IF(Registro_Compras!$Y256="",WORKDAY(EOMONTH(Registro_Compras!$B256,0),5,Feriados),MIN(Registro_Compras!$Y256,WORKDAY(EOMONTH(Registro_Compras!$B256,0),5,Feriados))))</f>
        <v/>
      </c>
      <c r="J256" s="25">
        <f>IF(Registro_Compras!$R256&lt;&gt;"SI","",Registro_Compras!$X256)</f>
        <v/>
      </c>
      <c r="K256">
        <f>IF(Registro_Compras!$R256&lt;&gt;"SI","",IF(Registro_Compras!$X256="","PENDIENTE","DEPOSITADA"))</f>
        <v/>
      </c>
      <c r="L256">
        <f>IF(Registro_Compras!$R256&lt;&gt;"SI","",Registro_Compras!$Z256)</f>
        <v/>
      </c>
      <c r="M256">
        <f>IF($K256&lt;&gt;"PENDIENTE","",IF(TODAY()&gt;$I256,TODAY()-$I256,0))</f>
        <v/>
      </c>
      <c r="N256">
        <f>IF($K256&lt;&gt;"PENDIENTE","",IF($M256&gt;0,"VENCIDA - DEPOSITAR YA",IF($I256-TODAY()&lt;=3,"POR VENCER","EN PLAZO")))</f>
        <v/>
      </c>
    </row>
    <row r="257">
      <c r="A257" s="25">
        <f>IF(Registro_Compras!$R257&lt;&gt;"SI","",Registro_Compras!$B257)</f>
        <v/>
      </c>
      <c r="B257">
        <f>IF(Registro_Compras!$R257&lt;&gt;"SI","",Registro_Compras!$C257)</f>
        <v/>
      </c>
      <c r="C257">
        <f>IF(Registro_Compras!$R257&lt;&gt;"SI","",Registro_Compras!$D257)</f>
        <v/>
      </c>
      <c r="D257">
        <f>IF(Registro_Compras!$R257&lt;&gt;"SI","",Registro_Compras!$E257)</f>
        <v/>
      </c>
      <c r="E257">
        <f>IF(Registro_Compras!$R257&lt;&gt;"SI","",Registro_Compras!$G257)</f>
        <v/>
      </c>
      <c r="F257" s="31">
        <f>IF(Registro_Compras!$R257&lt;&gt;"SI","",Registro_Compras!$P257)</f>
        <v/>
      </c>
      <c r="G257" s="20">
        <f>IF(Registro_Compras!$R257&lt;&gt;"SI","",Registro_Compras!$O257)</f>
        <v/>
      </c>
      <c r="H257" s="20">
        <f>IF(Registro_Compras!$R257&lt;&gt;"SI","",Registro_Compras!$S257)</f>
        <v/>
      </c>
      <c r="I257" s="25">
        <f>IF(Registro_Compras!$R257&lt;&gt;"SI","",IF(Registro_Compras!$Y257="",WORKDAY(EOMONTH(Registro_Compras!$B257,0),5,Feriados),MIN(Registro_Compras!$Y257,WORKDAY(EOMONTH(Registro_Compras!$B257,0),5,Feriados))))</f>
        <v/>
      </c>
      <c r="J257" s="25">
        <f>IF(Registro_Compras!$R257&lt;&gt;"SI","",Registro_Compras!$X257)</f>
        <v/>
      </c>
      <c r="K257">
        <f>IF(Registro_Compras!$R257&lt;&gt;"SI","",IF(Registro_Compras!$X257="","PENDIENTE","DEPOSITADA"))</f>
        <v/>
      </c>
      <c r="L257">
        <f>IF(Registro_Compras!$R257&lt;&gt;"SI","",Registro_Compras!$Z257)</f>
        <v/>
      </c>
      <c r="M257">
        <f>IF($K257&lt;&gt;"PENDIENTE","",IF(TODAY()&gt;$I257,TODAY()-$I257,0))</f>
        <v/>
      </c>
      <c r="N257">
        <f>IF($K257&lt;&gt;"PENDIENTE","",IF($M257&gt;0,"VENCIDA - DEPOSITAR YA",IF($I257-TODAY()&lt;=3,"POR VENCER","EN PLAZO")))</f>
        <v/>
      </c>
    </row>
    <row r="258">
      <c r="A258" s="25">
        <f>IF(Registro_Compras!$R258&lt;&gt;"SI","",Registro_Compras!$B258)</f>
        <v/>
      </c>
      <c r="B258">
        <f>IF(Registro_Compras!$R258&lt;&gt;"SI","",Registro_Compras!$C258)</f>
        <v/>
      </c>
      <c r="C258">
        <f>IF(Registro_Compras!$R258&lt;&gt;"SI","",Registro_Compras!$D258)</f>
        <v/>
      </c>
      <c r="D258">
        <f>IF(Registro_Compras!$R258&lt;&gt;"SI","",Registro_Compras!$E258)</f>
        <v/>
      </c>
      <c r="E258">
        <f>IF(Registro_Compras!$R258&lt;&gt;"SI","",Registro_Compras!$G258)</f>
        <v/>
      </c>
      <c r="F258" s="31">
        <f>IF(Registro_Compras!$R258&lt;&gt;"SI","",Registro_Compras!$P258)</f>
        <v/>
      </c>
      <c r="G258" s="20">
        <f>IF(Registro_Compras!$R258&lt;&gt;"SI","",Registro_Compras!$O258)</f>
        <v/>
      </c>
      <c r="H258" s="20">
        <f>IF(Registro_Compras!$R258&lt;&gt;"SI","",Registro_Compras!$S258)</f>
        <v/>
      </c>
      <c r="I258" s="25">
        <f>IF(Registro_Compras!$R258&lt;&gt;"SI","",IF(Registro_Compras!$Y258="",WORKDAY(EOMONTH(Registro_Compras!$B258,0),5,Feriados),MIN(Registro_Compras!$Y258,WORKDAY(EOMONTH(Registro_Compras!$B258,0),5,Feriados))))</f>
        <v/>
      </c>
      <c r="J258" s="25">
        <f>IF(Registro_Compras!$R258&lt;&gt;"SI","",Registro_Compras!$X258)</f>
        <v/>
      </c>
      <c r="K258">
        <f>IF(Registro_Compras!$R258&lt;&gt;"SI","",IF(Registro_Compras!$X258="","PENDIENTE","DEPOSITADA"))</f>
        <v/>
      </c>
      <c r="L258">
        <f>IF(Registro_Compras!$R258&lt;&gt;"SI","",Registro_Compras!$Z258)</f>
        <v/>
      </c>
      <c r="M258">
        <f>IF($K258&lt;&gt;"PENDIENTE","",IF(TODAY()&gt;$I258,TODAY()-$I258,0))</f>
        <v/>
      </c>
      <c r="N258">
        <f>IF($K258&lt;&gt;"PENDIENTE","",IF($M258&gt;0,"VENCIDA - DEPOSITAR YA",IF($I258-TODAY()&lt;=3,"POR VENCER","EN PLAZO")))</f>
        <v/>
      </c>
    </row>
    <row r="259">
      <c r="A259" s="25">
        <f>IF(Registro_Compras!$R259&lt;&gt;"SI","",Registro_Compras!$B259)</f>
        <v/>
      </c>
      <c r="B259">
        <f>IF(Registro_Compras!$R259&lt;&gt;"SI","",Registro_Compras!$C259)</f>
        <v/>
      </c>
      <c r="C259">
        <f>IF(Registro_Compras!$R259&lt;&gt;"SI","",Registro_Compras!$D259)</f>
        <v/>
      </c>
      <c r="D259">
        <f>IF(Registro_Compras!$R259&lt;&gt;"SI","",Registro_Compras!$E259)</f>
        <v/>
      </c>
      <c r="E259">
        <f>IF(Registro_Compras!$R259&lt;&gt;"SI","",Registro_Compras!$G259)</f>
        <v/>
      </c>
      <c r="F259" s="31">
        <f>IF(Registro_Compras!$R259&lt;&gt;"SI","",Registro_Compras!$P259)</f>
        <v/>
      </c>
      <c r="G259" s="20">
        <f>IF(Registro_Compras!$R259&lt;&gt;"SI","",Registro_Compras!$O259)</f>
        <v/>
      </c>
      <c r="H259" s="20">
        <f>IF(Registro_Compras!$R259&lt;&gt;"SI","",Registro_Compras!$S259)</f>
        <v/>
      </c>
      <c r="I259" s="25">
        <f>IF(Registro_Compras!$R259&lt;&gt;"SI","",IF(Registro_Compras!$Y259="",WORKDAY(EOMONTH(Registro_Compras!$B259,0),5,Feriados),MIN(Registro_Compras!$Y259,WORKDAY(EOMONTH(Registro_Compras!$B259,0),5,Feriados))))</f>
        <v/>
      </c>
      <c r="J259" s="25">
        <f>IF(Registro_Compras!$R259&lt;&gt;"SI","",Registro_Compras!$X259)</f>
        <v/>
      </c>
      <c r="K259">
        <f>IF(Registro_Compras!$R259&lt;&gt;"SI","",IF(Registro_Compras!$X259="","PENDIENTE","DEPOSITADA"))</f>
        <v/>
      </c>
      <c r="L259">
        <f>IF(Registro_Compras!$R259&lt;&gt;"SI","",Registro_Compras!$Z259)</f>
        <v/>
      </c>
      <c r="M259">
        <f>IF($K259&lt;&gt;"PENDIENTE","",IF(TODAY()&gt;$I259,TODAY()-$I259,0))</f>
        <v/>
      </c>
      <c r="N259">
        <f>IF($K259&lt;&gt;"PENDIENTE","",IF($M259&gt;0,"VENCIDA - DEPOSITAR YA",IF($I259-TODAY()&lt;=3,"POR VENCER","EN PLAZO")))</f>
        <v/>
      </c>
    </row>
    <row r="260">
      <c r="A260" s="25">
        <f>IF(Registro_Compras!$R260&lt;&gt;"SI","",Registro_Compras!$B260)</f>
        <v/>
      </c>
      <c r="B260">
        <f>IF(Registro_Compras!$R260&lt;&gt;"SI","",Registro_Compras!$C260)</f>
        <v/>
      </c>
      <c r="C260">
        <f>IF(Registro_Compras!$R260&lt;&gt;"SI","",Registro_Compras!$D260)</f>
        <v/>
      </c>
      <c r="D260">
        <f>IF(Registro_Compras!$R260&lt;&gt;"SI","",Registro_Compras!$E260)</f>
        <v/>
      </c>
      <c r="E260">
        <f>IF(Registro_Compras!$R260&lt;&gt;"SI","",Registro_Compras!$G260)</f>
        <v/>
      </c>
      <c r="F260" s="31">
        <f>IF(Registro_Compras!$R260&lt;&gt;"SI","",Registro_Compras!$P260)</f>
        <v/>
      </c>
      <c r="G260" s="20">
        <f>IF(Registro_Compras!$R260&lt;&gt;"SI","",Registro_Compras!$O260)</f>
        <v/>
      </c>
      <c r="H260" s="20">
        <f>IF(Registro_Compras!$R260&lt;&gt;"SI","",Registro_Compras!$S260)</f>
        <v/>
      </c>
      <c r="I260" s="25">
        <f>IF(Registro_Compras!$R260&lt;&gt;"SI","",IF(Registro_Compras!$Y260="",WORKDAY(EOMONTH(Registro_Compras!$B260,0),5,Feriados),MIN(Registro_Compras!$Y260,WORKDAY(EOMONTH(Registro_Compras!$B260,0),5,Feriados))))</f>
        <v/>
      </c>
      <c r="J260" s="25">
        <f>IF(Registro_Compras!$R260&lt;&gt;"SI","",Registro_Compras!$X260)</f>
        <v/>
      </c>
      <c r="K260">
        <f>IF(Registro_Compras!$R260&lt;&gt;"SI","",IF(Registro_Compras!$X260="","PENDIENTE","DEPOSITADA"))</f>
        <v/>
      </c>
      <c r="L260">
        <f>IF(Registro_Compras!$R260&lt;&gt;"SI","",Registro_Compras!$Z260)</f>
        <v/>
      </c>
      <c r="M260">
        <f>IF($K260&lt;&gt;"PENDIENTE","",IF(TODAY()&gt;$I260,TODAY()-$I260,0))</f>
        <v/>
      </c>
      <c r="N260">
        <f>IF($K260&lt;&gt;"PENDIENTE","",IF($M260&gt;0,"VENCIDA - DEPOSITAR YA",IF($I260-TODAY()&lt;=3,"POR VENCER","EN PLAZO")))</f>
        <v/>
      </c>
    </row>
    <row r="261">
      <c r="A261" s="25">
        <f>IF(Registro_Compras!$R261&lt;&gt;"SI","",Registro_Compras!$B261)</f>
        <v/>
      </c>
      <c r="B261">
        <f>IF(Registro_Compras!$R261&lt;&gt;"SI","",Registro_Compras!$C261)</f>
        <v/>
      </c>
      <c r="C261">
        <f>IF(Registro_Compras!$R261&lt;&gt;"SI","",Registro_Compras!$D261)</f>
        <v/>
      </c>
      <c r="D261">
        <f>IF(Registro_Compras!$R261&lt;&gt;"SI","",Registro_Compras!$E261)</f>
        <v/>
      </c>
      <c r="E261">
        <f>IF(Registro_Compras!$R261&lt;&gt;"SI","",Registro_Compras!$G261)</f>
        <v/>
      </c>
      <c r="F261" s="31">
        <f>IF(Registro_Compras!$R261&lt;&gt;"SI","",Registro_Compras!$P261)</f>
        <v/>
      </c>
      <c r="G261" s="20">
        <f>IF(Registro_Compras!$R261&lt;&gt;"SI","",Registro_Compras!$O261)</f>
        <v/>
      </c>
      <c r="H261" s="20">
        <f>IF(Registro_Compras!$R261&lt;&gt;"SI","",Registro_Compras!$S261)</f>
        <v/>
      </c>
      <c r="I261" s="25">
        <f>IF(Registro_Compras!$R261&lt;&gt;"SI","",IF(Registro_Compras!$Y261="",WORKDAY(EOMONTH(Registro_Compras!$B261,0),5,Feriados),MIN(Registro_Compras!$Y261,WORKDAY(EOMONTH(Registro_Compras!$B261,0),5,Feriados))))</f>
        <v/>
      </c>
      <c r="J261" s="25">
        <f>IF(Registro_Compras!$R261&lt;&gt;"SI","",Registro_Compras!$X261)</f>
        <v/>
      </c>
      <c r="K261">
        <f>IF(Registro_Compras!$R261&lt;&gt;"SI","",IF(Registro_Compras!$X261="","PENDIENTE","DEPOSITADA"))</f>
        <v/>
      </c>
      <c r="L261">
        <f>IF(Registro_Compras!$R261&lt;&gt;"SI","",Registro_Compras!$Z261)</f>
        <v/>
      </c>
      <c r="M261">
        <f>IF($K261&lt;&gt;"PENDIENTE","",IF(TODAY()&gt;$I261,TODAY()-$I261,0))</f>
        <v/>
      </c>
      <c r="N261">
        <f>IF($K261&lt;&gt;"PENDIENTE","",IF($M261&gt;0,"VENCIDA - DEPOSITAR YA",IF($I261-TODAY()&lt;=3,"POR VENCER","EN PLAZO")))</f>
        <v/>
      </c>
    </row>
    <row r="262">
      <c r="A262" s="25">
        <f>IF(Registro_Compras!$R262&lt;&gt;"SI","",Registro_Compras!$B262)</f>
        <v/>
      </c>
      <c r="B262">
        <f>IF(Registro_Compras!$R262&lt;&gt;"SI","",Registro_Compras!$C262)</f>
        <v/>
      </c>
      <c r="C262">
        <f>IF(Registro_Compras!$R262&lt;&gt;"SI","",Registro_Compras!$D262)</f>
        <v/>
      </c>
      <c r="D262">
        <f>IF(Registro_Compras!$R262&lt;&gt;"SI","",Registro_Compras!$E262)</f>
        <v/>
      </c>
      <c r="E262">
        <f>IF(Registro_Compras!$R262&lt;&gt;"SI","",Registro_Compras!$G262)</f>
        <v/>
      </c>
      <c r="F262" s="31">
        <f>IF(Registro_Compras!$R262&lt;&gt;"SI","",Registro_Compras!$P262)</f>
        <v/>
      </c>
      <c r="G262" s="20">
        <f>IF(Registro_Compras!$R262&lt;&gt;"SI","",Registro_Compras!$O262)</f>
        <v/>
      </c>
      <c r="H262" s="20">
        <f>IF(Registro_Compras!$R262&lt;&gt;"SI","",Registro_Compras!$S262)</f>
        <v/>
      </c>
      <c r="I262" s="25">
        <f>IF(Registro_Compras!$R262&lt;&gt;"SI","",IF(Registro_Compras!$Y262="",WORKDAY(EOMONTH(Registro_Compras!$B262,0),5,Feriados),MIN(Registro_Compras!$Y262,WORKDAY(EOMONTH(Registro_Compras!$B262,0),5,Feriados))))</f>
        <v/>
      </c>
      <c r="J262" s="25">
        <f>IF(Registro_Compras!$R262&lt;&gt;"SI","",Registro_Compras!$X262)</f>
        <v/>
      </c>
      <c r="K262">
        <f>IF(Registro_Compras!$R262&lt;&gt;"SI","",IF(Registro_Compras!$X262="","PENDIENTE","DEPOSITADA"))</f>
        <v/>
      </c>
      <c r="L262">
        <f>IF(Registro_Compras!$R262&lt;&gt;"SI","",Registro_Compras!$Z262)</f>
        <v/>
      </c>
      <c r="M262">
        <f>IF($K262&lt;&gt;"PENDIENTE","",IF(TODAY()&gt;$I262,TODAY()-$I262,0))</f>
        <v/>
      </c>
      <c r="N262">
        <f>IF($K262&lt;&gt;"PENDIENTE","",IF($M262&gt;0,"VENCIDA - DEPOSITAR YA",IF($I262-TODAY()&lt;=3,"POR VENCER","EN PLAZO")))</f>
        <v/>
      </c>
    </row>
    <row r="263">
      <c r="A263" s="25">
        <f>IF(Registro_Compras!$R263&lt;&gt;"SI","",Registro_Compras!$B263)</f>
        <v/>
      </c>
      <c r="B263">
        <f>IF(Registro_Compras!$R263&lt;&gt;"SI","",Registro_Compras!$C263)</f>
        <v/>
      </c>
      <c r="C263">
        <f>IF(Registro_Compras!$R263&lt;&gt;"SI","",Registro_Compras!$D263)</f>
        <v/>
      </c>
      <c r="D263">
        <f>IF(Registro_Compras!$R263&lt;&gt;"SI","",Registro_Compras!$E263)</f>
        <v/>
      </c>
      <c r="E263">
        <f>IF(Registro_Compras!$R263&lt;&gt;"SI","",Registro_Compras!$G263)</f>
        <v/>
      </c>
      <c r="F263" s="31">
        <f>IF(Registro_Compras!$R263&lt;&gt;"SI","",Registro_Compras!$P263)</f>
        <v/>
      </c>
      <c r="G263" s="20">
        <f>IF(Registro_Compras!$R263&lt;&gt;"SI","",Registro_Compras!$O263)</f>
        <v/>
      </c>
      <c r="H263" s="20">
        <f>IF(Registro_Compras!$R263&lt;&gt;"SI","",Registro_Compras!$S263)</f>
        <v/>
      </c>
      <c r="I263" s="25">
        <f>IF(Registro_Compras!$R263&lt;&gt;"SI","",IF(Registro_Compras!$Y263="",WORKDAY(EOMONTH(Registro_Compras!$B263,0),5,Feriados),MIN(Registro_Compras!$Y263,WORKDAY(EOMONTH(Registro_Compras!$B263,0),5,Feriados))))</f>
        <v/>
      </c>
      <c r="J263" s="25">
        <f>IF(Registro_Compras!$R263&lt;&gt;"SI","",Registro_Compras!$X263)</f>
        <v/>
      </c>
      <c r="K263">
        <f>IF(Registro_Compras!$R263&lt;&gt;"SI","",IF(Registro_Compras!$X263="","PENDIENTE","DEPOSITADA"))</f>
        <v/>
      </c>
      <c r="L263">
        <f>IF(Registro_Compras!$R263&lt;&gt;"SI","",Registro_Compras!$Z263)</f>
        <v/>
      </c>
      <c r="M263">
        <f>IF($K263&lt;&gt;"PENDIENTE","",IF(TODAY()&gt;$I263,TODAY()-$I263,0))</f>
        <v/>
      </c>
      <c r="N263">
        <f>IF($K263&lt;&gt;"PENDIENTE","",IF($M263&gt;0,"VENCIDA - DEPOSITAR YA",IF($I263-TODAY()&lt;=3,"POR VENCER","EN PLAZO")))</f>
        <v/>
      </c>
    </row>
    <row r="264">
      <c r="A264" s="25">
        <f>IF(Registro_Compras!$R264&lt;&gt;"SI","",Registro_Compras!$B264)</f>
        <v/>
      </c>
      <c r="B264">
        <f>IF(Registro_Compras!$R264&lt;&gt;"SI","",Registro_Compras!$C264)</f>
        <v/>
      </c>
      <c r="C264">
        <f>IF(Registro_Compras!$R264&lt;&gt;"SI","",Registro_Compras!$D264)</f>
        <v/>
      </c>
      <c r="D264">
        <f>IF(Registro_Compras!$R264&lt;&gt;"SI","",Registro_Compras!$E264)</f>
        <v/>
      </c>
      <c r="E264">
        <f>IF(Registro_Compras!$R264&lt;&gt;"SI","",Registro_Compras!$G264)</f>
        <v/>
      </c>
      <c r="F264" s="31">
        <f>IF(Registro_Compras!$R264&lt;&gt;"SI","",Registro_Compras!$P264)</f>
        <v/>
      </c>
      <c r="G264" s="20">
        <f>IF(Registro_Compras!$R264&lt;&gt;"SI","",Registro_Compras!$O264)</f>
        <v/>
      </c>
      <c r="H264" s="20">
        <f>IF(Registro_Compras!$R264&lt;&gt;"SI","",Registro_Compras!$S264)</f>
        <v/>
      </c>
      <c r="I264" s="25">
        <f>IF(Registro_Compras!$R264&lt;&gt;"SI","",IF(Registro_Compras!$Y264="",WORKDAY(EOMONTH(Registro_Compras!$B264,0),5,Feriados),MIN(Registro_Compras!$Y264,WORKDAY(EOMONTH(Registro_Compras!$B264,0),5,Feriados))))</f>
        <v/>
      </c>
      <c r="J264" s="25">
        <f>IF(Registro_Compras!$R264&lt;&gt;"SI","",Registro_Compras!$X264)</f>
        <v/>
      </c>
      <c r="K264">
        <f>IF(Registro_Compras!$R264&lt;&gt;"SI","",IF(Registro_Compras!$X264="","PENDIENTE","DEPOSITADA"))</f>
        <v/>
      </c>
      <c r="L264">
        <f>IF(Registro_Compras!$R264&lt;&gt;"SI","",Registro_Compras!$Z264)</f>
        <v/>
      </c>
      <c r="M264">
        <f>IF($K264&lt;&gt;"PENDIENTE","",IF(TODAY()&gt;$I264,TODAY()-$I264,0))</f>
        <v/>
      </c>
      <c r="N264">
        <f>IF($K264&lt;&gt;"PENDIENTE","",IF($M264&gt;0,"VENCIDA - DEPOSITAR YA",IF($I264-TODAY()&lt;=3,"POR VENCER","EN PLAZO")))</f>
        <v/>
      </c>
    </row>
    <row r="265">
      <c r="A265" s="25">
        <f>IF(Registro_Compras!$R265&lt;&gt;"SI","",Registro_Compras!$B265)</f>
        <v/>
      </c>
      <c r="B265">
        <f>IF(Registro_Compras!$R265&lt;&gt;"SI","",Registro_Compras!$C265)</f>
        <v/>
      </c>
      <c r="C265">
        <f>IF(Registro_Compras!$R265&lt;&gt;"SI","",Registro_Compras!$D265)</f>
        <v/>
      </c>
      <c r="D265">
        <f>IF(Registro_Compras!$R265&lt;&gt;"SI","",Registro_Compras!$E265)</f>
        <v/>
      </c>
      <c r="E265">
        <f>IF(Registro_Compras!$R265&lt;&gt;"SI","",Registro_Compras!$G265)</f>
        <v/>
      </c>
      <c r="F265" s="31">
        <f>IF(Registro_Compras!$R265&lt;&gt;"SI","",Registro_Compras!$P265)</f>
        <v/>
      </c>
      <c r="G265" s="20">
        <f>IF(Registro_Compras!$R265&lt;&gt;"SI","",Registro_Compras!$O265)</f>
        <v/>
      </c>
      <c r="H265" s="20">
        <f>IF(Registro_Compras!$R265&lt;&gt;"SI","",Registro_Compras!$S265)</f>
        <v/>
      </c>
      <c r="I265" s="25">
        <f>IF(Registro_Compras!$R265&lt;&gt;"SI","",IF(Registro_Compras!$Y265="",WORKDAY(EOMONTH(Registro_Compras!$B265,0),5,Feriados),MIN(Registro_Compras!$Y265,WORKDAY(EOMONTH(Registro_Compras!$B265,0),5,Feriados))))</f>
        <v/>
      </c>
      <c r="J265" s="25">
        <f>IF(Registro_Compras!$R265&lt;&gt;"SI","",Registro_Compras!$X265)</f>
        <v/>
      </c>
      <c r="K265">
        <f>IF(Registro_Compras!$R265&lt;&gt;"SI","",IF(Registro_Compras!$X265="","PENDIENTE","DEPOSITADA"))</f>
        <v/>
      </c>
      <c r="L265">
        <f>IF(Registro_Compras!$R265&lt;&gt;"SI","",Registro_Compras!$Z265)</f>
        <v/>
      </c>
      <c r="M265">
        <f>IF($K265&lt;&gt;"PENDIENTE","",IF(TODAY()&gt;$I265,TODAY()-$I265,0))</f>
        <v/>
      </c>
      <c r="N265">
        <f>IF($K265&lt;&gt;"PENDIENTE","",IF($M265&gt;0,"VENCIDA - DEPOSITAR YA",IF($I265-TODAY()&lt;=3,"POR VENCER","EN PLAZO")))</f>
        <v/>
      </c>
    </row>
    <row r="266">
      <c r="A266" s="25">
        <f>IF(Registro_Compras!$R266&lt;&gt;"SI","",Registro_Compras!$B266)</f>
        <v/>
      </c>
      <c r="B266">
        <f>IF(Registro_Compras!$R266&lt;&gt;"SI","",Registro_Compras!$C266)</f>
        <v/>
      </c>
      <c r="C266">
        <f>IF(Registro_Compras!$R266&lt;&gt;"SI","",Registro_Compras!$D266)</f>
        <v/>
      </c>
      <c r="D266">
        <f>IF(Registro_Compras!$R266&lt;&gt;"SI","",Registro_Compras!$E266)</f>
        <v/>
      </c>
      <c r="E266">
        <f>IF(Registro_Compras!$R266&lt;&gt;"SI","",Registro_Compras!$G266)</f>
        <v/>
      </c>
      <c r="F266" s="31">
        <f>IF(Registro_Compras!$R266&lt;&gt;"SI","",Registro_Compras!$P266)</f>
        <v/>
      </c>
      <c r="G266" s="20">
        <f>IF(Registro_Compras!$R266&lt;&gt;"SI","",Registro_Compras!$O266)</f>
        <v/>
      </c>
      <c r="H266" s="20">
        <f>IF(Registro_Compras!$R266&lt;&gt;"SI","",Registro_Compras!$S266)</f>
        <v/>
      </c>
      <c r="I266" s="25">
        <f>IF(Registro_Compras!$R266&lt;&gt;"SI","",IF(Registro_Compras!$Y266="",WORKDAY(EOMONTH(Registro_Compras!$B266,0),5,Feriados),MIN(Registro_Compras!$Y266,WORKDAY(EOMONTH(Registro_Compras!$B266,0),5,Feriados))))</f>
        <v/>
      </c>
      <c r="J266" s="25">
        <f>IF(Registro_Compras!$R266&lt;&gt;"SI","",Registro_Compras!$X266)</f>
        <v/>
      </c>
      <c r="K266">
        <f>IF(Registro_Compras!$R266&lt;&gt;"SI","",IF(Registro_Compras!$X266="","PENDIENTE","DEPOSITADA"))</f>
        <v/>
      </c>
      <c r="L266">
        <f>IF(Registro_Compras!$R266&lt;&gt;"SI","",Registro_Compras!$Z266)</f>
        <v/>
      </c>
      <c r="M266">
        <f>IF($K266&lt;&gt;"PENDIENTE","",IF(TODAY()&gt;$I266,TODAY()-$I266,0))</f>
        <v/>
      </c>
      <c r="N266">
        <f>IF($K266&lt;&gt;"PENDIENTE","",IF($M266&gt;0,"VENCIDA - DEPOSITAR YA",IF($I266-TODAY()&lt;=3,"POR VENCER","EN PLAZO")))</f>
        <v/>
      </c>
    </row>
    <row r="267">
      <c r="A267" s="25">
        <f>IF(Registro_Compras!$R267&lt;&gt;"SI","",Registro_Compras!$B267)</f>
        <v/>
      </c>
      <c r="B267">
        <f>IF(Registro_Compras!$R267&lt;&gt;"SI","",Registro_Compras!$C267)</f>
        <v/>
      </c>
      <c r="C267">
        <f>IF(Registro_Compras!$R267&lt;&gt;"SI","",Registro_Compras!$D267)</f>
        <v/>
      </c>
      <c r="D267">
        <f>IF(Registro_Compras!$R267&lt;&gt;"SI","",Registro_Compras!$E267)</f>
        <v/>
      </c>
      <c r="E267">
        <f>IF(Registro_Compras!$R267&lt;&gt;"SI","",Registro_Compras!$G267)</f>
        <v/>
      </c>
      <c r="F267" s="31">
        <f>IF(Registro_Compras!$R267&lt;&gt;"SI","",Registro_Compras!$P267)</f>
        <v/>
      </c>
      <c r="G267" s="20">
        <f>IF(Registro_Compras!$R267&lt;&gt;"SI","",Registro_Compras!$O267)</f>
        <v/>
      </c>
      <c r="H267" s="20">
        <f>IF(Registro_Compras!$R267&lt;&gt;"SI","",Registro_Compras!$S267)</f>
        <v/>
      </c>
      <c r="I267" s="25">
        <f>IF(Registro_Compras!$R267&lt;&gt;"SI","",IF(Registro_Compras!$Y267="",WORKDAY(EOMONTH(Registro_Compras!$B267,0),5,Feriados),MIN(Registro_Compras!$Y267,WORKDAY(EOMONTH(Registro_Compras!$B267,0),5,Feriados))))</f>
        <v/>
      </c>
      <c r="J267" s="25">
        <f>IF(Registro_Compras!$R267&lt;&gt;"SI","",Registro_Compras!$X267)</f>
        <v/>
      </c>
      <c r="K267">
        <f>IF(Registro_Compras!$R267&lt;&gt;"SI","",IF(Registro_Compras!$X267="","PENDIENTE","DEPOSITADA"))</f>
        <v/>
      </c>
      <c r="L267">
        <f>IF(Registro_Compras!$R267&lt;&gt;"SI","",Registro_Compras!$Z267)</f>
        <v/>
      </c>
      <c r="M267">
        <f>IF($K267&lt;&gt;"PENDIENTE","",IF(TODAY()&gt;$I267,TODAY()-$I267,0))</f>
        <v/>
      </c>
      <c r="N267">
        <f>IF($K267&lt;&gt;"PENDIENTE","",IF($M267&gt;0,"VENCIDA - DEPOSITAR YA",IF($I267-TODAY()&lt;=3,"POR VENCER","EN PLAZO")))</f>
        <v/>
      </c>
    </row>
    <row r="268">
      <c r="A268" s="25">
        <f>IF(Registro_Compras!$R268&lt;&gt;"SI","",Registro_Compras!$B268)</f>
        <v/>
      </c>
      <c r="B268">
        <f>IF(Registro_Compras!$R268&lt;&gt;"SI","",Registro_Compras!$C268)</f>
        <v/>
      </c>
      <c r="C268">
        <f>IF(Registro_Compras!$R268&lt;&gt;"SI","",Registro_Compras!$D268)</f>
        <v/>
      </c>
      <c r="D268">
        <f>IF(Registro_Compras!$R268&lt;&gt;"SI","",Registro_Compras!$E268)</f>
        <v/>
      </c>
      <c r="E268">
        <f>IF(Registro_Compras!$R268&lt;&gt;"SI","",Registro_Compras!$G268)</f>
        <v/>
      </c>
      <c r="F268" s="31">
        <f>IF(Registro_Compras!$R268&lt;&gt;"SI","",Registro_Compras!$P268)</f>
        <v/>
      </c>
      <c r="G268" s="20">
        <f>IF(Registro_Compras!$R268&lt;&gt;"SI","",Registro_Compras!$O268)</f>
        <v/>
      </c>
      <c r="H268" s="20">
        <f>IF(Registro_Compras!$R268&lt;&gt;"SI","",Registro_Compras!$S268)</f>
        <v/>
      </c>
      <c r="I268" s="25">
        <f>IF(Registro_Compras!$R268&lt;&gt;"SI","",IF(Registro_Compras!$Y268="",WORKDAY(EOMONTH(Registro_Compras!$B268,0),5,Feriados),MIN(Registro_Compras!$Y268,WORKDAY(EOMONTH(Registro_Compras!$B268,0),5,Feriados))))</f>
        <v/>
      </c>
      <c r="J268" s="25">
        <f>IF(Registro_Compras!$R268&lt;&gt;"SI","",Registro_Compras!$X268)</f>
        <v/>
      </c>
      <c r="K268">
        <f>IF(Registro_Compras!$R268&lt;&gt;"SI","",IF(Registro_Compras!$X268="","PENDIENTE","DEPOSITADA"))</f>
        <v/>
      </c>
      <c r="L268">
        <f>IF(Registro_Compras!$R268&lt;&gt;"SI","",Registro_Compras!$Z268)</f>
        <v/>
      </c>
      <c r="M268">
        <f>IF($K268&lt;&gt;"PENDIENTE","",IF(TODAY()&gt;$I268,TODAY()-$I268,0))</f>
        <v/>
      </c>
      <c r="N268">
        <f>IF($K268&lt;&gt;"PENDIENTE","",IF($M268&gt;0,"VENCIDA - DEPOSITAR YA",IF($I268-TODAY()&lt;=3,"POR VENCER","EN PLAZO")))</f>
        <v/>
      </c>
    </row>
    <row r="269">
      <c r="A269" s="25">
        <f>IF(Registro_Compras!$R269&lt;&gt;"SI","",Registro_Compras!$B269)</f>
        <v/>
      </c>
      <c r="B269">
        <f>IF(Registro_Compras!$R269&lt;&gt;"SI","",Registro_Compras!$C269)</f>
        <v/>
      </c>
      <c r="C269">
        <f>IF(Registro_Compras!$R269&lt;&gt;"SI","",Registro_Compras!$D269)</f>
        <v/>
      </c>
      <c r="D269">
        <f>IF(Registro_Compras!$R269&lt;&gt;"SI","",Registro_Compras!$E269)</f>
        <v/>
      </c>
      <c r="E269">
        <f>IF(Registro_Compras!$R269&lt;&gt;"SI","",Registro_Compras!$G269)</f>
        <v/>
      </c>
      <c r="F269" s="31">
        <f>IF(Registro_Compras!$R269&lt;&gt;"SI","",Registro_Compras!$P269)</f>
        <v/>
      </c>
      <c r="G269" s="20">
        <f>IF(Registro_Compras!$R269&lt;&gt;"SI","",Registro_Compras!$O269)</f>
        <v/>
      </c>
      <c r="H269" s="20">
        <f>IF(Registro_Compras!$R269&lt;&gt;"SI","",Registro_Compras!$S269)</f>
        <v/>
      </c>
      <c r="I269" s="25">
        <f>IF(Registro_Compras!$R269&lt;&gt;"SI","",IF(Registro_Compras!$Y269="",WORKDAY(EOMONTH(Registro_Compras!$B269,0),5,Feriados),MIN(Registro_Compras!$Y269,WORKDAY(EOMONTH(Registro_Compras!$B269,0),5,Feriados))))</f>
        <v/>
      </c>
      <c r="J269" s="25">
        <f>IF(Registro_Compras!$R269&lt;&gt;"SI","",Registro_Compras!$X269)</f>
        <v/>
      </c>
      <c r="K269">
        <f>IF(Registro_Compras!$R269&lt;&gt;"SI","",IF(Registro_Compras!$X269="","PENDIENTE","DEPOSITADA"))</f>
        <v/>
      </c>
      <c r="L269">
        <f>IF(Registro_Compras!$R269&lt;&gt;"SI","",Registro_Compras!$Z269)</f>
        <v/>
      </c>
      <c r="M269">
        <f>IF($K269&lt;&gt;"PENDIENTE","",IF(TODAY()&gt;$I269,TODAY()-$I269,0))</f>
        <v/>
      </c>
      <c r="N269">
        <f>IF($K269&lt;&gt;"PENDIENTE","",IF($M269&gt;0,"VENCIDA - DEPOSITAR YA",IF($I269-TODAY()&lt;=3,"POR VENCER","EN PLAZO")))</f>
        <v/>
      </c>
    </row>
    <row r="270">
      <c r="A270" s="25">
        <f>IF(Registro_Compras!$R270&lt;&gt;"SI","",Registro_Compras!$B270)</f>
        <v/>
      </c>
      <c r="B270">
        <f>IF(Registro_Compras!$R270&lt;&gt;"SI","",Registro_Compras!$C270)</f>
        <v/>
      </c>
      <c r="C270">
        <f>IF(Registro_Compras!$R270&lt;&gt;"SI","",Registro_Compras!$D270)</f>
        <v/>
      </c>
      <c r="D270">
        <f>IF(Registro_Compras!$R270&lt;&gt;"SI","",Registro_Compras!$E270)</f>
        <v/>
      </c>
      <c r="E270">
        <f>IF(Registro_Compras!$R270&lt;&gt;"SI","",Registro_Compras!$G270)</f>
        <v/>
      </c>
      <c r="F270" s="31">
        <f>IF(Registro_Compras!$R270&lt;&gt;"SI","",Registro_Compras!$P270)</f>
        <v/>
      </c>
      <c r="G270" s="20">
        <f>IF(Registro_Compras!$R270&lt;&gt;"SI","",Registro_Compras!$O270)</f>
        <v/>
      </c>
      <c r="H270" s="20">
        <f>IF(Registro_Compras!$R270&lt;&gt;"SI","",Registro_Compras!$S270)</f>
        <v/>
      </c>
      <c r="I270" s="25">
        <f>IF(Registro_Compras!$R270&lt;&gt;"SI","",IF(Registro_Compras!$Y270="",WORKDAY(EOMONTH(Registro_Compras!$B270,0),5,Feriados),MIN(Registro_Compras!$Y270,WORKDAY(EOMONTH(Registro_Compras!$B270,0),5,Feriados))))</f>
        <v/>
      </c>
      <c r="J270" s="25">
        <f>IF(Registro_Compras!$R270&lt;&gt;"SI","",Registro_Compras!$X270)</f>
        <v/>
      </c>
      <c r="K270">
        <f>IF(Registro_Compras!$R270&lt;&gt;"SI","",IF(Registro_Compras!$X270="","PENDIENTE","DEPOSITADA"))</f>
        <v/>
      </c>
      <c r="L270">
        <f>IF(Registro_Compras!$R270&lt;&gt;"SI","",Registro_Compras!$Z270)</f>
        <v/>
      </c>
      <c r="M270">
        <f>IF($K270&lt;&gt;"PENDIENTE","",IF(TODAY()&gt;$I270,TODAY()-$I270,0))</f>
        <v/>
      </c>
      <c r="N270">
        <f>IF($K270&lt;&gt;"PENDIENTE","",IF($M270&gt;0,"VENCIDA - DEPOSITAR YA",IF($I270-TODAY()&lt;=3,"POR VENCER","EN PLAZO")))</f>
        <v/>
      </c>
    </row>
    <row r="271">
      <c r="A271" s="25">
        <f>IF(Registro_Compras!$R271&lt;&gt;"SI","",Registro_Compras!$B271)</f>
        <v/>
      </c>
      <c r="B271">
        <f>IF(Registro_Compras!$R271&lt;&gt;"SI","",Registro_Compras!$C271)</f>
        <v/>
      </c>
      <c r="C271">
        <f>IF(Registro_Compras!$R271&lt;&gt;"SI","",Registro_Compras!$D271)</f>
        <v/>
      </c>
      <c r="D271">
        <f>IF(Registro_Compras!$R271&lt;&gt;"SI","",Registro_Compras!$E271)</f>
        <v/>
      </c>
      <c r="E271">
        <f>IF(Registro_Compras!$R271&lt;&gt;"SI","",Registro_Compras!$G271)</f>
        <v/>
      </c>
      <c r="F271" s="31">
        <f>IF(Registro_Compras!$R271&lt;&gt;"SI","",Registro_Compras!$P271)</f>
        <v/>
      </c>
      <c r="G271" s="20">
        <f>IF(Registro_Compras!$R271&lt;&gt;"SI","",Registro_Compras!$O271)</f>
        <v/>
      </c>
      <c r="H271" s="20">
        <f>IF(Registro_Compras!$R271&lt;&gt;"SI","",Registro_Compras!$S271)</f>
        <v/>
      </c>
      <c r="I271" s="25">
        <f>IF(Registro_Compras!$R271&lt;&gt;"SI","",IF(Registro_Compras!$Y271="",WORKDAY(EOMONTH(Registro_Compras!$B271,0),5,Feriados),MIN(Registro_Compras!$Y271,WORKDAY(EOMONTH(Registro_Compras!$B271,0),5,Feriados))))</f>
        <v/>
      </c>
      <c r="J271" s="25">
        <f>IF(Registro_Compras!$R271&lt;&gt;"SI","",Registro_Compras!$X271)</f>
        <v/>
      </c>
      <c r="K271">
        <f>IF(Registro_Compras!$R271&lt;&gt;"SI","",IF(Registro_Compras!$X271="","PENDIENTE","DEPOSITADA"))</f>
        <v/>
      </c>
      <c r="L271">
        <f>IF(Registro_Compras!$R271&lt;&gt;"SI","",Registro_Compras!$Z271)</f>
        <v/>
      </c>
      <c r="M271">
        <f>IF($K271&lt;&gt;"PENDIENTE","",IF(TODAY()&gt;$I271,TODAY()-$I271,0))</f>
        <v/>
      </c>
      <c r="N271">
        <f>IF($K271&lt;&gt;"PENDIENTE","",IF($M271&gt;0,"VENCIDA - DEPOSITAR YA",IF($I271-TODAY()&lt;=3,"POR VENCER","EN PLAZO")))</f>
        <v/>
      </c>
    </row>
    <row r="272">
      <c r="A272" s="25">
        <f>IF(Registro_Compras!$R272&lt;&gt;"SI","",Registro_Compras!$B272)</f>
        <v/>
      </c>
      <c r="B272">
        <f>IF(Registro_Compras!$R272&lt;&gt;"SI","",Registro_Compras!$C272)</f>
        <v/>
      </c>
      <c r="C272">
        <f>IF(Registro_Compras!$R272&lt;&gt;"SI","",Registro_Compras!$D272)</f>
        <v/>
      </c>
      <c r="D272">
        <f>IF(Registro_Compras!$R272&lt;&gt;"SI","",Registro_Compras!$E272)</f>
        <v/>
      </c>
      <c r="E272">
        <f>IF(Registro_Compras!$R272&lt;&gt;"SI","",Registro_Compras!$G272)</f>
        <v/>
      </c>
      <c r="F272" s="31">
        <f>IF(Registro_Compras!$R272&lt;&gt;"SI","",Registro_Compras!$P272)</f>
        <v/>
      </c>
      <c r="G272" s="20">
        <f>IF(Registro_Compras!$R272&lt;&gt;"SI","",Registro_Compras!$O272)</f>
        <v/>
      </c>
      <c r="H272" s="20">
        <f>IF(Registro_Compras!$R272&lt;&gt;"SI","",Registro_Compras!$S272)</f>
        <v/>
      </c>
      <c r="I272" s="25">
        <f>IF(Registro_Compras!$R272&lt;&gt;"SI","",IF(Registro_Compras!$Y272="",WORKDAY(EOMONTH(Registro_Compras!$B272,0),5,Feriados),MIN(Registro_Compras!$Y272,WORKDAY(EOMONTH(Registro_Compras!$B272,0),5,Feriados))))</f>
        <v/>
      </c>
      <c r="J272" s="25">
        <f>IF(Registro_Compras!$R272&lt;&gt;"SI","",Registro_Compras!$X272)</f>
        <v/>
      </c>
      <c r="K272">
        <f>IF(Registro_Compras!$R272&lt;&gt;"SI","",IF(Registro_Compras!$X272="","PENDIENTE","DEPOSITADA"))</f>
        <v/>
      </c>
      <c r="L272">
        <f>IF(Registro_Compras!$R272&lt;&gt;"SI","",Registro_Compras!$Z272)</f>
        <v/>
      </c>
      <c r="M272">
        <f>IF($K272&lt;&gt;"PENDIENTE","",IF(TODAY()&gt;$I272,TODAY()-$I272,0))</f>
        <v/>
      </c>
      <c r="N272">
        <f>IF($K272&lt;&gt;"PENDIENTE","",IF($M272&gt;0,"VENCIDA - DEPOSITAR YA",IF($I272-TODAY()&lt;=3,"POR VENCER","EN PLAZO")))</f>
        <v/>
      </c>
    </row>
    <row r="273">
      <c r="A273" s="25">
        <f>IF(Registro_Compras!$R273&lt;&gt;"SI","",Registro_Compras!$B273)</f>
        <v/>
      </c>
      <c r="B273">
        <f>IF(Registro_Compras!$R273&lt;&gt;"SI","",Registro_Compras!$C273)</f>
        <v/>
      </c>
      <c r="C273">
        <f>IF(Registro_Compras!$R273&lt;&gt;"SI","",Registro_Compras!$D273)</f>
        <v/>
      </c>
      <c r="D273">
        <f>IF(Registro_Compras!$R273&lt;&gt;"SI","",Registro_Compras!$E273)</f>
        <v/>
      </c>
      <c r="E273">
        <f>IF(Registro_Compras!$R273&lt;&gt;"SI","",Registro_Compras!$G273)</f>
        <v/>
      </c>
      <c r="F273" s="31">
        <f>IF(Registro_Compras!$R273&lt;&gt;"SI","",Registro_Compras!$P273)</f>
        <v/>
      </c>
      <c r="G273" s="20">
        <f>IF(Registro_Compras!$R273&lt;&gt;"SI","",Registro_Compras!$O273)</f>
        <v/>
      </c>
      <c r="H273" s="20">
        <f>IF(Registro_Compras!$R273&lt;&gt;"SI","",Registro_Compras!$S273)</f>
        <v/>
      </c>
      <c r="I273" s="25">
        <f>IF(Registro_Compras!$R273&lt;&gt;"SI","",IF(Registro_Compras!$Y273="",WORKDAY(EOMONTH(Registro_Compras!$B273,0),5,Feriados),MIN(Registro_Compras!$Y273,WORKDAY(EOMONTH(Registro_Compras!$B273,0),5,Feriados))))</f>
        <v/>
      </c>
      <c r="J273" s="25">
        <f>IF(Registro_Compras!$R273&lt;&gt;"SI","",Registro_Compras!$X273)</f>
        <v/>
      </c>
      <c r="K273">
        <f>IF(Registro_Compras!$R273&lt;&gt;"SI","",IF(Registro_Compras!$X273="","PENDIENTE","DEPOSITADA"))</f>
        <v/>
      </c>
      <c r="L273">
        <f>IF(Registro_Compras!$R273&lt;&gt;"SI","",Registro_Compras!$Z273)</f>
        <v/>
      </c>
      <c r="M273">
        <f>IF($K273&lt;&gt;"PENDIENTE","",IF(TODAY()&gt;$I273,TODAY()-$I273,0))</f>
        <v/>
      </c>
      <c r="N273">
        <f>IF($K273&lt;&gt;"PENDIENTE","",IF($M273&gt;0,"VENCIDA - DEPOSITAR YA",IF($I273-TODAY()&lt;=3,"POR VENCER","EN PLAZO")))</f>
        <v/>
      </c>
    </row>
    <row r="274">
      <c r="A274" s="25">
        <f>IF(Registro_Compras!$R274&lt;&gt;"SI","",Registro_Compras!$B274)</f>
        <v/>
      </c>
      <c r="B274">
        <f>IF(Registro_Compras!$R274&lt;&gt;"SI","",Registro_Compras!$C274)</f>
        <v/>
      </c>
      <c r="C274">
        <f>IF(Registro_Compras!$R274&lt;&gt;"SI","",Registro_Compras!$D274)</f>
        <v/>
      </c>
      <c r="D274">
        <f>IF(Registro_Compras!$R274&lt;&gt;"SI","",Registro_Compras!$E274)</f>
        <v/>
      </c>
      <c r="E274">
        <f>IF(Registro_Compras!$R274&lt;&gt;"SI","",Registro_Compras!$G274)</f>
        <v/>
      </c>
      <c r="F274" s="31">
        <f>IF(Registro_Compras!$R274&lt;&gt;"SI","",Registro_Compras!$P274)</f>
        <v/>
      </c>
      <c r="G274" s="20">
        <f>IF(Registro_Compras!$R274&lt;&gt;"SI","",Registro_Compras!$O274)</f>
        <v/>
      </c>
      <c r="H274" s="20">
        <f>IF(Registro_Compras!$R274&lt;&gt;"SI","",Registro_Compras!$S274)</f>
        <v/>
      </c>
      <c r="I274" s="25">
        <f>IF(Registro_Compras!$R274&lt;&gt;"SI","",IF(Registro_Compras!$Y274="",WORKDAY(EOMONTH(Registro_Compras!$B274,0),5,Feriados),MIN(Registro_Compras!$Y274,WORKDAY(EOMONTH(Registro_Compras!$B274,0),5,Feriados))))</f>
        <v/>
      </c>
      <c r="J274" s="25">
        <f>IF(Registro_Compras!$R274&lt;&gt;"SI","",Registro_Compras!$X274)</f>
        <v/>
      </c>
      <c r="K274">
        <f>IF(Registro_Compras!$R274&lt;&gt;"SI","",IF(Registro_Compras!$X274="","PENDIENTE","DEPOSITADA"))</f>
        <v/>
      </c>
      <c r="L274">
        <f>IF(Registro_Compras!$R274&lt;&gt;"SI","",Registro_Compras!$Z274)</f>
        <v/>
      </c>
      <c r="M274">
        <f>IF($K274&lt;&gt;"PENDIENTE","",IF(TODAY()&gt;$I274,TODAY()-$I274,0))</f>
        <v/>
      </c>
      <c r="N274">
        <f>IF($K274&lt;&gt;"PENDIENTE","",IF($M274&gt;0,"VENCIDA - DEPOSITAR YA",IF($I274-TODAY()&lt;=3,"POR VENCER","EN PLAZO")))</f>
        <v/>
      </c>
    </row>
    <row r="275">
      <c r="A275" s="25">
        <f>IF(Registro_Compras!$R275&lt;&gt;"SI","",Registro_Compras!$B275)</f>
        <v/>
      </c>
      <c r="B275">
        <f>IF(Registro_Compras!$R275&lt;&gt;"SI","",Registro_Compras!$C275)</f>
        <v/>
      </c>
      <c r="C275">
        <f>IF(Registro_Compras!$R275&lt;&gt;"SI","",Registro_Compras!$D275)</f>
        <v/>
      </c>
      <c r="D275">
        <f>IF(Registro_Compras!$R275&lt;&gt;"SI","",Registro_Compras!$E275)</f>
        <v/>
      </c>
      <c r="E275">
        <f>IF(Registro_Compras!$R275&lt;&gt;"SI","",Registro_Compras!$G275)</f>
        <v/>
      </c>
      <c r="F275" s="31">
        <f>IF(Registro_Compras!$R275&lt;&gt;"SI","",Registro_Compras!$P275)</f>
        <v/>
      </c>
      <c r="G275" s="20">
        <f>IF(Registro_Compras!$R275&lt;&gt;"SI","",Registro_Compras!$O275)</f>
        <v/>
      </c>
      <c r="H275" s="20">
        <f>IF(Registro_Compras!$R275&lt;&gt;"SI","",Registro_Compras!$S275)</f>
        <v/>
      </c>
      <c r="I275" s="25">
        <f>IF(Registro_Compras!$R275&lt;&gt;"SI","",IF(Registro_Compras!$Y275="",WORKDAY(EOMONTH(Registro_Compras!$B275,0),5,Feriados),MIN(Registro_Compras!$Y275,WORKDAY(EOMONTH(Registro_Compras!$B275,0),5,Feriados))))</f>
        <v/>
      </c>
      <c r="J275" s="25">
        <f>IF(Registro_Compras!$R275&lt;&gt;"SI","",Registro_Compras!$X275)</f>
        <v/>
      </c>
      <c r="K275">
        <f>IF(Registro_Compras!$R275&lt;&gt;"SI","",IF(Registro_Compras!$X275="","PENDIENTE","DEPOSITADA"))</f>
        <v/>
      </c>
      <c r="L275">
        <f>IF(Registro_Compras!$R275&lt;&gt;"SI","",Registro_Compras!$Z275)</f>
        <v/>
      </c>
      <c r="M275">
        <f>IF($K275&lt;&gt;"PENDIENTE","",IF(TODAY()&gt;$I275,TODAY()-$I275,0))</f>
        <v/>
      </c>
      <c r="N275">
        <f>IF($K275&lt;&gt;"PENDIENTE","",IF($M275&gt;0,"VENCIDA - DEPOSITAR YA",IF($I275-TODAY()&lt;=3,"POR VENCER","EN PLAZO")))</f>
        <v/>
      </c>
    </row>
    <row r="276">
      <c r="A276" s="25">
        <f>IF(Registro_Compras!$R276&lt;&gt;"SI","",Registro_Compras!$B276)</f>
        <v/>
      </c>
      <c r="B276">
        <f>IF(Registro_Compras!$R276&lt;&gt;"SI","",Registro_Compras!$C276)</f>
        <v/>
      </c>
      <c r="C276">
        <f>IF(Registro_Compras!$R276&lt;&gt;"SI","",Registro_Compras!$D276)</f>
        <v/>
      </c>
      <c r="D276">
        <f>IF(Registro_Compras!$R276&lt;&gt;"SI","",Registro_Compras!$E276)</f>
        <v/>
      </c>
      <c r="E276">
        <f>IF(Registro_Compras!$R276&lt;&gt;"SI","",Registro_Compras!$G276)</f>
        <v/>
      </c>
      <c r="F276" s="31">
        <f>IF(Registro_Compras!$R276&lt;&gt;"SI","",Registro_Compras!$P276)</f>
        <v/>
      </c>
      <c r="G276" s="20">
        <f>IF(Registro_Compras!$R276&lt;&gt;"SI","",Registro_Compras!$O276)</f>
        <v/>
      </c>
      <c r="H276" s="20">
        <f>IF(Registro_Compras!$R276&lt;&gt;"SI","",Registro_Compras!$S276)</f>
        <v/>
      </c>
      <c r="I276" s="25">
        <f>IF(Registro_Compras!$R276&lt;&gt;"SI","",IF(Registro_Compras!$Y276="",WORKDAY(EOMONTH(Registro_Compras!$B276,0),5,Feriados),MIN(Registro_Compras!$Y276,WORKDAY(EOMONTH(Registro_Compras!$B276,0),5,Feriados))))</f>
        <v/>
      </c>
      <c r="J276" s="25">
        <f>IF(Registro_Compras!$R276&lt;&gt;"SI","",Registro_Compras!$X276)</f>
        <v/>
      </c>
      <c r="K276">
        <f>IF(Registro_Compras!$R276&lt;&gt;"SI","",IF(Registro_Compras!$X276="","PENDIENTE","DEPOSITADA"))</f>
        <v/>
      </c>
      <c r="L276">
        <f>IF(Registro_Compras!$R276&lt;&gt;"SI","",Registro_Compras!$Z276)</f>
        <v/>
      </c>
      <c r="M276">
        <f>IF($K276&lt;&gt;"PENDIENTE","",IF(TODAY()&gt;$I276,TODAY()-$I276,0))</f>
        <v/>
      </c>
      <c r="N276">
        <f>IF($K276&lt;&gt;"PENDIENTE","",IF($M276&gt;0,"VENCIDA - DEPOSITAR YA",IF($I276-TODAY()&lt;=3,"POR VENCER","EN PLAZO")))</f>
        <v/>
      </c>
    </row>
    <row r="277">
      <c r="A277" s="25">
        <f>IF(Registro_Compras!$R277&lt;&gt;"SI","",Registro_Compras!$B277)</f>
        <v/>
      </c>
      <c r="B277">
        <f>IF(Registro_Compras!$R277&lt;&gt;"SI","",Registro_Compras!$C277)</f>
        <v/>
      </c>
      <c r="C277">
        <f>IF(Registro_Compras!$R277&lt;&gt;"SI","",Registro_Compras!$D277)</f>
        <v/>
      </c>
      <c r="D277">
        <f>IF(Registro_Compras!$R277&lt;&gt;"SI","",Registro_Compras!$E277)</f>
        <v/>
      </c>
      <c r="E277">
        <f>IF(Registro_Compras!$R277&lt;&gt;"SI","",Registro_Compras!$G277)</f>
        <v/>
      </c>
      <c r="F277" s="31">
        <f>IF(Registro_Compras!$R277&lt;&gt;"SI","",Registro_Compras!$P277)</f>
        <v/>
      </c>
      <c r="G277" s="20">
        <f>IF(Registro_Compras!$R277&lt;&gt;"SI","",Registro_Compras!$O277)</f>
        <v/>
      </c>
      <c r="H277" s="20">
        <f>IF(Registro_Compras!$R277&lt;&gt;"SI","",Registro_Compras!$S277)</f>
        <v/>
      </c>
      <c r="I277" s="25">
        <f>IF(Registro_Compras!$R277&lt;&gt;"SI","",IF(Registro_Compras!$Y277="",WORKDAY(EOMONTH(Registro_Compras!$B277,0),5,Feriados),MIN(Registro_Compras!$Y277,WORKDAY(EOMONTH(Registro_Compras!$B277,0),5,Feriados))))</f>
        <v/>
      </c>
      <c r="J277" s="25">
        <f>IF(Registro_Compras!$R277&lt;&gt;"SI","",Registro_Compras!$X277)</f>
        <v/>
      </c>
      <c r="K277">
        <f>IF(Registro_Compras!$R277&lt;&gt;"SI","",IF(Registro_Compras!$X277="","PENDIENTE","DEPOSITADA"))</f>
        <v/>
      </c>
      <c r="L277">
        <f>IF(Registro_Compras!$R277&lt;&gt;"SI","",Registro_Compras!$Z277)</f>
        <v/>
      </c>
      <c r="M277">
        <f>IF($K277&lt;&gt;"PENDIENTE","",IF(TODAY()&gt;$I277,TODAY()-$I277,0))</f>
        <v/>
      </c>
      <c r="N277">
        <f>IF($K277&lt;&gt;"PENDIENTE","",IF($M277&gt;0,"VENCIDA - DEPOSITAR YA",IF($I277-TODAY()&lt;=3,"POR VENCER","EN PLAZO")))</f>
        <v/>
      </c>
    </row>
    <row r="278">
      <c r="A278" s="25">
        <f>IF(Registro_Compras!$R278&lt;&gt;"SI","",Registro_Compras!$B278)</f>
        <v/>
      </c>
      <c r="B278">
        <f>IF(Registro_Compras!$R278&lt;&gt;"SI","",Registro_Compras!$C278)</f>
        <v/>
      </c>
      <c r="C278">
        <f>IF(Registro_Compras!$R278&lt;&gt;"SI","",Registro_Compras!$D278)</f>
        <v/>
      </c>
      <c r="D278">
        <f>IF(Registro_Compras!$R278&lt;&gt;"SI","",Registro_Compras!$E278)</f>
        <v/>
      </c>
      <c r="E278">
        <f>IF(Registro_Compras!$R278&lt;&gt;"SI","",Registro_Compras!$G278)</f>
        <v/>
      </c>
      <c r="F278" s="31">
        <f>IF(Registro_Compras!$R278&lt;&gt;"SI","",Registro_Compras!$P278)</f>
        <v/>
      </c>
      <c r="G278" s="20">
        <f>IF(Registro_Compras!$R278&lt;&gt;"SI","",Registro_Compras!$O278)</f>
        <v/>
      </c>
      <c r="H278" s="20">
        <f>IF(Registro_Compras!$R278&lt;&gt;"SI","",Registro_Compras!$S278)</f>
        <v/>
      </c>
      <c r="I278" s="25">
        <f>IF(Registro_Compras!$R278&lt;&gt;"SI","",IF(Registro_Compras!$Y278="",WORKDAY(EOMONTH(Registro_Compras!$B278,0),5,Feriados),MIN(Registro_Compras!$Y278,WORKDAY(EOMONTH(Registro_Compras!$B278,0),5,Feriados))))</f>
        <v/>
      </c>
      <c r="J278" s="25">
        <f>IF(Registro_Compras!$R278&lt;&gt;"SI","",Registro_Compras!$X278)</f>
        <v/>
      </c>
      <c r="K278">
        <f>IF(Registro_Compras!$R278&lt;&gt;"SI","",IF(Registro_Compras!$X278="","PENDIENTE","DEPOSITADA"))</f>
        <v/>
      </c>
      <c r="L278">
        <f>IF(Registro_Compras!$R278&lt;&gt;"SI","",Registro_Compras!$Z278)</f>
        <v/>
      </c>
      <c r="M278">
        <f>IF($K278&lt;&gt;"PENDIENTE","",IF(TODAY()&gt;$I278,TODAY()-$I278,0))</f>
        <v/>
      </c>
      <c r="N278">
        <f>IF($K278&lt;&gt;"PENDIENTE","",IF($M278&gt;0,"VENCIDA - DEPOSITAR YA",IF($I278-TODAY()&lt;=3,"POR VENCER","EN PLAZO")))</f>
        <v/>
      </c>
    </row>
    <row r="279">
      <c r="A279" s="25">
        <f>IF(Registro_Compras!$R279&lt;&gt;"SI","",Registro_Compras!$B279)</f>
        <v/>
      </c>
      <c r="B279">
        <f>IF(Registro_Compras!$R279&lt;&gt;"SI","",Registro_Compras!$C279)</f>
        <v/>
      </c>
      <c r="C279">
        <f>IF(Registro_Compras!$R279&lt;&gt;"SI","",Registro_Compras!$D279)</f>
        <v/>
      </c>
      <c r="D279">
        <f>IF(Registro_Compras!$R279&lt;&gt;"SI","",Registro_Compras!$E279)</f>
        <v/>
      </c>
      <c r="E279">
        <f>IF(Registro_Compras!$R279&lt;&gt;"SI","",Registro_Compras!$G279)</f>
        <v/>
      </c>
      <c r="F279" s="31">
        <f>IF(Registro_Compras!$R279&lt;&gt;"SI","",Registro_Compras!$P279)</f>
        <v/>
      </c>
      <c r="G279" s="20">
        <f>IF(Registro_Compras!$R279&lt;&gt;"SI","",Registro_Compras!$O279)</f>
        <v/>
      </c>
      <c r="H279" s="20">
        <f>IF(Registro_Compras!$R279&lt;&gt;"SI","",Registro_Compras!$S279)</f>
        <v/>
      </c>
      <c r="I279" s="25">
        <f>IF(Registro_Compras!$R279&lt;&gt;"SI","",IF(Registro_Compras!$Y279="",WORKDAY(EOMONTH(Registro_Compras!$B279,0),5,Feriados),MIN(Registro_Compras!$Y279,WORKDAY(EOMONTH(Registro_Compras!$B279,0),5,Feriados))))</f>
        <v/>
      </c>
      <c r="J279" s="25">
        <f>IF(Registro_Compras!$R279&lt;&gt;"SI","",Registro_Compras!$X279)</f>
        <v/>
      </c>
      <c r="K279">
        <f>IF(Registro_Compras!$R279&lt;&gt;"SI","",IF(Registro_Compras!$X279="","PENDIENTE","DEPOSITADA"))</f>
        <v/>
      </c>
      <c r="L279">
        <f>IF(Registro_Compras!$R279&lt;&gt;"SI","",Registro_Compras!$Z279)</f>
        <v/>
      </c>
      <c r="M279">
        <f>IF($K279&lt;&gt;"PENDIENTE","",IF(TODAY()&gt;$I279,TODAY()-$I279,0))</f>
        <v/>
      </c>
      <c r="N279">
        <f>IF($K279&lt;&gt;"PENDIENTE","",IF($M279&gt;0,"VENCIDA - DEPOSITAR YA",IF($I279-TODAY()&lt;=3,"POR VENCER","EN PLAZO")))</f>
        <v/>
      </c>
    </row>
    <row r="280">
      <c r="A280" s="25">
        <f>IF(Registro_Compras!$R280&lt;&gt;"SI","",Registro_Compras!$B280)</f>
        <v/>
      </c>
      <c r="B280">
        <f>IF(Registro_Compras!$R280&lt;&gt;"SI","",Registro_Compras!$C280)</f>
        <v/>
      </c>
      <c r="C280">
        <f>IF(Registro_Compras!$R280&lt;&gt;"SI","",Registro_Compras!$D280)</f>
        <v/>
      </c>
      <c r="D280">
        <f>IF(Registro_Compras!$R280&lt;&gt;"SI","",Registro_Compras!$E280)</f>
        <v/>
      </c>
      <c r="E280">
        <f>IF(Registro_Compras!$R280&lt;&gt;"SI","",Registro_Compras!$G280)</f>
        <v/>
      </c>
      <c r="F280" s="31">
        <f>IF(Registro_Compras!$R280&lt;&gt;"SI","",Registro_Compras!$P280)</f>
        <v/>
      </c>
      <c r="G280" s="20">
        <f>IF(Registro_Compras!$R280&lt;&gt;"SI","",Registro_Compras!$O280)</f>
        <v/>
      </c>
      <c r="H280" s="20">
        <f>IF(Registro_Compras!$R280&lt;&gt;"SI","",Registro_Compras!$S280)</f>
        <v/>
      </c>
      <c r="I280" s="25">
        <f>IF(Registro_Compras!$R280&lt;&gt;"SI","",IF(Registro_Compras!$Y280="",WORKDAY(EOMONTH(Registro_Compras!$B280,0),5,Feriados),MIN(Registro_Compras!$Y280,WORKDAY(EOMONTH(Registro_Compras!$B280,0),5,Feriados))))</f>
        <v/>
      </c>
      <c r="J280" s="25">
        <f>IF(Registro_Compras!$R280&lt;&gt;"SI","",Registro_Compras!$X280)</f>
        <v/>
      </c>
      <c r="K280">
        <f>IF(Registro_Compras!$R280&lt;&gt;"SI","",IF(Registro_Compras!$X280="","PENDIENTE","DEPOSITADA"))</f>
        <v/>
      </c>
      <c r="L280">
        <f>IF(Registro_Compras!$R280&lt;&gt;"SI","",Registro_Compras!$Z280)</f>
        <v/>
      </c>
      <c r="M280">
        <f>IF($K280&lt;&gt;"PENDIENTE","",IF(TODAY()&gt;$I280,TODAY()-$I280,0))</f>
        <v/>
      </c>
      <c r="N280">
        <f>IF($K280&lt;&gt;"PENDIENTE","",IF($M280&gt;0,"VENCIDA - DEPOSITAR YA",IF($I280-TODAY()&lt;=3,"POR VENCER","EN PLAZO")))</f>
        <v/>
      </c>
    </row>
    <row r="281">
      <c r="A281" s="25">
        <f>IF(Registro_Compras!$R281&lt;&gt;"SI","",Registro_Compras!$B281)</f>
        <v/>
      </c>
      <c r="B281">
        <f>IF(Registro_Compras!$R281&lt;&gt;"SI","",Registro_Compras!$C281)</f>
        <v/>
      </c>
      <c r="C281">
        <f>IF(Registro_Compras!$R281&lt;&gt;"SI","",Registro_Compras!$D281)</f>
        <v/>
      </c>
      <c r="D281">
        <f>IF(Registro_Compras!$R281&lt;&gt;"SI","",Registro_Compras!$E281)</f>
        <v/>
      </c>
      <c r="E281">
        <f>IF(Registro_Compras!$R281&lt;&gt;"SI","",Registro_Compras!$G281)</f>
        <v/>
      </c>
      <c r="F281" s="31">
        <f>IF(Registro_Compras!$R281&lt;&gt;"SI","",Registro_Compras!$P281)</f>
        <v/>
      </c>
      <c r="G281" s="20">
        <f>IF(Registro_Compras!$R281&lt;&gt;"SI","",Registro_Compras!$O281)</f>
        <v/>
      </c>
      <c r="H281" s="20">
        <f>IF(Registro_Compras!$R281&lt;&gt;"SI","",Registro_Compras!$S281)</f>
        <v/>
      </c>
      <c r="I281" s="25">
        <f>IF(Registro_Compras!$R281&lt;&gt;"SI","",IF(Registro_Compras!$Y281="",WORKDAY(EOMONTH(Registro_Compras!$B281,0),5,Feriados),MIN(Registro_Compras!$Y281,WORKDAY(EOMONTH(Registro_Compras!$B281,0),5,Feriados))))</f>
        <v/>
      </c>
      <c r="J281" s="25">
        <f>IF(Registro_Compras!$R281&lt;&gt;"SI","",Registro_Compras!$X281)</f>
        <v/>
      </c>
      <c r="K281">
        <f>IF(Registro_Compras!$R281&lt;&gt;"SI","",IF(Registro_Compras!$X281="","PENDIENTE","DEPOSITADA"))</f>
        <v/>
      </c>
      <c r="L281">
        <f>IF(Registro_Compras!$R281&lt;&gt;"SI","",Registro_Compras!$Z281)</f>
        <v/>
      </c>
      <c r="M281">
        <f>IF($K281&lt;&gt;"PENDIENTE","",IF(TODAY()&gt;$I281,TODAY()-$I281,0))</f>
        <v/>
      </c>
      <c r="N281">
        <f>IF($K281&lt;&gt;"PENDIENTE","",IF($M281&gt;0,"VENCIDA - DEPOSITAR YA",IF($I281-TODAY()&lt;=3,"POR VENCER","EN PLAZO")))</f>
        <v/>
      </c>
    </row>
    <row r="282">
      <c r="A282" s="25">
        <f>IF(Registro_Compras!$R282&lt;&gt;"SI","",Registro_Compras!$B282)</f>
        <v/>
      </c>
      <c r="B282">
        <f>IF(Registro_Compras!$R282&lt;&gt;"SI","",Registro_Compras!$C282)</f>
        <v/>
      </c>
      <c r="C282">
        <f>IF(Registro_Compras!$R282&lt;&gt;"SI","",Registro_Compras!$D282)</f>
        <v/>
      </c>
      <c r="D282">
        <f>IF(Registro_Compras!$R282&lt;&gt;"SI","",Registro_Compras!$E282)</f>
        <v/>
      </c>
      <c r="E282">
        <f>IF(Registro_Compras!$R282&lt;&gt;"SI","",Registro_Compras!$G282)</f>
        <v/>
      </c>
      <c r="F282" s="31">
        <f>IF(Registro_Compras!$R282&lt;&gt;"SI","",Registro_Compras!$P282)</f>
        <v/>
      </c>
      <c r="G282" s="20">
        <f>IF(Registro_Compras!$R282&lt;&gt;"SI","",Registro_Compras!$O282)</f>
        <v/>
      </c>
      <c r="H282" s="20">
        <f>IF(Registro_Compras!$R282&lt;&gt;"SI","",Registro_Compras!$S282)</f>
        <v/>
      </c>
      <c r="I282" s="25">
        <f>IF(Registro_Compras!$R282&lt;&gt;"SI","",IF(Registro_Compras!$Y282="",WORKDAY(EOMONTH(Registro_Compras!$B282,0),5,Feriados),MIN(Registro_Compras!$Y282,WORKDAY(EOMONTH(Registro_Compras!$B282,0),5,Feriados))))</f>
        <v/>
      </c>
      <c r="J282" s="25">
        <f>IF(Registro_Compras!$R282&lt;&gt;"SI","",Registro_Compras!$X282)</f>
        <v/>
      </c>
      <c r="K282">
        <f>IF(Registro_Compras!$R282&lt;&gt;"SI","",IF(Registro_Compras!$X282="","PENDIENTE","DEPOSITADA"))</f>
        <v/>
      </c>
      <c r="L282">
        <f>IF(Registro_Compras!$R282&lt;&gt;"SI","",Registro_Compras!$Z282)</f>
        <v/>
      </c>
      <c r="M282">
        <f>IF($K282&lt;&gt;"PENDIENTE","",IF(TODAY()&gt;$I282,TODAY()-$I282,0))</f>
        <v/>
      </c>
      <c r="N282">
        <f>IF($K282&lt;&gt;"PENDIENTE","",IF($M282&gt;0,"VENCIDA - DEPOSITAR YA",IF($I282-TODAY()&lt;=3,"POR VENCER","EN PLAZO")))</f>
        <v/>
      </c>
    </row>
    <row r="283">
      <c r="A283" s="25">
        <f>IF(Registro_Compras!$R283&lt;&gt;"SI","",Registro_Compras!$B283)</f>
        <v/>
      </c>
      <c r="B283">
        <f>IF(Registro_Compras!$R283&lt;&gt;"SI","",Registro_Compras!$C283)</f>
        <v/>
      </c>
      <c r="C283">
        <f>IF(Registro_Compras!$R283&lt;&gt;"SI","",Registro_Compras!$D283)</f>
        <v/>
      </c>
      <c r="D283">
        <f>IF(Registro_Compras!$R283&lt;&gt;"SI","",Registro_Compras!$E283)</f>
        <v/>
      </c>
      <c r="E283">
        <f>IF(Registro_Compras!$R283&lt;&gt;"SI","",Registro_Compras!$G283)</f>
        <v/>
      </c>
      <c r="F283" s="31">
        <f>IF(Registro_Compras!$R283&lt;&gt;"SI","",Registro_Compras!$P283)</f>
        <v/>
      </c>
      <c r="G283" s="20">
        <f>IF(Registro_Compras!$R283&lt;&gt;"SI","",Registro_Compras!$O283)</f>
        <v/>
      </c>
      <c r="H283" s="20">
        <f>IF(Registro_Compras!$R283&lt;&gt;"SI","",Registro_Compras!$S283)</f>
        <v/>
      </c>
      <c r="I283" s="25">
        <f>IF(Registro_Compras!$R283&lt;&gt;"SI","",IF(Registro_Compras!$Y283="",WORKDAY(EOMONTH(Registro_Compras!$B283,0),5,Feriados),MIN(Registro_Compras!$Y283,WORKDAY(EOMONTH(Registro_Compras!$B283,0),5,Feriados))))</f>
        <v/>
      </c>
      <c r="J283" s="25">
        <f>IF(Registro_Compras!$R283&lt;&gt;"SI","",Registro_Compras!$X283)</f>
        <v/>
      </c>
      <c r="K283">
        <f>IF(Registro_Compras!$R283&lt;&gt;"SI","",IF(Registro_Compras!$X283="","PENDIENTE","DEPOSITADA"))</f>
        <v/>
      </c>
      <c r="L283">
        <f>IF(Registro_Compras!$R283&lt;&gt;"SI","",Registro_Compras!$Z283)</f>
        <v/>
      </c>
      <c r="M283">
        <f>IF($K283&lt;&gt;"PENDIENTE","",IF(TODAY()&gt;$I283,TODAY()-$I283,0))</f>
        <v/>
      </c>
      <c r="N283">
        <f>IF($K283&lt;&gt;"PENDIENTE","",IF($M283&gt;0,"VENCIDA - DEPOSITAR YA",IF($I283-TODAY()&lt;=3,"POR VENCER","EN PLAZO")))</f>
        <v/>
      </c>
    </row>
    <row r="284">
      <c r="A284" s="25">
        <f>IF(Registro_Compras!$R284&lt;&gt;"SI","",Registro_Compras!$B284)</f>
        <v/>
      </c>
      <c r="B284">
        <f>IF(Registro_Compras!$R284&lt;&gt;"SI","",Registro_Compras!$C284)</f>
        <v/>
      </c>
      <c r="C284">
        <f>IF(Registro_Compras!$R284&lt;&gt;"SI","",Registro_Compras!$D284)</f>
        <v/>
      </c>
      <c r="D284">
        <f>IF(Registro_Compras!$R284&lt;&gt;"SI","",Registro_Compras!$E284)</f>
        <v/>
      </c>
      <c r="E284">
        <f>IF(Registro_Compras!$R284&lt;&gt;"SI","",Registro_Compras!$G284)</f>
        <v/>
      </c>
      <c r="F284" s="31">
        <f>IF(Registro_Compras!$R284&lt;&gt;"SI","",Registro_Compras!$P284)</f>
        <v/>
      </c>
      <c r="G284" s="20">
        <f>IF(Registro_Compras!$R284&lt;&gt;"SI","",Registro_Compras!$O284)</f>
        <v/>
      </c>
      <c r="H284" s="20">
        <f>IF(Registro_Compras!$R284&lt;&gt;"SI","",Registro_Compras!$S284)</f>
        <v/>
      </c>
      <c r="I284" s="25">
        <f>IF(Registro_Compras!$R284&lt;&gt;"SI","",IF(Registro_Compras!$Y284="",WORKDAY(EOMONTH(Registro_Compras!$B284,0),5,Feriados),MIN(Registro_Compras!$Y284,WORKDAY(EOMONTH(Registro_Compras!$B284,0),5,Feriados))))</f>
        <v/>
      </c>
      <c r="J284" s="25">
        <f>IF(Registro_Compras!$R284&lt;&gt;"SI","",Registro_Compras!$X284)</f>
        <v/>
      </c>
      <c r="K284">
        <f>IF(Registro_Compras!$R284&lt;&gt;"SI","",IF(Registro_Compras!$X284="","PENDIENTE","DEPOSITADA"))</f>
        <v/>
      </c>
      <c r="L284">
        <f>IF(Registro_Compras!$R284&lt;&gt;"SI","",Registro_Compras!$Z284)</f>
        <v/>
      </c>
      <c r="M284">
        <f>IF($K284&lt;&gt;"PENDIENTE","",IF(TODAY()&gt;$I284,TODAY()-$I284,0))</f>
        <v/>
      </c>
      <c r="N284">
        <f>IF($K284&lt;&gt;"PENDIENTE","",IF($M284&gt;0,"VENCIDA - DEPOSITAR YA",IF($I284-TODAY()&lt;=3,"POR VENCER","EN PLAZO")))</f>
        <v/>
      </c>
    </row>
    <row r="285">
      <c r="A285" s="25">
        <f>IF(Registro_Compras!$R285&lt;&gt;"SI","",Registro_Compras!$B285)</f>
        <v/>
      </c>
      <c r="B285">
        <f>IF(Registro_Compras!$R285&lt;&gt;"SI","",Registro_Compras!$C285)</f>
        <v/>
      </c>
      <c r="C285">
        <f>IF(Registro_Compras!$R285&lt;&gt;"SI","",Registro_Compras!$D285)</f>
        <v/>
      </c>
      <c r="D285">
        <f>IF(Registro_Compras!$R285&lt;&gt;"SI","",Registro_Compras!$E285)</f>
        <v/>
      </c>
      <c r="E285">
        <f>IF(Registro_Compras!$R285&lt;&gt;"SI","",Registro_Compras!$G285)</f>
        <v/>
      </c>
      <c r="F285" s="31">
        <f>IF(Registro_Compras!$R285&lt;&gt;"SI","",Registro_Compras!$P285)</f>
        <v/>
      </c>
      <c r="G285" s="20">
        <f>IF(Registro_Compras!$R285&lt;&gt;"SI","",Registro_Compras!$O285)</f>
        <v/>
      </c>
      <c r="H285" s="20">
        <f>IF(Registro_Compras!$R285&lt;&gt;"SI","",Registro_Compras!$S285)</f>
        <v/>
      </c>
      <c r="I285" s="25">
        <f>IF(Registro_Compras!$R285&lt;&gt;"SI","",IF(Registro_Compras!$Y285="",WORKDAY(EOMONTH(Registro_Compras!$B285,0),5,Feriados),MIN(Registro_Compras!$Y285,WORKDAY(EOMONTH(Registro_Compras!$B285,0),5,Feriados))))</f>
        <v/>
      </c>
      <c r="J285" s="25">
        <f>IF(Registro_Compras!$R285&lt;&gt;"SI","",Registro_Compras!$X285)</f>
        <v/>
      </c>
      <c r="K285">
        <f>IF(Registro_Compras!$R285&lt;&gt;"SI","",IF(Registro_Compras!$X285="","PENDIENTE","DEPOSITADA"))</f>
        <v/>
      </c>
      <c r="L285">
        <f>IF(Registro_Compras!$R285&lt;&gt;"SI","",Registro_Compras!$Z285)</f>
        <v/>
      </c>
      <c r="M285">
        <f>IF($K285&lt;&gt;"PENDIENTE","",IF(TODAY()&gt;$I285,TODAY()-$I285,0))</f>
        <v/>
      </c>
      <c r="N285">
        <f>IF($K285&lt;&gt;"PENDIENTE","",IF($M285&gt;0,"VENCIDA - DEPOSITAR YA",IF($I285-TODAY()&lt;=3,"POR VENCER","EN PLAZO")))</f>
        <v/>
      </c>
    </row>
    <row r="286">
      <c r="A286" s="25">
        <f>IF(Registro_Compras!$R286&lt;&gt;"SI","",Registro_Compras!$B286)</f>
        <v/>
      </c>
      <c r="B286">
        <f>IF(Registro_Compras!$R286&lt;&gt;"SI","",Registro_Compras!$C286)</f>
        <v/>
      </c>
      <c r="C286">
        <f>IF(Registro_Compras!$R286&lt;&gt;"SI","",Registro_Compras!$D286)</f>
        <v/>
      </c>
      <c r="D286">
        <f>IF(Registro_Compras!$R286&lt;&gt;"SI","",Registro_Compras!$E286)</f>
        <v/>
      </c>
      <c r="E286">
        <f>IF(Registro_Compras!$R286&lt;&gt;"SI","",Registro_Compras!$G286)</f>
        <v/>
      </c>
      <c r="F286" s="31">
        <f>IF(Registro_Compras!$R286&lt;&gt;"SI","",Registro_Compras!$P286)</f>
        <v/>
      </c>
      <c r="G286" s="20">
        <f>IF(Registro_Compras!$R286&lt;&gt;"SI","",Registro_Compras!$O286)</f>
        <v/>
      </c>
      <c r="H286" s="20">
        <f>IF(Registro_Compras!$R286&lt;&gt;"SI","",Registro_Compras!$S286)</f>
        <v/>
      </c>
      <c r="I286" s="25">
        <f>IF(Registro_Compras!$R286&lt;&gt;"SI","",IF(Registro_Compras!$Y286="",WORKDAY(EOMONTH(Registro_Compras!$B286,0),5,Feriados),MIN(Registro_Compras!$Y286,WORKDAY(EOMONTH(Registro_Compras!$B286,0),5,Feriados))))</f>
        <v/>
      </c>
      <c r="J286" s="25">
        <f>IF(Registro_Compras!$R286&lt;&gt;"SI","",Registro_Compras!$X286)</f>
        <v/>
      </c>
      <c r="K286">
        <f>IF(Registro_Compras!$R286&lt;&gt;"SI","",IF(Registro_Compras!$X286="","PENDIENTE","DEPOSITADA"))</f>
        <v/>
      </c>
      <c r="L286">
        <f>IF(Registro_Compras!$R286&lt;&gt;"SI","",Registro_Compras!$Z286)</f>
        <v/>
      </c>
      <c r="M286">
        <f>IF($K286&lt;&gt;"PENDIENTE","",IF(TODAY()&gt;$I286,TODAY()-$I286,0))</f>
        <v/>
      </c>
      <c r="N286">
        <f>IF($K286&lt;&gt;"PENDIENTE","",IF($M286&gt;0,"VENCIDA - DEPOSITAR YA",IF($I286-TODAY()&lt;=3,"POR VENCER","EN PLAZO")))</f>
        <v/>
      </c>
    </row>
    <row r="287">
      <c r="A287" s="25">
        <f>IF(Registro_Compras!$R287&lt;&gt;"SI","",Registro_Compras!$B287)</f>
        <v/>
      </c>
      <c r="B287">
        <f>IF(Registro_Compras!$R287&lt;&gt;"SI","",Registro_Compras!$C287)</f>
        <v/>
      </c>
      <c r="C287">
        <f>IF(Registro_Compras!$R287&lt;&gt;"SI","",Registro_Compras!$D287)</f>
        <v/>
      </c>
      <c r="D287">
        <f>IF(Registro_Compras!$R287&lt;&gt;"SI","",Registro_Compras!$E287)</f>
        <v/>
      </c>
      <c r="E287">
        <f>IF(Registro_Compras!$R287&lt;&gt;"SI","",Registro_Compras!$G287)</f>
        <v/>
      </c>
      <c r="F287" s="31">
        <f>IF(Registro_Compras!$R287&lt;&gt;"SI","",Registro_Compras!$P287)</f>
        <v/>
      </c>
      <c r="G287" s="20">
        <f>IF(Registro_Compras!$R287&lt;&gt;"SI","",Registro_Compras!$O287)</f>
        <v/>
      </c>
      <c r="H287" s="20">
        <f>IF(Registro_Compras!$R287&lt;&gt;"SI","",Registro_Compras!$S287)</f>
        <v/>
      </c>
      <c r="I287" s="25">
        <f>IF(Registro_Compras!$R287&lt;&gt;"SI","",IF(Registro_Compras!$Y287="",WORKDAY(EOMONTH(Registro_Compras!$B287,0),5,Feriados),MIN(Registro_Compras!$Y287,WORKDAY(EOMONTH(Registro_Compras!$B287,0),5,Feriados))))</f>
        <v/>
      </c>
      <c r="J287" s="25">
        <f>IF(Registro_Compras!$R287&lt;&gt;"SI","",Registro_Compras!$X287)</f>
        <v/>
      </c>
      <c r="K287">
        <f>IF(Registro_Compras!$R287&lt;&gt;"SI","",IF(Registro_Compras!$X287="","PENDIENTE","DEPOSITADA"))</f>
        <v/>
      </c>
      <c r="L287">
        <f>IF(Registro_Compras!$R287&lt;&gt;"SI","",Registro_Compras!$Z287)</f>
        <v/>
      </c>
      <c r="M287">
        <f>IF($K287&lt;&gt;"PENDIENTE","",IF(TODAY()&gt;$I287,TODAY()-$I287,0))</f>
        <v/>
      </c>
      <c r="N287">
        <f>IF($K287&lt;&gt;"PENDIENTE","",IF($M287&gt;0,"VENCIDA - DEPOSITAR YA",IF($I287-TODAY()&lt;=3,"POR VENCER","EN PLAZO")))</f>
        <v/>
      </c>
    </row>
    <row r="288">
      <c r="A288" s="25">
        <f>IF(Registro_Compras!$R288&lt;&gt;"SI","",Registro_Compras!$B288)</f>
        <v/>
      </c>
      <c r="B288">
        <f>IF(Registro_Compras!$R288&lt;&gt;"SI","",Registro_Compras!$C288)</f>
        <v/>
      </c>
      <c r="C288">
        <f>IF(Registro_Compras!$R288&lt;&gt;"SI","",Registro_Compras!$D288)</f>
        <v/>
      </c>
      <c r="D288">
        <f>IF(Registro_Compras!$R288&lt;&gt;"SI","",Registro_Compras!$E288)</f>
        <v/>
      </c>
      <c r="E288">
        <f>IF(Registro_Compras!$R288&lt;&gt;"SI","",Registro_Compras!$G288)</f>
        <v/>
      </c>
      <c r="F288" s="31">
        <f>IF(Registro_Compras!$R288&lt;&gt;"SI","",Registro_Compras!$P288)</f>
        <v/>
      </c>
      <c r="G288" s="20">
        <f>IF(Registro_Compras!$R288&lt;&gt;"SI","",Registro_Compras!$O288)</f>
        <v/>
      </c>
      <c r="H288" s="20">
        <f>IF(Registro_Compras!$R288&lt;&gt;"SI","",Registro_Compras!$S288)</f>
        <v/>
      </c>
      <c r="I288" s="25">
        <f>IF(Registro_Compras!$R288&lt;&gt;"SI","",IF(Registro_Compras!$Y288="",WORKDAY(EOMONTH(Registro_Compras!$B288,0),5,Feriados),MIN(Registro_Compras!$Y288,WORKDAY(EOMONTH(Registro_Compras!$B288,0),5,Feriados))))</f>
        <v/>
      </c>
      <c r="J288" s="25">
        <f>IF(Registro_Compras!$R288&lt;&gt;"SI","",Registro_Compras!$X288)</f>
        <v/>
      </c>
      <c r="K288">
        <f>IF(Registro_Compras!$R288&lt;&gt;"SI","",IF(Registro_Compras!$X288="","PENDIENTE","DEPOSITADA"))</f>
        <v/>
      </c>
      <c r="L288">
        <f>IF(Registro_Compras!$R288&lt;&gt;"SI","",Registro_Compras!$Z288)</f>
        <v/>
      </c>
      <c r="M288">
        <f>IF($K288&lt;&gt;"PENDIENTE","",IF(TODAY()&gt;$I288,TODAY()-$I288,0))</f>
        <v/>
      </c>
      <c r="N288">
        <f>IF($K288&lt;&gt;"PENDIENTE","",IF($M288&gt;0,"VENCIDA - DEPOSITAR YA",IF($I288-TODAY()&lt;=3,"POR VENCER","EN PLAZO")))</f>
        <v/>
      </c>
    </row>
    <row r="289">
      <c r="A289" s="25">
        <f>IF(Registro_Compras!$R289&lt;&gt;"SI","",Registro_Compras!$B289)</f>
        <v/>
      </c>
      <c r="B289">
        <f>IF(Registro_Compras!$R289&lt;&gt;"SI","",Registro_Compras!$C289)</f>
        <v/>
      </c>
      <c r="C289">
        <f>IF(Registro_Compras!$R289&lt;&gt;"SI","",Registro_Compras!$D289)</f>
        <v/>
      </c>
      <c r="D289">
        <f>IF(Registro_Compras!$R289&lt;&gt;"SI","",Registro_Compras!$E289)</f>
        <v/>
      </c>
      <c r="E289">
        <f>IF(Registro_Compras!$R289&lt;&gt;"SI","",Registro_Compras!$G289)</f>
        <v/>
      </c>
      <c r="F289" s="31">
        <f>IF(Registro_Compras!$R289&lt;&gt;"SI","",Registro_Compras!$P289)</f>
        <v/>
      </c>
      <c r="G289" s="20">
        <f>IF(Registro_Compras!$R289&lt;&gt;"SI","",Registro_Compras!$O289)</f>
        <v/>
      </c>
      <c r="H289" s="20">
        <f>IF(Registro_Compras!$R289&lt;&gt;"SI","",Registro_Compras!$S289)</f>
        <v/>
      </c>
      <c r="I289" s="25">
        <f>IF(Registro_Compras!$R289&lt;&gt;"SI","",IF(Registro_Compras!$Y289="",WORKDAY(EOMONTH(Registro_Compras!$B289,0),5,Feriados),MIN(Registro_Compras!$Y289,WORKDAY(EOMONTH(Registro_Compras!$B289,0),5,Feriados))))</f>
        <v/>
      </c>
      <c r="J289" s="25">
        <f>IF(Registro_Compras!$R289&lt;&gt;"SI","",Registro_Compras!$X289)</f>
        <v/>
      </c>
      <c r="K289">
        <f>IF(Registro_Compras!$R289&lt;&gt;"SI","",IF(Registro_Compras!$X289="","PENDIENTE","DEPOSITADA"))</f>
        <v/>
      </c>
      <c r="L289">
        <f>IF(Registro_Compras!$R289&lt;&gt;"SI","",Registro_Compras!$Z289)</f>
        <v/>
      </c>
      <c r="M289">
        <f>IF($K289&lt;&gt;"PENDIENTE","",IF(TODAY()&gt;$I289,TODAY()-$I289,0))</f>
        <v/>
      </c>
      <c r="N289">
        <f>IF($K289&lt;&gt;"PENDIENTE","",IF($M289&gt;0,"VENCIDA - DEPOSITAR YA",IF($I289-TODAY()&lt;=3,"POR VENCER","EN PLAZO")))</f>
        <v/>
      </c>
    </row>
    <row r="290">
      <c r="A290" s="25">
        <f>IF(Registro_Compras!$R290&lt;&gt;"SI","",Registro_Compras!$B290)</f>
        <v/>
      </c>
      <c r="B290">
        <f>IF(Registro_Compras!$R290&lt;&gt;"SI","",Registro_Compras!$C290)</f>
        <v/>
      </c>
      <c r="C290">
        <f>IF(Registro_Compras!$R290&lt;&gt;"SI","",Registro_Compras!$D290)</f>
        <v/>
      </c>
      <c r="D290">
        <f>IF(Registro_Compras!$R290&lt;&gt;"SI","",Registro_Compras!$E290)</f>
        <v/>
      </c>
      <c r="E290">
        <f>IF(Registro_Compras!$R290&lt;&gt;"SI","",Registro_Compras!$G290)</f>
        <v/>
      </c>
      <c r="F290" s="31">
        <f>IF(Registro_Compras!$R290&lt;&gt;"SI","",Registro_Compras!$P290)</f>
        <v/>
      </c>
      <c r="G290" s="20">
        <f>IF(Registro_Compras!$R290&lt;&gt;"SI","",Registro_Compras!$O290)</f>
        <v/>
      </c>
      <c r="H290" s="20">
        <f>IF(Registro_Compras!$R290&lt;&gt;"SI","",Registro_Compras!$S290)</f>
        <v/>
      </c>
      <c r="I290" s="25">
        <f>IF(Registro_Compras!$R290&lt;&gt;"SI","",IF(Registro_Compras!$Y290="",WORKDAY(EOMONTH(Registro_Compras!$B290,0),5,Feriados),MIN(Registro_Compras!$Y290,WORKDAY(EOMONTH(Registro_Compras!$B290,0),5,Feriados))))</f>
        <v/>
      </c>
      <c r="J290" s="25">
        <f>IF(Registro_Compras!$R290&lt;&gt;"SI","",Registro_Compras!$X290)</f>
        <v/>
      </c>
      <c r="K290">
        <f>IF(Registro_Compras!$R290&lt;&gt;"SI","",IF(Registro_Compras!$X290="","PENDIENTE","DEPOSITADA"))</f>
        <v/>
      </c>
      <c r="L290">
        <f>IF(Registro_Compras!$R290&lt;&gt;"SI","",Registro_Compras!$Z290)</f>
        <v/>
      </c>
      <c r="M290">
        <f>IF($K290&lt;&gt;"PENDIENTE","",IF(TODAY()&gt;$I290,TODAY()-$I290,0))</f>
        <v/>
      </c>
      <c r="N290">
        <f>IF($K290&lt;&gt;"PENDIENTE","",IF($M290&gt;0,"VENCIDA - DEPOSITAR YA",IF($I290-TODAY()&lt;=3,"POR VENCER","EN PLAZO")))</f>
        <v/>
      </c>
    </row>
    <row r="291">
      <c r="A291" s="25">
        <f>IF(Registro_Compras!$R291&lt;&gt;"SI","",Registro_Compras!$B291)</f>
        <v/>
      </c>
      <c r="B291">
        <f>IF(Registro_Compras!$R291&lt;&gt;"SI","",Registro_Compras!$C291)</f>
        <v/>
      </c>
      <c r="C291">
        <f>IF(Registro_Compras!$R291&lt;&gt;"SI","",Registro_Compras!$D291)</f>
        <v/>
      </c>
      <c r="D291">
        <f>IF(Registro_Compras!$R291&lt;&gt;"SI","",Registro_Compras!$E291)</f>
        <v/>
      </c>
      <c r="E291">
        <f>IF(Registro_Compras!$R291&lt;&gt;"SI","",Registro_Compras!$G291)</f>
        <v/>
      </c>
      <c r="F291" s="31">
        <f>IF(Registro_Compras!$R291&lt;&gt;"SI","",Registro_Compras!$P291)</f>
        <v/>
      </c>
      <c r="G291" s="20">
        <f>IF(Registro_Compras!$R291&lt;&gt;"SI","",Registro_Compras!$O291)</f>
        <v/>
      </c>
      <c r="H291" s="20">
        <f>IF(Registro_Compras!$R291&lt;&gt;"SI","",Registro_Compras!$S291)</f>
        <v/>
      </c>
      <c r="I291" s="25">
        <f>IF(Registro_Compras!$R291&lt;&gt;"SI","",IF(Registro_Compras!$Y291="",WORKDAY(EOMONTH(Registro_Compras!$B291,0),5,Feriados),MIN(Registro_Compras!$Y291,WORKDAY(EOMONTH(Registro_Compras!$B291,0),5,Feriados))))</f>
        <v/>
      </c>
      <c r="J291" s="25">
        <f>IF(Registro_Compras!$R291&lt;&gt;"SI","",Registro_Compras!$X291)</f>
        <v/>
      </c>
      <c r="K291">
        <f>IF(Registro_Compras!$R291&lt;&gt;"SI","",IF(Registro_Compras!$X291="","PENDIENTE","DEPOSITADA"))</f>
        <v/>
      </c>
      <c r="L291">
        <f>IF(Registro_Compras!$R291&lt;&gt;"SI","",Registro_Compras!$Z291)</f>
        <v/>
      </c>
      <c r="M291">
        <f>IF($K291&lt;&gt;"PENDIENTE","",IF(TODAY()&gt;$I291,TODAY()-$I291,0))</f>
        <v/>
      </c>
      <c r="N291">
        <f>IF($K291&lt;&gt;"PENDIENTE","",IF($M291&gt;0,"VENCIDA - DEPOSITAR YA",IF($I291-TODAY()&lt;=3,"POR VENCER","EN PLAZO")))</f>
        <v/>
      </c>
    </row>
    <row r="292">
      <c r="A292" s="25">
        <f>IF(Registro_Compras!$R292&lt;&gt;"SI","",Registro_Compras!$B292)</f>
        <v/>
      </c>
      <c r="B292">
        <f>IF(Registro_Compras!$R292&lt;&gt;"SI","",Registro_Compras!$C292)</f>
        <v/>
      </c>
      <c r="C292">
        <f>IF(Registro_Compras!$R292&lt;&gt;"SI","",Registro_Compras!$D292)</f>
        <v/>
      </c>
      <c r="D292">
        <f>IF(Registro_Compras!$R292&lt;&gt;"SI","",Registro_Compras!$E292)</f>
        <v/>
      </c>
      <c r="E292">
        <f>IF(Registro_Compras!$R292&lt;&gt;"SI","",Registro_Compras!$G292)</f>
        <v/>
      </c>
      <c r="F292" s="31">
        <f>IF(Registro_Compras!$R292&lt;&gt;"SI","",Registro_Compras!$P292)</f>
        <v/>
      </c>
      <c r="G292" s="20">
        <f>IF(Registro_Compras!$R292&lt;&gt;"SI","",Registro_Compras!$O292)</f>
        <v/>
      </c>
      <c r="H292" s="20">
        <f>IF(Registro_Compras!$R292&lt;&gt;"SI","",Registro_Compras!$S292)</f>
        <v/>
      </c>
      <c r="I292" s="25">
        <f>IF(Registro_Compras!$R292&lt;&gt;"SI","",IF(Registro_Compras!$Y292="",WORKDAY(EOMONTH(Registro_Compras!$B292,0),5,Feriados),MIN(Registro_Compras!$Y292,WORKDAY(EOMONTH(Registro_Compras!$B292,0),5,Feriados))))</f>
        <v/>
      </c>
      <c r="J292" s="25">
        <f>IF(Registro_Compras!$R292&lt;&gt;"SI","",Registro_Compras!$X292)</f>
        <v/>
      </c>
      <c r="K292">
        <f>IF(Registro_Compras!$R292&lt;&gt;"SI","",IF(Registro_Compras!$X292="","PENDIENTE","DEPOSITADA"))</f>
        <v/>
      </c>
      <c r="L292">
        <f>IF(Registro_Compras!$R292&lt;&gt;"SI","",Registro_Compras!$Z292)</f>
        <v/>
      </c>
      <c r="M292">
        <f>IF($K292&lt;&gt;"PENDIENTE","",IF(TODAY()&gt;$I292,TODAY()-$I292,0))</f>
        <v/>
      </c>
      <c r="N292">
        <f>IF($K292&lt;&gt;"PENDIENTE","",IF($M292&gt;0,"VENCIDA - DEPOSITAR YA",IF($I292-TODAY()&lt;=3,"POR VENCER","EN PLAZO")))</f>
        <v/>
      </c>
    </row>
    <row r="293">
      <c r="A293" s="25">
        <f>IF(Registro_Compras!$R293&lt;&gt;"SI","",Registro_Compras!$B293)</f>
        <v/>
      </c>
      <c r="B293">
        <f>IF(Registro_Compras!$R293&lt;&gt;"SI","",Registro_Compras!$C293)</f>
        <v/>
      </c>
      <c r="C293">
        <f>IF(Registro_Compras!$R293&lt;&gt;"SI","",Registro_Compras!$D293)</f>
        <v/>
      </c>
      <c r="D293">
        <f>IF(Registro_Compras!$R293&lt;&gt;"SI","",Registro_Compras!$E293)</f>
        <v/>
      </c>
      <c r="E293">
        <f>IF(Registro_Compras!$R293&lt;&gt;"SI","",Registro_Compras!$G293)</f>
        <v/>
      </c>
      <c r="F293" s="31">
        <f>IF(Registro_Compras!$R293&lt;&gt;"SI","",Registro_Compras!$P293)</f>
        <v/>
      </c>
      <c r="G293" s="20">
        <f>IF(Registro_Compras!$R293&lt;&gt;"SI","",Registro_Compras!$O293)</f>
        <v/>
      </c>
      <c r="H293" s="20">
        <f>IF(Registro_Compras!$R293&lt;&gt;"SI","",Registro_Compras!$S293)</f>
        <v/>
      </c>
      <c r="I293" s="25">
        <f>IF(Registro_Compras!$R293&lt;&gt;"SI","",IF(Registro_Compras!$Y293="",WORKDAY(EOMONTH(Registro_Compras!$B293,0),5,Feriados),MIN(Registro_Compras!$Y293,WORKDAY(EOMONTH(Registro_Compras!$B293,0),5,Feriados))))</f>
        <v/>
      </c>
      <c r="J293" s="25">
        <f>IF(Registro_Compras!$R293&lt;&gt;"SI","",Registro_Compras!$X293)</f>
        <v/>
      </c>
      <c r="K293">
        <f>IF(Registro_Compras!$R293&lt;&gt;"SI","",IF(Registro_Compras!$X293="","PENDIENTE","DEPOSITADA"))</f>
        <v/>
      </c>
      <c r="L293">
        <f>IF(Registro_Compras!$R293&lt;&gt;"SI","",Registro_Compras!$Z293)</f>
        <v/>
      </c>
      <c r="M293">
        <f>IF($K293&lt;&gt;"PENDIENTE","",IF(TODAY()&gt;$I293,TODAY()-$I293,0))</f>
        <v/>
      </c>
      <c r="N293">
        <f>IF($K293&lt;&gt;"PENDIENTE","",IF($M293&gt;0,"VENCIDA - DEPOSITAR YA",IF($I293-TODAY()&lt;=3,"POR VENCER","EN PLAZO")))</f>
        <v/>
      </c>
    </row>
    <row r="294">
      <c r="A294" s="25">
        <f>IF(Registro_Compras!$R294&lt;&gt;"SI","",Registro_Compras!$B294)</f>
        <v/>
      </c>
      <c r="B294">
        <f>IF(Registro_Compras!$R294&lt;&gt;"SI","",Registro_Compras!$C294)</f>
        <v/>
      </c>
      <c r="C294">
        <f>IF(Registro_Compras!$R294&lt;&gt;"SI","",Registro_Compras!$D294)</f>
        <v/>
      </c>
      <c r="D294">
        <f>IF(Registro_Compras!$R294&lt;&gt;"SI","",Registro_Compras!$E294)</f>
        <v/>
      </c>
      <c r="E294">
        <f>IF(Registro_Compras!$R294&lt;&gt;"SI","",Registro_Compras!$G294)</f>
        <v/>
      </c>
      <c r="F294" s="31">
        <f>IF(Registro_Compras!$R294&lt;&gt;"SI","",Registro_Compras!$P294)</f>
        <v/>
      </c>
      <c r="G294" s="20">
        <f>IF(Registro_Compras!$R294&lt;&gt;"SI","",Registro_Compras!$O294)</f>
        <v/>
      </c>
      <c r="H294" s="20">
        <f>IF(Registro_Compras!$R294&lt;&gt;"SI","",Registro_Compras!$S294)</f>
        <v/>
      </c>
      <c r="I294" s="25">
        <f>IF(Registro_Compras!$R294&lt;&gt;"SI","",IF(Registro_Compras!$Y294="",WORKDAY(EOMONTH(Registro_Compras!$B294,0),5,Feriados),MIN(Registro_Compras!$Y294,WORKDAY(EOMONTH(Registro_Compras!$B294,0),5,Feriados))))</f>
        <v/>
      </c>
      <c r="J294" s="25">
        <f>IF(Registro_Compras!$R294&lt;&gt;"SI","",Registro_Compras!$X294)</f>
        <v/>
      </c>
      <c r="K294">
        <f>IF(Registro_Compras!$R294&lt;&gt;"SI","",IF(Registro_Compras!$X294="","PENDIENTE","DEPOSITADA"))</f>
        <v/>
      </c>
      <c r="L294">
        <f>IF(Registro_Compras!$R294&lt;&gt;"SI","",Registro_Compras!$Z294)</f>
        <v/>
      </c>
      <c r="M294">
        <f>IF($K294&lt;&gt;"PENDIENTE","",IF(TODAY()&gt;$I294,TODAY()-$I294,0))</f>
        <v/>
      </c>
      <c r="N294">
        <f>IF($K294&lt;&gt;"PENDIENTE","",IF($M294&gt;0,"VENCIDA - DEPOSITAR YA",IF($I294-TODAY()&lt;=3,"POR VENCER","EN PLAZO")))</f>
        <v/>
      </c>
    </row>
    <row r="295">
      <c r="A295" s="25">
        <f>IF(Registro_Compras!$R295&lt;&gt;"SI","",Registro_Compras!$B295)</f>
        <v/>
      </c>
      <c r="B295">
        <f>IF(Registro_Compras!$R295&lt;&gt;"SI","",Registro_Compras!$C295)</f>
        <v/>
      </c>
      <c r="C295">
        <f>IF(Registro_Compras!$R295&lt;&gt;"SI","",Registro_Compras!$D295)</f>
        <v/>
      </c>
      <c r="D295">
        <f>IF(Registro_Compras!$R295&lt;&gt;"SI","",Registro_Compras!$E295)</f>
        <v/>
      </c>
      <c r="E295">
        <f>IF(Registro_Compras!$R295&lt;&gt;"SI","",Registro_Compras!$G295)</f>
        <v/>
      </c>
      <c r="F295" s="31">
        <f>IF(Registro_Compras!$R295&lt;&gt;"SI","",Registro_Compras!$P295)</f>
        <v/>
      </c>
      <c r="G295" s="20">
        <f>IF(Registro_Compras!$R295&lt;&gt;"SI","",Registro_Compras!$O295)</f>
        <v/>
      </c>
      <c r="H295" s="20">
        <f>IF(Registro_Compras!$R295&lt;&gt;"SI","",Registro_Compras!$S295)</f>
        <v/>
      </c>
      <c r="I295" s="25">
        <f>IF(Registro_Compras!$R295&lt;&gt;"SI","",IF(Registro_Compras!$Y295="",WORKDAY(EOMONTH(Registro_Compras!$B295,0),5,Feriados),MIN(Registro_Compras!$Y295,WORKDAY(EOMONTH(Registro_Compras!$B295,0),5,Feriados))))</f>
        <v/>
      </c>
      <c r="J295" s="25">
        <f>IF(Registro_Compras!$R295&lt;&gt;"SI","",Registro_Compras!$X295)</f>
        <v/>
      </c>
      <c r="K295">
        <f>IF(Registro_Compras!$R295&lt;&gt;"SI","",IF(Registro_Compras!$X295="","PENDIENTE","DEPOSITADA"))</f>
        <v/>
      </c>
      <c r="L295">
        <f>IF(Registro_Compras!$R295&lt;&gt;"SI","",Registro_Compras!$Z295)</f>
        <v/>
      </c>
      <c r="M295">
        <f>IF($K295&lt;&gt;"PENDIENTE","",IF(TODAY()&gt;$I295,TODAY()-$I295,0))</f>
        <v/>
      </c>
      <c r="N295">
        <f>IF($K295&lt;&gt;"PENDIENTE","",IF($M295&gt;0,"VENCIDA - DEPOSITAR YA",IF($I295-TODAY()&lt;=3,"POR VENCER","EN PLAZO")))</f>
        <v/>
      </c>
    </row>
    <row r="296">
      <c r="A296" s="25">
        <f>IF(Registro_Compras!$R296&lt;&gt;"SI","",Registro_Compras!$B296)</f>
        <v/>
      </c>
      <c r="B296">
        <f>IF(Registro_Compras!$R296&lt;&gt;"SI","",Registro_Compras!$C296)</f>
        <v/>
      </c>
      <c r="C296">
        <f>IF(Registro_Compras!$R296&lt;&gt;"SI","",Registro_Compras!$D296)</f>
        <v/>
      </c>
      <c r="D296">
        <f>IF(Registro_Compras!$R296&lt;&gt;"SI","",Registro_Compras!$E296)</f>
        <v/>
      </c>
      <c r="E296">
        <f>IF(Registro_Compras!$R296&lt;&gt;"SI","",Registro_Compras!$G296)</f>
        <v/>
      </c>
      <c r="F296" s="31">
        <f>IF(Registro_Compras!$R296&lt;&gt;"SI","",Registro_Compras!$P296)</f>
        <v/>
      </c>
      <c r="G296" s="20">
        <f>IF(Registro_Compras!$R296&lt;&gt;"SI","",Registro_Compras!$O296)</f>
        <v/>
      </c>
      <c r="H296" s="20">
        <f>IF(Registro_Compras!$R296&lt;&gt;"SI","",Registro_Compras!$S296)</f>
        <v/>
      </c>
      <c r="I296" s="25">
        <f>IF(Registro_Compras!$R296&lt;&gt;"SI","",IF(Registro_Compras!$Y296="",WORKDAY(EOMONTH(Registro_Compras!$B296,0),5,Feriados),MIN(Registro_Compras!$Y296,WORKDAY(EOMONTH(Registro_Compras!$B296,0),5,Feriados))))</f>
        <v/>
      </c>
      <c r="J296" s="25">
        <f>IF(Registro_Compras!$R296&lt;&gt;"SI","",Registro_Compras!$X296)</f>
        <v/>
      </c>
      <c r="K296">
        <f>IF(Registro_Compras!$R296&lt;&gt;"SI","",IF(Registro_Compras!$X296="","PENDIENTE","DEPOSITADA"))</f>
        <v/>
      </c>
      <c r="L296">
        <f>IF(Registro_Compras!$R296&lt;&gt;"SI","",Registro_Compras!$Z296)</f>
        <v/>
      </c>
      <c r="M296">
        <f>IF($K296&lt;&gt;"PENDIENTE","",IF(TODAY()&gt;$I296,TODAY()-$I296,0))</f>
        <v/>
      </c>
      <c r="N296">
        <f>IF($K296&lt;&gt;"PENDIENTE","",IF($M296&gt;0,"VENCIDA - DEPOSITAR YA",IF($I296-TODAY()&lt;=3,"POR VENCER","EN PLAZO")))</f>
        <v/>
      </c>
    </row>
    <row r="297">
      <c r="A297" s="25">
        <f>IF(Registro_Compras!$R297&lt;&gt;"SI","",Registro_Compras!$B297)</f>
        <v/>
      </c>
      <c r="B297">
        <f>IF(Registro_Compras!$R297&lt;&gt;"SI","",Registro_Compras!$C297)</f>
        <v/>
      </c>
      <c r="C297">
        <f>IF(Registro_Compras!$R297&lt;&gt;"SI","",Registro_Compras!$D297)</f>
        <v/>
      </c>
      <c r="D297">
        <f>IF(Registro_Compras!$R297&lt;&gt;"SI","",Registro_Compras!$E297)</f>
        <v/>
      </c>
      <c r="E297">
        <f>IF(Registro_Compras!$R297&lt;&gt;"SI","",Registro_Compras!$G297)</f>
        <v/>
      </c>
      <c r="F297" s="31">
        <f>IF(Registro_Compras!$R297&lt;&gt;"SI","",Registro_Compras!$P297)</f>
        <v/>
      </c>
      <c r="G297" s="20">
        <f>IF(Registro_Compras!$R297&lt;&gt;"SI","",Registro_Compras!$O297)</f>
        <v/>
      </c>
      <c r="H297" s="20">
        <f>IF(Registro_Compras!$R297&lt;&gt;"SI","",Registro_Compras!$S297)</f>
        <v/>
      </c>
      <c r="I297" s="25">
        <f>IF(Registro_Compras!$R297&lt;&gt;"SI","",IF(Registro_Compras!$Y297="",WORKDAY(EOMONTH(Registro_Compras!$B297,0),5,Feriados),MIN(Registro_Compras!$Y297,WORKDAY(EOMONTH(Registro_Compras!$B297,0),5,Feriados))))</f>
        <v/>
      </c>
      <c r="J297" s="25">
        <f>IF(Registro_Compras!$R297&lt;&gt;"SI","",Registro_Compras!$X297)</f>
        <v/>
      </c>
      <c r="K297">
        <f>IF(Registro_Compras!$R297&lt;&gt;"SI","",IF(Registro_Compras!$X297="","PENDIENTE","DEPOSITADA"))</f>
        <v/>
      </c>
      <c r="L297">
        <f>IF(Registro_Compras!$R297&lt;&gt;"SI","",Registro_Compras!$Z297)</f>
        <v/>
      </c>
      <c r="M297">
        <f>IF($K297&lt;&gt;"PENDIENTE","",IF(TODAY()&gt;$I297,TODAY()-$I297,0))</f>
        <v/>
      </c>
      <c r="N297">
        <f>IF($K297&lt;&gt;"PENDIENTE","",IF($M297&gt;0,"VENCIDA - DEPOSITAR YA",IF($I297-TODAY()&lt;=3,"POR VENCER","EN PLAZO")))</f>
        <v/>
      </c>
    </row>
    <row r="298">
      <c r="A298" s="25">
        <f>IF(Registro_Compras!$R298&lt;&gt;"SI","",Registro_Compras!$B298)</f>
        <v/>
      </c>
      <c r="B298">
        <f>IF(Registro_Compras!$R298&lt;&gt;"SI","",Registro_Compras!$C298)</f>
        <v/>
      </c>
      <c r="C298">
        <f>IF(Registro_Compras!$R298&lt;&gt;"SI","",Registro_Compras!$D298)</f>
        <v/>
      </c>
      <c r="D298">
        <f>IF(Registro_Compras!$R298&lt;&gt;"SI","",Registro_Compras!$E298)</f>
        <v/>
      </c>
      <c r="E298">
        <f>IF(Registro_Compras!$R298&lt;&gt;"SI","",Registro_Compras!$G298)</f>
        <v/>
      </c>
      <c r="F298" s="31">
        <f>IF(Registro_Compras!$R298&lt;&gt;"SI","",Registro_Compras!$P298)</f>
        <v/>
      </c>
      <c r="G298" s="20">
        <f>IF(Registro_Compras!$R298&lt;&gt;"SI","",Registro_Compras!$O298)</f>
        <v/>
      </c>
      <c r="H298" s="20">
        <f>IF(Registro_Compras!$R298&lt;&gt;"SI","",Registro_Compras!$S298)</f>
        <v/>
      </c>
      <c r="I298" s="25">
        <f>IF(Registro_Compras!$R298&lt;&gt;"SI","",IF(Registro_Compras!$Y298="",WORKDAY(EOMONTH(Registro_Compras!$B298,0),5,Feriados),MIN(Registro_Compras!$Y298,WORKDAY(EOMONTH(Registro_Compras!$B298,0),5,Feriados))))</f>
        <v/>
      </c>
      <c r="J298" s="25">
        <f>IF(Registro_Compras!$R298&lt;&gt;"SI","",Registro_Compras!$X298)</f>
        <v/>
      </c>
      <c r="K298">
        <f>IF(Registro_Compras!$R298&lt;&gt;"SI","",IF(Registro_Compras!$X298="","PENDIENTE","DEPOSITADA"))</f>
        <v/>
      </c>
      <c r="L298">
        <f>IF(Registro_Compras!$R298&lt;&gt;"SI","",Registro_Compras!$Z298)</f>
        <v/>
      </c>
      <c r="M298">
        <f>IF($K298&lt;&gt;"PENDIENTE","",IF(TODAY()&gt;$I298,TODAY()-$I298,0))</f>
        <v/>
      </c>
      <c r="N298">
        <f>IF($K298&lt;&gt;"PENDIENTE","",IF($M298&gt;0,"VENCIDA - DEPOSITAR YA",IF($I298-TODAY()&lt;=3,"POR VENCER","EN PLAZO")))</f>
        <v/>
      </c>
    </row>
    <row r="299">
      <c r="A299" s="25">
        <f>IF(Registro_Compras!$R299&lt;&gt;"SI","",Registro_Compras!$B299)</f>
        <v/>
      </c>
      <c r="B299">
        <f>IF(Registro_Compras!$R299&lt;&gt;"SI","",Registro_Compras!$C299)</f>
        <v/>
      </c>
      <c r="C299">
        <f>IF(Registro_Compras!$R299&lt;&gt;"SI","",Registro_Compras!$D299)</f>
        <v/>
      </c>
      <c r="D299">
        <f>IF(Registro_Compras!$R299&lt;&gt;"SI","",Registro_Compras!$E299)</f>
        <v/>
      </c>
      <c r="E299">
        <f>IF(Registro_Compras!$R299&lt;&gt;"SI","",Registro_Compras!$G299)</f>
        <v/>
      </c>
      <c r="F299" s="31">
        <f>IF(Registro_Compras!$R299&lt;&gt;"SI","",Registro_Compras!$P299)</f>
        <v/>
      </c>
      <c r="G299" s="20">
        <f>IF(Registro_Compras!$R299&lt;&gt;"SI","",Registro_Compras!$O299)</f>
        <v/>
      </c>
      <c r="H299" s="20">
        <f>IF(Registro_Compras!$R299&lt;&gt;"SI","",Registro_Compras!$S299)</f>
        <v/>
      </c>
      <c r="I299" s="25">
        <f>IF(Registro_Compras!$R299&lt;&gt;"SI","",IF(Registro_Compras!$Y299="",WORKDAY(EOMONTH(Registro_Compras!$B299,0),5,Feriados),MIN(Registro_Compras!$Y299,WORKDAY(EOMONTH(Registro_Compras!$B299,0),5,Feriados))))</f>
        <v/>
      </c>
      <c r="J299" s="25">
        <f>IF(Registro_Compras!$R299&lt;&gt;"SI","",Registro_Compras!$X299)</f>
        <v/>
      </c>
      <c r="K299">
        <f>IF(Registro_Compras!$R299&lt;&gt;"SI","",IF(Registro_Compras!$X299="","PENDIENTE","DEPOSITADA"))</f>
        <v/>
      </c>
      <c r="L299">
        <f>IF(Registro_Compras!$R299&lt;&gt;"SI","",Registro_Compras!$Z299)</f>
        <v/>
      </c>
      <c r="M299">
        <f>IF($K299&lt;&gt;"PENDIENTE","",IF(TODAY()&gt;$I299,TODAY()-$I299,0))</f>
        <v/>
      </c>
      <c r="N299">
        <f>IF($K299&lt;&gt;"PENDIENTE","",IF($M299&gt;0,"VENCIDA - DEPOSITAR YA",IF($I299-TODAY()&lt;=3,"POR VENCER","EN PLAZO")))</f>
        <v/>
      </c>
    </row>
    <row r="300">
      <c r="A300" s="25">
        <f>IF(Registro_Compras!$R300&lt;&gt;"SI","",Registro_Compras!$B300)</f>
        <v/>
      </c>
      <c r="B300">
        <f>IF(Registro_Compras!$R300&lt;&gt;"SI","",Registro_Compras!$C300)</f>
        <v/>
      </c>
      <c r="C300">
        <f>IF(Registro_Compras!$R300&lt;&gt;"SI","",Registro_Compras!$D300)</f>
        <v/>
      </c>
      <c r="D300">
        <f>IF(Registro_Compras!$R300&lt;&gt;"SI","",Registro_Compras!$E300)</f>
        <v/>
      </c>
      <c r="E300">
        <f>IF(Registro_Compras!$R300&lt;&gt;"SI","",Registro_Compras!$G300)</f>
        <v/>
      </c>
      <c r="F300" s="31">
        <f>IF(Registro_Compras!$R300&lt;&gt;"SI","",Registro_Compras!$P300)</f>
        <v/>
      </c>
      <c r="G300" s="20">
        <f>IF(Registro_Compras!$R300&lt;&gt;"SI","",Registro_Compras!$O300)</f>
        <v/>
      </c>
      <c r="H300" s="20">
        <f>IF(Registro_Compras!$R300&lt;&gt;"SI","",Registro_Compras!$S300)</f>
        <v/>
      </c>
      <c r="I300" s="25">
        <f>IF(Registro_Compras!$R300&lt;&gt;"SI","",IF(Registro_Compras!$Y300="",WORKDAY(EOMONTH(Registro_Compras!$B300,0),5,Feriados),MIN(Registro_Compras!$Y300,WORKDAY(EOMONTH(Registro_Compras!$B300,0),5,Feriados))))</f>
        <v/>
      </c>
      <c r="J300" s="25">
        <f>IF(Registro_Compras!$R300&lt;&gt;"SI","",Registro_Compras!$X300)</f>
        <v/>
      </c>
      <c r="K300">
        <f>IF(Registro_Compras!$R300&lt;&gt;"SI","",IF(Registro_Compras!$X300="","PENDIENTE","DEPOSITADA"))</f>
        <v/>
      </c>
      <c r="L300">
        <f>IF(Registro_Compras!$R300&lt;&gt;"SI","",Registro_Compras!$Z300)</f>
        <v/>
      </c>
      <c r="M300">
        <f>IF($K300&lt;&gt;"PENDIENTE","",IF(TODAY()&gt;$I300,TODAY()-$I300,0))</f>
        <v/>
      </c>
      <c r="N300">
        <f>IF($K300&lt;&gt;"PENDIENTE","",IF($M300&gt;0,"VENCIDA - DEPOSITAR YA",IF($I300-TODAY()&lt;=3,"POR VENCER","EN PLAZO")))</f>
        <v/>
      </c>
    </row>
    <row r="301">
      <c r="A301" s="25">
        <f>IF(Registro_Compras!$R301&lt;&gt;"SI","",Registro_Compras!$B301)</f>
        <v/>
      </c>
      <c r="B301">
        <f>IF(Registro_Compras!$R301&lt;&gt;"SI","",Registro_Compras!$C301)</f>
        <v/>
      </c>
      <c r="C301">
        <f>IF(Registro_Compras!$R301&lt;&gt;"SI","",Registro_Compras!$D301)</f>
        <v/>
      </c>
      <c r="D301">
        <f>IF(Registro_Compras!$R301&lt;&gt;"SI","",Registro_Compras!$E301)</f>
        <v/>
      </c>
      <c r="E301">
        <f>IF(Registro_Compras!$R301&lt;&gt;"SI","",Registro_Compras!$G301)</f>
        <v/>
      </c>
      <c r="F301" s="31">
        <f>IF(Registro_Compras!$R301&lt;&gt;"SI","",Registro_Compras!$P301)</f>
        <v/>
      </c>
      <c r="G301" s="20">
        <f>IF(Registro_Compras!$R301&lt;&gt;"SI","",Registro_Compras!$O301)</f>
        <v/>
      </c>
      <c r="H301" s="20">
        <f>IF(Registro_Compras!$R301&lt;&gt;"SI","",Registro_Compras!$S301)</f>
        <v/>
      </c>
      <c r="I301" s="25">
        <f>IF(Registro_Compras!$R301&lt;&gt;"SI","",IF(Registro_Compras!$Y301="",WORKDAY(EOMONTH(Registro_Compras!$B301,0),5,Feriados),MIN(Registro_Compras!$Y301,WORKDAY(EOMONTH(Registro_Compras!$B301,0),5,Feriados))))</f>
        <v/>
      </c>
      <c r="J301" s="25">
        <f>IF(Registro_Compras!$R301&lt;&gt;"SI","",Registro_Compras!$X301)</f>
        <v/>
      </c>
      <c r="K301">
        <f>IF(Registro_Compras!$R301&lt;&gt;"SI","",IF(Registro_Compras!$X301="","PENDIENTE","DEPOSITADA"))</f>
        <v/>
      </c>
      <c r="L301">
        <f>IF(Registro_Compras!$R301&lt;&gt;"SI","",Registro_Compras!$Z301)</f>
        <v/>
      </c>
      <c r="M301">
        <f>IF($K301&lt;&gt;"PENDIENTE","",IF(TODAY()&gt;$I301,TODAY()-$I301,0))</f>
        <v/>
      </c>
      <c r="N301">
        <f>IF($K301&lt;&gt;"PENDIENTE","",IF($M301&gt;0,"VENCIDA - DEPOSITAR YA",IF($I301-TODAY()&lt;=3,"POR VENCER","EN PLAZO")))</f>
        <v/>
      </c>
    </row>
    <row r="302">
      <c r="A302" s="25">
        <f>IF(Registro_Compras!$R302&lt;&gt;"SI","",Registro_Compras!$B302)</f>
        <v/>
      </c>
      <c r="B302">
        <f>IF(Registro_Compras!$R302&lt;&gt;"SI","",Registro_Compras!$C302)</f>
        <v/>
      </c>
      <c r="C302">
        <f>IF(Registro_Compras!$R302&lt;&gt;"SI","",Registro_Compras!$D302)</f>
        <v/>
      </c>
      <c r="D302">
        <f>IF(Registro_Compras!$R302&lt;&gt;"SI","",Registro_Compras!$E302)</f>
        <v/>
      </c>
      <c r="E302">
        <f>IF(Registro_Compras!$R302&lt;&gt;"SI","",Registro_Compras!$G302)</f>
        <v/>
      </c>
      <c r="F302" s="31">
        <f>IF(Registro_Compras!$R302&lt;&gt;"SI","",Registro_Compras!$P302)</f>
        <v/>
      </c>
      <c r="G302" s="20">
        <f>IF(Registro_Compras!$R302&lt;&gt;"SI","",Registro_Compras!$O302)</f>
        <v/>
      </c>
      <c r="H302" s="20">
        <f>IF(Registro_Compras!$R302&lt;&gt;"SI","",Registro_Compras!$S302)</f>
        <v/>
      </c>
      <c r="I302" s="25">
        <f>IF(Registro_Compras!$R302&lt;&gt;"SI","",IF(Registro_Compras!$Y302="",WORKDAY(EOMONTH(Registro_Compras!$B302,0),5,Feriados),MIN(Registro_Compras!$Y302,WORKDAY(EOMONTH(Registro_Compras!$B302,0),5,Feriados))))</f>
        <v/>
      </c>
      <c r="J302" s="25">
        <f>IF(Registro_Compras!$R302&lt;&gt;"SI","",Registro_Compras!$X302)</f>
        <v/>
      </c>
      <c r="K302">
        <f>IF(Registro_Compras!$R302&lt;&gt;"SI","",IF(Registro_Compras!$X302="","PENDIENTE","DEPOSITADA"))</f>
        <v/>
      </c>
      <c r="L302">
        <f>IF(Registro_Compras!$R302&lt;&gt;"SI","",Registro_Compras!$Z302)</f>
        <v/>
      </c>
      <c r="M302">
        <f>IF($K302&lt;&gt;"PENDIENTE","",IF(TODAY()&gt;$I302,TODAY()-$I302,0))</f>
        <v/>
      </c>
      <c r="N302">
        <f>IF($K302&lt;&gt;"PENDIENTE","",IF($M302&gt;0,"VENCIDA - DEPOSITAR YA",IF($I302-TODAY()&lt;=3,"POR VENCER","EN PLAZO")))</f>
        <v/>
      </c>
    </row>
    <row r="303">
      <c r="A303" s="25">
        <f>IF(Registro_Compras!$R303&lt;&gt;"SI","",Registro_Compras!$B303)</f>
        <v/>
      </c>
      <c r="B303">
        <f>IF(Registro_Compras!$R303&lt;&gt;"SI","",Registro_Compras!$C303)</f>
        <v/>
      </c>
      <c r="C303">
        <f>IF(Registro_Compras!$R303&lt;&gt;"SI","",Registro_Compras!$D303)</f>
        <v/>
      </c>
      <c r="D303">
        <f>IF(Registro_Compras!$R303&lt;&gt;"SI","",Registro_Compras!$E303)</f>
        <v/>
      </c>
      <c r="E303">
        <f>IF(Registro_Compras!$R303&lt;&gt;"SI","",Registro_Compras!$G303)</f>
        <v/>
      </c>
      <c r="F303" s="31">
        <f>IF(Registro_Compras!$R303&lt;&gt;"SI","",Registro_Compras!$P303)</f>
        <v/>
      </c>
      <c r="G303" s="20">
        <f>IF(Registro_Compras!$R303&lt;&gt;"SI","",Registro_Compras!$O303)</f>
        <v/>
      </c>
      <c r="H303" s="20">
        <f>IF(Registro_Compras!$R303&lt;&gt;"SI","",Registro_Compras!$S303)</f>
        <v/>
      </c>
      <c r="I303" s="25">
        <f>IF(Registro_Compras!$R303&lt;&gt;"SI","",IF(Registro_Compras!$Y303="",WORKDAY(EOMONTH(Registro_Compras!$B303,0),5,Feriados),MIN(Registro_Compras!$Y303,WORKDAY(EOMONTH(Registro_Compras!$B303,0),5,Feriados))))</f>
        <v/>
      </c>
      <c r="J303" s="25">
        <f>IF(Registro_Compras!$R303&lt;&gt;"SI","",Registro_Compras!$X303)</f>
        <v/>
      </c>
      <c r="K303">
        <f>IF(Registro_Compras!$R303&lt;&gt;"SI","",IF(Registro_Compras!$X303="","PENDIENTE","DEPOSITADA"))</f>
        <v/>
      </c>
      <c r="L303">
        <f>IF(Registro_Compras!$R303&lt;&gt;"SI","",Registro_Compras!$Z303)</f>
        <v/>
      </c>
      <c r="M303">
        <f>IF($K303&lt;&gt;"PENDIENTE","",IF(TODAY()&gt;$I303,TODAY()-$I303,0))</f>
        <v/>
      </c>
      <c r="N303">
        <f>IF($K303&lt;&gt;"PENDIENTE","",IF($M303&gt;0,"VENCIDA - DEPOSITAR YA",IF($I303-TODAY()&lt;=3,"POR VENCER","EN PLAZO")))</f>
        <v/>
      </c>
    </row>
    <row r="304">
      <c r="A304" s="25">
        <f>IF(Registro_Compras!$R304&lt;&gt;"SI","",Registro_Compras!$B304)</f>
        <v/>
      </c>
      <c r="B304">
        <f>IF(Registro_Compras!$R304&lt;&gt;"SI","",Registro_Compras!$C304)</f>
        <v/>
      </c>
      <c r="C304">
        <f>IF(Registro_Compras!$R304&lt;&gt;"SI","",Registro_Compras!$D304)</f>
        <v/>
      </c>
      <c r="D304">
        <f>IF(Registro_Compras!$R304&lt;&gt;"SI","",Registro_Compras!$E304)</f>
        <v/>
      </c>
      <c r="E304">
        <f>IF(Registro_Compras!$R304&lt;&gt;"SI","",Registro_Compras!$G304)</f>
        <v/>
      </c>
      <c r="F304" s="31">
        <f>IF(Registro_Compras!$R304&lt;&gt;"SI","",Registro_Compras!$P304)</f>
        <v/>
      </c>
      <c r="G304" s="20">
        <f>IF(Registro_Compras!$R304&lt;&gt;"SI","",Registro_Compras!$O304)</f>
        <v/>
      </c>
      <c r="H304" s="20">
        <f>IF(Registro_Compras!$R304&lt;&gt;"SI","",Registro_Compras!$S304)</f>
        <v/>
      </c>
      <c r="I304" s="25">
        <f>IF(Registro_Compras!$R304&lt;&gt;"SI","",IF(Registro_Compras!$Y304="",WORKDAY(EOMONTH(Registro_Compras!$B304,0),5,Feriados),MIN(Registro_Compras!$Y304,WORKDAY(EOMONTH(Registro_Compras!$B304,0),5,Feriados))))</f>
        <v/>
      </c>
      <c r="J304" s="25">
        <f>IF(Registro_Compras!$R304&lt;&gt;"SI","",Registro_Compras!$X304)</f>
        <v/>
      </c>
      <c r="K304">
        <f>IF(Registro_Compras!$R304&lt;&gt;"SI","",IF(Registro_Compras!$X304="","PENDIENTE","DEPOSITADA"))</f>
        <v/>
      </c>
      <c r="L304">
        <f>IF(Registro_Compras!$R304&lt;&gt;"SI","",Registro_Compras!$Z304)</f>
        <v/>
      </c>
      <c r="M304">
        <f>IF($K304&lt;&gt;"PENDIENTE","",IF(TODAY()&gt;$I304,TODAY()-$I304,0))</f>
        <v/>
      </c>
      <c r="N304">
        <f>IF($K304&lt;&gt;"PENDIENTE","",IF($M304&gt;0,"VENCIDA - DEPOSITAR YA",IF($I304-TODAY()&lt;=3,"POR VENCER","EN PLAZO")))</f>
        <v/>
      </c>
    </row>
    <row r="305">
      <c r="A305" s="25">
        <f>IF(Registro_Compras!$R305&lt;&gt;"SI","",Registro_Compras!$B305)</f>
        <v/>
      </c>
      <c r="B305">
        <f>IF(Registro_Compras!$R305&lt;&gt;"SI","",Registro_Compras!$C305)</f>
        <v/>
      </c>
      <c r="C305">
        <f>IF(Registro_Compras!$R305&lt;&gt;"SI","",Registro_Compras!$D305)</f>
        <v/>
      </c>
      <c r="D305">
        <f>IF(Registro_Compras!$R305&lt;&gt;"SI","",Registro_Compras!$E305)</f>
        <v/>
      </c>
      <c r="E305">
        <f>IF(Registro_Compras!$R305&lt;&gt;"SI","",Registro_Compras!$G305)</f>
        <v/>
      </c>
      <c r="F305" s="31">
        <f>IF(Registro_Compras!$R305&lt;&gt;"SI","",Registro_Compras!$P305)</f>
        <v/>
      </c>
      <c r="G305" s="20">
        <f>IF(Registro_Compras!$R305&lt;&gt;"SI","",Registro_Compras!$O305)</f>
        <v/>
      </c>
      <c r="H305" s="20">
        <f>IF(Registro_Compras!$R305&lt;&gt;"SI","",Registro_Compras!$S305)</f>
        <v/>
      </c>
      <c r="I305" s="25">
        <f>IF(Registro_Compras!$R305&lt;&gt;"SI","",IF(Registro_Compras!$Y305="",WORKDAY(EOMONTH(Registro_Compras!$B305,0),5,Feriados),MIN(Registro_Compras!$Y305,WORKDAY(EOMONTH(Registro_Compras!$B305,0),5,Feriados))))</f>
        <v/>
      </c>
      <c r="J305" s="25">
        <f>IF(Registro_Compras!$R305&lt;&gt;"SI","",Registro_Compras!$X305)</f>
        <v/>
      </c>
      <c r="K305">
        <f>IF(Registro_Compras!$R305&lt;&gt;"SI","",IF(Registro_Compras!$X305="","PENDIENTE","DEPOSITADA"))</f>
        <v/>
      </c>
      <c r="L305">
        <f>IF(Registro_Compras!$R305&lt;&gt;"SI","",Registro_Compras!$Z305)</f>
        <v/>
      </c>
      <c r="M305">
        <f>IF($K305&lt;&gt;"PENDIENTE","",IF(TODAY()&gt;$I305,TODAY()-$I305,0))</f>
        <v/>
      </c>
      <c r="N305">
        <f>IF($K305&lt;&gt;"PENDIENTE","",IF($M305&gt;0,"VENCIDA - DEPOSITAR YA",IF($I305-TODAY()&lt;=3,"POR VENCER","EN PLAZO")))</f>
        <v/>
      </c>
    </row>
    <row r="306">
      <c r="A306" s="25">
        <f>IF(Registro_Compras!$R306&lt;&gt;"SI","",Registro_Compras!$B306)</f>
        <v/>
      </c>
      <c r="B306">
        <f>IF(Registro_Compras!$R306&lt;&gt;"SI","",Registro_Compras!$C306)</f>
        <v/>
      </c>
      <c r="C306">
        <f>IF(Registro_Compras!$R306&lt;&gt;"SI","",Registro_Compras!$D306)</f>
        <v/>
      </c>
      <c r="D306">
        <f>IF(Registro_Compras!$R306&lt;&gt;"SI","",Registro_Compras!$E306)</f>
        <v/>
      </c>
      <c r="E306">
        <f>IF(Registro_Compras!$R306&lt;&gt;"SI","",Registro_Compras!$G306)</f>
        <v/>
      </c>
      <c r="F306" s="31">
        <f>IF(Registro_Compras!$R306&lt;&gt;"SI","",Registro_Compras!$P306)</f>
        <v/>
      </c>
      <c r="G306" s="20">
        <f>IF(Registro_Compras!$R306&lt;&gt;"SI","",Registro_Compras!$O306)</f>
        <v/>
      </c>
      <c r="H306" s="20">
        <f>IF(Registro_Compras!$R306&lt;&gt;"SI","",Registro_Compras!$S306)</f>
        <v/>
      </c>
      <c r="I306" s="25">
        <f>IF(Registro_Compras!$R306&lt;&gt;"SI","",IF(Registro_Compras!$Y306="",WORKDAY(EOMONTH(Registro_Compras!$B306,0),5,Feriados),MIN(Registro_Compras!$Y306,WORKDAY(EOMONTH(Registro_Compras!$B306,0),5,Feriados))))</f>
        <v/>
      </c>
      <c r="J306" s="25">
        <f>IF(Registro_Compras!$R306&lt;&gt;"SI","",Registro_Compras!$X306)</f>
        <v/>
      </c>
      <c r="K306">
        <f>IF(Registro_Compras!$R306&lt;&gt;"SI","",IF(Registro_Compras!$X306="","PENDIENTE","DEPOSITADA"))</f>
        <v/>
      </c>
      <c r="L306">
        <f>IF(Registro_Compras!$R306&lt;&gt;"SI","",Registro_Compras!$Z306)</f>
        <v/>
      </c>
      <c r="M306">
        <f>IF($K306&lt;&gt;"PENDIENTE","",IF(TODAY()&gt;$I306,TODAY()-$I306,0))</f>
        <v/>
      </c>
      <c r="N306">
        <f>IF($K306&lt;&gt;"PENDIENTE","",IF($M306&gt;0,"VENCIDA - DEPOSITAR YA",IF($I306-TODAY()&lt;=3,"POR VENCER","EN PLAZO")))</f>
        <v/>
      </c>
    </row>
    <row r="307">
      <c r="A307" s="25">
        <f>IF(Registro_Compras!$R307&lt;&gt;"SI","",Registro_Compras!$B307)</f>
        <v/>
      </c>
      <c r="B307">
        <f>IF(Registro_Compras!$R307&lt;&gt;"SI","",Registro_Compras!$C307)</f>
        <v/>
      </c>
      <c r="C307">
        <f>IF(Registro_Compras!$R307&lt;&gt;"SI","",Registro_Compras!$D307)</f>
        <v/>
      </c>
      <c r="D307">
        <f>IF(Registro_Compras!$R307&lt;&gt;"SI","",Registro_Compras!$E307)</f>
        <v/>
      </c>
      <c r="E307">
        <f>IF(Registro_Compras!$R307&lt;&gt;"SI","",Registro_Compras!$G307)</f>
        <v/>
      </c>
      <c r="F307" s="31">
        <f>IF(Registro_Compras!$R307&lt;&gt;"SI","",Registro_Compras!$P307)</f>
        <v/>
      </c>
      <c r="G307" s="20">
        <f>IF(Registro_Compras!$R307&lt;&gt;"SI","",Registro_Compras!$O307)</f>
        <v/>
      </c>
      <c r="H307" s="20">
        <f>IF(Registro_Compras!$R307&lt;&gt;"SI","",Registro_Compras!$S307)</f>
        <v/>
      </c>
      <c r="I307" s="25">
        <f>IF(Registro_Compras!$R307&lt;&gt;"SI","",IF(Registro_Compras!$Y307="",WORKDAY(EOMONTH(Registro_Compras!$B307,0),5,Feriados),MIN(Registro_Compras!$Y307,WORKDAY(EOMONTH(Registro_Compras!$B307,0),5,Feriados))))</f>
        <v/>
      </c>
      <c r="J307" s="25">
        <f>IF(Registro_Compras!$R307&lt;&gt;"SI","",Registro_Compras!$X307)</f>
        <v/>
      </c>
      <c r="K307">
        <f>IF(Registro_Compras!$R307&lt;&gt;"SI","",IF(Registro_Compras!$X307="","PENDIENTE","DEPOSITADA"))</f>
        <v/>
      </c>
      <c r="L307">
        <f>IF(Registro_Compras!$R307&lt;&gt;"SI","",Registro_Compras!$Z307)</f>
        <v/>
      </c>
      <c r="M307">
        <f>IF($K307&lt;&gt;"PENDIENTE","",IF(TODAY()&gt;$I307,TODAY()-$I307,0))</f>
        <v/>
      </c>
      <c r="N307">
        <f>IF($K307&lt;&gt;"PENDIENTE","",IF($M307&gt;0,"VENCIDA - DEPOSITAR YA",IF($I307-TODAY()&lt;=3,"POR VENCER","EN PLAZO")))</f>
        <v/>
      </c>
    </row>
    <row r="308">
      <c r="A308" s="25">
        <f>IF(Registro_Compras!$R308&lt;&gt;"SI","",Registro_Compras!$B308)</f>
        <v/>
      </c>
      <c r="B308">
        <f>IF(Registro_Compras!$R308&lt;&gt;"SI","",Registro_Compras!$C308)</f>
        <v/>
      </c>
      <c r="C308">
        <f>IF(Registro_Compras!$R308&lt;&gt;"SI","",Registro_Compras!$D308)</f>
        <v/>
      </c>
      <c r="D308">
        <f>IF(Registro_Compras!$R308&lt;&gt;"SI","",Registro_Compras!$E308)</f>
        <v/>
      </c>
      <c r="E308">
        <f>IF(Registro_Compras!$R308&lt;&gt;"SI","",Registro_Compras!$G308)</f>
        <v/>
      </c>
      <c r="F308" s="31">
        <f>IF(Registro_Compras!$R308&lt;&gt;"SI","",Registro_Compras!$P308)</f>
        <v/>
      </c>
      <c r="G308" s="20">
        <f>IF(Registro_Compras!$R308&lt;&gt;"SI","",Registro_Compras!$O308)</f>
        <v/>
      </c>
      <c r="H308" s="20">
        <f>IF(Registro_Compras!$R308&lt;&gt;"SI","",Registro_Compras!$S308)</f>
        <v/>
      </c>
      <c r="I308" s="25">
        <f>IF(Registro_Compras!$R308&lt;&gt;"SI","",IF(Registro_Compras!$Y308="",WORKDAY(EOMONTH(Registro_Compras!$B308,0),5,Feriados),MIN(Registro_Compras!$Y308,WORKDAY(EOMONTH(Registro_Compras!$B308,0),5,Feriados))))</f>
        <v/>
      </c>
      <c r="J308" s="25">
        <f>IF(Registro_Compras!$R308&lt;&gt;"SI","",Registro_Compras!$X308)</f>
        <v/>
      </c>
      <c r="K308">
        <f>IF(Registro_Compras!$R308&lt;&gt;"SI","",IF(Registro_Compras!$X308="","PENDIENTE","DEPOSITADA"))</f>
        <v/>
      </c>
      <c r="L308">
        <f>IF(Registro_Compras!$R308&lt;&gt;"SI","",Registro_Compras!$Z308)</f>
        <v/>
      </c>
      <c r="M308">
        <f>IF($K308&lt;&gt;"PENDIENTE","",IF(TODAY()&gt;$I308,TODAY()-$I308,0))</f>
        <v/>
      </c>
      <c r="N308">
        <f>IF($K308&lt;&gt;"PENDIENTE","",IF($M308&gt;0,"VENCIDA - DEPOSITAR YA",IF($I308-TODAY()&lt;=3,"POR VENCER","EN PLAZO")))</f>
        <v/>
      </c>
    </row>
    <row r="309">
      <c r="A309" s="25">
        <f>IF(Registro_Compras!$R309&lt;&gt;"SI","",Registro_Compras!$B309)</f>
        <v/>
      </c>
      <c r="B309">
        <f>IF(Registro_Compras!$R309&lt;&gt;"SI","",Registro_Compras!$C309)</f>
        <v/>
      </c>
      <c r="C309">
        <f>IF(Registro_Compras!$R309&lt;&gt;"SI","",Registro_Compras!$D309)</f>
        <v/>
      </c>
      <c r="D309">
        <f>IF(Registro_Compras!$R309&lt;&gt;"SI","",Registro_Compras!$E309)</f>
        <v/>
      </c>
      <c r="E309">
        <f>IF(Registro_Compras!$R309&lt;&gt;"SI","",Registro_Compras!$G309)</f>
        <v/>
      </c>
      <c r="F309" s="31">
        <f>IF(Registro_Compras!$R309&lt;&gt;"SI","",Registro_Compras!$P309)</f>
        <v/>
      </c>
      <c r="G309" s="20">
        <f>IF(Registro_Compras!$R309&lt;&gt;"SI","",Registro_Compras!$O309)</f>
        <v/>
      </c>
      <c r="H309" s="20">
        <f>IF(Registro_Compras!$R309&lt;&gt;"SI","",Registro_Compras!$S309)</f>
        <v/>
      </c>
      <c r="I309" s="25">
        <f>IF(Registro_Compras!$R309&lt;&gt;"SI","",IF(Registro_Compras!$Y309="",WORKDAY(EOMONTH(Registro_Compras!$B309,0),5,Feriados),MIN(Registro_Compras!$Y309,WORKDAY(EOMONTH(Registro_Compras!$B309,0),5,Feriados))))</f>
        <v/>
      </c>
      <c r="J309" s="25">
        <f>IF(Registro_Compras!$R309&lt;&gt;"SI","",Registro_Compras!$X309)</f>
        <v/>
      </c>
      <c r="K309">
        <f>IF(Registro_Compras!$R309&lt;&gt;"SI","",IF(Registro_Compras!$X309="","PENDIENTE","DEPOSITADA"))</f>
        <v/>
      </c>
      <c r="L309">
        <f>IF(Registro_Compras!$R309&lt;&gt;"SI","",Registro_Compras!$Z309)</f>
        <v/>
      </c>
      <c r="M309">
        <f>IF($K309&lt;&gt;"PENDIENTE","",IF(TODAY()&gt;$I309,TODAY()-$I309,0))</f>
        <v/>
      </c>
      <c r="N309">
        <f>IF($K309&lt;&gt;"PENDIENTE","",IF($M309&gt;0,"VENCIDA - DEPOSITAR YA",IF($I309-TODAY()&lt;=3,"POR VENCER","EN PLAZO")))</f>
        <v/>
      </c>
    </row>
    <row r="310">
      <c r="A310" s="25">
        <f>IF(Registro_Compras!$R310&lt;&gt;"SI","",Registro_Compras!$B310)</f>
        <v/>
      </c>
      <c r="B310">
        <f>IF(Registro_Compras!$R310&lt;&gt;"SI","",Registro_Compras!$C310)</f>
        <v/>
      </c>
      <c r="C310">
        <f>IF(Registro_Compras!$R310&lt;&gt;"SI","",Registro_Compras!$D310)</f>
        <v/>
      </c>
      <c r="D310">
        <f>IF(Registro_Compras!$R310&lt;&gt;"SI","",Registro_Compras!$E310)</f>
        <v/>
      </c>
      <c r="E310">
        <f>IF(Registro_Compras!$R310&lt;&gt;"SI","",Registro_Compras!$G310)</f>
        <v/>
      </c>
      <c r="F310" s="31">
        <f>IF(Registro_Compras!$R310&lt;&gt;"SI","",Registro_Compras!$P310)</f>
        <v/>
      </c>
      <c r="G310" s="20">
        <f>IF(Registro_Compras!$R310&lt;&gt;"SI","",Registro_Compras!$O310)</f>
        <v/>
      </c>
      <c r="H310" s="20">
        <f>IF(Registro_Compras!$R310&lt;&gt;"SI","",Registro_Compras!$S310)</f>
        <v/>
      </c>
      <c r="I310" s="25">
        <f>IF(Registro_Compras!$R310&lt;&gt;"SI","",IF(Registro_Compras!$Y310="",WORKDAY(EOMONTH(Registro_Compras!$B310,0),5,Feriados),MIN(Registro_Compras!$Y310,WORKDAY(EOMONTH(Registro_Compras!$B310,0),5,Feriados))))</f>
        <v/>
      </c>
      <c r="J310" s="25">
        <f>IF(Registro_Compras!$R310&lt;&gt;"SI","",Registro_Compras!$X310)</f>
        <v/>
      </c>
      <c r="K310">
        <f>IF(Registro_Compras!$R310&lt;&gt;"SI","",IF(Registro_Compras!$X310="","PENDIENTE","DEPOSITADA"))</f>
        <v/>
      </c>
      <c r="L310">
        <f>IF(Registro_Compras!$R310&lt;&gt;"SI","",Registro_Compras!$Z310)</f>
        <v/>
      </c>
      <c r="M310">
        <f>IF($K310&lt;&gt;"PENDIENTE","",IF(TODAY()&gt;$I310,TODAY()-$I310,0))</f>
        <v/>
      </c>
      <c r="N310">
        <f>IF($K310&lt;&gt;"PENDIENTE","",IF($M310&gt;0,"VENCIDA - DEPOSITAR YA",IF($I310-TODAY()&lt;=3,"POR VENCER","EN PLAZO")))</f>
        <v/>
      </c>
    </row>
    <row r="311">
      <c r="A311" s="25">
        <f>IF(Registro_Compras!$R311&lt;&gt;"SI","",Registro_Compras!$B311)</f>
        <v/>
      </c>
      <c r="B311">
        <f>IF(Registro_Compras!$R311&lt;&gt;"SI","",Registro_Compras!$C311)</f>
        <v/>
      </c>
      <c r="C311">
        <f>IF(Registro_Compras!$R311&lt;&gt;"SI","",Registro_Compras!$D311)</f>
        <v/>
      </c>
      <c r="D311">
        <f>IF(Registro_Compras!$R311&lt;&gt;"SI","",Registro_Compras!$E311)</f>
        <v/>
      </c>
      <c r="E311">
        <f>IF(Registro_Compras!$R311&lt;&gt;"SI","",Registro_Compras!$G311)</f>
        <v/>
      </c>
      <c r="F311" s="31">
        <f>IF(Registro_Compras!$R311&lt;&gt;"SI","",Registro_Compras!$P311)</f>
        <v/>
      </c>
      <c r="G311" s="20">
        <f>IF(Registro_Compras!$R311&lt;&gt;"SI","",Registro_Compras!$O311)</f>
        <v/>
      </c>
      <c r="H311" s="20">
        <f>IF(Registro_Compras!$R311&lt;&gt;"SI","",Registro_Compras!$S311)</f>
        <v/>
      </c>
      <c r="I311" s="25">
        <f>IF(Registro_Compras!$R311&lt;&gt;"SI","",IF(Registro_Compras!$Y311="",WORKDAY(EOMONTH(Registro_Compras!$B311,0),5,Feriados),MIN(Registro_Compras!$Y311,WORKDAY(EOMONTH(Registro_Compras!$B311,0),5,Feriados))))</f>
        <v/>
      </c>
      <c r="J311" s="25">
        <f>IF(Registro_Compras!$R311&lt;&gt;"SI","",Registro_Compras!$X311)</f>
        <v/>
      </c>
      <c r="K311">
        <f>IF(Registro_Compras!$R311&lt;&gt;"SI","",IF(Registro_Compras!$X311="","PENDIENTE","DEPOSITADA"))</f>
        <v/>
      </c>
      <c r="L311">
        <f>IF(Registro_Compras!$R311&lt;&gt;"SI","",Registro_Compras!$Z311)</f>
        <v/>
      </c>
      <c r="M311">
        <f>IF($K311&lt;&gt;"PENDIENTE","",IF(TODAY()&gt;$I311,TODAY()-$I311,0))</f>
        <v/>
      </c>
      <c r="N311">
        <f>IF($K311&lt;&gt;"PENDIENTE","",IF($M311&gt;0,"VENCIDA - DEPOSITAR YA",IF($I311-TODAY()&lt;=3,"POR VENCER","EN PLAZO")))</f>
        <v/>
      </c>
    </row>
    <row r="312">
      <c r="A312" s="25">
        <f>IF(Registro_Compras!$R312&lt;&gt;"SI","",Registro_Compras!$B312)</f>
        <v/>
      </c>
      <c r="B312">
        <f>IF(Registro_Compras!$R312&lt;&gt;"SI","",Registro_Compras!$C312)</f>
        <v/>
      </c>
      <c r="C312">
        <f>IF(Registro_Compras!$R312&lt;&gt;"SI","",Registro_Compras!$D312)</f>
        <v/>
      </c>
      <c r="D312">
        <f>IF(Registro_Compras!$R312&lt;&gt;"SI","",Registro_Compras!$E312)</f>
        <v/>
      </c>
      <c r="E312">
        <f>IF(Registro_Compras!$R312&lt;&gt;"SI","",Registro_Compras!$G312)</f>
        <v/>
      </c>
      <c r="F312" s="31">
        <f>IF(Registro_Compras!$R312&lt;&gt;"SI","",Registro_Compras!$P312)</f>
        <v/>
      </c>
      <c r="G312" s="20">
        <f>IF(Registro_Compras!$R312&lt;&gt;"SI","",Registro_Compras!$O312)</f>
        <v/>
      </c>
      <c r="H312" s="20">
        <f>IF(Registro_Compras!$R312&lt;&gt;"SI","",Registro_Compras!$S312)</f>
        <v/>
      </c>
      <c r="I312" s="25">
        <f>IF(Registro_Compras!$R312&lt;&gt;"SI","",IF(Registro_Compras!$Y312="",WORKDAY(EOMONTH(Registro_Compras!$B312,0),5,Feriados),MIN(Registro_Compras!$Y312,WORKDAY(EOMONTH(Registro_Compras!$B312,0),5,Feriados))))</f>
        <v/>
      </c>
      <c r="J312" s="25">
        <f>IF(Registro_Compras!$R312&lt;&gt;"SI","",Registro_Compras!$X312)</f>
        <v/>
      </c>
      <c r="K312">
        <f>IF(Registro_Compras!$R312&lt;&gt;"SI","",IF(Registro_Compras!$X312="","PENDIENTE","DEPOSITADA"))</f>
        <v/>
      </c>
      <c r="L312">
        <f>IF(Registro_Compras!$R312&lt;&gt;"SI","",Registro_Compras!$Z312)</f>
        <v/>
      </c>
      <c r="M312">
        <f>IF($K312&lt;&gt;"PENDIENTE","",IF(TODAY()&gt;$I312,TODAY()-$I312,0))</f>
        <v/>
      </c>
      <c r="N312">
        <f>IF($K312&lt;&gt;"PENDIENTE","",IF($M312&gt;0,"VENCIDA - DEPOSITAR YA",IF($I312-TODAY()&lt;=3,"POR VENCER","EN PLAZO")))</f>
        <v/>
      </c>
    </row>
    <row r="313">
      <c r="A313" s="25">
        <f>IF(Registro_Compras!$R313&lt;&gt;"SI","",Registro_Compras!$B313)</f>
        <v/>
      </c>
      <c r="B313">
        <f>IF(Registro_Compras!$R313&lt;&gt;"SI","",Registro_Compras!$C313)</f>
        <v/>
      </c>
      <c r="C313">
        <f>IF(Registro_Compras!$R313&lt;&gt;"SI","",Registro_Compras!$D313)</f>
        <v/>
      </c>
      <c r="D313">
        <f>IF(Registro_Compras!$R313&lt;&gt;"SI","",Registro_Compras!$E313)</f>
        <v/>
      </c>
      <c r="E313">
        <f>IF(Registro_Compras!$R313&lt;&gt;"SI","",Registro_Compras!$G313)</f>
        <v/>
      </c>
      <c r="F313" s="31">
        <f>IF(Registro_Compras!$R313&lt;&gt;"SI","",Registro_Compras!$P313)</f>
        <v/>
      </c>
      <c r="G313" s="20">
        <f>IF(Registro_Compras!$R313&lt;&gt;"SI","",Registro_Compras!$O313)</f>
        <v/>
      </c>
      <c r="H313" s="20">
        <f>IF(Registro_Compras!$R313&lt;&gt;"SI","",Registro_Compras!$S313)</f>
        <v/>
      </c>
      <c r="I313" s="25">
        <f>IF(Registro_Compras!$R313&lt;&gt;"SI","",IF(Registro_Compras!$Y313="",WORKDAY(EOMONTH(Registro_Compras!$B313,0),5,Feriados),MIN(Registro_Compras!$Y313,WORKDAY(EOMONTH(Registro_Compras!$B313,0),5,Feriados))))</f>
        <v/>
      </c>
      <c r="J313" s="25">
        <f>IF(Registro_Compras!$R313&lt;&gt;"SI","",Registro_Compras!$X313)</f>
        <v/>
      </c>
      <c r="K313">
        <f>IF(Registro_Compras!$R313&lt;&gt;"SI","",IF(Registro_Compras!$X313="","PENDIENTE","DEPOSITADA"))</f>
        <v/>
      </c>
      <c r="L313">
        <f>IF(Registro_Compras!$R313&lt;&gt;"SI","",Registro_Compras!$Z313)</f>
        <v/>
      </c>
      <c r="M313">
        <f>IF($K313&lt;&gt;"PENDIENTE","",IF(TODAY()&gt;$I313,TODAY()-$I313,0))</f>
        <v/>
      </c>
      <c r="N313">
        <f>IF($K313&lt;&gt;"PENDIENTE","",IF($M313&gt;0,"VENCIDA - DEPOSITAR YA",IF($I313-TODAY()&lt;=3,"POR VENCER","EN PLAZO")))</f>
        <v/>
      </c>
    </row>
    <row r="314">
      <c r="A314" s="25">
        <f>IF(Registro_Compras!$R314&lt;&gt;"SI","",Registro_Compras!$B314)</f>
        <v/>
      </c>
      <c r="B314">
        <f>IF(Registro_Compras!$R314&lt;&gt;"SI","",Registro_Compras!$C314)</f>
        <v/>
      </c>
      <c r="C314">
        <f>IF(Registro_Compras!$R314&lt;&gt;"SI","",Registro_Compras!$D314)</f>
        <v/>
      </c>
      <c r="D314">
        <f>IF(Registro_Compras!$R314&lt;&gt;"SI","",Registro_Compras!$E314)</f>
        <v/>
      </c>
      <c r="E314">
        <f>IF(Registro_Compras!$R314&lt;&gt;"SI","",Registro_Compras!$G314)</f>
        <v/>
      </c>
      <c r="F314" s="31">
        <f>IF(Registro_Compras!$R314&lt;&gt;"SI","",Registro_Compras!$P314)</f>
        <v/>
      </c>
      <c r="G314" s="20">
        <f>IF(Registro_Compras!$R314&lt;&gt;"SI","",Registro_Compras!$O314)</f>
        <v/>
      </c>
      <c r="H314" s="20">
        <f>IF(Registro_Compras!$R314&lt;&gt;"SI","",Registro_Compras!$S314)</f>
        <v/>
      </c>
      <c r="I314" s="25">
        <f>IF(Registro_Compras!$R314&lt;&gt;"SI","",IF(Registro_Compras!$Y314="",WORKDAY(EOMONTH(Registro_Compras!$B314,0),5,Feriados),MIN(Registro_Compras!$Y314,WORKDAY(EOMONTH(Registro_Compras!$B314,0),5,Feriados))))</f>
        <v/>
      </c>
      <c r="J314" s="25">
        <f>IF(Registro_Compras!$R314&lt;&gt;"SI","",Registro_Compras!$X314)</f>
        <v/>
      </c>
      <c r="K314">
        <f>IF(Registro_Compras!$R314&lt;&gt;"SI","",IF(Registro_Compras!$X314="","PENDIENTE","DEPOSITADA"))</f>
        <v/>
      </c>
      <c r="L314">
        <f>IF(Registro_Compras!$R314&lt;&gt;"SI","",Registro_Compras!$Z314)</f>
        <v/>
      </c>
      <c r="M314">
        <f>IF($K314&lt;&gt;"PENDIENTE","",IF(TODAY()&gt;$I314,TODAY()-$I314,0))</f>
        <v/>
      </c>
      <c r="N314">
        <f>IF($K314&lt;&gt;"PENDIENTE","",IF($M314&gt;0,"VENCIDA - DEPOSITAR YA",IF($I314-TODAY()&lt;=3,"POR VENCER","EN PLAZO")))</f>
        <v/>
      </c>
    </row>
    <row r="315">
      <c r="A315" s="25">
        <f>IF(Registro_Compras!$R315&lt;&gt;"SI","",Registro_Compras!$B315)</f>
        <v/>
      </c>
      <c r="B315">
        <f>IF(Registro_Compras!$R315&lt;&gt;"SI","",Registro_Compras!$C315)</f>
        <v/>
      </c>
      <c r="C315">
        <f>IF(Registro_Compras!$R315&lt;&gt;"SI","",Registro_Compras!$D315)</f>
        <v/>
      </c>
      <c r="D315">
        <f>IF(Registro_Compras!$R315&lt;&gt;"SI","",Registro_Compras!$E315)</f>
        <v/>
      </c>
      <c r="E315">
        <f>IF(Registro_Compras!$R315&lt;&gt;"SI","",Registro_Compras!$G315)</f>
        <v/>
      </c>
      <c r="F315" s="31">
        <f>IF(Registro_Compras!$R315&lt;&gt;"SI","",Registro_Compras!$P315)</f>
        <v/>
      </c>
      <c r="G315" s="20">
        <f>IF(Registro_Compras!$R315&lt;&gt;"SI","",Registro_Compras!$O315)</f>
        <v/>
      </c>
      <c r="H315" s="20">
        <f>IF(Registro_Compras!$R315&lt;&gt;"SI","",Registro_Compras!$S315)</f>
        <v/>
      </c>
      <c r="I315" s="25">
        <f>IF(Registro_Compras!$R315&lt;&gt;"SI","",IF(Registro_Compras!$Y315="",WORKDAY(EOMONTH(Registro_Compras!$B315,0),5,Feriados),MIN(Registro_Compras!$Y315,WORKDAY(EOMONTH(Registro_Compras!$B315,0),5,Feriados))))</f>
        <v/>
      </c>
      <c r="J315" s="25">
        <f>IF(Registro_Compras!$R315&lt;&gt;"SI","",Registro_Compras!$X315)</f>
        <v/>
      </c>
      <c r="K315">
        <f>IF(Registro_Compras!$R315&lt;&gt;"SI","",IF(Registro_Compras!$X315="","PENDIENTE","DEPOSITADA"))</f>
        <v/>
      </c>
      <c r="L315">
        <f>IF(Registro_Compras!$R315&lt;&gt;"SI","",Registro_Compras!$Z315)</f>
        <v/>
      </c>
      <c r="M315">
        <f>IF($K315&lt;&gt;"PENDIENTE","",IF(TODAY()&gt;$I315,TODAY()-$I315,0))</f>
        <v/>
      </c>
      <c r="N315">
        <f>IF($K315&lt;&gt;"PENDIENTE","",IF($M315&gt;0,"VENCIDA - DEPOSITAR YA",IF($I315-TODAY()&lt;=3,"POR VENCER","EN PLAZO")))</f>
        <v/>
      </c>
    </row>
    <row r="316">
      <c r="A316" s="25">
        <f>IF(Registro_Compras!$R316&lt;&gt;"SI","",Registro_Compras!$B316)</f>
        <v/>
      </c>
      <c r="B316">
        <f>IF(Registro_Compras!$R316&lt;&gt;"SI","",Registro_Compras!$C316)</f>
        <v/>
      </c>
      <c r="C316">
        <f>IF(Registro_Compras!$R316&lt;&gt;"SI","",Registro_Compras!$D316)</f>
        <v/>
      </c>
      <c r="D316">
        <f>IF(Registro_Compras!$R316&lt;&gt;"SI","",Registro_Compras!$E316)</f>
        <v/>
      </c>
      <c r="E316">
        <f>IF(Registro_Compras!$R316&lt;&gt;"SI","",Registro_Compras!$G316)</f>
        <v/>
      </c>
      <c r="F316" s="31">
        <f>IF(Registro_Compras!$R316&lt;&gt;"SI","",Registro_Compras!$P316)</f>
        <v/>
      </c>
      <c r="G316" s="20">
        <f>IF(Registro_Compras!$R316&lt;&gt;"SI","",Registro_Compras!$O316)</f>
        <v/>
      </c>
      <c r="H316" s="20">
        <f>IF(Registro_Compras!$R316&lt;&gt;"SI","",Registro_Compras!$S316)</f>
        <v/>
      </c>
      <c r="I316" s="25">
        <f>IF(Registro_Compras!$R316&lt;&gt;"SI","",IF(Registro_Compras!$Y316="",WORKDAY(EOMONTH(Registro_Compras!$B316,0),5,Feriados),MIN(Registro_Compras!$Y316,WORKDAY(EOMONTH(Registro_Compras!$B316,0),5,Feriados))))</f>
        <v/>
      </c>
      <c r="J316" s="25">
        <f>IF(Registro_Compras!$R316&lt;&gt;"SI","",Registro_Compras!$X316)</f>
        <v/>
      </c>
      <c r="K316">
        <f>IF(Registro_Compras!$R316&lt;&gt;"SI","",IF(Registro_Compras!$X316="","PENDIENTE","DEPOSITADA"))</f>
        <v/>
      </c>
      <c r="L316">
        <f>IF(Registro_Compras!$R316&lt;&gt;"SI","",Registro_Compras!$Z316)</f>
        <v/>
      </c>
      <c r="M316">
        <f>IF($K316&lt;&gt;"PENDIENTE","",IF(TODAY()&gt;$I316,TODAY()-$I316,0))</f>
        <v/>
      </c>
      <c r="N316">
        <f>IF($K316&lt;&gt;"PENDIENTE","",IF($M316&gt;0,"VENCIDA - DEPOSITAR YA",IF($I316-TODAY()&lt;=3,"POR VENCER","EN PLAZO")))</f>
        <v/>
      </c>
    </row>
    <row r="317">
      <c r="A317" s="25">
        <f>IF(Registro_Compras!$R317&lt;&gt;"SI","",Registro_Compras!$B317)</f>
        <v/>
      </c>
      <c r="B317">
        <f>IF(Registro_Compras!$R317&lt;&gt;"SI","",Registro_Compras!$C317)</f>
        <v/>
      </c>
      <c r="C317">
        <f>IF(Registro_Compras!$R317&lt;&gt;"SI","",Registro_Compras!$D317)</f>
        <v/>
      </c>
      <c r="D317">
        <f>IF(Registro_Compras!$R317&lt;&gt;"SI","",Registro_Compras!$E317)</f>
        <v/>
      </c>
      <c r="E317">
        <f>IF(Registro_Compras!$R317&lt;&gt;"SI","",Registro_Compras!$G317)</f>
        <v/>
      </c>
      <c r="F317" s="31">
        <f>IF(Registro_Compras!$R317&lt;&gt;"SI","",Registro_Compras!$P317)</f>
        <v/>
      </c>
      <c r="G317" s="20">
        <f>IF(Registro_Compras!$R317&lt;&gt;"SI","",Registro_Compras!$O317)</f>
        <v/>
      </c>
      <c r="H317" s="20">
        <f>IF(Registro_Compras!$R317&lt;&gt;"SI","",Registro_Compras!$S317)</f>
        <v/>
      </c>
      <c r="I317" s="25">
        <f>IF(Registro_Compras!$R317&lt;&gt;"SI","",IF(Registro_Compras!$Y317="",WORKDAY(EOMONTH(Registro_Compras!$B317,0),5,Feriados),MIN(Registro_Compras!$Y317,WORKDAY(EOMONTH(Registro_Compras!$B317,0),5,Feriados))))</f>
        <v/>
      </c>
      <c r="J317" s="25">
        <f>IF(Registro_Compras!$R317&lt;&gt;"SI","",Registro_Compras!$X317)</f>
        <v/>
      </c>
      <c r="K317">
        <f>IF(Registro_Compras!$R317&lt;&gt;"SI","",IF(Registro_Compras!$X317="","PENDIENTE","DEPOSITADA"))</f>
        <v/>
      </c>
      <c r="L317">
        <f>IF(Registro_Compras!$R317&lt;&gt;"SI","",Registro_Compras!$Z317)</f>
        <v/>
      </c>
      <c r="M317">
        <f>IF($K317&lt;&gt;"PENDIENTE","",IF(TODAY()&gt;$I317,TODAY()-$I317,0))</f>
        <v/>
      </c>
      <c r="N317">
        <f>IF($K317&lt;&gt;"PENDIENTE","",IF($M317&gt;0,"VENCIDA - DEPOSITAR YA",IF($I317-TODAY()&lt;=3,"POR VENCER","EN PLAZO")))</f>
        <v/>
      </c>
    </row>
    <row r="318">
      <c r="A318" s="25">
        <f>IF(Registro_Compras!$R318&lt;&gt;"SI","",Registro_Compras!$B318)</f>
        <v/>
      </c>
      <c r="B318">
        <f>IF(Registro_Compras!$R318&lt;&gt;"SI","",Registro_Compras!$C318)</f>
        <v/>
      </c>
      <c r="C318">
        <f>IF(Registro_Compras!$R318&lt;&gt;"SI","",Registro_Compras!$D318)</f>
        <v/>
      </c>
      <c r="D318">
        <f>IF(Registro_Compras!$R318&lt;&gt;"SI","",Registro_Compras!$E318)</f>
        <v/>
      </c>
      <c r="E318">
        <f>IF(Registro_Compras!$R318&lt;&gt;"SI","",Registro_Compras!$G318)</f>
        <v/>
      </c>
      <c r="F318" s="31">
        <f>IF(Registro_Compras!$R318&lt;&gt;"SI","",Registro_Compras!$P318)</f>
        <v/>
      </c>
      <c r="G318" s="20">
        <f>IF(Registro_Compras!$R318&lt;&gt;"SI","",Registro_Compras!$O318)</f>
        <v/>
      </c>
      <c r="H318" s="20">
        <f>IF(Registro_Compras!$R318&lt;&gt;"SI","",Registro_Compras!$S318)</f>
        <v/>
      </c>
      <c r="I318" s="25">
        <f>IF(Registro_Compras!$R318&lt;&gt;"SI","",IF(Registro_Compras!$Y318="",WORKDAY(EOMONTH(Registro_Compras!$B318,0),5,Feriados),MIN(Registro_Compras!$Y318,WORKDAY(EOMONTH(Registro_Compras!$B318,0),5,Feriados))))</f>
        <v/>
      </c>
      <c r="J318" s="25">
        <f>IF(Registro_Compras!$R318&lt;&gt;"SI","",Registro_Compras!$X318)</f>
        <v/>
      </c>
      <c r="K318">
        <f>IF(Registro_Compras!$R318&lt;&gt;"SI","",IF(Registro_Compras!$X318="","PENDIENTE","DEPOSITADA"))</f>
        <v/>
      </c>
      <c r="L318">
        <f>IF(Registro_Compras!$R318&lt;&gt;"SI","",Registro_Compras!$Z318)</f>
        <v/>
      </c>
      <c r="M318">
        <f>IF($K318&lt;&gt;"PENDIENTE","",IF(TODAY()&gt;$I318,TODAY()-$I318,0))</f>
        <v/>
      </c>
      <c r="N318">
        <f>IF($K318&lt;&gt;"PENDIENTE","",IF($M318&gt;0,"VENCIDA - DEPOSITAR YA",IF($I318-TODAY()&lt;=3,"POR VENCER","EN PLAZO")))</f>
        <v/>
      </c>
    </row>
    <row r="319">
      <c r="A319" s="25">
        <f>IF(Registro_Compras!$R319&lt;&gt;"SI","",Registro_Compras!$B319)</f>
        <v/>
      </c>
      <c r="B319">
        <f>IF(Registro_Compras!$R319&lt;&gt;"SI","",Registro_Compras!$C319)</f>
        <v/>
      </c>
      <c r="C319">
        <f>IF(Registro_Compras!$R319&lt;&gt;"SI","",Registro_Compras!$D319)</f>
        <v/>
      </c>
      <c r="D319">
        <f>IF(Registro_Compras!$R319&lt;&gt;"SI","",Registro_Compras!$E319)</f>
        <v/>
      </c>
      <c r="E319">
        <f>IF(Registro_Compras!$R319&lt;&gt;"SI","",Registro_Compras!$G319)</f>
        <v/>
      </c>
      <c r="F319" s="31">
        <f>IF(Registro_Compras!$R319&lt;&gt;"SI","",Registro_Compras!$P319)</f>
        <v/>
      </c>
      <c r="G319" s="20">
        <f>IF(Registro_Compras!$R319&lt;&gt;"SI","",Registro_Compras!$O319)</f>
        <v/>
      </c>
      <c r="H319" s="20">
        <f>IF(Registro_Compras!$R319&lt;&gt;"SI","",Registro_Compras!$S319)</f>
        <v/>
      </c>
      <c r="I319" s="25">
        <f>IF(Registro_Compras!$R319&lt;&gt;"SI","",IF(Registro_Compras!$Y319="",WORKDAY(EOMONTH(Registro_Compras!$B319,0),5,Feriados),MIN(Registro_Compras!$Y319,WORKDAY(EOMONTH(Registro_Compras!$B319,0),5,Feriados))))</f>
        <v/>
      </c>
      <c r="J319" s="25">
        <f>IF(Registro_Compras!$R319&lt;&gt;"SI","",Registro_Compras!$X319)</f>
        <v/>
      </c>
      <c r="K319">
        <f>IF(Registro_Compras!$R319&lt;&gt;"SI","",IF(Registro_Compras!$X319="","PENDIENTE","DEPOSITADA"))</f>
        <v/>
      </c>
      <c r="L319">
        <f>IF(Registro_Compras!$R319&lt;&gt;"SI","",Registro_Compras!$Z319)</f>
        <v/>
      </c>
      <c r="M319">
        <f>IF($K319&lt;&gt;"PENDIENTE","",IF(TODAY()&gt;$I319,TODAY()-$I319,0))</f>
        <v/>
      </c>
      <c r="N319">
        <f>IF($K319&lt;&gt;"PENDIENTE","",IF($M319&gt;0,"VENCIDA - DEPOSITAR YA",IF($I319-TODAY()&lt;=3,"POR VENCER","EN PLAZO")))</f>
        <v/>
      </c>
    </row>
    <row r="320">
      <c r="A320" s="25">
        <f>IF(Registro_Compras!$R320&lt;&gt;"SI","",Registro_Compras!$B320)</f>
        <v/>
      </c>
      <c r="B320">
        <f>IF(Registro_Compras!$R320&lt;&gt;"SI","",Registro_Compras!$C320)</f>
        <v/>
      </c>
      <c r="C320">
        <f>IF(Registro_Compras!$R320&lt;&gt;"SI","",Registro_Compras!$D320)</f>
        <v/>
      </c>
      <c r="D320">
        <f>IF(Registro_Compras!$R320&lt;&gt;"SI","",Registro_Compras!$E320)</f>
        <v/>
      </c>
      <c r="E320">
        <f>IF(Registro_Compras!$R320&lt;&gt;"SI","",Registro_Compras!$G320)</f>
        <v/>
      </c>
      <c r="F320" s="31">
        <f>IF(Registro_Compras!$R320&lt;&gt;"SI","",Registro_Compras!$P320)</f>
        <v/>
      </c>
      <c r="G320" s="20">
        <f>IF(Registro_Compras!$R320&lt;&gt;"SI","",Registro_Compras!$O320)</f>
        <v/>
      </c>
      <c r="H320" s="20">
        <f>IF(Registro_Compras!$R320&lt;&gt;"SI","",Registro_Compras!$S320)</f>
        <v/>
      </c>
      <c r="I320" s="25">
        <f>IF(Registro_Compras!$R320&lt;&gt;"SI","",IF(Registro_Compras!$Y320="",WORKDAY(EOMONTH(Registro_Compras!$B320,0),5,Feriados),MIN(Registro_Compras!$Y320,WORKDAY(EOMONTH(Registro_Compras!$B320,0),5,Feriados))))</f>
        <v/>
      </c>
      <c r="J320" s="25">
        <f>IF(Registro_Compras!$R320&lt;&gt;"SI","",Registro_Compras!$X320)</f>
        <v/>
      </c>
      <c r="K320">
        <f>IF(Registro_Compras!$R320&lt;&gt;"SI","",IF(Registro_Compras!$X320="","PENDIENTE","DEPOSITADA"))</f>
        <v/>
      </c>
      <c r="L320">
        <f>IF(Registro_Compras!$R320&lt;&gt;"SI","",Registro_Compras!$Z320)</f>
        <v/>
      </c>
      <c r="M320">
        <f>IF($K320&lt;&gt;"PENDIENTE","",IF(TODAY()&gt;$I320,TODAY()-$I320,0))</f>
        <v/>
      </c>
      <c r="N320">
        <f>IF($K320&lt;&gt;"PENDIENTE","",IF($M320&gt;0,"VENCIDA - DEPOSITAR YA",IF($I320-TODAY()&lt;=3,"POR VENCER","EN PLAZO")))</f>
        <v/>
      </c>
    </row>
    <row r="321">
      <c r="A321" s="25">
        <f>IF(Registro_Compras!$R321&lt;&gt;"SI","",Registro_Compras!$B321)</f>
        <v/>
      </c>
      <c r="B321">
        <f>IF(Registro_Compras!$R321&lt;&gt;"SI","",Registro_Compras!$C321)</f>
        <v/>
      </c>
      <c r="C321">
        <f>IF(Registro_Compras!$R321&lt;&gt;"SI","",Registro_Compras!$D321)</f>
        <v/>
      </c>
      <c r="D321">
        <f>IF(Registro_Compras!$R321&lt;&gt;"SI","",Registro_Compras!$E321)</f>
        <v/>
      </c>
      <c r="E321">
        <f>IF(Registro_Compras!$R321&lt;&gt;"SI","",Registro_Compras!$G321)</f>
        <v/>
      </c>
      <c r="F321" s="31">
        <f>IF(Registro_Compras!$R321&lt;&gt;"SI","",Registro_Compras!$P321)</f>
        <v/>
      </c>
      <c r="G321" s="20">
        <f>IF(Registro_Compras!$R321&lt;&gt;"SI","",Registro_Compras!$O321)</f>
        <v/>
      </c>
      <c r="H321" s="20">
        <f>IF(Registro_Compras!$R321&lt;&gt;"SI","",Registro_Compras!$S321)</f>
        <v/>
      </c>
      <c r="I321" s="25">
        <f>IF(Registro_Compras!$R321&lt;&gt;"SI","",IF(Registro_Compras!$Y321="",WORKDAY(EOMONTH(Registro_Compras!$B321,0),5,Feriados),MIN(Registro_Compras!$Y321,WORKDAY(EOMONTH(Registro_Compras!$B321,0),5,Feriados))))</f>
        <v/>
      </c>
      <c r="J321" s="25">
        <f>IF(Registro_Compras!$R321&lt;&gt;"SI","",Registro_Compras!$X321)</f>
        <v/>
      </c>
      <c r="K321">
        <f>IF(Registro_Compras!$R321&lt;&gt;"SI","",IF(Registro_Compras!$X321="","PENDIENTE","DEPOSITADA"))</f>
        <v/>
      </c>
      <c r="L321">
        <f>IF(Registro_Compras!$R321&lt;&gt;"SI","",Registro_Compras!$Z321)</f>
        <v/>
      </c>
      <c r="M321">
        <f>IF($K321&lt;&gt;"PENDIENTE","",IF(TODAY()&gt;$I321,TODAY()-$I321,0))</f>
        <v/>
      </c>
      <c r="N321">
        <f>IF($K321&lt;&gt;"PENDIENTE","",IF($M321&gt;0,"VENCIDA - DEPOSITAR YA",IF($I321-TODAY()&lt;=3,"POR VENCER","EN PLAZO")))</f>
        <v/>
      </c>
    </row>
    <row r="322">
      <c r="A322" s="25">
        <f>IF(Registro_Compras!$R322&lt;&gt;"SI","",Registro_Compras!$B322)</f>
        <v/>
      </c>
      <c r="B322">
        <f>IF(Registro_Compras!$R322&lt;&gt;"SI","",Registro_Compras!$C322)</f>
        <v/>
      </c>
      <c r="C322">
        <f>IF(Registro_Compras!$R322&lt;&gt;"SI","",Registro_Compras!$D322)</f>
        <v/>
      </c>
      <c r="D322">
        <f>IF(Registro_Compras!$R322&lt;&gt;"SI","",Registro_Compras!$E322)</f>
        <v/>
      </c>
      <c r="E322">
        <f>IF(Registro_Compras!$R322&lt;&gt;"SI","",Registro_Compras!$G322)</f>
        <v/>
      </c>
      <c r="F322" s="31">
        <f>IF(Registro_Compras!$R322&lt;&gt;"SI","",Registro_Compras!$P322)</f>
        <v/>
      </c>
      <c r="G322" s="20">
        <f>IF(Registro_Compras!$R322&lt;&gt;"SI","",Registro_Compras!$O322)</f>
        <v/>
      </c>
      <c r="H322" s="20">
        <f>IF(Registro_Compras!$R322&lt;&gt;"SI","",Registro_Compras!$S322)</f>
        <v/>
      </c>
      <c r="I322" s="25">
        <f>IF(Registro_Compras!$R322&lt;&gt;"SI","",IF(Registro_Compras!$Y322="",WORKDAY(EOMONTH(Registro_Compras!$B322,0),5,Feriados),MIN(Registro_Compras!$Y322,WORKDAY(EOMONTH(Registro_Compras!$B322,0),5,Feriados))))</f>
        <v/>
      </c>
      <c r="J322" s="25">
        <f>IF(Registro_Compras!$R322&lt;&gt;"SI","",Registro_Compras!$X322)</f>
        <v/>
      </c>
      <c r="K322">
        <f>IF(Registro_Compras!$R322&lt;&gt;"SI","",IF(Registro_Compras!$X322="","PENDIENTE","DEPOSITADA"))</f>
        <v/>
      </c>
      <c r="L322">
        <f>IF(Registro_Compras!$R322&lt;&gt;"SI","",Registro_Compras!$Z322)</f>
        <v/>
      </c>
      <c r="M322">
        <f>IF($K322&lt;&gt;"PENDIENTE","",IF(TODAY()&gt;$I322,TODAY()-$I322,0))</f>
        <v/>
      </c>
      <c r="N322">
        <f>IF($K322&lt;&gt;"PENDIENTE","",IF($M322&gt;0,"VENCIDA - DEPOSITAR YA",IF($I322-TODAY()&lt;=3,"POR VENCER","EN PLAZO")))</f>
        <v/>
      </c>
    </row>
    <row r="323">
      <c r="A323" s="25">
        <f>IF(Registro_Compras!$R323&lt;&gt;"SI","",Registro_Compras!$B323)</f>
        <v/>
      </c>
      <c r="B323">
        <f>IF(Registro_Compras!$R323&lt;&gt;"SI","",Registro_Compras!$C323)</f>
        <v/>
      </c>
      <c r="C323">
        <f>IF(Registro_Compras!$R323&lt;&gt;"SI","",Registro_Compras!$D323)</f>
        <v/>
      </c>
      <c r="D323">
        <f>IF(Registro_Compras!$R323&lt;&gt;"SI","",Registro_Compras!$E323)</f>
        <v/>
      </c>
      <c r="E323">
        <f>IF(Registro_Compras!$R323&lt;&gt;"SI","",Registro_Compras!$G323)</f>
        <v/>
      </c>
      <c r="F323" s="31">
        <f>IF(Registro_Compras!$R323&lt;&gt;"SI","",Registro_Compras!$P323)</f>
        <v/>
      </c>
      <c r="G323" s="20">
        <f>IF(Registro_Compras!$R323&lt;&gt;"SI","",Registro_Compras!$O323)</f>
        <v/>
      </c>
      <c r="H323" s="20">
        <f>IF(Registro_Compras!$R323&lt;&gt;"SI","",Registro_Compras!$S323)</f>
        <v/>
      </c>
      <c r="I323" s="25">
        <f>IF(Registro_Compras!$R323&lt;&gt;"SI","",IF(Registro_Compras!$Y323="",WORKDAY(EOMONTH(Registro_Compras!$B323,0),5,Feriados),MIN(Registro_Compras!$Y323,WORKDAY(EOMONTH(Registro_Compras!$B323,0),5,Feriados))))</f>
        <v/>
      </c>
      <c r="J323" s="25">
        <f>IF(Registro_Compras!$R323&lt;&gt;"SI","",Registro_Compras!$X323)</f>
        <v/>
      </c>
      <c r="K323">
        <f>IF(Registro_Compras!$R323&lt;&gt;"SI","",IF(Registro_Compras!$X323="","PENDIENTE","DEPOSITADA"))</f>
        <v/>
      </c>
      <c r="L323">
        <f>IF(Registro_Compras!$R323&lt;&gt;"SI","",Registro_Compras!$Z323)</f>
        <v/>
      </c>
      <c r="M323">
        <f>IF($K323&lt;&gt;"PENDIENTE","",IF(TODAY()&gt;$I323,TODAY()-$I323,0))</f>
        <v/>
      </c>
      <c r="N323">
        <f>IF($K323&lt;&gt;"PENDIENTE","",IF($M323&gt;0,"VENCIDA - DEPOSITAR YA",IF($I323-TODAY()&lt;=3,"POR VENCER","EN PLAZO")))</f>
        <v/>
      </c>
    </row>
    <row r="324">
      <c r="A324" s="25">
        <f>IF(Registro_Compras!$R324&lt;&gt;"SI","",Registro_Compras!$B324)</f>
        <v/>
      </c>
      <c r="B324">
        <f>IF(Registro_Compras!$R324&lt;&gt;"SI","",Registro_Compras!$C324)</f>
        <v/>
      </c>
      <c r="C324">
        <f>IF(Registro_Compras!$R324&lt;&gt;"SI","",Registro_Compras!$D324)</f>
        <v/>
      </c>
      <c r="D324">
        <f>IF(Registro_Compras!$R324&lt;&gt;"SI","",Registro_Compras!$E324)</f>
        <v/>
      </c>
      <c r="E324">
        <f>IF(Registro_Compras!$R324&lt;&gt;"SI","",Registro_Compras!$G324)</f>
        <v/>
      </c>
      <c r="F324" s="31">
        <f>IF(Registro_Compras!$R324&lt;&gt;"SI","",Registro_Compras!$P324)</f>
        <v/>
      </c>
      <c r="G324" s="20">
        <f>IF(Registro_Compras!$R324&lt;&gt;"SI","",Registro_Compras!$O324)</f>
        <v/>
      </c>
      <c r="H324" s="20">
        <f>IF(Registro_Compras!$R324&lt;&gt;"SI","",Registro_Compras!$S324)</f>
        <v/>
      </c>
      <c r="I324" s="25">
        <f>IF(Registro_Compras!$R324&lt;&gt;"SI","",IF(Registro_Compras!$Y324="",WORKDAY(EOMONTH(Registro_Compras!$B324,0),5,Feriados),MIN(Registro_Compras!$Y324,WORKDAY(EOMONTH(Registro_Compras!$B324,0),5,Feriados))))</f>
        <v/>
      </c>
      <c r="J324" s="25">
        <f>IF(Registro_Compras!$R324&lt;&gt;"SI","",Registro_Compras!$X324)</f>
        <v/>
      </c>
      <c r="K324">
        <f>IF(Registro_Compras!$R324&lt;&gt;"SI","",IF(Registro_Compras!$X324="","PENDIENTE","DEPOSITADA"))</f>
        <v/>
      </c>
      <c r="L324">
        <f>IF(Registro_Compras!$R324&lt;&gt;"SI","",Registro_Compras!$Z324)</f>
        <v/>
      </c>
      <c r="M324">
        <f>IF($K324&lt;&gt;"PENDIENTE","",IF(TODAY()&gt;$I324,TODAY()-$I324,0))</f>
        <v/>
      </c>
      <c r="N324">
        <f>IF($K324&lt;&gt;"PENDIENTE","",IF($M324&gt;0,"VENCIDA - DEPOSITAR YA",IF($I324-TODAY()&lt;=3,"POR VENCER","EN PLAZO")))</f>
        <v/>
      </c>
    </row>
    <row r="325">
      <c r="A325" s="25">
        <f>IF(Registro_Compras!$R325&lt;&gt;"SI","",Registro_Compras!$B325)</f>
        <v/>
      </c>
      <c r="B325">
        <f>IF(Registro_Compras!$R325&lt;&gt;"SI","",Registro_Compras!$C325)</f>
        <v/>
      </c>
      <c r="C325">
        <f>IF(Registro_Compras!$R325&lt;&gt;"SI","",Registro_Compras!$D325)</f>
        <v/>
      </c>
      <c r="D325">
        <f>IF(Registro_Compras!$R325&lt;&gt;"SI","",Registro_Compras!$E325)</f>
        <v/>
      </c>
      <c r="E325">
        <f>IF(Registro_Compras!$R325&lt;&gt;"SI","",Registro_Compras!$G325)</f>
        <v/>
      </c>
      <c r="F325" s="31">
        <f>IF(Registro_Compras!$R325&lt;&gt;"SI","",Registro_Compras!$P325)</f>
        <v/>
      </c>
      <c r="G325" s="20">
        <f>IF(Registro_Compras!$R325&lt;&gt;"SI","",Registro_Compras!$O325)</f>
        <v/>
      </c>
      <c r="H325" s="20">
        <f>IF(Registro_Compras!$R325&lt;&gt;"SI","",Registro_Compras!$S325)</f>
        <v/>
      </c>
      <c r="I325" s="25">
        <f>IF(Registro_Compras!$R325&lt;&gt;"SI","",IF(Registro_Compras!$Y325="",WORKDAY(EOMONTH(Registro_Compras!$B325,0),5,Feriados),MIN(Registro_Compras!$Y325,WORKDAY(EOMONTH(Registro_Compras!$B325,0),5,Feriados))))</f>
        <v/>
      </c>
      <c r="J325" s="25">
        <f>IF(Registro_Compras!$R325&lt;&gt;"SI","",Registro_Compras!$X325)</f>
        <v/>
      </c>
      <c r="K325">
        <f>IF(Registro_Compras!$R325&lt;&gt;"SI","",IF(Registro_Compras!$X325="","PENDIENTE","DEPOSITADA"))</f>
        <v/>
      </c>
      <c r="L325">
        <f>IF(Registro_Compras!$R325&lt;&gt;"SI","",Registro_Compras!$Z325)</f>
        <v/>
      </c>
      <c r="M325">
        <f>IF($K325&lt;&gt;"PENDIENTE","",IF(TODAY()&gt;$I325,TODAY()-$I325,0))</f>
        <v/>
      </c>
      <c r="N325">
        <f>IF($K325&lt;&gt;"PENDIENTE","",IF($M325&gt;0,"VENCIDA - DEPOSITAR YA",IF($I325-TODAY()&lt;=3,"POR VENCER","EN PLAZO")))</f>
        <v/>
      </c>
    </row>
    <row r="326">
      <c r="A326" s="25">
        <f>IF(Registro_Compras!$R326&lt;&gt;"SI","",Registro_Compras!$B326)</f>
        <v/>
      </c>
      <c r="B326">
        <f>IF(Registro_Compras!$R326&lt;&gt;"SI","",Registro_Compras!$C326)</f>
        <v/>
      </c>
      <c r="C326">
        <f>IF(Registro_Compras!$R326&lt;&gt;"SI","",Registro_Compras!$D326)</f>
        <v/>
      </c>
      <c r="D326">
        <f>IF(Registro_Compras!$R326&lt;&gt;"SI","",Registro_Compras!$E326)</f>
        <v/>
      </c>
      <c r="E326">
        <f>IF(Registro_Compras!$R326&lt;&gt;"SI","",Registro_Compras!$G326)</f>
        <v/>
      </c>
      <c r="F326" s="31">
        <f>IF(Registro_Compras!$R326&lt;&gt;"SI","",Registro_Compras!$P326)</f>
        <v/>
      </c>
      <c r="G326" s="20">
        <f>IF(Registro_Compras!$R326&lt;&gt;"SI","",Registro_Compras!$O326)</f>
        <v/>
      </c>
      <c r="H326" s="20">
        <f>IF(Registro_Compras!$R326&lt;&gt;"SI","",Registro_Compras!$S326)</f>
        <v/>
      </c>
      <c r="I326" s="25">
        <f>IF(Registro_Compras!$R326&lt;&gt;"SI","",IF(Registro_Compras!$Y326="",WORKDAY(EOMONTH(Registro_Compras!$B326,0),5,Feriados),MIN(Registro_Compras!$Y326,WORKDAY(EOMONTH(Registro_Compras!$B326,0),5,Feriados))))</f>
        <v/>
      </c>
      <c r="J326" s="25">
        <f>IF(Registro_Compras!$R326&lt;&gt;"SI","",Registro_Compras!$X326)</f>
        <v/>
      </c>
      <c r="K326">
        <f>IF(Registro_Compras!$R326&lt;&gt;"SI","",IF(Registro_Compras!$X326="","PENDIENTE","DEPOSITADA"))</f>
        <v/>
      </c>
      <c r="L326">
        <f>IF(Registro_Compras!$R326&lt;&gt;"SI","",Registro_Compras!$Z326)</f>
        <v/>
      </c>
      <c r="M326">
        <f>IF($K326&lt;&gt;"PENDIENTE","",IF(TODAY()&gt;$I326,TODAY()-$I326,0))</f>
        <v/>
      </c>
      <c r="N326">
        <f>IF($K326&lt;&gt;"PENDIENTE","",IF($M326&gt;0,"VENCIDA - DEPOSITAR YA",IF($I326-TODAY()&lt;=3,"POR VENCER","EN PLAZO")))</f>
        <v/>
      </c>
    </row>
    <row r="327">
      <c r="A327" s="25">
        <f>IF(Registro_Compras!$R327&lt;&gt;"SI","",Registro_Compras!$B327)</f>
        <v/>
      </c>
      <c r="B327">
        <f>IF(Registro_Compras!$R327&lt;&gt;"SI","",Registro_Compras!$C327)</f>
        <v/>
      </c>
      <c r="C327">
        <f>IF(Registro_Compras!$R327&lt;&gt;"SI","",Registro_Compras!$D327)</f>
        <v/>
      </c>
      <c r="D327">
        <f>IF(Registro_Compras!$R327&lt;&gt;"SI","",Registro_Compras!$E327)</f>
        <v/>
      </c>
      <c r="E327">
        <f>IF(Registro_Compras!$R327&lt;&gt;"SI","",Registro_Compras!$G327)</f>
        <v/>
      </c>
      <c r="F327" s="31">
        <f>IF(Registro_Compras!$R327&lt;&gt;"SI","",Registro_Compras!$P327)</f>
        <v/>
      </c>
      <c r="G327" s="20">
        <f>IF(Registro_Compras!$R327&lt;&gt;"SI","",Registro_Compras!$O327)</f>
        <v/>
      </c>
      <c r="H327" s="20">
        <f>IF(Registro_Compras!$R327&lt;&gt;"SI","",Registro_Compras!$S327)</f>
        <v/>
      </c>
      <c r="I327" s="25">
        <f>IF(Registro_Compras!$R327&lt;&gt;"SI","",IF(Registro_Compras!$Y327="",WORKDAY(EOMONTH(Registro_Compras!$B327,0),5,Feriados),MIN(Registro_Compras!$Y327,WORKDAY(EOMONTH(Registro_Compras!$B327,0),5,Feriados))))</f>
        <v/>
      </c>
      <c r="J327" s="25">
        <f>IF(Registro_Compras!$R327&lt;&gt;"SI","",Registro_Compras!$X327)</f>
        <v/>
      </c>
      <c r="K327">
        <f>IF(Registro_Compras!$R327&lt;&gt;"SI","",IF(Registro_Compras!$X327="","PENDIENTE","DEPOSITADA"))</f>
        <v/>
      </c>
      <c r="L327">
        <f>IF(Registro_Compras!$R327&lt;&gt;"SI","",Registro_Compras!$Z327)</f>
        <v/>
      </c>
      <c r="M327">
        <f>IF($K327&lt;&gt;"PENDIENTE","",IF(TODAY()&gt;$I327,TODAY()-$I327,0))</f>
        <v/>
      </c>
      <c r="N327">
        <f>IF($K327&lt;&gt;"PENDIENTE","",IF($M327&gt;0,"VENCIDA - DEPOSITAR YA",IF($I327-TODAY()&lt;=3,"POR VENCER","EN PLAZO")))</f>
        <v/>
      </c>
    </row>
    <row r="328">
      <c r="A328" s="25">
        <f>IF(Registro_Compras!$R328&lt;&gt;"SI","",Registro_Compras!$B328)</f>
        <v/>
      </c>
      <c r="B328">
        <f>IF(Registro_Compras!$R328&lt;&gt;"SI","",Registro_Compras!$C328)</f>
        <v/>
      </c>
      <c r="C328">
        <f>IF(Registro_Compras!$R328&lt;&gt;"SI","",Registro_Compras!$D328)</f>
        <v/>
      </c>
      <c r="D328">
        <f>IF(Registro_Compras!$R328&lt;&gt;"SI","",Registro_Compras!$E328)</f>
        <v/>
      </c>
      <c r="E328">
        <f>IF(Registro_Compras!$R328&lt;&gt;"SI","",Registro_Compras!$G328)</f>
        <v/>
      </c>
      <c r="F328" s="31">
        <f>IF(Registro_Compras!$R328&lt;&gt;"SI","",Registro_Compras!$P328)</f>
        <v/>
      </c>
      <c r="G328" s="20">
        <f>IF(Registro_Compras!$R328&lt;&gt;"SI","",Registro_Compras!$O328)</f>
        <v/>
      </c>
      <c r="H328" s="20">
        <f>IF(Registro_Compras!$R328&lt;&gt;"SI","",Registro_Compras!$S328)</f>
        <v/>
      </c>
      <c r="I328" s="25">
        <f>IF(Registro_Compras!$R328&lt;&gt;"SI","",IF(Registro_Compras!$Y328="",WORKDAY(EOMONTH(Registro_Compras!$B328,0),5,Feriados),MIN(Registro_Compras!$Y328,WORKDAY(EOMONTH(Registro_Compras!$B328,0),5,Feriados))))</f>
        <v/>
      </c>
      <c r="J328" s="25">
        <f>IF(Registro_Compras!$R328&lt;&gt;"SI","",Registro_Compras!$X328)</f>
        <v/>
      </c>
      <c r="K328">
        <f>IF(Registro_Compras!$R328&lt;&gt;"SI","",IF(Registro_Compras!$X328="","PENDIENTE","DEPOSITADA"))</f>
        <v/>
      </c>
      <c r="L328">
        <f>IF(Registro_Compras!$R328&lt;&gt;"SI","",Registro_Compras!$Z328)</f>
        <v/>
      </c>
      <c r="M328">
        <f>IF($K328&lt;&gt;"PENDIENTE","",IF(TODAY()&gt;$I328,TODAY()-$I328,0))</f>
        <v/>
      </c>
      <c r="N328">
        <f>IF($K328&lt;&gt;"PENDIENTE","",IF($M328&gt;0,"VENCIDA - DEPOSITAR YA",IF($I328-TODAY()&lt;=3,"POR VENCER","EN PLAZO")))</f>
        <v/>
      </c>
    </row>
    <row r="329">
      <c r="A329" s="25">
        <f>IF(Registro_Compras!$R329&lt;&gt;"SI","",Registro_Compras!$B329)</f>
        <v/>
      </c>
      <c r="B329">
        <f>IF(Registro_Compras!$R329&lt;&gt;"SI","",Registro_Compras!$C329)</f>
        <v/>
      </c>
      <c r="C329">
        <f>IF(Registro_Compras!$R329&lt;&gt;"SI","",Registro_Compras!$D329)</f>
        <v/>
      </c>
      <c r="D329">
        <f>IF(Registro_Compras!$R329&lt;&gt;"SI","",Registro_Compras!$E329)</f>
        <v/>
      </c>
      <c r="E329">
        <f>IF(Registro_Compras!$R329&lt;&gt;"SI","",Registro_Compras!$G329)</f>
        <v/>
      </c>
      <c r="F329" s="31">
        <f>IF(Registro_Compras!$R329&lt;&gt;"SI","",Registro_Compras!$P329)</f>
        <v/>
      </c>
      <c r="G329" s="20">
        <f>IF(Registro_Compras!$R329&lt;&gt;"SI","",Registro_Compras!$O329)</f>
        <v/>
      </c>
      <c r="H329" s="20">
        <f>IF(Registro_Compras!$R329&lt;&gt;"SI","",Registro_Compras!$S329)</f>
        <v/>
      </c>
      <c r="I329" s="25">
        <f>IF(Registro_Compras!$R329&lt;&gt;"SI","",IF(Registro_Compras!$Y329="",WORKDAY(EOMONTH(Registro_Compras!$B329,0),5,Feriados),MIN(Registro_Compras!$Y329,WORKDAY(EOMONTH(Registro_Compras!$B329,0),5,Feriados))))</f>
        <v/>
      </c>
      <c r="J329" s="25">
        <f>IF(Registro_Compras!$R329&lt;&gt;"SI","",Registro_Compras!$X329)</f>
        <v/>
      </c>
      <c r="K329">
        <f>IF(Registro_Compras!$R329&lt;&gt;"SI","",IF(Registro_Compras!$X329="","PENDIENTE","DEPOSITADA"))</f>
        <v/>
      </c>
      <c r="L329">
        <f>IF(Registro_Compras!$R329&lt;&gt;"SI","",Registro_Compras!$Z329)</f>
        <v/>
      </c>
      <c r="M329">
        <f>IF($K329&lt;&gt;"PENDIENTE","",IF(TODAY()&gt;$I329,TODAY()-$I329,0))</f>
        <v/>
      </c>
      <c r="N329">
        <f>IF($K329&lt;&gt;"PENDIENTE","",IF($M329&gt;0,"VENCIDA - DEPOSITAR YA",IF($I329-TODAY()&lt;=3,"POR VENCER","EN PLAZO")))</f>
        <v/>
      </c>
    </row>
    <row r="330">
      <c r="A330" s="25">
        <f>IF(Registro_Compras!$R330&lt;&gt;"SI","",Registro_Compras!$B330)</f>
        <v/>
      </c>
      <c r="B330">
        <f>IF(Registro_Compras!$R330&lt;&gt;"SI","",Registro_Compras!$C330)</f>
        <v/>
      </c>
      <c r="C330">
        <f>IF(Registro_Compras!$R330&lt;&gt;"SI","",Registro_Compras!$D330)</f>
        <v/>
      </c>
      <c r="D330">
        <f>IF(Registro_Compras!$R330&lt;&gt;"SI","",Registro_Compras!$E330)</f>
        <v/>
      </c>
      <c r="E330">
        <f>IF(Registro_Compras!$R330&lt;&gt;"SI","",Registro_Compras!$G330)</f>
        <v/>
      </c>
      <c r="F330" s="31">
        <f>IF(Registro_Compras!$R330&lt;&gt;"SI","",Registro_Compras!$P330)</f>
        <v/>
      </c>
      <c r="G330" s="20">
        <f>IF(Registro_Compras!$R330&lt;&gt;"SI","",Registro_Compras!$O330)</f>
        <v/>
      </c>
      <c r="H330" s="20">
        <f>IF(Registro_Compras!$R330&lt;&gt;"SI","",Registro_Compras!$S330)</f>
        <v/>
      </c>
      <c r="I330" s="25">
        <f>IF(Registro_Compras!$R330&lt;&gt;"SI","",IF(Registro_Compras!$Y330="",WORKDAY(EOMONTH(Registro_Compras!$B330,0),5,Feriados),MIN(Registro_Compras!$Y330,WORKDAY(EOMONTH(Registro_Compras!$B330,0),5,Feriados))))</f>
        <v/>
      </c>
      <c r="J330" s="25">
        <f>IF(Registro_Compras!$R330&lt;&gt;"SI","",Registro_Compras!$X330)</f>
        <v/>
      </c>
      <c r="K330">
        <f>IF(Registro_Compras!$R330&lt;&gt;"SI","",IF(Registro_Compras!$X330="","PENDIENTE","DEPOSITADA"))</f>
        <v/>
      </c>
      <c r="L330">
        <f>IF(Registro_Compras!$R330&lt;&gt;"SI","",Registro_Compras!$Z330)</f>
        <v/>
      </c>
      <c r="M330">
        <f>IF($K330&lt;&gt;"PENDIENTE","",IF(TODAY()&gt;$I330,TODAY()-$I330,0))</f>
        <v/>
      </c>
      <c r="N330">
        <f>IF($K330&lt;&gt;"PENDIENTE","",IF($M330&gt;0,"VENCIDA - DEPOSITAR YA",IF($I330-TODAY()&lt;=3,"POR VENCER","EN PLAZO")))</f>
        <v/>
      </c>
    </row>
    <row r="331">
      <c r="A331" s="25">
        <f>IF(Registro_Compras!$R331&lt;&gt;"SI","",Registro_Compras!$B331)</f>
        <v/>
      </c>
      <c r="B331">
        <f>IF(Registro_Compras!$R331&lt;&gt;"SI","",Registro_Compras!$C331)</f>
        <v/>
      </c>
      <c r="C331">
        <f>IF(Registro_Compras!$R331&lt;&gt;"SI","",Registro_Compras!$D331)</f>
        <v/>
      </c>
      <c r="D331">
        <f>IF(Registro_Compras!$R331&lt;&gt;"SI","",Registro_Compras!$E331)</f>
        <v/>
      </c>
      <c r="E331">
        <f>IF(Registro_Compras!$R331&lt;&gt;"SI","",Registro_Compras!$G331)</f>
        <v/>
      </c>
      <c r="F331" s="31">
        <f>IF(Registro_Compras!$R331&lt;&gt;"SI","",Registro_Compras!$P331)</f>
        <v/>
      </c>
      <c r="G331" s="20">
        <f>IF(Registro_Compras!$R331&lt;&gt;"SI","",Registro_Compras!$O331)</f>
        <v/>
      </c>
      <c r="H331" s="20">
        <f>IF(Registro_Compras!$R331&lt;&gt;"SI","",Registro_Compras!$S331)</f>
        <v/>
      </c>
      <c r="I331" s="25">
        <f>IF(Registro_Compras!$R331&lt;&gt;"SI","",IF(Registro_Compras!$Y331="",WORKDAY(EOMONTH(Registro_Compras!$B331,0),5,Feriados),MIN(Registro_Compras!$Y331,WORKDAY(EOMONTH(Registro_Compras!$B331,0),5,Feriados))))</f>
        <v/>
      </c>
      <c r="J331" s="25">
        <f>IF(Registro_Compras!$R331&lt;&gt;"SI","",Registro_Compras!$X331)</f>
        <v/>
      </c>
      <c r="K331">
        <f>IF(Registro_Compras!$R331&lt;&gt;"SI","",IF(Registro_Compras!$X331="","PENDIENTE","DEPOSITADA"))</f>
        <v/>
      </c>
      <c r="L331">
        <f>IF(Registro_Compras!$R331&lt;&gt;"SI","",Registro_Compras!$Z331)</f>
        <v/>
      </c>
      <c r="M331">
        <f>IF($K331&lt;&gt;"PENDIENTE","",IF(TODAY()&gt;$I331,TODAY()-$I331,0))</f>
        <v/>
      </c>
      <c r="N331">
        <f>IF($K331&lt;&gt;"PENDIENTE","",IF($M331&gt;0,"VENCIDA - DEPOSITAR YA",IF($I331-TODAY()&lt;=3,"POR VENCER","EN PLAZO")))</f>
        <v/>
      </c>
    </row>
    <row r="332">
      <c r="A332" s="25">
        <f>IF(Registro_Compras!$R332&lt;&gt;"SI","",Registro_Compras!$B332)</f>
        <v/>
      </c>
      <c r="B332">
        <f>IF(Registro_Compras!$R332&lt;&gt;"SI","",Registro_Compras!$C332)</f>
        <v/>
      </c>
      <c r="C332">
        <f>IF(Registro_Compras!$R332&lt;&gt;"SI","",Registro_Compras!$D332)</f>
        <v/>
      </c>
      <c r="D332">
        <f>IF(Registro_Compras!$R332&lt;&gt;"SI","",Registro_Compras!$E332)</f>
        <v/>
      </c>
      <c r="E332">
        <f>IF(Registro_Compras!$R332&lt;&gt;"SI","",Registro_Compras!$G332)</f>
        <v/>
      </c>
      <c r="F332" s="31">
        <f>IF(Registro_Compras!$R332&lt;&gt;"SI","",Registro_Compras!$P332)</f>
        <v/>
      </c>
      <c r="G332" s="20">
        <f>IF(Registro_Compras!$R332&lt;&gt;"SI","",Registro_Compras!$O332)</f>
        <v/>
      </c>
      <c r="H332" s="20">
        <f>IF(Registro_Compras!$R332&lt;&gt;"SI","",Registro_Compras!$S332)</f>
        <v/>
      </c>
      <c r="I332" s="25">
        <f>IF(Registro_Compras!$R332&lt;&gt;"SI","",IF(Registro_Compras!$Y332="",WORKDAY(EOMONTH(Registro_Compras!$B332,0),5,Feriados),MIN(Registro_Compras!$Y332,WORKDAY(EOMONTH(Registro_Compras!$B332,0),5,Feriados))))</f>
        <v/>
      </c>
      <c r="J332" s="25">
        <f>IF(Registro_Compras!$R332&lt;&gt;"SI","",Registro_Compras!$X332)</f>
        <v/>
      </c>
      <c r="K332">
        <f>IF(Registro_Compras!$R332&lt;&gt;"SI","",IF(Registro_Compras!$X332="","PENDIENTE","DEPOSITADA"))</f>
        <v/>
      </c>
      <c r="L332">
        <f>IF(Registro_Compras!$R332&lt;&gt;"SI","",Registro_Compras!$Z332)</f>
        <v/>
      </c>
      <c r="M332">
        <f>IF($K332&lt;&gt;"PENDIENTE","",IF(TODAY()&gt;$I332,TODAY()-$I332,0))</f>
        <v/>
      </c>
      <c r="N332">
        <f>IF($K332&lt;&gt;"PENDIENTE","",IF($M332&gt;0,"VENCIDA - DEPOSITAR YA",IF($I332-TODAY()&lt;=3,"POR VENCER","EN PLAZO")))</f>
        <v/>
      </c>
    </row>
    <row r="333">
      <c r="A333" s="25">
        <f>IF(Registro_Compras!$R333&lt;&gt;"SI","",Registro_Compras!$B333)</f>
        <v/>
      </c>
      <c r="B333">
        <f>IF(Registro_Compras!$R333&lt;&gt;"SI","",Registro_Compras!$C333)</f>
        <v/>
      </c>
      <c r="C333">
        <f>IF(Registro_Compras!$R333&lt;&gt;"SI","",Registro_Compras!$D333)</f>
        <v/>
      </c>
      <c r="D333">
        <f>IF(Registro_Compras!$R333&lt;&gt;"SI","",Registro_Compras!$E333)</f>
        <v/>
      </c>
      <c r="E333">
        <f>IF(Registro_Compras!$R333&lt;&gt;"SI","",Registro_Compras!$G333)</f>
        <v/>
      </c>
      <c r="F333" s="31">
        <f>IF(Registro_Compras!$R333&lt;&gt;"SI","",Registro_Compras!$P333)</f>
        <v/>
      </c>
      <c r="G333" s="20">
        <f>IF(Registro_Compras!$R333&lt;&gt;"SI","",Registro_Compras!$O333)</f>
        <v/>
      </c>
      <c r="H333" s="20">
        <f>IF(Registro_Compras!$R333&lt;&gt;"SI","",Registro_Compras!$S333)</f>
        <v/>
      </c>
      <c r="I333" s="25">
        <f>IF(Registro_Compras!$R333&lt;&gt;"SI","",IF(Registro_Compras!$Y333="",WORKDAY(EOMONTH(Registro_Compras!$B333,0),5,Feriados),MIN(Registro_Compras!$Y333,WORKDAY(EOMONTH(Registro_Compras!$B333,0),5,Feriados))))</f>
        <v/>
      </c>
      <c r="J333" s="25">
        <f>IF(Registro_Compras!$R333&lt;&gt;"SI","",Registro_Compras!$X333)</f>
        <v/>
      </c>
      <c r="K333">
        <f>IF(Registro_Compras!$R333&lt;&gt;"SI","",IF(Registro_Compras!$X333="","PENDIENTE","DEPOSITADA"))</f>
        <v/>
      </c>
      <c r="L333">
        <f>IF(Registro_Compras!$R333&lt;&gt;"SI","",Registro_Compras!$Z333)</f>
        <v/>
      </c>
      <c r="M333">
        <f>IF($K333&lt;&gt;"PENDIENTE","",IF(TODAY()&gt;$I333,TODAY()-$I333,0))</f>
        <v/>
      </c>
      <c r="N333">
        <f>IF($K333&lt;&gt;"PENDIENTE","",IF($M333&gt;0,"VENCIDA - DEPOSITAR YA",IF($I333-TODAY()&lt;=3,"POR VENCER","EN PLAZO")))</f>
        <v/>
      </c>
    </row>
    <row r="334">
      <c r="A334" s="25">
        <f>IF(Registro_Compras!$R334&lt;&gt;"SI","",Registro_Compras!$B334)</f>
        <v/>
      </c>
      <c r="B334">
        <f>IF(Registro_Compras!$R334&lt;&gt;"SI","",Registro_Compras!$C334)</f>
        <v/>
      </c>
      <c r="C334">
        <f>IF(Registro_Compras!$R334&lt;&gt;"SI","",Registro_Compras!$D334)</f>
        <v/>
      </c>
      <c r="D334">
        <f>IF(Registro_Compras!$R334&lt;&gt;"SI","",Registro_Compras!$E334)</f>
        <v/>
      </c>
      <c r="E334">
        <f>IF(Registro_Compras!$R334&lt;&gt;"SI","",Registro_Compras!$G334)</f>
        <v/>
      </c>
      <c r="F334" s="31">
        <f>IF(Registro_Compras!$R334&lt;&gt;"SI","",Registro_Compras!$P334)</f>
        <v/>
      </c>
      <c r="G334" s="20">
        <f>IF(Registro_Compras!$R334&lt;&gt;"SI","",Registro_Compras!$O334)</f>
        <v/>
      </c>
      <c r="H334" s="20">
        <f>IF(Registro_Compras!$R334&lt;&gt;"SI","",Registro_Compras!$S334)</f>
        <v/>
      </c>
      <c r="I334" s="25">
        <f>IF(Registro_Compras!$R334&lt;&gt;"SI","",IF(Registro_Compras!$Y334="",WORKDAY(EOMONTH(Registro_Compras!$B334,0),5,Feriados),MIN(Registro_Compras!$Y334,WORKDAY(EOMONTH(Registro_Compras!$B334,0),5,Feriados))))</f>
        <v/>
      </c>
      <c r="J334" s="25">
        <f>IF(Registro_Compras!$R334&lt;&gt;"SI","",Registro_Compras!$X334)</f>
        <v/>
      </c>
      <c r="K334">
        <f>IF(Registro_Compras!$R334&lt;&gt;"SI","",IF(Registro_Compras!$X334="","PENDIENTE","DEPOSITADA"))</f>
        <v/>
      </c>
      <c r="L334">
        <f>IF(Registro_Compras!$R334&lt;&gt;"SI","",Registro_Compras!$Z334)</f>
        <v/>
      </c>
      <c r="M334">
        <f>IF($K334&lt;&gt;"PENDIENTE","",IF(TODAY()&gt;$I334,TODAY()-$I334,0))</f>
        <v/>
      </c>
      <c r="N334">
        <f>IF($K334&lt;&gt;"PENDIENTE","",IF($M334&gt;0,"VENCIDA - DEPOSITAR YA",IF($I334-TODAY()&lt;=3,"POR VENCER","EN PLAZO")))</f>
        <v/>
      </c>
    </row>
    <row r="335">
      <c r="A335" s="25">
        <f>IF(Registro_Compras!$R335&lt;&gt;"SI","",Registro_Compras!$B335)</f>
        <v/>
      </c>
      <c r="B335">
        <f>IF(Registro_Compras!$R335&lt;&gt;"SI","",Registro_Compras!$C335)</f>
        <v/>
      </c>
      <c r="C335">
        <f>IF(Registro_Compras!$R335&lt;&gt;"SI","",Registro_Compras!$D335)</f>
        <v/>
      </c>
      <c r="D335">
        <f>IF(Registro_Compras!$R335&lt;&gt;"SI","",Registro_Compras!$E335)</f>
        <v/>
      </c>
      <c r="E335">
        <f>IF(Registro_Compras!$R335&lt;&gt;"SI","",Registro_Compras!$G335)</f>
        <v/>
      </c>
      <c r="F335" s="31">
        <f>IF(Registro_Compras!$R335&lt;&gt;"SI","",Registro_Compras!$P335)</f>
        <v/>
      </c>
      <c r="G335" s="20">
        <f>IF(Registro_Compras!$R335&lt;&gt;"SI","",Registro_Compras!$O335)</f>
        <v/>
      </c>
      <c r="H335" s="20">
        <f>IF(Registro_Compras!$R335&lt;&gt;"SI","",Registro_Compras!$S335)</f>
        <v/>
      </c>
      <c r="I335" s="25">
        <f>IF(Registro_Compras!$R335&lt;&gt;"SI","",IF(Registro_Compras!$Y335="",WORKDAY(EOMONTH(Registro_Compras!$B335,0),5,Feriados),MIN(Registro_Compras!$Y335,WORKDAY(EOMONTH(Registro_Compras!$B335,0),5,Feriados))))</f>
        <v/>
      </c>
      <c r="J335" s="25">
        <f>IF(Registro_Compras!$R335&lt;&gt;"SI","",Registro_Compras!$X335)</f>
        <v/>
      </c>
      <c r="K335">
        <f>IF(Registro_Compras!$R335&lt;&gt;"SI","",IF(Registro_Compras!$X335="","PENDIENTE","DEPOSITADA"))</f>
        <v/>
      </c>
      <c r="L335">
        <f>IF(Registro_Compras!$R335&lt;&gt;"SI","",Registro_Compras!$Z335)</f>
        <v/>
      </c>
      <c r="M335">
        <f>IF($K335&lt;&gt;"PENDIENTE","",IF(TODAY()&gt;$I335,TODAY()-$I335,0))</f>
        <v/>
      </c>
      <c r="N335">
        <f>IF($K335&lt;&gt;"PENDIENTE","",IF($M335&gt;0,"VENCIDA - DEPOSITAR YA",IF($I335-TODAY()&lt;=3,"POR VENCER","EN PLAZO")))</f>
        <v/>
      </c>
    </row>
    <row r="336">
      <c r="A336" s="25">
        <f>IF(Registro_Compras!$R336&lt;&gt;"SI","",Registro_Compras!$B336)</f>
        <v/>
      </c>
      <c r="B336">
        <f>IF(Registro_Compras!$R336&lt;&gt;"SI","",Registro_Compras!$C336)</f>
        <v/>
      </c>
      <c r="C336">
        <f>IF(Registro_Compras!$R336&lt;&gt;"SI","",Registro_Compras!$D336)</f>
        <v/>
      </c>
      <c r="D336">
        <f>IF(Registro_Compras!$R336&lt;&gt;"SI","",Registro_Compras!$E336)</f>
        <v/>
      </c>
      <c r="E336">
        <f>IF(Registro_Compras!$R336&lt;&gt;"SI","",Registro_Compras!$G336)</f>
        <v/>
      </c>
      <c r="F336" s="31">
        <f>IF(Registro_Compras!$R336&lt;&gt;"SI","",Registro_Compras!$P336)</f>
        <v/>
      </c>
      <c r="G336" s="20">
        <f>IF(Registro_Compras!$R336&lt;&gt;"SI","",Registro_Compras!$O336)</f>
        <v/>
      </c>
      <c r="H336" s="20">
        <f>IF(Registro_Compras!$R336&lt;&gt;"SI","",Registro_Compras!$S336)</f>
        <v/>
      </c>
      <c r="I336" s="25">
        <f>IF(Registro_Compras!$R336&lt;&gt;"SI","",IF(Registro_Compras!$Y336="",WORKDAY(EOMONTH(Registro_Compras!$B336,0),5,Feriados),MIN(Registro_Compras!$Y336,WORKDAY(EOMONTH(Registro_Compras!$B336,0),5,Feriados))))</f>
        <v/>
      </c>
      <c r="J336" s="25">
        <f>IF(Registro_Compras!$R336&lt;&gt;"SI","",Registro_Compras!$X336)</f>
        <v/>
      </c>
      <c r="K336">
        <f>IF(Registro_Compras!$R336&lt;&gt;"SI","",IF(Registro_Compras!$X336="","PENDIENTE","DEPOSITADA"))</f>
        <v/>
      </c>
      <c r="L336">
        <f>IF(Registro_Compras!$R336&lt;&gt;"SI","",Registro_Compras!$Z336)</f>
        <v/>
      </c>
      <c r="M336">
        <f>IF($K336&lt;&gt;"PENDIENTE","",IF(TODAY()&gt;$I336,TODAY()-$I336,0))</f>
        <v/>
      </c>
      <c r="N336">
        <f>IF($K336&lt;&gt;"PENDIENTE","",IF($M336&gt;0,"VENCIDA - DEPOSITAR YA",IF($I336-TODAY()&lt;=3,"POR VENCER","EN PLAZO")))</f>
        <v/>
      </c>
    </row>
    <row r="337">
      <c r="A337" s="25">
        <f>IF(Registro_Compras!$R337&lt;&gt;"SI","",Registro_Compras!$B337)</f>
        <v/>
      </c>
      <c r="B337">
        <f>IF(Registro_Compras!$R337&lt;&gt;"SI","",Registro_Compras!$C337)</f>
        <v/>
      </c>
      <c r="C337">
        <f>IF(Registro_Compras!$R337&lt;&gt;"SI","",Registro_Compras!$D337)</f>
        <v/>
      </c>
      <c r="D337">
        <f>IF(Registro_Compras!$R337&lt;&gt;"SI","",Registro_Compras!$E337)</f>
        <v/>
      </c>
      <c r="E337">
        <f>IF(Registro_Compras!$R337&lt;&gt;"SI","",Registro_Compras!$G337)</f>
        <v/>
      </c>
      <c r="F337" s="31">
        <f>IF(Registro_Compras!$R337&lt;&gt;"SI","",Registro_Compras!$P337)</f>
        <v/>
      </c>
      <c r="G337" s="20">
        <f>IF(Registro_Compras!$R337&lt;&gt;"SI","",Registro_Compras!$O337)</f>
        <v/>
      </c>
      <c r="H337" s="20">
        <f>IF(Registro_Compras!$R337&lt;&gt;"SI","",Registro_Compras!$S337)</f>
        <v/>
      </c>
      <c r="I337" s="25">
        <f>IF(Registro_Compras!$R337&lt;&gt;"SI","",IF(Registro_Compras!$Y337="",WORKDAY(EOMONTH(Registro_Compras!$B337,0),5,Feriados),MIN(Registro_Compras!$Y337,WORKDAY(EOMONTH(Registro_Compras!$B337,0),5,Feriados))))</f>
        <v/>
      </c>
      <c r="J337" s="25">
        <f>IF(Registro_Compras!$R337&lt;&gt;"SI","",Registro_Compras!$X337)</f>
        <v/>
      </c>
      <c r="K337">
        <f>IF(Registro_Compras!$R337&lt;&gt;"SI","",IF(Registro_Compras!$X337="","PENDIENTE","DEPOSITADA"))</f>
        <v/>
      </c>
      <c r="L337">
        <f>IF(Registro_Compras!$R337&lt;&gt;"SI","",Registro_Compras!$Z337)</f>
        <v/>
      </c>
      <c r="M337">
        <f>IF($K337&lt;&gt;"PENDIENTE","",IF(TODAY()&gt;$I337,TODAY()-$I337,0))</f>
        <v/>
      </c>
      <c r="N337">
        <f>IF($K337&lt;&gt;"PENDIENTE","",IF($M337&gt;0,"VENCIDA - DEPOSITAR YA",IF($I337-TODAY()&lt;=3,"POR VENCER","EN PLAZO")))</f>
        <v/>
      </c>
    </row>
    <row r="338">
      <c r="A338" s="25">
        <f>IF(Registro_Compras!$R338&lt;&gt;"SI","",Registro_Compras!$B338)</f>
        <v/>
      </c>
      <c r="B338">
        <f>IF(Registro_Compras!$R338&lt;&gt;"SI","",Registro_Compras!$C338)</f>
        <v/>
      </c>
      <c r="C338">
        <f>IF(Registro_Compras!$R338&lt;&gt;"SI","",Registro_Compras!$D338)</f>
        <v/>
      </c>
      <c r="D338">
        <f>IF(Registro_Compras!$R338&lt;&gt;"SI","",Registro_Compras!$E338)</f>
        <v/>
      </c>
      <c r="E338">
        <f>IF(Registro_Compras!$R338&lt;&gt;"SI","",Registro_Compras!$G338)</f>
        <v/>
      </c>
      <c r="F338" s="31">
        <f>IF(Registro_Compras!$R338&lt;&gt;"SI","",Registro_Compras!$P338)</f>
        <v/>
      </c>
      <c r="G338" s="20">
        <f>IF(Registro_Compras!$R338&lt;&gt;"SI","",Registro_Compras!$O338)</f>
        <v/>
      </c>
      <c r="H338" s="20">
        <f>IF(Registro_Compras!$R338&lt;&gt;"SI","",Registro_Compras!$S338)</f>
        <v/>
      </c>
      <c r="I338" s="25">
        <f>IF(Registro_Compras!$R338&lt;&gt;"SI","",IF(Registro_Compras!$Y338="",WORKDAY(EOMONTH(Registro_Compras!$B338,0),5,Feriados),MIN(Registro_Compras!$Y338,WORKDAY(EOMONTH(Registro_Compras!$B338,0),5,Feriados))))</f>
        <v/>
      </c>
      <c r="J338" s="25">
        <f>IF(Registro_Compras!$R338&lt;&gt;"SI","",Registro_Compras!$X338)</f>
        <v/>
      </c>
      <c r="K338">
        <f>IF(Registro_Compras!$R338&lt;&gt;"SI","",IF(Registro_Compras!$X338="","PENDIENTE","DEPOSITADA"))</f>
        <v/>
      </c>
      <c r="L338">
        <f>IF(Registro_Compras!$R338&lt;&gt;"SI","",Registro_Compras!$Z338)</f>
        <v/>
      </c>
      <c r="M338">
        <f>IF($K338&lt;&gt;"PENDIENTE","",IF(TODAY()&gt;$I338,TODAY()-$I338,0))</f>
        <v/>
      </c>
      <c r="N338">
        <f>IF($K338&lt;&gt;"PENDIENTE","",IF($M338&gt;0,"VENCIDA - DEPOSITAR YA",IF($I338-TODAY()&lt;=3,"POR VENCER","EN PLAZO")))</f>
        <v/>
      </c>
    </row>
    <row r="339">
      <c r="A339" s="25">
        <f>IF(Registro_Compras!$R339&lt;&gt;"SI","",Registro_Compras!$B339)</f>
        <v/>
      </c>
      <c r="B339">
        <f>IF(Registro_Compras!$R339&lt;&gt;"SI","",Registro_Compras!$C339)</f>
        <v/>
      </c>
      <c r="C339">
        <f>IF(Registro_Compras!$R339&lt;&gt;"SI","",Registro_Compras!$D339)</f>
        <v/>
      </c>
      <c r="D339">
        <f>IF(Registro_Compras!$R339&lt;&gt;"SI","",Registro_Compras!$E339)</f>
        <v/>
      </c>
      <c r="E339">
        <f>IF(Registro_Compras!$R339&lt;&gt;"SI","",Registro_Compras!$G339)</f>
        <v/>
      </c>
      <c r="F339" s="31">
        <f>IF(Registro_Compras!$R339&lt;&gt;"SI","",Registro_Compras!$P339)</f>
        <v/>
      </c>
      <c r="G339" s="20">
        <f>IF(Registro_Compras!$R339&lt;&gt;"SI","",Registro_Compras!$O339)</f>
        <v/>
      </c>
      <c r="H339" s="20">
        <f>IF(Registro_Compras!$R339&lt;&gt;"SI","",Registro_Compras!$S339)</f>
        <v/>
      </c>
      <c r="I339" s="25">
        <f>IF(Registro_Compras!$R339&lt;&gt;"SI","",IF(Registro_Compras!$Y339="",WORKDAY(EOMONTH(Registro_Compras!$B339,0),5,Feriados),MIN(Registro_Compras!$Y339,WORKDAY(EOMONTH(Registro_Compras!$B339,0),5,Feriados))))</f>
        <v/>
      </c>
      <c r="J339" s="25">
        <f>IF(Registro_Compras!$R339&lt;&gt;"SI","",Registro_Compras!$X339)</f>
        <v/>
      </c>
      <c r="K339">
        <f>IF(Registro_Compras!$R339&lt;&gt;"SI","",IF(Registro_Compras!$X339="","PENDIENTE","DEPOSITADA"))</f>
        <v/>
      </c>
      <c r="L339">
        <f>IF(Registro_Compras!$R339&lt;&gt;"SI","",Registro_Compras!$Z339)</f>
        <v/>
      </c>
      <c r="M339">
        <f>IF($K339&lt;&gt;"PENDIENTE","",IF(TODAY()&gt;$I339,TODAY()-$I339,0))</f>
        <v/>
      </c>
      <c r="N339">
        <f>IF($K339&lt;&gt;"PENDIENTE","",IF($M339&gt;0,"VENCIDA - DEPOSITAR YA",IF($I339-TODAY()&lt;=3,"POR VENCER","EN PLAZO")))</f>
        <v/>
      </c>
    </row>
    <row r="340">
      <c r="A340" s="25">
        <f>IF(Registro_Compras!$R340&lt;&gt;"SI","",Registro_Compras!$B340)</f>
        <v/>
      </c>
      <c r="B340">
        <f>IF(Registro_Compras!$R340&lt;&gt;"SI","",Registro_Compras!$C340)</f>
        <v/>
      </c>
      <c r="C340">
        <f>IF(Registro_Compras!$R340&lt;&gt;"SI","",Registro_Compras!$D340)</f>
        <v/>
      </c>
      <c r="D340">
        <f>IF(Registro_Compras!$R340&lt;&gt;"SI","",Registro_Compras!$E340)</f>
        <v/>
      </c>
      <c r="E340">
        <f>IF(Registro_Compras!$R340&lt;&gt;"SI","",Registro_Compras!$G340)</f>
        <v/>
      </c>
      <c r="F340" s="31">
        <f>IF(Registro_Compras!$R340&lt;&gt;"SI","",Registro_Compras!$P340)</f>
        <v/>
      </c>
      <c r="G340" s="20">
        <f>IF(Registro_Compras!$R340&lt;&gt;"SI","",Registro_Compras!$O340)</f>
        <v/>
      </c>
      <c r="H340" s="20">
        <f>IF(Registro_Compras!$R340&lt;&gt;"SI","",Registro_Compras!$S340)</f>
        <v/>
      </c>
      <c r="I340" s="25">
        <f>IF(Registro_Compras!$R340&lt;&gt;"SI","",IF(Registro_Compras!$Y340="",WORKDAY(EOMONTH(Registro_Compras!$B340,0),5,Feriados),MIN(Registro_Compras!$Y340,WORKDAY(EOMONTH(Registro_Compras!$B340,0),5,Feriados))))</f>
        <v/>
      </c>
      <c r="J340" s="25">
        <f>IF(Registro_Compras!$R340&lt;&gt;"SI","",Registro_Compras!$X340)</f>
        <v/>
      </c>
      <c r="K340">
        <f>IF(Registro_Compras!$R340&lt;&gt;"SI","",IF(Registro_Compras!$X340="","PENDIENTE","DEPOSITADA"))</f>
        <v/>
      </c>
      <c r="L340">
        <f>IF(Registro_Compras!$R340&lt;&gt;"SI","",Registro_Compras!$Z340)</f>
        <v/>
      </c>
      <c r="M340">
        <f>IF($K340&lt;&gt;"PENDIENTE","",IF(TODAY()&gt;$I340,TODAY()-$I340,0))</f>
        <v/>
      </c>
      <c r="N340">
        <f>IF($K340&lt;&gt;"PENDIENTE","",IF($M340&gt;0,"VENCIDA - DEPOSITAR YA",IF($I340-TODAY()&lt;=3,"POR VENCER","EN PLAZO")))</f>
        <v/>
      </c>
    </row>
    <row r="341">
      <c r="A341" s="25">
        <f>IF(Registro_Compras!$R341&lt;&gt;"SI","",Registro_Compras!$B341)</f>
        <v/>
      </c>
      <c r="B341">
        <f>IF(Registro_Compras!$R341&lt;&gt;"SI","",Registro_Compras!$C341)</f>
        <v/>
      </c>
      <c r="C341">
        <f>IF(Registro_Compras!$R341&lt;&gt;"SI","",Registro_Compras!$D341)</f>
        <v/>
      </c>
      <c r="D341">
        <f>IF(Registro_Compras!$R341&lt;&gt;"SI","",Registro_Compras!$E341)</f>
        <v/>
      </c>
      <c r="E341">
        <f>IF(Registro_Compras!$R341&lt;&gt;"SI","",Registro_Compras!$G341)</f>
        <v/>
      </c>
      <c r="F341" s="31">
        <f>IF(Registro_Compras!$R341&lt;&gt;"SI","",Registro_Compras!$P341)</f>
        <v/>
      </c>
      <c r="G341" s="20">
        <f>IF(Registro_Compras!$R341&lt;&gt;"SI","",Registro_Compras!$O341)</f>
        <v/>
      </c>
      <c r="H341" s="20">
        <f>IF(Registro_Compras!$R341&lt;&gt;"SI","",Registro_Compras!$S341)</f>
        <v/>
      </c>
      <c r="I341" s="25">
        <f>IF(Registro_Compras!$R341&lt;&gt;"SI","",IF(Registro_Compras!$Y341="",WORKDAY(EOMONTH(Registro_Compras!$B341,0),5,Feriados),MIN(Registro_Compras!$Y341,WORKDAY(EOMONTH(Registro_Compras!$B341,0),5,Feriados))))</f>
        <v/>
      </c>
      <c r="J341" s="25">
        <f>IF(Registro_Compras!$R341&lt;&gt;"SI","",Registro_Compras!$X341)</f>
        <v/>
      </c>
      <c r="K341">
        <f>IF(Registro_Compras!$R341&lt;&gt;"SI","",IF(Registro_Compras!$X341="","PENDIENTE","DEPOSITADA"))</f>
        <v/>
      </c>
      <c r="L341">
        <f>IF(Registro_Compras!$R341&lt;&gt;"SI","",Registro_Compras!$Z341)</f>
        <v/>
      </c>
      <c r="M341">
        <f>IF($K341&lt;&gt;"PENDIENTE","",IF(TODAY()&gt;$I341,TODAY()-$I341,0))</f>
        <v/>
      </c>
      <c r="N341">
        <f>IF($K341&lt;&gt;"PENDIENTE","",IF($M341&gt;0,"VENCIDA - DEPOSITAR YA",IF($I341-TODAY()&lt;=3,"POR VENCER","EN PLAZO")))</f>
        <v/>
      </c>
    </row>
    <row r="342">
      <c r="A342" s="25">
        <f>IF(Registro_Compras!$R342&lt;&gt;"SI","",Registro_Compras!$B342)</f>
        <v/>
      </c>
      <c r="B342">
        <f>IF(Registro_Compras!$R342&lt;&gt;"SI","",Registro_Compras!$C342)</f>
        <v/>
      </c>
      <c r="C342">
        <f>IF(Registro_Compras!$R342&lt;&gt;"SI","",Registro_Compras!$D342)</f>
        <v/>
      </c>
      <c r="D342">
        <f>IF(Registro_Compras!$R342&lt;&gt;"SI","",Registro_Compras!$E342)</f>
        <v/>
      </c>
      <c r="E342">
        <f>IF(Registro_Compras!$R342&lt;&gt;"SI","",Registro_Compras!$G342)</f>
        <v/>
      </c>
      <c r="F342" s="31">
        <f>IF(Registro_Compras!$R342&lt;&gt;"SI","",Registro_Compras!$P342)</f>
        <v/>
      </c>
      <c r="G342" s="20">
        <f>IF(Registro_Compras!$R342&lt;&gt;"SI","",Registro_Compras!$O342)</f>
        <v/>
      </c>
      <c r="H342" s="20">
        <f>IF(Registro_Compras!$R342&lt;&gt;"SI","",Registro_Compras!$S342)</f>
        <v/>
      </c>
      <c r="I342" s="25">
        <f>IF(Registro_Compras!$R342&lt;&gt;"SI","",IF(Registro_Compras!$Y342="",WORKDAY(EOMONTH(Registro_Compras!$B342,0),5,Feriados),MIN(Registro_Compras!$Y342,WORKDAY(EOMONTH(Registro_Compras!$B342,0),5,Feriados))))</f>
        <v/>
      </c>
      <c r="J342" s="25">
        <f>IF(Registro_Compras!$R342&lt;&gt;"SI","",Registro_Compras!$X342)</f>
        <v/>
      </c>
      <c r="K342">
        <f>IF(Registro_Compras!$R342&lt;&gt;"SI","",IF(Registro_Compras!$X342="","PENDIENTE","DEPOSITADA"))</f>
        <v/>
      </c>
      <c r="L342">
        <f>IF(Registro_Compras!$R342&lt;&gt;"SI","",Registro_Compras!$Z342)</f>
        <v/>
      </c>
      <c r="M342">
        <f>IF($K342&lt;&gt;"PENDIENTE","",IF(TODAY()&gt;$I342,TODAY()-$I342,0))</f>
        <v/>
      </c>
      <c r="N342">
        <f>IF($K342&lt;&gt;"PENDIENTE","",IF($M342&gt;0,"VENCIDA - DEPOSITAR YA",IF($I342-TODAY()&lt;=3,"POR VENCER","EN PLAZO")))</f>
        <v/>
      </c>
    </row>
    <row r="343">
      <c r="A343" s="25">
        <f>IF(Registro_Compras!$R343&lt;&gt;"SI","",Registro_Compras!$B343)</f>
        <v/>
      </c>
      <c r="B343">
        <f>IF(Registro_Compras!$R343&lt;&gt;"SI","",Registro_Compras!$C343)</f>
        <v/>
      </c>
      <c r="C343">
        <f>IF(Registro_Compras!$R343&lt;&gt;"SI","",Registro_Compras!$D343)</f>
        <v/>
      </c>
      <c r="D343">
        <f>IF(Registro_Compras!$R343&lt;&gt;"SI","",Registro_Compras!$E343)</f>
        <v/>
      </c>
      <c r="E343">
        <f>IF(Registro_Compras!$R343&lt;&gt;"SI","",Registro_Compras!$G343)</f>
        <v/>
      </c>
      <c r="F343" s="31">
        <f>IF(Registro_Compras!$R343&lt;&gt;"SI","",Registro_Compras!$P343)</f>
        <v/>
      </c>
      <c r="G343" s="20">
        <f>IF(Registro_Compras!$R343&lt;&gt;"SI","",Registro_Compras!$O343)</f>
        <v/>
      </c>
      <c r="H343" s="20">
        <f>IF(Registro_Compras!$R343&lt;&gt;"SI","",Registro_Compras!$S343)</f>
        <v/>
      </c>
      <c r="I343" s="25">
        <f>IF(Registro_Compras!$R343&lt;&gt;"SI","",IF(Registro_Compras!$Y343="",WORKDAY(EOMONTH(Registro_Compras!$B343,0),5,Feriados),MIN(Registro_Compras!$Y343,WORKDAY(EOMONTH(Registro_Compras!$B343,0),5,Feriados))))</f>
        <v/>
      </c>
      <c r="J343" s="25">
        <f>IF(Registro_Compras!$R343&lt;&gt;"SI","",Registro_Compras!$X343)</f>
        <v/>
      </c>
      <c r="K343">
        <f>IF(Registro_Compras!$R343&lt;&gt;"SI","",IF(Registro_Compras!$X343="","PENDIENTE","DEPOSITADA"))</f>
        <v/>
      </c>
      <c r="L343">
        <f>IF(Registro_Compras!$R343&lt;&gt;"SI","",Registro_Compras!$Z343)</f>
        <v/>
      </c>
      <c r="M343">
        <f>IF($K343&lt;&gt;"PENDIENTE","",IF(TODAY()&gt;$I343,TODAY()-$I343,0))</f>
        <v/>
      </c>
      <c r="N343">
        <f>IF($K343&lt;&gt;"PENDIENTE","",IF($M343&gt;0,"VENCIDA - DEPOSITAR YA",IF($I343-TODAY()&lt;=3,"POR VENCER","EN PLAZO")))</f>
        <v/>
      </c>
    </row>
    <row r="344">
      <c r="A344" s="25">
        <f>IF(Registro_Compras!$R344&lt;&gt;"SI","",Registro_Compras!$B344)</f>
        <v/>
      </c>
      <c r="B344">
        <f>IF(Registro_Compras!$R344&lt;&gt;"SI","",Registro_Compras!$C344)</f>
        <v/>
      </c>
      <c r="C344">
        <f>IF(Registro_Compras!$R344&lt;&gt;"SI","",Registro_Compras!$D344)</f>
        <v/>
      </c>
      <c r="D344">
        <f>IF(Registro_Compras!$R344&lt;&gt;"SI","",Registro_Compras!$E344)</f>
        <v/>
      </c>
      <c r="E344">
        <f>IF(Registro_Compras!$R344&lt;&gt;"SI","",Registro_Compras!$G344)</f>
        <v/>
      </c>
      <c r="F344" s="31">
        <f>IF(Registro_Compras!$R344&lt;&gt;"SI","",Registro_Compras!$P344)</f>
        <v/>
      </c>
      <c r="G344" s="20">
        <f>IF(Registro_Compras!$R344&lt;&gt;"SI","",Registro_Compras!$O344)</f>
        <v/>
      </c>
      <c r="H344" s="20">
        <f>IF(Registro_Compras!$R344&lt;&gt;"SI","",Registro_Compras!$S344)</f>
        <v/>
      </c>
      <c r="I344" s="25">
        <f>IF(Registro_Compras!$R344&lt;&gt;"SI","",IF(Registro_Compras!$Y344="",WORKDAY(EOMONTH(Registro_Compras!$B344,0),5,Feriados),MIN(Registro_Compras!$Y344,WORKDAY(EOMONTH(Registro_Compras!$B344,0),5,Feriados))))</f>
        <v/>
      </c>
      <c r="J344" s="25">
        <f>IF(Registro_Compras!$R344&lt;&gt;"SI","",Registro_Compras!$X344)</f>
        <v/>
      </c>
      <c r="K344">
        <f>IF(Registro_Compras!$R344&lt;&gt;"SI","",IF(Registro_Compras!$X344="","PENDIENTE","DEPOSITADA"))</f>
        <v/>
      </c>
      <c r="L344">
        <f>IF(Registro_Compras!$R344&lt;&gt;"SI","",Registro_Compras!$Z344)</f>
        <v/>
      </c>
      <c r="M344">
        <f>IF($K344&lt;&gt;"PENDIENTE","",IF(TODAY()&gt;$I344,TODAY()-$I344,0))</f>
        <v/>
      </c>
      <c r="N344">
        <f>IF($K344&lt;&gt;"PENDIENTE","",IF($M344&gt;0,"VENCIDA - DEPOSITAR YA",IF($I344-TODAY()&lt;=3,"POR VENCER","EN PLAZO")))</f>
        <v/>
      </c>
    </row>
    <row r="345">
      <c r="A345" s="25">
        <f>IF(Registro_Compras!$R345&lt;&gt;"SI","",Registro_Compras!$B345)</f>
        <v/>
      </c>
      <c r="B345">
        <f>IF(Registro_Compras!$R345&lt;&gt;"SI","",Registro_Compras!$C345)</f>
        <v/>
      </c>
      <c r="C345">
        <f>IF(Registro_Compras!$R345&lt;&gt;"SI","",Registro_Compras!$D345)</f>
        <v/>
      </c>
      <c r="D345">
        <f>IF(Registro_Compras!$R345&lt;&gt;"SI","",Registro_Compras!$E345)</f>
        <v/>
      </c>
      <c r="E345">
        <f>IF(Registro_Compras!$R345&lt;&gt;"SI","",Registro_Compras!$G345)</f>
        <v/>
      </c>
      <c r="F345" s="31">
        <f>IF(Registro_Compras!$R345&lt;&gt;"SI","",Registro_Compras!$P345)</f>
        <v/>
      </c>
      <c r="G345" s="20">
        <f>IF(Registro_Compras!$R345&lt;&gt;"SI","",Registro_Compras!$O345)</f>
        <v/>
      </c>
      <c r="H345" s="20">
        <f>IF(Registro_Compras!$R345&lt;&gt;"SI","",Registro_Compras!$S345)</f>
        <v/>
      </c>
      <c r="I345" s="25">
        <f>IF(Registro_Compras!$R345&lt;&gt;"SI","",IF(Registro_Compras!$Y345="",WORKDAY(EOMONTH(Registro_Compras!$B345,0),5,Feriados),MIN(Registro_Compras!$Y345,WORKDAY(EOMONTH(Registro_Compras!$B345,0),5,Feriados))))</f>
        <v/>
      </c>
      <c r="J345" s="25">
        <f>IF(Registro_Compras!$R345&lt;&gt;"SI","",Registro_Compras!$X345)</f>
        <v/>
      </c>
      <c r="K345">
        <f>IF(Registro_Compras!$R345&lt;&gt;"SI","",IF(Registro_Compras!$X345="","PENDIENTE","DEPOSITADA"))</f>
        <v/>
      </c>
      <c r="L345">
        <f>IF(Registro_Compras!$R345&lt;&gt;"SI","",Registro_Compras!$Z345)</f>
        <v/>
      </c>
      <c r="M345">
        <f>IF($K345&lt;&gt;"PENDIENTE","",IF(TODAY()&gt;$I345,TODAY()-$I345,0))</f>
        <v/>
      </c>
      <c r="N345">
        <f>IF($K345&lt;&gt;"PENDIENTE","",IF($M345&gt;0,"VENCIDA - DEPOSITAR YA",IF($I345-TODAY()&lt;=3,"POR VENCER","EN PLAZO")))</f>
        <v/>
      </c>
    </row>
    <row r="346">
      <c r="A346" s="25">
        <f>IF(Registro_Compras!$R346&lt;&gt;"SI","",Registro_Compras!$B346)</f>
        <v/>
      </c>
      <c r="B346">
        <f>IF(Registro_Compras!$R346&lt;&gt;"SI","",Registro_Compras!$C346)</f>
        <v/>
      </c>
      <c r="C346">
        <f>IF(Registro_Compras!$R346&lt;&gt;"SI","",Registro_Compras!$D346)</f>
        <v/>
      </c>
      <c r="D346">
        <f>IF(Registro_Compras!$R346&lt;&gt;"SI","",Registro_Compras!$E346)</f>
        <v/>
      </c>
      <c r="E346">
        <f>IF(Registro_Compras!$R346&lt;&gt;"SI","",Registro_Compras!$G346)</f>
        <v/>
      </c>
      <c r="F346" s="31">
        <f>IF(Registro_Compras!$R346&lt;&gt;"SI","",Registro_Compras!$P346)</f>
        <v/>
      </c>
      <c r="G346" s="20">
        <f>IF(Registro_Compras!$R346&lt;&gt;"SI","",Registro_Compras!$O346)</f>
        <v/>
      </c>
      <c r="H346" s="20">
        <f>IF(Registro_Compras!$R346&lt;&gt;"SI","",Registro_Compras!$S346)</f>
        <v/>
      </c>
      <c r="I346" s="25">
        <f>IF(Registro_Compras!$R346&lt;&gt;"SI","",IF(Registro_Compras!$Y346="",WORKDAY(EOMONTH(Registro_Compras!$B346,0),5,Feriados),MIN(Registro_Compras!$Y346,WORKDAY(EOMONTH(Registro_Compras!$B346,0),5,Feriados))))</f>
        <v/>
      </c>
      <c r="J346" s="25">
        <f>IF(Registro_Compras!$R346&lt;&gt;"SI","",Registro_Compras!$X346)</f>
        <v/>
      </c>
      <c r="K346">
        <f>IF(Registro_Compras!$R346&lt;&gt;"SI","",IF(Registro_Compras!$X346="","PENDIENTE","DEPOSITADA"))</f>
        <v/>
      </c>
      <c r="L346">
        <f>IF(Registro_Compras!$R346&lt;&gt;"SI","",Registro_Compras!$Z346)</f>
        <v/>
      </c>
      <c r="M346">
        <f>IF($K346&lt;&gt;"PENDIENTE","",IF(TODAY()&gt;$I346,TODAY()-$I346,0))</f>
        <v/>
      </c>
      <c r="N346">
        <f>IF($K346&lt;&gt;"PENDIENTE","",IF($M346&gt;0,"VENCIDA - DEPOSITAR YA",IF($I346-TODAY()&lt;=3,"POR VENCER","EN PLAZO")))</f>
        <v/>
      </c>
    </row>
    <row r="347">
      <c r="A347" s="25">
        <f>IF(Registro_Compras!$R347&lt;&gt;"SI","",Registro_Compras!$B347)</f>
        <v/>
      </c>
      <c r="B347">
        <f>IF(Registro_Compras!$R347&lt;&gt;"SI","",Registro_Compras!$C347)</f>
        <v/>
      </c>
      <c r="C347">
        <f>IF(Registro_Compras!$R347&lt;&gt;"SI","",Registro_Compras!$D347)</f>
        <v/>
      </c>
      <c r="D347">
        <f>IF(Registro_Compras!$R347&lt;&gt;"SI","",Registro_Compras!$E347)</f>
        <v/>
      </c>
      <c r="E347">
        <f>IF(Registro_Compras!$R347&lt;&gt;"SI","",Registro_Compras!$G347)</f>
        <v/>
      </c>
      <c r="F347" s="31">
        <f>IF(Registro_Compras!$R347&lt;&gt;"SI","",Registro_Compras!$P347)</f>
        <v/>
      </c>
      <c r="G347" s="20">
        <f>IF(Registro_Compras!$R347&lt;&gt;"SI","",Registro_Compras!$O347)</f>
        <v/>
      </c>
      <c r="H347" s="20">
        <f>IF(Registro_Compras!$R347&lt;&gt;"SI","",Registro_Compras!$S347)</f>
        <v/>
      </c>
      <c r="I347" s="25">
        <f>IF(Registro_Compras!$R347&lt;&gt;"SI","",IF(Registro_Compras!$Y347="",WORKDAY(EOMONTH(Registro_Compras!$B347,0),5,Feriados),MIN(Registro_Compras!$Y347,WORKDAY(EOMONTH(Registro_Compras!$B347,0),5,Feriados))))</f>
        <v/>
      </c>
      <c r="J347" s="25">
        <f>IF(Registro_Compras!$R347&lt;&gt;"SI","",Registro_Compras!$X347)</f>
        <v/>
      </c>
      <c r="K347">
        <f>IF(Registro_Compras!$R347&lt;&gt;"SI","",IF(Registro_Compras!$X347="","PENDIENTE","DEPOSITADA"))</f>
        <v/>
      </c>
      <c r="L347">
        <f>IF(Registro_Compras!$R347&lt;&gt;"SI","",Registro_Compras!$Z347)</f>
        <v/>
      </c>
      <c r="M347">
        <f>IF($K347&lt;&gt;"PENDIENTE","",IF(TODAY()&gt;$I347,TODAY()-$I347,0))</f>
        <v/>
      </c>
      <c r="N347">
        <f>IF($K347&lt;&gt;"PENDIENTE","",IF($M347&gt;0,"VENCIDA - DEPOSITAR YA",IF($I347-TODAY()&lt;=3,"POR VENCER","EN PLAZO")))</f>
        <v/>
      </c>
    </row>
    <row r="348">
      <c r="A348" s="25">
        <f>IF(Registro_Compras!$R348&lt;&gt;"SI","",Registro_Compras!$B348)</f>
        <v/>
      </c>
      <c r="B348">
        <f>IF(Registro_Compras!$R348&lt;&gt;"SI","",Registro_Compras!$C348)</f>
        <v/>
      </c>
      <c r="C348">
        <f>IF(Registro_Compras!$R348&lt;&gt;"SI","",Registro_Compras!$D348)</f>
        <v/>
      </c>
      <c r="D348">
        <f>IF(Registro_Compras!$R348&lt;&gt;"SI","",Registro_Compras!$E348)</f>
        <v/>
      </c>
      <c r="E348">
        <f>IF(Registro_Compras!$R348&lt;&gt;"SI","",Registro_Compras!$G348)</f>
        <v/>
      </c>
      <c r="F348" s="31">
        <f>IF(Registro_Compras!$R348&lt;&gt;"SI","",Registro_Compras!$P348)</f>
        <v/>
      </c>
      <c r="G348" s="20">
        <f>IF(Registro_Compras!$R348&lt;&gt;"SI","",Registro_Compras!$O348)</f>
        <v/>
      </c>
      <c r="H348" s="20">
        <f>IF(Registro_Compras!$R348&lt;&gt;"SI","",Registro_Compras!$S348)</f>
        <v/>
      </c>
      <c r="I348" s="25">
        <f>IF(Registro_Compras!$R348&lt;&gt;"SI","",IF(Registro_Compras!$Y348="",WORKDAY(EOMONTH(Registro_Compras!$B348,0),5,Feriados),MIN(Registro_Compras!$Y348,WORKDAY(EOMONTH(Registro_Compras!$B348,0),5,Feriados))))</f>
        <v/>
      </c>
      <c r="J348" s="25">
        <f>IF(Registro_Compras!$R348&lt;&gt;"SI","",Registro_Compras!$X348)</f>
        <v/>
      </c>
      <c r="K348">
        <f>IF(Registro_Compras!$R348&lt;&gt;"SI","",IF(Registro_Compras!$X348="","PENDIENTE","DEPOSITADA"))</f>
        <v/>
      </c>
      <c r="L348">
        <f>IF(Registro_Compras!$R348&lt;&gt;"SI","",Registro_Compras!$Z348)</f>
        <v/>
      </c>
      <c r="M348">
        <f>IF($K348&lt;&gt;"PENDIENTE","",IF(TODAY()&gt;$I348,TODAY()-$I348,0))</f>
        <v/>
      </c>
      <c r="N348">
        <f>IF($K348&lt;&gt;"PENDIENTE","",IF($M348&gt;0,"VENCIDA - DEPOSITAR YA",IF($I348-TODAY()&lt;=3,"POR VENCER","EN PLAZO")))</f>
        <v/>
      </c>
    </row>
    <row r="349">
      <c r="A349" s="25">
        <f>IF(Registro_Compras!$R349&lt;&gt;"SI","",Registro_Compras!$B349)</f>
        <v/>
      </c>
      <c r="B349">
        <f>IF(Registro_Compras!$R349&lt;&gt;"SI","",Registro_Compras!$C349)</f>
        <v/>
      </c>
      <c r="C349">
        <f>IF(Registro_Compras!$R349&lt;&gt;"SI","",Registro_Compras!$D349)</f>
        <v/>
      </c>
      <c r="D349">
        <f>IF(Registro_Compras!$R349&lt;&gt;"SI","",Registro_Compras!$E349)</f>
        <v/>
      </c>
      <c r="E349">
        <f>IF(Registro_Compras!$R349&lt;&gt;"SI","",Registro_Compras!$G349)</f>
        <v/>
      </c>
      <c r="F349" s="31">
        <f>IF(Registro_Compras!$R349&lt;&gt;"SI","",Registro_Compras!$P349)</f>
        <v/>
      </c>
      <c r="G349" s="20">
        <f>IF(Registro_Compras!$R349&lt;&gt;"SI","",Registro_Compras!$O349)</f>
        <v/>
      </c>
      <c r="H349" s="20">
        <f>IF(Registro_Compras!$R349&lt;&gt;"SI","",Registro_Compras!$S349)</f>
        <v/>
      </c>
      <c r="I349" s="25">
        <f>IF(Registro_Compras!$R349&lt;&gt;"SI","",IF(Registro_Compras!$Y349="",WORKDAY(EOMONTH(Registro_Compras!$B349,0),5,Feriados),MIN(Registro_Compras!$Y349,WORKDAY(EOMONTH(Registro_Compras!$B349,0),5,Feriados))))</f>
        <v/>
      </c>
      <c r="J349" s="25">
        <f>IF(Registro_Compras!$R349&lt;&gt;"SI","",Registro_Compras!$X349)</f>
        <v/>
      </c>
      <c r="K349">
        <f>IF(Registro_Compras!$R349&lt;&gt;"SI","",IF(Registro_Compras!$X349="","PENDIENTE","DEPOSITADA"))</f>
        <v/>
      </c>
      <c r="L349">
        <f>IF(Registro_Compras!$R349&lt;&gt;"SI","",Registro_Compras!$Z349)</f>
        <v/>
      </c>
      <c r="M349">
        <f>IF($K349&lt;&gt;"PENDIENTE","",IF(TODAY()&gt;$I349,TODAY()-$I349,0))</f>
        <v/>
      </c>
      <c r="N349">
        <f>IF($K349&lt;&gt;"PENDIENTE","",IF($M349&gt;0,"VENCIDA - DEPOSITAR YA",IF($I349-TODAY()&lt;=3,"POR VENCER","EN PLAZO")))</f>
        <v/>
      </c>
    </row>
    <row r="350">
      <c r="A350" s="25">
        <f>IF(Registro_Compras!$R350&lt;&gt;"SI","",Registro_Compras!$B350)</f>
        <v/>
      </c>
      <c r="B350">
        <f>IF(Registro_Compras!$R350&lt;&gt;"SI","",Registro_Compras!$C350)</f>
        <v/>
      </c>
      <c r="C350">
        <f>IF(Registro_Compras!$R350&lt;&gt;"SI","",Registro_Compras!$D350)</f>
        <v/>
      </c>
      <c r="D350">
        <f>IF(Registro_Compras!$R350&lt;&gt;"SI","",Registro_Compras!$E350)</f>
        <v/>
      </c>
      <c r="E350">
        <f>IF(Registro_Compras!$R350&lt;&gt;"SI","",Registro_Compras!$G350)</f>
        <v/>
      </c>
      <c r="F350" s="31">
        <f>IF(Registro_Compras!$R350&lt;&gt;"SI","",Registro_Compras!$P350)</f>
        <v/>
      </c>
      <c r="G350" s="20">
        <f>IF(Registro_Compras!$R350&lt;&gt;"SI","",Registro_Compras!$O350)</f>
        <v/>
      </c>
      <c r="H350" s="20">
        <f>IF(Registro_Compras!$R350&lt;&gt;"SI","",Registro_Compras!$S350)</f>
        <v/>
      </c>
      <c r="I350" s="25">
        <f>IF(Registro_Compras!$R350&lt;&gt;"SI","",IF(Registro_Compras!$Y350="",WORKDAY(EOMONTH(Registro_Compras!$B350,0),5,Feriados),MIN(Registro_Compras!$Y350,WORKDAY(EOMONTH(Registro_Compras!$B350,0),5,Feriados))))</f>
        <v/>
      </c>
      <c r="J350" s="25">
        <f>IF(Registro_Compras!$R350&lt;&gt;"SI","",Registro_Compras!$X350)</f>
        <v/>
      </c>
      <c r="K350">
        <f>IF(Registro_Compras!$R350&lt;&gt;"SI","",IF(Registro_Compras!$X350="","PENDIENTE","DEPOSITADA"))</f>
        <v/>
      </c>
      <c r="L350">
        <f>IF(Registro_Compras!$R350&lt;&gt;"SI","",Registro_Compras!$Z350)</f>
        <v/>
      </c>
      <c r="M350">
        <f>IF($K350&lt;&gt;"PENDIENTE","",IF(TODAY()&gt;$I350,TODAY()-$I350,0))</f>
        <v/>
      </c>
      <c r="N350">
        <f>IF($K350&lt;&gt;"PENDIENTE","",IF($M350&gt;0,"VENCIDA - DEPOSITAR YA",IF($I350-TODAY()&lt;=3,"POR VENCER","EN PLAZO")))</f>
        <v/>
      </c>
    </row>
    <row r="351">
      <c r="A351" s="25">
        <f>IF(Registro_Compras!$R351&lt;&gt;"SI","",Registro_Compras!$B351)</f>
        <v/>
      </c>
      <c r="B351">
        <f>IF(Registro_Compras!$R351&lt;&gt;"SI","",Registro_Compras!$C351)</f>
        <v/>
      </c>
      <c r="C351">
        <f>IF(Registro_Compras!$R351&lt;&gt;"SI","",Registro_Compras!$D351)</f>
        <v/>
      </c>
      <c r="D351">
        <f>IF(Registro_Compras!$R351&lt;&gt;"SI","",Registro_Compras!$E351)</f>
        <v/>
      </c>
      <c r="E351">
        <f>IF(Registro_Compras!$R351&lt;&gt;"SI","",Registro_Compras!$G351)</f>
        <v/>
      </c>
      <c r="F351" s="31">
        <f>IF(Registro_Compras!$R351&lt;&gt;"SI","",Registro_Compras!$P351)</f>
        <v/>
      </c>
      <c r="G351" s="20">
        <f>IF(Registro_Compras!$R351&lt;&gt;"SI","",Registro_Compras!$O351)</f>
        <v/>
      </c>
      <c r="H351" s="20">
        <f>IF(Registro_Compras!$R351&lt;&gt;"SI","",Registro_Compras!$S351)</f>
        <v/>
      </c>
      <c r="I351" s="25">
        <f>IF(Registro_Compras!$R351&lt;&gt;"SI","",IF(Registro_Compras!$Y351="",WORKDAY(EOMONTH(Registro_Compras!$B351,0),5,Feriados),MIN(Registro_Compras!$Y351,WORKDAY(EOMONTH(Registro_Compras!$B351,0),5,Feriados))))</f>
        <v/>
      </c>
      <c r="J351" s="25">
        <f>IF(Registro_Compras!$R351&lt;&gt;"SI","",Registro_Compras!$X351)</f>
        <v/>
      </c>
      <c r="K351">
        <f>IF(Registro_Compras!$R351&lt;&gt;"SI","",IF(Registro_Compras!$X351="","PENDIENTE","DEPOSITADA"))</f>
        <v/>
      </c>
      <c r="L351">
        <f>IF(Registro_Compras!$R351&lt;&gt;"SI","",Registro_Compras!$Z351)</f>
        <v/>
      </c>
      <c r="M351">
        <f>IF($K351&lt;&gt;"PENDIENTE","",IF(TODAY()&gt;$I351,TODAY()-$I351,0))</f>
        <v/>
      </c>
      <c r="N351">
        <f>IF($K351&lt;&gt;"PENDIENTE","",IF($M351&gt;0,"VENCIDA - DEPOSITAR YA",IF($I351-TODAY()&lt;=3,"POR VENCER","EN PLAZO")))</f>
        <v/>
      </c>
    </row>
    <row r="352">
      <c r="A352" s="25">
        <f>IF(Registro_Compras!$R352&lt;&gt;"SI","",Registro_Compras!$B352)</f>
        <v/>
      </c>
      <c r="B352">
        <f>IF(Registro_Compras!$R352&lt;&gt;"SI","",Registro_Compras!$C352)</f>
        <v/>
      </c>
      <c r="C352">
        <f>IF(Registro_Compras!$R352&lt;&gt;"SI","",Registro_Compras!$D352)</f>
        <v/>
      </c>
      <c r="D352">
        <f>IF(Registro_Compras!$R352&lt;&gt;"SI","",Registro_Compras!$E352)</f>
        <v/>
      </c>
      <c r="E352">
        <f>IF(Registro_Compras!$R352&lt;&gt;"SI","",Registro_Compras!$G352)</f>
        <v/>
      </c>
      <c r="F352" s="31">
        <f>IF(Registro_Compras!$R352&lt;&gt;"SI","",Registro_Compras!$P352)</f>
        <v/>
      </c>
      <c r="G352" s="20">
        <f>IF(Registro_Compras!$R352&lt;&gt;"SI","",Registro_Compras!$O352)</f>
        <v/>
      </c>
      <c r="H352" s="20">
        <f>IF(Registro_Compras!$R352&lt;&gt;"SI","",Registro_Compras!$S352)</f>
        <v/>
      </c>
      <c r="I352" s="25">
        <f>IF(Registro_Compras!$R352&lt;&gt;"SI","",IF(Registro_Compras!$Y352="",WORKDAY(EOMONTH(Registro_Compras!$B352,0),5,Feriados),MIN(Registro_Compras!$Y352,WORKDAY(EOMONTH(Registro_Compras!$B352,0),5,Feriados))))</f>
        <v/>
      </c>
      <c r="J352" s="25">
        <f>IF(Registro_Compras!$R352&lt;&gt;"SI","",Registro_Compras!$X352)</f>
        <v/>
      </c>
      <c r="K352">
        <f>IF(Registro_Compras!$R352&lt;&gt;"SI","",IF(Registro_Compras!$X352="","PENDIENTE","DEPOSITADA"))</f>
        <v/>
      </c>
      <c r="L352">
        <f>IF(Registro_Compras!$R352&lt;&gt;"SI","",Registro_Compras!$Z352)</f>
        <v/>
      </c>
      <c r="M352">
        <f>IF($K352&lt;&gt;"PENDIENTE","",IF(TODAY()&gt;$I352,TODAY()-$I352,0))</f>
        <v/>
      </c>
      <c r="N352">
        <f>IF($K352&lt;&gt;"PENDIENTE","",IF($M352&gt;0,"VENCIDA - DEPOSITAR YA",IF($I352-TODAY()&lt;=3,"POR VENCER","EN PLAZO")))</f>
        <v/>
      </c>
    </row>
    <row r="353">
      <c r="A353" s="25">
        <f>IF(Registro_Compras!$R353&lt;&gt;"SI","",Registro_Compras!$B353)</f>
        <v/>
      </c>
      <c r="B353">
        <f>IF(Registro_Compras!$R353&lt;&gt;"SI","",Registro_Compras!$C353)</f>
        <v/>
      </c>
      <c r="C353">
        <f>IF(Registro_Compras!$R353&lt;&gt;"SI","",Registro_Compras!$D353)</f>
        <v/>
      </c>
      <c r="D353">
        <f>IF(Registro_Compras!$R353&lt;&gt;"SI","",Registro_Compras!$E353)</f>
        <v/>
      </c>
      <c r="E353">
        <f>IF(Registro_Compras!$R353&lt;&gt;"SI","",Registro_Compras!$G353)</f>
        <v/>
      </c>
      <c r="F353" s="31">
        <f>IF(Registro_Compras!$R353&lt;&gt;"SI","",Registro_Compras!$P353)</f>
        <v/>
      </c>
      <c r="G353" s="20">
        <f>IF(Registro_Compras!$R353&lt;&gt;"SI","",Registro_Compras!$O353)</f>
        <v/>
      </c>
      <c r="H353" s="20">
        <f>IF(Registro_Compras!$R353&lt;&gt;"SI","",Registro_Compras!$S353)</f>
        <v/>
      </c>
      <c r="I353" s="25">
        <f>IF(Registro_Compras!$R353&lt;&gt;"SI","",IF(Registro_Compras!$Y353="",WORKDAY(EOMONTH(Registro_Compras!$B353,0),5,Feriados),MIN(Registro_Compras!$Y353,WORKDAY(EOMONTH(Registro_Compras!$B353,0),5,Feriados))))</f>
        <v/>
      </c>
      <c r="J353" s="25">
        <f>IF(Registro_Compras!$R353&lt;&gt;"SI","",Registro_Compras!$X353)</f>
        <v/>
      </c>
      <c r="K353">
        <f>IF(Registro_Compras!$R353&lt;&gt;"SI","",IF(Registro_Compras!$X353="","PENDIENTE","DEPOSITADA"))</f>
        <v/>
      </c>
      <c r="L353">
        <f>IF(Registro_Compras!$R353&lt;&gt;"SI","",Registro_Compras!$Z353)</f>
        <v/>
      </c>
      <c r="M353">
        <f>IF($K353&lt;&gt;"PENDIENTE","",IF(TODAY()&gt;$I353,TODAY()-$I353,0))</f>
        <v/>
      </c>
      <c r="N353">
        <f>IF($K353&lt;&gt;"PENDIENTE","",IF($M353&gt;0,"VENCIDA - DEPOSITAR YA",IF($I353-TODAY()&lt;=3,"POR VENCER","EN PLAZO")))</f>
        <v/>
      </c>
    </row>
    <row r="354">
      <c r="A354" s="25">
        <f>IF(Registro_Compras!$R354&lt;&gt;"SI","",Registro_Compras!$B354)</f>
        <v/>
      </c>
      <c r="B354">
        <f>IF(Registro_Compras!$R354&lt;&gt;"SI","",Registro_Compras!$C354)</f>
        <v/>
      </c>
      <c r="C354">
        <f>IF(Registro_Compras!$R354&lt;&gt;"SI","",Registro_Compras!$D354)</f>
        <v/>
      </c>
      <c r="D354">
        <f>IF(Registro_Compras!$R354&lt;&gt;"SI","",Registro_Compras!$E354)</f>
        <v/>
      </c>
      <c r="E354">
        <f>IF(Registro_Compras!$R354&lt;&gt;"SI","",Registro_Compras!$G354)</f>
        <v/>
      </c>
      <c r="F354" s="31">
        <f>IF(Registro_Compras!$R354&lt;&gt;"SI","",Registro_Compras!$P354)</f>
        <v/>
      </c>
      <c r="G354" s="20">
        <f>IF(Registro_Compras!$R354&lt;&gt;"SI","",Registro_Compras!$O354)</f>
        <v/>
      </c>
      <c r="H354" s="20">
        <f>IF(Registro_Compras!$R354&lt;&gt;"SI","",Registro_Compras!$S354)</f>
        <v/>
      </c>
      <c r="I354" s="25">
        <f>IF(Registro_Compras!$R354&lt;&gt;"SI","",IF(Registro_Compras!$Y354="",WORKDAY(EOMONTH(Registro_Compras!$B354,0),5,Feriados),MIN(Registro_Compras!$Y354,WORKDAY(EOMONTH(Registro_Compras!$B354,0),5,Feriados))))</f>
        <v/>
      </c>
      <c r="J354" s="25">
        <f>IF(Registro_Compras!$R354&lt;&gt;"SI","",Registro_Compras!$X354)</f>
        <v/>
      </c>
      <c r="K354">
        <f>IF(Registro_Compras!$R354&lt;&gt;"SI","",IF(Registro_Compras!$X354="","PENDIENTE","DEPOSITADA"))</f>
        <v/>
      </c>
      <c r="L354">
        <f>IF(Registro_Compras!$R354&lt;&gt;"SI","",Registro_Compras!$Z354)</f>
        <v/>
      </c>
      <c r="M354">
        <f>IF($K354&lt;&gt;"PENDIENTE","",IF(TODAY()&gt;$I354,TODAY()-$I354,0))</f>
        <v/>
      </c>
      <c r="N354">
        <f>IF($K354&lt;&gt;"PENDIENTE","",IF($M354&gt;0,"VENCIDA - DEPOSITAR YA",IF($I354-TODAY()&lt;=3,"POR VENCER","EN PLAZO")))</f>
        <v/>
      </c>
    </row>
    <row r="355">
      <c r="A355" s="25">
        <f>IF(Registro_Compras!$R355&lt;&gt;"SI","",Registro_Compras!$B355)</f>
        <v/>
      </c>
      <c r="B355">
        <f>IF(Registro_Compras!$R355&lt;&gt;"SI","",Registro_Compras!$C355)</f>
        <v/>
      </c>
      <c r="C355">
        <f>IF(Registro_Compras!$R355&lt;&gt;"SI","",Registro_Compras!$D355)</f>
        <v/>
      </c>
      <c r="D355">
        <f>IF(Registro_Compras!$R355&lt;&gt;"SI","",Registro_Compras!$E355)</f>
        <v/>
      </c>
      <c r="E355">
        <f>IF(Registro_Compras!$R355&lt;&gt;"SI","",Registro_Compras!$G355)</f>
        <v/>
      </c>
      <c r="F355" s="31">
        <f>IF(Registro_Compras!$R355&lt;&gt;"SI","",Registro_Compras!$P355)</f>
        <v/>
      </c>
      <c r="G355" s="20">
        <f>IF(Registro_Compras!$R355&lt;&gt;"SI","",Registro_Compras!$O355)</f>
        <v/>
      </c>
      <c r="H355" s="20">
        <f>IF(Registro_Compras!$R355&lt;&gt;"SI","",Registro_Compras!$S355)</f>
        <v/>
      </c>
      <c r="I355" s="25">
        <f>IF(Registro_Compras!$R355&lt;&gt;"SI","",IF(Registro_Compras!$Y355="",WORKDAY(EOMONTH(Registro_Compras!$B355,0),5,Feriados),MIN(Registro_Compras!$Y355,WORKDAY(EOMONTH(Registro_Compras!$B355,0),5,Feriados))))</f>
        <v/>
      </c>
      <c r="J355" s="25">
        <f>IF(Registro_Compras!$R355&lt;&gt;"SI","",Registro_Compras!$X355)</f>
        <v/>
      </c>
      <c r="K355">
        <f>IF(Registro_Compras!$R355&lt;&gt;"SI","",IF(Registro_Compras!$X355="","PENDIENTE","DEPOSITADA"))</f>
        <v/>
      </c>
      <c r="L355">
        <f>IF(Registro_Compras!$R355&lt;&gt;"SI","",Registro_Compras!$Z355)</f>
        <v/>
      </c>
      <c r="M355">
        <f>IF($K355&lt;&gt;"PENDIENTE","",IF(TODAY()&gt;$I355,TODAY()-$I355,0))</f>
        <v/>
      </c>
      <c r="N355">
        <f>IF($K355&lt;&gt;"PENDIENTE","",IF($M355&gt;0,"VENCIDA - DEPOSITAR YA",IF($I355-TODAY()&lt;=3,"POR VENCER","EN PLAZO")))</f>
        <v/>
      </c>
    </row>
    <row r="356">
      <c r="A356" s="25">
        <f>IF(Registro_Compras!$R356&lt;&gt;"SI","",Registro_Compras!$B356)</f>
        <v/>
      </c>
      <c r="B356">
        <f>IF(Registro_Compras!$R356&lt;&gt;"SI","",Registro_Compras!$C356)</f>
        <v/>
      </c>
      <c r="C356">
        <f>IF(Registro_Compras!$R356&lt;&gt;"SI","",Registro_Compras!$D356)</f>
        <v/>
      </c>
      <c r="D356">
        <f>IF(Registro_Compras!$R356&lt;&gt;"SI","",Registro_Compras!$E356)</f>
        <v/>
      </c>
      <c r="E356">
        <f>IF(Registro_Compras!$R356&lt;&gt;"SI","",Registro_Compras!$G356)</f>
        <v/>
      </c>
      <c r="F356" s="31">
        <f>IF(Registro_Compras!$R356&lt;&gt;"SI","",Registro_Compras!$P356)</f>
        <v/>
      </c>
      <c r="G356" s="20">
        <f>IF(Registro_Compras!$R356&lt;&gt;"SI","",Registro_Compras!$O356)</f>
        <v/>
      </c>
      <c r="H356" s="20">
        <f>IF(Registro_Compras!$R356&lt;&gt;"SI","",Registro_Compras!$S356)</f>
        <v/>
      </c>
      <c r="I356" s="25">
        <f>IF(Registro_Compras!$R356&lt;&gt;"SI","",IF(Registro_Compras!$Y356="",WORKDAY(EOMONTH(Registro_Compras!$B356,0),5,Feriados),MIN(Registro_Compras!$Y356,WORKDAY(EOMONTH(Registro_Compras!$B356,0),5,Feriados))))</f>
        <v/>
      </c>
      <c r="J356" s="25">
        <f>IF(Registro_Compras!$R356&lt;&gt;"SI","",Registro_Compras!$X356)</f>
        <v/>
      </c>
      <c r="K356">
        <f>IF(Registro_Compras!$R356&lt;&gt;"SI","",IF(Registro_Compras!$X356="","PENDIENTE","DEPOSITADA"))</f>
        <v/>
      </c>
      <c r="L356">
        <f>IF(Registro_Compras!$R356&lt;&gt;"SI","",Registro_Compras!$Z356)</f>
        <v/>
      </c>
      <c r="M356">
        <f>IF($K356&lt;&gt;"PENDIENTE","",IF(TODAY()&gt;$I356,TODAY()-$I356,0))</f>
        <v/>
      </c>
      <c r="N356">
        <f>IF($K356&lt;&gt;"PENDIENTE","",IF($M356&gt;0,"VENCIDA - DEPOSITAR YA",IF($I356-TODAY()&lt;=3,"POR VENCER","EN PLAZO")))</f>
        <v/>
      </c>
    </row>
    <row r="357">
      <c r="A357" s="25">
        <f>IF(Registro_Compras!$R357&lt;&gt;"SI","",Registro_Compras!$B357)</f>
        <v/>
      </c>
      <c r="B357">
        <f>IF(Registro_Compras!$R357&lt;&gt;"SI","",Registro_Compras!$C357)</f>
        <v/>
      </c>
      <c r="C357">
        <f>IF(Registro_Compras!$R357&lt;&gt;"SI","",Registro_Compras!$D357)</f>
        <v/>
      </c>
      <c r="D357">
        <f>IF(Registro_Compras!$R357&lt;&gt;"SI","",Registro_Compras!$E357)</f>
        <v/>
      </c>
      <c r="E357">
        <f>IF(Registro_Compras!$R357&lt;&gt;"SI","",Registro_Compras!$G357)</f>
        <v/>
      </c>
      <c r="F357" s="31">
        <f>IF(Registro_Compras!$R357&lt;&gt;"SI","",Registro_Compras!$P357)</f>
        <v/>
      </c>
      <c r="G357" s="20">
        <f>IF(Registro_Compras!$R357&lt;&gt;"SI","",Registro_Compras!$O357)</f>
        <v/>
      </c>
      <c r="H357" s="20">
        <f>IF(Registro_Compras!$R357&lt;&gt;"SI","",Registro_Compras!$S357)</f>
        <v/>
      </c>
      <c r="I357" s="25">
        <f>IF(Registro_Compras!$R357&lt;&gt;"SI","",IF(Registro_Compras!$Y357="",WORKDAY(EOMONTH(Registro_Compras!$B357,0),5,Feriados),MIN(Registro_Compras!$Y357,WORKDAY(EOMONTH(Registro_Compras!$B357,0),5,Feriados))))</f>
        <v/>
      </c>
      <c r="J357" s="25">
        <f>IF(Registro_Compras!$R357&lt;&gt;"SI","",Registro_Compras!$X357)</f>
        <v/>
      </c>
      <c r="K357">
        <f>IF(Registro_Compras!$R357&lt;&gt;"SI","",IF(Registro_Compras!$X357="","PENDIENTE","DEPOSITADA"))</f>
        <v/>
      </c>
      <c r="L357">
        <f>IF(Registro_Compras!$R357&lt;&gt;"SI","",Registro_Compras!$Z357)</f>
        <v/>
      </c>
      <c r="M357">
        <f>IF($K357&lt;&gt;"PENDIENTE","",IF(TODAY()&gt;$I357,TODAY()-$I357,0))</f>
        <v/>
      </c>
      <c r="N357">
        <f>IF($K357&lt;&gt;"PENDIENTE","",IF($M357&gt;0,"VENCIDA - DEPOSITAR YA",IF($I357-TODAY()&lt;=3,"POR VENCER","EN PLAZO")))</f>
        <v/>
      </c>
    </row>
    <row r="358">
      <c r="A358" s="25">
        <f>IF(Registro_Compras!$R358&lt;&gt;"SI","",Registro_Compras!$B358)</f>
        <v/>
      </c>
      <c r="B358">
        <f>IF(Registro_Compras!$R358&lt;&gt;"SI","",Registro_Compras!$C358)</f>
        <v/>
      </c>
      <c r="C358">
        <f>IF(Registro_Compras!$R358&lt;&gt;"SI","",Registro_Compras!$D358)</f>
        <v/>
      </c>
      <c r="D358">
        <f>IF(Registro_Compras!$R358&lt;&gt;"SI","",Registro_Compras!$E358)</f>
        <v/>
      </c>
      <c r="E358">
        <f>IF(Registro_Compras!$R358&lt;&gt;"SI","",Registro_Compras!$G358)</f>
        <v/>
      </c>
      <c r="F358" s="31">
        <f>IF(Registro_Compras!$R358&lt;&gt;"SI","",Registro_Compras!$P358)</f>
        <v/>
      </c>
      <c r="G358" s="20">
        <f>IF(Registro_Compras!$R358&lt;&gt;"SI","",Registro_Compras!$O358)</f>
        <v/>
      </c>
      <c r="H358" s="20">
        <f>IF(Registro_Compras!$R358&lt;&gt;"SI","",Registro_Compras!$S358)</f>
        <v/>
      </c>
      <c r="I358" s="25">
        <f>IF(Registro_Compras!$R358&lt;&gt;"SI","",IF(Registro_Compras!$Y358="",WORKDAY(EOMONTH(Registro_Compras!$B358,0),5,Feriados),MIN(Registro_Compras!$Y358,WORKDAY(EOMONTH(Registro_Compras!$B358,0),5,Feriados))))</f>
        <v/>
      </c>
      <c r="J358" s="25">
        <f>IF(Registro_Compras!$R358&lt;&gt;"SI","",Registro_Compras!$X358)</f>
        <v/>
      </c>
      <c r="K358">
        <f>IF(Registro_Compras!$R358&lt;&gt;"SI","",IF(Registro_Compras!$X358="","PENDIENTE","DEPOSITADA"))</f>
        <v/>
      </c>
      <c r="L358">
        <f>IF(Registro_Compras!$R358&lt;&gt;"SI","",Registro_Compras!$Z358)</f>
        <v/>
      </c>
      <c r="M358">
        <f>IF($K358&lt;&gt;"PENDIENTE","",IF(TODAY()&gt;$I358,TODAY()-$I358,0))</f>
        <v/>
      </c>
      <c r="N358">
        <f>IF($K358&lt;&gt;"PENDIENTE","",IF($M358&gt;0,"VENCIDA - DEPOSITAR YA",IF($I358-TODAY()&lt;=3,"POR VENCER","EN PLAZO")))</f>
        <v/>
      </c>
    </row>
    <row r="359">
      <c r="A359" s="25">
        <f>IF(Registro_Compras!$R359&lt;&gt;"SI","",Registro_Compras!$B359)</f>
        <v/>
      </c>
      <c r="B359">
        <f>IF(Registro_Compras!$R359&lt;&gt;"SI","",Registro_Compras!$C359)</f>
        <v/>
      </c>
      <c r="C359">
        <f>IF(Registro_Compras!$R359&lt;&gt;"SI","",Registro_Compras!$D359)</f>
        <v/>
      </c>
      <c r="D359">
        <f>IF(Registro_Compras!$R359&lt;&gt;"SI","",Registro_Compras!$E359)</f>
        <v/>
      </c>
      <c r="E359">
        <f>IF(Registro_Compras!$R359&lt;&gt;"SI","",Registro_Compras!$G359)</f>
        <v/>
      </c>
      <c r="F359" s="31">
        <f>IF(Registro_Compras!$R359&lt;&gt;"SI","",Registro_Compras!$P359)</f>
        <v/>
      </c>
      <c r="G359" s="20">
        <f>IF(Registro_Compras!$R359&lt;&gt;"SI","",Registro_Compras!$O359)</f>
        <v/>
      </c>
      <c r="H359" s="20">
        <f>IF(Registro_Compras!$R359&lt;&gt;"SI","",Registro_Compras!$S359)</f>
        <v/>
      </c>
      <c r="I359" s="25">
        <f>IF(Registro_Compras!$R359&lt;&gt;"SI","",IF(Registro_Compras!$Y359="",WORKDAY(EOMONTH(Registro_Compras!$B359,0),5,Feriados),MIN(Registro_Compras!$Y359,WORKDAY(EOMONTH(Registro_Compras!$B359,0),5,Feriados))))</f>
        <v/>
      </c>
      <c r="J359" s="25">
        <f>IF(Registro_Compras!$R359&lt;&gt;"SI","",Registro_Compras!$X359)</f>
        <v/>
      </c>
      <c r="K359">
        <f>IF(Registro_Compras!$R359&lt;&gt;"SI","",IF(Registro_Compras!$X359="","PENDIENTE","DEPOSITADA"))</f>
        <v/>
      </c>
      <c r="L359">
        <f>IF(Registro_Compras!$R359&lt;&gt;"SI","",Registro_Compras!$Z359)</f>
        <v/>
      </c>
      <c r="M359">
        <f>IF($K359&lt;&gt;"PENDIENTE","",IF(TODAY()&gt;$I359,TODAY()-$I359,0))</f>
        <v/>
      </c>
      <c r="N359">
        <f>IF($K359&lt;&gt;"PENDIENTE","",IF($M359&gt;0,"VENCIDA - DEPOSITAR YA",IF($I359-TODAY()&lt;=3,"POR VENCER","EN PLAZO")))</f>
        <v/>
      </c>
    </row>
    <row r="360">
      <c r="A360" s="25">
        <f>IF(Registro_Compras!$R360&lt;&gt;"SI","",Registro_Compras!$B360)</f>
        <v/>
      </c>
      <c r="B360">
        <f>IF(Registro_Compras!$R360&lt;&gt;"SI","",Registro_Compras!$C360)</f>
        <v/>
      </c>
      <c r="C360">
        <f>IF(Registro_Compras!$R360&lt;&gt;"SI","",Registro_Compras!$D360)</f>
        <v/>
      </c>
      <c r="D360">
        <f>IF(Registro_Compras!$R360&lt;&gt;"SI","",Registro_Compras!$E360)</f>
        <v/>
      </c>
      <c r="E360">
        <f>IF(Registro_Compras!$R360&lt;&gt;"SI","",Registro_Compras!$G360)</f>
        <v/>
      </c>
      <c r="F360" s="31">
        <f>IF(Registro_Compras!$R360&lt;&gt;"SI","",Registro_Compras!$P360)</f>
        <v/>
      </c>
      <c r="G360" s="20">
        <f>IF(Registro_Compras!$R360&lt;&gt;"SI","",Registro_Compras!$O360)</f>
        <v/>
      </c>
      <c r="H360" s="20">
        <f>IF(Registro_Compras!$R360&lt;&gt;"SI","",Registro_Compras!$S360)</f>
        <v/>
      </c>
      <c r="I360" s="25">
        <f>IF(Registro_Compras!$R360&lt;&gt;"SI","",IF(Registro_Compras!$Y360="",WORKDAY(EOMONTH(Registro_Compras!$B360,0),5,Feriados),MIN(Registro_Compras!$Y360,WORKDAY(EOMONTH(Registro_Compras!$B360,0),5,Feriados))))</f>
        <v/>
      </c>
      <c r="J360" s="25">
        <f>IF(Registro_Compras!$R360&lt;&gt;"SI","",Registro_Compras!$X360)</f>
        <v/>
      </c>
      <c r="K360">
        <f>IF(Registro_Compras!$R360&lt;&gt;"SI","",IF(Registro_Compras!$X360="","PENDIENTE","DEPOSITADA"))</f>
        <v/>
      </c>
      <c r="L360">
        <f>IF(Registro_Compras!$R360&lt;&gt;"SI","",Registro_Compras!$Z360)</f>
        <v/>
      </c>
      <c r="M360">
        <f>IF($K360&lt;&gt;"PENDIENTE","",IF(TODAY()&gt;$I360,TODAY()-$I360,0))</f>
        <v/>
      </c>
      <c r="N360">
        <f>IF($K360&lt;&gt;"PENDIENTE","",IF($M360&gt;0,"VENCIDA - DEPOSITAR YA",IF($I360-TODAY()&lt;=3,"POR VENCER","EN PLAZO")))</f>
        <v/>
      </c>
    </row>
    <row r="361">
      <c r="A361" s="25">
        <f>IF(Registro_Compras!$R361&lt;&gt;"SI","",Registro_Compras!$B361)</f>
        <v/>
      </c>
      <c r="B361">
        <f>IF(Registro_Compras!$R361&lt;&gt;"SI","",Registro_Compras!$C361)</f>
        <v/>
      </c>
      <c r="C361">
        <f>IF(Registro_Compras!$R361&lt;&gt;"SI","",Registro_Compras!$D361)</f>
        <v/>
      </c>
      <c r="D361">
        <f>IF(Registro_Compras!$R361&lt;&gt;"SI","",Registro_Compras!$E361)</f>
        <v/>
      </c>
      <c r="E361">
        <f>IF(Registro_Compras!$R361&lt;&gt;"SI","",Registro_Compras!$G361)</f>
        <v/>
      </c>
      <c r="F361" s="31">
        <f>IF(Registro_Compras!$R361&lt;&gt;"SI","",Registro_Compras!$P361)</f>
        <v/>
      </c>
      <c r="G361" s="20">
        <f>IF(Registro_Compras!$R361&lt;&gt;"SI","",Registro_Compras!$O361)</f>
        <v/>
      </c>
      <c r="H361" s="20">
        <f>IF(Registro_Compras!$R361&lt;&gt;"SI","",Registro_Compras!$S361)</f>
        <v/>
      </c>
      <c r="I361" s="25">
        <f>IF(Registro_Compras!$R361&lt;&gt;"SI","",IF(Registro_Compras!$Y361="",WORKDAY(EOMONTH(Registro_Compras!$B361,0),5,Feriados),MIN(Registro_Compras!$Y361,WORKDAY(EOMONTH(Registro_Compras!$B361,0),5,Feriados))))</f>
        <v/>
      </c>
      <c r="J361" s="25">
        <f>IF(Registro_Compras!$R361&lt;&gt;"SI","",Registro_Compras!$X361)</f>
        <v/>
      </c>
      <c r="K361">
        <f>IF(Registro_Compras!$R361&lt;&gt;"SI","",IF(Registro_Compras!$X361="","PENDIENTE","DEPOSITADA"))</f>
        <v/>
      </c>
      <c r="L361">
        <f>IF(Registro_Compras!$R361&lt;&gt;"SI","",Registro_Compras!$Z361)</f>
        <v/>
      </c>
      <c r="M361">
        <f>IF($K361&lt;&gt;"PENDIENTE","",IF(TODAY()&gt;$I361,TODAY()-$I361,0))</f>
        <v/>
      </c>
      <c r="N361">
        <f>IF($K361&lt;&gt;"PENDIENTE","",IF($M361&gt;0,"VENCIDA - DEPOSITAR YA",IF($I361-TODAY()&lt;=3,"POR VENCER","EN PLAZO")))</f>
        <v/>
      </c>
    </row>
    <row r="362">
      <c r="A362" s="25">
        <f>IF(Registro_Compras!$R362&lt;&gt;"SI","",Registro_Compras!$B362)</f>
        <v/>
      </c>
      <c r="B362">
        <f>IF(Registro_Compras!$R362&lt;&gt;"SI","",Registro_Compras!$C362)</f>
        <v/>
      </c>
      <c r="C362">
        <f>IF(Registro_Compras!$R362&lt;&gt;"SI","",Registro_Compras!$D362)</f>
        <v/>
      </c>
      <c r="D362">
        <f>IF(Registro_Compras!$R362&lt;&gt;"SI","",Registro_Compras!$E362)</f>
        <v/>
      </c>
      <c r="E362">
        <f>IF(Registro_Compras!$R362&lt;&gt;"SI","",Registro_Compras!$G362)</f>
        <v/>
      </c>
      <c r="F362" s="31">
        <f>IF(Registro_Compras!$R362&lt;&gt;"SI","",Registro_Compras!$P362)</f>
        <v/>
      </c>
      <c r="G362" s="20">
        <f>IF(Registro_Compras!$R362&lt;&gt;"SI","",Registro_Compras!$O362)</f>
        <v/>
      </c>
      <c r="H362" s="20">
        <f>IF(Registro_Compras!$R362&lt;&gt;"SI","",Registro_Compras!$S362)</f>
        <v/>
      </c>
      <c r="I362" s="25">
        <f>IF(Registro_Compras!$R362&lt;&gt;"SI","",IF(Registro_Compras!$Y362="",WORKDAY(EOMONTH(Registro_Compras!$B362,0),5,Feriados),MIN(Registro_Compras!$Y362,WORKDAY(EOMONTH(Registro_Compras!$B362,0),5,Feriados))))</f>
        <v/>
      </c>
      <c r="J362" s="25">
        <f>IF(Registro_Compras!$R362&lt;&gt;"SI","",Registro_Compras!$X362)</f>
        <v/>
      </c>
      <c r="K362">
        <f>IF(Registro_Compras!$R362&lt;&gt;"SI","",IF(Registro_Compras!$X362="","PENDIENTE","DEPOSITADA"))</f>
        <v/>
      </c>
      <c r="L362">
        <f>IF(Registro_Compras!$R362&lt;&gt;"SI","",Registro_Compras!$Z362)</f>
        <v/>
      </c>
      <c r="M362">
        <f>IF($K362&lt;&gt;"PENDIENTE","",IF(TODAY()&gt;$I362,TODAY()-$I362,0))</f>
        <v/>
      </c>
      <c r="N362">
        <f>IF($K362&lt;&gt;"PENDIENTE","",IF($M362&gt;0,"VENCIDA - DEPOSITAR YA",IF($I362-TODAY()&lt;=3,"POR VENCER","EN PLAZO")))</f>
        <v/>
      </c>
    </row>
    <row r="363">
      <c r="A363" s="25">
        <f>IF(Registro_Compras!$R363&lt;&gt;"SI","",Registro_Compras!$B363)</f>
        <v/>
      </c>
      <c r="B363">
        <f>IF(Registro_Compras!$R363&lt;&gt;"SI","",Registro_Compras!$C363)</f>
        <v/>
      </c>
      <c r="C363">
        <f>IF(Registro_Compras!$R363&lt;&gt;"SI","",Registro_Compras!$D363)</f>
        <v/>
      </c>
      <c r="D363">
        <f>IF(Registro_Compras!$R363&lt;&gt;"SI","",Registro_Compras!$E363)</f>
        <v/>
      </c>
      <c r="E363">
        <f>IF(Registro_Compras!$R363&lt;&gt;"SI","",Registro_Compras!$G363)</f>
        <v/>
      </c>
      <c r="F363" s="31">
        <f>IF(Registro_Compras!$R363&lt;&gt;"SI","",Registro_Compras!$P363)</f>
        <v/>
      </c>
      <c r="G363" s="20">
        <f>IF(Registro_Compras!$R363&lt;&gt;"SI","",Registro_Compras!$O363)</f>
        <v/>
      </c>
      <c r="H363" s="20">
        <f>IF(Registro_Compras!$R363&lt;&gt;"SI","",Registro_Compras!$S363)</f>
        <v/>
      </c>
      <c r="I363" s="25">
        <f>IF(Registro_Compras!$R363&lt;&gt;"SI","",IF(Registro_Compras!$Y363="",WORKDAY(EOMONTH(Registro_Compras!$B363,0),5,Feriados),MIN(Registro_Compras!$Y363,WORKDAY(EOMONTH(Registro_Compras!$B363,0),5,Feriados))))</f>
        <v/>
      </c>
      <c r="J363" s="25">
        <f>IF(Registro_Compras!$R363&lt;&gt;"SI","",Registro_Compras!$X363)</f>
        <v/>
      </c>
      <c r="K363">
        <f>IF(Registro_Compras!$R363&lt;&gt;"SI","",IF(Registro_Compras!$X363="","PENDIENTE","DEPOSITADA"))</f>
        <v/>
      </c>
      <c r="L363">
        <f>IF(Registro_Compras!$R363&lt;&gt;"SI","",Registro_Compras!$Z363)</f>
        <v/>
      </c>
      <c r="M363">
        <f>IF($K363&lt;&gt;"PENDIENTE","",IF(TODAY()&gt;$I363,TODAY()-$I363,0))</f>
        <v/>
      </c>
      <c r="N363">
        <f>IF($K363&lt;&gt;"PENDIENTE","",IF($M363&gt;0,"VENCIDA - DEPOSITAR YA",IF($I363-TODAY()&lt;=3,"POR VENCER","EN PLAZO")))</f>
        <v/>
      </c>
    </row>
    <row r="364">
      <c r="A364" s="25">
        <f>IF(Registro_Compras!$R364&lt;&gt;"SI","",Registro_Compras!$B364)</f>
        <v/>
      </c>
      <c r="B364">
        <f>IF(Registro_Compras!$R364&lt;&gt;"SI","",Registro_Compras!$C364)</f>
        <v/>
      </c>
      <c r="C364">
        <f>IF(Registro_Compras!$R364&lt;&gt;"SI","",Registro_Compras!$D364)</f>
        <v/>
      </c>
      <c r="D364">
        <f>IF(Registro_Compras!$R364&lt;&gt;"SI","",Registro_Compras!$E364)</f>
        <v/>
      </c>
      <c r="E364">
        <f>IF(Registro_Compras!$R364&lt;&gt;"SI","",Registro_Compras!$G364)</f>
        <v/>
      </c>
      <c r="F364" s="31">
        <f>IF(Registro_Compras!$R364&lt;&gt;"SI","",Registro_Compras!$P364)</f>
        <v/>
      </c>
      <c r="G364" s="20">
        <f>IF(Registro_Compras!$R364&lt;&gt;"SI","",Registro_Compras!$O364)</f>
        <v/>
      </c>
      <c r="H364" s="20">
        <f>IF(Registro_Compras!$R364&lt;&gt;"SI","",Registro_Compras!$S364)</f>
        <v/>
      </c>
      <c r="I364" s="25">
        <f>IF(Registro_Compras!$R364&lt;&gt;"SI","",IF(Registro_Compras!$Y364="",WORKDAY(EOMONTH(Registro_Compras!$B364,0),5,Feriados),MIN(Registro_Compras!$Y364,WORKDAY(EOMONTH(Registro_Compras!$B364,0),5,Feriados))))</f>
        <v/>
      </c>
      <c r="J364" s="25">
        <f>IF(Registro_Compras!$R364&lt;&gt;"SI","",Registro_Compras!$X364)</f>
        <v/>
      </c>
      <c r="K364">
        <f>IF(Registro_Compras!$R364&lt;&gt;"SI","",IF(Registro_Compras!$X364="","PENDIENTE","DEPOSITADA"))</f>
        <v/>
      </c>
      <c r="L364">
        <f>IF(Registro_Compras!$R364&lt;&gt;"SI","",Registro_Compras!$Z364)</f>
        <v/>
      </c>
      <c r="M364">
        <f>IF($K364&lt;&gt;"PENDIENTE","",IF(TODAY()&gt;$I364,TODAY()-$I364,0))</f>
        <v/>
      </c>
      <c r="N364">
        <f>IF($K364&lt;&gt;"PENDIENTE","",IF($M364&gt;0,"VENCIDA - DEPOSITAR YA",IF($I364-TODAY()&lt;=3,"POR VENCER","EN PLAZO")))</f>
        <v/>
      </c>
    </row>
    <row r="365">
      <c r="A365" s="25">
        <f>IF(Registro_Compras!$R365&lt;&gt;"SI","",Registro_Compras!$B365)</f>
        <v/>
      </c>
      <c r="B365">
        <f>IF(Registro_Compras!$R365&lt;&gt;"SI","",Registro_Compras!$C365)</f>
        <v/>
      </c>
      <c r="C365">
        <f>IF(Registro_Compras!$R365&lt;&gt;"SI","",Registro_Compras!$D365)</f>
        <v/>
      </c>
      <c r="D365">
        <f>IF(Registro_Compras!$R365&lt;&gt;"SI","",Registro_Compras!$E365)</f>
        <v/>
      </c>
      <c r="E365">
        <f>IF(Registro_Compras!$R365&lt;&gt;"SI","",Registro_Compras!$G365)</f>
        <v/>
      </c>
      <c r="F365" s="31">
        <f>IF(Registro_Compras!$R365&lt;&gt;"SI","",Registro_Compras!$P365)</f>
        <v/>
      </c>
      <c r="G365" s="20">
        <f>IF(Registro_Compras!$R365&lt;&gt;"SI","",Registro_Compras!$O365)</f>
        <v/>
      </c>
      <c r="H365" s="20">
        <f>IF(Registro_Compras!$R365&lt;&gt;"SI","",Registro_Compras!$S365)</f>
        <v/>
      </c>
      <c r="I365" s="25">
        <f>IF(Registro_Compras!$R365&lt;&gt;"SI","",IF(Registro_Compras!$Y365="",WORKDAY(EOMONTH(Registro_Compras!$B365,0),5,Feriados),MIN(Registro_Compras!$Y365,WORKDAY(EOMONTH(Registro_Compras!$B365,0),5,Feriados))))</f>
        <v/>
      </c>
      <c r="J365" s="25">
        <f>IF(Registro_Compras!$R365&lt;&gt;"SI","",Registro_Compras!$X365)</f>
        <v/>
      </c>
      <c r="K365">
        <f>IF(Registro_Compras!$R365&lt;&gt;"SI","",IF(Registro_Compras!$X365="","PENDIENTE","DEPOSITADA"))</f>
        <v/>
      </c>
      <c r="L365">
        <f>IF(Registro_Compras!$R365&lt;&gt;"SI","",Registro_Compras!$Z365)</f>
        <v/>
      </c>
      <c r="M365">
        <f>IF($K365&lt;&gt;"PENDIENTE","",IF(TODAY()&gt;$I365,TODAY()-$I365,0))</f>
        <v/>
      </c>
      <c r="N365">
        <f>IF($K365&lt;&gt;"PENDIENTE","",IF($M365&gt;0,"VENCIDA - DEPOSITAR YA",IF($I365-TODAY()&lt;=3,"POR VENCER","EN PLAZO")))</f>
        <v/>
      </c>
    </row>
    <row r="366">
      <c r="A366" s="25">
        <f>IF(Registro_Compras!$R366&lt;&gt;"SI","",Registro_Compras!$B366)</f>
        <v/>
      </c>
      <c r="B366">
        <f>IF(Registro_Compras!$R366&lt;&gt;"SI","",Registro_Compras!$C366)</f>
        <v/>
      </c>
      <c r="C366">
        <f>IF(Registro_Compras!$R366&lt;&gt;"SI","",Registro_Compras!$D366)</f>
        <v/>
      </c>
      <c r="D366">
        <f>IF(Registro_Compras!$R366&lt;&gt;"SI","",Registro_Compras!$E366)</f>
        <v/>
      </c>
      <c r="E366">
        <f>IF(Registro_Compras!$R366&lt;&gt;"SI","",Registro_Compras!$G366)</f>
        <v/>
      </c>
      <c r="F366" s="31">
        <f>IF(Registro_Compras!$R366&lt;&gt;"SI","",Registro_Compras!$P366)</f>
        <v/>
      </c>
      <c r="G366" s="20">
        <f>IF(Registro_Compras!$R366&lt;&gt;"SI","",Registro_Compras!$O366)</f>
        <v/>
      </c>
      <c r="H366" s="20">
        <f>IF(Registro_Compras!$R366&lt;&gt;"SI","",Registro_Compras!$S366)</f>
        <v/>
      </c>
      <c r="I366" s="25">
        <f>IF(Registro_Compras!$R366&lt;&gt;"SI","",IF(Registro_Compras!$Y366="",WORKDAY(EOMONTH(Registro_Compras!$B366,0),5,Feriados),MIN(Registro_Compras!$Y366,WORKDAY(EOMONTH(Registro_Compras!$B366,0),5,Feriados))))</f>
        <v/>
      </c>
      <c r="J366" s="25">
        <f>IF(Registro_Compras!$R366&lt;&gt;"SI","",Registro_Compras!$X366)</f>
        <v/>
      </c>
      <c r="K366">
        <f>IF(Registro_Compras!$R366&lt;&gt;"SI","",IF(Registro_Compras!$X366="","PENDIENTE","DEPOSITADA"))</f>
        <v/>
      </c>
      <c r="L366">
        <f>IF(Registro_Compras!$R366&lt;&gt;"SI","",Registro_Compras!$Z366)</f>
        <v/>
      </c>
      <c r="M366">
        <f>IF($K366&lt;&gt;"PENDIENTE","",IF(TODAY()&gt;$I366,TODAY()-$I366,0))</f>
        <v/>
      </c>
      <c r="N366">
        <f>IF($K366&lt;&gt;"PENDIENTE","",IF($M366&gt;0,"VENCIDA - DEPOSITAR YA",IF($I366-TODAY()&lt;=3,"POR VENCER","EN PLAZO")))</f>
        <v/>
      </c>
    </row>
    <row r="367">
      <c r="A367" s="25">
        <f>IF(Registro_Compras!$R367&lt;&gt;"SI","",Registro_Compras!$B367)</f>
        <v/>
      </c>
      <c r="B367">
        <f>IF(Registro_Compras!$R367&lt;&gt;"SI","",Registro_Compras!$C367)</f>
        <v/>
      </c>
      <c r="C367">
        <f>IF(Registro_Compras!$R367&lt;&gt;"SI","",Registro_Compras!$D367)</f>
        <v/>
      </c>
      <c r="D367">
        <f>IF(Registro_Compras!$R367&lt;&gt;"SI","",Registro_Compras!$E367)</f>
        <v/>
      </c>
      <c r="E367">
        <f>IF(Registro_Compras!$R367&lt;&gt;"SI","",Registro_Compras!$G367)</f>
        <v/>
      </c>
      <c r="F367" s="31">
        <f>IF(Registro_Compras!$R367&lt;&gt;"SI","",Registro_Compras!$P367)</f>
        <v/>
      </c>
      <c r="G367" s="20">
        <f>IF(Registro_Compras!$R367&lt;&gt;"SI","",Registro_Compras!$O367)</f>
        <v/>
      </c>
      <c r="H367" s="20">
        <f>IF(Registro_Compras!$R367&lt;&gt;"SI","",Registro_Compras!$S367)</f>
        <v/>
      </c>
      <c r="I367" s="25">
        <f>IF(Registro_Compras!$R367&lt;&gt;"SI","",IF(Registro_Compras!$Y367="",WORKDAY(EOMONTH(Registro_Compras!$B367,0),5,Feriados),MIN(Registro_Compras!$Y367,WORKDAY(EOMONTH(Registro_Compras!$B367,0),5,Feriados))))</f>
        <v/>
      </c>
      <c r="J367" s="25">
        <f>IF(Registro_Compras!$R367&lt;&gt;"SI","",Registro_Compras!$X367)</f>
        <v/>
      </c>
      <c r="K367">
        <f>IF(Registro_Compras!$R367&lt;&gt;"SI","",IF(Registro_Compras!$X367="","PENDIENTE","DEPOSITADA"))</f>
        <v/>
      </c>
      <c r="L367">
        <f>IF(Registro_Compras!$R367&lt;&gt;"SI","",Registro_Compras!$Z367)</f>
        <v/>
      </c>
      <c r="M367">
        <f>IF($K367&lt;&gt;"PENDIENTE","",IF(TODAY()&gt;$I367,TODAY()-$I367,0))</f>
        <v/>
      </c>
      <c r="N367">
        <f>IF($K367&lt;&gt;"PENDIENTE","",IF($M367&gt;0,"VENCIDA - DEPOSITAR YA",IF($I367-TODAY()&lt;=3,"POR VENCER","EN PLAZO")))</f>
        <v/>
      </c>
    </row>
    <row r="368">
      <c r="A368" s="25">
        <f>IF(Registro_Compras!$R368&lt;&gt;"SI","",Registro_Compras!$B368)</f>
        <v/>
      </c>
      <c r="B368">
        <f>IF(Registro_Compras!$R368&lt;&gt;"SI","",Registro_Compras!$C368)</f>
        <v/>
      </c>
      <c r="C368">
        <f>IF(Registro_Compras!$R368&lt;&gt;"SI","",Registro_Compras!$D368)</f>
        <v/>
      </c>
      <c r="D368">
        <f>IF(Registro_Compras!$R368&lt;&gt;"SI","",Registro_Compras!$E368)</f>
        <v/>
      </c>
      <c r="E368">
        <f>IF(Registro_Compras!$R368&lt;&gt;"SI","",Registro_Compras!$G368)</f>
        <v/>
      </c>
      <c r="F368" s="31">
        <f>IF(Registro_Compras!$R368&lt;&gt;"SI","",Registro_Compras!$P368)</f>
        <v/>
      </c>
      <c r="G368" s="20">
        <f>IF(Registro_Compras!$R368&lt;&gt;"SI","",Registro_Compras!$O368)</f>
        <v/>
      </c>
      <c r="H368" s="20">
        <f>IF(Registro_Compras!$R368&lt;&gt;"SI","",Registro_Compras!$S368)</f>
        <v/>
      </c>
      <c r="I368" s="25">
        <f>IF(Registro_Compras!$R368&lt;&gt;"SI","",IF(Registro_Compras!$Y368="",WORKDAY(EOMONTH(Registro_Compras!$B368,0),5,Feriados),MIN(Registro_Compras!$Y368,WORKDAY(EOMONTH(Registro_Compras!$B368,0),5,Feriados))))</f>
        <v/>
      </c>
      <c r="J368" s="25">
        <f>IF(Registro_Compras!$R368&lt;&gt;"SI","",Registro_Compras!$X368)</f>
        <v/>
      </c>
      <c r="K368">
        <f>IF(Registro_Compras!$R368&lt;&gt;"SI","",IF(Registro_Compras!$X368="","PENDIENTE","DEPOSITADA"))</f>
        <v/>
      </c>
      <c r="L368">
        <f>IF(Registro_Compras!$R368&lt;&gt;"SI","",Registro_Compras!$Z368)</f>
        <v/>
      </c>
      <c r="M368">
        <f>IF($K368&lt;&gt;"PENDIENTE","",IF(TODAY()&gt;$I368,TODAY()-$I368,0))</f>
        <v/>
      </c>
      <c r="N368">
        <f>IF($K368&lt;&gt;"PENDIENTE","",IF($M368&gt;0,"VENCIDA - DEPOSITAR YA",IF($I368-TODAY()&lt;=3,"POR VENCER","EN PLAZO")))</f>
        <v/>
      </c>
    </row>
    <row r="369">
      <c r="A369" s="25">
        <f>IF(Registro_Compras!$R369&lt;&gt;"SI","",Registro_Compras!$B369)</f>
        <v/>
      </c>
      <c r="B369">
        <f>IF(Registro_Compras!$R369&lt;&gt;"SI","",Registro_Compras!$C369)</f>
        <v/>
      </c>
      <c r="C369">
        <f>IF(Registro_Compras!$R369&lt;&gt;"SI","",Registro_Compras!$D369)</f>
        <v/>
      </c>
      <c r="D369">
        <f>IF(Registro_Compras!$R369&lt;&gt;"SI","",Registro_Compras!$E369)</f>
        <v/>
      </c>
      <c r="E369">
        <f>IF(Registro_Compras!$R369&lt;&gt;"SI","",Registro_Compras!$G369)</f>
        <v/>
      </c>
      <c r="F369" s="31">
        <f>IF(Registro_Compras!$R369&lt;&gt;"SI","",Registro_Compras!$P369)</f>
        <v/>
      </c>
      <c r="G369" s="20">
        <f>IF(Registro_Compras!$R369&lt;&gt;"SI","",Registro_Compras!$O369)</f>
        <v/>
      </c>
      <c r="H369" s="20">
        <f>IF(Registro_Compras!$R369&lt;&gt;"SI","",Registro_Compras!$S369)</f>
        <v/>
      </c>
      <c r="I369" s="25">
        <f>IF(Registro_Compras!$R369&lt;&gt;"SI","",IF(Registro_Compras!$Y369="",WORKDAY(EOMONTH(Registro_Compras!$B369,0),5,Feriados),MIN(Registro_Compras!$Y369,WORKDAY(EOMONTH(Registro_Compras!$B369,0),5,Feriados))))</f>
        <v/>
      </c>
      <c r="J369" s="25">
        <f>IF(Registro_Compras!$R369&lt;&gt;"SI","",Registro_Compras!$X369)</f>
        <v/>
      </c>
      <c r="K369">
        <f>IF(Registro_Compras!$R369&lt;&gt;"SI","",IF(Registro_Compras!$X369="","PENDIENTE","DEPOSITADA"))</f>
        <v/>
      </c>
      <c r="L369">
        <f>IF(Registro_Compras!$R369&lt;&gt;"SI","",Registro_Compras!$Z369)</f>
        <v/>
      </c>
      <c r="M369">
        <f>IF($K369&lt;&gt;"PENDIENTE","",IF(TODAY()&gt;$I369,TODAY()-$I369,0))</f>
        <v/>
      </c>
      <c r="N369">
        <f>IF($K369&lt;&gt;"PENDIENTE","",IF($M369&gt;0,"VENCIDA - DEPOSITAR YA",IF($I369-TODAY()&lt;=3,"POR VENCER","EN PLAZO")))</f>
        <v/>
      </c>
    </row>
    <row r="370">
      <c r="A370" s="25">
        <f>IF(Registro_Compras!$R370&lt;&gt;"SI","",Registro_Compras!$B370)</f>
        <v/>
      </c>
      <c r="B370">
        <f>IF(Registro_Compras!$R370&lt;&gt;"SI","",Registro_Compras!$C370)</f>
        <v/>
      </c>
      <c r="C370">
        <f>IF(Registro_Compras!$R370&lt;&gt;"SI","",Registro_Compras!$D370)</f>
        <v/>
      </c>
      <c r="D370">
        <f>IF(Registro_Compras!$R370&lt;&gt;"SI","",Registro_Compras!$E370)</f>
        <v/>
      </c>
      <c r="E370">
        <f>IF(Registro_Compras!$R370&lt;&gt;"SI","",Registro_Compras!$G370)</f>
        <v/>
      </c>
      <c r="F370" s="31">
        <f>IF(Registro_Compras!$R370&lt;&gt;"SI","",Registro_Compras!$P370)</f>
        <v/>
      </c>
      <c r="G370" s="20">
        <f>IF(Registro_Compras!$R370&lt;&gt;"SI","",Registro_Compras!$O370)</f>
        <v/>
      </c>
      <c r="H370" s="20">
        <f>IF(Registro_Compras!$R370&lt;&gt;"SI","",Registro_Compras!$S370)</f>
        <v/>
      </c>
      <c r="I370" s="25">
        <f>IF(Registro_Compras!$R370&lt;&gt;"SI","",IF(Registro_Compras!$Y370="",WORKDAY(EOMONTH(Registro_Compras!$B370,0),5,Feriados),MIN(Registro_Compras!$Y370,WORKDAY(EOMONTH(Registro_Compras!$B370,0),5,Feriados))))</f>
        <v/>
      </c>
      <c r="J370" s="25">
        <f>IF(Registro_Compras!$R370&lt;&gt;"SI","",Registro_Compras!$X370)</f>
        <v/>
      </c>
      <c r="K370">
        <f>IF(Registro_Compras!$R370&lt;&gt;"SI","",IF(Registro_Compras!$X370="","PENDIENTE","DEPOSITADA"))</f>
        <v/>
      </c>
      <c r="L370">
        <f>IF(Registro_Compras!$R370&lt;&gt;"SI","",Registro_Compras!$Z370)</f>
        <v/>
      </c>
      <c r="M370">
        <f>IF($K370&lt;&gt;"PENDIENTE","",IF(TODAY()&gt;$I370,TODAY()-$I370,0))</f>
        <v/>
      </c>
      <c r="N370">
        <f>IF($K370&lt;&gt;"PENDIENTE","",IF($M370&gt;0,"VENCIDA - DEPOSITAR YA",IF($I370-TODAY()&lt;=3,"POR VENCER","EN PLAZO")))</f>
        <v/>
      </c>
    </row>
    <row r="371">
      <c r="A371" s="25">
        <f>IF(Registro_Compras!$R371&lt;&gt;"SI","",Registro_Compras!$B371)</f>
        <v/>
      </c>
      <c r="B371">
        <f>IF(Registro_Compras!$R371&lt;&gt;"SI","",Registro_Compras!$C371)</f>
        <v/>
      </c>
      <c r="C371">
        <f>IF(Registro_Compras!$R371&lt;&gt;"SI","",Registro_Compras!$D371)</f>
        <v/>
      </c>
      <c r="D371">
        <f>IF(Registro_Compras!$R371&lt;&gt;"SI","",Registro_Compras!$E371)</f>
        <v/>
      </c>
      <c r="E371">
        <f>IF(Registro_Compras!$R371&lt;&gt;"SI","",Registro_Compras!$G371)</f>
        <v/>
      </c>
      <c r="F371" s="31">
        <f>IF(Registro_Compras!$R371&lt;&gt;"SI","",Registro_Compras!$P371)</f>
        <v/>
      </c>
      <c r="G371" s="20">
        <f>IF(Registro_Compras!$R371&lt;&gt;"SI","",Registro_Compras!$O371)</f>
        <v/>
      </c>
      <c r="H371" s="20">
        <f>IF(Registro_Compras!$R371&lt;&gt;"SI","",Registro_Compras!$S371)</f>
        <v/>
      </c>
      <c r="I371" s="25">
        <f>IF(Registro_Compras!$R371&lt;&gt;"SI","",IF(Registro_Compras!$Y371="",WORKDAY(EOMONTH(Registro_Compras!$B371,0),5,Feriados),MIN(Registro_Compras!$Y371,WORKDAY(EOMONTH(Registro_Compras!$B371,0),5,Feriados))))</f>
        <v/>
      </c>
      <c r="J371" s="25">
        <f>IF(Registro_Compras!$R371&lt;&gt;"SI","",Registro_Compras!$X371)</f>
        <v/>
      </c>
      <c r="K371">
        <f>IF(Registro_Compras!$R371&lt;&gt;"SI","",IF(Registro_Compras!$X371="","PENDIENTE","DEPOSITADA"))</f>
        <v/>
      </c>
      <c r="L371">
        <f>IF(Registro_Compras!$R371&lt;&gt;"SI","",Registro_Compras!$Z371)</f>
        <v/>
      </c>
      <c r="M371">
        <f>IF($K371&lt;&gt;"PENDIENTE","",IF(TODAY()&gt;$I371,TODAY()-$I371,0))</f>
        <v/>
      </c>
      <c r="N371">
        <f>IF($K371&lt;&gt;"PENDIENTE","",IF($M371&gt;0,"VENCIDA - DEPOSITAR YA",IF($I371-TODAY()&lt;=3,"POR VENCER","EN PLAZO")))</f>
        <v/>
      </c>
    </row>
    <row r="372">
      <c r="A372" s="25">
        <f>IF(Registro_Compras!$R372&lt;&gt;"SI","",Registro_Compras!$B372)</f>
        <v/>
      </c>
      <c r="B372">
        <f>IF(Registro_Compras!$R372&lt;&gt;"SI","",Registro_Compras!$C372)</f>
        <v/>
      </c>
      <c r="C372">
        <f>IF(Registro_Compras!$R372&lt;&gt;"SI","",Registro_Compras!$D372)</f>
        <v/>
      </c>
      <c r="D372">
        <f>IF(Registro_Compras!$R372&lt;&gt;"SI","",Registro_Compras!$E372)</f>
        <v/>
      </c>
      <c r="E372">
        <f>IF(Registro_Compras!$R372&lt;&gt;"SI","",Registro_Compras!$G372)</f>
        <v/>
      </c>
      <c r="F372" s="31">
        <f>IF(Registro_Compras!$R372&lt;&gt;"SI","",Registro_Compras!$P372)</f>
        <v/>
      </c>
      <c r="G372" s="20">
        <f>IF(Registro_Compras!$R372&lt;&gt;"SI","",Registro_Compras!$O372)</f>
        <v/>
      </c>
      <c r="H372" s="20">
        <f>IF(Registro_Compras!$R372&lt;&gt;"SI","",Registro_Compras!$S372)</f>
        <v/>
      </c>
      <c r="I372" s="25">
        <f>IF(Registro_Compras!$R372&lt;&gt;"SI","",IF(Registro_Compras!$Y372="",WORKDAY(EOMONTH(Registro_Compras!$B372,0),5,Feriados),MIN(Registro_Compras!$Y372,WORKDAY(EOMONTH(Registro_Compras!$B372,0),5,Feriados))))</f>
        <v/>
      </c>
      <c r="J372" s="25">
        <f>IF(Registro_Compras!$R372&lt;&gt;"SI","",Registro_Compras!$X372)</f>
        <v/>
      </c>
      <c r="K372">
        <f>IF(Registro_Compras!$R372&lt;&gt;"SI","",IF(Registro_Compras!$X372="","PENDIENTE","DEPOSITADA"))</f>
        <v/>
      </c>
      <c r="L372">
        <f>IF(Registro_Compras!$R372&lt;&gt;"SI","",Registro_Compras!$Z372)</f>
        <v/>
      </c>
      <c r="M372">
        <f>IF($K372&lt;&gt;"PENDIENTE","",IF(TODAY()&gt;$I372,TODAY()-$I372,0))</f>
        <v/>
      </c>
      <c r="N372">
        <f>IF($K372&lt;&gt;"PENDIENTE","",IF($M372&gt;0,"VENCIDA - DEPOSITAR YA",IF($I372-TODAY()&lt;=3,"POR VENCER","EN PLAZO")))</f>
        <v/>
      </c>
    </row>
    <row r="373">
      <c r="A373" s="25">
        <f>IF(Registro_Compras!$R373&lt;&gt;"SI","",Registro_Compras!$B373)</f>
        <v/>
      </c>
      <c r="B373">
        <f>IF(Registro_Compras!$R373&lt;&gt;"SI","",Registro_Compras!$C373)</f>
        <v/>
      </c>
      <c r="C373">
        <f>IF(Registro_Compras!$R373&lt;&gt;"SI","",Registro_Compras!$D373)</f>
        <v/>
      </c>
      <c r="D373">
        <f>IF(Registro_Compras!$R373&lt;&gt;"SI","",Registro_Compras!$E373)</f>
        <v/>
      </c>
      <c r="E373">
        <f>IF(Registro_Compras!$R373&lt;&gt;"SI","",Registro_Compras!$G373)</f>
        <v/>
      </c>
      <c r="F373" s="31">
        <f>IF(Registro_Compras!$R373&lt;&gt;"SI","",Registro_Compras!$P373)</f>
        <v/>
      </c>
      <c r="G373" s="20">
        <f>IF(Registro_Compras!$R373&lt;&gt;"SI","",Registro_Compras!$O373)</f>
        <v/>
      </c>
      <c r="H373" s="20">
        <f>IF(Registro_Compras!$R373&lt;&gt;"SI","",Registro_Compras!$S373)</f>
        <v/>
      </c>
      <c r="I373" s="25">
        <f>IF(Registro_Compras!$R373&lt;&gt;"SI","",IF(Registro_Compras!$Y373="",WORKDAY(EOMONTH(Registro_Compras!$B373,0),5,Feriados),MIN(Registro_Compras!$Y373,WORKDAY(EOMONTH(Registro_Compras!$B373,0),5,Feriados))))</f>
        <v/>
      </c>
      <c r="J373" s="25">
        <f>IF(Registro_Compras!$R373&lt;&gt;"SI","",Registro_Compras!$X373)</f>
        <v/>
      </c>
      <c r="K373">
        <f>IF(Registro_Compras!$R373&lt;&gt;"SI","",IF(Registro_Compras!$X373="","PENDIENTE","DEPOSITADA"))</f>
        <v/>
      </c>
      <c r="L373">
        <f>IF(Registro_Compras!$R373&lt;&gt;"SI","",Registro_Compras!$Z373)</f>
        <v/>
      </c>
      <c r="M373">
        <f>IF($K373&lt;&gt;"PENDIENTE","",IF(TODAY()&gt;$I373,TODAY()-$I373,0))</f>
        <v/>
      </c>
      <c r="N373">
        <f>IF($K373&lt;&gt;"PENDIENTE","",IF($M373&gt;0,"VENCIDA - DEPOSITAR YA",IF($I373-TODAY()&lt;=3,"POR VENCER","EN PLAZO")))</f>
        <v/>
      </c>
    </row>
    <row r="374">
      <c r="A374" s="25">
        <f>IF(Registro_Compras!$R374&lt;&gt;"SI","",Registro_Compras!$B374)</f>
        <v/>
      </c>
      <c r="B374">
        <f>IF(Registro_Compras!$R374&lt;&gt;"SI","",Registro_Compras!$C374)</f>
        <v/>
      </c>
      <c r="C374">
        <f>IF(Registro_Compras!$R374&lt;&gt;"SI","",Registro_Compras!$D374)</f>
        <v/>
      </c>
      <c r="D374">
        <f>IF(Registro_Compras!$R374&lt;&gt;"SI","",Registro_Compras!$E374)</f>
        <v/>
      </c>
      <c r="E374">
        <f>IF(Registro_Compras!$R374&lt;&gt;"SI","",Registro_Compras!$G374)</f>
        <v/>
      </c>
      <c r="F374" s="31">
        <f>IF(Registro_Compras!$R374&lt;&gt;"SI","",Registro_Compras!$P374)</f>
        <v/>
      </c>
      <c r="G374" s="20">
        <f>IF(Registro_Compras!$R374&lt;&gt;"SI","",Registro_Compras!$O374)</f>
        <v/>
      </c>
      <c r="H374" s="20">
        <f>IF(Registro_Compras!$R374&lt;&gt;"SI","",Registro_Compras!$S374)</f>
        <v/>
      </c>
      <c r="I374" s="25">
        <f>IF(Registro_Compras!$R374&lt;&gt;"SI","",IF(Registro_Compras!$Y374="",WORKDAY(EOMONTH(Registro_Compras!$B374,0),5,Feriados),MIN(Registro_Compras!$Y374,WORKDAY(EOMONTH(Registro_Compras!$B374,0),5,Feriados))))</f>
        <v/>
      </c>
      <c r="J374" s="25">
        <f>IF(Registro_Compras!$R374&lt;&gt;"SI","",Registro_Compras!$X374)</f>
        <v/>
      </c>
      <c r="K374">
        <f>IF(Registro_Compras!$R374&lt;&gt;"SI","",IF(Registro_Compras!$X374="","PENDIENTE","DEPOSITADA"))</f>
        <v/>
      </c>
      <c r="L374">
        <f>IF(Registro_Compras!$R374&lt;&gt;"SI","",Registro_Compras!$Z374)</f>
        <v/>
      </c>
      <c r="M374">
        <f>IF($K374&lt;&gt;"PENDIENTE","",IF(TODAY()&gt;$I374,TODAY()-$I374,0))</f>
        <v/>
      </c>
      <c r="N374">
        <f>IF($K374&lt;&gt;"PENDIENTE","",IF($M374&gt;0,"VENCIDA - DEPOSITAR YA",IF($I374-TODAY()&lt;=3,"POR VENCER","EN PLAZO")))</f>
        <v/>
      </c>
    </row>
    <row r="375">
      <c r="A375" s="25">
        <f>IF(Registro_Compras!$R375&lt;&gt;"SI","",Registro_Compras!$B375)</f>
        <v/>
      </c>
      <c r="B375">
        <f>IF(Registro_Compras!$R375&lt;&gt;"SI","",Registro_Compras!$C375)</f>
        <v/>
      </c>
      <c r="C375">
        <f>IF(Registro_Compras!$R375&lt;&gt;"SI","",Registro_Compras!$D375)</f>
        <v/>
      </c>
      <c r="D375">
        <f>IF(Registro_Compras!$R375&lt;&gt;"SI","",Registro_Compras!$E375)</f>
        <v/>
      </c>
      <c r="E375">
        <f>IF(Registro_Compras!$R375&lt;&gt;"SI","",Registro_Compras!$G375)</f>
        <v/>
      </c>
      <c r="F375" s="31">
        <f>IF(Registro_Compras!$R375&lt;&gt;"SI","",Registro_Compras!$P375)</f>
        <v/>
      </c>
      <c r="G375" s="20">
        <f>IF(Registro_Compras!$R375&lt;&gt;"SI","",Registro_Compras!$O375)</f>
        <v/>
      </c>
      <c r="H375" s="20">
        <f>IF(Registro_Compras!$R375&lt;&gt;"SI","",Registro_Compras!$S375)</f>
        <v/>
      </c>
      <c r="I375" s="25">
        <f>IF(Registro_Compras!$R375&lt;&gt;"SI","",IF(Registro_Compras!$Y375="",WORKDAY(EOMONTH(Registro_Compras!$B375,0),5,Feriados),MIN(Registro_Compras!$Y375,WORKDAY(EOMONTH(Registro_Compras!$B375,0),5,Feriados))))</f>
        <v/>
      </c>
      <c r="J375" s="25">
        <f>IF(Registro_Compras!$R375&lt;&gt;"SI","",Registro_Compras!$X375)</f>
        <v/>
      </c>
      <c r="K375">
        <f>IF(Registro_Compras!$R375&lt;&gt;"SI","",IF(Registro_Compras!$X375="","PENDIENTE","DEPOSITADA"))</f>
        <v/>
      </c>
      <c r="L375">
        <f>IF(Registro_Compras!$R375&lt;&gt;"SI","",Registro_Compras!$Z375)</f>
        <v/>
      </c>
      <c r="M375">
        <f>IF($K375&lt;&gt;"PENDIENTE","",IF(TODAY()&gt;$I375,TODAY()-$I375,0))</f>
        <v/>
      </c>
      <c r="N375">
        <f>IF($K375&lt;&gt;"PENDIENTE","",IF($M375&gt;0,"VENCIDA - DEPOSITAR YA",IF($I375-TODAY()&lt;=3,"POR VENCER","EN PLAZO")))</f>
        <v/>
      </c>
    </row>
    <row r="376">
      <c r="A376" s="25">
        <f>IF(Registro_Compras!$R376&lt;&gt;"SI","",Registro_Compras!$B376)</f>
        <v/>
      </c>
      <c r="B376">
        <f>IF(Registro_Compras!$R376&lt;&gt;"SI","",Registro_Compras!$C376)</f>
        <v/>
      </c>
      <c r="C376">
        <f>IF(Registro_Compras!$R376&lt;&gt;"SI","",Registro_Compras!$D376)</f>
        <v/>
      </c>
      <c r="D376">
        <f>IF(Registro_Compras!$R376&lt;&gt;"SI","",Registro_Compras!$E376)</f>
        <v/>
      </c>
      <c r="E376">
        <f>IF(Registro_Compras!$R376&lt;&gt;"SI","",Registro_Compras!$G376)</f>
        <v/>
      </c>
      <c r="F376" s="31">
        <f>IF(Registro_Compras!$R376&lt;&gt;"SI","",Registro_Compras!$P376)</f>
        <v/>
      </c>
      <c r="G376" s="20">
        <f>IF(Registro_Compras!$R376&lt;&gt;"SI","",Registro_Compras!$O376)</f>
        <v/>
      </c>
      <c r="H376" s="20">
        <f>IF(Registro_Compras!$R376&lt;&gt;"SI","",Registro_Compras!$S376)</f>
        <v/>
      </c>
      <c r="I376" s="25">
        <f>IF(Registro_Compras!$R376&lt;&gt;"SI","",IF(Registro_Compras!$Y376="",WORKDAY(EOMONTH(Registro_Compras!$B376,0),5,Feriados),MIN(Registro_Compras!$Y376,WORKDAY(EOMONTH(Registro_Compras!$B376,0),5,Feriados))))</f>
        <v/>
      </c>
      <c r="J376" s="25">
        <f>IF(Registro_Compras!$R376&lt;&gt;"SI","",Registro_Compras!$X376)</f>
        <v/>
      </c>
      <c r="K376">
        <f>IF(Registro_Compras!$R376&lt;&gt;"SI","",IF(Registro_Compras!$X376="","PENDIENTE","DEPOSITADA"))</f>
        <v/>
      </c>
      <c r="L376">
        <f>IF(Registro_Compras!$R376&lt;&gt;"SI","",Registro_Compras!$Z376)</f>
        <v/>
      </c>
      <c r="M376">
        <f>IF($K376&lt;&gt;"PENDIENTE","",IF(TODAY()&gt;$I376,TODAY()-$I376,0))</f>
        <v/>
      </c>
      <c r="N376">
        <f>IF($K376&lt;&gt;"PENDIENTE","",IF($M376&gt;0,"VENCIDA - DEPOSITAR YA",IF($I376-TODAY()&lt;=3,"POR VENCER","EN PLAZO")))</f>
        <v/>
      </c>
    </row>
    <row r="377">
      <c r="A377" s="25">
        <f>IF(Registro_Compras!$R377&lt;&gt;"SI","",Registro_Compras!$B377)</f>
        <v/>
      </c>
      <c r="B377">
        <f>IF(Registro_Compras!$R377&lt;&gt;"SI","",Registro_Compras!$C377)</f>
        <v/>
      </c>
      <c r="C377">
        <f>IF(Registro_Compras!$R377&lt;&gt;"SI","",Registro_Compras!$D377)</f>
        <v/>
      </c>
      <c r="D377">
        <f>IF(Registro_Compras!$R377&lt;&gt;"SI","",Registro_Compras!$E377)</f>
        <v/>
      </c>
      <c r="E377">
        <f>IF(Registro_Compras!$R377&lt;&gt;"SI","",Registro_Compras!$G377)</f>
        <v/>
      </c>
      <c r="F377" s="31">
        <f>IF(Registro_Compras!$R377&lt;&gt;"SI","",Registro_Compras!$P377)</f>
        <v/>
      </c>
      <c r="G377" s="20">
        <f>IF(Registro_Compras!$R377&lt;&gt;"SI","",Registro_Compras!$O377)</f>
        <v/>
      </c>
      <c r="H377" s="20">
        <f>IF(Registro_Compras!$R377&lt;&gt;"SI","",Registro_Compras!$S377)</f>
        <v/>
      </c>
      <c r="I377" s="25">
        <f>IF(Registro_Compras!$R377&lt;&gt;"SI","",IF(Registro_Compras!$Y377="",WORKDAY(EOMONTH(Registro_Compras!$B377,0),5,Feriados),MIN(Registro_Compras!$Y377,WORKDAY(EOMONTH(Registro_Compras!$B377,0),5,Feriados))))</f>
        <v/>
      </c>
      <c r="J377" s="25">
        <f>IF(Registro_Compras!$R377&lt;&gt;"SI","",Registro_Compras!$X377)</f>
        <v/>
      </c>
      <c r="K377">
        <f>IF(Registro_Compras!$R377&lt;&gt;"SI","",IF(Registro_Compras!$X377="","PENDIENTE","DEPOSITADA"))</f>
        <v/>
      </c>
      <c r="L377">
        <f>IF(Registro_Compras!$R377&lt;&gt;"SI","",Registro_Compras!$Z377)</f>
        <v/>
      </c>
      <c r="M377">
        <f>IF($K377&lt;&gt;"PENDIENTE","",IF(TODAY()&gt;$I377,TODAY()-$I377,0))</f>
        <v/>
      </c>
      <c r="N377">
        <f>IF($K377&lt;&gt;"PENDIENTE","",IF($M377&gt;0,"VENCIDA - DEPOSITAR YA",IF($I377-TODAY()&lt;=3,"POR VENCER","EN PLAZO")))</f>
        <v/>
      </c>
    </row>
    <row r="378">
      <c r="A378" s="25">
        <f>IF(Registro_Compras!$R378&lt;&gt;"SI","",Registro_Compras!$B378)</f>
        <v/>
      </c>
      <c r="B378">
        <f>IF(Registro_Compras!$R378&lt;&gt;"SI","",Registro_Compras!$C378)</f>
        <v/>
      </c>
      <c r="C378">
        <f>IF(Registro_Compras!$R378&lt;&gt;"SI","",Registro_Compras!$D378)</f>
        <v/>
      </c>
      <c r="D378">
        <f>IF(Registro_Compras!$R378&lt;&gt;"SI","",Registro_Compras!$E378)</f>
        <v/>
      </c>
      <c r="E378">
        <f>IF(Registro_Compras!$R378&lt;&gt;"SI","",Registro_Compras!$G378)</f>
        <v/>
      </c>
      <c r="F378" s="31">
        <f>IF(Registro_Compras!$R378&lt;&gt;"SI","",Registro_Compras!$P378)</f>
        <v/>
      </c>
      <c r="G378" s="20">
        <f>IF(Registro_Compras!$R378&lt;&gt;"SI","",Registro_Compras!$O378)</f>
        <v/>
      </c>
      <c r="H378" s="20">
        <f>IF(Registro_Compras!$R378&lt;&gt;"SI","",Registro_Compras!$S378)</f>
        <v/>
      </c>
      <c r="I378" s="25">
        <f>IF(Registro_Compras!$R378&lt;&gt;"SI","",IF(Registro_Compras!$Y378="",WORKDAY(EOMONTH(Registro_Compras!$B378,0),5,Feriados),MIN(Registro_Compras!$Y378,WORKDAY(EOMONTH(Registro_Compras!$B378,0),5,Feriados))))</f>
        <v/>
      </c>
      <c r="J378" s="25">
        <f>IF(Registro_Compras!$R378&lt;&gt;"SI","",Registro_Compras!$X378)</f>
        <v/>
      </c>
      <c r="K378">
        <f>IF(Registro_Compras!$R378&lt;&gt;"SI","",IF(Registro_Compras!$X378="","PENDIENTE","DEPOSITADA"))</f>
        <v/>
      </c>
      <c r="L378">
        <f>IF(Registro_Compras!$R378&lt;&gt;"SI","",Registro_Compras!$Z378)</f>
        <v/>
      </c>
      <c r="M378">
        <f>IF($K378&lt;&gt;"PENDIENTE","",IF(TODAY()&gt;$I378,TODAY()-$I378,0))</f>
        <v/>
      </c>
      <c r="N378">
        <f>IF($K378&lt;&gt;"PENDIENTE","",IF($M378&gt;0,"VENCIDA - DEPOSITAR YA",IF($I378-TODAY()&lt;=3,"POR VENCER","EN PLAZO")))</f>
        <v/>
      </c>
    </row>
    <row r="379">
      <c r="A379" s="25">
        <f>IF(Registro_Compras!$R379&lt;&gt;"SI","",Registro_Compras!$B379)</f>
        <v/>
      </c>
      <c r="B379">
        <f>IF(Registro_Compras!$R379&lt;&gt;"SI","",Registro_Compras!$C379)</f>
        <v/>
      </c>
      <c r="C379">
        <f>IF(Registro_Compras!$R379&lt;&gt;"SI","",Registro_Compras!$D379)</f>
        <v/>
      </c>
      <c r="D379">
        <f>IF(Registro_Compras!$R379&lt;&gt;"SI","",Registro_Compras!$E379)</f>
        <v/>
      </c>
      <c r="E379">
        <f>IF(Registro_Compras!$R379&lt;&gt;"SI","",Registro_Compras!$G379)</f>
        <v/>
      </c>
      <c r="F379" s="31">
        <f>IF(Registro_Compras!$R379&lt;&gt;"SI","",Registro_Compras!$P379)</f>
        <v/>
      </c>
      <c r="G379" s="20">
        <f>IF(Registro_Compras!$R379&lt;&gt;"SI","",Registro_Compras!$O379)</f>
        <v/>
      </c>
      <c r="H379" s="20">
        <f>IF(Registro_Compras!$R379&lt;&gt;"SI","",Registro_Compras!$S379)</f>
        <v/>
      </c>
      <c r="I379" s="25">
        <f>IF(Registro_Compras!$R379&lt;&gt;"SI","",IF(Registro_Compras!$Y379="",WORKDAY(EOMONTH(Registro_Compras!$B379,0),5,Feriados),MIN(Registro_Compras!$Y379,WORKDAY(EOMONTH(Registro_Compras!$B379,0),5,Feriados))))</f>
        <v/>
      </c>
      <c r="J379" s="25">
        <f>IF(Registro_Compras!$R379&lt;&gt;"SI","",Registro_Compras!$X379)</f>
        <v/>
      </c>
      <c r="K379">
        <f>IF(Registro_Compras!$R379&lt;&gt;"SI","",IF(Registro_Compras!$X379="","PENDIENTE","DEPOSITADA"))</f>
        <v/>
      </c>
      <c r="L379">
        <f>IF(Registro_Compras!$R379&lt;&gt;"SI","",Registro_Compras!$Z379)</f>
        <v/>
      </c>
      <c r="M379">
        <f>IF($K379&lt;&gt;"PENDIENTE","",IF(TODAY()&gt;$I379,TODAY()-$I379,0))</f>
        <v/>
      </c>
      <c r="N379">
        <f>IF($K379&lt;&gt;"PENDIENTE","",IF($M379&gt;0,"VENCIDA - DEPOSITAR YA",IF($I379-TODAY()&lt;=3,"POR VENCER","EN PLAZO")))</f>
        <v/>
      </c>
    </row>
    <row r="380">
      <c r="A380" s="25">
        <f>IF(Registro_Compras!$R380&lt;&gt;"SI","",Registro_Compras!$B380)</f>
        <v/>
      </c>
      <c r="B380">
        <f>IF(Registro_Compras!$R380&lt;&gt;"SI","",Registro_Compras!$C380)</f>
        <v/>
      </c>
      <c r="C380">
        <f>IF(Registro_Compras!$R380&lt;&gt;"SI","",Registro_Compras!$D380)</f>
        <v/>
      </c>
      <c r="D380">
        <f>IF(Registro_Compras!$R380&lt;&gt;"SI","",Registro_Compras!$E380)</f>
        <v/>
      </c>
      <c r="E380">
        <f>IF(Registro_Compras!$R380&lt;&gt;"SI","",Registro_Compras!$G380)</f>
        <v/>
      </c>
      <c r="F380" s="31">
        <f>IF(Registro_Compras!$R380&lt;&gt;"SI","",Registro_Compras!$P380)</f>
        <v/>
      </c>
      <c r="G380" s="20">
        <f>IF(Registro_Compras!$R380&lt;&gt;"SI","",Registro_Compras!$O380)</f>
        <v/>
      </c>
      <c r="H380" s="20">
        <f>IF(Registro_Compras!$R380&lt;&gt;"SI","",Registro_Compras!$S380)</f>
        <v/>
      </c>
      <c r="I380" s="25">
        <f>IF(Registro_Compras!$R380&lt;&gt;"SI","",IF(Registro_Compras!$Y380="",WORKDAY(EOMONTH(Registro_Compras!$B380,0),5,Feriados),MIN(Registro_Compras!$Y380,WORKDAY(EOMONTH(Registro_Compras!$B380,0),5,Feriados))))</f>
        <v/>
      </c>
      <c r="J380" s="25">
        <f>IF(Registro_Compras!$R380&lt;&gt;"SI","",Registro_Compras!$X380)</f>
        <v/>
      </c>
      <c r="K380">
        <f>IF(Registro_Compras!$R380&lt;&gt;"SI","",IF(Registro_Compras!$X380="","PENDIENTE","DEPOSITADA"))</f>
        <v/>
      </c>
      <c r="L380">
        <f>IF(Registro_Compras!$R380&lt;&gt;"SI","",Registro_Compras!$Z380)</f>
        <v/>
      </c>
      <c r="M380">
        <f>IF($K380&lt;&gt;"PENDIENTE","",IF(TODAY()&gt;$I380,TODAY()-$I380,0))</f>
        <v/>
      </c>
      <c r="N380">
        <f>IF($K380&lt;&gt;"PENDIENTE","",IF($M380&gt;0,"VENCIDA - DEPOSITAR YA",IF($I380-TODAY()&lt;=3,"POR VENCER","EN PLAZO")))</f>
        <v/>
      </c>
    </row>
    <row r="381">
      <c r="A381" s="25">
        <f>IF(Registro_Compras!$R381&lt;&gt;"SI","",Registro_Compras!$B381)</f>
        <v/>
      </c>
      <c r="B381">
        <f>IF(Registro_Compras!$R381&lt;&gt;"SI","",Registro_Compras!$C381)</f>
        <v/>
      </c>
      <c r="C381">
        <f>IF(Registro_Compras!$R381&lt;&gt;"SI","",Registro_Compras!$D381)</f>
        <v/>
      </c>
      <c r="D381">
        <f>IF(Registro_Compras!$R381&lt;&gt;"SI","",Registro_Compras!$E381)</f>
        <v/>
      </c>
      <c r="E381">
        <f>IF(Registro_Compras!$R381&lt;&gt;"SI","",Registro_Compras!$G381)</f>
        <v/>
      </c>
      <c r="F381" s="31">
        <f>IF(Registro_Compras!$R381&lt;&gt;"SI","",Registro_Compras!$P381)</f>
        <v/>
      </c>
      <c r="G381" s="20">
        <f>IF(Registro_Compras!$R381&lt;&gt;"SI","",Registro_Compras!$O381)</f>
        <v/>
      </c>
      <c r="H381" s="20">
        <f>IF(Registro_Compras!$R381&lt;&gt;"SI","",Registro_Compras!$S381)</f>
        <v/>
      </c>
      <c r="I381" s="25">
        <f>IF(Registro_Compras!$R381&lt;&gt;"SI","",IF(Registro_Compras!$Y381="",WORKDAY(EOMONTH(Registro_Compras!$B381,0),5,Feriados),MIN(Registro_Compras!$Y381,WORKDAY(EOMONTH(Registro_Compras!$B381,0),5,Feriados))))</f>
        <v/>
      </c>
      <c r="J381" s="25">
        <f>IF(Registro_Compras!$R381&lt;&gt;"SI","",Registro_Compras!$X381)</f>
        <v/>
      </c>
      <c r="K381">
        <f>IF(Registro_Compras!$R381&lt;&gt;"SI","",IF(Registro_Compras!$X381="","PENDIENTE","DEPOSITADA"))</f>
        <v/>
      </c>
      <c r="L381">
        <f>IF(Registro_Compras!$R381&lt;&gt;"SI","",Registro_Compras!$Z381)</f>
        <v/>
      </c>
      <c r="M381">
        <f>IF($K381&lt;&gt;"PENDIENTE","",IF(TODAY()&gt;$I381,TODAY()-$I381,0))</f>
        <v/>
      </c>
      <c r="N381">
        <f>IF($K381&lt;&gt;"PENDIENTE","",IF($M381&gt;0,"VENCIDA - DEPOSITAR YA",IF($I381-TODAY()&lt;=3,"POR VENCER","EN PLAZO")))</f>
        <v/>
      </c>
    </row>
    <row r="382">
      <c r="A382" s="25">
        <f>IF(Registro_Compras!$R382&lt;&gt;"SI","",Registro_Compras!$B382)</f>
        <v/>
      </c>
      <c r="B382">
        <f>IF(Registro_Compras!$R382&lt;&gt;"SI","",Registro_Compras!$C382)</f>
        <v/>
      </c>
      <c r="C382">
        <f>IF(Registro_Compras!$R382&lt;&gt;"SI","",Registro_Compras!$D382)</f>
        <v/>
      </c>
      <c r="D382">
        <f>IF(Registro_Compras!$R382&lt;&gt;"SI","",Registro_Compras!$E382)</f>
        <v/>
      </c>
      <c r="E382">
        <f>IF(Registro_Compras!$R382&lt;&gt;"SI","",Registro_Compras!$G382)</f>
        <v/>
      </c>
      <c r="F382" s="31">
        <f>IF(Registro_Compras!$R382&lt;&gt;"SI","",Registro_Compras!$P382)</f>
        <v/>
      </c>
      <c r="G382" s="20">
        <f>IF(Registro_Compras!$R382&lt;&gt;"SI","",Registro_Compras!$O382)</f>
        <v/>
      </c>
      <c r="H382" s="20">
        <f>IF(Registro_Compras!$R382&lt;&gt;"SI","",Registro_Compras!$S382)</f>
        <v/>
      </c>
      <c r="I382" s="25">
        <f>IF(Registro_Compras!$R382&lt;&gt;"SI","",IF(Registro_Compras!$Y382="",WORKDAY(EOMONTH(Registro_Compras!$B382,0),5,Feriados),MIN(Registro_Compras!$Y382,WORKDAY(EOMONTH(Registro_Compras!$B382,0),5,Feriados))))</f>
        <v/>
      </c>
      <c r="J382" s="25">
        <f>IF(Registro_Compras!$R382&lt;&gt;"SI","",Registro_Compras!$X382)</f>
        <v/>
      </c>
      <c r="K382">
        <f>IF(Registro_Compras!$R382&lt;&gt;"SI","",IF(Registro_Compras!$X382="","PENDIENTE","DEPOSITADA"))</f>
        <v/>
      </c>
      <c r="L382">
        <f>IF(Registro_Compras!$R382&lt;&gt;"SI","",Registro_Compras!$Z382)</f>
        <v/>
      </c>
      <c r="M382">
        <f>IF($K382&lt;&gt;"PENDIENTE","",IF(TODAY()&gt;$I382,TODAY()-$I382,0))</f>
        <v/>
      </c>
      <c r="N382">
        <f>IF($K382&lt;&gt;"PENDIENTE","",IF($M382&gt;0,"VENCIDA - DEPOSITAR YA",IF($I382-TODAY()&lt;=3,"POR VENCER","EN PLAZO")))</f>
        <v/>
      </c>
    </row>
    <row r="383">
      <c r="A383" s="25">
        <f>IF(Registro_Compras!$R383&lt;&gt;"SI","",Registro_Compras!$B383)</f>
        <v/>
      </c>
      <c r="B383">
        <f>IF(Registro_Compras!$R383&lt;&gt;"SI","",Registro_Compras!$C383)</f>
        <v/>
      </c>
      <c r="C383">
        <f>IF(Registro_Compras!$R383&lt;&gt;"SI","",Registro_Compras!$D383)</f>
        <v/>
      </c>
      <c r="D383">
        <f>IF(Registro_Compras!$R383&lt;&gt;"SI","",Registro_Compras!$E383)</f>
        <v/>
      </c>
      <c r="E383">
        <f>IF(Registro_Compras!$R383&lt;&gt;"SI","",Registro_Compras!$G383)</f>
        <v/>
      </c>
      <c r="F383" s="31">
        <f>IF(Registro_Compras!$R383&lt;&gt;"SI","",Registro_Compras!$P383)</f>
        <v/>
      </c>
      <c r="G383" s="20">
        <f>IF(Registro_Compras!$R383&lt;&gt;"SI","",Registro_Compras!$O383)</f>
        <v/>
      </c>
      <c r="H383" s="20">
        <f>IF(Registro_Compras!$R383&lt;&gt;"SI","",Registro_Compras!$S383)</f>
        <v/>
      </c>
      <c r="I383" s="25">
        <f>IF(Registro_Compras!$R383&lt;&gt;"SI","",IF(Registro_Compras!$Y383="",WORKDAY(EOMONTH(Registro_Compras!$B383,0),5,Feriados),MIN(Registro_Compras!$Y383,WORKDAY(EOMONTH(Registro_Compras!$B383,0),5,Feriados))))</f>
        <v/>
      </c>
      <c r="J383" s="25">
        <f>IF(Registro_Compras!$R383&lt;&gt;"SI","",Registro_Compras!$X383)</f>
        <v/>
      </c>
      <c r="K383">
        <f>IF(Registro_Compras!$R383&lt;&gt;"SI","",IF(Registro_Compras!$X383="","PENDIENTE","DEPOSITADA"))</f>
        <v/>
      </c>
      <c r="L383">
        <f>IF(Registro_Compras!$R383&lt;&gt;"SI","",Registro_Compras!$Z383)</f>
        <v/>
      </c>
      <c r="M383">
        <f>IF($K383&lt;&gt;"PENDIENTE","",IF(TODAY()&gt;$I383,TODAY()-$I383,0))</f>
        <v/>
      </c>
      <c r="N383">
        <f>IF($K383&lt;&gt;"PENDIENTE","",IF($M383&gt;0,"VENCIDA - DEPOSITAR YA",IF($I383-TODAY()&lt;=3,"POR VENCER","EN PLAZO")))</f>
        <v/>
      </c>
    </row>
    <row r="384">
      <c r="A384" s="25">
        <f>IF(Registro_Compras!$R384&lt;&gt;"SI","",Registro_Compras!$B384)</f>
        <v/>
      </c>
      <c r="B384">
        <f>IF(Registro_Compras!$R384&lt;&gt;"SI","",Registro_Compras!$C384)</f>
        <v/>
      </c>
      <c r="C384">
        <f>IF(Registro_Compras!$R384&lt;&gt;"SI","",Registro_Compras!$D384)</f>
        <v/>
      </c>
      <c r="D384">
        <f>IF(Registro_Compras!$R384&lt;&gt;"SI","",Registro_Compras!$E384)</f>
        <v/>
      </c>
      <c r="E384">
        <f>IF(Registro_Compras!$R384&lt;&gt;"SI","",Registro_Compras!$G384)</f>
        <v/>
      </c>
      <c r="F384" s="31">
        <f>IF(Registro_Compras!$R384&lt;&gt;"SI","",Registro_Compras!$P384)</f>
        <v/>
      </c>
      <c r="G384" s="20">
        <f>IF(Registro_Compras!$R384&lt;&gt;"SI","",Registro_Compras!$O384)</f>
        <v/>
      </c>
      <c r="H384" s="20">
        <f>IF(Registro_Compras!$R384&lt;&gt;"SI","",Registro_Compras!$S384)</f>
        <v/>
      </c>
      <c r="I384" s="25">
        <f>IF(Registro_Compras!$R384&lt;&gt;"SI","",IF(Registro_Compras!$Y384="",WORKDAY(EOMONTH(Registro_Compras!$B384,0),5,Feriados),MIN(Registro_Compras!$Y384,WORKDAY(EOMONTH(Registro_Compras!$B384,0),5,Feriados))))</f>
        <v/>
      </c>
      <c r="J384" s="25">
        <f>IF(Registro_Compras!$R384&lt;&gt;"SI","",Registro_Compras!$X384)</f>
        <v/>
      </c>
      <c r="K384">
        <f>IF(Registro_Compras!$R384&lt;&gt;"SI","",IF(Registro_Compras!$X384="","PENDIENTE","DEPOSITADA"))</f>
        <v/>
      </c>
      <c r="L384">
        <f>IF(Registro_Compras!$R384&lt;&gt;"SI","",Registro_Compras!$Z384)</f>
        <v/>
      </c>
      <c r="M384">
        <f>IF($K384&lt;&gt;"PENDIENTE","",IF(TODAY()&gt;$I384,TODAY()-$I384,0))</f>
        <v/>
      </c>
      <c r="N384">
        <f>IF($K384&lt;&gt;"PENDIENTE","",IF($M384&gt;0,"VENCIDA - DEPOSITAR YA",IF($I384-TODAY()&lt;=3,"POR VENCER","EN PLAZO")))</f>
        <v/>
      </c>
    </row>
    <row r="385">
      <c r="A385" s="25">
        <f>IF(Registro_Compras!$R385&lt;&gt;"SI","",Registro_Compras!$B385)</f>
        <v/>
      </c>
      <c r="B385">
        <f>IF(Registro_Compras!$R385&lt;&gt;"SI","",Registro_Compras!$C385)</f>
        <v/>
      </c>
      <c r="C385">
        <f>IF(Registro_Compras!$R385&lt;&gt;"SI","",Registro_Compras!$D385)</f>
        <v/>
      </c>
      <c r="D385">
        <f>IF(Registro_Compras!$R385&lt;&gt;"SI","",Registro_Compras!$E385)</f>
        <v/>
      </c>
      <c r="E385">
        <f>IF(Registro_Compras!$R385&lt;&gt;"SI","",Registro_Compras!$G385)</f>
        <v/>
      </c>
      <c r="F385" s="31">
        <f>IF(Registro_Compras!$R385&lt;&gt;"SI","",Registro_Compras!$P385)</f>
        <v/>
      </c>
      <c r="G385" s="20">
        <f>IF(Registro_Compras!$R385&lt;&gt;"SI","",Registro_Compras!$O385)</f>
        <v/>
      </c>
      <c r="H385" s="20">
        <f>IF(Registro_Compras!$R385&lt;&gt;"SI","",Registro_Compras!$S385)</f>
        <v/>
      </c>
      <c r="I385" s="25">
        <f>IF(Registro_Compras!$R385&lt;&gt;"SI","",IF(Registro_Compras!$Y385="",WORKDAY(EOMONTH(Registro_Compras!$B385,0),5,Feriados),MIN(Registro_Compras!$Y385,WORKDAY(EOMONTH(Registro_Compras!$B385,0),5,Feriados))))</f>
        <v/>
      </c>
      <c r="J385" s="25">
        <f>IF(Registro_Compras!$R385&lt;&gt;"SI","",Registro_Compras!$X385)</f>
        <v/>
      </c>
      <c r="K385">
        <f>IF(Registro_Compras!$R385&lt;&gt;"SI","",IF(Registro_Compras!$X385="","PENDIENTE","DEPOSITADA"))</f>
        <v/>
      </c>
      <c r="L385">
        <f>IF(Registro_Compras!$R385&lt;&gt;"SI","",Registro_Compras!$Z385)</f>
        <v/>
      </c>
      <c r="M385">
        <f>IF($K385&lt;&gt;"PENDIENTE","",IF(TODAY()&gt;$I385,TODAY()-$I385,0))</f>
        <v/>
      </c>
      <c r="N385">
        <f>IF($K385&lt;&gt;"PENDIENTE","",IF($M385&gt;0,"VENCIDA - DEPOSITAR YA",IF($I385-TODAY()&lt;=3,"POR VENCER","EN PLAZO")))</f>
        <v/>
      </c>
    </row>
    <row r="386">
      <c r="A386" s="25">
        <f>IF(Registro_Compras!$R386&lt;&gt;"SI","",Registro_Compras!$B386)</f>
        <v/>
      </c>
      <c r="B386">
        <f>IF(Registro_Compras!$R386&lt;&gt;"SI","",Registro_Compras!$C386)</f>
        <v/>
      </c>
      <c r="C386">
        <f>IF(Registro_Compras!$R386&lt;&gt;"SI","",Registro_Compras!$D386)</f>
        <v/>
      </c>
      <c r="D386">
        <f>IF(Registro_Compras!$R386&lt;&gt;"SI","",Registro_Compras!$E386)</f>
        <v/>
      </c>
      <c r="E386">
        <f>IF(Registro_Compras!$R386&lt;&gt;"SI","",Registro_Compras!$G386)</f>
        <v/>
      </c>
      <c r="F386" s="31">
        <f>IF(Registro_Compras!$R386&lt;&gt;"SI","",Registro_Compras!$P386)</f>
        <v/>
      </c>
      <c r="G386" s="20">
        <f>IF(Registro_Compras!$R386&lt;&gt;"SI","",Registro_Compras!$O386)</f>
        <v/>
      </c>
      <c r="H386" s="20">
        <f>IF(Registro_Compras!$R386&lt;&gt;"SI","",Registro_Compras!$S386)</f>
        <v/>
      </c>
      <c r="I386" s="25">
        <f>IF(Registro_Compras!$R386&lt;&gt;"SI","",IF(Registro_Compras!$Y386="",WORKDAY(EOMONTH(Registro_Compras!$B386,0),5,Feriados),MIN(Registro_Compras!$Y386,WORKDAY(EOMONTH(Registro_Compras!$B386,0),5,Feriados))))</f>
        <v/>
      </c>
      <c r="J386" s="25">
        <f>IF(Registro_Compras!$R386&lt;&gt;"SI","",Registro_Compras!$X386)</f>
        <v/>
      </c>
      <c r="K386">
        <f>IF(Registro_Compras!$R386&lt;&gt;"SI","",IF(Registro_Compras!$X386="","PENDIENTE","DEPOSITADA"))</f>
        <v/>
      </c>
      <c r="L386">
        <f>IF(Registro_Compras!$R386&lt;&gt;"SI","",Registro_Compras!$Z386)</f>
        <v/>
      </c>
      <c r="M386">
        <f>IF($K386&lt;&gt;"PENDIENTE","",IF(TODAY()&gt;$I386,TODAY()-$I386,0))</f>
        <v/>
      </c>
      <c r="N386">
        <f>IF($K386&lt;&gt;"PENDIENTE","",IF($M386&gt;0,"VENCIDA - DEPOSITAR YA",IF($I386-TODAY()&lt;=3,"POR VENCER","EN PLAZO")))</f>
        <v/>
      </c>
    </row>
    <row r="387">
      <c r="A387" s="25">
        <f>IF(Registro_Compras!$R387&lt;&gt;"SI","",Registro_Compras!$B387)</f>
        <v/>
      </c>
      <c r="B387">
        <f>IF(Registro_Compras!$R387&lt;&gt;"SI","",Registro_Compras!$C387)</f>
        <v/>
      </c>
      <c r="C387">
        <f>IF(Registro_Compras!$R387&lt;&gt;"SI","",Registro_Compras!$D387)</f>
        <v/>
      </c>
      <c r="D387">
        <f>IF(Registro_Compras!$R387&lt;&gt;"SI","",Registro_Compras!$E387)</f>
        <v/>
      </c>
      <c r="E387">
        <f>IF(Registro_Compras!$R387&lt;&gt;"SI","",Registro_Compras!$G387)</f>
        <v/>
      </c>
      <c r="F387" s="31">
        <f>IF(Registro_Compras!$R387&lt;&gt;"SI","",Registro_Compras!$P387)</f>
        <v/>
      </c>
      <c r="G387" s="20">
        <f>IF(Registro_Compras!$R387&lt;&gt;"SI","",Registro_Compras!$O387)</f>
        <v/>
      </c>
      <c r="H387" s="20">
        <f>IF(Registro_Compras!$R387&lt;&gt;"SI","",Registro_Compras!$S387)</f>
        <v/>
      </c>
      <c r="I387" s="25">
        <f>IF(Registro_Compras!$R387&lt;&gt;"SI","",IF(Registro_Compras!$Y387="",WORKDAY(EOMONTH(Registro_Compras!$B387,0),5,Feriados),MIN(Registro_Compras!$Y387,WORKDAY(EOMONTH(Registro_Compras!$B387,0),5,Feriados))))</f>
        <v/>
      </c>
      <c r="J387" s="25">
        <f>IF(Registro_Compras!$R387&lt;&gt;"SI","",Registro_Compras!$X387)</f>
        <v/>
      </c>
      <c r="K387">
        <f>IF(Registro_Compras!$R387&lt;&gt;"SI","",IF(Registro_Compras!$X387="","PENDIENTE","DEPOSITADA"))</f>
        <v/>
      </c>
      <c r="L387">
        <f>IF(Registro_Compras!$R387&lt;&gt;"SI","",Registro_Compras!$Z387)</f>
        <v/>
      </c>
      <c r="M387">
        <f>IF($K387&lt;&gt;"PENDIENTE","",IF(TODAY()&gt;$I387,TODAY()-$I387,0))</f>
        <v/>
      </c>
      <c r="N387">
        <f>IF($K387&lt;&gt;"PENDIENTE","",IF($M387&gt;0,"VENCIDA - DEPOSITAR YA",IF($I387-TODAY()&lt;=3,"POR VENCER","EN PLAZO")))</f>
        <v/>
      </c>
    </row>
    <row r="388">
      <c r="A388" s="25">
        <f>IF(Registro_Compras!$R388&lt;&gt;"SI","",Registro_Compras!$B388)</f>
        <v/>
      </c>
      <c r="B388">
        <f>IF(Registro_Compras!$R388&lt;&gt;"SI","",Registro_Compras!$C388)</f>
        <v/>
      </c>
      <c r="C388">
        <f>IF(Registro_Compras!$R388&lt;&gt;"SI","",Registro_Compras!$D388)</f>
        <v/>
      </c>
      <c r="D388">
        <f>IF(Registro_Compras!$R388&lt;&gt;"SI","",Registro_Compras!$E388)</f>
        <v/>
      </c>
      <c r="E388">
        <f>IF(Registro_Compras!$R388&lt;&gt;"SI","",Registro_Compras!$G388)</f>
        <v/>
      </c>
      <c r="F388" s="31">
        <f>IF(Registro_Compras!$R388&lt;&gt;"SI","",Registro_Compras!$P388)</f>
        <v/>
      </c>
      <c r="G388" s="20">
        <f>IF(Registro_Compras!$R388&lt;&gt;"SI","",Registro_Compras!$O388)</f>
        <v/>
      </c>
      <c r="H388" s="20">
        <f>IF(Registro_Compras!$R388&lt;&gt;"SI","",Registro_Compras!$S388)</f>
        <v/>
      </c>
      <c r="I388" s="25">
        <f>IF(Registro_Compras!$R388&lt;&gt;"SI","",IF(Registro_Compras!$Y388="",WORKDAY(EOMONTH(Registro_Compras!$B388,0),5,Feriados),MIN(Registro_Compras!$Y388,WORKDAY(EOMONTH(Registro_Compras!$B388,0),5,Feriados))))</f>
        <v/>
      </c>
      <c r="J388" s="25">
        <f>IF(Registro_Compras!$R388&lt;&gt;"SI","",Registro_Compras!$X388)</f>
        <v/>
      </c>
      <c r="K388">
        <f>IF(Registro_Compras!$R388&lt;&gt;"SI","",IF(Registro_Compras!$X388="","PENDIENTE","DEPOSITADA"))</f>
        <v/>
      </c>
      <c r="L388">
        <f>IF(Registro_Compras!$R388&lt;&gt;"SI","",Registro_Compras!$Z388)</f>
        <v/>
      </c>
      <c r="M388">
        <f>IF($K388&lt;&gt;"PENDIENTE","",IF(TODAY()&gt;$I388,TODAY()-$I388,0))</f>
        <v/>
      </c>
      <c r="N388">
        <f>IF($K388&lt;&gt;"PENDIENTE","",IF($M388&gt;0,"VENCIDA - DEPOSITAR YA",IF($I388-TODAY()&lt;=3,"POR VENCER","EN PLAZO")))</f>
        <v/>
      </c>
    </row>
    <row r="389">
      <c r="A389" s="25">
        <f>IF(Registro_Compras!$R389&lt;&gt;"SI","",Registro_Compras!$B389)</f>
        <v/>
      </c>
      <c r="B389">
        <f>IF(Registro_Compras!$R389&lt;&gt;"SI","",Registro_Compras!$C389)</f>
        <v/>
      </c>
      <c r="C389">
        <f>IF(Registro_Compras!$R389&lt;&gt;"SI","",Registro_Compras!$D389)</f>
        <v/>
      </c>
      <c r="D389">
        <f>IF(Registro_Compras!$R389&lt;&gt;"SI","",Registro_Compras!$E389)</f>
        <v/>
      </c>
      <c r="E389">
        <f>IF(Registro_Compras!$R389&lt;&gt;"SI","",Registro_Compras!$G389)</f>
        <v/>
      </c>
      <c r="F389" s="31">
        <f>IF(Registro_Compras!$R389&lt;&gt;"SI","",Registro_Compras!$P389)</f>
        <v/>
      </c>
      <c r="G389" s="20">
        <f>IF(Registro_Compras!$R389&lt;&gt;"SI","",Registro_Compras!$O389)</f>
        <v/>
      </c>
      <c r="H389" s="20">
        <f>IF(Registro_Compras!$R389&lt;&gt;"SI","",Registro_Compras!$S389)</f>
        <v/>
      </c>
      <c r="I389" s="25">
        <f>IF(Registro_Compras!$R389&lt;&gt;"SI","",IF(Registro_Compras!$Y389="",WORKDAY(EOMONTH(Registro_Compras!$B389,0),5,Feriados),MIN(Registro_Compras!$Y389,WORKDAY(EOMONTH(Registro_Compras!$B389,0),5,Feriados))))</f>
        <v/>
      </c>
      <c r="J389" s="25">
        <f>IF(Registro_Compras!$R389&lt;&gt;"SI","",Registro_Compras!$X389)</f>
        <v/>
      </c>
      <c r="K389">
        <f>IF(Registro_Compras!$R389&lt;&gt;"SI","",IF(Registro_Compras!$X389="","PENDIENTE","DEPOSITADA"))</f>
        <v/>
      </c>
      <c r="L389">
        <f>IF(Registro_Compras!$R389&lt;&gt;"SI","",Registro_Compras!$Z389)</f>
        <v/>
      </c>
      <c r="M389">
        <f>IF($K389&lt;&gt;"PENDIENTE","",IF(TODAY()&gt;$I389,TODAY()-$I389,0))</f>
        <v/>
      </c>
      <c r="N389">
        <f>IF($K389&lt;&gt;"PENDIENTE","",IF($M389&gt;0,"VENCIDA - DEPOSITAR YA",IF($I389-TODAY()&lt;=3,"POR VENCER","EN PLAZO")))</f>
        <v/>
      </c>
    </row>
    <row r="390">
      <c r="A390" s="25">
        <f>IF(Registro_Compras!$R390&lt;&gt;"SI","",Registro_Compras!$B390)</f>
        <v/>
      </c>
      <c r="B390">
        <f>IF(Registro_Compras!$R390&lt;&gt;"SI","",Registro_Compras!$C390)</f>
        <v/>
      </c>
      <c r="C390">
        <f>IF(Registro_Compras!$R390&lt;&gt;"SI","",Registro_Compras!$D390)</f>
        <v/>
      </c>
      <c r="D390">
        <f>IF(Registro_Compras!$R390&lt;&gt;"SI","",Registro_Compras!$E390)</f>
        <v/>
      </c>
      <c r="E390">
        <f>IF(Registro_Compras!$R390&lt;&gt;"SI","",Registro_Compras!$G390)</f>
        <v/>
      </c>
      <c r="F390" s="31">
        <f>IF(Registro_Compras!$R390&lt;&gt;"SI","",Registro_Compras!$P390)</f>
        <v/>
      </c>
      <c r="G390" s="20">
        <f>IF(Registro_Compras!$R390&lt;&gt;"SI","",Registro_Compras!$O390)</f>
        <v/>
      </c>
      <c r="H390" s="20">
        <f>IF(Registro_Compras!$R390&lt;&gt;"SI","",Registro_Compras!$S390)</f>
        <v/>
      </c>
      <c r="I390" s="25">
        <f>IF(Registro_Compras!$R390&lt;&gt;"SI","",IF(Registro_Compras!$Y390="",WORKDAY(EOMONTH(Registro_Compras!$B390,0),5,Feriados),MIN(Registro_Compras!$Y390,WORKDAY(EOMONTH(Registro_Compras!$B390,0),5,Feriados))))</f>
        <v/>
      </c>
      <c r="J390" s="25">
        <f>IF(Registro_Compras!$R390&lt;&gt;"SI","",Registro_Compras!$X390)</f>
        <v/>
      </c>
      <c r="K390">
        <f>IF(Registro_Compras!$R390&lt;&gt;"SI","",IF(Registro_Compras!$X390="","PENDIENTE","DEPOSITADA"))</f>
        <v/>
      </c>
      <c r="L390">
        <f>IF(Registro_Compras!$R390&lt;&gt;"SI","",Registro_Compras!$Z390)</f>
        <v/>
      </c>
      <c r="M390">
        <f>IF($K390&lt;&gt;"PENDIENTE","",IF(TODAY()&gt;$I390,TODAY()-$I390,0))</f>
        <v/>
      </c>
      <c r="N390">
        <f>IF($K390&lt;&gt;"PENDIENTE","",IF($M390&gt;0,"VENCIDA - DEPOSITAR YA",IF($I390-TODAY()&lt;=3,"POR VENCER","EN PLAZO")))</f>
        <v/>
      </c>
    </row>
    <row r="391">
      <c r="A391" s="25">
        <f>IF(Registro_Compras!$R391&lt;&gt;"SI","",Registro_Compras!$B391)</f>
        <v/>
      </c>
      <c r="B391">
        <f>IF(Registro_Compras!$R391&lt;&gt;"SI","",Registro_Compras!$C391)</f>
        <v/>
      </c>
      <c r="C391">
        <f>IF(Registro_Compras!$R391&lt;&gt;"SI","",Registro_Compras!$D391)</f>
        <v/>
      </c>
      <c r="D391">
        <f>IF(Registro_Compras!$R391&lt;&gt;"SI","",Registro_Compras!$E391)</f>
        <v/>
      </c>
      <c r="E391">
        <f>IF(Registro_Compras!$R391&lt;&gt;"SI","",Registro_Compras!$G391)</f>
        <v/>
      </c>
      <c r="F391" s="31">
        <f>IF(Registro_Compras!$R391&lt;&gt;"SI","",Registro_Compras!$P391)</f>
        <v/>
      </c>
      <c r="G391" s="20">
        <f>IF(Registro_Compras!$R391&lt;&gt;"SI","",Registro_Compras!$O391)</f>
        <v/>
      </c>
      <c r="H391" s="20">
        <f>IF(Registro_Compras!$R391&lt;&gt;"SI","",Registro_Compras!$S391)</f>
        <v/>
      </c>
      <c r="I391" s="25">
        <f>IF(Registro_Compras!$R391&lt;&gt;"SI","",IF(Registro_Compras!$Y391="",WORKDAY(EOMONTH(Registro_Compras!$B391,0),5,Feriados),MIN(Registro_Compras!$Y391,WORKDAY(EOMONTH(Registro_Compras!$B391,0),5,Feriados))))</f>
        <v/>
      </c>
      <c r="J391" s="25">
        <f>IF(Registro_Compras!$R391&lt;&gt;"SI","",Registro_Compras!$X391)</f>
        <v/>
      </c>
      <c r="K391">
        <f>IF(Registro_Compras!$R391&lt;&gt;"SI","",IF(Registro_Compras!$X391="","PENDIENTE","DEPOSITADA"))</f>
        <v/>
      </c>
      <c r="L391">
        <f>IF(Registro_Compras!$R391&lt;&gt;"SI","",Registro_Compras!$Z391)</f>
        <v/>
      </c>
      <c r="M391">
        <f>IF($K391&lt;&gt;"PENDIENTE","",IF(TODAY()&gt;$I391,TODAY()-$I391,0))</f>
        <v/>
      </c>
      <c r="N391">
        <f>IF($K391&lt;&gt;"PENDIENTE","",IF($M391&gt;0,"VENCIDA - DEPOSITAR YA",IF($I391-TODAY()&lt;=3,"POR VENCER","EN PLAZO")))</f>
        <v/>
      </c>
    </row>
    <row r="392">
      <c r="A392" s="25">
        <f>IF(Registro_Compras!$R392&lt;&gt;"SI","",Registro_Compras!$B392)</f>
        <v/>
      </c>
      <c r="B392">
        <f>IF(Registro_Compras!$R392&lt;&gt;"SI","",Registro_Compras!$C392)</f>
        <v/>
      </c>
      <c r="C392">
        <f>IF(Registro_Compras!$R392&lt;&gt;"SI","",Registro_Compras!$D392)</f>
        <v/>
      </c>
      <c r="D392">
        <f>IF(Registro_Compras!$R392&lt;&gt;"SI","",Registro_Compras!$E392)</f>
        <v/>
      </c>
      <c r="E392">
        <f>IF(Registro_Compras!$R392&lt;&gt;"SI","",Registro_Compras!$G392)</f>
        <v/>
      </c>
      <c r="F392" s="31">
        <f>IF(Registro_Compras!$R392&lt;&gt;"SI","",Registro_Compras!$P392)</f>
        <v/>
      </c>
      <c r="G392" s="20">
        <f>IF(Registro_Compras!$R392&lt;&gt;"SI","",Registro_Compras!$O392)</f>
        <v/>
      </c>
      <c r="H392" s="20">
        <f>IF(Registro_Compras!$R392&lt;&gt;"SI","",Registro_Compras!$S392)</f>
        <v/>
      </c>
      <c r="I392" s="25">
        <f>IF(Registro_Compras!$R392&lt;&gt;"SI","",IF(Registro_Compras!$Y392="",WORKDAY(EOMONTH(Registro_Compras!$B392,0),5,Feriados),MIN(Registro_Compras!$Y392,WORKDAY(EOMONTH(Registro_Compras!$B392,0),5,Feriados))))</f>
        <v/>
      </c>
      <c r="J392" s="25">
        <f>IF(Registro_Compras!$R392&lt;&gt;"SI","",Registro_Compras!$X392)</f>
        <v/>
      </c>
      <c r="K392">
        <f>IF(Registro_Compras!$R392&lt;&gt;"SI","",IF(Registro_Compras!$X392="","PENDIENTE","DEPOSITADA"))</f>
        <v/>
      </c>
      <c r="L392">
        <f>IF(Registro_Compras!$R392&lt;&gt;"SI","",Registro_Compras!$Z392)</f>
        <v/>
      </c>
      <c r="M392">
        <f>IF($K392&lt;&gt;"PENDIENTE","",IF(TODAY()&gt;$I392,TODAY()-$I392,0))</f>
        <v/>
      </c>
      <c r="N392">
        <f>IF($K392&lt;&gt;"PENDIENTE","",IF($M392&gt;0,"VENCIDA - DEPOSITAR YA",IF($I392-TODAY()&lt;=3,"POR VENCER","EN PLAZO")))</f>
        <v/>
      </c>
    </row>
    <row r="393">
      <c r="A393" s="25">
        <f>IF(Registro_Compras!$R393&lt;&gt;"SI","",Registro_Compras!$B393)</f>
        <v/>
      </c>
      <c r="B393">
        <f>IF(Registro_Compras!$R393&lt;&gt;"SI","",Registro_Compras!$C393)</f>
        <v/>
      </c>
      <c r="C393">
        <f>IF(Registro_Compras!$R393&lt;&gt;"SI","",Registro_Compras!$D393)</f>
        <v/>
      </c>
      <c r="D393">
        <f>IF(Registro_Compras!$R393&lt;&gt;"SI","",Registro_Compras!$E393)</f>
        <v/>
      </c>
      <c r="E393">
        <f>IF(Registro_Compras!$R393&lt;&gt;"SI","",Registro_Compras!$G393)</f>
        <v/>
      </c>
      <c r="F393" s="31">
        <f>IF(Registro_Compras!$R393&lt;&gt;"SI","",Registro_Compras!$P393)</f>
        <v/>
      </c>
      <c r="G393" s="20">
        <f>IF(Registro_Compras!$R393&lt;&gt;"SI","",Registro_Compras!$O393)</f>
        <v/>
      </c>
      <c r="H393" s="20">
        <f>IF(Registro_Compras!$R393&lt;&gt;"SI","",Registro_Compras!$S393)</f>
        <v/>
      </c>
      <c r="I393" s="25">
        <f>IF(Registro_Compras!$R393&lt;&gt;"SI","",IF(Registro_Compras!$Y393="",WORKDAY(EOMONTH(Registro_Compras!$B393,0),5,Feriados),MIN(Registro_Compras!$Y393,WORKDAY(EOMONTH(Registro_Compras!$B393,0),5,Feriados))))</f>
        <v/>
      </c>
      <c r="J393" s="25">
        <f>IF(Registro_Compras!$R393&lt;&gt;"SI","",Registro_Compras!$X393)</f>
        <v/>
      </c>
      <c r="K393">
        <f>IF(Registro_Compras!$R393&lt;&gt;"SI","",IF(Registro_Compras!$X393="","PENDIENTE","DEPOSITADA"))</f>
        <v/>
      </c>
      <c r="L393">
        <f>IF(Registro_Compras!$R393&lt;&gt;"SI","",Registro_Compras!$Z393)</f>
        <v/>
      </c>
      <c r="M393">
        <f>IF($K393&lt;&gt;"PENDIENTE","",IF(TODAY()&gt;$I393,TODAY()-$I393,0))</f>
        <v/>
      </c>
      <c r="N393">
        <f>IF($K393&lt;&gt;"PENDIENTE","",IF($M393&gt;0,"VENCIDA - DEPOSITAR YA",IF($I393-TODAY()&lt;=3,"POR VENCER","EN PLAZO")))</f>
        <v/>
      </c>
    </row>
    <row r="394">
      <c r="A394" s="25">
        <f>IF(Registro_Compras!$R394&lt;&gt;"SI","",Registro_Compras!$B394)</f>
        <v/>
      </c>
      <c r="B394">
        <f>IF(Registro_Compras!$R394&lt;&gt;"SI","",Registro_Compras!$C394)</f>
        <v/>
      </c>
      <c r="C394">
        <f>IF(Registro_Compras!$R394&lt;&gt;"SI","",Registro_Compras!$D394)</f>
        <v/>
      </c>
      <c r="D394">
        <f>IF(Registro_Compras!$R394&lt;&gt;"SI","",Registro_Compras!$E394)</f>
        <v/>
      </c>
      <c r="E394">
        <f>IF(Registro_Compras!$R394&lt;&gt;"SI","",Registro_Compras!$G394)</f>
        <v/>
      </c>
      <c r="F394" s="31">
        <f>IF(Registro_Compras!$R394&lt;&gt;"SI","",Registro_Compras!$P394)</f>
        <v/>
      </c>
      <c r="G394" s="20">
        <f>IF(Registro_Compras!$R394&lt;&gt;"SI","",Registro_Compras!$O394)</f>
        <v/>
      </c>
      <c r="H394" s="20">
        <f>IF(Registro_Compras!$R394&lt;&gt;"SI","",Registro_Compras!$S394)</f>
        <v/>
      </c>
      <c r="I394" s="25">
        <f>IF(Registro_Compras!$R394&lt;&gt;"SI","",IF(Registro_Compras!$Y394="",WORKDAY(EOMONTH(Registro_Compras!$B394,0),5,Feriados),MIN(Registro_Compras!$Y394,WORKDAY(EOMONTH(Registro_Compras!$B394,0),5,Feriados))))</f>
        <v/>
      </c>
      <c r="J394" s="25">
        <f>IF(Registro_Compras!$R394&lt;&gt;"SI","",Registro_Compras!$X394)</f>
        <v/>
      </c>
      <c r="K394">
        <f>IF(Registro_Compras!$R394&lt;&gt;"SI","",IF(Registro_Compras!$X394="","PENDIENTE","DEPOSITADA"))</f>
        <v/>
      </c>
      <c r="L394">
        <f>IF(Registro_Compras!$R394&lt;&gt;"SI","",Registro_Compras!$Z394)</f>
        <v/>
      </c>
      <c r="M394">
        <f>IF($K394&lt;&gt;"PENDIENTE","",IF(TODAY()&gt;$I394,TODAY()-$I394,0))</f>
        <v/>
      </c>
      <c r="N394">
        <f>IF($K394&lt;&gt;"PENDIENTE","",IF($M394&gt;0,"VENCIDA - DEPOSITAR YA",IF($I394-TODAY()&lt;=3,"POR VENCER","EN PLAZO")))</f>
        <v/>
      </c>
    </row>
    <row r="395">
      <c r="A395" s="25">
        <f>IF(Registro_Compras!$R395&lt;&gt;"SI","",Registro_Compras!$B395)</f>
        <v/>
      </c>
      <c r="B395">
        <f>IF(Registro_Compras!$R395&lt;&gt;"SI","",Registro_Compras!$C395)</f>
        <v/>
      </c>
      <c r="C395">
        <f>IF(Registro_Compras!$R395&lt;&gt;"SI","",Registro_Compras!$D395)</f>
        <v/>
      </c>
      <c r="D395">
        <f>IF(Registro_Compras!$R395&lt;&gt;"SI","",Registro_Compras!$E395)</f>
        <v/>
      </c>
      <c r="E395">
        <f>IF(Registro_Compras!$R395&lt;&gt;"SI","",Registro_Compras!$G395)</f>
        <v/>
      </c>
      <c r="F395" s="31">
        <f>IF(Registro_Compras!$R395&lt;&gt;"SI","",Registro_Compras!$P395)</f>
        <v/>
      </c>
      <c r="G395" s="20">
        <f>IF(Registro_Compras!$R395&lt;&gt;"SI","",Registro_Compras!$O395)</f>
        <v/>
      </c>
      <c r="H395" s="20">
        <f>IF(Registro_Compras!$R395&lt;&gt;"SI","",Registro_Compras!$S395)</f>
        <v/>
      </c>
      <c r="I395" s="25">
        <f>IF(Registro_Compras!$R395&lt;&gt;"SI","",IF(Registro_Compras!$Y395="",WORKDAY(EOMONTH(Registro_Compras!$B395,0),5,Feriados),MIN(Registro_Compras!$Y395,WORKDAY(EOMONTH(Registro_Compras!$B395,0),5,Feriados))))</f>
        <v/>
      </c>
      <c r="J395" s="25">
        <f>IF(Registro_Compras!$R395&lt;&gt;"SI","",Registro_Compras!$X395)</f>
        <v/>
      </c>
      <c r="K395">
        <f>IF(Registro_Compras!$R395&lt;&gt;"SI","",IF(Registro_Compras!$X395="","PENDIENTE","DEPOSITADA"))</f>
        <v/>
      </c>
      <c r="L395">
        <f>IF(Registro_Compras!$R395&lt;&gt;"SI","",Registro_Compras!$Z395)</f>
        <v/>
      </c>
      <c r="M395">
        <f>IF($K395&lt;&gt;"PENDIENTE","",IF(TODAY()&gt;$I395,TODAY()-$I395,0))</f>
        <v/>
      </c>
      <c r="N395">
        <f>IF($K395&lt;&gt;"PENDIENTE","",IF($M395&gt;0,"VENCIDA - DEPOSITAR YA",IF($I395-TODAY()&lt;=3,"POR VENCER","EN PLAZO")))</f>
        <v/>
      </c>
    </row>
    <row r="396">
      <c r="A396" s="25">
        <f>IF(Registro_Compras!$R396&lt;&gt;"SI","",Registro_Compras!$B396)</f>
        <v/>
      </c>
      <c r="B396">
        <f>IF(Registro_Compras!$R396&lt;&gt;"SI","",Registro_Compras!$C396)</f>
        <v/>
      </c>
      <c r="C396">
        <f>IF(Registro_Compras!$R396&lt;&gt;"SI","",Registro_Compras!$D396)</f>
        <v/>
      </c>
      <c r="D396">
        <f>IF(Registro_Compras!$R396&lt;&gt;"SI","",Registro_Compras!$E396)</f>
        <v/>
      </c>
      <c r="E396">
        <f>IF(Registro_Compras!$R396&lt;&gt;"SI","",Registro_Compras!$G396)</f>
        <v/>
      </c>
      <c r="F396" s="31">
        <f>IF(Registro_Compras!$R396&lt;&gt;"SI","",Registro_Compras!$P396)</f>
        <v/>
      </c>
      <c r="G396" s="20">
        <f>IF(Registro_Compras!$R396&lt;&gt;"SI","",Registro_Compras!$O396)</f>
        <v/>
      </c>
      <c r="H396" s="20">
        <f>IF(Registro_Compras!$R396&lt;&gt;"SI","",Registro_Compras!$S396)</f>
        <v/>
      </c>
      <c r="I396" s="25">
        <f>IF(Registro_Compras!$R396&lt;&gt;"SI","",IF(Registro_Compras!$Y396="",WORKDAY(EOMONTH(Registro_Compras!$B396,0),5,Feriados),MIN(Registro_Compras!$Y396,WORKDAY(EOMONTH(Registro_Compras!$B396,0),5,Feriados))))</f>
        <v/>
      </c>
      <c r="J396" s="25">
        <f>IF(Registro_Compras!$R396&lt;&gt;"SI","",Registro_Compras!$X396)</f>
        <v/>
      </c>
      <c r="K396">
        <f>IF(Registro_Compras!$R396&lt;&gt;"SI","",IF(Registro_Compras!$X396="","PENDIENTE","DEPOSITADA"))</f>
        <v/>
      </c>
      <c r="L396">
        <f>IF(Registro_Compras!$R396&lt;&gt;"SI","",Registro_Compras!$Z396)</f>
        <v/>
      </c>
      <c r="M396">
        <f>IF($K396&lt;&gt;"PENDIENTE","",IF(TODAY()&gt;$I396,TODAY()-$I396,0))</f>
        <v/>
      </c>
      <c r="N396">
        <f>IF($K396&lt;&gt;"PENDIENTE","",IF($M396&gt;0,"VENCIDA - DEPOSITAR YA",IF($I396-TODAY()&lt;=3,"POR VENCER","EN PLAZO")))</f>
        <v/>
      </c>
    </row>
    <row r="397">
      <c r="A397" s="25">
        <f>IF(Registro_Compras!$R397&lt;&gt;"SI","",Registro_Compras!$B397)</f>
        <v/>
      </c>
      <c r="B397">
        <f>IF(Registro_Compras!$R397&lt;&gt;"SI","",Registro_Compras!$C397)</f>
        <v/>
      </c>
      <c r="C397">
        <f>IF(Registro_Compras!$R397&lt;&gt;"SI","",Registro_Compras!$D397)</f>
        <v/>
      </c>
      <c r="D397">
        <f>IF(Registro_Compras!$R397&lt;&gt;"SI","",Registro_Compras!$E397)</f>
        <v/>
      </c>
      <c r="E397">
        <f>IF(Registro_Compras!$R397&lt;&gt;"SI","",Registro_Compras!$G397)</f>
        <v/>
      </c>
      <c r="F397" s="31">
        <f>IF(Registro_Compras!$R397&lt;&gt;"SI","",Registro_Compras!$P397)</f>
        <v/>
      </c>
      <c r="G397" s="20">
        <f>IF(Registro_Compras!$R397&lt;&gt;"SI","",Registro_Compras!$O397)</f>
        <v/>
      </c>
      <c r="H397" s="20">
        <f>IF(Registro_Compras!$R397&lt;&gt;"SI","",Registro_Compras!$S397)</f>
        <v/>
      </c>
      <c r="I397" s="25">
        <f>IF(Registro_Compras!$R397&lt;&gt;"SI","",IF(Registro_Compras!$Y397="",WORKDAY(EOMONTH(Registro_Compras!$B397,0),5,Feriados),MIN(Registro_Compras!$Y397,WORKDAY(EOMONTH(Registro_Compras!$B397,0),5,Feriados))))</f>
        <v/>
      </c>
      <c r="J397" s="25">
        <f>IF(Registro_Compras!$R397&lt;&gt;"SI","",Registro_Compras!$X397)</f>
        <v/>
      </c>
      <c r="K397">
        <f>IF(Registro_Compras!$R397&lt;&gt;"SI","",IF(Registro_Compras!$X397="","PENDIENTE","DEPOSITADA"))</f>
        <v/>
      </c>
      <c r="L397">
        <f>IF(Registro_Compras!$R397&lt;&gt;"SI","",Registro_Compras!$Z397)</f>
        <v/>
      </c>
      <c r="M397">
        <f>IF($K397&lt;&gt;"PENDIENTE","",IF(TODAY()&gt;$I397,TODAY()-$I397,0))</f>
        <v/>
      </c>
      <c r="N397">
        <f>IF($K397&lt;&gt;"PENDIENTE","",IF($M397&gt;0,"VENCIDA - DEPOSITAR YA",IF($I397-TODAY()&lt;=3,"POR VENCER","EN PLAZO")))</f>
        <v/>
      </c>
    </row>
    <row r="398">
      <c r="A398" s="25">
        <f>IF(Registro_Compras!$R398&lt;&gt;"SI","",Registro_Compras!$B398)</f>
        <v/>
      </c>
      <c r="B398">
        <f>IF(Registro_Compras!$R398&lt;&gt;"SI","",Registro_Compras!$C398)</f>
        <v/>
      </c>
      <c r="C398">
        <f>IF(Registro_Compras!$R398&lt;&gt;"SI","",Registro_Compras!$D398)</f>
        <v/>
      </c>
      <c r="D398">
        <f>IF(Registro_Compras!$R398&lt;&gt;"SI","",Registro_Compras!$E398)</f>
        <v/>
      </c>
      <c r="E398">
        <f>IF(Registro_Compras!$R398&lt;&gt;"SI","",Registro_Compras!$G398)</f>
        <v/>
      </c>
      <c r="F398" s="31">
        <f>IF(Registro_Compras!$R398&lt;&gt;"SI","",Registro_Compras!$P398)</f>
        <v/>
      </c>
      <c r="G398" s="20">
        <f>IF(Registro_Compras!$R398&lt;&gt;"SI","",Registro_Compras!$O398)</f>
        <v/>
      </c>
      <c r="H398" s="20">
        <f>IF(Registro_Compras!$R398&lt;&gt;"SI","",Registro_Compras!$S398)</f>
        <v/>
      </c>
      <c r="I398" s="25">
        <f>IF(Registro_Compras!$R398&lt;&gt;"SI","",IF(Registro_Compras!$Y398="",WORKDAY(EOMONTH(Registro_Compras!$B398,0),5,Feriados),MIN(Registro_Compras!$Y398,WORKDAY(EOMONTH(Registro_Compras!$B398,0),5,Feriados))))</f>
        <v/>
      </c>
      <c r="J398" s="25">
        <f>IF(Registro_Compras!$R398&lt;&gt;"SI","",Registro_Compras!$X398)</f>
        <v/>
      </c>
      <c r="K398">
        <f>IF(Registro_Compras!$R398&lt;&gt;"SI","",IF(Registro_Compras!$X398="","PENDIENTE","DEPOSITADA"))</f>
        <v/>
      </c>
      <c r="L398">
        <f>IF(Registro_Compras!$R398&lt;&gt;"SI","",Registro_Compras!$Z398)</f>
        <v/>
      </c>
      <c r="M398">
        <f>IF($K398&lt;&gt;"PENDIENTE","",IF(TODAY()&gt;$I398,TODAY()-$I398,0))</f>
        <v/>
      </c>
      <c r="N398">
        <f>IF($K398&lt;&gt;"PENDIENTE","",IF($M398&gt;0,"VENCIDA - DEPOSITAR YA",IF($I398-TODAY()&lt;=3,"POR VENCER","EN PLAZO")))</f>
        <v/>
      </c>
    </row>
    <row r="399">
      <c r="A399" s="25">
        <f>IF(Registro_Compras!$R399&lt;&gt;"SI","",Registro_Compras!$B399)</f>
        <v/>
      </c>
      <c r="B399">
        <f>IF(Registro_Compras!$R399&lt;&gt;"SI","",Registro_Compras!$C399)</f>
        <v/>
      </c>
      <c r="C399">
        <f>IF(Registro_Compras!$R399&lt;&gt;"SI","",Registro_Compras!$D399)</f>
        <v/>
      </c>
      <c r="D399">
        <f>IF(Registro_Compras!$R399&lt;&gt;"SI","",Registro_Compras!$E399)</f>
        <v/>
      </c>
      <c r="E399">
        <f>IF(Registro_Compras!$R399&lt;&gt;"SI","",Registro_Compras!$G399)</f>
        <v/>
      </c>
      <c r="F399" s="31">
        <f>IF(Registro_Compras!$R399&lt;&gt;"SI","",Registro_Compras!$P399)</f>
        <v/>
      </c>
      <c r="G399" s="20">
        <f>IF(Registro_Compras!$R399&lt;&gt;"SI","",Registro_Compras!$O399)</f>
        <v/>
      </c>
      <c r="H399" s="20">
        <f>IF(Registro_Compras!$R399&lt;&gt;"SI","",Registro_Compras!$S399)</f>
        <v/>
      </c>
      <c r="I399" s="25">
        <f>IF(Registro_Compras!$R399&lt;&gt;"SI","",IF(Registro_Compras!$Y399="",WORKDAY(EOMONTH(Registro_Compras!$B399,0),5,Feriados),MIN(Registro_Compras!$Y399,WORKDAY(EOMONTH(Registro_Compras!$B399,0),5,Feriados))))</f>
        <v/>
      </c>
      <c r="J399" s="25">
        <f>IF(Registro_Compras!$R399&lt;&gt;"SI","",Registro_Compras!$X399)</f>
        <v/>
      </c>
      <c r="K399">
        <f>IF(Registro_Compras!$R399&lt;&gt;"SI","",IF(Registro_Compras!$X399="","PENDIENTE","DEPOSITADA"))</f>
        <v/>
      </c>
      <c r="L399">
        <f>IF(Registro_Compras!$R399&lt;&gt;"SI","",Registro_Compras!$Z399)</f>
        <v/>
      </c>
      <c r="M399">
        <f>IF($K399&lt;&gt;"PENDIENTE","",IF(TODAY()&gt;$I399,TODAY()-$I399,0))</f>
        <v/>
      </c>
      <c r="N399">
        <f>IF($K399&lt;&gt;"PENDIENTE","",IF($M399&gt;0,"VENCIDA - DEPOSITAR YA",IF($I399-TODAY()&lt;=3,"POR VENCER","EN PLAZO")))</f>
        <v/>
      </c>
    </row>
    <row r="400">
      <c r="A400" s="25">
        <f>IF(Registro_Compras!$R400&lt;&gt;"SI","",Registro_Compras!$B400)</f>
        <v/>
      </c>
      <c r="B400">
        <f>IF(Registro_Compras!$R400&lt;&gt;"SI","",Registro_Compras!$C400)</f>
        <v/>
      </c>
      <c r="C400">
        <f>IF(Registro_Compras!$R400&lt;&gt;"SI","",Registro_Compras!$D400)</f>
        <v/>
      </c>
      <c r="D400">
        <f>IF(Registro_Compras!$R400&lt;&gt;"SI","",Registro_Compras!$E400)</f>
        <v/>
      </c>
      <c r="E400">
        <f>IF(Registro_Compras!$R400&lt;&gt;"SI","",Registro_Compras!$G400)</f>
        <v/>
      </c>
      <c r="F400" s="31">
        <f>IF(Registro_Compras!$R400&lt;&gt;"SI","",Registro_Compras!$P400)</f>
        <v/>
      </c>
      <c r="G400" s="20">
        <f>IF(Registro_Compras!$R400&lt;&gt;"SI","",Registro_Compras!$O400)</f>
        <v/>
      </c>
      <c r="H400" s="20">
        <f>IF(Registro_Compras!$R400&lt;&gt;"SI","",Registro_Compras!$S400)</f>
        <v/>
      </c>
      <c r="I400" s="25">
        <f>IF(Registro_Compras!$R400&lt;&gt;"SI","",IF(Registro_Compras!$Y400="",WORKDAY(EOMONTH(Registro_Compras!$B400,0),5,Feriados),MIN(Registro_Compras!$Y400,WORKDAY(EOMONTH(Registro_Compras!$B400,0),5,Feriados))))</f>
        <v/>
      </c>
      <c r="J400" s="25">
        <f>IF(Registro_Compras!$R400&lt;&gt;"SI","",Registro_Compras!$X400)</f>
        <v/>
      </c>
      <c r="K400">
        <f>IF(Registro_Compras!$R400&lt;&gt;"SI","",IF(Registro_Compras!$X400="","PENDIENTE","DEPOSITADA"))</f>
        <v/>
      </c>
      <c r="L400">
        <f>IF(Registro_Compras!$R400&lt;&gt;"SI","",Registro_Compras!$Z400)</f>
        <v/>
      </c>
      <c r="M400">
        <f>IF($K400&lt;&gt;"PENDIENTE","",IF(TODAY()&gt;$I400,TODAY()-$I400,0))</f>
        <v/>
      </c>
      <c r="N400">
        <f>IF($K400&lt;&gt;"PENDIENTE","",IF($M400&gt;0,"VENCIDA - DEPOSITAR YA",IF($I400-TODAY()&lt;=3,"POR VENCER","EN PLAZO")))</f>
        <v/>
      </c>
    </row>
    <row r="401">
      <c r="A401" s="25">
        <f>IF(Registro_Compras!$R401&lt;&gt;"SI","",Registro_Compras!$B401)</f>
        <v/>
      </c>
      <c r="B401">
        <f>IF(Registro_Compras!$R401&lt;&gt;"SI","",Registro_Compras!$C401)</f>
        <v/>
      </c>
      <c r="C401">
        <f>IF(Registro_Compras!$R401&lt;&gt;"SI","",Registro_Compras!$D401)</f>
        <v/>
      </c>
      <c r="D401">
        <f>IF(Registro_Compras!$R401&lt;&gt;"SI","",Registro_Compras!$E401)</f>
        <v/>
      </c>
      <c r="E401">
        <f>IF(Registro_Compras!$R401&lt;&gt;"SI","",Registro_Compras!$G401)</f>
        <v/>
      </c>
      <c r="F401" s="31">
        <f>IF(Registro_Compras!$R401&lt;&gt;"SI","",Registro_Compras!$P401)</f>
        <v/>
      </c>
      <c r="G401" s="20">
        <f>IF(Registro_Compras!$R401&lt;&gt;"SI","",Registro_Compras!$O401)</f>
        <v/>
      </c>
      <c r="H401" s="20">
        <f>IF(Registro_Compras!$R401&lt;&gt;"SI","",Registro_Compras!$S401)</f>
        <v/>
      </c>
      <c r="I401" s="25">
        <f>IF(Registro_Compras!$R401&lt;&gt;"SI","",IF(Registro_Compras!$Y401="",WORKDAY(EOMONTH(Registro_Compras!$B401,0),5,Feriados),MIN(Registro_Compras!$Y401,WORKDAY(EOMONTH(Registro_Compras!$B401,0),5,Feriados))))</f>
        <v/>
      </c>
      <c r="J401" s="25">
        <f>IF(Registro_Compras!$R401&lt;&gt;"SI","",Registro_Compras!$X401)</f>
        <v/>
      </c>
      <c r="K401">
        <f>IF(Registro_Compras!$R401&lt;&gt;"SI","",IF(Registro_Compras!$X401="","PENDIENTE","DEPOSITADA"))</f>
        <v/>
      </c>
      <c r="L401">
        <f>IF(Registro_Compras!$R401&lt;&gt;"SI","",Registro_Compras!$Z401)</f>
        <v/>
      </c>
      <c r="M401">
        <f>IF($K401&lt;&gt;"PENDIENTE","",IF(TODAY()&gt;$I401,TODAY()-$I401,0))</f>
        <v/>
      </c>
      <c r="N401">
        <f>IF($K401&lt;&gt;"PENDIENTE","",IF($M401&gt;0,"VENCIDA - DEPOSITAR YA",IF($I401-TODAY()&lt;=3,"POR VENCER","EN PLAZO")))</f>
        <v/>
      </c>
    </row>
    <row r="402">
      <c r="A402" s="25">
        <f>IF(Registro_Compras!$R402&lt;&gt;"SI","",Registro_Compras!$B402)</f>
        <v/>
      </c>
      <c r="B402">
        <f>IF(Registro_Compras!$R402&lt;&gt;"SI","",Registro_Compras!$C402)</f>
        <v/>
      </c>
      <c r="C402">
        <f>IF(Registro_Compras!$R402&lt;&gt;"SI","",Registro_Compras!$D402)</f>
        <v/>
      </c>
      <c r="D402">
        <f>IF(Registro_Compras!$R402&lt;&gt;"SI","",Registro_Compras!$E402)</f>
        <v/>
      </c>
      <c r="E402">
        <f>IF(Registro_Compras!$R402&lt;&gt;"SI","",Registro_Compras!$G402)</f>
        <v/>
      </c>
      <c r="F402" s="31">
        <f>IF(Registro_Compras!$R402&lt;&gt;"SI","",Registro_Compras!$P402)</f>
        <v/>
      </c>
      <c r="G402" s="20">
        <f>IF(Registro_Compras!$R402&lt;&gt;"SI","",Registro_Compras!$O402)</f>
        <v/>
      </c>
      <c r="H402" s="20">
        <f>IF(Registro_Compras!$R402&lt;&gt;"SI","",Registro_Compras!$S402)</f>
        <v/>
      </c>
      <c r="I402" s="25">
        <f>IF(Registro_Compras!$R402&lt;&gt;"SI","",IF(Registro_Compras!$Y402="",WORKDAY(EOMONTH(Registro_Compras!$B402,0),5,Feriados),MIN(Registro_Compras!$Y402,WORKDAY(EOMONTH(Registro_Compras!$B402,0),5,Feriados))))</f>
        <v/>
      </c>
      <c r="J402" s="25">
        <f>IF(Registro_Compras!$R402&lt;&gt;"SI","",Registro_Compras!$X402)</f>
        <v/>
      </c>
      <c r="K402">
        <f>IF(Registro_Compras!$R402&lt;&gt;"SI","",IF(Registro_Compras!$X402="","PENDIENTE","DEPOSITADA"))</f>
        <v/>
      </c>
      <c r="L402">
        <f>IF(Registro_Compras!$R402&lt;&gt;"SI","",Registro_Compras!$Z402)</f>
        <v/>
      </c>
      <c r="M402">
        <f>IF($K402&lt;&gt;"PENDIENTE","",IF(TODAY()&gt;$I402,TODAY()-$I402,0))</f>
        <v/>
      </c>
      <c r="N402">
        <f>IF($K402&lt;&gt;"PENDIENTE","",IF($M402&gt;0,"VENCIDA - DEPOSITAR YA",IF($I402-TODAY()&lt;=3,"POR VENCER","EN PLAZO")))</f>
        <v/>
      </c>
    </row>
    <row r="403">
      <c r="A403" s="25">
        <f>IF(Registro_Compras!$R403&lt;&gt;"SI","",Registro_Compras!$B403)</f>
        <v/>
      </c>
      <c r="B403">
        <f>IF(Registro_Compras!$R403&lt;&gt;"SI","",Registro_Compras!$C403)</f>
        <v/>
      </c>
      <c r="C403">
        <f>IF(Registro_Compras!$R403&lt;&gt;"SI","",Registro_Compras!$D403)</f>
        <v/>
      </c>
      <c r="D403">
        <f>IF(Registro_Compras!$R403&lt;&gt;"SI","",Registro_Compras!$E403)</f>
        <v/>
      </c>
      <c r="E403">
        <f>IF(Registro_Compras!$R403&lt;&gt;"SI","",Registro_Compras!$G403)</f>
        <v/>
      </c>
      <c r="F403" s="31">
        <f>IF(Registro_Compras!$R403&lt;&gt;"SI","",Registro_Compras!$P403)</f>
        <v/>
      </c>
      <c r="G403" s="20">
        <f>IF(Registro_Compras!$R403&lt;&gt;"SI","",Registro_Compras!$O403)</f>
        <v/>
      </c>
      <c r="H403" s="20">
        <f>IF(Registro_Compras!$R403&lt;&gt;"SI","",Registro_Compras!$S403)</f>
        <v/>
      </c>
      <c r="I403" s="25">
        <f>IF(Registro_Compras!$R403&lt;&gt;"SI","",IF(Registro_Compras!$Y403="",WORKDAY(EOMONTH(Registro_Compras!$B403,0),5,Feriados),MIN(Registro_Compras!$Y403,WORKDAY(EOMONTH(Registro_Compras!$B403,0),5,Feriados))))</f>
        <v/>
      </c>
      <c r="J403" s="25">
        <f>IF(Registro_Compras!$R403&lt;&gt;"SI","",Registro_Compras!$X403)</f>
        <v/>
      </c>
      <c r="K403">
        <f>IF(Registro_Compras!$R403&lt;&gt;"SI","",IF(Registro_Compras!$X403="","PENDIENTE","DEPOSITADA"))</f>
        <v/>
      </c>
      <c r="L403">
        <f>IF(Registro_Compras!$R403&lt;&gt;"SI","",Registro_Compras!$Z403)</f>
        <v/>
      </c>
      <c r="M403">
        <f>IF($K403&lt;&gt;"PENDIENTE","",IF(TODAY()&gt;$I403,TODAY()-$I403,0))</f>
        <v/>
      </c>
      <c r="N403">
        <f>IF($K403&lt;&gt;"PENDIENTE","",IF($M403&gt;0,"VENCIDA - DEPOSITAR YA",IF($I403-TODAY()&lt;=3,"POR VENCER","EN PLAZO")))</f>
        <v/>
      </c>
    </row>
    <row r="404">
      <c r="A404" s="25">
        <f>IF(Registro_Compras!$R404&lt;&gt;"SI","",Registro_Compras!$B404)</f>
        <v/>
      </c>
      <c r="B404">
        <f>IF(Registro_Compras!$R404&lt;&gt;"SI","",Registro_Compras!$C404)</f>
        <v/>
      </c>
      <c r="C404">
        <f>IF(Registro_Compras!$R404&lt;&gt;"SI","",Registro_Compras!$D404)</f>
        <v/>
      </c>
      <c r="D404">
        <f>IF(Registro_Compras!$R404&lt;&gt;"SI","",Registro_Compras!$E404)</f>
        <v/>
      </c>
      <c r="E404">
        <f>IF(Registro_Compras!$R404&lt;&gt;"SI","",Registro_Compras!$G404)</f>
        <v/>
      </c>
      <c r="F404" s="31">
        <f>IF(Registro_Compras!$R404&lt;&gt;"SI","",Registro_Compras!$P404)</f>
        <v/>
      </c>
      <c r="G404" s="20">
        <f>IF(Registro_Compras!$R404&lt;&gt;"SI","",Registro_Compras!$O404)</f>
        <v/>
      </c>
      <c r="H404" s="20">
        <f>IF(Registro_Compras!$R404&lt;&gt;"SI","",Registro_Compras!$S404)</f>
        <v/>
      </c>
      <c r="I404" s="25">
        <f>IF(Registro_Compras!$R404&lt;&gt;"SI","",IF(Registro_Compras!$Y404="",WORKDAY(EOMONTH(Registro_Compras!$B404,0),5,Feriados),MIN(Registro_Compras!$Y404,WORKDAY(EOMONTH(Registro_Compras!$B404,0),5,Feriados))))</f>
        <v/>
      </c>
      <c r="J404" s="25">
        <f>IF(Registro_Compras!$R404&lt;&gt;"SI","",Registro_Compras!$X404)</f>
        <v/>
      </c>
      <c r="K404">
        <f>IF(Registro_Compras!$R404&lt;&gt;"SI","",IF(Registro_Compras!$X404="","PENDIENTE","DEPOSITADA"))</f>
        <v/>
      </c>
      <c r="L404">
        <f>IF(Registro_Compras!$R404&lt;&gt;"SI","",Registro_Compras!$Z404)</f>
        <v/>
      </c>
      <c r="M404">
        <f>IF($K404&lt;&gt;"PENDIENTE","",IF(TODAY()&gt;$I404,TODAY()-$I404,0))</f>
        <v/>
      </c>
      <c r="N404">
        <f>IF($K404&lt;&gt;"PENDIENTE","",IF($M404&gt;0,"VENCIDA - DEPOSITAR YA",IF($I404-TODAY()&lt;=3,"POR VENCER","EN PLAZO")))</f>
        <v/>
      </c>
    </row>
    <row r="405">
      <c r="A405" s="25">
        <f>IF(Registro_Compras!$R405&lt;&gt;"SI","",Registro_Compras!$B405)</f>
        <v/>
      </c>
      <c r="B405">
        <f>IF(Registro_Compras!$R405&lt;&gt;"SI","",Registro_Compras!$C405)</f>
        <v/>
      </c>
      <c r="C405">
        <f>IF(Registro_Compras!$R405&lt;&gt;"SI","",Registro_Compras!$D405)</f>
        <v/>
      </c>
      <c r="D405">
        <f>IF(Registro_Compras!$R405&lt;&gt;"SI","",Registro_Compras!$E405)</f>
        <v/>
      </c>
      <c r="E405">
        <f>IF(Registro_Compras!$R405&lt;&gt;"SI","",Registro_Compras!$G405)</f>
        <v/>
      </c>
      <c r="F405" s="31">
        <f>IF(Registro_Compras!$R405&lt;&gt;"SI","",Registro_Compras!$P405)</f>
        <v/>
      </c>
      <c r="G405" s="20">
        <f>IF(Registro_Compras!$R405&lt;&gt;"SI","",Registro_Compras!$O405)</f>
        <v/>
      </c>
      <c r="H405" s="20">
        <f>IF(Registro_Compras!$R405&lt;&gt;"SI","",Registro_Compras!$S405)</f>
        <v/>
      </c>
      <c r="I405" s="25">
        <f>IF(Registro_Compras!$R405&lt;&gt;"SI","",IF(Registro_Compras!$Y405="",WORKDAY(EOMONTH(Registro_Compras!$B405,0),5,Feriados),MIN(Registro_Compras!$Y405,WORKDAY(EOMONTH(Registro_Compras!$B405,0),5,Feriados))))</f>
        <v/>
      </c>
      <c r="J405" s="25">
        <f>IF(Registro_Compras!$R405&lt;&gt;"SI","",Registro_Compras!$X405)</f>
        <v/>
      </c>
      <c r="K405">
        <f>IF(Registro_Compras!$R405&lt;&gt;"SI","",IF(Registro_Compras!$X405="","PENDIENTE","DEPOSITADA"))</f>
        <v/>
      </c>
      <c r="L405">
        <f>IF(Registro_Compras!$R405&lt;&gt;"SI","",Registro_Compras!$Z405)</f>
        <v/>
      </c>
      <c r="M405">
        <f>IF($K405&lt;&gt;"PENDIENTE","",IF(TODAY()&gt;$I405,TODAY()-$I405,0))</f>
        <v/>
      </c>
      <c r="N405">
        <f>IF($K405&lt;&gt;"PENDIENTE","",IF($M405&gt;0,"VENCIDA - DEPOSITAR YA",IF($I405-TODAY()&lt;=3,"POR VENCER","EN PLAZO")))</f>
        <v/>
      </c>
    </row>
    <row r="406">
      <c r="A406" s="25">
        <f>IF(Registro_Compras!$R406&lt;&gt;"SI","",Registro_Compras!$B406)</f>
        <v/>
      </c>
      <c r="B406">
        <f>IF(Registro_Compras!$R406&lt;&gt;"SI","",Registro_Compras!$C406)</f>
        <v/>
      </c>
      <c r="C406">
        <f>IF(Registro_Compras!$R406&lt;&gt;"SI","",Registro_Compras!$D406)</f>
        <v/>
      </c>
      <c r="D406">
        <f>IF(Registro_Compras!$R406&lt;&gt;"SI","",Registro_Compras!$E406)</f>
        <v/>
      </c>
      <c r="E406">
        <f>IF(Registro_Compras!$R406&lt;&gt;"SI","",Registro_Compras!$G406)</f>
        <v/>
      </c>
      <c r="F406" s="31">
        <f>IF(Registro_Compras!$R406&lt;&gt;"SI","",Registro_Compras!$P406)</f>
        <v/>
      </c>
      <c r="G406" s="20">
        <f>IF(Registro_Compras!$R406&lt;&gt;"SI","",Registro_Compras!$O406)</f>
        <v/>
      </c>
      <c r="H406" s="20">
        <f>IF(Registro_Compras!$R406&lt;&gt;"SI","",Registro_Compras!$S406)</f>
        <v/>
      </c>
      <c r="I406" s="25">
        <f>IF(Registro_Compras!$R406&lt;&gt;"SI","",IF(Registro_Compras!$Y406="",WORKDAY(EOMONTH(Registro_Compras!$B406,0),5,Feriados),MIN(Registro_Compras!$Y406,WORKDAY(EOMONTH(Registro_Compras!$B406,0),5,Feriados))))</f>
        <v/>
      </c>
      <c r="J406" s="25">
        <f>IF(Registro_Compras!$R406&lt;&gt;"SI","",Registro_Compras!$X406)</f>
        <v/>
      </c>
      <c r="K406">
        <f>IF(Registro_Compras!$R406&lt;&gt;"SI","",IF(Registro_Compras!$X406="","PENDIENTE","DEPOSITADA"))</f>
        <v/>
      </c>
      <c r="L406">
        <f>IF(Registro_Compras!$R406&lt;&gt;"SI","",Registro_Compras!$Z406)</f>
        <v/>
      </c>
      <c r="M406">
        <f>IF($K406&lt;&gt;"PENDIENTE","",IF(TODAY()&gt;$I406,TODAY()-$I406,0))</f>
        <v/>
      </c>
      <c r="N406">
        <f>IF($K406&lt;&gt;"PENDIENTE","",IF($M406&gt;0,"VENCIDA - DEPOSITAR YA",IF($I406-TODAY()&lt;=3,"POR VENCER","EN PLAZO")))</f>
        <v/>
      </c>
    </row>
    <row r="407">
      <c r="A407" s="25">
        <f>IF(Registro_Compras!$R407&lt;&gt;"SI","",Registro_Compras!$B407)</f>
        <v/>
      </c>
      <c r="B407">
        <f>IF(Registro_Compras!$R407&lt;&gt;"SI","",Registro_Compras!$C407)</f>
        <v/>
      </c>
      <c r="C407">
        <f>IF(Registro_Compras!$R407&lt;&gt;"SI","",Registro_Compras!$D407)</f>
        <v/>
      </c>
      <c r="D407">
        <f>IF(Registro_Compras!$R407&lt;&gt;"SI","",Registro_Compras!$E407)</f>
        <v/>
      </c>
      <c r="E407">
        <f>IF(Registro_Compras!$R407&lt;&gt;"SI","",Registro_Compras!$G407)</f>
        <v/>
      </c>
      <c r="F407" s="31">
        <f>IF(Registro_Compras!$R407&lt;&gt;"SI","",Registro_Compras!$P407)</f>
        <v/>
      </c>
      <c r="G407" s="20">
        <f>IF(Registro_Compras!$R407&lt;&gt;"SI","",Registro_Compras!$O407)</f>
        <v/>
      </c>
      <c r="H407" s="20">
        <f>IF(Registro_Compras!$R407&lt;&gt;"SI","",Registro_Compras!$S407)</f>
        <v/>
      </c>
      <c r="I407" s="25">
        <f>IF(Registro_Compras!$R407&lt;&gt;"SI","",IF(Registro_Compras!$Y407="",WORKDAY(EOMONTH(Registro_Compras!$B407,0),5,Feriados),MIN(Registro_Compras!$Y407,WORKDAY(EOMONTH(Registro_Compras!$B407,0),5,Feriados))))</f>
        <v/>
      </c>
      <c r="J407" s="25">
        <f>IF(Registro_Compras!$R407&lt;&gt;"SI","",Registro_Compras!$X407)</f>
        <v/>
      </c>
      <c r="K407">
        <f>IF(Registro_Compras!$R407&lt;&gt;"SI","",IF(Registro_Compras!$X407="","PENDIENTE","DEPOSITADA"))</f>
        <v/>
      </c>
      <c r="L407">
        <f>IF(Registro_Compras!$R407&lt;&gt;"SI","",Registro_Compras!$Z407)</f>
        <v/>
      </c>
      <c r="M407">
        <f>IF($K407&lt;&gt;"PENDIENTE","",IF(TODAY()&gt;$I407,TODAY()-$I407,0))</f>
        <v/>
      </c>
      <c r="N407">
        <f>IF($K407&lt;&gt;"PENDIENTE","",IF($M407&gt;0,"VENCIDA - DEPOSITAR YA",IF($I407-TODAY()&lt;=3,"POR VENCER","EN PLAZO")))</f>
        <v/>
      </c>
    </row>
    <row r="408">
      <c r="A408" s="25">
        <f>IF(Registro_Compras!$R408&lt;&gt;"SI","",Registro_Compras!$B408)</f>
        <v/>
      </c>
      <c r="B408">
        <f>IF(Registro_Compras!$R408&lt;&gt;"SI","",Registro_Compras!$C408)</f>
        <v/>
      </c>
      <c r="C408">
        <f>IF(Registro_Compras!$R408&lt;&gt;"SI","",Registro_Compras!$D408)</f>
        <v/>
      </c>
      <c r="D408">
        <f>IF(Registro_Compras!$R408&lt;&gt;"SI","",Registro_Compras!$E408)</f>
        <v/>
      </c>
      <c r="E408">
        <f>IF(Registro_Compras!$R408&lt;&gt;"SI","",Registro_Compras!$G408)</f>
        <v/>
      </c>
      <c r="F408" s="31">
        <f>IF(Registro_Compras!$R408&lt;&gt;"SI","",Registro_Compras!$P408)</f>
        <v/>
      </c>
      <c r="G408" s="20">
        <f>IF(Registro_Compras!$R408&lt;&gt;"SI","",Registro_Compras!$O408)</f>
        <v/>
      </c>
      <c r="H408" s="20">
        <f>IF(Registro_Compras!$R408&lt;&gt;"SI","",Registro_Compras!$S408)</f>
        <v/>
      </c>
      <c r="I408" s="25">
        <f>IF(Registro_Compras!$R408&lt;&gt;"SI","",IF(Registro_Compras!$Y408="",WORKDAY(EOMONTH(Registro_Compras!$B408,0),5,Feriados),MIN(Registro_Compras!$Y408,WORKDAY(EOMONTH(Registro_Compras!$B408,0),5,Feriados))))</f>
        <v/>
      </c>
      <c r="J408" s="25">
        <f>IF(Registro_Compras!$R408&lt;&gt;"SI","",Registro_Compras!$X408)</f>
        <v/>
      </c>
      <c r="K408">
        <f>IF(Registro_Compras!$R408&lt;&gt;"SI","",IF(Registro_Compras!$X408="","PENDIENTE","DEPOSITADA"))</f>
        <v/>
      </c>
      <c r="L408">
        <f>IF(Registro_Compras!$R408&lt;&gt;"SI","",Registro_Compras!$Z408)</f>
        <v/>
      </c>
      <c r="M408">
        <f>IF($K408&lt;&gt;"PENDIENTE","",IF(TODAY()&gt;$I408,TODAY()-$I408,0))</f>
        <v/>
      </c>
      <c r="N408">
        <f>IF($K408&lt;&gt;"PENDIENTE","",IF($M408&gt;0,"VENCIDA - DEPOSITAR YA",IF($I408-TODAY()&lt;=3,"POR VENCER","EN PLAZO")))</f>
        <v/>
      </c>
    </row>
    <row r="409">
      <c r="A409" s="25">
        <f>IF(Registro_Compras!$R409&lt;&gt;"SI","",Registro_Compras!$B409)</f>
        <v/>
      </c>
      <c r="B409">
        <f>IF(Registro_Compras!$R409&lt;&gt;"SI","",Registro_Compras!$C409)</f>
        <v/>
      </c>
      <c r="C409">
        <f>IF(Registro_Compras!$R409&lt;&gt;"SI","",Registro_Compras!$D409)</f>
        <v/>
      </c>
      <c r="D409">
        <f>IF(Registro_Compras!$R409&lt;&gt;"SI","",Registro_Compras!$E409)</f>
        <v/>
      </c>
      <c r="E409">
        <f>IF(Registro_Compras!$R409&lt;&gt;"SI","",Registro_Compras!$G409)</f>
        <v/>
      </c>
      <c r="F409" s="31">
        <f>IF(Registro_Compras!$R409&lt;&gt;"SI","",Registro_Compras!$P409)</f>
        <v/>
      </c>
      <c r="G409" s="20">
        <f>IF(Registro_Compras!$R409&lt;&gt;"SI","",Registro_Compras!$O409)</f>
        <v/>
      </c>
      <c r="H409" s="20">
        <f>IF(Registro_Compras!$R409&lt;&gt;"SI","",Registro_Compras!$S409)</f>
        <v/>
      </c>
      <c r="I409" s="25">
        <f>IF(Registro_Compras!$R409&lt;&gt;"SI","",IF(Registro_Compras!$Y409="",WORKDAY(EOMONTH(Registro_Compras!$B409,0),5,Feriados),MIN(Registro_Compras!$Y409,WORKDAY(EOMONTH(Registro_Compras!$B409,0),5,Feriados))))</f>
        <v/>
      </c>
      <c r="J409" s="25">
        <f>IF(Registro_Compras!$R409&lt;&gt;"SI","",Registro_Compras!$X409)</f>
        <v/>
      </c>
      <c r="K409">
        <f>IF(Registro_Compras!$R409&lt;&gt;"SI","",IF(Registro_Compras!$X409="","PENDIENTE","DEPOSITADA"))</f>
        <v/>
      </c>
      <c r="L409">
        <f>IF(Registro_Compras!$R409&lt;&gt;"SI","",Registro_Compras!$Z409)</f>
        <v/>
      </c>
      <c r="M409">
        <f>IF($K409&lt;&gt;"PENDIENTE","",IF(TODAY()&gt;$I409,TODAY()-$I409,0))</f>
        <v/>
      </c>
      <c r="N409">
        <f>IF($K409&lt;&gt;"PENDIENTE","",IF($M409&gt;0,"VENCIDA - DEPOSITAR YA",IF($I409-TODAY()&lt;=3,"POR VENCER","EN PLAZO")))</f>
        <v/>
      </c>
    </row>
    <row r="410">
      <c r="A410" s="25">
        <f>IF(Registro_Compras!$R410&lt;&gt;"SI","",Registro_Compras!$B410)</f>
        <v/>
      </c>
      <c r="B410">
        <f>IF(Registro_Compras!$R410&lt;&gt;"SI","",Registro_Compras!$C410)</f>
        <v/>
      </c>
      <c r="C410">
        <f>IF(Registro_Compras!$R410&lt;&gt;"SI","",Registro_Compras!$D410)</f>
        <v/>
      </c>
      <c r="D410">
        <f>IF(Registro_Compras!$R410&lt;&gt;"SI","",Registro_Compras!$E410)</f>
        <v/>
      </c>
      <c r="E410">
        <f>IF(Registro_Compras!$R410&lt;&gt;"SI","",Registro_Compras!$G410)</f>
        <v/>
      </c>
      <c r="F410" s="31">
        <f>IF(Registro_Compras!$R410&lt;&gt;"SI","",Registro_Compras!$P410)</f>
        <v/>
      </c>
      <c r="G410" s="20">
        <f>IF(Registro_Compras!$R410&lt;&gt;"SI","",Registro_Compras!$O410)</f>
        <v/>
      </c>
      <c r="H410" s="20">
        <f>IF(Registro_Compras!$R410&lt;&gt;"SI","",Registro_Compras!$S410)</f>
        <v/>
      </c>
      <c r="I410" s="25">
        <f>IF(Registro_Compras!$R410&lt;&gt;"SI","",IF(Registro_Compras!$Y410="",WORKDAY(EOMONTH(Registro_Compras!$B410,0),5,Feriados),MIN(Registro_Compras!$Y410,WORKDAY(EOMONTH(Registro_Compras!$B410,0),5,Feriados))))</f>
        <v/>
      </c>
      <c r="J410" s="25">
        <f>IF(Registro_Compras!$R410&lt;&gt;"SI","",Registro_Compras!$X410)</f>
        <v/>
      </c>
      <c r="K410">
        <f>IF(Registro_Compras!$R410&lt;&gt;"SI","",IF(Registro_Compras!$X410="","PENDIENTE","DEPOSITADA"))</f>
        <v/>
      </c>
      <c r="L410">
        <f>IF(Registro_Compras!$R410&lt;&gt;"SI","",Registro_Compras!$Z410)</f>
        <v/>
      </c>
      <c r="M410">
        <f>IF($K410&lt;&gt;"PENDIENTE","",IF(TODAY()&gt;$I410,TODAY()-$I410,0))</f>
        <v/>
      </c>
      <c r="N410">
        <f>IF($K410&lt;&gt;"PENDIENTE","",IF($M410&gt;0,"VENCIDA - DEPOSITAR YA",IF($I410-TODAY()&lt;=3,"POR VENCER","EN PLAZO")))</f>
        <v/>
      </c>
    </row>
    <row r="411">
      <c r="A411" s="25">
        <f>IF(Registro_Compras!$R411&lt;&gt;"SI","",Registro_Compras!$B411)</f>
        <v/>
      </c>
      <c r="B411">
        <f>IF(Registro_Compras!$R411&lt;&gt;"SI","",Registro_Compras!$C411)</f>
        <v/>
      </c>
      <c r="C411">
        <f>IF(Registro_Compras!$R411&lt;&gt;"SI","",Registro_Compras!$D411)</f>
        <v/>
      </c>
      <c r="D411">
        <f>IF(Registro_Compras!$R411&lt;&gt;"SI","",Registro_Compras!$E411)</f>
        <v/>
      </c>
      <c r="E411">
        <f>IF(Registro_Compras!$R411&lt;&gt;"SI","",Registro_Compras!$G411)</f>
        <v/>
      </c>
      <c r="F411" s="31">
        <f>IF(Registro_Compras!$R411&lt;&gt;"SI","",Registro_Compras!$P411)</f>
        <v/>
      </c>
      <c r="G411" s="20">
        <f>IF(Registro_Compras!$R411&lt;&gt;"SI","",Registro_Compras!$O411)</f>
        <v/>
      </c>
      <c r="H411" s="20">
        <f>IF(Registro_Compras!$R411&lt;&gt;"SI","",Registro_Compras!$S411)</f>
        <v/>
      </c>
      <c r="I411" s="25">
        <f>IF(Registro_Compras!$R411&lt;&gt;"SI","",IF(Registro_Compras!$Y411="",WORKDAY(EOMONTH(Registro_Compras!$B411,0),5,Feriados),MIN(Registro_Compras!$Y411,WORKDAY(EOMONTH(Registro_Compras!$B411,0),5,Feriados))))</f>
        <v/>
      </c>
      <c r="J411" s="25">
        <f>IF(Registro_Compras!$R411&lt;&gt;"SI","",Registro_Compras!$X411)</f>
        <v/>
      </c>
      <c r="K411">
        <f>IF(Registro_Compras!$R411&lt;&gt;"SI","",IF(Registro_Compras!$X411="","PENDIENTE","DEPOSITADA"))</f>
        <v/>
      </c>
      <c r="L411">
        <f>IF(Registro_Compras!$R411&lt;&gt;"SI","",Registro_Compras!$Z411)</f>
        <v/>
      </c>
      <c r="M411">
        <f>IF($K411&lt;&gt;"PENDIENTE","",IF(TODAY()&gt;$I411,TODAY()-$I411,0))</f>
        <v/>
      </c>
      <c r="N411">
        <f>IF($K411&lt;&gt;"PENDIENTE","",IF($M411&gt;0,"VENCIDA - DEPOSITAR YA",IF($I411-TODAY()&lt;=3,"POR VENCER","EN PLAZO")))</f>
        <v/>
      </c>
    </row>
    <row r="412">
      <c r="A412" s="25">
        <f>IF(Registro_Compras!$R412&lt;&gt;"SI","",Registro_Compras!$B412)</f>
        <v/>
      </c>
      <c r="B412">
        <f>IF(Registro_Compras!$R412&lt;&gt;"SI","",Registro_Compras!$C412)</f>
        <v/>
      </c>
      <c r="C412">
        <f>IF(Registro_Compras!$R412&lt;&gt;"SI","",Registro_Compras!$D412)</f>
        <v/>
      </c>
      <c r="D412">
        <f>IF(Registro_Compras!$R412&lt;&gt;"SI","",Registro_Compras!$E412)</f>
        <v/>
      </c>
      <c r="E412">
        <f>IF(Registro_Compras!$R412&lt;&gt;"SI","",Registro_Compras!$G412)</f>
        <v/>
      </c>
      <c r="F412" s="31">
        <f>IF(Registro_Compras!$R412&lt;&gt;"SI","",Registro_Compras!$P412)</f>
        <v/>
      </c>
      <c r="G412" s="20">
        <f>IF(Registro_Compras!$R412&lt;&gt;"SI","",Registro_Compras!$O412)</f>
        <v/>
      </c>
      <c r="H412" s="20">
        <f>IF(Registro_Compras!$R412&lt;&gt;"SI","",Registro_Compras!$S412)</f>
        <v/>
      </c>
      <c r="I412" s="25">
        <f>IF(Registro_Compras!$R412&lt;&gt;"SI","",IF(Registro_Compras!$Y412="",WORKDAY(EOMONTH(Registro_Compras!$B412,0),5,Feriados),MIN(Registro_Compras!$Y412,WORKDAY(EOMONTH(Registro_Compras!$B412,0),5,Feriados))))</f>
        <v/>
      </c>
      <c r="J412" s="25">
        <f>IF(Registro_Compras!$R412&lt;&gt;"SI","",Registro_Compras!$X412)</f>
        <v/>
      </c>
      <c r="K412">
        <f>IF(Registro_Compras!$R412&lt;&gt;"SI","",IF(Registro_Compras!$X412="","PENDIENTE","DEPOSITADA"))</f>
        <v/>
      </c>
      <c r="L412">
        <f>IF(Registro_Compras!$R412&lt;&gt;"SI","",Registro_Compras!$Z412)</f>
        <v/>
      </c>
      <c r="M412">
        <f>IF($K412&lt;&gt;"PENDIENTE","",IF(TODAY()&gt;$I412,TODAY()-$I412,0))</f>
        <v/>
      </c>
      <c r="N412">
        <f>IF($K412&lt;&gt;"PENDIENTE","",IF($M412&gt;0,"VENCIDA - DEPOSITAR YA",IF($I412-TODAY()&lt;=3,"POR VENCER","EN PLAZO")))</f>
        <v/>
      </c>
    </row>
    <row r="413">
      <c r="A413" s="25">
        <f>IF(Registro_Compras!$R413&lt;&gt;"SI","",Registro_Compras!$B413)</f>
        <v/>
      </c>
      <c r="B413">
        <f>IF(Registro_Compras!$R413&lt;&gt;"SI","",Registro_Compras!$C413)</f>
        <v/>
      </c>
      <c r="C413">
        <f>IF(Registro_Compras!$R413&lt;&gt;"SI","",Registro_Compras!$D413)</f>
        <v/>
      </c>
      <c r="D413">
        <f>IF(Registro_Compras!$R413&lt;&gt;"SI","",Registro_Compras!$E413)</f>
        <v/>
      </c>
      <c r="E413">
        <f>IF(Registro_Compras!$R413&lt;&gt;"SI","",Registro_Compras!$G413)</f>
        <v/>
      </c>
      <c r="F413" s="31">
        <f>IF(Registro_Compras!$R413&lt;&gt;"SI","",Registro_Compras!$P413)</f>
        <v/>
      </c>
      <c r="G413" s="20">
        <f>IF(Registro_Compras!$R413&lt;&gt;"SI","",Registro_Compras!$O413)</f>
        <v/>
      </c>
      <c r="H413" s="20">
        <f>IF(Registro_Compras!$R413&lt;&gt;"SI","",Registro_Compras!$S413)</f>
        <v/>
      </c>
      <c r="I413" s="25">
        <f>IF(Registro_Compras!$R413&lt;&gt;"SI","",IF(Registro_Compras!$Y413="",WORKDAY(EOMONTH(Registro_Compras!$B413,0),5,Feriados),MIN(Registro_Compras!$Y413,WORKDAY(EOMONTH(Registro_Compras!$B413,0),5,Feriados))))</f>
        <v/>
      </c>
      <c r="J413" s="25">
        <f>IF(Registro_Compras!$R413&lt;&gt;"SI","",Registro_Compras!$X413)</f>
        <v/>
      </c>
      <c r="K413">
        <f>IF(Registro_Compras!$R413&lt;&gt;"SI","",IF(Registro_Compras!$X413="","PENDIENTE","DEPOSITADA"))</f>
        <v/>
      </c>
      <c r="L413">
        <f>IF(Registro_Compras!$R413&lt;&gt;"SI","",Registro_Compras!$Z413)</f>
        <v/>
      </c>
      <c r="M413">
        <f>IF($K413&lt;&gt;"PENDIENTE","",IF(TODAY()&gt;$I413,TODAY()-$I413,0))</f>
        <v/>
      </c>
      <c r="N413">
        <f>IF($K413&lt;&gt;"PENDIENTE","",IF($M413&gt;0,"VENCIDA - DEPOSITAR YA",IF($I413-TODAY()&lt;=3,"POR VENCER","EN PLAZO")))</f>
        <v/>
      </c>
    </row>
    <row r="414">
      <c r="A414" s="25">
        <f>IF(Registro_Compras!$R414&lt;&gt;"SI","",Registro_Compras!$B414)</f>
        <v/>
      </c>
      <c r="B414">
        <f>IF(Registro_Compras!$R414&lt;&gt;"SI","",Registro_Compras!$C414)</f>
        <v/>
      </c>
      <c r="C414">
        <f>IF(Registro_Compras!$R414&lt;&gt;"SI","",Registro_Compras!$D414)</f>
        <v/>
      </c>
      <c r="D414">
        <f>IF(Registro_Compras!$R414&lt;&gt;"SI","",Registro_Compras!$E414)</f>
        <v/>
      </c>
      <c r="E414">
        <f>IF(Registro_Compras!$R414&lt;&gt;"SI","",Registro_Compras!$G414)</f>
        <v/>
      </c>
      <c r="F414" s="31">
        <f>IF(Registro_Compras!$R414&lt;&gt;"SI","",Registro_Compras!$P414)</f>
        <v/>
      </c>
      <c r="G414" s="20">
        <f>IF(Registro_Compras!$R414&lt;&gt;"SI","",Registro_Compras!$O414)</f>
        <v/>
      </c>
      <c r="H414" s="20">
        <f>IF(Registro_Compras!$R414&lt;&gt;"SI","",Registro_Compras!$S414)</f>
        <v/>
      </c>
      <c r="I414" s="25">
        <f>IF(Registro_Compras!$R414&lt;&gt;"SI","",IF(Registro_Compras!$Y414="",WORKDAY(EOMONTH(Registro_Compras!$B414,0),5,Feriados),MIN(Registro_Compras!$Y414,WORKDAY(EOMONTH(Registro_Compras!$B414,0),5,Feriados))))</f>
        <v/>
      </c>
      <c r="J414" s="25">
        <f>IF(Registro_Compras!$R414&lt;&gt;"SI","",Registro_Compras!$X414)</f>
        <v/>
      </c>
      <c r="K414">
        <f>IF(Registro_Compras!$R414&lt;&gt;"SI","",IF(Registro_Compras!$X414="","PENDIENTE","DEPOSITADA"))</f>
        <v/>
      </c>
      <c r="L414">
        <f>IF(Registro_Compras!$R414&lt;&gt;"SI","",Registro_Compras!$Z414)</f>
        <v/>
      </c>
      <c r="M414">
        <f>IF($K414&lt;&gt;"PENDIENTE","",IF(TODAY()&gt;$I414,TODAY()-$I414,0))</f>
        <v/>
      </c>
      <c r="N414">
        <f>IF($K414&lt;&gt;"PENDIENTE","",IF($M414&gt;0,"VENCIDA - DEPOSITAR YA",IF($I414-TODAY()&lt;=3,"POR VENCER","EN PLAZO")))</f>
        <v/>
      </c>
    </row>
    <row r="415">
      <c r="A415" s="25">
        <f>IF(Registro_Compras!$R415&lt;&gt;"SI","",Registro_Compras!$B415)</f>
        <v/>
      </c>
      <c r="B415">
        <f>IF(Registro_Compras!$R415&lt;&gt;"SI","",Registro_Compras!$C415)</f>
        <v/>
      </c>
      <c r="C415">
        <f>IF(Registro_Compras!$R415&lt;&gt;"SI","",Registro_Compras!$D415)</f>
        <v/>
      </c>
      <c r="D415">
        <f>IF(Registro_Compras!$R415&lt;&gt;"SI","",Registro_Compras!$E415)</f>
        <v/>
      </c>
      <c r="E415">
        <f>IF(Registro_Compras!$R415&lt;&gt;"SI","",Registro_Compras!$G415)</f>
        <v/>
      </c>
      <c r="F415" s="31">
        <f>IF(Registro_Compras!$R415&lt;&gt;"SI","",Registro_Compras!$P415)</f>
        <v/>
      </c>
      <c r="G415" s="20">
        <f>IF(Registro_Compras!$R415&lt;&gt;"SI","",Registro_Compras!$O415)</f>
        <v/>
      </c>
      <c r="H415" s="20">
        <f>IF(Registro_Compras!$R415&lt;&gt;"SI","",Registro_Compras!$S415)</f>
        <v/>
      </c>
      <c r="I415" s="25">
        <f>IF(Registro_Compras!$R415&lt;&gt;"SI","",IF(Registro_Compras!$Y415="",WORKDAY(EOMONTH(Registro_Compras!$B415,0),5,Feriados),MIN(Registro_Compras!$Y415,WORKDAY(EOMONTH(Registro_Compras!$B415,0),5,Feriados))))</f>
        <v/>
      </c>
      <c r="J415" s="25">
        <f>IF(Registro_Compras!$R415&lt;&gt;"SI","",Registro_Compras!$X415)</f>
        <v/>
      </c>
      <c r="K415">
        <f>IF(Registro_Compras!$R415&lt;&gt;"SI","",IF(Registro_Compras!$X415="","PENDIENTE","DEPOSITADA"))</f>
        <v/>
      </c>
      <c r="L415">
        <f>IF(Registro_Compras!$R415&lt;&gt;"SI","",Registro_Compras!$Z415)</f>
        <v/>
      </c>
      <c r="M415">
        <f>IF($K415&lt;&gt;"PENDIENTE","",IF(TODAY()&gt;$I415,TODAY()-$I415,0))</f>
        <v/>
      </c>
      <c r="N415">
        <f>IF($K415&lt;&gt;"PENDIENTE","",IF($M415&gt;0,"VENCIDA - DEPOSITAR YA",IF($I415-TODAY()&lt;=3,"POR VENCER","EN PLAZO")))</f>
        <v/>
      </c>
    </row>
    <row r="416">
      <c r="A416" s="25">
        <f>IF(Registro_Compras!$R416&lt;&gt;"SI","",Registro_Compras!$B416)</f>
        <v/>
      </c>
      <c r="B416">
        <f>IF(Registro_Compras!$R416&lt;&gt;"SI","",Registro_Compras!$C416)</f>
        <v/>
      </c>
      <c r="C416">
        <f>IF(Registro_Compras!$R416&lt;&gt;"SI","",Registro_Compras!$D416)</f>
        <v/>
      </c>
      <c r="D416">
        <f>IF(Registro_Compras!$R416&lt;&gt;"SI","",Registro_Compras!$E416)</f>
        <v/>
      </c>
      <c r="E416">
        <f>IF(Registro_Compras!$R416&lt;&gt;"SI","",Registro_Compras!$G416)</f>
        <v/>
      </c>
      <c r="F416" s="31">
        <f>IF(Registro_Compras!$R416&lt;&gt;"SI","",Registro_Compras!$P416)</f>
        <v/>
      </c>
      <c r="G416" s="20">
        <f>IF(Registro_Compras!$R416&lt;&gt;"SI","",Registro_Compras!$O416)</f>
        <v/>
      </c>
      <c r="H416" s="20">
        <f>IF(Registro_Compras!$R416&lt;&gt;"SI","",Registro_Compras!$S416)</f>
        <v/>
      </c>
      <c r="I416" s="25">
        <f>IF(Registro_Compras!$R416&lt;&gt;"SI","",IF(Registro_Compras!$Y416="",WORKDAY(EOMONTH(Registro_Compras!$B416,0),5,Feriados),MIN(Registro_Compras!$Y416,WORKDAY(EOMONTH(Registro_Compras!$B416,0),5,Feriados))))</f>
        <v/>
      </c>
      <c r="J416" s="25">
        <f>IF(Registro_Compras!$R416&lt;&gt;"SI","",Registro_Compras!$X416)</f>
        <v/>
      </c>
      <c r="K416">
        <f>IF(Registro_Compras!$R416&lt;&gt;"SI","",IF(Registro_Compras!$X416="","PENDIENTE","DEPOSITADA"))</f>
        <v/>
      </c>
      <c r="L416">
        <f>IF(Registro_Compras!$R416&lt;&gt;"SI","",Registro_Compras!$Z416)</f>
        <v/>
      </c>
      <c r="M416">
        <f>IF($K416&lt;&gt;"PENDIENTE","",IF(TODAY()&gt;$I416,TODAY()-$I416,0))</f>
        <v/>
      </c>
      <c r="N416">
        <f>IF($K416&lt;&gt;"PENDIENTE","",IF($M416&gt;0,"VENCIDA - DEPOSITAR YA",IF($I416-TODAY()&lt;=3,"POR VENCER","EN PLAZO")))</f>
        <v/>
      </c>
    </row>
    <row r="417">
      <c r="A417" s="25">
        <f>IF(Registro_Compras!$R417&lt;&gt;"SI","",Registro_Compras!$B417)</f>
        <v/>
      </c>
      <c r="B417">
        <f>IF(Registro_Compras!$R417&lt;&gt;"SI","",Registro_Compras!$C417)</f>
        <v/>
      </c>
      <c r="C417">
        <f>IF(Registro_Compras!$R417&lt;&gt;"SI","",Registro_Compras!$D417)</f>
        <v/>
      </c>
      <c r="D417">
        <f>IF(Registro_Compras!$R417&lt;&gt;"SI","",Registro_Compras!$E417)</f>
        <v/>
      </c>
      <c r="E417">
        <f>IF(Registro_Compras!$R417&lt;&gt;"SI","",Registro_Compras!$G417)</f>
        <v/>
      </c>
      <c r="F417" s="31">
        <f>IF(Registro_Compras!$R417&lt;&gt;"SI","",Registro_Compras!$P417)</f>
        <v/>
      </c>
      <c r="G417" s="20">
        <f>IF(Registro_Compras!$R417&lt;&gt;"SI","",Registro_Compras!$O417)</f>
        <v/>
      </c>
      <c r="H417" s="20">
        <f>IF(Registro_Compras!$R417&lt;&gt;"SI","",Registro_Compras!$S417)</f>
        <v/>
      </c>
      <c r="I417" s="25">
        <f>IF(Registro_Compras!$R417&lt;&gt;"SI","",IF(Registro_Compras!$Y417="",WORKDAY(EOMONTH(Registro_Compras!$B417,0),5,Feriados),MIN(Registro_Compras!$Y417,WORKDAY(EOMONTH(Registro_Compras!$B417,0),5,Feriados))))</f>
        <v/>
      </c>
      <c r="J417" s="25">
        <f>IF(Registro_Compras!$R417&lt;&gt;"SI","",Registro_Compras!$X417)</f>
        <v/>
      </c>
      <c r="K417">
        <f>IF(Registro_Compras!$R417&lt;&gt;"SI","",IF(Registro_Compras!$X417="","PENDIENTE","DEPOSITADA"))</f>
        <v/>
      </c>
      <c r="L417">
        <f>IF(Registro_Compras!$R417&lt;&gt;"SI","",Registro_Compras!$Z417)</f>
        <v/>
      </c>
      <c r="M417">
        <f>IF($K417&lt;&gt;"PENDIENTE","",IF(TODAY()&gt;$I417,TODAY()-$I417,0))</f>
        <v/>
      </c>
      <c r="N417">
        <f>IF($K417&lt;&gt;"PENDIENTE","",IF($M417&gt;0,"VENCIDA - DEPOSITAR YA",IF($I417-TODAY()&lt;=3,"POR VENCER","EN PLAZO")))</f>
        <v/>
      </c>
    </row>
    <row r="418">
      <c r="A418" s="25">
        <f>IF(Registro_Compras!$R418&lt;&gt;"SI","",Registro_Compras!$B418)</f>
        <v/>
      </c>
      <c r="B418">
        <f>IF(Registro_Compras!$R418&lt;&gt;"SI","",Registro_Compras!$C418)</f>
        <v/>
      </c>
      <c r="C418">
        <f>IF(Registro_Compras!$R418&lt;&gt;"SI","",Registro_Compras!$D418)</f>
        <v/>
      </c>
      <c r="D418">
        <f>IF(Registro_Compras!$R418&lt;&gt;"SI","",Registro_Compras!$E418)</f>
        <v/>
      </c>
      <c r="E418">
        <f>IF(Registro_Compras!$R418&lt;&gt;"SI","",Registro_Compras!$G418)</f>
        <v/>
      </c>
      <c r="F418" s="31">
        <f>IF(Registro_Compras!$R418&lt;&gt;"SI","",Registro_Compras!$P418)</f>
        <v/>
      </c>
      <c r="G418" s="20">
        <f>IF(Registro_Compras!$R418&lt;&gt;"SI","",Registro_Compras!$O418)</f>
        <v/>
      </c>
      <c r="H418" s="20">
        <f>IF(Registro_Compras!$R418&lt;&gt;"SI","",Registro_Compras!$S418)</f>
        <v/>
      </c>
      <c r="I418" s="25">
        <f>IF(Registro_Compras!$R418&lt;&gt;"SI","",IF(Registro_Compras!$Y418="",WORKDAY(EOMONTH(Registro_Compras!$B418,0),5,Feriados),MIN(Registro_Compras!$Y418,WORKDAY(EOMONTH(Registro_Compras!$B418,0),5,Feriados))))</f>
        <v/>
      </c>
      <c r="J418" s="25">
        <f>IF(Registro_Compras!$R418&lt;&gt;"SI","",Registro_Compras!$X418)</f>
        <v/>
      </c>
      <c r="K418">
        <f>IF(Registro_Compras!$R418&lt;&gt;"SI","",IF(Registro_Compras!$X418="","PENDIENTE","DEPOSITADA"))</f>
        <v/>
      </c>
      <c r="L418">
        <f>IF(Registro_Compras!$R418&lt;&gt;"SI","",Registro_Compras!$Z418)</f>
        <v/>
      </c>
      <c r="M418">
        <f>IF($K418&lt;&gt;"PENDIENTE","",IF(TODAY()&gt;$I418,TODAY()-$I418,0))</f>
        <v/>
      </c>
      <c r="N418">
        <f>IF($K418&lt;&gt;"PENDIENTE","",IF($M418&gt;0,"VENCIDA - DEPOSITAR YA",IF($I418-TODAY()&lt;=3,"POR VENCER","EN PLAZO")))</f>
        <v/>
      </c>
    </row>
    <row r="419">
      <c r="A419" s="25">
        <f>IF(Registro_Compras!$R419&lt;&gt;"SI","",Registro_Compras!$B419)</f>
        <v/>
      </c>
      <c r="B419">
        <f>IF(Registro_Compras!$R419&lt;&gt;"SI","",Registro_Compras!$C419)</f>
        <v/>
      </c>
      <c r="C419">
        <f>IF(Registro_Compras!$R419&lt;&gt;"SI","",Registro_Compras!$D419)</f>
        <v/>
      </c>
      <c r="D419">
        <f>IF(Registro_Compras!$R419&lt;&gt;"SI","",Registro_Compras!$E419)</f>
        <v/>
      </c>
      <c r="E419">
        <f>IF(Registro_Compras!$R419&lt;&gt;"SI","",Registro_Compras!$G419)</f>
        <v/>
      </c>
      <c r="F419" s="31">
        <f>IF(Registro_Compras!$R419&lt;&gt;"SI","",Registro_Compras!$P419)</f>
        <v/>
      </c>
      <c r="G419" s="20">
        <f>IF(Registro_Compras!$R419&lt;&gt;"SI","",Registro_Compras!$O419)</f>
        <v/>
      </c>
      <c r="H419" s="20">
        <f>IF(Registro_Compras!$R419&lt;&gt;"SI","",Registro_Compras!$S419)</f>
        <v/>
      </c>
      <c r="I419" s="25">
        <f>IF(Registro_Compras!$R419&lt;&gt;"SI","",IF(Registro_Compras!$Y419="",WORKDAY(EOMONTH(Registro_Compras!$B419,0),5,Feriados),MIN(Registro_Compras!$Y419,WORKDAY(EOMONTH(Registro_Compras!$B419,0),5,Feriados))))</f>
        <v/>
      </c>
      <c r="J419" s="25">
        <f>IF(Registro_Compras!$R419&lt;&gt;"SI","",Registro_Compras!$X419)</f>
        <v/>
      </c>
      <c r="K419">
        <f>IF(Registro_Compras!$R419&lt;&gt;"SI","",IF(Registro_Compras!$X419="","PENDIENTE","DEPOSITADA"))</f>
        <v/>
      </c>
      <c r="L419">
        <f>IF(Registro_Compras!$R419&lt;&gt;"SI","",Registro_Compras!$Z419)</f>
        <v/>
      </c>
      <c r="M419">
        <f>IF($K419&lt;&gt;"PENDIENTE","",IF(TODAY()&gt;$I419,TODAY()-$I419,0))</f>
        <v/>
      </c>
      <c r="N419">
        <f>IF($K419&lt;&gt;"PENDIENTE","",IF($M419&gt;0,"VENCIDA - DEPOSITAR YA",IF($I419-TODAY()&lt;=3,"POR VENCER","EN PLAZO")))</f>
        <v/>
      </c>
    </row>
    <row r="420">
      <c r="A420" s="25">
        <f>IF(Registro_Compras!$R420&lt;&gt;"SI","",Registro_Compras!$B420)</f>
        <v/>
      </c>
      <c r="B420">
        <f>IF(Registro_Compras!$R420&lt;&gt;"SI","",Registro_Compras!$C420)</f>
        <v/>
      </c>
      <c r="C420">
        <f>IF(Registro_Compras!$R420&lt;&gt;"SI","",Registro_Compras!$D420)</f>
        <v/>
      </c>
      <c r="D420">
        <f>IF(Registro_Compras!$R420&lt;&gt;"SI","",Registro_Compras!$E420)</f>
        <v/>
      </c>
      <c r="E420">
        <f>IF(Registro_Compras!$R420&lt;&gt;"SI","",Registro_Compras!$G420)</f>
        <v/>
      </c>
      <c r="F420" s="31">
        <f>IF(Registro_Compras!$R420&lt;&gt;"SI","",Registro_Compras!$P420)</f>
        <v/>
      </c>
      <c r="G420" s="20">
        <f>IF(Registro_Compras!$R420&lt;&gt;"SI","",Registro_Compras!$O420)</f>
        <v/>
      </c>
      <c r="H420" s="20">
        <f>IF(Registro_Compras!$R420&lt;&gt;"SI","",Registro_Compras!$S420)</f>
        <v/>
      </c>
      <c r="I420" s="25">
        <f>IF(Registro_Compras!$R420&lt;&gt;"SI","",IF(Registro_Compras!$Y420="",WORKDAY(EOMONTH(Registro_Compras!$B420,0),5,Feriados),MIN(Registro_Compras!$Y420,WORKDAY(EOMONTH(Registro_Compras!$B420,0),5,Feriados))))</f>
        <v/>
      </c>
      <c r="J420" s="25">
        <f>IF(Registro_Compras!$R420&lt;&gt;"SI","",Registro_Compras!$X420)</f>
        <v/>
      </c>
      <c r="K420">
        <f>IF(Registro_Compras!$R420&lt;&gt;"SI","",IF(Registro_Compras!$X420="","PENDIENTE","DEPOSITADA"))</f>
        <v/>
      </c>
      <c r="L420">
        <f>IF(Registro_Compras!$R420&lt;&gt;"SI","",Registro_Compras!$Z420)</f>
        <v/>
      </c>
      <c r="M420">
        <f>IF($K420&lt;&gt;"PENDIENTE","",IF(TODAY()&gt;$I420,TODAY()-$I420,0))</f>
        <v/>
      </c>
      <c r="N420">
        <f>IF($K420&lt;&gt;"PENDIENTE","",IF($M420&gt;0,"VENCIDA - DEPOSITAR YA",IF($I420-TODAY()&lt;=3,"POR VENCER","EN PLAZO")))</f>
        <v/>
      </c>
    </row>
    <row r="421">
      <c r="A421" s="25">
        <f>IF(Registro_Compras!$R421&lt;&gt;"SI","",Registro_Compras!$B421)</f>
        <v/>
      </c>
      <c r="B421">
        <f>IF(Registro_Compras!$R421&lt;&gt;"SI","",Registro_Compras!$C421)</f>
        <v/>
      </c>
      <c r="C421">
        <f>IF(Registro_Compras!$R421&lt;&gt;"SI","",Registro_Compras!$D421)</f>
        <v/>
      </c>
      <c r="D421">
        <f>IF(Registro_Compras!$R421&lt;&gt;"SI","",Registro_Compras!$E421)</f>
        <v/>
      </c>
      <c r="E421">
        <f>IF(Registro_Compras!$R421&lt;&gt;"SI","",Registro_Compras!$G421)</f>
        <v/>
      </c>
      <c r="F421" s="31">
        <f>IF(Registro_Compras!$R421&lt;&gt;"SI","",Registro_Compras!$P421)</f>
        <v/>
      </c>
      <c r="G421" s="20">
        <f>IF(Registro_Compras!$R421&lt;&gt;"SI","",Registro_Compras!$O421)</f>
        <v/>
      </c>
      <c r="H421" s="20">
        <f>IF(Registro_Compras!$R421&lt;&gt;"SI","",Registro_Compras!$S421)</f>
        <v/>
      </c>
      <c r="I421" s="25">
        <f>IF(Registro_Compras!$R421&lt;&gt;"SI","",IF(Registro_Compras!$Y421="",WORKDAY(EOMONTH(Registro_Compras!$B421,0),5,Feriados),MIN(Registro_Compras!$Y421,WORKDAY(EOMONTH(Registro_Compras!$B421,0),5,Feriados))))</f>
        <v/>
      </c>
      <c r="J421" s="25">
        <f>IF(Registro_Compras!$R421&lt;&gt;"SI","",Registro_Compras!$X421)</f>
        <v/>
      </c>
      <c r="K421">
        <f>IF(Registro_Compras!$R421&lt;&gt;"SI","",IF(Registro_Compras!$X421="","PENDIENTE","DEPOSITADA"))</f>
        <v/>
      </c>
      <c r="L421">
        <f>IF(Registro_Compras!$R421&lt;&gt;"SI","",Registro_Compras!$Z421)</f>
        <v/>
      </c>
      <c r="M421">
        <f>IF($K421&lt;&gt;"PENDIENTE","",IF(TODAY()&gt;$I421,TODAY()-$I421,0))</f>
        <v/>
      </c>
      <c r="N421">
        <f>IF($K421&lt;&gt;"PENDIENTE","",IF($M421&gt;0,"VENCIDA - DEPOSITAR YA",IF($I421-TODAY()&lt;=3,"POR VENCER","EN PLAZO")))</f>
        <v/>
      </c>
    </row>
    <row r="422">
      <c r="A422" s="25">
        <f>IF(Registro_Compras!$R422&lt;&gt;"SI","",Registro_Compras!$B422)</f>
        <v/>
      </c>
      <c r="B422">
        <f>IF(Registro_Compras!$R422&lt;&gt;"SI","",Registro_Compras!$C422)</f>
        <v/>
      </c>
      <c r="C422">
        <f>IF(Registro_Compras!$R422&lt;&gt;"SI","",Registro_Compras!$D422)</f>
        <v/>
      </c>
      <c r="D422">
        <f>IF(Registro_Compras!$R422&lt;&gt;"SI","",Registro_Compras!$E422)</f>
        <v/>
      </c>
      <c r="E422">
        <f>IF(Registro_Compras!$R422&lt;&gt;"SI","",Registro_Compras!$G422)</f>
        <v/>
      </c>
      <c r="F422" s="31">
        <f>IF(Registro_Compras!$R422&lt;&gt;"SI","",Registro_Compras!$P422)</f>
        <v/>
      </c>
      <c r="G422" s="20">
        <f>IF(Registro_Compras!$R422&lt;&gt;"SI","",Registro_Compras!$O422)</f>
        <v/>
      </c>
      <c r="H422" s="20">
        <f>IF(Registro_Compras!$R422&lt;&gt;"SI","",Registro_Compras!$S422)</f>
        <v/>
      </c>
      <c r="I422" s="25">
        <f>IF(Registro_Compras!$R422&lt;&gt;"SI","",IF(Registro_Compras!$Y422="",WORKDAY(EOMONTH(Registro_Compras!$B422,0),5,Feriados),MIN(Registro_Compras!$Y422,WORKDAY(EOMONTH(Registro_Compras!$B422,0),5,Feriados))))</f>
        <v/>
      </c>
      <c r="J422" s="25">
        <f>IF(Registro_Compras!$R422&lt;&gt;"SI","",Registro_Compras!$X422)</f>
        <v/>
      </c>
      <c r="K422">
        <f>IF(Registro_Compras!$R422&lt;&gt;"SI","",IF(Registro_Compras!$X422="","PENDIENTE","DEPOSITADA"))</f>
        <v/>
      </c>
      <c r="L422">
        <f>IF(Registro_Compras!$R422&lt;&gt;"SI","",Registro_Compras!$Z422)</f>
        <v/>
      </c>
      <c r="M422">
        <f>IF($K422&lt;&gt;"PENDIENTE","",IF(TODAY()&gt;$I422,TODAY()-$I422,0))</f>
        <v/>
      </c>
      <c r="N422">
        <f>IF($K422&lt;&gt;"PENDIENTE","",IF($M422&gt;0,"VENCIDA - DEPOSITAR YA",IF($I422-TODAY()&lt;=3,"POR VENCER","EN PLAZO")))</f>
        <v/>
      </c>
    </row>
    <row r="423">
      <c r="A423" s="25">
        <f>IF(Registro_Compras!$R423&lt;&gt;"SI","",Registro_Compras!$B423)</f>
        <v/>
      </c>
      <c r="B423">
        <f>IF(Registro_Compras!$R423&lt;&gt;"SI","",Registro_Compras!$C423)</f>
        <v/>
      </c>
      <c r="C423">
        <f>IF(Registro_Compras!$R423&lt;&gt;"SI","",Registro_Compras!$D423)</f>
        <v/>
      </c>
      <c r="D423">
        <f>IF(Registro_Compras!$R423&lt;&gt;"SI","",Registro_Compras!$E423)</f>
        <v/>
      </c>
      <c r="E423">
        <f>IF(Registro_Compras!$R423&lt;&gt;"SI","",Registro_Compras!$G423)</f>
        <v/>
      </c>
      <c r="F423" s="31">
        <f>IF(Registro_Compras!$R423&lt;&gt;"SI","",Registro_Compras!$P423)</f>
        <v/>
      </c>
      <c r="G423" s="20">
        <f>IF(Registro_Compras!$R423&lt;&gt;"SI","",Registro_Compras!$O423)</f>
        <v/>
      </c>
      <c r="H423" s="20">
        <f>IF(Registro_Compras!$R423&lt;&gt;"SI","",Registro_Compras!$S423)</f>
        <v/>
      </c>
      <c r="I423" s="25">
        <f>IF(Registro_Compras!$R423&lt;&gt;"SI","",IF(Registro_Compras!$Y423="",WORKDAY(EOMONTH(Registro_Compras!$B423,0),5,Feriados),MIN(Registro_Compras!$Y423,WORKDAY(EOMONTH(Registro_Compras!$B423,0),5,Feriados))))</f>
        <v/>
      </c>
      <c r="J423" s="25">
        <f>IF(Registro_Compras!$R423&lt;&gt;"SI","",Registro_Compras!$X423)</f>
        <v/>
      </c>
      <c r="K423">
        <f>IF(Registro_Compras!$R423&lt;&gt;"SI","",IF(Registro_Compras!$X423="","PENDIENTE","DEPOSITADA"))</f>
        <v/>
      </c>
      <c r="L423">
        <f>IF(Registro_Compras!$R423&lt;&gt;"SI","",Registro_Compras!$Z423)</f>
        <v/>
      </c>
      <c r="M423">
        <f>IF($K423&lt;&gt;"PENDIENTE","",IF(TODAY()&gt;$I423,TODAY()-$I423,0))</f>
        <v/>
      </c>
      <c r="N423">
        <f>IF($K423&lt;&gt;"PENDIENTE","",IF($M423&gt;0,"VENCIDA - DEPOSITAR YA",IF($I423-TODAY()&lt;=3,"POR VENCER","EN PLAZO")))</f>
        <v/>
      </c>
    </row>
    <row r="424">
      <c r="A424" s="25">
        <f>IF(Registro_Compras!$R424&lt;&gt;"SI","",Registro_Compras!$B424)</f>
        <v/>
      </c>
      <c r="B424">
        <f>IF(Registro_Compras!$R424&lt;&gt;"SI","",Registro_Compras!$C424)</f>
        <v/>
      </c>
      <c r="C424">
        <f>IF(Registro_Compras!$R424&lt;&gt;"SI","",Registro_Compras!$D424)</f>
        <v/>
      </c>
      <c r="D424">
        <f>IF(Registro_Compras!$R424&lt;&gt;"SI","",Registro_Compras!$E424)</f>
        <v/>
      </c>
      <c r="E424">
        <f>IF(Registro_Compras!$R424&lt;&gt;"SI","",Registro_Compras!$G424)</f>
        <v/>
      </c>
      <c r="F424" s="31">
        <f>IF(Registro_Compras!$R424&lt;&gt;"SI","",Registro_Compras!$P424)</f>
        <v/>
      </c>
      <c r="G424" s="20">
        <f>IF(Registro_Compras!$R424&lt;&gt;"SI","",Registro_Compras!$O424)</f>
        <v/>
      </c>
      <c r="H424" s="20">
        <f>IF(Registro_Compras!$R424&lt;&gt;"SI","",Registro_Compras!$S424)</f>
        <v/>
      </c>
      <c r="I424" s="25">
        <f>IF(Registro_Compras!$R424&lt;&gt;"SI","",IF(Registro_Compras!$Y424="",WORKDAY(EOMONTH(Registro_Compras!$B424,0),5,Feriados),MIN(Registro_Compras!$Y424,WORKDAY(EOMONTH(Registro_Compras!$B424,0),5,Feriados))))</f>
        <v/>
      </c>
      <c r="J424" s="25">
        <f>IF(Registro_Compras!$R424&lt;&gt;"SI","",Registro_Compras!$X424)</f>
        <v/>
      </c>
      <c r="K424">
        <f>IF(Registro_Compras!$R424&lt;&gt;"SI","",IF(Registro_Compras!$X424="","PENDIENTE","DEPOSITADA"))</f>
        <v/>
      </c>
      <c r="L424">
        <f>IF(Registro_Compras!$R424&lt;&gt;"SI","",Registro_Compras!$Z424)</f>
        <v/>
      </c>
      <c r="M424">
        <f>IF($K424&lt;&gt;"PENDIENTE","",IF(TODAY()&gt;$I424,TODAY()-$I424,0))</f>
        <v/>
      </c>
      <c r="N424">
        <f>IF($K424&lt;&gt;"PENDIENTE","",IF($M424&gt;0,"VENCIDA - DEPOSITAR YA",IF($I424-TODAY()&lt;=3,"POR VENCER","EN PLAZO")))</f>
        <v/>
      </c>
    </row>
    <row r="425">
      <c r="A425" s="25">
        <f>IF(Registro_Compras!$R425&lt;&gt;"SI","",Registro_Compras!$B425)</f>
        <v/>
      </c>
      <c r="B425">
        <f>IF(Registro_Compras!$R425&lt;&gt;"SI","",Registro_Compras!$C425)</f>
        <v/>
      </c>
      <c r="C425">
        <f>IF(Registro_Compras!$R425&lt;&gt;"SI","",Registro_Compras!$D425)</f>
        <v/>
      </c>
      <c r="D425">
        <f>IF(Registro_Compras!$R425&lt;&gt;"SI","",Registro_Compras!$E425)</f>
        <v/>
      </c>
      <c r="E425">
        <f>IF(Registro_Compras!$R425&lt;&gt;"SI","",Registro_Compras!$G425)</f>
        <v/>
      </c>
      <c r="F425" s="31">
        <f>IF(Registro_Compras!$R425&lt;&gt;"SI","",Registro_Compras!$P425)</f>
        <v/>
      </c>
      <c r="G425" s="20">
        <f>IF(Registro_Compras!$R425&lt;&gt;"SI","",Registro_Compras!$O425)</f>
        <v/>
      </c>
      <c r="H425" s="20">
        <f>IF(Registro_Compras!$R425&lt;&gt;"SI","",Registro_Compras!$S425)</f>
        <v/>
      </c>
      <c r="I425" s="25">
        <f>IF(Registro_Compras!$R425&lt;&gt;"SI","",IF(Registro_Compras!$Y425="",WORKDAY(EOMONTH(Registro_Compras!$B425,0),5,Feriados),MIN(Registro_Compras!$Y425,WORKDAY(EOMONTH(Registro_Compras!$B425,0),5,Feriados))))</f>
        <v/>
      </c>
      <c r="J425" s="25">
        <f>IF(Registro_Compras!$R425&lt;&gt;"SI","",Registro_Compras!$X425)</f>
        <v/>
      </c>
      <c r="K425">
        <f>IF(Registro_Compras!$R425&lt;&gt;"SI","",IF(Registro_Compras!$X425="","PENDIENTE","DEPOSITADA"))</f>
        <v/>
      </c>
      <c r="L425">
        <f>IF(Registro_Compras!$R425&lt;&gt;"SI","",Registro_Compras!$Z425)</f>
        <v/>
      </c>
      <c r="M425">
        <f>IF($K425&lt;&gt;"PENDIENTE","",IF(TODAY()&gt;$I425,TODAY()-$I425,0))</f>
        <v/>
      </c>
      <c r="N425">
        <f>IF($K425&lt;&gt;"PENDIENTE","",IF($M425&gt;0,"VENCIDA - DEPOSITAR YA",IF($I425-TODAY()&lt;=3,"POR VENCER","EN PLAZO")))</f>
        <v/>
      </c>
    </row>
    <row r="426">
      <c r="A426" s="25">
        <f>IF(Registro_Compras!$R426&lt;&gt;"SI","",Registro_Compras!$B426)</f>
        <v/>
      </c>
      <c r="B426">
        <f>IF(Registro_Compras!$R426&lt;&gt;"SI","",Registro_Compras!$C426)</f>
        <v/>
      </c>
      <c r="C426">
        <f>IF(Registro_Compras!$R426&lt;&gt;"SI","",Registro_Compras!$D426)</f>
        <v/>
      </c>
      <c r="D426">
        <f>IF(Registro_Compras!$R426&lt;&gt;"SI","",Registro_Compras!$E426)</f>
        <v/>
      </c>
      <c r="E426">
        <f>IF(Registro_Compras!$R426&lt;&gt;"SI","",Registro_Compras!$G426)</f>
        <v/>
      </c>
      <c r="F426" s="31">
        <f>IF(Registro_Compras!$R426&lt;&gt;"SI","",Registro_Compras!$P426)</f>
        <v/>
      </c>
      <c r="G426" s="20">
        <f>IF(Registro_Compras!$R426&lt;&gt;"SI","",Registro_Compras!$O426)</f>
        <v/>
      </c>
      <c r="H426" s="20">
        <f>IF(Registro_Compras!$R426&lt;&gt;"SI","",Registro_Compras!$S426)</f>
        <v/>
      </c>
      <c r="I426" s="25">
        <f>IF(Registro_Compras!$R426&lt;&gt;"SI","",IF(Registro_Compras!$Y426="",WORKDAY(EOMONTH(Registro_Compras!$B426,0),5,Feriados),MIN(Registro_Compras!$Y426,WORKDAY(EOMONTH(Registro_Compras!$B426,0),5,Feriados))))</f>
        <v/>
      </c>
      <c r="J426" s="25">
        <f>IF(Registro_Compras!$R426&lt;&gt;"SI","",Registro_Compras!$X426)</f>
        <v/>
      </c>
      <c r="K426">
        <f>IF(Registro_Compras!$R426&lt;&gt;"SI","",IF(Registro_Compras!$X426="","PENDIENTE","DEPOSITADA"))</f>
        <v/>
      </c>
      <c r="L426">
        <f>IF(Registro_Compras!$R426&lt;&gt;"SI","",Registro_Compras!$Z426)</f>
        <v/>
      </c>
      <c r="M426">
        <f>IF($K426&lt;&gt;"PENDIENTE","",IF(TODAY()&gt;$I426,TODAY()-$I426,0))</f>
        <v/>
      </c>
      <c r="N426">
        <f>IF($K426&lt;&gt;"PENDIENTE","",IF($M426&gt;0,"VENCIDA - DEPOSITAR YA",IF($I426-TODAY()&lt;=3,"POR VENCER","EN PLAZO")))</f>
        <v/>
      </c>
    </row>
    <row r="427">
      <c r="A427" s="25">
        <f>IF(Registro_Compras!$R427&lt;&gt;"SI","",Registro_Compras!$B427)</f>
        <v/>
      </c>
      <c r="B427">
        <f>IF(Registro_Compras!$R427&lt;&gt;"SI","",Registro_Compras!$C427)</f>
        <v/>
      </c>
      <c r="C427">
        <f>IF(Registro_Compras!$R427&lt;&gt;"SI","",Registro_Compras!$D427)</f>
        <v/>
      </c>
      <c r="D427">
        <f>IF(Registro_Compras!$R427&lt;&gt;"SI","",Registro_Compras!$E427)</f>
        <v/>
      </c>
      <c r="E427">
        <f>IF(Registro_Compras!$R427&lt;&gt;"SI","",Registro_Compras!$G427)</f>
        <v/>
      </c>
      <c r="F427" s="31">
        <f>IF(Registro_Compras!$R427&lt;&gt;"SI","",Registro_Compras!$P427)</f>
        <v/>
      </c>
      <c r="G427" s="20">
        <f>IF(Registro_Compras!$R427&lt;&gt;"SI","",Registro_Compras!$O427)</f>
        <v/>
      </c>
      <c r="H427" s="20">
        <f>IF(Registro_Compras!$R427&lt;&gt;"SI","",Registro_Compras!$S427)</f>
        <v/>
      </c>
      <c r="I427" s="25">
        <f>IF(Registro_Compras!$R427&lt;&gt;"SI","",IF(Registro_Compras!$Y427="",WORKDAY(EOMONTH(Registro_Compras!$B427,0),5,Feriados),MIN(Registro_Compras!$Y427,WORKDAY(EOMONTH(Registro_Compras!$B427,0),5,Feriados))))</f>
        <v/>
      </c>
      <c r="J427" s="25">
        <f>IF(Registro_Compras!$R427&lt;&gt;"SI","",Registro_Compras!$X427)</f>
        <v/>
      </c>
      <c r="K427">
        <f>IF(Registro_Compras!$R427&lt;&gt;"SI","",IF(Registro_Compras!$X427="","PENDIENTE","DEPOSITADA"))</f>
        <v/>
      </c>
      <c r="L427">
        <f>IF(Registro_Compras!$R427&lt;&gt;"SI","",Registro_Compras!$Z427)</f>
        <v/>
      </c>
      <c r="M427">
        <f>IF($K427&lt;&gt;"PENDIENTE","",IF(TODAY()&gt;$I427,TODAY()-$I427,0))</f>
        <v/>
      </c>
      <c r="N427">
        <f>IF($K427&lt;&gt;"PENDIENTE","",IF($M427&gt;0,"VENCIDA - DEPOSITAR YA",IF($I427-TODAY()&lt;=3,"POR VENCER","EN PLAZO")))</f>
        <v/>
      </c>
    </row>
    <row r="428">
      <c r="A428" s="25">
        <f>IF(Registro_Compras!$R428&lt;&gt;"SI","",Registro_Compras!$B428)</f>
        <v/>
      </c>
      <c r="B428">
        <f>IF(Registro_Compras!$R428&lt;&gt;"SI","",Registro_Compras!$C428)</f>
        <v/>
      </c>
      <c r="C428">
        <f>IF(Registro_Compras!$R428&lt;&gt;"SI","",Registro_Compras!$D428)</f>
        <v/>
      </c>
      <c r="D428">
        <f>IF(Registro_Compras!$R428&lt;&gt;"SI","",Registro_Compras!$E428)</f>
        <v/>
      </c>
      <c r="E428">
        <f>IF(Registro_Compras!$R428&lt;&gt;"SI","",Registro_Compras!$G428)</f>
        <v/>
      </c>
      <c r="F428" s="31">
        <f>IF(Registro_Compras!$R428&lt;&gt;"SI","",Registro_Compras!$P428)</f>
        <v/>
      </c>
      <c r="G428" s="20">
        <f>IF(Registro_Compras!$R428&lt;&gt;"SI","",Registro_Compras!$O428)</f>
        <v/>
      </c>
      <c r="H428" s="20">
        <f>IF(Registro_Compras!$R428&lt;&gt;"SI","",Registro_Compras!$S428)</f>
        <v/>
      </c>
      <c r="I428" s="25">
        <f>IF(Registro_Compras!$R428&lt;&gt;"SI","",IF(Registro_Compras!$Y428="",WORKDAY(EOMONTH(Registro_Compras!$B428,0),5,Feriados),MIN(Registro_Compras!$Y428,WORKDAY(EOMONTH(Registro_Compras!$B428,0),5,Feriados))))</f>
        <v/>
      </c>
      <c r="J428" s="25">
        <f>IF(Registro_Compras!$R428&lt;&gt;"SI","",Registro_Compras!$X428)</f>
        <v/>
      </c>
      <c r="K428">
        <f>IF(Registro_Compras!$R428&lt;&gt;"SI","",IF(Registro_Compras!$X428="","PENDIENTE","DEPOSITADA"))</f>
        <v/>
      </c>
      <c r="L428">
        <f>IF(Registro_Compras!$R428&lt;&gt;"SI","",Registro_Compras!$Z428)</f>
        <v/>
      </c>
      <c r="M428">
        <f>IF($K428&lt;&gt;"PENDIENTE","",IF(TODAY()&gt;$I428,TODAY()-$I428,0))</f>
        <v/>
      </c>
      <c r="N428">
        <f>IF($K428&lt;&gt;"PENDIENTE","",IF($M428&gt;0,"VENCIDA - DEPOSITAR YA",IF($I428-TODAY()&lt;=3,"POR VENCER","EN PLAZO")))</f>
        <v/>
      </c>
    </row>
    <row r="429">
      <c r="A429" s="25">
        <f>IF(Registro_Compras!$R429&lt;&gt;"SI","",Registro_Compras!$B429)</f>
        <v/>
      </c>
      <c r="B429">
        <f>IF(Registro_Compras!$R429&lt;&gt;"SI","",Registro_Compras!$C429)</f>
        <v/>
      </c>
      <c r="C429">
        <f>IF(Registro_Compras!$R429&lt;&gt;"SI","",Registro_Compras!$D429)</f>
        <v/>
      </c>
      <c r="D429">
        <f>IF(Registro_Compras!$R429&lt;&gt;"SI","",Registro_Compras!$E429)</f>
        <v/>
      </c>
      <c r="E429">
        <f>IF(Registro_Compras!$R429&lt;&gt;"SI","",Registro_Compras!$G429)</f>
        <v/>
      </c>
      <c r="F429" s="31">
        <f>IF(Registro_Compras!$R429&lt;&gt;"SI","",Registro_Compras!$P429)</f>
        <v/>
      </c>
      <c r="G429" s="20">
        <f>IF(Registro_Compras!$R429&lt;&gt;"SI","",Registro_Compras!$O429)</f>
        <v/>
      </c>
      <c r="H429" s="20">
        <f>IF(Registro_Compras!$R429&lt;&gt;"SI","",Registro_Compras!$S429)</f>
        <v/>
      </c>
      <c r="I429" s="25">
        <f>IF(Registro_Compras!$R429&lt;&gt;"SI","",IF(Registro_Compras!$Y429="",WORKDAY(EOMONTH(Registro_Compras!$B429,0),5,Feriados),MIN(Registro_Compras!$Y429,WORKDAY(EOMONTH(Registro_Compras!$B429,0),5,Feriados))))</f>
        <v/>
      </c>
      <c r="J429" s="25">
        <f>IF(Registro_Compras!$R429&lt;&gt;"SI","",Registro_Compras!$X429)</f>
        <v/>
      </c>
      <c r="K429">
        <f>IF(Registro_Compras!$R429&lt;&gt;"SI","",IF(Registro_Compras!$X429="","PENDIENTE","DEPOSITADA"))</f>
        <v/>
      </c>
      <c r="L429">
        <f>IF(Registro_Compras!$R429&lt;&gt;"SI","",Registro_Compras!$Z429)</f>
        <v/>
      </c>
      <c r="M429">
        <f>IF($K429&lt;&gt;"PENDIENTE","",IF(TODAY()&gt;$I429,TODAY()-$I429,0))</f>
        <v/>
      </c>
      <c r="N429">
        <f>IF($K429&lt;&gt;"PENDIENTE","",IF($M429&gt;0,"VENCIDA - DEPOSITAR YA",IF($I429-TODAY()&lt;=3,"POR VENCER","EN PLAZO")))</f>
        <v/>
      </c>
    </row>
    <row r="430">
      <c r="A430" s="25">
        <f>IF(Registro_Compras!$R430&lt;&gt;"SI","",Registro_Compras!$B430)</f>
        <v/>
      </c>
      <c r="B430">
        <f>IF(Registro_Compras!$R430&lt;&gt;"SI","",Registro_Compras!$C430)</f>
        <v/>
      </c>
      <c r="C430">
        <f>IF(Registro_Compras!$R430&lt;&gt;"SI","",Registro_Compras!$D430)</f>
        <v/>
      </c>
      <c r="D430">
        <f>IF(Registro_Compras!$R430&lt;&gt;"SI","",Registro_Compras!$E430)</f>
        <v/>
      </c>
      <c r="E430">
        <f>IF(Registro_Compras!$R430&lt;&gt;"SI","",Registro_Compras!$G430)</f>
        <v/>
      </c>
      <c r="F430" s="31">
        <f>IF(Registro_Compras!$R430&lt;&gt;"SI","",Registro_Compras!$P430)</f>
        <v/>
      </c>
      <c r="G430" s="20">
        <f>IF(Registro_Compras!$R430&lt;&gt;"SI","",Registro_Compras!$O430)</f>
        <v/>
      </c>
      <c r="H430" s="20">
        <f>IF(Registro_Compras!$R430&lt;&gt;"SI","",Registro_Compras!$S430)</f>
        <v/>
      </c>
      <c r="I430" s="25">
        <f>IF(Registro_Compras!$R430&lt;&gt;"SI","",IF(Registro_Compras!$Y430="",WORKDAY(EOMONTH(Registro_Compras!$B430,0),5,Feriados),MIN(Registro_Compras!$Y430,WORKDAY(EOMONTH(Registro_Compras!$B430,0),5,Feriados))))</f>
        <v/>
      </c>
      <c r="J430" s="25">
        <f>IF(Registro_Compras!$R430&lt;&gt;"SI","",Registro_Compras!$X430)</f>
        <v/>
      </c>
      <c r="K430">
        <f>IF(Registro_Compras!$R430&lt;&gt;"SI","",IF(Registro_Compras!$X430="","PENDIENTE","DEPOSITADA"))</f>
        <v/>
      </c>
      <c r="L430">
        <f>IF(Registro_Compras!$R430&lt;&gt;"SI","",Registro_Compras!$Z430)</f>
        <v/>
      </c>
      <c r="M430">
        <f>IF($K430&lt;&gt;"PENDIENTE","",IF(TODAY()&gt;$I430,TODAY()-$I430,0))</f>
        <v/>
      </c>
      <c r="N430">
        <f>IF($K430&lt;&gt;"PENDIENTE","",IF($M430&gt;0,"VENCIDA - DEPOSITAR YA",IF($I430-TODAY()&lt;=3,"POR VENCER","EN PLAZO")))</f>
        <v/>
      </c>
    </row>
    <row r="431">
      <c r="A431" s="25">
        <f>IF(Registro_Compras!$R431&lt;&gt;"SI","",Registro_Compras!$B431)</f>
        <v/>
      </c>
      <c r="B431">
        <f>IF(Registro_Compras!$R431&lt;&gt;"SI","",Registro_Compras!$C431)</f>
        <v/>
      </c>
      <c r="C431">
        <f>IF(Registro_Compras!$R431&lt;&gt;"SI","",Registro_Compras!$D431)</f>
        <v/>
      </c>
      <c r="D431">
        <f>IF(Registro_Compras!$R431&lt;&gt;"SI","",Registro_Compras!$E431)</f>
        <v/>
      </c>
      <c r="E431">
        <f>IF(Registro_Compras!$R431&lt;&gt;"SI","",Registro_Compras!$G431)</f>
        <v/>
      </c>
      <c r="F431" s="31">
        <f>IF(Registro_Compras!$R431&lt;&gt;"SI","",Registro_Compras!$P431)</f>
        <v/>
      </c>
      <c r="G431" s="20">
        <f>IF(Registro_Compras!$R431&lt;&gt;"SI","",Registro_Compras!$O431)</f>
        <v/>
      </c>
      <c r="H431" s="20">
        <f>IF(Registro_Compras!$R431&lt;&gt;"SI","",Registro_Compras!$S431)</f>
        <v/>
      </c>
      <c r="I431" s="25">
        <f>IF(Registro_Compras!$R431&lt;&gt;"SI","",IF(Registro_Compras!$Y431="",WORKDAY(EOMONTH(Registro_Compras!$B431,0),5,Feriados),MIN(Registro_Compras!$Y431,WORKDAY(EOMONTH(Registro_Compras!$B431,0),5,Feriados))))</f>
        <v/>
      </c>
      <c r="J431" s="25">
        <f>IF(Registro_Compras!$R431&lt;&gt;"SI","",Registro_Compras!$X431)</f>
        <v/>
      </c>
      <c r="K431">
        <f>IF(Registro_Compras!$R431&lt;&gt;"SI","",IF(Registro_Compras!$X431="","PENDIENTE","DEPOSITADA"))</f>
        <v/>
      </c>
      <c r="L431">
        <f>IF(Registro_Compras!$R431&lt;&gt;"SI","",Registro_Compras!$Z431)</f>
        <v/>
      </c>
      <c r="M431">
        <f>IF($K431&lt;&gt;"PENDIENTE","",IF(TODAY()&gt;$I431,TODAY()-$I431,0))</f>
        <v/>
      </c>
      <c r="N431">
        <f>IF($K431&lt;&gt;"PENDIENTE","",IF($M431&gt;0,"VENCIDA - DEPOSITAR YA",IF($I431-TODAY()&lt;=3,"POR VENCER","EN PLAZO")))</f>
        <v/>
      </c>
    </row>
    <row r="432">
      <c r="A432" s="25">
        <f>IF(Registro_Compras!$R432&lt;&gt;"SI","",Registro_Compras!$B432)</f>
        <v/>
      </c>
      <c r="B432">
        <f>IF(Registro_Compras!$R432&lt;&gt;"SI","",Registro_Compras!$C432)</f>
        <v/>
      </c>
      <c r="C432">
        <f>IF(Registro_Compras!$R432&lt;&gt;"SI","",Registro_Compras!$D432)</f>
        <v/>
      </c>
      <c r="D432">
        <f>IF(Registro_Compras!$R432&lt;&gt;"SI","",Registro_Compras!$E432)</f>
        <v/>
      </c>
      <c r="E432">
        <f>IF(Registro_Compras!$R432&lt;&gt;"SI","",Registro_Compras!$G432)</f>
        <v/>
      </c>
      <c r="F432" s="31">
        <f>IF(Registro_Compras!$R432&lt;&gt;"SI","",Registro_Compras!$P432)</f>
        <v/>
      </c>
      <c r="G432" s="20">
        <f>IF(Registro_Compras!$R432&lt;&gt;"SI","",Registro_Compras!$O432)</f>
        <v/>
      </c>
      <c r="H432" s="20">
        <f>IF(Registro_Compras!$R432&lt;&gt;"SI","",Registro_Compras!$S432)</f>
        <v/>
      </c>
      <c r="I432" s="25">
        <f>IF(Registro_Compras!$R432&lt;&gt;"SI","",IF(Registro_Compras!$Y432="",WORKDAY(EOMONTH(Registro_Compras!$B432,0),5,Feriados),MIN(Registro_Compras!$Y432,WORKDAY(EOMONTH(Registro_Compras!$B432,0),5,Feriados))))</f>
        <v/>
      </c>
      <c r="J432" s="25">
        <f>IF(Registro_Compras!$R432&lt;&gt;"SI","",Registro_Compras!$X432)</f>
        <v/>
      </c>
      <c r="K432">
        <f>IF(Registro_Compras!$R432&lt;&gt;"SI","",IF(Registro_Compras!$X432="","PENDIENTE","DEPOSITADA"))</f>
        <v/>
      </c>
      <c r="L432">
        <f>IF(Registro_Compras!$R432&lt;&gt;"SI","",Registro_Compras!$Z432)</f>
        <v/>
      </c>
      <c r="M432">
        <f>IF($K432&lt;&gt;"PENDIENTE","",IF(TODAY()&gt;$I432,TODAY()-$I432,0))</f>
        <v/>
      </c>
      <c r="N432">
        <f>IF($K432&lt;&gt;"PENDIENTE","",IF($M432&gt;0,"VENCIDA - DEPOSITAR YA",IF($I432-TODAY()&lt;=3,"POR VENCER","EN PLAZO")))</f>
        <v/>
      </c>
    </row>
    <row r="433">
      <c r="A433" s="25">
        <f>IF(Registro_Compras!$R433&lt;&gt;"SI","",Registro_Compras!$B433)</f>
        <v/>
      </c>
      <c r="B433">
        <f>IF(Registro_Compras!$R433&lt;&gt;"SI","",Registro_Compras!$C433)</f>
        <v/>
      </c>
      <c r="C433">
        <f>IF(Registro_Compras!$R433&lt;&gt;"SI","",Registro_Compras!$D433)</f>
        <v/>
      </c>
      <c r="D433">
        <f>IF(Registro_Compras!$R433&lt;&gt;"SI","",Registro_Compras!$E433)</f>
        <v/>
      </c>
      <c r="E433">
        <f>IF(Registro_Compras!$R433&lt;&gt;"SI","",Registro_Compras!$G433)</f>
        <v/>
      </c>
      <c r="F433" s="31">
        <f>IF(Registro_Compras!$R433&lt;&gt;"SI","",Registro_Compras!$P433)</f>
        <v/>
      </c>
      <c r="G433" s="20">
        <f>IF(Registro_Compras!$R433&lt;&gt;"SI","",Registro_Compras!$O433)</f>
        <v/>
      </c>
      <c r="H433" s="20">
        <f>IF(Registro_Compras!$R433&lt;&gt;"SI","",Registro_Compras!$S433)</f>
        <v/>
      </c>
      <c r="I433" s="25">
        <f>IF(Registro_Compras!$R433&lt;&gt;"SI","",IF(Registro_Compras!$Y433="",WORKDAY(EOMONTH(Registro_Compras!$B433,0),5,Feriados),MIN(Registro_Compras!$Y433,WORKDAY(EOMONTH(Registro_Compras!$B433,0),5,Feriados))))</f>
        <v/>
      </c>
      <c r="J433" s="25">
        <f>IF(Registro_Compras!$R433&lt;&gt;"SI","",Registro_Compras!$X433)</f>
        <v/>
      </c>
      <c r="K433">
        <f>IF(Registro_Compras!$R433&lt;&gt;"SI","",IF(Registro_Compras!$X433="","PENDIENTE","DEPOSITADA"))</f>
        <v/>
      </c>
      <c r="L433">
        <f>IF(Registro_Compras!$R433&lt;&gt;"SI","",Registro_Compras!$Z433)</f>
        <v/>
      </c>
      <c r="M433">
        <f>IF($K433&lt;&gt;"PENDIENTE","",IF(TODAY()&gt;$I433,TODAY()-$I433,0))</f>
        <v/>
      </c>
      <c r="N433">
        <f>IF($K433&lt;&gt;"PENDIENTE","",IF($M433&gt;0,"VENCIDA - DEPOSITAR YA",IF($I433-TODAY()&lt;=3,"POR VENCER","EN PLAZO")))</f>
        <v/>
      </c>
    </row>
    <row r="434">
      <c r="A434" s="25">
        <f>IF(Registro_Compras!$R434&lt;&gt;"SI","",Registro_Compras!$B434)</f>
        <v/>
      </c>
      <c r="B434">
        <f>IF(Registro_Compras!$R434&lt;&gt;"SI","",Registro_Compras!$C434)</f>
        <v/>
      </c>
      <c r="C434">
        <f>IF(Registro_Compras!$R434&lt;&gt;"SI","",Registro_Compras!$D434)</f>
        <v/>
      </c>
      <c r="D434">
        <f>IF(Registro_Compras!$R434&lt;&gt;"SI","",Registro_Compras!$E434)</f>
        <v/>
      </c>
      <c r="E434">
        <f>IF(Registro_Compras!$R434&lt;&gt;"SI","",Registro_Compras!$G434)</f>
        <v/>
      </c>
      <c r="F434" s="31">
        <f>IF(Registro_Compras!$R434&lt;&gt;"SI","",Registro_Compras!$P434)</f>
        <v/>
      </c>
      <c r="G434" s="20">
        <f>IF(Registro_Compras!$R434&lt;&gt;"SI","",Registro_Compras!$O434)</f>
        <v/>
      </c>
      <c r="H434" s="20">
        <f>IF(Registro_Compras!$R434&lt;&gt;"SI","",Registro_Compras!$S434)</f>
        <v/>
      </c>
      <c r="I434" s="25">
        <f>IF(Registro_Compras!$R434&lt;&gt;"SI","",IF(Registro_Compras!$Y434="",WORKDAY(EOMONTH(Registro_Compras!$B434,0),5,Feriados),MIN(Registro_Compras!$Y434,WORKDAY(EOMONTH(Registro_Compras!$B434,0),5,Feriados))))</f>
        <v/>
      </c>
      <c r="J434" s="25">
        <f>IF(Registro_Compras!$R434&lt;&gt;"SI","",Registro_Compras!$X434)</f>
        <v/>
      </c>
      <c r="K434">
        <f>IF(Registro_Compras!$R434&lt;&gt;"SI","",IF(Registro_Compras!$X434="","PENDIENTE","DEPOSITADA"))</f>
        <v/>
      </c>
      <c r="L434">
        <f>IF(Registro_Compras!$R434&lt;&gt;"SI","",Registro_Compras!$Z434)</f>
        <v/>
      </c>
      <c r="M434">
        <f>IF($K434&lt;&gt;"PENDIENTE","",IF(TODAY()&gt;$I434,TODAY()-$I434,0))</f>
        <v/>
      </c>
      <c r="N434">
        <f>IF($K434&lt;&gt;"PENDIENTE","",IF($M434&gt;0,"VENCIDA - DEPOSITAR YA",IF($I434-TODAY()&lt;=3,"POR VENCER","EN PLAZO")))</f>
        <v/>
      </c>
    </row>
    <row r="435">
      <c r="A435" s="25">
        <f>IF(Registro_Compras!$R435&lt;&gt;"SI","",Registro_Compras!$B435)</f>
        <v/>
      </c>
      <c r="B435">
        <f>IF(Registro_Compras!$R435&lt;&gt;"SI","",Registro_Compras!$C435)</f>
        <v/>
      </c>
      <c r="C435">
        <f>IF(Registro_Compras!$R435&lt;&gt;"SI","",Registro_Compras!$D435)</f>
        <v/>
      </c>
      <c r="D435">
        <f>IF(Registro_Compras!$R435&lt;&gt;"SI","",Registro_Compras!$E435)</f>
        <v/>
      </c>
      <c r="E435">
        <f>IF(Registro_Compras!$R435&lt;&gt;"SI","",Registro_Compras!$G435)</f>
        <v/>
      </c>
      <c r="F435" s="31">
        <f>IF(Registro_Compras!$R435&lt;&gt;"SI","",Registro_Compras!$P435)</f>
        <v/>
      </c>
      <c r="G435" s="20">
        <f>IF(Registro_Compras!$R435&lt;&gt;"SI","",Registro_Compras!$O435)</f>
        <v/>
      </c>
      <c r="H435" s="20">
        <f>IF(Registro_Compras!$R435&lt;&gt;"SI","",Registro_Compras!$S435)</f>
        <v/>
      </c>
      <c r="I435" s="25">
        <f>IF(Registro_Compras!$R435&lt;&gt;"SI","",IF(Registro_Compras!$Y435="",WORKDAY(EOMONTH(Registro_Compras!$B435,0),5,Feriados),MIN(Registro_Compras!$Y435,WORKDAY(EOMONTH(Registro_Compras!$B435,0),5,Feriados))))</f>
        <v/>
      </c>
      <c r="J435" s="25">
        <f>IF(Registro_Compras!$R435&lt;&gt;"SI","",Registro_Compras!$X435)</f>
        <v/>
      </c>
      <c r="K435">
        <f>IF(Registro_Compras!$R435&lt;&gt;"SI","",IF(Registro_Compras!$X435="","PENDIENTE","DEPOSITADA"))</f>
        <v/>
      </c>
      <c r="L435">
        <f>IF(Registro_Compras!$R435&lt;&gt;"SI","",Registro_Compras!$Z435)</f>
        <v/>
      </c>
      <c r="M435">
        <f>IF($K435&lt;&gt;"PENDIENTE","",IF(TODAY()&gt;$I435,TODAY()-$I435,0))</f>
        <v/>
      </c>
      <c r="N435">
        <f>IF($K435&lt;&gt;"PENDIENTE","",IF($M435&gt;0,"VENCIDA - DEPOSITAR YA",IF($I435-TODAY()&lt;=3,"POR VENCER","EN PLAZO")))</f>
        <v/>
      </c>
    </row>
    <row r="436">
      <c r="A436" s="25">
        <f>IF(Registro_Compras!$R436&lt;&gt;"SI","",Registro_Compras!$B436)</f>
        <v/>
      </c>
      <c r="B436">
        <f>IF(Registro_Compras!$R436&lt;&gt;"SI","",Registro_Compras!$C436)</f>
        <v/>
      </c>
      <c r="C436">
        <f>IF(Registro_Compras!$R436&lt;&gt;"SI","",Registro_Compras!$D436)</f>
        <v/>
      </c>
      <c r="D436">
        <f>IF(Registro_Compras!$R436&lt;&gt;"SI","",Registro_Compras!$E436)</f>
        <v/>
      </c>
      <c r="E436">
        <f>IF(Registro_Compras!$R436&lt;&gt;"SI","",Registro_Compras!$G436)</f>
        <v/>
      </c>
      <c r="F436" s="31">
        <f>IF(Registro_Compras!$R436&lt;&gt;"SI","",Registro_Compras!$P436)</f>
        <v/>
      </c>
      <c r="G436" s="20">
        <f>IF(Registro_Compras!$R436&lt;&gt;"SI","",Registro_Compras!$O436)</f>
        <v/>
      </c>
      <c r="H436" s="20">
        <f>IF(Registro_Compras!$R436&lt;&gt;"SI","",Registro_Compras!$S436)</f>
        <v/>
      </c>
      <c r="I436" s="25">
        <f>IF(Registro_Compras!$R436&lt;&gt;"SI","",IF(Registro_Compras!$Y436="",WORKDAY(EOMONTH(Registro_Compras!$B436,0),5,Feriados),MIN(Registro_Compras!$Y436,WORKDAY(EOMONTH(Registro_Compras!$B436,0),5,Feriados))))</f>
        <v/>
      </c>
      <c r="J436" s="25">
        <f>IF(Registro_Compras!$R436&lt;&gt;"SI","",Registro_Compras!$X436)</f>
        <v/>
      </c>
      <c r="K436">
        <f>IF(Registro_Compras!$R436&lt;&gt;"SI","",IF(Registro_Compras!$X436="","PENDIENTE","DEPOSITADA"))</f>
        <v/>
      </c>
      <c r="L436">
        <f>IF(Registro_Compras!$R436&lt;&gt;"SI","",Registro_Compras!$Z436)</f>
        <v/>
      </c>
      <c r="M436">
        <f>IF($K436&lt;&gt;"PENDIENTE","",IF(TODAY()&gt;$I436,TODAY()-$I436,0))</f>
        <v/>
      </c>
      <c r="N436">
        <f>IF($K436&lt;&gt;"PENDIENTE","",IF($M436&gt;0,"VENCIDA - DEPOSITAR YA",IF($I436-TODAY()&lt;=3,"POR VENCER","EN PLAZO")))</f>
        <v/>
      </c>
    </row>
    <row r="437">
      <c r="A437" s="25">
        <f>IF(Registro_Compras!$R437&lt;&gt;"SI","",Registro_Compras!$B437)</f>
        <v/>
      </c>
      <c r="B437">
        <f>IF(Registro_Compras!$R437&lt;&gt;"SI","",Registro_Compras!$C437)</f>
        <v/>
      </c>
      <c r="C437">
        <f>IF(Registro_Compras!$R437&lt;&gt;"SI","",Registro_Compras!$D437)</f>
        <v/>
      </c>
      <c r="D437">
        <f>IF(Registro_Compras!$R437&lt;&gt;"SI","",Registro_Compras!$E437)</f>
        <v/>
      </c>
      <c r="E437">
        <f>IF(Registro_Compras!$R437&lt;&gt;"SI","",Registro_Compras!$G437)</f>
        <v/>
      </c>
      <c r="F437" s="31">
        <f>IF(Registro_Compras!$R437&lt;&gt;"SI","",Registro_Compras!$P437)</f>
        <v/>
      </c>
      <c r="G437" s="20">
        <f>IF(Registro_Compras!$R437&lt;&gt;"SI","",Registro_Compras!$O437)</f>
        <v/>
      </c>
      <c r="H437" s="20">
        <f>IF(Registro_Compras!$R437&lt;&gt;"SI","",Registro_Compras!$S437)</f>
        <v/>
      </c>
      <c r="I437" s="25">
        <f>IF(Registro_Compras!$R437&lt;&gt;"SI","",IF(Registro_Compras!$Y437="",WORKDAY(EOMONTH(Registro_Compras!$B437,0),5,Feriados),MIN(Registro_Compras!$Y437,WORKDAY(EOMONTH(Registro_Compras!$B437,0),5,Feriados))))</f>
        <v/>
      </c>
      <c r="J437" s="25">
        <f>IF(Registro_Compras!$R437&lt;&gt;"SI","",Registro_Compras!$X437)</f>
        <v/>
      </c>
      <c r="K437">
        <f>IF(Registro_Compras!$R437&lt;&gt;"SI","",IF(Registro_Compras!$X437="","PENDIENTE","DEPOSITADA"))</f>
        <v/>
      </c>
      <c r="L437">
        <f>IF(Registro_Compras!$R437&lt;&gt;"SI","",Registro_Compras!$Z437)</f>
        <v/>
      </c>
      <c r="M437">
        <f>IF($K437&lt;&gt;"PENDIENTE","",IF(TODAY()&gt;$I437,TODAY()-$I437,0))</f>
        <v/>
      </c>
      <c r="N437">
        <f>IF($K437&lt;&gt;"PENDIENTE","",IF($M437&gt;0,"VENCIDA - DEPOSITAR YA",IF($I437-TODAY()&lt;=3,"POR VENCER","EN PLAZO")))</f>
        <v/>
      </c>
    </row>
    <row r="438">
      <c r="A438" s="25">
        <f>IF(Registro_Compras!$R438&lt;&gt;"SI","",Registro_Compras!$B438)</f>
        <v/>
      </c>
      <c r="B438">
        <f>IF(Registro_Compras!$R438&lt;&gt;"SI","",Registro_Compras!$C438)</f>
        <v/>
      </c>
      <c r="C438">
        <f>IF(Registro_Compras!$R438&lt;&gt;"SI","",Registro_Compras!$D438)</f>
        <v/>
      </c>
      <c r="D438">
        <f>IF(Registro_Compras!$R438&lt;&gt;"SI","",Registro_Compras!$E438)</f>
        <v/>
      </c>
      <c r="E438">
        <f>IF(Registro_Compras!$R438&lt;&gt;"SI","",Registro_Compras!$G438)</f>
        <v/>
      </c>
      <c r="F438" s="31">
        <f>IF(Registro_Compras!$R438&lt;&gt;"SI","",Registro_Compras!$P438)</f>
        <v/>
      </c>
      <c r="G438" s="20">
        <f>IF(Registro_Compras!$R438&lt;&gt;"SI","",Registro_Compras!$O438)</f>
        <v/>
      </c>
      <c r="H438" s="20">
        <f>IF(Registro_Compras!$R438&lt;&gt;"SI","",Registro_Compras!$S438)</f>
        <v/>
      </c>
      <c r="I438" s="25">
        <f>IF(Registro_Compras!$R438&lt;&gt;"SI","",IF(Registro_Compras!$Y438="",WORKDAY(EOMONTH(Registro_Compras!$B438,0),5,Feriados),MIN(Registro_Compras!$Y438,WORKDAY(EOMONTH(Registro_Compras!$B438,0),5,Feriados))))</f>
        <v/>
      </c>
      <c r="J438" s="25">
        <f>IF(Registro_Compras!$R438&lt;&gt;"SI","",Registro_Compras!$X438)</f>
        <v/>
      </c>
      <c r="K438">
        <f>IF(Registro_Compras!$R438&lt;&gt;"SI","",IF(Registro_Compras!$X438="","PENDIENTE","DEPOSITADA"))</f>
        <v/>
      </c>
      <c r="L438">
        <f>IF(Registro_Compras!$R438&lt;&gt;"SI","",Registro_Compras!$Z438)</f>
        <v/>
      </c>
      <c r="M438">
        <f>IF($K438&lt;&gt;"PENDIENTE","",IF(TODAY()&gt;$I438,TODAY()-$I438,0))</f>
        <v/>
      </c>
      <c r="N438">
        <f>IF($K438&lt;&gt;"PENDIENTE","",IF($M438&gt;0,"VENCIDA - DEPOSITAR YA",IF($I438-TODAY()&lt;=3,"POR VENCER","EN PLAZO")))</f>
        <v/>
      </c>
    </row>
    <row r="439">
      <c r="A439" s="25">
        <f>IF(Registro_Compras!$R439&lt;&gt;"SI","",Registro_Compras!$B439)</f>
        <v/>
      </c>
      <c r="B439">
        <f>IF(Registro_Compras!$R439&lt;&gt;"SI","",Registro_Compras!$C439)</f>
        <v/>
      </c>
      <c r="C439">
        <f>IF(Registro_Compras!$R439&lt;&gt;"SI","",Registro_Compras!$D439)</f>
        <v/>
      </c>
      <c r="D439">
        <f>IF(Registro_Compras!$R439&lt;&gt;"SI","",Registro_Compras!$E439)</f>
        <v/>
      </c>
      <c r="E439">
        <f>IF(Registro_Compras!$R439&lt;&gt;"SI","",Registro_Compras!$G439)</f>
        <v/>
      </c>
      <c r="F439" s="31">
        <f>IF(Registro_Compras!$R439&lt;&gt;"SI","",Registro_Compras!$P439)</f>
        <v/>
      </c>
      <c r="G439" s="20">
        <f>IF(Registro_Compras!$R439&lt;&gt;"SI","",Registro_Compras!$O439)</f>
        <v/>
      </c>
      <c r="H439" s="20">
        <f>IF(Registro_Compras!$R439&lt;&gt;"SI","",Registro_Compras!$S439)</f>
        <v/>
      </c>
      <c r="I439" s="25">
        <f>IF(Registro_Compras!$R439&lt;&gt;"SI","",IF(Registro_Compras!$Y439="",WORKDAY(EOMONTH(Registro_Compras!$B439,0),5,Feriados),MIN(Registro_Compras!$Y439,WORKDAY(EOMONTH(Registro_Compras!$B439,0),5,Feriados))))</f>
        <v/>
      </c>
      <c r="J439" s="25">
        <f>IF(Registro_Compras!$R439&lt;&gt;"SI","",Registro_Compras!$X439)</f>
        <v/>
      </c>
      <c r="K439">
        <f>IF(Registro_Compras!$R439&lt;&gt;"SI","",IF(Registro_Compras!$X439="","PENDIENTE","DEPOSITADA"))</f>
        <v/>
      </c>
      <c r="L439">
        <f>IF(Registro_Compras!$R439&lt;&gt;"SI","",Registro_Compras!$Z439)</f>
        <v/>
      </c>
      <c r="M439">
        <f>IF($K439&lt;&gt;"PENDIENTE","",IF(TODAY()&gt;$I439,TODAY()-$I439,0))</f>
        <v/>
      </c>
      <c r="N439">
        <f>IF($K439&lt;&gt;"PENDIENTE","",IF($M439&gt;0,"VENCIDA - DEPOSITAR YA",IF($I439-TODAY()&lt;=3,"POR VENCER","EN PLAZO")))</f>
        <v/>
      </c>
    </row>
    <row r="440">
      <c r="A440" s="25">
        <f>IF(Registro_Compras!$R440&lt;&gt;"SI","",Registro_Compras!$B440)</f>
        <v/>
      </c>
      <c r="B440">
        <f>IF(Registro_Compras!$R440&lt;&gt;"SI","",Registro_Compras!$C440)</f>
        <v/>
      </c>
      <c r="C440">
        <f>IF(Registro_Compras!$R440&lt;&gt;"SI","",Registro_Compras!$D440)</f>
        <v/>
      </c>
      <c r="D440">
        <f>IF(Registro_Compras!$R440&lt;&gt;"SI","",Registro_Compras!$E440)</f>
        <v/>
      </c>
      <c r="E440">
        <f>IF(Registro_Compras!$R440&lt;&gt;"SI","",Registro_Compras!$G440)</f>
        <v/>
      </c>
      <c r="F440" s="31">
        <f>IF(Registro_Compras!$R440&lt;&gt;"SI","",Registro_Compras!$P440)</f>
        <v/>
      </c>
      <c r="G440" s="20">
        <f>IF(Registro_Compras!$R440&lt;&gt;"SI","",Registro_Compras!$O440)</f>
        <v/>
      </c>
      <c r="H440" s="20">
        <f>IF(Registro_Compras!$R440&lt;&gt;"SI","",Registro_Compras!$S440)</f>
        <v/>
      </c>
      <c r="I440" s="25">
        <f>IF(Registro_Compras!$R440&lt;&gt;"SI","",IF(Registro_Compras!$Y440="",WORKDAY(EOMONTH(Registro_Compras!$B440,0),5,Feriados),MIN(Registro_Compras!$Y440,WORKDAY(EOMONTH(Registro_Compras!$B440,0),5,Feriados))))</f>
        <v/>
      </c>
      <c r="J440" s="25">
        <f>IF(Registro_Compras!$R440&lt;&gt;"SI","",Registro_Compras!$X440)</f>
        <v/>
      </c>
      <c r="K440">
        <f>IF(Registro_Compras!$R440&lt;&gt;"SI","",IF(Registro_Compras!$X440="","PENDIENTE","DEPOSITADA"))</f>
        <v/>
      </c>
      <c r="L440">
        <f>IF(Registro_Compras!$R440&lt;&gt;"SI","",Registro_Compras!$Z440)</f>
        <v/>
      </c>
      <c r="M440">
        <f>IF($K440&lt;&gt;"PENDIENTE","",IF(TODAY()&gt;$I440,TODAY()-$I440,0))</f>
        <v/>
      </c>
      <c r="N440">
        <f>IF($K440&lt;&gt;"PENDIENTE","",IF($M440&gt;0,"VENCIDA - DEPOSITAR YA",IF($I440-TODAY()&lt;=3,"POR VENCER","EN PLAZO")))</f>
        <v/>
      </c>
    </row>
    <row r="441">
      <c r="A441" s="25">
        <f>IF(Registro_Compras!$R441&lt;&gt;"SI","",Registro_Compras!$B441)</f>
        <v/>
      </c>
      <c r="B441">
        <f>IF(Registro_Compras!$R441&lt;&gt;"SI","",Registro_Compras!$C441)</f>
        <v/>
      </c>
      <c r="C441">
        <f>IF(Registro_Compras!$R441&lt;&gt;"SI","",Registro_Compras!$D441)</f>
        <v/>
      </c>
      <c r="D441">
        <f>IF(Registro_Compras!$R441&lt;&gt;"SI","",Registro_Compras!$E441)</f>
        <v/>
      </c>
      <c r="E441">
        <f>IF(Registro_Compras!$R441&lt;&gt;"SI","",Registro_Compras!$G441)</f>
        <v/>
      </c>
      <c r="F441" s="31">
        <f>IF(Registro_Compras!$R441&lt;&gt;"SI","",Registro_Compras!$P441)</f>
        <v/>
      </c>
      <c r="G441" s="20">
        <f>IF(Registro_Compras!$R441&lt;&gt;"SI","",Registro_Compras!$O441)</f>
        <v/>
      </c>
      <c r="H441" s="20">
        <f>IF(Registro_Compras!$R441&lt;&gt;"SI","",Registro_Compras!$S441)</f>
        <v/>
      </c>
      <c r="I441" s="25">
        <f>IF(Registro_Compras!$R441&lt;&gt;"SI","",IF(Registro_Compras!$Y441="",WORKDAY(EOMONTH(Registro_Compras!$B441,0),5,Feriados),MIN(Registro_Compras!$Y441,WORKDAY(EOMONTH(Registro_Compras!$B441,0),5,Feriados))))</f>
        <v/>
      </c>
      <c r="J441" s="25">
        <f>IF(Registro_Compras!$R441&lt;&gt;"SI","",Registro_Compras!$X441)</f>
        <v/>
      </c>
      <c r="K441">
        <f>IF(Registro_Compras!$R441&lt;&gt;"SI","",IF(Registro_Compras!$X441="","PENDIENTE","DEPOSITADA"))</f>
        <v/>
      </c>
      <c r="L441">
        <f>IF(Registro_Compras!$R441&lt;&gt;"SI","",Registro_Compras!$Z441)</f>
        <v/>
      </c>
      <c r="M441">
        <f>IF($K441&lt;&gt;"PENDIENTE","",IF(TODAY()&gt;$I441,TODAY()-$I441,0))</f>
        <v/>
      </c>
      <c r="N441">
        <f>IF($K441&lt;&gt;"PENDIENTE","",IF($M441&gt;0,"VENCIDA - DEPOSITAR YA",IF($I441-TODAY()&lt;=3,"POR VENCER","EN PLAZO")))</f>
        <v/>
      </c>
    </row>
    <row r="442">
      <c r="A442" s="25">
        <f>IF(Registro_Compras!$R442&lt;&gt;"SI","",Registro_Compras!$B442)</f>
        <v/>
      </c>
      <c r="B442">
        <f>IF(Registro_Compras!$R442&lt;&gt;"SI","",Registro_Compras!$C442)</f>
        <v/>
      </c>
      <c r="C442">
        <f>IF(Registro_Compras!$R442&lt;&gt;"SI","",Registro_Compras!$D442)</f>
        <v/>
      </c>
      <c r="D442">
        <f>IF(Registro_Compras!$R442&lt;&gt;"SI","",Registro_Compras!$E442)</f>
        <v/>
      </c>
      <c r="E442">
        <f>IF(Registro_Compras!$R442&lt;&gt;"SI","",Registro_Compras!$G442)</f>
        <v/>
      </c>
      <c r="F442" s="31">
        <f>IF(Registro_Compras!$R442&lt;&gt;"SI","",Registro_Compras!$P442)</f>
        <v/>
      </c>
      <c r="G442" s="20">
        <f>IF(Registro_Compras!$R442&lt;&gt;"SI","",Registro_Compras!$O442)</f>
        <v/>
      </c>
      <c r="H442" s="20">
        <f>IF(Registro_Compras!$R442&lt;&gt;"SI","",Registro_Compras!$S442)</f>
        <v/>
      </c>
      <c r="I442" s="25">
        <f>IF(Registro_Compras!$R442&lt;&gt;"SI","",IF(Registro_Compras!$Y442="",WORKDAY(EOMONTH(Registro_Compras!$B442,0),5,Feriados),MIN(Registro_Compras!$Y442,WORKDAY(EOMONTH(Registro_Compras!$B442,0),5,Feriados))))</f>
        <v/>
      </c>
      <c r="J442" s="25">
        <f>IF(Registro_Compras!$R442&lt;&gt;"SI","",Registro_Compras!$X442)</f>
        <v/>
      </c>
      <c r="K442">
        <f>IF(Registro_Compras!$R442&lt;&gt;"SI","",IF(Registro_Compras!$X442="","PENDIENTE","DEPOSITADA"))</f>
        <v/>
      </c>
      <c r="L442">
        <f>IF(Registro_Compras!$R442&lt;&gt;"SI","",Registro_Compras!$Z442)</f>
        <v/>
      </c>
      <c r="M442">
        <f>IF($K442&lt;&gt;"PENDIENTE","",IF(TODAY()&gt;$I442,TODAY()-$I442,0))</f>
        <v/>
      </c>
      <c r="N442">
        <f>IF($K442&lt;&gt;"PENDIENTE","",IF($M442&gt;0,"VENCIDA - DEPOSITAR YA",IF($I442-TODAY()&lt;=3,"POR VENCER","EN PLAZO")))</f>
        <v/>
      </c>
    </row>
    <row r="443">
      <c r="A443" s="25">
        <f>IF(Registro_Compras!$R443&lt;&gt;"SI","",Registro_Compras!$B443)</f>
        <v/>
      </c>
      <c r="B443">
        <f>IF(Registro_Compras!$R443&lt;&gt;"SI","",Registro_Compras!$C443)</f>
        <v/>
      </c>
      <c r="C443">
        <f>IF(Registro_Compras!$R443&lt;&gt;"SI","",Registro_Compras!$D443)</f>
        <v/>
      </c>
      <c r="D443">
        <f>IF(Registro_Compras!$R443&lt;&gt;"SI","",Registro_Compras!$E443)</f>
        <v/>
      </c>
      <c r="E443">
        <f>IF(Registro_Compras!$R443&lt;&gt;"SI","",Registro_Compras!$G443)</f>
        <v/>
      </c>
      <c r="F443" s="31">
        <f>IF(Registro_Compras!$R443&lt;&gt;"SI","",Registro_Compras!$P443)</f>
        <v/>
      </c>
      <c r="G443" s="20">
        <f>IF(Registro_Compras!$R443&lt;&gt;"SI","",Registro_Compras!$O443)</f>
        <v/>
      </c>
      <c r="H443" s="20">
        <f>IF(Registro_Compras!$R443&lt;&gt;"SI","",Registro_Compras!$S443)</f>
        <v/>
      </c>
      <c r="I443" s="25">
        <f>IF(Registro_Compras!$R443&lt;&gt;"SI","",IF(Registro_Compras!$Y443="",WORKDAY(EOMONTH(Registro_Compras!$B443,0),5,Feriados),MIN(Registro_Compras!$Y443,WORKDAY(EOMONTH(Registro_Compras!$B443,0),5,Feriados))))</f>
        <v/>
      </c>
      <c r="J443" s="25">
        <f>IF(Registro_Compras!$R443&lt;&gt;"SI","",Registro_Compras!$X443)</f>
        <v/>
      </c>
      <c r="K443">
        <f>IF(Registro_Compras!$R443&lt;&gt;"SI","",IF(Registro_Compras!$X443="","PENDIENTE","DEPOSITADA"))</f>
        <v/>
      </c>
      <c r="L443">
        <f>IF(Registro_Compras!$R443&lt;&gt;"SI","",Registro_Compras!$Z443)</f>
        <v/>
      </c>
      <c r="M443">
        <f>IF($K443&lt;&gt;"PENDIENTE","",IF(TODAY()&gt;$I443,TODAY()-$I443,0))</f>
        <v/>
      </c>
      <c r="N443">
        <f>IF($K443&lt;&gt;"PENDIENTE","",IF($M443&gt;0,"VENCIDA - DEPOSITAR YA",IF($I443-TODAY()&lt;=3,"POR VENCER","EN PLAZO")))</f>
        <v/>
      </c>
    </row>
    <row r="444">
      <c r="A444" s="25">
        <f>IF(Registro_Compras!$R444&lt;&gt;"SI","",Registro_Compras!$B444)</f>
        <v/>
      </c>
      <c r="B444">
        <f>IF(Registro_Compras!$R444&lt;&gt;"SI","",Registro_Compras!$C444)</f>
        <v/>
      </c>
      <c r="C444">
        <f>IF(Registro_Compras!$R444&lt;&gt;"SI","",Registro_Compras!$D444)</f>
        <v/>
      </c>
      <c r="D444">
        <f>IF(Registro_Compras!$R444&lt;&gt;"SI","",Registro_Compras!$E444)</f>
        <v/>
      </c>
      <c r="E444">
        <f>IF(Registro_Compras!$R444&lt;&gt;"SI","",Registro_Compras!$G444)</f>
        <v/>
      </c>
      <c r="F444" s="31">
        <f>IF(Registro_Compras!$R444&lt;&gt;"SI","",Registro_Compras!$P444)</f>
        <v/>
      </c>
      <c r="G444" s="20">
        <f>IF(Registro_Compras!$R444&lt;&gt;"SI","",Registro_Compras!$O444)</f>
        <v/>
      </c>
      <c r="H444" s="20">
        <f>IF(Registro_Compras!$R444&lt;&gt;"SI","",Registro_Compras!$S444)</f>
        <v/>
      </c>
      <c r="I444" s="25">
        <f>IF(Registro_Compras!$R444&lt;&gt;"SI","",IF(Registro_Compras!$Y444="",WORKDAY(EOMONTH(Registro_Compras!$B444,0),5,Feriados),MIN(Registro_Compras!$Y444,WORKDAY(EOMONTH(Registro_Compras!$B444,0),5,Feriados))))</f>
        <v/>
      </c>
      <c r="J444" s="25">
        <f>IF(Registro_Compras!$R444&lt;&gt;"SI","",Registro_Compras!$X444)</f>
        <v/>
      </c>
      <c r="K444">
        <f>IF(Registro_Compras!$R444&lt;&gt;"SI","",IF(Registro_Compras!$X444="","PENDIENTE","DEPOSITADA"))</f>
        <v/>
      </c>
      <c r="L444">
        <f>IF(Registro_Compras!$R444&lt;&gt;"SI","",Registro_Compras!$Z444)</f>
        <v/>
      </c>
      <c r="M444">
        <f>IF($K444&lt;&gt;"PENDIENTE","",IF(TODAY()&gt;$I444,TODAY()-$I444,0))</f>
        <v/>
      </c>
      <c r="N444">
        <f>IF($K444&lt;&gt;"PENDIENTE","",IF($M444&gt;0,"VENCIDA - DEPOSITAR YA",IF($I444-TODAY()&lt;=3,"POR VENCER","EN PLAZO")))</f>
        <v/>
      </c>
    </row>
    <row r="445">
      <c r="A445" s="25">
        <f>IF(Registro_Compras!$R445&lt;&gt;"SI","",Registro_Compras!$B445)</f>
        <v/>
      </c>
      <c r="B445">
        <f>IF(Registro_Compras!$R445&lt;&gt;"SI","",Registro_Compras!$C445)</f>
        <v/>
      </c>
      <c r="C445">
        <f>IF(Registro_Compras!$R445&lt;&gt;"SI","",Registro_Compras!$D445)</f>
        <v/>
      </c>
      <c r="D445">
        <f>IF(Registro_Compras!$R445&lt;&gt;"SI","",Registro_Compras!$E445)</f>
        <v/>
      </c>
      <c r="E445">
        <f>IF(Registro_Compras!$R445&lt;&gt;"SI","",Registro_Compras!$G445)</f>
        <v/>
      </c>
      <c r="F445" s="31">
        <f>IF(Registro_Compras!$R445&lt;&gt;"SI","",Registro_Compras!$P445)</f>
        <v/>
      </c>
      <c r="G445" s="20">
        <f>IF(Registro_Compras!$R445&lt;&gt;"SI","",Registro_Compras!$O445)</f>
        <v/>
      </c>
      <c r="H445" s="20">
        <f>IF(Registro_Compras!$R445&lt;&gt;"SI","",Registro_Compras!$S445)</f>
        <v/>
      </c>
      <c r="I445" s="25">
        <f>IF(Registro_Compras!$R445&lt;&gt;"SI","",IF(Registro_Compras!$Y445="",WORKDAY(EOMONTH(Registro_Compras!$B445,0),5,Feriados),MIN(Registro_Compras!$Y445,WORKDAY(EOMONTH(Registro_Compras!$B445,0),5,Feriados))))</f>
        <v/>
      </c>
      <c r="J445" s="25">
        <f>IF(Registro_Compras!$R445&lt;&gt;"SI","",Registro_Compras!$X445)</f>
        <v/>
      </c>
      <c r="K445">
        <f>IF(Registro_Compras!$R445&lt;&gt;"SI","",IF(Registro_Compras!$X445="","PENDIENTE","DEPOSITADA"))</f>
        <v/>
      </c>
      <c r="L445">
        <f>IF(Registro_Compras!$R445&lt;&gt;"SI","",Registro_Compras!$Z445)</f>
        <v/>
      </c>
      <c r="M445">
        <f>IF($K445&lt;&gt;"PENDIENTE","",IF(TODAY()&gt;$I445,TODAY()-$I445,0))</f>
        <v/>
      </c>
      <c r="N445">
        <f>IF($K445&lt;&gt;"PENDIENTE","",IF($M445&gt;0,"VENCIDA - DEPOSITAR YA",IF($I445-TODAY()&lt;=3,"POR VENCER","EN PLAZO")))</f>
        <v/>
      </c>
    </row>
    <row r="446">
      <c r="A446" s="25">
        <f>IF(Registro_Compras!$R446&lt;&gt;"SI","",Registro_Compras!$B446)</f>
        <v/>
      </c>
      <c r="B446">
        <f>IF(Registro_Compras!$R446&lt;&gt;"SI","",Registro_Compras!$C446)</f>
        <v/>
      </c>
      <c r="C446">
        <f>IF(Registro_Compras!$R446&lt;&gt;"SI","",Registro_Compras!$D446)</f>
        <v/>
      </c>
      <c r="D446">
        <f>IF(Registro_Compras!$R446&lt;&gt;"SI","",Registro_Compras!$E446)</f>
        <v/>
      </c>
      <c r="E446">
        <f>IF(Registro_Compras!$R446&lt;&gt;"SI","",Registro_Compras!$G446)</f>
        <v/>
      </c>
      <c r="F446" s="31">
        <f>IF(Registro_Compras!$R446&lt;&gt;"SI","",Registro_Compras!$P446)</f>
        <v/>
      </c>
      <c r="G446" s="20">
        <f>IF(Registro_Compras!$R446&lt;&gt;"SI","",Registro_Compras!$O446)</f>
        <v/>
      </c>
      <c r="H446" s="20">
        <f>IF(Registro_Compras!$R446&lt;&gt;"SI","",Registro_Compras!$S446)</f>
        <v/>
      </c>
      <c r="I446" s="25">
        <f>IF(Registro_Compras!$R446&lt;&gt;"SI","",IF(Registro_Compras!$Y446="",WORKDAY(EOMONTH(Registro_Compras!$B446,0),5,Feriados),MIN(Registro_Compras!$Y446,WORKDAY(EOMONTH(Registro_Compras!$B446,0),5,Feriados))))</f>
        <v/>
      </c>
      <c r="J446" s="25">
        <f>IF(Registro_Compras!$R446&lt;&gt;"SI","",Registro_Compras!$X446)</f>
        <v/>
      </c>
      <c r="K446">
        <f>IF(Registro_Compras!$R446&lt;&gt;"SI","",IF(Registro_Compras!$X446="","PENDIENTE","DEPOSITADA"))</f>
        <v/>
      </c>
      <c r="L446">
        <f>IF(Registro_Compras!$R446&lt;&gt;"SI","",Registro_Compras!$Z446)</f>
        <v/>
      </c>
      <c r="M446">
        <f>IF($K446&lt;&gt;"PENDIENTE","",IF(TODAY()&gt;$I446,TODAY()-$I446,0))</f>
        <v/>
      </c>
      <c r="N446">
        <f>IF($K446&lt;&gt;"PENDIENTE","",IF($M446&gt;0,"VENCIDA - DEPOSITAR YA",IF($I446-TODAY()&lt;=3,"POR VENCER","EN PLAZO")))</f>
        <v/>
      </c>
    </row>
    <row r="447">
      <c r="A447" s="25">
        <f>IF(Registro_Compras!$R447&lt;&gt;"SI","",Registro_Compras!$B447)</f>
        <v/>
      </c>
      <c r="B447">
        <f>IF(Registro_Compras!$R447&lt;&gt;"SI","",Registro_Compras!$C447)</f>
        <v/>
      </c>
      <c r="C447">
        <f>IF(Registro_Compras!$R447&lt;&gt;"SI","",Registro_Compras!$D447)</f>
        <v/>
      </c>
      <c r="D447">
        <f>IF(Registro_Compras!$R447&lt;&gt;"SI","",Registro_Compras!$E447)</f>
        <v/>
      </c>
      <c r="E447">
        <f>IF(Registro_Compras!$R447&lt;&gt;"SI","",Registro_Compras!$G447)</f>
        <v/>
      </c>
      <c r="F447" s="31">
        <f>IF(Registro_Compras!$R447&lt;&gt;"SI","",Registro_Compras!$P447)</f>
        <v/>
      </c>
      <c r="G447" s="20">
        <f>IF(Registro_Compras!$R447&lt;&gt;"SI","",Registro_Compras!$O447)</f>
        <v/>
      </c>
      <c r="H447" s="20">
        <f>IF(Registro_Compras!$R447&lt;&gt;"SI","",Registro_Compras!$S447)</f>
        <v/>
      </c>
      <c r="I447" s="25">
        <f>IF(Registro_Compras!$R447&lt;&gt;"SI","",IF(Registro_Compras!$Y447="",WORKDAY(EOMONTH(Registro_Compras!$B447,0),5,Feriados),MIN(Registro_Compras!$Y447,WORKDAY(EOMONTH(Registro_Compras!$B447,0),5,Feriados))))</f>
        <v/>
      </c>
      <c r="J447" s="25">
        <f>IF(Registro_Compras!$R447&lt;&gt;"SI","",Registro_Compras!$X447)</f>
        <v/>
      </c>
      <c r="K447">
        <f>IF(Registro_Compras!$R447&lt;&gt;"SI","",IF(Registro_Compras!$X447="","PENDIENTE","DEPOSITADA"))</f>
        <v/>
      </c>
      <c r="L447">
        <f>IF(Registro_Compras!$R447&lt;&gt;"SI","",Registro_Compras!$Z447)</f>
        <v/>
      </c>
      <c r="M447">
        <f>IF($K447&lt;&gt;"PENDIENTE","",IF(TODAY()&gt;$I447,TODAY()-$I447,0))</f>
        <v/>
      </c>
      <c r="N447">
        <f>IF($K447&lt;&gt;"PENDIENTE","",IF($M447&gt;0,"VENCIDA - DEPOSITAR YA",IF($I447-TODAY()&lt;=3,"POR VENCER","EN PLAZO")))</f>
        <v/>
      </c>
    </row>
    <row r="448">
      <c r="A448" s="25">
        <f>IF(Registro_Compras!$R448&lt;&gt;"SI","",Registro_Compras!$B448)</f>
        <v/>
      </c>
      <c r="B448">
        <f>IF(Registro_Compras!$R448&lt;&gt;"SI","",Registro_Compras!$C448)</f>
        <v/>
      </c>
      <c r="C448">
        <f>IF(Registro_Compras!$R448&lt;&gt;"SI","",Registro_Compras!$D448)</f>
        <v/>
      </c>
      <c r="D448">
        <f>IF(Registro_Compras!$R448&lt;&gt;"SI","",Registro_Compras!$E448)</f>
        <v/>
      </c>
      <c r="E448">
        <f>IF(Registro_Compras!$R448&lt;&gt;"SI","",Registro_Compras!$G448)</f>
        <v/>
      </c>
      <c r="F448" s="31">
        <f>IF(Registro_Compras!$R448&lt;&gt;"SI","",Registro_Compras!$P448)</f>
        <v/>
      </c>
      <c r="G448" s="20">
        <f>IF(Registro_Compras!$R448&lt;&gt;"SI","",Registro_Compras!$O448)</f>
        <v/>
      </c>
      <c r="H448" s="20">
        <f>IF(Registro_Compras!$R448&lt;&gt;"SI","",Registro_Compras!$S448)</f>
        <v/>
      </c>
      <c r="I448" s="25">
        <f>IF(Registro_Compras!$R448&lt;&gt;"SI","",IF(Registro_Compras!$Y448="",WORKDAY(EOMONTH(Registro_Compras!$B448,0),5,Feriados),MIN(Registro_Compras!$Y448,WORKDAY(EOMONTH(Registro_Compras!$B448,0),5,Feriados))))</f>
        <v/>
      </c>
      <c r="J448" s="25">
        <f>IF(Registro_Compras!$R448&lt;&gt;"SI","",Registro_Compras!$X448)</f>
        <v/>
      </c>
      <c r="K448">
        <f>IF(Registro_Compras!$R448&lt;&gt;"SI","",IF(Registro_Compras!$X448="","PENDIENTE","DEPOSITADA"))</f>
        <v/>
      </c>
      <c r="L448">
        <f>IF(Registro_Compras!$R448&lt;&gt;"SI","",Registro_Compras!$Z448)</f>
        <v/>
      </c>
      <c r="M448">
        <f>IF($K448&lt;&gt;"PENDIENTE","",IF(TODAY()&gt;$I448,TODAY()-$I448,0))</f>
        <v/>
      </c>
      <c r="N448">
        <f>IF($K448&lt;&gt;"PENDIENTE","",IF($M448&gt;0,"VENCIDA - DEPOSITAR YA",IF($I448-TODAY()&lt;=3,"POR VENCER","EN PLAZO")))</f>
        <v/>
      </c>
    </row>
    <row r="449">
      <c r="A449" s="25">
        <f>IF(Registro_Compras!$R449&lt;&gt;"SI","",Registro_Compras!$B449)</f>
        <v/>
      </c>
      <c r="B449">
        <f>IF(Registro_Compras!$R449&lt;&gt;"SI","",Registro_Compras!$C449)</f>
        <v/>
      </c>
      <c r="C449">
        <f>IF(Registro_Compras!$R449&lt;&gt;"SI","",Registro_Compras!$D449)</f>
        <v/>
      </c>
      <c r="D449">
        <f>IF(Registro_Compras!$R449&lt;&gt;"SI","",Registro_Compras!$E449)</f>
        <v/>
      </c>
      <c r="E449">
        <f>IF(Registro_Compras!$R449&lt;&gt;"SI","",Registro_Compras!$G449)</f>
        <v/>
      </c>
      <c r="F449" s="31">
        <f>IF(Registro_Compras!$R449&lt;&gt;"SI","",Registro_Compras!$P449)</f>
        <v/>
      </c>
      <c r="G449" s="20">
        <f>IF(Registro_Compras!$R449&lt;&gt;"SI","",Registro_Compras!$O449)</f>
        <v/>
      </c>
      <c r="H449" s="20">
        <f>IF(Registro_Compras!$R449&lt;&gt;"SI","",Registro_Compras!$S449)</f>
        <v/>
      </c>
      <c r="I449" s="25">
        <f>IF(Registro_Compras!$R449&lt;&gt;"SI","",IF(Registro_Compras!$Y449="",WORKDAY(EOMONTH(Registro_Compras!$B449,0),5,Feriados),MIN(Registro_Compras!$Y449,WORKDAY(EOMONTH(Registro_Compras!$B449,0),5,Feriados))))</f>
        <v/>
      </c>
      <c r="J449" s="25">
        <f>IF(Registro_Compras!$R449&lt;&gt;"SI","",Registro_Compras!$X449)</f>
        <v/>
      </c>
      <c r="K449">
        <f>IF(Registro_Compras!$R449&lt;&gt;"SI","",IF(Registro_Compras!$X449="","PENDIENTE","DEPOSITADA"))</f>
        <v/>
      </c>
      <c r="L449">
        <f>IF(Registro_Compras!$R449&lt;&gt;"SI","",Registro_Compras!$Z449)</f>
        <v/>
      </c>
      <c r="M449">
        <f>IF($K449&lt;&gt;"PENDIENTE","",IF(TODAY()&gt;$I449,TODAY()-$I449,0))</f>
        <v/>
      </c>
      <c r="N449">
        <f>IF($K449&lt;&gt;"PENDIENTE","",IF($M449&gt;0,"VENCIDA - DEPOSITAR YA",IF($I449-TODAY()&lt;=3,"POR VENCER","EN PLAZO")))</f>
        <v/>
      </c>
    </row>
    <row r="450">
      <c r="A450" s="25">
        <f>IF(Registro_Compras!$R450&lt;&gt;"SI","",Registro_Compras!$B450)</f>
        <v/>
      </c>
      <c r="B450">
        <f>IF(Registro_Compras!$R450&lt;&gt;"SI","",Registro_Compras!$C450)</f>
        <v/>
      </c>
      <c r="C450">
        <f>IF(Registro_Compras!$R450&lt;&gt;"SI","",Registro_Compras!$D450)</f>
        <v/>
      </c>
      <c r="D450">
        <f>IF(Registro_Compras!$R450&lt;&gt;"SI","",Registro_Compras!$E450)</f>
        <v/>
      </c>
      <c r="E450">
        <f>IF(Registro_Compras!$R450&lt;&gt;"SI","",Registro_Compras!$G450)</f>
        <v/>
      </c>
      <c r="F450" s="31">
        <f>IF(Registro_Compras!$R450&lt;&gt;"SI","",Registro_Compras!$P450)</f>
        <v/>
      </c>
      <c r="G450" s="20">
        <f>IF(Registro_Compras!$R450&lt;&gt;"SI","",Registro_Compras!$O450)</f>
        <v/>
      </c>
      <c r="H450" s="20">
        <f>IF(Registro_Compras!$R450&lt;&gt;"SI","",Registro_Compras!$S450)</f>
        <v/>
      </c>
      <c r="I450" s="25">
        <f>IF(Registro_Compras!$R450&lt;&gt;"SI","",IF(Registro_Compras!$Y450="",WORKDAY(EOMONTH(Registro_Compras!$B450,0),5,Feriados),MIN(Registro_Compras!$Y450,WORKDAY(EOMONTH(Registro_Compras!$B450,0),5,Feriados))))</f>
        <v/>
      </c>
      <c r="J450" s="25">
        <f>IF(Registro_Compras!$R450&lt;&gt;"SI","",Registro_Compras!$X450)</f>
        <v/>
      </c>
      <c r="K450">
        <f>IF(Registro_Compras!$R450&lt;&gt;"SI","",IF(Registro_Compras!$X450="","PENDIENTE","DEPOSITADA"))</f>
        <v/>
      </c>
      <c r="L450">
        <f>IF(Registro_Compras!$R450&lt;&gt;"SI","",Registro_Compras!$Z450)</f>
        <v/>
      </c>
      <c r="M450">
        <f>IF($K450&lt;&gt;"PENDIENTE","",IF(TODAY()&gt;$I450,TODAY()-$I450,0))</f>
        <v/>
      </c>
      <c r="N450">
        <f>IF($K450&lt;&gt;"PENDIENTE","",IF($M450&gt;0,"VENCIDA - DEPOSITAR YA",IF($I450-TODAY()&lt;=3,"POR VENCER","EN PLAZO")))</f>
        <v/>
      </c>
    </row>
    <row r="451">
      <c r="A451" s="25">
        <f>IF(Registro_Compras!$R451&lt;&gt;"SI","",Registro_Compras!$B451)</f>
        <v/>
      </c>
      <c r="B451">
        <f>IF(Registro_Compras!$R451&lt;&gt;"SI","",Registro_Compras!$C451)</f>
        <v/>
      </c>
      <c r="C451">
        <f>IF(Registro_Compras!$R451&lt;&gt;"SI","",Registro_Compras!$D451)</f>
        <v/>
      </c>
      <c r="D451">
        <f>IF(Registro_Compras!$R451&lt;&gt;"SI","",Registro_Compras!$E451)</f>
        <v/>
      </c>
      <c r="E451">
        <f>IF(Registro_Compras!$R451&lt;&gt;"SI","",Registro_Compras!$G451)</f>
        <v/>
      </c>
      <c r="F451" s="31">
        <f>IF(Registro_Compras!$R451&lt;&gt;"SI","",Registro_Compras!$P451)</f>
        <v/>
      </c>
      <c r="G451" s="20">
        <f>IF(Registro_Compras!$R451&lt;&gt;"SI","",Registro_Compras!$O451)</f>
        <v/>
      </c>
      <c r="H451" s="20">
        <f>IF(Registro_Compras!$R451&lt;&gt;"SI","",Registro_Compras!$S451)</f>
        <v/>
      </c>
      <c r="I451" s="25">
        <f>IF(Registro_Compras!$R451&lt;&gt;"SI","",IF(Registro_Compras!$Y451="",WORKDAY(EOMONTH(Registro_Compras!$B451,0),5,Feriados),MIN(Registro_Compras!$Y451,WORKDAY(EOMONTH(Registro_Compras!$B451,0),5,Feriados))))</f>
        <v/>
      </c>
      <c r="J451" s="25">
        <f>IF(Registro_Compras!$R451&lt;&gt;"SI","",Registro_Compras!$X451)</f>
        <v/>
      </c>
      <c r="K451">
        <f>IF(Registro_Compras!$R451&lt;&gt;"SI","",IF(Registro_Compras!$X451="","PENDIENTE","DEPOSITADA"))</f>
        <v/>
      </c>
      <c r="L451">
        <f>IF(Registro_Compras!$R451&lt;&gt;"SI","",Registro_Compras!$Z451)</f>
        <v/>
      </c>
      <c r="M451">
        <f>IF($K451&lt;&gt;"PENDIENTE","",IF(TODAY()&gt;$I451,TODAY()-$I451,0))</f>
        <v/>
      </c>
      <c r="N451">
        <f>IF($K451&lt;&gt;"PENDIENTE","",IF($M451&gt;0,"VENCIDA - DEPOSITAR YA",IF($I451-TODAY()&lt;=3,"POR VENCER","EN PLAZO")))</f>
        <v/>
      </c>
    </row>
    <row r="452">
      <c r="A452" s="25">
        <f>IF(Registro_Compras!$R452&lt;&gt;"SI","",Registro_Compras!$B452)</f>
        <v/>
      </c>
      <c r="B452">
        <f>IF(Registro_Compras!$R452&lt;&gt;"SI","",Registro_Compras!$C452)</f>
        <v/>
      </c>
      <c r="C452">
        <f>IF(Registro_Compras!$R452&lt;&gt;"SI","",Registro_Compras!$D452)</f>
        <v/>
      </c>
      <c r="D452">
        <f>IF(Registro_Compras!$R452&lt;&gt;"SI","",Registro_Compras!$E452)</f>
        <v/>
      </c>
      <c r="E452">
        <f>IF(Registro_Compras!$R452&lt;&gt;"SI","",Registro_Compras!$G452)</f>
        <v/>
      </c>
      <c r="F452" s="31">
        <f>IF(Registro_Compras!$R452&lt;&gt;"SI","",Registro_Compras!$P452)</f>
        <v/>
      </c>
      <c r="G452" s="20">
        <f>IF(Registro_Compras!$R452&lt;&gt;"SI","",Registro_Compras!$O452)</f>
        <v/>
      </c>
      <c r="H452" s="20">
        <f>IF(Registro_Compras!$R452&lt;&gt;"SI","",Registro_Compras!$S452)</f>
        <v/>
      </c>
      <c r="I452" s="25">
        <f>IF(Registro_Compras!$R452&lt;&gt;"SI","",IF(Registro_Compras!$Y452="",WORKDAY(EOMONTH(Registro_Compras!$B452,0),5,Feriados),MIN(Registro_Compras!$Y452,WORKDAY(EOMONTH(Registro_Compras!$B452,0),5,Feriados))))</f>
        <v/>
      </c>
      <c r="J452" s="25">
        <f>IF(Registro_Compras!$R452&lt;&gt;"SI","",Registro_Compras!$X452)</f>
        <v/>
      </c>
      <c r="K452">
        <f>IF(Registro_Compras!$R452&lt;&gt;"SI","",IF(Registro_Compras!$X452="","PENDIENTE","DEPOSITADA"))</f>
        <v/>
      </c>
      <c r="L452">
        <f>IF(Registro_Compras!$R452&lt;&gt;"SI","",Registro_Compras!$Z452)</f>
        <v/>
      </c>
      <c r="M452">
        <f>IF($K452&lt;&gt;"PENDIENTE","",IF(TODAY()&gt;$I452,TODAY()-$I452,0))</f>
        <v/>
      </c>
      <c r="N452">
        <f>IF($K452&lt;&gt;"PENDIENTE","",IF($M452&gt;0,"VENCIDA - DEPOSITAR YA",IF($I452-TODAY()&lt;=3,"POR VENCER","EN PLAZO")))</f>
        <v/>
      </c>
    </row>
    <row r="453">
      <c r="A453" s="25">
        <f>IF(Registro_Compras!$R453&lt;&gt;"SI","",Registro_Compras!$B453)</f>
        <v/>
      </c>
      <c r="B453">
        <f>IF(Registro_Compras!$R453&lt;&gt;"SI","",Registro_Compras!$C453)</f>
        <v/>
      </c>
      <c r="C453">
        <f>IF(Registro_Compras!$R453&lt;&gt;"SI","",Registro_Compras!$D453)</f>
        <v/>
      </c>
      <c r="D453">
        <f>IF(Registro_Compras!$R453&lt;&gt;"SI","",Registro_Compras!$E453)</f>
        <v/>
      </c>
      <c r="E453">
        <f>IF(Registro_Compras!$R453&lt;&gt;"SI","",Registro_Compras!$G453)</f>
        <v/>
      </c>
      <c r="F453" s="31">
        <f>IF(Registro_Compras!$R453&lt;&gt;"SI","",Registro_Compras!$P453)</f>
        <v/>
      </c>
      <c r="G453" s="20">
        <f>IF(Registro_Compras!$R453&lt;&gt;"SI","",Registro_Compras!$O453)</f>
        <v/>
      </c>
      <c r="H453" s="20">
        <f>IF(Registro_Compras!$R453&lt;&gt;"SI","",Registro_Compras!$S453)</f>
        <v/>
      </c>
      <c r="I453" s="25">
        <f>IF(Registro_Compras!$R453&lt;&gt;"SI","",IF(Registro_Compras!$Y453="",WORKDAY(EOMONTH(Registro_Compras!$B453,0),5,Feriados),MIN(Registro_Compras!$Y453,WORKDAY(EOMONTH(Registro_Compras!$B453,0),5,Feriados))))</f>
        <v/>
      </c>
      <c r="J453" s="25">
        <f>IF(Registro_Compras!$R453&lt;&gt;"SI","",Registro_Compras!$X453)</f>
        <v/>
      </c>
      <c r="K453">
        <f>IF(Registro_Compras!$R453&lt;&gt;"SI","",IF(Registro_Compras!$X453="","PENDIENTE","DEPOSITADA"))</f>
        <v/>
      </c>
      <c r="L453">
        <f>IF(Registro_Compras!$R453&lt;&gt;"SI","",Registro_Compras!$Z453)</f>
        <v/>
      </c>
      <c r="M453">
        <f>IF($K453&lt;&gt;"PENDIENTE","",IF(TODAY()&gt;$I453,TODAY()-$I453,0))</f>
        <v/>
      </c>
      <c r="N453">
        <f>IF($K453&lt;&gt;"PENDIENTE","",IF($M453&gt;0,"VENCIDA - DEPOSITAR YA",IF($I453-TODAY()&lt;=3,"POR VENCER","EN PLAZO")))</f>
        <v/>
      </c>
    </row>
    <row r="454">
      <c r="A454" s="25">
        <f>IF(Registro_Compras!$R454&lt;&gt;"SI","",Registro_Compras!$B454)</f>
        <v/>
      </c>
      <c r="B454">
        <f>IF(Registro_Compras!$R454&lt;&gt;"SI","",Registro_Compras!$C454)</f>
        <v/>
      </c>
      <c r="C454">
        <f>IF(Registro_Compras!$R454&lt;&gt;"SI","",Registro_Compras!$D454)</f>
        <v/>
      </c>
      <c r="D454">
        <f>IF(Registro_Compras!$R454&lt;&gt;"SI","",Registro_Compras!$E454)</f>
        <v/>
      </c>
      <c r="E454">
        <f>IF(Registro_Compras!$R454&lt;&gt;"SI","",Registro_Compras!$G454)</f>
        <v/>
      </c>
      <c r="F454" s="31">
        <f>IF(Registro_Compras!$R454&lt;&gt;"SI","",Registro_Compras!$P454)</f>
        <v/>
      </c>
      <c r="G454" s="20">
        <f>IF(Registro_Compras!$R454&lt;&gt;"SI","",Registro_Compras!$O454)</f>
        <v/>
      </c>
      <c r="H454" s="20">
        <f>IF(Registro_Compras!$R454&lt;&gt;"SI","",Registro_Compras!$S454)</f>
        <v/>
      </c>
      <c r="I454" s="25">
        <f>IF(Registro_Compras!$R454&lt;&gt;"SI","",IF(Registro_Compras!$Y454="",WORKDAY(EOMONTH(Registro_Compras!$B454,0),5,Feriados),MIN(Registro_Compras!$Y454,WORKDAY(EOMONTH(Registro_Compras!$B454,0),5,Feriados))))</f>
        <v/>
      </c>
      <c r="J454" s="25">
        <f>IF(Registro_Compras!$R454&lt;&gt;"SI","",Registro_Compras!$X454)</f>
        <v/>
      </c>
      <c r="K454">
        <f>IF(Registro_Compras!$R454&lt;&gt;"SI","",IF(Registro_Compras!$X454="","PENDIENTE","DEPOSITADA"))</f>
        <v/>
      </c>
      <c r="L454">
        <f>IF(Registro_Compras!$R454&lt;&gt;"SI","",Registro_Compras!$Z454)</f>
        <v/>
      </c>
      <c r="M454">
        <f>IF($K454&lt;&gt;"PENDIENTE","",IF(TODAY()&gt;$I454,TODAY()-$I454,0))</f>
        <v/>
      </c>
      <c r="N454">
        <f>IF($K454&lt;&gt;"PENDIENTE","",IF($M454&gt;0,"VENCIDA - DEPOSITAR YA",IF($I454-TODAY()&lt;=3,"POR VENCER","EN PLAZO")))</f>
        <v/>
      </c>
    </row>
    <row r="455">
      <c r="A455" s="25">
        <f>IF(Registro_Compras!$R455&lt;&gt;"SI","",Registro_Compras!$B455)</f>
        <v/>
      </c>
      <c r="B455">
        <f>IF(Registro_Compras!$R455&lt;&gt;"SI","",Registro_Compras!$C455)</f>
        <v/>
      </c>
      <c r="C455">
        <f>IF(Registro_Compras!$R455&lt;&gt;"SI","",Registro_Compras!$D455)</f>
        <v/>
      </c>
      <c r="D455">
        <f>IF(Registro_Compras!$R455&lt;&gt;"SI","",Registro_Compras!$E455)</f>
        <v/>
      </c>
      <c r="E455">
        <f>IF(Registro_Compras!$R455&lt;&gt;"SI","",Registro_Compras!$G455)</f>
        <v/>
      </c>
      <c r="F455" s="31">
        <f>IF(Registro_Compras!$R455&lt;&gt;"SI","",Registro_Compras!$P455)</f>
        <v/>
      </c>
      <c r="G455" s="20">
        <f>IF(Registro_Compras!$R455&lt;&gt;"SI","",Registro_Compras!$O455)</f>
        <v/>
      </c>
      <c r="H455" s="20">
        <f>IF(Registro_Compras!$R455&lt;&gt;"SI","",Registro_Compras!$S455)</f>
        <v/>
      </c>
      <c r="I455" s="25">
        <f>IF(Registro_Compras!$R455&lt;&gt;"SI","",IF(Registro_Compras!$Y455="",WORKDAY(EOMONTH(Registro_Compras!$B455,0),5,Feriados),MIN(Registro_Compras!$Y455,WORKDAY(EOMONTH(Registro_Compras!$B455,0),5,Feriados))))</f>
        <v/>
      </c>
      <c r="J455" s="25">
        <f>IF(Registro_Compras!$R455&lt;&gt;"SI","",Registro_Compras!$X455)</f>
        <v/>
      </c>
      <c r="K455">
        <f>IF(Registro_Compras!$R455&lt;&gt;"SI","",IF(Registro_Compras!$X455="","PENDIENTE","DEPOSITADA"))</f>
        <v/>
      </c>
      <c r="L455">
        <f>IF(Registro_Compras!$R455&lt;&gt;"SI","",Registro_Compras!$Z455)</f>
        <v/>
      </c>
      <c r="M455">
        <f>IF($K455&lt;&gt;"PENDIENTE","",IF(TODAY()&gt;$I455,TODAY()-$I455,0))</f>
        <v/>
      </c>
      <c r="N455">
        <f>IF($K455&lt;&gt;"PENDIENTE","",IF($M455&gt;0,"VENCIDA - DEPOSITAR YA",IF($I455-TODAY()&lt;=3,"POR VENCER","EN PLAZO")))</f>
        <v/>
      </c>
    </row>
    <row r="456">
      <c r="A456" s="25">
        <f>IF(Registro_Compras!$R456&lt;&gt;"SI","",Registro_Compras!$B456)</f>
        <v/>
      </c>
      <c r="B456">
        <f>IF(Registro_Compras!$R456&lt;&gt;"SI","",Registro_Compras!$C456)</f>
        <v/>
      </c>
      <c r="C456">
        <f>IF(Registro_Compras!$R456&lt;&gt;"SI","",Registro_Compras!$D456)</f>
        <v/>
      </c>
      <c r="D456">
        <f>IF(Registro_Compras!$R456&lt;&gt;"SI","",Registro_Compras!$E456)</f>
        <v/>
      </c>
      <c r="E456">
        <f>IF(Registro_Compras!$R456&lt;&gt;"SI","",Registro_Compras!$G456)</f>
        <v/>
      </c>
      <c r="F456" s="31">
        <f>IF(Registro_Compras!$R456&lt;&gt;"SI","",Registro_Compras!$P456)</f>
        <v/>
      </c>
      <c r="G456" s="20">
        <f>IF(Registro_Compras!$R456&lt;&gt;"SI","",Registro_Compras!$O456)</f>
        <v/>
      </c>
      <c r="H456" s="20">
        <f>IF(Registro_Compras!$R456&lt;&gt;"SI","",Registro_Compras!$S456)</f>
        <v/>
      </c>
      <c r="I456" s="25">
        <f>IF(Registro_Compras!$R456&lt;&gt;"SI","",IF(Registro_Compras!$Y456="",WORKDAY(EOMONTH(Registro_Compras!$B456,0),5,Feriados),MIN(Registro_Compras!$Y456,WORKDAY(EOMONTH(Registro_Compras!$B456,0),5,Feriados))))</f>
        <v/>
      </c>
      <c r="J456" s="25">
        <f>IF(Registro_Compras!$R456&lt;&gt;"SI","",Registro_Compras!$X456)</f>
        <v/>
      </c>
      <c r="K456">
        <f>IF(Registro_Compras!$R456&lt;&gt;"SI","",IF(Registro_Compras!$X456="","PENDIENTE","DEPOSITADA"))</f>
        <v/>
      </c>
      <c r="L456">
        <f>IF(Registro_Compras!$R456&lt;&gt;"SI","",Registro_Compras!$Z456)</f>
        <v/>
      </c>
      <c r="M456">
        <f>IF($K456&lt;&gt;"PENDIENTE","",IF(TODAY()&gt;$I456,TODAY()-$I456,0))</f>
        <v/>
      </c>
      <c r="N456">
        <f>IF($K456&lt;&gt;"PENDIENTE","",IF($M456&gt;0,"VENCIDA - DEPOSITAR YA",IF($I456-TODAY()&lt;=3,"POR VENCER","EN PLAZO")))</f>
        <v/>
      </c>
    </row>
    <row r="457">
      <c r="A457" s="25">
        <f>IF(Registro_Compras!$R457&lt;&gt;"SI","",Registro_Compras!$B457)</f>
        <v/>
      </c>
      <c r="B457">
        <f>IF(Registro_Compras!$R457&lt;&gt;"SI","",Registro_Compras!$C457)</f>
        <v/>
      </c>
      <c r="C457">
        <f>IF(Registro_Compras!$R457&lt;&gt;"SI","",Registro_Compras!$D457)</f>
        <v/>
      </c>
      <c r="D457">
        <f>IF(Registro_Compras!$R457&lt;&gt;"SI","",Registro_Compras!$E457)</f>
        <v/>
      </c>
      <c r="E457">
        <f>IF(Registro_Compras!$R457&lt;&gt;"SI","",Registro_Compras!$G457)</f>
        <v/>
      </c>
      <c r="F457" s="31">
        <f>IF(Registro_Compras!$R457&lt;&gt;"SI","",Registro_Compras!$P457)</f>
        <v/>
      </c>
      <c r="G457" s="20">
        <f>IF(Registro_Compras!$R457&lt;&gt;"SI","",Registro_Compras!$O457)</f>
        <v/>
      </c>
      <c r="H457" s="20">
        <f>IF(Registro_Compras!$R457&lt;&gt;"SI","",Registro_Compras!$S457)</f>
        <v/>
      </c>
      <c r="I457" s="25">
        <f>IF(Registro_Compras!$R457&lt;&gt;"SI","",IF(Registro_Compras!$Y457="",WORKDAY(EOMONTH(Registro_Compras!$B457,0),5,Feriados),MIN(Registro_Compras!$Y457,WORKDAY(EOMONTH(Registro_Compras!$B457,0),5,Feriados))))</f>
        <v/>
      </c>
      <c r="J457" s="25">
        <f>IF(Registro_Compras!$R457&lt;&gt;"SI","",Registro_Compras!$X457)</f>
        <v/>
      </c>
      <c r="K457">
        <f>IF(Registro_Compras!$R457&lt;&gt;"SI","",IF(Registro_Compras!$X457="","PENDIENTE","DEPOSITADA"))</f>
        <v/>
      </c>
      <c r="L457">
        <f>IF(Registro_Compras!$R457&lt;&gt;"SI","",Registro_Compras!$Z457)</f>
        <v/>
      </c>
      <c r="M457">
        <f>IF($K457&lt;&gt;"PENDIENTE","",IF(TODAY()&gt;$I457,TODAY()-$I457,0))</f>
        <v/>
      </c>
      <c r="N457">
        <f>IF($K457&lt;&gt;"PENDIENTE","",IF($M457&gt;0,"VENCIDA - DEPOSITAR YA",IF($I457-TODAY()&lt;=3,"POR VENCER","EN PLAZO")))</f>
        <v/>
      </c>
    </row>
    <row r="458">
      <c r="A458" s="25">
        <f>IF(Registro_Compras!$R458&lt;&gt;"SI","",Registro_Compras!$B458)</f>
        <v/>
      </c>
      <c r="B458">
        <f>IF(Registro_Compras!$R458&lt;&gt;"SI","",Registro_Compras!$C458)</f>
        <v/>
      </c>
      <c r="C458">
        <f>IF(Registro_Compras!$R458&lt;&gt;"SI","",Registro_Compras!$D458)</f>
        <v/>
      </c>
      <c r="D458">
        <f>IF(Registro_Compras!$R458&lt;&gt;"SI","",Registro_Compras!$E458)</f>
        <v/>
      </c>
      <c r="E458">
        <f>IF(Registro_Compras!$R458&lt;&gt;"SI","",Registro_Compras!$G458)</f>
        <v/>
      </c>
      <c r="F458" s="31">
        <f>IF(Registro_Compras!$R458&lt;&gt;"SI","",Registro_Compras!$P458)</f>
        <v/>
      </c>
      <c r="G458" s="20">
        <f>IF(Registro_Compras!$R458&lt;&gt;"SI","",Registro_Compras!$O458)</f>
        <v/>
      </c>
      <c r="H458" s="20">
        <f>IF(Registro_Compras!$R458&lt;&gt;"SI","",Registro_Compras!$S458)</f>
        <v/>
      </c>
      <c r="I458" s="25">
        <f>IF(Registro_Compras!$R458&lt;&gt;"SI","",IF(Registro_Compras!$Y458="",WORKDAY(EOMONTH(Registro_Compras!$B458,0),5,Feriados),MIN(Registro_Compras!$Y458,WORKDAY(EOMONTH(Registro_Compras!$B458,0),5,Feriados))))</f>
        <v/>
      </c>
      <c r="J458" s="25">
        <f>IF(Registro_Compras!$R458&lt;&gt;"SI","",Registro_Compras!$X458)</f>
        <v/>
      </c>
      <c r="K458">
        <f>IF(Registro_Compras!$R458&lt;&gt;"SI","",IF(Registro_Compras!$X458="","PENDIENTE","DEPOSITADA"))</f>
        <v/>
      </c>
      <c r="L458">
        <f>IF(Registro_Compras!$R458&lt;&gt;"SI","",Registro_Compras!$Z458)</f>
        <v/>
      </c>
      <c r="M458">
        <f>IF($K458&lt;&gt;"PENDIENTE","",IF(TODAY()&gt;$I458,TODAY()-$I458,0))</f>
        <v/>
      </c>
      <c r="N458">
        <f>IF($K458&lt;&gt;"PENDIENTE","",IF($M458&gt;0,"VENCIDA - DEPOSITAR YA",IF($I458-TODAY()&lt;=3,"POR VENCER","EN PLAZO")))</f>
        <v/>
      </c>
    </row>
    <row r="459">
      <c r="A459" s="25">
        <f>IF(Registro_Compras!$R459&lt;&gt;"SI","",Registro_Compras!$B459)</f>
        <v/>
      </c>
      <c r="B459">
        <f>IF(Registro_Compras!$R459&lt;&gt;"SI","",Registro_Compras!$C459)</f>
        <v/>
      </c>
      <c r="C459">
        <f>IF(Registro_Compras!$R459&lt;&gt;"SI","",Registro_Compras!$D459)</f>
        <v/>
      </c>
      <c r="D459">
        <f>IF(Registro_Compras!$R459&lt;&gt;"SI","",Registro_Compras!$E459)</f>
        <v/>
      </c>
      <c r="E459">
        <f>IF(Registro_Compras!$R459&lt;&gt;"SI","",Registro_Compras!$G459)</f>
        <v/>
      </c>
      <c r="F459" s="31">
        <f>IF(Registro_Compras!$R459&lt;&gt;"SI","",Registro_Compras!$P459)</f>
        <v/>
      </c>
      <c r="G459" s="20">
        <f>IF(Registro_Compras!$R459&lt;&gt;"SI","",Registro_Compras!$O459)</f>
        <v/>
      </c>
      <c r="H459" s="20">
        <f>IF(Registro_Compras!$R459&lt;&gt;"SI","",Registro_Compras!$S459)</f>
        <v/>
      </c>
      <c r="I459" s="25">
        <f>IF(Registro_Compras!$R459&lt;&gt;"SI","",IF(Registro_Compras!$Y459="",WORKDAY(EOMONTH(Registro_Compras!$B459,0),5,Feriados),MIN(Registro_Compras!$Y459,WORKDAY(EOMONTH(Registro_Compras!$B459,0),5,Feriados))))</f>
        <v/>
      </c>
      <c r="J459" s="25">
        <f>IF(Registro_Compras!$R459&lt;&gt;"SI","",Registro_Compras!$X459)</f>
        <v/>
      </c>
      <c r="K459">
        <f>IF(Registro_Compras!$R459&lt;&gt;"SI","",IF(Registro_Compras!$X459="","PENDIENTE","DEPOSITADA"))</f>
        <v/>
      </c>
      <c r="L459">
        <f>IF(Registro_Compras!$R459&lt;&gt;"SI","",Registro_Compras!$Z459)</f>
        <v/>
      </c>
      <c r="M459">
        <f>IF($K459&lt;&gt;"PENDIENTE","",IF(TODAY()&gt;$I459,TODAY()-$I459,0))</f>
        <v/>
      </c>
      <c r="N459">
        <f>IF($K459&lt;&gt;"PENDIENTE","",IF($M459&gt;0,"VENCIDA - DEPOSITAR YA",IF($I459-TODAY()&lt;=3,"POR VENCER","EN PLAZO")))</f>
        <v/>
      </c>
    </row>
    <row r="460">
      <c r="A460" s="25">
        <f>IF(Registro_Compras!$R460&lt;&gt;"SI","",Registro_Compras!$B460)</f>
        <v/>
      </c>
      <c r="B460">
        <f>IF(Registro_Compras!$R460&lt;&gt;"SI","",Registro_Compras!$C460)</f>
        <v/>
      </c>
      <c r="C460">
        <f>IF(Registro_Compras!$R460&lt;&gt;"SI","",Registro_Compras!$D460)</f>
        <v/>
      </c>
      <c r="D460">
        <f>IF(Registro_Compras!$R460&lt;&gt;"SI","",Registro_Compras!$E460)</f>
        <v/>
      </c>
      <c r="E460">
        <f>IF(Registro_Compras!$R460&lt;&gt;"SI","",Registro_Compras!$G460)</f>
        <v/>
      </c>
      <c r="F460" s="31">
        <f>IF(Registro_Compras!$R460&lt;&gt;"SI","",Registro_Compras!$P460)</f>
        <v/>
      </c>
      <c r="G460" s="20">
        <f>IF(Registro_Compras!$R460&lt;&gt;"SI","",Registro_Compras!$O460)</f>
        <v/>
      </c>
      <c r="H460" s="20">
        <f>IF(Registro_Compras!$R460&lt;&gt;"SI","",Registro_Compras!$S460)</f>
        <v/>
      </c>
      <c r="I460" s="25">
        <f>IF(Registro_Compras!$R460&lt;&gt;"SI","",IF(Registro_Compras!$Y460="",WORKDAY(EOMONTH(Registro_Compras!$B460,0),5,Feriados),MIN(Registro_Compras!$Y460,WORKDAY(EOMONTH(Registro_Compras!$B460,0),5,Feriados))))</f>
        <v/>
      </c>
      <c r="J460" s="25">
        <f>IF(Registro_Compras!$R460&lt;&gt;"SI","",Registro_Compras!$X460)</f>
        <v/>
      </c>
      <c r="K460">
        <f>IF(Registro_Compras!$R460&lt;&gt;"SI","",IF(Registro_Compras!$X460="","PENDIENTE","DEPOSITADA"))</f>
        <v/>
      </c>
      <c r="L460">
        <f>IF(Registro_Compras!$R460&lt;&gt;"SI","",Registro_Compras!$Z460)</f>
        <v/>
      </c>
      <c r="M460">
        <f>IF($K460&lt;&gt;"PENDIENTE","",IF(TODAY()&gt;$I460,TODAY()-$I460,0))</f>
        <v/>
      </c>
      <c r="N460">
        <f>IF($K460&lt;&gt;"PENDIENTE","",IF($M460&gt;0,"VENCIDA - DEPOSITAR YA",IF($I460-TODAY()&lt;=3,"POR VENCER","EN PLAZO")))</f>
        <v/>
      </c>
    </row>
    <row r="461">
      <c r="A461" s="25">
        <f>IF(Registro_Compras!$R461&lt;&gt;"SI","",Registro_Compras!$B461)</f>
        <v/>
      </c>
      <c r="B461">
        <f>IF(Registro_Compras!$R461&lt;&gt;"SI","",Registro_Compras!$C461)</f>
        <v/>
      </c>
      <c r="C461">
        <f>IF(Registro_Compras!$R461&lt;&gt;"SI","",Registro_Compras!$D461)</f>
        <v/>
      </c>
      <c r="D461">
        <f>IF(Registro_Compras!$R461&lt;&gt;"SI","",Registro_Compras!$E461)</f>
        <v/>
      </c>
      <c r="E461">
        <f>IF(Registro_Compras!$R461&lt;&gt;"SI","",Registro_Compras!$G461)</f>
        <v/>
      </c>
      <c r="F461" s="31">
        <f>IF(Registro_Compras!$R461&lt;&gt;"SI","",Registro_Compras!$P461)</f>
        <v/>
      </c>
      <c r="G461" s="20">
        <f>IF(Registro_Compras!$R461&lt;&gt;"SI","",Registro_Compras!$O461)</f>
        <v/>
      </c>
      <c r="H461" s="20">
        <f>IF(Registro_Compras!$R461&lt;&gt;"SI","",Registro_Compras!$S461)</f>
        <v/>
      </c>
      <c r="I461" s="25">
        <f>IF(Registro_Compras!$R461&lt;&gt;"SI","",IF(Registro_Compras!$Y461="",WORKDAY(EOMONTH(Registro_Compras!$B461,0),5,Feriados),MIN(Registro_Compras!$Y461,WORKDAY(EOMONTH(Registro_Compras!$B461,0),5,Feriados))))</f>
        <v/>
      </c>
      <c r="J461" s="25">
        <f>IF(Registro_Compras!$R461&lt;&gt;"SI","",Registro_Compras!$X461)</f>
        <v/>
      </c>
      <c r="K461">
        <f>IF(Registro_Compras!$R461&lt;&gt;"SI","",IF(Registro_Compras!$X461="","PENDIENTE","DEPOSITADA"))</f>
        <v/>
      </c>
      <c r="L461">
        <f>IF(Registro_Compras!$R461&lt;&gt;"SI","",Registro_Compras!$Z461)</f>
        <v/>
      </c>
      <c r="M461">
        <f>IF($K461&lt;&gt;"PENDIENTE","",IF(TODAY()&gt;$I461,TODAY()-$I461,0))</f>
        <v/>
      </c>
      <c r="N461">
        <f>IF($K461&lt;&gt;"PENDIENTE","",IF($M461&gt;0,"VENCIDA - DEPOSITAR YA",IF($I461-TODAY()&lt;=3,"POR VENCER","EN PLAZO")))</f>
        <v/>
      </c>
    </row>
    <row r="462">
      <c r="A462" s="25">
        <f>IF(Registro_Compras!$R462&lt;&gt;"SI","",Registro_Compras!$B462)</f>
        <v/>
      </c>
      <c r="B462">
        <f>IF(Registro_Compras!$R462&lt;&gt;"SI","",Registro_Compras!$C462)</f>
        <v/>
      </c>
      <c r="C462">
        <f>IF(Registro_Compras!$R462&lt;&gt;"SI","",Registro_Compras!$D462)</f>
        <v/>
      </c>
      <c r="D462">
        <f>IF(Registro_Compras!$R462&lt;&gt;"SI","",Registro_Compras!$E462)</f>
        <v/>
      </c>
      <c r="E462">
        <f>IF(Registro_Compras!$R462&lt;&gt;"SI","",Registro_Compras!$G462)</f>
        <v/>
      </c>
      <c r="F462" s="31">
        <f>IF(Registro_Compras!$R462&lt;&gt;"SI","",Registro_Compras!$P462)</f>
        <v/>
      </c>
      <c r="G462" s="20">
        <f>IF(Registro_Compras!$R462&lt;&gt;"SI","",Registro_Compras!$O462)</f>
        <v/>
      </c>
      <c r="H462" s="20">
        <f>IF(Registro_Compras!$R462&lt;&gt;"SI","",Registro_Compras!$S462)</f>
        <v/>
      </c>
      <c r="I462" s="25">
        <f>IF(Registro_Compras!$R462&lt;&gt;"SI","",IF(Registro_Compras!$Y462="",WORKDAY(EOMONTH(Registro_Compras!$B462,0),5,Feriados),MIN(Registro_Compras!$Y462,WORKDAY(EOMONTH(Registro_Compras!$B462,0),5,Feriados))))</f>
        <v/>
      </c>
      <c r="J462" s="25">
        <f>IF(Registro_Compras!$R462&lt;&gt;"SI","",Registro_Compras!$X462)</f>
        <v/>
      </c>
      <c r="K462">
        <f>IF(Registro_Compras!$R462&lt;&gt;"SI","",IF(Registro_Compras!$X462="","PENDIENTE","DEPOSITADA"))</f>
        <v/>
      </c>
      <c r="L462">
        <f>IF(Registro_Compras!$R462&lt;&gt;"SI","",Registro_Compras!$Z462)</f>
        <v/>
      </c>
      <c r="M462">
        <f>IF($K462&lt;&gt;"PENDIENTE","",IF(TODAY()&gt;$I462,TODAY()-$I462,0))</f>
        <v/>
      </c>
      <c r="N462">
        <f>IF($K462&lt;&gt;"PENDIENTE","",IF($M462&gt;0,"VENCIDA - DEPOSITAR YA",IF($I462-TODAY()&lt;=3,"POR VENCER","EN PLAZO")))</f>
        <v/>
      </c>
    </row>
    <row r="463">
      <c r="A463" s="25">
        <f>IF(Registro_Compras!$R463&lt;&gt;"SI","",Registro_Compras!$B463)</f>
        <v/>
      </c>
      <c r="B463">
        <f>IF(Registro_Compras!$R463&lt;&gt;"SI","",Registro_Compras!$C463)</f>
        <v/>
      </c>
      <c r="C463">
        <f>IF(Registro_Compras!$R463&lt;&gt;"SI","",Registro_Compras!$D463)</f>
        <v/>
      </c>
      <c r="D463">
        <f>IF(Registro_Compras!$R463&lt;&gt;"SI","",Registro_Compras!$E463)</f>
        <v/>
      </c>
      <c r="E463">
        <f>IF(Registro_Compras!$R463&lt;&gt;"SI","",Registro_Compras!$G463)</f>
        <v/>
      </c>
      <c r="F463" s="31">
        <f>IF(Registro_Compras!$R463&lt;&gt;"SI","",Registro_Compras!$P463)</f>
        <v/>
      </c>
      <c r="G463" s="20">
        <f>IF(Registro_Compras!$R463&lt;&gt;"SI","",Registro_Compras!$O463)</f>
        <v/>
      </c>
      <c r="H463" s="20">
        <f>IF(Registro_Compras!$R463&lt;&gt;"SI","",Registro_Compras!$S463)</f>
        <v/>
      </c>
      <c r="I463" s="25">
        <f>IF(Registro_Compras!$R463&lt;&gt;"SI","",IF(Registro_Compras!$Y463="",WORKDAY(EOMONTH(Registro_Compras!$B463,0),5,Feriados),MIN(Registro_Compras!$Y463,WORKDAY(EOMONTH(Registro_Compras!$B463,0),5,Feriados))))</f>
        <v/>
      </c>
      <c r="J463" s="25">
        <f>IF(Registro_Compras!$R463&lt;&gt;"SI","",Registro_Compras!$X463)</f>
        <v/>
      </c>
      <c r="K463">
        <f>IF(Registro_Compras!$R463&lt;&gt;"SI","",IF(Registro_Compras!$X463="","PENDIENTE","DEPOSITADA"))</f>
        <v/>
      </c>
      <c r="L463">
        <f>IF(Registro_Compras!$R463&lt;&gt;"SI","",Registro_Compras!$Z463)</f>
        <v/>
      </c>
      <c r="M463">
        <f>IF($K463&lt;&gt;"PENDIENTE","",IF(TODAY()&gt;$I463,TODAY()-$I463,0))</f>
        <v/>
      </c>
      <c r="N463">
        <f>IF($K463&lt;&gt;"PENDIENTE","",IF($M463&gt;0,"VENCIDA - DEPOSITAR YA",IF($I463-TODAY()&lt;=3,"POR VENCER","EN PLAZO")))</f>
        <v/>
      </c>
    </row>
    <row r="464">
      <c r="A464" s="25">
        <f>IF(Registro_Compras!$R464&lt;&gt;"SI","",Registro_Compras!$B464)</f>
        <v/>
      </c>
      <c r="B464">
        <f>IF(Registro_Compras!$R464&lt;&gt;"SI","",Registro_Compras!$C464)</f>
        <v/>
      </c>
      <c r="C464">
        <f>IF(Registro_Compras!$R464&lt;&gt;"SI","",Registro_Compras!$D464)</f>
        <v/>
      </c>
      <c r="D464">
        <f>IF(Registro_Compras!$R464&lt;&gt;"SI","",Registro_Compras!$E464)</f>
        <v/>
      </c>
      <c r="E464">
        <f>IF(Registro_Compras!$R464&lt;&gt;"SI","",Registro_Compras!$G464)</f>
        <v/>
      </c>
      <c r="F464" s="31">
        <f>IF(Registro_Compras!$R464&lt;&gt;"SI","",Registro_Compras!$P464)</f>
        <v/>
      </c>
      <c r="G464" s="20">
        <f>IF(Registro_Compras!$R464&lt;&gt;"SI","",Registro_Compras!$O464)</f>
        <v/>
      </c>
      <c r="H464" s="20">
        <f>IF(Registro_Compras!$R464&lt;&gt;"SI","",Registro_Compras!$S464)</f>
        <v/>
      </c>
      <c r="I464" s="25">
        <f>IF(Registro_Compras!$R464&lt;&gt;"SI","",IF(Registro_Compras!$Y464="",WORKDAY(EOMONTH(Registro_Compras!$B464,0),5,Feriados),MIN(Registro_Compras!$Y464,WORKDAY(EOMONTH(Registro_Compras!$B464,0),5,Feriados))))</f>
        <v/>
      </c>
      <c r="J464" s="25">
        <f>IF(Registro_Compras!$R464&lt;&gt;"SI","",Registro_Compras!$X464)</f>
        <v/>
      </c>
      <c r="K464">
        <f>IF(Registro_Compras!$R464&lt;&gt;"SI","",IF(Registro_Compras!$X464="","PENDIENTE","DEPOSITADA"))</f>
        <v/>
      </c>
      <c r="L464">
        <f>IF(Registro_Compras!$R464&lt;&gt;"SI","",Registro_Compras!$Z464)</f>
        <v/>
      </c>
      <c r="M464">
        <f>IF($K464&lt;&gt;"PENDIENTE","",IF(TODAY()&gt;$I464,TODAY()-$I464,0))</f>
        <v/>
      </c>
      <c r="N464">
        <f>IF($K464&lt;&gt;"PENDIENTE","",IF($M464&gt;0,"VENCIDA - DEPOSITAR YA",IF($I464-TODAY()&lt;=3,"POR VENCER","EN PLAZO")))</f>
        <v/>
      </c>
    </row>
    <row r="465">
      <c r="A465" s="25">
        <f>IF(Registro_Compras!$R465&lt;&gt;"SI","",Registro_Compras!$B465)</f>
        <v/>
      </c>
      <c r="B465">
        <f>IF(Registro_Compras!$R465&lt;&gt;"SI","",Registro_Compras!$C465)</f>
        <v/>
      </c>
      <c r="C465">
        <f>IF(Registro_Compras!$R465&lt;&gt;"SI","",Registro_Compras!$D465)</f>
        <v/>
      </c>
      <c r="D465">
        <f>IF(Registro_Compras!$R465&lt;&gt;"SI","",Registro_Compras!$E465)</f>
        <v/>
      </c>
      <c r="E465">
        <f>IF(Registro_Compras!$R465&lt;&gt;"SI","",Registro_Compras!$G465)</f>
        <v/>
      </c>
      <c r="F465" s="31">
        <f>IF(Registro_Compras!$R465&lt;&gt;"SI","",Registro_Compras!$P465)</f>
        <v/>
      </c>
      <c r="G465" s="20">
        <f>IF(Registro_Compras!$R465&lt;&gt;"SI","",Registro_Compras!$O465)</f>
        <v/>
      </c>
      <c r="H465" s="20">
        <f>IF(Registro_Compras!$R465&lt;&gt;"SI","",Registro_Compras!$S465)</f>
        <v/>
      </c>
      <c r="I465" s="25">
        <f>IF(Registro_Compras!$R465&lt;&gt;"SI","",IF(Registro_Compras!$Y465="",WORKDAY(EOMONTH(Registro_Compras!$B465,0),5,Feriados),MIN(Registro_Compras!$Y465,WORKDAY(EOMONTH(Registro_Compras!$B465,0),5,Feriados))))</f>
        <v/>
      </c>
      <c r="J465" s="25">
        <f>IF(Registro_Compras!$R465&lt;&gt;"SI","",Registro_Compras!$X465)</f>
        <v/>
      </c>
      <c r="K465">
        <f>IF(Registro_Compras!$R465&lt;&gt;"SI","",IF(Registro_Compras!$X465="","PENDIENTE","DEPOSITADA"))</f>
        <v/>
      </c>
      <c r="L465">
        <f>IF(Registro_Compras!$R465&lt;&gt;"SI","",Registro_Compras!$Z465)</f>
        <v/>
      </c>
      <c r="M465">
        <f>IF($K465&lt;&gt;"PENDIENTE","",IF(TODAY()&gt;$I465,TODAY()-$I465,0))</f>
        <v/>
      </c>
      <c r="N465">
        <f>IF($K465&lt;&gt;"PENDIENTE","",IF($M465&gt;0,"VENCIDA - DEPOSITAR YA",IF($I465-TODAY()&lt;=3,"POR VENCER","EN PLAZO")))</f>
        <v/>
      </c>
    </row>
    <row r="466">
      <c r="A466" s="25">
        <f>IF(Registro_Compras!$R466&lt;&gt;"SI","",Registro_Compras!$B466)</f>
        <v/>
      </c>
      <c r="B466">
        <f>IF(Registro_Compras!$R466&lt;&gt;"SI","",Registro_Compras!$C466)</f>
        <v/>
      </c>
      <c r="C466">
        <f>IF(Registro_Compras!$R466&lt;&gt;"SI","",Registro_Compras!$D466)</f>
        <v/>
      </c>
      <c r="D466">
        <f>IF(Registro_Compras!$R466&lt;&gt;"SI","",Registro_Compras!$E466)</f>
        <v/>
      </c>
      <c r="E466">
        <f>IF(Registro_Compras!$R466&lt;&gt;"SI","",Registro_Compras!$G466)</f>
        <v/>
      </c>
      <c r="F466" s="31">
        <f>IF(Registro_Compras!$R466&lt;&gt;"SI","",Registro_Compras!$P466)</f>
        <v/>
      </c>
      <c r="G466" s="20">
        <f>IF(Registro_Compras!$R466&lt;&gt;"SI","",Registro_Compras!$O466)</f>
        <v/>
      </c>
      <c r="H466" s="20">
        <f>IF(Registro_Compras!$R466&lt;&gt;"SI","",Registro_Compras!$S466)</f>
        <v/>
      </c>
      <c r="I466" s="25">
        <f>IF(Registro_Compras!$R466&lt;&gt;"SI","",IF(Registro_Compras!$Y466="",WORKDAY(EOMONTH(Registro_Compras!$B466,0),5,Feriados),MIN(Registro_Compras!$Y466,WORKDAY(EOMONTH(Registro_Compras!$B466,0),5,Feriados))))</f>
        <v/>
      </c>
      <c r="J466" s="25">
        <f>IF(Registro_Compras!$R466&lt;&gt;"SI","",Registro_Compras!$X466)</f>
        <v/>
      </c>
      <c r="K466">
        <f>IF(Registro_Compras!$R466&lt;&gt;"SI","",IF(Registro_Compras!$X466="","PENDIENTE","DEPOSITADA"))</f>
        <v/>
      </c>
      <c r="L466">
        <f>IF(Registro_Compras!$R466&lt;&gt;"SI","",Registro_Compras!$Z466)</f>
        <v/>
      </c>
      <c r="M466">
        <f>IF($K466&lt;&gt;"PENDIENTE","",IF(TODAY()&gt;$I466,TODAY()-$I466,0))</f>
        <v/>
      </c>
      <c r="N466">
        <f>IF($K466&lt;&gt;"PENDIENTE","",IF($M466&gt;0,"VENCIDA - DEPOSITAR YA",IF($I466-TODAY()&lt;=3,"POR VENCER","EN PLAZO")))</f>
        <v/>
      </c>
    </row>
    <row r="467">
      <c r="A467" s="25">
        <f>IF(Registro_Compras!$R467&lt;&gt;"SI","",Registro_Compras!$B467)</f>
        <v/>
      </c>
      <c r="B467">
        <f>IF(Registro_Compras!$R467&lt;&gt;"SI","",Registro_Compras!$C467)</f>
        <v/>
      </c>
      <c r="C467">
        <f>IF(Registro_Compras!$R467&lt;&gt;"SI","",Registro_Compras!$D467)</f>
        <v/>
      </c>
      <c r="D467">
        <f>IF(Registro_Compras!$R467&lt;&gt;"SI","",Registro_Compras!$E467)</f>
        <v/>
      </c>
      <c r="E467">
        <f>IF(Registro_Compras!$R467&lt;&gt;"SI","",Registro_Compras!$G467)</f>
        <v/>
      </c>
      <c r="F467" s="31">
        <f>IF(Registro_Compras!$R467&lt;&gt;"SI","",Registro_Compras!$P467)</f>
        <v/>
      </c>
      <c r="G467" s="20">
        <f>IF(Registro_Compras!$R467&lt;&gt;"SI","",Registro_Compras!$O467)</f>
        <v/>
      </c>
      <c r="H467" s="20">
        <f>IF(Registro_Compras!$R467&lt;&gt;"SI","",Registro_Compras!$S467)</f>
        <v/>
      </c>
      <c r="I467" s="25">
        <f>IF(Registro_Compras!$R467&lt;&gt;"SI","",IF(Registro_Compras!$Y467="",WORKDAY(EOMONTH(Registro_Compras!$B467,0),5,Feriados),MIN(Registro_Compras!$Y467,WORKDAY(EOMONTH(Registro_Compras!$B467,0),5,Feriados))))</f>
        <v/>
      </c>
      <c r="J467" s="25">
        <f>IF(Registro_Compras!$R467&lt;&gt;"SI","",Registro_Compras!$X467)</f>
        <v/>
      </c>
      <c r="K467">
        <f>IF(Registro_Compras!$R467&lt;&gt;"SI","",IF(Registro_Compras!$X467="","PENDIENTE","DEPOSITADA"))</f>
        <v/>
      </c>
      <c r="L467">
        <f>IF(Registro_Compras!$R467&lt;&gt;"SI","",Registro_Compras!$Z467)</f>
        <v/>
      </c>
      <c r="M467">
        <f>IF($K467&lt;&gt;"PENDIENTE","",IF(TODAY()&gt;$I467,TODAY()-$I467,0))</f>
        <v/>
      </c>
      <c r="N467">
        <f>IF($K467&lt;&gt;"PENDIENTE","",IF($M467&gt;0,"VENCIDA - DEPOSITAR YA",IF($I467-TODAY()&lt;=3,"POR VENCER","EN PLAZO")))</f>
        <v/>
      </c>
    </row>
    <row r="468">
      <c r="A468" s="25">
        <f>IF(Registro_Compras!$R468&lt;&gt;"SI","",Registro_Compras!$B468)</f>
        <v/>
      </c>
      <c r="B468">
        <f>IF(Registro_Compras!$R468&lt;&gt;"SI","",Registro_Compras!$C468)</f>
        <v/>
      </c>
      <c r="C468">
        <f>IF(Registro_Compras!$R468&lt;&gt;"SI","",Registro_Compras!$D468)</f>
        <v/>
      </c>
      <c r="D468">
        <f>IF(Registro_Compras!$R468&lt;&gt;"SI","",Registro_Compras!$E468)</f>
        <v/>
      </c>
      <c r="E468">
        <f>IF(Registro_Compras!$R468&lt;&gt;"SI","",Registro_Compras!$G468)</f>
        <v/>
      </c>
      <c r="F468" s="31">
        <f>IF(Registro_Compras!$R468&lt;&gt;"SI","",Registro_Compras!$P468)</f>
        <v/>
      </c>
      <c r="G468" s="20">
        <f>IF(Registro_Compras!$R468&lt;&gt;"SI","",Registro_Compras!$O468)</f>
        <v/>
      </c>
      <c r="H468" s="20">
        <f>IF(Registro_Compras!$R468&lt;&gt;"SI","",Registro_Compras!$S468)</f>
        <v/>
      </c>
      <c r="I468" s="25">
        <f>IF(Registro_Compras!$R468&lt;&gt;"SI","",IF(Registro_Compras!$Y468="",WORKDAY(EOMONTH(Registro_Compras!$B468,0),5,Feriados),MIN(Registro_Compras!$Y468,WORKDAY(EOMONTH(Registro_Compras!$B468,0),5,Feriados))))</f>
        <v/>
      </c>
      <c r="J468" s="25">
        <f>IF(Registro_Compras!$R468&lt;&gt;"SI","",Registro_Compras!$X468)</f>
        <v/>
      </c>
      <c r="K468">
        <f>IF(Registro_Compras!$R468&lt;&gt;"SI","",IF(Registro_Compras!$X468="","PENDIENTE","DEPOSITADA"))</f>
        <v/>
      </c>
      <c r="L468">
        <f>IF(Registro_Compras!$R468&lt;&gt;"SI","",Registro_Compras!$Z468)</f>
        <v/>
      </c>
      <c r="M468">
        <f>IF($K468&lt;&gt;"PENDIENTE","",IF(TODAY()&gt;$I468,TODAY()-$I468,0))</f>
        <v/>
      </c>
      <c r="N468">
        <f>IF($K468&lt;&gt;"PENDIENTE","",IF($M468&gt;0,"VENCIDA - DEPOSITAR YA",IF($I468-TODAY()&lt;=3,"POR VENCER","EN PLAZO")))</f>
        <v/>
      </c>
    </row>
    <row r="469">
      <c r="A469" s="25">
        <f>IF(Registro_Compras!$R469&lt;&gt;"SI","",Registro_Compras!$B469)</f>
        <v/>
      </c>
      <c r="B469">
        <f>IF(Registro_Compras!$R469&lt;&gt;"SI","",Registro_Compras!$C469)</f>
        <v/>
      </c>
      <c r="C469">
        <f>IF(Registro_Compras!$R469&lt;&gt;"SI","",Registro_Compras!$D469)</f>
        <v/>
      </c>
      <c r="D469">
        <f>IF(Registro_Compras!$R469&lt;&gt;"SI","",Registro_Compras!$E469)</f>
        <v/>
      </c>
      <c r="E469">
        <f>IF(Registro_Compras!$R469&lt;&gt;"SI","",Registro_Compras!$G469)</f>
        <v/>
      </c>
      <c r="F469" s="31">
        <f>IF(Registro_Compras!$R469&lt;&gt;"SI","",Registro_Compras!$P469)</f>
        <v/>
      </c>
      <c r="G469" s="20">
        <f>IF(Registro_Compras!$R469&lt;&gt;"SI","",Registro_Compras!$O469)</f>
        <v/>
      </c>
      <c r="H469" s="20">
        <f>IF(Registro_Compras!$R469&lt;&gt;"SI","",Registro_Compras!$S469)</f>
        <v/>
      </c>
      <c r="I469" s="25">
        <f>IF(Registro_Compras!$R469&lt;&gt;"SI","",IF(Registro_Compras!$Y469="",WORKDAY(EOMONTH(Registro_Compras!$B469,0),5,Feriados),MIN(Registro_Compras!$Y469,WORKDAY(EOMONTH(Registro_Compras!$B469,0),5,Feriados))))</f>
        <v/>
      </c>
      <c r="J469" s="25">
        <f>IF(Registro_Compras!$R469&lt;&gt;"SI","",Registro_Compras!$X469)</f>
        <v/>
      </c>
      <c r="K469">
        <f>IF(Registro_Compras!$R469&lt;&gt;"SI","",IF(Registro_Compras!$X469="","PENDIENTE","DEPOSITADA"))</f>
        <v/>
      </c>
      <c r="L469">
        <f>IF(Registro_Compras!$R469&lt;&gt;"SI","",Registro_Compras!$Z469)</f>
        <v/>
      </c>
      <c r="M469">
        <f>IF($K469&lt;&gt;"PENDIENTE","",IF(TODAY()&gt;$I469,TODAY()-$I469,0))</f>
        <v/>
      </c>
      <c r="N469">
        <f>IF($K469&lt;&gt;"PENDIENTE","",IF($M469&gt;0,"VENCIDA - DEPOSITAR YA",IF($I469-TODAY()&lt;=3,"POR VENCER","EN PLAZO")))</f>
        <v/>
      </c>
    </row>
    <row r="470">
      <c r="A470" s="25">
        <f>IF(Registro_Compras!$R470&lt;&gt;"SI","",Registro_Compras!$B470)</f>
        <v/>
      </c>
      <c r="B470">
        <f>IF(Registro_Compras!$R470&lt;&gt;"SI","",Registro_Compras!$C470)</f>
        <v/>
      </c>
      <c r="C470">
        <f>IF(Registro_Compras!$R470&lt;&gt;"SI","",Registro_Compras!$D470)</f>
        <v/>
      </c>
      <c r="D470">
        <f>IF(Registro_Compras!$R470&lt;&gt;"SI","",Registro_Compras!$E470)</f>
        <v/>
      </c>
      <c r="E470">
        <f>IF(Registro_Compras!$R470&lt;&gt;"SI","",Registro_Compras!$G470)</f>
        <v/>
      </c>
      <c r="F470" s="31">
        <f>IF(Registro_Compras!$R470&lt;&gt;"SI","",Registro_Compras!$P470)</f>
        <v/>
      </c>
      <c r="G470" s="20">
        <f>IF(Registro_Compras!$R470&lt;&gt;"SI","",Registro_Compras!$O470)</f>
        <v/>
      </c>
      <c r="H470" s="20">
        <f>IF(Registro_Compras!$R470&lt;&gt;"SI","",Registro_Compras!$S470)</f>
        <v/>
      </c>
      <c r="I470" s="25">
        <f>IF(Registro_Compras!$R470&lt;&gt;"SI","",IF(Registro_Compras!$Y470="",WORKDAY(EOMONTH(Registro_Compras!$B470,0),5,Feriados),MIN(Registro_Compras!$Y470,WORKDAY(EOMONTH(Registro_Compras!$B470,0),5,Feriados))))</f>
        <v/>
      </c>
      <c r="J470" s="25">
        <f>IF(Registro_Compras!$R470&lt;&gt;"SI","",Registro_Compras!$X470)</f>
        <v/>
      </c>
      <c r="K470">
        <f>IF(Registro_Compras!$R470&lt;&gt;"SI","",IF(Registro_Compras!$X470="","PENDIENTE","DEPOSITADA"))</f>
        <v/>
      </c>
      <c r="L470">
        <f>IF(Registro_Compras!$R470&lt;&gt;"SI","",Registro_Compras!$Z470)</f>
        <v/>
      </c>
      <c r="M470">
        <f>IF($K470&lt;&gt;"PENDIENTE","",IF(TODAY()&gt;$I470,TODAY()-$I470,0))</f>
        <v/>
      </c>
      <c r="N470">
        <f>IF($K470&lt;&gt;"PENDIENTE","",IF($M470&gt;0,"VENCIDA - DEPOSITAR YA",IF($I470-TODAY()&lt;=3,"POR VENCER","EN PLAZO")))</f>
        <v/>
      </c>
    </row>
    <row r="471">
      <c r="A471" s="25">
        <f>IF(Registro_Compras!$R471&lt;&gt;"SI","",Registro_Compras!$B471)</f>
        <v/>
      </c>
      <c r="B471">
        <f>IF(Registro_Compras!$R471&lt;&gt;"SI","",Registro_Compras!$C471)</f>
        <v/>
      </c>
      <c r="C471">
        <f>IF(Registro_Compras!$R471&lt;&gt;"SI","",Registro_Compras!$D471)</f>
        <v/>
      </c>
      <c r="D471">
        <f>IF(Registro_Compras!$R471&lt;&gt;"SI","",Registro_Compras!$E471)</f>
        <v/>
      </c>
      <c r="E471">
        <f>IF(Registro_Compras!$R471&lt;&gt;"SI","",Registro_Compras!$G471)</f>
        <v/>
      </c>
      <c r="F471" s="31">
        <f>IF(Registro_Compras!$R471&lt;&gt;"SI","",Registro_Compras!$P471)</f>
        <v/>
      </c>
      <c r="G471" s="20">
        <f>IF(Registro_Compras!$R471&lt;&gt;"SI","",Registro_Compras!$O471)</f>
        <v/>
      </c>
      <c r="H471" s="20">
        <f>IF(Registro_Compras!$R471&lt;&gt;"SI","",Registro_Compras!$S471)</f>
        <v/>
      </c>
      <c r="I471" s="25">
        <f>IF(Registro_Compras!$R471&lt;&gt;"SI","",IF(Registro_Compras!$Y471="",WORKDAY(EOMONTH(Registro_Compras!$B471,0),5,Feriados),MIN(Registro_Compras!$Y471,WORKDAY(EOMONTH(Registro_Compras!$B471,0),5,Feriados))))</f>
        <v/>
      </c>
      <c r="J471" s="25">
        <f>IF(Registro_Compras!$R471&lt;&gt;"SI","",Registro_Compras!$X471)</f>
        <v/>
      </c>
      <c r="K471">
        <f>IF(Registro_Compras!$R471&lt;&gt;"SI","",IF(Registro_Compras!$X471="","PENDIENTE","DEPOSITADA"))</f>
        <v/>
      </c>
      <c r="L471">
        <f>IF(Registro_Compras!$R471&lt;&gt;"SI","",Registro_Compras!$Z471)</f>
        <v/>
      </c>
      <c r="M471">
        <f>IF($K471&lt;&gt;"PENDIENTE","",IF(TODAY()&gt;$I471,TODAY()-$I471,0))</f>
        <v/>
      </c>
      <c r="N471">
        <f>IF($K471&lt;&gt;"PENDIENTE","",IF($M471&gt;0,"VENCIDA - DEPOSITAR YA",IF($I471-TODAY()&lt;=3,"POR VENCER","EN PLAZO")))</f>
        <v/>
      </c>
    </row>
    <row r="472">
      <c r="A472" s="25">
        <f>IF(Registro_Compras!$R472&lt;&gt;"SI","",Registro_Compras!$B472)</f>
        <v/>
      </c>
      <c r="B472">
        <f>IF(Registro_Compras!$R472&lt;&gt;"SI","",Registro_Compras!$C472)</f>
        <v/>
      </c>
      <c r="C472">
        <f>IF(Registro_Compras!$R472&lt;&gt;"SI","",Registro_Compras!$D472)</f>
        <v/>
      </c>
      <c r="D472">
        <f>IF(Registro_Compras!$R472&lt;&gt;"SI","",Registro_Compras!$E472)</f>
        <v/>
      </c>
      <c r="E472">
        <f>IF(Registro_Compras!$R472&lt;&gt;"SI","",Registro_Compras!$G472)</f>
        <v/>
      </c>
      <c r="F472" s="31">
        <f>IF(Registro_Compras!$R472&lt;&gt;"SI","",Registro_Compras!$P472)</f>
        <v/>
      </c>
      <c r="G472" s="20">
        <f>IF(Registro_Compras!$R472&lt;&gt;"SI","",Registro_Compras!$O472)</f>
        <v/>
      </c>
      <c r="H472" s="20">
        <f>IF(Registro_Compras!$R472&lt;&gt;"SI","",Registro_Compras!$S472)</f>
        <v/>
      </c>
      <c r="I472" s="25">
        <f>IF(Registro_Compras!$R472&lt;&gt;"SI","",IF(Registro_Compras!$Y472="",WORKDAY(EOMONTH(Registro_Compras!$B472,0),5,Feriados),MIN(Registro_Compras!$Y472,WORKDAY(EOMONTH(Registro_Compras!$B472,0),5,Feriados))))</f>
        <v/>
      </c>
      <c r="J472" s="25">
        <f>IF(Registro_Compras!$R472&lt;&gt;"SI","",Registro_Compras!$X472)</f>
        <v/>
      </c>
      <c r="K472">
        <f>IF(Registro_Compras!$R472&lt;&gt;"SI","",IF(Registro_Compras!$X472="","PENDIENTE","DEPOSITADA"))</f>
        <v/>
      </c>
      <c r="L472">
        <f>IF(Registro_Compras!$R472&lt;&gt;"SI","",Registro_Compras!$Z472)</f>
        <v/>
      </c>
      <c r="M472">
        <f>IF($K472&lt;&gt;"PENDIENTE","",IF(TODAY()&gt;$I472,TODAY()-$I472,0))</f>
        <v/>
      </c>
      <c r="N472">
        <f>IF($K472&lt;&gt;"PENDIENTE","",IF($M472&gt;0,"VENCIDA - DEPOSITAR YA",IF($I472-TODAY()&lt;=3,"POR VENCER","EN PLAZO")))</f>
        <v/>
      </c>
    </row>
    <row r="473">
      <c r="A473" s="25">
        <f>IF(Registro_Compras!$R473&lt;&gt;"SI","",Registro_Compras!$B473)</f>
        <v/>
      </c>
      <c r="B473">
        <f>IF(Registro_Compras!$R473&lt;&gt;"SI","",Registro_Compras!$C473)</f>
        <v/>
      </c>
      <c r="C473">
        <f>IF(Registro_Compras!$R473&lt;&gt;"SI","",Registro_Compras!$D473)</f>
        <v/>
      </c>
      <c r="D473">
        <f>IF(Registro_Compras!$R473&lt;&gt;"SI","",Registro_Compras!$E473)</f>
        <v/>
      </c>
      <c r="E473">
        <f>IF(Registro_Compras!$R473&lt;&gt;"SI","",Registro_Compras!$G473)</f>
        <v/>
      </c>
      <c r="F473" s="31">
        <f>IF(Registro_Compras!$R473&lt;&gt;"SI","",Registro_Compras!$P473)</f>
        <v/>
      </c>
      <c r="G473" s="20">
        <f>IF(Registro_Compras!$R473&lt;&gt;"SI","",Registro_Compras!$O473)</f>
        <v/>
      </c>
      <c r="H473" s="20">
        <f>IF(Registro_Compras!$R473&lt;&gt;"SI","",Registro_Compras!$S473)</f>
        <v/>
      </c>
      <c r="I473" s="25">
        <f>IF(Registro_Compras!$R473&lt;&gt;"SI","",IF(Registro_Compras!$Y473="",WORKDAY(EOMONTH(Registro_Compras!$B473,0),5,Feriados),MIN(Registro_Compras!$Y473,WORKDAY(EOMONTH(Registro_Compras!$B473,0),5,Feriados))))</f>
        <v/>
      </c>
      <c r="J473" s="25">
        <f>IF(Registro_Compras!$R473&lt;&gt;"SI","",Registro_Compras!$X473)</f>
        <v/>
      </c>
      <c r="K473">
        <f>IF(Registro_Compras!$R473&lt;&gt;"SI","",IF(Registro_Compras!$X473="","PENDIENTE","DEPOSITADA"))</f>
        <v/>
      </c>
      <c r="L473">
        <f>IF(Registro_Compras!$R473&lt;&gt;"SI","",Registro_Compras!$Z473)</f>
        <v/>
      </c>
      <c r="M473">
        <f>IF($K473&lt;&gt;"PENDIENTE","",IF(TODAY()&gt;$I473,TODAY()-$I473,0))</f>
        <v/>
      </c>
      <c r="N473">
        <f>IF($K473&lt;&gt;"PENDIENTE","",IF($M473&gt;0,"VENCIDA - DEPOSITAR YA",IF($I473-TODAY()&lt;=3,"POR VENCER","EN PLAZO")))</f>
        <v/>
      </c>
    </row>
    <row r="474">
      <c r="A474" s="25">
        <f>IF(Registro_Compras!$R474&lt;&gt;"SI","",Registro_Compras!$B474)</f>
        <v/>
      </c>
      <c r="B474">
        <f>IF(Registro_Compras!$R474&lt;&gt;"SI","",Registro_Compras!$C474)</f>
        <v/>
      </c>
      <c r="C474">
        <f>IF(Registro_Compras!$R474&lt;&gt;"SI","",Registro_Compras!$D474)</f>
        <v/>
      </c>
      <c r="D474">
        <f>IF(Registro_Compras!$R474&lt;&gt;"SI","",Registro_Compras!$E474)</f>
        <v/>
      </c>
      <c r="E474">
        <f>IF(Registro_Compras!$R474&lt;&gt;"SI","",Registro_Compras!$G474)</f>
        <v/>
      </c>
      <c r="F474" s="31">
        <f>IF(Registro_Compras!$R474&lt;&gt;"SI","",Registro_Compras!$P474)</f>
        <v/>
      </c>
      <c r="G474" s="20">
        <f>IF(Registro_Compras!$R474&lt;&gt;"SI","",Registro_Compras!$O474)</f>
        <v/>
      </c>
      <c r="H474" s="20">
        <f>IF(Registro_Compras!$R474&lt;&gt;"SI","",Registro_Compras!$S474)</f>
        <v/>
      </c>
      <c r="I474" s="25">
        <f>IF(Registro_Compras!$R474&lt;&gt;"SI","",IF(Registro_Compras!$Y474="",WORKDAY(EOMONTH(Registro_Compras!$B474,0),5,Feriados),MIN(Registro_Compras!$Y474,WORKDAY(EOMONTH(Registro_Compras!$B474,0),5,Feriados))))</f>
        <v/>
      </c>
      <c r="J474" s="25">
        <f>IF(Registro_Compras!$R474&lt;&gt;"SI","",Registro_Compras!$X474)</f>
        <v/>
      </c>
      <c r="K474">
        <f>IF(Registro_Compras!$R474&lt;&gt;"SI","",IF(Registro_Compras!$X474="","PENDIENTE","DEPOSITADA"))</f>
        <v/>
      </c>
      <c r="L474">
        <f>IF(Registro_Compras!$R474&lt;&gt;"SI","",Registro_Compras!$Z474)</f>
        <v/>
      </c>
      <c r="M474">
        <f>IF($K474&lt;&gt;"PENDIENTE","",IF(TODAY()&gt;$I474,TODAY()-$I474,0))</f>
        <v/>
      </c>
      <c r="N474">
        <f>IF($K474&lt;&gt;"PENDIENTE","",IF($M474&gt;0,"VENCIDA - DEPOSITAR YA",IF($I474-TODAY()&lt;=3,"POR VENCER","EN PLAZO")))</f>
        <v/>
      </c>
    </row>
    <row r="475">
      <c r="A475" s="25">
        <f>IF(Registro_Compras!$R475&lt;&gt;"SI","",Registro_Compras!$B475)</f>
        <v/>
      </c>
      <c r="B475">
        <f>IF(Registro_Compras!$R475&lt;&gt;"SI","",Registro_Compras!$C475)</f>
        <v/>
      </c>
      <c r="C475">
        <f>IF(Registro_Compras!$R475&lt;&gt;"SI","",Registro_Compras!$D475)</f>
        <v/>
      </c>
      <c r="D475">
        <f>IF(Registro_Compras!$R475&lt;&gt;"SI","",Registro_Compras!$E475)</f>
        <v/>
      </c>
      <c r="E475">
        <f>IF(Registro_Compras!$R475&lt;&gt;"SI","",Registro_Compras!$G475)</f>
        <v/>
      </c>
      <c r="F475" s="31">
        <f>IF(Registro_Compras!$R475&lt;&gt;"SI","",Registro_Compras!$P475)</f>
        <v/>
      </c>
      <c r="G475" s="20">
        <f>IF(Registro_Compras!$R475&lt;&gt;"SI","",Registro_Compras!$O475)</f>
        <v/>
      </c>
      <c r="H475" s="20">
        <f>IF(Registro_Compras!$R475&lt;&gt;"SI","",Registro_Compras!$S475)</f>
        <v/>
      </c>
      <c r="I475" s="25">
        <f>IF(Registro_Compras!$R475&lt;&gt;"SI","",IF(Registro_Compras!$Y475="",WORKDAY(EOMONTH(Registro_Compras!$B475,0),5,Feriados),MIN(Registro_Compras!$Y475,WORKDAY(EOMONTH(Registro_Compras!$B475,0),5,Feriados))))</f>
        <v/>
      </c>
      <c r="J475" s="25">
        <f>IF(Registro_Compras!$R475&lt;&gt;"SI","",Registro_Compras!$X475)</f>
        <v/>
      </c>
      <c r="K475">
        <f>IF(Registro_Compras!$R475&lt;&gt;"SI","",IF(Registro_Compras!$X475="","PENDIENTE","DEPOSITADA"))</f>
        <v/>
      </c>
      <c r="L475">
        <f>IF(Registro_Compras!$R475&lt;&gt;"SI","",Registro_Compras!$Z475)</f>
        <v/>
      </c>
      <c r="M475">
        <f>IF($K475&lt;&gt;"PENDIENTE","",IF(TODAY()&gt;$I475,TODAY()-$I475,0))</f>
        <v/>
      </c>
      <c r="N475">
        <f>IF($K475&lt;&gt;"PENDIENTE","",IF($M475&gt;0,"VENCIDA - DEPOSITAR YA",IF($I475-TODAY()&lt;=3,"POR VENCER","EN PLAZO")))</f>
        <v/>
      </c>
    </row>
    <row r="476">
      <c r="A476" s="25">
        <f>IF(Registro_Compras!$R476&lt;&gt;"SI","",Registro_Compras!$B476)</f>
        <v/>
      </c>
      <c r="B476">
        <f>IF(Registro_Compras!$R476&lt;&gt;"SI","",Registro_Compras!$C476)</f>
        <v/>
      </c>
      <c r="C476">
        <f>IF(Registro_Compras!$R476&lt;&gt;"SI","",Registro_Compras!$D476)</f>
        <v/>
      </c>
      <c r="D476">
        <f>IF(Registro_Compras!$R476&lt;&gt;"SI","",Registro_Compras!$E476)</f>
        <v/>
      </c>
      <c r="E476">
        <f>IF(Registro_Compras!$R476&lt;&gt;"SI","",Registro_Compras!$G476)</f>
        <v/>
      </c>
      <c r="F476" s="31">
        <f>IF(Registro_Compras!$R476&lt;&gt;"SI","",Registro_Compras!$P476)</f>
        <v/>
      </c>
      <c r="G476" s="20">
        <f>IF(Registro_Compras!$R476&lt;&gt;"SI","",Registro_Compras!$O476)</f>
        <v/>
      </c>
      <c r="H476" s="20">
        <f>IF(Registro_Compras!$R476&lt;&gt;"SI","",Registro_Compras!$S476)</f>
        <v/>
      </c>
      <c r="I476" s="25">
        <f>IF(Registro_Compras!$R476&lt;&gt;"SI","",IF(Registro_Compras!$Y476="",WORKDAY(EOMONTH(Registro_Compras!$B476,0),5,Feriados),MIN(Registro_Compras!$Y476,WORKDAY(EOMONTH(Registro_Compras!$B476,0),5,Feriados))))</f>
        <v/>
      </c>
      <c r="J476" s="25">
        <f>IF(Registro_Compras!$R476&lt;&gt;"SI","",Registro_Compras!$X476)</f>
        <v/>
      </c>
      <c r="K476">
        <f>IF(Registro_Compras!$R476&lt;&gt;"SI","",IF(Registro_Compras!$X476="","PENDIENTE","DEPOSITADA"))</f>
        <v/>
      </c>
      <c r="L476">
        <f>IF(Registro_Compras!$R476&lt;&gt;"SI","",Registro_Compras!$Z476)</f>
        <v/>
      </c>
      <c r="M476">
        <f>IF($K476&lt;&gt;"PENDIENTE","",IF(TODAY()&gt;$I476,TODAY()-$I476,0))</f>
        <v/>
      </c>
      <c r="N476">
        <f>IF($K476&lt;&gt;"PENDIENTE","",IF($M476&gt;0,"VENCIDA - DEPOSITAR YA",IF($I476-TODAY()&lt;=3,"POR VENCER","EN PLAZO")))</f>
        <v/>
      </c>
    </row>
    <row r="477">
      <c r="A477" s="25">
        <f>IF(Registro_Compras!$R477&lt;&gt;"SI","",Registro_Compras!$B477)</f>
        <v/>
      </c>
      <c r="B477">
        <f>IF(Registro_Compras!$R477&lt;&gt;"SI","",Registro_Compras!$C477)</f>
        <v/>
      </c>
      <c r="C477">
        <f>IF(Registro_Compras!$R477&lt;&gt;"SI","",Registro_Compras!$D477)</f>
        <v/>
      </c>
      <c r="D477">
        <f>IF(Registro_Compras!$R477&lt;&gt;"SI","",Registro_Compras!$E477)</f>
        <v/>
      </c>
      <c r="E477">
        <f>IF(Registro_Compras!$R477&lt;&gt;"SI","",Registro_Compras!$G477)</f>
        <v/>
      </c>
      <c r="F477" s="31">
        <f>IF(Registro_Compras!$R477&lt;&gt;"SI","",Registro_Compras!$P477)</f>
        <v/>
      </c>
      <c r="G477" s="20">
        <f>IF(Registro_Compras!$R477&lt;&gt;"SI","",Registro_Compras!$O477)</f>
        <v/>
      </c>
      <c r="H477" s="20">
        <f>IF(Registro_Compras!$R477&lt;&gt;"SI","",Registro_Compras!$S477)</f>
        <v/>
      </c>
      <c r="I477" s="25">
        <f>IF(Registro_Compras!$R477&lt;&gt;"SI","",IF(Registro_Compras!$Y477="",WORKDAY(EOMONTH(Registro_Compras!$B477,0),5,Feriados),MIN(Registro_Compras!$Y477,WORKDAY(EOMONTH(Registro_Compras!$B477,0),5,Feriados))))</f>
        <v/>
      </c>
      <c r="J477" s="25">
        <f>IF(Registro_Compras!$R477&lt;&gt;"SI","",Registro_Compras!$X477)</f>
        <v/>
      </c>
      <c r="K477">
        <f>IF(Registro_Compras!$R477&lt;&gt;"SI","",IF(Registro_Compras!$X477="","PENDIENTE","DEPOSITADA"))</f>
        <v/>
      </c>
      <c r="L477">
        <f>IF(Registro_Compras!$R477&lt;&gt;"SI","",Registro_Compras!$Z477)</f>
        <v/>
      </c>
      <c r="M477">
        <f>IF($K477&lt;&gt;"PENDIENTE","",IF(TODAY()&gt;$I477,TODAY()-$I477,0))</f>
        <v/>
      </c>
      <c r="N477">
        <f>IF($K477&lt;&gt;"PENDIENTE","",IF($M477&gt;0,"VENCIDA - DEPOSITAR YA",IF($I477-TODAY()&lt;=3,"POR VENCER","EN PLAZO")))</f>
        <v/>
      </c>
    </row>
    <row r="478">
      <c r="A478" s="25">
        <f>IF(Registro_Compras!$R478&lt;&gt;"SI","",Registro_Compras!$B478)</f>
        <v/>
      </c>
      <c r="B478">
        <f>IF(Registro_Compras!$R478&lt;&gt;"SI","",Registro_Compras!$C478)</f>
        <v/>
      </c>
      <c r="C478">
        <f>IF(Registro_Compras!$R478&lt;&gt;"SI","",Registro_Compras!$D478)</f>
        <v/>
      </c>
      <c r="D478">
        <f>IF(Registro_Compras!$R478&lt;&gt;"SI","",Registro_Compras!$E478)</f>
        <v/>
      </c>
      <c r="E478">
        <f>IF(Registro_Compras!$R478&lt;&gt;"SI","",Registro_Compras!$G478)</f>
        <v/>
      </c>
      <c r="F478" s="31">
        <f>IF(Registro_Compras!$R478&lt;&gt;"SI","",Registro_Compras!$P478)</f>
        <v/>
      </c>
      <c r="G478" s="20">
        <f>IF(Registro_Compras!$R478&lt;&gt;"SI","",Registro_Compras!$O478)</f>
        <v/>
      </c>
      <c r="H478" s="20">
        <f>IF(Registro_Compras!$R478&lt;&gt;"SI","",Registro_Compras!$S478)</f>
        <v/>
      </c>
      <c r="I478" s="25">
        <f>IF(Registro_Compras!$R478&lt;&gt;"SI","",IF(Registro_Compras!$Y478="",WORKDAY(EOMONTH(Registro_Compras!$B478,0),5,Feriados),MIN(Registro_Compras!$Y478,WORKDAY(EOMONTH(Registro_Compras!$B478,0),5,Feriados))))</f>
        <v/>
      </c>
      <c r="J478" s="25">
        <f>IF(Registro_Compras!$R478&lt;&gt;"SI","",Registro_Compras!$X478)</f>
        <v/>
      </c>
      <c r="K478">
        <f>IF(Registro_Compras!$R478&lt;&gt;"SI","",IF(Registro_Compras!$X478="","PENDIENTE","DEPOSITADA"))</f>
        <v/>
      </c>
      <c r="L478">
        <f>IF(Registro_Compras!$R478&lt;&gt;"SI","",Registro_Compras!$Z478)</f>
        <v/>
      </c>
      <c r="M478">
        <f>IF($K478&lt;&gt;"PENDIENTE","",IF(TODAY()&gt;$I478,TODAY()-$I478,0))</f>
        <v/>
      </c>
      <c r="N478">
        <f>IF($K478&lt;&gt;"PENDIENTE","",IF($M478&gt;0,"VENCIDA - DEPOSITAR YA",IF($I478-TODAY()&lt;=3,"POR VENCER","EN PLAZO")))</f>
        <v/>
      </c>
    </row>
    <row r="479">
      <c r="A479" s="25">
        <f>IF(Registro_Compras!$R479&lt;&gt;"SI","",Registro_Compras!$B479)</f>
        <v/>
      </c>
      <c r="B479">
        <f>IF(Registro_Compras!$R479&lt;&gt;"SI","",Registro_Compras!$C479)</f>
        <v/>
      </c>
      <c r="C479">
        <f>IF(Registro_Compras!$R479&lt;&gt;"SI","",Registro_Compras!$D479)</f>
        <v/>
      </c>
      <c r="D479">
        <f>IF(Registro_Compras!$R479&lt;&gt;"SI","",Registro_Compras!$E479)</f>
        <v/>
      </c>
      <c r="E479">
        <f>IF(Registro_Compras!$R479&lt;&gt;"SI","",Registro_Compras!$G479)</f>
        <v/>
      </c>
      <c r="F479" s="31">
        <f>IF(Registro_Compras!$R479&lt;&gt;"SI","",Registro_Compras!$P479)</f>
        <v/>
      </c>
      <c r="G479" s="20">
        <f>IF(Registro_Compras!$R479&lt;&gt;"SI","",Registro_Compras!$O479)</f>
        <v/>
      </c>
      <c r="H479" s="20">
        <f>IF(Registro_Compras!$R479&lt;&gt;"SI","",Registro_Compras!$S479)</f>
        <v/>
      </c>
      <c r="I479" s="25">
        <f>IF(Registro_Compras!$R479&lt;&gt;"SI","",IF(Registro_Compras!$Y479="",WORKDAY(EOMONTH(Registro_Compras!$B479,0),5,Feriados),MIN(Registro_Compras!$Y479,WORKDAY(EOMONTH(Registro_Compras!$B479,0),5,Feriados))))</f>
        <v/>
      </c>
      <c r="J479" s="25">
        <f>IF(Registro_Compras!$R479&lt;&gt;"SI","",Registro_Compras!$X479)</f>
        <v/>
      </c>
      <c r="K479">
        <f>IF(Registro_Compras!$R479&lt;&gt;"SI","",IF(Registro_Compras!$X479="","PENDIENTE","DEPOSITADA"))</f>
        <v/>
      </c>
      <c r="L479">
        <f>IF(Registro_Compras!$R479&lt;&gt;"SI","",Registro_Compras!$Z479)</f>
        <v/>
      </c>
      <c r="M479">
        <f>IF($K479&lt;&gt;"PENDIENTE","",IF(TODAY()&gt;$I479,TODAY()-$I479,0))</f>
        <v/>
      </c>
      <c r="N479">
        <f>IF($K479&lt;&gt;"PENDIENTE","",IF($M479&gt;0,"VENCIDA - DEPOSITAR YA",IF($I479-TODAY()&lt;=3,"POR VENCER","EN PLAZO")))</f>
        <v/>
      </c>
    </row>
    <row r="480">
      <c r="A480" s="25">
        <f>IF(Registro_Compras!$R480&lt;&gt;"SI","",Registro_Compras!$B480)</f>
        <v/>
      </c>
      <c r="B480">
        <f>IF(Registro_Compras!$R480&lt;&gt;"SI","",Registro_Compras!$C480)</f>
        <v/>
      </c>
      <c r="C480">
        <f>IF(Registro_Compras!$R480&lt;&gt;"SI","",Registro_Compras!$D480)</f>
        <v/>
      </c>
      <c r="D480">
        <f>IF(Registro_Compras!$R480&lt;&gt;"SI","",Registro_Compras!$E480)</f>
        <v/>
      </c>
      <c r="E480">
        <f>IF(Registro_Compras!$R480&lt;&gt;"SI","",Registro_Compras!$G480)</f>
        <v/>
      </c>
      <c r="F480" s="31">
        <f>IF(Registro_Compras!$R480&lt;&gt;"SI","",Registro_Compras!$P480)</f>
        <v/>
      </c>
      <c r="G480" s="20">
        <f>IF(Registro_Compras!$R480&lt;&gt;"SI","",Registro_Compras!$O480)</f>
        <v/>
      </c>
      <c r="H480" s="20">
        <f>IF(Registro_Compras!$R480&lt;&gt;"SI","",Registro_Compras!$S480)</f>
        <v/>
      </c>
      <c r="I480" s="25">
        <f>IF(Registro_Compras!$R480&lt;&gt;"SI","",IF(Registro_Compras!$Y480="",WORKDAY(EOMONTH(Registro_Compras!$B480,0),5,Feriados),MIN(Registro_Compras!$Y480,WORKDAY(EOMONTH(Registro_Compras!$B480,0),5,Feriados))))</f>
        <v/>
      </c>
      <c r="J480" s="25">
        <f>IF(Registro_Compras!$R480&lt;&gt;"SI","",Registro_Compras!$X480)</f>
        <v/>
      </c>
      <c r="K480">
        <f>IF(Registro_Compras!$R480&lt;&gt;"SI","",IF(Registro_Compras!$X480="","PENDIENTE","DEPOSITADA"))</f>
        <v/>
      </c>
      <c r="L480">
        <f>IF(Registro_Compras!$R480&lt;&gt;"SI","",Registro_Compras!$Z480)</f>
        <v/>
      </c>
      <c r="M480">
        <f>IF($K480&lt;&gt;"PENDIENTE","",IF(TODAY()&gt;$I480,TODAY()-$I480,0))</f>
        <v/>
      </c>
      <c r="N480">
        <f>IF($K480&lt;&gt;"PENDIENTE","",IF($M480&gt;0,"VENCIDA - DEPOSITAR YA",IF($I480-TODAY()&lt;=3,"POR VENCER","EN PLAZO")))</f>
        <v/>
      </c>
    </row>
    <row r="481">
      <c r="A481" s="25">
        <f>IF(Registro_Compras!$R481&lt;&gt;"SI","",Registro_Compras!$B481)</f>
        <v/>
      </c>
      <c r="B481">
        <f>IF(Registro_Compras!$R481&lt;&gt;"SI","",Registro_Compras!$C481)</f>
        <v/>
      </c>
      <c r="C481">
        <f>IF(Registro_Compras!$R481&lt;&gt;"SI","",Registro_Compras!$D481)</f>
        <v/>
      </c>
      <c r="D481">
        <f>IF(Registro_Compras!$R481&lt;&gt;"SI","",Registro_Compras!$E481)</f>
        <v/>
      </c>
      <c r="E481">
        <f>IF(Registro_Compras!$R481&lt;&gt;"SI","",Registro_Compras!$G481)</f>
        <v/>
      </c>
      <c r="F481" s="31">
        <f>IF(Registro_Compras!$R481&lt;&gt;"SI","",Registro_Compras!$P481)</f>
        <v/>
      </c>
      <c r="G481" s="20">
        <f>IF(Registro_Compras!$R481&lt;&gt;"SI","",Registro_Compras!$O481)</f>
        <v/>
      </c>
      <c r="H481" s="20">
        <f>IF(Registro_Compras!$R481&lt;&gt;"SI","",Registro_Compras!$S481)</f>
        <v/>
      </c>
      <c r="I481" s="25">
        <f>IF(Registro_Compras!$R481&lt;&gt;"SI","",IF(Registro_Compras!$Y481="",WORKDAY(EOMONTH(Registro_Compras!$B481,0),5,Feriados),MIN(Registro_Compras!$Y481,WORKDAY(EOMONTH(Registro_Compras!$B481,0),5,Feriados))))</f>
        <v/>
      </c>
      <c r="J481" s="25">
        <f>IF(Registro_Compras!$R481&lt;&gt;"SI","",Registro_Compras!$X481)</f>
        <v/>
      </c>
      <c r="K481">
        <f>IF(Registro_Compras!$R481&lt;&gt;"SI","",IF(Registro_Compras!$X481="","PENDIENTE","DEPOSITADA"))</f>
        <v/>
      </c>
      <c r="L481">
        <f>IF(Registro_Compras!$R481&lt;&gt;"SI","",Registro_Compras!$Z481)</f>
        <v/>
      </c>
      <c r="M481">
        <f>IF($K481&lt;&gt;"PENDIENTE","",IF(TODAY()&gt;$I481,TODAY()-$I481,0))</f>
        <v/>
      </c>
      <c r="N481">
        <f>IF($K481&lt;&gt;"PENDIENTE","",IF($M481&gt;0,"VENCIDA - DEPOSITAR YA",IF($I481-TODAY()&lt;=3,"POR VENCER","EN PLAZO")))</f>
        <v/>
      </c>
    </row>
    <row r="482">
      <c r="A482" s="25">
        <f>IF(Registro_Compras!$R482&lt;&gt;"SI","",Registro_Compras!$B482)</f>
        <v/>
      </c>
      <c r="B482">
        <f>IF(Registro_Compras!$R482&lt;&gt;"SI","",Registro_Compras!$C482)</f>
        <v/>
      </c>
      <c r="C482">
        <f>IF(Registro_Compras!$R482&lt;&gt;"SI","",Registro_Compras!$D482)</f>
        <v/>
      </c>
      <c r="D482">
        <f>IF(Registro_Compras!$R482&lt;&gt;"SI","",Registro_Compras!$E482)</f>
        <v/>
      </c>
      <c r="E482">
        <f>IF(Registro_Compras!$R482&lt;&gt;"SI","",Registro_Compras!$G482)</f>
        <v/>
      </c>
      <c r="F482" s="31">
        <f>IF(Registro_Compras!$R482&lt;&gt;"SI","",Registro_Compras!$P482)</f>
        <v/>
      </c>
      <c r="G482" s="20">
        <f>IF(Registro_Compras!$R482&lt;&gt;"SI","",Registro_Compras!$O482)</f>
        <v/>
      </c>
      <c r="H482" s="20">
        <f>IF(Registro_Compras!$R482&lt;&gt;"SI","",Registro_Compras!$S482)</f>
        <v/>
      </c>
      <c r="I482" s="25">
        <f>IF(Registro_Compras!$R482&lt;&gt;"SI","",IF(Registro_Compras!$Y482="",WORKDAY(EOMONTH(Registro_Compras!$B482,0),5,Feriados),MIN(Registro_Compras!$Y482,WORKDAY(EOMONTH(Registro_Compras!$B482,0),5,Feriados))))</f>
        <v/>
      </c>
      <c r="J482" s="25">
        <f>IF(Registro_Compras!$R482&lt;&gt;"SI","",Registro_Compras!$X482)</f>
        <v/>
      </c>
      <c r="K482">
        <f>IF(Registro_Compras!$R482&lt;&gt;"SI","",IF(Registro_Compras!$X482="","PENDIENTE","DEPOSITADA"))</f>
        <v/>
      </c>
      <c r="L482">
        <f>IF(Registro_Compras!$R482&lt;&gt;"SI","",Registro_Compras!$Z482)</f>
        <v/>
      </c>
      <c r="M482">
        <f>IF($K482&lt;&gt;"PENDIENTE","",IF(TODAY()&gt;$I482,TODAY()-$I482,0))</f>
        <v/>
      </c>
      <c r="N482">
        <f>IF($K482&lt;&gt;"PENDIENTE","",IF($M482&gt;0,"VENCIDA - DEPOSITAR YA",IF($I482-TODAY()&lt;=3,"POR VENCER","EN PLAZO")))</f>
        <v/>
      </c>
    </row>
    <row r="483">
      <c r="A483" s="25">
        <f>IF(Registro_Compras!$R483&lt;&gt;"SI","",Registro_Compras!$B483)</f>
        <v/>
      </c>
      <c r="B483">
        <f>IF(Registro_Compras!$R483&lt;&gt;"SI","",Registro_Compras!$C483)</f>
        <v/>
      </c>
      <c r="C483">
        <f>IF(Registro_Compras!$R483&lt;&gt;"SI","",Registro_Compras!$D483)</f>
        <v/>
      </c>
      <c r="D483">
        <f>IF(Registro_Compras!$R483&lt;&gt;"SI","",Registro_Compras!$E483)</f>
        <v/>
      </c>
      <c r="E483">
        <f>IF(Registro_Compras!$R483&lt;&gt;"SI","",Registro_Compras!$G483)</f>
        <v/>
      </c>
      <c r="F483" s="31">
        <f>IF(Registro_Compras!$R483&lt;&gt;"SI","",Registro_Compras!$P483)</f>
        <v/>
      </c>
      <c r="G483" s="20">
        <f>IF(Registro_Compras!$R483&lt;&gt;"SI","",Registro_Compras!$O483)</f>
        <v/>
      </c>
      <c r="H483" s="20">
        <f>IF(Registro_Compras!$R483&lt;&gt;"SI","",Registro_Compras!$S483)</f>
        <v/>
      </c>
      <c r="I483" s="25">
        <f>IF(Registro_Compras!$R483&lt;&gt;"SI","",IF(Registro_Compras!$Y483="",WORKDAY(EOMONTH(Registro_Compras!$B483,0),5,Feriados),MIN(Registro_Compras!$Y483,WORKDAY(EOMONTH(Registro_Compras!$B483,0),5,Feriados))))</f>
        <v/>
      </c>
      <c r="J483" s="25">
        <f>IF(Registro_Compras!$R483&lt;&gt;"SI","",Registro_Compras!$X483)</f>
        <v/>
      </c>
      <c r="K483">
        <f>IF(Registro_Compras!$R483&lt;&gt;"SI","",IF(Registro_Compras!$X483="","PENDIENTE","DEPOSITADA"))</f>
        <v/>
      </c>
      <c r="L483">
        <f>IF(Registro_Compras!$R483&lt;&gt;"SI","",Registro_Compras!$Z483)</f>
        <v/>
      </c>
      <c r="M483">
        <f>IF($K483&lt;&gt;"PENDIENTE","",IF(TODAY()&gt;$I483,TODAY()-$I483,0))</f>
        <v/>
      </c>
      <c r="N483">
        <f>IF($K483&lt;&gt;"PENDIENTE","",IF($M483&gt;0,"VENCIDA - DEPOSITAR YA",IF($I483-TODAY()&lt;=3,"POR VENCER","EN PLAZO")))</f>
        <v/>
      </c>
    </row>
    <row r="484">
      <c r="A484" s="25">
        <f>IF(Registro_Compras!$R484&lt;&gt;"SI","",Registro_Compras!$B484)</f>
        <v/>
      </c>
      <c r="B484">
        <f>IF(Registro_Compras!$R484&lt;&gt;"SI","",Registro_Compras!$C484)</f>
        <v/>
      </c>
      <c r="C484">
        <f>IF(Registro_Compras!$R484&lt;&gt;"SI","",Registro_Compras!$D484)</f>
        <v/>
      </c>
      <c r="D484">
        <f>IF(Registro_Compras!$R484&lt;&gt;"SI","",Registro_Compras!$E484)</f>
        <v/>
      </c>
      <c r="E484">
        <f>IF(Registro_Compras!$R484&lt;&gt;"SI","",Registro_Compras!$G484)</f>
        <v/>
      </c>
      <c r="F484" s="31">
        <f>IF(Registro_Compras!$R484&lt;&gt;"SI","",Registro_Compras!$P484)</f>
        <v/>
      </c>
      <c r="G484" s="20">
        <f>IF(Registro_Compras!$R484&lt;&gt;"SI","",Registro_Compras!$O484)</f>
        <v/>
      </c>
      <c r="H484" s="20">
        <f>IF(Registro_Compras!$R484&lt;&gt;"SI","",Registro_Compras!$S484)</f>
        <v/>
      </c>
      <c r="I484" s="25">
        <f>IF(Registro_Compras!$R484&lt;&gt;"SI","",IF(Registro_Compras!$Y484="",WORKDAY(EOMONTH(Registro_Compras!$B484,0),5,Feriados),MIN(Registro_Compras!$Y484,WORKDAY(EOMONTH(Registro_Compras!$B484,0),5,Feriados))))</f>
        <v/>
      </c>
      <c r="J484" s="25">
        <f>IF(Registro_Compras!$R484&lt;&gt;"SI","",Registro_Compras!$X484)</f>
        <v/>
      </c>
      <c r="K484">
        <f>IF(Registro_Compras!$R484&lt;&gt;"SI","",IF(Registro_Compras!$X484="","PENDIENTE","DEPOSITADA"))</f>
        <v/>
      </c>
      <c r="L484">
        <f>IF(Registro_Compras!$R484&lt;&gt;"SI","",Registro_Compras!$Z484)</f>
        <v/>
      </c>
      <c r="M484">
        <f>IF($K484&lt;&gt;"PENDIENTE","",IF(TODAY()&gt;$I484,TODAY()-$I484,0))</f>
        <v/>
      </c>
      <c r="N484">
        <f>IF($K484&lt;&gt;"PENDIENTE","",IF($M484&gt;0,"VENCIDA - DEPOSITAR YA",IF($I484-TODAY()&lt;=3,"POR VENCER","EN PLAZO")))</f>
        <v/>
      </c>
    </row>
    <row r="485">
      <c r="A485" s="25">
        <f>IF(Registro_Compras!$R485&lt;&gt;"SI","",Registro_Compras!$B485)</f>
        <v/>
      </c>
      <c r="B485">
        <f>IF(Registro_Compras!$R485&lt;&gt;"SI","",Registro_Compras!$C485)</f>
        <v/>
      </c>
      <c r="C485">
        <f>IF(Registro_Compras!$R485&lt;&gt;"SI","",Registro_Compras!$D485)</f>
        <v/>
      </c>
      <c r="D485">
        <f>IF(Registro_Compras!$R485&lt;&gt;"SI","",Registro_Compras!$E485)</f>
        <v/>
      </c>
      <c r="E485">
        <f>IF(Registro_Compras!$R485&lt;&gt;"SI","",Registro_Compras!$G485)</f>
        <v/>
      </c>
      <c r="F485" s="31">
        <f>IF(Registro_Compras!$R485&lt;&gt;"SI","",Registro_Compras!$P485)</f>
        <v/>
      </c>
      <c r="G485" s="20">
        <f>IF(Registro_Compras!$R485&lt;&gt;"SI","",Registro_Compras!$O485)</f>
        <v/>
      </c>
      <c r="H485" s="20">
        <f>IF(Registro_Compras!$R485&lt;&gt;"SI","",Registro_Compras!$S485)</f>
        <v/>
      </c>
      <c r="I485" s="25">
        <f>IF(Registro_Compras!$R485&lt;&gt;"SI","",IF(Registro_Compras!$Y485="",WORKDAY(EOMONTH(Registro_Compras!$B485,0),5,Feriados),MIN(Registro_Compras!$Y485,WORKDAY(EOMONTH(Registro_Compras!$B485,0),5,Feriados))))</f>
        <v/>
      </c>
      <c r="J485" s="25">
        <f>IF(Registro_Compras!$R485&lt;&gt;"SI","",Registro_Compras!$X485)</f>
        <v/>
      </c>
      <c r="K485">
        <f>IF(Registro_Compras!$R485&lt;&gt;"SI","",IF(Registro_Compras!$X485="","PENDIENTE","DEPOSITADA"))</f>
        <v/>
      </c>
      <c r="L485">
        <f>IF(Registro_Compras!$R485&lt;&gt;"SI","",Registro_Compras!$Z485)</f>
        <v/>
      </c>
      <c r="M485">
        <f>IF($K485&lt;&gt;"PENDIENTE","",IF(TODAY()&gt;$I485,TODAY()-$I485,0))</f>
        <v/>
      </c>
      <c r="N485">
        <f>IF($K485&lt;&gt;"PENDIENTE","",IF($M485&gt;0,"VENCIDA - DEPOSITAR YA",IF($I485-TODAY()&lt;=3,"POR VENCER","EN PLAZO")))</f>
        <v/>
      </c>
    </row>
    <row r="486">
      <c r="A486" s="25">
        <f>IF(Registro_Compras!$R486&lt;&gt;"SI","",Registro_Compras!$B486)</f>
        <v/>
      </c>
      <c r="B486">
        <f>IF(Registro_Compras!$R486&lt;&gt;"SI","",Registro_Compras!$C486)</f>
        <v/>
      </c>
      <c r="C486">
        <f>IF(Registro_Compras!$R486&lt;&gt;"SI","",Registro_Compras!$D486)</f>
        <v/>
      </c>
      <c r="D486">
        <f>IF(Registro_Compras!$R486&lt;&gt;"SI","",Registro_Compras!$E486)</f>
        <v/>
      </c>
      <c r="E486">
        <f>IF(Registro_Compras!$R486&lt;&gt;"SI","",Registro_Compras!$G486)</f>
        <v/>
      </c>
      <c r="F486" s="31">
        <f>IF(Registro_Compras!$R486&lt;&gt;"SI","",Registro_Compras!$P486)</f>
        <v/>
      </c>
      <c r="G486" s="20">
        <f>IF(Registro_Compras!$R486&lt;&gt;"SI","",Registro_Compras!$O486)</f>
        <v/>
      </c>
      <c r="H486" s="20">
        <f>IF(Registro_Compras!$R486&lt;&gt;"SI","",Registro_Compras!$S486)</f>
        <v/>
      </c>
      <c r="I486" s="25">
        <f>IF(Registro_Compras!$R486&lt;&gt;"SI","",IF(Registro_Compras!$Y486="",WORKDAY(EOMONTH(Registro_Compras!$B486,0),5,Feriados),MIN(Registro_Compras!$Y486,WORKDAY(EOMONTH(Registro_Compras!$B486,0),5,Feriados))))</f>
        <v/>
      </c>
      <c r="J486" s="25">
        <f>IF(Registro_Compras!$R486&lt;&gt;"SI","",Registro_Compras!$X486)</f>
        <v/>
      </c>
      <c r="K486">
        <f>IF(Registro_Compras!$R486&lt;&gt;"SI","",IF(Registro_Compras!$X486="","PENDIENTE","DEPOSITADA"))</f>
        <v/>
      </c>
      <c r="L486">
        <f>IF(Registro_Compras!$R486&lt;&gt;"SI","",Registro_Compras!$Z486)</f>
        <v/>
      </c>
      <c r="M486">
        <f>IF($K486&lt;&gt;"PENDIENTE","",IF(TODAY()&gt;$I486,TODAY()-$I486,0))</f>
        <v/>
      </c>
      <c r="N486">
        <f>IF($K486&lt;&gt;"PENDIENTE","",IF($M486&gt;0,"VENCIDA - DEPOSITAR YA",IF($I486-TODAY()&lt;=3,"POR VENCER","EN PLAZO")))</f>
        <v/>
      </c>
    </row>
    <row r="487">
      <c r="A487" s="25">
        <f>IF(Registro_Compras!$R487&lt;&gt;"SI","",Registro_Compras!$B487)</f>
        <v/>
      </c>
      <c r="B487">
        <f>IF(Registro_Compras!$R487&lt;&gt;"SI","",Registro_Compras!$C487)</f>
        <v/>
      </c>
      <c r="C487">
        <f>IF(Registro_Compras!$R487&lt;&gt;"SI","",Registro_Compras!$D487)</f>
        <v/>
      </c>
      <c r="D487">
        <f>IF(Registro_Compras!$R487&lt;&gt;"SI","",Registro_Compras!$E487)</f>
        <v/>
      </c>
      <c r="E487">
        <f>IF(Registro_Compras!$R487&lt;&gt;"SI","",Registro_Compras!$G487)</f>
        <v/>
      </c>
      <c r="F487" s="31">
        <f>IF(Registro_Compras!$R487&lt;&gt;"SI","",Registro_Compras!$P487)</f>
        <v/>
      </c>
      <c r="G487" s="20">
        <f>IF(Registro_Compras!$R487&lt;&gt;"SI","",Registro_Compras!$O487)</f>
        <v/>
      </c>
      <c r="H487" s="20">
        <f>IF(Registro_Compras!$R487&lt;&gt;"SI","",Registro_Compras!$S487)</f>
        <v/>
      </c>
      <c r="I487" s="25">
        <f>IF(Registro_Compras!$R487&lt;&gt;"SI","",IF(Registro_Compras!$Y487="",WORKDAY(EOMONTH(Registro_Compras!$B487,0),5,Feriados),MIN(Registro_Compras!$Y487,WORKDAY(EOMONTH(Registro_Compras!$B487,0),5,Feriados))))</f>
        <v/>
      </c>
      <c r="J487" s="25">
        <f>IF(Registro_Compras!$R487&lt;&gt;"SI","",Registro_Compras!$X487)</f>
        <v/>
      </c>
      <c r="K487">
        <f>IF(Registro_Compras!$R487&lt;&gt;"SI","",IF(Registro_Compras!$X487="","PENDIENTE","DEPOSITADA"))</f>
        <v/>
      </c>
      <c r="L487">
        <f>IF(Registro_Compras!$R487&lt;&gt;"SI","",Registro_Compras!$Z487)</f>
        <v/>
      </c>
      <c r="M487">
        <f>IF($K487&lt;&gt;"PENDIENTE","",IF(TODAY()&gt;$I487,TODAY()-$I487,0))</f>
        <v/>
      </c>
      <c r="N487">
        <f>IF($K487&lt;&gt;"PENDIENTE","",IF($M487&gt;0,"VENCIDA - DEPOSITAR YA",IF($I487-TODAY()&lt;=3,"POR VENCER","EN PLAZO")))</f>
        <v/>
      </c>
    </row>
    <row r="488">
      <c r="A488" s="25">
        <f>IF(Registro_Compras!$R488&lt;&gt;"SI","",Registro_Compras!$B488)</f>
        <v/>
      </c>
      <c r="B488">
        <f>IF(Registro_Compras!$R488&lt;&gt;"SI","",Registro_Compras!$C488)</f>
        <v/>
      </c>
      <c r="C488">
        <f>IF(Registro_Compras!$R488&lt;&gt;"SI","",Registro_Compras!$D488)</f>
        <v/>
      </c>
      <c r="D488">
        <f>IF(Registro_Compras!$R488&lt;&gt;"SI","",Registro_Compras!$E488)</f>
        <v/>
      </c>
      <c r="E488">
        <f>IF(Registro_Compras!$R488&lt;&gt;"SI","",Registro_Compras!$G488)</f>
        <v/>
      </c>
      <c r="F488" s="31">
        <f>IF(Registro_Compras!$R488&lt;&gt;"SI","",Registro_Compras!$P488)</f>
        <v/>
      </c>
      <c r="G488" s="20">
        <f>IF(Registro_Compras!$R488&lt;&gt;"SI","",Registro_Compras!$O488)</f>
        <v/>
      </c>
      <c r="H488" s="20">
        <f>IF(Registro_Compras!$R488&lt;&gt;"SI","",Registro_Compras!$S488)</f>
        <v/>
      </c>
      <c r="I488" s="25">
        <f>IF(Registro_Compras!$R488&lt;&gt;"SI","",IF(Registro_Compras!$Y488="",WORKDAY(EOMONTH(Registro_Compras!$B488,0),5,Feriados),MIN(Registro_Compras!$Y488,WORKDAY(EOMONTH(Registro_Compras!$B488,0),5,Feriados))))</f>
        <v/>
      </c>
      <c r="J488" s="25">
        <f>IF(Registro_Compras!$R488&lt;&gt;"SI","",Registro_Compras!$X488)</f>
        <v/>
      </c>
      <c r="K488">
        <f>IF(Registro_Compras!$R488&lt;&gt;"SI","",IF(Registro_Compras!$X488="","PENDIENTE","DEPOSITADA"))</f>
        <v/>
      </c>
      <c r="L488">
        <f>IF(Registro_Compras!$R488&lt;&gt;"SI","",Registro_Compras!$Z488)</f>
        <v/>
      </c>
      <c r="M488">
        <f>IF($K488&lt;&gt;"PENDIENTE","",IF(TODAY()&gt;$I488,TODAY()-$I488,0))</f>
        <v/>
      </c>
      <c r="N488">
        <f>IF($K488&lt;&gt;"PENDIENTE","",IF($M488&gt;0,"VENCIDA - DEPOSITAR YA",IF($I488-TODAY()&lt;=3,"POR VENCER","EN PLAZO")))</f>
        <v/>
      </c>
    </row>
    <row r="489">
      <c r="A489" s="25">
        <f>IF(Registro_Compras!$R489&lt;&gt;"SI","",Registro_Compras!$B489)</f>
        <v/>
      </c>
      <c r="B489">
        <f>IF(Registro_Compras!$R489&lt;&gt;"SI","",Registro_Compras!$C489)</f>
        <v/>
      </c>
      <c r="C489">
        <f>IF(Registro_Compras!$R489&lt;&gt;"SI","",Registro_Compras!$D489)</f>
        <v/>
      </c>
      <c r="D489">
        <f>IF(Registro_Compras!$R489&lt;&gt;"SI","",Registro_Compras!$E489)</f>
        <v/>
      </c>
      <c r="E489">
        <f>IF(Registro_Compras!$R489&lt;&gt;"SI","",Registro_Compras!$G489)</f>
        <v/>
      </c>
      <c r="F489" s="31">
        <f>IF(Registro_Compras!$R489&lt;&gt;"SI","",Registro_Compras!$P489)</f>
        <v/>
      </c>
      <c r="G489" s="20">
        <f>IF(Registro_Compras!$R489&lt;&gt;"SI","",Registro_Compras!$O489)</f>
        <v/>
      </c>
      <c r="H489" s="20">
        <f>IF(Registro_Compras!$R489&lt;&gt;"SI","",Registro_Compras!$S489)</f>
        <v/>
      </c>
      <c r="I489" s="25">
        <f>IF(Registro_Compras!$R489&lt;&gt;"SI","",IF(Registro_Compras!$Y489="",WORKDAY(EOMONTH(Registro_Compras!$B489,0),5,Feriados),MIN(Registro_Compras!$Y489,WORKDAY(EOMONTH(Registro_Compras!$B489,0),5,Feriados))))</f>
        <v/>
      </c>
      <c r="J489" s="25">
        <f>IF(Registro_Compras!$R489&lt;&gt;"SI","",Registro_Compras!$X489)</f>
        <v/>
      </c>
      <c r="K489">
        <f>IF(Registro_Compras!$R489&lt;&gt;"SI","",IF(Registro_Compras!$X489="","PENDIENTE","DEPOSITADA"))</f>
        <v/>
      </c>
      <c r="L489">
        <f>IF(Registro_Compras!$R489&lt;&gt;"SI","",Registro_Compras!$Z489)</f>
        <v/>
      </c>
      <c r="M489">
        <f>IF($K489&lt;&gt;"PENDIENTE","",IF(TODAY()&gt;$I489,TODAY()-$I489,0))</f>
        <v/>
      </c>
      <c r="N489">
        <f>IF($K489&lt;&gt;"PENDIENTE","",IF($M489&gt;0,"VENCIDA - DEPOSITAR YA",IF($I489-TODAY()&lt;=3,"POR VENCER","EN PLAZO")))</f>
        <v/>
      </c>
    </row>
    <row r="490">
      <c r="A490" s="25">
        <f>IF(Registro_Compras!$R490&lt;&gt;"SI","",Registro_Compras!$B490)</f>
        <v/>
      </c>
      <c r="B490">
        <f>IF(Registro_Compras!$R490&lt;&gt;"SI","",Registro_Compras!$C490)</f>
        <v/>
      </c>
      <c r="C490">
        <f>IF(Registro_Compras!$R490&lt;&gt;"SI","",Registro_Compras!$D490)</f>
        <v/>
      </c>
      <c r="D490">
        <f>IF(Registro_Compras!$R490&lt;&gt;"SI","",Registro_Compras!$E490)</f>
        <v/>
      </c>
      <c r="E490">
        <f>IF(Registro_Compras!$R490&lt;&gt;"SI","",Registro_Compras!$G490)</f>
        <v/>
      </c>
      <c r="F490" s="31">
        <f>IF(Registro_Compras!$R490&lt;&gt;"SI","",Registro_Compras!$P490)</f>
        <v/>
      </c>
      <c r="G490" s="20">
        <f>IF(Registro_Compras!$R490&lt;&gt;"SI","",Registro_Compras!$O490)</f>
        <v/>
      </c>
      <c r="H490" s="20">
        <f>IF(Registro_Compras!$R490&lt;&gt;"SI","",Registro_Compras!$S490)</f>
        <v/>
      </c>
      <c r="I490" s="25">
        <f>IF(Registro_Compras!$R490&lt;&gt;"SI","",IF(Registro_Compras!$Y490="",WORKDAY(EOMONTH(Registro_Compras!$B490,0),5,Feriados),MIN(Registro_Compras!$Y490,WORKDAY(EOMONTH(Registro_Compras!$B490,0),5,Feriados))))</f>
        <v/>
      </c>
      <c r="J490" s="25">
        <f>IF(Registro_Compras!$R490&lt;&gt;"SI","",Registro_Compras!$X490)</f>
        <v/>
      </c>
      <c r="K490">
        <f>IF(Registro_Compras!$R490&lt;&gt;"SI","",IF(Registro_Compras!$X490="","PENDIENTE","DEPOSITADA"))</f>
        <v/>
      </c>
      <c r="L490">
        <f>IF(Registro_Compras!$R490&lt;&gt;"SI","",Registro_Compras!$Z490)</f>
        <v/>
      </c>
      <c r="M490">
        <f>IF($K490&lt;&gt;"PENDIENTE","",IF(TODAY()&gt;$I490,TODAY()-$I490,0))</f>
        <v/>
      </c>
      <c r="N490">
        <f>IF($K490&lt;&gt;"PENDIENTE","",IF($M490&gt;0,"VENCIDA - DEPOSITAR YA",IF($I490-TODAY()&lt;=3,"POR VENCER","EN PLAZO")))</f>
        <v/>
      </c>
    </row>
    <row r="491">
      <c r="A491" s="25">
        <f>IF(Registro_Compras!$R491&lt;&gt;"SI","",Registro_Compras!$B491)</f>
        <v/>
      </c>
      <c r="B491">
        <f>IF(Registro_Compras!$R491&lt;&gt;"SI","",Registro_Compras!$C491)</f>
        <v/>
      </c>
      <c r="C491">
        <f>IF(Registro_Compras!$R491&lt;&gt;"SI","",Registro_Compras!$D491)</f>
        <v/>
      </c>
      <c r="D491">
        <f>IF(Registro_Compras!$R491&lt;&gt;"SI","",Registro_Compras!$E491)</f>
        <v/>
      </c>
      <c r="E491">
        <f>IF(Registro_Compras!$R491&lt;&gt;"SI","",Registro_Compras!$G491)</f>
        <v/>
      </c>
      <c r="F491" s="31">
        <f>IF(Registro_Compras!$R491&lt;&gt;"SI","",Registro_Compras!$P491)</f>
        <v/>
      </c>
      <c r="G491" s="20">
        <f>IF(Registro_Compras!$R491&lt;&gt;"SI","",Registro_Compras!$O491)</f>
        <v/>
      </c>
      <c r="H491" s="20">
        <f>IF(Registro_Compras!$R491&lt;&gt;"SI","",Registro_Compras!$S491)</f>
        <v/>
      </c>
      <c r="I491" s="25">
        <f>IF(Registro_Compras!$R491&lt;&gt;"SI","",IF(Registro_Compras!$Y491="",WORKDAY(EOMONTH(Registro_Compras!$B491,0),5,Feriados),MIN(Registro_Compras!$Y491,WORKDAY(EOMONTH(Registro_Compras!$B491,0),5,Feriados))))</f>
        <v/>
      </c>
      <c r="J491" s="25">
        <f>IF(Registro_Compras!$R491&lt;&gt;"SI","",Registro_Compras!$X491)</f>
        <v/>
      </c>
      <c r="K491">
        <f>IF(Registro_Compras!$R491&lt;&gt;"SI","",IF(Registro_Compras!$X491="","PENDIENTE","DEPOSITADA"))</f>
        <v/>
      </c>
      <c r="L491">
        <f>IF(Registro_Compras!$R491&lt;&gt;"SI","",Registro_Compras!$Z491)</f>
        <v/>
      </c>
      <c r="M491">
        <f>IF($K491&lt;&gt;"PENDIENTE","",IF(TODAY()&gt;$I491,TODAY()-$I491,0))</f>
        <v/>
      </c>
      <c r="N491">
        <f>IF($K491&lt;&gt;"PENDIENTE","",IF($M491&gt;0,"VENCIDA - DEPOSITAR YA",IF($I491-TODAY()&lt;=3,"POR VENCER","EN PLAZO")))</f>
        <v/>
      </c>
    </row>
    <row r="492">
      <c r="A492" s="25">
        <f>IF(Registro_Compras!$R492&lt;&gt;"SI","",Registro_Compras!$B492)</f>
        <v/>
      </c>
      <c r="B492">
        <f>IF(Registro_Compras!$R492&lt;&gt;"SI","",Registro_Compras!$C492)</f>
        <v/>
      </c>
      <c r="C492">
        <f>IF(Registro_Compras!$R492&lt;&gt;"SI","",Registro_Compras!$D492)</f>
        <v/>
      </c>
      <c r="D492">
        <f>IF(Registro_Compras!$R492&lt;&gt;"SI","",Registro_Compras!$E492)</f>
        <v/>
      </c>
      <c r="E492">
        <f>IF(Registro_Compras!$R492&lt;&gt;"SI","",Registro_Compras!$G492)</f>
        <v/>
      </c>
      <c r="F492" s="31">
        <f>IF(Registro_Compras!$R492&lt;&gt;"SI","",Registro_Compras!$P492)</f>
        <v/>
      </c>
      <c r="G492" s="20">
        <f>IF(Registro_Compras!$R492&lt;&gt;"SI","",Registro_Compras!$O492)</f>
        <v/>
      </c>
      <c r="H492" s="20">
        <f>IF(Registro_Compras!$R492&lt;&gt;"SI","",Registro_Compras!$S492)</f>
        <v/>
      </c>
      <c r="I492" s="25">
        <f>IF(Registro_Compras!$R492&lt;&gt;"SI","",IF(Registro_Compras!$Y492="",WORKDAY(EOMONTH(Registro_Compras!$B492,0),5,Feriados),MIN(Registro_Compras!$Y492,WORKDAY(EOMONTH(Registro_Compras!$B492,0),5,Feriados))))</f>
        <v/>
      </c>
      <c r="J492" s="25">
        <f>IF(Registro_Compras!$R492&lt;&gt;"SI","",Registro_Compras!$X492)</f>
        <v/>
      </c>
      <c r="K492">
        <f>IF(Registro_Compras!$R492&lt;&gt;"SI","",IF(Registro_Compras!$X492="","PENDIENTE","DEPOSITADA"))</f>
        <v/>
      </c>
      <c r="L492">
        <f>IF(Registro_Compras!$R492&lt;&gt;"SI","",Registro_Compras!$Z492)</f>
        <v/>
      </c>
      <c r="M492">
        <f>IF($K492&lt;&gt;"PENDIENTE","",IF(TODAY()&gt;$I492,TODAY()-$I492,0))</f>
        <v/>
      </c>
      <c r="N492">
        <f>IF($K492&lt;&gt;"PENDIENTE","",IF($M492&gt;0,"VENCIDA - DEPOSITAR YA",IF($I492-TODAY()&lt;=3,"POR VENCER","EN PLAZO")))</f>
        <v/>
      </c>
    </row>
    <row r="493">
      <c r="A493" s="25">
        <f>IF(Registro_Compras!$R493&lt;&gt;"SI","",Registro_Compras!$B493)</f>
        <v/>
      </c>
      <c r="B493">
        <f>IF(Registro_Compras!$R493&lt;&gt;"SI","",Registro_Compras!$C493)</f>
        <v/>
      </c>
      <c r="C493">
        <f>IF(Registro_Compras!$R493&lt;&gt;"SI","",Registro_Compras!$D493)</f>
        <v/>
      </c>
      <c r="D493">
        <f>IF(Registro_Compras!$R493&lt;&gt;"SI","",Registro_Compras!$E493)</f>
        <v/>
      </c>
      <c r="E493">
        <f>IF(Registro_Compras!$R493&lt;&gt;"SI","",Registro_Compras!$G493)</f>
        <v/>
      </c>
      <c r="F493" s="31">
        <f>IF(Registro_Compras!$R493&lt;&gt;"SI","",Registro_Compras!$P493)</f>
        <v/>
      </c>
      <c r="G493" s="20">
        <f>IF(Registro_Compras!$R493&lt;&gt;"SI","",Registro_Compras!$O493)</f>
        <v/>
      </c>
      <c r="H493" s="20">
        <f>IF(Registro_Compras!$R493&lt;&gt;"SI","",Registro_Compras!$S493)</f>
        <v/>
      </c>
      <c r="I493" s="25">
        <f>IF(Registro_Compras!$R493&lt;&gt;"SI","",IF(Registro_Compras!$Y493="",WORKDAY(EOMONTH(Registro_Compras!$B493,0),5,Feriados),MIN(Registro_Compras!$Y493,WORKDAY(EOMONTH(Registro_Compras!$B493,0),5,Feriados))))</f>
        <v/>
      </c>
      <c r="J493" s="25">
        <f>IF(Registro_Compras!$R493&lt;&gt;"SI","",Registro_Compras!$X493)</f>
        <v/>
      </c>
      <c r="K493">
        <f>IF(Registro_Compras!$R493&lt;&gt;"SI","",IF(Registro_Compras!$X493="","PENDIENTE","DEPOSITADA"))</f>
        <v/>
      </c>
      <c r="L493">
        <f>IF(Registro_Compras!$R493&lt;&gt;"SI","",Registro_Compras!$Z493)</f>
        <v/>
      </c>
      <c r="M493">
        <f>IF($K493&lt;&gt;"PENDIENTE","",IF(TODAY()&gt;$I493,TODAY()-$I493,0))</f>
        <v/>
      </c>
      <c r="N493">
        <f>IF($K493&lt;&gt;"PENDIENTE","",IF($M493&gt;0,"VENCIDA - DEPOSITAR YA",IF($I493-TODAY()&lt;=3,"POR VENCER","EN PLAZO")))</f>
        <v/>
      </c>
    </row>
    <row r="494">
      <c r="A494" s="25">
        <f>IF(Registro_Compras!$R494&lt;&gt;"SI","",Registro_Compras!$B494)</f>
        <v/>
      </c>
      <c r="B494">
        <f>IF(Registro_Compras!$R494&lt;&gt;"SI","",Registro_Compras!$C494)</f>
        <v/>
      </c>
      <c r="C494">
        <f>IF(Registro_Compras!$R494&lt;&gt;"SI","",Registro_Compras!$D494)</f>
        <v/>
      </c>
      <c r="D494">
        <f>IF(Registro_Compras!$R494&lt;&gt;"SI","",Registro_Compras!$E494)</f>
        <v/>
      </c>
      <c r="E494">
        <f>IF(Registro_Compras!$R494&lt;&gt;"SI","",Registro_Compras!$G494)</f>
        <v/>
      </c>
      <c r="F494" s="31">
        <f>IF(Registro_Compras!$R494&lt;&gt;"SI","",Registro_Compras!$P494)</f>
        <v/>
      </c>
      <c r="G494" s="20">
        <f>IF(Registro_Compras!$R494&lt;&gt;"SI","",Registro_Compras!$O494)</f>
        <v/>
      </c>
      <c r="H494" s="20">
        <f>IF(Registro_Compras!$R494&lt;&gt;"SI","",Registro_Compras!$S494)</f>
        <v/>
      </c>
      <c r="I494" s="25">
        <f>IF(Registro_Compras!$R494&lt;&gt;"SI","",IF(Registro_Compras!$Y494="",WORKDAY(EOMONTH(Registro_Compras!$B494,0),5,Feriados),MIN(Registro_Compras!$Y494,WORKDAY(EOMONTH(Registro_Compras!$B494,0),5,Feriados))))</f>
        <v/>
      </c>
      <c r="J494" s="25">
        <f>IF(Registro_Compras!$R494&lt;&gt;"SI","",Registro_Compras!$X494)</f>
        <v/>
      </c>
      <c r="K494">
        <f>IF(Registro_Compras!$R494&lt;&gt;"SI","",IF(Registro_Compras!$X494="","PENDIENTE","DEPOSITADA"))</f>
        <v/>
      </c>
      <c r="L494">
        <f>IF(Registro_Compras!$R494&lt;&gt;"SI","",Registro_Compras!$Z494)</f>
        <v/>
      </c>
      <c r="M494">
        <f>IF($K494&lt;&gt;"PENDIENTE","",IF(TODAY()&gt;$I494,TODAY()-$I494,0))</f>
        <v/>
      </c>
      <c r="N494">
        <f>IF($K494&lt;&gt;"PENDIENTE","",IF($M494&gt;0,"VENCIDA - DEPOSITAR YA",IF($I494-TODAY()&lt;=3,"POR VENCER","EN PLAZO")))</f>
        <v/>
      </c>
    </row>
    <row r="495">
      <c r="A495" s="25">
        <f>IF(Registro_Compras!$R495&lt;&gt;"SI","",Registro_Compras!$B495)</f>
        <v/>
      </c>
      <c r="B495">
        <f>IF(Registro_Compras!$R495&lt;&gt;"SI","",Registro_Compras!$C495)</f>
        <v/>
      </c>
      <c r="C495">
        <f>IF(Registro_Compras!$R495&lt;&gt;"SI","",Registro_Compras!$D495)</f>
        <v/>
      </c>
      <c r="D495">
        <f>IF(Registro_Compras!$R495&lt;&gt;"SI","",Registro_Compras!$E495)</f>
        <v/>
      </c>
      <c r="E495">
        <f>IF(Registro_Compras!$R495&lt;&gt;"SI","",Registro_Compras!$G495)</f>
        <v/>
      </c>
      <c r="F495" s="31">
        <f>IF(Registro_Compras!$R495&lt;&gt;"SI","",Registro_Compras!$P495)</f>
        <v/>
      </c>
      <c r="G495" s="20">
        <f>IF(Registro_Compras!$R495&lt;&gt;"SI","",Registro_Compras!$O495)</f>
        <v/>
      </c>
      <c r="H495" s="20">
        <f>IF(Registro_Compras!$R495&lt;&gt;"SI","",Registro_Compras!$S495)</f>
        <v/>
      </c>
      <c r="I495" s="25">
        <f>IF(Registro_Compras!$R495&lt;&gt;"SI","",IF(Registro_Compras!$Y495="",WORKDAY(EOMONTH(Registro_Compras!$B495,0),5,Feriados),MIN(Registro_Compras!$Y495,WORKDAY(EOMONTH(Registro_Compras!$B495,0),5,Feriados))))</f>
        <v/>
      </c>
      <c r="J495" s="25">
        <f>IF(Registro_Compras!$R495&lt;&gt;"SI","",Registro_Compras!$X495)</f>
        <v/>
      </c>
      <c r="K495">
        <f>IF(Registro_Compras!$R495&lt;&gt;"SI","",IF(Registro_Compras!$X495="","PENDIENTE","DEPOSITADA"))</f>
        <v/>
      </c>
      <c r="L495">
        <f>IF(Registro_Compras!$R495&lt;&gt;"SI","",Registro_Compras!$Z495)</f>
        <v/>
      </c>
      <c r="M495">
        <f>IF($K495&lt;&gt;"PENDIENTE","",IF(TODAY()&gt;$I495,TODAY()-$I495,0))</f>
        <v/>
      </c>
      <c r="N495">
        <f>IF($K495&lt;&gt;"PENDIENTE","",IF($M495&gt;0,"VENCIDA - DEPOSITAR YA",IF($I495-TODAY()&lt;=3,"POR VENCER","EN PLAZO")))</f>
        <v/>
      </c>
    </row>
    <row r="496">
      <c r="A496" s="25">
        <f>IF(Registro_Compras!$R496&lt;&gt;"SI","",Registro_Compras!$B496)</f>
        <v/>
      </c>
      <c r="B496">
        <f>IF(Registro_Compras!$R496&lt;&gt;"SI","",Registro_Compras!$C496)</f>
        <v/>
      </c>
      <c r="C496">
        <f>IF(Registro_Compras!$R496&lt;&gt;"SI","",Registro_Compras!$D496)</f>
        <v/>
      </c>
      <c r="D496">
        <f>IF(Registro_Compras!$R496&lt;&gt;"SI","",Registro_Compras!$E496)</f>
        <v/>
      </c>
      <c r="E496">
        <f>IF(Registro_Compras!$R496&lt;&gt;"SI","",Registro_Compras!$G496)</f>
        <v/>
      </c>
      <c r="F496" s="31">
        <f>IF(Registro_Compras!$R496&lt;&gt;"SI","",Registro_Compras!$P496)</f>
        <v/>
      </c>
      <c r="G496" s="20">
        <f>IF(Registro_Compras!$R496&lt;&gt;"SI","",Registro_Compras!$O496)</f>
        <v/>
      </c>
      <c r="H496" s="20">
        <f>IF(Registro_Compras!$R496&lt;&gt;"SI","",Registro_Compras!$S496)</f>
        <v/>
      </c>
      <c r="I496" s="25">
        <f>IF(Registro_Compras!$R496&lt;&gt;"SI","",IF(Registro_Compras!$Y496="",WORKDAY(EOMONTH(Registro_Compras!$B496,0),5,Feriados),MIN(Registro_Compras!$Y496,WORKDAY(EOMONTH(Registro_Compras!$B496,0),5,Feriados))))</f>
        <v/>
      </c>
      <c r="J496" s="25">
        <f>IF(Registro_Compras!$R496&lt;&gt;"SI","",Registro_Compras!$X496)</f>
        <v/>
      </c>
      <c r="K496">
        <f>IF(Registro_Compras!$R496&lt;&gt;"SI","",IF(Registro_Compras!$X496="","PENDIENTE","DEPOSITADA"))</f>
        <v/>
      </c>
      <c r="L496">
        <f>IF(Registro_Compras!$R496&lt;&gt;"SI","",Registro_Compras!$Z496)</f>
        <v/>
      </c>
      <c r="M496">
        <f>IF($K496&lt;&gt;"PENDIENTE","",IF(TODAY()&gt;$I496,TODAY()-$I496,0))</f>
        <v/>
      </c>
      <c r="N496">
        <f>IF($K496&lt;&gt;"PENDIENTE","",IF($M496&gt;0,"VENCIDA - DEPOSITAR YA",IF($I496-TODAY()&lt;=3,"POR VENCER","EN PLAZO")))</f>
        <v/>
      </c>
    </row>
    <row r="497">
      <c r="A497" s="25">
        <f>IF(Registro_Compras!$R497&lt;&gt;"SI","",Registro_Compras!$B497)</f>
        <v/>
      </c>
      <c r="B497">
        <f>IF(Registro_Compras!$R497&lt;&gt;"SI","",Registro_Compras!$C497)</f>
        <v/>
      </c>
      <c r="C497">
        <f>IF(Registro_Compras!$R497&lt;&gt;"SI","",Registro_Compras!$D497)</f>
        <v/>
      </c>
      <c r="D497">
        <f>IF(Registro_Compras!$R497&lt;&gt;"SI","",Registro_Compras!$E497)</f>
        <v/>
      </c>
      <c r="E497">
        <f>IF(Registro_Compras!$R497&lt;&gt;"SI","",Registro_Compras!$G497)</f>
        <v/>
      </c>
      <c r="F497" s="31">
        <f>IF(Registro_Compras!$R497&lt;&gt;"SI","",Registro_Compras!$P497)</f>
        <v/>
      </c>
      <c r="G497" s="20">
        <f>IF(Registro_Compras!$R497&lt;&gt;"SI","",Registro_Compras!$O497)</f>
        <v/>
      </c>
      <c r="H497" s="20">
        <f>IF(Registro_Compras!$R497&lt;&gt;"SI","",Registro_Compras!$S497)</f>
        <v/>
      </c>
      <c r="I497" s="25">
        <f>IF(Registro_Compras!$R497&lt;&gt;"SI","",IF(Registro_Compras!$Y497="",WORKDAY(EOMONTH(Registro_Compras!$B497,0),5,Feriados),MIN(Registro_Compras!$Y497,WORKDAY(EOMONTH(Registro_Compras!$B497,0),5,Feriados))))</f>
        <v/>
      </c>
      <c r="J497" s="25">
        <f>IF(Registro_Compras!$R497&lt;&gt;"SI","",Registro_Compras!$X497)</f>
        <v/>
      </c>
      <c r="K497">
        <f>IF(Registro_Compras!$R497&lt;&gt;"SI","",IF(Registro_Compras!$X497="","PENDIENTE","DEPOSITADA"))</f>
        <v/>
      </c>
      <c r="L497">
        <f>IF(Registro_Compras!$R497&lt;&gt;"SI","",Registro_Compras!$Z497)</f>
        <v/>
      </c>
      <c r="M497">
        <f>IF($K497&lt;&gt;"PENDIENTE","",IF(TODAY()&gt;$I497,TODAY()-$I497,0))</f>
        <v/>
      </c>
      <c r="N497">
        <f>IF($K497&lt;&gt;"PENDIENTE","",IF($M497&gt;0,"VENCIDA - DEPOSITAR YA",IF($I497-TODAY()&lt;=3,"POR VENCER","EN PLAZO")))</f>
        <v/>
      </c>
    </row>
    <row r="498">
      <c r="A498" s="25">
        <f>IF(Registro_Compras!$R498&lt;&gt;"SI","",Registro_Compras!$B498)</f>
        <v/>
      </c>
      <c r="B498">
        <f>IF(Registro_Compras!$R498&lt;&gt;"SI","",Registro_Compras!$C498)</f>
        <v/>
      </c>
      <c r="C498">
        <f>IF(Registro_Compras!$R498&lt;&gt;"SI","",Registro_Compras!$D498)</f>
        <v/>
      </c>
      <c r="D498">
        <f>IF(Registro_Compras!$R498&lt;&gt;"SI","",Registro_Compras!$E498)</f>
        <v/>
      </c>
      <c r="E498">
        <f>IF(Registro_Compras!$R498&lt;&gt;"SI","",Registro_Compras!$G498)</f>
        <v/>
      </c>
      <c r="F498" s="31">
        <f>IF(Registro_Compras!$R498&lt;&gt;"SI","",Registro_Compras!$P498)</f>
        <v/>
      </c>
      <c r="G498" s="20">
        <f>IF(Registro_Compras!$R498&lt;&gt;"SI","",Registro_Compras!$O498)</f>
        <v/>
      </c>
      <c r="H498" s="20">
        <f>IF(Registro_Compras!$R498&lt;&gt;"SI","",Registro_Compras!$S498)</f>
        <v/>
      </c>
      <c r="I498" s="25">
        <f>IF(Registro_Compras!$R498&lt;&gt;"SI","",IF(Registro_Compras!$Y498="",WORKDAY(EOMONTH(Registro_Compras!$B498,0),5,Feriados),MIN(Registro_Compras!$Y498,WORKDAY(EOMONTH(Registro_Compras!$B498,0),5,Feriados))))</f>
        <v/>
      </c>
      <c r="J498" s="25">
        <f>IF(Registro_Compras!$R498&lt;&gt;"SI","",Registro_Compras!$X498)</f>
        <v/>
      </c>
      <c r="K498">
        <f>IF(Registro_Compras!$R498&lt;&gt;"SI","",IF(Registro_Compras!$X498="","PENDIENTE","DEPOSITADA"))</f>
        <v/>
      </c>
      <c r="L498">
        <f>IF(Registro_Compras!$R498&lt;&gt;"SI","",Registro_Compras!$Z498)</f>
        <v/>
      </c>
      <c r="M498">
        <f>IF($K498&lt;&gt;"PENDIENTE","",IF(TODAY()&gt;$I498,TODAY()-$I498,0))</f>
        <v/>
      </c>
      <c r="N498">
        <f>IF($K498&lt;&gt;"PENDIENTE","",IF($M498&gt;0,"VENCIDA - DEPOSITAR YA",IF($I498-TODAY()&lt;=3,"POR VENCER","EN PLAZO")))</f>
        <v/>
      </c>
    </row>
    <row r="499">
      <c r="A499" s="25">
        <f>IF(Registro_Compras!$R499&lt;&gt;"SI","",Registro_Compras!$B499)</f>
        <v/>
      </c>
      <c r="B499">
        <f>IF(Registro_Compras!$R499&lt;&gt;"SI","",Registro_Compras!$C499)</f>
        <v/>
      </c>
      <c r="C499">
        <f>IF(Registro_Compras!$R499&lt;&gt;"SI","",Registro_Compras!$D499)</f>
        <v/>
      </c>
      <c r="D499">
        <f>IF(Registro_Compras!$R499&lt;&gt;"SI","",Registro_Compras!$E499)</f>
        <v/>
      </c>
      <c r="E499">
        <f>IF(Registro_Compras!$R499&lt;&gt;"SI","",Registro_Compras!$G499)</f>
        <v/>
      </c>
      <c r="F499" s="31">
        <f>IF(Registro_Compras!$R499&lt;&gt;"SI","",Registro_Compras!$P499)</f>
        <v/>
      </c>
      <c r="G499" s="20">
        <f>IF(Registro_Compras!$R499&lt;&gt;"SI","",Registro_Compras!$O499)</f>
        <v/>
      </c>
      <c r="H499" s="20">
        <f>IF(Registro_Compras!$R499&lt;&gt;"SI","",Registro_Compras!$S499)</f>
        <v/>
      </c>
      <c r="I499" s="25">
        <f>IF(Registro_Compras!$R499&lt;&gt;"SI","",IF(Registro_Compras!$Y499="",WORKDAY(EOMONTH(Registro_Compras!$B499,0),5,Feriados),MIN(Registro_Compras!$Y499,WORKDAY(EOMONTH(Registro_Compras!$B499,0),5,Feriados))))</f>
        <v/>
      </c>
      <c r="J499" s="25">
        <f>IF(Registro_Compras!$R499&lt;&gt;"SI","",Registro_Compras!$X499)</f>
        <v/>
      </c>
      <c r="K499">
        <f>IF(Registro_Compras!$R499&lt;&gt;"SI","",IF(Registro_Compras!$X499="","PENDIENTE","DEPOSITADA"))</f>
        <v/>
      </c>
      <c r="L499">
        <f>IF(Registro_Compras!$R499&lt;&gt;"SI","",Registro_Compras!$Z499)</f>
        <v/>
      </c>
      <c r="M499">
        <f>IF($K499&lt;&gt;"PENDIENTE","",IF(TODAY()&gt;$I499,TODAY()-$I499,0))</f>
        <v/>
      </c>
      <c r="N499">
        <f>IF($K499&lt;&gt;"PENDIENTE","",IF($M499&gt;0,"VENCIDA - DEPOSITAR YA",IF($I499-TODAY()&lt;=3,"POR VENCER","EN PLAZO")))</f>
        <v/>
      </c>
    </row>
    <row r="500">
      <c r="A500" s="25">
        <f>IF(Registro_Compras!$R500&lt;&gt;"SI","",Registro_Compras!$B500)</f>
        <v/>
      </c>
      <c r="B500">
        <f>IF(Registro_Compras!$R500&lt;&gt;"SI","",Registro_Compras!$C500)</f>
        <v/>
      </c>
      <c r="C500">
        <f>IF(Registro_Compras!$R500&lt;&gt;"SI","",Registro_Compras!$D500)</f>
        <v/>
      </c>
      <c r="D500">
        <f>IF(Registro_Compras!$R500&lt;&gt;"SI","",Registro_Compras!$E500)</f>
        <v/>
      </c>
      <c r="E500">
        <f>IF(Registro_Compras!$R500&lt;&gt;"SI","",Registro_Compras!$G500)</f>
        <v/>
      </c>
      <c r="F500" s="31">
        <f>IF(Registro_Compras!$R500&lt;&gt;"SI","",Registro_Compras!$P500)</f>
        <v/>
      </c>
      <c r="G500" s="20">
        <f>IF(Registro_Compras!$R500&lt;&gt;"SI","",Registro_Compras!$O500)</f>
        <v/>
      </c>
      <c r="H500" s="20">
        <f>IF(Registro_Compras!$R500&lt;&gt;"SI","",Registro_Compras!$S500)</f>
        <v/>
      </c>
      <c r="I500" s="25">
        <f>IF(Registro_Compras!$R500&lt;&gt;"SI","",IF(Registro_Compras!$Y500="",WORKDAY(EOMONTH(Registro_Compras!$B500,0),5,Feriados),MIN(Registro_Compras!$Y500,WORKDAY(EOMONTH(Registro_Compras!$B500,0),5,Feriados))))</f>
        <v/>
      </c>
      <c r="J500" s="25">
        <f>IF(Registro_Compras!$R500&lt;&gt;"SI","",Registro_Compras!$X500)</f>
        <v/>
      </c>
      <c r="K500">
        <f>IF(Registro_Compras!$R500&lt;&gt;"SI","",IF(Registro_Compras!$X500="","PENDIENTE","DEPOSITADA"))</f>
        <v/>
      </c>
      <c r="L500">
        <f>IF(Registro_Compras!$R500&lt;&gt;"SI","",Registro_Compras!$Z500)</f>
        <v/>
      </c>
      <c r="M500">
        <f>IF($K500&lt;&gt;"PENDIENTE","",IF(TODAY()&gt;$I500,TODAY()-$I500,0))</f>
        <v/>
      </c>
      <c r="N500">
        <f>IF($K500&lt;&gt;"PENDIENTE","",IF($M500&gt;0,"VENCIDA - DEPOSITAR YA",IF($I500-TODAY()&lt;=3,"POR VENCER","EN PLAZO")))</f>
        <v/>
      </c>
    </row>
    <row r="501">
      <c r="A501" s="25">
        <f>IF(Registro_Compras!$R501&lt;&gt;"SI","",Registro_Compras!$B501)</f>
        <v/>
      </c>
      <c r="B501">
        <f>IF(Registro_Compras!$R501&lt;&gt;"SI","",Registro_Compras!$C501)</f>
        <v/>
      </c>
      <c r="C501">
        <f>IF(Registro_Compras!$R501&lt;&gt;"SI","",Registro_Compras!$D501)</f>
        <v/>
      </c>
      <c r="D501">
        <f>IF(Registro_Compras!$R501&lt;&gt;"SI","",Registro_Compras!$E501)</f>
        <v/>
      </c>
      <c r="E501">
        <f>IF(Registro_Compras!$R501&lt;&gt;"SI","",Registro_Compras!$G501)</f>
        <v/>
      </c>
      <c r="F501" s="31">
        <f>IF(Registro_Compras!$R501&lt;&gt;"SI","",Registro_Compras!$P501)</f>
        <v/>
      </c>
      <c r="G501" s="20">
        <f>IF(Registro_Compras!$R501&lt;&gt;"SI","",Registro_Compras!$O501)</f>
        <v/>
      </c>
      <c r="H501" s="20">
        <f>IF(Registro_Compras!$R501&lt;&gt;"SI","",Registro_Compras!$S501)</f>
        <v/>
      </c>
      <c r="I501" s="25">
        <f>IF(Registro_Compras!$R501&lt;&gt;"SI","",IF(Registro_Compras!$Y501="",WORKDAY(EOMONTH(Registro_Compras!$B501,0),5,Feriados),MIN(Registro_Compras!$Y501,WORKDAY(EOMONTH(Registro_Compras!$B501,0),5,Feriados))))</f>
        <v/>
      </c>
      <c r="J501" s="25">
        <f>IF(Registro_Compras!$R501&lt;&gt;"SI","",Registro_Compras!$X501)</f>
        <v/>
      </c>
      <c r="K501">
        <f>IF(Registro_Compras!$R501&lt;&gt;"SI","",IF(Registro_Compras!$X501="","PENDIENTE","DEPOSITADA"))</f>
        <v/>
      </c>
      <c r="L501">
        <f>IF(Registro_Compras!$R501&lt;&gt;"SI","",Registro_Compras!$Z501)</f>
        <v/>
      </c>
      <c r="M501">
        <f>IF($K501&lt;&gt;"PENDIENTE","",IF(TODAY()&gt;$I501,TODAY()-$I501,0))</f>
        <v/>
      </c>
      <c r="N501">
        <f>IF($K501&lt;&gt;"PENDIENTE","",IF($M501&gt;0,"VENCIDA - DEPOSITAR YA",IF($I501-TODAY()&lt;=3,"POR VENCER","EN PLAZO")))</f>
        <v/>
      </c>
    </row>
    <row r="502">
      <c r="A502" s="25">
        <f>IF(Registro_Compras!$R502&lt;&gt;"SI","",Registro_Compras!$B502)</f>
        <v/>
      </c>
      <c r="B502">
        <f>IF(Registro_Compras!$R502&lt;&gt;"SI","",Registro_Compras!$C502)</f>
        <v/>
      </c>
      <c r="C502">
        <f>IF(Registro_Compras!$R502&lt;&gt;"SI","",Registro_Compras!$D502)</f>
        <v/>
      </c>
      <c r="D502">
        <f>IF(Registro_Compras!$R502&lt;&gt;"SI","",Registro_Compras!$E502)</f>
        <v/>
      </c>
      <c r="E502">
        <f>IF(Registro_Compras!$R502&lt;&gt;"SI","",Registro_Compras!$G502)</f>
        <v/>
      </c>
      <c r="F502" s="31">
        <f>IF(Registro_Compras!$R502&lt;&gt;"SI","",Registro_Compras!$P502)</f>
        <v/>
      </c>
      <c r="G502" s="20">
        <f>IF(Registro_Compras!$R502&lt;&gt;"SI","",Registro_Compras!$O502)</f>
        <v/>
      </c>
      <c r="H502" s="20">
        <f>IF(Registro_Compras!$R502&lt;&gt;"SI","",Registro_Compras!$S502)</f>
        <v/>
      </c>
      <c r="I502" s="25">
        <f>IF(Registro_Compras!$R502&lt;&gt;"SI","",IF(Registro_Compras!$Y502="",WORKDAY(EOMONTH(Registro_Compras!$B502,0),5,Feriados),MIN(Registro_Compras!$Y502,WORKDAY(EOMONTH(Registro_Compras!$B502,0),5,Feriados))))</f>
        <v/>
      </c>
      <c r="J502" s="25">
        <f>IF(Registro_Compras!$R502&lt;&gt;"SI","",Registro_Compras!$X502)</f>
        <v/>
      </c>
      <c r="K502">
        <f>IF(Registro_Compras!$R502&lt;&gt;"SI","",IF(Registro_Compras!$X502="","PENDIENTE","DEPOSITADA"))</f>
        <v/>
      </c>
      <c r="L502">
        <f>IF(Registro_Compras!$R502&lt;&gt;"SI","",Registro_Compras!$Z502)</f>
        <v/>
      </c>
      <c r="M502">
        <f>IF($K502&lt;&gt;"PENDIENTE","",IF(TODAY()&gt;$I502,TODAY()-$I502,0))</f>
        <v/>
      </c>
      <c r="N502">
        <f>IF($K502&lt;&gt;"PENDIENTE","",IF($M502&gt;0,"VENCIDA - DEPOSITAR YA",IF($I502-TODAY()&lt;=3,"POR VENCER","EN PLAZO")))</f>
        <v/>
      </c>
    </row>
    <row r="503">
      <c r="A503" s="25">
        <f>IF(Registro_Compras!$R503&lt;&gt;"SI","",Registro_Compras!$B503)</f>
        <v/>
      </c>
      <c r="B503">
        <f>IF(Registro_Compras!$R503&lt;&gt;"SI","",Registro_Compras!$C503)</f>
        <v/>
      </c>
      <c r="C503">
        <f>IF(Registro_Compras!$R503&lt;&gt;"SI","",Registro_Compras!$D503)</f>
        <v/>
      </c>
      <c r="D503">
        <f>IF(Registro_Compras!$R503&lt;&gt;"SI","",Registro_Compras!$E503)</f>
        <v/>
      </c>
      <c r="E503">
        <f>IF(Registro_Compras!$R503&lt;&gt;"SI","",Registro_Compras!$G503)</f>
        <v/>
      </c>
      <c r="F503" s="31">
        <f>IF(Registro_Compras!$R503&lt;&gt;"SI","",Registro_Compras!$P503)</f>
        <v/>
      </c>
      <c r="G503" s="20">
        <f>IF(Registro_Compras!$R503&lt;&gt;"SI","",Registro_Compras!$O503)</f>
        <v/>
      </c>
      <c r="H503" s="20">
        <f>IF(Registro_Compras!$R503&lt;&gt;"SI","",Registro_Compras!$S503)</f>
        <v/>
      </c>
      <c r="I503" s="25">
        <f>IF(Registro_Compras!$R503&lt;&gt;"SI","",IF(Registro_Compras!$Y503="",WORKDAY(EOMONTH(Registro_Compras!$B503,0),5,Feriados),MIN(Registro_Compras!$Y503,WORKDAY(EOMONTH(Registro_Compras!$B503,0),5,Feriados))))</f>
        <v/>
      </c>
      <c r="J503" s="25">
        <f>IF(Registro_Compras!$R503&lt;&gt;"SI","",Registro_Compras!$X503)</f>
        <v/>
      </c>
      <c r="K503">
        <f>IF(Registro_Compras!$R503&lt;&gt;"SI","",IF(Registro_Compras!$X503="","PENDIENTE","DEPOSITADA"))</f>
        <v/>
      </c>
      <c r="L503">
        <f>IF(Registro_Compras!$R503&lt;&gt;"SI","",Registro_Compras!$Z503)</f>
        <v/>
      </c>
      <c r="M503">
        <f>IF($K503&lt;&gt;"PENDIENTE","",IF(TODAY()&gt;$I503,TODAY()-$I503,0))</f>
        <v/>
      </c>
      <c r="N503">
        <f>IF($K503&lt;&gt;"PENDIENTE","",IF($M503&gt;0,"VENCIDA - DEPOSITAR YA",IF($I503-TODAY()&lt;=3,"POR VENCER","EN PLAZO")))</f>
        <v/>
      </c>
    </row>
  </sheetData>
  <autoFilter ref="A3:N503"/>
  <conditionalFormatting sqref="A4:N503">
    <cfRule type="expression" priority="1" dxfId="1" stopIfTrue="1">
      <formula>$N4="VENCIDA - DEPOSITAR YA"</formula>
    </cfRule>
    <cfRule type="expression" priority="2" dxfId="0" stopIfTrue="1">
      <formula>$N4="POR VENCER"</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20"/>
  <sheetViews>
    <sheetView showGridLines="0" zoomScaleNormal="100" workbookViewId="0">
      <selection activeCell="A1" sqref="A1"/>
    </sheetView>
  </sheetViews>
  <sheetFormatPr baseColWidth="10" defaultColWidth="8.7109375" defaultRowHeight="15"/>
  <cols>
    <col width="12" customWidth="1" min="1" max="1"/>
    <col width="46" customWidth="1" min="2" max="2"/>
    <col width="62" customWidth="1" min="3" max="3"/>
    <col width="22" customWidth="1" min="4" max="4"/>
  </cols>
  <sheetData>
    <row r="1" ht="18" customHeight="1">
      <c r="A1" s="1" t="inlineStr">
        <is>
          <t>Plan de Cuentas (PCGE) usado en este Libro Diario</t>
        </is>
      </c>
    </row>
    <row r="3">
      <c r="A3" s="21" t="inlineStr">
        <is>
          <t>Cuenta</t>
        </is>
      </c>
      <c r="B3" s="21" t="inlineStr">
        <is>
          <t>Denominación</t>
        </is>
      </c>
      <c r="C3" s="21" t="inlineStr">
        <is>
          <t>Uso en este archivo</t>
        </is>
      </c>
      <c r="D3" s="21" t="inlineStr">
        <is>
          <t>Fuente</t>
        </is>
      </c>
    </row>
    <row r="4" ht="38.25" customHeight="1">
      <c r="A4" s="22" t="inlineStr">
        <is>
          <t>63 / 6321-6329</t>
        </is>
      </c>
      <c r="B4" s="22" t="inlineStr">
        <is>
          <t>Gastos de Servicios Prestados por Terceros</t>
        </is>
      </c>
      <c r="C4" s="22" t="inlineStr">
        <is>
          <t>Provisión del gasto de la compra (subcuenta según la naturaleza: 6321 administrativa, etc. — tú eliges la subcuenta al llenar Registro_Compras)</t>
        </is>
      </c>
      <c r="D4" s="22" t="inlineStr">
        <is>
          <t>Confirmado en fuentes subidas</t>
        </is>
      </c>
    </row>
    <row r="5" ht="25.5" customHeight="1">
      <c r="A5" s="22" t="inlineStr">
        <is>
          <t>40 / 40111</t>
        </is>
      </c>
      <c r="B5" s="22" t="inlineStr">
        <is>
          <t>IGV - Cuenta Propia</t>
        </is>
      </c>
      <c r="C5" s="22" t="inlineStr">
        <is>
          <t>Crédito fiscal (compras) / débito fiscal (ventas)</t>
        </is>
      </c>
      <c r="D5" s="22" t="inlineStr">
        <is>
          <t>Confirmado en fuentes subidas</t>
        </is>
      </c>
    </row>
    <row r="6" ht="25.5" customHeight="1">
      <c r="A6" s="22" t="inlineStr">
        <is>
          <t>42 / 4212</t>
        </is>
      </c>
      <c r="B6" s="22" t="inlineStr">
        <is>
          <t>Cuentas por Pagar Comerciales - Terceros (Emitidas)</t>
        </is>
      </c>
      <c r="C6" s="22" t="inlineStr">
        <is>
          <t>Obligación total con el proveedor; se cancela en 2 movimientos si hay detracción (depósito SPOT + pago del neto)</t>
        </is>
      </c>
      <c r="D6" s="22" t="inlineStr">
        <is>
          <t>Confirmado en fuentes subidas</t>
        </is>
      </c>
    </row>
    <row r="7" ht="51" customHeight="1">
      <c r="A7" s="22" t="inlineStr">
        <is>
          <t>42121 / 42122</t>
        </is>
      </c>
      <c r="B7" s="22" t="inlineStr">
        <is>
          <t>Facturas por Pagar - Neto / Detracción (subdivisionarias opcionales)</t>
        </is>
      </c>
      <c r="C7" s="22" t="inlineStr">
        <is>
          <t>Control separado de neto vs. detracción dentro de 4212, si se desea mayor detalle</t>
        </is>
      </c>
      <c r="D7" s="22" t="inlineStr">
        <is>
          <t>Sugerido en fuentes subidas (opcional, no usado en las fórmulas de este archivo)</t>
        </is>
      </c>
    </row>
    <row r="8" ht="25.5" customHeight="1">
      <c r="A8" s="22" t="inlineStr">
        <is>
          <t>94</t>
        </is>
      </c>
      <c r="B8" s="22" t="inlineStr">
        <is>
          <t>Gastos Administrativos</t>
        </is>
      </c>
      <c r="C8" s="22" t="inlineStr">
        <is>
          <t>Destino del gasto (Elemento 9)</t>
        </is>
      </c>
      <c r="D8" s="22" t="inlineStr">
        <is>
          <t>Confirmado en fuentes subidas</t>
        </is>
      </c>
    </row>
    <row r="9" ht="25.5" customHeight="1">
      <c r="A9" s="22" t="inlineStr">
        <is>
          <t>79 / 791</t>
        </is>
      </c>
      <c r="B9" s="22" t="inlineStr">
        <is>
          <t>Cargas Imputables a Cuentas de Costos y Gastos</t>
        </is>
      </c>
      <c r="C9" s="22" t="inlineStr">
        <is>
          <t>Contrapartida del destino del gasto</t>
        </is>
      </c>
      <c r="D9" s="22" t="inlineStr">
        <is>
          <t>Confirmado en fuentes subidas</t>
        </is>
      </c>
    </row>
    <row r="10" ht="25.5" customHeight="1">
      <c r="A10" s="22" t="inlineStr">
        <is>
          <t>10 / 10413</t>
        </is>
      </c>
      <c r="B10" s="22" t="inlineStr">
        <is>
          <t>Efectivo y Equivalentes - BBVA Cta. Cte. Soles</t>
        </is>
      </c>
      <c r="C10" s="22" t="inlineStr">
        <is>
          <t>Banco operativo real de Braidy Wonders: pago del neto al proveedor y deposito de la detraccion de compras</t>
        </is>
      </c>
      <c r="D10" s="22" t="inlineStr">
        <is>
          <t>Corregido 06/09/2026 contra Plan_de_Cuentas_MYPE.xlsx (codigo generico 1041 -&gt; banco real BBVA 10413)</t>
        </is>
      </c>
    </row>
    <row r="11" ht="38.25" customHeight="1">
      <c r="A11" s="22" t="inlineStr">
        <is>
          <t>10 / 10421</t>
        </is>
      </c>
      <c r="B11" s="22" t="inlineStr">
        <is>
          <t>Efectivo - Banco de la Nacion (Detracciones)</t>
        </is>
      </c>
      <c r="C11" s="22" t="inlineStr">
        <is>
          <t>Cuenta de detracciones propia de Braidy Wonders cuando EMITE un servicio sujeto a SPOT (uso restringido a tributos propios)</t>
        </is>
      </c>
      <c r="D11" s="22" t="inlineStr">
        <is>
          <t>Corregido 06/09/2026 contra Plan_de_Cuentas_MYPE.xlsx (codigo generico 1049 -&gt; codigo oficial 10421)</t>
        </is>
      </c>
    </row>
    <row r="12" ht="89.25" customHeight="1">
      <c r="A12" s="23" t="inlineStr">
        <is>
          <t>12 / 121</t>
        </is>
      </c>
      <c r="B12" s="23" t="inlineStr">
        <is>
          <t>Cuentas por Cobrar Comerciales - Terceros</t>
        </is>
      </c>
      <c r="C12" s="23" t="inlineStr">
        <is>
          <t>Obligación total del cliente al emitir una venta</t>
        </is>
      </c>
      <c r="D12" s="23" t="inlineStr">
        <is>
          <t>Aplicación estándar del PCGE — NO desarrollada con ejemplo numérico en las fuentes subidas. Confirmar con tu contador antes de un cierre.</t>
        </is>
      </c>
    </row>
    <row r="13" ht="89.25" customHeight="1">
      <c r="A13" s="23" t="inlineStr">
        <is>
          <t>70</t>
        </is>
      </c>
      <c r="B13" s="23" t="inlineStr">
        <is>
          <t>Ventas</t>
        </is>
      </c>
      <c r="C13" s="23" t="inlineStr">
        <is>
          <t>Ingreso por la venta (valor de venta, sin IGV)</t>
        </is>
      </c>
      <c r="D13" s="23" t="inlineStr">
        <is>
          <t>Aplicación estándar del PCGE — NO desarrollada con ejemplo numérico en las fuentes subidas. Confirmar con tu contador antes de un cierre.</t>
        </is>
      </c>
    </row>
    <row r="15" ht="22.35" customHeight="1">
      <c r="A15" s="37" t="inlineStr">
        <is>
          <t>Relleno amarillo = cuenta aplicada con el criterio estándar del PCGE, no confirmada con un ejemplo numérico en las fuentes que subiste. Revisar con tu contador antes de depender de ella para un cierre formal.</t>
        </is>
      </c>
    </row>
    <row r="16">
      <c r="A16" t="inlineStr">
        <is>
          <t>40 / 40172</t>
        </is>
      </c>
      <c r="B16" t="inlineStr">
        <is>
          <t>Renta de Cuarta Categoria (retencion RHE)</t>
        </is>
      </c>
      <c r="C16" t="inlineStr">
        <is>
          <t>Retencion del 8% sobre Recibos por Honorarios (RHE) a personas naturales</t>
        </is>
      </c>
      <c r="D16" t="inlineStr">
        <is>
          <t>Corregido 06/09/2026 contra Plan_de_Cuentas_MYPE.xlsx (codigo generico 4017 -&gt; nivel movimiento correcto 40172)</t>
        </is>
      </c>
    </row>
    <row r="18">
      <c r="A18" t="inlineStr">
        <is>
          <t>ALERTAS PENDIENTES DE DECISION (no corregidas automaticamente en este archivo)</t>
        </is>
      </c>
    </row>
    <row r="19">
      <c r="A19" t="inlineStr">
        <is>
          <t>1. [RESUELTO 06/09/2026] IGV en VENTAS - ahora condicional</t>
        </is>
      </c>
      <c r="B19" t="inlineStr">
        <is>
          <t>Se agrego la columna R en Registro_Ventas: "¿Exportacion de Servicios Turisticos (No Domiciliado)?" (SI/NO). Si R="SI": IGV=0 (exportacion, Ley 29408 art.19 + Ley 30641) y el Libro Diario NO genera linea 40111. Si R="NO" o vacio: IGV 18% normal (venta local gravada). Marcar SI/NO en cada fila de Registro_Ventas segun el cliente. Ver 03_Docs_Tecnicas/normativa_dmc_exportacion_servicios_turisticos.md para el sustento (pasaporte + constancia migratoria + paquete calificado).</t>
        </is>
      </c>
    </row>
    <row r="20">
      <c r="A20" t="inlineStr">
        <is>
          <t>2. Codigos de gasto 637/639 en Registro_Compras columna M</t>
        </is>
      </c>
      <c r="B20" t="inlineStr">
        <is>
          <t>Los codigos manuales 637 y 639 no son nivel "Movimiento" en Plan_de_Cuentas_MYPE.xlsx (son nivel Subcuenta/Titulo). Ademas ese plan de cuentas es un demo generico (MYPE comercial) sin codigos propios para alojamiento/guiado/transporte turistico. Pendiente: crear divisionarias especificas de Tucano bajo el Elemento 6 antes de forzar un codigo de 5 digitos.</t>
        </is>
      </c>
    </row>
  </sheetData>
  <mergeCells count="1">
    <mergeCell ref="A15:D15"/>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E1003"/>
  <sheetViews>
    <sheetView workbookViewId="0">
      <selection activeCell="A18" sqref="A18"/>
    </sheetView>
  </sheetViews>
  <sheetFormatPr baseColWidth="10" defaultRowHeight="15"/>
  <cols>
    <col width="12.7109375" customWidth="1" min="1" max="1"/>
    <col width="32.7109375" customWidth="1" min="4" max="4"/>
    <col width="12.7109375" customWidth="1" min="5" max="5"/>
  </cols>
  <sheetData>
    <row r="1">
      <c r="A1" t="inlineStr">
        <is>
          <t>Tipo de Cambio Diario - SUNAT (TC venta SBS publicado)</t>
        </is>
      </c>
    </row>
    <row r="2">
      <c r="A2" t="inlineStr">
        <is>
          <t>Para compras se usa el TC VENTA de la fecha de emision. Si una fecha no tiene publicacion (fin de semana o feriado), las formulas toman automaticamente el ultimo TC publicado anterior, segun la regla SUNAT.</t>
        </is>
      </c>
    </row>
    <row r="3">
      <c r="A3" s="24" t="inlineStr">
        <is>
          <t>Fecha</t>
        </is>
      </c>
      <c r="B3" s="24" t="inlineStr">
        <is>
          <t>TC_Compra</t>
        </is>
      </c>
      <c r="C3" s="24" t="inlineStr">
        <is>
          <t>TC_Venta</t>
        </is>
      </c>
      <c r="D3" s="24" t="inlineStr">
        <is>
          <t>Fuente</t>
        </is>
      </c>
      <c r="E3" s="24" t="inlineStr">
        <is>
          <t>Estado</t>
        </is>
      </c>
    </row>
    <row r="4">
      <c r="A4" s="25" t="n">
        <v>46237</v>
      </c>
      <c r="B4" s="26" t="n">
        <v>3.391</v>
      </c>
      <c r="C4" s="26" t="n">
        <v>3.4</v>
      </c>
      <c r="D4" t="inlineStr">
        <is>
          <t>PENDIENTE - pegar TC venta SBS</t>
        </is>
      </c>
      <c r="E4">
        <f>IF(A4="","",IF(C4="","FALTA TC","OK"))</f>
        <v/>
      </c>
    </row>
    <row r="5">
      <c r="A5" s="25" t="n">
        <v>46238</v>
      </c>
      <c r="B5" s="26" t="n">
        <v>3.391</v>
      </c>
      <c r="C5" s="26" t="n">
        <v>3.402</v>
      </c>
      <c r="D5" t="inlineStr">
        <is>
          <t>PENDIENTE - pegar TC venta SBS</t>
        </is>
      </c>
      <c r="E5">
        <f>IF(A5="","",IF(C5="","FALTA TC","OK"))</f>
        <v/>
      </c>
    </row>
    <row r="6">
      <c r="A6" s="25" t="n">
        <v>46239</v>
      </c>
      <c r="B6" s="26" t="n">
        <v>3.386</v>
      </c>
      <c r="C6" s="26" t="n">
        <v>3.394</v>
      </c>
      <c r="D6" t="inlineStr">
        <is>
          <t>PENDIENTE - pegar TC venta SBS</t>
        </is>
      </c>
      <c r="E6">
        <f>IF(A6="","",IF(C6="","FALTA TC","OK"))</f>
        <v/>
      </c>
    </row>
    <row r="7">
      <c r="A7" s="25" t="n">
        <v>46240</v>
      </c>
      <c r="B7" s="26" t="n">
        <v>3.385</v>
      </c>
      <c r="C7" s="26" t="n">
        <v>3.394</v>
      </c>
      <c r="D7" t="inlineStr">
        <is>
          <t>PENDIENTE - pegar TC venta SBS</t>
        </is>
      </c>
      <c r="E7">
        <f>IF(A7="","",IF(C7="","FALTA TC","OK"))</f>
        <v/>
      </c>
    </row>
    <row r="8">
      <c r="A8" s="25" t="n">
        <v>46241</v>
      </c>
      <c r="B8" s="26" t="n">
        <v>3.385</v>
      </c>
      <c r="C8" s="26" t="n">
        <v>3.394</v>
      </c>
      <c r="D8" t="inlineStr">
        <is>
          <t>PENDIENTE - pegar TC venta SBS</t>
        </is>
      </c>
      <c r="E8">
        <f>IF(A8="","",IF(C8="","FALTA TC","OK"))</f>
        <v/>
      </c>
    </row>
    <row r="9">
      <c r="A9" s="25" t="n">
        <v>46244</v>
      </c>
      <c r="B9" s="26" t="n">
        <v>3.374</v>
      </c>
      <c r="C9" s="26" t="n">
        <v>3.391</v>
      </c>
      <c r="D9" t="inlineStr">
        <is>
          <t>PENDIENTE - pegar TC venta SBS</t>
        </is>
      </c>
      <c r="E9">
        <f>IF(A9="","",IF(C9="","FALTA TC","OK"))</f>
        <v/>
      </c>
    </row>
    <row r="10">
      <c r="A10" s="25" t="n">
        <v>46245</v>
      </c>
      <c r="B10" s="26" t="n">
        <v>3.371</v>
      </c>
      <c r="C10" s="26" t="n">
        <v>3.387</v>
      </c>
      <c r="D10" t="inlineStr">
        <is>
          <t>PENDIENTE - pegar TC venta SBS</t>
        </is>
      </c>
      <c r="E10">
        <f>IF(A10="","",IF(C10="","FALTA TC","OK"))</f>
        <v/>
      </c>
    </row>
    <row r="11">
      <c r="A11" s="25" t="n">
        <v>46246</v>
      </c>
      <c r="B11" s="26" t="n">
        <v>3.364</v>
      </c>
      <c r="C11" s="26" t="n">
        <v>3.372</v>
      </c>
      <c r="D11" t="inlineStr">
        <is>
          <t>PENDIENTE - pegar TC venta SBS</t>
        </is>
      </c>
      <c r="E11">
        <f>IF(A11="","",IF(C11="","FALTA TC","OK"))</f>
        <v/>
      </c>
    </row>
    <row r="12">
      <c r="A12" s="25" t="n">
        <v>46247</v>
      </c>
      <c r="B12" s="26" t="n">
        <v>3.359</v>
      </c>
      <c r="C12" s="26" t="n">
        <v>3.365</v>
      </c>
      <c r="D12" t="inlineStr">
        <is>
          <t>PENDIENTE - pegar TC venta SBS</t>
        </is>
      </c>
      <c r="E12">
        <f>IF(A12="","",IF(C12="","FALTA TC","OK"))</f>
        <v/>
      </c>
    </row>
    <row r="13">
      <c r="A13" s="25" t="n">
        <v>46248</v>
      </c>
      <c r="B13" s="26" t="n">
        <v>3.361</v>
      </c>
      <c r="C13" s="26" t="n">
        <v>3.371</v>
      </c>
      <c r="D13" t="inlineStr">
        <is>
          <t>PENDIENTE - pegar TC venta SBS</t>
        </is>
      </c>
      <c r="E13">
        <f>IF(A13="","",IF(C13="","FALTA TC","OK"))</f>
        <v/>
      </c>
    </row>
    <row r="14">
      <c r="A14" s="25" t="n">
        <v>46251</v>
      </c>
      <c r="B14" s="26" t="n">
        <v>3.358</v>
      </c>
      <c r="C14" s="26" t="n">
        <v>3.368</v>
      </c>
      <c r="D14" t="inlineStr">
        <is>
          <t>PENDIENTE - pegar TC venta SBS</t>
        </is>
      </c>
      <c r="E14">
        <f>IF(A14="","",IF(C14="","FALTA TC","OK"))</f>
        <v/>
      </c>
    </row>
    <row r="15">
      <c r="A15" s="25" t="n">
        <v>46252</v>
      </c>
      <c r="B15" s="26" t="n">
        <v>3.358</v>
      </c>
      <c r="C15" s="26" t="n">
        <v>3.37</v>
      </c>
      <c r="D15" t="inlineStr">
        <is>
          <t>PENDIENTE - pegar TC venta SBS</t>
        </is>
      </c>
      <c r="E15">
        <f>IF(A15="","",IF(C15="","FALTA TC","OK"))</f>
        <v/>
      </c>
    </row>
    <row r="16">
      <c r="A16" s="25" t="n">
        <v>46253</v>
      </c>
      <c r="B16" s="26" t="n">
        <v>3.356</v>
      </c>
      <c r="C16" s="26" t="n">
        <v>3.362</v>
      </c>
      <c r="D16" t="inlineStr">
        <is>
          <t>PENDIENTE - pegar TC venta SBS</t>
        </is>
      </c>
      <c r="E16">
        <f>IF(A16="","",IF(C16="","FALTA TC","OK"))</f>
        <v/>
      </c>
    </row>
    <row r="17">
      <c r="A17" s="25" t="n">
        <v>46254</v>
      </c>
      <c r="B17" s="26" t="n">
        <v>3.355</v>
      </c>
      <c r="C17" s="26" t="n">
        <v>3.361</v>
      </c>
      <c r="D17" t="inlineStr">
        <is>
          <t>SUNAT (SBS publicado)</t>
        </is>
      </c>
      <c r="E17">
        <f>IF(A17="","",IF(C17="","FALTA TC","OK"))</f>
        <v/>
      </c>
    </row>
    <row r="18">
      <c r="A18" s="25" t="n">
        <v>46255</v>
      </c>
      <c r="B18" s="26" t="n">
        <v>3.351</v>
      </c>
      <c r="C18" s="26" t="n">
        <v>3.361</v>
      </c>
      <c r="D18" t="inlineStr">
        <is>
          <t>SUNAT (SBS publicado)</t>
        </is>
      </c>
      <c r="E18">
        <f>IF(A18="","",IF(C18="","FALTA TC","OK"))</f>
        <v/>
      </c>
    </row>
    <row r="19">
      <c r="A19" s="25" t="n"/>
      <c r="B19" s="26" t="n"/>
      <c r="C19" s="26" t="n"/>
      <c r="E19">
        <f>IF(A19="","",IF(C19="","FALTA TC","OK"))</f>
        <v/>
      </c>
    </row>
    <row r="20">
      <c r="A20" s="25" t="n"/>
      <c r="B20" s="26" t="n"/>
      <c r="C20" s="26" t="n"/>
      <c r="E20">
        <f>IF(A20="","",IF(C20="","FALTA TC","OK"))</f>
        <v/>
      </c>
    </row>
    <row r="21">
      <c r="A21" s="25" t="n"/>
      <c r="B21" s="26" t="n"/>
      <c r="C21" s="26" t="n"/>
      <c r="E21">
        <f>IF(A21="","",IF(C21="","FALTA TC","OK"))</f>
        <v/>
      </c>
    </row>
    <row r="22">
      <c r="A22" s="25" t="n"/>
      <c r="B22" s="26" t="n"/>
      <c r="C22" s="26" t="n"/>
      <c r="E22">
        <f>IF(A22="","",IF(C22="","FALTA TC","OK"))</f>
        <v/>
      </c>
    </row>
    <row r="23">
      <c r="A23" s="25" t="n"/>
      <c r="B23" s="26" t="n"/>
      <c r="C23" s="26" t="n"/>
      <c r="E23">
        <f>IF(A23="","",IF(C23="","FALTA TC","OK"))</f>
        <v/>
      </c>
    </row>
    <row r="24">
      <c r="A24" s="25" t="n"/>
      <c r="B24" s="26" t="n"/>
      <c r="C24" s="26" t="n"/>
      <c r="E24">
        <f>IF(A24="","",IF(C24="","FALTA TC","OK"))</f>
        <v/>
      </c>
    </row>
    <row r="25">
      <c r="A25" s="25" t="n"/>
      <c r="B25" s="26" t="n"/>
      <c r="C25" s="26" t="n"/>
      <c r="E25">
        <f>IF(A25="","",IF(C25="","FALTA TC","OK"))</f>
        <v/>
      </c>
    </row>
    <row r="26">
      <c r="A26" s="25" t="n"/>
      <c r="B26" s="26" t="n"/>
      <c r="C26" s="26" t="n"/>
      <c r="E26">
        <f>IF(A26="","",IF(C26="","FALTA TC","OK"))</f>
        <v/>
      </c>
    </row>
    <row r="27">
      <c r="A27" s="25" t="n"/>
      <c r="B27" s="26" t="n"/>
      <c r="C27" s="26" t="n"/>
      <c r="E27">
        <f>IF(A27="","",IF(C27="","FALTA TC","OK"))</f>
        <v/>
      </c>
    </row>
    <row r="28">
      <c r="A28" s="25" t="n"/>
      <c r="B28" s="26" t="n"/>
      <c r="C28" s="26" t="n"/>
      <c r="E28">
        <f>IF(A28="","",IF(C28="","FALTA TC","OK"))</f>
        <v/>
      </c>
    </row>
    <row r="29">
      <c r="A29" s="25" t="n"/>
      <c r="B29" s="26" t="n"/>
      <c r="C29" s="26" t="n"/>
      <c r="E29">
        <f>IF(A29="","",IF(C29="","FALTA TC","OK"))</f>
        <v/>
      </c>
    </row>
    <row r="30">
      <c r="A30" s="25" t="n"/>
      <c r="B30" s="26" t="n"/>
      <c r="C30" s="26" t="n"/>
      <c r="E30">
        <f>IF(A30="","",IF(C30="","FALTA TC","OK"))</f>
        <v/>
      </c>
    </row>
    <row r="31">
      <c r="A31" s="25" t="n"/>
      <c r="B31" s="26" t="n"/>
      <c r="C31" s="26" t="n"/>
      <c r="E31">
        <f>IF(A31="","",IF(C31="","FALTA TC","OK"))</f>
        <v/>
      </c>
    </row>
    <row r="32">
      <c r="A32" s="25" t="n"/>
      <c r="B32" s="26" t="n"/>
      <c r="C32" s="26" t="n"/>
      <c r="E32">
        <f>IF(A32="","",IF(C32="","FALTA TC","OK"))</f>
        <v/>
      </c>
    </row>
    <row r="33">
      <c r="A33" s="25" t="n"/>
      <c r="B33" s="26" t="n"/>
      <c r="C33" s="26" t="n"/>
      <c r="E33">
        <f>IF(A33="","",IF(C33="","FALTA TC","OK"))</f>
        <v/>
      </c>
    </row>
    <row r="34">
      <c r="A34" s="25" t="n"/>
      <c r="B34" s="26" t="n"/>
      <c r="C34" s="26" t="n"/>
      <c r="E34">
        <f>IF(A34="","",IF(C34="","FALTA TC","OK"))</f>
        <v/>
      </c>
    </row>
    <row r="35">
      <c r="A35" s="25" t="n"/>
      <c r="B35" s="26" t="n"/>
      <c r="C35" s="26" t="n"/>
      <c r="E35">
        <f>IF(A35="","",IF(C35="","FALTA TC","OK"))</f>
        <v/>
      </c>
    </row>
    <row r="36">
      <c r="A36" s="25" t="n"/>
      <c r="B36" s="26" t="n"/>
      <c r="C36" s="26" t="n"/>
      <c r="E36">
        <f>IF(A36="","",IF(C36="","FALTA TC","OK"))</f>
        <v/>
      </c>
    </row>
    <row r="37">
      <c r="A37" s="25" t="n"/>
      <c r="B37" s="26" t="n"/>
      <c r="C37" s="26" t="n"/>
      <c r="E37">
        <f>IF(A37="","",IF(C37="","FALTA TC","OK"))</f>
        <v/>
      </c>
    </row>
    <row r="38">
      <c r="A38" s="25" t="n"/>
      <c r="B38" s="26" t="n"/>
      <c r="C38" s="26" t="n"/>
      <c r="E38">
        <f>IF(A38="","",IF(C38="","FALTA TC","OK"))</f>
        <v/>
      </c>
    </row>
    <row r="39">
      <c r="A39" s="25" t="n"/>
      <c r="B39" s="26" t="n"/>
      <c r="C39" s="26" t="n"/>
      <c r="E39">
        <f>IF(A39="","",IF(C39="","FALTA TC","OK"))</f>
        <v/>
      </c>
    </row>
    <row r="40">
      <c r="A40" s="25" t="n"/>
      <c r="B40" s="26" t="n"/>
      <c r="C40" s="26" t="n"/>
      <c r="E40">
        <f>IF(A40="","",IF(C40="","FALTA TC","OK"))</f>
        <v/>
      </c>
    </row>
    <row r="41">
      <c r="A41" s="25" t="n"/>
      <c r="B41" s="26" t="n"/>
      <c r="C41" s="26" t="n"/>
      <c r="E41">
        <f>IF(A41="","",IF(C41="","FALTA TC","OK"))</f>
        <v/>
      </c>
    </row>
    <row r="42">
      <c r="A42" s="25" t="n"/>
      <c r="B42" s="26" t="n"/>
      <c r="C42" s="26" t="n"/>
      <c r="E42">
        <f>IF(A42="","",IF(C42="","FALTA TC","OK"))</f>
        <v/>
      </c>
    </row>
    <row r="43">
      <c r="A43" s="25" t="n"/>
      <c r="B43" s="26" t="n"/>
      <c r="C43" s="26" t="n"/>
      <c r="E43">
        <f>IF(A43="","",IF(C43="","FALTA TC","OK"))</f>
        <v/>
      </c>
    </row>
    <row r="44">
      <c r="A44" s="25" t="n"/>
      <c r="B44" s="26" t="n"/>
      <c r="C44" s="26" t="n"/>
      <c r="E44">
        <f>IF(A44="","",IF(C44="","FALTA TC","OK"))</f>
        <v/>
      </c>
    </row>
    <row r="45">
      <c r="A45" s="25" t="n"/>
      <c r="B45" s="26" t="n"/>
      <c r="C45" s="26" t="n"/>
      <c r="E45">
        <f>IF(A45="","",IF(C45="","FALTA TC","OK"))</f>
        <v/>
      </c>
    </row>
    <row r="46">
      <c r="A46" s="25" t="n"/>
      <c r="B46" s="26" t="n"/>
      <c r="C46" s="26" t="n"/>
      <c r="E46">
        <f>IF(A46="","",IF(C46="","FALTA TC","OK"))</f>
        <v/>
      </c>
    </row>
    <row r="47">
      <c r="A47" s="25" t="n"/>
      <c r="B47" s="26" t="n"/>
      <c r="C47" s="26" t="n"/>
      <c r="E47">
        <f>IF(A47="","",IF(C47="","FALTA TC","OK"))</f>
        <v/>
      </c>
    </row>
    <row r="48">
      <c r="A48" s="25" t="n"/>
      <c r="B48" s="26" t="n"/>
      <c r="C48" s="26" t="n"/>
      <c r="E48">
        <f>IF(A48="","",IF(C48="","FALTA TC","OK"))</f>
        <v/>
      </c>
    </row>
    <row r="49">
      <c r="A49" s="25" t="n"/>
      <c r="B49" s="26" t="n"/>
      <c r="C49" s="26" t="n"/>
      <c r="E49">
        <f>IF(A49="","",IF(C49="","FALTA TC","OK"))</f>
        <v/>
      </c>
    </row>
    <row r="50">
      <c r="A50" s="25" t="n"/>
      <c r="B50" s="26" t="n"/>
      <c r="C50" s="26" t="n"/>
      <c r="E50">
        <f>IF(A50="","",IF(C50="","FALTA TC","OK"))</f>
        <v/>
      </c>
    </row>
    <row r="51">
      <c r="A51" s="25" t="n"/>
      <c r="B51" s="26" t="n"/>
      <c r="C51" s="26" t="n"/>
      <c r="E51">
        <f>IF(A51="","",IF(C51="","FALTA TC","OK"))</f>
        <v/>
      </c>
    </row>
    <row r="52">
      <c r="A52" s="25" t="n"/>
      <c r="B52" s="26" t="n"/>
      <c r="C52" s="26" t="n"/>
      <c r="E52">
        <f>IF(A52="","",IF(C52="","FALTA TC","OK"))</f>
        <v/>
      </c>
    </row>
    <row r="53">
      <c r="A53" s="25" t="n"/>
      <c r="B53" s="26" t="n"/>
      <c r="C53" s="26" t="n"/>
      <c r="E53">
        <f>IF(A53="","",IF(C53="","FALTA TC","OK"))</f>
        <v/>
      </c>
    </row>
    <row r="54">
      <c r="A54" s="25" t="n"/>
      <c r="B54" s="26" t="n"/>
      <c r="C54" s="26" t="n"/>
      <c r="E54">
        <f>IF(A54="","",IF(C54="","FALTA TC","OK"))</f>
        <v/>
      </c>
    </row>
    <row r="55">
      <c r="A55" s="25" t="n"/>
      <c r="B55" s="26" t="n"/>
      <c r="C55" s="26" t="n"/>
      <c r="E55">
        <f>IF(A55="","",IF(C55="","FALTA TC","OK"))</f>
        <v/>
      </c>
    </row>
    <row r="56">
      <c r="A56" s="25" t="n"/>
      <c r="B56" s="26" t="n"/>
      <c r="C56" s="26" t="n"/>
      <c r="E56">
        <f>IF(A56="","",IF(C56="","FALTA TC","OK"))</f>
        <v/>
      </c>
    </row>
    <row r="57">
      <c r="A57" s="25" t="n"/>
      <c r="B57" s="26" t="n"/>
      <c r="C57" s="26" t="n"/>
      <c r="E57">
        <f>IF(A57="","",IF(C57="","FALTA TC","OK"))</f>
        <v/>
      </c>
    </row>
    <row r="58">
      <c r="A58" s="25" t="n"/>
      <c r="B58" s="26" t="n"/>
      <c r="C58" s="26" t="n"/>
      <c r="E58">
        <f>IF(A58="","",IF(C58="","FALTA TC","OK"))</f>
        <v/>
      </c>
    </row>
    <row r="59">
      <c r="A59" s="25" t="n"/>
      <c r="B59" s="26" t="n"/>
      <c r="C59" s="26" t="n"/>
      <c r="E59">
        <f>IF(A59="","",IF(C59="","FALTA TC","OK"))</f>
        <v/>
      </c>
    </row>
    <row r="60">
      <c r="A60" s="25" t="n"/>
      <c r="B60" s="26" t="n"/>
      <c r="C60" s="26" t="n"/>
      <c r="E60">
        <f>IF(A60="","",IF(C60="","FALTA TC","OK"))</f>
        <v/>
      </c>
    </row>
    <row r="61">
      <c r="A61" s="25" t="n"/>
      <c r="B61" s="26" t="n"/>
      <c r="C61" s="26" t="n"/>
      <c r="E61">
        <f>IF(A61="","",IF(C61="","FALTA TC","OK"))</f>
        <v/>
      </c>
    </row>
    <row r="62">
      <c r="A62" s="25" t="n"/>
      <c r="B62" s="26" t="n"/>
      <c r="C62" s="26" t="n"/>
      <c r="E62">
        <f>IF(A62="","",IF(C62="","FALTA TC","OK"))</f>
        <v/>
      </c>
    </row>
    <row r="63">
      <c r="A63" s="25" t="n"/>
      <c r="B63" s="26" t="n"/>
      <c r="C63" s="26" t="n"/>
      <c r="E63">
        <f>IF(A63="","",IF(C63="","FALTA TC","OK"))</f>
        <v/>
      </c>
    </row>
    <row r="64">
      <c r="A64" s="25" t="n"/>
      <c r="B64" s="26" t="n"/>
      <c r="C64" s="26" t="n"/>
      <c r="E64">
        <f>IF(A64="","",IF(C64="","FALTA TC","OK"))</f>
        <v/>
      </c>
    </row>
    <row r="65">
      <c r="A65" s="25" t="n"/>
      <c r="B65" s="26" t="n"/>
      <c r="C65" s="26" t="n"/>
      <c r="E65">
        <f>IF(A65="","",IF(C65="","FALTA TC","OK"))</f>
        <v/>
      </c>
    </row>
    <row r="66">
      <c r="A66" s="25" t="n"/>
      <c r="B66" s="26" t="n"/>
      <c r="C66" s="26" t="n"/>
      <c r="E66">
        <f>IF(A66="","",IF(C66="","FALTA TC","OK"))</f>
        <v/>
      </c>
    </row>
    <row r="67">
      <c r="A67" s="25" t="n"/>
      <c r="B67" s="26" t="n"/>
      <c r="C67" s="26" t="n"/>
      <c r="E67">
        <f>IF(A67="","",IF(C67="","FALTA TC","OK"))</f>
        <v/>
      </c>
    </row>
    <row r="68">
      <c r="A68" s="25" t="n"/>
      <c r="B68" s="26" t="n"/>
      <c r="C68" s="26" t="n"/>
      <c r="E68">
        <f>IF(A68="","",IF(C68="","FALTA TC","OK"))</f>
        <v/>
      </c>
    </row>
    <row r="69">
      <c r="A69" s="25" t="n"/>
      <c r="B69" s="26" t="n"/>
      <c r="C69" s="26" t="n"/>
      <c r="E69">
        <f>IF(A69="","",IF(C69="","FALTA TC","OK"))</f>
        <v/>
      </c>
    </row>
    <row r="70">
      <c r="A70" s="25" t="n"/>
      <c r="B70" s="26" t="n"/>
      <c r="C70" s="26" t="n"/>
      <c r="E70">
        <f>IF(A70="","",IF(C70="","FALTA TC","OK"))</f>
        <v/>
      </c>
    </row>
    <row r="71">
      <c r="A71" s="25" t="n"/>
      <c r="B71" s="26" t="n"/>
      <c r="C71" s="26" t="n"/>
      <c r="E71">
        <f>IF(A71="","",IF(C71="","FALTA TC","OK"))</f>
        <v/>
      </c>
    </row>
    <row r="72">
      <c r="A72" s="25" t="n"/>
      <c r="B72" s="26" t="n"/>
      <c r="C72" s="26" t="n"/>
      <c r="E72">
        <f>IF(A72="","",IF(C72="","FALTA TC","OK"))</f>
        <v/>
      </c>
    </row>
    <row r="73">
      <c r="A73" s="25" t="n"/>
      <c r="B73" s="26" t="n"/>
      <c r="C73" s="26" t="n"/>
      <c r="E73">
        <f>IF(A73="","",IF(C73="","FALTA TC","OK"))</f>
        <v/>
      </c>
    </row>
    <row r="74">
      <c r="A74" s="25" t="n"/>
      <c r="B74" s="26" t="n"/>
      <c r="C74" s="26" t="n"/>
      <c r="E74">
        <f>IF(A74="","",IF(C74="","FALTA TC","OK"))</f>
        <v/>
      </c>
    </row>
    <row r="75">
      <c r="A75" s="25" t="n"/>
      <c r="B75" s="26" t="n"/>
      <c r="C75" s="26" t="n"/>
      <c r="E75">
        <f>IF(A75="","",IF(C75="","FALTA TC","OK"))</f>
        <v/>
      </c>
    </row>
    <row r="76">
      <c r="A76" s="25" t="n"/>
      <c r="B76" s="26" t="n"/>
      <c r="C76" s="26" t="n"/>
      <c r="E76">
        <f>IF(A76="","",IF(C76="","FALTA TC","OK"))</f>
        <v/>
      </c>
    </row>
    <row r="77">
      <c r="A77" s="25" t="n"/>
      <c r="B77" s="26" t="n"/>
      <c r="C77" s="26" t="n"/>
      <c r="E77">
        <f>IF(A77="","",IF(C77="","FALTA TC","OK"))</f>
        <v/>
      </c>
    </row>
    <row r="78">
      <c r="A78" s="25" t="n"/>
      <c r="B78" s="26" t="n"/>
      <c r="C78" s="26" t="n"/>
      <c r="E78">
        <f>IF(A78="","",IF(C78="","FALTA TC","OK"))</f>
        <v/>
      </c>
    </row>
    <row r="79">
      <c r="A79" s="25" t="n"/>
      <c r="B79" s="26" t="n"/>
      <c r="C79" s="26" t="n"/>
      <c r="E79">
        <f>IF(A79="","",IF(C79="","FALTA TC","OK"))</f>
        <v/>
      </c>
    </row>
    <row r="80">
      <c r="A80" s="25" t="n"/>
      <c r="B80" s="26" t="n"/>
      <c r="C80" s="26" t="n"/>
      <c r="E80">
        <f>IF(A80="","",IF(C80="","FALTA TC","OK"))</f>
        <v/>
      </c>
    </row>
    <row r="81">
      <c r="A81" s="25" t="n"/>
      <c r="B81" s="26" t="n"/>
      <c r="C81" s="26" t="n"/>
      <c r="E81">
        <f>IF(A81="","",IF(C81="","FALTA TC","OK"))</f>
        <v/>
      </c>
    </row>
    <row r="82">
      <c r="A82" s="25" t="n"/>
      <c r="B82" s="26" t="n"/>
      <c r="C82" s="26" t="n"/>
      <c r="E82">
        <f>IF(A82="","",IF(C82="","FALTA TC","OK"))</f>
        <v/>
      </c>
    </row>
    <row r="83">
      <c r="A83" s="25" t="n"/>
      <c r="B83" s="26" t="n"/>
      <c r="C83" s="26" t="n"/>
      <c r="E83">
        <f>IF(A83="","",IF(C83="","FALTA TC","OK"))</f>
        <v/>
      </c>
    </row>
    <row r="84">
      <c r="A84" s="25" t="n"/>
      <c r="B84" s="26" t="n"/>
      <c r="C84" s="26" t="n"/>
      <c r="E84">
        <f>IF(A84="","",IF(C84="","FALTA TC","OK"))</f>
        <v/>
      </c>
    </row>
    <row r="85">
      <c r="A85" s="25" t="n"/>
      <c r="B85" s="26" t="n"/>
      <c r="C85" s="26" t="n"/>
      <c r="E85">
        <f>IF(A85="","",IF(C85="","FALTA TC","OK"))</f>
        <v/>
      </c>
    </row>
    <row r="86">
      <c r="A86" s="25" t="n"/>
      <c r="B86" s="26" t="n"/>
      <c r="C86" s="26" t="n"/>
      <c r="E86">
        <f>IF(A86="","",IF(C86="","FALTA TC","OK"))</f>
        <v/>
      </c>
    </row>
    <row r="87">
      <c r="A87" s="25" t="n"/>
      <c r="B87" s="26" t="n"/>
      <c r="C87" s="26" t="n"/>
      <c r="E87">
        <f>IF(A87="","",IF(C87="","FALTA TC","OK"))</f>
        <v/>
      </c>
    </row>
    <row r="88">
      <c r="A88" s="25" t="n"/>
      <c r="B88" s="26" t="n"/>
      <c r="C88" s="26" t="n"/>
      <c r="E88">
        <f>IF(A88="","",IF(C88="","FALTA TC","OK"))</f>
        <v/>
      </c>
    </row>
    <row r="89">
      <c r="A89" s="25" t="n"/>
      <c r="B89" s="26" t="n"/>
      <c r="C89" s="26" t="n"/>
      <c r="E89">
        <f>IF(A89="","",IF(C89="","FALTA TC","OK"))</f>
        <v/>
      </c>
    </row>
    <row r="90">
      <c r="A90" s="25" t="n"/>
      <c r="B90" s="26" t="n"/>
      <c r="C90" s="26" t="n"/>
      <c r="E90">
        <f>IF(A90="","",IF(C90="","FALTA TC","OK"))</f>
        <v/>
      </c>
    </row>
    <row r="91">
      <c r="A91" s="25" t="n"/>
      <c r="B91" s="26" t="n"/>
      <c r="C91" s="26" t="n"/>
      <c r="E91">
        <f>IF(A91="","",IF(C91="","FALTA TC","OK"))</f>
        <v/>
      </c>
    </row>
    <row r="92">
      <c r="A92" s="25" t="n"/>
      <c r="B92" s="26" t="n"/>
      <c r="C92" s="26" t="n"/>
      <c r="E92">
        <f>IF(A92="","",IF(C92="","FALTA TC","OK"))</f>
        <v/>
      </c>
    </row>
    <row r="93">
      <c r="A93" s="25" t="n"/>
      <c r="B93" s="26" t="n"/>
      <c r="C93" s="26" t="n"/>
      <c r="E93">
        <f>IF(A93="","",IF(C93="","FALTA TC","OK"))</f>
        <v/>
      </c>
    </row>
    <row r="94">
      <c r="A94" s="25" t="n"/>
      <c r="B94" s="26" t="n"/>
      <c r="C94" s="26" t="n"/>
      <c r="E94">
        <f>IF(A94="","",IF(C94="","FALTA TC","OK"))</f>
        <v/>
      </c>
    </row>
    <row r="95">
      <c r="A95" s="25" t="n"/>
      <c r="B95" s="26" t="n"/>
      <c r="C95" s="26" t="n"/>
      <c r="E95">
        <f>IF(A95="","",IF(C95="","FALTA TC","OK"))</f>
        <v/>
      </c>
    </row>
    <row r="96">
      <c r="A96" s="25" t="n"/>
      <c r="B96" s="26" t="n"/>
      <c r="C96" s="26" t="n"/>
      <c r="E96">
        <f>IF(A96="","",IF(C96="","FALTA TC","OK"))</f>
        <v/>
      </c>
    </row>
    <row r="97">
      <c r="A97" s="25" t="n"/>
      <c r="B97" s="26" t="n"/>
      <c r="C97" s="26" t="n"/>
      <c r="E97">
        <f>IF(A97="","",IF(C97="","FALTA TC","OK"))</f>
        <v/>
      </c>
    </row>
    <row r="98">
      <c r="A98" s="25" t="n"/>
      <c r="B98" s="26" t="n"/>
      <c r="C98" s="26" t="n"/>
      <c r="E98">
        <f>IF(A98="","",IF(C98="","FALTA TC","OK"))</f>
        <v/>
      </c>
    </row>
    <row r="99">
      <c r="A99" s="25" t="n"/>
      <c r="B99" s="26" t="n"/>
      <c r="C99" s="26" t="n"/>
      <c r="E99">
        <f>IF(A99="","",IF(C99="","FALTA TC","OK"))</f>
        <v/>
      </c>
    </row>
    <row r="100">
      <c r="A100" s="25" t="n"/>
      <c r="B100" s="26" t="n"/>
      <c r="C100" s="26" t="n"/>
      <c r="E100">
        <f>IF(A100="","",IF(C100="","FALTA TC","OK"))</f>
        <v/>
      </c>
    </row>
    <row r="101">
      <c r="A101" s="25" t="n"/>
      <c r="B101" s="26" t="n"/>
      <c r="C101" s="26" t="n"/>
      <c r="E101">
        <f>IF(A101="","",IF(C101="","FALTA TC","OK"))</f>
        <v/>
      </c>
    </row>
    <row r="102">
      <c r="A102" s="25" t="n"/>
      <c r="B102" s="26" t="n"/>
      <c r="C102" s="26" t="n"/>
      <c r="E102">
        <f>IF(A102="","",IF(C102="","FALTA TC","OK"))</f>
        <v/>
      </c>
    </row>
    <row r="103">
      <c r="A103" s="25" t="n"/>
      <c r="B103" s="26" t="n"/>
      <c r="C103" s="26" t="n"/>
      <c r="E103">
        <f>IF(A103="","",IF(C103="","FALTA TC","OK"))</f>
        <v/>
      </c>
    </row>
    <row r="104">
      <c r="A104" s="25" t="n"/>
      <c r="B104" s="26" t="n"/>
      <c r="C104" s="26" t="n"/>
      <c r="E104">
        <f>IF(A104="","",IF(C104="","FALTA TC","OK"))</f>
        <v/>
      </c>
    </row>
    <row r="105">
      <c r="A105" s="25" t="n"/>
      <c r="B105" s="26" t="n"/>
      <c r="C105" s="26" t="n"/>
      <c r="E105">
        <f>IF(A105="","",IF(C105="","FALTA TC","OK"))</f>
        <v/>
      </c>
    </row>
    <row r="106">
      <c r="A106" s="25" t="n"/>
      <c r="B106" s="26" t="n"/>
      <c r="C106" s="26" t="n"/>
      <c r="E106">
        <f>IF(A106="","",IF(C106="","FALTA TC","OK"))</f>
        <v/>
      </c>
    </row>
    <row r="107">
      <c r="A107" s="25" t="n"/>
      <c r="B107" s="26" t="n"/>
      <c r="C107" s="26" t="n"/>
      <c r="E107">
        <f>IF(A107="","",IF(C107="","FALTA TC","OK"))</f>
        <v/>
      </c>
    </row>
    <row r="108">
      <c r="A108" s="25" t="n"/>
      <c r="B108" s="26" t="n"/>
      <c r="C108" s="26" t="n"/>
      <c r="E108">
        <f>IF(A108="","",IF(C108="","FALTA TC","OK"))</f>
        <v/>
      </c>
    </row>
    <row r="109">
      <c r="A109" s="25" t="n"/>
      <c r="B109" s="26" t="n"/>
      <c r="C109" s="26" t="n"/>
      <c r="E109">
        <f>IF(A109="","",IF(C109="","FALTA TC","OK"))</f>
        <v/>
      </c>
    </row>
    <row r="110">
      <c r="A110" s="25" t="n"/>
      <c r="B110" s="26" t="n"/>
      <c r="C110" s="26" t="n"/>
      <c r="E110">
        <f>IF(A110="","",IF(C110="","FALTA TC","OK"))</f>
        <v/>
      </c>
    </row>
    <row r="111">
      <c r="A111" s="25" t="n"/>
      <c r="B111" s="26" t="n"/>
      <c r="C111" s="26" t="n"/>
      <c r="E111">
        <f>IF(A111="","",IF(C111="","FALTA TC","OK"))</f>
        <v/>
      </c>
    </row>
    <row r="112">
      <c r="A112" s="25" t="n"/>
      <c r="B112" s="26" t="n"/>
      <c r="C112" s="26" t="n"/>
      <c r="E112">
        <f>IF(A112="","",IF(C112="","FALTA TC","OK"))</f>
        <v/>
      </c>
    </row>
    <row r="113">
      <c r="A113" s="25" t="n"/>
      <c r="B113" s="26" t="n"/>
      <c r="C113" s="26" t="n"/>
      <c r="E113">
        <f>IF(A113="","",IF(C113="","FALTA TC","OK"))</f>
        <v/>
      </c>
    </row>
    <row r="114">
      <c r="A114" s="25" t="n"/>
      <c r="B114" s="26" t="n"/>
      <c r="C114" s="26" t="n"/>
      <c r="E114">
        <f>IF(A114="","",IF(C114="","FALTA TC","OK"))</f>
        <v/>
      </c>
    </row>
    <row r="115">
      <c r="A115" s="25" t="n"/>
      <c r="B115" s="26" t="n"/>
      <c r="C115" s="26" t="n"/>
      <c r="E115">
        <f>IF(A115="","",IF(C115="","FALTA TC","OK"))</f>
        <v/>
      </c>
    </row>
    <row r="116">
      <c r="A116" s="25" t="n"/>
      <c r="B116" s="26" t="n"/>
      <c r="C116" s="26" t="n"/>
      <c r="E116">
        <f>IF(A116="","",IF(C116="","FALTA TC","OK"))</f>
        <v/>
      </c>
    </row>
    <row r="117">
      <c r="A117" s="25" t="n"/>
      <c r="B117" s="26" t="n"/>
      <c r="C117" s="26" t="n"/>
      <c r="E117">
        <f>IF(A117="","",IF(C117="","FALTA TC","OK"))</f>
        <v/>
      </c>
    </row>
    <row r="118">
      <c r="A118" s="25" t="n"/>
      <c r="B118" s="26" t="n"/>
      <c r="C118" s="26" t="n"/>
      <c r="E118">
        <f>IF(A118="","",IF(C118="","FALTA TC","OK"))</f>
        <v/>
      </c>
    </row>
    <row r="119">
      <c r="A119" s="25" t="n"/>
      <c r="B119" s="26" t="n"/>
      <c r="C119" s="26" t="n"/>
      <c r="E119">
        <f>IF(A119="","",IF(C119="","FALTA TC","OK"))</f>
        <v/>
      </c>
    </row>
    <row r="120">
      <c r="A120" s="25" t="n"/>
      <c r="B120" s="26" t="n"/>
      <c r="C120" s="26" t="n"/>
      <c r="E120">
        <f>IF(A120="","",IF(C120="","FALTA TC","OK"))</f>
        <v/>
      </c>
    </row>
    <row r="121">
      <c r="A121" s="25" t="n"/>
      <c r="B121" s="26" t="n"/>
      <c r="C121" s="26" t="n"/>
      <c r="E121">
        <f>IF(A121="","",IF(C121="","FALTA TC","OK"))</f>
        <v/>
      </c>
    </row>
    <row r="122">
      <c r="A122" s="25" t="n"/>
      <c r="B122" s="26" t="n"/>
      <c r="C122" s="26" t="n"/>
      <c r="E122">
        <f>IF(A122="","",IF(C122="","FALTA TC","OK"))</f>
        <v/>
      </c>
    </row>
    <row r="123">
      <c r="A123" s="25" t="n"/>
      <c r="B123" s="26" t="n"/>
      <c r="C123" s="26" t="n"/>
      <c r="E123">
        <f>IF(A123="","",IF(C123="","FALTA TC","OK"))</f>
        <v/>
      </c>
    </row>
    <row r="124">
      <c r="A124" s="25" t="n"/>
      <c r="B124" s="26" t="n"/>
      <c r="C124" s="26" t="n"/>
      <c r="E124">
        <f>IF(A124="","",IF(C124="","FALTA TC","OK"))</f>
        <v/>
      </c>
    </row>
    <row r="125">
      <c r="A125" s="25" t="n"/>
      <c r="B125" s="26" t="n"/>
      <c r="C125" s="26" t="n"/>
      <c r="E125">
        <f>IF(A125="","",IF(C125="","FALTA TC","OK"))</f>
        <v/>
      </c>
    </row>
    <row r="126">
      <c r="A126" s="25" t="n"/>
      <c r="B126" s="26" t="n"/>
      <c r="C126" s="26" t="n"/>
      <c r="E126">
        <f>IF(A126="","",IF(C126="","FALTA TC","OK"))</f>
        <v/>
      </c>
    </row>
    <row r="127">
      <c r="A127" s="25" t="n"/>
      <c r="B127" s="26" t="n"/>
      <c r="C127" s="26" t="n"/>
      <c r="E127">
        <f>IF(A127="","",IF(C127="","FALTA TC","OK"))</f>
        <v/>
      </c>
    </row>
    <row r="128">
      <c r="A128" s="25" t="n"/>
      <c r="B128" s="26" t="n"/>
      <c r="C128" s="26" t="n"/>
      <c r="E128">
        <f>IF(A128="","",IF(C128="","FALTA TC","OK"))</f>
        <v/>
      </c>
    </row>
    <row r="129">
      <c r="A129" s="25" t="n"/>
      <c r="B129" s="26" t="n"/>
      <c r="C129" s="26" t="n"/>
      <c r="E129">
        <f>IF(A129="","",IF(C129="","FALTA TC","OK"))</f>
        <v/>
      </c>
    </row>
    <row r="130">
      <c r="A130" s="25" t="n"/>
      <c r="B130" s="26" t="n"/>
      <c r="C130" s="26" t="n"/>
      <c r="E130">
        <f>IF(A130="","",IF(C130="","FALTA TC","OK"))</f>
        <v/>
      </c>
    </row>
    <row r="131">
      <c r="A131" s="25" t="n"/>
      <c r="B131" s="26" t="n"/>
      <c r="C131" s="26" t="n"/>
      <c r="E131">
        <f>IF(A131="","",IF(C131="","FALTA TC","OK"))</f>
        <v/>
      </c>
    </row>
    <row r="132">
      <c r="A132" s="25" t="n"/>
      <c r="B132" s="26" t="n"/>
      <c r="C132" s="26" t="n"/>
      <c r="E132">
        <f>IF(A132="","",IF(C132="","FALTA TC","OK"))</f>
        <v/>
      </c>
    </row>
    <row r="133">
      <c r="A133" s="25" t="n"/>
      <c r="B133" s="26" t="n"/>
      <c r="C133" s="26" t="n"/>
      <c r="E133">
        <f>IF(A133="","",IF(C133="","FALTA TC","OK"))</f>
        <v/>
      </c>
    </row>
    <row r="134">
      <c r="A134" s="25" t="n"/>
      <c r="B134" s="26" t="n"/>
      <c r="C134" s="26" t="n"/>
      <c r="E134">
        <f>IF(A134="","",IF(C134="","FALTA TC","OK"))</f>
        <v/>
      </c>
    </row>
    <row r="135">
      <c r="A135" s="25" t="n"/>
      <c r="B135" s="26" t="n"/>
      <c r="C135" s="26" t="n"/>
      <c r="E135">
        <f>IF(A135="","",IF(C135="","FALTA TC","OK"))</f>
        <v/>
      </c>
    </row>
    <row r="136">
      <c r="A136" s="25" t="n"/>
      <c r="B136" s="26" t="n"/>
      <c r="C136" s="26" t="n"/>
      <c r="E136">
        <f>IF(A136="","",IF(C136="","FALTA TC","OK"))</f>
        <v/>
      </c>
    </row>
    <row r="137">
      <c r="A137" s="25" t="n"/>
      <c r="B137" s="26" t="n"/>
      <c r="C137" s="26" t="n"/>
      <c r="E137">
        <f>IF(A137="","",IF(C137="","FALTA TC","OK"))</f>
        <v/>
      </c>
    </row>
    <row r="138">
      <c r="A138" s="25" t="n"/>
      <c r="B138" s="26" t="n"/>
      <c r="C138" s="26" t="n"/>
      <c r="E138">
        <f>IF(A138="","",IF(C138="","FALTA TC","OK"))</f>
        <v/>
      </c>
    </row>
    <row r="139">
      <c r="A139" s="25" t="n"/>
      <c r="B139" s="26" t="n"/>
      <c r="C139" s="26" t="n"/>
      <c r="E139">
        <f>IF(A139="","",IF(C139="","FALTA TC","OK"))</f>
        <v/>
      </c>
    </row>
    <row r="140">
      <c r="A140" s="25" t="n"/>
      <c r="B140" s="26" t="n"/>
      <c r="C140" s="26" t="n"/>
      <c r="E140">
        <f>IF(A140="","",IF(C140="","FALTA TC","OK"))</f>
        <v/>
      </c>
    </row>
    <row r="141">
      <c r="A141" s="25" t="n"/>
      <c r="B141" s="26" t="n"/>
      <c r="C141" s="26" t="n"/>
      <c r="E141">
        <f>IF(A141="","",IF(C141="","FALTA TC","OK"))</f>
        <v/>
      </c>
    </row>
    <row r="142">
      <c r="A142" s="25" t="n"/>
      <c r="B142" s="26" t="n"/>
      <c r="C142" s="26" t="n"/>
      <c r="E142">
        <f>IF(A142="","",IF(C142="","FALTA TC","OK"))</f>
        <v/>
      </c>
    </row>
    <row r="143">
      <c r="A143" s="25" t="n"/>
      <c r="B143" s="26" t="n"/>
      <c r="C143" s="26" t="n"/>
      <c r="E143">
        <f>IF(A143="","",IF(C143="","FALTA TC","OK"))</f>
        <v/>
      </c>
    </row>
    <row r="144">
      <c r="A144" s="25" t="n"/>
      <c r="B144" s="26" t="n"/>
      <c r="C144" s="26" t="n"/>
      <c r="E144">
        <f>IF(A144="","",IF(C144="","FALTA TC","OK"))</f>
        <v/>
      </c>
    </row>
    <row r="145">
      <c r="A145" s="25" t="n"/>
      <c r="B145" s="26" t="n"/>
      <c r="C145" s="26" t="n"/>
      <c r="E145">
        <f>IF(A145="","",IF(C145="","FALTA TC","OK"))</f>
        <v/>
      </c>
    </row>
    <row r="146">
      <c r="A146" s="25" t="n"/>
      <c r="B146" s="26" t="n"/>
      <c r="C146" s="26" t="n"/>
      <c r="E146">
        <f>IF(A146="","",IF(C146="","FALTA TC","OK"))</f>
        <v/>
      </c>
    </row>
    <row r="147">
      <c r="A147" s="25" t="n"/>
      <c r="B147" s="26" t="n"/>
      <c r="C147" s="26" t="n"/>
      <c r="E147">
        <f>IF(A147="","",IF(C147="","FALTA TC","OK"))</f>
        <v/>
      </c>
    </row>
    <row r="148">
      <c r="A148" s="25" t="n"/>
      <c r="B148" s="26" t="n"/>
      <c r="C148" s="26" t="n"/>
      <c r="E148">
        <f>IF(A148="","",IF(C148="","FALTA TC","OK"))</f>
        <v/>
      </c>
    </row>
    <row r="149">
      <c r="A149" s="25" t="n"/>
      <c r="B149" s="26" t="n"/>
      <c r="C149" s="26" t="n"/>
      <c r="E149">
        <f>IF(A149="","",IF(C149="","FALTA TC","OK"))</f>
        <v/>
      </c>
    </row>
    <row r="150">
      <c r="A150" s="25" t="n"/>
      <c r="B150" s="26" t="n"/>
      <c r="C150" s="26" t="n"/>
      <c r="E150">
        <f>IF(A150="","",IF(C150="","FALTA TC","OK"))</f>
        <v/>
      </c>
    </row>
    <row r="151">
      <c r="A151" s="25" t="n"/>
      <c r="B151" s="26" t="n"/>
      <c r="C151" s="26" t="n"/>
      <c r="E151">
        <f>IF(A151="","",IF(C151="","FALTA TC","OK"))</f>
        <v/>
      </c>
    </row>
    <row r="152">
      <c r="A152" s="25" t="n"/>
      <c r="B152" s="26" t="n"/>
      <c r="C152" s="26" t="n"/>
      <c r="E152">
        <f>IF(A152="","",IF(C152="","FALTA TC","OK"))</f>
        <v/>
      </c>
    </row>
    <row r="153">
      <c r="A153" s="25" t="n"/>
      <c r="B153" s="26" t="n"/>
      <c r="C153" s="26" t="n"/>
      <c r="E153">
        <f>IF(A153="","",IF(C153="","FALTA TC","OK"))</f>
        <v/>
      </c>
    </row>
    <row r="154">
      <c r="A154" s="25" t="n"/>
      <c r="B154" s="26" t="n"/>
      <c r="C154" s="26" t="n"/>
      <c r="E154">
        <f>IF(A154="","",IF(C154="","FALTA TC","OK"))</f>
        <v/>
      </c>
    </row>
    <row r="155">
      <c r="A155" s="25" t="n"/>
      <c r="B155" s="26" t="n"/>
      <c r="C155" s="26" t="n"/>
      <c r="E155">
        <f>IF(A155="","",IF(C155="","FALTA TC","OK"))</f>
        <v/>
      </c>
    </row>
    <row r="156">
      <c r="A156" s="25" t="n"/>
      <c r="B156" s="26" t="n"/>
      <c r="C156" s="26" t="n"/>
      <c r="E156">
        <f>IF(A156="","",IF(C156="","FALTA TC","OK"))</f>
        <v/>
      </c>
    </row>
    <row r="157">
      <c r="A157" s="25" t="n"/>
      <c r="B157" s="26" t="n"/>
      <c r="C157" s="26" t="n"/>
      <c r="E157">
        <f>IF(A157="","",IF(C157="","FALTA TC","OK"))</f>
        <v/>
      </c>
    </row>
    <row r="158">
      <c r="A158" s="25" t="n"/>
      <c r="B158" s="26" t="n"/>
      <c r="C158" s="26" t="n"/>
      <c r="E158">
        <f>IF(A158="","",IF(C158="","FALTA TC","OK"))</f>
        <v/>
      </c>
    </row>
    <row r="159">
      <c r="A159" s="25" t="n"/>
      <c r="B159" s="26" t="n"/>
      <c r="C159" s="26" t="n"/>
      <c r="E159">
        <f>IF(A159="","",IF(C159="","FALTA TC","OK"))</f>
        <v/>
      </c>
    </row>
    <row r="160">
      <c r="A160" s="25" t="n"/>
      <c r="B160" s="26" t="n"/>
      <c r="C160" s="26" t="n"/>
      <c r="E160">
        <f>IF(A160="","",IF(C160="","FALTA TC","OK"))</f>
        <v/>
      </c>
    </row>
    <row r="161">
      <c r="A161" s="25" t="n"/>
      <c r="B161" s="26" t="n"/>
      <c r="C161" s="26" t="n"/>
      <c r="E161">
        <f>IF(A161="","",IF(C161="","FALTA TC","OK"))</f>
        <v/>
      </c>
    </row>
    <row r="162">
      <c r="A162" s="25" t="n"/>
      <c r="B162" s="26" t="n"/>
      <c r="C162" s="26" t="n"/>
      <c r="E162">
        <f>IF(A162="","",IF(C162="","FALTA TC","OK"))</f>
        <v/>
      </c>
    </row>
    <row r="163">
      <c r="A163" s="25" t="n"/>
      <c r="B163" s="26" t="n"/>
      <c r="C163" s="26" t="n"/>
      <c r="E163">
        <f>IF(A163="","",IF(C163="","FALTA TC","OK"))</f>
        <v/>
      </c>
    </row>
    <row r="164">
      <c r="A164" s="25" t="n"/>
      <c r="B164" s="26" t="n"/>
      <c r="C164" s="26" t="n"/>
      <c r="E164">
        <f>IF(A164="","",IF(C164="","FALTA TC","OK"))</f>
        <v/>
      </c>
    </row>
    <row r="165">
      <c r="A165" s="25" t="n"/>
      <c r="B165" s="26" t="n"/>
      <c r="C165" s="26" t="n"/>
      <c r="E165">
        <f>IF(A165="","",IF(C165="","FALTA TC","OK"))</f>
        <v/>
      </c>
    </row>
    <row r="166">
      <c r="A166" s="25" t="n"/>
      <c r="B166" s="26" t="n"/>
      <c r="C166" s="26" t="n"/>
      <c r="E166">
        <f>IF(A166="","",IF(C166="","FALTA TC","OK"))</f>
        <v/>
      </c>
    </row>
    <row r="167">
      <c r="A167" s="25" t="n"/>
      <c r="B167" s="26" t="n"/>
      <c r="C167" s="26" t="n"/>
      <c r="E167">
        <f>IF(A167="","",IF(C167="","FALTA TC","OK"))</f>
        <v/>
      </c>
    </row>
    <row r="168">
      <c r="A168" s="25" t="n"/>
      <c r="B168" s="26" t="n"/>
      <c r="C168" s="26" t="n"/>
      <c r="E168">
        <f>IF(A168="","",IF(C168="","FALTA TC","OK"))</f>
        <v/>
      </c>
    </row>
    <row r="169">
      <c r="A169" s="25" t="n"/>
      <c r="B169" s="26" t="n"/>
      <c r="C169" s="26" t="n"/>
      <c r="E169">
        <f>IF(A169="","",IF(C169="","FALTA TC","OK"))</f>
        <v/>
      </c>
    </row>
    <row r="170">
      <c r="A170" s="25" t="n"/>
      <c r="B170" s="26" t="n"/>
      <c r="C170" s="26" t="n"/>
      <c r="E170">
        <f>IF(A170="","",IF(C170="","FALTA TC","OK"))</f>
        <v/>
      </c>
    </row>
    <row r="171">
      <c r="A171" s="25" t="n"/>
      <c r="B171" s="26" t="n"/>
      <c r="C171" s="26" t="n"/>
      <c r="E171">
        <f>IF(A171="","",IF(C171="","FALTA TC","OK"))</f>
        <v/>
      </c>
    </row>
    <row r="172">
      <c r="A172" s="25" t="n"/>
      <c r="B172" s="26" t="n"/>
      <c r="C172" s="26" t="n"/>
      <c r="E172">
        <f>IF(A172="","",IF(C172="","FALTA TC","OK"))</f>
        <v/>
      </c>
    </row>
    <row r="173">
      <c r="A173" s="25" t="n"/>
      <c r="B173" s="26" t="n"/>
      <c r="C173" s="26" t="n"/>
      <c r="E173">
        <f>IF(A173="","",IF(C173="","FALTA TC","OK"))</f>
        <v/>
      </c>
    </row>
    <row r="174">
      <c r="A174" s="25" t="n"/>
      <c r="B174" s="26" t="n"/>
      <c r="C174" s="26" t="n"/>
      <c r="E174">
        <f>IF(A174="","",IF(C174="","FALTA TC","OK"))</f>
        <v/>
      </c>
    </row>
    <row r="175">
      <c r="A175" s="25" t="n"/>
      <c r="B175" s="26" t="n"/>
      <c r="C175" s="26" t="n"/>
      <c r="E175">
        <f>IF(A175="","",IF(C175="","FALTA TC","OK"))</f>
        <v/>
      </c>
    </row>
    <row r="176">
      <c r="A176" s="25" t="n"/>
      <c r="B176" s="26" t="n"/>
      <c r="C176" s="26" t="n"/>
      <c r="E176">
        <f>IF(A176="","",IF(C176="","FALTA TC","OK"))</f>
        <v/>
      </c>
    </row>
    <row r="177">
      <c r="A177" s="25" t="n"/>
      <c r="B177" s="26" t="n"/>
      <c r="C177" s="26" t="n"/>
      <c r="E177">
        <f>IF(A177="","",IF(C177="","FALTA TC","OK"))</f>
        <v/>
      </c>
    </row>
    <row r="178">
      <c r="A178" s="25" t="n"/>
      <c r="B178" s="26" t="n"/>
      <c r="C178" s="26" t="n"/>
      <c r="E178">
        <f>IF(A178="","",IF(C178="","FALTA TC","OK"))</f>
        <v/>
      </c>
    </row>
    <row r="179">
      <c r="A179" s="25" t="n"/>
      <c r="B179" s="26" t="n"/>
      <c r="C179" s="26" t="n"/>
      <c r="E179">
        <f>IF(A179="","",IF(C179="","FALTA TC","OK"))</f>
        <v/>
      </c>
    </row>
    <row r="180">
      <c r="A180" s="25" t="n"/>
      <c r="B180" s="26" t="n"/>
      <c r="C180" s="26" t="n"/>
      <c r="E180">
        <f>IF(A180="","",IF(C180="","FALTA TC","OK"))</f>
        <v/>
      </c>
    </row>
    <row r="181">
      <c r="A181" s="25" t="n"/>
      <c r="B181" s="26" t="n"/>
      <c r="C181" s="26" t="n"/>
      <c r="E181">
        <f>IF(A181="","",IF(C181="","FALTA TC","OK"))</f>
        <v/>
      </c>
    </row>
    <row r="182">
      <c r="A182" s="25" t="n"/>
      <c r="B182" s="26" t="n"/>
      <c r="C182" s="26" t="n"/>
      <c r="E182">
        <f>IF(A182="","",IF(C182="","FALTA TC","OK"))</f>
        <v/>
      </c>
    </row>
    <row r="183">
      <c r="A183" s="25" t="n"/>
      <c r="B183" s="26" t="n"/>
      <c r="C183" s="26" t="n"/>
      <c r="E183">
        <f>IF(A183="","",IF(C183="","FALTA TC","OK"))</f>
        <v/>
      </c>
    </row>
    <row r="184">
      <c r="A184" s="25" t="n"/>
      <c r="B184" s="26" t="n"/>
      <c r="C184" s="26" t="n"/>
      <c r="E184">
        <f>IF(A184="","",IF(C184="","FALTA TC","OK"))</f>
        <v/>
      </c>
    </row>
    <row r="185">
      <c r="A185" s="25" t="n"/>
      <c r="B185" s="26" t="n"/>
      <c r="C185" s="26" t="n"/>
      <c r="E185">
        <f>IF(A185="","",IF(C185="","FALTA TC","OK"))</f>
        <v/>
      </c>
    </row>
    <row r="186">
      <c r="A186" s="25" t="n"/>
      <c r="B186" s="26" t="n"/>
      <c r="C186" s="26" t="n"/>
      <c r="E186">
        <f>IF(A186="","",IF(C186="","FALTA TC","OK"))</f>
        <v/>
      </c>
    </row>
    <row r="187">
      <c r="A187" s="25" t="n"/>
      <c r="B187" s="26" t="n"/>
      <c r="C187" s="26" t="n"/>
      <c r="E187">
        <f>IF(A187="","",IF(C187="","FALTA TC","OK"))</f>
        <v/>
      </c>
    </row>
    <row r="188">
      <c r="A188" s="25" t="n"/>
      <c r="B188" s="26" t="n"/>
      <c r="C188" s="26" t="n"/>
      <c r="E188">
        <f>IF(A188="","",IF(C188="","FALTA TC","OK"))</f>
        <v/>
      </c>
    </row>
    <row r="189">
      <c r="A189" s="25" t="n"/>
      <c r="B189" s="26" t="n"/>
      <c r="C189" s="26" t="n"/>
      <c r="E189">
        <f>IF(A189="","",IF(C189="","FALTA TC","OK"))</f>
        <v/>
      </c>
    </row>
    <row r="190">
      <c r="A190" s="25" t="n"/>
      <c r="B190" s="26" t="n"/>
      <c r="C190" s="26" t="n"/>
      <c r="E190">
        <f>IF(A190="","",IF(C190="","FALTA TC","OK"))</f>
        <v/>
      </c>
    </row>
    <row r="191">
      <c r="A191" s="25" t="n"/>
      <c r="B191" s="26" t="n"/>
      <c r="C191" s="26" t="n"/>
      <c r="E191">
        <f>IF(A191="","",IF(C191="","FALTA TC","OK"))</f>
        <v/>
      </c>
    </row>
    <row r="192">
      <c r="A192" s="25" t="n"/>
      <c r="B192" s="26" t="n"/>
      <c r="C192" s="26" t="n"/>
      <c r="E192">
        <f>IF(A192="","",IF(C192="","FALTA TC","OK"))</f>
        <v/>
      </c>
    </row>
    <row r="193">
      <c r="A193" s="25" t="n"/>
      <c r="B193" s="26" t="n"/>
      <c r="C193" s="26" t="n"/>
      <c r="E193">
        <f>IF(A193="","",IF(C193="","FALTA TC","OK"))</f>
        <v/>
      </c>
    </row>
    <row r="194">
      <c r="A194" s="25" t="n"/>
      <c r="B194" s="26" t="n"/>
      <c r="C194" s="26" t="n"/>
      <c r="E194">
        <f>IF(A194="","",IF(C194="","FALTA TC","OK"))</f>
        <v/>
      </c>
    </row>
    <row r="195">
      <c r="A195" s="25" t="n"/>
      <c r="B195" s="26" t="n"/>
      <c r="C195" s="26" t="n"/>
      <c r="E195">
        <f>IF(A195="","",IF(C195="","FALTA TC","OK"))</f>
        <v/>
      </c>
    </row>
    <row r="196">
      <c r="A196" s="25" t="n"/>
      <c r="B196" s="26" t="n"/>
      <c r="C196" s="26" t="n"/>
      <c r="E196">
        <f>IF(A196="","",IF(C196="","FALTA TC","OK"))</f>
        <v/>
      </c>
    </row>
    <row r="197">
      <c r="A197" s="25" t="n"/>
      <c r="B197" s="26" t="n"/>
      <c r="C197" s="26" t="n"/>
      <c r="E197">
        <f>IF(A197="","",IF(C197="","FALTA TC","OK"))</f>
        <v/>
      </c>
    </row>
    <row r="198">
      <c r="A198" s="25" t="n"/>
      <c r="B198" s="26" t="n"/>
      <c r="C198" s="26" t="n"/>
      <c r="E198">
        <f>IF(A198="","",IF(C198="","FALTA TC","OK"))</f>
        <v/>
      </c>
    </row>
    <row r="199">
      <c r="A199" s="25" t="n"/>
      <c r="B199" s="26" t="n"/>
      <c r="C199" s="26" t="n"/>
      <c r="E199">
        <f>IF(A199="","",IF(C199="","FALTA TC","OK"))</f>
        <v/>
      </c>
    </row>
    <row r="200">
      <c r="A200" s="25" t="n"/>
      <c r="B200" s="26" t="n"/>
      <c r="C200" s="26" t="n"/>
      <c r="E200">
        <f>IF(A200="","",IF(C200="","FALTA TC","OK"))</f>
        <v/>
      </c>
    </row>
    <row r="201">
      <c r="A201" s="25" t="n"/>
      <c r="B201" s="26" t="n"/>
      <c r="C201" s="26" t="n"/>
      <c r="E201">
        <f>IF(A201="","",IF(C201="","FALTA TC","OK"))</f>
        <v/>
      </c>
    </row>
    <row r="202">
      <c r="A202" s="25" t="n"/>
      <c r="B202" s="26" t="n"/>
      <c r="C202" s="26" t="n"/>
      <c r="E202">
        <f>IF(A202="","",IF(C202="","FALTA TC","OK"))</f>
        <v/>
      </c>
    </row>
    <row r="203">
      <c r="A203" s="25" t="n"/>
      <c r="B203" s="26" t="n"/>
      <c r="C203" s="26" t="n"/>
      <c r="E203">
        <f>IF(A203="","",IF(C203="","FALTA TC","OK"))</f>
        <v/>
      </c>
    </row>
    <row r="204">
      <c r="A204" s="25" t="n"/>
      <c r="B204" s="26" t="n"/>
      <c r="C204" s="26" t="n"/>
      <c r="E204">
        <f>IF(A204="","",IF(C204="","FALTA TC","OK"))</f>
        <v/>
      </c>
    </row>
    <row r="205">
      <c r="A205" s="25" t="n"/>
      <c r="B205" s="26" t="n"/>
      <c r="C205" s="26" t="n"/>
      <c r="E205">
        <f>IF(A205="","",IF(C205="","FALTA TC","OK"))</f>
        <v/>
      </c>
    </row>
    <row r="206">
      <c r="A206" s="25" t="n"/>
      <c r="B206" s="26" t="n"/>
      <c r="C206" s="26" t="n"/>
      <c r="E206">
        <f>IF(A206="","",IF(C206="","FALTA TC","OK"))</f>
        <v/>
      </c>
    </row>
    <row r="207">
      <c r="A207" s="25" t="n"/>
      <c r="B207" s="26" t="n"/>
      <c r="C207" s="26" t="n"/>
      <c r="E207">
        <f>IF(A207="","",IF(C207="","FALTA TC","OK"))</f>
        <v/>
      </c>
    </row>
    <row r="208">
      <c r="A208" s="25" t="n"/>
      <c r="B208" s="26" t="n"/>
      <c r="C208" s="26" t="n"/>
      <c r="E208">
        <f>IF(A208="","",IF(C208="","FALTA TC","OK"))</f>
        <v/>
      </c>
    </row>
    <row r="209">
      <c r="A209" s="25" t="n"/>
      <c r="B209" s="26" t="n"/>
      <c r="C209" s="26" t="n"/>
      <c r="E209">
        <f>IF(A209="","",IF(C209="","FALTA TC","OK"))</f>
        <v/>
      </c>
    </row>
    <row r="210">
      <c r="A210" s="25" t="n"/>
      <c r="B210" s="26" t="n"/>
      <c r="C210" s="26" t="n"/>
      <c r="E210">
        <f>IF(A210="","",IF(C210="","FALTA TC","OK"))</f>
        <v/>
      </c>
    </row>
    <row r="211">
      <c r="A211" s="25" t="n"/>
      <c r="B211" s="26" t="n"/>
      <c r="C211" s="26" t="n"/>
      <c r="E211">
        <f>IF(A211="","",IF(C211="","FALTA TC","OK"))</f>
        <v/>
      </c>
    </row>
    <row r="212">
      <c r="A212" s="25" t="n"/>
      <c r="B212" s="26" t="n"/>
      <c r="C212" s="26" t="n"/>
      <c r="E212">
        <f>IF(A212="","",IF(C212="","FALTA TC","OK"))</f>
        <v/>
      </c>
    </row>
    <row r="213">
      <c r="A213" s="25" t="n"/>
      <c r="B213" s="26" t="n"/>
      <c r="C213" s="26" t="n"/>
      <c r="E213">
        <f>IF(A213="","",IF(C213="","FALTA TC","OK"))</f>
        <v/>
      </c>
    </row>
    <row r="214">
      <c r="A214" s="25" t="n"/>
      <c r="B214" s="26" t="n"/>
      <c r="C214" s="26" t="n"/>
      <c r="E214">
        <f>IF(A214="","",IF(C214="","FALTA TC","OK"))</f>
        <v/>
      </c>
    </row>
    <row r="215">
      <c r="A215" s="25" t="n"/>
      <c r="B215" s="26" t="n"/>
      <c r="C215" s="26" t="n"/>
      <c r="E215">
        <f>IF(A215="","",IF(C215="","FALTA TC","OK"))</f>
        <v/>
      </c>
    </row>
    <row r="216">
      <c r="A216" s="25" t="n"/>
      <c r="B216" s="26" t="n"/>
      <c r="C216" s="26" t="n"/>
      <c r="E216">
        <f>IF(A216="","",IF(C216="","FALTA TC","OK"))</f>
        <v/>
      </c>
    </row>
    <row r="217">
      <c r="A217" s="25" t="n"/>
      <c r="B217" s="26" t="n"/>
      <c r="C217" s="26" t="n"/>
      <c r="E217">
        <f>IF(A217="","",IF(C217="","FALTA TC","OK"))</f>
        <v/>
      </c>
    </row>
    <row r="218">
      <c r="A218" s="25" t="n"/>
      <c r="B218" s="26" t="n"/>
      <c r="C218" s="26" t="n"/>
      <c r="E218">
        <f>IF(A218="","",IF(C218="","FALTA TC","OK"))</f>
        <v/>
      </c>
    </row>
    <row r="219">
      <c r="A219" s="25" t="n"/>
      <c r="B219" s="26" t="n"/>
      <c r="C219" s="26" t="n"/>
      <c r="E219">
        <f>IF(A219="","",IF(C219="","FALTA TC","OK"))</f>
        <v/>
      </c>
    </row>
    <row r="220">
      <c r="A220" s="25" t="n"/>
      <c r="B220" s="26" t="n"/>
      <c r="C220" s="26" t="n"/>
      <c r="E220">
        <f>IF(A220="","",IF(C220="","FALTA TC","OK"))</f>
        <v/>
      </c>
    </row>
    <row r="221">
      <c r="A221" s="25" t="n"/>
      <c r="B221" s="26" t="n"/>
      <c r="C221" s="26" t="n"/>
      <c r="E221">
        <f>IF(A221="","",IF(C221="","FALTA TC","OK"))</f>
        <v/>
      </c>
    </row>
    <row r="222">
      <c r="A222" s="25" t="n"/>
      <c r="B222" s="26" t="n"/>
      <c r="C222" s="26" t="n"/>
      <c r="E222">
        <f>IF(A222="","",IF(C222="","FALTA TC","OK"))</f>
        <v/>
      </c>
    </row>
    <row r="223">
      <c r="A223" s="25" t="n"/>
      <c r="B223" s="26" t="n"/>
      <c r="C223" s="26" t="n"/>
      <c r="E223">
        <f>IF(A223="","",IF(C223="","FALTA TC","OK"))</f>
        <v/>
      </c>
    </row>
    <row r="224">
      <c r="A224" s="25" t="n"/>
      <c r="B224" s="26" t="n"/>
      <c r="C224" s="26" t="n"/>
      <c r="E224">
        <f>IF(A224="","",IF(C224="","FALTA TC","OK"))</f>
        <v/>
      </c>
    </row>
    <row r="225">
      <c r="A225" s="25" t="n"/>
      <c r="B225" s="26" t="n"/>
      <c r="C225" s="26" t="n"/>
      <c r="E225">
        <f>IF(A225="","",IF(C225="","FALTA TC","OK"))</f>
        <v/>
      </c>
    </row>
    <row r="226">
      <c r="A226" s="25" t="n"/>
      <c r="B226" s="26" t="n"/>
      <c r="C226" s="26" t="n"/>
      <c r="E226">
        <f>IF(A226="","",IF(C226="","FALTA TC","OK"))</f>
        <v/>
      </c>
    </row>
    <row r="227">
      <c r="A227" s="25" t="n"/>
      <c r="B227" s="26" t="n"/>
      <c r="C227" s="26" t="n"/>
      <c r="E227">
        <f>IF(A227="","",IF(C227="","FALTA TC","OK"))</f>
        <v/>
      </c>
    </row>
    <row r="228">
      <c r="A228" s="25" t="n"/>
      <c r="B228" s="26" t="n"/>
      <c r="C228" s="26" t="n"/>
      <c r="E228">
        <f>IF(A228="","",IF(C228="","FALTA TC","OK"))</f>
        <v/>
      </c>
    </row>
    <row r="229">
      <c r="A229" s="25" t="n"/>
      <c r="B229" s="26" t="n"/>
      <c r="C229" s="26" t="n"/>
      <c r="E229">
        <f>IF(A229="","",IF(C229="","FALTA TC","OK"))</f>
        <v/>
      </c>
    </row>
    <row r="230">
      <c r="A230" s="25" t="n"/>
      <c r="B230" s="26" t="n"/>
      <c r="C230" s="26" t="n"/>
      <c r="E230">
        <f>IF(A230="","",IF(C230="","FALTA TC","OK"))</f>
        <v/>
      </c>
    </row>
    <row r="231">
      <c r="A231" s="25" t="n"/>
      <c r="B231" s="26" t="n"/>
      <c r="C231" s="26" t="n"/>
      <c r="E231">
        <f>IF(A231="","",IF(C231="","FALTA TC","OK"))</f>
        <v/>
      </c>
    </row>
    <row r="232">
      <c r="A232" s="25" t="n"/>
      <c r="B232" s="26" t="n"/>
      <c r="C232" s="26" t="n"/>
      <c r="E232">
        <f>IF(A232="","",IF(C232="","FALTA TC","OK"))</f>
        <v/>
      </c>
    </row>
    <row r="233">
      <c r="A233" s="25" t="n"/>
      <c r="B233" s="26" t="n"/>
      <c r="C233" s="26" t="n"/>
      <c r="E233">
        <f>IF(A233="","",IF(C233="","FALTA TC","OK"))</f>
        <v/>
      </c>
    </row>
    <row r="234">
      <c r="A234" s="25" t="n"/>
      <c r="B234" s="26" t="n"/>
      <c r="C234" s="26" t="n"/>
      <c r="E234">
        <f>IF(A234="","",IF(C234="","FALTA TC","OK"))</f>
        <v/>
      </c>
    </row>
    <row r="235">
      <c r="A235" s="25" t="n"/>
      <c r="B235" s="26" t="n"/>
      <c r="C235" s="26" t="n"/>
      <c r="E235">
        <f>IF(A235="","",IF(C235="","FALTA TC","OK"))</f>
        <v/>
      </c>
    </row>
    <row r="236">
      <c r="A236" s="25" t="n"/>
      <c r="B236" s="26" t="n"/>
      <c r="C236" s="26" t="n"/>
      <c r="E236">
        <f>IF(A236="","",IF(C236="","FALTA TC","OK"))</f>
        <v/>
      </c>
    </row>
    <row r="237">
      <c r="A237" s="25" t="n"/>
      <c r="B237" s="26" t="n"/>
      <c r="C237" s="26" t="n"/>
      <c r="E237">
        <f>IF(A237="","",IF(C237="","FALTA TC","OK"))</f>
        <v/>
      </c>
    </row>
    <row r="238">
      <c r="A238" s="25" t="n"/>
      <c r="B238" s="26" t="n"/>
      <c r="C238" s="26" t="n"/>
      <c r="E238">
        <f>IF(A238="","",IF(C238="","FALTA TC","OK"))</f>
        <v/>
      </c>
    </row>
    <row r="239">
      <c r="A239" s="25" t="n"/>
      <c r="B239" s="26" t="n"/>
      <c r="C239" s="26" t="n"/>
      <c r="E239">
        <f>IF(A239="","",IF(C239="","FALTA TC","OK"))</f>
        <v/>
      </c>
    </row>
    <row r="240">
      <c r="A240" s="25" t="n"/>
      <c r="B240" s="26" t="n"/>
      <c r="C240" s="26" t="n"/>
      <c r="E240">
        <f>IF(A240="","",IF(C240="","FALTA TC","OK"))</f>
        <v/>
      </c>
    </row>
    <row r="241">
      <c r="A241" s="25" t="n"/>
      <c r="B241" s="26" t="n"/>
      <c r="C241" s="26" t="n"/>
      <c r="E241">
        <f>IF(A241="","",IF(C241="","FALTA TC","OK"))</f>
        <v/>
      </c>
    </row>
    <row r="242">
      <c r="A242" s="25" t="n"/>
      <c r="B242" s="26" t="n"/>
      <c r="C242" s="26" t="n"/>
      <c r="E242">
        <f>IF(A242="","",IF(C242="","FALTA TC","OK"))</f>
        <v/>
      </c>
    </row>
    <row r="243">
      <c r="A243" s="25" t="n"/>
      <c r="B243" s="26" t="n"/>
      <c r="C243" s="26" t="n"/>
      <c r="E243">
        <f>IF(A243="","",IF(C243="","FALTA TC","OK"))</f>
        <v/>
      </c>
    </row>
    <row r="244">
      <c r="A244" s="25" t="n"/>
      <c r="B244" s="26" t="n"/>
      <c r="C244" s="26" t="n"/>
      <c r="E244">
        <f>IF(A244="","",IF(C244="","FALTA TC","OK"))</f>
        <v/>
      </c>
    </row>
    <row r="245">
      <c r="A245" s="25" t="n"/>
      <c r="B245" s="26" t="n"/>
      <c r="C245" s="26" t="n"/>
      <c r="E245">
        <f>IF(A245="","",IF(C245="","FALTA TC","OK"))</f>
        <v/>
      </c>
    </row>
    <row r="246">
      <c r="A246" s="25" t="n"/>
      <c r="B246" s="26" t="n"/>
      <c r="C246" s="26" t="n"/>
      <c r="E246">
        <f>IF(A246="","",IF(C246="","FALTA TC","OK"))</f>
        <v/>
      </c>
    </row>
    <row r="247">
      <c r="A247" s="25" t="n"/>
      <c r="B247" s="26" t="n"/>
      <c r="C247" s="26" t="n"/>
      <c r="E247">
        <f>IF(A247="","",IF(C247="","FALTA TC","OK"))</f>
        <v/>
      </c>
    </row>
    <row r="248">
      <c r="A248" s="25" t="n"/>
      <c r="B248" s="26" t="n"/>
      <c r="C248" s="26" t="n"/>
      <c r="E248">
        <f>IF(A248="","",IF(C248="","FALTA TC","OK"))</f>
        <v/>
      </c>
    </row>
    <row r="249">
      <c r="A249" s="25" t="n"/>
      <c r="B249" s="26" t="n"/>
      <c r="C249" s="26" t="n"/>
      <c r="E249">
        <f>IF(A249="","",IF(C249="","FALTA TC","OK"))</f>
        <v/>
      </c>
    </row>
    <row r="250">
      <c r="A250" s="25" t="n"/>
      <c r="B250" s="26" t="n"/>
      <c r="C250" s="26" t="n"/>
      <c r="E250">
        <f>IF(A250="","",IF(C250="","FALTA TC","OK"))</f>
        <v/>
      </c>
    </row>
    <row r="251">
      <c r="A251" s="25" t="n"/>
      <c r="B251" s="26" t="n"/>
      <c r="C251" s="26" t="n"/>
      <c r="E251">
        <f>IF(A251="","",IF(C251="","FALTA TC","OK"))</f>
        <v/>
      </c>
    </row>
    <row r="252">
      <c r="A252" s="25" t="n"/>
      <c r="B252" s="26" t="n"/>
      <c r="C252" s="26" t="n"/>
      <c r="E252">
        <f>IF(A252="","",IF(C252="","FALTA TC","OK"))</f>
        <v/>
      </c>
    </row>
    <row r="253">
      <c r="A253" s="25" t="n"/>
      <c r="B253" s="26" t="n"/>
      <c r="C253" s="26" t="n"/>
      <c r="E253">
        <f>IF(A253="","",IF(C253="","FALTA TC","OK"))</f>
        <v/>
      </c>
    </row>
    <row r="254">
      <c r="A254" s="25" t="n"/>
      <c r="B254" s="26" t="n"/>
      <c r="C254" s="26" t="n"/>
      <c r="E254">
        <f>IF(A254="","",IF(C254="","FALTA TC","OK"))</f>
        <v/>
      </c>
    </row>
    <row r="255">
      <c r="A255" s="25" t="n"/>
      <c r="B255" s="26" t="n"/>
      <c r="C255" s="26" t="n"/>
      <c r="E255">
        <f>IF(A255="","",IF(C255="","FALTA TC","OK"))</f>
        <v/>
      </c>
    </row>
    <row r="256">
      <c r="A256" s="25" t="n"/>
      <c r="B256" s="26" t="n"/>
      <c r="C256" s="26" t="n"/>
      <c r="E256">
        <f>IF(A256="","",IF(C256="","FALTA TC","OK"))</f>
        <v/>
      </c>
    </row>
    <row r="257">
      <c r="A257" s="25" t="n"/>
      <c r="B257" s="26" t="n"/>
      <c r="C257" s="26" t="n"/>
      <c r="E257">
        <f>IF(A257="","",IF(C257="","FALTA TC","OK"))</f>
        <v/>
      </c>
    </row>
    <row r="258">
      <c r="A258" s="25" t="n"/>
      <c r="B258" s="26" t="n"/>
      <c r="C258" s="26" t="n"/>
      <c r="E258">
        <f>IF(A258="","",IF(C258="","FALTA TC","OK"))</f>
        <v/>
      </c>
    </row>
    <row r="259">
      <c r="A259" s="25" t="n"/>
      <c r="B259" s="26" t="n"/>
      <c r="C259" s="26" t="n"/>
      <c r="E259">
        <f>IF(A259="","",IF(C259="","FALTA TC","OK"))</f>
        <v/>
      </c>
    </row>
    <row r="260">
      <c r="A260" s="25" t="n"/>
      <c r="B260" s="26" t="n"/>
      <c r="C260" s="26" t="n"/>
      <c r="E260">
        <f>IF(A260="","",IF(C260="","FALTA TC","OK"))</f>
        <v/>
      </c>
    </row>
    <row r="261">
      <c r="A261" s="25" t="n"/>
      <c r="B261" s="26" t="n"/>
      <c r="C261" s="26" t="n"/>
      <c r="E261">
        <f>IF(A261="","",IF(C261="","FALTA TC","OK"))</f>
        <v/>
      </c>
    </row>
    <row r="262">
      <c r="A262" s="25" t="n"/>
      <c r="B262" s="26" t="n"/>
      <c r="C262" s="26" t="n"/>
      <c r="E262">
        <f>IF(A262="","",IF(C262="","FALTA TC","OK"))</f>
        <v/>
      </c>
    </row>
    <row r="263">
      <c r="A263" s="25" t="n"/>
      <c r="B263" s="26" t="n"/>
      <c r="C263" s="26" t="n"/>
      <c r="E263">
        <f>IF(A263="","",IF(C263="","FALTA TC","OK"))</f>
        <v/>
      </c>
    </row>
    <row r="264">
      <c r="A264" s="25" t="n"/>
      <c r="B264" s="26" t="n"/>
      <c r="C264" s="26" t="n"/>
      <c r="E264">
        <f>IF(A264="","",IF(C264="","FALTA TC","OK"))</f>
        <v/>
      </c>
    </row>
    <row r="265">
      <c r="A265" s="25" t="n"/>
      <c r="B265" s="26" t="n"/>
      <c r="C265" s="26" t="n"/>
      <c r="E265">
        <f>IF(A265="","",IF(C265="","FALTA TC","OK"))</f>
        <v/>
      </c>
    </row>
    <row r="266">
      <c r="A266" s="25" t="n"/>
      <c r="B266" s="26" t="n"/>
      <c r="C266" s="26" t="n"/>
      <c r="E266">
        <f>IF(A266="","",IF(C266="","FALTA TC","OK"))</f>
        <v/>
      </c>
    </row>
    <row r="267">
      <c r="A267" s="25" t="n"/>
      <c r="B267" s="26" t="n"/>
      <c r="C267" s="26" t="n"/>
      <c r="E267">
        <f>IF(A267="","",IF(C267="","FALTA TC","OK"))</f>
        <v/>
      </c>
    </row>
    <row r="268">
      <c r="A268" s="25" t="n"/>
      <c r="B268" s="26" t="n"/>
      <c r="C268" s="26" t="n"/>
      <c r="E268">
        <f>IF(A268="","",IF(C268="","FALTA TC","OK"))</f>
        <v/>
      </c>
    </row>
    <row r="269">
      <c r="A269" s="25" t="n"/>
      <c r="B269" s="26" t="n"/>
      <c r="C269" s="26" t="n"/>
      <c r="E269">
        <f>IF(A269="","",IF(C269="","FALTA TC","OK"))</f>
        <v/>
      </c>
    </row>
    <row r="270">
      <c r="A270" s="25" t="n"/>
      <c r="B270" s="26" t="n"/>
      <c r="C270" s="26" t="n"/>
      <c r="E270">
        <f>IF(A270="","",IF(C270="","FALTA TC","OK"))</f>
        <v/>
      </c>
    </row>
    <row r="271">
      <c r="A271" s="25" t="n"/>
      <c r="B271" s="26" t="n"/>
      <c r="C271" s="26" t="n"/>
      <c r="E271">
        <f>IF(A271="","",IF(C271="","FALTA TC","OK"))</f>
        <v/>
      </c>
    </row>
    <row r="272">
      <c r="A272" s="25" t="n"/>
      <c r="B272" s="26" t="n"/>
      <c r="C272" s="26" t="n"/>
      <c r="E272">
        <f>IF(A272="","",IF(C272="","FALTA TC","OK"))</f>
        <v/>
      </c>
    </row>
    <row r="273">
      <c r="A273" s="25" t="n"/>
      <c r="B273" s="26" t="n"/>
      <c r="C273" s="26" t="n"/>
      <c r="E273">
        <f>IF(A273="","",IF(C273="","FALTA TC","OK"))</f>
        <v/>
      </c>
    </row>
    <row r="274">
      <c r="A274" s="25" t="n"/>
      <c r="B274" s="26" t="n"/>
      <c r="C274" s="26" t="n"/>
      <c r="E274">
        <f>IF(A274="","",IF(C274="","FALTA TC","OK"))</f>
        <v/>
      </c>
    </row>
    <row r="275">
      <c r="A275" s="25" t="n"/>
      <c r="B275" s="26" t="n"/>
      <c r="C275" s="26" t="n"/>
      <c r="E275">
        <f>IF(A275="","",IF(C275="","FALTA TC","OK"))</f>
        <v/>
      </c>
    </row>
    <row r="276">
      <c r="A276" s="25" t="n"/>
      <c r="B276" s="26" t="n"/>
      <c r="C276" s="26" t="n"/>
      <c r="E276">
        <f>IF(A276="","",IF(C276="","FALTA TC","OK"))</f>
        <v/>
      </c>
    </row>
    <row r="277">
      <c r="A277" s="25" t="n"/>
      <c r="B277" s="26" t="n"/>
      <c r="C277" s="26" t="n"/>
      <c r="E277">
        <f>IF(A277="","",IF(C277="","FALTA TC","OK"))</f>
        <v/>
      </c>
    </row>
    <row r="278">
      <c r="A278" s="25" t="n"/>
      <c r="B278" s="26" t="n"/>
      <c r="C278" s="26" t="n"/>
      <c r="E278">
        <f>IF(A278="","",IF(C278="","FALTA TC","OK"))</f>
        <v/>
      </c>
    </row>
    <row r="279">
      <c r="A279" s="25" t="n"/>
      <c r="B279" s="26" t="n"/>
      <c r="C279" s="26" t="n"/>
      <c r="E279">
        <f>IF(A279="","",IF(C279="","FALTA TC","OK"))</f>
        <v/>
      </c>
    </row>
    <row r="280">
      <c r="A280" s="25" t="n"/>
      <c r="B280" s="26" t="n"/>
      <c r="C280" s="26" t="n"/>
      <c r="E280">
        <f>IF(A280="","",IF(C280="","FALTA TC","OK"))</f>
        <v/>
      </c>
    </row>
    <row r="281">
      <c r="A281" s="25" t="n"/>
      <c r="B281" s="26" t="n"/>
      <c r="C281" s="26" t="n"/>
      <c r="E281">
        <f>IF(A281="","",IF(C281="","FALTA TC","OK"))</f>
        <v/>
      </c>
    </row>
    <row r="282">
      <c r="A282" s="25" t="n"/>
      <c r="B282" s="26" t="n"/>
      <c r="C282" s="26" t="n"/>
      <c r="E282">
        <f>IF(A282="","",IF(C282="","FALTA TC","OK"))</f>
        <v/>
      </c>
    </row>
    <row r="283">
      <c r="A283" s="25" t="n"/>
      <c r="B283" s="26" t="n"/>
      <c r="C283" s="26" t="n"/>
      <c r="E283">
        <f>IF(A283="","",IF(C283="","FALTA TC","OK"))</f>
        <v/>
      </c>
    </row>
    <row r="284">
      <c r="A284" s="25" t="n"/>
      <c r="B284" s="26" t="n"/>
      <c r="C284" s="26" t="n"/>
      <c r="E284">
        <f>IF(A284="","",IF(C284="","FALTA TC","OK"))</f>
        <v/>
      </c>
    </row>
    <row r="285">
      <c r="A285" s="25" t="n"/>
      <c r="B285" s="26" t="n"/>
      <c r="C285" s="26" t="n"/>
      <c r="E285">
        <f>IF(A285="","",IF(C285="","FALTA TC","OK"))</f>
        <v/>
      </c>
    </row>
    <row r="286">
      <c r="A286" s="25" t="n"/>
      <c r="B286" s="26" t="n"/>
      <c r="C286" s="26" t="n"/>
      <c r="E286">
        <f>IF(A286="","",IF(C286="","FALTA TC","OK"))</f>
        <v/>
      </c>
    </row>
    <row r="287">
      <c r="A287" s="25" t="n"/>
      <c r="B287" s="26" t="n"/>
      <c r="C287" s="26" t="n"/>
      <c r="E287">
        <f>IF(A287="","",IF(C287="","FALTA TC","OK"))</f>
        <v/>
      </c>
    </row>
    <row r="288">
      <c r="A288" s="25" t="n"/>
      <c r="B288" s="26" t="n"/>
      <c r="C288" s="26" t="n"/>
      <c r="E288">
        <f>IF(A288="","",IF(C288="","FALTA TC","OK"))</f>
        <v/>
      </c>
    </row>
    <row r="289">
      <c r="A289" s="25" t="n"/>
      <c r="B289" s="26" t="n"/>
      <c r="C289" s="26" t="n"/>
      <c r="E289">
        <f>IF(A289="","",IF(C289="","FALTA TC","OK"))</f>
        <v/>
      </c>
    </row>
    <row r="290">
      <c r="A290" s="25" t="n"/>
      <c r="B290" s="26" t="n"/>
      <c r="C290" s="26" t="n"/>
      <c r="E290">
        <f>IF(A290="","",IF(C290="","FALTA TC","OK"))</f>
        <v/>
      </c>
    </row>
    <row r="291">
      <c r="A291" s="25" t="n"/>
      <c r="B291" s="26" t="n"/>
      <c r="C291" s="26" t="n"/>
      <c r="E291">
        <f>IF(A291="","",IF(C291="","FALTA TC","OK"))</f>
        <v/>
      </c>
    </row>
    <row r="292">
      <c r="A292" s="25" t="n"/>
      <c r="B292" s="26" t="n"/>
      <c r="C292" s="26" t="n"/>
      <c r="E292">
        <f>IF(A292="","",IF(C292="","FALTA TC","OK"))</f>
        <v/>
      </c>
    </row>
    <row r="293">
      <c r="A293" s="25" t="n"/>
      <c r="B293" s="26" t="n"/>
      <c r="C293" s="26" t="n"/>
      <c r="E293">
        <f>IF(A293="","",IF(C293="","FALTA TC","OK"))</f>
        <v/>
      </c>
    </row>
    <row r="294">
      <c r="A294" s="25" t="n"/>
      <c r="B294" s="26" t="n"/>
      <c r="C294" s="26" t="n"/>
      <c r="E294">
        <f>IF(A294="","",IF(C294="","FALTA TC","OK"))</f>
        <v/>
      </c>
    </row>
    <row r="295">
      <c r="A295" s="25" t="n"/>
      <c r="B295" s="26" t="n"/>
      <c r="C295" s="26" t="n"/>
      <c r="E295">
        <f>IF(A295="","",IF(C295="","FALTA TC","OK"))</f>
        <v/>
      </c>
    </row>
    <row r="296">
      <c r="A296" s="25" t="n"/>
      <c r="B296" s="26" t="n"/>
      <c r="C296" s="26" t="n"/>
      <c r="E296">
        <f>IF(A296="","",IF(C296="","FALTA TC","OK"))</f>
        <v/>
      </c>
    </row>
    <row r="297">
      <c r="A297" s="25" t="n"/>
      <c r="B297" s="26" t="n"/>
      <c r="C297" s="26" t="n"/>
      <c r="E297">
        <f>IF(A297="","",IF(C297="","FALTA TC","OK"))</f>
        <v/>
      </c>
    </row>
    <row r="298">
      <c r="A298" s="25" t="n"/>
      <c r="B298" s="26" t="n"/>
      <c r="C298" s="26" t="n"/>
      <c r="E298">
        <f>IF(A298="","",IF(C298="","FALTA TC","OK"))</f>
        <v/>
      </c>
    </row>
    <row r="299">
      <c r="A299" s="25" t="n"/>
      <c r="B299" s="26" t="n"/>
      <c r="C299" s="26" t="n"/>
      <c r="E299">
        <f>IF(A299="","",IF(C299="","FALTA TC","OK"))</f>
        <v/>
      </c>
    </row>
    <row r="300">
      <c r="A300" s="25" t="n"/>
      <c r="B300" s="26" t="n"/>
      <c r="C300" s="26" t="n"/>
      <c r="E300">
        <f>IF(A300="","",IF(C300="","FALTA TC","OK"))</f>
        <v/>
      </c>
    </row>
    <row r="301">
      <c r="A301" s="25" t="n"/>
      <c r="B301" s="26" t="n"/>
      <c r="C301" s="26" t="n"/>
      <c r="E301">
        <f>IF(A301="","",IF(C301="","FALTA TC","OK"))</f>
        <v/>
      </c>
    </row>
    <row r="302">
      <c r="A302" s="25" t="n"/>
      <c r="B302" s="26" t="n"/>
      <c r="C302" s="26" t="n"/>
      <c r="E302">
        <f>IF(A302="","",IF(C302="","FALTA TC","OK"))</f>
        <v/>
      </c>
    </row>
    <row r="303">
      <c r="A303" s="25" t="n"/>
      <c r="B303" s="26" t="n"/>
      <c r="C303" s="26" t="n"/>
      <c r="E303">
        <f>IF(A303="","",IF(C303="","FALTA TC","OK"))</f>
        <v/>
      </c>
    </row>
    <row r="304">
      <c r="A304" s="25" t="n"/>
      <c r="B304" s="26" t="n"/>
      <c r="C304" s="26" t="n"/>
      <c r="E304">
        <f>IF(A304="","",IF(C304="","FALTA TC","OK"))</f>
        <v/>
      </c>
    </row>
    <row r="305">
      <c r="A305" s="25" t="n"/>
      <c r="B305" s="26" t="n"/>
      <c r="C305" s="26" t="n"/>
      <c r="E305">
        <f>IF(A305="","",IF(C305="","FALTA TC","OK"))</f>
        <v/>
      </c>
    </row>
    <row r="306">
      <c r="A306" s="25" t="n"/>
      <c r="B306" s="26" t="n"/>
      <c r="C306" s="26" t="n"/>
      <c r="E306">
        <f>IF(A306="","",IF(C306="","FALTA TC","OK"))</f>
        <v/>
      </c>
    </row>
    <row r="307">
      <c r="A307" s="25" t="n"/>
      <c r="B307" s="26" t="n"/>
      <c r="C307" s="26" t="n"/>
      <c r="E307">
        <f>IF(A307="","",IF(C307="","FALTA TC","OK"))</f>
        <v/>
      </c>
    </row>
    <row r="308">
      <c r="A308" s="25" t="n"/>
      <c r="B308" s="26" t="n"/>
      <c r="C308" s="26" t="n"/>
      <c r="E308">
        <f>IF(A308="","",IF(C308="","FALTA TC","OK"))</f>
        <v/>
      </c>
    </row>
    <row r="309">
      <c r="A309" s="25" t="n"/>
      <c r="B309" s="26" t="n"/>
      <c r="C309" s="26" t="n"/>
      <c r="E309">
        <f>IF(A309="","",IF(C309="","FALTA TC","OK"))</f>
        <v/>
      </c>
    </row>
    <row r="310">
      <c r="A310" s="25" t="n"/>
      <c r="B310" s="26" t="n"/>
      <c r="C310" s="26" t="n"/>
      <c r="E310">
        <f>IF(A310="","",IF(C310="","FALTA TC","OK"))</f>
        <v/>
      </c>
    </row>
    <row r="311">
      <c r="A311" s="25" t="n"/>
      <c r="B311" s="26" t="n"/>
      <c r="C311" s="26" t="n"/>
      <c r="E311">
        <f>IF(A311="","",IF(C311="","FALTA TC","OK"))</f>
        <v/>
      </c>
    </row>
    <row r="312">
      <c r="A312" s="25" t="n"/>
      <c r="B312" s="26" t="n"/>
      <c r="C312" s="26" t="n"/>
      <c r="E312">
        <f>IF(A312="","",IF(C312="","FALTA TC","OK"))</f>
        <v/>
      </c>
    </row>
    <row r="313">
      <c r="A313" s="25" t="n"/>
      <c r="B313" s="26" t="n"/>
      <c r="C313" s="26" t="n"/>
      <c r="E313">
        <f>IF(A313="","",IF(C313="","FALTA TC","OK"))</f>
        <v/>
      </c>
    </row>
    <row r="314">
      <c r="A314" s="25" t="n"/>
      <c r="B314" s="26" t="n"/>
      <c r="C314" s="26" t="n"/>
      <c r="E314">
        <f>IF(A314="","",IF(C314="","FALTA TC","OK"))</f>
        <v/>
      </c>
    </row>
    <row r="315">
      <c r="A315" s="25" t="n"/>
      <c r="B315" s="26" t="n"/>
      <c r="C315" s="26" t="n"/>
      <c r="E315">
        <f>IF(A315="","",IF(C315="","FALTA TC","OK"))</f>
        <v/>
      </c>
    </row>
    <row r="316">
      <c r="A316" s="25" t="n"/>
      <c r="B316" s="26" t="n"/>
      <c r="C316" s="26" t="n"/>
      <c r="E316">
        <f>IF(A316="","",IF(C316="","FALTA TC","OK"))</f>
        <v/>
      </c>
    </row>
    <row r="317">
      <c r="A317" s="25" t="n"/>
      <c r="B317" s="26" t="n"/>
      <c r="C317" s="26" t="n"/>
      <c r="E317">
        <f>IF(A317="","",IF(C317="","FALTA TC","OK"))</f>
        <v/>
      </c>
    </row>
    <row r="318">
      <c r="A318" s="25" t="n"/>
      <c r="B318" s="26" t="n"/>
      <c r="C318" s="26" t="n"/>
      <c r="E318">
        <f>IF(A318="","",IF(C318="","FALTA TC","OK"))</f>
        <v/>
      </c>
    </row>
    <row r="319">
      <c r="A319" s="25" t="n"/>
      <c r="B319" s="26" t="n"/>
      <c r="C319" s="26" t="n"/>
      <c r="E319">
        <f>IF(A319="","",IF(C319="","FALTA TC","OK"))</f>
        <v/>
      </c>
    </row>
    <row r="320">
      <c r="A320" s="25" t="n"/>
      <c r="B320" s="26" t="n"/>
      <c r="C320" s="26" t="n"/>
      <c r="E320">
        <f>IF(A320="","",IF(C320="","FALTA TC","OK"))</f>
        <v/>
      </c>
    </row>
    <row r="321">
      <c r="A321" s="25" t="n"/>
      <c r="B321" s="26" t="n"/>
      <c r="C321" s="26" t="n"/>
      <c r="E321">
        <f>IF(A321="","",IF(C321="","FALTA TC","OK"))</f>
        <v/>
      </c>
    </row>
    <row r="322">
      <c r="A322" s="25" t="n"/>
      <c r="B322" s="26" t="n"/>
      <c r="C322" s="26" t="n"/>
      <c r="E322">
        <f>IF(A322="","",IF(C322="","FALTA TC","OK"))</f>
        <v/>
      </c>
    </row>
    <row r="323">
      <c r="A323" s="25" t="n"/>
      <c r="B323" s="26" t="n"/>
      <c r="C323" s="26" t="n"/>
      <c r="E323">
        <f>IF(A323="","",IF(C323="","FALTA TC","OK"))</f>
        <v/>
      </c>
    </row>
    <row r="324">
      <c r="A324" s="25" t="n"/>
      <c r="B324" s="26" t="n"/>
      <c r="C324" s="26" t="n"/>
      <c r="E324">
        <f>IF(A324="","",IF(C324="","FALTA TC","OK"))</f>
        <v/>
      </c>
    </row>
    <row r="325">
      <c r="A325" s="25" t="n"/>
      <c r="B325" s="26" t="n"/>
      <c r="C325" s="26" t="n"/>
      <c r="E325">
        <f>IF(A325="","",IF(C325="","FALTA TC","OK"))</f>
        <v/>
      </c>
    </row>
    <row r="326">
      <c r="A326" s="25" t="n"/>
      <c r="B326" s="26" t="n"/>
      <c r="C326" s="26" t="n"/>
      <c r="E326">
        <f>IF(A326="","",IF(C326="","FALTA TC","OK"))</f>
        <v/>
      </c>
    </row>
    <row r="327">
      <c r="A327" s="25" t="n"/>
      <c r="B327" s="26" t="n"/>
      <c r="C327" s="26" t="n"/>
      <c r="E327">
        <f>IF(A327="","",IF(C327="","FALTA TC","OK"))</f>
        <v/>
      </c>
    </row>
    <row r="328">
      <c r="A328" s="25" t="n"/>
      <c r="B328" s="26" t="n"/>
      <c r="C328" s="26" t="n"/>
      <c r="E328">
        <f>IF(A328="","",IF(C328="","FALTA TC","OK"))</f>
        <v/>
      </c>
    </row>
    <row r="329">
      <c r="A329" s="25" t="n"/>
      <c r="B329" s="26" t="n"/>
      <c r="C329" s="26" t="n"/>
      <c r="E329">
        <f>IF(A329="","",IF(C329="","FALTA TC","OK"))</f>
        <v/>
      </c>
    </row>
    <row r="330">
      <c r="A330" s="25" t="n"/>
      <c r="B330" s="26" t="n"/>
      <c r="C330" s="26" t="n"/>
      <c r="E330">
        <f>IF(A330="","",IF(C330="","FALTA TC","OK"))</f>
        <v/>
      </c>
    </row>
    <row r="331">
      <c r="A331" s="25" t="n"/>
      <c r="B331" s="26" t="n"/>
      <c r="C331" s="26" t="n"/>
      <c r="E331">
        <f>IF(A331="","",IF(C331="","FALTA TC","OK"))</f>
        <v/>
      </c>
    </row>
    <row r="332">
      <c r="A332" s="25" t="n"/>
      <c r="B332" s="26" t="n"/>
      <c r="C332" s="26" t="n"/>
      <c r="E332">
        <f>IF(A332="","",IF(C332="","FALTA TC","OK"))</f>
        <v/>
      </c>
    </row>
    <row r="333">
      <c r="A333" s="25" t="n"/>
      <c r="B333" s="26" t="n"/>
      <c r="C333" s="26" t="n"/>
      <c r="E333">
        <f>IF(A333="","",IF(C333="","FALTA TC","OK"))</f>
        <v/>
      </c>
    </row>
    <row r="334">
      <c r="A334" s="25" t="n"/>
      <c r="B334" s="26" t="n"/>
      <c r="C334" s="26" t="n"/>
      <c r="E334">
        <f>IF(A334="","",IF(C334="","FALTA TC","OK"))</f>
        <v/>
      </c>
    </row>
    <row r="335">
      <c r="A335" s="25" t="n"/>
      <c r="B335" s="26" t="n"/>
      <c r="C335" s="26" t="n"/>
      <c r="E335">
        <f>IF(A335="","",IF(C335="","FALTA TC","OK"))</f>
        <v/>
      </c>
    </row>
    <row r="336">
      <c r="A336" s="25" t="n"/>
      <c r="B336" s="26" t="n"/>
      <c r="C336" s="26" t="n"/>
      <c r="E336">
        <f>IF(A336="","",IF(C336="","FALTA TC","OK"))</f>
        <v/>
      </c>
    </row>
    <row r="337">
      <c r="A337" s="25" t="n"/>
      <c r="B337" s="26" t="n"/>
      <c r="C337" s="26" t="n"/>
      <c r="E337">
        <f>IF(A337="","",IF(C337="","FALTA TC","OK"))</f>
        <v/>
      </c>
    </row>
    <row r="338">
      <c r="A338" s="25" t="n"/>
      <c r="B338" s="26" t="n"/>
      <c r="C338" s="26" t="n"/>
      <c r="E338">
        <f>IF(A338="","",IF(C338="","FALTA TC","OK"))</f>
        <v/>
      </c>
    </row>
    <row r="339">
      <c r="A339" s="25" t="n"/>
      <c r="B339" s="26" t="n"/>
      <c r="C339" s="26" t="n"/>
      <c r="E339">
        <f>IF(A339="","",IF(C339="","FALTA TC","OK"))</f>
        <v/>
      </c>
    </row>
    <row r="340">
      <c r="A340" s="25" t="n"/>
      <c r="B340" s="26" t="n"/>
      <c r="C340" s="26" t="n"/>
      <c r="E340">
        <f>IF(A340="","",IF(C340="","FALTA TC","OK"))</f>
        <v/>
      </c>
    </row>
    <row r="341">
      <c r="A341" s="25" t="n"/>
      <c r="B341" s="26" t="n"/>
      <c r="C341" s="26" t="n"/>
      <c r="E341">
        <f>IF(A341="","",IF(C341="","FALTA TC","OK"))</f>
        <v/>
      </c>
    </row>
    <row r="342">
      <c r="A342" s="25" t="n"/>
      <c r="B342" s="26" t="n"/>
      <c r="C342" s="26" t="n"/>
      <c r="E342">
        <f>IF(A342="","",IF(C342="","FALTA TC","OK"))</f>
        <v/>
      </c>
    </row>
    <row r="343">
      <c r="A343" s="25" t="n"/>
      <c r="B343" s="26" t="n"/>
      <c r="C343" s="26" t="n"/>
      <c r="E343">
        <f>IF(A343="","",IF(C343="","FALTA TC","OK"))</f>
        <v/>
      </c>
    </row>
    <row r="344">
      <c r="A344" s="25" t="n"/>
      <c r="B344" s="26" t="n"/>
      <c r="C344" s="26" t="n"/>
      <c r="E344">
        <f>IF(A344="","",IF(C344="","FALTA TC","OK"))</f>
        <v/>
      </c>
    </row>
    <row r="345">
      <c r="A345" s="25" t="n"/>
      <c r="B345" s="26" t="n"/>
      <c r="C345" s="26" t="n"/>
      <c r="E345">
        <f>IF(A345="","",IF(C345="","FALTA TC","OK"))</f>
        <v/>
      </c>
    </row>
    <row r="346">
      <c r="A346" s="25" t="n"/>
      <c r="B346" s="26" t="n"/>
      <c r="C346" s="26" t="n"/>
      <c r="E346">
        <f>IF(A346="","",IF(C346="","FALTA TC","OK"))</f>
        <v/>
      </c>
    </row>
    <row r="347">
      <c r="A347" s="25" t="n"/>
      <c r="B347" s="26" t="n"/>
      <c r="C347" s="26" t="n"/>
      <c r="E347">
        <f>IF(A347="","",IF(C347="","FALTA TC","OK"))</f>
        <v/>
      </c>
    </row>
    <row r="348">
      <c r="A348" s="25" t="n"/>
      <c r="B348" s="26" t="n"/>
      <c r="C348" s="26" t="n"/>
      <c r="E348">
        <f>IF(A348="","",IF(C348="","FALTA TC","OK"))</f>
        <v/>
      </c>
    </row>
    <row r="349">
      <c r="A349" s="25" t="n"/>
      <c r="B349" s="26" t="n"/>
      <c r="C349" s="26" t="n"/>
      <c r="E349">
        <f>IF(A349="","",IF(C349="","FALTA TC","OK"))</f>
        <v/>
      </c>
    </row>
    <row r="350">
      <c r="A350" s="25" t="n"/>
      <c r="B350" s="26" t="n"/>
      <c r="C350" s="26" t="n"/>
      <c r="E350">
        <f>IF(A350="","",IF(C350="","FALTA TC","OK"))</f>
        <v/>
      </c>
    </row>
    <row r="351">
      <c r="A351" s="25" t="n"/>
      <c r="B351" s="26" t="n"/>
      <c r="C351" s="26" t="n"/>
      <c r="E351">
        <f>IF(A351="","",IF(C351="","FALTA TC","OK"))</f>
        <v/>
      </c>
    </row>
    <row r="352">
      <c r="A352" s="25" t="n"/>
      <c r="B352" s="26" t="n"/>
      <c r="C352" s="26" t="n"/>
      <c r="E352">
        <f>IF(A352="","",IF(C352="","FALTA TC","OK"))</f>
        <v/>
      </c>
    </row>
    <row r="353">
      <c r="A353" s="25" t="n"/>
      <c r="B353" s="26" t="n"/>
      <c r="C353" s="26" t="n"/>
      <c r="E353">
        <f>IF(A353="","",IF(C353="","FALTA TC","OK"))</f>
        <v/>
      </c>
    </row>
    <row r="354">
      <c r="A354" s="25" t="n"/>
      <c r="B354" s="26" t="n"/>
      <c r="C354" s="26" t="n"/>
      <c r="E354">
        <f>IF(A354="","",IF(C354="","FALTA TC","OK"))</f>
        <v/>
      </c>
    </row>
    <row r="355">
      <c r="A355" s="25" t="n"/>
      <c r="B355" s="26" t="n"/>
      <c r="C355" s="26" t="n"/>
      <c r="E355">
        <f>IF(A355="","",IF(C355="","FALTA TC","OK"))</f>
        <v/>
      </c>
    </row>
    <row r="356">
      <c r="A356" s="25" t="n"/>
      <c r="B356" s="26" t="n"/>
      <c r="C356" s="26" t="n"/>
      <c r="E356">
        <f>IF(A356="","",IF(C356="","FALTA TC","OK"))</f>
        <v/>
      </c>
    </row>
    <row r="357">
      <c r="A357" s="25" t="n"/>
      <c r="B357" s="26" t="n"/>
      <c r="C357" s="26" t="n"/>
      <c r="E357">
        <f>IF(A357="","",IF(C357="","FALTA TC","OK"))</f>
        <v/>
      </c>
    </row>
    <row r="358">
      <c r="A358" s="25" t="n"/>
      <c r="B358" s="26" t="n"/>
      <c r="C358" s="26" t="n"/>
      <c r="E358">
        <f>IF(A358="","",IF(C358="","FALTA TC","OK"))</f>
        <v/>
      </c>
    </row>
    <row r="359">
      <c r="A359" s="25" t="n"/>
      <c r="B359" s="26" t="n"/>
      <c r="C359" s="26" t="n"/>
      <c r="E359">
        <f>IF(A359="","",IF(C359="","FALTA TC","OK"))</f>
        <v/>
      </c>
    </row>
    <row r="360">
      <c r="A360" s="25" t="n"/>
      <c r="B360" s="26" t="n"/>
      <c r="C360" s="26" t="n"/>
      <c r="E360">
        <f>IF(A360="","",IF(C360="","FALTA TC","OK"))</f>
        <v/>
      </c>
    </row>
    <row r="361">
      <c r="A361" s="25" t="n"/>
      <c r="B361" s="26" t="n"/>
      <c r="C361" s="26" t="n"/>
      <c r="E361">
        <f>IF(A361="","",IF(C361="","FALTA TC","OK"))</f>
        <v/>
      </c>
    </row>
    <row r="362">
      <c r="A362" s="25" t="n"/>
      <c r="B362" s="26" t="n"/>
      <c r="C362" s="26" t="n"/>
      <c r="E362">
        <f>IF(A362="","",IF(C362="","FALTA TC","OK"))</f>
        <v/>
      </c>
    </row>
    <row r="363">
      <c r="A363" s="25" t="n"/>
      <c r="B363" s="26" t="n"/>
      <c r="C363" s="26" t="n"/>
      <c r="E363">
        <f>IF(A363="","",IF(C363="","FALTA TC","OK"))</f>
        <v/>
      </c>
    </row>
    <row r="364">
      <c r="A364" s="25" t="n"/>
      <c r="B364" s="26" t="n"/>
      <c r="C364" s="26" t="n"/>
      <c r="E364">
        <f>IF(A364="","",IF(C364="","FALTA TC","OK"))</f>
        <v/>
      </c>
    </row>
    <row r="365">
      <c r="A365" s="25" t="n"/>
      <c r="B365" s="26" t="n"/>
      <c r="C365" s="26" t="n"/>
      <c r="E365">
        <f>IF(A365="","",IF(C365="","FALTA TC","OK"))</f>
        <v/>
      </c>
    </row>
    <row r="366">
      <c r="A366" s="25" t="n"/>
      <c r="B366" s="26" t="n"/>
      <c r="C366" s="26" t="n"/>
      <c r="E366">
        <f>IF(A366="","",IF(C366="","FALTA TC","OK"))</f>
        <v/>
      </c>
    </row>
    <row r="367">
      <c r="A367" s="25" t="n"/>
      <c r="B367" s="26" t="n"/>
      <c r="C367" s="26" t="n"/>
      <c r="E367">
        <f>IF(A367="","",IF(C367="","FALTA TC","OK"))</f>
        <v/>
      </c>
    </row>
    <row r="368">
      <c r="A368" s="25" t="n"/>
      <c r="B368" s="26" t="n"/>
      <c r="C368" s="26" t="n"/>
      <c r="E368">
        <f>IF(A368="","",IF(C368="","FALTA TC","OK"))</f>
        <v/>
      </c>
    </row>
    <row r="369">
      <c r="A369" s="25" t="n"/>
      <c r="B369" s="26" t="n"/>
      <c r="C369" s="26" t="n"/>
      <c r="E369">
        <f>IF(A369="","",IF(C369="","FALTA TC","OK"))</f>
        <v/>
      </c>
    </row>
    <row r="370">
      <c r="A370" s="25" t="n"/>
      <c r="B370" s="26" t="n"/>
      <c r="C370" s="26" t="n"/>
      <c r="E370">
        <f>IF(A370="","",IF(C370="","FALTA TC","OK"))</f>
        <v/>
      </c>
    </row>
    <row r="371">
      <c r="A371" s="25" t="n"/>
      <c r="B371" s="26" t="n"/>
      <c r="C371" s="26" t="n"/>
      <c r="E371">
        <f>IF(A371="","",IF(C371="","FALTA TC","OK"))</f>
        <v/>
      </c>
    </row>
    <row r="372">
      <c r="A372" s="25" t="n"/>
      <c r="B372" s="26" t="n"/>
      <c r="C372" s="26" t="n"/>
      <c r="E372">
        <f>IF(A372="","",IF(C372="","FALTA TC","OK"))</f>
        <v/>
      </c>
    </row>
    <row r="373">
      <c r="A373" s="25" t="n"/>
      <c r="B373" s="26" t="n"/>
      <c r="C373" s="26" t="n"/>
      <c r="E373">
        <f>IF(A373="","",IF(C373="","FALTA TC","OK"))</f>
        <v/>
      </c>
    </row>
    <row r="374">
      <c r="A374" s="25" t="n"/>
      <c r="B374" s="26" t="n"/>
      <c r="C374" s="26" t="n"/>
      <c r="E374">
        <f>IF(A374="","",IF(C374="","FALTA TC","OK"))</f>
        <v/>
      </c>
    </row>
    <row r="375">
      <c r="A375" s="25" t="n"/>
      <c r="B375" s="26" t="n"/>
      <c r="C375" s="26" t="n"/>
      <c r="E375">
        <f>IF(A375="","",IF(C375="","FALTA TC","OK"))</f>
        <v/>
      </c>
    </row>
    <row r="376">
      <c r="A376" s="25" t="n"/>
      <c r="B376" s="26" t="n"/>
      <c r="C376" s="26" t="n"/>
      <c r="E376">
        <f>IF(A376="","",IF(C376="","FALTA TC","OK"))</f>
        <v/>
      </c>
    </row>
    <row r="377">
      <c r="A377" s="25" t="n"/>
      <c r="B377" s="26" t="n"/>
      <c r="C377" s="26" t="n"/>
      <c r="E377">
        <f>IF(A377="","",IF(C377="","FALTA TC","OK"))</f>
        <v/>
      </c>
    </row>
    <row r="378">
      <c r="A378" s="25" t="n"/>
      <c r="B378" s="26" t="n"/>
      <c r="C378" s="26" t="n"/>
      <c r="E378">
        <f>IF(A378="","",IF(C378="","FALTA TC","OK"))</f>
        <v/>
      </c>
    </row>
    <row r="379">
      <c r="A379" s="25" t="n"/>
      <c r="B379" s="26" t="n"/>
      <c r="C379" s="26" t="n"/>
      <c r="E379">
        <f>IF(A379="","",IF(C379="","FALTA TC","OK"))</f>
        <v/>
      </c>
    </row>
    <row r="380">
      <c r="A380" s="25" t="n"/>
      <c r="B380" s="26" t="n"/>
      <c r="C380" s="26" t="n"/>
      <c r="E380">
        <f>IF(A380="","",IF(C380="","FALTA TC","OK"))</f>
        <v/>
      </c>
    </row>
    <row r="381">
      <c r="A381" s="25" t="n"/>
      <c r="B381" s="26" t="n"/>
      <c r="C381" s="26" t="n"/>
      <c r="E381">
        <f>IF(A381="","",IF(C381="","FALTA TC","OK"))</f>
        <v/>
      </c>
    </row>
    <row r="382">
      <c r="A382" s="25" t="n"/>
      <c r="B382" s="26" t="n"/>
      <c r="C382" s="26" t="n"/>
      <c r="E382">
        <f>IF(A382="","",IF(C382="","FALTA TC","OK"))</f>
        <v/>
      </c>
    </row>
    <row r="383">
      <c r="A383" s="25" t="n"/>
      <c r="B383" s="26" t="n"/>
      <c r="C383" s="26" t="n"/>
      <c r="E383">
        <f>IF(A383="","",IF(C383="","FALTA TC","OK"))</f>
        <v/>
      </c>
    </row>
    <row r="384">
      <c r="A384" s="25" t="n"/>
      <c r="B384" s="26" t="n"/>
      <c r="C384" s="26" t="n"/>
      <c r="E384">
        <f>IF(A384="","",IF(C384="","FALTA TC","OK"))</f>
        <v/>
      </c>
    </row>
    <row r="385">
      <c r="A385" s="25" t="n"/>
      <c r="B385" s="26" t="n"/>
      <c r="C385" s="26" t="n"/>
      <c r="E385">
        <f>IF(A385="","",IF(C385="","FALTA TC","OK"))</f>
        <v/>
      </c>
    </row>
    <row r="386">
      <c r="A386" s="25" t="n"/>
      <c r="B386" s="26" t="n"/>
      <c r="C386" s="26" t="n"/>
      <c r="E386">
        <f>IF(A386="","",IF(C386="","FALTA TC","OK"))</f>
        <v/>
      </c>
    </row>
    <row r="387">
      <c r="A387" s="25" t="n"/>
      <c r="B387" s="26" t="n"/>
      <c r="C387" s="26" t="n"/>
      <c r="E387">
        <f>IF(A387="","",IF(C387="","FALTA TC","OK"))</f>
        <v/>
      </c>
    </row>
    <row r="388">
      <c r="A388" s="25" t="n"/>
      <c r="B388" s="26" t="n"/>
      <c r="C388" s="26" t="n"/>
      <c r="E388">
        <f>IF(A388="","",IF(C388="","FALTA TC","OK"))</f>
        <v/>
      </c>
    </row>
    <row r="389">
      <c r="A389" s="25" t="n"/>
      <c r="B389" s="26" t="n"/>
      <c r="C389" s="26" t="n"/>
      <c r="E389">
        <f>IF(A389="","",IF(C389="","FALTA TC","OK"))</f>
        <v/>
      </c>
    </row>
    <row r="390">
      <c r="A390" s="25" t="n"/>
      <c r="B390" s="26" t="n"/>
      <c r="C390" s="26" t="n"/>
      <c r="E390">
        <f>IF(A390="","",IF(C390="","FALTA TC","OK"))</f>
        <v/>
      </c>
    </row>
    <row r="391">
      <c r="A391" s="25" t="n"/>
      <c r="B391" s="26" t="n"/>
      <c r="C391" s="26" t="n"/>
      <c r="E391">
        <f>IF(A391="","",IF(C391="","FALTA TC","OK"))</f>
        <v/>
      </c>
    </row>
    <row r="392">
      <c r="A392" s="25" t="n"/>
      <c r="B392" s="26" t="n"/>
      <c r="C392" s="26" t="n"/>
      <c r="E392">
        <f>IF(A392="","",IF(C392="","FALTA TC","OK"))</f>
        <v/>
      </c>
    </row>
    <row r="393">
      <c r="A393" s="25" t="n"/>
      <c r="B393" s="26" t="n"/>
      <c r="C393" s="26" t="n"/>
      <c r="E393">
        <f>IF(A393="","",IF(C393="","FALTA TC","OK"))</f>
        <v/>
      </c>
    </row>
    <row r="394">
      <c r="A394" s="25" t="n"/>
      <c r="B394" s="26" t="n"/>
      <c r="C394" s="26" t="n"/>
      <c r="E394">
        <f>IF(A394="","",IF(C394="","FALTA TC","OK"))</f>
        <v/>
      </c>
    </row>
    <row r="395">
      <c r="A395" s="25" t="n"/>
      <c r="B395" s="26" t="n"/>
      <c r="C395" s="26" t="n"/>
      <c r="E395">
        <f>IF(A395="","",IF(C395="","FALTA TC","OK"))</f>
        <v/>
      </c>
    </row>
    <row r="396">
      <c r="A396" s="25" t="n"/>
      <c r="B396" s="26" t="n"/>
      <c r="C396" s="26" t="n"/>
      <c r="E396">
        <f>IF(A396="","",IF(C396="","FALTA TC","OK"))</f>
        <v/>
      </c>
    </row>
    <row r="397">
      <c r="A397" s="25" t="n"/>
      <c r="B397" s="26" t="n"/>
      <c r="C397" s="26" t="n"/>
      <c r="E397">
        <f>IF(A397="","",IF(C397="","FALTA TC","OK"))</f>
        <v/>
      </c>
    </row>
    <row r="398">
      <c r="A398" s="25" t="n"/>
      <c r="B398" s="26" t="n"/>
      <c r="C398" s="26" t="n"/>
      <c r="E398">
        <f>IF(A398="","",IF(C398="","FALTA TC","OK"))</f>
        <v/>
      </c>
    </row>
    <row r="399">
      <c r="A399" s="25" t="n"/>
      <c r="B399" s="26" t="n"/>
      <c r="C399" s="26" t="n"/>
      <c r="E399">
        <f>IF(A399="","",IF(C399="","FALTA TC","OK"))</f>
        <v/>
      </c>
    </row>
    <row r="400">
      <c r="A400" s="25" t="n"/>
      <c r="B400" s="26" t="n"/>
      <c r="C400" s="26" t="n"/>
      <c r="E400">
        <f>IF(A400="","",IF(C400="","FALTA TC","OK"))</f>
        <v/>
      </c>
    </row>
    <row r="401">
      <c r="A401" s="25" t="n"/>
      <c r="B401" s="26" t="n"/>
      <c r="C401" s="26" t="n"/>
      <c r="E401">
        <f>IF(A401="","",IF(C401="","FALTA TC","OK"))</f>
        <v/>
      </c>
    </row>
    <row r="402">
      <c r="A402" s="25" t="n"/>
      <c r="B402" s="26" t="n"/>
      <c r="C402" s="26" t="n"/>
      <c r="E402">
        <f>IF(A402="","",IF(C402="","FALTA TC","OK"))</f>
        <v/>
      </c>
    </row>
    <row r="403">
      <c r="A403" s="25" t="n"/>
      <c r="B403" s="26" t="n"/>
      <c r="C403" s="26" t="n"/>
      <c r="E403">
        <f>IF(A403="","",IF(C403="","FALTA TC","OK"))</f>
        <v/>
      </c>
    </row>
    <row r="404">
      <c r="A404" s="25" t="n"/>
      <c r="B404" s="26" t="n"/>
      <c r="C404" s="26" t="n"/>
      <c r="E404">
        <f>IF(A404="","",IF(C404="","FALTA TC","OK"))</f>
        <v/>
      </c>
    </row>
    <row r="405">
      <c r="A405" s="25" t="n"/>
      <c r="B405" s="26" t="n"/>
      <c r="C405" s="26" t="n"/>
      <c r="E405">
        <f>IF(A405="","",IF(C405="","FALTA TC","OK"))</f>
        <v/>
      </c>
    </row>
    <row r="406">
      <c r="A406" s="25" t="n"/>
      <c r="B406" s="26" t="n"/>
      <c r="C406" s="26" t="n"/>
      <c r="E406">
        <f>IF(A406="","",IF(C406="","FALTA TC","OK"))</f>
        <v/>
      </c>
    </row>
    <row r="407">
      <c r="A407" s="25" t="n"/>
      <c r="B407" s="26" t="n"/>
      <c r="C407" s="26" t="n"/>
      <c r="E407">
        <f>IF(A407="","",IF(C407="","FALTA TC","OK"))</f>
        <v/>
      </c>
    </row>
    <row r="408">
      <c r="A408" s="25" t="n"/>
      <c r="B408" s="26" t="n"/>
      <c r="C408" s="26" t="n"/>
      <c r="E408">
        <f>IF(A408="","",IF(C408="","FALTA TC","OK"))</f>
        <v/>
      </c>
    </row>
    <row r="409">
      <c r="A409" s="25" t="n"/>
      <c r="B409" s="26" t="n"/>
      <c r="C409" s="26" t="n"/>
      <c r="E409">
        <f>IF(A409="","",IF(C409="","FALTA TC","OK"))</f>
        <v/>
      </c>
    </row>
    <row r="410">
      <c r="A410" s="25" t="n"/>
      <c r="B410" s="26" t="n"/>
      <c r="C410" s="26" t="n"/>
      <c r="E410">
        <f>IF(A410="","",IF(C410="","FALTA TC","OK"))</f>
        <v/>
      </c>
    </row>
    <row r="411">
      <c r="A411" s="25" t="n"/>
      <c r="B411" s="26" t="n"/>
      <c r="C411" s="26" t="n"/>
      <c r="E411">
        <f>IF(A411="","",IF(C411="","FALTA TC","OK"))</f>
        <v/>
      </c>
    </row>
    <row r="412">
      <c r="A412" s="25" t="n"/>
      <c r="B412" s="26" t="n"/>
      <c r="C412" s="26" t="n"/>
      <c r="E412">
        <f>IF(A412="","",IF(C412="","FALTA TC","OK"))</f>
        <v/>
      </c>
    </row>
    <row r="413">
      <c r="A413" s="25" t="n"/>
      <c r="B413" s="26" t="n"/>
      <c r="C413" s="26" t="n"/>
      <c r="E413">
        <f>IF(A413="","",IF(C413="","FALTA TC","OK"))</f>
        <v/>
      </c>
    </row>
    <row r="414">
      <c r="A414" s="25" t="n"/>
      <c r="B414" s="26" t="n"/>
      <c r="C414" s="26" t="n"/>
      <c r="E414">
        <f>IF(A414="","",IF(C414="","FALTA TC","OK"))</f>
        <v/>
      </c>
    </row>
    <row r="415">
      <c r="A415" s="25" t="n"/>
      <c r="B415" s="26" t="n"/>
      <c r="C415" s="26" t="n"/>
      <c r="E415">
        <f>IF(A415="","",IF(C415="","FALTA TC","OK"))</f>
        <v/>
      </c>
    </row>
    <row r="416">
      <c r="A416" s="25" t="n"/>
      <c r="B416" s="26" t="n"/>
      <c r="C416" s="26" t="n"/>
      <c r="E416">
        <f>IF(A416="","",IF(C416="","FALTA TC","OK"))</f>
        <v/>
      </c>
    </row>
    <row r="417">
      <c r="A417" s="25" t="n"/>
      <c r="B417" s="26" t="n"/>
      <c r="C417" s="26" t="n"/>
      <c r="E417">
        <f>IF(A417="","",IF(C417="","FALTA TC","OK"))</f>
        <v/>
      </c>
    </row>
    <row r="418">
      <c r="A418" s="25" t="n"/>
      <c r="B418" s="26" t="n"/>
      <c r="C418" s="26" t="n"/>
      <c r="E418">
        <f>IF(A418="","",IF(C418="","FALTA TC","OK"))</f>
        <v/>
      </c>
    </row>
    <row r="419">
      <c r="A419" s="25" t="n"/>
      <c r="B419" s="26" t="n"/>
      <c r="C419" s="26" t="n"/>
      <c r="E419">
        <f>IF(A419="","",IF(C419="","FALTA TC","OK"))</f>
        <v/>
      </c>
    </row>
    <row r="420">
      <c r="A420" s="25" t="n"/>
      <c r="B420" s="26" t="n"/>
      <c r="C420" s="26" t="n"/>
      <c r="E420">
        <f>IF(A420="","",IF(C420="","FALTA TC","OK"))</f>
        <v/>
      </c>
    </row>
    <row r="421">
      <c r="A421" s="25" t="n"/>
      <c r="B421" s="26" t="n"/>
      <c r="C421" s="26" t="n"/>
      <c r="E421">
        <f>IF(A421="","",IF(C421="","FALTA TC","OK"))</f>
        <v/>
      </c>
    </row>
    <row r="422">
      <c r="A422" s="25" t="n"/>
      <c r="B422" s="26" t="n"/>
      <c r="C422" s="26" t="n"/>
      <c r="E422">
        <f>IF(A422="","",IF(C422="","FALTA TC","OK"))</f>
        <v/>
      </c>
    </row>
    <row r="423">
      <c r="A423" s="25" t="n"/>
      <c r="B423" s="26" t="n"/>
      <c r="C423" s="26" t="n"/>
      <c r="E423">
        <f>IF(A423="","",IF(C423="","FALTA TC","OK"))</f>
        <v/>
      </c>
    </row>
    <row r="424">
      <c r="A424" s="25" t="n"/>
      <c r="B424" s="26" t="n"/>
      <c r="C424" s="26" t="n"/>
      <c r="E424">
        <f>IF(A424="","",IF(C424="","FALTA TC","OK"))</f>
        <v/>
      </c>
    </row>
    <row r="425">
      <c r="A425" s="25" t="n"/>
      <c r="B425" s="26" t="n"/>
      <c r="C425" s="26" t="n"/>
      <c r="E425">
        <f>IF(A425="","",IF(C425="","FALTA TC","OK"))</f>
        <v/>
      </c>
    </row>
    <row r="426">
      <c r="A426" s="25" t="n"/>
      <c r="B426" s="26" t="n"/>
      <c r="C426" s="26" t="n"/>
      <c r="E426">
        <f>IF(A426="","",IF(C426="","FALTA TC","OK"))</f>
        <v/>
      </c>
    </row>
    <row r="427">
      <c r="A427" s="25" t="n"/>
      <c r="B427" s="26" t="n"/>
      <c r="C427" s="26" t="n"/>
      <c r="E427">
        <f>IF(A427="","",IF(C427="","FALTA TC","OK"))</f>
        <v/>
      </c>
    </row>
    <row r="428">
      <c r="A428" s="25" t="n"/>
      <c r="B428" s="26" t="n"/>
      <c r="C428" s="26" t="n"/>
      <c r="E428">
        <f>IF(A428="","",IF(C428="","FALTA TC","OK"))</f>
        <v/>
      </c>
    </row>
    <row r="429">
      <c r="A429" s="25" t="n"/>
      <c r="B429" s="26" t="n"/>
      <c r="C429" s="26" t="n"/>
      <c r="E429">
        <f>IF(A429="","",IF(C429="","FALTA TC","OK"))</f>
        <v/>
      </c>
    </row>
    <row r="430">
      <c r="A430" s="25" t="n"/>
      <c r="B430" s="26" t="n"/>
      <c r="C430" s="26" t="n"/>
      <c r="E430">
        <f>IF(A430="","",IF(C430="","FALTA TC","OK"))</f>
        <v/>
      </c>
    </row>
    <row r="431">
      <c r="A431" s="25" t="n"/>
      <c r="B431" s="26" t="n"/>
      <c r="C431" s="26" t="n"/>
      <c r="E431">
        <f>IF(A431="","",IF(C431="","FALTA TC","OK"))</f>
        <v/>
      </c>
    </row>
    <row r="432">
      <c r="A432" s="25" t="n"/>
      <c r="B432" s="26" t="n"/>
      <c r="C432" s="26" t="n"/>
      <c r="E432">
        <f>IF(A432="","",IF(C432="","FALTA TC","OK"))</f>
        <v/>
      </c>
    </row>
    <row r="433">
      <c r="A433" s="25" t="n"/>
      <c r="B433" s="26" t="n"/>
      <c r="C433" s="26" t="n"/>
      <c r="E433">
        <f>IF(A433="","",IF(C433="","FALTA TC","OK"))</f>
        <v/>
      </c>
    </row>
    <row r="434">
      <c r="A434" s="25" t="n"/>
      <c r="B434" s="26" t="n"/>
      <c r="C434" s="26" t="n"/>
      <c r="E434">
        <f>IF(A434="","",IF(C434="","FALTA TC","OK"))</f>
        <v/>
      </c>
    </row>
    <row r="435">
      <c r="A435" s="25" t="n"/>
      <c r="B435" s="26" t="n"/>
      <c r="C435" s="26" t="n"/>
      <c r="E435">
        <f>IF(A435="","",IF(C435="","FALTA TC","OK"))</f>
        <v/>
      </c>
    </row>
    <row r="436">
      <c r="A436" s="25" t="n"/>
      <c r="B436" s="26" t="n"/>
      <c r="C436" s="26" t="n"/>
      <c r="E436">
        <f>IF(A436="","",IF(C436="","FALTA TC","OK"))</f>
        <v/>
      </c>
    </row>
    <row r="437">
      <c r="A437" s="25" t="n"/>
      <c r="B437" s="26" t="n"/>
      <c r="C437" s="26" t="n"/>
      <c r="E437">
        <f>IF(A437="","",IF(C437="","FALTA TC","OK"))</f>
        <v/>
      </c>
    </row>
    <row r="438">
      <c r="A438" s="25" t="n"/>
      <c r="B438" s="26" t="n"/>
      <c r="C438" s="26" t="n"/>
      <c r="E438">
        <f>IF(A438="","",IF(C438="","FALTA TC","OK"))</f>
        <v/>
      </c>
    </row>
    <row r="439">
      <c r="A439" s="25" t="n"/>
      <c r="B439" s="26" t="n"/>
      <c r="C439" s="26" t="n"/>
      <c r="E439">
        <f>IF(A439="","",IF(C439="","FALTA TC","OK"))</f>
        <v/>
      </c>
    </row>
    <row r="440">
      <c r="A440" s="25" t="n"/>
      <c r="B440" s="26" t="n"/>
      <c r="C440" s="26" t="n"/>
      <c r="E440">
        <f>IF(A440="","",IF(C440="","FALTA TC","OK"))</f>
        <v/>
      </c>
    </row>
    <row r="441">
      <c r="A441" s="25" t="n"/>
      <c r="B441" s="26" t="n"/>
      <c r="C441" s="26" t="n"/>
      <c r="E441">
        <f>IF(A441="","",IF(C441="","FALTA TC","OK"))</f>
        <v/>
      </c>
    </row>
    <row r="442">
      <c r="A442" s="25" t="n"/>
      <c r="B442" s="26" t="n"/>
      <c r="C442" s="26" t="n"/>
      <c r="E442">
        <f>IF(A442="","",IF(C442="","FALTA TC","OK"))</f>
        <v/>
      </c>
    </row>
    <row r="443">
      <c r="A443" s="25" t="n"/>
      <c r="B443" s="26" t="n"/>
      <c r="C443" s="26" t="n"/>
      <c r="E443">
        <f>IF(A443="","",IF(C443="","FALTA TC","OK"))</f>
        <v/>
      </c>
    </row>
    <row r="444">
      <c r="A444" s="25" t="n"/>
      <c r="B444" s="26" t="n"/>
      <c r="C444" s="26" t="n"/>
      <c r="E444">
        <f>IF(A444="","",IF(C444="","FALTA TC","OK"))</f>
        <v/>
      </c>
    </row>
    <row r="445">
      <c r="A445" s="25" t="n"/>
      <c r="B445" s="26" t="n"/>
      <c r="C445" s="26" t="n"/>
      <c r="E445">
        <f>IF(A445="","",IF(C445="","FALTA TC","OK"))</f>
        <v/>
      </c>
    </row>
    <row r="446">
      <c r="A446" s="25" t="n"/>
      <c r="B446" s="26" t="n"/>
      <c r="C446" s="26" t="n"/>
      <c r="E446">
        <f>IF(A446="","",IF(C446="","FALTA TC","OK"))</f>
        <v/>
      </c>
    </row>
    <row r="447">
      <c r="A447" s="25" t="n"/>
      <c r="B447" s="26" t="n"/>
      <c r="C447" s="26" t="n"/>
      <c r="E447">
        <f>IF(A447="","",IF(C447="","FALTA TC","OK"))</f>
        <v/>
      </c>
    </row>
    <row r="448">
      <c r="A448" s="25" t="n"/>
      <c r="B448" s="26" t="n"/>
      <c r="C448" s="26" t="n"/>
      <c r="E448">
        <f>IF(A448="","",IF(C448="","FALTA TC","OK"))</f>
        <v/>
      </c>
    </row>
    <row r="449">
      <c r="A449" s="25" t="n"/>
      <c r="B449" s="26" t="n"/>
      <c r="C449" s="26" t="n"/>
      <c r="E449">
        <f>IF(A449="","",IF(C449="","FALTA TC","OK"))</f>
        <v/>
      </c>
    </row>
    <row r="450">
      <c r="A450" s="25" t="n"/>
      <c r="B450" s="26" t="n"/>
      <c r="C450" s="26" t="n"/>
      <c r="E450">
        <f>IF(A450="","",IF(C450="","FALTA TC","OK"))</f>
        <v/>
      </c>
    </row>
    <row r="451">
      <c r="A451" s="25" t="n"/>
      <c r="B451" s="26" t="n"/>
      <c r="C451" s="26" t="n"/>
      <c r="E451">
        <f>IF(A451="","",IF(C451="","FALTA TC","OK"))</f>
        <v/>
      </c>
    </row>
    <row r="452">
      <c r="A452" s="25" t="n"/>
      <c r="B452" s="26" t="n"/>
      <c r="C452" s="26" t="n"/>
      <c r="E452">
        <f>IF(A452="","",IF(C452="","FALTA TC","OK"))</f>
        <v/>
      </c>
    </row>
    <row r="453">
      <c r="A453" s="25" t="n"/>
      <c r="B453" s="26" t="n"/>
      <c r="C453" s="26" t="n"/>
      <c r="E453">
        <f>IF(A453="","",IF(C453="","FALTA TC","OK"))</f>
        <v/>
      </c>
    </row>
    <row r="454">
      <c r="A454" s="25" t="n"/>
      <c r="B454" s="26" t="n"/>
      <c r="C454" s="26" t="n"/>
      <c r="E454">
        <f>IF(A454="","",IF(C454="","FALTA TC","OK"))</f>
        <v/>
      </c>
    </row>
    <row r="455">
      <c r="A455" s="25" t="n"/>
      <c r="B455" s="26" t="n"/>
      <c r="C455" s="26" t="n"/>
      <c r="E455">
        <f>IF(A455="","",IF(C455="","FALTA TC","OK"))</f>
        <v/>
      </c>
    </row>
    <row r="456">
      <c r="A456" s="25" t="n"/>
      <c r="B456" s="26" t="n"/>
      <c r="C456" s="26" t="n"/>
      <c r="E456">
        <f>IF(A456="","",IF(C456="","FALTA TC","OK"))</f>
        <v/>
      </c>
    </row>
    <row r="457">
      <c r="A457" s="25" t="n"/>
      <c r="B457" s="26" t="n"/>
      <c r="C457" s="26" t="n"/>
      <c r="E457">
        <f>IF(A457="","",IF(C457="","FALTA TC","OK"))</f>
        <v/>
      </c>
    </row>
    <row r="458">
      <c r="A458" s="25" t="n"/>
      <c r="B458" s="26" t="n"/>
      <c r="C458" s="26" t="n"/>
      <c r="E458">
        <f>IF(A458="","",IF(C458="","FALTA TC","OK"))</f>
        <v/>
      </c>
    </row>
    <row r="459">
      <c r="A459" s="25" t="n"/>
      <c r="B459" s="26" t="n"/>
      <c r="C459" s="26" t="n"/>
      <c r="E459">
        <f>IF(A459="","",IF(C459="","FALTA TC","OK"))</f>
        <v/>
      </c>
    </row>
    <row r="460">
      <c r="A460" s="25" t="n"/>
      <c r="B460" s="26" t="n"/>
      <c r="C460" s="26" t="n"/>
      <c r="E460">
        <f>IF(A460="","",IF(C460="","FALTA TC","OK"))</f>
        <v/>
      </c>
    </row>
    <row r="461">
      <c r="A461" s="25" t="n"/>
      <c r="B461" s="26" t="n"/>
      <c r="C461" s="26" t="n"/>
      <c r="E461">
        <f>IF(A461="","",IF(C461="","FALTA TC","OK"))</f>
        <v/>
      </c>
    </row>
    <row r="462">
      <c r="A462" s="25" t="n"/>
      <c r="B462" s="26" t="n"/>
      <c r="C462" s="26" t="n"/>
      <c r="E462">
        <f>IF(A462="","",IF(C462="","FALTA TC","OK"))</f>
        <v/>
      </c>
    </row>
    <row r="463">
      <c r="A463" s="25" t="n"/>
      <c r="B463" s="26" t="n"/>
      <c r="C463" s="26" t="n"/>
      <c r="E463">
        <f>IF(A463="","",IF(C463="","FALTA TC","OK"))</f>
        <v/>
      </c>
    </row>
    <row r="464">
      <c r="A464" s="25" t="n"/>
      <c r="B464" s="26" t="n"/>
      <c r="C464" s="26" t="n"/>
      <c r="E464">
        <f>IF(A464="","",IF(C464="","FALTA TC","OK"))</f>
        <v/>
      </c>
    </row>
    <row r="465">
      <c r="A465" s="25" t="n"/>
      <c r="B465" s="26" t="n"/>
      <c r="C465" s="26" t="n"/>
      <c r="E465">
        <f>IF(A465="","",IF(C465="","FALTA TC","OK"))</f>
        <v/>
      </c>
    </row>
    <row r="466">
      <c r="A466" s="25" t="n"/>
      <c r="B466" s="26" t="n"/>
      <c r="C466" s="26" t="n"/>
      <c r="E466">
        <f>IF(A466="","",IF(C466="","FALTA TC","OK"))</f>
        <v/>
      </c>
    </row>
    <row r="467">
      <c r="A467" s="25" t="n"/>
      <c r="B467" s="26" t="n"/>
      <c r="C467" s="26" t="n"/>
      <c r="E467">
        <f>IF(A467="","",IF(C467="","FALTA TC","OK"))</f>
        <v/>
      </c>
    </row>
    <row r="468">
      <c r="A468" s="25" t="n"/>
      <c r="B468" s="26" t="n"/>
      <c r="C468" s="26" t="n"/>
      <c r="E468">
        <f>IF(A468="","",IF(C468="","FALTA TC","OK"))</f>
        <v/>
      </c>
    </row>
    <row r="469">
      <c r="A469" s="25" t="n"/>
      <c r="B469" s="26" t="n"/>
      <c r="C469" s="26" t="n"/>
      <c r="E469">
        <f>IF(A469="","",IF(C469="","FALTA TC","OK"))</f>
        <v/>
      </c>
    </row>
    <row r="470">
      <c r="A470" s="25" t="n"/>
      <c r="B470" s="26" t="n"/>
      <c r="C470" s="26" t="n"/>
      <c r="E470">
        <f>IF(A470="","",IF(C470="","FALTA TC","OK"))</f>
        <v/>
      </c>
    </row>
    <row r="471">
      <c r="A471" s="25" t="n"/>
      <c r="B471" s="26" t="n"/>
      <c r="C471" s="26" t="n"/>
      <c r="E471">
        <f>IF(A471="","",IF(C471="","FALTA TC","OK"))</f>
        <v/>
      </c>
    </row>
    <row r="472">
      <c r="A472" s="25" t="n"/>
      <c r="B472" s="26" t="n"/>
      <c r="C472" s="26" t="n"/>
      <c r="E472">
        <f>IF(A472="","",IF(C472="","FALTA TC","OK"))</f>
        <v/>
      </c>
    </row>
    <row r="473">
      <c r="A473" s="25" t="n"/>
      <c r="B473" s="26" t="n"/>
      <c r="C473" s="26" t="n"/>
      <c r="E473">
        <f>IF(A473="","",IF(C473="","FALTA TC","OK"))</f>
        <v/>
      </c>
    </row>
    <row r="474">
      <c r="A474" s="25" t="n"/>
      <c r="B474" s="26" t="n"/>
      <c r="C474" s="26" t="n"/>
      <c r="E474">
        <f>IF(A474="","",IF(C474="","FALTA TC","OK"))</f>
        <v/>
      </c>
    </row>
    <row r="475">
      <c r="A475" s="25" t="n"/>
      <c r="B475" s="26" t="n"/>
      <c r="C475" s="26" t="n"/>
      <c r="E475">
        <f>IF(A475="","",IF(C475="","FALTA TC","OK"))</f>
        <v/>
      </c>
    </row>
    <row r="476">
      <c r="A476" s="25" t="n"/>
      <c r="B476" s="26" t="n"/>
      <c r="C476" s="26" t="n"/>
      <c r="E476">
        <f>IF(A476="","",IF(C476="","FALTA TC","OK"))</f>
        <v/>
      </c>
    </row>
    <row r="477">
      <c r="A477" s="25" t="n"/>
      <c r="B477" s="26" t="n"/>
      <c r="C477" s="26" t="n"/>
      <c r="E477">
        <f>IF(A477="","",IF(C477="","FALTA TC","OK"))</f>
        <v/>
      </c>
    </row>
    <row r="478">
      <c r="A478" s="25" t="n"/>
      <c r="B478" s="26" t="n"/>
      <c r="C478" s="26" t="n"/>
      <c r="E478">
        <f>IF(A478="","",IF(C478="","FALTA TC","OK"))</f>
        <v/>
      </c>
    </row>
    <row r="479">
      <c r="A479" s="25" t="n"/>
      <c r="B479" s="26" t="n"/>
      <c r="C479" s="26" t="n"/>
      <c r="E479">
        <f>IF(A479="","",IF(C479="","FALTA TC","OK"))</f>
        <v/>
      </c>
    </row>
    <row r="480">
      <c r="A480" s="25" t="n"/>
      <c r="B480" s="26" t="n"/>
      <c r="C480" s="26" t="n"/>
      <c r="E480">
        <f>IF(A480="","",IF(C480="","FALTA TC","OK"))</f>
        <v/>
      </c>
    </row>
    <row r="481">
      <c r="A481" s="25" t="n"/>
      <c r="B481" s="26" t="n"/>
      <c r="C481" s="26" t="n"/>
      <c r="E481">
        <f>IF(A481="","",IF(C481="","FALTA TC","OK"))</f>
        <v/>
      </c>
    </row>
    <row r="482">
      <c r="A482" s="25" t="n"/>
      <c r="B482" s="26" t="n"/>
      <c r="C482" s="26" t="n"/>
      <c r="E482">
        <f>IF(A482="","",IF(C482="","FALTA TC","OK"))</f>
        <v/>
      </c>
    </row>
    <row r="483">
      <c r="A483" s="25" t="n"/>
      <c r="B483" s="26" t="n"/>
      <c r="C483" s="26" t="n"/>
      <c r="E483">
        <f>IF(A483="","",IF(C483="","FALTA TC","OK"))</f>
        <v/>
      </c>
    </row>
    <row r="484">
      <c r="A484" s="25" t="n"/>
      <c r="B484" s="26" t="n"/>
      <c r="C484" s="26" t="n"/>
      <c r="E484">
        <f>IF(A484="","",IF(C484="","FALTA TC","OK"))</f>
        <v/>
      </c>
    </row>
    <row r="485">
      <c r="A485" s="25" t="n"/>
      <c r="B485" s="26" t="n"/>
      <c r="C485" s="26" t="n"/>
      <c r="E485">
        <f>IF(A485="","",IF(C485="","FALTA TC","OK"))</f>
        <v/>
      </c>
    </row>
    <row r="486">
      <c r="A486" s="25" t="n"/>
      <c r="B486" s="26" t="n"/>
      <c r="C486" s="26" t="n"/>
      <c r="E486">
        <f>IF(A486="","",IF(C486="","FALTA TC","OK"))</f>
        <v/>
      </c>
    </row>
    <row r="487">
      <c r="A487" s="25" t="n"/>
      <c r="B487" s="26" t="n"/>
      <c r="C487" s="26" t="n"/>
      <c r="E487">
        <f>IF(A487="","",IF(C487="","FALTA TC","OK"))</f>
        <v/>
      </c>
    </row>
    <row r="488">
      <c r="A488" s="25" t="n"/>
      <c r="B488" s="26" t="n"/>
      <c r="C488" s="26" t="n"/>
      <c r="E488">
        <f>IF(A488="","",IF(C488="","FALTA TC","OK"))</f>
        <v/>
      </c>
    </row>
    <row r="489">
      <c r="A489" s="25" t="n"/>
      <c r="B489" s="26" t="n"/>
      <c r="C489" s="26" t="n"/>
      <c r="E489">
        <f>IF(A489="","",IF(C489="","FALTA TC","OK"))</f>
        <v/>
      </c>
    </row>
    <row r="490">
      <c r="A490" s="25" t="n"/>
      <c r="B490" s="26" t="n"/>
      <c r="C490" s="26" t="n"/>
      <c r="E490">
        <f>IF(A490="","",IF(C490="","FALTA TC","OK"))</f>
        <v/>
      </c>
    </row>
    <row r="491">
      <c r="A491" s="25" t="n"/>
      <c r="B491" s="26" t="n"/>
      <c r="C491" s="26" t="n"/>
      <c r="E491">
        <f>IF(A491="","",IF(C491="","FALTA TC","OK"))</f>
        <v/>
      </c>
    </row>
    <row r="492">
      <c r="A492" s="25" t="n"/>
      <c r="B492" s="26" t="n"/>
      <c r="C492" s="26" t="n"/>
      <c r="E492">
        <f>IF(A492="","",IF(C492="","FALTA TC","OK"))</f>
        <v/>
      </c>
    </row>
    <row r="493">
      <c r="A493" s="25" t="n"/>
      <c r="B493" s="26" t="n"/>
      <c r="C493" s="26" t="n"/>
      <c r="E493">
        <f>IF(A493="","",IF(C493="","FALTA TC","OK"))</f>
        <v/>
      </c>
    </row>
    <row r="494">
      <c r="A494" s="25" t="n"/>
      <c r="B494" s="26" t="n"/>
      <c r="C494" s="26" t="n"/>
      <c r="E494">
        <f>IF(A494="","",IF(C494="","FALTA TC","OK"))</f>
        <v/>
      </c>
    </row>
    <row r="495">
      <c r="A495" s="25" t="n"/>
      <c r="B495" s="26" t="n"/>
      <c r="C495" s="26" t="n"/>
      <c r="E495">
        <f>IF(A495="","",IF(C495="","FALTA TC","OK"))</f>
        <v/>
      </c>
    </row>
    <row r="496">
      <c r="A496" s="25" t="n"/>
      <c r="B496" s="26" t="n"/>
      <c r="C496" s="26" t="n"/>
      <c r="E496">
        <f>IF(A496="","",IF(C496="","FALTA TC","OK"))</f>
        <v/>
      </c>
    </row>
    <row r="497">
      <c r="A497" s="25" t="n"/>
      <c r="B497" s="26" t="n"/>
      <c r="C497" s="26" t="n"/>
      <c r="E497">
        <f>IF(A497="","",IF(C497="","FALTA TC","OK"))</f>
        <v/>
      </c>
    </row>
    <row r="498">
      <c r="A498" s="25" t="n"/>
      <c r="B498" s="26" t="n"/>
      <c r="C498" s="26" t="n"/>
      <c r="E498">
        <f>IF(A498="","",IF(C498="","FALTA TC","OK"))</f>
        <v/>
      </c>
    </row>
    <row r="499">
      <c r="A499" s="25" t="n"/>
      <c r="B499" s="26" t="n"/>
      <c r="C499" s="26" t="n"/>
      <c r="E499">
        <f>IF(A499="","",IF(C499="","FALTA TC","OK"))</f>
        <v/>
      </c>
    </row>
    <row r="500">
      <c r="A500" s="25" t="n"/>
      <c r="B500" s="26" t="n"/>
      <c r="C500" s="26" t="n"/>
      <c r="E500">
        <f>IF(A500="","",IF(C500="","FALTA TC","OK"))</f>
        <v/>
      </c>
    </row>
    <row r="501">
      <c r="A501" s="25" t="n"/>
      <c r="B501" s="26" t="n"/>
      <c r="C501" s="26" t="n"/>
      <c r="E501">
        <f>IF(A501="","",IF(C501="","FALTA TC","OK"))</f>
        <v/>
      </c>
    </row>
    <row r="502">
      <c r="A502" s="25" t="n"/>
      <c r="B502" s="26" t="n"/>
      <c r="C502" s="26" t="n"/>
      <c r="E502">
        <f>IF(A502="","",IF(C502="","FALTA TC","OK"))</f>
        <v/>
      </c>
    </row>
    <row r="503">
      <c r="A503" s="25" t="n"/>
      <c r="B503" s="26" t="n"/>
      <c r="C503" s="26" t="n"/>
      <c r="E503">
        <f>IF(A503="","",IF(C503="","FALTA TC","OK"))</f>
        <v/>
      </c>
    </row>
    <row r="504">
      <c r="A504" s="25" t="n"/>
      <c r="B504" s="26" t="n"/>
      <c r="C504" s="26" t="n"/>
      <c r="E504">
        <f>IF(A504="","",IF(C504="","FALTA TC","OK"))</f>
        <v/>
      </c>
    </row>
    <row r="505">
      <c r="A505" s="25" t="n"/>
      <c r="B505" s="26" t="n"/>
      <c r="C505" s="26" t="n"/>
      <c r="E505">
        <f>IF(A505="","",IF(C505="","FALTA TC","OK"))</f>
        <v/>
      </c>
    </row>
    <row r="506">
      <c r="A506" s="25" t="n"/>
      <c r="B506" s="26" t="n"/>
      <c r="C506" s="26" t="n"/>
      <c r="E506">
        <f>IF(A506="","",IF(C506="","FALTA TC","OK"))</f>
        <v/>
      </c>
    </row>
    <row r="507">
      <c r="A507" s="25" t="n"/>
      <c r="B507" s="26" t="n"/>
      <c r="C507" s="26" t="n"/>
      <c r="E507">
        <f>IF(A507="","",IF(C507="","FALTA TC","OK"))</f>
        <v/>
      </c>
    </row>
    <row r="508">
      <c r="A508" s="25" t="n"/>
      <c r="B508" s="26" t="n"/>
      <c r="C508" s="26" t="n"/>
      <c r="E508">
        <f>IF(A508="","",IF(C508="","FALTA TC","OK"))</f>
        <v/>
      </c>
    </row>
    <row r="509">
      <c r="A509" s="25" t="n"/>
      <c r="B509" s="26" t="n"/>
      <c r="C509" s="26" t="n"/>
      <c r="E509">
        <f>IF(A509="","",IF(C509="","FALTA TC","OK"))</f>
        <v/>
      </c>
    </row>
    <row r="510">
      <c r="A510" s="25" t="n"/>
      <c r="B510" s="26" t="n"/>
      <c r="C510" s="26" t="n"/>
      <c r="E510">
        <f>IF(A510="","",IF(C510="","FALTA TC","OK"))</f>
        <v/>
      </c>
    </row>
    <row r="511">
      <c r="A511" s="25" t="n"/>
      <c r="B511" s="26" t="n"/>
      <c r="C511" s="26" t="n"/>
      <c r="E511">
        <f>IF(A511="","",IF(C511="","FALTA TC","OK"))</f>
        <v/>
      </c>
    </row>
    <row r="512">
      <c r="A512" s="25" t="n"/>
      <c r="B512" s="26" t="n"/>
      <c r="C512" s="26" t="n"/>
      <c r="E512">
        <f>IF(A512="","",IF(C512="","FALTA TC","OK"))</f>
        <v/>
      </c>
    </row>
    <row r="513">
      <c r="A513" s="25" t="n"/>
      <c r="B513" s="26" t="n"/>
      <c r="C513" s="26" t="n"/>
      <c r="E513">
        <f>IF(A513="","",IF(C513="","FALTA TC","OK"))</f>
        <v/>
      </c>
    </row>
    <row r="514">
      <c r="A514" s="25" t="n"/>
      <c r="B514" s="26" t="n"/>
      <c r="C514" s="26" t="n"/>
      <c r="E514">
        <f>IF(A514="","",IF(C514="","FALTA TC","OK"))</f>
        <v/>
      </c>
    </row>
    <row r="515">
      <c r="A515" s="25" t="n"/>
      <c r="B515" s="26" t="n"/>
      <c r="C515" s="26" t="n"/>
      <c r="E515">
        <f>IF(A515="","",IF(C515="","FALTA TC","OK"))</f>
        <v/>
      </c>
    </row>
    <row r="516">
      <c r="A516" s="25" t="n"/>
      <c r="B516" s="26" t="n"/>
      <c r="C516" s="26" t="n"/>
      <c r="E516">
        <f>IF(A516="","",IF(C516="","FALTA TC","OK"))</f>
        <v/>
      </c>
    </row>
    <row r="517">
      <c r="A517" s="25" t="n"/>
      <c r="B517" s="26" t="n"/>
      <c r="C517" s="26" t="n"/>
      <c r="E517">
        <f>IF(A517="","",IF(C517="","FALTA TC","OK"))</f>
        <v/>
      </c>
    </row>
    <row r="518">
      <c r="A518" s="25" t="n"/>
      <c r="B518" s="26" t="n"/>
      <c r="C518" s="26" t="n"/>
      <c r="E518">
        <f>IF(A518="","",IF(C518="","FALTA TC","OK"))</f>
        <v/>
      </c>
    </row>
    <row r="519">
      <c r="A519" s="25" t="n"/>
      <c r="B519" s="26" t="n"/>
      <c r="C519" s="26" t="n"/>
      <c r="E519">
        <f>IF(A519="","",IF(C519="","FALTA TC","OK"))</f>
        <v/>
      </c>
    </row>
    <row r="520">
      <c r="A520" s="25" t="n"/>
      <c r="B520" s="26" t="n"/>
      <c r="C520" s="26" t="n"/>
      <c r="E520">
        <f>IF(A520="","",IF(C520="","FALTA TC","OK"))</f>
        <v/>
      </c>
    </row>
    <row r="521">
      <c r="A521" s="25" t="n"/>
      <c r="B521" s="26" t="n"/>
      <c r="C521" s="26" t="n"/>
      <c r="E521">
        <f>IF(A521="","",IF(C521="","FALTA TC","OK"))</f>
        <v/>
      </c>
    </row>
    <row r="522">
      <c r="A522" s="25" t="n"/>
      <c r="B522" s="26" t="n"/>
      <c r="C522" s="26" t="n"/>
      <c r="E522">
        <f>IF(A522="","",IF(C522="","FALTA TC","OK"))</f>
        <v/>
      </c>
    </row>
    <row r="523">
      <c r="A523" s="25" t="n"/>
      <c r="B523" s="26" t="n"/>
      <c r="C523" s="26" t="n"/>
      <c r="E523">
        <f>IF(A523="","",IF(C523="","FALTA TC","OK"))</f>
        <v/>
      </c>
    </row>
    <row r="524">
      <c r="A524" s="25" t="n"/>
      <c r="B524" s="26" t="n"/>
      <c r="C524" s="26" t="n"/>
      <c r="E524">
        <f>IF(A524="","",IF(C524="","FALTA TC","OK"))</f>
        <v/>
      </c>
    </row>
    <row r="525">
      <c r="A525" s="25" t="n"/>
      <c r="B525" s="26" t="n"/>
      <c r="C525" s="26" t="n"/>
      <c r="E525">
        <f>IF(A525="","",IF(C525="","FALTA TC","OK"))</f>
        <v/>
      </c>
    </row>
    <row r="526">
      <c r="A526" s="25" t="n"/>
      <c r="B526" s="26" t="n"/>
      <c r="C526" s="26" t="n"/>
      <c r="E526">
        <f>IF(A526="","",IF(C526="","FALTA TC","OK"))</f>
        <v/>
      </c>
    </row>
    <row r="527">
      <c r="A527" s="25" t="n"/>
      <c r="B527" s="26" t="n"/>
      <c r="C527" s="26" t="n"/>
      <c r="E527">
        <f>IF(A527="","",IF(C527="","FALTA TC","OK"))</f>
        <v/>
      </c>
    </row>
    <row r="528">
      <c r="A528" s="25" t="n"/>
      <c r="B528" s="26" t="n"/>
      <c r="C528" s="26" t="n"/>
      <c r="E528">
        <f>IF(A528="","",IF(C528="","FALTA TC","OK"))</f>
        <v/>
      </c>
    </row>
    <row r="529">
      <c r="A529" s="25" t="n"/>
      <c r="B529" s="26" t="n"/>
      <c r="C529" s="26" t="n"/>
      <c r="E529">
        <f>IF(A529="","",IF(C529="","FALTA TC","OK"))</f>
        <v/>
      </c>
    </row>
    <row r="530">
      <c r="A530" s="25" t="n"/>
      <c r="B530" s="26" t="n"/>
      <c r="C530" s="26" t="n"/>
      <c r="E530">
        <f>IF(A530="","",IF(C530="","FALTA TC","OK"))</f>
        <v/>
      </c>
    </row>
    <row r="531">
      <c r="A531" s="25" t="n"/>
      <c r="B531" s="26" t="n"/>
      <c r="C531" s="26" t="n"/>
      <c r="E531">
        <f>IF(A531="","",IF(C531="","FALTA TC","OK"))</f>
        <v/>
      </c>
    </row>
    <row r="532">
      <c r="A532" s="25" t="n"/>
      <c r="B532" s="26" t="n"/>
      <c r="C532" s="26" t="n"/>
      <c r="E532">
        <f>IF(A532="","",IF(C532="","FALTA TC","OK"))</f>
        <v/>
      </c>
    </row>
    <row r="533">
      <c r="A533" s="25" t="n"/>
      <c r="B533" s="26" t="n"/>
      <c r="C533" s="26" t="n"/>
      <c r="E533">
        <f>IF(A533="","",IF(C533="","FALTA TC","OK"))</f>
        <v/>
      </c>
    </row>
    <row r="534">
      <c r="A534" s="25" t="n"/>
      <c r="B534" s="26" t="n"/>
      <c r="C534" s="26" t="n"/>
      <c r="E534">
        <f>IF(A534="","",IF(C534="","FALTA TC","OK"))</f>
        <v/>
      </c>
    </row>
    <row r="535">
      <c r="A535" s="25" t="n"/>
      <c r="B535" s="26" t="n"/>
      <c r="C535" s="26" t="n"/>
      <c r="E535">
        <f>IF(A535="","",IF(C535="","FALTA TC","OK"))</f>
        <v/>
      </c>
    </row>
    <row r="536">
      <c r="A536" s="25" t="n"/>
      <c r="B536" s="26" t="n"/>
      <c r="C536" s="26" t="n"/>
      <c r="E536">
        <f>IF(A536="","",IF(C536="","FALTA TC","OK"))</f>
        <v/>
      </c>
    </row>
    <row r="537">
      <c r="A537" s="25" t="n"/>
      <c r="B537" s="26" t="n"/>
      <c r="C537" s="26" t="n"/>
      <c r="E537">
        <f>IF(A537="","",IF(C537="","FALTA TC","OK"))</f>
        <v/>
      </c>
    </row>
    <row r="538">
      <c r="A538" s="25" t="n"/>
      <c r="B538" s="26" t="n"/>
      <c r="C538" s="26" t="n"/>
      <c r="E538">
        <f>IF(A538="","",IF(C538="","FALTA TC","OK"))</f>
        <v/>
      </c>
    </row>
    <row r="539">
      <c r="A539" s="25" t="n"/>
      <c r="B539" s="26" t="n"/>
      <c r="C539" s="26" t="n"/>
      <c r="E539">
        <f>IF(A539="","",IF(C539="","FALTA TC","OK"))</f>
        <v/>
      </c>
    </row>
    <row r="540">
      <c r="A540" s="25" t="n"/>
      <c r="B540" s="26" t="n"/>
      <c r="C540" s="26" t="n"/>
      <c r="E540">
        <f>IF(A540="","",IF(C540="","FALTA TC","OK"))</f>
        <v/>
      </c>
    </row>
    <row r="541">
      <c r="A541" s="25" t="n"/>
      <c r="B541" s="26" t="n"/>
      <c r="C541" s="26" t="n"/>
      <c r="E541">
        <f>IF(A541="","",IF(C541="","FALTA TC","OK"))</f>
        <v/>
      </c>
    </row>
    <row r="542">
      <c r="A542" s="25" t="n"/>
      <c r="B542" s="26" t="n"/>
      <c r="C542" s="26" t="n"/>
      <c r="E542">
        <f>IF(A542="","",IF(C542="","FALTA TC","OK"))</f>
        <v/>
      </c>
    </row>
    <row r="543">
      <c r="A543" s="25" t="n"/>
      <c r="B543" s="26" t="n"/>
      <c r="C543" s="26" t="n"/>
      <c r="E543">
        <f>IF(A543="","",IF(C543="","FALTA TC","OK"))</f>
        <v/>
      </c>
    </row>
    <row r="544">
      <c r="A544" s="25" t="n"/>
      <c r="B544" s="26" t="n"/>
      <c r="C544" s="26" t="n"/>
      <c r="E544">
        <f>IF(A544="","",IF(C544="","FALTA TC","OK"))</f>
        <v/>
      </c>
    </row>
    <row r="545">
      <c r="A545" s="25" t="n"/>
      <c r="B545" s="26" t="n"/>
      <c r="C545" s="26" t="n"/>
      <c r="E545">
        <f>IF(A545="","",IF(C545="","FALTA TC","OK"))</f>
        <v/>
      </c>
    </row>
    <row r="546">
      <c r="A546" s="25" t="n"/>
      <c r="B546" s="26" t="n"/>
      <c r="C546" s="26" t="n"/>
      <c r="E546">
        <f>IF(A546="","",IF(C546="","FALTA TC","OK"))</f>
        <v/>
      </c>
    </row>
    <row r="547">
      <c r="A547" s="25" t="n"/>
      <c r="B547" s="26" t="n"/>
      <c r="C547" s="26" t="n"/>
      <c r="E547">
        <f>IF(A547="","",IF(C547="","FALTA TC","OK"))</f>
        <v/>
      </c>
    </row>
    <row r="548">
      <c r="A548" s="25" t="n"/>
      <c r="B548" s="26" t="n"/>
      <c r="C548" s="26" t="n"/>
      <c r="E548">
        <f>IF(A548="","",IF(C548="","FALTA TC","OK"))</f>
        <v/>
      </c>
    </row>
    <row r="549">
      <c r="A549" s="25" t="n"/>
      <c r="B549" s="26" t="n"/>
      <c r="C549" s="26" t="n"/>
      <c r="E549">
        <f>IF(A549="","",IF(C549="","FALTA TC","OK"))</f>
        <v/>
      </c>
    </row>
    <row r="550">
      <c r="A550" s="25" t="n"/>
      <c r="B550" s="26" t="n"/>
      <c r="C550" s="26" t="n"/>
      <c r="E550">
        <f>IF(A550="","",IF(C550="","FALTA TC","OK"))</f>
        <v/>
      </c>
    </row>
    <row r="551">
      <c r="A551" s="25" t="n"/>
      <c r="B551" s="26" t="n"/>
      <c r="C551" s="26" t="n"/>
      <c r="E551">
        <f>IF(A551="","",IF(C551="","FALTA TC","OK"))</f>
        <v/>
      </c>
    </row>
    <row r="552">
      <c r="A552" s="25" t="n"/>
      <c r="B552" s="26" t="n"/>
      <c r="C552" s="26" t="n"/>
      <c r="E552">
        <f>IF(A552="","",IF(C552="","FALTA TC","OK"))</f>
        <v/>
      </c>
    </row>
    <row r="553">
      <c r="A553" s="25" t="n"/>
      <c r="B553" s="26" t="n"/>
      <c r="C553" s="26" t="n"/>
      <c r="E553">
        <f>IF(A553="","",IF(C553="","FALTA TC","OK"))</f>
        <v/>
      </c>
    </row>
    <row r="554">
      <c r="A554" s="25" t="n"/>
      <c r="B554" s="26" t="n"/>
      <c r="C554" s="26" t="n"/>
      <c r="E554">
        <f>IF(A554="","",IF(C554="","FALTA TC","OK"))</f>
        <v/>
      </c>
    </row>
    <row r="555">
      <c r="A555" s="25" t="n"/>
      <c r="B555" s="26" t="n"/>
      <c r="C555" s="26" t="n"/>
      <c r="E555">
        <f>IF(A555="","",IF(C555="","FALTA TC","OK"))</f>
        <v/>
      </c>
    </row>
    <row r="556">
      <c r="A556" s="25" t="n"/>
      <c r="B556" s="26" t="n"/>
      <c r="C556" s="26" t="n"/>
      <c r="E556">
        <f>IF(A556="","",IF(C556="","FALTA TC","OK"))</f>
        <v/>
      </c>
    </row>
    <row r="557">
      <c r="A557" s="25" t="n"/>
      <c r="B557" s="26" t="n"/>
      <c r="C557" s="26" t="n"/>
      <c r="E557">
        <f>IF(A557="","",IF(C557="","FALTA TC","OK"))</f>
        <v/>
      </c>
    </row>
    <row r="558">
      <c r="A558" s="25" t="n"/>
      <c r="B558" s="26" t="n"/>
      <c r="C558" s="26" t="n"/>
      <c r="E558">
        <f>IF(A558="","",IF(C558="","FALTA TC","OK"))</f>
        <v/>
      </c>
    </row>
    <row r="559">
      <c r="A559" s="25" t="n"/>
      <c r="B559" s="26" t="n"/>
      <c r="C559" s="26" t="n"/>
      <c r="E559">
        <f>IF(A559="","",IF(C559="","FALTA TC","OK"))</f>
        <v/>
      </c>
    </row>
    <row r="560">
      <c r="A560" s="25" t="n"/>
      <c r="B560" s="26" t="n"/>
      <c r="C560" s="26" t="n"/>
      <c r="E560">
        <f>IF(A560="","",IF(C560="","FALTA TC","OK"))</f>
        <v/>
      </c>
    </row>
    <row r="561">
      <c r="A561" s="25" t="n"/>
      <c r="B561" s="26" t="n"/>
      <c r="C561" s="26" t="n"/>
      <c r="E561">
        <f>IF(A561="","",IF(C561="","FALTA TC","OK"))</f>
        <v/>
      </c>
    </row>
    <row r="562">
      <c r="A562" s="25" t="n"/>
      <c r="B562" s="26" t="n"/>
      <c r="C562" s="26" t="n"/>
      <c r="E562">
        <f>IF(A562="","",IF(C562="","FALTA TC","OK"))</f>
        <v/>
      </c>
    </row>
    <row r="563">
      <c r="A563" s="25" t="n"/>
      <c r="B563" s="26" t="n"/>
      <c r="C563" s="26" t="n"/>
      <c r="E563">
        <f>IF(A563="","",IF(C563="","FALTA TC","OK"))</f>
        <v/>
      </c>
    </row>
    <row r="564">
      <c r="A564" s="25" t="n"/>
      <c r="B564" s="26" t="n"/>
      <c r="C564" s="26" t="n"/>
      <c r="E564">
        <f>IF(A564="","",IF(C564="","FALTA TC","OK"))</f>
        <v/>
      </c>
    </row>
    <row r="565">
      <c r="A565" s="25" t="n"/>
      <c r="B565" s="26" t="n"/>
      <c r="C565" s="26" t="n"/>
      <c r="E565">
        <f>IF(A565="","",IF(C565="","FALTA TC","OK"))</f>
        <v/>
      </c>
    </row>
    <row r="566">
      <c r="A566" s="25" t="n"/>
      <c r="B566" s="26" t="n"/>
      <c r="C566" s="26" t="n"/>
      <c r="E566">
        <f>IF(A566="","",IF(C566="","FALTA TC","OK"))</f>
        <v/>
      </c>
    </row>
    <row r="567">
      <c r="A567" s="25" t="n"/>
      <c r="B567" s="26" t="n"/>
      <c r="C567" s="26" t="n"/>
      <c r="E567">
        <f>IF(A567="","",IF(C567="","FALTA TC","OK"))</f>
        <v/>
      </c>
    </row>
    <row r="568">
      <c r="A568" s="25" t="n"/>
      <c r="B568" s="26" t="n"/>
      <c r="C568" s="26" t="n"/>
      <c r="E568">
        <f>IF(A568="","",IF(C568="","FALTA TC","OK"))</f>
        <v/>
      </c>
    </row>
    <row r="569">
      <c r="A569" s="25" t="n"/>
      <c r="B569" s="26" t="n"/>
      <c r="C569" s="26" t="n"/>
      <c r="E569">
        <f>IF(A569="","",IF(C569="","FALTA TC","OK"))</f>
        <v/>
      </c>
    </row>
    <row r="570">
      <c r="A570" s="25" t="n"/>
      <c r="B570" s="26" t="n"/>
      <c r="C570" s="26" t="n"/>
      <c r="E570">
        <f>IF(A570="","",IF(C570="","FALTA TC","OK"))</f>
        <v/>
      </c>
    </row>
    <row r="571">
      <c r="A571" s="25" t="n"/>
      <c r="B571" s="26" t="n"/>
      <c r="C571" s="26" t="n"/>
      <c r="E571">
        <f>IF(A571="","",IF(C571="","FALTA TC","OK"))</f>
        <v/>
      </c>
    </row>
    <row r="572">
      <c r="A572" s="25" t="n"/>
      <c r="B572" s="26" t="n"/>
      <c r="C572" s="26" t="n"/>
      <c r="E572">
        <f>IF(A572="","",IF(C572="","FALTA TC","OK"))</f>
        <v/>
      </c>
    </row>
    <row r="573">
      <c r="A573" s="25" t="n"/>
      <c r="B573" s="26" t="n"/>
      <c r="C573" s="26" t="n"/>
      <c r="E573">
        <f>IF(A573="","",IF(C573="","FALTA TC","OK"))</f>
        <v/>
      </c>
    </row>
    <row r="574">
      <c r="A574" s="25" t="n"/>
      <c r="B574" s="26" t="n"/>
      <c r="C574" s="26" t="n"/>
      <c r="E574">
        <f>IF(A574="","",IF(C574="","FALTA TC","OK"))</f>
        <v/>
      </c>
    </row>
    <row r="575">
      <c r="A575" s="25" t="n"/>
      <c r="B575" s="26" t="n"/>
      <c r="C575" s="26" t="n"/>
      <c r="E575">
        <f>IF(A575="","",IF(C575="","FALTA TC","OK"))</f>
        <v/>
      </c>
    </row>
    <row r="576">
      <c r="A576" s="25" t="n"/>
      <c r="B576" s="26" t="n"/>
      <c r="C576" s="26" t="n"/>
      <c r="E576">
        <f>IF(A576="","",IF(C576="","FALTA TC","OK"))</f>
        <v/>
      </c>
    </row>
    <row r="577">
      <c r="A577" s="25" t="n"/>
      <c r="B577" s="26" t="n"/>
      <c r="C577" s="26" t="n"/>
      <c r="E577">
        <f>IF(A577="","",IF(C577="","FALTA TC","OK"))</f>
        <v/>
      </c>
    </row>
    <row r="578">
      <c r="A578" s="25" t="n"/>
      <c r="B578" s="26" t="n"/>
      <c r="C578" s="26" t="n"/>
      <c r="E578">
        <f>IF(A578="","",IF(C578="","FALTA TC","OK"))</f>
        <v/>
      </c>
    </row>
    <row r="579">
      <c r="A579" s="25" t="n"/>
      <c r="B579" s="26" t="n"/>
      <c r="C579" s="26" t="n"/>
      <c r="E579">
        <f>IF(A579="","",IF(C579="","FALTA TC","OK"))</f>
        <v/>
      </c>
    </row>
    <row r="580">
      <c r="A580" s="25" t="n"/>
      <c r="B580" s="26" t="n"/>
      <c r="C580" s="26" t="n"/>
      <c r="E580">
        <f>IF(A580="","",IF(C580="","FALTA TC","OK"))</f>
        <v/>
      </c>
    </row>
    <row r="581">
      <c r="A581" s="25" t="n"/>
      <c r="B581" s="26" t="n"/>
      <c r="C581" s="26" t="n"/>
      <c r="E581">
        <f>IF(A581="","",IF(C581="","FALTA TC","OK"))</f>
        <v/>
      </c>
    </row>
    <row r="582">
      <c r="A582" s="25" t="n"/>
      <c r="B582" s="26" t="n"/>
      <c r="C582" s="26" t="n"/>
      <c r="E582">
        <f>IF(A582="","",IF(C582="","FALTA TC","OK"))</f>
        <v/>
      </c>
    </row>
    <row r="583">
      <c r="A583" s="25" t="n"/>
      <c r="B583" s="26" t="n"/>
      <c r="C583" s="26" t="n"/>
      <c r="E583">
        <f>IF(A583="","",IF(C583="","FALTA TC","OK"))</f>
        <v/>
      </c>
    </row>
    <row r="584">
      <c r="A584" s="25" t="n"/>
      <c r="B584" s="26" t="n"/>
      <c r="C584" s="26" t="n"/>
      <c r="E584">
        <f>IF(A584="","",IF(C584="","FALTA TC","OK"))</f>
        <v/>
      </c>
    </row>
    <row r="585">
      <c r="A585" s="25" t="n"/>
      <c r="B585" s="26" t="n"/>
      <c r="C585" s="26" t="n"/>
      <c r="E585">
        <f>IF(A585="","",IF(C585="","FALTA TC","OK"))</f>
        <v/>
      </c>
    </row>
    <row r="586">
      <c r="A586" s="25" t="n"/>
      <c r="B586" s="26" t="n"/>
      <c r="C586" s="26" t="n"/>
      <c r="E586">
        <f>IF(A586="","",IF(C586="","FALTA TC","OK"))</f>
        <v/>
      </c>
    </row>
    <row r="587">
      <c r="A587" s="25" t="n"/>
      <c r="B587" s="26" t="n"/>
      <c r="C587" s="26" t="n"/>
      <c r="E587">
        <f>IF(A587="","",IF(C587="","FALTA TC","OK"))</f>
        <v/>
      </c>
    </row>
    <row r="588">
      <c r="A588" s="25" t="n"/>
      <c r="B588" s="26" t="n"/>
      <c r="C588" s="26" t="n"/>
      <c r="E588">
        <f>IF(A588="","",IF(C588="","FALTA TC","OK"))</f>
        <v/>
      </c>
    </row>
    <row r="589">
      <c r="A589" s="25" t="n"/>
      <c r="B589" s="26" t="n"/>
      <c r="C589" s="26" t="n"/>
      <c r="E589">
        <f>IF(A589="","",IF(C589="","FALTA TC","OK"))</f>
        <v/>
      </c>
    </row>
    <row r="590">
      <c r="A590" s="25" t="n"/>
      <c r="B590" s="26" t="n"/>
      <c r="C590" s="26" t="n"/>
      <c r="E590">
        <f>IF(A590="","",IF(C590="","FALTA TC","OK"))</f>
        <v/>
      </c>
    </row>
    <row r="591">
      <c r="A591" s="25" t="n"/>
      <c r="B591" s="26" t="n"/>
      <c r="C591" s="26" t="n"/>
      <c r="E591">
        <f>IF(A591="","",IF(C591="","FALTA TC","OK"))</f>
        <v/>
      </c>
    </row>
    <row r="592">
      <c r="A592" s="25" t="n"/>
      <c r="B592" s="26" t="n"/>
      <c r="C592" s="26" t="n"/>
      <c r="E592">
        <f>IF(A592="","",IF(C592="","FALTA TC","OK"))</f>
        <v/>
      </c>
    </row>
    <row r="593">
      <c r="A593" s="25" t="n"/>
      <c r="B593" s="26" t="n"/>
      <c r="C593" s="26" t="n"/>
      <c r="E593">
        <f>IF(A593="","",IF(C593="","FALTA TC","OK"))</f>
        <v/>
      </c>
    </row>
    <row r="594">
      <c r="A594" s="25" t="n"/>
      <c r="B594" s="26" t="n"/>
      <c r="C594" s="26" t="n"/>
      <c r="E594">
        <f>IF(A594="","",IF(C594="","FALTA TC","OK"))</f>
        <v/>
      </c>
    </row>
    <row r="595">
      <c r="A595" s="25" t="n"/>
      <c r="B595" s="26" t="n"/>
      <c r="C595" s="26" t="n"/>
      <c r="E595">
        <f>IF(A595="","",IF(C595="","FALTA TC","OK"))</f>
        <v/>
      </c>
    </row>
    <row r="596">
      <c r="A596" s="25" t="n"/>
      <c r="B596" s="26" t="n"/>
      <c r="C596" s="26" t="n"/>
      <c r="E596">
        <f>IF(A596="","",IF(C596="","FALTA TC","OK"))</f>
        <v/>
      </c>
    </row>
    <row r="597">
      <c r="A597" s="25" t="n"/>
      <c r="B597" s="26" t="n"/>
      <c r="C597" s="26" t="n"/>
      <c r="E597">
        <f>IF(A597="","",IF(C597="","FALTA TC","OK"))</f>
        <v/>
      </c>
    </row>
    <row r="598">
      <c r="A598" s="25" t="n"/>
      <c r="B598" s="26" t="n"/>
      <c r="C598" s="26" t="n"/>
      <c r="E598">
        <f>IF(A598="","",IF(C598="","FALTA TC","OK"))</f>
        <v/>
      </c>
    </row>
    <row r="599">
      <c r="A599" s="25" t="n"/>
      <c r="B599" s="26" t="n"/>
      <c r="C599" s="26" t="n"/>
      <c r="E599">
        <f>IF(A599="","",IF(C599="","FALTA TC","OK"))</f>
        <v/>
      </c>
    </row>
    <row r="600">
      <c r="A600" s="25" t="n"/>
      <c r="B600" s="26" t="n"/>
      <c r="C600" s="26" t="n"/>
      <c r="E600">
        <f>IF(A600="","",IF(C600="","FALTA TC","OK"))</f>
        <v/>
      </c>
    </row>
    <row r="601">
      <c r="A601" s="25" t="n"/>
      <c r="B601" s="26" t="n"/>
      <c r="C601" s="26" t="n"/>
      <c r="E601">
        <f>IF(A601="","",IF(C601="","FALTA TC","OK"))</f>
        <v/>
      </c>
    </row>
    <row r="602">
      <c r="A602" s="25" t="n"/>
      <c r="B602" s="26" t="n"/>
      <c r="C602" s="26" t="n"/>
      <c r="E602">
        <f>IF(A602="","",IF(C602="","FALTA TC","OK"))</f>
        <v/>
      </c>
    </row>
    <row r="603">
      <c r="A603" s="25" t="n"/>
      <c r="B603" s="26" t="n"/>
      <c r="C603" s="26" t="n"/>
      <c r="E603">
        <f>IF(A603="","",IF(C603="","FALTA TC","OK"))</f>
        <v/>
      </c>
    </row>
    <row r="604">
      <c r="A604" s="25" t="n"/>
      <c r="B604" s="26" t="n"/>
      <c r="C604" s="26" t="n"/>
      <c r="E604">
        <f>IF(A604="","",IF(C604="","FALTA TC","OK"))</f>
        <v/>
      </c>
    </row>
    <row r="605">
      <c r="A605" s="25" t="n"/>
      <c r="B605" s="26" t="n"/>
      <c r="C605" s="26" t="n"/>
      <c r="E605">
        <f>IF(A605="","",IF(C605="","FALTA TC","OK"))</f>
        <v/>
      </c>
    </row>
    <row r="606">
      <c r="A606" s="25" t="n"/>
      <c r="B606" s="26" t="n"/>
      <c r="C606" s="26" t="n"/>
      <c r="E606">
        <f>IF(A606="","",IF(C606="","FALTA TC","OK"))</f>
        <v/>
      </c>
    </row>
    <row r="607">
      <c r="A607" s="25" t="n"/>
      <c r="B607" s="26" t="n"/>
      <c r="C607" s="26" t="n"/>
      <c r="E607">
        <f>IF(A607="","",IF(C607="","FALTA TC","OK"))</f>
        <v/>
      </c>
    </row>
    <row r="608">
      <c r="A608" s="25" t="n"/>
      <c r="B608" s="26" t="n"/>
      <c r="C608" s="26" t="n"/>
      <c r="E608">
        <f>IF(A608="","",IF(C608="","FALTA TC","OK"))</f>
        <v/>
      </c>
    </row>
    <row r="609">
      <c r="A609" s="25" t="n"/>
      <c r="B609" s="26" t="n"/>
      <c r="C609" s="26" t="n"/>
      <c r="E609">
        <f>IF(A609="","",IF(C609="","FALTA TC","OK"))</f>
        <v/>
      </c>
    </row>
    <row r="610">
      <c r="A610" s="25" t="n"/>
      <c r="B610" s="26" t="n"/>
      <c r="C610" s="26" t="n"/>
      <c r="E610">
        <f>IF(A610="","",IF(C610="","FALTA TC","OK"))</f>
        <v/>
      </c>
    </row>
    <row r="611">
      <c r="A611" s="25" t="n"/>
      <c r="B611" s="26" t="n"/>
      <c r="C611" s="26" t="n"/>
      <c r="E611">
        <f>IF(A611="","",IF(C611="","FALTA TC","OK"))</f>
        <v/>
      </c>
    </row>
    <row r="612">
      <c r="A612" s="25" t="n"/>
      <c r="B612" s="26" t="n"/>
      <c r="C612" s="26" t="n"/>
      <c r="E612">
        <f>IF(A612="","",IF(C612="","FALTA TC","OK"))</f>
        <v/>
      </c>
    </row>
    <row r="613">
      <c r="A613" s="25" t="n"/>
      <c r="B613" s="26" t="n"/>
      <c r="C613" s="26" t="n"/>
      <c r="E613">
        <f>IF(A613="","",IF(C613="","FALTA TC","OK"))</f>
        <v/>
      </c>
    </row>
    <row r="614">
      <c r="A614" s="25" t="n"/>
      <c r="B614" s="26" t="n"/>
      <c r="C614" s="26" t="n"/>
      <c r="E614">
        <f>IF(A614="","",IF(C614="","FALTA TC","OK"))</f>
        <v/>
      </c>
    </row>
    <row r="615">
      <c r="A615" s="25" t="n"/>
      <c r="B615" s="26" t="n"/>
      <c r="C615" s="26" t="n"/>
      <c r="E615">
        <f>IF(A615="","",IF(C615="","FALTA TC","OK"))</f>
        <v/>
      </c>
    </row>
    <row r="616">
      <c r="A616" s="25" t="n"/>
      <c r="B616" s="26" t="n"/>
      <c r="C616" s="26" t="n"/>
      <c r="E616">
        <f>IF(A616="","",IF(C616="","FALTA TC","OK"))</f>
        <v/>
      </c>
    </row>
    <row r="617">
      <c r="A617" s="25" t="n"/>
      <c r="B617" s="26" t="n"/>
      <c r="C617" s="26" t="n"/>
      <c r="E617">
        <f>IF(A617="","",IF(C617="","FALTA TC","OK"))</f>
        <v/>
      </c>
    </row>
    <row r="618">
      <c r="A618" s="25" t="n"/>
      <c r="B618" s="26" t="n"/>
      <c r="C618" s="26" t="n"/>
      <c r="E618">
        <f>IF(A618="","",IF(C618="","FALTA TC","OK"))</f>
        <v/>
      </c>
    </row>
    <row r="619">
      <c r="A619" s="25" t="n"/>
      <c r="B619" s="26" t="n"/>
      <c r="C619" s="26" t="n"/>
      <c r="E619">
        <f>IF(A619="","",IF(C619="","FALTA TC","OK"))</f>
        <v/>
      </c>
    </row>
    <row r="620">
      <c r="A620" s="25" t="n"/>
      <c r="B620" s="26" t="n"/>
      <c r="C620" s="26" t="n"/>
      <c r="E620">
        <f>IF(A620="","",IF(C620="","FALTA TC","OK"))</f>
        <v/>
      </c>
    </row>
    <row r="621">
      <c r="A621" s="25" t="n"/>
      <c r="B621" s="26" t="n"/>
      <c r="C621" s="26" t="n"/>
      <c r="E621">
        <f>IF(A621="","",IF(C621="","FALTA TC","OK"))</f>
        <v/>
      </c>
    </row>
    <row r="622">
      <c r="A622" s="25" t="n"/>
      <c r="B622" s="26" t="n"/>
      <c r="C622" s="26" t="n"/>
      <c r="E622">
        <f>IF(A622="","",IF(C622="","FALTA TC","OK"))</f>
        <v/>
      </c>
    </row>
    <row r="623">
      <c r="A623" s="25" t="n"/>
      <c r="B623" s="26" t="n"/>
      <c r="C623" s="26" t="n"/>
      <c r="E623">
        <f>IF(A623="","",IF(C623="","FALTA TC","OK"))</f>
        <v/>
      </c>
    </row>
    <row r="624">
      <c r="A624" s="25" t="n"/>
      <c r="B624" s="26" t="n"/>
      <c r="C624" s="26" t="n"/>
      <c r="E624">
        <f>IF(A624="","",IF(C624="","FALTA TC","OK"))</f>
        <v/>
      </c>
    </row>
    <row r="625">
      <c r="A625" s="25" t="n"/>
      <c r="B625" s="26" t="n"/>
      <c r="C625" s="26" t="n"/>
      <c r="E625">
        <f>IF(A625="","",IF(C625="","FALTA TC","OK"))</f>
        <v/>
      </c>
    </row>
    <row r="626">
      <c r="A626" s="25" t="n"/>
      <c r="B626" s="26" t="n"/>
      <c r="C626" s="26" t="n"/>
      <c r="E626">
        <f>IF(A626="","",IF(C626="","FALTA TC","OK"))</f>
        <v/>
      </c>
    </row>
    <row r="627">
      <c r="A627" s="25" t="n"/>
      <c r="B627" s="26" t="n"/>
      <c r="C627" s="26" t="n"/>
      <c r="E627">
        <f>IF(A627="","",IF(C627="","FALTA TC","OK"))</f>
        <v/>
      </c>
    </row>
    <row r="628">
      <c r="A628" s="25" t="n"/>
      <c r="B628" s="26" t="n"/>
      <c r="C628" s="26" t="n"/>
      <c r="E628">
        <f>IF(A628="","",IF(C628="","FALTA TC","OK"))</f>
        <v/>
      </c>
    </row>
    <row r="629">
      <c r="A629" s="25" t="n"/>
      <c r="B629" s="26" t="n"/>
      <c r="C629" s="26" t="n"/>
      <c r="E629">
        <f>IF(A629="","",IF(C629="","FALTA TC","OK"))</f>
        <v/>
      </c>
    </row>
    <row r="630">
      <c r="A630" s="25" t="n"/>
      <c r="B630" s="26" t="n"/>
      <c r="C630" s="26" t="n"/>
      <c r="E630">
        <f>IF(A630="","",IF(C630="","FALTA TC","OK"))</f>
        <v/>
      </c>
    </row>
    <row r="631">
      <c r="A631" s="25" t="n"/>
      <c r="B631" s="26" t="n"/>
      <c r="C631" s="26" t="n"/>
      <c r="E631">
        <f>IF(A631="","",IF(C631="","FALTA TC","OK"))</f>
        <v/>
      </c>
    </row>
    <row r="632">
      <c r="A632" s="25" t="n"/>
      <c r="B632" s="26" t="n"/>
      <c r="C632" s="26" t="n"/>
      <c r="E632">
        <f>IF(A632="","",IF(C632="","FALTA TC","OK"))</f>
        <v/>
      </c>
    </row>
    <row r="633">
      <c r="A633" s="25" t="n"/>
      <c r="B633" s="26" t="n"/>
      <c r="C633" s="26" t="n"/>
      <c r="E633">
        <f>IF(A633="","",IF(C633="","FALTA TC","OK"))</f>
        <v/>
      </c>
    </row>
    <row r="634">
      <c r="A634" s="25" t="n"/>
      <c r="B634" s="26" t="n"/>
      <c r="C634" s="26" t="n"/>
      <c r="E634">
        <f>IF(A634="","",IF(C634="","FALTA TC","OK"))</f>
        <v/>
      </c>
    </row>
    <row r="635">
      <c r="A635" s="25" t="n"/>
      <c r="B635" s="26" t="n"/>
      <c r="C635" s="26" t="n"/>
      <c r="E635">
        <f>IF(A635="","",IF(C635="","FALTA TC","OK"))</f>
        <v/>
      </c>
    </row>
    <row r="636">
      <c r="A636" s="25" t="n"/>
      <c r="B636" s="26" t="n"/>
      <c r="C636" s="26" t="n"/>
      <c r="E636">
        <f>IF(A636="","",IF(C636="","FALTA TC","OK"))</f>
        <v/>
      </c>
    </row>
    <row r="637">
      <c r="A637" s="25" t="n"/>
      <c r="B637" s="26" t="n"/>
      <c r="C637" s="26" t="n"/>
      <c r="E637">
        <f>IF(A637="","",IF(C637="","FALTA TC","OK"))</f>
        <v/>
      </c>
    </row>
    <row r="638">
      <c r="A638" s="25" t="n"/>
      <c r="B638" s="26" t="n"/>
      <c r="C638" s="26" t="n"/>
      <c r="E638">
        <f>IF(A638="","",IF(C638="","FALTA TC","OK"))</f>
        <v/>
      </c>
    </row>
    <row r="639">
      <c r="A639" s="25" t="n"/>
      <c r="B639" s="26" t="n"/>
      <c r="C639" s="26" t="n"/>
      <c r="E639">
        <f>IF(A639="","",IF(C639="","FALTA TC","OK"))</f>
        <v/>
      </c>
    </row>
    <row r="640">
      <c r="A640" s="25" t="n"/>
      <c r="B640" s="26" t="n"/>
      <c r="C640" s="26" t="n"/>
      <c r="E640">
        <f>IF(A640="","",IF(C640="","FALTA TC","OK"))</f>
        <v/>
      </c>
    </row>
    <row r="641">
      <c r="A641" s="25" t="n"/>
      <c r="B641" s="26" t="n"/>
      <c r="C641" s="26" t="n"/>
      <c r="E641">
        <f>IF(A641="","",IF(C641="","FALTA TC","OK"))</f>
        <v/>
      </c>
    </row>
    <row r="642">
      <c r="A642" s="25" t="n"/>
      <c r="B642" s="26" t="n"/>
      <c r="C642" s="26" t="n"/>
      <c r="E642">
        <f>IF(A642="","",IF(C642="","FALTA TC","OK"))</f>
        <v/>
      </c>
    </row>
    <row r="643">
      <c r="A643" s="25" t="n"/>
      <c r="B643" s="26" t="n"/>
      <c r="C643" s="26" t="n"/>
      <c r="E643">
        <f>IF(A643="","",IF(C643="","FALTA TC","OK"))</f>
        <v/>
      </c>
    </row>
    <row r="644">
      <c r="A644" s="25" t="n"/>
      <c r="B644" s="26" t="n"/>
      <c r="C644" s="26" t="n"/>
      <c r="E644">
        <f>IF(A644="","",IF(C644="","FALTA TC","OK"))</f>
        <v/>
      </c>
    </row>
    <row r="645">
      <c r="A645" s="25" t="n"/>
      <c r="B645" s="26" t="n"/>
      <c r="C645" s="26" t="n"/>
      <c r="E645">
        <f>IF(A645="","",IF(C645="","FALTA TC","OK"))</f>
        <v/>
      </c>
    </row>
    <row r="646">
      <c r="A646" s="25" t="n"/>
      <c r="B646" s="26" t="n"/>
      <c r="C646" s="26" t="n"/>
      <c r="E646">
        <f>IF(A646="","",IF(C646="","FALTA TC","OK"))</f>
        <v/>
      </c>
    </row>
    <row r="647">
      <c r="A647" s="25" t="n"/>
      <c r="B647" s="26" t="n"/>
      <c r="C647" s="26" t="n"/>
      <c r="E647">
        <f>IF(A647="","",IF(C647="","FALTA TC","OK"))</f>
        <v/>
      </c>
    </row>
    <row r="648">
      <c r="A648" s="25" t="n"/>
      <c r="B648" s="26" t="n"/>
      <c r="C648" s="26" t="n"/>
      <c r="E648">
        <f>IF(A648="","",IF(C648="","FALTA TC","OK"))</f>
        <v/>
      </c>
    </row>
    <row r="649">
      <c r="A649" s="25" t="n"/>
      <c r="B649" s="26" t="n"/>
      <c r="C649" s="26" t="n"/>
      <c r="E649">
        <f>IF(A649="","",IF(C649="","FALTA TC","OK"))</f>
        <v/>
      </c>
    </row>
    <row r="650">
      <c r="A650" s="25" t="n"/>
      <c r="B650" s="26" t="n"/>
      <c r="C650" s="26" t="n"/>
      <c r="E650">
        <f>IF(A650="","",IF(C650="","FALTA TC","OK"))</f>
        <v/>
      </c>
    </row>
    <row r="651">
      <c r="A651" s="25" t="n"/>
      <c r="B651" s="26" t="n"/>
      <c r="C651" s="26" t="n"/>
      <c r="E651">
        <f>IF(A651="","",IF(C651="","FALTA TC","OK"))</f>
        <v/>
      </c>
    </row>
    <row r="652">
      <c r="A652" s="25" t="n"/>
      <c r="B652" s="26" t="n"/>
      <c r="C652" s="26" t="n"/>
      <c r="E652">
        <f>IF(A652="","",IF(C652="","FALTA TC","OK"))</f>
        <v/>
      </c>
    </row>
    <row r="653">
      <c r="A653" s="25" t="n"/>
      <c r="B653" s="26" t="n"/>
      <c r="C653" s="26" t="n"/>
      <c r="E653">
        <f>IF(A653="","",IF(C653="","FALTA TC","OK"))</f>
        <v/>
      </c>
    </row>
    <row r="654">
      <c r="A654" s="25" t="n"/>
      <c r="B654" s="26" t="n"/>
      <c r="C654" s="26" t="n"/>
      <c r="E654">
        <f>IF(A654="","",IF(C654="","FALTA TC","OK"))</f>
        <v/>
      </c>
    </row>
    <row r="655">
      <c r="A655" s="25" t="n"/>
      <c r="B655" s="26" t="n"/>
      <c r="C655" s="26" t="n"/>
      <c r="E655">
        <f>IF(A655="","",IF(C655="","FALTA TC","OK"))</f>
        <v/>
      </c>
    </row>
    <row r="656">
      <c r="A656" s="25" t="n"/>
      <c r="B656" s="26" t="n"/>
      <c r="C656" s="26" t="n"/>
      <c r="E656">
        <f>IF(A656="","",IF(C656="","FALTA TC","OK"))</f>
        <v/>
      </c>
    </row>
    <row r="657">
      <c r="A657" s="25" t="n"/>
      <c r="B657" s="26" t="n"/>
      <c r="C657" s="26" t="n"/>
      <c r="E657">
        <f>IF(A657="","",IF(C657="","FALTA TC","OK"))</f>
        <v/>
      </c>
    </row>
    <row r="658">
      <c r="A658" s="25" t="n"/>
      <c r="B658" s="26" t="n"/>
      <c r="C658" s="26" t="n"/>
      <c r="E658">
        <f>IF(A658="","",IF(C658="","FALTA TC","OK"))</f>
        <v/>
      </c>
    </row>
    <row r="659">
      <c r="A659" s="25" t="n"/>
      <c r="B659" s="26" t="n"/>
      <c r="C659" s="26" t="n"/>
      <c r="E659">
        <f>IF(A659="","",IF(C659="","FALTA TC","OK"))</f>
        <v/>
      </c>
    </row>
    <row r="660">
      <c r="A660" s="25" t="n"/>
      <c r="B660" s="26" t="n"/>
      <c r="C660" s="26" t="n"/>
      <c r="E660">
        <f>IF(A660="","",IF(C660="","FALTA TC","OK"))</f>
        <v/>
      </c>
    </row>
    <row r="661">
      <c r="A661" s="25" t="n"/>
      <c r="B661" s="26" t="n"/>
      <c r="C661" s="26" t="n"/>
      <c r="E661">
        <f>IF(A661="","",IF(C661="","FALTA TC","OK"))</f>
        <v/>
      </c>
    </row>
    <row r="662">
      <c r="A662" s="25" t="n"/>
      <c r="B662" s="26" t="n"/>
      <c r="C662" s="26" t="n"/>
      <c r="E662">
        <f>IF(A662="","",IF(C662="","FALTA TC","OK"))</f>
        <v/>
      </c>
    </row>
    <row r="663">
      <c r="A663" s="25" t="n"/>
      <c r="B663" s="26" t="n"/>
      <c r="C663" s="26" t="n"/>
      <c r="E663">
        <f>IF(A663="","",IF(C663="","FALTA TC","OK"))</f>
        <v/>
      </c>
    </row>
    <row r="664">
      <c r="A664" s="25" t="n"/>
      <c r="B664" s="26" t="n"/>
      <c r="C664" s="26" t="n"/>
      <c r="E664">
        <f>IF(A664="","",IF(C664="","FALTA TC","OK"))</f>
        <v/>
      </c>
    </row>
    <row r="665">
      <c r="A665" s="25" t="n"/>
      <c r="B665" s="26" t="n"/>
      <c r="C665" s="26" t="n"/>
      <c r="E665">
        <f>IF(A665="","",IF(C665="","FALTA TC","OK"))</f>
        <v/>
      </c>
    </row>
    <row r="666">
      <c r="A666" s="25" t="n"/>
      <c r="B666" s="26" t="n"/>
      <c r="C666" s="26" t="n"/>
      <c r="E666">
        <f>IF(A666="","",IF(C666="","FALTA TC","OK"))</f>
        <v/>
      </c>
    </row>
    <row r="667">
      <c r="A667" s="25" t="n"/>
      <c r="B667" s="26" t="n"/>
      <c r="C667" s="26" t="n"/>
      <c r="E667">
        <f>IF(A667="","",IF(C667="","FALTA TC","OK"))</f>
        <v/>
      </c>
    </row>
    <row r="668">
      <c r="A668" s="25" t="n"/>
      <c r="B668" s="26" t="n"/>
      <c r="C668" s="26" t="n"/>
      <c r="E668">
        <f>IF(A668="","",IF(C668="","FALTA TC","OK"))</f>
        <v/>
      </c>
    </row>
    <row r="669">
      <c r="A669" s="25" t="n"/>
      <c r="B669" s="26" t="n"/>
      <c r="C669" s="26" t="n"/>
      <c r="E669">
        <f>IF(A669="","",IF(C669="","FALTA TC","OK"))</f>
        <v/>
      </c>
    </row>
    <row r="670">
      <c r="A670" s="25" t="n"/>
      <c r="B670" s="26" t="n"/>
      <c r="C670" s="26" t="n"/>
      <c r="E670">
        <f>IF(A670="","",IF(C670="","FALTA TC","OK"))</f>
        <v/>
      </c>
    </row>
    <row r="671">
      <c r="A671" s="25" t="n"/>
      <c r="B671" s="26" t="n"/>
      <c r="C671" s="26" t="n"/>
      <c r="E671">
        <f>IF(A671="","",IF(C671="","FALTA TC","OK"))</f>
        <v/>
      </c>
    </row>
    <row r="672">
      <c r="A672" s="25" t="n"/>
      <c r="B672" s="26" t="n"/>
      <c r="C672" s="26" t="n"/>
      <c r="E672">
        <f>IF(A672="","",IF(C672="","FALTA TC","OK"))</f>
        <v/>
      </c>
    </row>
    <row r="673">
      <c r="A673" s="25" t="n"/>
      <c r="B673" s="26" t="n"/>
      <c r="C673" s="26" t="n"/>
      <c r="E673">
        <f>IF(A673="","",IF(C673="","FALTA TC","OK"))</f>
        <v/>
      </c>
    </row>
    <row r="674">
      <c r="A674" s="25" t="n"/>
      <c r="B674" s="26" t="n"/>
      <c r="C674" s="26" t="n"/>
      <c r="E674">
        <f>IF(A674="","",IF(C674="","FALTA TC","OK"))</f>
        <v/>
      </c>
    </row>
    <row r="675">
      <c r="A675" s="25" t="n"/>
      <c r="B675" s="26" t="n"/>
      <c r="C675" s="26" t="n"/>
      <c r="E675">
        <f>IF(A675="","",IF(C675="","FALTA TC","OK"))</f>
        <v/>
      </c>
    </row>
    <row r="676">
      <c r="A676" s="25" t="n"/>
      <c r="B676" s="26" t="n"/>
      <c r="C676" s="26" t="n"/>
      <c r="E676">
        <f>IF(A676="","",IF(C676="","FALTA TC","OK"))</f>
        <v/>
      </c>
    </row>
    <row r="677">
      <c r="A677" s="25" t="n"/>
      <c r="B677" s="26" t="n"/>
      <c r="C677" s="26" t="n"/>
      <c r="E677">
        <f>IF(A677="","",IF(C677="","FALTA TC","OK"))</f>
        <v/>
      </c>
    </row>
    <row r="678">
      <c r="A678" s="25" t="n"/>
      <c r="B678" s="26" t="n"/>
      <c r="C678" s="26" t="n"/>
      <c r="E678">
        <f>IF(A678="","",IF(C678="","FALTA TC","OK"))</f>
        <v/>
      </c>
    </row>
    <row r="679">
      <c r="A679" s="25" t="n"/>
      <c r="B679" s="26" t="n"/>
      <c r="C679" s="26" t="n"/>
      <c r="E679">
        <f>IF(A679="","",IF(C679="","FALTA TC","OK"))</f>
        <v/>
      </c>
    </row>
    <row r="680">
      <c r="A680" s="25" t="n"/>
      <c r="B680" s="26" t="n"/>
      <c r="C680" s="26" t="n"/>
      <c r="E680">
        <f>IF(A680="","",IF(C680="","FALTA TC","OK"))</f>
        <v/>
      </c>
    </row>
    <row r="681">
      <c r="A681" s="25" t="n"/>
      <c r="B681" s="26" t="n"/>
      <c r="C681" s="26" t="n"/>
      <c r="E681">
        <f>IF(A681="","",IF(C681="","FALTA TC","OK"))</f>
        <v/>
      </c>
    </row>
    <row r="682">
      <c r="A682" s="25" t="n"/>
      <c r="B682" s="26" t="n"/>
      <c r="C682" s="26" t="n"/>
      <c r="E682">
        <f>IF(A682="","",IF(C682="","FALTA TC","OK"))</f>
        <v/>
      </c>
    </row>
    <row r="683">
      <c r="A683" s="25" t="n"/>
      <c r="B683" s="26" t="n"/>
      <c r="C683" s="26" t="n"/>
      <c r="E683">
        <f>IF(A683="","",IF(C683="","FALTA TC","OK"))</f>
        <v/>
      </c>
    </row>
    <row r="684">
      <c r="A684" s="25" t="n"/>
      <c r="B684" s="26" t="n"/>
      <c r="C684" s="26" t="n"/>
      <c r="E684">
        <f>IF(A684="","",IF(C684="","FALTA TC","OK"))</f>
        <v/>
      </c>
    </row>
    <row r="685">
      <c r="A685" s="25" t="n"/>
      <c r="B685" s="26" t="n"/>
      <c r="C685" s="26" t="n"/>
      <c r="E685">
        <f>IF(A685="","",IF(C685="","FALTA TC","OK"))</f>
        <v/>
      </c>
    </row>
    <row r="686">
      <c r="A686" s="25" t="n"/>
      <c r="B686" s="26" t="n"/>
      <c r="C686" s="26" t="n"/>
      <c r="E686">
        <f>IF(A686="","",IF(C686="","FALTA TC","OK"))</f>
        <v/>
      </c>
    </row>
    <row r="687">
      <c r="A687" s="25" t="n"/>
      <c r="B687" s="26" t="n"/>
      <c r="C687" s="26" t="n"/>
      <c r="E687">
        <f>IF(A687="","",IF(C687="","FALTA TC","OK"))</f>
        <v/>
      </c>
    </row>
    <row r="688">
      <c r="A688" s="25" t="n"/>
      <c r="B688" s="26" t="n"/>
      <c r="C688" s="26" t="n"/>
      <c r="E688">
        <f>IF(A688="","",IF(C688="","FALTA TC","OK"))</f>
        <v/>
      </c>
    </row>
    <row r="689">
      <c r="A689" s="25" t="n"/>
      <c r="B689" s="26" t="n"/>
      <c r="C689" s="26" t="n"/>
      <c r="E689">
        <f>IF(A689="","",IF(C689="","FALTA TC","OK"))</f>
        <v/>
      </c>
    </row>
    <row r="690">
      <c r="A690" s="25" t="n"/>
      <c r="B690" s="26" t="n"/>
      <c r="C690" s="26" t="n"/>
      <c r="E690">
        <f>IF(A690="","",IF(C690="","FALTA TC","OK"))</f>
        <v/>
      </c>
    </row>
    <row r="691">
      <c r="A691" s="25" t="n"/>
      <c r="B691" s="26" t="n"/>
      <c r="C691" s="26" t="n"/>
      <c r="E691">
        <f>IF(A691="","",IF(C691="","FALTA TC","OK"))</f>
        <v/>
      </c>
    </row>
    <row r="692">
      <c r="A692" s="25" t="n"/>
      <c r="B692" s="26" t="n"/>
      <c r="C692" s="26" t="n"/>
      <c r="E692">
        <f>IF(A692="","",IF(C692="","FALTA TC","OK"))</f>
        <v/>
      </c>
    </row>
    <row r="693">
      <c r="A693" s="25" t="n"/>
      <c r="B693" s="26" t="n"/>
      <c r="C693" s="26" t="n"/>
      <c r="E693">
        <f>IF(A693="","",IF(C693="","FALTA TC","OK"))</f>
        <v/>
      </c>
    </row>
    <row r="694">
      <c r="A694" s="25" t="n"/>
      <c r="B694" s="26" t="n"/>
      <c r="C694" s="26" t="n"/>
      <c r="E694">
        <f>IF(A694="","",IF(C694="","FALTA TC","OK"))</f>
        <v/>
      </c>
    </row>
    <row r="695">
      <c r="A695" s="25" t="n"/>
      <c r="B695" s="26" t="n"/>
      <c r="C695" s="26" t="n"/>
      <c r="E695">
        <f>IF(A695="","",IF(C695="","FALTA TC","OK"))</f>
        <v/>
      </c>
    </row>
    <row r="696">
      <c r="A696" s="25" t="n"/>
      <c r="B696" s="26" t="n"/>
      <c r="C696" s="26" t="n"/>
      <c r="E696">
        <f>IF(A696="","",IF(C696="","FALTA TC","OK"))</f>
        <v/>
      </c>
    </row>
    <row r="697">
      <c r="A697" s="25" t="n"/>
      <c r="B697" s="26" t="n"/>
      <c r="C697" s="26" t="n"/>
      <c r="E697">
        <f>IF(A697="","",IF(C697="","FALTA TC","OK"))</f>
        <v/>
      </c>
    </row>
    <row r="698">
      <c r="A698" s="25" t="n"/>
      <c r="B698" s="26" t="n"/>
      <c r="C698" s="26" t="n"/>
      <c r="E698">
        <f>IF(A698="","",IF(C698="","FALTA TC","OK"))</f>
        <v/>
      </c>
    </row>
    <row r="699">
      <c r="A699" s="25" t="n"/>
      <c r="B699" s="26" t="n"/>
      <c r="C699" s="26" t="n"/>
      <c r="E699">
        <f>IF(A699="","",IF(C699="","FALTA TC","OK"))</f>
        <v/>
      </c>
    </row>
    <row r="700">
      <c r="A700" s="25" t="n"/>
      <c r="B700" s="26" t="n"/>
      <c r="C700" s="26" t="n"/>
      <c r="E700">
        <f>IF(A700="","",IF(C700="","FALTA TC","OK"))</f>
        <v/>
      </c>
    </row>
    <row r="701">
      <c r="A701" s="25" t="n"/>
      <c r="B701" s="26" t="n"/>
      <c r="C701" s="26" t="n"/>
      <c r="E701">
        <f>IF(A701="","",IF(C701="","FALTA TC","OK"))</f>
        <v/>
      </c>
    </row>
    <row r="702">
      <c r="A702" s="25" t="n"/>
      <c r="B702" s="26" t="n"/>
      <c r="C702" s="26" t="n"/>
      <c r="E702">
        <f>IF(A702="","",IF(C702="","FALTA TC","OK"))</f>
        <v/>
      </c>
    </row>
    <row r="703">
      <c r="A703" s="25" t="n"/>
      <c r="B703" s="26" t="n"/>
      <c r="C703" s="26" t="n"/>
      <c r="E703">
        <f>IF(A703="","",IF(C703="","FALTA TC","OK"))</f>
        <v/>
      </c>
    </row>
    <row r="704">
      <c r="A704" s="25" t="n"/>
      <c r="B704" s="26" t="n"/>
      <c r="C704" s="26" t="n"/>
      <c r="E704">
        <f>IF(A704="","",IF(C704="","FALTA TC","OK"))</f>
        <v/>
      </c>
    </row>
    <row r="705">
      <c r="A705" s="25" t="n"/>
      <c r="B705" s="26" t="n"/>
      <c r="C705" s="26" t="n"/>
      <c r="E705">
        <f>IF(A705="","",IF(C705="","FALTA TC","OK"))</f>
        <v/>
      </c>
    </row>
    <row r="706">
      <c r="A706" s="25" t="n"/>
      <c r="B706" s="26" t="n"/>
      <c r="C706" s="26" t="n"/>
      <c r="E706">
        <f>IF(A706="","",IF(C706="","FALTA TC","OK"))</f>
        <v/>
      </c>
    </row>
    <row r="707">
      <c r="A707" s="25" t="n"/>
      <c r="B707" s="26" t="n"/>
      <c r="C707" s="26" t="n"/>
      <c r="E707">
        <f>IF(A707="","",IF(C707="","FALTA TC","OK"))</f>
        <v/>
      </c>
    </row>
    <row r="708">
      <c r="A708" s="25" t="n"/>
      <c r="B708" s="26" t="n"/>
      <c r="C708" s="26" t="n"/>
      <c r="E708">
        <f>IF(A708="","",IF(C708="","FALTA TC","OK"))</f>
        <v/>
      </c>
    </row>
    <row r="709">
      <c r="A709" s="25" t="n"/>
      <c r="B709" s="26" t="n"/>
      <c r="C709" s="26" t="n"/>
      <c r="E709">
        <f>IF(A709="","",IF(C709="","FALTA TC","OK"))</f>
        <v/>
      </c>
    </row>
    <row r="710">
      <c r="A710" s="25" t="n"/>
      <c r="B710" s="26" t="n"/>
      <c r="C710" s="26" t="n"/>
      <c r="E710">
        <f>IF(A710="","",IF(C710="","FALTA TC","OK"))</f>
        <v/>
      </c>
    </row>
    <row r="711">
      <c r="A711" s="25" t="n"/>
      <c r="B711" s="26" t="n"/>
      <c r="C711" s="26" t="n"/>
      <c r="E711">
        <f>IF(A711="","",IF(C711="","FALTA TC","OK"))</f>
        <v/>
      </c>
    </row>
    <row r="712">
      <c r="A712" s="25" t="n"/>
      <c r="B712" s="26" t="n"/>
      <c r="C712" s="26" t="n"/>
      <c r="E712">
        <f>IF(A712="","",IF(C712="","FALTA TC","OK"))</f>
        <v/>
      </c>
    </row>
    <row r="713">
      <c r="A713" s="25" t="n"/>
      <c r="B713" s="26" t="n"/>
      <c r="C713" s="26" t="n"/>
      <c r="E713">
        <f>IF(A713="","",IF(C713="","FALTA TC","OK"))</f>
        <v/>
      </c>
    </row>
    <row r="714">
      <c r="A714" s="25" t="n"/>
      <c r="B714" s="26" t="n"/>
      <c r="C714" s="26" t="n"/>
      <c r="E714">
        <f>IF(A714="","",IF(C714="","FALTA TC","OK"))</f>
        <v/>
      </c>
    </row>
    <row r="715">
      <c r="A715" s="25" t="n"/>
      <c r="B715" s="26" t="n"/>
      <c r="C715" s="26" t="n"/>
      <c r="E715">
        <f>IF(A715="","",IF(C715="","FALTA TC","OK"))</f>
        <v/>
      </c>
    </row>
    <row r="716">
      <c r="A716" s="25" t="n"/>
      <c r="B716" s="26" t="n"/>
      <c r="C716" s="26" t="n"/>
      <c r="E716">
        <f>IF(A716="","",IF(C716="","FALTA TC","OK"))</f>
        <v/>
      </c>
    </row>
    <row r="717">
      <c r="A717" s="25" t="n"/>
      <c r="B717" s="26" t="n"/>
      <c r="C717" s="26" t="n"/>
      <c r="E717">
        <f>IF(A717="","",IF(C717="","FALTA TC","OK"))</f>
        <v/>
      </c>
    </row>
    <row r="718">
      <c r="A718" s="25" t="n"/>
      <c r="B718" s="26" t="n"/>
      <c r="C718" s="26" t="n"/>
      <c r="E718">
        <f>IF(A718="","",IF(C718="","FALTA TC","OK"))</f>
        <v/>
      </c>
    </row>
    <row r="719">
      <c r="A719" s="25" t="n"/>
      <c r="B719" s="26" t="n"/>
      <c r="C719" s="26" t="n"/>
      <c r="E719">
        <f>IF(A719="","",IF(C719="","FALTA TC","OK"))</f>
        <v/>
      </c>
    </row>
    <row r="720">
      <c r="A720" s="25" t="n"/>
      <c r="B720" s="26" t="n"/>
      <c r="C720" s="26" t="n"/>
      <c r="E720">
        <f>IF(A720="","",IF(C720="","FALTA TC","OK"))</f>
        <v/>
      </c>
    </row>
    <row r="721">
      <c r="A721" s="25" t="n"/>
      <c r="B721" s="26" t="n"/>
      <c r="C721" s="26" t="n"/>
      <c r="E721">
        <f>IF(A721="","",IF(C721="","FALTA TC","OK"))</f>
        <v/>
      </c>
    </row>
    <row r="722">
      <c r="A722" s="25" t="n"/>
      <c r="B722" s="26" t="n"/>
      <c r="C722" s="26" t="n"/>
      <c r="E722">
        <f>IF(A722="","",IF(C722="","FALTA TC","OK"))</f>
        <v/>
      </c>
    </row>
    <row r="723">
      <c r="A723" s="25" t="n"/>
      <c r="B723" s="26" t="n"/>
      <c r="C723" s="26" t="n"/>
      <c r="E723">
        <f>IF(A723="","",IF(C723="","FALTA TC","OK"))</f>
        <v/>
      </c>
    </row>
    <row r="724">
      <c r="A724" s="25" t="n"/>
      <c r="B724" s="26" t="n"/>
      <c r="C724" s="26" t="n"/>
      <c r="E724">
        <f>IF(A724="","",IF(C724="","FALTA TC","OK"))</f>
        <v/>
      </c>
    </row>
    <row r="725">
      <c r="A725" s="25" t="n"/>
      <c r="B725" s="26" t="n"/>
      <c r="C725" s="26" t="n"/>
      <c r="E725">
        <f>IF(A725="","",IF(C725="","FALTA TC","OK"))</f>
        <v/>
      </c>
    </row>
    <row r="726">
      <c r="A726" s="25" t="n"/>
      <c r="B726" s="26" t="n"/>
      <c r="C726" s="26" t="n"/>
      <c r="E726">
        <f>IF(A726="","",IF(C726="","FALTA TC","OK"))</f>
        <v/>
      </c>
    </row>
    <row r="727">
      <c r="A727" s="25" t="n"/>
      <c r="B727" s="26" t="n"/>
      <c r="C727" s="26" t="n"/>
      <c r="E727">
        <f>IF(A727="","",IF(C727="","FALTA TC","OK"))</f>
        <v/>
      </c>
    </row>
    <row r="728">
      <c r="A728" s="25" t="n"/>
      <c r="B728" s="26" t="n"/>
      <c r="C728" s="26" t="n"/>
      <c r="E728">
        <f>IF(A728="","",IF(C728="","FALTA TC","OK"))</f>
        <v/>
      </c>
    </row>
    <row r="729">
      <c r="A729" s="25" t="n"/>
      <c r="B729" s="26" t="n"/>
      <c r="C729" s="26" t="n"/>
      <c r="E729">
        <f>IF(A729="","",IF(C729="","FALTA TC","OK"))</f>
        <v/>
      </c>
    </row>
    <row r="730">
      <c r="A730" s="25" t="n"/>
      <c r="B730" s="26" t="n"/>
      <c r="C730" s="26" t="n"/>
      <c r="E730">
        <f>IF(A730="","",IF(C730="","FALTA TC","OK"))</f>
        <v/>
      </c>
    </row>
    <row r="731">
      <c r="A731" s="25" t="n"/>
      <c r="B731" s="26" t="n"/>
      <c r="C731" s="26" t="n"/>
      <c r="E731">
        <f>IF(A731="","",IF(C731="","FALTA TC","OK"))</f>
        <v/>
      </c>
    </row>
    <row r="732">
      <c r="A732" s="25" t="n"/>
      <c r="B732" s="26" t="n"/>
      <c r="C732" s="26" t="n"/>
      <c r="E732">
        <f>IF(A732="","",IF(C732="","FALTA TC","OK"))</f>
        <v/>
      </c>
    </row>
    <row r="733">
      <c r="A733" s="25" t="n"/>
      <c r="B733" s="26" t="n"/>
      <c r="C733" s="26" t="n"/>
      <c r="E733">
        <f>IF(A733="","",IF(C733="","FALTA TC","OK"))</f>
        <v/>
      </c>
    </row>
    <row r="734">
      <c r="A734" s="25" t="n"/>
      <c r="B734" s="26" t="n"/>
      <c r="C734" s="26" t="n"/>
      <c r="E734">
        <f>IF(A734="","",IF(C734="","FALTA TC","OK"))</f>
        <v/>
      </c>
    </row>
    <row r="735">
      <c r="A735" s="25" t="n"/>
      <c r="B735" s="26" t="n"/>
      <c r="C735" s="26" t="n"/>
      <c r="E735">
        <f>IF(A735="","",IF(C735="","FALTA TC","OK"))</f>
        <v/>
      </c>
    </row>
    <row r="736">
      <c r="A736" s="25" t="n"/>
      <c r="B736" s="26" t="n"/>
      <c r="C736" s="26" t="n"/>
      <c r="E736">
        <f>IF(A736="","",IF(C736="","FALTA TC","OK"))</f>
        <v/>
      </c>
    </row>
    <row r="737">
      <c r="A737" s="25" t="n"/>
      <c r="B737" s="26" t="n"/>
      <c r="C737" s="26" t="n"/>
      <c r="E737">
        <f>IF(A737="","",IF(C737="","FALTA TC","OK"))</f>
        <v/>
      </c>
    </row>
    <row r="738">
      <c r="A738" s="25" t="n"/>
      <c r="B738" s="26" t="n"/>
      <c r="C738" s="26" t="n"/>
      <c r="E738">
        <f>IF(A738="","",IF(C738="","FALTA TC","OK"))</f>
        <v/>
      </c>
    </row>
    <row r="739">
      <c r="A739" s="25" t="n"/>
      <c r="B739" s="26" t="n"/>
      <c r="C739" s="26" t="n"/>
      <c r="E739">
        <f>IF(A739="","",IF(C739="","FALTA TC","OK"))</f>
        <v/>
      </c>
    </row>
    <row r="740">
      <c r="A740" s="25" t="n"/>
      <c r="B740" s="26" t="n"/>
      <c r="C740" s="26" t="n"/>
      <c r="E740">
        <f>IF(A740="","",IF(C740="","FALTA TC","OK"))</f>
        <v/>
      </c>
    </row>
    <row r="741">
      <c r="A741" s="25" t="n"/>
      <c r="B741" s="26" t="n"/>
      <c r="C741" s="26" t="n"/>
      <c r="E741">
        <f>IF(A741="","",IF(C741="","FALTA TC","OK"))</f>
        <v/>
      </c>
    </row>
    <row r="742">
      <c r="A742" s="25" t="n"/>
      <c r="B742" s="26" t="n"/>
      <c r="C742" s="26" t="n"/>
      <c r="E742">
        <f>IF(A742="","",IF(C742="","FALTA TC","OK"))</f>
        <v/>
      </c>
    </row>
    <row r="743">
      <c r="A743" s="25" t="n"/>
      <c r="B743" s="26" t="n"/>
      <c r="C743" s="26" t="n"/>
      <c r="E743">
        <f>IF(A743="","",IF(C743="","FALTA TC","OK"))</f>
        <v/>
      </c>
    </row>
    <row r="744">
      <c r="A744" s="25" t="n"/>
      <c r="B744" s="26" t="n"/>
      <c r="C744" s="26" t="n"/>
      <c r="E744">
        <f>IF(A744="","",IF(C744="","FALTA TC","OK"))</f>
        <v/>
      </c>
    </row>
    <row r="745">
      <c r="A745" s="25" t="n"/>
      <c r="B745" s="26" t="n"/>
      <c r="C745" s="26" t="n"/>
      <c r="E745">
        <f>IF(A745="","",IF(C745="","FALTA TC","OK"))</f>
        <v/>
      </c>
    </row>
    <row r="746">
      <c r="A746" s="25" t="n"/>
      <c r="B746" s="26" t="n"/>
      <c r="C746" s="26" t="n"/>
      <c r="E746">
        <f>IF(A746="","",IF(C746="","FALTA TC","OK"))</f>
        <v/>
      </c>
    </row>
    <row r="747">
      <c r="A747" s="25" t="n"/>
      <c r="B747" s="26" t="n"/>
      <c r="C747" s="26" t="n"/>
      <c r="E747">
        <f>IF(A747="","",IF(C747="","FALTA TC","OK"))</f>
        <v/>
      </c>
    </row>
    <row r="748">
      <c r="A748" s="25" t="n"/>
      <c r="B748" s="26" t="n"/>
      <c r="C748" s="26" t="n"/>
      <c r="E748">
        <f>IF(A748="","",IF(C748="","FALTA TC","OK"))</f>
        <v/>
      </c>
    </row>
    <row r="749">
      <c r="A749" s="25" t="n"/>
      <c r="B749" s="26" t="n"/>
      <c r="C749" s="26" t="n"/>
      <c r="E749">
        <f>IF(A749="","",IF(C749="","FALTA TC","OK"))</f>
        <v/>
      </c>
    </row>
    <row r="750">
      <c r="A750" s="25" t="n"/>
      <c r="B750" s="26" t="n"/>
      <c r="C750" s="26" t="n"/>
      <c r="E750">
        <f>IF(A750="","",IF(C750="","FALTA TC","OK"))</f>
        <v/>
      </c>
    </row>
    <row r="751">
      <c r="A751" s="25" t="n"/>
      <c r="B751" s="26" t="n"/>
      <c r="C751" s="26" t="n"/>
      <c r="E751">
        <f>IF(A751="","",IF(C751="","FALTA TC","OK"))</f>
        <v/>
      </c>
    </row>
    <row r="752">
      <c r="A752" s="25" t="n"/>
      <c r="B752" s="26" t="n"/>
      <c r="C752" s="26" t="n"/>
      <c r="E752">
        <f>IF(A752="","",IF(C752="","FALTA TC","OK"))</f>
        <v/>
      </c>
    </row>
    <row r="753">
      <c r="A753" s="25" t="n"/>
      <c r="B753" s="26" t="n"/>
      <c r="C753" s="26" t="n"/>
      <c r="E753">
        <f>IF(A753="","",IF(C753="","FALTA TC","OK"))</f>
        <v/>
      </c>
    </row>
    <row r="754">
      <c r="A754" s="25" t="n"/>
      <c r="B754" s="26" t="n"/>
      <c r="C754" s="26" t="n"/>
      <c r="E754">
        <f>IF(A754="","",IF(C754="","FALTA TC","OK"))</f>
        <v/>
      </c>
    </row>
    <row r="755">
      <c r="A755" s="25" t="n"/>
      <c r="B755" s="26" t="n"/>
      <c r="C755" s="26" t="n"/>
      <c r="E755">
        <f>IF(A755="","",IF(C755="","FALTA TC","OK"))</f>
        <v/>
      </c>
    </row>
    <row r="756">
      <c r="A756" s="25" t="n"/>
      <c r="B756" s="26" t="n"/>
      <c r="C756" s="26" t="n"/>
      <c r="E756">
        <f>IF(A756="","",IF(C756="","FALTA TC","OK"))</f>
        <v/>
      </c>
    </row>
    <row r="757">
      <c r="A757" s="25" t="n"/>
      <c r="B757" s="26" t="n"/>
      <c r="C757" s="26" t="n"/>
      <c r="E757">
        <f>IF(A757="","",IF(C757="","FALTA TC","OK"))</f>
        <v/>
      </c>
    </row>
    <row r="758">
      <c r="A758" s="25" t="n"/>
      <c r="B758" s="26" t="n"/>
      <c r="C758" s="26" t="n"/>
      <c r="E758">
        <f>IF(A758="","",IF(C758="","FALTA TC","OK"))</f>
        <v/>
      </c>
    </row>
    <row r="759">
      <c r="A759" s="25" t="n"/>
      <c r="B759" s="26" t="n"/>
      <c r="C759" s="26" t="n"/>
      <c r="E759">
        <f>IF(A759="","",IF(C759="","FALTA TC","OK"))</f>
        <v/>
      </c>
    </row>
    <row r="760">
      <c r="A760" s="25" t="n"/>
      <c r="B760" s="26" t="n"/>
      <c r="C760" s="26" t="n"/>
      <c r="E760">
        <f>IF(A760="","",IF(C760="","FALTA TC","OK"))</f>
        <v/>
      </c>
    </row>
    <row r="761">
      <c r="A761" s="25" t="n"/>
      <c r="B761" s="26" t="n"/>
      <c r="C761" s="26" t="n"/>
      <c r="E761">
        <f>IF(A761="","",IF(C761="","FALTA TC","OK"))</f>
        <v/>
      </c>
    </row>
    <row r="762">
      <c r="A762" s="25" t="n"/>
      <c r="B762" s="26" t="n"/>
      <c r="C762" s="26" t="n"/>
      <c r="E762">
        <f>IF(A762="","",IF(C762="","FALTA TC","OK"))</f>
        <v/>
      </c>
    </row>
    <row r="763">
      <c r="A763" s="25" t="n"/>
      <c r="B763" s="26" t="n"/>
      <c r="C763" s="26" t="n"/>
      <c r="E763">
        <f>IF(A763="","",IF(C763="","FALTA TC","OK"))</f>
        <v/>
      </c>
    </row>
    <row r="764">
      <c r="A764" s="25" t="n"/>
      <c r="B764" s="26" t="n"/>
      <c r="C764" s="26" t="n"/>
      <c r="E764">
        <f>IF(A764="","",IF(C764="","FALTA TC","OK"))</f>
        <v/>
      </c>
    </row>
    <row r="765">
      <c r="A765" s="25" t="n"/>
      <c r="B765" s="26" t="n"/>
      <c r="C765" s="26" t="n"/>
      <c r="E765">
        <f>IF(A765="","",IF(C765="","FALTA TC","OK"))</f>
        <v/>
      </c>
    </row>
    <row r="766">
      <c r="A766" s="25" t="n"/>
      <c r="B766" s="26" t="n"/>
      <c r="C766" s="26" t="n"/>
      <c r="E766">
        <f>IF(A766="","",IF(C766="","FALTA TC","OK"))</f>
        <v/>
      </c>
    </row>
    <row r="767">
      <c r="A767" s="25" t="n"/>
      <c r="B767" s="26" t="n"/>
      <c r="C767" s="26" t="n"/>
      <c r="E767">
        <f>IF(A767="","",IF(C767="","FALTA TC","OK"))</f>
        <v/>
      </c>
    </row>
    <row r="768">
      <c r="A768" s="25" t="n"/>
      <c r="B768" s="26" t="n"/>
      <c r="C768" s="26" t="n"/>
      <c r="E768">
        <f>IF(A768="","",IF(C768="","FALTA TC","OK"))</f>
        <v/>
      </c>
    </row>
    <row r="769">
      <c r="A769" s="25" t="n"/>
      <c r="B769" s="26" t="n"/>
      <c r="C769" s="26" t="n"/>
      <c r="E769">
        <f>IF(A769="","",IF(C769="","FALTA TC","OK"))</f>
        <v/>
      </c>
    </row>
    <row r="770">
      <c r="A770" s="25" t="n"/>
      <c r="B770" s="26" t="n"/>
      <c r="C770" s="26" t="n"/>
      <c r="E770">
        <f>IF(A770="","",IF(C770="","FALTA TC","OK"))</f>
        <v/>
      </c>
    </row>
    <row r="771">
      <c r="A771" s="25" t="n"/>
      <c r="B771" s="26" t="n"/>
      <c r="C771" s="26" t="n"/>
      <c r="E771">
        <f>IF(A771="","",IF(C771="","FALTA TC","OK"))</f>
        <v/>
      </c>
    </row>
    <row r="772">
      <c r="A772" s="25" t="n"/>
      <c r="B772" s="26" t="n"/>
      <c r="C772" s="26" t="n"/>
      <c r="E772">
        <f>IF(A772="","",IF(C772="","FALTA TC","OK"))</f>
        <v/>
      </c>
    </row>
    <row r="773">
      <c r="A773" s="25" t="n"/>
      <c r="B773" s="26" t="n"/>
      <c r="C773" s="26" t="n"/>
      <c r="E773">
        <f>IF(A773="","",IF(C773="","FALTA TC","OK"))</f>
        <v/>
      </c>
    </row>
    <row r="774">
      <c r="A774" s="25" t="n"/>
      <c r="B774" s="26" t="n"/>
      <c r="C774" s="26" t="n"/>
      <c r="E774">
        <f>IF(A774="","",IF(C774="","FALTA TC","OK"))</f>
        <v/>
      </c>
    </row>
    <row r="775">
      <c r="A775" s="25" t="n"/>
      <c r="B775" s="26" t="n"/>
      <c r="C775" s="26" t="n"/>
      <c r="E775">
        <f>IF(A775="","",IF(C775="","FALTA TC","OK"))</f>
        <v/>
      </c>
    </row>
    <row r="776">
      <c r="A776" s="25" t="n"/>
      <c r="B776" s="26" t="n"/>
      <c r="C776" s="26" t="n"/>
      <c r="E776">
        <f>IF(A776="","",IF(C776="","FALTA TC","OK"))</f>
        <v/>
      </c>
    </row>
    <row r="777">
      <c r="A777" s="25" t="n"/>
      <c r="B777" s="26" t="n"/>
      <c r="C777" s="26" t="n"/>
      <c r="E777">
        <f>IF(A777="","",IF(C777="","FALTA TC","OK"))</f>
        <v/>
      </c>
    </row>
    <row r="778">
      <c r="A778" s="25" t="n"/>
      <c r="B778" s="26" t="n"/>
      <c r="C778" s="26" t="n"/>
      <c r="E778">
        <f>IF(A778="","",IF(C778="","FALTA TC","OK"))</f>
        <v/>
      </c>
    </row>
    <row r="779">
      <c r="A779" s="25" t="n"/>
      <c r="B779" s="26" t="n"/>
      <c r="C779" s="26" t="n"/>
      <c r="E779">
        <f>IF(A779="","",IF(C779="","FALTA TC","OK"))</f>
        <v/>
      </c>
    </row>
    <row r="780">
      <c r="A780" s="25" t="n"/>
      <c r="B780" s="26" t="n"/>
      <c r="C780" s="26" t="n"/>
      <c r="E780">
        <f>IF(A780="","",IF(C780="","FALTA TC","OK"))</f>
        <v/>
      </c>
    </row>
    <row r="781">
      <c r="A781" s="25" t="n"/>
      <c r="B781" s="26" t="n"/>
      <c r="C781" s="26" t="n"/>
      <c r="E781">
        <f>IF(A781="","",IF(C781="","FALTA TC","OK"))</f>
        <v/>
      </c>
    </row>
    <row r="782">
      <c r="A782" s="25" t="n"/>
      <c r="B782" s="26" t="n"/>
      <c r="C782" s="26" t="n"/>
      <c r="E782">
        <f>IF(A782="","",IF(C782="","FALTA TC","OK"))</f>
        <v/>
      </c>
    </row>
    <row r="783">
      <c r="A783" s="25" t="n"/>
      <c r="B783" s="26" t="n"/>
      <c r="C783" s="26" t="n"/>
      <c r="E783">
        <f>IF(A783="","",IF(C783="","FALTA TC","OK"))</f>
        <v/>
      </c>
    </row>
    <row r="784">
      <c r="A784" s="25" t="n"/>
      <c r="B784" s="26" t="n"/>
      <c r="C784" s="26" t="n"/>
      <c r="E784">
        <f>IF(A784="","",IF(C784="","FALTA TC","OK"))</f>
        <v/>
      </c>
    </row>
    <row r="785">
      <c r="A785" s="25" t="n"/>
      <c r="B785" s="26" t="n"/>
      <c r="C785" s="26" t="n"/>
      <c r="E785">
        <f>IF(A785="","",IF(C785="","FALTA TC","OK"))</f>
        <v/>
      </c>
    </row>
    <row r="786">
      <c r="A786" s="25" t="n"/>
      <c r="B786" s="26" t="n"/>
      <c r="C786" s="26" t="n"/>
      <c r="E786">
        <f>IF(A786="","",IF(C786="","FALTA TC","OK"))</f>
        <v/>
      </c>
    </row>
    <row r="787">
      <c r="A787" s="25" t="n"/>
      <c r="B787" s="26" t="n"/>
      <c r="C787" s="26" t="n"/>
      <c r="E787">
        <f>IF(A787="","",IF(C787="","FALTA TC","OK"))</f>
        <v/>
      </c>
    </row>
    <row r="788">
      <c r="A788" s="25" t="n"/>
      <c r="B788" s="26" t="n"/>
      <c r="C788" s="26" t="n"/>
      <c r="E788">
        <f>IF(A788="","",IF(C788="","FALTA TC","OK"))</f>
        <v/>
      </c>
    </row>
    <row r="789">
      <c r="A789" s="25" t="n"/>
      <c r="B789" s="26" t="n"/>
      <c r="C789" s="26" t="n"/>
      <c r="E789">
        <f>IF(A789="","",IF(C789="","FALTA TC","OK"))</f>
        <v/>
      </c>
    </row>
    <row r="790">
      <c r="A790" s="25" t="n"/>
      <c r="B790" s="26" t="n"/>
      <c r="C790" s="26" t="n"/>
      <c r="E790">
        <f>IF(A790="","",IF(C790="","FALTA TC","OK"))</f>
        <v/>
      </c>
    </row>
    <row r="791">
      <c r="A791" s="25" t="n"/>
      <c r="B791" s="26" t="n"/>
      <c r="C791" s="26" t="n"/>
      <c r="E791">
        <f>IF(A791="","",IF(C791="","FALTA TC","OK"))</f>
        <v/>
      </c>
    </row>
    <row r="792">
      <c r="A792" s="25" t="n"/>
      <c r="B792" s="26" t="n"/>
      <c r="C792" s="26" t="n"/>
      <c r="E792">
        <f>IF(A792="","",IF(C792="","FALTA TC","OK"))</f>
        <v/>
      </c>
    </row>
    <row r="793">
      <c r="A793" s="25" t="n"/>
      <c r="B793" s="26" t="n"/>
      <c r="C793" s="26" t="n"/>
      <c r="E793">
        <f>IF(A793="","",IF(C793="","FALTA TC","OK"))</f>
        <v/>
      </c>
    </row>
    <row r="794">
      <c r="A794" s="25" t="n"/>
      <c r="B794" s="26" t="n"/>
      <c r="C794" s="26" t="n"/>
      <c r="E794">
        <f>IF(A794="","",IF(C794="","FALTA TC","OK"))</f>
        <v/>
      </c>
    </row>
    <row r="795">
      <c r="A795" s="25" t="n"/>
      <c r="B795" s="26" t="n"/>
      <c r="C795" s="26" t="n"/>
      <c r="E795">
        <f>IF(A795="","",IF(C795="","FALTA TC","OK"))</f>
        <v/>
      </c>
    </row>
    <row r="796">
      <c r="A796" s="25" t="n"/>
      <c r="B796" s="26" t="n"/>
      <c r="C796" s="26" t="n"/>
      <c r="E796">
        <f>IF(A796="","",IF(C796="","FALTA TC","OK"))</f>
        <v/>
      </c>
    </row>
    <row r="797">
      <c r="A797" s="25" t="n"/>
      <c r="B797" s="26" t="n"/>
      <c r="C797" s="26" t="n"/>
      <c r="E797">
        <f>IF(A797="","",IF(C797="","FALTA TC","OK"))</f>
        <v/>
      </c>
    </row>
    <row r="798">
      <c r="A798" s="25" t="n"/>
      <c r="B798" s="26" t="n"/>
      <c r="C798" s="26" t="n"/>
      <c r="E798">
        <f>IF(A798="","",IF(C798="","FALTA TC","OK"))</f>
        <v/>
      </c>
    </row>
    <row r="799">
      <c r="A799" s="25" t="n"/>
      <c r="B799" s="26" t="n"/>
      <c r="C799" s="26" t="n"/>
      <c r="E799">
        <f>IF(A799="","",IF(C799="","FALTA TC","OK"))</f>
        <v/>
      </c>
    </row>
    <row r="800">
      <c r="A800" s="25" t="n"/>
      <c r="B800" s="26" t="n"/>
      <c r="C800" s="26" t="n"/>
      <c r="E800">
        <f>IF(A800="","",IF(C800="","FALTA TC","OK"))</f>
        <v/>
      </c>
    </row>
    <row r="801">
      <c r="A801" s="25" t="n"/>
      <c r="B801" s="26" t="n"/>
      <c r="C801" s="26" t="n"/>
      <c r="E801">
        <f>IF(A801="","",IF(C801="","FALTA TC","OK"))</f>
        <v/>
      </c>
    </row>
    <row r="802">
      <c r="A802" s="25" t="n"/>
      <c r="B802" s="26" t="n"/>
      <c r="C802" s="26" t="n"/>
      <c r="E802">
        <f>IF(A802="","",IF(C802="","FALTA TC","OK"))</f>
        <v/>
      </c>
    </row>
    <row r="803">
      <c r="A803" s="25" t="n"/>
      <c r="B803" s="26" t="n"/>
      <c r="C803" s="26" t="n"/>
      <c r="E803">
        <f>IF(A803="","",IF(C803="","FALTA TC","OK"))</f>
        <v/>
      </c>
    </row>
    <row r="804">
      <c r="A804" s="25" t="n"/>
      <c r="B804" s="26" t="n"/>
      <c r="C804" s="26" t="n"/>
      <c r="E804">
        <f>IF(A804="","",IF(C804="","FALTA TC","OK"))</f>
        <v/>
      </c>
    </row>
    <row r="805">
      <c r="A805" s="25" t="n"/>
      <c r="B805" s="26" t="n"/>
      <c r="C805" s="26" t="n"/>
      <c r="E805">
        <f>IF(A805="","",IF(C805="","FALTA TC","OK"))</f>
        <v/>
      </c>
    </row>
    <row r="806">
      <c r="A806" s="25" t="n"/>
      <c r="B806" s="26" t="n"/>
      <c r="C806" s="26" t="n"/>
      <c r="E806">
        <f>IF(A806="","",IF(C806="","FALTA TC","OK"))</f>
        <v/>
      </c>
    </row>
    <row r="807">
      <c r="A807" s="25" t="n"/>
      <c r="B807" s="26" t="n"/>
      <c r="C807" s="26" t="n"/>
      <c r="E807">
        <f>IF(A807="","",IF(C807="","FALTA TC","OK"))</f>
        <v/>
      </c>
    </row>
    <row r="808">
      <c r="A808" s="25" t="n"/>
      <c r="B808" s="26" t="n"/>
      <c r="C808" s="26" t="n"/>
      <c r="E808">
        <f>IF(A808="","",IF(C808="","FALTA TC","OK"))</f>
        <v/>
      </c>
    </row>
    <row r="809">
      <c r="A809" s="25" t="n"/>
      <c r="B809" s="26" t="n"/>
      <c r="C809" s="26" t="n"/>
      <c r="E809">
        <f>IF(A809="","",IF(C809="","FALTA TC","OK"))</f>
        <v/>
      </c>
    </row>
    <row r="810">
      <c r="A810" s="25" t="n"/>
      <c r="B810" s="26" t="n"/>
      <c r="C810" s="26" t="n"/>
      <c r="E810">
        <f>IF(A810="","",IF(C810="","FALTA TC","OK"))</f>
        <v/>
      </c>
    </row>
    <row r="811">
      <c r="A811" s="25" t="n"/>
      <c r="B811" s="26" t="n"/>
      <c r="C811" s="26" t="n"/>
      <c r="E811">
        <f>IF(A811="","",IF(C811="","FALTA TC","OK"))</f>
        <v/>
      </c>
    </row>
    <row r="812">
      <c r="A812" s="25" t="n"/>
      <c r="B812" s="26" t="n"/>
      <c r="C812" s="26" t="n"/>
      <c r="E812">
        <f>IF(A812="","",IF(C812="","FALTA TC","OK"))</f>
        <v/>
      </c>
    </row>
    <row r="813">
      <c r="A813" s="25" t="n"/>
      <c r="B813" s="26" t="n"/>
      <c r="C813" s="26" t="n"/>
      <c r="E813">
        <f>IF(A813="","",IF(C813="","FALTA TC","OK"))</f>
        <v/>
      </c>
    </row>
    <row r="814">
      <c r="A814" s="25" t="n"/>
      <c r="B814" s="26" t="n"/>
      <c r="C814" s="26" t="n"/>
      <c r="E814">
        <f>IF(A814="","",IF(C814="","FALTA TC","OK"))</f>
        <v/>
      </c>
    </row>
    <row r="815">
      <c r="A815" s="25" t="n"/>
      <c r="B815" s="26" t="n"/>
      <c r="C815" s="26" t="n"/>
      <c r="E815">
        <f>IF(A815="","",IF(C815="","FALTA TC","OK"))</f>
        <v/>
      </c>
    </row>
    <row r="816">
      <c r="A816" s="25" t="n"/>
      <c r="B816" s="26" t="n"/>
      <c r="C816" s="26" t="n"/>
      <c r="E816">
        <f>IF(A816="","",IF(C816="","FALTA TC","OK"))</f>
        <v/>
      </c>
    </row>
    <row r="817">
      <c r="A817" s="25" t="n"/>
      <c r="B817" s="26" t="n"/>
      <c r="C817" s="26" t="n"/>
      <c r="E817">
        <f>IF(A817="","",IF(C817="","FALTA TC","OK"))</f>
        <v/>
      </c>
    </row>
    <row r="818">
      <c r="A818" s="25" t="n"/>
      <c r="B818" s="26" t="n"/>
      <c r="C818" s="26" t="n"/>
      <c r="E818">
        <f>IF(A818="","",IF(C818="","FALTA TC","OK"))</f>
        <v/>
      </c>
    </row>
    <row r="819">
      <c r="A819" s="25" t="n"/>
      <c r="B819" s="26" t="n"/>
      <c r="C819" s="26" t="n"/>
      <c r="E819">
        <f>IF(A819="","",IF(C819="","FALTA TC","OK"))</f>
        <v/>
      </c>
    </row>
    <row r="820">
      <c r="A820" s="25" t="n"/>
      <c r="B820" s="26" t="n"/>
      <c r="C820" s="26" t="n"/>
      <c r="E820">
        <f>IF(A820="","",IF(C820="","FALTA TC","OK"))</f>
        <v/>
      </c>
    </row>
    <row r="821">
      <c r="A821" s="25" t="n"/>
      <c r="B821" s="26" t="n"/>
      <c r="C821" s="26" t="n"/>
      <c r="E821">
        <f>IF(A821="","",IF(C821="","FALTA TC","OK"))</f>
        <v/>
      </c>
    </row>
    <row r="822">
      <c r="A822" s="25" t="n"/>
      <c r="B822" s="26" t="n"/>
      <c r="C822" s="26" t="n"/>
      <c r="E822">
        <f>IF(A822="","",IF(C822="","FALTA TC","OK"))</f>
        <v/>
      </c>
    </row>
    <row r="823">
      <c r="A823" s="25" t="n"/>
      <c r="B823" s="26" t="n"/>
      <c r="C823" s="26" t="n"/>
      <c r="E823">
        <f>IF(A823="","",IF(C823="","FALTA TC","OK"))</f>
        <v/>
      </c>
    </row>
    <row r="824">
      <c r="A824" s="25" t="n"/>
      <c r="B824" s="26" t="n"/>
      <c r="C824" s="26" t="n"/>
      <c r="E824">
        <f>IF(A824="","",IF(C824="","FALTA TC","OK"))</f>
        <v/>
      </c>
    </row>
    <row r="825">
      <c r="A825" s="25" t="n"/>
      <c r="B825" s="26" t="n"/>
      <c r="C825" s="26" t="n"/>
      <c r="E825">
        <f>IF(A825="","",IF(C825="","FALTA TC","OK"))</f>
        <v/>
      </c>
    </row>
    <row r="826">
      <c r="A826" s="25" t="n"/>
      <c r="B826" s="26" t="n"/>
      <c r="C826" s="26" t="n"/>
      <c r="E826">
        <f>IF(A826="","",IF(C826="","FALTA TC","OK"))</f>
        <v/>
      </c>
    </row>
    <row r="827">
      <c r="A827" s="25" t="n"/>
      <c r="B827" s="26" t="n"/>
      <c r="C827" s="26" t="n"/>
      <c r="E827">
        <f>IF(A827="","",IF(C827="","FALTA TC","OK"))</f>
        <v/>
      </c>
    </row>
    <row r="828">
      <c r="A828" s="25" t="n"/>
      <c r="B828" s="26" t="n"/>
      <c r="C828" s="26" t="n"/>
      <c r="E828">
        <f>IF(A828="","",IF(C828="","FALTA TC","OK"))</f>
        <v/>
      </c>
    </row>
    <row r="829">
      <c r="A829" s="25" t="n"/>
      <c r="B829" s="26" t="n"/>
      <c r="C829" s="26" t="n"/>
      <c r="E829">
        <f>IF(A829="","",IF(C829="","FALTA TC","OK"))</f>
        <v/>
      </c>
    </row>
    <row r="830">
      <c r="A830" s="25" t="n"/>
      <c r="B830" s="26" t="n"/>
      <c r="C830" s="26" t="n"/>
      <c r="E830">
        <f>IF(A830="","",IF(C830="","FALTA TC","OK"))</f>
        <v/>
      </c>
    </row>
    <row r="831">
      <c r="A831" s="25" t="n"/>
      <c r="B831" s="26" t="n"/>
      <c r="C831" s="26" t="n"/>
      <c r="E831">
        <f>IF(A831="","",IF(C831="","FALTA TC","OK"))</f>
        <v/>
      </c>
    </row>
    <row r="832">
      <c r="A832" s="25" t="n"/>
      <c r="B832" s="26" t="n"/>
      <c r="C832" s="26" t="n"/>
      <c r="E832">
        <f>IF(A832="","",IF(C832="","FALTA TC","OK"))</f>
        <v/>
      </c>
    </row>
    <row r="833">
      <c r="A833" s="25" t="n"/>
      <c r="B833" s="26" t="n"/>
      <c r="C833" s="26" t="n"/>
      <c r="E833">
        <f>IF(A833="","",IF(C833="","FALTA TC","OK"))</f>
        <v/>
      </c>
    </row>
    <row r="834">
      <c r="A834" s="25" t="n"/>
      <c r="B834" s="26" t="n"/>
      <c r="C834" s="26" t="n"/>
      <c r="E834">
        <f>IF(A834="","",IF(C834="","FALTA TC","OK"))</f>
        <v/>
      </c>
    </row>
    <row r="835">
      <c r="A835" s="25" t="n"/>
      <c r="B835" s="26" t="n"/>
      <c r="C835" s="26" t="n"/>
      <c r="E835">
        <f>IF(A835="","",IF(C835="","FALTA TC","OK"))</f>
        <v/>
      </c>
    </row>
    <row r="836">
      <c r="A836" s="25" t="n"/>
      <c r="B836" s="26" t="n"/>
      <c r="C836" s="26" t="n"/>
      <c r="E836">
        <f>IF(A836="","",IF(C836="","FALTA TC","OK"))</f>
        <v/>
      </c>
    </row>
    <row r="837">
      <c r="A837" s="25" t="n"/>
      <c r="B837" s="26" t="n"/>
      <c r="C837" s="26" t="n"/>
      <c r="E837">
        <f>IF(A837="","",IF(C837="","FALTA TC","OK"))</f>
        <v/>
      </c>
    </row>
    <row r="838">
      <c r="A838" s="25" t="n"/>
      <c r="B838" s="26" t="n"/>
      <c r="C838" s="26" t="n"/>
      <c r="E838">
        <f>IF(A838="","",IF(C838="","FALTA TC","OK"))</f>
        <v/>
      </c>
    </row>
    <row r="839">
      <c r="A839" s="25" t="n"/>
      <c r="B839" s="26" t="n"/>
      <c r="C839" s="26" t="n"/>
      <c r="E839">
        <f>IF(A839="","",IF(C839="","FALTA TC","OK"))</f>
        <v/>
      </c>
    </row>
    <row r="840">
      <c r="A840" s="25" t="n"/>
      <c r="B840" s="26" t="n"/>
      <c r="C840" s="26" t="n"/>
      <c r="E840">
        <f>IF(A840="","",IF(C840="","FALTA TC","OK"))</f>
        <v/>
      </c>
    </row>
    <row r="841">
      <c r="A841" s="25" t="n"/>
      <c r="B841" s="26" t="n"/>
      <c r="C841" s="26" t="n"/>
      <c r="E841">
        <f>IF(A841="","",IF(C841="","FALTA TC","OK"))</f>
        <v/>
      </c>
    </row>
    <row r="842">
      <c r="A842" s="25" t="n"/>
      <c r="B842" s="26" t="n"/>
      <c r="C842" s="26" t="n"/>
      <c r="E842">
        <f>IF(A842="","",IF(C842="","FALTA TC","OK"))</f>
        <v/>
      </c>
    </row>
    <row r="843">
      <c r="A843" s="25" t="n"/>
      <c r="B843" s="26" t="n"/>
      <c r="C843" s="26" t="n"/>
      <c r="E843">
        <f>IF(A843="","",IF(C843="","FALTA TC","OK"))</f>
        <v/>
      </c>
    </row>
    <row r="844">
      <c r="A844" s="25" t="n"/>
      <c r="B844" s="26" t="n"/>
      <c r="C844" s="26" t="n"/>
      <c r="E844">
        <f>IF(A844="","",IF(C844="","FALTA TC","OK"))</f>
        <v/>
      </c>
    </row>
    <row r="845">
      <c r="A845" s="25" t="n"/>
      <c r="B845" s="26" t="n"/>
      <c r="C845" s="26" t="n"/>
      <c r="E845">
        <f>IF(A845="","",IF(C845="","FALTA TC","OK"))</f>
        <v/>
      </c>
    </row>
    <row r="846">
      <c r="A846" s="25" t="n"/>
      <c r="B846" s="26" t="n"/>
      <c r="C846" s="26" t="n"/>
      <c r="E846">
        <f>IF(A846="","",IF(C846="","FALTA TC","OK"))</f>
        <v/>
      </c>
    </row>
    <row r="847">
      <c r="A847" s="25" t="n"/>
      <c r="B847" s="26" t="n"/>
      <c r="C847" s="26" t="n"/>
      <c r="E847">
        <f>IF(A847="","",IF(C847="","FALTA TC","OK"))</f>
        <v/>
      </c>
    </row>
    <row r="848">
      <c r="A848" s="25" t="n"/>
      <c r="B848" s="26" t="n"/>
      <c r="C848" s="26" t="n"/>
      <c r="E848">
        <f>IF(A848="","",IF(C848="","FALTA TC","OK"))</f>
        <v/>
      </c>
    </row>
    <row r="849">
      <c r="A849" s="25" t="n"/>
      <c r="B849" s="26" t="n"/>
      <c r="C849" s="26" t="n"/>
      <c r="E849">
        <f>IF(A849="","",IF(C849="","FALTA TC","OK"))</f>
        <v/>
      </c>
    </row>
    <row r="850">
      <c r="A850" s="25" t="n"/>
      <c r="B850" s="26" t="n"/>
      <c r="C850" s="26" t="n"/>
      <c r="E850">
        <f>IF(A850="","",IF(C850="","FALTA TC","OK"))</f>
        <v/>
      </c>
    </row>
    <row r="851">
      <c r="A851" s="25" t="n"/>
      <c r="B851" s="26" t="n"/>
      <c r="C851" s="26" t="n"/>
      <c r="E851">
        <f>IF(A851="","",IF(C851="","FALTA TC","OK"))</f>
        <v/>
      </c>
    </row>
    <row r="852">
      <c r="A852" s="25" t="n"/>
      <c r="B852" s="26" t="n"/>
      <c r="C852" s="26" t="n"/>
      <c r="E852">
        <f>IF(A852="","",IF(C852="","FALTA TC","OK"))</f>
        <v/>
      </c>
    </row>
    <row r="853">
      <c r="A853" s="25" t="n"/>
      <c r="B853" s="26" t="n"/>
      <c r="C853" s="26" t="n"/>
      <c r="E853">
        <f>IF(A853="","",IF(C853="","FALTA TC","OK"))</f>
        <v/>
      </c>
    </row>
    <row r="854">
      <c r="A854" s="25" t="n"/>
      <c r="B854" s="26" t="n"/>
      <c r="C854" s="26" t="n"/>
      <c r="E854">
        <f>IF(A854="","",IF(C854="","FALTA TC","OK"))</f>
        <v/>
      </c>
    </row>
    <row r="855">
      <c r="A855" s="25" t="n"/>
      <c r="B855" s="26" t="n"/>
      <c r="C855" s="26" t="n"/>
      <c r="E855">
        <f>IF(A855="","",IF(C855="","FALTA TC","OK"))</f>
        <v/>
      </c>
    </row>
    <row r="856">
      <c r="A856" s="25" t="n"/>
      <c r="B856" s="26" t="n"/>
      <c r="C856" s="26" t="n"/>
      <c r="E856">
        <f>IF(A856="","",IF(C856="","FALTA TC","OK"))</f>
        <v/>
      </c>
    </row>
    <row r="857">
      <c r="A857" s="25" t="n"/>
      <c r="B857" s="26" t="n"/>
      <c r="C857" s="26" t="n"/>
      <c r="E857">
        <f>IF(A857="","",IF(C857="","FALTA TC","OK"))</f>
        <v/>
      </c>
    </row>
    <row r="858">
      <c r="A858" s="25" t="n"/>
      <c r="B858" s="26" t="n"/>
      <c r="C858" s="26" t="n"/>
      <c r="E858">
        <f>IF(A858="","",IF(C858="","FALTA TC","OK"))</f>
        <v/>
      </c>
    </row>
    <row r="859">
      <c r="A859" s="25" t="n"/>
      <c r="B859" s="26" t="n"/>
      <c r="C859" s="26" t="n"/>
      <c r="E859">
        <f>IF(A859="","",IF(C859="","FALTA TC","OK"))</f>
        <v/>
      </c>
    </row>
    <row r="860">
      <c r="A860" s="25" t="n"/>
      <c r="B860" s="26" t="n"/>
      <c r="C860" s="26" t="n"/>
      <c r="E860">
        <f>IF(A860="","",IF(C860="","FALTA TC","OK"))</f>
        <v/>
      </c>
    </row>
    <row r="861">
      <c r="A861" s="25" t="n"/>
      <c r="B861" s="26" t="n"/>
      <c r="C861" s="26" t="n"/>
      <c r="E861">
        <f>IF(A861="","",IF(C861="","FALTA TC","OK"))</f>
        <v/>
      </c>
    </row>
    <row r="862">
      <c r="A862" s="25" t="n"/>
      <c r="B862" s="26" t="n"/>
      <c r="C862" s="26" t="n"/>
      <c r="E862">
        <f>IF(A862="","",IF(C862="","FALTA TC","OK"))</f>
        <v/>
      </c>
    </row>
    <row r="863">
      <c r="A863" s="25" t="n"/>
      <c r="B863" s="26" t="n"/>
      <c r="C863" s="26" t="n"/>
      <c r="E863">
        <f>IF(A863="","",IF(C863="","FALTA TC","OK"))</f>
        <v/>
      </c>
    </row>
    <row r="864">
      <c r="A864" s="25" t="n"/>
      <c r="B864" s="26" t="n"/>
      <c r="C864" s="26" t="n"/>
      <c r="E864">
        <f>IF(A864="","",IF(C864="","FALTA TC","OK"))</f>
        <v/>
      </c>
    </row>
    <row r="865">
      <c r="A865" s="25" t="n"/>
      <c r="B865" s="26" t="n"/>
      <c r="C865" s="26" t="n"/>
      <c r="E865">
        <f>IF(A865="","",IF(C865="","FALTA TC","OK"))</f>
        <v/>
      </c>
    </row>
    <row r="866">
      <c r="A866" s="25" t="n"/>
      <c r="B866" s="26" t="n"/>
      <c r="C866" s="26" t="n"/>
      <c r="E866">
        <f>IF(A866="","",IF(C866="","FALTA TC","OK"))</f>
        <v/>
      </c>
    </row>
    <row r="867">
      <c r="A867" s="25" t="n"/>
      <c r="B867" s="26" t="n"/>
      <c r="C867" s="26" t="n"/>
      <c r="E867">
        <f>IF(A867="","",IF(C867="","FALTA TC","OK"))</f>
        <v/>
      </c>
    </row>
    <row r="868">
      <c r="A868" s="25" t="n"/>
      <c r="B868" s="26" t="n"/>
      <c r="C868" s="26" t="n"/>
      <c r="E868">
        <f>IF(A868="","",IF(C868="","FALTA TC","OK"))</f>
        <v/>
      </c>
    </row>
    <row r="869">
      <c r="A869" s="25" t="n"/>
      <c r="B869" s="26" t="n"/>
      <c r="C869" s="26" t="n"/>
      <c r="E869">
        <f>IF(A869="","",IF(C869="","FALTA TC","OK"))</f>
        <v/>
      </c>
    </row>
    <row r="870">
      <c r="A870" s="25" t="n"/>
      <c r="B870" s="26" t="n"/>
      <c r="C870" s="26" t="n"/>
      <c r="E870">
        <f>IF(A870="","",IF(C870="","FALTA TC","OK"))</f>
        <v/>
      </c>
    </row>
    <row r="871">
      <c r="A871" s="25" t="n"/>
      <c r="B871" s="26" t="n"/>
      <c r="C871" s="26" t="n"/>
      <c r="E871">
        <f>IF(A871="","",IF(C871="","FALTA TC","OK"))</f>
        <v/>
      </c>
    </row>
    <row r="872">
      <c r="A872" s="25" t="n"/>
      <c r="B872" s="26" t="n"/>
      <c r="C872" s="26" t="n"/>
      <c r="E872">
        <f>IF(A872="","",IF(C872="","FALTA TC","OK"))</f>
        <v/>
      </c>
    </row>
    <row r="873">
      <c r="A873" s="25" t="n"/>
      <c r="B873" s="26" t="n"/>
      <c r="C873" s="26" t="n"/>
      <c r="E873">
        <f>IF(A873="","",IF(C873="","FALTA TC","OK"))</f>
        <v/>
      </c>
    </row>
    <row r="874">
      <c r="A874" s="25" t="n"/>
      <c r="B874" s="26" t="n"/>
      <c r="C874" s="26" t="n"/>
      <c r="E874">
        <f>IF(A874="","",IF(C874="","FALTA TC","OK"))</f>
        <v/>
      </c>
    </row>
    <row r="875">
      <c r="A875" s="25" t="n"/>
      <c r="B875" s="26" t="n"/>
      <c r="C875" s="26" t="n"/>
      <c r="E875">
        <f>IF(A875="","",IF(C875="","FALTA TC","OK"))</f>
        <v/>
      </c>
    </row>
    <row r="876">
      <c r="A876" s="25" t="n"/>
      <c r="B876" s="26" t="n"/>
      <c r="C876" s="26" t="n"/>
      <c r="E876">
        <f>IF(A876="","",IF(C876="","FALTA TC","OK"))</f>
        <v/>
      </c>
    </row>
    <row r="877">
      <c r="A877" s="25" t="n"/>
      <c r="B877" s="26" t="n"/>
      <c r="C877" s="26" t="n"/>
      <c r="E877">
        <f>IF(A877="","",IF(C877="","FALTA TC","OK"))</f>
        <v/>
      </c>
    </row>
    <row r="878">
      <c r="A878" s="25" t="n"/>
      <c r="B878" s="26" t="n"/>
      <c r="C878" s="26" t="n"/>
      <c r="E878">
        <f>IF(A878="","",IF(C878="","FALTA TC","OK"))</f>
        <v/>
      </c>
    </row>
    <row r="879">
      <c r="A879" s="25" t="n"/>
      <c r="B879" s="26" t="n"/>
      <c r="C879" s="26" t="n"/>
      <c r="E879">
        <f>IF(A879="","",IF(C879="","FALTA TC","OK"))</f>
        <v/>
      </c>
    </row>
    <row r="880">
      <c r="A880" s="25" t="n"/>
      <c r="B880" s="26" t="n"/>
      <c r="C880" s="26" t="n"/>
      <c r="E880">
        <f>IF(A880="","",IF(C880="","FALTA TC","OK"))</f>
        <v/>
      </c>
    </row>
    <row r="881">
      <c r="A881" s="25" t="n"/>
      <c r="B881" s="26" t="n"/>
      <c r="C881" s="26" t="n"/>
      <c r="E881">
        <f>IF(A881="","",IF(C881="","FALTA TC","OK"))</f>
        <v/>
      </c>
    </row>
    <row r="882">
      <c r="A882" s="25" t="n"/>
      <c r="B882" s="26" t="n"/>
      <c r="C882" s="26" t="n"/>
      <c r="E882">
        <f>IF(A882="","",IF(C882="","FALTA TC","OK"))</f>
        <v/>
      </c>
    </row>
    <row r="883">
      <c r="A883" s="25" t="n"/>
      <c r="B883" s="26" t="n"/>
      <c r="C883" s="26" t="n"/>
      <c r="E883">
        <f>IF(A883="","",IF(C883="","FALTA TC","OK"))</f>
        <v/>
      </c>
    </row>
    <row r="884">
      <c r="A884" s="25" t="n"/>
      <c r="B884" s="26" t="n"/>
      <c r="C884" s="26" t="n"/>
      <c r="E884">
        <f>IF(A884="","",IF(C884="","FALTA TC","OK"))</f>
        <v/>
      </c>
    </row>
    <row r="885">
      <c r="A885" s="25" t="n"/>
      <c r="B885" s="26" t="n"/>
      <c r="C885" s="26" t="n"/>
      <c r="E885">
        <f>IF(A885="","",IF(C885="","FALTA TC","OK"))</f>
        <v/>
      </c>
    </row>
    <row r="886">
      <c r="A886" s="25" t="n"/>
      <c r="B886" s="26" t="n"/>
      <c r="C886" s="26" t="n"/>
      <c r="E886">
        <f>IF(A886="","",IF(C886="","FALTA TC","OK"))</f>
        <v/>
      </c>
    </row>
    <row r="887">
      <c r="A887" s="25" t="n"/>
      <c r="B887" s="26" t="n"/>
      <c r="C887" s="26" t="n"/>
      <c r="E887">
        <f>IF(A887="","",IF(C887="","FALTA TC","OK"))</f>
        <v/>
      </c>
    </row>
    <row r="888">
      <c r="A888" s="25" t="n"/>
      <c r="B888" s="26" t="n"/>
      <c r="C888" s="26" t="n"/>
      <c r="E888">
        <f>IF(A888="","",IF(C888="","FALTA TC","OK"))</f>
        <v/>
      </c>
    </row>
    <row r="889">
      <c r="A889" s="25" t="n"/>
      <c r="B889" s="26" t="n"/>
      <c r="C889" s="26" t="n"/>
      <c r="E889">
        <f>IF(A889="","",IF(C889="","FALTA TC","OK"))</f>
        <v/>
      </c>
    </row>
    <row r="890">
      <c r="A890" s="25" t="n"/>
      <c r="B890" s="26" t="n"/>
      <c r="C890" s="26" t="n"/>
      <c r="E890">
        <f>IF(A890="","",IF(C890="","FALTA TC","OK"))</f>
        <v/>
      </c>
    </row>
    <row r="891">
      <c r="A891" s="25" t="n"/>
      <c r="B891" s="26" t="n"/>
      <c r="C891" s="26" t="n"/>
      <c r="E891">
        <f>IF(A891="","",IF(C891="","FALTA TC","OK"))</f>
        <v/>
      </c>
    </row>
    <row r="892">
      <c r="A892" s="25" t="n"/>
      <c r="B892" s="26" t="n"/>
      <c r="C892" s="26" t="n"/>
      <c r="E892">
        <f>IF(A892="","",IF(C892="","FALTA TC","OK"))</f>
        <v/>
      </c>
    </row>
    <row r="893">
      <c r="A893" s="25" t="n"/>
      <c r="B893" s="26" t="n"/>
      <c r="C893" s="26" t="n"/>
      <c r="E893">
        <f>IF(A893="","",IF(C893="","FALTA TC","OK"))</f>
        <v/>
      </c>
    </row>
    <row r="894">
      <c r="A894" s="25" t="n"/>
      <c r="B894" s="26" t="n"/>
      <c r="C894" s="26" t="n"/>
      <c r="E894">
        <f>IF(A894="","",IF(C894="","FALTA TC","OK"))</f>
        <v/>
      </c>
    </row>
    <row r="895">
      <c r="A895" s="25" t="n"/>
      <c r="B895" s="26" t="n"/>
      <c r="C895" s="26" t="n"/>
      <c r="E895">
        <f>IF(A895="","",IF(C895="","FALTA TC","OK"))</f>
        <v/>
      </c>
    </row>
    <row r="896">
      <c r="A896" s="25" t="n"/>
      <c r="B896" s="26" t="n"/>
      <c r="C896" s="26" t="n"/>
      <c r="E896">
        <f>IF(A896="","",IF(C896="","FALTA TC","OK"))</f>
        <v/>
      </c>
    </row>
    <row r="897">
      <c r="A897" s="25" t="n"/>
      <c r="B897" s="26" t="n"/>
      <c r="C897" s="26" t="n"/>
      <c r="E897">
        <f>IF(A897="","",IF(C897="","FALTA TC","OK"))</f>
        <v/>
      </c>
    </row>
    <row r="898">
      <c r="A898" s="25" t="n"/>
      <c r="B898" s="26" t="n"/>
      <c r="C898" s="26" t="n"/>
      <c r="E898">
        <f>IF(A898="","",IF(C898="","FALTA TC","OK"))</f>
        <v/>
      </c>
    </row>
    <row r="899">
      <c r="A899" s="25" t="n"/>
      <c r="B899" s="26" t="n"/>
      <c r="C899" s="26" t="n"/>
      <c r="E899">
        <f>IF(A899="","",IF(C899="","FALTA TC","OK"))</f>
        <v/>
      </c>
    </row>
    <row r="900">
      <c r="A900" s="25" t="n"/>
      <c r="B900" s="26" t="n"/>
      <c r="C900" s="26" t="n"/>
      <c r="E900">
        <f>IF(A900="","",IF(C900="","FALTA TC","OK"))</f>
        <v/>
      </c>
    </row>
    <row r="901">
      <c r="A901" s="25" t="n"/>
      <c r="B901" s="26" t="n"/>
      <c r="C901" s="26" t="n"/>
      <c r="E901">
        <f>IF(A901="","",IF(C901="","FALTA TC","OK"))</f>
        <v/>
      </c>
    </row>
    <row r="902">
      <c r="A902" s="25" t="n"/>
      <c r="B902" s="26" t="n"/>
      <c r="C902" s="26" t="n"/>
      <c r="E902">
        <f>IF(A902="","",IF(C902="","FALTA TC","OK"))</f>
        <v/>
      </c>
    </row>
    <row r="903">
      <c r="A903" s="25" t="n"/>
      <c r="B903" s="26" t="n"/>
      <c r="C903" s="26" t="n"/>
      <c r="E903">
        <f>IF(A903="","",IF(C903="","FALTA TC","OK"))</f>
        <v/>
      </c>
    </row>
    <row r="904">
      <c r="A904" s="25" t="n"/>
      <c r="B904" s="26" t="n"/>
      <c r="C904" s="26" t="n"/>
      <c r="E904">
        <f>IF(A904="","",IF(C904="","FALTA TC","OK"))</f>
        <v/>
      </c>
    </row>
    <row r="905">
      <c r="A905" s="25" t="n"/>
      <c r="B905" s="26" t="n"/>
      <c r="C905" s="26" t="n"/>
      <c r="E905">
        <f>IF(A905="","",IF(C905="","FALTA TC","OK"))</f>
        <v/>
      </c>
    </row>
    <row r="906">
      <c r="A906" s="25" t="n"/>
      <c r="B906" s="26" t="n"/>
      <c r="C906" s="26" t="n"/>
      <c r="E906">
        <f>IF(A906="","",IF(C906="","FALTA TC","OK"))</f>
        <v/>
      </c>
    </row>
    <row r="907">
      <c r="A907" s="25" t="n"/>
      <c r="B907" s="26" t="n"/>
      <c r="C907" s="26" t="n"/>
      <c r="E907">
        <f>IF(A907="","",IF(C907="","FALTA TC","OK"))</f>
        <v/>
      </c>
    </row>
    <row r="908">
      <c r="A908" s="25" t="n"/>
      <c r="B908" s="26" t="n"/>
      <c r="C908" s="26" t="n"/>
      <c r="E908">
        <f>IF(A908="","",IF(C908="","FALTA TC","OK"))</f>
        <v/>
      </c>
    </row>
    <row r="909">
      <c r="A909" s="25" t="n"/>
      <c r="B909" s="26" t="n"/>
      <c r="C909" s="26" t="n"/>
      <c r="E909">
        <f>IF(A909="","",IF(C909="","FALTA TC","OK"))</f>
        <v/>
      </c>
    </row>
    <row r="910">
      <c r="A910" s="25" t="n"/>
      <c r="B910" s="26" t="n"/>
      <c r="C910" s="26" t="n"/>
      <c r="E910">
        <f>IF(A910="","",IF(C910="","FALTA TC","OK"))</f>
        <v/>
      </c>
    </row>
    <row r="911">
      <c r="A911" s="25" t="n"/>
      <c r="B911" s="26" t="n"/>
      <c r="C911" s="26" t="n"/>
      <c r="E911">
        <f>IF(A911="","",IF(C911="","FALTA TC","OK"))</f>
        <v/>
      </c>
    </row>
    <row r="912">
      <c r="A912" s="25" t="n"/>
      <c r="B912" s="26" t="n"/>
      <c r="C912" s="26" t="n"/>
      <c r="E912">
        <f>IF(A912="","",IF(C912="","FALTA TC","OK"))</f>
        <v/>
      </c>
    </row>
    <row r="913">
      <c r="A913" s="25" t="n"/>
      <c r="B913" s="26" t="n"/>
      <c r="C913" s="26" t="n"/>
      <c r="E913">
        <f>IF(A913="","",IF(C913="","FALTA TC","OK"))</f>
        <v/>
      </c>
    </row>
    <row r="914">
      <c r="A914" s="25" t="n"/>
      <c r="B914" s="26" t="n"/>
      <c r="C914" s="26" t="n"/>
      <c r="E914">
        <f>IF(A914="","",IF(C914="","FALTA TC","OK"))</f>
        <v/>
      </c>
    </row>
    <row r="915">
      <c r="A915" s="25" t="n"/>
      <c r="B915" s="26" t="n"/>
      <c r="C915" s="26" t="n"/>
      <c r="E915">
        <f>IF(A915="","",IF(C915="","FALTA TC","OK"))</f>
        <v/>
      </c>
    </row>
    <row r="916">
      <c r="A916" s="25" t="n"/>
      <c r="B916" s="26" t="n"/>
      <c r="C916" s="26" t="n"/>
      <c r="E916">
        <f>IF(A916="","",IF(C916="","FALTA TC","OK"))</f>
        <v/>
      </c>
    </row>
    <row r="917">
      <c r="A917" s="25" t="n"/>
      <c r="B917" s="26" t="n"/>
      <c r="C917" s="26" t="n"/>
      <c r="E917">
        <f>IF(A917="","",IF(C917="","FALTA TC","OK"))</f>
        <v/>
      </c>
    </row>
    <row r="918">
      <c r="A918" s="25" t="n"/>
      <c r="B918" s="26" t="n"/>
      <c r="C918" s="26" t="n"/>
      <c r="E918">
        <f>IF(A918="","",IF(C918="","FALTA TC","OK"))</f>
        <v/>
      </c>
    </row>
    <row r="919">
      <c r="A919" s="25" t="n"/>
      <c r="B919" s="26" t="n"/>
      <c r="C919" s="26" t="n"/>
      <c r="E919">
        <f>IF(A919="","",IF(C919="","FALTA TC","OK"))</f>
        <v/>
      </c>
    </row>
    <row r="920">
      <c r="A920" s="25" t="n"/>
      <c r="B920" s="26" t="n"/>
      <c r="C920" s="26" t="n"/>
      <c r="E920">
        <f>IF(A920="","",IF(C920="","FALTA TC","OK"))</f>
        <v/>
      </c>
    </row>
    <row r="921">
      <c r="A921" s="25" t="n"/>
      <c r="B921" s="26" t="n"/>
      <c r="C921" s="26" t="n"/>
      <c r="E921">
        <f>IF(A921="","",IF(C921="","FALTA TC","OK"))</f>
        <v/>
      </c>
    </row>
    <row r="922">
      <c r="A922" s="25" t="n"/>
      <c r="B922" s="26" t="n"/>
      <c r="C922" s="26" t="n"/>
      <c r="E922">
        <f>IF(A922="","",IF(C922="","FALTA TC","OK"))</f>
        <v/>
      </c>
    </row>
    <row r="923">
      <c r="A923" s="25" t="n"/>
      <c r="B923" s="26" t="n"/>
      <c r="C923" s="26" t="n"/>
      <c r="E923">
        <f>IF(A923="","",IF(C923="","FALTA TC","OK"))</f>
        <v/>
      </c>
    </row>
    <row r="924">
      <c r="A924" s="25" t="n"/>
      <c r="B924" s="26" t="n"/>
      <c r="C924" s="26" t="n"/>
      <c r="E924">
        <f>IF(A924="","",IF(C924="","FALTA TC","OK"))</f>
        <v/>
      </c>
    </row>
    <row r="925">
      <c r="A925" s="25" t="n"/>
      <c r="B925" s="26" t="n"/>
      <c r="C925" s="26" t="n"/>
      <c r="E925">
        <f>IF(A925="","",IF(C925="","FALTA TC","OK"))</f>
        <v/>
      </c>
    </row>
    <row r="926">
      <c r="A926" s="25" t="n"/>
      <c r="B926" s="26" t="n"/>
      <c r="C926" s="26" t="n"/>
      <c r="E926">
        <f>IF(A926="","",IF(C926="","FALTA TC","OK"))</f>
        <v/>
      </c>
    </row>
    <row r="927">
      <c r="A927" s="25" t="n"/>
      <c r="B927" s="26" t="n"/>
      <c r="C927" s="26" t="n"/>
      <c r="E927">
        <f>IF(A927="","",IF(C927="","FALTA TC","OK"))</f>
        <v/>
      </c>
    </row>
    <row r="928">
      <c r="A928" s="25" t="n"/>
      <c r="B928" s="26" t="n"/>
      <c r="C928" s="26" t="n"/>
      <c r="E928">
        <f>IF(A928="","",IF(C928="","FALTA TC","OK"))</f>
        <v/>
      </c>
    </row>
    <row r="929">
      <c r="A929" s="25" t="n"/>
      <c r="B929" s="26" t="n"/>
      <c r="C929" s="26" t="n"/>
      <c r="E929">
        <f>IF(A929="","",IF(C929="","FALTA TC","OK"))</f>
        <v/>
      </c>
    </row>
    <row r="930">
      <c r="A930" s="25" t="n"/>
      <c r="B930" s="26" t="n"/>
      <c r="C930" s="26" t="n"/>
      <c r="E930">
        <f>IF(A930="","",IF(C930="","FALTA TC","OK"))</f>
        <v/>
      </c>
    </row>
    <row r="931">
      <c r="A931" s="25" t="n"/>
      <c r="B931" s="26" t="n"/>
      <c r="C931" s="26" t="n"/>
      <c r="E931">
        <f>IF(A931="","",IF(C931="","FALTA TC","OK"))</f>
        <v/>
      </c>
    </row>
    <row r="932">
      <c r="A932" s="25" t="n"/>
      <c r="B932" s="26" t="n"/>
      <c r="C932" s="26" t="n"/>
      <c r="E932">
        <f>IF(A932="","",IF(C932="","FALTA TC","OK"))</f>
        <v/>
      </c>
    </row>
    <row r="933">
      <c r="A933" s="25" t="n"/>
      <c r="B933" s="26" t="n"/>
      <c r="C933" s="26" t="n"/>
      <c r="E933">
        <f>IF(A933="","",IF(C933="","FALTA TC","OK"))</f>
        <v/>
      </c>
    </row>
    <row r="934">
      <c r="A934" s="25" t="n"/>
      <c r="B934" s="26" t="n"/>
      <c r="C934" s="26" t="n"/>
      <c r="E934">
        <f>IF(A934="","",IF(C934="","FALTA TC","OK"))</f>
        <v/>
      </c>
    </row>
    <row r="935">
      <c r="A935" s="25" t="n"/>
      <c r="B935" s="26" t="n"/>
      <c r="C935" s="26" t="n"/>
      <c r="E935">
        <f>IF(A935="","",IF(C935="","FALTA TC","OK"))</f>
        <v/>
      </c>
    </row>
    <row r="936">
      <c r="A936" s="25" t="n"/>
      <c r="B936" s="26" t="n"/>
      <c r="C936" s="26" t="n"/>
      <c r="E936">
        <f>IF(A936="","",IF(C936="","FALTA TC","OK"))</f>
        <v/>
      </c>
    </row>
    <row r="937">
      <c r="A937" s="25" t="n"/>
      <c r="B937" s="26" t="n"/>
      <c r="C937" s="26" t="n"/>
      <c r="E937">
        <f>IF(A937="","",IF(C937="","FALTA TC","OK"))</f>
        <v/>
      </c>
    </row>
    <row r="938">
      <c r="A938" s="25" t="n"/>
      <c r="B938" s="26" t="n"/>
      <c r="C938" s="26" t="n"/>
      <c r="E938">
        <f>IF(A938="","",IF(C938="","FALTA TC","OK"))</f>
        <v/>
      </c>
    </row>
    <row r="939">
      <c r="A939" s="25" t="n"/>
      <c r="B939" s="26" t="n"/>
      <c r="C939" s="26" t="n"/>
      <c r="E939">
        <f>IF(A939="","",IF(C939="","FALTA TC","OK"))</f>
        <v/>
      </c>
    </row>
    <row r="940">
      <c r="A940" s="25" t="n"/>
      <c r="B940" s="26" t="n"/>
      <c r="C940" s="26" t="n"/>
      <c r="E940">
        <f>IF(A940="","",IF(C940="","FALTA TC","OK"))</f>
        <v/>
      </c>
    </row>
    <row r="941">
      <c r="A941" s="25" t="n"/>
      <c r="B941" s="26" t="n"/>
      <c r="C941" s="26" t="n"/>
      <c r="E941">
        <f>IF(A941="","",IF(C941="","FALTA TC","OK"))</f>
        <v/>
      </c>
    </row>
    <row r="942">
      <c r="A942" s="25" t="n"/>
      <c r="B942" s="26" t="n"/>
      <c r="C942" s="26" t="n"/>
      <c r="E942">
        <f>IF(A942="","",IF(C942="","FALTA TC","OK"))</f>
        <v/>
      </c>
    </row>
    <row r="943">
      <c r="A943" s="25" t="n"/>
      <c r="B943" s="26" t="n"/>
      <c r="C943" s="26" t="n"/>
      <c r="E943">
        <f>IF(A943="","",IF(C943="","FALTA TC","OK"))</f>
        <v/>
      </c>
    </row>
    <row r="944">
      <c r="A944" s="25" t="n"/>
      <c r="B944" s="26" t="n"/>
      <c r="C944" s="26" t="n"/>
      <c r="E944">
        <f>IF(A944="","",IF(C944="","FALTA TC","OK"))</f>
        <v/>
      </c>
    </row>
    <row r="945">
      <c r="A945" s="25" t="n"/>
      <c r="B945" s="26" t="n"/>
      <c r="C945" s="26" t="n"/>
      <c r="E945">
        <f>IF(A945="","",IF(C945="","FALTA TC","OK"))</f>
        <v/>
      </c>
    </row>
    <row r="946">
      <c r="A946" s="25" t="n"/>
      <c r="B946" s="26" t="n"/>
      <c r="C946" s="26" t="n"/>
      <c r="E946">
        <f>IF(A946="","",IF(C946="","FALTA TC","OK"))</f>
        <v/>
      </c>
    </row>
    <row r="947">
      <c r="A947" s="25" t="n"/>
      <c r="B947" s="26" t="n"/>
      <c r="C947" s="26" t="n"/>
      <c r="E947">
        <f>IF(A947="","",IF(C947="","FALTA TC","OK"))</f>
        <v/>
      </c>
    </row>
    <row r="948">
      <c r="A948" s="25" t="n"/>
      <c r="B948" s="26" t="n"/>
      <c r="C948" s="26" t="n"/>
      <c r="E948">
        <f>IF(A948="","",IF(C948="","FALTA TC","OK"))</f>
        <v/>
      </c>
    </row>
    <row r="949">
      <c r="A949" s="25" t="n"/>
      <c r="B949" s="26" t="n"/>
      <c r="C949" s="26" t="n"/>
      <c r="E949">
        <f>IF(A949="","",IF(C949="","FALTA TC","OK"))</f>
        <v/>
      </c>
    </row>
    <row r="950">
      <c r="A950" s="25" t="n"/>
      <c r="B950" s="26" t="n"/>
      <c r="C950" s="26" t="n"/>
      <c r="E950">
        <f>IF(A950="","",IF(C950="","FALTA TC","OK"))</f>
        <v/>
      </c>
    </row>
    <row r="951">
      <c r="A951" s="25" t="n"/>
      <c r="B951" s="26" t="n"/>
      <c r="C951" s="26" t="n"/>
      <c r="E951">
        <f>IF(A951="","",IF(C951="","FALTA TC","OK"))</f>
        <v/>
      </c>
    </row>
    <row r="952">
      <c r="A952" s="25" t="n"/>
      <c r="B952" s="26" t="n"/>
      <c r="C952" s="26" t="n"/>
      <c r="E952">
        <f>IF(A952="","",IF(C952="","FALTA TC","OK"))</f>
        <v/>
      </c>
    </row>
    <row r="953">
      <c r="A953" s="25" t="n"/>
      <c r="B953" s="26" t="n"/>
      <c r="C953" s="26" t="n"/>
      <c r="E953">
        <f>IF(A953="","",IF(C953="","FALTA TC","OK"))</f>
        <v/>
      </c>
    </row>
    <row r="954">
      <c r="A954" s="25" t="n"/>
      <c r="B954" s="26" t="n"/>
      <c r="C954" s="26" t="n"/>
      <c r="E954">
        <f>IF(A954="","",IF(C954="","FALTA TC","OK"))</f>
        <v/>
      </c>
    </row>
    <row r="955">
      <c r="A955" s="25" t="n"/>
      <c r="B955" s="26" t="n"/>
      <c r="C955" s="26" t="n"/>
      <c r="E955">
        <f>IF(A955="","",IF(C955="","FALTA TC","OK"))</f>
        <v/>
      </c>
    </row>
    <row r="956">
      <c r="A956" s="25" t="n"/>
      <c r="B956" s="26" t="n"/>
      <c r="C956" s="26" t="n"/>
      <c r="E956">
        <f>IF(A956="","",IF(C956="","FALTA TC","OK"))</f>
        <v/>
      </c>
    </row>
    <row r="957">
      <c r="A957" s="25" t="n"/>
      <c r="B957" s="26" t="n"/>
      <c r="C957" s="26" t="n"/>
      <c r="E957">
        <f>IF(A957="","",IF(C957="","FALTA TC","OK"))</f>
        <v/>
      </c>
    </row>
    <row r="958">
      <c r="A958" s="25" t="n"/>
      <c r="B958" s="26" t="n"/>
      <c r="C958" s="26" t="n"/>
      <c r="E958">
        <f>IF(A958="","",IF(C958="","FALTA TC","OK"))</f>
        <v/>
      </c>
    </row>
    <row r="959">
      <c r="A959" s="25" t="n"/>
      <c r="B959" s="26" t="n"/>
      <c r="C959" s="26" t="n"/>
      <c r="E959">
        <f>IF(A959="","",IF(C959="","FALTA TC","OK"))</f>
        <v/>
      </c>
    </row>
    <row r="960">
      <c r="A960" s="25" t="n"/>
      <c r="B960" s="26" t="n"/>
      <c r="C960" s="26" t="n"/>
      <c r="E960">
        <f>IF(A960="","",IF(C960="","FALTA TC","OK"))</f>
        <v/>
      </c>
    </row>
    <row r="961">
      <c r="A961" s="25" t="n"/>
      <c r="B961" s="26" t="n"/>
      <c r="C961" s="26" t="n"/>
      <c r="E961">
        <f>IF(A961="","",IF(C961="","FALTA TC","OK"))</f>
        <v/>
      </c>
    </row>
    <row r="962">
      <c r="A962" s="25" t="n"/>
      <c r="B962" s="26" t="n"/>
      <c r="C962" s="26" t="n"/>
      <c r="E962">
        <f>IF(A962="","",IF(C962="","FALTA TC","OK"))</f>
        <v/>
      </c>
    </row>
    <row r="963">
      <c r="A963" s="25" t="n"/>
      <c r="B963" s="26" t="n"/>
      <c r="C963" s="26" t="n"/>
      <c r="E963">
        <f>IF(A963="","",IF(C963="","FALTA TC","OK"))</f>
        <v/>
      </c>
    </row>
    <row r="964">
      <c r="A964" s="25" t="n"/>
      <c r="B964" s="26" t="n"/>
      <c r="C964" s="26" t="n"/>
      <c r="E964">
        <f>IF(A964="","",IF(C964="","FALTA TC","OK"))</f>
        <v/>
      </c>
    </row>
    <row r="965">
      <c r="A965" s="25" t="n"/>
      <c r="B965" s="26" t="n"/>
      <c r="C965" s="26" t="n"/>
      <c r="E965">
        <f>IF(A965="","",IF(C965="","FALTA TC","OK"))</f>
        <v/>
      </c>
    </row>
    <row r="966">
      <c r="A966" s="25" t="n"/>
      <c r="B966" s="26" t="n"/>
      <c r="C966" s="26" t="n"/>
      <c r="E966">
        <f>IF(A966="","",IF(C966="","FALTA TC","OK"))</f>
        <v/>
      </c>
    </row>
    <row r="967">
      <c r="A967" s="25" t="n"/>
      <c r="B967" s="26" t="n"/>
      <c r="C967" s="26" t="n"/>
      <c r="E967">
        <f>IF(A967="","",IF(C967="","FALTA TC","OK"))</f>
        <v/>
      </c>
    </row>
    <row r="968">
      <c r="A968" s="25" t="n"/>
      <c r="B968" s="26" t="n"/>
      <c r="C968" s="26" t="n"/>
      <c r="E968">
        <f>IF(A968="","",IF(C968="","FALTA TC","OK"))</f>
        <v/>
      </c>
    </row>
    <row r="969">
      <c r="A969" s="25" t="n"/>
      <c r="B969" s="26" t="n"/>
      <c r="C969" s="26" t="n"/>
      <c r="E969">
        <f>IF(A969="","",IF(C969="","FALTA TC","OK"))</f>
        <v/>
      </c>
    </row>
    <row r="970">
      <c r="A970" s="25" t="n"/>
      <c r="B970" s="26" t="n"/>
      <c r="C970" s="26" t="n"/>
      <c r="E970">
        <f>IF(A970="","",IF(C970="","FALTA TC","OK"))</f>
        <v/>
      </c>
    </row>
    <row r="971">
      <c r="A971" s="25" t="n"/>
      <c r="B971" s="26" t="n"/>
      <c r="C971" s="26" t="n"/>
      <c r="E971">
        <f>IF(A971="","",IF(C971="","FALTA TC","OK"))</f>
        <v/>
      </c>
    </row>
    <row r="972">
      <c r="A972" s="25" t="n"/>
      <c r="B972" s="26" t="n"/>
      <c r="C972" s="26" t="n"/>
      <c r="E972">
        <f>IF(A972="","",IF(C972="","FALTA TC","OK"))</f>
        <v/>
      </c>
    </row>
    <row r="973">
      <c r="A973" s="25" t="n"/>
      <c r="B973" s="26" t="n"/>
      <c r="C973" s="26" t="n"/>
      <c r="E973">
        <f>IF(A973="","",IF(C973="","FALTA TC","OK"))</f>
        <v/>
      </c>
    </row>
    <row r="974">
      <c r="A974" s="25" t="n"/>
      <c r="B974" s="26" t="n"/>
      <c r="C974" s="26" t="n"/>
      <c r="E974">
        <f>IF(A974="","",IF(C974="","FALTA TC","OK"))</f>
        <v/>
      </c>
    </row>
    <row r="975">
      <c r="A975" s="25" t="n"/>
      <c r="B975" s="26" t="n"/>
      <c r="C975" s="26" t="n"/>
      <c r="E975">
        <f>IF(A975="","",IF(C975="","FALTA TC","OK"))</f>
        <v/>
      </c>
    </row>
    <row r="976">
      <c r="A976" s="25" t="n"/>
      <c r="B976" s="26" t="n"/>
      <c r="C976" s="26" t="n"/>
      <c r="E976">
        <f>IF(A976="","",IF(C976="","FALTA TC","OK"))</f>
        <v/>
      </c>
    </row>
    <row r="977">
      <c r="A977" s="25" t="n"/>
      <c r="B977" s="26" t="n"/>
      <c r="C977" s="26" t="n"/>
      <c r="E977">
        <f>IF(A977="","",IF(C977="","FALTA TC","OK"))</f>
        <v/>
      </c>
    </row>
    <row r="978">
      <c r="A978" s="25" t="n"/>
      <c r="B978" s="26" t="n"/>
      <c r="C978" s="26" t="n"/>
      <c r="E978">
        <f>IF(A978="","",IF(C978="","FALTA TC","OK"))</f>
        <v/>
      </c>
    </row>
    <row r="979">
      <c r="A979" s="25" t="n"/>
      <c r="B979" s="26" t="n"/>
      <c r="C979" s="26" t="n"/>
      <c r="E979">
        <f>IF(A979="","",IF(C979="","FALTA TC","OK"))</f>
        <v/>
      </c>
    </row>
    <row r="980">
      <c r="A980" s="25" t="n"/>
      <c r="B980" s="26" t="n"/>
      <c r="C980" s="26" t="n"/>
      <c r="E980">
        <f>IF(A980="","",IF(C980="","FALTA TC","OK"))</f>
        <v/>
      </c>
    </row>
    <row r="981">
      <c r="A981" s="25" t="n"/>
      <c r="B981" s="26" t="n"/>
      <c r="C981" s="26" t="n"/>
      <c r="E981">
        <f>IF(A981="","",IF(C981="","FALTA TC","OK"))</f>
        <v/>
      </c>
    </row>
    <row r="982">
      <c r="A982" s="25" t="n"/>
      <c r="B982" s="26" t="n"/>
      <c r="C982" s="26" t="n"/>
      <c r="E982">
        <f>IF(A982="","",IF(C982="","FALTA TC","OK"))</f>
        <v/>
      </c>
    </row>
    <row r="983">
      <c r="A983" s="25" t="n"/>
      <c r="B983" s="26" t="n"/>
      <c r="C983" s="26" t="n"/>
      <c r="E983">
        <f>IF(A983="","",IF(C983="","FALTA TC","OK"))</f>
        <v/>
      </c>
    </row>
    <row r="984">
      <c r="A984" s="25" t="n"/>
      <c r="B984" s="26" t="n"/>
      <c r="C984" s="26" t="n"/>
      <c r="E984">
        <f>IF(A984="","",IF(C984="","FALTA TC","OK"))</f>
        <v/>
      </c>
    </row>
    <row r="985">
      <c r="A985" s="25" t="n"/>
      <c r="B985" s="26" t="n"/>
      <c r="C985" s="26" t="n"/>
      <c r="E985">
        <f>IF(A985="","",IF(C985="","FALTA TC","OK"))</f>
        <v/>
      </c>
    </row>
    <row r="986">
      <c r="A986" s="25" t="n"/>
      <c r="B986" s="26" t="n"/>
      <c r="C986" s="26" t="n"/>
      <c r="E986">
        <f>IF(A986="","",IF(C986="","FALTA TC","OK"))</f>
        <v/>
      </c>
    </row>
    <row r="987">
      <c r="A987" s="25" t="n"/>
      <c r="B987" s="26" t="n"/>
      <c r="C987" s="26" t="n"/>
      <c r="E987">
        <f>IF(A987="","",IF(C987="","FALTA TC","OK"))</f>
        <v/>
      </c>
    </row>
    <row r="988">
      <c r="A988" s="25" t="n"/>
      <c r="B988" s="26" t="n"/>
      <c r="C988" s="26" t="n"/>
      <c r="E988">
        <f>IF(A988="","",IF(C988="","FALTA TC","OK"))</f>
        <v/>
      </c>
    </row>
    <row r="989">
      <c r="A989" s="25" t="n"/>
      <c r="B989" s="26" t="n"/>
      <c r="C989" s="26" t="n"/>
      <c r="E989">
        <f>IF(A989="","",IF(C989="","FALTA TC","OK"))</f>
        <v/>
      </c>
    </row>
    <row r="990">
      <c r="A990" s="25" t="n"/>
      <c r="B990" s="26" t="n"/>
      <c r="C990" s="26" t="n"/>
      <c r="E990">
        <f>IF(A990="","",IF(C990="","FALTA TC","OK"))</f>
        <v/>
      </c>
    </row>
    <row r="991">
      <c r="A991" s="25" t="n"/>
      <c r="B991" s="26" t="n"/>
      <c r="C991" s="26" t="n"/>
      <c r="E991">
        <f>IF(A991="","",IF(C991="","FALTA TC","OK"))</f>
        <v/>
      </c>
    </row>
    <row r="992">
      <c r="A992" s="25" t="n"/>
      <c r="B992" s="26" t="n"/>
      <c r="C992" s="26" t="n"/>
      <c r="E992">
        <f>IF(A992="","",IF(C992="","FALTA TC","OK"))</f>
        <v/>
      </c>
    </row>
    <row r="993">
      <c r="A993" s="25" t="n"/>
      <c r="B993" s="26" t="n"/>
      <c r="C993" s="26" t="n"/>
      <c r="E993">
        <f>IF(A993="","",IF(C993="","FALTA TC","OK"))</f>
        <v/>
      </c>
    </row>
    <row r="994">
      <c r="A994" s="25" t="n"/>
      <c r="B994" s="26" t="n"/>
      <c r="C994" s="26" t="n"/>
      <c r="E994">
        <f>IF(A994="","",IF(C994="","FALTA TC","OK"))</f>
        <v/>
      </c>
    </row>
    <row r="995">
      <c r="A995" s="25" t="n"/>
      <c r="B995" s="26" t="n"/>
      <c r="C995" s="26" t="n"/>
      <c r="E995">
        <f>IF(A995="","",IF(C995="","FALTA TC","OK"))</f>
        <v/>
      </c>
    </row>
    <row r="996">
      <c r="A996" s="25" t="n"/>
      <c r="B996" s="26" t="n"/>
      <c r="C996" s="26" t="n"/>
      <c r="E996">
        <f>IF(A996="","",IF(C996="","FALTA TC","OK"))</f>
        <v/>
      </c>
    </row>
    <row r="997">
      <c r="A997" s="25" t="n"/>
      <c r="B997" s="26" t="n"/>
      <c r="C997" s="26" t="n"/>
      <c r="E997">
        <f>IF(A997="","",IF(C997="","FALTA TC","OK"))</f>
        <v/>
      </c>
    </row>
    <row r="998">
      <c r="A998" s="25" t="n"/>
      <c r="B998" s="26" t="n"/>
      <c r="C998" s="26" t="n"/>
      <c r="E998">
        <f>IF(A998="","",IF(C998="","FALTA TC","OK"))</f>
        <v/>
      </c>
    </row>
    <row r="999">
      <c r="A999" s="25" t="n"/>
      <c r="B999" s="26" t="n"/>
      <c r="C999" s="26" t="n"/>
      <c r="E999">
        <f>IF(A999="","",IF(C999="","FALTA TC","OK"))</f>
        <v/>
      </c>
    </row>
    <row r="1000">
      <c r="A1000" s="25" t="n"/>
      <c r="B1000" s="26" t="n"/>
      <c r="C1000" s="26" t="n"/>
      <c r="E1000">
        <f>IF(A1000="","",IF(C1000="","FALTA TC","OK"))</f>
        <v/>
      </c>
    </row>
    <row r="1001">
      <c r="A1001" s="25" t="n"/>
      <c r="B1001" s="26" t="n"/>
      <c r="C1001" s="26" t="n"/>
      <c r="E1001">
        <f>IF(A1001="","",IF(C1001="","FALTA TC","OK"))</f>
        <v/>
      </c>
    </row>
    <row r="1002">
      <c r="A1002" s="25" t="n"/>
      <c r="B1002" s="26" t="n"/>
      <c r="C1002" s="26" t="n"/>
      <c r="E1002">
        <f>IF(A1002="","",IF(C1002="","FALTA TC","OK"))</f>
        <v/>
      </c>
    </row>
    <row r="1003">
      <c r="A1003" s="25" t="n"/>
      <c r="B1003" s="26" t="n"/>
      <c r="C1003" s="26" t="n"/>
      <c r="E1003">
        <f>IF(A1003="","",IF(C1003="","FALTA TC","OK"))</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2026-08-20T18:03:37Z</dcterms:created>
  <dcterms:modified xmlns:dcterms="http://purl.org/dc/terms/" xmlns:xsi="http://www.w3.org/2001/XMLSchema-instance" xsi:type="dcterms:W3CDTF">2026-09-06T21:42:59Z</dcterms:modified>
  <cp:lastModifiedBy>ventas braidy wonders</cp:lastModifiedBy>
  <cp:revision>0</cp:revision>
</cp:coreProperties>
</file>